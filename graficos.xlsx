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cado_acoes" sheetId="1" r:id="rId5"/>
    <sheet state="visible" name="grafico_mercado de açoes" sheetId="2" r:id="rId6"/>
    <sheet state="visible" name="cliente_lucro_prejuizo" sheetId="3" r:id="rId7"/>
    <sheet state="visible" name="Tabela dinâmica " sheetId="4" r:id="rId8"/>
    <sheet state="visible" name="CLIENTE_COMPRA_VENDA" sheetId="5" r:id="rId9"/>
    <sheet state="visible" name="cliente" sheetId="6" r:id="rId10"/>
    <sheet state="visible" name="estatística" sheetId="7" r:id="rId11"/>
    <sheet state="visible" name="TendenciaAtemporal" sheetId="8" r:id="rId12"/>
    <sheet state="visible" name="VENDA" sheetId="9" r:id="rId13"/>
    <sheet state="visible" name="COMPRA" sheetId="10" r:id="rId14"/>
  </sheets>
  <definedNames>
    <definedName hidden="1" localSheetId="2" name="_xlnm._FilterDatabase">cliente_lucro_prejuizo!$L$1:$M$1</definedName>
    <definedName hidden="1" localSheetId="8" name="_xlnm._FilterDatabase">VENDA!$A$1:$E$2003</definedName>
    <definedName hidden="1" localSheetId="9" name="_xlnm._FilterDatabase">COMPRA!$A$1:$E$2003</definedName>
    <definedName hidden="1" localSheetId="0" name="Z_1605504D_1E94_4F7D_8160_3AAB02B150E6_.wvu.FilterData">mercado_acoes!$D$1:$D$2003</definedName>
    <definedName hidden="1" localSheetId="0" name="Z_50B2DC26_7871_4418_BC20_394EFA7CD840_.wvu.FilterData">mercado_acoes!$D$1:$D$2003</definedName>
    <definedName hidden="1" localSheetId="2" name="Z_7C7A40A0_7B2E_4E9D_8BC3_BBD5C6835716_.wvu.FilterData">cliente_lucro_prejuizo!$M$1</definedName>
  </definedNames>
  <calcPr/>
  <customWorkbookViews>
    <customWorkbookView activeSheetId="0" maximized="1" windowHeight="0" windowWidth="0" guid="{7C7A40A0-7B2E-4E9D-8BC3-BBD5C6835716}" name="BUSCAS"/>
    <customWorkbookView activeSheetId="0" maximized="1" windowHeight="0" windowWidth="0" guid="{1605504D-1E94-4F7D-8160-3AAB02B150E6}" name="Filtro 1"/>
    <customWorkbookView activeSheetId="0" maximized="1" windowHeight="0" windowWidth="0" guid="{50B2DC26-7871-4418-BC20-394EFA7CD840}" name="Filtro 2"/>
  </customWorkbookViews>
  <pivotCaches>
    <pivotCache cacheId="0" r:id="rId15"/>
    <pivotCache cacheId="1" r:id="rId16"/>
    <pivotCache cacheId="2" r:id="rId17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tc={d0011dd2-d8a5-43a5-9314-0fcebf95197a}</author>
  </authors>
  <commentList>
    <comment authorId="0" xr:uid="{d0011dd2-d8a5-43a5-9314-0fcebf95197a}" ref="M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ultimos 12 meses
</t>
      </text>
    </comment>
  </commentList>
</comments>
</file>

<file path=xl/sharedStrings.xml><?xml version="1.0" encoding="utf-8"?>
<sst xmlns="http://schemas.openxmlformats.org/spreadsheetml/2006/main" count="58306" uniqueCount="1898">
  <si>
    <t>z</t>
  </si>
  <si>
    <t>Leonardo Ferreira</t>
  </si>
  <si>
    <t>leonardo.ferreira67@exemplo.com</t>
  </si>
  <si>
    <t>Venda</t>
  </si>
  <si>
    <t>RENT3</t>
  </si>
  <si>
    <t>65,02</t>
  </si>
  <si>
    <t>VIVT3</t>
  </si>
  <si>
    <t>37,56</t>
  </si>
  <si>
    <t>Compra</t>
  </si>
  <si>
    <t>B3SA3</t>
  </si>
  <si>
    <t>10,51</t>
  </si>
  <si>
    <t>CSAN3</t>
  </si>
  <si>
    <t>18,4</t>
  </si>
  <si>
    <t>JBSS3</t>
  </si>
  <si>
    <t>15,9</t>
  </si>
  <si>
    <t>ABEV3</t>
  </si>
  <si>
    <t>13,34</t>
  </si>
  <si>
    <t>LREN3</t>
  </si>
  <si>
    <t>16,55</t>
  </si>
  <si>
    <t>BHIA3</t>
  </si>
  <si>
    <t>8,98</t>
  </si>
  <si>
    <t>BBDC4</t>
  </si>
  <si>
    <t>16,3</t>
  </si>
  <si>
    <t>WEGE3</t>
  </si>
  <si>
    <t>42,04</t>
  </si>
  <si>
    <t>68,56</t>
  </si>
  <si>
    <t>8,52</t>
  </si>
  <si>
    <t>13,48</t>
  </si>
  <si>
    <t>TAEE4</t>
  </si>
  <si>
    <t>11,66</t>
  </si>
  <si>
    <t>15,16</t>
  </si>
  <si>
    <t>18,3</t>
  </si>
  <si>
    <t>15,01</t>
  </si>
  <si>
    <t>8,87</t>
  </si>
  <si>
    <t>13,36</t>
  </si>
  <si>
    <t>ITUB4</t>
  </si>
  <si>
    <t>24,51</t>
  </si>
  <si>
    <t>Isabella Ferreira</t>
  </si>
  <si>
    <t>isabella.ferreira95@exemplo.com</t>
  </si>
  <si>
    <t>VALE3</t>
  </si>
  <si>
    <t>69,74</t>
  </si>
  <si>
    <t>11,45</t>
  </si>
  <si>
    <t>IGTA3</t>
  </si>
  <si>
    <t>10,57</t>
  </si>
  <si>
    <t>33,08</t>
  </si>
  <si>
    <t>CPFE3</t>
  </si>
  <si>
    <t>36,01</t>
  </si>
  <si>
    <t>10,87</t>
  </si>
  <si>
    <t>34,22</t>
  </si>
  <si>
    <t>38,39</t>
  </si>
  <si>
    <t>21,33</t>
  </si>
  <si>
    <t>HAPV3</t>
  </si>
  <si>
    <t>3,04</t>
  </si>
  <si>
    <t>35,98</t>
  </si>
  <si>
    <t>4,3</t>
  </si>
  <si>
    <t>17,61</t>
  </si>
  <si>
    <t>39,57</t>
  </si>
  <si>
    <t>47,61</t>
  </si>
  <si>
    <t>12,95</t>
  </si>
  <si>
    <t>63,19</t>
  </si>
  <si>
    <t>38,92</t>
  </si>
  <si>
    <t>14,47</t>
  </si>
  <si>
    <t>28,15</t>
  </si>
  <si>
    <t>Mateus Santos</t>
  </si>
  <si>
    <t>mateus.santos41@exemplo.com</t>
  </si>
  <si>
    <t>20,41</t>
  </si>
  <si>
    <t>21,59</t>
  </si>
  <si>
    <t>38,03</t>
  </si>
  <si>
    <t>19,16</t>
  </si>
  <si>
    <t>39,66</t>
  </si>
  <si>
    <t>14,07</t>
  </si>
  <si>
    <t>SANB11</t>
  </si>
  <si>
    <t>25,68</t>
  </si>
  <si>
    <t>13,08</t>
  </si>
  <si>
    <t>38,54</t>
  </si>
  <si>
    <t>60,17</t>
  </si>
  <si>
    <t>PETR4</t>
  </si>
  <si>
    <t>32,67</t>
  </si>
  <si>
    <t>18,42</t>
  </si>
  <si>
    <t>58,5</t>
  </si>
  <si>
    <t>28,31</t>
  </si>
  <si>
    <t>20,55</t>
  </si>
  <si>
    <t>34,47</t>
  </si>
  <si>
    <t>28,68</t>
  </si>
  <si>
    <t>75,56</t>
  </si>
  <si>
    <t>27,96</t>
  </si>
  <si>
    <t>10,53</t>
  </si>
  <si>
    <t>Rodrigo Pereira</t>
  </si>
  <si>
    <t>rodrigo.pereira12@exemplo.com</t>
  </si>
  <si>
    <t>78,26</t>
  </si>
  <si>
    <t>26,72</t>
  </si>
  <si>
    <t>6,78</t>
  </si>
  <si>
    <t>61,74</t>
  </si>
  <si>
    <t>8,74</t>
  </si>
  <si>
    <t>3,48</t>
  </si>
  <si>
    <t>29,89</t>
  </si>
  <si>
    <t>MGLU3</t>
  </si>
  <si>
    <t>2,17</t>
  </si>
  <si>
    <t>39,41</t>
  </si>
  <si>
    <t>32,32</t>
  </si>
  <si>
    <t>30,81</t>
  </si>
  <si>
    <t>27,62</t>
  </si>
  <si>
    <t>18,52</t>
  </si>
  <si>
    <t>3,83</t>
  </si>
  <si>
    <t>14,11</t>
  </si>
  <si>
    <t>10,69</t>
  </si>
  <si>
    <t>13,84</t>
  </si>
  <si>
    <t>10,56</t>
  </si>
  <si>
    <t>16,36</t>
  </si>
  <si>
    <t>30,74</t>
  </si>
  <si>
    <t>Bruno Rodrigues</t>
  </si>
  <si>
    <t>bruno.rodrigues89@exemplo.com</t>
  </si>
  <si>
    <t>31,14</t>
  </si>
  <si>
    <t>13,27</t>
  </si>
  <si>
    <t>4,11</t>
  </si>
  <si>
    <t>17,25</t>
  </si>
  <si>
    <t>32,99</t>
  </si>
  <si>
    <t>11,61</t>
  </si>
  <si>
    <t>69,58</t>
  </si>
  <si>
    <t>65,19</t>
  </si>
  <si>
    <t>BBAS3</t>
  </si>
  <si>
    <t>38,91</t>
  </si>
  <si>
    <t>21,05</t>
  </si>
  <si>
    <t>32,48</t>
  </si>
  <si>
    <t>20,69</t>
  </si>
  <si>
    <t>4,36</t>
  </si>
  <si>
    <t>55,15</t>
  </si>
  <si>
    <t>33,5</t>
  </si>
  <si>
    <t>10,84</t>
  </si>
  <si>
    <t>16,06</t>
  </si>
  <si>
    <t>3,09</t>
  </si>
  <si>
    <t>15,88</t>
  </si>
  <si>
    <t>10,26</t>
  </si>
  <si>
    <t>Ana Santos</t>
  </si>
  <si>
    <t>ana.santos99@exemplo.com</t>
  </si>
  <si>
    <t>2,95</t>
  </si>
  <si>
    <t>18,82</t>
  </si>
  <si>
    <t>20,32</t>
  </si>
  <si>
    <t>24,74</t>
  </si>
  <si>
    <t>33,45</t>
  </si>
  <si>
    <t>56,69</t>
  </si>
  <si>
    <t>37,38</t>
  </si>
  <si>
    <t>31,23</t>
  </si>
  <si>
    <t>36,51</t>
  </si>
  <si>
    <t>27,43</t>
  </si>
  <si>
    <t>72,37</t>
  </si>
  <si>
    <t>26,77</t>
  </si>
  <si>
    <t>44,27</t>
  </si>
  <si>
    <t>44,93</t>
  </si>
  <si>
    <t>19,5</t>
  </si>
  <si>
    <t>1,78</t>
  </si>
  <si>
    <t>69,22</t>
  </si>
  <si>
    <t>10,39</t>
  </si>
  <si>
    <t>76,07</t>
  </si>
  <si>
    <t>39,31</t>
  </si>
  <si>
    <t>Marcos Rocha</t>
  </si>
  <si>
    <t>marcos.rocha41@exemplo.com</t>
  </si>
  <si>
    <t>37,63</t>
  </si>
  <si>
    <t>37,71</t>
  </si>
  <si>
    <t>75,71</t>
  </si>
  <si>
    <t>2,12</t>
  </si>
  <si>
    <t>8,44</t>
  </si>
  <si>
    <t>3,86</t>
  </si>
  <si>
    <t>36,98</t>
  </si>
  <si>
    <t>37,23</t>
  </si>
  <si>
    <t>32,17</t>
  </si>
  <si>
    <t>39,04</t>
  </si>
  <si>
    <t>24,78</t>
  </si>
  <si>
    <t>62,06</t>
  </si>
  <si>
    <t>21,9</t>
  </si>
  <si>
    <t>3,89</t>
  </si>
  <si>
    <t>38,84</t>
  </si>
  <si>
    <t>25,59</t>
  </si>
  <si>
    <t>15,68</t>
  </si>
  <si>
    <t>63,2</t>
  </si>
  <si>
    <t>30,03</t>
  </si>
  <si>
    <t>12,15</t>
  </si>
  <si>
    <t>Laura Lima</t>
  </si>
  <si>
    <t>laura.lima68@exemplo.com</t>
  </si>
  <si>
    <t>11,26</t>
  </si>
  <si>
    <t>26,22</t>
  </si>
  <si>
    <t>2,28</t>
  </si>
  <si>
    <t>49,9</t>
  </si>
  <si>
    <t>28,95</t>
  </si>
  <si>
    <t>13,83</t>
  </si>
  <si>
    <t>16,63</t>
  </si>
  <si>
    <t>11,18</t>
  </si>
  <si>
    <t>15,71</t>
  </si>
  <si>
    <t>10,67</t>
  </si>
  <si>
    <t>62,55</t>
  </si>
  <si>
    <t>11,25</t>
  </si>
  <si>
    <t>16,38</t>
  </si>
  <si>
    <t>25,01</t>
  </si>
  <si>
    <t>15,98</t>
  </si>
  <si>
    <t>22,67</t>
  </si>
  <si>
    <t>65,44</t>
  </si>
  <si>
    <t>10,64</t>
  </si>
  <si>
    <t>11,78</t>
  </si>
  <si>
    <t>10,89</t>
  </si>
  <si>
    <t>Giovanna Gomes</t>
  </si>
  <si>
    <t>giovanna.gomes22@exemplo.com</t>
  </si>
  <si>
    <t>3,28</t>
  </si>
  <si>
    <t>13,72</t>
  </si>
  <si>
    <t>12,3</t>
  </si>
  <si>
    <t>14,27</t>
  </si>
  <si>
    <t>5,36</t>
  </si>
  <si>
    <t>35,6</t>
  </si>
  <si>
    <t>15,32</t>
  </si>
  <si>
    <t>10,71</t>
  </si>
  <si>
    <t>29,78</t>
  </si>
  <si>
    <t>41,09</t>
  </si>
  <si>
    <t>55,9</t>
  </si>
  <si>
    <t>16,56</t>
  </si>
  <si>
    <t>11,29</t>
  </si>
  <si>
    <t>11,01</t>
  </si>
  <si>
    <t>2,52</t>
  </si>
  <si>
    <t>52,58</t>
  </si>
  <si>
    <t>23,51</t>
  </si>
  <si>
    <t>22,82</t>
  </si>
  <si>
    <t>26,4</t>
  </si>
  <si>
    <t>13,07</t>
  </si>
  <si>
    <t>Eduardo Pereira</t>
  </si>
  <si>
    <t>eduardo.pereira13@exemplo.com</t>
  </si>
  <si>
    <t>4,7</t>
  </si>
  <si>
    <t>2,25</t>
  </si>
  <si>
    <t>12,37</t>
  </si>
  <si>
    <t>26,32</t>
  </si>
  <si>
    <t>34,95</t>
  </si>
  <si>
    <t>16,88</t>
  </si>
  <si>
    <t>19,93</t>
  </si>
  <si>
    <t>44,34</t>
  </si>
  <si>
    <t>48,79</t>
  </si>
  <si>
    <t>40,24</t>
  </si>
  <si>
    <t>63,18</t>
  </si>
  <si>
    <t>14,44</t>
  </si>
  <si>
    <t>14,02</t>
  </si>
  <si>
    <t>19,6</t>
  </si>
  <si>
    <t>26,54</t>
  </si>
  <si>
    <t>34,34</t>
  </si>
  <si>
    <t>53,27</t>
  </si>
  <si>
    <t>32,7</t>
  </si>
  <si>
    <t>14,58</t>
  </si>
  <si>
    <t>Gustavo Costa</t>
  </si>
  <si>
    <t>gustavo.costa83@exemplo.com</t>
  </si>
  <si>
    <t>38,09</t>
  </si>
  <si>
    <t>3,57</t>
  </si>
  <si>
    <t>40,46</t>
  </si>
  <si>
    <t>46,32</t>
  </si>
  <si>
    <t>12,52</t>
  </si>
  <si>
    <t>13,24</t>
  </si>
  <si>
    <t>4,38</t>
  </si>
  <si>
    <t>31,58</t>
  </si>
  <si>
    <t>23,17</t>
  </si>
  <si>
    <t>18,22</t>
  </si>
  <si>
    <t>1,84</t>
  </si>
  <si>
    <t>2,93</t>
  </si>
  <si>
    <t>20,53</t>
  </si>
  <si>
    <t>12,5</t>
  </si>
  <si>
    <t>15,48</t>
  </si>
  <si>
    <t>37,22</t>
  </si>
  <si>
    <t>43,31</t>
  </si>
  <si>
    <t>14,74</t>
  </si>
  <si>
    <t>29,02</t>
  </si>
  <si>
    <t>Giovanna Rocha</t>
  </si>
  <si>
    <t>giovanna.rocha93@exemplo.com</t>
  </si>
  <si>
    <t>11,74</t>
  </si>
  <si>
    <t>30,78</t>
  </si>
  <si>
    <t>26,02</t>
  </si>
  <si>
    <t>60,36</t>
  </si>
  <si>
    <t>22,64</t>
  </si>
  <si>
    <t>36,72</t>
  </si>
  <si>
    <t>12,03</t>
  </si>
  <si>
    <t>46,55</t>
  </si>
  <si>
    <t>14,88</t>
  </si>
  <si>
    <t>4,56</t>
  </si>
  <si>
    <t>41,76</t>
  </si>
  <si>
    <t>10,14</t>
  </si>
  <si>
    <t>34,37</t>
  </si>
  <si>
    <t>51,5</t>
  </si>
  <si>
    <t>56,92</t>
  </si>
  <si>
    <t>48,63</t>
  </si>
  <si>
    <t>25,05</t>
  </si>
  <si>
    <t>27,42</t>
  </si>
  <si>
    <t>Beatriz Silva</t>
  </si>
  <si>
    <t>beatriz.silva61@exemplo.com</t>
  </si>
  <si>
    <t>55,27</t>
  </si>
  <si>
    <t>29,99</t>
  </si>
  <si>
    <t>31,21</t>
  </si>
  <si>
    <t>40,7</t>
  </si>
  <si>
    <t>48,33</t>
  </si>
  <si>
    <t>40,02</t>
  </si>
  <si>
    <t>10,07</t>
  </si>
  <si>
    <t>64,9</t>
  </si>
  <si>
    <t>37,17</t>
  </si>
  <si>
    <t>56,28</t>
  </si>
  <si>
    <t>10,48</t>
  </si>
  <si>
    <t>4,25</t>
  </si>
  <si>
    <t>3,9</t>
  </si>
  <si>
    <t>64,94</t>
  </si>
  <si>
    <t>21,84</t>
  </si>
  <si>
    <t>34,55</t>
  </si>
  <si>
    <t>1,37</t>
  </si>
  <si>
    <t>10,43</t>
  </si>
  <si>
    <t>29,36</t>
  </si>
  <si>
    <t>Guilherme Ferreira</t>
  </si>
  <si>
    <t>guilherme.ferreira50@exemplo.com</t>
  </si>
  <si>
    <t>11,88</t>
  </si>
  <si>
    <t>12,49</t>
  </si>
  <si>
    <t>28,05</t>
  </si>
  <si>
    <t>10,78</t>
  </si>
  <si>
    <t>66,49</t>
  </si>
  <si>
    <t>48,93</t>
  </si>
  <si>
    <t>44,33</t>
  </si>
  <si>
    <t>30,01</t>
  </si>
  <si>
    <t>75,94</t>
  </si>
  <si>
    <t>1,67</t>
  </si>
  <si>
    <t>25,52</t>
  </si>
  <si>
    <t>42,86</t>
  </si>
  <si>
    <t>16,37</t>
  </si>
  <si>
    <t>49,68</t>
  </si>
  <si>
    <t>57,79</t>
  </si>
  <si>
    <t>14,22</t>
  </si>
  <si>
    <t>29,15</t>
  </si>
  <si>
    <t>12,26</t>
  </si>
  <si>
    <t>26,01</t>
  </si>
  <si>
    <t>14,2</t>
  </si>
  <si>
    <t>Felipe Ribeiro</t>
  </si>
  <si>
    <t>felipe.ribeiro44@exemplo.com</t>
  </si>
  <si>
    <t>56,68</t>
  </si>
  <si>
    <t>32,06</t>
  </si>
  <si>
    <t>21,24</t>
  </si>
  <si>
    <t>16,54</t>
  </si>
  <si>
    <t>58,65</t>
  </si>
  <si>
    <t>10,47</t>
  </si>
  <si>
    <t>18,32</t>
  </si>
  <si>
    <t>17,37</t>
  </si>
  <si>
    <t>27,89</t>
  </si>
  <si>
    <t>18,64</t>
  </si>
  <si>
    <t>14,77</t>
  </si>
  <si>
    <t>29,22</t>
  </si>
  <si>
    <t>15,89</t>
  </si>
  <si>
    <t>3,22</t>
  </si>
  <si>
    <t>65,88</t>
  </si>
  <si>
    <t>12,41</t>
  </si>
  <si>
    <t>11,96</t>
  </si>
  <si>
    <t>12,6</t>
  </si>
  <si>
    <t>Gabriel Machado</t>
  </si>
  <si>
    <t>gabriel.machado40@exemplo.com</t>
  </si>
  <si>
    <t>37,73</t>
  </si>
  <si>
    <t>12,59</t>
  </si>
  <si>
    <t>55,75</t>
  </si>
  <si>
    <t>2,26</t>
  </si>
  <si>
    <t>11,77</t>
  </si>
  <si>
    <t>13,53</t>
  </si>
  <si>
    <t>31,1</t>
  </si>
  <si>
    <t>32,68</t>
  </si>
  <si>
    <t>5,34</t>
  </si>
  <si>
    <t>42,18</t>
  </si>
  <si>
    <t>62,25</t>
  </si>
  <si>
    <t>14,72</t>
  </si>
  <si>
    <t>17,66</t>
  </si>
  <si>
    <t>15,42</t>
  </si>
  <si>
    <t>72,92</t>
  </si>
  <si>
    <t>19,8</t>
  </si>
  <si>
    <t>76,7</t>
  </si>
  <si>
    <t>43,62</t>
  </si>
  <si>
    <t>11,85</t>
  </si>
  <si>
    <t>Gabriela Costa</t>
  </si>
  <si>
    <t>gabriela.costa15@exemplo.com</t>
  </si>
  <si>
    <t>14,14</t>
  </si>
  <si>
    <t>76,16</t>
  </si>
  <si>
    <t>9,2</t>
  </si>
  <si>
    <t>50,95</t>
  </si>
  <si>
    <t>2,71</t>
  </si>
  <si>
    <t>3,49</t>
  </si>
  <si>
    <t>40,26</t>
  </si>
  <si>
    <t>34,6</t>
  </si>
  <si>
    <t>56,72</t>
  </si>
  <si>
    <t>29,79</t>
  </si>
  <si>
    <t>68,89</t>
  </si>
  <si>
    <t>24,86</t>
  </si>
  <si>
    <t>76,29</t>
  </si>
  <si>
    <t>2,05</t>
  </si>
  <si>
    <t>17,02</t>
  </si>
  <si>
    <t>14,42</t>
  </si>
  <si>
    <t>26,62</t>
  </si>
  <si>
    <t>14,06</t>
  </si>
  <si>
    <t>36,75</t>
  </si>
  <si>
    <t>18,44</t>
  </si>
  <si>
    <t>Beatriz Ribeiro</t>
  </si>
  <si>
    <t>beatriz.ribeiro6@exemplo.com</t>
  </si>
  <si>
    <t>71,27</t>
  </si>
  <si>
    <t>38,76</t>
  </si>
  <si>
    <t>34,39</t>
  </si>
  <si>
    <t>53,56</t>
  </si>
  <si>
    <t>11,55</t>
  </si>
  <si>
    <t>12,9</t>
  </si>
  <si>
    <t>50,22</t>
  </si>
  <si>
    <t>12,46</t>
  </si>
  <si>
    <t>32,22</t>
  </si>
  <si>
    <t>38,95</t>
  </si>
  <si>
    <t>10</t>
  </si>
  <si>
    <t>29,94</t>
  </si>
  <si>
    <t>12,97</t>
  </si>
  <si>
    <t>66,92</t>
  </si>
  <si>
    <t>34,32</t>
  </si>
  <si>
    <t>16,09</t>
  </si>
  <si>
    <t>39,28</t>
  </si>
  <si>
    <t>Sofia Melo</t>
  </si>
  <si>
    <t>sofia.melo10@exemplo.com</t>
  </si>
  <si>
    <t>35,35</t>
  </si>
  <si>
    <t>17,52</t>
  </si>
  <si>
    <t>33,87</t>
  </si>
  <si>
    <t>4,12</t>
  </si>
  <si>
    <t>16,33</t>
  </si>
  <si>
    <t>3,75</t>
  </si>
  <si>
    <t>11,63</t>
  </si>
  <si>
    <t>33,94</t>
  </si>
  <si>
    <t>19,53</t>
  </si>
  <si>
    <t>14,79</t>
  </si>
  <si>
    <t>49,07</t>
  </si>
  <si>
    <t>58,94</t>
  </si>
  <si>
    <t>11,86</t>
  </si>
  <si>
    <t>15,77</t>
  </si>
  <si>
    <t>44,01</t>
  </si>
  <si>
    <t>31,54</t>
  </si>
  <si>
    <t>11,91</t>
  </si>
  <si>
    <t>15,23</t>
  </si>
  <si>
    <t>10,63</t>
  </si>
  <si>
    <t>Felipe Santos</t>
  </si>
  <si>
    <t>felipe.santos70@exemplo.com</t>
  </si>
  <si>
    <t>51,47</t>
  </si>
  <si>
    <t>32,26</t>
  </si>
  <si>
    <t>31,3</t>
  </si>
  <si>
    <t>24,7</t>
  </si>
  <si>
    <t>10,19</t>
  </si>
  <si>
    <t>25,9</t>
  </si>
  <si>
    <t>77,05</t>
  </si>
  <si>
    <t>26,21</t>
  </si>
  <si>
    <t>10,83</t>
  </si>
  <si>
    <t>12,4</t>
  </si>
  <si>
    <t>12,23</t>
  </si>
  <si>
    <t>26,58</t>
  </si>
  <si>
    <t>54,2</t>
  </si>
  <si>
    <t>46,82</t>
  </si>
  <si>
    <t>23,67</t>
  </si>
  <si>
    <t>18,31</t>
  </si>
  <si>
    <t>57,38</t>
  </si>
  <si>
    <t>11,75</t>
  </si>
  <si>
    <t>38,8</t>
  </si>
  <si>
    <t>Camila Pereira</t>
  </si>
  <si>
    <t>camila.pereira21@exemplo.com</t>
  </si>
  <si>
    <t>12,21</t>
  </si>
  <si>
    <t>3,79</t>
  </si>
  <si>
    <t>15,11</t>
  </si>
  <si>
    <t>10,18</t>
  </si>
  <si>
    <t>12,7</t>
  </si>
  <si>
    <t>69</t>
  </si>
  <si>
    <t>1,48</t>
  </si>
  <si>
    <t>51,31</t>
  </si>
  <si>
    <t>46,58</t>
  </si>
  <si>
    <t>8,5</t>
  </si>
  <si>
    <t>23,98</t>
  </si>
  <si>
    <t>31,6</t>
  </si>
  <si>
    <t>57,97</t>
  </si>
  <si>
    <t>14,85</t>
  </si>
  <si>
    <t>25,39</t>
  </si>
  <si>
    <t>38,62</t>
  </si>
  <si>
    <t>20,33</t>
  </si>
  <si>
    <t>17,51</t>
  </si>
  <si>
    <t>Luiza Costa</t>
  </si>
  <si>
    <t>luiza.costa78@exemplo.com</t>
  </si>
  <si>
    <t>10,17</t>
  </si>
  <si>
    <t>39,62</t>
  </si>
  <si>
    <t>39,24</t>
  </si>
  <si>
    <t>12,92</t>
  </si>
  <si>
    <t>11,31</t>
  </si>
  <si>
    <t>11,03</t>
  </si>
  <si>
    <t>31,64</t>
  </si>
  <si>
    <t>64,53</t>
  </si>
  <si>
    <t>55,69</t>
  </si>
  <si>
    <t>2,59</t>
  </si>
  <si>
    <t>30,94</t>
  </si>
  <si>
    <t>2,43</t>
  </si>
  <si>
    <t>31,76</t>
  </si>
  <si>
    <t>13,05</t>
  </si>
  <si>
    <t>4,91</t>
  </si>
  <si>
    <t>19,03</t>
  </si>
  <si>
    <t>12,75</t>
  </si>
  <si>
    <t>69,69</t>
  </si>
  <si>
    <t>Isabella Almeida</t>
  </si>
  <si>
    <t>isabella.almeida63@exemplo.com</t>
  </si>
  <si>
    <t>30,15</t>
  </si>
  <si>
    <t>31,4</t>
  </si>
  <si>
    <t>41,99</t>
  </si>
  <si>
    <t>11,52</t>
  </si>
  <si>
    <t>15,8</t>
  </si>
  <si>
    <t>38,57</t>
  </si>
  <si>
    <t>39,47</t>
  </si>
  <si>
    <t>13,6</t>
  </si>
  <si>
    <t>4,94</t>
  </si>
  <si>
    <t>2,81</t>
  </si>
  <si>
    <t>39,86</t>
  </si>
  <si>
    <t>48,24</t>
  </si>
  <si>
    <t>10,46</t>
  </si>
  <si>
    <t>10,68</t>
  </si>
  <si>
    <t>4,08</t>
  </si>
  <si>
    <t>11,67</t>
  </si>
  <si>
    <t>24,93</t>
  </si>
  <si>
    <t>14,26</t>
  </si>
  <si>
    <t>23,47</t>
  </si>
  <si>
    <t>Rodrigo Lima</t>
  </si>
  <si>
    <t>rodrigo.lima45@exemplo.com</t>
  </si>
  <si>
    <t>27,39</t>
  </si>
  <si>
    <t>12,68</t>
  </si>
  <si>
    <t>27,86</t>
  </si>
  <si>
    <t>16,73</t>
  </si>
  <si>
    <t>25,03</t>
  </si>
  <si>
    <t>19,19</t>
  </si>
  <si>
    <t>11,54</t>
  </si>
  <si>
    <t>41,88</t>
  </si>
  <si>
    <t>10,6</t>
  </si>
  <si>
    <t>16,59</t>
  </si>
  <si>
    <t>41,04</t>
  </si>
  <si>
    <t>11,11</t>
  </si>
  <si>
    <t>15,92</t>
  </si>
  <si>
    <t>31,44</t>
  </si>
  <si>
    <t>36,27</t>
  </si>
  <si>
    <t>31,01</t>
  </si>
  <si>
    <t>5,21</t>
  </si>
  <si>
    <t>59,32</t>
  </si>
  <si>
    <t>14</t>
  </si>
  <si>
    <t>26,5</t>
  </si>
  <si>
    <t>Eduardo Silva</t>
  </si>
  <si>
    <t>eduardo.silva54@exemplo.com</t>
  </si>
  <si>
    <t>60,34</t>
  </si>
  <si>
    <t>61,1</t>
  </si>
  <si>
    <t>33,66</t>
  </si>
  <si>
    <t>16,2</t>
  </si>
  <si>
    <t>17,03</t>
  </si>
  <si>
    <t>29,06</t>
  </si>
  <si>
    <t>13,74</t>
  </si>
  <si>
    <t>29,3</t>
  </si>
  <si>
    <t>4,27</t>
  </si>
  <si>
    <t>41,63</t>
  </si>
  <si>
    <t>26,57</t>
  </si>
  <si>
    <t>47,73</t>
  </si>
  <si>
    <t>52,25</t>
  </si>
  <si>
    <t>14,96</t>
  </si>
  <si>
    <t>23,19</t>
  </si>
  <si>
    <t>27,82</t>
  </si>
  <si>
    <t>59,43</t>
  </si>
  <si>
    <t>11,7</t>
  </si>
  <si>
    <t>32,05</t>
  </si>
  <si>
    <t>47,12</t>
  </si>
  <si>
    <t>Gabriela Melo</t>
  </si>
  <si>
    <t>gabriela.melo17@exemplo.com</t>
  </si>
  <si>
    <t>60,68</t>
  </si>
  <si>
    <t>36,47</t>
  </si>
  <si>
    <t>50,9</t>
  </si>
  <si>
    <t>12,31</t>
  </si>
  <si>
    <t>69,47</t>
  </si>
  <si>
    <t>14,43</t>
  </si>
  <si>
    <t>35,79</t>
  </si>
  <si>
    <t>13,97</t>
  </si>
  <si>
    <t>36,13</t>
  </si>
  <si>
    <t>17,49</t>
  </si>
  <si>
    <t>37,15</t>
  </si>
  <si>
    <t>15,51</t>
  </si>
  <si>
    <t>10,76</t>
  </si>
  <si>
    <t>14,13</t>
  </si>
  <si>
    <t>23,9</t>
  </si>
  <si>
    <t>52,9</t>
  </si>
  <si>
    <t>11,79</t>
  </si>
  <si>
    <t>63,09</t>
  </si>
  <si>
    <t>Giovanna Carvalho</t>
  </si>
  <si>
    <t>giovanna.carvalho88@exemplo.com</t>
  </si>
  <si>
    <t>8,9</t>
  </si>
  <si>
    <t>73,99</t>
  </si>
  <si>
    <t>36,28</t>
  </si>
  <si>
    <t>15,25</t>
  </si>
  <si>
    <t>21,44</t>
  </si>
  <si>
    <t>11,56</t>
  </si>
  <si>
    <t>19,74</t>
  </si>
  <si>
    <t>52,15</t>
  </si>
  <si>
    <t>11,9</t>
  </si>
  <si>
    <t>11,84</t>
  </si>
  <si>
    <t>50,7</t>
  </si>
  <si>
    <t>3,96</t>
  </si>
  <si>
    <t>16,92</t>
  </si>
  <si>
    <t>12,07</t>
  </si>
  <si>
    <t>37,75</t>
  </si>
  <si>
    <t>18,28</t>
  </si>
  <si>
    <t>Rafael Cardoso</t>
  </si>
  <si>
    <t>rafael.cardoso85@exemplo.com</t>
  </si>
  <si>
    <t>23,03</t>
  </si>
  <si>
    <t>20,65</t>
  </si>
  <si>
    <t>2,04</t>
  </si>
  <si>
    <t>29,04</t>
  </si>
  <si>
    <t>27,47</t>
  </si>
  <si>
    <t>33,89</t>
  </si>
  <si>
    <t>59,58</t>
  </si>
  <si>
    <t>10,35</t>
  </si>
  <si>
    <t>58,19</t>
  </si>
  <si>
    <t>1,76</t>
  </si>
  <si>
    <t>14,95</t>
  </si>
  <si>
    <t>10,81</t>
  </si>
  <si>
    <t>12,29</t>
  </si>
  <si>
    <t>2,61</t>
  </si>
  <si>
    <t>12,61</t>
  </si>
  <si>
    <t>37,14</t>
  </si>
  <si>
    <t>14,66</t>
  </si>
  <si>
    <t>14,15</t>
  </si>
  <si>
    <t>Gabriela Pereira</t>
  </si>
  <si>
    <t>gabriela.pereira44@exemplo.com</t>
  </si>
  <si>
    <t>12,09</t>
  </si>
  <si>
    <t>16,8</t>
  </si>
  <si>
    <t>5,14</t>
  </si>
  <si>
    <t>38,14</t>
  </si>
  <si>
    <t>18,35</t>
  </si>
  <si>
    <t>1,49</t>
  </si>
  <si>
    <t>31,51</t>
  </si>
  <si>
    <t>46,4</t>
  </si>
  <si>
    <t>1,3</t>
  </si>
  <si>
    <t>52,01</t>
  </si>
  <si>
    <t>4,33</t>
  </si>
  <si>
    <t>41,45</t>
  </si>
  <si>
    <t>35,08</t>
  </si>
  <si>
    <t>27,02</t>
  </si>
  <si>
    <t>15,54</t>
  </si>
  <si>
    <t>14,71</t>
  </si>
  <si>
    <t>10,55</t>
  </si>
  <si>
    <t>Larissa Gomes</t>
  </si>
  <si>
    <t>larissa.gomes94@exemplo.com</t>
  </si>
  <si>
    <t>10,3</t>
  </si>
  <si>
    <t>46,74</t>
  </si>
  <si>
    <t>40,18</t>
  </si>
  <si>
    <t>1,7</t>
  </si>
  <si>
    <t>12,06</t>
  </si>
  <si>
    <t>38,86</t>
  </si>
  <si>
    <t>29,61</t>
  </si>
  <si>
    <t>3,33</t>
  </si>
  <si>
    <t>7,16</t>
  </si>
  <si>
    <t>10,16</t>
  </si>
  <si>
    <t>14,8</t>
  </si>
  <si>
    <t>32,56</t>
  </si>
  <si>
    <t>27,78</t>
  </si>
  <si>
    <t>13</t>
  </si>
  <si>
    <t>27,07</t>
  </si>
  <si>
    <t>14,93</t>
  </si>
  <si>
    <t>67,87</t>
  </si>
  <si>
    <t>Larissa Souza</t>
  </si>
  <si>
    <t>larissa.souza29@exemplo.com</t>
  </si>
  <si>
    <t>14,75</t>
  </si>
  <si>
    <t>17,34</t>
  </si>
  <si>
    <t>3,37</t>
  </si>
  <si>
    <t>39,93</t>
  </si>
  <si>
    <t>4,02</t>
  </si>
  <si>
    <t>35,07</t>
  </si>
  <si>
    <t>19,18</t>
  </si>
  <si>
    <t>11,83</t>
  </si>
  <si>
    <t>32,1</t>
  </si>
  <si>
    <t>46,29</t>
  </si>
  <si>
    <t>3,19</t>
  </si>
  <si>
    <t>65,14</t>
  </si>
  <si>
    <t>26,13</t>
  </si>
  <si>
    <t>34,7</t>
  </si>
  <si>
    <t>11,97</t>
  </si>
  <si>
    <t>11,64</t>
  </si>
  <si>
    <t>Gabriel Oliveira</t>
  </si>
  <si>
    <t>gabriel.oliveira13@exemplo.com</t>
  </si>
  <si>
    <t>41,64</t>
  </si>
  <si>
    <t>17,65</t>
  </si>
  <si>
    <t>16,05</t>
  </si>
  <si>
    <t>30,14</t>
  </si>
  <si>
    <t>25,49</t>
  </si>
  <si>
    <t>11,76</t>
  </si>
  <si>
    <t>23,1</t>
  </si>
  <si>
    <t>23,38</t>
  </si>
  <si>
    <t>20,13</t>
  </si>
  <si>
    <t>15,76</t>
  </si>
  <si>
    <t>29,83</t>
  </si>
  <si>
    <t>21,86</t>
  </si>
  <si>
    <t>28,66</t>
  </si>
  <si>
    <t>37,81</t>
  </si>
  <si>
    <t>5,24</t>
  </si>
  <si>
    <t>15,62</t>
  </si>
  <si>
    <t>16,49</t>
  </si>
  <si>
    <t>Gustavo Souza</t>
  </si>
  <si>
    <t>gustavo.souza88@exemplo.com</t>
  </si>
  <si>
    <t>21,42</t>
  </si>
  <si>
    <t>38,2</t>
  </si>
  <si>
    <t>18,66</t>
  </si>
  <si>
    <t>30,32</t>
  </si>
  <si>
    <t>25,53</t>
  </si>
  <si>
    <t>47,91</t>
  </si>
  <si>
    <t>14,08</t>
  </si>
  <si>
    <t>10,77</t>
  </si>
  <si>
    <t>4,1</t>
  </si>
  <si>
    <t>38,58</t>
  </si>
  <si>
    <t>4,54</t>
  </si>
  <si>
    <t>27,63</t>
  </si>
  <si>
    <t>28,67</t>
  </si>
  <si>
    <t>20,52</t>
  </si>
  <si>
    <t>Lucas Ribeiro</t>
  </si>
  <si>
    <t>lucas.ribeiro15@exemplo.com</t>
  </si>
  <si>
    <t>53,44</t>
  </si>
  <si>
    <t>22,9</t>
  </si>
  <si>
    <t>10,25</t>
  </si>
  <si>
    <t>36,03</t>
  </si>
  <si>
    <t>20,61</t>
  </si>
  <si>
    <t>10,41</t>
  </si>
  <si>
    <t>56,47</t>
  </si>
  <si>
    <t>32,69</t>
  </si>
  <si>
    <t>10,44</t>
  </si>
  <si>
    <t>36,46</t>
  </si>
  <si>
    <t>12,62</t>
  </si>
  <si>
    <t>22,06</t>
  </si>
  <si>
    <t>39,19</t>
  </si>
  <si>
    <t>48,85</t>
  </si>
  <si>
    <t>34,01</t>
  </si>
  <si>
    <t>76,21</t>
  </si>
  <si>
    <t>18,37</t>
  </si>
  <si>
    <t>Isabella Silva</t>
  </si>
  <si>
    <t>isabella.silva63@exemplo.com</t>
  </si>
  <si>
    <t>4,64</t>
  </si>
  <si>
    <t>57,77</t>
  </si>
  <si>
    <t>3,23</t>
  </si>
  <si>
    <t>1,52</t>
  </si>
  <si>
    <t>24,35</t>
  </si>
  <si>
    <t>3,71</t>
  </si>
  <si>
    <t>19,91</t>
  </si>
  <si>
    <t>9,93</t>
  </si>
  <si>
    <t>13,21</t>
  </si>
  <si>
    <t>13,23</t>
  </si>
  <si>
    <t>73,16</t>
  </si>
  <si>
    <t>11,02</t>
  </si>
  <si>
    <t>13,9</t>
  </si>
  <si>
    <t>68,65</t>
  </si>
  <si>
    <t>20,59</t>
  </si>
  <si>
    <t>41,7</t>
  </si>
  <si>
    <t>Clara Pereira</t>
  </si>
  <si>
    <t>clara.pereira11@exemplo.com</t>
  </si>
  <si>
    <t>14,9</t>
  </si>
  <si>
    <t>15,52</t>
  </si>
  <si>
    <t>47,64</t>
  </si>
  <si>
    <t>27,34</t>
  </si>
  <si>
    <t>16,52</t>
  </si>
  <si>
    <t>30,02</t>
  </si>
  <si>
    <t>39,02</t>
  </si>
  <si>
    <t>3,25</t>
  </si>
  <si>
    <t>68,3</t>
  </si>
  <si>
    <t>47,88</t>
  </si>
  <si>
    <t>12,64</t>
  </si>
  <si>
    <t>58,54</t>
  </si>
  <si>
    <t>32,9</t>
  </si>
  <si>
    <t>29,44</t>
  </si>
  <si>
    <t>69,53</t>
  </si>
  <si>
    <t>3,68</t>
  </si>
  <si>
    <t>Rodrigo Cardoso</t>
  </si>
  <si>
    <t>rodrigo.cardoso48@exemplo.com</t>
  </si>
  <si>
    <t>13,33</t>
  </si>
  <si>
    <t>10,34</t>
  </si>
  <si>
    <t>26,67</t>
  </si>
  <si>
    <t>14,34</t>
  </si>
  <si>
    <t>47,66</t>
  </si>
  <si>
    <t>18,79</t>
  </si>
  <si>
    <t>33,65</t>
  </si>
  <si>
    <t>12,71</t>
  </si>
  <si>
    <t>62,74</t>
  </si>
  <si>
    <t>50,67</t>
  </si>
  <si>
    <t>12,11</t>
  </si>
  <si>
    <t>14,35</t>
  </si>
  <si>
    <t>59,63</t>
  </si>
  <si>
    <t>3,73</t>
  </si>
  <si>
    <t>10,54</t>
  </si>
  <si>
    <t>16,39</t>
  </si>
  <si>
    <t>43,82</t>
  </si>
  <si>
    <t>Luiza Souza</t>
  </si>
  <si>
    <t>luiza.souza53@exemplo.com</t>
  </si>
  <si>
    <t>72,42</t>
  </si>
  <si>
    <t>30,98</t>
  </si>
  <si>
    <t>14,78</t>
  </si>
  <si>
    <t>46,48</t>
  </si>
  <si>
    <t>5,22</t>
  </si>
  <si>
    <t>30,12</t>
  </si>
  <si>
    <t>13,17</t>
  </si>
  <si>
    <t>40,5</t>
  </si>
  <si>
    <t>21,54</t>
  </si>
  <si>
    <t>18,63</t>
  </si>
  <si>
    <t>4,79</t>
  </si>
  <si>
    <t>12,87</t>
  </si>
  <si>
    <t>2,57</t>
  </si>
  <si>
    <t>16,89</t>
  </si>
  <si>
    <t>31,87</t>
  </si>
  <si>
    <t>11,37</t>
  </si>
  <si>
    <t>Amanda Rocha</t>
  </si>
  <si>
    <t>amanda.rocha53@exemplo.com</t>
  </si>
  <si>
    <t>35,96</t>
  </si>
  <si>
    <t>32,28</t>
  </si>
  <si>
    <t>19,57</t>
  </si>
  <si>
    <t>5,35</t>
  </si>
  <si>
    <t>12,18</t>
  </si>
  <si>
    <t>12,78</t>
  </si>
  <si>
    <t>30,25</t>
  </si>
  <si>
    <t>23,68</t>
  </si>
  <si>
    <t>2,85</t>
  </si>
  <si>
    <t>32,41</t>
  </si>
  <si>
    <t>29,42</t>
  </si>
  <si>
    <t>2,96</t>
  </si>
  <si>
    <t>3,03</t>
  </si>
  <si>
    <t>3,67</t>
  </si>
  <si>
    <t>25,78</t>
  </si>
  <si>
    <t>gabriela.pereira87@exemplo.com</t>
  </si>
  <si>
    <t>7,56</t>
  </si>
  <si>
    <t>28,13</t>
  </si>
  <si>
    <t>41,5</t>
  </si>
  <si>
    <t>28,18</t>
  </si>
  <si>
    <t>19,82</t>
  </si>
  <si>
    <t>24,98</t>
  </si>
  <si>
    <t>17,88</t>
  </si>
  <si>
    <t>10,52</t>
  </si>
  <si>
    <t>2,62</t>
  </si>
  <si>
    <t>30,76</t>
  </si>
  <si>
    <t>3,61</t>
  </si>
  <si>
    <t>21,75</t>
  </si>
  <si>
    <t>12,84</t>
  </si>
  <si>
    <t>13,67</t>
  </si>
  <si>
    <t>32,55</t>
  </si>
  <si>
    <t>12,86</t>
  </si>
  <si>
    <t>5,27</t>
  </si>
  <si>
    <t>13,88</t>
  </si>
  <si>
    <t>Ana Ferreira</t>
  </si>
  <si>
    <t>ana.ferreira30@exemplo.com</t>
  </si>
  <si>
    <t>30,3</t>
  </si>
  <si>
    <t>32,82</t>
  </si>
  <si>
    <t>54,68</t>
  </si>
  <si>
    <t>8,16</t>
  </si>
  <si>
    <t>64,88</t>
  </si>
  <si>
    <t>33,51</t>
  </si>
  <si>
    <t>4,62</t>
  </si>
  <si>
    <t>34,18</t>
  </si>
  <si>
    <t>10,73</t>
  </si>
  <si>
    <t>33,54</t>
  </si>
  <si>
    <t>37,78</t>
  </si>
  <si>
    <t>69,83</t>
  </si>
  <si>
    <t>14,25</t>
  </si>
  <si>
    <t>31,34</t>
  </si>
  <si>
    <t>13,62</t>
  </si>
  <si>
    <t>30,9</t>
  </si>
  <si>
    <t>clara.pereira30@exemplo.com</t>
  </si>
  <si>
    <t>30,2</t>
  </si>
  <si>
    <t>19,29</t>
  </si>
  <si>
    <t>2,39</t>
  </si>
  <si>
    <t>75,13</t>
  </si>
  <si>
    <t>5,31</t>
  </si>
  <si>
    <t>54,72</t>
  </si>
  <si>
    <t>2,44</t>
  </si>
  <si>
    <t>36,62</t>
  </si>
  <si>
    <t>10,59</t>
  </si>
  <si>
    <t>15,03</t>
  </si>
  <si>
    <t>37,83</t>
  </si>
  <si>
    <t>22,66</t>
  </si>
  <si>
    <t>36,82</t>
  </si>
  <si>
    <t>60,83</t>
  </si>
  <si>
    <t>13,81</t>
  </si>
  <si>
    <t>51,65</t>
  </si>
  <si>
    <t>Luis Rocha</t>
  </si>
  <si>
    <t>luis.rocha1@exemplo.com</t>
  </si>
  <si>
    <t>38,93</t>
  </si>
  <si>
    <t>46,44</t>
  </si>
  <si>
    <t>2,42</t>
  </si>
  <si>
    <t>14,98</t>
  </si>
  <si>
    <t>40,52</t>
  </si>
  <si>
    <t>14,48</t>
  </si>
  <si>
    <t>29,81</t>
  </si>
  <si>
    <t>32,24</t>
  </si>
  <si>
    <t>24,91</t>
  </si>
  <si>
    <t>13,76</t>
  </si>
  <si>
    <t>44,68</t>
  </si>
  <si>
    <t>29,31</t>
  </si>
  <si>
    <t>10,99</t>
  </si>
  <si>
    <t>2,83</t>
  </si>
  <si>
    <t>35,76</t>
  </si>
  <si>
    <t>16,61</t>
  </si>
  <si>
    <t>25,54</t>
  </si>
  <si>
    <t>70,68</t>
  </si>
  <si>
    <t>Leonardo Souza</t>
  </si>
  <si>
    <t>leonardo.souza93@exemplo.com</t>
  </si>
  <si>
    <t>20,72</t>
  </si>
  <si>
    <t>29,09</t>
  </si>
  <si>
    <t>23,04</t>
  </si>
  <si>
    <t>3,98</t>
  </si>
  <si>
    <t>27,32</t>
  </si>
  <si>
    <t>3,21</t>
  </si>
  <si>
    <t>37,67</t>
  </si>
  <si>
    <t>22,75</t>
  </si>
  <si>
    <t>12,89</t>
  </si>
  <si>
    <t>3,85</t>
  </si>
  <si>
    <t>36,54</t>
  </si>
  <si>
    <t>24,32</t>
  </si>
  <si>
    <t>28,65</t>
  </si>
  <si>
    <t>15,45</t>
  </si>
  <si>
    <t>13,66</t>
  </si>
  <si>
    <t>2,5</t>
  </si>
  <si>
    <t>10,49</t>
  </si>
  <si>
    <t>19,48</t>
  </si>
  <si>
    <t>34,92</t>
  </si>
  <si>
    <t>Mateus Silva</t>
  </si>
  <si>
    <t>mateus.silva8@exemplo.com</t>
  </si>
  <si>
    <t>30,05</t>
  </si>
  <si>
    <t>14,32</t>
  </si>
  <si>
    <t>14,91</t>
  </si>
  <si>
    <t>49,67</t>
  </si>
  <si>
    <t>66,35</t>
  </si>
  <si>
    <t>14,53</t>
  </si>
  <si>
    <t>12,04</t>
  </si>
  <si>
    <t>14,45</t>
  </si>
  <si>
    <t>41,03</t>
  </si>
  <si>
    <t>14,01</t>
  </si>
  <si>
    <t>12,17</t>
  </si>
  <si>
    <t>59,3</t>
  </si>
  <si>
    <t>63,55</t>
  </si>
  <si>
    <t>27,22</t>
  </si>
  <si>
    <t>26,03</t>
  </si>
  <si>
    <t>51,69</t>
  </si>
  <si>
    <t>31,66</t>
  </si>
  <si>
    <t>Pedro Silva</t>
  </si>
  <si>
    <t>pedro.silva50@exemplo.com</t>
  </si>
  <si>
    <t>3,14</t>
  </si>
  <si>
    <t>7,91</t>
  </si>
  <si>
    <t>26,05</t>
  </si>
  <si>
    <t>11,69</t>
  </si>
  <si>
    <t>12,67</t>
  </si>
  <si>
    <t>26,74</t>
  </si>
  <si>
    <t>17,54</t>
  </si>
  <si>
    <t>18,33</t>
  </si>
  <si>
    <t>16,47</t>
  </si>
  <si>
    <t>13,69</t>
  </si>
  <si>
    <t>34,11</t>
  </si>
  <si>
    <t>48,37</t>
  </si>
  <si>
    <t>35,63</t>
  </si>
  <si>
    <t>14,56</t>
  </si>
  <si>
    <t>15,05</t>
  </si>
  <si>
    <t>7,1</t>
  </si>
  <si>
    <t>10,61</t>
  </si>
  <si>
    <t>31,25</t>
  </si>
  <si>
    <t>Leonardo Ribeiro</t>
  </si>
  <si>
    <t>leonardo.ribeiro64@exemplo.com</t>
  </si>
  <si>
    <t>21,55</t>
  </si>
  <si>
    <t>10,5</t>
  </si>
  <si>
    <t>10,31</t>
  </si>
  <si>
    <t>21,13</t>
  </si>
  <si>
    <t>33,81</t>
  </si>
  <si>
    <t>29,52</t>
  </si>
  <si>
    <t>56,49</t>
  </si>
  <si>
    <t>58,77</t>
  </si>
  <si>
    <t>1,93</t>
  </si>
  <si>
    <t>2,58</t>
  </si>
  <si>
    <t>10,91</t>
  </si>
  <si>
    <t>3,6</t>
  </si>
  <si>
    <t>15,2</t>
  </si>
  <si>
    <t>3,92</t>
  </si>
  <si>
    <t>11,42</t>
  </si>
  <si>
    <t>38,98</t>
  </si>
  <si>
    <t>sofia.melo78@exemplo.com</t>
  </si>
  <si>
    <t>11,95</t>
  </si>
  <si>
    <t>3,17</t>
  </si>
  <si>
    <t>57,91</t>
  </si>
  <si>
    <t>17,67</t>
  </si>
  <si>
    <t>22,72</t>
  </si>
  <si>
    <t>51,9</t>
  </si>
  <si>
    <t>61,54</t>
  </si>
  <si>
    <t>11,65</t>
  </si>
  <si>
    <t>2,84</t>
  </si>
  <si>
    <t>12,13</t>
  </si>
  <si>
    <t>40,21</t>
  </si>
  <si>
    <t>56,8</t>
  </si>
  <si>
    <t>28,47</t>
  </si>
  <si>
    <t>43,59</t>
  </si>
  <si>
    <t>Rafael Rocha</t>
  </si>
  <si>
    <t>rafael.rocha93@exemplo.com</t>
  </si>
  <si>
    <t>3,84</t>
  </si>
  <si>
    <t>34,54</t>
  </si>
  <si>
    <t>2,47</t>
  </si>
  <si>
    <t>14,97</t>
  </si>
  <si>
    <t>40,28</t>
  </si>
  <si>
    <t>11,5</t>
  </si>
  <si>
    <t>15,14</t>
  </si>
  <si>
    <t>26,47</t>
  </si>
  <si>
    <t>32,64</t>
  </si>
  <si>
    <t>12,19</t>
  </si>
  <si>
    <t>49,78</t>
  </si>
  <si>
    <t>34,56</t>
  </si>
  <si>
    <t>21,35</t>
  </si>
  <si>
    <t>25,57</t>
  </si>
  <si>
    <t>15,86</t>
  </si>
  <si>
    <t>18,45</t>
  </si>
  <si>
    <t>68,85</t>
  </si>
  <si>
    <t>Camila Rocha</t>
  </si>
  <si>
    <t>camila.rocha10@exemplo.com</t>
  </si>
  <si>
    <t>21,69</t>
  </si>
  <si>
    <t>35,38</t>
  </si>
  <si>
    <t>18,56</t>
  </si>
  <si>
    <t>80,28</t>
  </si>
  <si>
    <t>67,65</t>
  </si>
  <si>
    <t>32,92</t>
  </si>
  <si>
    <t>77,3</t>
  </si>
  <si>
    <t>15,1</t>
  </si>
  <si>
    <t>47,14</t>
  </si>
  <si>
    <t>36,61</t>
  </si>
  <si>
    <t>16,94</t>
  </si>
  <si>
    <t>20,23</t>
  </si>
  <si>
    <t>64,66</t>
  </si>
  <si>
    <t>10,33</t>
  </si>
  <si>
    <t>Camila Oliveira</t>
  </si>
  <si>
    <t>camila.oliveira84@exemplo.com</t>
  </si>
  <si>
    <t>12,44</t>
  </si>
  <si>
    <t>28,96</t>
  </si>
  <si>
    <t>39,75</t>
  </si>
  <si>
    <t>46,36</t>
  </si>
  <si>
    <t>10,42</t>
  </si>
  <si>
    <t>60,55</t>
  </si>
  <si>
    <t>65,54</t>
  </si>
  <si>
    <t>50,85</t>
  </si>
  <si>
    <t>17,29</t>
  </si>
  <si>
    <t>13,85</t>
  </si>
  <si>
    <t>53,79</t>
  </si>
  <si>
    <t>17,04</t>
  </si>
  <si>
    <t>18,65</t>
  </si>
  <si>
    <t>22,44</t>
  </si>
  <si>
    <t>79,47</t>
  </si>
  <si>
    <t>52,79</t>
  </si>
  <si>
    <t>Lucas Costa</t>
  </si>
  <si>
    <t>lucas.costa80@exemplo.com</t>
  </si>
  <si>
    <t>53,3</t>
  </si>
  <si>
    <t>69,63</t>
  </si>
  <si>
    <t>47,76</t>
  </si>
  <si>
    <t>20,77</t>
  </si>
  <si>
    <t>2,38</t>
  </si>
  <si>
    <t>3,18</t>
  </si>
  <si>
    <t>74,68</t>
  </si>
  <si>
    <t>42,2</t>
  </si>
  <si>
    <t>41,14</t>
  </si>
  <si>
    <t>35,31</t>
  </si>
  <si>
    <t>10,88</t>
  </si>
  <si>
    <t>74,26</t>
  </si>
  <si>
    <t>4,05</t>
  </si>
  <si>
    <t>11,32</t>
  </si>
  <si>
    <t>18,43</t>
  </si>
  <si>
    <t>22,18</t>
  </si>
  <si>
    <t>Giovanna Pereira</t>
  </si>
  <si>
    <t>giovanna.pereira73@exemplo.com</t>
  </si>
  <si>
    <t>34,13</t>
  </si>
  <si>
    <t>10,65</t>
  </si>
  <si>
    <t>12,32</t>
  </si>
  <si>
    <t>65,27</t>
  </si>
  <si>
    <t>16</t>
  </si>
  <si>
    <t>33,33</t>
  </si>
  <si>
    <t>32,79</t>
  </si>
  <si>
    <t>29,75</t>
  </si>
  <si>
    <t>64,4</t>
  </si>
  <si>
    <t>4,06</t>
  </si>
  <si>
    <t>5,41</t>
  </si>
  <si>
    <t>15,58</t>
  </si>
  <si>
    <t>14,36</t>
  </si>
  <si>
    <t>49,32</t>
  </si>
  <si>
    <t>51,91</t>
  </si>
  <si>
    <t>60,53</t>
  </si>
  <si>
    <t>Gustavo Santos</t>
  </si>
  <si>
    <t>gustavo.santos79@exemplo.com</t>
  </si>
  <si>
    <t>16,26</t>
  </si>
  <si>
    <t>3,26</t>
  </si>
  <si>
    <t>10,74</t>
  </si>
  <si>
    <t>56,57</t>
  </si>
  <si>
    <t>69,01</t>
  </si>
  <si>
    <t>14,65</t>
  </si>
  <si>
    <t>46,9</t>
  </si>
  <si>
    <t>12,57</t>
  </si>
  <si>
    <t>20,45</t>
  </si>
  <si>
    <t>45,16</t>
  </si>
  <si>
    <t>9,29</t>
  </si>
  <si>
    <t>3,41</t>
  </si>
  <si>
    <t>32,47</t>
  </si>
  <si>
    <t>Amanda Santos</t>
  </si>
  <si>
    <t>amanda.santos76@exemplo.com</t>
  </si>
  <si>
    <t>69,3</t>
  </si>
  <si>
    <t>10,72</t>
  </si>
  <si>
    <t>11,92</t>
  </si>
  <si>
    <t>23,22</t>
  </si>
  <si>
    <t>60,6</t>
  </si>
  <si>
    <t>1,71</t>
  </si>
  <si>
    <t>17,07</t>
  </si>
  <si>
    <t>53,37</t>
  </si>
  <si>
    <t>77,94</t>
  </si>
  <si>
    <t>29,29</t>
  </si>
  <si>
    <t>33,88</t>
  </si>
  <si>
    <t>13,87</t>
  </si>
  <si>
    <t>13,25</t>
  </si>
  <si>
    <t>67,79</t>
  </si>
  <si>
    <t>Julia Martins</t>
  </si>
  <si>
    <t>julia.martins14@exemplo.com</t>
  </si>
  <si>
    <t>1,55</t>
  </si>
  <si>
    <t>19,7</t>
  </si>
  <si>
    <t>18,36</t>
  </si>
  <si>
    <t>62,16</t>
  </si>
  <si>
    <t>28,59</t>
  </si>
  <si>
    <t>49,97</t>
  </si>
  <si>
    <t>37,03</t>
  </si>
  <si>
    <t>12,05</t>
  </si>
  <si>
    <t>14,17</t>
  </si>
  <si>
    <t>15,74</t>
  </si>
  <si>
    <t>36</t>
  </si>
  <si>
    <t>16,08</t>
  </si>
  <si>
    <t>27,53</t>
  </si>
  <si>
    <t>30,08</t>
  </si>
  <si>
    <t>27,73</t>
  </si>
  <si>
    <t>clara.pereira12@exemplo.com</t>
  </si>
  <si>
    <t>75</t>
  </si>
  <si>
    <t>14,87</t>
  </si>
  <si>
    <t>4,44</t>
  </si>
  <si>
    <t>52,71</t>
  </si>
  <si>
    <t>38,72</t>
  </si>
  <si>
    <t>3,54</t>
  </si>
  <si>
    <t>4,75</t>
  </si>
  <si>
    <t>21,37</t>
  </si>
  <si>
    <t>19,69</t>
  </si>
  <si>
    <t>35,57</t>
  </si>
  <si>
    <t>16,07</t>
  </si>
  <si>
    <t>27,19</t>
  </si>
  <si>
    <t>37,35</t>
  </si>
  <si>
    <t>Rafael Oliveira</t>
  </si>
  <si>
    <t>rafael.oliveira88@exemplo.com</t>
  </si>
  <si>
    <t>49,31</t>
  </si>
  <si>
    <t>3,38</t>
  </si>
  <si>
    <t>14,83</t>
  </si>
  <si>
    <t>19,64</t>
  </si>
  <si>
    <t>29,46</t>
  </si>
  <si>
    <t>60,74</t>
  </si>
  <si>
    <t>21,46</t>
  </si>
  <si>
    <t>3,06</t>
  </si>
  <si>
    <t>27,87</t>
  </si>
  <si>
    <t>59,82</t>
  </si>
  <si>
    <t>28,55</t>
  </si>
  <si>
    <t>20,35</t>
  </si>
  <si>
    <t>32,6</t>
  </si>
  <si>
    <t>18,89</t>
  </si>
  <si>
    <t>29,23</t>
  </si>
  <si>
    <t>10,32</t>
  </si>
  <si>
    <t>Ana Oliveira</t>
  </si>
  <si>
    <t>ana.oliveira96@exemplo.com</t>
  </si>
  <si>
    <t>74,48</t>
  </si>
  <si>
    <t>57,22</t>
  </si>
  <si>
    <t>41,96</t>
  </si>
  <si>
    <t>25,27</t>
  </si>
  <si>
    <t>3,45</t>
  </si>
  <si>
    <t>55,73</t>
  </si>
  <si>
    <t>40,48</t>
  </si>
  <si>
    <t>11,8</t>
  </si>
  <si>
    <t>2,55</t>
  </si>
  <si>
    <t>11,98</t>
  </si>
  <si>
    <t>36,14</t>
  </si>
  <si>
    <t>2,49</t>
  </si>
  <si>
    <t>23,8</t>
  </si>
  <si>
    <t>1,43</t>
  </si>
  <si>
    <t>28,87</t>
  </si>
  <si>
    <t>1,97</t>
  </si>
  <si>
    <t>Marcos Costa</t>
  </si>
  <si>
    <t>marcos.costa57@exemplo.com</t>
  </si>
  <si>
    <t>78,94</t>
  </si>
  <si>
    <t>2,16</t>
  </si>
  <si>
    <t>21,83</t>
  </si>
  <si>
    <t>15,15</t>
  </si>
  <si>
    <t>40,66</t>
  </si>
  <si>
    <t>11,73</t>
  </si>
  <si>
    <t>28,85</t>
  </si>
  <si>
    <t>12,55</t>
  </si>
  <si>
    <t>38,19</t>
  </si>
  <si>
    <t>13,63</t>
  </si>
  <si>
    <t>33,48</t>
  </si>
  <si>
    <t>52,94</t>
  </si>
  <si>
    <t>Alice Machado</t>
  </si>
  <si>
    <t>alice.machado47@exemplo.com</t>
  </si>
  <si>
    <t>47,36</t>
  </si>
  <si>
    <t>44,79</t>
  </si>
  <si>
    <t>10,24</t>
  </si>
  <si>
    <t>57,2</t>
  </si>
  <si>
    <t>22,05</t>
  </si>
  <si>
    <t>15,41</t>
  </si>
  <si>
    <t>51,2</t>
  </si>
  <si>
    <t>41,27</t>
  </si>
  <si>
    <t>19,68</t>
  </si>
  <si>
    <t>11,19</t>
  </si>
  <si>
    <t>27,17</t>
  </si>
  <si>
    <t>71,8</t>
  </si>
  <si>
    <t>12,54</t>
  </si>
  <si>
    <t>18,69</t>
  </si>
  <si>
    <t>40,89</t>
  </si>
  <si>
    <t>Gabriela Almeida</t>
  </si>
  <si>
    <t>gabriela.almeida7@exemplo.com</t>
  </si>
  <si>
    <t>24,87</t>
  </si>
  <si>
    <t>28,17</t>
  </si>
  <si>
    <t>35,34</t>
  </si>
  <si>
    <t>52</t>
  </si>
  <si>
    <t>25,62</t>
  </si>
  <si>
    <t>2,87</t>
  </si>
  <si>
    <t>30,65</t>
  </si>
  <si>
    <t>10,75</t>
  </si>
  <si>
    <t>21,74</t>
  </si>
  <si>
    <t>31,08</t>
  </si>
  <si>
    <t>19,17</t>
  </si>
  <si>
    <t>35,14</t>
  </si>
  <si>
    <t>14,19</t>
  </si>
  <si>
    <t>Luis Lima</t>
  </si>
  <si>
    <t>luis.lima28@exemplo.com</t>
  </si>
  <si>
    <t>33,99</t>
  </si>
  <si>
    <t>54,76</t>
  </si>
  <si>
    <t>4,24</t>
  </si>
  <si>
    <t>13,47</t>
  </si>
  <si>
    <t>33,38</t>
  </si>
  <si>
    <t>15,4</t>
  </si>
  <si>
    <t>26,81</t>
  </si>
  <si>
    <t>31,12</t>
  </si>
  <si>
    <t>11</t>
  </si>
  <si>
    <t>25,79</t>
  </si>
  <si>
    <t>23,29</t>
  </si>
  <si>
    <t>13,41</t>
  </si>
  <si>
    <t>36,42</t>
  </si>
  <si>
    <t>Camila Souza</t>
  </si>
  <si>
    <t>camila.souza82@exemplo.com</t>
  </si>
  <si>
    <t>12,35</t>
  </si>
  <si>
    <t>63,81</t>
  </si>
  <si>
    <t>25,1</t>
  </si>
  <si>
    <t>19,1</t>
  </si>
  <si>
    <t>3,58</t>
  </si>
  <si>
    <t>51,7</t>
  </si>
  <si>
    <t>41,41</t>
  </si>
  <si>
    <t>2,68</t>
  </si>
  <si>
    <t>31,46</t>
  </si>
  <si>
    <t>11,81</t>
  </si>
  <si>
    <t>Marcos Souza</t>
  </si>
  <si>
    <t>marcos.souza65@exemplo.com</t>
  </si>
  <si>
    <t>77,01</t>
  </si>
  <si>
    <t>40,39</t>
  </si>
  <si>
    <t>4,83</t>
  </si>
  <si>
    <t>13,4</t>
  </si>
  <si>
    <t>15,73</t>
  </si>
  <si>
    <t>33,83</t>
  </si>
  <si>
    <t>12,81</t>
  </si>
  <si>
    <t>24,73</t>
  </si>
  <si>
    <t>22,97</t>
  </si>
  <si>
    <t>6,85</t>
  </si>
  <si>
    <t>32,37</t>
  </si>
  <si>
    <t>42,79</t>
  </si>
  <si>
    <t>42,19</t>
  </si>
  <si>
    <t>61,61</t>
  </si>
  <si>
    <t>10,62</t>
  </si>
  <si>
    <t>38,67</t>
  </si>
  <si>
    <t>Mateus Gomes</t>
  </si>
  <si>
    <t>mateus.gomes98@exemplo.com</t>
  </si>
  <si>
    <t>5,38</t>
  </si>
  <si>
    <t>41,3</t>
  </si>
  <si>
    <t>1,91</t>
  </si>
  <si>
    <t>13,78</t>
  </si>
  <si>
    <t>69,19</t>
  </si>
  <si>
    <t>37,49</t>
  </si>
  <si>
    <t>44,95</t>
  </si>
  <si>
    <t>28,41</t>
  </si>
  <si>
    <t>47,04</t>
  </si>
  <si>
    <t>69,52</t>
  </si>
  <si>
    <t>19,72</t>
  </si>
  <si>
    <t>66,8</t>
  </si>
  <si>
    <t>3,66</t>
  </si>
  <si>
    <t>17,77</t>
  </si>
  <si>
    <t>3,32</t>
  </si>
  <si>
    <t>55,74</t>
  </si>
  <si>
    <t>32,38</t>
  </si>
  <si>
    <t>24,99</t>
  </si>
  <si>
    <t>Guilherme Fonseca</t>
  </si>
  <si>
    <t>guilherme.fonseca27@exemplo.com</t>
  </si>
  <si>
    <t>12,93</t>
  </si>
  <si>
    <t>79,64</t>
  </si>
  <si>
    <t>45,26</t>
  </si>
  <si>
    <t>40,71</t>
  </si>
  <si>
    <t>19,23</t>
  </si>
  <si>
    <t>15,72</t>
  </si>
  <si>
    <t>40,58</t>
  </si>
  <si>
    <t>27,29</t>
  </si>
  <si>
    <t>39,37</t>
  </si>
  <si>
    <t>15,08</t>
  </si>
  <si>
    <t>13,95</t>
  </si>
  <si>
    <t>13,59</t>
  </si>
  <si>
    <t>15,66</t>
  </si>
  <si>
    <t>33,32</t>
  </si>
  <si>
    <t>15,24</t>
  </si>
  <si>
    <t>12,2</t>
  </si>
  <si>
    <t>sofia.melo31@exemplo.com</t>
  </si>
  <si>
    <t>17,96</t>
  </si>
  <si>
    <t>2,32</t>
  </si>
  <si>
    <t>19,26</t>
  </si>
  <si>
    <t>2,33</t>
  </si>
  <si>
    <t>35,24</t>
  </si>
  <si>
    <t>32,54</t>
  </si>
  <si>
    <t>18,72</t>
  </si>
  <si>
    <t>33,86</t>
  </si>
  <si>
    <t>69,62</t>
  </si>
  <si>
    <t>39,42</t>
  </si>
  <si>
    <t>37,5</t>
  </si>
  <si>
    <t>31,67</t>
  </si>
  <si>
    <t>laura.lima25@exemplo.com</t>
  </si>
  <si>
    <t>13,44</t>
  </si>
  <si>
    <t>2,31</t>
  </si>
  <si>
    <t>14,49</t>
  </si>
  <si>
    <t>32,12</t>
  </si>
  <si>
    <t>1,39</t>
  </si>
  <si>
    <t>15,87</t>
  </si>
  <si>
    <t>5,4</t>
  </si>
  <si>
    <t>10,21</t>
  </si>
  <si>
    <t>11,59</t>
  </si>
  <si>
    <t>34,61</t>
  </si>
  <si>
    <t>2,45</t>
  </si>
  <si>
    <t>12,24</t>
  </si>
  <si>
    <t>29,28</t>
  </si>
  <si>
    <t>54,34</t>
  </si>
  <si>
    <t>30,89</t>
  </si>
  <si>
    <t>Felipe Silva</t>
  </si>
  <si>
    <t>felipe.silva52@exemplo.com</t>
  </si>
  <si>
    <t>18,07</t>
  </si>
  <si>
    <t>2,34</t>
  </si>
  <si>
    <t>32,71</t>
  </si>
  <si>
    <t>17,14</t>
  </si>
  <si>
    <t>19,22</t>
  </si>
  <si>
    <t>70,04</t>
  </si>
  <si>
    <t>19,84</t>
  </si>
  <si>
    <t>53,87</t>
  </si>
  <si>
    <t>41,8</t>
  </si>
  <si>
    <t>2,19</t>
  </si>
  <si>
    <t>34,23</t>
  </si>
  <si>
    <t>15,91</t>
  </si>
  <si>
    <t>15,07</t>
  </si>
  <si>
    <t>mateus.gomes40@exemplo.com</t>
  </si>
  <si>
    <t>19,36</t>
  </si>
  <si>
    <t>30,41</t>
  </si>
  <si>
    <t>60,88</t>
  </si>
  <si>
    <t>41,61</t>
  </si>
  <si>
    <t>29,2</t>
  </si>
  <si>
    <t>60,02</t>
  </si>
  <si>
    <t>37,57</t>
  </si>
  <si>
    <t>63,78</t>
  </si>
  <si>
    <t>27,37</t>
  </si>
  <si>
    <t>32,65</t>
  </si>
  <si>
    <t>4,31</t>
  </si>
  <si>
    <t>28,81</t>
  </si>
  <si>
    <t>57,49</t>
  </si>
  <si>
    <t>17,05</t>
  </si>
  <si>
    <t>21,57</t>
  </si>
  <si>
    <t>Bruno Melo</t>
  </si>
  <si>
    <t>bruno.melo27@exemplo.com</t>
  </si>
  <si>
    <t>63,3</t>
  </si>
  <si>
    <t>33,16</t>
  </si>
  <si>
    <t>30,84</t>
  </si>
  <si>
    <t>31,5</t>
  </si>
  <si>
    <t>14,24</t>
  </si>
  <si>
    <t>3,39</t>
  </si>
  <si>
    <t>16,51</t>
  </si>
  <si>
    <t>39,29</t>
  </si>
  <si>
    <t>13,15</t>
  </si>
  <si>
    <t>17,24</t>
  </si>
  <si>
    <t>36,32</t>
  </si>
  <si>
    <t>30,64</t>
  </si>
  <si>
    <t>Marcos Lima</t>
  </si>
  <si>
    <t>marcos.lima55@exemplo.com</t>
  </si>
  <si>
    <t>2,4</t>
  </si>
  <si>
    <t>39,01</t>
  </si>
  <si>
    <t>33,17</t>
  </si>
  <si>
    <t>59,17</t>
  </si>
  <si>
    <t>12,72</t>
  </si>
  <si>
    <t>59,4</t>
  </si>
  <si>
    <t>16,32</t>
  </si>
  <si>
    <t>30,42</t>
  </si>
  <si>
    <t>68,76</t>
  </si>
  <si>
    <t>28,23</t>
  </si>
  <si>
    <t>54,36</t>
  </si>
  <si>
    <t>22,59</t>
  </si>
  <si>
    <t>14,41</t>
  </si>
  <si>
    <t>larissa.gomes18@exemplo.com</t>
  </si>
  <si>
    <t>18,97</t>
  </si>
  <si>
    <t>76,14</t>
  </si>
  <si>
    <t>18,8</t>
  </si>
  <si>
    <t>67,05</t>
  </si>
  <si>
    <t>67,93</t>
  </si>
  <si>
    <t>2,54</t>
  </si>
  <si>
    <t>10,93</t>
  </si>
  <si>
    <t>18,53</t>
  </si>
  <si>
    <t>3,7</t>
  </si>
  <si>
    <t>4,59</t>
  </si>
  <si>
    <t>46,23</t>
  </si>
  <si>
    <t>36,81</t>
  </si>
  <si>
    <t>Amanda Almeida</t>
  </si>
  <si>
    <t>amanda.almeida25@exemplo.com</t>
  </si>
  <si>
    <t>48,46</t>
  </si>
  <si>
    <t>14,52</t>
  </si>
  <si>
    <t>62,35</t>
  </si>
  <si>
    <t>72,29</t>
  </si>
  <si>
    <t>41,67</t>
  </si>
  <si>
    <t>12,63</t>
  </si>
  <si>
    <t>28,14</t>
  </si>
  <si>
    <t>35,77</t>
  </si>
  <si>
    <t>53,66</t>
  </si>
  <si>
    <t>16,46</t>
  </si>
  <si>
    <t>39,1</t>
  </si>
  <si>
    <t>13,55</t>
  </si>
  <si>
    <t>31,24</t>
  </si>
  <si>
    <t>16,25</t>
  </si>
  <si>
    <t>Ana Carvalho</t>
  </si>
  <si>
    <t>ana.carvalho5@exemplo.com</t>
  </si>
  <si>
    <t>20,58</t>
  </si>
  <si>
    <t>22,1</t>
  </si>
  <si>
    <t>64,95</t>
  </si>
  <si>
    <t>22,92</t>
  </si>
  <si>
    <t>55,97</t>
  </si>
  <si>
    <t>39,8</t>
  </si>
  <si>
    <t>27,94</t>
  </si>
  <si>
    <t>43,53</t>
  </si>
  <si>
    <t>10,27</t>
  </si>
  <si>
    <t>34,16</t>
  </si>
  <si>
    <t>11,71</t>
  </si>
  <si>
    <t>14,12</t>
  </si>
  <si>
    <t>larissa.gomes98@exemplo.com</t>
  </si>
  <si>
    <t>13,02</t>
  </si>
  <si>
    <t>56,44</t>
  </si>
  <si>
    <t>47,57</t>
  </si>
  <si>
    <t>34,73</t>
  </si>
  <si>
    <t>13,26</t>
  </si>
  <si>
    <t>19,73</t>
  </si>
  <si>
    <t>4,8</t>
  </si>
  <si>
    <t>16,77</t>
  </si>
  <si>
    <t>22,33</t>
  </si>
  <si>
    <t>14,21</t>
  </si>
  <si>
    <t>3,05</t>
  </si>
  <si>
    <t>14,81</t>
  </si>
  <si>
    <t>56,13</t>
  </si>
  <si>
    <t>14,68</t>
  </si>
  <si>
    <t>Gabriela Mendes</t>
  </si>
  <si>
    <t>gabriela.mendes90@exemplo.com</t>
  </si>
  <si>
    <t>36,17</t>
  </si>
  <si>
    <t>34,48</t>
  </si>
  <si>
    <t>21,01</t>
  </si>
  <si>
    <t>53,45</t>
  </si>
  <si>
    <t>75,41</t>
  </si>
  <si>
    <t>2,94</t>
  </si>
  <si>
    <t>12,73</t>
  </si>
  <si>
    <t>12,28</t>
  </si>
  <si>
    <t>Larissa Carvalho</t>
  </si>
  <si>
    <t>larissa.carvalho96@exemplo.com</t>
  </si>
  <si>
    <t>70,26</t>
  </si>
  <si>
    <t>28,38</t>
  </si>
  <si>
    <t>56,81</t>
  </si>
  <si>
    <t>11,48</t>
  </si>
  <si>
    <t>20,16</t>
  </si>
  <si>
    <t>41,57</t>
  </si>
  <si>
    <t>16,43</t>
  </si>
  <si>
    <t>29,87</t>
  </si>
  <si>
    <t>17,69</t>
  </si>
  <si>
    <t>39,88</t>
  </si>
  <si>
    <t>52,77</t>
  </si>
  <si>
    <t>Beatriz Almeida</t>
  </si>
  <si>
    <t>beatriz.almeida66@exemplo.com</t>
  </si>
  <si>
    <t>39,74</t>
  </si>
  <si>
    <t>10,12</t>
  </si>
  <si>
    <t>47,9</t>
  </si>
  <si>
    <t>11,89</t>
  </si>
  <si>
    <t>47,93</t>
  </si>
  <si>
    <t>16,85</t>
  </si>
  <si>
    <t>16,45</t>
  </si>
  <si>
    <t>21,96</t>
  </si>
  <si>
    <t>27,27</t>
  </si>
  <si>
    <t>11,23</t>
  </si>
  <si>
    <t>49,73</t>
  </si>
  <si>
    <t>21,04</t>
  </si>
  <si>
    <t>17,42</t>
  </si>
  <si>
    <t>7,97</t>
  </si>
  <si>
    <t>2,99</t>
  </si>
  <si>
    <t>Clara Costa</t>
  </si>
  <si>
    <t>clara.costa91@exemplo.com</t>
  </si>
  <si>
    <t>65,39</t>
  </si>
  <si>
    <t>15,12</t>
  </si>
  <si>
    <t>13,79</t>
  </si>
  <si>
    <t>34,8</t>
  </si>
  <si>
    <t>38,41</t>
  </si>
  <si>
    <t>4,18</t>
  </si>
  <si>
    <t>66,64</t>
  </si>
  <si>
    <t>32,44</t>
  </si>
  <si>
    <t>36,84</t>
  </si>
  <si>
    <t>28,6</t>
  </si>
  <si>
    <t>4,14</t>
  </si>
  <si>
    <t>28,75</t>
  </si>
  <si>
    <t>Amanda Mendes</t>
  </si>
  <si>
    <t>amanda.mendes49@exemplo.com</t>
  </si>
  <si>
    <t>1,54</t>
  </si>
  <si>
    <t>26,42</t>
  </si>
  <si>
    <t>19,38</t>
  </si>
  <si>
    <t>2,74</t>
  </si>
  <si>
    <t>16,21</t>
  </si>
  <si>
    <t>33,53</t>
  </si>
  <si>
    <t>17,08</t>
  </si>
  <si>
    <t>33,62</t>
  </si>
  <si>
    <t>59,5</t>
  </si>
  <si>
    <t>22,41</t>
  </si>
  <si>
    <t>72,01</t>
  </si>
  <si>
    <t>32,27</t>
  </si>
  <si>
    <t>18,01</t>
  </si>
  <si>
    <t>11,94</t>
  </si>
  <si>
    <t>14,92</t>
  </si>
  <si>
    <t>Felipe Oliveira</t>
  </si>
  <si>
    <t>felipe.oliveira37@exemplo.com</t>
  </si>
  <si>
    <t>49,41</t>
  </si>
  <si>
    <t>71,1</t>
  </si>
  <si>
    <t>45,32</t>
  </si>
  <si>
    <t>20,29</t>
  </si>
  <si>
    <t>29,55</t>
  </si>
  <si>
    <t>51,07</t>
  </si>
  <si>
    <t>32,09</t>
  </si>
  <si>
    <t>43,63</t>
  </si>
  <si>
    <t>32,03</t>
  </si>
  <si>
    <t>46,98</t>
  </si>
  <si>
    <t>56</t>
  </si>
  <si>
    <t>14,18</t>
  </si>
  <si>
    <t>40,62</t>
  </si>
  <si>
    <t>42,9</t>
  </si>
  <si>
    <t>Gabriel Fonseca</t>
  </si>
  <si>
    <t>gabriel.fonseca66@exemplo.com</t>
  </si>
  <si>
    <t>33,05</t>
  </si>
  <si>
    <t>45,96</t>
  </si>
  <si>
    <t>25,63</t>
  </si>
  <si>
    <t>46,42</t>
  </si>
  <si>
    <t>1,6</t>
  </si>
  <si>
    <t>62,29</t>
  </si>
  <si>
    <t>21,47</t>
  </si>
  <si>
    <t>14,33</t>
  </si>
  <si>
    <t>70,09</t>
  </si>
  <si>
    <t>40,85</t>
  </si>
  <si>
    <t>1,36</t>
  </si>
  <si>
    <t>5,3</t>
  </si>
  <si>
    <t>76,78</t>
  </si>
  <si>
    <t>64,85</t>
  </si>
  <si>
    <t>30,86</t>
  </si>
  <si>
    <t>Julia Santos</t>
  </si>
  <si>
    <t>julia.santos76@exemplo.com</t>
  </si>
  <si>
    <t>13,32</t>
  </si>
  <si>
    <t>31,68</t>
  </si>
  <si>
    <t>56,87</t>
  </si>
  <si>
    <t>74,74</t>
  </si>
  <si>
    <t>35</t>
  </si>
  <si>
    <t>32,39</t>
  </si>
  <si>
    <t>12,48</t>
  </si>
  <si>
    <t>2,2</t>
  </si>
  <si>
    <t>36,95</t>
  </si>
  <si>
    <t>Guilherme Oliveira</t>
  </si>
  <si>
    <t>guilherme.oliveira36@exemplo.com</t>
  </si>
  <si>
    <t>26,99</t>
  </si>
  <si>
    <t>15,13</t>
  </si>
  <si>
    <t>18,14</t>
  </si>
  <si>
    <t>48,16</t>
  </si>
  <si>
    <t>12,98</t>
  </si>
  <si>
    <t>8,27</t>
  </si>
  <si>
    <t>20,97</t>
  </si>
  <si>
    <t>11,62</t>
  </si>
  <si>
    <t>18,67</t>
  </si>
  <si>
    <t>63,88</t>
  </si>
  <si>
    <t>12,91</t>
  </si>
  <si>
    <t>52,31</t>
  </si>
  <si>
    <t>18,08</t>
  </si>
  <si>
    <t>45,04</t>
  </si>
  <si>
    <t>Sofia Mendes</t>
  </si>
  <si>
    <t>sofia.mendes47@exemplo.com</t>
  </si>
  <si>
    <t>28,48</t>
  </si>
  <si>
    <t>30,18</t>
  </si>
  <si>
    <t>37,94</t>
  </si>
  <si>
    <t>20,7</t>
  </si>
  <si>
    <t>15</t>
  </si>
  <si>
    <t>2,07</t>
  </si>
  <si>
    <t>22,02</t>
  </si>
  <si>
    <t>54,78</t>
  </si>
  <si>
    <t>13,91</t>
  </si>
  <si>
    <t>9,46</t>
  </si>
  <si>
    <t>gabriela.costa24@exemplo.com</t>
  </si>
  <si>
    <t>31,59</t>
  </si>
  <si>
    <t>13,56</t>
  </si>
  <si>
    <t>7,61</t>
  </si>
  <si>
    <t>23,62</t>
  </si>
  <si>
    <t>11,68</t>
  </si>
  <si>
    <t>28,2</t>
  </si>
  <si>
    <t>12,47</t>
  </si>
  <si>
    <t>51,35</t>
  </si>
  <si>
    <t>39,91</t>
  </si>
  <si>
    <t>36,26</t>
  </si>
  <si>
    <t>14,16</t>
  </si>
  <si>
    <t>2,7</t>
  </si>
  <si>
    <t>33,85</t>
  </si>
  <si>
    <t>37,74</t>
  </si>
  <si>
    <t>34,94</t>
  </si>
  <si>
    <t>Guilherme Silva</t>
  </si>
  <si>
    <t>guilherme.silva74@exemplo.com</t>
  </si>
  <si>
    <t>39,3</t>
  </si>
  <si>
    <t>14,39</t>
  </si>
  <si>
    <t>32,5</t>
  </si>
  <si>
    <t>37,24</t>
  </si>
  <si>
    <t>16,57</t>
  </si>
  <si>
    <t>3,78</t>
  </si>
  <si>
    <t>78,34</t>
  </si>
  <si>
    <t>40,34</t>
  </si>
  <si>
    <t>29,1</t>
  </si>
  <si>
    <t>68,13</t>
  </si>
  <si>
    <t>12,82</t>
  </si>
  <si>
    <t>Eduardo Fonseca</t>
  </si>
  <si>
    <t>eduardo.fonseca58@exemplo.com</t>
  </si>
  <si>
    <t>57,47</t>
  </si>
  <si>
    <t>16,48</t>
  </si>
  <si>
    <t>68,36</t>
  </si>
  <si>
    <t>21,18</t>
  </si>
  <si>
    <t>40,4</t>
  </si>
  <si>
    <t>15,65</t>
  </si>
  <si>
    <t>29,51</t>
  </si>
  <si>
    <t>41,32</t>
  </si>
  <si>
    <t>9,52</t>
  </si>
  <si>
    <t>10,38</t>
  </si>
  <si>
    <t>33,68</t>
  </si>
  <si>
    <t>15,09</t>
  </si>
  <si>
    <t>16,81</t>
  </si>
  <si>
    <t>46,22</t>
  </si>
  <si>
    <t>53,78</t>
  </si>
  <si>
    <t>Rodrigo Melo</t>
  </si>
  <si>
    <t>rodrigo.melo22@exemplo.com</t>
  </si>
  <si>
    <t>10,29</t>
  </si>
  <si>
    <t>15,02</t>
  </si>
  <si>
    <t>1,96</t>
  </si>
  <si>
    <t>12,36</t>
  </si>
  <si>
    <t>14,63</t>
  </si>
  <si>
    <t>71,01</t>
  </si>
  <si>
    <t>15,67</t>
  </si>
  <si>
    <t>61,21</t>
  </si>
  <si>
    <t>53,14</t>
  </si>
  <si>
    <t>31,62</t>
  </si>
  <si>
    <t>rodrigo.melo72@exemplo.com</t>
  </si>
  <si>
    <t>42,85</t>
  </si>
  <si>
    <t>15,85</t>
  </si>
  <si>
    <t>61,07</t>
  </si>
  <si>
    <t>3,91</t>
  </si>
  <si>
    <t>56,59</t>
  </si>
  <si>
    <t>4,61</t>
  </si>
  <si>
    <t>13,7</t>
  </si>
  <si>
    <t>22,15</t>
  </si>
  <si>
    <t>38,65</t>
  </si>
  <si>
    <t>39,64</t>
  </si>
  <si>
    <t>27,35</t>
  </si>
  <si>
    <t>25,34</t>
  </si>
  <si>
    <t>Leonardo Almeida</t>
  </si>
  <si>
    <t>leonardo.almeida31@exemplo.com</t>
  </si>
  <si>
    <t>41,79</t>
  </si>
  <si>
    <t>31,86</t>
  </si>
  <si>
    <t>36,41</t>
  </si>
  <si>
    <t>35,01</t>
  </si>
  <si>
    <t>12,33</t>
  </si>
  <si>
    <t>29,64</t>
  </si>
  <si>
    <t>19,75</t>
  </si>
  <si>
    <t>36,04</t>
  </si>
  <si>
    <t>18,51</t>
  </si>
  <si>
    <t>17,94</t>
  </si>
  <si>
    <t>19,52</t>
  </si>
  <si>
    <t>43,74</t>
  </si>
  <si>
    <t>35,22</t>
  </si>
  <si>
    <t>giovanna.gomes34@exemplo.com</t>
  </si>
  <si>
    <t>26,86</t>
  </si>
  <si>
    <t>61,78</t>
  </si>
  <si>
    <t>1,79</t>
  </si>
  <si>
    <t>13,8</t>
  </si>
  <si>
    <t>78,91</t>
  </si>
  <si>
    <t>37,34</t>
  </si>
  <si>
    <t>14,05</t>
  </si>
  <si>
    <t>54,64</t>
  </si>
  <si>
    <t>24,82</t>
  </si>
  <si>
    <t>40,82</t>
  </si>
  <si>
    <t>55,41</t>
  </si>
  <si>
    <t>36,23</t>
  </si>
  <si>
    <t>27,16</t>
  </si>
  <si>
    <t>37,16</t>
  </si>
  <si>
    <t>Camila Lima</t>
  </si>
  <si>
    <t>camila.lima44@exemplo.com</t>
  </si>
  <si>
    <t>54,7</t>
  </si>
  <si>
    <t>47,17</t>
  </si>
  <si>
    <t>35,02</t>
  </si>
  <si>
    <t>9,68</t>
  </si>
  <si>
    <t>13,45</t>
  </si>
  <si>
    <t>14,51</t>
  </si>
  <si>
    <t>5,32</t>
  </si>
  <si>
    <t>31,28</t>
  </si>
  <si>
    <t>4,35</t>
  </si>
  <si>
    <t>11,09</t>
  </si>
  <si>
    <t>33,28</t>
  </si>
  <si>
    <t>12</t>
  </si>
  <si>
    <t>31,15</t>
  </si>
  <si>
    <t>beatriz.ribeiro50@exemplo.com</t>
  </si>
  <si>
    <t>20,18</t>
  </si>
  <si>
    <t>31,2</t>
  </si>
  <si>
    <t>60,44</t>
  </si>
  <si>
    <t>19,04</t>
  </si>
  <si>
    <t>25,43</t>
  </si>
  <si>
    <t>30,09</t>
  </si>
  <si>
    <t>10,9</t>
  </si>
  <si>
    <t>33,96</t>
  </si>
  <si>
    <t>31,99</t>
  </si>
  <si>
    <t>39,58</t>
  </si>
  <si>
    <t>16,95</t>
  </si>
  <si>
    <t>39,54</t>
  </si>
  <si>
    <t>1,94</t>
  </si>
  <si>
    <t>13,3</t>
  </si>
  <si>
    <t>21,53</t>
  </si>
  <si>
    <t>Laura Rodrigues</t>
  </si>
  <si>
    <t>laura.rodrigues54@exemplo.com</t>
  </si>
  <si>
    <t>30,19</t>
  </si>
  <si>
    <t>49,11</t>
  </si>
  <si>
    <t>8,93</t>
  </si>
  <si>
    <t>42,34</t>
  </si>
  <si>
    <t>38,48</t>
  </si>
  <si>
    <t>12,1</t>
  </si>
  <si>
    <t>7,47</t>
  </si>
  <si>
    <t>17,39</t>
  </si>
  <si>
    <t>1,41</t>
  </si>
  <si>
    <t>39,52</t>
  </si>
  <si>
    <t>26,12</t>
  </si>
  <si>
    <t>25,38</t>
  </si>
  <si>
    <t>49,05</t>
  </si>
  <si>
    <t>28,01</t>
  </si>
  <si>
    <t>54,18</t>
  </si>
  <si>
    <t>camila.souza43@exemplo.com</t>
  </si>
  <si>
    <t>27,74</t>
  </si>
  <si>
    <t>11,93</t>
  </si>
  <si>
    <t>80,04</t>
  </si>
  <si>
    <t>24,07</t>
  </si>
  <si>
    <t>3,35</t>
  </si>
  <si>
    <t>18,62</t>
  </si>
  <si>
    <t>11,16</t>
  </si>
  <si>
    <t>5</t>
  </si>
  <si>
    <t>34,78</t>
  </si>
  <si>
    <t>17,55</t>
  </si>
  <si>
    <t>17,91</t>
  </si>
  <si>
    <t>73,96</t>
  </si>
  <si>
    <t>19,28</t>
  </si>
  <si>
    <t>Pedro Lima</t>
  </si>
  <si>
    <t>pedro.lima14@exemplo.com</t>
  </si>
  <si>
    <t>15,57</t>
  </si>
  <si>
    <t>12,51</t>
  </si>
  <si>
    <t>3,64</t>
  </si>
  <si>
    <t>23,66</t>
  </si>
  <si>
    <t>29,11</t>
  </si>
  <si>
    <t>17,63</t>
  </si>
  <si>
    <t>26,88</t>
  </si>
  <si>
    <t>35,86</t>
  </si>
  <si>
    <t>34,28</t>
  </si>
  <si>
    <t>43,57</t>
  </si>
  <si>
    <t>3,4</t>
  </si>
  <si>
    <t>52,46</t>
  </si>
  <si>
    <t>34,98</t>
  </si>
  <si>
    <t>3,31</t>
  </si>
  <si>
    <t>Lucas Cardoso</t>
  </si>
  <si>
    <t>lucas.cardoso77@exemplo.com</t>
  </si>
  <si>
    <t>24,53</t>
  </si>
  <si>
    <t>43,3</t>
  </si>
  <si>
    <t>20,5</t>
  </si>
  <si>
    <t>40,93</t>
  </si>
  <si>
    <t>36,69</t>
  </si>
  <si>
    <t>20,88</t>
  </si>
  <si>
    <t>13,22</t>
  </si>
  <si>
    <t>Código Cliente</t>
  </si>
  <si>
    <t>Nome Cliente</t>
  </si>
  <si>
    <t>Email Cliente</t>
  </si>
  <si>
    <t>Operação</t>
  </si>
  <si>
    <t>Stiker</t>
  </si>
  <si>
    <t>Preco</t>
  </si>
  <si>
    <t>Data</t>
  </si>
  <si>
    <t>DIA</t>
  </si>
  <si>
    <t>MES</t>
  </si>
  <si>
    <t>ANO</t>
  </si>
  <si>
    <t>Mercado de ações</t>
  </si>
  <si>
    <t xml:space="preserve">mapa </t>
  </si>
  <si>
    <t xml:space="preserve">lucro e prejuizo </t>
  </si>
  <si>
    <t xml:space="preserve">estilo pizza </t>
  </si>
  <si>
    <t>empilado</t>
  </si>
  <si>
    <t>email/ ticker</t>
  </si>
  <si>
    <t>HAPV3, ITUB4, JBSS3, MGLU3, PETR4, SANB11</t>
  </si>
  <si>
    <t>"Buscar email/ ticker"</t>
  </si>
  <si>
    <t>Total geral</t>
  </si>
  <si>
    <t>COUNTA de Venda</t>
  </si>
  <si>
    <t>TABELA GERAL</t>
  </si>
  <si>
    <t xml:space="preserve"> Total</t>
  </si>
  <si>
    <t>Alice Machado Total</t>
  </si>
  <si>
    <t>Amanda Almeida Total</t>
  </si>
  <si>
    <t>Amanda Mendes Total</t>
  </si>
  <si>
    <t>Amanda Rocha Total</t>
  </si>
  <si>
    <t>Amanda Santos Total</t>
  </si>
  <si>
    <t>Ana Carvalho Total</t>
  </si>
  <si>
    <t>Ana Ferreira Total</t>
  </si>
  <si>
    <t>Ana Oliveira Total</t>
  </si>
  <si>
    <t>Ana Santos Total</t>
  </si>
  <si>
    <t>Beatriz Almeida Total</t>
  </si>
  <si>
    <t>Beatriz Ribeiro Total</t>
  </si>
  <si>
    <t>Beatriz Silva Total</t>
  </si>
  <si>
    <t>Bruno Melo Total</t>
  </si>
  <si>
    <t>Bruno Rodrigues Total</t>
  </si>
  <si>
    <t>Camila Lima Total</t>
  </si>
  <si>
    <t>Camila Oliveira Total</t>
  </si>
  <si>
    <t>Camila Pereira Total</t>
  </si>
  <si>
    <t>Camila Rocha Total</t>
  </si>
  <si>
    <t>Camila Souza Total</t>
  </si>
  <si>
    <t>Clara Costa Total</t>
  </si>
  <si>
    <t>Clara Pereira Total</t>
  </si>
  <si>
    <t>Eduardo Fonseca Total</t>
  </si>
  <si>
    <t>Eduardo Pereira Total</t>
  </si>
  <si>
    <t>Eduardo Silva Total</t>
  </si>
  <si>
    <t>Felipe Oliveira Total</t>
  </si>
  <si>
    <t>Felipe Ribeiro Total</t>
  </si>
  <si>
    <t>Felipe Santos Total</t>
  </si>
  <si>
    <t>Felipe Silva Total</t>
  </si>
  <si>
    <t>Gabriel Fonseca Total</t>
  </si>
  <si>
    <t>Gabriel Machado Total</t>
  </si>
  <si>
    <t>Gabriel Oliveira Total</t>
  </si>
  <si>
    <t>Gabriela Almeida Total</t>
  </si>
  <si>
    <t>Gabriela Costa Total</t>
  </si>
  <si>
    <t>Gabriela Melo Total</t>
  </si>
  <si>
    <t>Gabriela Mendes Total</t>
  </si>
  <si>
    <t>Gabriela Pereira Total</t>
  </si>
  <si>
    <t>Giovanna Carvalho Total</t>
  </si>
  <si>
    <t>Giovanna Gomes Total</t>
  </si>
  <si>
    <t>Giovanna Pereira Total</t>
  </si>
  <si>
    <t>Giovanna Rocha Total</t>
  </si>
  <si>
    <t>Guilherme Ferreira Total</t>
  </si>
  <si>
    <t>Guilherme Fonseca Total</t>
  </si>
  <si>
    <t>Guilherme Oliveira Total</t>
  </si>
  <si>
    <t>Guilherme Silva Total</t>
  </si>
  <si>
    <t>Gustavo Costa Total</t>
  </si>
  <si>
    <t>Gustavo Santos Total</t>
  </si>
  <si>
    <t>Gustavo Souza Total</t>
  </si>
  <si>
    <t>Isabella Almeida Total</t>
  </si>
  <si>
    <t>Isabella Ferreira Total</t>
  </si>
  <si>
    <t>Isabella Silva Total</t>
  </si>
  <si>
    <t>Julia Martins Total</t>
  </si>
  <si>
    <t>Julia Santos Total</t>
  </si>
  <si>
    <t>Larissa Carvalho Total</t>
  </si>
  <si>
    <t>Larissa Gomes Total</t>
  </si>
  <si>
    <t>Larissa Souza Total</t>
  </si>
  <si>
    <t>Laura Lima Total</t>
  </si>
  <si>
    <t>Laura Rodrigues Total</t>
  </si>
  <si>
    <t>Leonardo Almeida Total</t>
  </si>
  <si>
    <t>Leonardo Ferreira Total</t>
  </si>
  <si>
    <t>Leonardo Ribeiro Total</t>
  </si>
  <si>
    <t>Leonardo Souza Total</t>
  </si>
  <si>
    <t>Lucas Cardoso Total</t>
  </si>
  <si>
    <t>Lucas Costa Total</t>
  </si>
  <si>
    <t>Lucas Ribeiro Total</t>
  </si>
  <si>
    <t>Luis Lima Total</t>
  </si>
  <si>
    <t>Luis Rocha Total</t>
  </si>
  <si>
    <t>Luiza Costa Total</t>
  </si>
  <si>
    <t>Luiza Souza Total</t>
  </si>
  <si>
    <t>Marcos Costa Total</t>
  </si>
  <si>
    <t>Marcos Lima Total</t>
  </si>
  <si>
    <t>Marcos Rocha Total</t>
  </si>
  <si>
    <t>Marcos Souza Total</t>
  </si>
  <si>
    <t>Mateus Gomes Total</t>
  </si>
  <si>
    <t>Mateus Santos Total</t>
  </si>
  <si>
    <t>Mateus Silva Total</t>
  </si>
  <si>
    <t>Nome Cliente Total</t>
  </si>
  <si>
    <t>Pedro Lima Total</t>
  </si>
  <si>
    <t>Pedro Silva Total</t>
  </si>
  <si>
    <t>Rafael Cardoso Total</t>
  </si>
  <si>
    <t>Rafael Oliveira Total</t>
  </si>
  <si>
    <t>Rafael Rocha Total</t>
  </si>
  <si>
    <t>Rodrigo Cardoso Total</t>
  </si>
  <si>
    <t>Rodrigo Lima Total</t>
  </si>
  <si>
    <t>Rodrigo Melo Total</t>
  </si>
  <si>
    <t>Rodrigo Pereira Total</t>
  </si>
  <si>
    <t>Sofia Melo Total</t>
  </si>
  <si>
    <t>Sofia Mendes Total</t>
  </si>
  <si>
    <t xml:space="preserve">Compras </t>
  </si>
  <si>
    <t>Vendass</t>
  </si>
  <si>
    <t>Totais</t>
  </si>
  <si>
    <t>tipo de perfil</t>
  </si>
  <si>
    <t>Cod pessoa</t>
  </si>
  <si>
    <t xml:space="preserve">
</t>
  </si>
  <si>
    <t xml:space="preserve">SOMA DOS VALORES </t>
  </si>
  <si>
    <t xml:space="preserve">MINNIMO </t>
  </si>
  <si>
    <t>MAXIMO</t>
  </si>
  <si>
    <t>MÉDIA</t>
  </si>
  <si>
    <t>MEDIANA</t>
  </si>
  <si>
    <t>MODAL</t>
  </si>
  <si>
    <t xml:space="preserve">variação </t>
  </si>
  <si>
    <t xml:space="preserve">Desvio de padrão </t>
  </si>
  <si>
    <t>Previsão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</si>
</sst>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;(#,##0.00)"/>
    <numFmt numFmtId="165" formatCode="dd/MM/yyyy"/>
    <numFmt numFmtId="166" formatCode="[$R$ -416]#,##0.00"/>
  </numFmts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i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i/>
      <u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49" xfId="0" applyFont="1" applyNumberFormat="1"/>
    <xf borderId="0" fillId="0" fontId="3" numFmtId="0" xfId="0" applyFont="1"/>
    <xf borderId="0" fillId="0" fontId="1" numFmtId="164" xfId="0" applyFont="1" applyNumberFormat="1"/>
    <xf borderId="0" fillId="0" fontId="1" numFmtId="0" xfId="0" applyFont="1"/>
    <xf borderId="0" fillId="0" fontId="1" numFmtId="49" xfId="0" applyFont="1" applyNumberFormat="1"/>
    <xf borderId="0" fillId="0" fontId="1" numFmtId="165" xfId="0" applyFont="1" applyNumberFormat="1"/>
    <xf borderId="0" fillId="0" fontId="4" numFmtId="49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2" numFmtId="0" xfId="0" applyFont="1"/>
    <xf borderId="0" fillId="0" fontId="5" numFmtId="0" xfId="0" applyFont="1"/>
    <xf borderId="0" fillId="0" fontId="6" numFmtId="0" xfId="0" applyFont="1"/>
    <xf borderId="0" fillId="0" fontId="4" numFmtId="164" xfId="0" applyFont="1" applyNumberFormat="1"/>
    <xf borderId="0" fillId="0" fontId="4" numFmtId="49" xfId="0" applyFont="1" applyNumberForma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4" numFmtId="166" xfId="0" applyAlignment="1" applyFont="1" applyNumberFormat="1">
      <alignment horizontal="center"/>
    </xf>
    <xf borderId="0" fillId="0" fontId="4" numFmtId="166" xfId="0" applyAlignment="1" applyFont="1" applyNumberFormat="1">
      <alignment horizontal="center" readingOrder="0"/>
    </xf>
    <xf borderId="0" fillId="0" fontId="4" numFmtId="166" xfId="0" applyAlignment="1" applyFont="1" applyNumberFormat="1">
      <alignment readingOrder="0"/>
    </xf>
    <xf borderId="0" fillId="0" fontId="5" numFmtId="49" xfId="0" applyFont="1" applyNumberFormat="1"/>
    <xf borderId="0" fillId="0" fontId="4" numFmtId="0" xfId="0" applyFont="1"/>
    <xf borderId="0" fillId="0" fontId="4" numFmtId="166" xfId="0" applyFont="1" applyNumberFormat="1"/>
    <xf borderId="0" fillId="0" fontId="5" numFmtId="166" xfId="0" applyFont="1" applyNumberFormat="1"/>
    <xf borderId="0" fillId="0" fontId="4" numFmtId="165" xfId="0" applyFont="1" applyNumberForma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1" numFmtId="166" xfId="0" applyFont="1" applyNumberFormat="1"/>
    <xf borderId="0" fillId="0" fontId="4" numFmtId="165" xfId="0" applyAlignment="1" applyFont="1" applyNumberFormat="1">
      <alignment readingOrder="0"/>
    </xf>
    <xf borderId="0" fillId="0" fontId="4" numFmtId="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TendenciaAtemporal!$H$1:$H$2061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3390432"/>
        <c:axId val="238735117"/>
      </c:scatterChart>
      <c:valAx>
        <c:axId val="14433904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-1800000"/>
          <a:lstStyle/>
          <a:p>
            <a:pPr lvl="0">
              <a:defRPr b="1" sz="1000">
                <a:solidFill>
                  <a:srgbClr val="000000"/>
                </a:solidFill>
                <a:latin typeface="Arial black"/>
              </a:defRPr>
            </a:pPr>
          </a:p>
        </c:txPr>
        <c:crossAx val="238735117"/>
      </c:valAx>
      <c:valAx>
        <c:axId val="2387351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4433904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'estatística'!$B$2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'estatística'!$C$1:$M$1</c:f>
            </c:strRef>
          </c:cat>
          <c:val>
            <c:numRef>
              <c:f>'estatística'!$C$2:$M$2</c:f>
              <c:numCache/>
            </c:numRef>
          </c:val>
        </c:ser>
        <c:ser>
          <c:idx val="1"/>
          <c:order val="1"/>
          <c:tx>
            <c:strRef>
              <c:f>'estatística'!$B$3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'estatística'!$C$1:$M$1</c:f>
            </c:strRef>
          </c:cat>
          <c:val>
            <c:numRef>
              <c:f>'estatística'!$C$3:$M$3</c:f>
              <c:numCache/>
            </c:numRef>
          </c:val>
        </c:ser>
        <c:ser>
          <c:idx val="2"/>
          <c:order val="2"/>
          <c:tx>
            <c:strRef>
              <c:f>'estatística'!$B$4</c:f>
            </c:strRef>
          </c:tx>
          <c:cat>
            <c:strRef>
              <c:f>'estatística'!$C$1:$M$1</c:f>
            </c:strRef>
          </c:cat>
          <c:val>
            <c:numRef>
              <c:f>'estatística'!$C$4:$M$4</c:f>
              <c:numCache/>
            </c:numRef>
          </c:val>
        </c:ser>
        <c:ser>
          <c:idx val="3"/>
          <c:order val="3"/>
          <c:tx>
            <c:strRef>
              <c:f>'estatística'!$B$5</c:f>
            </c:strRef>
          </c:tx>
          <c:cat>
            <c:strRef>
              <c:f>'estatística'!$C$1:$M$1</c:f>
            </c:strRef>
          </c:cat>
          <c:val>
            <c:numRef>
              <c:f>'estatística'!$C$5:$M$5</c:f>
              <c:numCache/>
            </c:numRef>
          </c:val>
        </c:ser>
        <c:ser>
          <c:idx val="4"/>
          <c:order val="4"/>
          <c:tx>
            <c:strRef>
              <c:f>'estatística'!$B$6</c:f>
            </c:strRef>
          </c:tx>
          <c:cat>
            <c:strRef>
              <c:f>'estatística'!$C$1:$M$1</c:f>
            </c:strRef>
          </c:cat>
          <c:val>
            <c:numRef>
              <c:f>'estatística'!$C$6:$M$6</c:f>
              <c:numCache/>
            </c:numRef>
          </c:val>
        </c:ser>
        <c:ser>
          <c:idx val="5"/>
          <c:order val="5"/>
          <c:tx>
            <c:strRef>
              <c:f>'estatística'!$B$7</c:f>
            </c:strRef>
          </c:tx>
          <c:cat>
            <c:strRef>
              <c:f>'estatística'!$C$1:$M$1</c:f>
            </c:strRef>
          </c:cat>
          <c:val>
            <c:numRef>
              <c:f>'estatística'!$C$7:$M$7</c:f>
              <c:numCache/>
            </c:numRef>
          </c:val>
        </c:ser>
        <c:ser>
          <c:idx val="6"/>
          <c:order val="6"/>
          <c:tx>
            <c:strRef>
              <c:f>'estatística'!$B$8</c:f>
            </c:strRef>
          </c:tx>
          <c:cat>
            <c:strRef>
              <c:f>'estatística'!$C$1:$M$1</c:f>
            </c:strRef>
          </c:cat>
          <c:val>
            <c:numRef>
              <c:f>'estatística'!$C$8:$M$8</c:f>
              <c:numCache/>
            </c:numRef>
          </c:val>
        </c:ser>
        <c:ser>
          <c:idx val="7"/>
          <c:order val="7"/>
          <c:tx>
            <c:strRef>
              <c:f>'estatística'!$B$9</c:f>
            </c:strRef>
          </c:tx>
          <c:cat>
            <c:strRef>
              <c:f>'estatística'!$C$1:$M$1</c:f>
            </c:strRef>
          </c:cat>
          <c:val>
            <c:numRef>
              <c:f>'estatística'!$C$9:$M$9</c:f>
              <c:numCache/>
            </c:numRef>
          </c:val>
        </c:ser>
        <c:ser>
          <c:idx val="8"/>
          <c:order val="8"/>
          <c:tx>
            <c:strRef>
              <c:f>'estatística'!$B$10</c:f>
            </c:strRef>
          </c:tx>
          <c:cat>
            <c:strRef>
              <c:f>'estatística'!$C$1:$M$1</c:f>
            </c:strRef>
          </c:cat>
          <c:val>
            <c:numRef>
              <c:f>'estatística'!$C$10:$M$10</c:f>
              <c:numCache/>
            </c:numRef>
          </c:val>
        </c:ser>
        <c:ser>
          <c:idx val="9"/>
          <c:order val="9"/>
          <c:tx>
            <c:strRef>
              <c:f>'estatística'!$B$11</c:f>
            </c:strRef>
          </c:tx>
          <c:cat>
            <c:strRef>
              <c:f>'estatística'!$C$1:$M$1</c:f>
            </c:strRef>
          </c:cat>
          <c:val>
            <c:numRef>
              <c:f>'estatística'!$C$11:$M$11</c:f>
              <c:numCache/>
            </c:numRef>
          </c:val>
        </c:ser>
        <c:ser>
          <c:idx val="10"/>
          <c:order val="10"/>
          <c:tx>
            <c:strRef>
              <c:f>'estatística'!$B$12</c:f>
            </c:strRef>
          </c:tx>
          <c:cat>
            <c:strRef>
              <c:f>'estatística'!$C$1:$M$1</c:f>
            </c:strRef>
          </c:cat>
          <c:val>
            <c:numRef>
              <c:f>'estatística'!$C$12:$M$12</c:f>
              <c:numCache/>
            </c:numRef>
          </c:val>
        </c:ser>
        <c:ser>
          <c:idx val="11"/>
          <c:order val="11"/>
          <c:tx>
            <c:strRef>
              <c:f>'estatística'!$B$13</c:f>
            </c:strRef>
          </c:tx>
          <c:cat>
            <c:strRef>
              <c:f>'estatística'!$C$1:$M$1</c:f>
            </c:strRef>
          </c:cat>
          <c:val>
            <c:numRef>
              <c:f>'estatística'!$C$13:$M$13</c:f>
              <c:numCache/>
            </c:numRef>
          </c:val>
        </c:ser>
        <c:ser>
          <c:idx val="12"/>
          <c:order val="12"/>
          <c:tx>
            <c:strRef>
              <c:f>'estatística'!$B$14</c:f>
            </c:strRef>
          </c:tx>
          <c:cat>
            <c:strRef>
              <c:f>'estatística'!$C$1:$M$1</c:f>
            </c:strRef>
          </c:cat>
          <c:val>
            <c:numRef>
              <c:f>'estatística'!$C$14:$M$14</c:f>
              <c:numCache/>
            </c:numRef>
          </c:val>
        </c:ser>
        <c:ser>
          <c:idx val="13"/>
          <c:order val="13"/>
          <c:tx>
            <c:strRef>
              <c:f>'estatística'!$B$15</c:f>
            </c:strRef>
          </c:tx>
          <c:cat>
            <c:strRef>
              <c:f>'estatística'!$C$1:$M$1</c:f>
            </c:strRef>
          </c:cat>
          <c:val>
            <c:numRef>
              <c:f>'estatística'!$C$15:$M$15</c:f>
              <c:numCache/>
            </c:numRef>
          </c:val>
        </c:ser>
        <c:ser>
          <c:idx val="14"/>
          <c:order val="14"/>
          <c:tx>
            <c:strRef>
              <c:f>'estatística'!$B$16</c:f>
            </c:strRef>
          </c:tx>
          <c:cat>
            <c:strRef>
              <c:f>'estatística'!$C$1:$M$1</c:f>
            </c:strRef>
          </c:cat>
          <c:val>
            <c:numRef>
              <c:f>'estatística'!$C$16:$M$16</c:f>
              <c:numCache/>
            </c:numRef>
          </c:val>
        </c:ser>
        <c:ser>
          <c:idx val="15"/>
          <c:order val="15"/>
          <c:tx>
            <c:strRef>
              <c:f>'estatística'!$B$17</c:f>
            </c:strRef>
          </c:tx>
          <c:cat>
            <c:strRef>
              <c:f>'estatística'!$C$1:$M$1</c:f>
            </c:strRef>
          </c:cat>
          <c:val>
            <c:numRef>
              <c:f>'estatística'!$C$17:$M$17</c:f>
              <c:numCache/>
            </c:numRef>
          </c:val>
        </c:ser>
        <c:ser>
          <c:idx val="16"/>
          <c:order val="16"/>
          <c:tx>
            <c:strRef>
              <c:f>'estatística'!$B$18</c:f>
            </c:strRef>
          </c:tx>
          <c:cat>
            <c:strRef>
              <c:f>'estatística'!$C$1:$M$1</c:f>
            </c:strRef>
          </c:cat>
          <c:val>
            <c:numRef>
              <c:f>'estatística'!$C$18:$M$18</c:f>
              <c:numCache/>
            </c:numRef>
          </c:val>
        </c:ser>
        <c:ser>
          <c:idx val="17"/>
          <c:order val="17"/>
          <c:tx>
            <c:strRef>
              <c:f>'estatística'!$B$19</c:f>
            </c:strRef>
          </c:tx>
          <c:cat>
            <c:strRef>
              <c:f>'estatística'!$C$1:$M$1</c:f>
            </c:strRef>
          </c:cat>
          <c:val>
            <c:numRef>
              <c:f>'estatística'!$C$19:$M$19</c:f>
              <c:numCache/>
            </c:numRef>
          </c:val>
        </c:ser>
        <c:ser>
          <c:idx val="18"/>
          <c:order val="18"/>
          <c:tx>
            <c:strRef>
              <c:f>'estatística'!$B$20</c:f>
            </c:strRef>
          </c:tx>
          <c:cat>
            <c:strRef>
              <c:f>'estatística'!$C$1:$M$1</c:f>
            </c:strRef>
          </c:cat>
          <c:val>
            <c:numRef>
              <c:f>'estatística'!$C$20:$M$20</c:f>
              <c:numCache/>
            </c:numRef>
          </c:val>
        </c:ser>
        <c:ser>
          <c:idx val="19"/>
          <c:order val="19"/>
          <c:tx>
            <c:strRef>
              <c:f>'estatística'!$B$21</c:f>
            </c:strRef>
          </c:tx>
          <c:cat>
            <c:strRef>
              <c:f>'estatística'!$C$1:$M$1</c:f>
            </c:strRef>
          </c:cat>
          <c:val>
            <c:numRef>
              <c:f>'estatística'!$C$21:$M$21</c:f>
              <c:numCache/>
            </c:numRef>
          </c:val>
        </c:ser>
        <c:ser>
          <c:idx val="20"/>
          <c:order val="20"/>
          <c:tx>
            <c:strRef>
              <c:f>'estatística'!$B$22</c:f>
            </c:strRef>
          </c:tx>
          <c:cat>
            <c:strRef>
              <c:f>'estatística'!$C$1:$M$1</c:f>
            </c:strRef>
          </c:cat>
          <c:val>
            <c:numRef>
              <c:f>'estatística'!$C$22:$M$22</c:f>
              <c:numCache/>
            </c:numRef>
          </c:val>
        </c:ser>
        <c:ser>
          <c:idx val="21"/>
          <c:order val="21"/>
          <c:tx>
            <c:strRef>
              <c:f>'estatística'!$B$23</c:f>
            </c:strRef>
          </c:tx>
          <c:cat>
            <c:strRef>
              <c:f>'estatística'!$C$1:$M$1</c:f>
            </c:strRef>
          </c:cat>
          <c:val>
            <c:numRef>
              <c:f>'estatística'!$C$23:$M$23</c:f>
              <c:numCache/>
            </c:numRef>
          </c:val>
        </c:ser>
        <c:ser>
          <c:idx val="22"/>
          <c:order val="22"/>
          <c:tx>
            <c:strRef>
              <c:f>'estatística'!$B$24</c:f>
            </c:strRef>
          </c:tx>
          <c:cat>
            <c:strRef>
              <c:f>'estatística'!$C$1:$M$1</c:f>
            </c:strRef>
          </c:cat>
          <c:val>
            <c:numRef>
              <c:f>'estatística'!$C$24:$M$24</c:f>
              <c:numCache/>
            </c:numRef>
          </c:val>
        </c:ser>
        <c:ser>
          <c:idx val="23"/>
          <c:order val="23"/>
          <c:tx>
            <c:strRef>
              <c:f>'estatística'!$B$25</c:f>
            </c:strRef>
          </c:tx>
          <c:cat>
            <c:strRef>
              <c:f>'estatística'!$C$1:$M$1</c:f>
            </c:strRef>
          </c:cat>
          <c:val>
            <c:numRef>
              <c:f>'estatística'!$C$25:$M$25</c:f>
              <c:numCache/>
            </c:numRef>
          </c:val>
        </c:ser>
        <c:ser>
          <c:idx val="24"/>
          <c:order val="24"/>
          <c:tx>
            <c:strRef>
              <c:f>'estatística'!$B$26</c:f>
            </c:strRef>
          </c:tx>
          <c:cat>
            <c:strRef>
              <c:f>'estatística'!$C$1:$M$1</c:f>
            </c:strRef>
          </c:cat>
          <c:val>
            <c:numRef>
              <c:f>'estatística'!$C$26:$M$26</c:f>
              <c:numCache/>
            </c:numRef>
          </c:val>
        </c:ser>
        <c:ser>
          <c:idx val="25"/>
          <c:order val="25"/>
          <c:tx>
            <c:strRef>
              <c:f>'estatística'!$B$27</c:f>
            </c:strRef>
          </c:tx>
          <c:cat>
            <c:strRef>
              <c:f>'estatística'!$C$1:$M$1</c:f>
            </c:strRef>
          </c:cat>
          <c:val>
            <c:numRef>
              <c:f>'estatística'!$C$27:$M$27</c:f>
              <c:numCache/>
            </c:numRef>
          </c:val>
        </c:ser>
        <c:ser>
          <c:idx val="26"/>
          <c:order val="26"/>
          <c:tx>
            <c:strRef>
              <c:f>'estatística'!$B$28</c:f>
            </c:strRef>
          </c:tx>
          <c:cat>
            <c:strRef>
              <c:f>'estatística'!$C$1:$M$1</c:f>
            </c:strRef>
          </c:cat>
          <c:val>
            <c:numRef>
              <c:f>'estatística'!$C$28:$M$28</c:f>
              <c:numCache/>
            </c:numRef>
          </c:val>
        </c:ser>
        <c:ser>
          <c:idx val="27"/>
          <c:order val="27"/>
          <c:tx>
            <c:strRef>
              <c:f>'estatística'!$B$29</c:f>
            </c:strRef>
          </c:tx>
          <c:cat>
            <c:strRef>
              <c:f>'estatística'!$C$1:$M$1</c:f>
            </c:strRef>
          </c:cat>
          <c:val>
            <c:numRef>
              <c:f>'estatística'!$C$29:$M$29</c:f>
              <c:numCache/>
            </c:numRef>
          </c:val>
        </c:ser>
        <c:ser>
          <c:idx val="28"/>
          <c:order val="28"/>
          <c:tx>
            <c:strRef>
              <c:f>'estatística'!$B$30</c:f>
            </c:strRef>
          </c:tx>
          <c:cat>
            <c:strRef>
              <c:f>'estatística'!$C$1:$M$1</c:f>
            </c:strRef>
          </c:cat>
          <c:val>
            <c:numRef>
              <c:f>'estatística'!$C$30:$M$30</c:f>
              <c:numCache/>
            </c:numRef>
          </c:val>
        </c:ser>
        <c:ser>
          <c:idx val="29"/>
          <c:order val="29"/>
          <c:tx>
            <c:strRef>
              <c:f>'estatística'!$B$31</c:f>
            </c:strRef>
          </c:tx>
          <c:cat>
            <c:strRef>
              <c:f>'estatística'!$C$1:$M$1</c:f>
            </c:strRef>
          </c:cat>
          <c:val>
            <c:numRef>
              <c:f>'estatística'!$C$31:$M$31</c:f>
              <c:numCache/>
            </c:numRef>
          </c:val>
        </c:ser>
        <c:ser>
          <c:idx val="30"/>
          <c:order val="30"/>
          <c:tx>
            <c:strRef>
              <c:f>'estatística'!$B$32</c:f>
            </c:strRef>
          </c:tx>
          <c:cat>
            <c:strRef>
              <c:f>'estatística'!$C$1:$M$1</c:f>
            </c:strRef>
          </c:cat>
          <c:val>
            <c:numRef>
              <c:f>'estatística'!$C$32:$M$32</c:f>
              <c:numCache/>
            </c:numRef>
          </c:val>
        </c:ser>
        <c:ser>
          <c:idx val="31"/>
          <c:order val="31"/>
          <c:tx>
            <c:strRef>
              <c:f>'estatística'!$B$33</c:f>
            </c:strRef>
          </c:tx>
          <c:cat>
            <c:strRef>
              <c:f>'estatística'!$C$1:$M$1</c:f>
            </c:strRef>
          </c:cat>
          <c:val>
            <c:numRef>
              <c:f>'estatística'!$C$33:$M$33</c:f>
              <c:numCache/>
            </c:numRef>
          </c:val>
        </c:ser>
        <c:ser>
          <c:idx val="32"/>
          <c:order val="32"/>
          <c:tx>
            <c:strRef>
              <c:f>'estatística'!$B$34</c:f>
            </c:strRef>
          </c:tx>
          <c:cat>
            <c:strRef>
              <c:f>'estatística'!$C$1:$M$1</c:f>
            </c:strRef>
          </c:cat>
          <c:val>
            <c:numRef>
              <c:f>'estatística'!$C$34:$M$34</c:f>
              <c:numCache/>
            </c:numRef>
          </c:val>
        </c:ser>
        <c:ser>
          <c:idx val="33"/>
          <c:order val="33"/>
          <c:tx>
            <c:strRef>
              <c:f>'estatística'!$B$35</c:f>
            </c:strRef>
          </c:tx>
          <c:cat>
            <c:strRef>
              <c:f>'estatística'!$C$1:$M$1</c:f>
            </c:strRef>
          </c:cat>
          <c:val>
            <c:numRef>
              <c:f>'estatística'!$C$35:$M$35</c:f>
              <c:numCache/>
            </c:numRef>
          </c:val>
        </c:ser>
        <c:ser>
          <c:idx val="34"/>
          <c:order val="34"/>
          <c:tx>
            <c:strRef>
              <c:f>'estatística'!$B$36</c:f>
            </c:strRef>
          </c:tx>
          <c:cat>
            <c:strRef>
              <c:f>'estatística'!$C$1:$M$1</c:f>
            </c:strRef>
          </c:cat>
          <c:val>
            <c:numRef>
              <c:f>'estatística'!$C$36:$M$36</c:f>
              <c:numCache/>
            </c:numRef>
          </c:val>
        </c:ser>
        <c:ser>
          <c:idx val="35"/>
          <c:order val="35"/>
          <c:tx>
            <c:strRef>
              <c:f>'estatística'!$B$37</c:f>
            </c:strRef>
          </c:tx>
          <c:cat>
            <c:strRef>
              <c:f>'estatística'!$C$1:$M$1</c:f>
            </c:strRef>
          </c:cat>
          <c:val>
            <c:numRef>
              <c:f>'estatística'!$C$37:$M$37</c:f>
              <c:numCache/>
            </c:numRef>
          </c:val>
        </c:ser>
        <c:ser>
          <c:idx val="36"/>
          <c:order val="36"/>
          <c:tx>
            <c:strRef>
              <c:f>'estatística'!$B$38</c:f>
            </c:strRef>
          </c:tx>
          <c:cat>
            <c:strRef>
              <c:f>'estatística'!$C$1:$M$1</c:f>
            </c:strRef>
          </c:cat>
          <c:val>
            <c:numRef>
              <c:f>'estatística'!$C$38:$M$38</c:f>
              <c:numCache/>
            </c:numRef>
          </c:val>
        </c:ser>
        <c:ser>
          <c:idx val="37"/>
          <c:order val="37"/>
          <c:tx>
            <c:strRef>
              <c:f>'estatística'!$B$39</c:f>
            </c:strRef>
          </c:tx>
          <c:cat>
            <c:strRef>
              <c:f>'estatística'!$C$1:$M$1</c:f>
            </c:strRef>
          </c:cat>
          <c:val>
            <c:numRef>
              <c:f>'estatística'!$C$39:$M$39</c:f>
              <c:numCache/>
            </c:numRef>
          </c:val>
        </c:ser>
        <c:ser>
          <c:idx val="38"/>
          <c:order val="38"/>
          <c:tx>
            <c:strRef>
              <c:f>'estatística'!$B$40</c:f>
            </c:strRef>
          </c:tx>
          <c:cat>
            <c:strRef>
              <c:f>'estatística'!$C$1:$M$1</c:f>
            </c:strRef>
          </c:cat>
          <c:val>
            <c:numRef>
              <c:f>'estatística'!$C$40:$M$40</c:f>
              <c:numCache/>
            </c:numRef>
          </c:val>
        </c:ser>
        <c:ser>
          <c:idx val="39"/>
          <c:order val="39"/>
          <c:tx>
            <c:strRef>
              <c:f>'estatística'!$B$41</c:f>
            </c:strRef>
          </c:tx>
          <c:cat>
            <c:strRef>
              <c:f>'estatística'!$C$1:$M$1</c:f>
            </c:strRef>
          </c:cat>
          <c:val>
            <c:numRef>
              <c:f>'estatística'!$C$41:$M$41</c:f>
              <c:numCache/>
            </c:numRef>
          </c:val>
        </c:ser>
        <c:ser>
          <c:idx val="40"/>
          <c:order val="40"/>
          <c:tx>
            <c:strRef>
              <c:f>'estatística'!$B$42</c:f>
            </c:strRef>
          </c:tx>
          <c:cat>
            <c:strRef>
              <c:f>'estatística'!$C$1:$M$1</c:f>
            </c:strRef>
          </c:cat>
          <c:val>
            <c:numRef>
              <c:f>'estatística'!$C$42:$M$42</c:f>
              <c:numCache/>
            </c:numRef>
          </c:val>
        </c:ser>
        <c:ser>
          <c:idx val="41"/>
          <c:order val="41"/>
          <c:tx>
            <c:strRef>
              <c:f>'estatística'!$B$43</c:f>
            </c:strRef>
          </c:tx>
          <c:cat>
            <c:strRef>
              <c:f>'estatística'!$C$1:$M$1</c:f>
            </c:strRef>
          </c:cat>
          <c:val>
            <c:numRef>
              <c:f>'estatística'!$C$43:$M$43</c:f>
              <c:numCache/>
            </c:numRef>
          </c:val>
        </c:ser>
        <c:ser>
          <c:idx val="42"/>
          <c:order val="42"/>
          <c:tx>
            <c:strRef>
              <c:f>'estatística'!$B$44</c:f>
            </c:strRef>
          </c:tx>
          <c:cat>
            <c:strRef>
              <c:f>'estatística'!$C$1:$M$1</c:f>
            </c:strRef>
          </c:cat>
          <c:val>
            <c:numRef>
              <c:f>'estatística'!$C$44:$M$44</c:f>
              <c:numCache/>
            </c:numRef>
          </c:val>
        </c:ser>
        <c:ser>
          <c:idx val="43"/>
          <c:order val="43"/>
          <c:tx>
            <c:strRef>
              <c:f>'estatística'!$B$45</c:f>
            </c:strRef>
          </c:tx>
          <c:cat>
            <c:strRef>
              <c:f>'estatística'!$C$1:$M$1</c:f>
            </c:strRef>
          </c:cat>
          <c:val>
            <c:numRef>
              <c:f>'estatística'!$C$45:$M$45</c:f>
              <c:numCache/>
            </c:numRef>
          </c:val>
        </c:ser>
        <c:ser>
          <c:idx val="44"/>
          <c:order val="44"/>
          <c:tx>
            <c:strRef>
              <c:f>'estatística'!$B$46</c:f>
            </c:strRef>
          </c:tx>
          <c:cat>
            <c:strRef>
              <c:f>'estatística'!$C$1:$M$1</c:f>
            </c:strRef>
          </c:cat>
          <c:val>
            <c:numRef>
              <c:f>'estatística'!$C$46:$M$46</c:f>
              <c:numCache/>
            </c:numRef>
          </c:val>
        </c:ser>
        <c:ser>
          <c:idx val="45"/>
          <c:order val="45"/>
          <c:tx>
            <c:strRef>
              <c:f>'estatística'!$B$47</c:f>
            </c:strRef>
          </c:tx>
          <c:cat>
            <c:strRef>
              <c:f>'estatística'!$C$1:$M$1</c:f>
            </c:strRef>
          </c:cat>
          <c:val>
            <c:numRef>
              <c:f>'estatística'!$C$47:$M$47</c:f>
              <c:numCache/>
            </c:numRef>
          </c:val>
        </c:ser>
        <c:ser>
          <c:idx val="46"/>
          <c:order val="46"/>
          <c:tx>
            <c:strRef>
              <c:f>'estatística'!$B$48</c:f>
            </c:strRef>
          </c:tx>
          <c:cat>
            <c:strRef>
              <c:f>'estatística'!$C$1:$M$1</c:f>
            </c:strRef>
          </c:cat>
          <c:val>
            <c:numRef>
              <c:f>'estatística'!$C$48:$M$48</c:f>
              <c:numCache/>
            </c:numRef>
          </c:val>
        </c:ser>
        <c:ser>
          <c:idx val="47"/>
          <c:order val="47"/>
          <c:tx>
            <c:strRef>
              <c:f>'estatística'!$B$49</c:f>
            </c:strRef>
          </c:tx>
          <c:cat>
            <c:strRef>
              <c:f>'estatística'!$C$1:$M$1</c:f>
            </c:strRef>
          </c:cat>
          <c:val>
            <c:numRef>
              <c:f>'estatística'!$C$49:$M$49</c:f>
              <c:numCache/>
            </c:numRef>
          </c:val>
        </c:ser>
        <c:ser>
          <c:idx val="48"/>
          <c:order val="48"/>
          <c:tx>
            <c:strRef>
              <c:f>'estatística'!$B$50</c:f>
            </c:strRef>
          </c:tx>
          <c:cat>
            <c:strRef>
              <c:f>'estatística'!$C$1:$M$1</c:f>
            </c:strRef>
          </c:cat>
          <c:val>
            <c:numRef>
              <c:f>'estatística'!$C$50:$M$50</c:f>
              <c:numCache/>
            </c:numRef>
          </c:val>
        </c:ser>
        <c:ser>
          <c:idx val="49"/>
          <c:order val="49"/>
          <c:tx>
            <c:strRef>
              <c:f>'estatística'!$B$51</c:f>
            </c:strRef>
          </c:tx>
          <c:cat>
            <c:strRef>
              <c:f>'estatística'!$C$1:$M$1</c:f>
            </c:strRef>
          </c:cat>
          <c:val>
            <c:numRef>
              <c:f>'estatística'!$C$51:$M$51</c:f>
              <c:numCache/>
            </c:numRef>
          </c:val>
        </c:ser>
        <c:ser>
          <c:idx val="50"/>
          <c:order val="50"/>
          <c:tx>
            <c:strRef>
              <c:f>'estatística'!$B$52</c:f>
            </c:strRef>
          </c:tx>
          <c:cat>
            <c:strRef>
              <c:f>'estatística'!$C$1:$M$1</c:f>
            </c:strRef>
          </c:cat>
          <c:val>
            <c:numRef>
              <c:f>'estatística'!$C$52:$M$52</c:f>
              <c:numCache/>
            </c:numRef>
          </c:val>
        </c:ser>
        <c:ser>
          <c:idx val="51"/>
          <c:order val="51"/>
          <c:tx>
            <c:strRef>
              <c:f>'estatística'!$B$53</c:f>
            </c:strRef>
          </c:tx>
          <c:cat>
            <c:strRef>
              <c:f>'estatística'!$C$1:$M$1</c:f>
            </c:strRef>
          </c:cat>
          <c:val>
            <c:numRef>
              <c:f>'estatística'!$C$53:$M$53</c:f>
              <c:numCache/>
            </c:numRef>
          </c:val>
        </c:ser>
        <c:ser>
          <c:idx val="52"/>
          <c:order val="52"/>
          <c:tx>
            <c:strRef>
              <c:f>'estatística'!$B$54</c:f>
            </c:strRef>
          </c:tx>
          <c:cat>
            <c:strRef>
              <c:f>'estatística'!$C$1:$M$1</c:f>
            </c:strRef>
          </c:cat>
          <c:val>
            <c:numRef>
              <c:f>'estatística'!$C$54:$M$54</c:f>
              <c:numCache/>
            </c:numRef>
          </c:val>
        </c:ser>
        <c:ser>
          <c:idx val="53"/>
          <c:order val="53"/>
          <c:tx>
            <c:strRef>
              <c:f>'estatística'!$B$55</c:f>
            </c:strRef>
          </c:tx>
          <c:cat>
            <c:strRef>
              <c:f>'estatística'!$C$1:$M$1</c:f>
            </c:strRef>
          </c:cat>
          <c:val>
            <c:numRef>
              <c:f>'estatística'!$C$55:$M$55</c:f>
              <c:numCache/>
            </c:numRef>
          </c:val>
        </c:ser>
        <c:ser>
          <c:idx val="54"/>
          <c:order val="54"/>
          <c:tx>
            <c:strRef>
              <c:f>'estatística'!$B$56</c:f>
            </c:strRef>
          </c:tx>
          <c:cat>
            <c:strRef>
              <c:f>'estatística'!$C$1:$M$1</c:f>
            </c:strRef>
          </c:cat>
          <c:val>
            <c:numRef>
              <c:f>'estatística'!$C$56:$M$56</c:f>
              <c:numCache/>
            </c:numRef>
          </c:val>
        </c:ser>
        <c:ser>
          <c:idx val="55"/>
          <c:order val="55"/>
          <c:tx>
            <c:strRef>
              <c:f>'estatística'!$B$57</c:f>
            </c:strRef>
          </c:tx>
          <c:cat>
            <c:strRef>
              <c:f>'estatística'!$C$1:$M$1</c:f>
            </c:strRef>
          </c:cat>
          <c:val>
            <c:numRef>
              <c:f>'estatística'!$C$57:$M$57</c:f>
              <c:numCache/>
            </c:numRef>
          </c:val>
        </c:ser>
        <c:ser>
          <c:idx val="56"/>
          <c:order val="56"/>
          <c:tx>
            <c:strRef>
              <c:f>'estatística'!$B$58</c:f>
            </c:strRef>
          </c:tx>
          <c:cat>
            <c:strRef>
              <c:f>'estatística'!$C$1:$M$1</c:f>
            </c:strRef>
          </c:cat>
          <c:val>
            <c:numRef>
              <c:f>'estatística'!$C$58:$M$58</c:f>
              <c:numCache/>
            </c:numRef>
          </c:val>
        </c:ser>
        <c:ser>
          <c:idx val="57"/>
          <c:order val="57"/>
          <c:tx>
            <c:strRef>
              <c:f>'estatística'!$B$59</c:f>
            </c:strRef>
          </c:tx>
          <c:cat>
            <c:strRef>
              <c:f>'estatística'!$C$1:$M$1</c:f>
            </c:strRef>
          </c:cat>
          <c:val>
            <c:numRef>
              <c:f>'estatística'!$C$59:$M$59</c:f>
              <c:numCache/>
            </c:numRef>
          </c:val>
        </c:ser>
        <c:ser>
          <c:idx val="58"/>
          <c:order val="58"/>
          <c:tx>
            <c:strRef>
              <c:f>'estatística'!$B$60</c:f>
            </c:strRef>
          </c:tx>
          <c:cat>
            <c:strRef>
              <c:f>'estatística'!$C$1:$M$1</c:f>
            </c:strRef>
          </c:cat>
          <c:val>
            <c:numRef>
              <c:f>'estatística'!$C$60:$M$60</c:f>
              <c:numCache/>
            </c:numRef>
          </c:val>
        </c:ser>
        <c:ser>
          <c:idx val="59"/>
          <c:order val="59"/>
          <c:tx>
            <c:strRef>
              <c:f>'estatística'!$B$61</c:f>
            </c:strRef>
          </c:tx>
          <c:cat>
            <c:strRef>
              <c:f>'estatística'!$C$1:$M$1</c:f>
            </c:strRef>
          </c:cat>
          <c:val>
            <c:numRef>
              <c:f>'estatística'!$C$61:$M$61</c:f>
              <c:numCache/>
            </c:numRef>
          </c:val>
        </c:ser>
        <c:ser>
          <c:idx val="60"/>
          <c:order val="60"/>
          <c:tx>
            <c:strRef>
              <c:f>'estatística'!$B$62</c:f>
            </c:strRef>
          </c:tx>
          <c:cat>
            <c:strRef>
              <c:f>'estatística'!$C$1:$M$1</c:f>
            </c:strRef>
          </c:cat>
          <c:val>
            <c:numRef>
              <c:f>'estatística'!$C$62:$M$62</c:f>
              <c:numCache/>
            </c:numRef>
          </c:val>
        </c:ser>
        <c:ser>
          <c:idx val="61"/>
          <c:order val="61"/>
          <c:tx>
            <c:strRef>
              <c:f>'estatística'!$B$63</c:f>
            </c:strRef>
          </c:tx>
          <c:cat>
            <c:strRef>
              <c:f>'estatística'!$C$1:$M$1</c:f>
            </c:strRef>
          </c:cat>
          <c:val>
            <c:numRef>
              <c:f>'estatística'!$C$63:$M$63</c:f>
              <c:numCache/>
            </c:numRef>
          </c:val>
        </c:ser>
        <c:ser>
          <c:idx val="62"/>
          <c:order val="62"/>
          <c:tx>
            <c:strRef>
              <c:f>'estatística'!$B$64</c:f>
            </c:strRef>
          </c:tx>
          <c:cat>
            <c:strRef>
              <c:f>'estatística'!$C$1:$M$1</c:f>
            </c:strRef>
          </c:cat>
          <c:val>
            <c:numRef>
              <c:f>'estatística'!$C$64:$M$64</c:f>
              <c:numCache/>
            </c:numRef>
          </c:val>
        </c:ser>
        <c:ser>
          <c:idx val="63"/>
          <c:order val="63"/>
          <c:tx>
            <c:strRef>
              <c:f>'estatística'!$B$65</c:f>
            </c:strRef>
          </c:tx>
          <c:cat>
            <c:strRef>
              <c:f>'estatística'!$C$1:$M$1</c:f>
            </c:strRef>
          </c:cat>
          <c:val>
            <c:numRef>
              <c:f>'estatística'!$C$65:$M$65</c:f>
              <c:numCache/>
            </c:numRef>
          </c:val>
        </c:ser>
        <c:ser>
          <c:idx val="64"/>
          <c:order val="64"/>
          <c:tx>
            <c:strRef>
              <c:f>'estatística'!$B$66</c:f>
            </c:strRef>
          </c:tx>
          <c:cat>
            <c:strRef>
              <c:f>'estatística'!$C$1:$M$1</c:f>
            </c:strRef>
          </c:cat>
          <c:val>
            <c:numRef>
              <c:f>'estatística'!$C$66:$M$66</c:f>
              <c:numCache/>
            </c:numRef>
          </c:val>
        </c:ser>
        <c:ser>
          <c:idx val="65"/>
          <c:order val="65"/>
          <c:tx>
            <c:strRef>
              <c:f>'estatística'!$B$67</c:f>
            </c:strRef>
          </c:tx>
          <c:cat>
            <c:strRef>
              <c:f>'estatística'!$C$1:$M$1</c:f>
            </c:strRef>
          </c:cat>
          <c:val>
            <c:numRef>
              <c:f>'estatística'!$C$67:$M$67</c:f>
              <c:numCache/>
            </c:numRef>
          </c:val>
        </c:ser>
        <c:ser>
          <c:idx val="66"/>
          <c:order val="66"/>
          <c:tx>
            <c:strRef>
              <c:f>'estatística'!$B$68</c:f>
            </c:strRef>
          </c:tx>
          <c:cat>
            <c:strRef>
              <c:f>'estatística'!$C$1:$M$1</c:f>
            </c:strRef>
          </c:cat>
          <c:val>
            <c:numRef>
              <c:f>'estatística'!$C$68:$M$68</c:f>
              <c:numCache/>
            </c:numRef>
          </c:val>
        </c:ser>
        <c:ser>
          <c:idx val="67"/>
          <c:order val="67"/>
          <c:tx>
            <c:strRef>
              <c:f>'estatística'!$B$69</c:f>
            </c:strRef>
          </c:tx>
          <c:cat>
            <c:strRef>
              <c:f>'estatística'!$C$1:$M$1</c:f>
            </c:strRef>
          </c:cat>
          <c:val>
            <c:numRef>
              <c:f>'estatística'!$C$69:$M$69</c:f>
              <c:numCache/>
            </c:numRef>
          </c:val>
        </c:ser>
        <c:ser>
          <c:idx val="68"/>
          <c:order val="68"/>
          <c:tx>
            <c:strRef>
              <c:f>'estatística'!$B$70</c:f>
            </c:strRef>
          </c:tx>
          <c:cat>
            <c:strRef>
              <c:f>'estatística'!$C$1:$M$1</c:f>
            </c:strRef>
          </c:cat>
          <c:val>
            <c:numRef>
              <c:f>'estatística'!$C$70:$M$70</c:f>
              <c:numCache/>
            </c:numRef>
          </c:val>
        </c:ser>
        <c:ser>
          <c:idx val="69"/>
          <c:order val="69"/>
          <c:tx>
            <c:strRef>
              <c:f>'estatística'!$B$71</c:f>
            </c:strRef>
          </c:tx>
          <c:cat>
            <c:strRef>
              <c:f>'estatística'!$C$1:$M$1</c:f>
            </c:strRef>
          </c:cat>
          <c:val>
            <c:numRef>
              <c:f>'estatística'!$C$71:$M$71</c:f>
              <c:numCache/>
            </c:numRef>
          </c:val>
        </c:ser>
        <c:ser>
          <c:idx val="70"/>
          <c:order val="70"/>
          <c:tx>
            <c:strRef>
              <c:f>'estatística'!$B$72</c:f>
            </c:strRef>
          </c:tx>
          <c:cat>
            <c:strRef>
              <c:f>'estatística'!$C$1:$M$1</c:f>
            </c:strRef>
          </c:cat>
          <c:val>
            <c:numRef>
              <c:f>'estatística'!$C$72:$M$72</c:f>
              <c:numCache/>
            </c:numRef>
          </c:val>
        </c:ser>
        <c:ser>
          <c:idx val="71"/>
          <c:order val="71"/>
          <c:tx>
            <c:strRef>
              <c:f>'estatística'!$B$73</c:f>
            </c:strRef>
          </c:tx>
          <c:cat>
            <c:strRef>
              <c:f>'estatística'!$C$1:$M$1</c:f>
            </c:strRef>
          </c:cat>
          <c:val>
            <c:numRef>
              <c:f>'estatística'!$C$73:$M$73</c:f>
              <c:numCache/>
            </c:numRef>
          </c:val>
        </c:ser>
        <c:ser>
          <c:idx val="72"/>
          <c:order val="72"/>
          <c:tx>
            <c:strRef>
              <c:f>'estatística'!$B$74</c:f>
            </c:strRef>
          </c:tx>
          <c:cat>
            <c:strRef>
              <c:f>'estatística'!$C$1:$M$1</c:f>
            </c:strRef>
          </c:cat>
          <c:val>
            <c:numRef>
              <c:f>'estatística'!$C$74:$M$74</c:f>
              <c:numCache/>
            </c:numRef>
          </c:val>
        </c:ser>
        <c:ser>
          <c:idx val="73"/>
          <c:order val="73"/>
          <c:tx>
            <c:strRef>
              <c:f>'estatística'!$B$75</c:f>
            </c:strRef>
          </c:tx>
          <c:cat>
            <c:strRef>
              <c:f>'estatística'!$C$1:$M$1</c:f>
            </c:strRef>
          </c:cat>
          <c:val>
            <c:numRef>
              <c:f>'estatística'!$C$75:$M$75</c:f>
              <c:numCache/>
            </c:numRef>
          </c:val>
        </c:ser>
        <c:ser>
          <c:idx val="74"/>
          <c:order val="74"/>
          <c:tx>
            <c:strRef>
              <c:f>'estatística'!$B$76</c:f>
            </c:strRef>
          </c:tx>
          <c:cat>
            <c:strRef>
              <c:f>'estatística'!$C$1:$M$1</c:f>
            </c:strRef>
          </c:cat>
          <c:val>
            <c:numRef>
              <c:f>'estatística'!$C$76:$M$76</c:f>
              <c:numCache/>
            </c:numRef>
          </c:val>
        </c:ser>
        <c:ser>
          <c:idx val="75"/>
          <c:order val="75"/>
          <c:tx>
            <c:strRef>
              <c:f>'estatística'!$B$77</c:f>
            </c:strRef>
          </c:tx>
          <c:cat>
            <c:strRef>
              <c:f>'estatística'!$C$1:$M$1</c:f>
            </c:strRef>
          </c:cat>
          <c:val>
            <c:numRef>
              <c:f>'estatística'!$C$77:$M$77</c:f>
              <c:numCache/>
            </c:numRef>
          </c:val>
        </c:ser>
        <c:ser>
          <c:idx val="76"/>
          <c:order val="76"/>
          <c:tx>
            <c:strRef>
              <c:f>'estatística'!$B$78</c:f>
            </c:strRef>
          </c:tx>
          <c:cat>
            <c:strRef>
              <c:f>'estatística'!$C$1:$M$1</c:f>
            </c:strRef>
          </c:cat>
          <c:val>
            <c:numRef>
              <c:f>'estatística'!$C$78:$M$78</c:f>
              <c:numCache/>
            </c:numRef>
          </c:val>
        </c:ser>
        <c:ser>
          <c:idx val="77"/>
          <c:order val="77"/>
          <c:tx>
            <c:strRef>
              <c:f>'estatística'!$B$79</c:f>
            </c:strRef>
          </c:tx>
          <c:cat>
            <c:strRef>
              <c:f>'estatística'!$C$1:$M$1</c:f>
            </c:strRef>
          </c:cat>
          <c:val>
            <c:numRef>
              <c:f>'estatística'!$C$79:$M$79</c:f>
              <c:numCache/>
            </c:numRef>
          </c:val>
        </c:ser>
        <c:ser>
          <c:idx val="78"/>
          <c:order val="78"/>
          <c:tx>
            <c:strRef>
              <c:f>'estatística'!$B$80</c:f>
            </c:strRef>
          </c:tx>
          <c:cat>
            <c:strRef>
              <c:f>'estatística'!$C$1:$M$1</c:f>
            </c:strRef>
          </c:cat>
          <c:val>
            <c:numRef>
              <c:f>'estatística'!$C$80:$M$80</c:f>
              <c:numCache/>
            </c:numRef>
          </c:val>
        </c:ser>
        <c:ser>
          <c:idx val="79"/>
          <c:order val="79"/>
          <c:tx>
            <c:strRef>
              <c:f>'estatística'!$B$81</c:f>
            </c:strRef>
          </c:tx>
          <c:cat>
            <c:strRef>
              <c:f>'estatística'!$C$1:$M$1</c:f>
            </c:strRef>
          </c:cat>
          <c:val>
            <c:numRef>
              <c:f>'estatística'!$C$81:$M$81</c:f>
              <c:numCache/>
            </c:numRef>
          </c:val>
        </c:ser>
        <c:ser>
          <c:idx val="80"/>
          <c:order val="80"/>
          <c:tx>
            <c:strRef>
              <c:f>'estatística'!$B$82</c:f>
            </c:strRef>
          </c:tx>
          <c:cat>
            <c:strRef>
              <c:f>'estatística'!$C$1:$M$1</c:f>
            </c:strRef>
          </c:cat>
          <c:val>
            <c:numRef>
              <c:f>'estatística'!$C$82:$M$82</c:f>
              <c:numCache/>
            </c:numRef>
          </c:val>
        </c:ser>
        <c:ser>
          <c:idx val="81"/>
          <c:order val="81"/>
          <c:tx>
            <c:strRef>
              <c:f>'estatística'!$B$83</c:f>
            </c:strRef>
          </c:tx>
          <c:cat>
            <c:strRef>
              <c:f>'estatística'!$C$1:$M$1</c:f>
            </c:strRef>
          </c:cat>
          <c:val>
            <c:numRef>
              <c:f>'estatística'!$C$83:$M$83</c:f>
              <c:numCache/>
            </c:numRef>
          </c:val>
        </c:ser>
        <c:ser>
          <c:idx val="82"/>
          <c:order val="82"/>
          <c:tx>
            <c:strRef>
              <c:f>'estatística'!$B$84</c:f>
            </c:strRef>
          </c:tx>
          <c:cat>
            <c:strRef>
              <c:f>'estatística'!$C$1:$M$1</c:f>
            </c:strRef>
          </c:cat>
          <c:val>
            <c:numRef>
              <c:f>'estatística'!$C$84:$M$84</c:f>
              <c:numCache/>
            </c:numRef>
          </c:val>
        </c:ser>
        <c:ser>
          <c:idx val="83"/>
          <c:order val="83"/>
          <c:tx>
            <c:strRef>
              <c:f>'estatística'!$B$85</c:f>
            </c:strRef>
          </c:tx>
          <c:cat>
            <c:strRef>
              <c:f>'estatística'!$C$1:$M$1</c:f>
            </c:strRef>
          </c:cat>
          <c:val>
            <c:numRef>
              <c:f>'estatística'!$C$85:$M$85</c:f>
              <c:numCache/>
            </c:numRef>
          </c:val>
        </c:ser>
        <c:ser>
          <c:idx val="84"/>
          <c:order val="84"/>
          <c:tx>
            <c:strRef>
              <c:f>'estatística'!$B$86</c:f>
            </c:strRef>
          </c:tx>
          <c:cat>
            <c:strRef>
              <c:f>'estatística'!$C$1:$M$1</c:f>
            </c:strRef>
          </c:cat>
          <c:val>
            <c:numRef>
              <c:f>'estatística'!$C$86:$M$86</c:f>
              <c:numCache/>
            </c:numRef>
          </c:val>
        </c:ser>
        <c:ser>
          <c:idx val="85"/>
          <c:order val="85"/>
          <c:tx>
            <c:strRef>
              <c:f>'estatística'!$B$87</c:f>
            </c:strRef>
          </c:tx>
          <c:cat>
            <c:strRef>
              <c:f>'estatística'!$C$1:$M$1</c:f>
            </c:strRef>
          </c:cat>
          <c:val>
            <c:numRef>
              <c:f>'estatística'!$C$87:$M$87</c:f>
              <c:numCache/>
            </c:numRef>
          </c:val>
        </c:ser>
        <c:ser>
          <c:idx val="86"/>
          <c:order val="86"/>
          <c:tx>
            <c:strRef>
              <c:f>'estatística'!$B$88</c:f>
            </c:strRef>
          </c:tx>
          <c:cat>
            <c:strRef>
              <c:f>'estatística'!$C$1:$M$1</c:f>
            </c:strRef>
          </c:cat>
          <c:val>
            <c:numRef>
              <c:f>'estatística'!$C$88:$M$88</c:f>
              <c:numCache/>
            </c:numRef>
          </c:val>
        </c:ser>
        <c:ser>
          <c:idx val="87"/>
          <c:order val="87"/>
          <c:tx>
            <c:strRef>
              <c:f>'estatística'!$B$89</c:f>
            </c:strRef>
          </c:tx>
          <c:cat>
            <c:strRef>
              <c:f>'estatística'!$C$1:$M$1</c:f>
            </c:strRef>
          </c:cat>
          <c:val>
            <c:numRef>
              <c:f>'estatística'!$C$89:$M$89</c:f>
              <c:numCache/>
            </c:numRef>
          </c:val>
        </c:ser>
        <c:ser>
          <c:idx val="88"/>
          <c:order val="88"/>
          <c:tx>
            <c:strRef>
              <c:f>'estatística'!$B$90</c:f>
            </c:strRef>
          </c:tx>
          <c:cat>
            <c:strRef>
              <c:f>'estatística'!$C$1:$M$1</c:f>
            </c:strRef>
          </c:cat>
          <c:val>
            <c:numRef>
              <c:f>'estatística'!$C$90:$M$90</c:f>
              <c:numCache/>
            </c:numRef>
          </c:val>
        </c:ser>
        <c:ser>
          <c:idx val="89"/>
          <c:order val="89"/>
          <c:tx>
            <c:strRef>
              <c:f>'estatística'!$B$91</c:f>
            </c:strRef>
          </c:tx>
          <c:cat>
            <c:strRef>
              <c:f>'estatística'!$C$1:$M$1</c:f>
            </c:strRef>
          </c:cat>
          <c:val>
            <c:numRef>
              <c:f>'estatística'!$C$91:$M$91</c:f>
              <c:numCache/>
            </c:numRef>
          </c:val>
        </c:ser>
        <c:ser>
          <c:idx val="90"/>
          <c:order val="90"/>
          <c:tx>
            <c:strRef>
              <c:f>'estatística'!$B$92</c:f>
            </c:strRef>
          </c:tx>
          <c:cat>
            <c:strRef>
              <c:f>'estatística'!$C$1:$M$1</c:f>
            </c:strRef>
          </c:cat>
          <c:val>
            <c:numRef>
              <c:f>'estatística'!$C$92:$M$92</c:f>
              <c:numCache/>
            </c:numRef>
          </c:val>
        </c:ser>
        <c:ser>
          <c:idx val="91"/>
          <c:order val="91"/>
          <c:tx>
            <c:strRef>
              <c:f>'estatística'!$B$93</c:f>
            </c:strRef>
          </c:tx>
          <c:cat>
            <c:strRef>
              <c:f>'estatística'!$C$1:$M$1</c:f>
            </c:strRef>
          </c:cat>
          <c:val>
            <c:numRef>
              <c:f>'estatística'!$C$93:$M$93</c:f>
              <c:numCache/>
            </c:numRef>
          </c:val>
        </c:ser>
        <c:ser>
          <c:idx val="92"/>
          <c:order val="92"/>
          <c:tx>
            <c:strRef>
              <c:f>'estatística'!$B$94</c:f>
            </c:strRef>
          </c:tx>
          <c:cat>
            <c:strRef>
              <c:f>'estatística'!$C$1:$M$1</c:f>
            </c:strRef>
          </c:cat>
          <c:val>
            <c:numRef>
              <c:f>'estatística'!$C$94:$M$94</c:f>
              <c:numCache/>
            </c:numRef>
          </c:val>
        </c:ser>
        <c:ser>
          <c:idx val="93"/>
          <c:order val="93"/>
          <c:tx>
            <c:strRef>
              <c:f>'estatística'!$B$95</c:f>
            </c:strRef>
          </c:tx>
          <c:cat>
            <c:strRef>
              <c:f>'estatística'!$C$1:$M$1</c:f>
            </c:strRef>
          </c:cat>
          <c:val>
            <c:numRef>
              <c:f>'estatística'!$C$95:$M$95</c:f>
              <c:numCache/>
            </c:numRef>
          </c:val>
        </c:ser>
        <c:ser>
          <c:idx val="94"/>
          <c:order val="94"/>
          <c:tx>
            <c:strRef>
              <c:f>'estatística'!$B$96</c:f>
            </c:strRef>
          </c:tx>
          <c:cat>
            <c:strRef>
              <c:f>'estatística'!$C$1:$M$1</c:f>
            </c:strRef>
          </c:cat>
          <c:val>
            <c:numRef>
              <c:f>'estatística'!$C$96:$M$96</c:f>
              <c:numCache/>
            </c:numRef>
          </c:val>
        </c:ser>
        <c:ser>
          <c:idx val="95"/>
          <c:order val="95"/>
          <c:tx>
            <c:strRef>
              <c:f>'estatística'!$B$97</c:f>
            </c:strRef>
          </c:tx>
          <c:cat>
            <c:strRef>
              <c:f>'estatística'!$C$1:$M$1</c:f>
            </c:strRef>
          </c:cat>
          <c:val>
            <c:numRef>
              <c:f>'estatística'!$C$97:$M$97</c:f>
              <c:numCache/>
            </c:numRef>
          </c:val>
        </c:ser>
        <c:ser>
          <c:idx val="96"/>
          <c:order val="96"/>
          <c:tx>
            <c:strRef>
              <c:f>'estatística'!$B$98</c:f>
            </c:strRef>
          </c:tx>
          <c:cat>
            <c:strRef>
              <c:f>'estatística'!$C$1:$M$1</c:f>
            </c:strRef>
          </c:cat>
          <c:val>
            <c:numRef>
              <c:f>'estatística'!$C$98:$M$98</c:f>
              <c:numCache/>
            </c:numRef>
          </c:val>
        </c:ser>
        <c:ser>
          <c:idx val="97"/>
          <c:order val="97"/>
          <c:tx>
            <c:strRef>
              <c:f>'estatística'!$B$99</c:f>
            </c:strRef>
          </c:tx>
          <c:cat>
            <c:strRef>
              <c:f>'estatística'!$C$1:$M$1</c:f>
            </c:strRef>
          </c:cat>
          <c:val>
            <c:numRef>
              <c:f>'estatística'!$C$99:$M$99</c:f>
              <c:numCache/>
            </c:numRef>
          </c:val>
        </c:ser>
        <c:ser>
          <c:idx val="98"/>
          <c:order val="98"/>
          <c:tx>
            <c:strRef>
              <c:f>'estatística'!$B$100</c:f>
            </c:strRef>
          </c:tx>
          <c:cat>
            <c:strRef>
              <c:f>'estatística'!$C$1:$M$1</c:f>
            </c:strRef>
          </c:cat>
          <c:val>
            <c:numRef>
              <c:f>'estatística'!$C$100:$M$100</c:f>
              <c:numCache/>
            </c:numRef>
          </c:val>
        </c:ser>
        <c:ser>
          <c:idx val="99"/>
          <c:order val="99"/>
          <c:tx>
            <c:strRef>
              <c:f>'estatística'!$B$101</c:f>
            </c:strRef>
          </c:tx>
          <c:cat>
            <c:strRef>
              <c:f>'estatística'!$C$1:$M$1</c:f>
            </c:strRef>
          </c:cat>
          <c:val>
            <c:numRef>
              <c:f>'estatística'!$C$101:$M$101</c:f>
              <c:numCache/>
            </c:numRef>
          </c:val>
        </c:ser>
        <c:ser>
          <c:idx val="100"/>
          <c:order val="100"/>
          <c:tx>
            <c:strRef>
              <c:f>'estatística'!$B$102</c:f>
            </c:strRef>
          </c:tx>
          <c:cat>
            <c:strRef>
              <c:f>'estatística'!$C$1:$M$1</c:f>
            </c:strRef>
          </c:cat>
          <c:val>
            <c:numRef>
              <c:f>'estatística'!$C$102:$M$102</c:f>
              <c:numCache/>
            </c:numRef>
          </c:val>
        </c:ser>
        <c:ser>
          <c:idx val="101"/>
          <c:order val="101"/>
          <c:tx>
            <c:strRef>
              <c:f>'estatística'!$B$103</c:f>
            </c:strRef>
          </c:tx>
          <c:cat>
            <c:strRef>
              <c:f>'estatística'!$C$1:$M$1</c:f>
            </c:strRef>
          </c:cat>
          <c:val>
            <c:numRef>
              <c:f>'estatística'!$C$103:$M$103</c:f>
              <c:numCache/>
            </c:numRef>
          </c:val>
        </c:ser>
        <c:ser>
          <c:idx val="102"/>
          <c:order val="102"/>
          <c:tx>
            <c:strRef>
              <c:f>'estatística'!$B$104</c:f>
            </c:strRef>
          </c:tx>
          <c:cat>
            <c:strRef>
              <c:f>'estatística'!$C$1:$M$1</c:f>
            </c:strRef>
          </c:cat>
          <c:val>
            <c:numRef>
              <c:f>'estatística'!$C$104:$M$104</c:f>
              <c:numCache/>
            </c:numRef>
          </c:val>
        </c:ser>
        <c:ser>
          <c:idx val="103"/>
          <c:order val="103"/>
          <c:tx>
            <c:strRef>
              <c:f>'estatística'!$B$105</c:f>
            </c:strRef>
          </c:tx>
          <c:cat>
            <c:strRef>
              <c:f>'estatística'!$C$1:$M$1</c:f>
            </c:strRef>
          </c:cat>
          <c:val>
            <c:numRef>
              <c:f>'estatística'!$C$105:$M$105</c:f>
              <c:numCache/>
            </c:numRef>
          </c:val>
        </c:ser>
        <c:ser>
          <c:idx val="104"/>
          <c:order val="104"/>
          <c:tx>
            <c:strRef>
              <c:f>'estatística'!$B$106</c:f>
            </c:strRef>
          </c:tx>
          <c:cat>
            <c:strRef>
              <c:f>'estatística'!$C$1:$M$1</c:f>
            </c:strRef>
          </c:cat>
          <c:val>
            <c:numRef>
              <c:f>'estatística'!$C$106:$M$106</c:f>
              <c:numCache/>
            </c:numRef>
          </c:val>
        </c:ser>
        <c:ser>
          <c:idx val="105"/>
          <c:order val="105"/>
          <c:tx>
            <c:strRef>
              <c:f>'estatística'!$B$107</c:f>
            </c:strRef>
          </c:tx>
          <c:cat>
            <c:strRef>
              <c:f>'estatística'!$C$1:$M$1</c:f>
            </c:strRef>
          </c:cat>
          <c:val>
            <c:numRef>
              <c:f>'estatística'!$C$107:$M$107</c:f>
              <c:numCache/>
            </c:numRef>
          </c:val>
        </c:ser>
        <c:ser>
          <c:idx val="106"/>
          <c:order val="106"/>
          <c:tx>
            <c:strRef>
              <c:f>'estatística'!$B$108</c:f>
            </c:strRef>
          </c:tx>
          <c:cat>
            <c:strRef>
              <c:f>'estatística'!$C$1:$M$1</c:f>
            </c:strRef>
          </c:cat>
          <c:val>
            <c:numRef>
              <c:f>'estatística'!$C$108:$M$108</c:f>
              <c:numCache/>
            </c:numRef>
          </c:val>
        </c:ser>
        <c:ser>
          <c:idx val="107"/>
          <c:order val="107"/>
          <c:tx>
            <c:strRef>
              <c:f>'estatística'!$B$109</c:f>
            </c:strRef>
          </c:tx>
          <c:cat>
            <c:strRef>
              <c:f>'estatística'!$C$1:$M$1</c:f>
            </c:strRef>
          </c:cat>
          <c:val>
            <c:numRef>
              <c:f>'estatística'!$C$109:$M$109</c:f>
              <c:numCache/>
            </c:numRef>
          </c:val>
        </c:ser>
        <c:ser>
          <c:idx val="108"/>
          <c:order val="108"/>
          <c:tx>
            <c:strRef>
              <c:f>'estatística'!$B$110</c:f>
            </c:strRef>
          </c:tx>
          <c:cat>
            <c:strRef>
              <c:f>'estatística'!$C$1:$M$1</c:f>
            </c:strRef>
          </c:cat>
          <c:val>
            <c:numRef>
              <c:f>'estatística'!$C$110:$M$110</c:f>
              <c:numCache/>
            </c:numRef>
          </c:val>
        </c:ser>
        <c:ser>
          <c:idx val="109"/>
          <c:order val="109"/>
          <c:tx>
            <c:strRef>
              <c:f>'estatística'!$B$111</c:f>
            </c:strRef>
          </c:tx>
          <c:cat>
            <c:strRef>
              <c:f>'estatística'!$C$1:$M$1</c:f>
            </c:strRef>
          </c:cat>
          <c:val>
            <c:numRef>
              <c:f>'estatística'!$C$111:$M$111</c:f>
              <c:numCache/>
            </c:numRef>
          </c:val>
        </c:ser>
        <c:ser>
          <c:idx val="110"/>
          <c:order val="110"/>
          <c:tx>
            <c:strRef>
              <c:f>'estatística'!$B$112</c:f>
            </c:strRef>
          </c:tx>
          <c:cat>
            <c:strRef>
              <c:f>'estatística'!$C$1:$M$1</c:f>
            </c:strRef>
          </c:cat>
          <c:val>
            <c:numRef>
              <c:f>'estatística'!$C$112:$M$112</c:f>
              <c:numCache/>
            </c:numRef>
          </c:val>
        </c:ser>
        <c:ser>
          <c:idx val="111"/>
          <c:order val="111"/>
          <c:tx>
            <c:strRef>
              <c:f>'estatística'!$B$113</c:f>
            </c:strRef>
          </c:tx>
          <c:cat>
            <c:strRef>
              <c:f>'estatística'!$C$1:$M$1</c:f>
            </c:strRef>
          </c:cat>
          <c:val>
            <c:numRef>
              <c:f>'estatística'!$C$113:$M$113</c:f>
              <c:numCache/>
            </c:numRef>
          </c:val>
        </c:ser>
        <c:ser>
          <c:idx val="112"/>
          <c:order val="112"/>
          <c:tx>
            <c:strRef>
              <c:f>'estatística'!$B$114</c:f>
            </c:strRef>
          </c:tx>
          <c:cat>
            <c:strRef>
              <c:f>'estatística'!$C$1:$M$1</c:f>
            </c:strRef>
          </c:cat>
          <c:val>
            <c:numRef>
              <c:f>'estatística'!$C$114:$M$114</c:f>
              <c:numCache/>
            </c:numRef>
          </c:val>
        </c:ser>
        <c:ser>
          <c:idx val="113"/>
          <c:order val="113"/>
          <c:tx>
            <c:strRef>
              <c:f>'estatística'!$B$115</c:f>
            </c:strRef>
          </c:tx>
          <c:cat>
            <c:strRef>
              <c:f>'estatística'!$C$1:$M$1</c:f>
            </c:strRef>
          </c:cat>
          <c:val>
            <c:numRef>
              <c:f>'estatística'!$C$115:$M$115</c:f>
              <c:numCache/>
            </c:numRef>
          </c:val>
        </c:ser>
        <c:ser>
          <c:idx val="114"/>
          <c:order val="114"/>
          <c:tx>
            <c:strRef>
              <c:f>'estatística'!$B$116</c:f>
            </c:strRef>
          </c:tx>
          <c:cat>
            <c:strRef>
              <c:f>'estatística'!$C$1:$M$1</c:f>
            </c:strRef>
          </c:cat>
          <c:val>
            <c:numRef>
              <c:f>'estatística'!$C$116:$M$116</c:f>
              <c:numCache/>
            </c:numRef>
          </c:val>
        </c:ser>
        <c:ser>
          <c:idx val="115"/>
          <c:order val="115"/>
          <c:tx>
            <c:strRef>
              <c:f>'estatística'!$B$117</c:f>
            </c:strRef>
          </c:tx>
          <c:cat>
            <c:strRef>
              <c:f>'estatística'!$C$1:$M$1</c:f>
            </c:strRef>
          </c:cat>
          <c:val>
            <c:numRef>
              <c:f>'estatística'!$C$117:$M$117</c:f>
              <c:numCache/>
            </c:numRef>
          </c:val>
        </c:ser>
        <c:ser>
          <c:idx val="116"/>
          <c:order val="116"/>
          <c:tx>
            <c:strRef>
              <c:f>'estatística'!$B$118</c:f>
            </c:strRef>
          </c:tx>
          <c:cat>
            <c:strRef>
              <c:f>'estatística'!$C$1:$M$1</c:f>
            </c:strRef>
          </c:cat>
          <c:val>
            <c:numRef>
              <c:f>'estatística'!$C$118:$M$118</c:f>
              <c:numCache/>
            </c:numRef>
          </c:val>
        </c:ser>
        <c:ser>
          <c:idx val="117"/>
          <c:order val="117"/>
          <c:tx>
            <c:strRef>
              <c:f>'estatística'!$B$119</c:f>
            </c:strRef>
          </c:tx>
          <c:cat>
            <c:strRef>
              <c:f>'estatística'!$C$1:$M$1</c:f>
            </c:strRef>
          </c:cat>
          <c:val>
            <c:numRef>
              <c:f>'estatística'!$C$119:$M$119</c:f>
              <c:numCache/>
            </c:numRef>
          </c:val>
        </c:ser>
        <c:ser>
          <c:idx val="118"/>
          <c:order val="118"/>
          <c:tx>
            <c:strRef>
              <c:f>'estatística'!$B$120</c:f>
            </c:strRef>
          </c:tx>
          <c:cat>
            <c:strRef>
              <c:f>'estatística'!$C$1:$M$1</c:f>
            </c:strRef>
          </c:cat>
          <c:val>
            <c:numRef>
              <c:f>'estatística'!$C$120:$M$120</c:f>
              <c:numCache/>
            </c:numRef>
          </c:val>
        </c:ser>
        <c:ser>
          <c:idx val="119"/>
          <c:order val="119"/>
          <c:tx>
            <c:strRef>
              <c:f>'estatística'!$B$121</c:f>
            </c:strRef>
          </c:tx>
          <c:cat>
            <c:strRef>
              <c:f>'estatística'!$C$1:$M$1</c:f>
            </c:strRef>
          </c:cat>
          <c:val>
            <c:numRef>
              <c:f>'estatística'!$C$121:$M$121</c:f>
              <c:numCache/>
            </c:numRef>
          </c:val>
        </c:ser>
        <c:ser>
          <c:idx val="120"/>
          <c:order val="120"/>
          <c:tx>
            <c:strRef>
              <c:f>'estatística'!$B$122</c:f>
            </c:strRef>
          </c:tx>
          <c:cat>
            <c:strRef>
              <c:f>'estatística'!$C$1:$M$1</c:f>
            </c:strRef>
          </c:cat>
          <c:val>
            <c:numRef>
              <c:f>'estatística'!$C$122:$M$122</c:f>
              <c:numCache/>
            </c:numRef>
          </c:val>
        </c:ser>
        <c:ser>
          <c:idx val="121"/>
          <c:order val="121"/>
          <c:tx>
            <c:strRef>
              <c:f>'estatística'!$B$123</c:f>
            </c:strRef>
          </c:tx>
          <c:cat>
            <c:strRef>
              <c:f>'estatística'!$C$1:$M$1</c:f>
            </c:strRef>
          </c:cat>
          <c:val>
            <c:numRef>
              <c:f>'estatística'!$C$123:$M$123</c:f>
              <c:numCache/>
            </c:numRef>
          </c:val>
        </c:ser>
        <c:ser>
          <c:idx val="122"/>
          <c:order val="122"/>
          <c:tx>
            <c:strRef>
              <c:f>'estatística'!$B$124</c:f>
            </c:strRef>
          </c:tx>
          <c:cat>
            <c:strRef>
              <c:f>'estatística'!$C$1:$M$1</c:f>
            </c:strRef>
          </c:cat>
          <c:val>
            <c:numRef>
              <c:f>'estatística'!$C$124:$M$124</c:f>
              <c:numCache/>
            </c:numRef>
          </c:val>
        </c:ser>
        <c:ser>
          <c:idx val="123"/>
          <c:order val="123"/>
          <c:tx>
            <c:strRef>
              <c:f>'estatística'!$B$125</c:f>
            </c:strRef>
          </c:tx>
          <c:cat>
            <c:strRef>
              <c:f>'estatística'!$C$1:$M$1</c:f>
            </c:strRef>
          </c:cat>
          <c:val>
            <c:numRef>
              <c:f>'estatística'!$C$125:$M$125</c:f>
              <c:numCache/>
            </c:numRef>
          </c:val>
        </c:ser>
        <c:ser>
          <c:idx val="124"/>
          <c:order val="124"/>
          <c:tx>
            <c:strRef>
              <c:f>'estatística'!$B$126</c:f>
            </c:strRef>
          </c:tx>
          <c:cat>
            <c:strRef>
              <c:f>'estatística'!$C$1:$M$1</c:f>
            </c:strRef>
          </c:cat>
          <c:val>
            <c:numRef>
              <c:f>'estatística'!$C$126:$M$126</c:f>
              <c:numCache/>
            </c:numRef>
          </c:val>
        </c:ser>
        <c:ser>
          <c:idx val="125"/>
          <c:order val="125"/>
          <c:tx>
            <c:strRef>
              <c:f>'estatística'!$B$127</c:f>
            </c:strRef>
          </c:tx>
          <c:cat>
            <c:strRef>
              <c:f>'estatística'!$C$1:$M$1</c:f>
            </c:strRef>
          </c:cat>
          <c:val>
            <c:numRef>
              <c:f>'estatística'!$C$127:$M$127</c:f>
              <c:numCache/>
            </c:numRef>
          </c:val>
        </c:ser>
        <c:ser>
          <c:idx val="126"/>
          <c:order val="126"/>
          <c:tx>
            <c:strRef>
              <c:f>'estatística'!$B$128</c:f>
            </c:strRef>
          </c:tx>
          <c:cat>
            <c:strRef>
              <c:f>'estatística'!$C$1:$M$1</c:f>
            </c:strRef>
          </c:cat>
          <c:val>
            <c:numRef>
              <c:f>'estatística'!$C$128:$M$128</c:f>
              <c:numCache/>
            </c:numRef>
          </c:val>
        </c:ser>
        <c:ser>
          <c:idx val="127"/>
          <c:order val="127"/>
          <c:tx>
            <c:strRef>
              <c:f>'estatística'!$B$129</c:f>
            </c:strRef>
          </c:tx>
          <c:cat>
            <c:strRef>
              <c:f>'estatística'!$C$1:$M$1</c:f>
            </c:strRef>
          </c:cat>
          <c:val>
            <c:numRef>
              <c:f>'estatística'!$C$129:$M$129</c:f>
              <c:numCache/>
            </c:numRef>
          </c:val>
        </c:ser>
        <c:ser>
          <c:idx val="128"/>
          <c:order val="128"/>
          <c:tx>
            <c:strRef>
              <c:f>'estatística'!$B$130</c:f>
            </c:strRef>
          </c:tx>
          <c:cat>
            <c:strRef>
              <c:f>'estatística'!$C$1:$M$1</c:f>
            </c:strRef>
          </c:cat>
          <c:val>
            <c:numRef>
              <c:f>'estatística'!$C$130:$M$130</c:f>
              <c:numCache/>
            </c:numRef>
          </c:val>
        </c:ser>
        <c:ser>
          <c:idx val="129"/>
          <c:order val="129"/>
          <c:tx>
            <c:strRef>
              <c:f>'estatística'!$B$131</c:f>
            </c:strRef>
          </c:tx>
          <c:cat>
            <c:strRef>
              <c:f>'estatística'!$C$1:$M$1</c:f>
            </c:strRef>
          </c:cat>
          <c:val>
            <c:numRef>
              <c:f>'estatística'!$C$131:$M$131</c:f>
              <c:numCache/>
            </c:numRef>
          </c:val>
        </c:ser>
        <c:ser>
          <c:idx val="130"/>
          <c:order val="130"/>
          <c:tx>
            <c:strRef>
              <c:f>'estatística'!$B$132</c:f>
            </c:strRef>
          </c:tx>
          <c:cat>
            <c:strRef>
              <c:f>'estatística'!$C$1:$M$1</c:f>
            </c:strRef>
          </c:cat>
          <c:val>
            <c:numRef>
              <c:f>'estatística'!$C$132:$M$132</c:f>
              <c:numCache/>
            </c:numRef>
          </c:val>
        </c:ser>
        <c:ser>
          <c:idx val="131"/>
          <c:order val="131"/>
          <c:tx>
            <c:strRef>
              <c:f>'estatística'!$B$133</c:f>
            </c:strRef>
          </c:tx>
          <c:cat>
            <c:strRef>
              <c:f>'estatística'!$C$1:$M$1</c:f>
            </c:strRef>
          </c:cat>
          <c:val>
            <c:numRef>
              <c:f>'estatística'!$C$133:$M$133</c:f>
              <c:numCache/>
            </c:numRef>
          </c:val>
        </c:ser>
        <c:ser>
          <c:idx val="132"/>
          <c:order val="132"/>
          <c:tx>
            <c:strRef>
              <c:f>'estatística'!$B$134</c:f>
            </c:strRef>
          </c:tx>
          <c:cat>
            <c:strRef>
              <c:f>'estatística'!$C$1:$M$1</c:f>
            </c:strRef>
          </c:cat>
          <c:val>
            <c:numRef>
              <c:f>'estatística'!$C$134:$M$134</c:f>
              <c:numCache/>
            </c:numRef>
          </c:val>
        </c:ser>
        <c:ser>
          <c:idx val="133"/>
          <c:order val="133"/>
          <c:tx>
            <c:strRef>
              <c:f>'estatística'!$B$135</c:f>
            </c:strRef>
          </c:tx>
          <c:cat>
            <c:strRef>
              <c:f>'estatística'!$C$1:$M$1</c:f>
            </c:strRef>
          </c:cat>
          <c:val>
            <c:numRef>
              <c:f>'estatística'!$C$135:$M$135</c:f>
              <c:numCache/>
            </c:numRef>
          </c:val>
        </c:ser>
        <c:ser>
          <c:idx val="134"/>
          <c:order val="134"/>
          <c:tx>
            <c:strRef>
              <c:f>'estatística'!$B$136</c:f>
            </c:strRef>
          </c:tx>
          <c:cat>
            <c:strRef>
              <c:f>'estatística'!$C$1:$M$1</c:f>
            </c:strRef>
          </c:cat>
          <c:val>
            <c:numRef>
              <c:f>'estatística'!$C$136:$M$136</c:f>
              <c:numCache/>
            </c:numRef>
          </c:val>
        </c:ser>
        <c:ser>
          <c:idx val="135"/>
          <c:order val="135"/>
          <c:tx>
            <c:strRef>
              <c:f>'estatística'!$B$137</c:f>
            </c:strRef>
          </c:tx>
          <c:cat>
            <c:strRef>
              <c:f>'estatística'!$C$1:$M$1</c:f>
            </c:strRef>
          </c:cat>
          <c:val>
            <c:numRef>
              <c:f>'estatística'!$C$137:$M$137</c:f>
              <c:numCache/>
            </c:numRef>
          </c:val>
        </c:ser>
        <c:ser>
          <c:idx val="136"/>
          <c:order val="136"/>
          <c:tx>
            <c:strRef>
              <c:f>'estatística'!$B$138</c:f>
            </c:strRef>
          </c:tx>
          <c:cat>
            <c:strRef>
              <c:f>'estatística'!$C$1:$M$1</c:f>
            </c:strRef>
          </c:cat>
          <c:val>
            <c:numRef>
              <c:f>'estatística'!$C$138:$M$138</c:f>
              <c:numCache/>
            </c:numRef>
          </c:val>
        </c:ser>
        <c:ser>
          <c:idx val="137"/>
          <c:order val="137"/>
          <c:tx>
            <c:strRef>
              <c:f>'estatística'!$B$139</c:f>
            </c:strRef>
          </c:tx>
          <c:cat>
            <c:strRef>
              <c:f>'estatística'!$C$1:$M$1</c:f>
            </c:strRef>
          </c:cat>
          <c:val>
            <c:numRef>
              <c:f>'estatística'!$C$139:$M$139</c:f>
              <c:numCache/>
            </c:numRef>
          </c:val>
        </c:ser>
        <c:ser>
          <c:idx val="138"/>
          <c:order val="138"/>
          <c:tx>
            <c:strRef>
              <c:f>'estatística'!$B$140</c:f>
            </c:strRef>
          </c:tx>
          <c:cat>
            <c:strRef>
              <c:f>'estatística'!$C$1:$M$1</c:f>
            </c:strRef>
          </c:cat>
          <c:val>
            <c:numRef>
              <c:f>'estatística'!$C$140:$M$140</c:f>
              <c:numCache/>
            </c:numRef>
          </c:val>
        </c:ser>
        <c:ser>
          <c:idx val="139"/>
          <c:order val="139"/>
          <c:tx>
            <c:strRef>
              <c:f>'estatística'!$B$141</c:f>
            </c:strRef>
          </c:tx>
          <c:cat>
            <c:strRef>
              <c:f>'estatística'!$C$1:$M$1</c:f>
            </c:strRef>
          </c:cat>
          <c:val>
            <c:numRef>
              <c:f>'estatística'!$C$141:$M$141</c:f>
              <c:numCache/>
            </c:numRef>
          </c:val>
        </c:ser>
        <c:ser>
          <c:idx val="140"/>
          <c:order val="140"/>
          <c:tx>
            <c:strRef>
              <c:f>'estatística'!$B$142</c:f>
            </c:strRef>
          </c:tx>
          <c:cat>
            <c:strRef>
              <c:f>'estatística'!$C$1:$M$1</c:f>
            </c:strRef>
          </c:cat>
          <c:val>
            <c:numRef>
              <c:f>'estatística'!$C$142:$M$142</c:f>
              <c:numCache/>
            </c:numRef>
          </c:val>
        </c:ser>
        <c:ser>
          <c:idx val="141"/>
          <c:order val="141"/>
          <c:tx>
            <c:strRef>
              <c:f>'estatística'!$B$143</c:f>
            </c:strRef>
          </c:tx>
          <c:cat>
            <c:strRef>
              <c:f>'estatística'!$C$1:$M$1</c:f>
            </c:strRef>
          </c:cat>
          <c:val>
            <c:numRef>
              <c:f>'estatística'!$C$143:$M$143</c:f>
              <c:numCache/>
            </c:numRef>
          </c:val>
        </c:ser>
        <c:ser>
          <c:idx val="142"/>
          <c:order val="142"/>
          <c:tx>
            <c:strRef>
              <c:f>'estatística'!$B$144</c:f>
            </c:strRef>
          </c:tx>
          <c:cat>
            <c:strRef>
              <c:f>'estatística'!$C$1:$M$1</c:f>
            </c:strRef>
          </c:cat>
          <c:val>
            <c:numRef>
              <c:f>'estatística'!$C$144:$M$144</c:f>
              <c:numCache/>
            </c:numRef>
          </c:val>
        </c:ser>
        <c:ser>
          <c:idx val="143"/>
          <c:order val="143"/>
          <c:tx>
            <c:strRef>
              <c:f>'estatística'!$B$145</c:f>
            </c:strRef>
          </c:tx>
          <c:cat>
            <c:strRef>
              <c:f>'estatística'!$C$1:$M$1</c:f>
            </c:strRef>
          </c:cat>
          <c:val>
            <c:numRef>
              <c:f>'estatística'!$C$145:$M$145</c:f>
              <c:numCache/>
            </c:numRef>
          </c:val>
        </c:ser>
        <c:ser>
          <c:idx val="144"/>
          <c:order val="144"/>
          <c:tx>
            <c:strRef>
              <c:f>'estatística'!$B$146</c:f>
            </c:strRef>
          </c:tx>
          <c:cat>
            <c:strRef>
              <c:f>'estatística'!$C$1:$M$1</c:f>
            </c:strRef>
          </c:cat>
          <c:val>
            <c:numRef>
              <c:f>'estatística'!$C$146:$M$146</c:f>
              <c:numCache/>
            </c:numRef>
          </c:val>
        </c:ser>
        <c:ser>
          <c:idx val="145"/>
          <c:order val="145"/>
          <c:tx>
            <c:strRef>
              <c:f>'estatística'!$B$147</c:f>
            </c:strRef>
          </c:tx>
          <c:cat>
            <c:strRef>
              <c:f>'estatística'!$C$1:$M$1</c:f>
            </c:strRef>
          </c:cat>
          <c:val>
            <c:numRef>
              <c:f>'estatística'!$C$147:$M$147</c:f>
              <c:numCache/>
            </c:numRef>
          </c:val>
        </c:ser>
        <c:ser>
          <c:idx val="146"/>
          <c:order val="146"/>
          <c:tx>
            <c:strRef>
              <c:f>'estatística'!$B$148</c:f>
            </c:strRef>
          </c:tx>
          <c:cat>
            <c:strRef>
              <c:f>'estatística'!$C$1:$M$1</c:f>
            </c:strRef>
          </c:cat>
          <c:val>
            <c:numRef>
              <c:f>'estatística'!$C$148:$M$148</c:f>
              <c:numCache/>
            </c:numRef>
          </c:val>
        </c:ser>
        <c:ser>
          <c:idx val="147"/>
          <c:order val="147"/>
          <c:tx>
            <c:strRef>
              <c:f>'estatística'!$B$149</c:f>
            </c:strRef>
          </c:tx>
          <c:cat>
            <c:strRef>
              <c:f>'estatística'!$C$1:$M$1</c:f>
            </c:strRef>
          </c:cat>
          <c:val>
            <c:numRef>
              <c:f>'estatística'!$C$149:$M$149</c:f>
              <c:numCache/>
            </c:numRef>
          </c:val>
        </c:ser>
        <c:ser>
          <c:idx val="148"/>
          <c:order val="148"/>
          <c:tx>
            <c:strRef>
              <c:f>'estatística'!$B$150</c:f>
            </c:strRef>
          </c:tx>
          <c:cat>
            <c:strRef>
              <c:f>'estatística'!$C$1:$M$1</c:f>
            </c:strRef>
          </c:cat>
          <c:val>
            <c:numRef>
              <c:f>'estatística'!$C$150:$M$150</c:f>
              <c:numCache/>
            </c:numRef>
          </c:val>
        </c:ser>
        <c:ser>
          <c:idx val="149"/>
          <c:order val="149"/>
          <c:tx>
            <c:strRef>
              <c:f>'estatística'!$B$151</c:f>
            </c:strRef>
          </c:tx>
          <c:cat>
            <c:strRef>
              <c:f>'estatística'!$C$1:$M$1</c:f>
            </c:strRef>
          </c:cat>
          <c:val>
            <c:numRef>
              <c:f>'estatística'!$C$151:$M$151</c:f>
              <c:numCache/>
            </c:numRef>
          </c:val>
        </c:ser>
        <c:ser>
          <c:idx val="150"/>
          <c:order val="150"/>
          <c:tx>
            <c:strRef>
              <c:f>'estatística'!$B$152</c:f>
            </c:strRef>
          </c:tx>
          <c:cat>
            <c:strRef>
              <c:f>'estatística'!$C$1:$M$1</c:f>
            </c:strRef>
          </c:cat>
          <c:val>
            <c:numRef>
              <c:f>'estatística'!$C$152:$M$152</c:f>
              <c:numCache/>
            </c:numRef>
          </c:val>
        </c:ser>
        <c:ser>
          <c:idx val="151"/>
          <c:order val="151"/>
          <c:tx>
            <c:strRef>
              <c:f>'estatística'!$B$153</c:f>
            </c:strRef>
          </c:tx>
          <c:cat>
            <c:strRef>
              <c:f>'estatística'!$C$1:$M$1</c:f>
            </c:strRef>
          </c:cat>
          <c:val>
            <c:numRef>
              <c:f>'estatística'!$C$153:$M$153</c:f>
              <c:numCache/>
            </c:numRef>
          </c:val>
        </c:ser>
        <c:ser>
          <c:idx val="152"/>
          <c:order val="152"/>
          <c:tx>
            <c:strRef>
              <c:f>'estatística'!$B$154</c:f>
            </c:strRef>
          </c:tx>
          <c:cat>
            <c:strRef>
              <c:f>'estatística'!$C$1:$M$1</c:f>
            </c:strRef>
          </c:cat>
          <c:val>
            <c:numRef>
              <c:f>'estatística'!$C$154:$M$154</c:f>
              <c:numCache/>
            </c:numRef>
          </c:val>
        </c:ser>
        <c:ser>
          <c:idx val="153"/>
          <c:order val="153"/>
          <c:tx>
            <c:strRef>
              <c:f>'estatística'!$B$155</c:f>
            </c:strRef>
          </c:tx>
          <c:cat>
            <c:strRef>
              <c:f>'estatística'!$C$1:$M$1</c:f>
            </c:strRef>
          </c:cat>
          <c:val>
            <c:numRef>
              <c:f>'estatística'!$C$155:$M$155</c:f>
              <c:numCache/>
            </c:numRef>
          </c:val>
        </c:ser>
        <c:ser>
          <c:idx val="154"/>
          <c:order val="154"/>
          <c:tx>
            <c:strRef>
              <c:f>'estatística'!$B$156</c:f>
            </c:strRef>
          </c:tx>
          <c:cat>
            <c:strRef>
              <c:f>'estatística'!$C$1:$M$1</c:f>
            </c:strRef>
          </c:cat>
          <c:val>
            <c:numRef>
              <c:f>'estatística'!$C$156:$M$156</c:f>
              <c:numCache/>
            </c:numRef>
          </c:val>
        </c:ser>
        <c:ser>
          <c:idx val="155"/>
          <c:order val="155"/>
          <c:tx>
            <c:strRef>
              <c:f>'estatística'!$B$157</c:f>
            </c:strRef>
          </c:tx>
          <c:cat>
            <c:strRef>
              <c:f>'estatística'!$C$1:$M$1</c:f>
            </c:strRef>
          </c:cat>
          <c:val>
            <c:numRef>
              <c:f>'estatística'!$C$157:$M$157</c:f>
              <c:numCache/>
            </c:numRef>
          </c:val>
        </c:ser>
        <c:ser>
          <c:idx val="156"/>
          <c:order val="156"/>
          <c:tx>
            <c:strRef>
              <c:f>'estatística'!$B$158</c:f>
            </c:strRef>
          </c:tx>
          <c:cat>
            <c:strRef>
              <c:f>'estatística'!$C$1:$M$1</c:f>
            </c:strRef>
          </c:cat>
          <c:val>
            <c:numRef>
              <c:f>'estatística'!$C$158:$M$158</c:f>
              <c:numCache/>
            </c:numRef>
          </c:val>
        </c:ser>
        <c:ser>
          <c:idx val="157"/>
          <c:order val="157"/>
          <c:tx>
            <c:strRef>
              <c:f>'estatística'!$B$159</c:f>
            </c:strRef>
          </c:tx>
          <c:cat>
            <c:strRef>
              <c:f>'estatística'!$C$1:$M$1</c:f>
            </c:strRef>
          </c:cat>
          <c:val>
            <c:numRef>
              <c:f>'estatística'!$C$159:$M$159</c:f>
              <c:numCache/>
            </c:numRef>
          </c:val>
        </c:ser>
        <c:ser>
          <c:idx val="158"/>
          <c:order val="158"/>
          <c:tx>
            <c:strRef>
              <c:f>'estatística'!$B$160</c:f>
            </c:strRef>
          </c:tx>
          <c:cat>
            <c:strRef>
              <c:f>'estatística'!$C$1:$M$1</c:f>
            </c:strRef>
          </c:cat>
          <c:val>
            <c:numRef>
              <c:f>'estatística'!$C$160:$M$160</c:f>
              <c:numCache/>
            </c:numRef>
          </c:val>
        </c:ser>
        <c:ser>
          <c:idx val="159"/>
          <c:order val="159"/>
          <c:tx>
            <c:strRef>
              <c:f>'estatística'!$B$161</c:f>
            </c:strRef>
          </c:tx>
          <c:cat>
            <c:strRef>
              <c:f>'estatística'!$C$1:$M$1</c:f>
            </c:strRef>
          </c:cat>
          <c:val>
            <c:numRef>
              <c:f>'estatística'!$C$161:$M$161</c:f>
              <c:numCache/>
            </c:numRef>
          </c:val>
        </c:ser>
        <c:ser>
          <c:idx val="160"/>
          <c:order val="160"/>
          <c:tx>
            <c:strRef>
              <c:f>'estatística'!$B$162</c:f>
            </c:strRef>
          </c:tx>
          <c:cat>
            <c:strRef>
              <c:f>'estatística'!$C$1:$M$1</c:f>
            </c:strRef>
          </c:cat>
          <c:val>
            <c:numRef>
              <c:f>'estatística'!$C$162:$M$162</c:f>
              <c:numCache/>
            </c:numRef>
          </c:val>
        </c:ser>
        <c:ser>
          <c:idx val="161"/>
          <c:order val="161"/>
          <c:tx>
            <c:strRef>
              <c:f>'estatística'!$B$163</c:f>
            </c:strRef>
          </c:tx>
          <c:cat>
            <c:strRef>
              <c:f>'estatística'!$C$1:$M$1</c:f>
            </c:strRef>
          </c:cat>
          <c:val>
            <c:numRef>
              <c:f>'estatística'!$C$163:$M$163</c:f>
              <c:numCache/>
            </c:numRef>
          </c:val>
        </c:ser>
        <c:ser>
          <c:idx val="162"/>
          <c:order val="162"/>
          <c:tx>
            <c:strRef>
              <c:f>'estatística'!$B$164</c:f>
            </c:strRef>
          </c:tx>
          <c:cat>
            <c:strRef>
              <c:f>'estatística'!$C$1:$M$1</c:f>
            </c:strRef>
          </c:cat>
          <c:val>
            <c:numRef>
              <c:f>'estatística'!$C$164:$M$164</c:f>
              <c:numCache/>
            </c:numRef>
          </c:val>
        </c:ser>
        <c:ser>
          <c:idx val="163"/>
          <c:order val="163"/>
          <c:tx>
            <c:strRef>
              <c:f>'estatística'!$B$165</c:f>
            </c:strRef>
          </c:tx>
          <c:cat>
            <c:strRef>
              <c:f>'estatística'!$C$1:$M$1</c:f>
            </c:strRef>
          </c:cat>
          <c:val>
            <c:numRef>
              <c:f>'estatística'!$C$165:$M$165</c:f>
              <c:numCache/>
            </c:numRef>
          </c:val>
        </c:ser>
        <c:ser>
          <c:idx val="164"/>
          <c:order val="164"/>
          <c:tx>
            <c:strRef>
              <c:f>'estatística'!$B$166</c:f>
            </c:strRef>
          </c:tx>
          <c:cat>
            <c:strRef>
              <c:f>'estatística'!$C$1:$M$1</c:f>
            </c:strRef>
          </c:cat>
          <c:val>
            <c:numRef>
              <c:f>'estatística'!$C$166:$M$166</c:f>
              <c:numCache/>
            </c:numRef>
          </c:val>
        </c:ser>
        <c:ser>
          <c:idx val="165"/>
          <c:order val="165"/>
          <c:tx>
            <c:strRef>
              <c:f>'estatística'!$B$167</c:f>
            </c:strRef>
          </c:tx>
          <c:cat>
            <c:strRef>
              <c:f>'estatística'!$C$1:$M$1</c:f>
            </c:strRef>
          </c:cat>
          <c:val>
            <c:numRef>
              <c:f>'estatística'!$C$167:$M$167</c:f>
              <c:numCache/>
            </c:numRef>
          </c:val>
        </c:ser>
        <c:ser>
          <c:idx val="166"/>
          <c:order val="166"/>
          <c:tx>
            <c:strRef>
              <c:f>'estatística'!$B$168</c:f>
            </c:strRef>
          </c:tx>
          <c:cat>
            <c:strRef>
              <c:f>'estatística'!$C$1:$M$1</c:f>
            </c:strRef>
          </c:cat>
          <c:val>
            <c:numRef>
              <c:f>'estatística'!$C$168:$M$168</c:f>
              <c:numCache/>
            </c:numRef>
          </c:val>
        </c:ser>
        <c:ser>
          <c:idx val="167"/>
          <c:order val="167"/>
          <c:tx>
            <c:strRef>
              <c:f>'estatística'!$B$169</c:f>
            </c:strRef>
          </c:tx>
          <c:cat>
            <c:strRef>
              <c:f>'estatística'!$C$1:$M$1</c:f>
            </c:strRef>
          </c:cat>
          <c:val>
            <c:numRef>
              <c:f>'estatística'!$C$169:$M$169</c:f>
              <c:numCache/>
            </c:numRef>
          </c:val>
        </c:ser>
        <c:ser>
          <c:idx val="168"/>
          <c:order val="168"/>
          <c:tx>
            <c:strRef>
              <c:f>'estatística'!$B$170</c:f>
            </c:strRef>
          </c:tx>
          <c:cat>
            <c:strRef>
              <c:f>'estatística'!$C$1:$M$1</c:f>
            </c:strRef>
          </c:cat>
          <c:val>
            <c:numRef>
              <c:f>'estatística'!$C$170:$M$170</c:f>
              <c:numCache/>
            </c:numRef>
          </c:val>
        </c:ser>
        <c:ser>
          <c:idx val="169"/>
          <c:order val="169"/>
          <c:tx>
            <c:strRef>
              <c:f>'estatística'!$B$171</c:f>
            </c:strRef>
          </c:tx>
          <c:cat>
            <c:strRef>
              <c:f>'estatística'!$C$1:$M$1</c:f>
            </c:strRef>
          </c:cat>
          <c:val>
            <c:numRef>
              <c:f>'estatística'!$C$171:$M$171</c:f>
              <c:numCache/>
            </c:numRef>
          </c:val>
        </c:ser>
        <c:ser>
          <c:idx val="170"/>
          <c:order val="170"/>
          <c:tx>
            <c:strRef>
              <c:f>'estatística'!$B$172</c:f>
            </c:strRef>
          </c:tx>
          <c:cat>
            <c:strRef>
              <c:f>'estatística'!$C$1:$M$1</c:f>
            </c:strRef>
          </c:cat>
          <c:val>
            <c:numRef>
              <c:f>'estatística'!$C$172:$M$172</c:f>
              <c:numCache/>
            </c:numRef>
          </c:val>
        </c:ser>
        <c:ser>
          <c:idx val="171"/>
          <c:order val="171"/>
          <c:tx>
            <c:strRef>
              <c:f>'estatística'!$B$173</c:f>
            </c:strRef>
          </c:tx>
          <c:cat>
            <c:strRef>
              <c:f>'estatística'!$C$1:$M$1</c:f>
            </c:strRef>
          </c:cat>
          <c:val>
            <c:numRef>
              <c:f>'estatística'!$C$173:$M$173</c:f>
              <c:numCache/>
            </c:numRef>
          </c:val>
        </c:ser>
        <c:ser>
          <c:idx val="172"/>
          <c:order val="172"/>
          <c:tx>
            <c:strRef>
              <c:f>'estatística'!$B$174</c:f>
            </c:strRef>
          </c:tx>
          <c:cat>
            <c:strRef>
              <c:f>'estatística'!$C$1:$M$1</c:f>
            </c:strRef>
          </c:cat>
          <c:val>
            <c:numRef>
              <c:f>'estatística'!$C$174:$M$174</c:f>
              <c:numCache/>
            </c:numRef>
          </c:val>
        </c:ser>
        <c:ser>
          <c:idx val="173"/>
          <c:order val="173"/>
          <c:tx>
            <c:strRef>
              <c:f>'estatística'!$B$175</c:f>
            </c:strRef>
          </c:tx>
          <c:cat>
            <c:strRef>
              <c:f>'estatística'!$C$1:$M$1</c:f>
            </c:strRef>
          </c:cat>
          <c:val>
            <c:numRef>
              <c:f>'estatística'!$C$175:$M$175</c:f>
              <c:numCache/>
            </c:numRef>
          </c:val>
        </c:ser>
        <c:ser>
          <c:idx val="174"/>
          <c:order val="174"/>
          <c:tx>
            <c:strRef>
              <c:f>'estatística'!$B$176</c:f>
            </c:strRef>
          </c:tx>
          <c:cat>
            <c:strRef>
              <c:f>'estatística'!$C$1:$M$1</c:f>
            </c:strRef>
          </c:cat>
          <c:val>
            <c:numRef>
              <c:f>'estatística'!$C$176:$M$176</c:f>
              <c:numCache/>
            </c:numRef>
          </c:val>
        </c:ser>
        <c:ser>
          <c:idx val="175"/>
          <c:order val="175"/>
          <c:tx>
            <c:strRef>
              <c:f>'estatística'!$B$177</c:f>
            </c:strRef>
          </c:tx>
          <c:cat>
            <c:strRef>
              <c:f>'estatística'!$C$1:$M$1</c:f>
            </c:strRef>
          </c:cat>
          <c:val>
            <c:numRef>
              <c:f>'estatística'!$C$177:$M$177</c:f>
              <c:numCache/>
            </c:numRef>
          </c:val>
        </c:ser>
        <c:ser>
          <c:idx val="176"/>
          <c:order val="176"/>
          <c:tx>
            <c:strRef>
              <c:f>'estatística'!$B$178</c:f>
            </c:strRef>
          </c:tx>
          <c:cat>
            <c:strRef>
              <c:f>'estatística'!$C$1:$M$1</c:f>
            </c:strRef>
          </c:cat>
          <c:val>
            <c:numRef>
              <c:f>'estatística'!$C$178:$M$178</c:f>
              <c:numCache/>
            </c:numRef>
          </c:val>
        </c:ser>
        <c:ser>
          <c:idx val="177"/>
          <c:order val="177"/>
          <c:tx>
            <c:strRef>
              <c:f>'estatística'!$B$179</c:f>
            </c:strRef>
          </c:tx>
          <c:cat>
            <c:strRef>
              <c:f>'estatística'!$C$1:$M$1</c:f>
            </c:strRef>
          </c:cat>
          <c:val>
            <c:numRef>
              <c:f>'estatística'!$C$179:$M$179</c:f>
              <c:numCache/>
            </c:numRef>
          </c:val>
        </c:ser>
        <c:ser>
          <c:idx val="178"/>
          <c:order val="178"/>
          <c:tx>
            <c:strRef>
              <c:f>'estatística'!$B$180</c:f>
            </c:strRef>
          </c:tx>
          <c:cat>
            <c:strRef>
              <c:f>'estatística'!$C$1:$M$1</c:f>
            </c:strRef>
          </c:cat>
          <c:val>
            <c:numRef>
              <c:f>'estatística'!$C$180:$M$180</c:f>
              <c:numCache/>
            </c:numRef>
          </c:val>
        </c:ser>
        <c:ser>
          <c:idx val="179"/>
          <c:order val="179"/>
          <c:tx>
            <c:strRef>
              <c:f>'estatística'!$B$181</c:f>
            </c:strRef>
          </c:tx>
          <c:cat>
            <c:strRef>
              <c:f>'estatística'!$C$1:$M$1</c:f>
            </c:strRef>
          </c:cat>
          <c:val>
            <c:numRef>
              <c:f>'estatística'!$C$181:$M$181</c:f>
              <c:numCache/>
            </c:numRef>
          </c:val>
        </c:ser>
        <c:ser>
          <c:idx val="180"/>
          <c:order val="180"/>
          <c:tx>
            <c:strRef>
              <c:f>'estatística'!$B$182</c:f>
            </c:strRef>
          </c:tx>
          <c:cat>
            <c:strRef>
              <c:f>'estatística'!$C$1:$M$1</c:f>
            </c:strRef>
          </c:cat>
          <c:val>
            <c:numRef>
              <c:f>'estatística'!$C$182:$M$182</c:f>
              <c:numCache/>
            </c:numRef>
          </c:val>
        </c:ser>
        <c:ser>
          <c:idx val="181"/>
          <c:order val="181"/>
          <c:tx>
            <c:strRef>
              <c:f>'estatística'!$B$183</c:f>
            </c:strRef>
          </c:tx>
          <c:cat>
            <c:strRef>
              <c:f>'estatística'!$C$1:$M$1</c:f>
            </c:strRef>
          </c:cat>
          <c:val>
            <c:numRef>
              <c:f>'estatística'!$C$183:$M$183</c:f>
              <c:numCache/>
            </c:numRef>
          </c:val>
        </c:ser>
        <c:ser>
          <c:idx val="182"/>
          <c:order val="182"/>
          <c:tx>
            <c:strRef>
              <c:f>'estatística'!$B$184</c:f>
            </c:strRef>
          </c:tx>
          <c:cat>
            <c:strRef>
              <c:f>'estatística'!$C$1:$M$1</c:f>
            </c:strRef>
          </c:cat>
          <c:val>
            <c:numRef>
              <c:f>'estatística'!$C$184:$M$184</c:f>
              <c:numCache/>
            </c:numRef>
          </c:val>
        </c:ser>
        <c:ser>
          <c:idx val="183"/>
          <c:order val="183"/>
          <c:tx>
            <c:strRef>
              <c:f>'estatística'!$B$185</c:f>
            </c:strRef>
          </c:tx>
          <c:cat>
            <c:strRef>
              <c:f>'estatística'!$C$1:$M$1</c:f>
            </c:strRef>
          </c:cat>
          <c:val>
            <c:numRef>
              <c:f>'estatística'!$C$185:$M$185</c:f>
              <c:numCache/>
            </c:numRef>
          </c:val>
        </c:ser>
        <c:ser>
          <c:idx val="184"/>
          <c:order val="184"/>
          <c:tx>
            <c:strRef>
              <c:f>'estatística'!$B$186</c:f>
            </c:strRef>
          </c:tx>
          <c:cat>
            <c:strRef>
              <c:f>'estatística'!$C$1:$M$1</c:f>
            </c:strRef>
          </c:cat>
          <c:val>
            <c:numRef>
              <c:f>'estatística'!$C$186:$M$186</c:f>
              <c:numCache/>
            </c:numRef>
          </c:val>
        </c:ser>
        <c:ser>
          <c:idx val="185"/>
          <c:order val="185"/>
          <c:tx>
            <c:strRef>
              <c:f>'estatística'!$B$187</c:f>
            </c:strRef>
          </c:tx>
          <c:cat>
            <c:strRef>
              <c:f>'estatística'!$C$1:$M$1</c:f>
            </c:strRef>
          </c:cat>
          <c:val>
            <c:numRef>
              <c:f>'estatística'!$C$187:$M$187</c:f>
              <c:numCache/>
            </c:numRef>
          </c:val>
        </c:ser>
        <c:ser>
          <c:idx val="186"/>
          <c:order val="186"/>
          <c:tx>
            <c:strRef>
              <c:f>'estatística'!$B$188</c:f>
            </c:strRef>
          </c:tx>
          <c:cat>
            <c:strRef>
              <c:f>'estatística'!$C$1:$M$1</c:f>
            </c:strRef>
          </c:cat>
          <c:val>
            <c:numRef>
              <c:f>'estatística'!$C$188:$M$188</c:f>
              <c:numCache/>
            </c:numRef>
          </c:val>
        </c:ser>
        <c:ser>
          <c:idx val="187"/>
          <c:order val="187"/>
          <c:tx>
            <c:strRef>
              <c:f>'estatística'!$B$189</c:f>
            </c:strRef>
          </c:tx>
          <c:cat>
            <c:strRef>
              <c:f>'estatística'!$C$1:$M$1</c:f>
            </c:strRef>
          </c:cat>
          <c:val>
            <c:numRef>
              <c:f>'estatística'!$C$189:$M$189</c:f>
              <c:numCache/>
            </c:numRef>
          </c:val>
        </c:ser>
        <c:ser>
          <c:idx val="188"/>
          <c:order val="188"/>
          <c:tx>
            <c:strRef>
              <c:f>'estatística'!$B$190</c:f>
            </c:strRef>
          </c:tx>
          <c:cat>
            <c:strRef>
              <c:f>'estatística'!$C$1:$M$1</c:f>
            </c:strRef>
          </c:cat>
          <c:val>
            <c:numRef>
              <c:f>'estatística'!$C$190:$M$190</c:f>
              <c:numCache/>
            </c:numRef>
          </c:val>
        </c:ser>
        <c:ser>
          <c:idx val="189"/>
          <c:order val="189"/>
          <c:tx>
            <c:strRef>
              <c:f>'estatística'!$B$191</c:f>
            </c:strRef>
          </c:tx>
          <c:cat>
            <c:strRef>
              <c:f>'estatística'!$C$1:$M$1</c:f>
            </c:strRef>
          </c:cat>
          <c:val>
            <c:numRef>
              <c:f>'estatística'!$C$191:$M$191</c:f>
              <c:numCache/>
            </c:numRef>
          </c:val>
        </c:ser>
        <c:ser>
          <c:idx val="190"/>
          <c:order val="190"/>
          <c:tx>
            <c:strRef>
              <c:f>'estatística'!$B$192</c:f>
            </c:strRef>
          </c:tx>
          <c:cat>
            <c:strRef>
              <c:f>'estatística'!$C$1:$M$1</c:f>
            </c:strRef>
          </c:cat>
          <c:val>
            <c:numRef>
              <c:f>'estatística'!$C$192:$M$192</c:f>
              <c:numCache/>
            </c:numRef>
          </c:val>
        </c:ser>
        <c:ser>
          <c:idx val="191"/>
          <c:order val="191"/>
          <c:tx>
            <c:strRef>
              <c:f>'estatística'!$B$193</c:f>
            </c:strRef>
          </c:tx>
          <c:cat>
            <c:strRef>
              <c:f>'estatística'!$C$1:$M$1</c:f>
            </c:strRef>
          </c:cat>
          <c:val>
            <c:numRef>
              <c:f>'estatística'!$C$193:$M$193</c:f>
              <c:numCache/>
            </c:numRef>
          </c:val>
        </c:ser>
        <c:ser>
          <c:idx val="192"/>
          <c:order val="192"/>
          <c:tx>
            <c:strRef>
              <c:f>'estatística'!$B$194</c:f>
            </c:strRef>
          </c:tx>
          <c:cat>
            <c:strRef>
              <c:f>'estatística'!$C$1:$M$1</c:f>
            </c:strRef>
          </c:cat>
          <c:val>
            <c:numRef>
              <c:f>'estatística'!$C$194:$M$194</c:f>
              <c:numCache/>
            </c:numRef>
          </c:val>
        </c:ser>
        <c:ser>
          <c:idx val="193"/>
          <c:order val="193"/>
          <c:tx>
            <c:strRef>
              <c:f>'estatística'!$B$195</c:f>
            </c:strRef>
          </c:tx>
          <c:cat>
            <c:strRef>
              <c:f>'estatística'!$C$1:$M$1</c:f>
            </c:strRef>
          </c:cat>
          <c:val>
            <c:numRef>
              <c:f>'estatística'!$C$195:$M$195</c:f>
              <c:numCache/>
            </c:numRef>
          </c:val>
        </c:ser>
        <c:ser>
          <c:idx val="194"/>
          <c:order val="194"/>
          <c:tx>
            <c:strRef>
              <c:f>'estatística'!$B$196</c:f>
            </c:strRef>
          </c:tx>
          <c:cat>
            <c:strRef>
              <c:f>'estatística'!$C$1:$M$1</c:f>
            </c:strRef>
          </c:cat>
          <c:val>
            <c:numRef>
              <c:f>'estatística'!$C$196:$M$196</c:f>
              <c:numCache/>
            </c:numRef>
          </c:val>
        </c:ser>
        <c:ser>
          <c:idx val="195"/>
          <c:order val="195"/>
          <c:tx>
            <c:strRef>
              <c:f>'estatística'!$B$197</c:f>
            </c:strRef>
          </c:tx>
          <c:cat>
            <c:strRef>
              <c:f>'estatística'!$C$1:$M$1</c:f>
            </c:strRef>
          </c:cat>
          <c:val>
            <c:numRef>
              <c:f>'estatística'!$C$197:$M$197</c:f>
              <c:numCache/>
            </c:numRef>
          </c:val>
        </c:ser>
        <c:ser>
          <c:idx val="196"/>
          <c:order val="196"/>
          <c:tx>
            <c:strRef>
              <c:f>'estatística'!$B$198</c:f>
            </c:strRef>
          </c:tx>
          <c:cat>
            <c:strRef>
              <c:f>'estatística'!$C$1:$M$1</c:f>
            </c:strRef>
          </c:cat>
          <c:val>
            <c:numRef>
              <c:f>'estatística'!$C$198:$M$198</c:f>
              <c:numCache/>
            </c:numRef>
          </c:val>
        </c:ser>
        <c:ser>
          <c:idx val="197"/>
          <c:order val="197"/>
          <c:tx>
            <c:strRef>
              <c:f>'estatística'!$B$199</c:f>
            </c:strRef>
          </c:tx>
          <c:cat>
            <c:strRef>
              <c:f>'estatística'!$C$1:$M$1</c:f>
            </c:strRef>
          </c:cat>
          <c:val>
            <c:numRef>
              <c:f>'estatística'!$C$199:$M$199</c:f>
              <c:numCache/>
            </c:numRef>
          </c:val>
        </c:ser>
        <c:ser>
          <c:idx val="198"/>
          <c:order val="198"/>
          <c:tx>
            <c:strRef>
              <c:f>'estatística'!$B$200</c:f>
            </c:strRef>
          </c:tx>
          <c:cat>
            <c:strRef>
              <c:f>'estatística'!$C$1:$M$1</c:f>
            </c:strRef>
          </c:cat>
          <c:val>
            <c:numRef>
              <c:f>'estatística'!$C$200:$M$200</c:f>
              <c:numCache/>
            </c:numRef>
          </c:val>
        </c:ser>
        <c:ser>
          <c:idx val="199"/>
          <c:order val="199"/>
          <c:tx>
            <c:strRef>
              <c:f>'estatística'!$B$201</c:f>
            </c:strRef>
          </c:tx>
          <c:cat>
            <c:strRef>
              <c:f>'estatística'!$C$1:$M$1</c:f>
            </c:strRef>
          </c:cat>
          <c:val>
            <c:numRef>
              <c:f>'estatística'!$C$201:$M$201</c:f>
              <c:numCache/>
            </c:numRef>
          </c:val>
        </c:ser>
        <c:ser>
          <c:idx val="200"/>
          <c:order val="200"/>
          <c:tx>
            <c:strRef>
              <c:f>'estatística'!$B$202</c:f>
            </c:strRef>
          </c:tx>
          <c:cat>
            <c:strRef>
              <c:f>'estatística'!$C$1:$M$1</c:f>
            </c:strRef>
          </c:cat>
          <c:val>
            <c:numRef>
              <c:f>'estatística'!$C$202:$M$202</c:f>
              <c:numCache/>
            </c:numRef>
          </c:val>
        </c:ser>
        <c:ser>
          <c:idx val="201"/>
          <c:order val="201"/>
          <c:tx>
            <c:strRef>
              <c:f>'estatística'!$B$203</c:f>
            </c:strRef>
          </c:tx>
          <c:cat>
            <c:strRef>
              <c:f>'estatística'!$C$1:$M$1</c:f>
            </c:strRef>
          </c:cat>
          <c:val>
            <c:numRef>
              <c:f>'estatística'!$C$203:$M$203</c:f>
              <c:numCache/>
            </c:numRef>
          </c:val>
        </c:ser>
        <c:ser>
          <c:idx val="202"/>
          <c:order val="202"/>
          <c:tx>
            <c:strRef>
              <c:f>'estatística'!$B$204</c:f>
            </c:strRef>
          </c:tx>
          <c:cat>
            <c:strRef>
              <c:f>'estatística'!$C$1:$M$1</c:f>
            </c:strRef>
          </c:cat>
          <c:val>
            <c:numRef>
              <c:f>'estatística'!$C$204:$M$204</c:f>
              <c:numCache/>
            </c:numRef>
          </c:val>
        </c:ser>
        <c:ser>
          <c:idx val="203"/>
          <c:order val="203"/>
          <c:tx>
            <c:strRef>
              <c:f>'estatística'!$B$205</c:f>
            </c:strRef>
          </c:tx>
          <c:cat>
            <c:strRef>
              <c:f>'estatística'!$C$1:$M$1</c:f>
            </c:strRef>
          </c:cat>
          <c:val>
            <c:numRef>
              <c:f>'estatística'!$C$205:$M$205</c:f>
              <c:numCache/>
            </c:numRef>
          </c:val>
        </c:ser>
        <c:ser>
          <c:idx val="204"/>
          <c:order val="204"/>
          <c:tx>
            <c:strRef>
              <c:f>'estatística'!$B$206</c:f>
            </c:strRef>
          </c:tx>
          <c:cat>
            <c:strRef>
              <c:f>'estatística'!$C$1:$M$1</c:f>
            </c:strRef>
          </c:cat>
          <c:val>
            <c:numRef>
              <c:f>'estatística'!$C$206:$M$206</c:f>
              <c:numCache/>
            </c:numRef>
          </c:val>
        </c:ser>
        <c:ser>
          <c:idx val="205"/>
          <c:order val="205"/>
          <c:tx>
            <c:strRef>
              <c:f>'estatística'!$B$207</c:f>
            </c:strRef>
          </c:tx>
          <c:cat>
            <c:strRef>
              <c:f>'estatística'!$C$1:$M$1</c:f>
            </c:strRef>
          </c:cat>
          <c:val>
            <c:numRef>
              <c:f>'estatística'!$C$207:$M$207</c:f>
              <c:numCache/>
            </c:numRef>
          </c:val>
        </c:ser>
        <c:ser>
          <c:idx val="206"/>
          <c:order val="206"/>
          <c:tx>
            <c:strRef>
              <c:f>'estatística'!$B$208</c:f>
            </c:strRef>
          </c:tx>
          <c:cat>
            <c:strRef>
              <c:f>'estatística'!$C$1:$M$1</c:f>
            </c:strRef>
          </c:cat>
          <c:val>
            <c:numRef>
              <c:f>'estatística'!$C$208:$M$208</c:f>
              <c:numCache/>
            </c:numRef>
          </c:val>
        </c:ser>
        <c:ser>
          <c:idx val="207"/>
          <c:order val="207"/>
          <c:tx>
            <c:strRef>
              <c:f>'estatística'!$B$209</c:f>
            </c:strRef>
          </c:tx>
          <c:cat>
            <c:strRef>
              <c:f>'estatística'!$C$1:$M$1</c:f>
            </c:strRef>
          </c:cat>
          <c:val>
            <c:numRef>
              <c:f>'estatística'!$C$209:$M$209</c:f>
              <c:numCache/>
            </c:numRef>
          </c:val>
        </c:ser>
        <c:ser>
          <c:idx val="208"/>
          <c:order val="208"/>
          <c:tx>
            <c:strRef>
              <c:f>'estatística'!$B$210</c:f>
            </c:strRef>
          </c:tx>
          <c:cat>
            <c:strRef>
              <c:f>'estatística'!$C$1:$M$1</c:f>
            </c:strRef>
          </c:cat>
          <c:val>
            <c:numRef>
              <c:f>'estatística'!$C$210:$M$210</c:f>
              <c:numCache/>
            </c:numRef>
          </c:val>
        </c:ser>
        <c:ser>
          <c:idx val="209"/>
          <c:order val="209"/>
          <c:tx>
            <c:strRef>
              <c:f>'estatística'!$B$211</c:f>
            </c:strRef>
          </c:tx>
          <c:cat>
            <c:strRef>
              <c:f>'estatística'!$C$1:$M$1</c:f>
            </c:strRef>
          </c:cat>
          <c:val>
            <c:numRef>
              <c:f>'estatística'!$C$211:$M$211</c:f>
              <c:numCache/>
            </c:numRef>
          </c:val>
        </c:ser>
        <c:ser>
          <c:idx val="210"/>
          <c:order val="210"/>
          <c:tx>
            <c:strRef>
              <c:f>'estatística'!$B$212</c:f>
            </c:strRef>
          </c:tx>
          <c:cat>
            <c:strRef>
              <c:f>'estatística'!$C$1:$M$1</c:f>
            </c:strRef>
          </c:cat>
          <c:val>
            <c:numRef>
              <c:f>'estatística'!$C$212:$M$212</c:f>
              <c:numCache/>
            </c:numRef>
          </c:val>
        </c:ser>
        <c:ser>
          <c:idx val="211"/>
          <c:order val="211"/>
          <c:tx>
            <c:strRef>
              <c:f>'estatística'!$B$213</c:f>
            </c:strRef>
          </c:tx>
          <c:cat>
            <c:strRef>
              <c:f>'estatística'!$C$1:$M$1</c:f>
            </c:strRef>
          </c:cat>
          <c:val>
            <c:numRef>
              <c:f>'estatística'!$C$213:$M$213</c:f>
              <c:numCache/>
            </c:numRef>
          </c:val>
        </c:ser>
        <c:ser>
          <c:idx val="212"/>
          <c:order val="212"/>
          <c:tx>
            <c:strRef>
              <c:f>'estatística'!$B$214</c:f>
            </c:strRef>
          </c:tx>
          <c:cat>
            <c:strRef>
              <c:f>'estatística'!$C$1:$M$1</c:f>
            </c:strRef>
          </c:cat>
          <c:val>
            <c:numRef>
              <c:f>'estatística'!$C$214:$M$214</c:f>
              <c:numCache/>
            </c:numRef>
          </c:val>
        </c:ser>
        <c:ser>
          <c:idx val="213"/>
          <c:order val="213"/>
          <c:tx>
            <c:strRef>
              <c:f>'estatística'!$B$215</c:f>
            </c:strRef>
          </c:tx>
          <c:cat>
            <c:strRef>
              <c:f>'estatística'!$C$1:$M$1</c:f>
            </c:strRef>
          </c:cat>
          <c:val>
            <c:numRef>
              <c:f>'estatística'!$C$215:$M$215</c:f>
              <c:numCache/>
            </c:numRef>
          </c:val>
        </c:ser>
        <c:ser>
          <c:idx val="214"/>
          <c:order val="214"/>
          <c:tx>
            <c:strRef>
              <c:f>'estatística'!$B$216</c:f>
            </c:strRef>
          </c:tx>
          <c:cat>
            <c:strRef>
              <c:f>'estatística'!$C$1:$M$1</c:f>
            </c:strRef>
          </c:cat>
          <c:val>
            <c:numRef>
              <c:f>'estatística'!$C$216:$M$216</c:f>
              <c:numCache/>
            </c:numRef>
          </c:val>
        </c:ser>
        <c:ser>
          <c:idx val="215"/>
          <c:order val="215"/>
          <c:tx>
            <c:strRef>
              <c:f>'estatística'!$B$217</c:f>
            </c:strRef>
          </c:tx>
          <c:cat>
            <c:strRef>
              <c:f>'estatística'!$C$1:$M$1</c:f>
            </c:strRef>
          </c:cat>
          <c:val>
            <c:numRef>
              <c:f>'estatística'!$C$217:$M$217</c:f>
              <c:numCache/>
            </c:numRef>
          </c:val>
        </c:ser>
        <c:ser>
          <c:idx val="216"/>
          <c:order val="216"/>
          <c:tx>
            <c:strRef>
              <c:f>'estatística'!$B$218</c:f>
            </c:strRef>
          </c:tx>
          <c:cat>
            <c:strRef>
              <c:f>'estatística'!$C$1:$M$1</c:f>
            </c:strRef>
          </c:cat>
          <c:val>
            <c:numRef>
              <c:f>'estatística'!$C$218:$M$218</c:f>
              <c:numCache/>
            </c:numRef>
          </c:val>
        </c:ser>
        <c:ser>
          <c:idx val="217"/>
          <c:order val="217"/>
          <c:tx>
            <c:strRef>
              <c:f>'estatística'!$B$219</c:f>
            </c:strRef>
          </c:tx>
          <c:cat>
            <c:strRef>
              <c:f>'estatística'!$C$1:$M$1</c:f>
            </c:strRef>
          </c:cat>
          <c:val>
            <c:numRef>
              <c:f>'estatística'!$C$219:$M$219</c:f>
              <c:numCache/>
            </c:numRef>
          </c:val>
        </c:ser>
        <c:ser>
          <c:idx val="218"/>
          <c:order val="218"/>
          <c:tx>
            <c:strRef>
              <c:f>'estatística'!$B$220</c:f>
            </c:strRef>
          </c:tx>
          <c:cat>
            <c:strRef>
              <c:f>'estatística'!$C$1:$M$1</c:f>
            </c:strRef>
          </c:cat>
          <c:val>
            <c:numRef>
              <c:f>'estatística'!$C$220:$M$220</c:f>
              <c:numCache/>
            </c:numRef>
          </c:val>
        </c:ser>
        <c:ser>
          <c:idx val="219"/>
          <c:order val="219"/>
          <c:tx>
            <c:strRef>
              <c:f>'estatística'!$B$221</c:f>
            </c:strRef>
          </c:tx>
          <c:cat>
            <c:strRef>
              <c:f>'estatística'!$C$1:$M$1</c:f>
            </c:strRef>
          </c:cat>
          <c:val>
            <c:numRef>
              <c:f>'estatística'!$C$221:$M$221</c:f>
              <c:numCache/>
            </c:numRef>
          </c:val>
        </c:ser>
        <c:ser>
          <c:idx val="220"/>
          <c:order val="220"/>
          <c:tx>
            <c:strRef>
              <c:f>'estatística'!$B$222</c:f>
            </c:strRef>
          </c:tx>
          <c:cat>
            <c:strRef>
              <c:f>'estatística'!$C$1:$M$1</c:f>
            </c:strRef>
          </c:cat>
          <c:val>
            <c:numRef>
              <c:f>'estatística'!$C$222:$M$222</c:f>
              <c:numCache/>
            </c:numRef>
          </c:val>
        </c:ser>
        <c:ser>
          <c:idx val="221"/>
          <c:order val="221"/>
          <c:tx>
            <c:strRef>
              <c:f>'estatística'!$B$223</c:f>
            </c:strRef>
          </c:tx>
          <c:cat>
            <c:strRef>
              <c:f>'estatística'!$C$1:$M$1</c:f>
            </c:strRef>
          </c:cat>
          <c:val>
            <c:numRef>
              <c:f>'estatística'!$C$223:$M$223</c:f>
              <c:numCache/>
            </c:numRef>
          </c:val>
        </c:ser>
        <c:ser>
          <c:idx val="222"/>
          <c:order val="222"/>
          <c:tx>
            <c:strRef>
              <c:f>'estatística'!$B$224</c:f>
            </c:strRef>
          </c:tx>
          <c:cat>
            <c:strRef>
              <c:f>'estatística'!$C$1:$M$1</c:f>
            </c:strRef>
          </c:cat>
          <c:val>
            <c:numRef>
              <c:f>'estatística'!$C$224:$M$224</c:f>
              <c:numCache/>
            </c:numRef>
          </c:val>
        </c:ser>
        <c:ser>
          <c:idx val="223"/>
          <c:order val="223"/>
          <c:tx>
            <c:strRef>
              <c:f>'estatística'!$B$225</c:f>
            </c:strRef>
          </c:tx>
          <c:cat>
            <c:strRef>
              <c:f>'estatística'!$C$1:$M$1</c:f>
            </c:strRef>
          </c:cat>
          <c:val>
            <c:numRef>
              <c:f>'estatística'!$C$225:$M$225</c:f>
              <c:numCache/>
            </c:numRef>
          </c:val>
        </c:ser>
        <c:ser>
          <c:idx val="224"/>
          <c:order val="224"/>
          <c:tx>
            <c:strRef>
              <c:f>'estatística'!$B$226</c:f>
            </c:strRef>
          </c:tx>
          <c:cat>
            <c:strRef>
              <c:f>'estatística'!$C$1:$M$1</c:f>
            </c:strRef>
          </c:cat>
          <c:val>
            <c:numRef>
              <c:f>'estatística'!$C$226:$M$226</c:f>
              <c:numCache/>
            </c:numRef>
          </c:val>
        </c:ser>
        <c:ser>
          <c:idx val="225"/>
          <c:order val="225"/>
          <c:tx>
            <c:strRef>
              <c:f>'estatística'!$B$227</c:f>
            </c:strRef>
          </c:tx>
          <c:cat>
            <c:strRef>
              <c:f>'estatística'!$C$1:$M$1</c:f>
            </c:strRef>
          </c:cat>
          <c:val>
            <c:numRef>
              <c:f>'estatística'!$C$227:$M$227</c:f>
              <c:numCache/>
            </c:numRef>
          </c:val>
        </c:ser>
        <c:ser>
          <c:idx val="226"/>
          <c:order val="226"/>
          <c:tx>
            <c:strRef>
              <c:f>'estatística'!$B$228</c:f>
            </c:strRef>
          </c:tx>
          <c:cat>
            <c:strRef>
              <c:f>'estatística'!$C$1:$M$1</c:f>
            </c:strRef>
          </c:cat>
          <c:val>
            <c:numRef>
              <c:f>'estatística'!$C$228:$M$228</c:f>
              <c:numCache/>
            </c:numRef>
          </c:val>
        </c:ser>
        <c:ser>
          <c:idx val="227"/>
          <c:order val="227"/>
          <c:tx>
            <c:strRef>
              <c:f>'estatística'!$B$229</c:f>
            </c:strRef>
          </c:tx>
          <c:cat>
            <c:strRef>
              <c:f>'estatística'!$C$1:$M$1</c:f>
            </c:strRef>
          </c:cat>
          <c:val>
            <c:numRef>
              <c:f>'estatística'!$C$229:$M$229</c:f>
              <c:numCache/>
            </c:numRef>
          </c:val>
        </c:ser>
        <c:ser>
          <c:idx val="228"/>
          <c:order val="228"/>
          <c:tx>
            <c:strRef>
              <c:f>'estatística'!$B$230</c:f>
            </c:strRef>
          </c:tx>
          <c:cat>
            <c:strRef>
              <c:f>'estatística'!$C$1:$M$1</c:f>
            </c:strRef>
          </c:cat>
          <c:val>
            <c:numRef>
              <c:f>'estatística'!$C$230:$M$230</c:f>
              <c:numCache/>
            </c:numRef>
          </c:val>
        </c:ser>
        <c:ser>
          <c:idx val="229"/>
          <c:order val="229"/>
          <c:tx>
            <c:strRef>
              <c:f>'estatística'!$B$231</c:f>
            </c:strRef>
          </c:tx>
          <c:cat>
            <c:strRef>
              <c:f>'estatística'!$C$1:$M$1</c:f>
            </c:strRef>
          </c:cat>
          <c:val>
            <c:numRef>
              <c:f>'estatística'!$C$231:$M$231</c:f>
              <c:numCache/>
            </c:numRef>
          </c:val>
        </c:ser>
        <c:ser>
          <c:idx val="230"/>
          <c:order val="230"/>
          <c:tx>
            <c:strRef>
              <c:f>'estatística'!$B$232</c:f>
            </c:strRef>
          </c:tx>
          <c:cat>
            <c:strRef>
              <c:f>'estatística'!$C$1:$M$1</c:f>
            </c:strRef>
          </c:cat>
          <c:val>
            <c:numRef>
              <c:f>'estatística'!$C$232:$M$232</c:f>
              <c:numCache/>
            </c:numRef>
          </c:val>
        </c:ser>
        <c:ser>
          <c:idx val="231"/>
          <c:order val="231"/>
          <c:tx>
            <c:strRef>
              <c:f>'estatística'!$B$233</c:f>
            </c:strRef>
          </c:tx>
          <c:cat>
            <c:strRef>
              <c:f>'estatística'!$C$1:$M$1</c:f>
            </c:strRef>
          </c:cat>
          <c:val>
            <c:numRef>
              <c:f>'estatística'!$C$233:$M$233</c:f>
              <c:numCache/>
            </c:numRef>
          </c:val>
        </c:ser>
        <c:ser>
          <c:idx val="232"/>
          <c:order val="232"/>
          <c:tx>
            <c:strRef>
              <c:f>'estatística'!$B$234</c:f>
            </c:strRef>
          </c:tx>
          <c:cat>
            <c:strRef>
              <c:f>'estatística'!$C$1:$M$1</c:f>
            </c:strRef>
          </c:cat>
          <c:val>
            <c:numRef>
              <c:f>'estatística'!$C$234:$M$234</c:f>
              <c:numCache/>
            </c:numRef>
          </c:val>
        </c:ser>
        <c:ser>
          <c:idx val="233"/>
          <c:order val="233"/>
          <c:tx>
            <c:strRef>
              <c:f>'estatística'!$B$235</c:f>
            </c:strRef>
          </c:tx>
          <c:cat>
            <c:strRef>
              <c:f>'estatística'!$C$1:$M$1</c:f>
            </c:strRef>
          </c:cat>
          <c:val>
            <c:numRef>
              <c:f>'estatística'!$C$235:$M$235</c:f>
              <c:numCache/>
            </c:numRef>
          </c:val>
        </c:ser>
        <c:ser>
          <c:idx val="234"/>
          <c:order val="234"/>
          <c:tx>
            <c:strRef>
              <c:f>'estatística'!$B$236</c:f>
            </c:strRef>
          </c:tx>
          <c:cat>
            <c:strRef>
              <c:f>'estatística'!$C$1:$M$1</c:f>
            </c:strRef>
          </c:cat>
          <c:val>
            <c:numRef>
              <c:f>'estatística'!$C$236:$M$236</c:f>
              <c:numCache/>
            </c:numRef>
          </c:val>
        </c:ser>
        <c:ser>
          <c:idx val="235"/>
          <c:order val="235"/>
          <c:tx>
            <c:strRef>
              <c:f>'estatística'!$B$237</c:f>
            </c:strRef>
          </c:tx>
          <c:cat>
            <c:strRef>
              <c:f>'estatística'!$C$1:$M$1</c:f>
            </c:strRef>
          </c:cat>
          <c:val>
            <c:numRef>
              <c:f>'estatística'!$C$237:$M$237</c:f>
              <c:numCache/>
            </c:numRef>
          </c:val>
        </c:ser>
        <c:ser>
          <c:idx val="236"/>
          <c:order val="236"/>
          <c:tx>
            <c:strRef>
              <c:f>'estatística'!$B$238</c:f>
            </c:strRef>
          </c:tx>
          <c:cat>
            <c:strRef>
              <c:f>'estatística'!$C$1:$M$1</c:f>
            </c:strRef>
          </c:cat>
          <c:val>
            <c:numRef>
              <c:f>'estatística'!$C$238:$M$238</c:f>
              <c:numCache/>
            </c:numRef>
          </c:val>
        </c:ser>
        <c:ser>
          <c:idx val="237"/>
          <c:order val="237"/>
          <c:tx>
            <c:strRef>
              <c:f>'estatística'!$B$239</c:f>
            </c:strRef>
          </c:tx>
          <c:cat>
            <c:strRef>
              <c:f>'estatística'!$C$1:$M$1</c:f>
            </c:strRef>
          </c:cat>
          <c:val>
            <c:numRef>
              <c:f>'estatística'!$C$239:$M$239</c:f>
              <c:numCache/>
            </c:numRef>
          </c:val>
        </c:ser>
        <c:ser>
          <c:idx val="238"/>
          <c:order val="238"/>
          <c:tx>
            <c:strRef>
              <c:f>'estatística'!$B$240</c:f>
            </c:strRef>
          </c:tx>
          <c:cat>
            <c:strRef>
              <c:f>'estatística'!$C$1:$M$1</c:f>
            </c:strRef>
          </c:cat>
          <c:val>
            <c:numRef>
              <c:f>'estatística'!$C$240:$M$240</c:f>
              <c:numCache/>
            </c:numRef>
          </c:val>
        </c:ser>
        <c:ser>
          <c:idx val="239"/>
          <c:order val="239"/>
          <c:tx>
            <c:strRef>
              <c:f>'estatística'!$B$241</c:f>
            </c:strRef>
          </c:tx>
          <c:cat>
            <c:strRef>
              <c:f>'estatística'!$C$1:$M$1</c:f>
            </c:strRef>
          </c:cat>
          <c:val>
            <c:numRef>
              <c:f>'estatística'!$C$241:$M$241</c:f>
              <c:numCache/>
            </c:numRef>
          </c:val>
        </c:ser>
        <c:ser>
          <c:idx val="240"/>
          <c:order val="240"/>
          <c:tx>
            <c:strRef>
              <c:f>'estatística'!$B$242</c:f>
            </c:strRef>
          </c:tx>
          <c:cat>
            <c:strRef>
              <c:f>'estatística'!$C$1:$M$1</c:f>
            </c:strRef>
          </c:cat>
          <c:val>
            <c:numRef>
              <c:f>'estatística'!$C$242:$M$242</c:f>
              <c:numCache/>
            </c:numRef>
          </c:val>
        </c:ser>
        <c:ser>
          <c:idx val="241"/>
          <c:order val="241"/>
          <c:tx>
            <c:strRef>
              <c:f>'estatística'!$B$243</c:f>
            </c:strRef>
          </c:tx>
          <c:cat>
            <c:strRef>
              <c:f>'estatística'!$C$1:$M$1</c:f>
            </c:strRef>
          </c:cat>
          <c:val>
            <c:numRef>
              <c:f>'estatística'!$C$243:$M$243</c:f>
              <c:numCache/>
            </c:numRef>
          </c:val>
        </c:ser>
        <c:ser>
          <c:idx val="242"/>
          <c:order val="242"/>
          <c:tx>
            <c:strRef>
              <c:f>'estatística'!$B$244</c:f>
            </c:strRef>
          </c:tx>
          <c:cat>
            <c:strRef>
              <c:f>'estatística'!$C$1:$M$1</c:f>
            </c:strRef>
          </c:cat>
          <c:val>
            <c:numRef>
              <c:f>'estatística'!$C$244:$M$244</c:f>
              <c:numCache/>
            </c:numRef>
          </c:val>
        </c:ser>
        <c:ser>
          <c:idx val="243"/>
          <c:order val="243"/>
          <c:tx>
            <c:strRef>
              <c:f>'estatística'!$B$245</c:f>
            </c:strRef>
          </c:tx>
          <c:cat>
            <c:strRef>
              <c:f>'estatística'!$C$1:$M$1</c:f>
            </c:strRef>
          </c:cat>
          <c:val>
            <c:numRef>
              <c:f>'estatística'!$C$245:$M$245</c:f>
              <c:numCache/>
            </c:numRef>
          </c:val>
        </c:ser>
        <c:ser>
          <c:idx val="244"/>
          <c:order val="244"/>
          <c:tx>
            <c:strRef>
              <c:f>'estatística'!$B$246</c:f>
            </c:strRef>
          </c:tx>
          <c:cat>
            <c:strRef>
              <c:f>'estatística'!$C$1:$M$1</c:f>
            </c:strRef>
          </c:cat>
          <c:val>
            <c:numRef>
              <c:f>'estatística'!$C$246:$M$246</c:f>
              <c:numCache/>
            </c:numRef>
          </c:val>
        </c:ser>
        <c:ser>
          <c:idx val="245"/>
          <c:order val="245"/>
          <c:tx>
            <c:strRef>
              <c:f>'estatística'!$B$247</c:f>
            </c:strRef>
          </c:tx>
          <c:cat>
            <c:strRef>
              <c:f>'estatística'!$C$1:$M$1</c:f>
            </c:strRef>
          </c:cat>
          <c:val>
            <c:numRef>
              <c:f>'estatística'!$C$247:$M$247</c:f>
              <c:numCache/>
            </c:numRef>
          </c:val>
        </c:ser>
        <c:ser>
          <c:idx val="246"/>
          <c:order val="246"/>
          <c:tx>
            <c:strRef>
              <c:f>'estatística'!$B$248</c:f>
            </c:strRef>
          </c:tx>
          <c:cat>
            <c:strRef>
              <c:f>'estatística'!$C$1:$M$1</c:f>
            </c:strRef>
          </c:cat>
          <c:val>
            <c:numRef>
              <c:f>'estatística'!$C$248:$M$248</c:f>
              <c:numCache/>
            </c:numRef>
          </c:val>
        </c:ser>
        <c:ser>
          <c:idx val="247"/>
          <c:order val="247"/>
          <c:tx>
            <c:strRef>
              <c:f>'estatística'!$B$249</c:f>
            </c:strRef>
          </c:tx>
          <c:cat>
            <c:strRef>
              <c:f>'estatística'!$C$1:$M$1</c:f>
            </c:strRef>
          </c:cat>
          <c:val>
            <c:numRef>
              <c:f>'estatística'!$C$249:$M$249</c:f>
              <c:numCache/>
            </c:numRef>
          </c:val>
        </c:ser>
        <c:ser>
          <c:idx val="248"/>
          <c:order val="248"/>
          <c:tx>
            <c:strRef>
              <c:f>'estatística'!$B$250</c:f>
            </c:strRef>
          </c:tx>
          <c:cat>
            <c:strRef>
              <c:f>'estatística'!$C$1:$M$1</c:f>
            </c:strRef>
          </c:cat>
          <c:val>
            <c:numRef>
              <c:f>'estatística'!$C$250:$M$250</c:f>
              <c:numCache/>
            </c:numRef>
          </c:val>
        </c:ser>
        <c:ser>
          <c:idx val="249"/>
          <c:order val="249"/>
          <c:tx>
            <c:strRef>
              <c:f>'estatística'!$B$251</c:f>
            </c:strRef>
          </c:tx>
          <c:cat>
            <c:strRef>
              <c:f>'estatística'!$C$1:$M$1</c:f>
            </c:strRef>
          </c:cat>
          <c:val>
            <c:numRef>
              <c:f>'estatística'!$C$251:$M$251</c:f>
              <c:numCache/>
            </c:numRef>
          </c:val>
        </c:ser>
        <c:ser>
          <c:idx val="250"/>
          <c:order val="250"/>
          <c:tx>
            <c:strRef>
              <c:f>'estatística'!$B$252</c:f>
            </c:strRef>
          </c:tx>
          <c:cat>
            <c:strRef>
              <c:f>'estatística'!$C$1:$M$1</c:f>
            </c:strRef>
          </c:cat>
          <c:val>
            <c:numRef>
              <c:f>'estatística'!$C$252:$M$252</c:f>
              <c:numCache/>
            </c:numRef>
          </c:val>
        </c:ser>
        <c:ser>
          <c:idx val="251"/>
          <c:order val="251"/>
          <c:tx>
            <c:strRef>
              <c:f>'estatística'!$B$253</c:f>
            </c:strRef>
          </c:tx>
          <c:cat>
            <c:strRef>
              <c:f>'estatística'!$C$1:$M$1</c:f>
            </c:strRef>
          </c:cat>
          <c:val>
            <c:numRef>
              <c:f>'estatística'!$C$253:$M$253</c:f>
              <c:numCache/>
            </c:numRef>
          </c:val>
        </c:ser>
        <c:ser>
          <c:idx val="252"/>
          <c:order val="252"/>
          <c:tx>
            <c:strRef>
              <c:f>'estatística'!$B$254</c:f>
            </c:strRef>
          </c:tx>
          <c:cat>
            <c:strRef>
              <c:f>'estatística'!$C$1:$M$1</c:f>
            </c:strRef>
          </c:cat>
          <c:val>
            <c:numRef>
              <c:f>'estatística'!$C$254:$M$254</c:f>
              <c:numCache/>
            </c:numRef>
          </c:val>
        </c:ser>
        <c:ser>
          <c:idx val="253"/>
          <c:order val="253"/>
          <c:tx>
            <c:strRef>
              <c:f>'estatística'!$B$255</c:f>
            </c:strRef>
          </c:tx>
          <c:cat>
            <c:strRef>
              <c:f>'estatística'!$C$1:$M$1</c:f>
            </c:strRef>
          </c:cat>
          <c:val>
            <c:numRef>
              <c:f>'estatística'!$C$255:$M$255</c:f>
              <c:numCache/>
            </c:numRef>
          </c:val>
        </c:ser>
        <c:ser>
          <c:idx val="254"/>
          <c:order val="254"/>
          <c:tx>
            <c:strRef>
              <c:f>'estatística'!$B$256</c:f>
            </c:strRef>
          </c:tx>
          <c:cat>
            <c:strRef>
              <c:f>'estatística'!$C$1:$M$1</c:f>
            </c:strRef>
          </c:cat>
          <c:val>
            <c:numRef>
              <c:f>'estatística'!$C$256:$M$256</c:f>
              <c:numCache/>
            </c:numRef>
          </c:val>
        </c:ser>
        <c:ser>
          <c:idx val="255"/>
          <c:order val="255"/>
          <c:tx>
            <c:strRef>
              <c:f>'estatística'!$B$257</c:f>
            </c:strRef>
          </c:tx>
          <c:cat>
            <c:strRef>
              <c:f>'estatística'!$C$1:$M$1</c:f>
            </c:strRef>
          </c:cat>
          <c:val>
            <c:numRef>
              <c:f>'estatística'!$C$257:$M$257</c:f>
              <c:numCache/>
            </c:numRef>
          </c:val>
        </c:ser>
        <c:ser>
          <c:idx val="256"/>
          <c:order val="256"/>
          <c:tx>
            <c:strRef>
              <c:f>'estatística'!$B$258</c:f>
            </c:strRef>
          </c:tx>
          <c:cat>
            <c:strRef>
              <c:f>'estatística'!$C$1:$M$1</c:f>
            </c:strRef>
          </c:cat>
          <c:val>
            <c:numRef>
              <c:f>'estatística'!$C$258:$M$258</c:f>
              <c:numCache/>
            </c:numRef>
          </c:val>
        </c:ser>
        <c:ser>
          <c:idx val="257"/>
          <c:order val="257"/>
          <c:tx>
            <c:strRef>
              <c:f>'estatística'!$B$259</c:f>
            </c:strRef>
          </c:tx>
          <c:cat>
            <c:strRef>
              <c:f>'estatística'!$C$1:$M$1</c:f>
            </c:strRef>
          </c:cat>
          <c:val>
            <c:numRef>
              <c:f>'estatística'!$C$259:$M$259</c:f>
              <c:numCache/>
            </c:numRef>
          </c:val>
        </c:ser>
        <c:ser>
          <c:idx val="258"/>
          <c:order val="258"/>
          <c:tx>
            <c:strRef>
              <c:f>'estatística'!$B$260</c:f>
            </c:strRef>
          </c:tx>
          <c:cat>
            <c:strRef>
              <c:f>'estatística'!$C$1:$M$1</c:f>
            </c:strRef>
          </c:cat>
          <c:val>
            <c:numRef>
              <c:f>'estatística'!$C$260:$M$260</c:f>
              <c:numCache/>
            </c:numRef>
          </c:val>
        </c:ser>
        <c:ser>
          <c:idx val="259"/>
          <c:order val="259"/>
          <c:tx>
            <c:strRef>
              <c:f>'estatística'!$B$261</c:f>
            </c:strRef>
          </c:tx>
          <c:cat>
            <c:strRef>
              <c:f>'estatística'!$C$1:$M$1</c:f>
            </c:strRef>
          </c:cat>
          <c:val>
            <c:numRef>
              <c:f>'estatística'!$C$261:$M$261</c:f>
              <c:numCache/>
            </c:numRef>
          </c:val>
        </c:ser>
        <c:ser>
          <c:idx val="260"/>
          <c:order val="260"/>
          <c:tx>
            <c:strRef>
              <c:f>'estatística'!$B$262</c:f>
            </c:strRef>
          </c:tx>
          <c:cat>
            <c:strRef>
              <c:f>'estatística'!$C$1:$M$1</c:f>
            </c:strRef>
          </c:cat>
          <c:val>
            <c:numRef>
              <c:f>'estatística'!$C$262:$M$262</c:f>
              <c:numCache/>
            </c:numRef>
          </c:val>
        </c:ser>
        <c:ser>
          <c:idx val="261"/>
          <c:order val="261"/>
          <c:tx>
            <c:strRef>
              <c:f>'estatística'!$B$263</c:f>
            </c:strRef>
          </c:tx>
          <c:cat>
            <c:strRef>
              <c:f>'estatística'!$C$1:$M$1</c:f>
            </c:strRef>
          </c:cat>
          <c:val>
            <c:numRef>
              <c:f>'estatística'!$C$263:$M$263</c:f>
              <c:numCache/>
            </c:numRef>
          </c:val>
        </c:ser>
        <c:ser>
          <c:idx val="262"/>
          <c:order val="262"/>
          <c:tx>
            <c:strRef>
              <c:f>'estatística'!$B$264</c:f>
            </c:strRef>
          </c:tx>
          <c:cat>
            <c:strRef>
              <c:f>'estatística'!$C$1:$M$1</c:f>
            </c:strRef>
          </c:cat>
          <c:val>
            <c:numRef>
              <c:f>'estatística'!$C$264:$M$264</c:f>
              <c:numCache/>
            </c:numRef>
          </c:val>
        </c:ser>
        <c:ser>
          <c:idx val="263"/>
          <c:order val="263"/>
          <c:tx>
            <c:strRef>
              <c:f>'estatística'!$B$265</c:f>
            </c:strRef>
          </c:tx>
          <c:cat>
            <c:strRef>
              <c:f>'estatística'!$C$1:$M$1</c:f>
            </c:strRef>
          </c:cat>
          <c:val>
            <c:numRef>
              <c:f>'estatística'!$C$265:$M$265</c:f>
              <c:numCache/>
            </c:numRef>
          </c:val>
        </c:ser>
        <c:ser>
          <c:idx val="264"/>
          <c:order val="264"/>
          <c:tx>
            <c:strRef>
              <c:f>'estatística'!$B$266</c:f>
            </c:strRef>
          </c:tx>
          <c:cat>
            <c:strRef>
              <c:f>'estatística'!$C$1:$M$1</c:f>
            </c:strRef>
          </c:cat>
          <c:val>
            <c:numRef>
              <c:f>'estatística'!$C$266:$M$266</c:f>
              <c:numCache/>
            </c:numRef>
          </c:val>
        </c:ser>
        <c:ser>
          <c:idx val="265"/>
          <c:order val="265"/>
          <c:tx>
            <c:strRef>
              <c:f>'estatística'!$B$267</c:f>
            </c:strRef>
          </c:tx>
          <c:cat>
            <c:strRef>
              <c:f>'estatística'!$C$1:$M$1</c:f>
            </c:strRef>
          </c:cat>
          <c:val>
            <c:numRef>
              <c:f>'estatística'!$C$267:$M$267</c:f>
              <c:numCache/>
            </c:numRef>
          </c:val>
        </c:ser>
        <c:ser>
          <c:idx val="266"/>
          <c:order val="266"/>
          <c:tx>
            <c:strRef>
              <c:f>'estatística'!$B$268</c:f>
            </c:strRef>
          </c:tx>
          <c:cat>
            <c:strRef>
              <c:f>'estatística'!$C$1:$M$1</c:f>
            </c:strRef>
          </c:cat>
          <c:val>
            <c:numRef>
              <c:f>'estatística'!$C$268:$M$268</c:f>
              <c:numCache/>
            </c:numRef>
          </c:val>
        </c:ser>
        <c:ser>
          <c:idx val="267"/>
          <c:order val="267"/>
          <c:tx>
            <c:strRef>
              <c:f>'estatística'!$B$269</c:f>
            </c:strRef>
          </c:tx>
          <c:cat>
            <c:strRef>
              <c:f>'estatística'!$C$1:$M$1</c:f>
            </c:strRef>
          </c:cat>
          <c:val>
            <c:numRef>
              <c:f>'estatística'!$C$269:$M$269</c:f>
              <c:numCache/>
            </c:numRef>
          </c:val>
        </c:ser>
        <c:ser>
          <c:idx val="268"/>
          <c:order val="268"/>
          <c:tx>
            <c:strRef>
              <c:f>'estatística'!$B$270</c:f>
            </c:strRef>
          </c:tx>
          <c:cat>
            <c:strRef>
              <c:f>'estatística'!$C$1:$M$1</c:f>
            </c:strRef>
          </c:cat>
          <c:val>
            <c:numRef>
              <c:f>'estatística'!$C$270:$M$270</c:f>
              <c:numCache/>
            </c:numRef>
          </c:val>
        </c:ser>
        <c:ser>
          <c:idx val="269"/>
          <c:order val="269"/>
          <c:tx>
            <c:strRef>
              <c:f>'estatística'!$B$271</c:f>
            </c:strRef>
          </c:tx>
          <c:cat>
            <c:strRef>
              <c:f>'estatística'!$C$1:$M$1</c:f>
            </c:strRef>
          </c:cat>
          <c:val>
            <c:numRef>
              <c:f>'estatística'!$C$271:$M$271</c:f>
              <c:numCache/>
            </c:numRef>
          </c:val>
        </c:ser>
        <c:ser>
          <c:idx val="270"/>
          <c:order val="270"/>
          <c:tx>
            <c:strRef>
              <c:f>'estatística'!$B$272</c:f>
            </c:strRef>
          </c:tx>
          <c:cat>
            <c:strRef>
              <c:f>'estatística'!$C$1:$M$1</c:f>
            </c:strRef>
          </c:cat>
          <c:val>
            <c:numRef>
              <c:f>'estatística'!$C$272:$M$272</c:f>
              <c:numCache/>
            </c:numRef>
          </c:val>
        </c:ser>
        <c:ser>
          <c:idx val="271"/>
          <c:order val="271"/>
          <c:tx>
            <c:strRef>
              <c:f>'estatística'!$B$273</c:f>
            </c:strRef>
          </c:tx>
          <c:cat>
            <c:strRef>
              <c:f>'estatística'!$C$1:$M$1</c:f>
            </c:strRef>
          </c:cat>
          <c:val>
            <c:numRef>
              <c:f>'estatística'!$C$273:$M$273</c:f>
              <c:numCache/>
            </c:numRef>
          </c:val>
        </c:ser>
        <c:ser>
          <c:idx val="272"/>
          <c:order val="272"/>
          <c:tx>
            <c:strRef>
              <c:f>'estatística'!$B$274</c:f>
            </c:strRef>
          </c:tx>
          <c:cat>
            <c:strRef>
              <c:f>'estatística'!$C$1:$M$1</c:f>
            </c:strRef>
          </c:cat>
          <c:val>
            <c:numRef>
              <c:f>'estatística'!$C$274:$M$274</c:f>
              <c:numCache/>
            </c:numRef>
          </c:val>
        </c:ser>
        <c:ser>
          <c:idx val="273"/>
          <c:order val="273"/>
          <c:tx>
            <c:strRef>
              <c:f>'estatística'!$B$275</c:f>
            </c:strRef>
          </c:tx>
          <c:cat>
            <c:strRef>
              <c:f>'estatística'!$C$1:$M$1</c:f>
            </c:strRef>
          </c:cat>
          <c:val>
            <c:numRef>
              <c:f>'estatística'!$C$275:$M$275</c:f>
              <c:numCache/>
            </c:numRef>
          </c:val>
        </c:ser>
        <c:ser>
          <c:idx val="274"/>
          <c:order val="274"/>
          <c:tx>
            <c:strRef>
              <c:f>'estatística'!$B$276</c:f>
            </c:strRef>
          </c:tx>
          <c:cat>
            <c:strRef>
              <c:f>'estatística'!$C$1:$M$1</c:f>
            </c:strRef>
          </c:cat>
          <c:val>
            <c:numRef>
              <c:f>'estatística'!$C$276:$M$276</c:f>
              <c:numCache/>
            </c:numRef>
          </c:val>
        </c:ser>
        <c:ser>
          <c:idx val="275"/>
          <c:order val="275"/>
          <c:tx>
            <c:strRef>
              <c:f>'estatística'!$B$277</c:f>
            </c:strRef>
          </c:tx>
          <c:cat>
            <c:strRef>
              <c:f>'estatística'!$C$1:$M$1</c:f>
            </c:strRef>
          </c:cat>
          <c:val>
            <c:numRef>
              <c:f>'estatística'!$C$277:$M$277</c:f>
              <c:numCache/>
            </c:numRef>
          </c:val>
        </c:ser>
        <c:ser>
          <c:idx val="276"/>
          <c:order val="276"/>
          <c:tx>
            <c:strRef>
              <c:f>'estatística'!$B$278</c:f>
            </c:strRef>
          </c:tx>
          <c:cat>
            <c:strRef>
              <c:f>'estatística'!$C$1:$M$1</c:f>
            </c:strRef>
          </c:cat>
          <c:val>
            <c:numRef>
              <c:f>'estatística'!$C$278:$M$278</c:f>
              <c:numCache/>
            </c:numRef>
          </c:val>
        </c:ser>
        <c:ser>
          <c:idx val="277"/>
          <c:order val="277"/>
          <c:tx>
            <c:strRef>
              <c:f>'estatística'!$B$279</c:f>
            </c:strRef>
          </c:tx>
          <c:cat>
            <c:strRef>
              <c:f>'estatística'!$C$1:$M$1</c:f>
            </c:strRef>
          </c:cat>
          <c:val>
            <c:numRef>
              <c:f>'estatística'!$C$279:$M$279</c:f>
              <c:numCache/>
            </c:numRef>
          </c:val>
        </c:ser>
        <c:ser>
          <c:idx val="278"/>
          <c:order val="278"/>
          <c:tx>
            <c:strRef>
              <c:f>'estatística'!$B$280</c:f>
            </c:strRef>
          </c:tx>
          <c:cat>
            <c:strRef>
              <c:f>'estatística'!$C$1:$M$1</c:f>
            </c:strRef>
          </c:cat>
          <c:val>
            <c:numRef>
              <c:f>'estatística'!$C$280:$M$280</c:f>
              <c:numCache/>
            </c:numRef>
          </c:val>
        </c:ser>
        <c:ser>
          <c:idx val="279"/>
          <c:order val="279"/>
          <c:tx>
            <c:strRef>
              <c:f>'estatística'!$B$281</c:f>
            </c:strRef>
          </c:tx>
          <c:cat>
            <c:strRef>
              <c:f>'estatística'!$C$1:$M$1</c:f>
            </c:strRef>
          </c:cat>
          <c:val>
            <c:numRef>
              <c:f>'estatística'!$C$281:$M$281</c:f>
              <c:numCache/>
            </c:numRef>
          </c:val>
        </c:ser>
        <c:ser>
          <c:idx val="280"/>
          <c:order val="280"/>
          <c:tx>
            <c:strRef>
              <c:f>'estatística'!$B$282</c:f>
            </c:strRef>
          </c:tx>
          <c:cat>
            <c:strRef>
              <c:f>'estatística'!$C$1:$M$1</c:f>
            </c:strRef>
          </c:cat>
          <c:val>
            <c:numRef>
              <c:f>'estatística'!$C$282:$M$282</c:f>
              <c:numCache/>
            </c:numRef>
          </c:val>
        </c:ser>
        <c:ser>
          <c:idx val="281"/>
          <c:order val="281"/>
          <c:tx>
            <c:strRef>
              <c:f>'estatística'!$B$283</c:f>
            </c:strRef>
          </c:tx>
          <c:cat>
            <c:strRef>
              <c:f>'estatística'!$C$1:$M$1</c:f>
            </c:strRef>
          </c:cat>
          <c:val>
            <c:numRef>
              <c:f>'estatística'!$C$283:$M$283</c:f>
              <c:numCache/>
            </c:numRef>
          </c:val>
        </c:ser>
        <c:ser>
          <c:idx val="282"/>
          <c:order val="282"/>
          <c:tx>
            <c:strRef>
              <c:f>'estatística'!$B$284</c:f>
            </c:strRef>
          </c:tx>
          <c:cat>
            <c:strRef>
              <c:f>'estatística'!$C$1:$M$1</c:f>
            </c:strRef>
          </c:cat>
          <c:val>
            <c:numRef>
              <c:f>'estatística'!$C$284:$M$284</c:f>
              <c:numCache/>
            </c:numRef>
          </c:val>
        </c:ser>
        <c:ser>
          <c:idx val="283"/>
          <c:order val="283"/>
          <c:tx>
            <c:strRef>
              <c:f>'estatística'!$B$285</c:f>
            </c:strRef>
          </c:tx>
          <c:cat>
            <c:strRef>
              <c:f>'estatística'!$C$1:$M$1</c:f>
            </c:strRef>
          </c:cat>
          <c:val>
            <c:numRef>
              <c:f>'estatística'!$C$285:$M$285</c:f>
              <c:numCache/>
            </c:numRef>
          </c:val>
        </c:ser>
        <c:ser>
          <c:idx val="284"/>
          <c:order val="284"/>
          <c:tx>
            <c:strRef>
              <c:f>'estatística'!$B$286</c:f>
            </c:strRef>
          </c:tx>
          <c:cat>
            <c:strRef>
              <c:f>'estatística'!$C$1:$M$1</c:f>
            </c:strRef>
          </c:cat>
          <c:val>
            <c:numRef>
              <c:f>'estatística'!$C$286:$M$286</c:f>
              <c:numCache/>
            </c:numRef>
          </c:val>
        </c:ser>
        <c:ser>
          <c:idx val="285"/>
          <c:order val="285"/>
          <c:tx>
            <c:strRef>
              <c:f>'estatística'!$B$287</c:f>
            </c:strRef>
          </c:tx>
          <c:cat>
            <c:strRef>
              <c:f>'estatística'!$C$1:$M$1</c:f>
            </c:strRef>
          </c:cat>
          <c:val>
            <c:numRef>
              <c:f>'estatística'!$C$287:$M$287</c:f>
              <c:numCache/>
            </c:numRef>
          </c:val>
        </c:ser>
        <c:ser>
          <c:idx val="286"/>
          <c:order val="286"/>
          <c:tx>
            <c:strRef>
              <c:f>'estatística'!$B$288</c:f>
            </c:strRef>
          </c:tx>
          <c:cat>
            <c:strRef>
              <c:f>'estatística'!$C$1:$M$1</c:f>
            </c:strRef>
          </c:cat>
          <c:val>
            <c:numRef>
              <c:f>'estatística'!$C$288:$M$288</c:f>
              <c:numCache/>
            </c:numRef>
          </c:val>
        </c:ser>
        <c:ser>
          <c:idx val="287"/>
          <c:order val="287"/>
          <c:tx>
            <c:strRef>
              <c:f>'estatística'!$B$289</c:f>
            </c:strRef>
          </c:tx>
          <c:cat>
            <c:strRef>
              <c:f>'estatística'!$C$1:$M$1</c:f>
            </c:strRef>
          </c:cat>
          <c:val>
            <c:numRef>
              <c:f>'estatística'!$C$289:$M$289</c:f>
              <c:numCache/>
            </c:numRef>
          </c:val>
        </c:ser>
        <c:ser>
          <c:idx val="288"/>
          <c:order val="288"/>
          <c:tx>
            <c:strRef>
              <c:f>'estatística'!$B$290</c:f>
            </c:strRef>
          </c:tx>
          <c:cat>
            <c:strRef>
              <c:f>'estatística'!$C$1:$M$1</c:f>
            </c:strRef>
          </c:cat>
          <c:val>
            <c:numRef>
              <c:f>'estatística'!$C$290:$M$290</c:f>
              <c:numCache/>
            </c:numRef>
          </c:val>
        </c:ser>
        <c:ser>
          <c:idx val="289"/>
          <c:order val="289"/>
          <c:tx>
            <c:strRef>
              <c:f>'estatística'!$B$291</c:f>
            </c:strRef>
          </c:tx>
          <c:cat>
            <c:strRef>
              <c:f>'estatística'!$C$1:$M$1</c:f>
            </c:strRef>
          </c:cat>
          <c:val>
            <c:numRef>
              <c:f>'estatística'!$C$291:$M$291</c:f>
              <c:numCache/>
            </c:numRef>
          </c:val>
        </c:ser>
        <c:ser>
          <c:idx val="290"/>
          <c:order val="290"/>
          <c:tx>
            <c:strRef>
              <c:f>'estatística'!$B$292</c:f>
            </c:strRef>
          </c:tx>
          <c:cat>
            <c:strRef>
              <c:f>'estatística'!$C$1:$M$1</c:f>
            </c:strRef>
          </c:cat>
          <c:val>
            <c:numRef>
              <c:f>'estatística'!$C$292:$M$292</c:f>
              <c:numCache/>
            </c:numRef>
          </c:val>
        </c:ser>
        <c:ser>
          <c:idx val="291"/>
          <c:order val="291"/>
          <c:tx>
            <c:strRef>
              <c:f>'estatística'!$B$293</c:f>
            </c:strRef>
          </c:tx>
          <c:cat>
            <c:strRef>
              <c:f>'estatística'!$C$1:$M$1</c:f>
            </c:strRef>
          </c:cat>
          <c:val>
            <c:numRef>
              <c:f>'estatística'!$C$293:$M$293</c:f>
              <c:numCache/>
            </c:numRef>
          </c:val>
        </c:ser>
        <c:ser>
          <c:idx val="292"/>
          <c:order val="292"/>
          <c:tx>
            <c:strRef>
              <c:f>'estatística'!$B$294</c:f>
            </c:strRef>
          </c:tx>
          <c:cat>
            <c:strRef>
              <c:f>'estatística'!$C$1:$M$1</c:f>
            </c:strRef>
          </c:cat>
          <c:val>
            <c:numRef>
              <c:f>'estatística'!$C$294:$M$294</c:f>
              <c:numCache/>
            </c:numRef>
          </c:val>
        </c:ser>
        <c:ser>
          <c:idx val="293"/>
          <c:order val="293"/>
          <c:tx>
            <c:strRef>
              <c:f>'estatística'!$B$295</c:f>
            </c:strRef>
          </c:tx>
          <c:cat>
            <c:strRef>
              <c:f>'estatística'!$C$1:$M$1</c:f>
            </c:strRef>
          </c:cat>
          <c:val>
            <c:numRef>
              <c:f>'estatística'!$C$295:$M$295</c:f>
              <c:numCache/>
            </c:numRef>
          </c:val>
        </c:ser>
        <c:ser>
          <c:idx val="294"/>
          <c:order val="294"/>
          <c:tx>
            <c:strRef>
              <c:f>'estatística'!$B$296</c:f>
            </c:strRef>
          </c:tx>
          <c:cat>
            <c:strRef>
              <c:f>'estatística'!$C$1:$M$1</c:f>
            </c:strRef>
          </c:cat>
          <c:val>
            <c:numRef>
              <c:f>'estatística'!$C$296:$M$296</c:f>
              <c:numCache/>
            </c:numRef>
          </c:val>
        </c:ser>
        <c:ser>
          <c:idx val="295"/>
          <c:order val="295"/>
          <c:tx>
            <c:strRef>
              <c:f>'estatística'!$B$297</c:f>
            </c:strRef>
          </c:tx>
          <c:cat>
            <c:strRef>
              <c:f>'estatística'!$C$1:$M$1</c:f>
            </c:strRef>
          </c:cat>
          <c:val>
            <c:numRef>
              <c:f>'estatística'!$C$297:$M$297</c:f>
              <c:numCache/>
            </c:numRef>
          </c:val>
        </c:ser>
        <c:ser>
          <c:idx val="296"/>
          <c:order val="296"/>
          <c:tx>
            <c:strRef>
              <c:f>'estatística'!$B$298</c:f>
            </c:strRef>
          </c:tx>
          <c:cat>
            <c:strRef>
              <c:f>'estatística'!$C$1:$M$1</c:f>
            </c:strRef>
          </c:cat>
          <c:val>
            <c:numRef>
              <c:f>'estatística'!$C$298:$M$298</c:f>
              <c:numCache/>
            </c:numRef>
          </c:val>
        </c:ser>
        <c:ser>
          <c:idx val="297"/>
          <c:order val="297"/>
          <c:tx>
            <c:strRef>
              <c:f>'estatística'!$B$299</c:f>
            </c:strRef>
          </c:tx>
          <c:cat>
            <c:strRef>
              <c:f>'estatística'!$C$1:$M$1</c:f>
            </c:strRef>
          </c:cat>
          <c:val>
            <c:numRef>
              <c:f>'estatística'!$C$299:$M$299</c:f>
              <c:numCache/>
            </c:numRef>
          </c:val>
        </c:ser>
        <c:ser>
          <c:idx val="298"/>
          <c:order val="298"/>
          <c:tx>
            <c:strRef>
              <c:f>'estatística'!$B$300</c:f>
            </c:strRef>
          </c:tx>
          <c:cat>
            <c:strRef>
              <c:f>'estatística'!$C$1:$M$1</c:f>
            </c:strRef>
          </c:cat>
          <c:val>
            <c:numRef>
              <c:f>'estatística'!$C$300:$M$300</c:f>
              <c:numCache/>
            </c:numRef>
          </c:val>
        </c:ser>
        <c:ser>
          <c:idx val="299"/>
          <c:order val="299"/>
          <c:tx>
            <c:strRef>
              <c:f>'estatística'!$B$301</c:f>
            </c:strRef>
          </c:tx>
          <c:cat>
            <c:strRef>
              <c:f>'estatística'!$C$1:$M$1</c:f>
            </c:strRef>
          </c:cat>
          <c:val>
            <c:numRef>
              <c:f>'estatística'!$C$301:$M$301</c:f>
              <c:numCache/>
            </c:numRef>
          </c:val>
        </c:ser>
        <c:ser>
          <c:idx val="300"/>
          <c:order val="300"/>
          <c:tx>
            <c:strRef>
              <c:f>'estatística'!$B$302</c:f>
            </c:strRef>
          </c:tx>
          <c:cat>
            <c:strRef>
              <c:f>'estatística'!$C$1:$M$1</c:f>
            </c:strRef>
          </c:cat>
          <c:val>
            <c:numRef>
              <c:f>'estatística'!$C$302:$M$302</c:f>
              <c:numCache/>
            </c:numRef>
          </c:val>
        </c:ser>
        <c:ser>
          <c:idx val="301"/>
          <c:order val="301"/>
          <c:tx>
            <c:strRef>
              <c:f>'estatística'!$B$303</c:f>
            </c:strRef>
          </c:tx>
          <c:cat>
            <c:strRef>
              <c:f>'estatística'!$C$1:$M$1</c:f>
            </c:strRef>
          </c:cat>
          <c:val>
            <c:numRef>
              <c:f>'estatística'!$C$303:$M$303</c:f>
              <c:numCache/>
            </c:numRef>
          </c:val>
        </c:ser>
        <c:ser>
          <c:idx val="302"/>
          <c:order val="302"/>
          <c:tx>
            <c:strRef>
              <c:f>'estatística'!$B$304</c:f>
            </c:strRef>
          </c:tx>
          <c:cat>
            <c:strRef>
              <c:f>'estatística'!$C$1:$M$1</c:f>
            </c:strRef>
          </c:cat>
          <c:val>
            <c:numRef>
              <c:f>'estatística'!$C$304:$M$304</c:f>
              <c:numCache/>
            </c:numRef>
          </c:val>
        </c:ser>
        <c:ser>
          <c:idx val="303"/>
          <c:order val="303"/>
          <c:tx>
            <c:strRef>
              <c:f>'estatística'!$B$305</c:f>
            </c:strRef>
          </c:tx>
          <c:cat>
            <c:strRef>
              <c:f>'estatística'!$C$1:$M$1</c:f>
            </c:strRef>
          </c:cat>
          <c:val>
            <c:numRef>
              <c:f>'estatística'!$C$305:$M$305</c:f>
              <c:numCache/>
            </c:numRef>
          </c:val>
        </c:ser>
        <c:ser>
          <c:idx val="304"/>
          <c:order val="304"/>
          <c:tx>
            <c:strRef>
              <c:f>'estatística'!$B$306</c:f>
            </c:strRef>
          </c:tx>
          <c:cat>
            <c:strRef>
              <c:f>'estatística'!$C$1:$M$1</c:f>
            </c:strRef>
          </c:cat>
          <c:val>
            <c:numRef>
              <c:f>'estatística'!$C$306:$M$306</c:f>
              <c:numCache/>
            </c:numRef>
          </c:val>
        </c:ser>
        <c:ser>
          <c:idx val="305"/>
          <c:order val="305"/>
          <c:tx>
            <c:strRef>
              <c:f>'estatística'!$B$307</c:f>
            </c:strRef>
          </c:tx>
          <c:cat>
            <c:strRef>
              <c:f>'estatística'!$C$1:$M$1</c:f>
            </c:strRef>
          </c:cat>
          <c:val>
            <c:numRef>
              <c:f>'estatística'!$C$307:$M$307</c:f>
              <c:numCache/>
            </c:numRef>
          </c:val>
        </c:ser>
        <c:ser>
          <c:idx val="306"/>
          <c:order val="306"/>
          <c:tx>
            <c:strRef>
              <c:f>'estatística'!$B$308</c:f>
            </c:strRef>
          </c:tx>
          <c:cat>
            <c:strRef>
              <c:f>'estatística'!$C$1:$M$1</c:f>
            </c:strRef>
          </c:cat>
          <c:val>
            <c:numRef>
              <c:f>'estatística'!$C$308:$M$308</c:f>
              <c:numCache/>
            </c:numRef>
          </c:val>
        </c:ser>
        <c:ser>
          <c:idx val="307"/>
          <c:order val="307"/>
          <c:tx>
            <c:strRef>
              <c:f>'estatística'!$B$309</c:f>
            </c:strRef>
          </c:tx>
          <c:cat>
            <c:strRef>
              <c:f>'estatística'!$C$1:$M$1</c:f>
            </c:strRef>
          </c:cat>
          <c:val>
            <c:numRef>
              <c:f>'estatística'!$C$309:$M$309</c:f>
              <c:numCache/>
            </c:numRef>
          </c:val>
        </c:ser>
        <c:ser>
          <c:idx val="308"/>
          <c:order val="308"/>
          <c:tx>
            <c:strRef>
              <c:f>'estatística'!$B$310</c:f>
            </c:strRef>
          </c:tx>
          <c:cat>
            <c:strRef>
              <c:f>'estatística'!$C$1:$M$1</c:f>
            </c:strRef>
          </c:cat>
          <c:val>
            <c:numRef>
              <c:f>'estatística'!$C$310:$M$310</c:f>
              <c:numCache/>
            </c:numRef>
          </c:val>
        </c:ser>
        <c:ser>
          <c:idx val="309"/>
          <c:order val="309"/>
          <c:tx>
            <c:strRef>
              <c:f>'estatística'!$B$311</c:f>
            </c:strRef>
          </c:tx>
          <c:cat>
            <c:strRef>
              <c:f>'estatística'!$C$1:$M$1</c:f>
            </c:strRef>
          </c:cat>
          <c:val>
            <c:numRef>
              <c:f>'estatística'!$C$311:$M$311</c:f>
              <c:numCache/>
            </c:numRef>
          </c:val>
        </c:ser>
        <c:ser>
          <c:idx val="310"/>
          <c:order val="310"/>
          <c:tx>
            <c:strRef>
              <c:f>'estatística'!$B$312</c:f>
            </c:strRef>
          </c:tx>
          <c:cat>
            <c:strRef>
              <c:f>'estatística'!$C$1:$M$1</c:f>
            </c:strRef>
          </c:cat>
          <c:val>
            <c:numRef>
              <c:f>'estatística'!$C$312:$M$312</c:f>
              <c:numCache/>
            </c:numRef>
          </c:val>
        </c:ser>
        <c:ser>
          <c:idx val="311"/>
          <c:order val="311"/>
          <c:tx>
            <c:strRef>
              <c:f>'estatística'!$B$313</c:f>
            </c:strRef>
          </c:tx>
          <c:cat>
            <c:strRef>
              <c:f>'estatística'!$C$1:$M$1</c:f>
            </c:strRef>
          </c:cat>
          <c:val>
            <c:numRef>
              <c:f>'estatística'!$C$313:$M$313</c:f>
              <c:numCache/>
            </c:numRef>
          </c:val>
        </c:ser>
        <c:ser>
          <c:idx val="312"/>
          <c:order val="312"/>
          <c:tx>
            <c:strRef>
              <c:f>'estatística'!$B$314</c:f>
            </c:strRef>
          </c:tx>
          <c:cat>
            <c:strRef>
              <c:f>'estatística'!$C$1:$M$1</c:f>
            </c:strRef>
          </c:cat>
          <c:val>
            <c:numRef>
              <c:f>'estatística'!$C$314:$M$314</c:f>
              <c:numCache/>
            </c:numRef>
          </c:val>
        </c:ser>
        <c:ser>
          <c:idx val="313"/>
          <c:order val="313"/>
          <c:tx>
            <c:strRef>
              <c:f>'estatística'!$B$315</c:f>
            </c:strRef>
          </c:tx>
          <c:cat>
            <c:strRef>
              <c:f>'estatística'!$C$1:$M$1</c:f>
            </c:strRef>
          </c:cat>
          <c:val>
            <c:numRef>
              <c:f>'estatística'!$C$315:$M$315</c:f>
              <c:numCache/>
            </c:numRef>
          </c:val>
        </c:ser>
        <c:ser>
          <c:idx val="314"/>
          <c:order val="314"/>
          <c:tx>
            <c:strRef>
              <c:f>'estatística'!$B$316</c:f>
            </c:strRef>
          </c:tx>
          <c:cat>
            <c:strRef>
              <c:f>'estatística'!$C$1:$M$1</c:f>
            </c:strRef>
          </c:cat>
          <c:val>
            <c:numRef>
              <c:f>'estatística'!$C$316:$M$316</c:f>
              <c:numCache/>
            </c:numRef>
          </c:val>
        </c:ser>
        <c:ser>
          <c:idx val="315"/>
          <c:order val="315"/>
          <c:tx>
            <c:strRef>
              <c:f>'estatística'!$B$317</c:f>
            </c:strRef>
          </c:tx>
          <c:cat>
            <c:strRef>
              <c:f>'estatística'!$C$1:$M$1</c:f>
            </c:strRef>
          </c:cat>
          <c:val>
            <c:numRef>
              <c:f>'estatística'!$C$317:$M$317</c:f>
              <c:numCache/>
            </c:numRef>
          </c:val>
        </c:ser>
        <c:ser>
          <c:idx val="316"/>
          <c:order val="316"/>
          <c:tx>
            <c:strRef>
              <c:f>'estatística'!$B$318</c:f>
            </c:strRef>
          </c:tx>
          <c:cat>
            <c:strRef>
              <c:f>'estatística'!$C$1:$M$1</c:f>
            </c:strRef>
          </c:cat>
          <c:val>
            <c:numRef>
              <c:f>'estatística'!$C$318:$M$318</c:f>
              <c:numCache/>
            </c:numRef>
          </c:val>
        </c:ser>
        <c:ser>
          <c:idx val="317"/>
          <c:order val="317"/>
          <c:tx>
            <c:strRef>
              <c:f>'estatística'!$B$319</c:f>
            </c:strRef>
          </c:tx>
          <c:cat>
            <c:strRef>
              <c:f>'estatística'!$C$1:$M$1</c:f>
            </c:strRef>
          </c:cat>
          <c:val>
            <c:numRef>
              <c:f>'estatística'!$C$319:$M$319</c:f>
              <c:numCache/>
            </c:numRef>
          </c:val>
        </c:ser>
        <c:ser>
          <c:idx val="318"/>
          <c:order val="318"/>
          <c:tx>
            <c:strRef>
              <c:f>'estatística'!$B$320</c:f>
            </c:strRef>
          </c:tx>
          <c:cat>
            <c:strRef>
              <c:f>'estatística'!$C$1:$M$1</c:f>
            </c:strRef>
          </c:cat>
          <c:val>
            <c:numRef>
              <c:f>'estatística'!$C$320:$M$320</c:f>
              <c:numCache/>
            </c:numRef>
          </c:val>
        </c:ser>
        <c:ser>
          <c:idx val="319"/>
          <c:order val="319"/>
          <c:tx>
            <c:strRef>
              <c:f>'estatística'!$B$321</c:f>
            </c:strRef>
          </c:tx>
          <c:cat>
            <c:strRef>
              <c:f>'estatística'!$C$1:$M$1</c:f>
            </c:strRef>
          </c:cat>
          <c:val>
            <c:numRef>
              <c:f>'estatística'!$C$321:$M$321</c:f>
              <c:numCache/>
            </c:numRef>
          </c:val>
        </c:ser>
        <c:ser>
          <c:idx val="320"/>
          <c:order val="320"/>
          <c:tx>
            <c:strRef>
              <c:f>'estatística'!$B$322</c:f>
            </c:strRef>
          </c:tx>
          <c:cat>
            <c:strRef>
              <c:f>'estatística'!$C$1:$M$1</c:f>
            </c:strRef>
          </c:cat>
          <c:val>
            <c:numRef>
              <c:f>'estatística'!$C$322:$M$322</c:f>
              <c:numCache/>
            </c:numRef>
          </c:val>
        </c:ser>
        <c:ser>
          <c:idx val="321"/>
          <c:order val="321"/>
          <c:tx>
            <c:strRef>
              <c:f>'estatística'!$B$323</c:f>
            </c:strRef>
          </c:tx>
          <c:cat>
            <c:strRef>
              <c:f>'estatística'!$C$1:$M$1</c:f>
            </c:strRef>
          </c:cat>
          <c:val>
            <c:numRef>
              <c:f>'estatística'!$C$323:$M$323</c:f>
              <c:numCache/>
            </c:numRef>
          </c:val>
        </c:ser>
        <c:ser>
          <c:idx val="322"/>
          <c:order val="322"/>
          <c:tx>
            <c:strRef>
              <c:f>'estatística'!$B$324</c:f>
            </c:strRef>
          </c:tx>
          <c:cat>
            <c:strRef>
              <c:f>'estatística'!$C$1:$M$1</c:f>
            </c:strRef>
          </c:cat>
          <c:val>
            <c:numRef>
              <c:f>'estatística'!$C$324:$M$324</c:f>
              <c:numCache/>
            </c:numRef>
          </c:val>
        </c:ser>
        <c:ser>
          <c:idx val="323"/>
          <c:order val="323"/>
          <c:tx>
            <c:strRef>
              <c:f>'estatística'!$B$325</c:f>
            </c:strRef>
          </c:tx>
          <c:cat>
            <c:strRef>
              <c:f>'estatística'!$C$1:$M$1</c:f>
            </c:strRef>
          </c:cat>
          <c:val>
            <c:numRef>
              <c:f>'estatística'!$C$325:$M$325</c:f>
              <c:numCache/>
            </c:numRef>
          </c:val>
        </c:ser>
        <c:ser>
          <c:idx val="324"/>
          <c:order val="324"/>
          <c:tx>
            <c:strRef>
              <c:f>'estatística'!$B$326</c:f>
            </c:strRef>
          </c:tx>
          <c:cat>
            <c:strRef>
              <c:f>'estatística'!$C$1:$M$1</c:f>
            </c:strRef>
          </c:cat>
          <c:val>
            <c:numRef>
              <c:f>'estatística'!$C$326:$M$326</c:f>
              <c:numCache/>
            </c:numRef>
          </c:val>
        </c:ser>
        <c:ser>
          <c:idx val="325"/>
          <c:order val="325"/>
          <c:tx>
            <c:strRef>
              <c:f>'estatística'!$B$327</c:f>
            </c:strRef>
          </c:tx>
          <c:cat>
            <c:strRef>
              <c:f>'estatística'!$C$1:$M$1</c:f>
            </c:strRef>
          </c:cat>
          <c:val>
            <c:numRef>
              <c:f>'estatística'!$C$327:$M$327</c:f>
              <c:numCache/>
            </c:numRef>
          </c:val>
        </c:ser>
        <c:ser>
          <c:idx val="326"/>
          <c:order val="326"/>
          <c:tx>
            <c:strRef>
              <c:f>'estatística'!$B$328</c:f>
            </c:strRef>
          </c:tx>
          <c:cat>
            <c:strRef>
              <c:f>'estatística'!$C$1:$M$1</c:f>
            </c:strRef>
          </c:cat>
          <c:val>
            <c:numRef>
              <c:f>'estatística'!$C$328:$M$328</c:f>
              <c:numCache/>
            </c:numRef>
          </c:val>
        </c:ser>
        <c:ser>
          <c:idx val="327"/>
          <c:order val="327"/>
          <c:tx>
            <c:strRef>
              <c:f>'estatística'!$B$329</c:f>
            </c:strRef>
          </c:tx>
          <c:cat>
            <c:strRef>
              <c:f>'estatística'!$C$1:$M$1</c:f>
            </c:strRef>
          </c:cat>
          <c:val>
            <c:numRef>
              <c:f>'estatística'!$C$329:$M$329</c:f>
              <c:numCache/>
            </c:numRef>
          </c:val>
        </c:ser>
        <c:ser>
          <c:idx val="328"/>
          <c:order val="328"/>
          <c:tx>
            <c:strRef>
              <c:f>'estatística'!$B$330</c:f>
            </c:strRef>
          </c:tx>
          <c:cat>
            <c:strRef>
              <c:f>'estatística'!$C$1:$M$1</c:f>
            </c:strRef>
          </c:cat>
          <c:val>
            <c:numRef>
              <c:f>'estatística'!$C$330:$M$330</c:f>
              <c:numCache/>
            </c:numRef>
          </c:val>
        </c:ser>
        <c:ser>
          <c:idx val="329"/>
          <c:order val="329"/>
          <c:tx>
            <c:strRef>
              <c:f>'estatística'!$B$331</c:f>
            </c:strRef>
          </c:tx>
          <c:cat>
            <c:strRef>
              <c:f>'estatística'!$C$1:$M$1</c:f>
            </c:strRef>
          </c:cat>
          <c:val>
            <c:numRef>
              <c:f>'estatística'!$C$331:$M$331</c:f>
              <c:numCache/>
            </c:numRef>
          </c:val>
        </c:ser>
        <c:ser>
          <c:idx val="330"/>
          <c:order val="330"/>
          <c:tx>
            <c:strRef>
              <c:f>'estatística'!$B$332</c:f>
            </c:strRef>
          </c:tx>
          <c:cat>
            <c:strRef>
              <c:f>'estatística'!$C$1:$M$1</c:f>
            </c:strRef>
          </c:cat>
          <c:val>
            <c:numRef>
              <c:f>'estatística'!$C$332:$M$332</c:f>
              <c:numCache/>
            </c:numRef>
          </c:val>
        </c:ser>
        <c:ser>
          <c:idx val="331"/>
          <c:order val="331"/>
          <c:tx>
            <c:strRef>
              <c:f>'estatística'!$B$333</c:f>
            </c:strRef>
          </c:tx>
          <c:cat>
            <c:strRef>
              <c:f>'estatística'!$C$1:$M$1</c:f>
            </c:strRef>
          </c:cat>
          <c:val>
            <c:numRef>
              <c:f>'estatística'!$C$333:$M$333</c:f>
              <c:numCache/>
            </c:numRef>
          </c:val>
        </c:ser>
        <c:ser>
          <c:idx val="332"/>
          <c:order val="332"/>
          <c:tx>
            <c:strRef>
              <c:f>'estatística'!$B$334</c:f>
            </c:strRef>
          </c:tx>
          <c:cat>
            <c:strRef>
              <c:f>'estatística'!$C$1:$M$1</c:f>
            </c:strRef>
          </c:cat>
          <c:val>
            <c:numRef>
              <c:f>'estatística'!$C$334:$M$334</c:f>
              <c:numCache/>
            </c:numRef>
          </c:val>
        </c:ser>
        <c:ser>
          <c:idx val="333"/>
          <c:order val="333"/>
          <c:tx>
            <c:strRef>
              <c:f>'estatística'!$B$335</c:f>
            </c:strRef>
          </c:tx>
          <c:cat>
            <c:strRef>
              <c:f>'estatística'!$C$1:$M$1</c:f>
            </c:strRef>
          </c:cat>
          <c:val>
            <c:numRef>
              <c:f>'estatística'!$C$335:$M$335</c:f>
              <c:numCache/>
            </c:numRef>
          </c:val>
        </c:ser>
        <c:ser>
          <c:idx val="334"/>
          <c:order val="334"/>
          <c:tx>
            <c:strRef>
              <c:f>'estatística'!$B$336</c:f>
            </c:strRef>
          </c:tx>
          <c:cat>
            <c:strRef>
              <c:f>'estatística'!$C$1:$M$1</c:f>
            </c:strRef>
          </c:cat>
          <c:val>
            <c:numRef>
              <c:f>'estatística'!$C$336:$M$336</c:f>
              <c:numCache/>
            </c:numRef>
          </c:val>
        </c:ser>
        <c:ser>
          <c:idx val="335"/>
          <c:order val="335"/>
          <c:tx>
            <c:strRef>
              <c:f>'estatística'!$B$337</c:f>
            </c:strRef>
          </c:tx>
          <c:cat>
            <c:strRef>
              <c:f>'estatística'!$C$1:$M$1</c:f>
            </c:strRef>
          </c:cat>
          <c:val>
            <c:numRef>
              <c:f>'estatística'!$C$337:$M$337</c:f>
              <c:numCache/>
            </c:numRef>
          </c:val>
        </c:ser>
        <c:ser>
          <c:idx val="336"/>
          <c:order val="336"/>
          <c:tx>
            <c:strRef>
              <c:f>'estatística'!$B$338</c:f>
            </c:strRef>
          </c:tx>
          <c:cat>
            <c:strRef>
              <c:f>'estatística'!$C$1:$M$1</c:f>
            </c:strRef>
          </c:cat>
          <c:val>
            <c:numRef>
              <c:f>'estatística'!$C$338:$M$338</c:f>
              <c:numCache/>
            </c:numRef>
          </c:val>
        </c:ser>
        <c:ser>
          <c:idx val="337"/>
          <c:order val="337"/>
          <c:tx>
            <c:strRef>
              <c:f>'estatística'!$B$339</c:f>
            </c:strRef>
          </c:tx>
          <c:cat>
            <c:strRef>
              <c:f>'estatística'!$C$1:$M$1</c:f>
            </c:strRef>
          </c:cat>
          <c:val>
            <c:numRef>
              <c:f>'estatística'!$C$339:$M$339</c:f>
              <c:numCache/>
            </c:numRef>
          </c:val>
        </c:ser>
        <c:ser>
          <c:idx val="338"/>
          <c:order val="338"/>
          <c:tx>
            <c:strRef>
              <c:f>'estatística'!$B$340</c:f>
            </c:strRef>
          </c:tx>
          <c:cat>
            <c:strRef>
              <c:f>'estatística'!$C$1:$M$1</c:f>
            </c:strRef>
          </c:cat>
          <c:val>
            <c:numRef>
              <c:f>'estatística'!$C$340:$M$340</c:f>
              <c:numCache/>
            </c:numRef>
          </c:val>
        </c:ser>
        <c:ser>
          <c:idx val="339"/>
          <c:order val="339"/>
          <c:tx>
            <c:strRef>
              <c:f>'estatística'!$B$341</c:f>
            </c:strRef>
          </c:tx>
          <c:cat>
            <c:strRef>
              <c:f>'estatística'!$C$1:$M$1</c:f>
            </c:strRef>
          </c:cat>
          <c:val>
            <c:numRef>
              <c:f>'estatística'!$C$341:$M$341</c:f>
              <c:numCache/>
            </c:numRef>
          </c:val>
        </c:ser>
        <c:ser>
          <c:idx val="340"/>
          <c:order val="340"/>
          <c:tx>
            <c:strRef>
              <c:f>'estatística'!$B$342</c:f>
            </c:strRef>
          </c:tx>
          <c:cat>
            <c:strRef>
              <c:f>'estatística'!$C$1:$M$1</c:f>
            </c:strRef>
          </c:cat>
          <c:val>
            <c:numRef>
              <c:f>'estatística'!$C$342:$M$342</c:f>
              <c:numCache/>
            </c:numRef>
          </c:val>
        </c:ser>
        <c:ser>
          <c:idx val="341"/>
          <c:order val="341"/>
          <c:tx>
            <c:strRef>
              <c:f>'estatística'!$B$343</c:f>
            </c:strRef>
          </c:tx>
          <c:cat>
            <c:strRef>
              <c:f>'estatística'!$C$1:$M$1</c:f>
            </c:strRef>
          </c:cat>
          <c:val>
            <c:numRef>
              <c:f>'estatística'!$C$343:$M$343</c:f>
              <c:numCache/>
            </c:numRef>
          </c:val>
        </c:ser>
        <c:ser>
          <c:idx val="342"/>
          <c:order val="342"/>
          <c:tx>
            <c:strRef>
              <c:f>'estatística'!$B$344</c:f>
            </c:strRef>
          </c:tx>
          <c:cat>
            <c:strRef>
              <c:f>'estatística'!$C$1:$M$1</c:f>
            </c:strRef>
          </c:cat>
          <c:val>
            <c:numRef>
              <c:f>'estatística'!$C$344:$M$344</c:f>
              <c:numCache/>
            </c:numRef>
          </c:val>
        </c:ser>
        <c:ser>
          <c:idx val="343"/>
          <c:order val="343"/>
          <c:tx>
            <c:strRef>
              <c:f>'estatística'!$B$345</c:f>
            </c:strRef>
          </c:tx>
          <c:cat>
            <c:strRef>
              <c:f>'estatística'!$C$1:$M$1</c:f>
            </c:strRef>
          </c:cat>
          <c:val>
            <c:numRef>
              <c:f>'estatística'!$C$345:$M$345</c:f>
              <c:numCache/>
            </c:numRef>
          </c:val>
        </c:ser>
        <c:ser>
          <c:idx val="344"/>
          <c:order val="344"/>
          <c:tx>
            <c:strRef>
              <c:f>'estatística'!$B$346</c:f>
            </c:strRef>
          </c:tx>
          <c:cat>
            <c:strRef>
              <c:f>'estatística'!$C$1:$M$1</c:f>
            </c:strRef>
          </c:cat>
          <c:val>
            <c:numRef>
              <c:f>'estatística'!$C$346:$M$346</c:f>
              <c:numCache/>
            </c:numRef>
          </c:val>
        </c:ser>
        <c:ser>
          <c:idx val="345"/>
          <c:order val="345"/>
          <c:tx>
            <c:strRef>
              <c:f>'estatística'!$B$347</c:f>
            </c:strRef>
          </c:tx>
          <c:cat>
            <c:strRef>
              <c:f>'estatística'!$C$1:$M$1</c:f>
            </c:strRef>
          </c:cat>
          <c:val>
            <c:numRef>
              <c:f>'estatística'!$C$347:$M$347</c:f>
              <c:numCache/>
            </c:numRef>
          </c:val>
        </c:ser>
        <c:ser>
          <c:idx val="346"/>
          <c:order val="346"/>
          <c:tx>
            <c:strRef>
              <c:f>'estatística'!$B$348</c:f>
            </c:strRef>
          </c:tx>
          <c:cat>
            <c:strRef>
              <c:f>'estatística'!$C$1:$M$1</c:f>
            </c:strRef>
          </c:cat>
          <c:val>
            <c:numRef>
              <c:f>'estatística'!$C$348:$M$348</c:f>
              <c:numCache/>
            </c:numRef>
          </c:val>
        </c:ser>
        <c:ser>
          <c:idx val="347"/>
          <c:order val="347"/>
          <c:tx>
            <c:strRef>
              <c:f>'estatística'!$B$349</c:f>
            </c:strRef>
          </c:tx>
          <c:cat>
            <c:strRef>
              <c:f>'estatística'!$C$1:$M$1</c:f>
            </c:strRef>
          </c:cat>
          <c:val>
            <c:numRef>
              <c:f>'estatística'!$C$349:$M$349</c:f>
              <c:numCache/>
            </c:numRef>
          </c:val>
        </c:ser>
        <c:ser>
          <c:idx val="348"/>
          <c:order val="348"/>
          <c:tx>
            <c:strRef>
              <c:f>'estatística'!$B$350</c:f>
            </c:strRef>
          </c:tx>
          <c:cat>
            <c:strRef>
              <c:f>'estatística'!$C$1:$M$1</c:f>
            </c:strRef>
          </c:cat>
          <c:val>
            <c:numRef>
              <c:f>'estatística'!$C$350:$M$350</c:f>
              <c:numCache/>
            </c:numRef>
          </c:val>
        </c:ser>
        <c:ser>
          <c:idx val="349"/>
          <c:order val="349"/>
          <c:tx>
            <c:strRef>
              <c:f>'estatística'!$B$351</c:f>
            </c:strRef>
          </c:tx>
          <c:cat>
            <c:strRef>
              <c:f>'estatística'!$C$1:$M$1</c:f>
            </c:strRef>
          </c:cat>
          <c:val>
            <c:numRef>
              <c:f>'estatística'!$C$351:$M$351</c:f>
              <c:numCache/>
            </c:numRef>
          </c:val>
        </c:ser>
        <c:ser>
          <c:idx val="350"/>
          <c:order val="350"/>
          <c:tx>
            <c:strRef>
              <c:f>'estatística'!$B$352</c:f>
            </c:strRef>
          </c:tx>
          <c:cat>
            <c:strRef>
              <c:f>'estatística'!$C$1:$M$1</c:f>
            </c:strRef>
          </c:cat>
          <c:val>
            <c:numRef>
              <c:f>'estatística'!$C$352:$M$352</c:f>
              <c:numCache/>
            </c:numRef>
          </c:val>
        </c:ser>
        <c:ser>
          <c:idx val="351"/>
          <c:order val="351"/>
          <c:tx>
            <c:strRef>
              <c:f>'estatística'!$B$353</c:f>
            </c:strRef>
          </c:tx>
          <c:cat>
            <c:strRef>
              <c:f>'estatística'!$C$1:$M$1</c:f>
            </c:strRef>
          </c:cat>
          <c:val>
            <c:numRef>
              <c:f>'estatística'!$C$353:$M$353</c:f>
              <c:numCache/>
            </c:numRef>
          </c:val>
        </c:ser>
        <c:ser>
          <c:idx val="352"/>
          <c:order val="352"/>
          <c:tx>
            <c:strRef>
              <c:f>'estatística'!$B$354</c:f>
            </c:strRef>
          </c:tx>
          <c:cat>
            <c:strRef>
              <c:f>'estatística'!$C$1:$M$1</c:f>
            </c:strRef>
          </c:cat>
          <c:val>
            <c:numRef>
              <c:f>'estatística'!$C$354:$M$354</c:f>
              <c:numCache/>
            </c:numRef>
          </c:val>
        </c:ser>
        <c:ser>
          <c:idx val="353"/>
          <c:order val="353"/>
          <c:tx>
            <c:strRef>
              <c:f>'estatística'!$B$355</c:f>
            </c:strRef>
          </c:tx>
          <c:cat>
            <c:strRef>
              <c:f>'estatística'!$C$1:$M$1</c:f>
            </c:strRef>
          </c:cat>
          <c:val>
            <c:numRef>
              <c:f>'estatística'!$C$355:$M$355</c:f>
              <c:numCache/>
            </c:numRef>
          </c:val>
        </c:ser>
        <c:ser>
          <c:idx val="354"/>
          <c:order val="354"/>
          <c:tx>
            <c:strRef>
              <c:f>'estatística'!$B$356</c:f>
            </c:strRef>
          </c:tx>
          <c:cat>
            <c:strRef>
              <c:f>'estatística'!$C$1:$M$1</c:f>
            </c:strRef>
          </c:cat>
          <c:val>
            <c:numRef>
              <c:f>'estatística'!$C$356:$M$356</c:f>
              <c:numCache/>
            </c:numRef>
          </c:val>
        </c:ser>
        <c:ser>
          <c:idx val="355"/>
          <c:order val="355"/>
          <c:tx>
            <c:strRef>
              <c:f>'estatística'!$B$357</c:f>
            </c:strRef>
          </c:tx>
          <c:cat>
            <c:strRef>
              <c:f>'estatística'!$C$1:$M$1</c:f>
            </c:strRef>
          </c:cat>
          <c:val>
            <c:numRef>
              <c:f>'estatística'!$C$357:$M$357</c:f>
              <c:numCache/>
            </c:numRef>
          </c:val>
        </c:ser>
        <c:ser>
          <c:idx val="356"/>
          <c:order val="356"/>
          <c:tx>
            <c:strRef>
              <c:f>'estatística'!$B$358</c:f>
            </c:strRef>
          </c:tx>
          <c:cat>
            <c:strRef>
              <c:f>'estatística'!$C$1:$M$1</c:f>
            </c:strRef>
          </c:cat>
          <c:val>
            <c:numRef>
              <c:f>'estatística'!$C$358:$M$358</c:f>
              <c:numCache/>
            </c:numRef>
          </c:val>
        </c:ser>
        <c:ser>
          <c:idx val="357"/>
          <c:order val="357"/>
          <c:tx>
            <c:strRef>
              <c:f>'estatística'!$B$359</c:f>
            </c:strRef>
          </c:tx>
          <c:cat>
            <c:strRef>
              <c:f>'estatística'!$C$1:$M$1</c:f>
            </c:strRef>
          </c:cat>
          <c:val>
            <c:numRef>
              <c:f>'estatística'!$C$359:$M$359</c:f>
              <c:numCache/>
            </c:numRef>
          </c:val>
        </c:ser>
        <c:ser>
          <c:idx val="358"/>
          <c:order val="358"/>
          <c:tx>
            <c:strRef>
              <c:f>'estatística'!$B$360</c:f>
            </c:strRef>
          </c:tx>
          <c:cat>
            <c:strRef>
              <c:f>'estatística'!$C$1:$M$1</c:f>
            </c:strRef>
          </c:cat>
          <c:val>
            <c:numRef>
              <c:f>'estatística'!$C$360:$M$360</c:f>
              <c:numCache/>
            </c:numRef>
          </c:val>
        </c:ser>
        <c:ser>
          <c:idx val="359"/>
          <c:order val="359"/>
          <c:tx>
            <c:strRef>
              <c:f>'estatística'!$B$361</c:f>
            </c:strRef>
          </c:tx>
          <c:cat>
            <c:strRef>
              <c:f>'estatística'!$C$1:$M$1</c:f>
            </c:strRef>
          </c:cat>
          <c:val>
            <c:numRef>
              <c:f>'estatística'!$C$361:$M$361</c:f>
              <c:numCache/>
            </c:numRef>
          </c:val>
        </c:ser>
        <c:ser>
          <c:idx val="360"/>
          <c:order val="360"/>
          <c:tx>
            <c:strRef>
              <c:f>'estatística'!$B$362</c:f>
            </c:strRef>
          </c:tx>
          <c:cat>
            <c:strRef>
              <c:f>'estatística'!$C$1:$M$1</c:f>
            </c:strRef>
          </c:cat>
          <c:val>
            <c:numRef>
              <c:f>'estatística'!$C$362:$M$362</c:f>
              <c:numCache/>
            </c:numRef>
          </c:val>
        </c:ser>
        <c:ser>
          <c:idx val="361"/>
          <c:order val="361"/>
          <c:tx>
            <c:strRef>
              <c:f>'estatística'!$B$363</c:f>
            </c:strRef>
          </c:tx>
          <c:cat>
            <c:strRef>
              <c:f>'estatística'!$C$1:$M$1</c:f>
            </c:strRef>
          </c:cat>
          <c:val>
            <c:numRef>
              <c:f>'estatística'!$C$363:$M$363</c:f>
              <c:numCache/>
            </c:numRef>
          </c:val>
        </c:ser>
        <c:ser>
          <c:idx val="362"/>
          <c:order val="362"/>
          <c:tx>
            <c:strRef>
              <c:f>'estatística'!$B$364</c:f>
            </c:strRef>
          </c:tx>
          <c:cat>
            <c:strRef>
              <c:f>'estatística'!$C$1:$M$1</c:f>
            </c:strRef>
          </c:cat>
          <c:val>
            <c:numRef>
              <c:f>'estatística'!$C$364:$M$364</c:f>
              <c:numCache/>
            </c:numRef>
          </c:val>
        </c:ser>
        <c:ser>
          <c:idx val="363"/>
          <c:order val="363"/>
          <c:tx>
            <c:strRef>
              <c:f>'estatística'!$B$365</c:f>
            </c:strRef>
          </c:tx>
          <c:cat>
            <c:strRef>
              <c:f>'estatística'!$C$1:$M$1</c:f>
            </c:strRef>
          </c:cat>
          <c:val>
            <c:numRef>
              <c:f>'estatística'!$C$365:$M$365</c:f>
              <c:numCache/>
            </c:numRef>
          </c:val>
        </c:ser>
        <c:ser>
          <c:idx val="364"/>
          <c:order val="364"/>
          <c:tx>
            <c:strRef>
              <c:f>'estatística'!$B$366</c:f>
            </c:strRef>
          </c:tx>
          <c:cat>
            <c:strRef>
              <c:f>'estatística'!$C$1:$M$1</c:f>
            </c:strRef>
          </c:cat>
          <c:val>
            <c:numRef>
              <c:f>'estatística'!$C$366:$M$366</c:f>
              <c:numCache/>
            </c:numRef>
          </c:val>
        </c:ser>
        <c:ser>
          <c:idx val="365"/>
          <c:order val="365"/>
          <c:tx>
            <c:strRef>
              <c:f>'estatística'!$B$367</c:f>
            </c:strRef>
          </c:tx>
          <c:cat>
            <c:strRef>
              <c:f>'estatística'!$C$1:$M$1</c:f>
            </c:strRef>
          </c:cat>
          <c:val>
            <c:numRef>
              <c:f>'estatística'!$C$367:$M$367</c:f>
              <c:numCache/>
            </c:numRef>
          </c:val>
        </c:ser>
        <c:ser>
          <c:idx val="366"/>
          <c:order val="366"/>
          <c:tx>
            <c:strRef>
              <c:f>'estatística'!$B$368</c:f>
            </c:strRef>
          </c:tx>
          <c:cat>
            <c:strRef>
              <c:f>'estatística'!$C$1:$M$1</c:f>
            </c:strRef>
          </c:cat>
          <c:val>
            <c:numRef>
              <c:f>'estatística'!$C$368:$M$368</c:f>
              <c:numCache/>
            </c:numRef>
          </c:val>
        </c:ser>
        <c:ser>
          <c:idx val="367"/>
          <c:order val="367"/>
          <c:tx>
            <c:strRef>
              <c:f>'estatística'!$B$369</c:f>
            </c:strRef>
          </c:tx>
          <c:cat>
            <c:strRef>
              <c:f>'estatística'!$C$1:$M$1</c:f>
            </c:strRef>
          </c:cat>
          <c:val>
            <c:numRef>
              <c:f>'estatística'!$C$369:$M$369</c:f>
              <c:numCache/>
            </c:numRef>
          </c:val>
        </c:ser>
        <c:ser>
          <c:idx val="368"/>
          <c:order val="368"/>
          <c:tx>
            <c:strRef>
              <c:f>'estatística'!$B$370</c:f>
            </c:strRef>
          </c:tx>
          <c:cat>
            <c:strRef>
              <c:f>'estatística'!$C$1:$M$1</c:f>
            </c:strRef>
          </c:cat>
          <c:val>
            <c:numRef>
              <c:f>'estatística'!$C$370:$M$370</c:f>
              <c:numCache/>
            </c:numRef>
          </c:val>
        </c:ser>
        <c:ser>
          <c:idx val="369"/>
          <c:order val="369"/>
          <c:tx>
            <c:strRef>
              <c:f>'estatística'!$B$371</c:f>
            </c:strRef>
          </c:tx>
          <c:cat>
            <c:strRef>
              <c:f>'estatística'!$C$1:$M$1</c:f>
            </c:strRef>
          </c:cat>
          <c:val>
            <c:numRef>
              <c:f>'estatística'!$C$371:$M$371</c:f>
              <c:numCache/>
            </c:numRef>
          </c:val>
        </c:ser>
        <c:ser>
          <c:idx val="370"/>
          <c:order val="370"/>
          <c:tx>
            <c:strRef>
              <c:f>'estatística'!$B$372</c:f>
            </c:strRef>
          </c:tx>
          <c:cat>
            <c:strRef>
              <c:f>'estatística'!$C$1:$M$1</c:f>
            </c:strRef>
          </c:cat>
          <c:val>
            <c:numRef>
              <c:f>'estatística'!$C$372:$M$372</c:f>
              <c:numCache/>
            </c:numRef>
          </c:val>
        </c:ser>
        <c:ser>
          <c:idx val="371"/>
          <c:order val="371"/>
          <c:tx>
            <c:strRef>
              <c:f>'estatística'!$B$373</c:f>
            </c:strRef>
          </c:tx>
          <c:cat>
            <c:strRef>
              <c:f>'estatística'!$C$1:$M$1</c:f>
            </c:strRef>
          </c:cat>
          <c:val>
            <c:numRef>
              <c:f>'estatística'!$C$373:$M$373</c:f>
              <c:numCache/>
            </c:numRef>
          </c:val>
        </c:ser>
        <c:ser>
          <c:idx val="372"/>
          <c:order val="372"/>
          <c:tx>
            <c:strRef>
              <c:f>'estatística'!$B$374</c:f>
            </c:strRef>
          </c:tx>
          <c:cat>
            <c:strRef>
              <c:f>'estatística'!$C$1:$M$1</c:f>
            </c:strRef>
          </c:cat>
          <c:val>
            <c:numRef>
              <c:f>'estatística'!$C$374:$M$374</c:f>
              <c:numCache/>
            </c:numRef>
          </c:val>
        </c:ser>
        <c:ser>
          <c:idx val="373"/>
          <c:order val="373"/>
          <c:tx>
            <c:strRef>
              <c:f>'estatística'!$B$375</c:f>
            </c:strRef>
          </c:tx>
          <c:cat>
            <c:strRef>
              <c:f>'estatística'!$C$1:$M$1</c:f>
            </c:strRef>
          </c:cat>
          <c:val>
            <c:numRef>
              <c:f>'estatística'!$C$375:$M$375</c:f>
              <c:numCache/>
            </c:numRef>
          </c:val>
        </c:ser>
        <c:ser>
          <c:idx val="374"/>
          <c:order val="374"/>
          <c:tx>
            <c:strRef>
              <c:f>'estatística'!$B$376</c:f>
            </c:strRef>
          </c:tx>
          <c:cat>
            <c:strRef>
              <c:f>'estatística'!$C$1:$M$1</c:f>
            </c:strRef>
          </c:cat>
          <c:val>
            <c:numRef>
              <c:f>'estatística'!$C$376:$M$376</c:f>
              <c:numCache/>
            </c:numRef>
          </c:val>
        </c:ser>
        <c:ser>
          <c:idx val="375"/>
          <c:order val="375"/>
          <c:tx>
            <c:strRef>
              <c:f>'estatística'!$B$377</c:f>
            </c:strRef>
          </c:tx>
          <c:cat>
            <c:strRef>
              <c:f>'estatística'!$C$1:$M$1</c:f>
            </c:strRef>
          </c:cat>
          <c:val>
            <c:numRef>
              <c:f>'estatística'!$C$377:$M$377</c:f>
              <c:numCache/>
            </c:numRef>
          </c:val>
        </c:ser>
        <c:ser>
          <c:idx val="376"/>
          <c:order val="376"/>
          <c:tx>
            <c:strRef>
              <c:f>'estatística'!$B$378</c:f>
            </c:strRef>
          </c:tx>
          <c:cat>
            <c:strRef>
              <c:f>'estatística'!$C$1:$M$1</c:f>
            </c:strRef>
          </c:cat>
          <c:val>
            <c:numRef>
              <c:f>'estatística'!$C$378:$M$378</c:f>
              <c:numCache/>
            </c:numRef>
          </c:val>
        </c:ser>
        <c:ser>
          <c:idx val="377"/>
          <c:order val="377"/>
          <c:tx>
            <c:strRef>
              <c:f>'estatística'!$B$379</c:f>
            </c:strRef>
          </c:tx>
          <c:cat>
            <c:strRef>
              <c:f>'estatística'!$C$1:$M$1</c:f>
            </c:strRef>
          </c:cat>
          <c:val>
            <c:numRef>
              <c:f>'estatística'!$C$379:$M$379</c:f>
              <c:numCache/>
            </c:numRef>
          </c:val>
        </c:ser>
        <c:ser>
          <c:idx val="378"/>
          <c:order val="378"/>
          <c:tx>
            <c:strRef>
              <c:f>'estatística'!$B$380</c:f>
            </c:strRef>
          </c:tx>
          <c:cat>
            <c:strRef>
              <c:f>'estatística'!$C$1:$M$1</c:f>
            </c:strRef>
          </c:cat>
          <c:val>
            <c:numRef>
              <c:f>'estatística'!$C$380:$M$380</c:f>
              <c:numCache/>
            </c:numRef>
          </c:val>
        </c:ser>
        <c:ser>
          <c:idx val="379"/>
          <c:order val="379"/>
          <c:tx>
            <c:strRef>
              <c:f>'estatística'!$B$381</c:f>
            </c:strRef>
          </c:tx>
          <c:cat>
            <c:strRef>
              <c:f>'estatística'!$C$1:$M$1</c:f>
            </c:strRef>
          </c:cat>
          <c:val>
            <c:numRef>
              <c:f>'estatística'!$C$381:$M$381</c:f>
              <c:numCache/>
            </c:numRef>
          </c:val>
        </c:ser>
        <c:ser>
          <c:idx val="380"/>
          <c:order val="380"/>
          <c:tx>
            <c:strRef>
              <c:f>'estatística'!$B$382</c:f>
            </c:strRef>
          </c:tx>
          <c:cat>
            <c:strRef>
              <c:f>'estatística'!$C$1:$M$1</c:f>
            </c:strRef>
          </c:cat>
          <c:val>
            <c:numRef>
              <c:f>'estatística'!$C$382:$M$382</c:f>
              <c:numCache/>
            </c:numRef>
          </c:val>
        </c:ser>
        <c:ser>
          <c:idx val="381"/>
          <c:order val="381"/>
          <c:tx>
            <c:strRef>
              <c:f>'estatística'!$B$383</c:f>
            </c:strRef>
          </c:tx>
          <c:cat>
            <c:strRef>
              <c:f>'estatística'!$C$1:$M$1</c:f>
            </c:strRef>
          </c:cat>
          <c:val>
            <c:numRef>
              <c:f>'estatística'!$C$383:$M$383</c:f>
              <c:numCache/>
            </c:numRef>
          </c:val>
        </c:ser>
        <c:ser>
          <c:idx val="382"/>
          <c:order val="382"/>
          <c:tx>
            <c:strRef>
              <c:f>'estatística'!$B$384</c:f>
            </c:strRef>
          </c:tx>
          <c:cat>
            <c:strRef>
              <c:f>'estatística'!$C$1:$M$1</c:f>
            </c:strRef>
          </c:cat>
          <c:val>
            <c:numRef>
              <c:f>'estatística'!$C$384:$M$384</c:f>
              <c:numCache/>
            </c:numRef>
          </c:val>
        </c:ser>
        <c:ser>
          <c:idx val="383"/>
          <c:order val="383"/>
          <c:tx>
            <c:strRef>
              <c:f>'estatística'!$B$385</c:f>
            </c:strRef>
          </c:tx>
          <c:cat>
            <c:strRef>
              <c:f>'estatística'!$C$1:$M$1</c:f>
            </c:strRef>
          </c:cat>
          <c:val>
            <c:numRef>
              <c:f>'estatística'!$C$385:$M$385</c:f>
              <c:numCache/>
            </c:numRef>
          </c:val>
        </c:ser>
        <c:ser>
          <c:idx val="384"/>
          <c:order val="384"/>
          <c:tx>
            <c:strRef>
              <c:f>'estatística'!$B$386</c:f>
            </c:strRef>
          </c:tx>
          <c:cat>
            <c:strRef>
              <c:f>'estatística'!$C$1:$M$1</c:f>
            </c:strRef>
          </c:cat>
          <c:val>
            <c:numRef>
              <c:f>'estatística'!$C$386:$M$386</c:f>
              <c:numCache/>
            </c:numRef>
          </c:val>
        </c:ser>
        <c:ser>
          <c:idx val="385"/>
          <c:order val="385"/>
          <c:tx>
            <c:strRef>
              <c:f>'estatística'!$B$387</c:f>
            </c:strRef>
          </c:tx>
          <c:cat>
            <c:strRef>
              <c:f>'estatística'!$C$1:$M$1</c:f>
            </c:strRef>
          </c:cat>
          <c:val>
            <c:numRef>
              <c:f>'estatística'!$C$387:$M$387</c:f>
              <c:numCache/>
            </c:numRef>
          </c:val>
        </c:ser>
        <c:ser>
          <c:idx val="386"/>
          <c:order val="386"/>
          <c:tx>
            <c:strRef>
              <c:f>'estatística'!$B$388</c:f>
            </c:strRef>
          </c:tx>
          <c:cat>
            <c:strRef>
              <c:f>'estatística'!$C$1:$M$1</c:f>
            </c:strRef>
          </c:cat>
          <c:val>
            <c:numRef>
              <c:f>'estatística'!$C$388:$M$388</c:f>
              <c:numCache/>
            </c:numRef>
          </c:val>
        </c:ser>
        <c:ser>
          <c:idx val="387"/>
          <c:order val="387"/>
          <c:tx>
            <c:strRef>
              <c:f>'estatística'!$B$389</c:f>
            </c:strRef>
          </c:tx>
          <c:cat>
            <c:strRef>
              <c:f>'estatística'!$C$1:$M$1</c:f>
            </c:strRef>
          </c:cat>
          <c:val>
            <c:numRef>
              <c:f>'estatística'!$C$389:$M$389</c:f>
              <c:numCache/>
            </c:numRef>
          </c:val>
        </c:ser>
        <c:ser>
          <c:idx val="388"/>
          <c:order val="388"/>
          <c:tx>
            <c:strRef>
              <c:f>'estatística'!$B$390</c:f>
            </c:strRef>
          </c:tx>
          <c:cat>
            <c:strRef>
              <c:f>'estatística'!$C$1:$M$1</c:f>
            </c:strRef>
          </c:cat>
          <c:val>
            <c:numRef>
              <c:f>'estatística'!$C$390:$M$390</c:f>
              <c:numCache/>
            </c:numRef>
          </c:val>
        </c:ser>
        <c:ser>
          <c:idx val="389"/>
          <c:order val="389"/>
          <c:tx>
            <c:strRef>
              <c:f>'estatística'!$B$391</c:f>
            </c:strRef>
          </c:tx>
          <c:cat>
            <c:strRef>
              <c:f>'estatística'!$C$1:$M$1</c:f>
            </c:strRef>
          </c:cat>
          <c:val>
            <c:numRef>
              <c:f>'estatística'!$C$391:$M$391</c:f>
              <c:numCache/>
            </c:numRef>
          </c:val>
        </c:ser>
        <c:ser>
          <c:idx val="390"/>
          <c:order val="390"/>
          <c:tx>
            <c:strRef>
              <c:f>'estatística'!$B$392</c:f>
            </c:strRef>
          </c:tx>
          <c:cat>
            <c:strRef>
              <c:f>'estatística'!$C$1:$M$1</c:f>
            </c:strRef>
          </c:cat>
          <c:val>
            <c:numRef>
              <c:f>'estatística'!$C$392:$M$392</c:f>
              <c:numCache/>
            </c:numRef>
          </c:val>
        </c:ser>
        <c:ser>
          <c:idx val="391"/>
          <c:order val="391"/>
          <c:tx>
            <c:strRef>
              <c:f>'estatística'!$B$393</c:f>
            </c:strRef>
          </c:tx>
          <c:cat>
            <c:strRef>
              <c:f>'estatística'!$C$1:$M$1</c:f>
            </c:strRef>
          </c:cat>
          <c:val>
            <c:numRef>
              <c:f>'estatística'!$C$393:$M$393</c:f>
              <c:numCache/>
            </c:numRef>
          </c:val>
        </c:ser>
        <c:ser>
          <c:idx val="392"/>
          <c:order val="392"/>
          <c:tx>
            <c:strRef>
              <c:f>'estatística'!$B$394</c:f>
            </c:strRef>
          </c:tx>
          <c:cat>
            <c:strRef>
              <c:f>'estatística'!$C$1:$M$1</c:f>
            </c:strRef>
          </c:cat>
          <c:val>
            <c:numRef>
              <c:f>'estatística'!$C$394:$M$394</c:f>
              <c:numCache/>
            </c:numRef>
          </c:val>
        </c:ser>
        <c:ser>
          <c:idx val="393"/>
          <c:order val="393"/>
          <c:tx>
            <c:strRef>
              <c:f>'estatística'!$B$395</c:f>
            </c:strRef>
          </c:tx>
          <c:cat>
            <c:strRef>
              <c:f>'estatística'!$C$1:$M$1</c:f>
            </c:strRef>
          </c:cat>
          <c:val>
            <c:numRef>
              <c:f>'estatística'!$C$395:$M$395</c:f>
              <c:numCache/>
            </c:numRef>
          </c:val>
        </c:ser>
        <c:ser>
          <c:idx val="394"/>
          <c:order val="394"/>
          <c:tx>
            <c:strRef>
              <c:f>'estatística'!$B$396</c:f>
            </c:strRef>
          </c:tx>
          <c:cat>
            <c:strRef>
              <c:f>'estatística'!$C$1:$M$1</c:f>
            </c:strRef>
          </c:cat>
          <c:val>
            <c:numRef>
              <c:f>'estatística'!$C$396:$M$396</c:f>
              <c:numCache/>
            </c:numRef>
          </c:val>
        </c:ser>
        <c:ser>
          <c:idx val="395"/>
          <c:order val="395"/>
          <c:tx>
            <c:strRef>
              <c:f>'estatística'!$B$397</c:f>
            </c:strRef>
          </c:tx>
          <c:cat>
            <c:strRef>
              <c:f>'estatística'!$C$1:$M$1</c:f>
            </c:strRef>
          </c:cat>
          <c:val>
            <c:numRef>
              <c:f>'estatística'!$C$397:$M$397</c:f>
              <c:numCache/>
            </c:numRef>
          </c:val>
        </c:ser>
        <c:ser>
          <c:idx val="396"/>
          <c:order val="396"/>
          <c:tx>
            <c:strRef>
              <c:f>'estatística'!$B$398</c:f>
            </c:strRef>
          </c:tx>
          <c:cat>
            <c:strRef>
              <c:f>'estatística'!$C$1:$M$1</c:f>
            </c:strRef>
          </c:cat>
          <c:val>
            <c:numRef>
              <c:f>'estatística'!$C$398:$M$398</c:f>
              <c:numCache/>
            </c:numRef>
          </c:val>
        </c:ser>
        <c:ser>
          <c:idx val="397"/>
          <c:order val="397"/>
          <c:tx>
            <c:strRef>
              <c:f>'estatística'!$B$399</c:f>
            </c:strRef>
          </c:tx>
          <c:cat>
            <c:strRef>
              <c:f>'estatística'!$C$1:$M$1</c:f>
            </c:strRef>
          </c:cat>
          <c:val>
            <c:numRef>
              <c:f>'estatística'!$C$399:$M$399</c:f>
              <c:numCache/>
            </c:numRef>
          </c:val>
        </c:ser>
        <c:ser>
          <c:idx val="398"/>
          <c:order val="398"/>
          <c:tx>
            <c:strRef>
              <c:f>'estatística'!$B$400</c:f>
            </c:strRef>
          </c:tx>
          <c:cat>
            <c:strRef>
              <c:f>'estatística'!$C$1:$M$1</c:f>
            </c:strRef>
          </c:cat>
          <c:val>
            <c:numRef>
              <c:f>'estatística'!$C$400:$M$400</c:f>
              <c:numCache/>
            </c:numRef>
          </c:val>
        </c:ser>
        <c:ser>
          <c:idx val="399"/>
          <c:order val="399"/>
          <c:tx>
            <c:strRef>
              <c:f>'estatística'!$B$401</c:f>
            </c:strRef>
          </c:tx>
          <c:cat>
            <c:strRef>
              <c:f>'estatística'!$C$1:$M$1</c:f>
            </c:strRef>
          </c:cat>
          <c:val>
            <c:numRef>
              <c:f>'estatística'!$C$401:$M$401</c:f>
              <c:numCache/>
            </c:numRef>
          </c:val>
        </c:ser>
        <c:ser>
          <c:idx val="400"/>
          <c:order val="400"/>
          <c:tx>
            <c:strRef>
              <c:f>'estatística'!$B$402</c:f>
            </c:strRef>
          </c:tx>
          <c:cat>
            <c:strRef>
              <c:f>'estatística'!$C$1:$M$1</c:f>
            </c:strRef>
          </c:cat>
          <c:val>
            <c:numRef>
              <c:f>'estatística'!$C$402:$M$402</c:f>
              <c:numCache/>
            </c:numRef>
          </c:val>
        </c:ser>
        <c:ser>
          <c:idx val="401"/>
          <c:order val="401"/>
          <c:tx>
            <c:strRef>
              <c:f>'estatística'!$B$403</c:f>
            </c:strRef>
          </c:tx>
          <c:cat>
            <c:strRef>
              <c:f>'estatística'!$C$1:$M$1</c:f>
            </c:strRef>
          </c:cat>
          <c:val>
            <c:numRef>
              <c:f>'estatística'!$C$403:$M$403</c:f>
              <c:numCache/>
            </c:numRef>
          </c:val>
        </c:ser>
        <c:ser>
          <c:idx val="402"/>
          <c:order val="402"/>
          <c:tx>
            <c:strRef>
              <c:f>'estatística'!$B$404</c:f>
            </c:strRef>
          </c:tx>
          <c:cat>
            <c:strRef>
              <c:f>'estatística'!$C$1:$M$1</c:f>
            </c:strRef>
          </c:cat>
          <c:val>
            <c:numRef>
              <c:f>'estatística'!$C$404:$M$404</c:f>
              <c:numCache/>
            </c:numRef>
          </c:val>
        </c:ser>
        <c:ser>
          <c:idx val="403"/>
          <c:order val="403"/>
          <c:tx>
            <c:strRef>
              <c:f>'estatística'!$B$405</c:f>
            </c:strRef>
          </c:tx>
          <c:cat>
            <c:strRef>
              <c:f>'estatística'!$C$1:$M$1</c:f>
            </c:strRef>
          </c:cat>
          <c:val>
            <c:numRef>
              <c:f>'estatística'!$C$405:$M$405</c:f>
              <c:numCache/>
            </c:numRef>
          </c:val>
        </c:ser>
        <c:ser>
          <c:idx val="404"/>
          <c:order val="404"/>
          <c:tx>
            <c:strRef>
              <c:f>'estatística'!$B$406</c:f>
            </c:strRef>
          </c:tx>
          <c:cat>
            <c:strRef>
              <c:f>'estatística'!$C$1:$M$1</c:f>
            </c:strRef>
          </c:cat>
          <c:val>
            <c:numRef>
              <c:f>'estatística'!$C$406:$M$406</c:f>
              <c:numCache/>
            </c:numRef>
          </c:val>
        </c:ser>
        <c:ser>
          <c:idx val="405"/>
          <c:order val="405"/>
          <c:tx>
            <c:strRef>
              <c:f>'estatística'!$B$407</c:f>
            </c:strRef>
          </c:tx>
          <c:cat>
            <c:strRef>
              <c:f>'estatística'!$C$1:$M$1</c:f>
            </c:strRef>
          </c:cat>
          <c:val>
            <c:numRef>
              <c:f>'estatística'!$C$407:$M$407</c:f>
              <c:numCache/>
            </c:numRef>
          </c:val>
        </c:ser>
        <c:ser>
          <c:idx val="406"/>
          <c:order val="406"/>
          <c:tx>
            <c:strRef>
              <c:f>'estatística'!$B$408</c:f>
            </c:strRef>
          </c:tx>
          <c:cat>
            <c:strRef>
              <c:f>'estatística'!$C$1:$M$1</c:f>
            </c:strRef>
          </c:cat>
          <c:val>
            <c:numRef>
              <c:f>'estatística'!$C$408:$M$408</c:f>
              <c:numCache/>
            </c:numRef>
          </c:val>
        </c:ser>
        <c:ser>
          <c:idx val="407"/>
          <c:order val="407"/>
          <c:tx>
            <c:strRef>
              <c:f>'estatística'!$B$409</c:f>
            </c:strRef>
          </c:tx>
          <c:cat>
            <c:strRef>
              <c:f>'estatística'!$C$1:$M$1</c:f>
            </c:strRef>
          </c:cat>
          <c:val>
            <c:numRef>
              <c:f>'estatística'!$C$409:$M$409</c:f>
              <c:numCache/>
            </c:numRef>
          </c:val>
        </c:ser>
        <c:ser>
          <c:idx val="408"/>
          <c:order val="408"/>
          <c:tx>
            <c:strRef>
              <c:f>'estatística'!$B$410</c:f>
            </c:strRef>
          </c:tx>
          <c:cat>
            <c:strRef>
              <c:f>'estatística'!$C$1:$M$1</c:f>
            </c:strRef>
          </c:cat>
          <c:val>
            <c:numRef>
              <c:f>'estatística'!$C$410:$M$410</c:f>
              <c:numCache/>
            </c:numRef>
          </c:val>
        </c:ser>
        <c:ser>
          <c:idx val="409"/>
          <c:order val="409"/>
          <c:tx>
            <c:strRef>
              <c:f>'estatística'!$B$411</c:f>
            </c:strRef>
          </c:tx>
          <c:cat>
            <c:strRef>
              <c:f>'estatística'!$C$1:$M$1</c:f>
            </c:strRef>
          </c:cat>
          <c:val>
            <c:numRef>
              <c:f>'estatística'!$C$411:$M$411</c:f>
              <c:numCache/>
            </c:numRef>
          </c:val>
        </c:ser>
        <c:ser>
          <c:idx val="410"/>
          <c:order val="410"/>
          <c:tx>
            <c:strRef>
              <c:f>'estatística'!$B$412</c:f>
            </c:strRef>
          </c:tx>
          <c:cat>
            <c:strRef>
              <c:f>'estatística'!$C$1:$M$1</c:f>
            </c:strRef>
          </c:cat>
          <c:val>
            <c:numRef>
              <c:f>'estatística'!$C$412:$M$412</c:f>
              <c:numCache/>
            </c:numRef>
          </c:val>
        </c:ser>
        <c:ser>
          <c:idx val="411"/>
          <c:order val="411"/>
          <c:tx>
            <c:strRef>
              <c:f>'estatística'!$B$413</c:f>
            </c:strRef>
          </c:tx>
          <c:cat>
            <c:strRef>
              <c:f>'estatística'!$C$1:$M$1</c:f>
            </c:strRef>
          </c:cat>
          <c:val>
            <c:numRef>
              <c:f>'estatística'!$C$413:$M$413</c:f>
              <c:numCache/>
            </c:numRef>
          </c:val>
        </c:ser>
        <c:ser>
          <c:idx val="412"/>
          <c:order val="412"/>
          <c:tx>
            <c:strRef>
              <c:f>'estatística'!$B$414</c:f>
            </c:strRef>
          </c:tx>
          <c:cat>
            <c:strRef>
              <c:f>'estatística'!$C$1:$M$1</c:f>
            </c:strRef>
          </c:cat>
          <c:val>
            <c:numRef>
              <c:f>'estatística'!$C$414:$M$414</c:f>
              <c:numCache/>
            </c:numRef>
          </c:val>
        </c:ser>
        <c:ser>
          <c:idx val="413"/>
          <c:order val="413"/>
          <c:tx>
            <c:strRef>
              <c:f>'estatística'!$B$415</c:f>
            </c:strRef>
          </c:tx>
          <c:cat>
            <c:strRef>
              <c:f>'estatística'!$C$1:$M$1</c:f>
            </c:strRef>
          </c:cat>
          <c:val>
            <c:numRef>
              <c:f>'estatística'!$C$415:$M$415</c:f>
              <c:numCache/>
            </c:numRef>
          </c:val>
        </c:ser>
        <c:ser>
          <c:idx val="414"/>
          <c:order val="414"/>
          <c:tx>
            <c:strRef>
              <c:f>'estatística'!$B$416</c:f>
            </c:strRef>
          </c:tx>
          <c:cat>
            <c:strRef>
              <c:f>'estatística'!$C$1:$M$1</c:f>
            </c:strRef>
          </c:cat>
          <c:val>
            <c:numRef>
              <c:f>'estatística'!$C$416:$M$416</c:f>
              <c:numCache/>
            </c:numRef>
          </c:val>
        </c:ser>
        <c:ser>
          <c:idx val="415"/>
          <c:order val="415"/>
          <c:tx>
            <c:strRef>
              <c:f>'estatística'!$B$417</c:f>
            </c:strRef>
          </c:tx>
          <c:cat>
            <c:strRef>
              <c:f>'estatística'!$C$1:$M$1</c:f>
            </c:strRef>
          </c:cat>
          <c:val>
            <c:numRef>
              <c:f>'estatística'!$C$417:$M$417</c:f>
              <c:numCache/>
            </c:numRef>
          </c:val>
        </c:ser>
        <c:ser>
          <c:idx val="416"/>
          <c:order val="416"/>
          <c:tx>
            <c:strRef>
              <c:f>'estatística'!$B$418</c:f>
            </c:strRef>
          </c:tx>
          <c:cat>
            <c:strRef>
              <c:f>'estatística'!$C$1:$M$1</c:f>
            </c:strRef>
          </c:cat>
          <c:val>
            <c:numRef>
              <c:f>'estatística'!$C$418:$M$418</c:f>
              <c:numCache/>
            </c:numRef>
          </c:val>
        </c:ser>
        <c:ser>
          <c:idx val="417"/>
          <c:order val="417"/>
          <c:tx>
            <c:strRef>
              <c:f>'estatística'!$B$419</c:f>
            </c:strRef>
          </c:tx>
          <c:cat>
            <c:strRef>
              <c:f>'estatística'!$C$1:$M$1</c:f>
            </c:strRef>
          </c:cat>
          <c:val>
            <c:numRef>
              <c:f>'estatística'!$C$419:$M$419</c:f>
              <c:numCache/>
            </c:numRef>
          </c:val>
        </c:ser>
        <c:ser>
          <c:idx val="418"/>
          <c:order val="418"/>
          <c:tx>
            <c:strRef>
              <c:f>'estatística'!$B$420</c:f>
            </c:strRef>
          </c:tx>
          <c:cat>
            <c:strRef>
              <c:f>'estatística'!$C$1:$M$1</c:f>
            </c:strRef>
          </c:cat>
          <c:val>
            <c:numRef>
              <c:f>'estatística'!$C$420:$M$420</c:f>
              <c:numCache/>
            </c:numRef>
          </c:val>
        </c:ser>
        <c:ser>
          <c:idx val="419"/>
          <c:order val="419"/>
          <c:tx>
            <c:strRef>
              <c:f>'estatística'!$B$421</c:f>
            </c:strRef>
          </c:tx>
          <c:cat>
            <c:strRef>
              <c:f>'estatística'!$C$1:$M$1</c:f>
            </c:strRef>
          </c:cat>
          <c:val>
            <c:numRef>
              <c:f>'estatística'!$C$421:$M$421</c:f>
              <c:numCache/>
            </c:numRef>
          </c:val>
        </c:ser>
        <c:ser>
          <c:idx val="420"/>
          <c:order val="420"/>
          <c:tx>
            <c:strRef>
              <c:f>'estatística'!$B$422</c:f>
            </c:strRef>
          </c:tx>
          <c:cat>
            <c:strRef>
              <c:f>'estatística'!$C$1:$M$1</c:f>
            </c:strRef>
          </c:cat>
          <c:val>
            <c:numRef>
              <c:f>'estatística'!$C$422:$M$422</c:f>
              <c:numCache/>
            </c:numRef>
          </c:val>
        </c:ser>
        <c:ser>
          <c:idx val="421"/>
          <c:order val="421"/>
          <c:tx>
            <c:strRef>
              <c:f>'estatística'!$B$423</c:f>
            </c:strRef>
          </c:tx>
          <c:cat>
            <c:strRef>
              <c:f>'estatística'!$C$1:$M$1</c:f>
            </c:strRef>
          </c:cat>
          <c:val>
            <c:numRef>
              <c:f>'estatística'!$C$423:$M$423</c:f>
              <c:numCache/>
            </c:numRef>
          </c:val>
        </c:ser>
        <c:ser>
          <c:idx val="422"/>
          <c:order val="422"/>
          <c:tx>
            <c:strRef>
              <c:f>'estatística'!$B$424</c:f>
            </c:strRef>
          </c:tx>
          <c:cat>
            <c:strRef>
              <c:f>'estatística'!$C$1:$M$1</c:f>
            </c:strRef>
          </c:cat>
          <c:val>
            <c:numRef>
              <c:f>'estatística'!$C$424:$M$424</c:f>
              <c:numCache/>
            </c:numRef>
          </c:val>
        </c:ser>
        <c:ser>
          <c:idx val="423"/>
          <c:order val="423"/>
          <c:tx>
            <c:strRef>
              <c:f>'estatística'!$B$425</c:f>
            </c:strRef>
          </c:tx>
          <c:cat>
            <c:strRef>
              <c:f>'estatística'!$C$1:$M$1</c:f>
            </c:strRef>
          </c:cat>
          <c:val>
            <c:numRef>
              <c:f>'estatística'!$C$425:$M$425</c:f>
              <c:numCache/>
            </c:numRef>
          </c:val>
        </c:ser>
        <c:ser>
          <c:idx val="424"/>
          <c:order val="424"/>
          <c:tx>
            <c:strRef>
              <c:f>'estatística'!$B$426</c:f>
            </c:strRef>
          </c:tx>
          <c:cat>
            <c:strRef>
              <c:f>'estatística'!$C$1:$M$1</c:f>
            </c:strRef>
          </c:cat>
          <c:val>
            <c:numRef>
              <c:f>'estatística'!$C$426:$M$426</c:f>
              <c:numCache/>
            </c:numRef>
          </c:val>
        </c:ser>
        <c:ser>
          <c:idx val="425"/>
          <c:order val="425"/>
          <c:tx>
            <c:strRef>
              <c:f>'estatística'!$B$427</c:f>
            </c:strRef>
          </c:tx>
          <c:cat>
            <c:strRef>
              <c:f>'estatística'!$C$1:$M$1</c:f>
            </c:strRef>
          </c:cat>
          <c:val>
            <c:numRef>
              <c:f>'estatística'!$C$427:$M$427</c:f>
              <c:numCache/>
            </c:numRef>
          </c:val>
        </c:ser>
        <c:ser>
          <c:idx val="426"/>
          <c:order val="426"/>
          <c:tx>
            <c:strRef>
              <c:f>'estatística'!$B$428</c:f>
            </c:strRef>
          </c:tx>
          <c:cat>
            <c:strRef>
              <c:f>'estatística'!$C$1:$M$1</c:f>
            </c:strRef>
          </c:cat>
          <c:val>
            <c:numRef>
              <c:f>'estatística'!$C$428:$M$428</c:f>
              <c:numCache/>
            </c:numRef>
          </c:val>
        </c:ser>
        <c:ser>
          <c:idx val="427"/>
          <c:order val="427"/>
          <c:tx>
            <c:strRef>
              <c:f>'estatística'!$B$429</c:f>
            </c:strRef>
          </c:tx>
          <c:cat>
            <c:strRef>
              <c:f>'estatística'!$C$1:$M$1</c:f>
            </c:strRef>
          </c:cat>
          <c:val>
            <c:numRef>
              <c:f>'estatística'!$C$429:$M$429</c:f>
              <c:numCache/>
            </c:numRef>
          </c:val>
        </c:ser>
        <c:ser>
          <c:idx val="428"/>
          <c:order val="428"/>
          <c:tx>
            <c:strRef>
              <c:f>'estatística'!$B$430</c:f>
            </c:strRef>
          </c:tx>
          <c:cat>
            <c:strRef>
              <c:f>'estatística'!$C$1:$M$1</c:f>
            </c:strRef>
          </c:cat>
          <c:val>
            <c:numRef>
              <c:f>'estatística'!$C$430:$M$430</c:f>
              <c:numCache/>
            </c:numRef>
          </c:val>
        </c:ser>
        <c:ser>
          <c:idx val="429"/>
          <c:order val="429"/>
          <c:tx>
            <c:strRef>
              <c:f>'estatística'!$B$431</c:f>
            </c:strRef>
          </c:tx>
          <c:cat>
            <c:strRef>
              <c:f>'estatística'!$C$1:$M$1</c:f>
            </c:strRef>
          </c:cat>
          <c:val>
            <c:numRef>
              <c:f>'estatística'!$C$431:$M$431</c:f>
              <c:numCache/>
            </c:numRef>
          </c:val>
        </c:ser>
        <c:ser>
          <c:idx val="430"/>
          <c:order val="430"/>
          <c:tx>
            <c:strRef>
              <c:f>'estatística'!$B$432</c:f>
            </c:strRef>
          </c:tx>
          <c:cat>
            <c:strRef>
              <c:f>'estatística'!$C$1:$M$1</c:f>
            </c:strRef>
          </c:cat>
          <c:val>
            <c:numRef>
              <c:f>'estatística'!$C$432:$M$432</c:f>
              <c:numCache/>
            </c:numRef>
          </c:val>
        </c:ser>
        <c:ser>
          <c:idx val="431"/>
          <c:order val="431"/>
          <c:tx>
            <c:strRef>
              <c:f>'estatística'!$B$433</c:f>
            </c:strRef>
          </c:tx>
          <c:cat>
            <c:strRef>
              <c:f>'estatística'!$C$1:$M$1</c:f>
            </c:strRef>
          </c:cat>
          <c:val>
            <c:numRef>
              <c:f>'estatística'!$C$433:$M$433</c:f>
              <c:numCache/>
            </c:numRef>
          </c:val>
        </c:ser>
        <c:ser>
          <c:idx val="432"/>
          <c:order val="432"/>
          <c:tx>
            <c:strRef>
              <c:f>'estatística'!$B$434</c:f>
            </c:strRef>
          </c:tx>
          <c:cat>
            <c:strRef>
              <c:f>'estatística'!$C$1:$M$1</c:f>
            </c:strRef>
          </c:cat>
          <c:val>
            <c:numRef>
              <c:f>'estatística'!$C$434:$M$434</c:f>
              <c:numCache/>
            </c:numRef>
          </c:val>
        </c:ser>
        <c:ser>
          <c:idx val="433"/>
          <c:order val="433"/>
          <c:tx>
            <c:strRef>
              <c:f>'estatística'!$B$435</c:f>
            </c:strRef>
          </c:tx>
          <c:cat>
            <c:strRef>
              <c:f>'estatística'!$C$1:$M$1</c:f>
            </c:strRef>
          </c:cat>
          <c:val>
            <c:numRef>
              <c:f>'estatística'!$C$435:$M$435</c:f>
              <c:numCache/>
            </c:numRef>
          </c:val>
        </c:ser>
        <c:ser>
          <c:idx val="434"/>
          <c:order val="434"/>
          <c:tx>
            <c:strRef>
              <c:f>'estatística'!$B$436</c:f>
            </c:strRef>
          </c:tx>
          <c:cat>
            <c:strRef>
              <c:f>'estatística'!$C$1:$M$1</c:f>
            </c:strRef>
          </c:cat>
          <c:val>
            <c:numRef>
              <c:f>'estatística'!$C$436:$M$436</c:f>
              <c:numCache/>
            </c:numRef>
          </c:val>
        </c:ser>
        <c:ser>
          <c:idx val="435"/>
          <c:order val="435"/>
          <c:tx>
            <c:strRef>
              <c:f>'estatística'!$B$437</c:f>
            </c:strRef>
          </c:tx>
          <c:cat>
            <c:strRef>
              <c:f>'estatística'!$C$1:$M$1</c:f>
            </c:strRef>
          </c:cat>
          <c:val>
            <c:numRef>
              <c:f>'estatística'!$C$437:$M$437</c:f>
              <c:numCache/>
            </c:numRef>
          </c:val>
        </c:ser>
        <c:ser>
          <c:idx val="436"/>
          <c:order val="436"/>
          <c:tx>
            <c:strRef>
              <c:f>'estatística'!$B$438</c:f>
            </c:strRef>
          </c:tx>
          <c:cat>
            <c:strRef>
              <c:f>'estatística'!$C$1:$M$1</c:f>
            </c:strRef>
          </c:cat>
          <c:val>
            <c:numRef>
              <c:f>'estatística'!$C$438:$M$438</c:f>
              <c:numCache/>
            </c:numRef>
          </c:val>
        </c:ser>
        <c:ser>
          <c:idx val="437"/>
          <c:order val="437"/>
          <c:tx>
            <c:strRef>
              <c:f>'estatística'!$B$439</c:f>
            </c:strRef>
          </c:tx>
          <c:cat>
            <c:strRef>
              <c:f>'estatística'!$C$1:$M$1</c:f>
            </c:strRef>
          </c:cat>
          <c:val>
            <c:numRef>
              <c:f>'estatística'!$C$439:$M$439</c:f>
              <c:numCache/>
            </c:numRef>
          </c:val>
        </c:ser>
        <c:ser>
          <c:idx val="438"/>
          <c:order val="438"/>
          <c:tx>
            <c:strRef>
              <c:f>'estatística'!$B$440</c:f>
            </c:strRef>
          </c:tx>
          <c:cat>
            <c:strRef>
              <c:f>'estatística'!$C$1:$M$1</c:f>
            </c:strRef>
          </c:cat>
          <c:val>
            <c:numRef>
              <c:f>'estatística'!$C$440:$M$440</c:f>
              <c:numCache/>
            </c:numRef>
          </c:val>
        </c:ser>
        <c:ser>
          <c:idx val="439"/>
          <c:order val="439"/>
          <c:tx>
            <c:strRef>
              <c:f>'estatística'!$B$441</c:f>
            </c:strRef>
          </c:tx>
          <c:cat>
            <c:strRef>
              <c:f>'estatística'!$C$1:$M$1</c:f>
            </c:strRef>
          </c:cat>
          <c:val>
            <c:numRef>
              <c:f>'estatística'!$C$441:$M$441</c:f>
              <c:numCache/>
            </c:numRef>
          </c:val>
        </c:ser>
        <c:ser>
          <c:idx val="440"/>
          <c:order val="440"/>
          <c:tx>
            <c:strRef>
              <c:f>'estatística'!$B$442</c:f>
            </c:strRef>
          </c:tx>
          <c:cat>
            <c:strRef>
              <c:f>'estatística'!$C$1:$M$1</c:f>
            </c:strRef>
          </c:cat>
          <c:val>
            <c:numRef>
              <c:f>'estatística'!$C$442:$M$442</c:f>
              <c:numCache/>
            </c:numRef>
          </c:val>
        </c:ser>
        <c:ser>
          <c:idx val="441"/>
          <c:order val="441"/>
          <c:tx>
            <c:strRef>
              <c:f>'estatística'!$B$443</c:f>
            </c:strRef>
          </c:tx>
          <c:cat>
            <c:strRef>
              <c:f>'estatística'!$C$1:$M$1</c:f>
            </c:strRef>
          </c:cat>
          <c:val>
            <c:numRef>
              <c:f>'estatística'!$C$443:$M$443</c:f>
              <c:numCache/>
            </c:numRef>
          </c:val>
        </c:ser>
        <c:ser>
          <c:idx val="442"/>
          <c:order val="442"/>
          <c:tx>
            <c:strRef>
              <c:f>'estatística'!$B$444</c:f>
            </c:strRef>
          </c:tx>
          <c:cat>
            <c:strRef>
              <c:f>'estatística'!$C$1:$M$1</c:f>
            </c:strRef>
          </c:cat>
          <c:val>
            <c:numRef>
              <c:f>'estatística'!$C$444:$M$444</c:f>
              <c:numCache/>
            </c:numRef>
          </c:val>
        </c:ser>
        <c:ser>
          <c:idx val="443"/>
          <c:order val="443"/>
          <c:tx>
            <c:strRef>
              <c:f>'estatística'!$B$445</c:f>
            </c:strRef>
          </c:tx>
          <c:cat>
            <c:strRef>
              <c:f>'estatística'!$C$1:$M$1</c:f>
            </c:strRef>
          </c:cat>
          <c:val>
            <c:numRef>
              <c:f>'estatística'!$C$445:$M$445</c:f>
              <c:numCache/>
            </c:numRef>
          </c:val>
        </c:ser>
        <c:ser>
          <c:idx val="444"/>
          <c:order val="444"/>
          <c:tx>
            <c:strRef>
              <c:f>'estatística'!$B$446</c:f>
            </c:strRef>
          </c:tx>
          <c:cat>
            <c:strRef>
              <c:f>'estatística'!$C$1:$M$1</c:f>
            </c:strRef>
          </c:cat>
          <c:val>
            <c:numRef>
              <c:f>'estatística'!$C$446:$M$446</c:f>
              <c:numCache/>
            </c:numRef>
          </c:val>
        </c:ser>
        <c:ser>
          <c:idx val="445"/>
          <c:order val="445"/>
          <c:tx>
            <c:strRef>
              <c:f>'estatística'!$B$447</c:f>
            </c:strRef>
          </c:tx>
          <c:cat>
            <c:strRef>
              <c:f>'estatística'!$C$1:$M$1</c:f>
            </c:strRef>
          </c:cat>
          <c:val>
            <c:numRef>
              <c:f>'estatística'!$C$447:$M$447</c:f>
              <c:numCache/>
            </c:numRef>
          </c:val>
        </c:ser>
        <c:ser>
          <c:idx val="446"/>
          <c:order val="446"/>
          <c:tx>
            <c:strRef>
              <c:f>'estatística'!$B$448</c:f>
            </c:strRef>
          </c:tx>
          <c:cat>
            <c:strRef>
              <c:f>'estatística'!$C$1:$M$1</c:f>
            </c:strRef>
          </c:cat>
          <c:val>
            <c:numRef>
              <c:f>'estatística'!$C$448:$M$448</c:f>
              <c:numCache/>
            </c:numRef>
          </c:val>
        </c:ser>
        <c:ser>
          <c:idx val="447"/>
          <c:order val="447"/>
          <c:tx>
            <c:strRef>
              <c:f>'estatística'!$B$449</c:f>
            </c:strRef>
          </c:tx>
          <c:cat>
            <c:strRef>
              <c:f>'estatística'!$C$1:$M$1</c:f>
            </c:strRef>
          </c:cat>
          <c:val>
            <c:numRef>
              <c:f>'estatística'!$C$449:$M$449</c:f>
              <c:numCache/>
            </c:numRef>
          </c:val>
        </c:ser>
        <c:ser>
          <c:idx val="448"/>
          <c:order val="448"/>
          <c:tx>
            <c:strRef>
              <c:f>'estatística'!$B$450</c:f>
            </c:strRef>
          </c:tx>
          <c:cat>
            <c:strRef>
              <c:f>'estatística'!$C$1:$M$1</c:f>
            </c:strRef>
          </c:cat>
          <c:val>
            <c:numRef>
              <c:f>'estatística'!$C$450:$M$450</c:f>
              <c:numCache/>
            </c:numRef>
          </c:val>
        </c:ser>
        <c:ser>
          <c:idx val="449"/>
          <c:order val="449"/>
          <c:tx>
            <c:strRef>
              <c:f>'estatística'!$B$451</c:f>
            </c:strRef>
          </c:tx>
          <c:cat>
            <c:strRef>
              <c:f>'estatística'!$C$1:$M$1</c:f>
            </c:strRef>
          </c:cat>
          <c:val>
            <c:numRef>
              <c:f>'estatística'!$C$451:$M$451</c:f>
              <c:numCache/>
            </c:numRef>
          </c:val>
        </c:ser>
        <c:ser>
          <c:idx val="450"/>
          <c:order val="450"/>
          <c:tx>
            <c:strRef>
              <c:f>'estatística'!$B$452</c:f>
            </c:strRef>
          </c:tx>
          <c:cat>
            <c:strRef>
              <c:f>'estatística'!$C$1:$M$1</c:f>
            </c:strRef>
          </c:cat>
          <c:val>
            <c:numRef>
              <c:f>'estatística'!$C$452:$M$452</c:f>
              <c:numCache/>
            </c:numRef>
          </c:val>
        </c:ser>
        <c:ser>
          <c:idx val="451"/>
          <c:order val="451"/>
          <c:tx>
            <c:strRef>
              <c:f>'estatística'!$B$453</c:f>
            </c:strRef>
          </c:tx>
          <c:cat>
            <c:strRef>
              <c:f>'estatística'!$C$1:$M$1</c:f>
            </c:strRef>
          </c:cat>
          <c:val>
            <c:numRef>
              <c:f>'estatística'!$C$453:$M$453</c:f>
              <c:numCache/>
            </c:numRef>
          </c:val>
        </c:ser>
        <c:ser>
          <c:idx val="452"/>
          <c:order val="452"/>
          <c:tx>
            <c:strRef>
              <c:f>'estatística'!$B$454</c:f>
            </c:strRef>
          </c:tx>
          <c:cat>
            <c:strRef>
              <c:f>'estatística'!$C$1:$M$1</c:f>
            </c:strRef>
          </c:cat>
          <c:val>
            <c:numRef>
              <c:f>'estatística'!$C$454:$M$454</c:f>
              <c:numCache/>
            </c:numRef>
          </c:val>
        </c:ser>
        <c:ser>
          <c:idx val="453"/>
          <c:order val="453"/>
          <c:tx>
            <c:strRef>
              <c:f>'estatística'!$B$455</c:f>
            </c:strRef>
          </c:tx>
          <c:cat>
            <c:strRef>
              <c:f>'estatística'!$C$1:$M$1</c:f>
            </c:strRef>
          </c:cat>
          <c:val>
            <c:numRef>
              <c:f>'estatística'!$C$455:$M$455</c:f>
              <c:numCache/>
            </c:numRef>
          </c:val>
        </c:ser>
        <c:ser>
          <c:idx val="454"/>
          <c:order val="454"/>
          <c:tx>
            <c:strRef>
              <c:f>'estatística'!$B$456</c:f>
            </c:strRef>
          </c:tx>
          <c:cat>
            <c:strRef>
              <c:f>'estatística'!$C$1:$M$1</c:f>
            </c:strRef>
          </c:cat>
          <c:val>
            <c:numRef>
              <c:f>'estatística'!$C$456:$M$456</c:f>
              <c:numCache/>
            </c:numRef>
          </c:val>
        </c:ser>
        <c:ser>
          <c:idx val="455"/>
          <c:order val="455"/>
          <c:tx>
            <c:strRef>
              <c:f>'estatística'!$B$457</c:f>
            </c:strRef>
          </c:tx>
          <c:cat>
            <c:strRef>
              <c:f>'estatística'!$C$1:$M$1</c:f>
            </c:strRef>
          </c:cat>
          <c:val>
            <c:numRef>
              <c:f>'estatística'!$C$457:$M$457</c:f>
              <c:numCache/>
            </c:numRef>
          </c:val>
        </c:ser>
        <c:ser>
          <c:idx val="456"/>
          <c:order val="456"/>
          <c:tx>
            <c:strRef>
              <c:f>'estatística'!$B$458</c:f>
            </c:strRef>
          </c:tx>
          <c:cat>
            <c:strRef>
              <c:f>'estatística'!$C$1:$M$1</c:f>
            </c:strRef>
          </c:cat>
          <c:val>
            <c:numRef>
              <c:f>'estatística'!$C$458:$M$458</c:f>
              <c:numCache/>
            </c:numRef>
          </c:val>
        </c:ser>
        <c:ser>
          <c:idx val="457"/>
          <c:order val="457"/>
          <c:tx>
            <c:strRef>
              <c:f>'estatística'!$B$459</c:f>
            </c:strRef>
          </c:tx>
          <c:cat>
            <c:strRef>
              <c:f>'estatística'!$C$1:$M$1</c:f>
            </c:strRef>
          </c:cat>
          <c:val>
            <c:numRef>
              <c:f>'estatística'!$C$459:$M$459</c:f>
              <c:numCache/>
            </c:numRef>
          </c:val>
        </c:ser>
        <c:ser>
          <c:idx val="458"/>
          <c:order val="458"/>
          <c:tx>
            <c:strRef>
              <c:f>'estatística'!$B$460</c:f>
            </c:strRef>
          </c:tx>
          <c:cat>
            <c:strRef>
              <c:f>'estatística'!$C$1:$M$1</c:f>
            </c:strRef>
          </c:cat>
          <c:val>
            <c:numRef>
              <c:f>'estatística'!$C$460:$M$460</c:f>
              <c:numCache/>
            </c:numRef>
          </c:val>
        </c:ser>
        <c:ser>
          <c:idx val="459"/>
          <c:order val="459"/>
          <c:tx>
            <c:strRef>
              <c:f>'estatística'!$B$461</c:f>
            </c:strRef>
          </c:tx>
          <c:cat>
            <c:strRef>
              <c:f>'estatística'!$C$1:$M$1</c:f>
            </c:strRef>
          </c:cat>
          <c:val>
            <c:numRef>
              <c:f>'estatística'!$C$461:$M$461</c:f>
              <c:numCache/>
            </c:numRef>
          </c:val>
        </c:ser>
        <c:ser>
          <c:idx val="460"/>
          <c:order val="460"/>
          <c:tx>
            <c:strRef>
              <c:f>'estatística'!$B$462</c:f>
            </c:strRef>
          </c:tx>
          <c:cat>
            <c:strRef>
              <c:f>'estatística'!$C$1:$M$1</c:f>
            </c:strRef>
          </c:cat>
          <c:val>
            <c:numRef>
              <c:f>'estatística'!$C$462:$M$462</c:f>
              <c:numCache/>
            </c:numRef>
          </c:val>
        </c:ser>
        <c:ser>
          <c:idx val="461"/>
          <c:order val="461"/>
          <c:tx>
            <c:strRef>
              <c:f>'estatística'!$B$463</c:f>
            </c:strRef>
          </c:tx>
          <c:cat>
            <c:strRef>
              <c:f>'estatística'!$C$1:$M$1</c:f>
            </c:strRef>
          </c:cat>
          <c:val>
            <c:numRef>
              <c:f>'estatística'!$C$463:$M$463</c:f>
              <c:numCache/>
            </c:numRef>
          </c:val>
        </c:ser>
        <c:ser>
          <c:idx val="462"/>
          <c:order val="462"/>
          <c:tx>
            <c:strRef>
              <c:f>'estatística'!$B$464</c:f>
            </c:strRef>
          </c:tx>
          <c:cat>
            <c:strRef>
              <c:f>'estatística'!$C$1:$M$1</c:f>
            </c:strRef>
          </c:cat>
          <c:val>
            <c:numRef>
              <c:f>'estatística'!$C$464:$M$464</c:f>
              <c:numCache/>
            </c:numRef>
          </c:val>
        </c:ser>
        <c:ser>
          <c:idx val="463"/>
          <c:order val="463"/>
          <c:tx>
            <c:strRef>
              <c:f>'estatística'!$B$465</c:f>
            </c:strRef>
          </c:tx>
          <c:cat>
            <c:strRef>
              <c:f>'estatística'!$C$1:$M$1</c:f>
            </c:strRef>
          </c:cat>
          <c:val>
            <c:numRef>
              <c:f>'estatística'!$C$465:$M$465</c:f>
              <c:numCache/>
            </c:numRef>
          </c:val>
        </c:ser>
        <c:ser>
          <c:idx val="464"/>
          <c:order val="464"/>
          <c:tx>
            <c:strRef>
              <c:f>'estatística'!$B$466</c:f>
            </c:strRef>
          </c:tx>
          <c:cat>
            <c:strRef>
              <c:f>'estatística'!$C$1:$M$1</c:f>
            </c:strRef>
          </c:cat>
          <c:val>
            <c:numRef>
              <c:f>'estatística'!$C$466:$M$466</c:f>
              <c:numCache/>
            </c:numRef>
          </c:val>
        </c:ser>
        <c:ser>
          <c:idx val="465"/>
          <c:order val="465"/>
          <c:tx>
            <c:strRef>
              <c:f>'estatística'!$B$467</c:f>
            </c:strRef>
          </c:tx>
          <c:cat>
            <c:strRef>
              <c:f>'estatística'!$C$1:$M$1</c:f>
            </c:strRef>
          </c:cat>
          <c:val>
            <c:numRef>
              <c:f>'estatística'!$C$467:$M$467</c:f>
              <c:numCache/>
            </c:numRef>
          </c:val>
        </c:ser>
        <c:ser>
          <c:idx val="466"/>
          <c:order val="466"/>
          <c:tx>
            <c:strRef>
              <c:f>'estatística'!$B$468</c:f>
            </c:strRef>
          </c:tx>
          <c:cat>
            <c:strRef>
              <c:f>'estatística'!$C$1:$M$1</c:f>
            </c:strRef>
          </c:cat>
          <c:val>
            <c:numRef>
              <c:f>'estatística'!$C$468:$M$468</c:f>
              <c:numCache/>
            </c:numRef>
          </c:val>
        </c:ser>
        <c:ser>
          <c:idx val="467"/>
          <c:order val="467"/>
          <c:tx>
            <c:strRef>
              <c:f>'estatística'!$B$469</c:f>
            </c:strRef>
          </c:tx>
          <c:cat>
            <c:strRef>
              <c:f>'estatística'!$C$1:$M$1</c:f>
            </c:strRef>
          </c:cat>
          <c:val>
            <c:numRef>
              <c:f>'estatística'!$C$469:$M$469</c:f>
              <c:numCache/>
            </c:numRef>
          </c:val>
        </c:ser>
        <c:ser>
          <c:idx val="468"/>
          <c:order val="468"/>
          <c:tx>
            <c:strRef>
              <c:f>'estatística'!$B$470</c:f>
            </c:strRef>
          </c:tx>
          <c:cat>
            <c:strRef>
              <c:f>'estatística'!$C$1:$M$1</c:f>
            </c:strRef>
          </c:cat>
          <c:val>
            <c:numRef>
              <c:f>'estatística'!$C$470:$M$470</c:f>
              <c:numCache/>
            </c:numRef>
          </c:val>
        </c:ser>
        <c:ser>
          <c:idx val="469"/>
          <c:order val="469"/>
          <c:tx>
            <c:strRef>
              <c:f>'estatística'!$B$471</c:f>
            </c:strRef>
          </c:tx>
          <c:cat>
            <c:strRef>
              <c:f>'estatística'!$C$1:$M$1</c:f>
            </c:strRef>
          </c:cat>
          <c:val>
            <c:numRef>
              <c:f>'estatística'!$C$471:$M$471</c:f>
              <c:numCache/>
            </c:numRef>
          </c:val>
        </c:ser>
        <c:ser>
          <c:idx val="470"/>
          <c:order val="470"/>
          <c:tx>
            <c:strRef>
              <c:f>'estatística'!$B$472</c:f>
            </c:strRef>
          </c:tx>
          <c:cat>
            <c:strRef>
              <c:f>'estatística'!$C$1:$M$1</c:f>
            </c:strRef>
          </c:cat>
          <c:val>
            <c:numRef>
              <c:f>'estatística'!$C$472:$M$472</c:f>
              <c:numCache/>
            </c:numRef>
          </c:val>
        </c:ser>
        <c:ser>
          <c:idx val="471"/>
          <c:order val="471"/>
          <c:tx>
            <c:strRef>
              <c:f>'estatística'!$B$473</c:f>
            </c:strRef>
          </c:tx>
          <c:cat>
            <c:strRef>
              <c:f>'estatística'!$C$1:$M$1</c:f>
            </c:strRef>
          </c:cat>
          <c:val>
            <c:numRef>
              <c:f>'estatística'!$C$473:$M$473</c:f>
              <c:numCache/>
            </c:numRef>
          </c:val>
        </c:ser>
        <c:ser>
          <c:idx val="472"/>
          <c:order val="472"/>
          <c:tx>
            <c:strRef>
              <c:f>'estatística'!$B$474</c:f>
            </c:strRef>
          </c:tx>
          <c:cat>
            <c:strRef>
              <c:f>'estatística'!$C$1:$M$1</c:f>
            </c:strRef>
          </c:cat>
          <c:val>
            <c:numRef>
              <c:f>'estatística'!$C$474:$M$474</c:f>
              <c:numCache/>
            </c:numRef>
          </c:val>
        </c:ser>
        <c:ser>
          <c:idx val="473"/>
          <c:order val="473"/>
          <c:tx>
            <c:strRef>
              <c:f>'estatística'!$B$475</c:f>
            </c:strRef>
          </c:tx>
          <c:cat>
            <c:strRef>
              <c:f>'estatística'!$C$1:$M$1</c:f>
            </c:strRef>
          </c:cat>
          <c:val>
            <c:numRef>
              <c:f>'estatística'!$C$475:$M$475</c:f>
              <c:numCache/>
            </c:numRef>
          </c:val>
        </c:ser>
        <c:ser>
          <c:idx val="474"/>
          <c:order val="474"/>
          <c:tx>
            <c:strRef>
              <c:f>'estatística'!$B$476</c:f>
            </c:strRef>
          </c:tx>
          <c:cat>
            <c:strRef>
              <c:f>'estatística'!$C$1:$M$1</c:f>
            </c:strRef>
          </c:cat>
          <c:val>
            <c:numRef>
              <c:f>'estatística'!$C$476:$M$476</c:f>
              <c:numCache/>
            </c:numRef>
          </c:val>
        </c:ser>
        <c:ser>
          <c:idx val="475"/>
          <c:order val="475"/>
          <c:tx>
            <c:strRef>
              <c:f>'estatística'!$B$477</c:f>
            </c:strRef>
          </c:tx>
          <c:cat>
            <c:strRef>
              <c:f>'estatística'!$C$1:$M$1</c:f>
            </c:strRef>
          </c:cat>
          <c:val>
            <c:numRef>
              <c:f>'estatística'!$C$477:$M$477</c:f>
              <c:numCache/>
            </c:numRef>
          </c:val>
        </c:ser>
        <c:ser>
          <c:idx val="476"/>
          <c:order val="476"/>
          <c:tx>
            <c:strRef>
              <c:f>'estatística'!$B$478</c:f>
            </c:strRef>
          </c:tx>
          <c:cat>
            <c:strRef>
              <c:f>'estatística'!$C$1:$M$1</c:f>
            </c:strRef>
          </c:cat>
          <c:val>
            <c:numRef>
              <c:f>'estatística'!$C$478:$M$478</c:f>
              <c:numCache/>
            </c:numRef>
          </c:val>
        </c:ser>
        <c:ser>
          <c:idx val="477"/>
          <c:order val="477"/>
          <c:tx>
            <c:strRef>
              <c:f>'estatística'!$B$479</c:f>
            </c:strRef>
          </c:tx>
          <c:cat>
            <c:strRef>
              <c:f>'estatística'!$C$1:$M$1</c:f>
            </c:strRef>
          </c:cat>
          <c:val>
            <c:numRef>
              <c:f>'estatística'!$C$479:$M$479</c:f>
              <c:numCache/>
            </c:numRef>
          </c:val>
        </c:ser>
        <c:ser>
          <c:idx val="478"/>
          <c:order val="478"/>
          <c:tx>
            <c:strRef>
              <c:f>'estatística'!$B$480</c:f>
            </c:strRef>
          </c:tx>
          <c:cat>
            <c:strRef>
              <c:f>'estatística'!$C$1:$M$1</c:f>
            </c:strRef>
          </c:cat>
          <c:val>
            <c:numRef>
              <c:f>'estatística'!$C$480:$M$480</c:f>
              <c:numCache/>
            </c:numRef>
          </c:val>
        </c:ser>
        <c:ser>
          <c:idx val="479"/>
          <c:order val="479"/>
          <c:tx>
            <c:strRef>
              <c:f>'estatística'!$B$481</c:f>
            </c:strRef>
          </c:tx>
          <c:cat>
            <c:strRef>
              <c:f>'estatística'!$C$1:$M$1</c:f>
            </c:strRef>
          </c:cat>
          <c:val>
            <c:numRef>
              <c:f>'estatística'!$C$481:$M$481</c:f>
              <c:numCache/>
            </c:numRef>
          </c:val>
        </c:ser>
        <c:ser>
          <c:idx val="480"/>
          <c:order val="480"/>
          <c:tx>
            <c:strRef>
              <c:f>'estatística'!$B$482</c:f>
            </c:strRef>
          </c:tx>
          <c:cat>
            <c:strRef>
              <c:f>'estatística'!$C$1:$M$1</c:f>
            </c:strRef>
          </c:cat>
          <c:val>
            <c:numRef>
              <c:f>'estatística'!$C$482:$M$482</c:f>
              <c:numCache/>
            </c:numRef>
          </c:val>
        </c:ser>
        <c:ser>
          <c:idx val="481"/>
          <c:order val="481"/>
          <c:tx>
            <c:strRef>
              <c:f>'estatística'!$B$483</c:f>
            </c:strRef>
          </c:tx>
          <c:cat>
            <c:strRef>
              <c:f>'estatística'!$C$1:$M$1</c:f>
            </c:strRef>
          </c:cat>
          <c:val>
            <c:numRef>
              <c:f>'estatística'!$C$483:$M$483</c:f>
              <c:numCache/>
            </c:numRef>
          </c:val>
        </c:ser>
        <c:ser>
          <c:idx val="482"/>
          <c:order val="482"/>
          <c:tx>
            <c:strRef>
              <c:f>'estatística'!$B$484</c:f>
            </c:strRef>
          </c:tx>
          <c:cat>
            <c:strRef>
              <c:f>'estatística'!$C$1:$M$1</c:f>
            </c:strRef>
          </c:cat>
          <c:val>
            <c:numRef>
              <c:f>'estatística'!$C$484:$M$484</c:f>
              <c:numCache/>
            </c:numRef>
          </c:val>
        </c:ser>
        <c:ser>
          <c:idx val="483"/>
          <c:order val="483"/>
          <c:tx>
            <c:strRef>
              <c:f>'estatística'!$B$485</c:f>
            </c:strRef>
          </c:tx>
          <c:cat>
            <c:strRef>
              <c:f>'estatística'!$C$1:$M$1</c:f>
            </c:strRef>
          </c:cat>
          <c:val>
            <c:numRef>
              <c:f>'estatística'!$C$485:$M$485</c:f>
              <c:numCache/>
            </c:numRef>
          </c:val>
        </c:ser>
        <c:ser>
          <c:idx val="484"/>
          <c:order val="484"/>
          <c:tx>
            <c:strRef>
              <c:f>'estatística'!$B$486</c:f>
            </c:strRef>
          </c:tx>
          <c:cat>
            <c:strRef>
              <c:f>'estatística'!$C$1:$M$1</c:f>
            </c:strRef>
          </c:cat>
          <c:val>
            <c:numRef>
              <c:f>'estatística'!$C$486:$M$486</c:f>
              <c:numCache/>
            </c:numRef>
          </c:val>
        </c:ser>
        <c:ser>
          <c:idx val="485"/>
          <c:order val="485"/>
          <c:tx>
            <c:strRef>
              <c:f>'estatística'!$B$487</c:f>
            </c:strRef>
          </c:tx>
          <c:cat>
            <c:strRef>
              <c:f>'estatística'!$C$1:$M$1</c:f>
            </c:strRef>
          </c:cat>
          <c:val>
            <c:numRef>
              <c:f>'estatística'!$C$487:$M$487</c:f>
              <c:numCache/>
            </c:numRef>
          </c:val>
        </c:ser>
        <c:ser>
          <c:idx val="486"/>
          <c:order val="486"/>
          <c:tx>
            <c:strRef>
              <c:f>'estatística'!$B$488</c:f>
            </c:strRef>
          </c:tx>
          <c:cat>
            <c:strRef>
              <c:f>'estatística'!$C$1:$M$1</c:f>
            </c:strRef>
          </c:cat>
          <c:val>
            <c:numRef>
              <c:f>'estatística'!$C$488:$M$488</c:f>
              <c:numCache/>
            </c:numRef>
          </c:val>
        </c:ser>
        <c:ser>
          <c:idx val="487"/>
          <c:order val="487"/>
          <c:tx>
            <c:strRef>
              <c:f>'estatística'!$B$489</c:f>
            </c:strRef>
          </c:tx>
          <c:cat>
            <c:strRef>
              <c:f>'estatística'!$C$1:$M$1</c:f>
            </c:strRef>
          </c:cat>
          <c:val>
            <c:numRef>
              <c:f>'estatística'!$C$489:$M$489</c:f>
              <c:numCache/>
            </c:numRef>
          </c:val>
        </c:ser>
        <c:ser>
          <c:idx val="488"/>
          <c:order val="488"/>
          <c:tx>
            <c:strRef>
              <c:f>'estatística'!$B$490</c:f>
            </c:strRef>
          </c:tx>
          <c:cat>
            <c:strRef>
              <c:f>'estatística'!$C$1:$M$1</c:f>
            </c:strRef>
          </c:cat>
          <c:val>
            <c:numRef>
              <c:f>'estatística'!$C$490:$M$490</c:f>
              <c:numCache/>
            </c:numRef>
          </c:val>
        </c:ser>
        <c:ser>
          <c:idx val="489"/>
          <c:order val="489"/>
          <c:tx>
            <c:strRef>
              <c:f>'estatística'!$B$491</c:f>
            </c:strRef>
          </c:tx>
          <c:cat>
            <c:strRef>
              <c:f>'estatística'!$C$1:$M$1</c:f>
            </c:strRef>
          </c:cat>
          <c:val>
            <c:numRef>
              <c:f>'estatística'!$C$491:$M$491</c:f>
              <c:numCache/>
            </c:numRef>
          </c:val>
        </c:ser>
        <c:ser>
          <c:idx val="490"/>
          <c:order val="490"/>
          <c:tx>
            <c:strRef>
              <c:f>'estatística'!$B$492</c:f>
            </c:strRef>
          </c:tx>
          <c:cat>
            <c:strRef>
              <c:f>'estatística'!$C$1:$M$1</c:f>
            </c:strRef>
          </c:cat>
          <c:val>
            <c:numRef>
              <c:f>'estatística'!$C$492:$M$492</c:f>
              <c:numCache/>
            </c:numRef>
          </c:val>
        </c:ser>
        <c:ser>
          <c:idx val="491"/>
          <c:order val="491"/>
          <c:tx>
            <c:strRef>
              <c:f>'estatística'!$B$493</c:f>
            </c:strRef>
          </c:tx>
          <c:cat>
            <c:strRef>
              <c:f>'estatística'!$C$1:$M$1</c:f>
            </c:strRef>
          </c:cat>
          <c:val>
            <c:numRef>
              <c:f>'estatística'!$C$493:$M$493</c:f>
              <c:numCache/>
            </c:numRef>
          </c:val>
        </c:ser>
        <c:ser>
          <c:idx val="492"/>
          <c:order val="492"/>
          <c:tx>
            <c:strRef>
              <c:f>'estatística'!$B$494</c:f>
            </c:strRef>
          </c:tx>
          <c:cat>
            <c:strRef>
              <c:f>'estatística'!$C$1:$M$1</c:f>
            </c:strRef>
          </c:cat>
          <c:val>
            <c:numRef>
              <c:f>'estatística'!$C$494:$M$494</c:f>
              <c:numCache/>
            </c:numRef>
          </c:val>
        </c:ser>
        <c:ser>
          <c:idx val="493"/>
          <c:order val="493"/>
          <c:tx>
            <c:strRef>
              <c:f>'estatística'!$B$495</c:f>
            </c:strRef>
          </c:tx>
          <c:cat>
            <c:strRef>
              <c:f>'estatística'!$C$1:$M$1</c:f>
            </c:strRef>
          </c:cat>
          <c:val>
            <c:numRef>
              <c:f>'estatística'!$C$495:$M$495</c:f>
              <c:numCache/>
            </c:numRef>
          </c:val>
        </c:ser>
        <c:ser>
          <c:idx val="494"/>
          <c:order val="494"/>
          <c:tx>
            <c:strRef>
              <c:f>'estatística'!$B$496</c:f>
            </c:strRef>
          </c:tx>
          <c:cat>
            <c:strRef>
              <c:f>'estatística'!$C$1:$M$1</c:f>
            </c:strRef>
          </c:cat>
          <c:val>
            <c:numRef>
              <c:f>'estatística'!$C$496:$M$496</c:f>
              <c:numCache/>
            </c:numRef>
          </c:val>
        </c:ser>
        <c:ser>
          <c:idx val="495"/>
          <c:order val="495"/>
          <c:tx>
            <c:strRef>
              <c:f>'estatística'!$B$497</c:f>
            </c:strRef>
          </c:tx>
          <c:cat>
            <c:strRef>
              <c:f>'estatística'!$C$1:$M$1</c:f>
            </c:strRef>
          </c:cat>
          <c:val>
            <c:numRef>
              <c:f>'estatística'!$C$497:$M$497</c:f>
              <c:numCache/>
            </c:numRef>
          </c:val>
        </c:ser>
        <c:ser>
          <c:idx val="496"/>
          <c:order val="496"/>
          <c:tx>
            <c:strRef>
              <c:f>'estatística'!$B$498</c:f>
            </c:strRef>
          </c:tx>
          <c:cat>
            <c:strRef>
              <c:f>'estatística'!$C$1:$M$1</c:f>
            </c:strRef>
          </c:cat>
          <c:val>
            <c:numRef>
              <c:f>'estatística'!$C$498:$M$498</c:f>
              <c:numCache/>
            </c:numRef>
          </c:val>
        </c:ser>
        <c:ser>
          <c:idx val="497"/>
          <c:order val="497"/>
          <c:tx>
            <c:strRef>
              <c:f>'estatística'!$B$499</c:f>
            </c:strRef>
          </c:tx>
          <c:cat>
            <c:strRef>
              <c:f>'estatística'!$C$1:$M$1</c:f>
            </c:strRef>
          </c:cat>
          <c:val>
            <c:numRef>
              <c:f>'estatística'!$C$499:$M$499</c:f>
              <c:numCache/>
            </c:numRef>
          </c:val>
        </c:ser>
        <c:ser>
          <c:idx val="498"/>
          <c:order val="498"/>
          <c:tx>
            <c:strRef>
              <c:f>'estatística'!$B$500</c:f>
            </c:strRef>
          </c:tx>
          <c:cat>
            <c:strRef>
              <c:f>'estatística'!$C$1:$M$1</c:f>
            </c:strRef>
          </c:cat>
          <c:val>
            <c:numRef>
              <c:f>'estatística'!$C$500:$M$500</c:f>
              <c:numCache/>
            </c:numRef>
          </c:val>
        </c:ser>
        <c:ser>
          <c:idx val="499"/>
          <c:order val="499"/>
          <c:tx>
            <c:strRef>
              <c:f>'estatística'!$B$501</c:f>
            </c:strRef>
          </c:tx>
          <c:cat>
            <c:strRef>
              <c:f>'estatística'!$C$1:$M$1</c:f>
            </c:strRef>
          </c:cat>
          <c:val>
            <c:numRef>
              <c:f>'estatística'!$C$501:$M$501</c:f>
              <c:numCache/>
            </c:numRef>
          </c:val>
        </c:ser>
        <c:ser>
          <c:idx val="500"/>
          <c:order val="500"/>
          <c:tx>
            <c:strRef>
              <c:f>'estatística'!$B$502</c:f>
            </c:strRef>
          </c:tx>
          <c:cat>
            <c:strRef>
              <c:f>'estatística'!$C$1:$M$1</c:f>
            </c:strRef>
          </c:cat>
          <c:val>
            <c:numRef>
              <c:f>'estatística'!$C$502:$M$502</c:f>
              <c:numCache/>
            </c:numRef>
          </c:val>
        </c:ser>
        <c:ser>
          <c:idx val="501"/>
          <c:order val="501"/>
          <c:tx>
            <c:strRef>
              <c:f>'estatística'!$B$503</c:f>
            </c:strRef>
          </c:tx>
          <c:cat>
            <c:strRef>
              <c:f>'estatística'!$C$1:$M$1</c:f>
            </c:strRef>
          </c:cat>
          <c:val>
            <c:numRef>
              <c:f>'estatística'!$C$503:$M$503</c:f>
              <c:numCache/>
            </c:numRef>
          </c:val>
        </c:ser>
        <c:ser>
          <c:idx val="502"/>
          <c:order val="502"/>
          <c:tx>
            <c:strRef>
              <c:f>'estatística'!$B$504</c:f>
            </c:strRef>
          </c:tx>
          <c:cat>
            <c:strRef>
              <c:f>'estatística'!$C$1:$M$1</c:f>
            </c:strRef>
          </c:cat>
          <c:val>
            <c:numRef>
              <c:f>'estatística'!$C$504:$M$504</c:f>
              <c:numCache/>
            </c:numRef>
          </c:val>
        </c:ser>
        <c:ser>
          <c:idx val="503"/>
          <c:order val="503"/>
          <c:tx>
            <c:strRef>
              <c:f>'estatística'!$B$505</c:f>
            </c:strRef>
          </c:tx>
          <c:cat>
            <c:strRef>
              <c:f>'estatística'!$C$1:$M$1</c:f>
            </c:strRef>
          </c:cat>
          <c:val>
            <c:numRef>
              <c:f>'estatística'!$C$505:$M$505</c:f>
              <c:numCache/>
            </c:numRef>
          </c:val>
        </c:ser>
        <c:ser>
          <c:idx val="504"/>
          <c:order val="504"/>
          <c:tx>
            <c:strRef>
              <c:f>'estatística'!$B$506</c:f>
            </c:strRef>
          </c:tx>
          <c:cat>
            <c:strRef>
              <c:f>'estatística'!$C$1:$M$1</c:f>
            </c:strRef>
          </c:cat>
          <c:val>
            <c:numRef>
              <c:f>'estatística'!$C$506:$M$506</c:f>
              <c:numCache/>
            </c:numRef>
          </c:val>
        </c:ser>
        <c:ser>
          <c:idx val="505"/>
          <c:order val="505"/>
          <c:tx>
            <c:strRef>
              <c:f>'estatística'!$B$507</c:f>
            </c:strRef>
          </c:tx>
          <c:cat>
            <c:strRef>
              <c:f>'estatística'!$C$1:$M$1</c:f>
            </c:strRef>
          </c:cat>
          <c:val>
            <c:numRef>
              <c:f>'estatística'!$C$507:$M$507</c:f>
              <c:numCache/>
            </c:numRef>
          </c:val>
        </c:ser>
        <c:ser>
          <c:idx val="506"/>
          <c:order val="506"/>
          <c:tx>
            <c:strRef>
              <c:f>'estatística'!$B$508</c:f>
            </c:strRef>
          </c:tx>
          <c:cat>
            <c:strRef>
              <c:f>'estatística'!$C$1:$M$1</c:f>
            </c:strRef>
          </c:cat>
          <c:val>
            <c:numRef>
              <c:f>'estatística'!$C$508:$M$508</c:f>
              <c:numCache/>
            </c:numRef>
          </c:val>
        </c:ser>
        <c:ser>
          <c:idx val="507"/>
          <c:order val="507"/>
          <c:tx>
            <c:strRef>
              <c:f>'estatística'!$B$509</c:f>
            </c:strRef>
          </c:tx>
          <c:cat>
            <c:strRef>
              <c:f>'estatística'!$C$1:$M$1</c:f>
            </c:strRef>
          </c:cat>
          <c:val>
            <c:numRef>
              <c:f>'estatística'!$C$509:$M$509</c:f>
              <c:numCache/>
            </c:numRef>
          </c:val>
        </c:ser>
        <c:ser>
          <c:idx val="508"/>
          <c:order val="508"/>
          <c:tx>
            <c:strRef>
              <c:f>'estatística'!$B$510</c:f>
            </c:strRef>
          </c:tx>
          <c:cat>
            <c:strRef>
              <c:f>'estatística'!$C$1:$M$1</c:f>
            </c:strRef>
          </c:cat>
          <c:val>
            <c:numRef>
              <c:f>'estatística'!$C$510:$M$510</c:f>
              <c:numCache/>
            </c:numRef>
          </c:val>
        </c:ser>
        <c:ser>
          <c:idx val="509"/>
          <c:order val="509"/>
          <c:tx>
            <c:strRef>
              <c:f>'estatística'!$B$511</c:f>
            </c:strRef>
          </c:tx>
          <c:cat>
            <c:strRef>
              <c:f>'estatística'!$C$1:$M$1</c:f>
            </c:strRef>
          </c:cat>
          <c:val>
            <c:numRef>
              <c:f>'estatística'!$C$511:$M$511</c:f>
              <c:numCache/>
            </c:numRef>
          </c:val>
        </c:ser>
        <c:ser>
          <c:idx val="510"/>
          <c:order val="510"/>
          <c:tx>
            <c:strRef>
              <c:f>'estatística'!$B$512</c:f>
            </c:strRef>
          </c:tx>
          <c:cat>
            <c:strRef>
              <c:f>'estatística'!$C$1:$M$1</c:f>
            </c:strRef>
          </c:cat>
          <c:val>
            <c:numRef>
              <c:f>'estatística'!$C$512:$M$512</c:f>
              <c:numCache/>
            </c:numRef>
          </c:val>
        </c:ser>
        <c:ser>
          <c:idx val="511"/>
          <c:order val="511"/>
          <c:tx>
            <c:strRef>
              <c:f>'estatística'!$B$513</c:f>
            </c:strRef>
          </c:tx>
          <c:cat>
            <c:strRef>
              <c:f>'estatística'!$C$1:$M$1</c:f>
            </c:strRef>
          </c:cat>
          <c:val>
            <c:numRef>
              <c:f>'estatística'!$C$513:$M$513</c:f>
              <c:numCache/>
            </c:numRef>
          </c:val>
        </c:ser>
        <c:ser>
          <c:idx val="512"/>
          <c:order val="512"/>
          <c:tx>
            <c:strRef>
              <c:f>'estatística'!$B$514</c:f>
            </c:strRef>
          </c:tx>
          <c:cat>
            <c:strRef>
              <c:f>'estatística'!$C$1:$M$1</c:f>
            </c:strRef>
          </c:cat>
          <c:val>
            <c:numRef>
              <c:f>'estatística'!$C$514:$M$514</c:f>
              <c:numCache/>
            </c:numRef>
          </c:val>
        </c:ser>
        <c:ser>
          <c:idx val="513"/>
          <c:order val="513"/>
          <c:tx>
            <c:strRef>
              <c:f>'estatística'!$B$515</c:f>
            </c:strRef>
          </c:tx>
          <c:cat>
            <c:strRef>
              <c:f>'estatística'!$C$1:$M$1</c:f>
            </c:strRef>
          </c:cat>
          <c:val>
            <c:numRef>
              <c:f>'estatística'!$C$515:$M$515</c:f>
              <c:numCache/>
            </c:numRef>
          </c:val>
        </c:ser>
        <c:ser>
          <c:idx val="514"/>
          <c:order val="514"/>
          <c:tx>
            <c:strRef>
              <c:f>'estatística'!$B$516</c:f>
            </c:strRef>
          </c:tx>
          <c:cat>
            <c:strRef>
              <c:f>'estatística'!$C$1:$M$1</c:f>
            </c:strRef>
          </c:cat>
          <c:val>
            <c:numRef>
              <c:f>'estatística'!$C$516:$M$516</c:f>
              <c:numCache/>
            </c:numRef>
          </c:val>
        </c:ser>
        <c:ser>
          <c:idx val="515"/>
          <c:order val="515"/>
          <c:tx>
            <c:strRef>
              <c:f>'estatística'!$B$517</c:f>
            </c:strRef>
          </c:tx>
          <c:cat>
            <c:strRef>
              <c:f>'estatística'!$C$1:$M$1</c:f>
            </c:strRef>
          </c:cat>
          <c:val>
            <c:numRef>
              <c:f>'estatística'!$C$517:$M$517</c:f>
              <c:numCache/>
            </c:numRef>
          </c:val>
        </c:ser>
        <c:ser>
          <c:idx val="516"/>
          <c:order val="516"/>
          <c:tx>
            <c:strRef>
              <c:f>'estatística'!$B$518</c:f>
            </c:strRef>
          </c:tx>
          <c:cat>
            <c:strRef>
              <c:f>'estatística'!$C$1:$M$1</c:f>
            </c:strRef>
          </c:cat>
          <c:val>
            <c:numRef>
              <c:f>'estatística'!$C$518:$M$518</c:f>
              <c:numCache/>
            </c:numRef>
          </c:val>
        </c:ser>
        <c:ser>
          <c:idx val="517"/>
          <c:order val="517"/>
          <c:tx>
            <c:strRef>
              <c:f>'estatística'!$B$519</c:f>
            </c:strRef>
          </c:tx>
          <c:cat>
            <c:strRef>
              <c:f>'estatística'!$C$1:$M$1</c:f>
            </c:strRef>
          </c:cat>
          <c:val>
            <c:numRef>
              <c:f>'estatística'!$C$519:$M$519</c:f>
              <c:numCache/>
            </c:numRef>
          </c:val>
        </c:ser>
        <c:ser>
          <c:idx val="518"/>
          <c:order val="518"/>
          <c:tx>
            <c:strRef>
              <c:f>'estatística'!$B$520</c:f>
            </c:strRef>
          </c:tx>
          <c:cat>
            <c:strRef>
              <c:f>'estatística'!$C$1:$M$1</c:f>
            </c:strRef>
          </c:cat>
          <c:val>
            <c:numRef>
              <c:f>'estatística'!$C$520:$M$520</c:f>
              <c:numCache/>
            </c:numRef>
          </c:val>
        </c:ser>
        <c:ser>
          <c:idx val="519"/>
          <c:order val="519"/>
          <c:tx>
            <c:strRef>
              <c:f>'estatística'!$B$521</c:f>
            </c:strRef>
          </c:tx>
          <c:cat>
            <c:strRef>
              <c:f>'estatística'!$C$1:$M$1</c:f>
            </c:strRef>
          </c:cat>
          <c:val>
            <c:numRef>
              <c:f>'estatística'!$C$521:$M$521</c:f>
              <c:numCache/>
            </c:numRef>
          </c:val>
        </c:ser>
        <c:ser>
          <c:idx val="520"/>
          <c:order val="520"/>
          <c:tx>
            <c:strRef>
              <c:f>'estatística'!$B$522</c:f>
            </c:strRef>
          </c:tx>
          <c:cat>
            <c:strRef>
              <c:f>'estatística'!$C$1:$M$1</c:f>
            </c:strRef>
          </c:cat>
          <c:val>
            <c:numRef>
              <c:f>'estatística'!$C$522:$M$522</c:f>
              <c:numCache/>
            </c:numRef>
          </c:val>
        </c:ser>
        <c:ser>
          <c:idx val="521"/>
          <c:order val="521"/>
          <c:tx>
            <c:strRef>
              <c:f>'estatística'!$B$523</c:f>
            </c:strRef>
          </c:tx>
          <c:cat>
            <c:strRef>
              <c:f>'estatística'!$C$1:$M$1</c:f>
            </c:strRef>
          </c:cat>
          <c:val>
            <c:numRef>
              <c:f>'estatística'!$C$523:$M$523</c:f>
              <c:numCache/>
            </c:numRef>
          </c:val>
        </c:ser>
        <c:ser>
          <c:idx val="522"/>
          <c:order val="522"/>
          <c:tx>
            <c:strRef>
              <c:f>'estatística'!$B$524</c:f>
            </c:strRef>
          </c:tx>
          <c:cat>
            <c:strRef>
              <c:f>'estatística'!$C$1:$M$1</c:f>
            </c:strRef>
          </c:cat>
          <c:val>
            <c:numRef>
              <c:f>'estatística'!$C$524:$M$524</c:f>
              <c:numCache/>
            </c:numRef>
          </c:val>
        </c:ser>
        <c:ser>
          <c:idx val="523"/>
          <c:order val="523"/>
          <c:tx>
            <c:strRef>
              <c:f>'estatística'!$B$525</c:f>
            </c:strRef>
          </c:tx>
          <c:cat>
            <c:strRef>
              <c:f>'estatística'!$C$1:$M$1</c:f>
            </c:strRef>
          </c:cat>
          <c:val>
            <c:numRef>
              <c:f>'estatística'!$C$525:$M$525</c:f>
              <c:numCache/>
            </c:numRef>
          </c:val>
        </c:ser>
        <c:ser>
          <c:idx val="524"/>
          <c:order val="524"/>
          <c:tx>
            <c:strRef>
              <c:f>'estatística'!$B$526</c:f>
            </c:strRef>
          </c:tx>
          <c:cat>
            <c:strRef>
              <c:f>'estatística'!$C$1:$M$1</c:f>
            </c:strRef>
          </c:cat>
          <c:val>
            <c:numRef>
              <c:f>'estatística'!$C$526:$M$526</c:f>
              <c:numCache/>
            </c:numRef>
          </c:val>
        </c:ser>
        <c:ser>
          <c:idx val="525"/>
          <c:order val="525"/>
          <c:tx>
            <c:strRef>
              <c:f>'estatística'!$B$527</c:f>
            </c:strRef>
          </c:tx>
          <c:cat>
            <c:strRef>
              <c:f>'estatística'!$C$1:$M$1</c:f>
            </c:strRef>
          </c:cat>
          <c:val>
            <c:numRef>
              <c:f>'estatística'!$C$527:$M$527</c:f>
              <c:numCache/>
            </c:numRef>
          </c:val>
        </c:ser>
        <c:ser>
          <c:idx val="526"/>
          <c:order val="526"/>
          <c:tx>
            <c:strRef>
              <c:f>'estatística'!$B$528</c:f>
            </c:strRef>
          </c:tx>
          <c:cat>
            <c:strRef>
              <c:f>'estatística'!$C$1:$M$1</c:f>
            </c:strRef>
          </c:cat>
          <c:val>
            <c:numRef>
              <c:f>'estatística'!$C$528:$M$528</c:f>
              <c:numCache/>
            </c:numRef>
          </c:val>
        </c:ser>
        <c:ser>
          <c:idx val="527"/>
          <c:order val="527"/>
          <c:tx>
            <c:strRef>
              <c:f>'estatística'!$B$529</c:f>
            </c:strRef>
          </c:tx>
          <c:cat>
            <c:strRef>
              <c:f>'estatística'!$C$1:$M$1</c:f>
            </c:strRef>
          </c:cat>
          <c:val>
            <c:numRef>
              <c:f>'estatística'!$C$529:$M$529</c:f>
              <c:numCache/>
            </c:numRef>
          </c:val>
        </c:ser>
        <c:ser>
          <c:idx val="528"/>
          <c:order val="528"/>
          <c:tx>
            <c:strRef>
              <c:f>'estatística'!$B$530</c:f>
            </c:strRef>
          </c:tx>
          <c:cat>
            <c:strRef>
              <c:f>'estatística'!$C$1:$M$1</c:f>
            </c:strRef>
          </c:cat>
          <c:val>
            <c:numRef>
              <c:f>'estatística'!$C$530:$M$530</c:f>
              <c:numCache/>
            </c:numRef>
          </c:val>
        </c:ser>
        <c:ser>
          <c:idx val="529"/>
          <c:order val="529"/>
          <c:tx>
            <c:strRef>
              <c:f>'estatística'!$B$531</c:f>
            </c:strRef>
          </c:tx>
          <c:cat>
            <c:strRef>
              <c:f>'estatística'!$C$1:$M$1</c:f>
            </c:strRef>
          </c:cat>
          <c:val>
            <c:numRef>
              <c:f>'estatística'!$C$531:$M$531</c:f>
              <c:numCache/>
            </c:numRef>
          </c:val>
        </c:ser>
        <c:ser>
          <c:idx val="530"/>
          <c:order val="530"/>
          <c:tx>
            <c:strRef>
              <c:f>'estatística'!$B$532</c:f>
            </c:strRef>
          </c:tx>
          <c:cat>
            <c:strRef>
              <c:f>'estatística'!$C$1:$M$1</c:f>
            </c:strRef>
          </c:cat>
          <c:val>
            <c:numRef>
              <c:f>'estatística'!$C$532:$M$532</c:f>
              <c:numCache/>
            </c:numRef>
          </c:val>
        </c:ser>
        <c:ser>
          <c:idx val="531"/>
          <c:order val="531"/>
          <c:tx>
            <c:strRef>
              <c:f>'estatística'!$B$533</c:f>
            </c:strRef>
          </c:tx>
          <c:cat>
            <c:strRef>
              <c:f>'estatística'!$C$1:$M$1</c:f>
            </c:strRef>
          </c:cat>
          <c:val>
            <c:numRef>
              <c:f>'estatística'!$C$533:$M$533</c:f>
              <c:numCache/>
            </c:numRef>
          </c:val>
        </c:ser>
        <c:ser>
          <c:idx val="532"/>
          <c:order val="532"/>
          <c:tx>
            <c:strRef>
              <c:f>'estatística'!$B$534</c:f>
            </c:strRef>
          </c:tx>
          <c:cat>
            <c:strRef>
              <c:f>'estatística'!$C$1:$M$1</c:f>
            </c:strRef>
          </c:cat>
          <c:val>
            <c:numRef>
              <c:f>'estatística'!$C$534:$M$534</c:f>
              <c:numCache/>
            </c:numRef>
          </c:val>
        </c:ser>
        <c:ser>
          <c:idx val="533"/>
          <c:order val="533"/>
          <c:tx>
            <c:strRef>
              <c:f>'estatística'!$B$535</c:f>
            </c:strRef>
          </c:tx>
          <c:cat>
            <c:strRef>
              <c:f>'estatística'!$C$1:$M$1</c:f>
            </c:strRef>
          </c:cat>
          <c:val>
            <c:numRef>
              <c:f>'estatística'!$C$535:$M$535</c:f>
              <c:numCache/>
            </c:numRef>
          </c:val>
        </c:ser>
        <c:ser>
          <c:idx val="534"/>
          <c:order val="534"/>
          <c:tx>
            <c:strRef>
              <c:f>'estatística'!$B$536</c:f>
            </c:strRef>
          </c:tx>
          <c:cat>
            <c:strRef>
              <c:f>'estatística'!$C$1:$M$1</c:f>
            </c:strRef>
          </c:cat>
          <c:val>
            <c:numRef>
              <c:f>'estatística'!$C$536:$M$536</c:f>
              <c:numCache/>
            </c:numRef>
          </c:val>
        </c:ser>
        <c:ser>
          <c:idx val="535"/>
          <c:order val="535"/>
          <c:tx>
            <c:strRef>
              <c:f>'estatística'!$B$537</c:f>
            </c:strRef>
          </c:tx>
          <c:cat>
            <c:strRef>
              <c:f>'estatística'!$C$1:$M$1</c:f>
            </c:strRef>
          </c:cat>
          <c:val>
            <c:numRef>
              <c:f>'estatística'!$C$537:$M$537</c:f>
              <c:numCache/>
            </c:numRef>
          </c:val>
        </c:ser>
        <c:ser>
          <c:idx val="536"/>
          <c:order val="536"/>
          <c:tx>
            <c:strRef>
              <c:f>'estatística'!$B$538</c:f>
            </c:strRef>
          </c:tx>
          <c:cat>
            <c:strRef>
              <c:f>'estatística'!$C$1:$M$1</c:f>
            </c:strRef>
          </c:cat>
          <c:val>
            <c:numRef>
              <c:f>'estatística'!$C$538:$M$538</c:f>
              <c:numCache/>
            </c:numRef>
          </c:val>
        </c:ser>
        <c:ser>
          <c:idx val="537"/>
          <c:order val="537"/>
          <c:tx>
            <c:strRef>
              <c:f>'estatística'!$B$539</c:f>
            </c:strRef>
          </c:tx>
          <c:cat>
            <c:strRef>
              <c:f>'estatística'!$C$1:$M$1</c:f>
            </c:strRef>
          </c:cat>
          <c:val>
            <c:numRef>
              <c:f>'estatística'!$C$539:$M$539</c:f>
              <c:numCache/>
            </c:numRef>
          </c:val>
        </c:ser>
        <c:ser>
          <c:idx val="538"/>
          <c:order val="538"/>
          <c:tx>
            <c:strRef>
              <c:f>'estatística'!$B$540</c:f>
            </c:strRef>
          </c:tx>
          <c:cat>
            <c:strRef>
              <c:f>'estatística'!$C$1:$M$1</c:f>
            </c:strRef>
          </c:cat>
          <c:val>
            <c:numRef>
              <c:f>'estatística'!$C$540:$M$540</c:f>
              <c:numCache/>
            </c:numRef>
          </c:val>
        </c:ser>
        <c:ser>
          <c:idx val="539"/>
          <c:order val="539"/>
          <c:tx>
            <c:strRef>
              <c:f>'estatística'!$B$541</c:f>
            </c:strRef>
          </c:tx>
          <c:cat>
            <c:strRef>
              <c:f>'estatística'!$C$1:$M$1</c:f>
            </c:strRef>
          </c:cat>
          <c:val>
            <c:numRef>
              <c:f>'estatística'!$C$541:$M$541</c:f>
              <c:numCache/>
            </c:numRef>
          </c:val>
        </c:ser>
        <c:ser>
          <c:idx val="540"/>
          <c:order val="540"/>
          <c:tx>
            <c:strRef>
              <c:f>'estatística'!$B$542</c:f>
            </c:strRef>
          </c:tx>
          <c:cat>
            <c:strRef>
              <c:f>'estatística'!$C$1:$M$1</c:f>
            </c:strRef>
          </c:cat>
          <c:val>
            <c:numRef>
              <c:f>'estatística'!$C$542:$M$542</c:f>
              <c:numCache/>
            </c:numRef>
          </c:val>
        </c:ser>
        <c:ser>
          <c:idx val="541"/>
          <c:order val="541"/>
          <c:tx>
            <c:strRef>
              <c:f>'estatística'!$B$543</c:f>
            </c:strRef>
          </c:tx>
          <c:cat>
            <c:strRef>
              <c:f>'estatística'!$C$1:$M$1</c:f>
            </c:strRef>
          </c:cat>
          <c:val>
            <c:numRef>
              <c:f>'estatística'!$C$543:$M$543</c:f>
              <c:numCache/>
            </c:numRef>
          </c:val>
        </c:ser>
        <c:ser>
          <c:idx val="542"/>
          <c:order val="542"/>
          <c:tx>
            <c:strRef>
              <c:f>'estatística'!$B$544</c:f>
            </c:strRef>
          </c:tx>
          <c:cat>
            <c:strRef>
              <c:f>'estatística'!$C$1:$M$1</c:f>
            </c:strRef>
          </c:cat>
          <c:val>
            <c:numRef>
              <c:f>'estatística'!$C$544:$M$544</c:f>
              <c:numCache/>
            </c:numRef>
          </c:val>
        </c:ser>
        <c:ser>
          <c:idx val="543"/>
          <c:order val="543"/>
          <c:tx>
            <c:strRef>
              <c:f>'estatística'!$B$545</c:f>
            </c:strRef>
          </c:tx>
          <c:cat>
            <c:strRef>
              <c:f>'estatística'!$C$1:$M$1</c:f>
            </c:strRef>
          </c:cat>
          <c:val>
            <c:numRef>
              <c:f>'estatística'!$C$545:$M$545</c:f>
              <c:numCache/>
            </c:numRef>
          </c:val>
        </c:ser>
        <c:ser>
          <c:idx val="544"/>
          <c:order val="544"/>
          <c:tx>
            <c:strRef>
              <c:f>'estatística'!$B$546</c:f>
            </c:strRef>
          </c:tx>
          <c:cat>
            <c:strRef>
              <c:f>'estatística'!$C$1:$M$1</c:f>
            </c:strRef>
          </c:cat>
          <c:val>
            <c:numRef>
              <c:f>'estatística'!$C$546:$M$546</c:f>
              <c:numCache/>
            </c:numRef>
          </c:val>
        </c:ser>
        <c:ser>
          <c:idx val="545"/>
          <c:order val="545"/>
          <c:tx>
            <c:strRef>
              <c:f>'estatística'!$B$547</c:f>
            </c:strRef>
          </c:tx>
          <c:cat>
            <c:strRef>
              <c:f>'estatística'!$C$1:$M$1</c:f>
            </c:strRef>
          </c:cat>
          <c:val>
            <c:numRef>
              <c:f>'estatística'!$C$547:$M$547</c:f>
              <c:numCache/>
            </c:numRef>
          </c:val>
        </c:ser>
        <c:ser>
          <c:idx val="546"/>
          <c:order val="546"/>
          <c:tx>
            <c:strRef>
              <c:f>'estatística'!$B$548</c:f>
            </c:strRef>
          </c:tx>
          <c:cat>
            <c:strRef>
              <c:f>'estatística'!$C$1:$M$1</c:f>
            </c:strRef>
          </c:cat>
          <c:val>
            <c:numRef>
              <c:f>'estatística'!$C$548:$M$548</c:f>
              <c:numCache/>
            </c:numRef>
          </c:val>
        </c:ser>
        <c:ser>
          <c:idx val="547"/>
          <c:order val="547"/>
          <c:tx>
            <c:strRef>
              <c:f>'estatística'!$B$549</c:f>
            </c:strRef>
          </c:tx>
          <c:cat>
            <c:strRef>
              <c:f>'estatística'!$C$1:$M$1</c:f>
            </c:strRef>
          </c:cat>
          <c:val>
            <c:numRef>
              <c:f>'estatística'!$C$549:$M$549</c:f>
              <c:numCache/>
            </c:numRef>
          </c:val>
        </c:ser>
        <c:ser>
          <c:idx val="548"/>
          <c:order val="548"/>
          <c:tx>
            <c:strRef>
              <c:f>'estatística'!$B$550</c:f>
            </c:strRef>
          </c:tx>
          <c:cat>
            <c:strRef>
              <c:f>'estatística'!$C$1:$M$1</c:f>
            </c:strRef>
          </c:cat>
          <c:val>
            <c:numRef>
              <c:f>'estatística'!$C$550:$M$550</c:f>
              <c:numCache/>
            </c:numRef>
          </c:val>
        </c:ser>
        <c:ser>
          <c:idx val="549"/>
          <c:order val="549"/>
          <c:tx>
            <c:strRef>
              <c:f>'estatística'!$B$551</c:f>
            </c:strRef>
          </c:tx>
          <c:cat>
            <c:strRef>
              <c:f>'estatística'!$C$1:$M$1</c:f>
            </c:strRef>
          </c:cat>
          <c:val>
            <c:numRef>
              <c:f>'estatística'!$C$551:$M$551</c:f>
              <c:numCache/>
            </c:numRef>
          </c:val>
        </c:ser>
        <c:ser>
          <c:idx val="550"/>
          <c:order val="550"/>
          <c:tx>
            <c:strRef>
              <c:f>'estatística'!$B$552</c:f>
            </c:strRef>
          </c:tx>
          <c:cat>
            <c:strRef>
              <c:f>'estatística'!$C$1:$M$1</c:f>
            </c:strRef>
          </c:cat>
          <c:val>
            <c:numRef>
              <c:f>'estatística'!$C$552:$M$552</c:f>
              <c:numCache/>
            </c:numRef>
          </c:val>
        </c:ser>
        <c:ser>
          <c:idx val="551"/>
          <c:order val="551"/>
          <c:tx>
            <c:strRef>
              <c:f>'estatística'!$B$553</c:f>
            </c:strRef>
          </c:tx>
          <c:cat>
            <c:strRef>
              <c:f>'estatística'!$C$1:$M$1</c:f>
            </c:strRef>
          </c:cat>
          <c:val>
            <c:numRef>
              <c:f>'estatística'!$C$553:$M$553</c:f>
              <c:numCache/>
            </c:numRef>
          </c:val>
        </c:ser>
        <c:ser>
          <c:idx val="552"/>
          <c:order val="552"/>
          <c:tx>
            <c:strRef>
              <c:f>'estatística'!$B$554</c:f>
            </c:strRef>
          </c:tx>
          <c:cat>
            <c:strRef>
              <c:f>'estatística'!$C$1:$M$1</c:f>
            </c:strRef>
          </c:cat>
          <c:val>
            <c:numRef>
              <c:f>'estatística'!$C$554:$M$554</c:f>
              <c:numCache/>
            </c:numRef>
          </c:val>
        </c:ser>
        <c:ser>
          <c:idx val="553"/>
          <c:order val="553"/>
          <c:tx>
            <c:strRef>
              <c:f>'estatística'!$B$555</c:f>
            </c:strRef>
          </c:tx>
          <c:cat>
            <c:strRef>
              <c:f>'estatística'!$C$1:$M$1</c:f>
            </c:strRef>
          </c:cat>
          <c:val>
            <c:numRef>
              <c:f>'estatística'!$C$555:$M$555</c:f>
              <c:numCache/>
            </c:numRef>
          </c:val>
        </c:ser>
        <c:ser>
          <c:idx val="554"/>
          <c:order val="554"/>
          <c:tx>
            <c:strRef>
              <c:f>'estatística'!$B$556</c:f>
            </c:strRef>
          </c:tx>
          <c:cat>
            <c:strRef>
              <c:f>'estatística'!$C$1:$M$1</c:f>
            </c:strRef>
          </c:cat>
          <c:val>
            <c:numRef>
              <c:f>'estatística'!$C$556:$M$556</c:f>
              <c:numCache/>
            </c:numRef>
          </c:val>
        </c:ser>
        <c:ser>
          <c:idx val="555"/>
          <c:order val="555"/>
          <c:tx>
            <c:strRef>
              <c:f>'estatística'!$B$557</c:f>
            </c:strRef>
          </c:tx>
          <c:cat>
            <c:strRef>
              <c:f>'estatística'!$C$1:$M$1</c:f>
            </c:strRef>
          </c:cat>
          <c:val>
            <c:numRef>
              <c:f>'estatística'!$C$557:$M$557</c:f>
              <c:numCache/>
            </c:numRef>
          </c:val>
        </c:ser>
        <c:ser>
          <c:idx val="556"/>
          <c:order val="556"/>
          <c:tx>
            <c:strRef>
              <c:f>'estatística'!$B$558</c:f>
            </c:strRef>
          </c:tx>
          <c:cat>
            <c:strRef>
              <c:f>'estatística'!$C$1:$M$1</c:f>
            </c:strRef>
          </c:cat>
          <c:val>
            <c:numRef>
              <c:f>'estatística'!$C$558:$M$558</c:f>
              <c:numCache/>
            </c:numRef>
          </c:val>
        </c:ser>
        <c:ser>
          <c:idx val="557"/>
          <c:order val="557"/>
          <c:tx>
            <c:strRef>
              <c:f>'estatística'!$B$559</c:f>
            </c:strRef>
          </c:tx>
          <c:cat>
            <c:strRef>
              <c:f>'estatística'!$C$1:$M$1</c:f>
            </c:strRef>
          </c:cat>
          <c:val>
            <c:numRef>
              <c:f>'estatística'!$C$559:$M$559</c:f>
              <c:numCache/>
            </c:numRef>
          </c:val>
        </c:ser>
        <c:ser>
          <c:idx val="558"/>
          <c:order val="558"/>
          <c:tx>
            <c:strRef>
              <c:f>'estatística'!$B$560</c:f>
            </c:strRef>
          </c:tx>
          <c:cat>
            <c:strRef>
              <c:f>'estatística'!$C$1:$M$1</c:f>
            </c:strRef>
          </c:cat>
          <c:val>
            <c:numRef>
              <c:f>'estatística'!$C$560:$M$560</c:f>
              <c:numCache/>
            </c:numRef>
          </c:val>
        </c:ser>
        <c:ser>
          <c:idx val="559"/>
          <c:order val="559"/>
          <c:tx>
            <c:strRef>
              <c:f>'estatística'!$B$561</c:f>
            </c:strRef>
          </c:tx>
          <c:cat>
            <c:strRef>
              <c:f>'estatística'!$C$1:$M$1</c:f>
            </c:strRef>
          </c:cat>
          <c:val>
            <c:numRef>
              <c:f>'estatística'!$C$561:$M$561</c:f>
              <c:numCache/>
            </c:numRef>
          </c:val>
        </c:ser>
        <c:ser>
          <c:idx val="560"/>
          <c:order val="560"/>
          <c:tx>
            <c:strRef>
              <c:f>'estatística'!$B$562</c:f>
            </c:strRef>
          </c:tx>
          <c:cat>
            <c:strRef>
              <c:f>'estatística'!$C$1:$M$1</c:f>
            </c:strRef>
          </c:cat>
          <c:val>
            <c:numRef>
              <c:f>'estatística'!$C$562:$M$562</c:f>
              <c:numCache/>
            </c:numRef>
          </c:val>
        </c:ser>
        <c:ser>
          <c:idx val="561"/>
          <c:order val="561"/>
          <c:tx>
            <c:strRef>
              <c:f>'estatística'!$B$563</c:f>
            </c:strRef>
          </c:tx>
          <c:cat>
            <c:strRef>
              <c:f>'estatística'!$C$1:$M$1</c:f>
            </c:strRef>
          </c:cat>
          <c:val>
            <c:numRef>
              <c:f>'estatística'!$C$563:$M$563</c:f>
              <c:numCache/>
            </c:numRef>
          </c:val>
        </c:ser>
        <c:ser>
          <c:idx val="562"/>
          <c:order val="562"/>
          <c:tx>
            <c:strRef>
              <c:f>'estatística'!$B$564</c:f>
            </c:strRef>
          </c:tx>
          <c:cat>
            <c:strRef>
              <c:f>'estatística'!$C$1:$M$1</c:f>
            </c:strRef>
          </c:cat>
          <c:val>
            <c:numRef>
              <c:f>'estatística'!$C$564:$M$564</c:f>
              <c:numCache/>
            </c:numRef>
          </c:val>
        </c:ser>
        <c:ser>
          <c:idx val="563"/>
          <c:order val="563"/>
          <c:tx>
            <c:strRef>
              <c:f>'estatística'!$B$565</c:f>
            </c:strRef>
          </c:tx>
          <c:cat>
            <c:strRef>
              <c:f>'estatística'!$C$1:$M$1</c:f>
            </c:strRef>
          </c:cat>
          <c:val>
            <c:numRef>
              <c:f>'estatística'!$C$565:$M$565</c:f>
              <c:numCache/>
            </c:numRef>
          </c:val>
        </c:ser>
        <c:ser>
          <c:idx val="564"/>
          <c:order val="564"/>
          <c:tx>
            <c:strRef>
              <c:f>'estatística'!$B$566</c:f>
            </c:strRef>
          </c:tx>
          <c:cat>
            <c:strRef>
              <c:f>'estatística'!$C$1:$M$1</c:f>
            </c:strRef>
          </c:cat>
          <c:val>
            <c:numRef>
              <c:f>'estatística'!$C$566:$M$566</c:f>
              <c:numCache/>
            </c:numRef>
          </c:val>
        </c:ser>
        <c:ser>
          <c:idx val="565"/>
          <c:order val="565"/>
          <c:tx>
            <c:strRef>
              <c:f>'estatística'!$B$567</c:f>
            </c:strRef>
          </c:tx>
          <c:cat>
            <c:strRef>
              <c:f>'estatística'!$C$1:$M$1</c:f>
            </c:strRef>
          </c:cat>
          <c:val>
            <c:numRef>
              <c:f>'estatística'!$C$567:$M$567</c:f>
              <c:numCache/>
            </c:numRef>
          </c:val>
        </c:ser>
        <c:ser>
          <c:idx val="566"/>
          <c:order val="566"/>
          <c:tx>
            <c:strRef>
              <c:f>'estatística'!$B$568</c:f>
            </c:strRef>
          </c:tx>
          <c:cat>
            <c:strRef>
              <c:f>'estatística'!$C$1:$M$1</c:f>
            </c:strRef>
          </c:cat>
          <c:val>
            <c:numRef>
              <c:f>'estatística'!$C$568:$M$568</c:f>
              <c:numCache/>
            </c:numRef>
          </c:val>
        </c:ser>
        <c:ser>
          <c:idx val="567"/>
          <c:order val="567"/>
          <c:tx>
            <c:strRef>
              <c:f>'estatística'!$B$569</c:f>
            </c:strRef>
          </c:tx>
          <c:cat>
            <c:strRef>
              <c:f>'estatística'!$C$1:$M$1</c:f>
            </c:strRef>
          </c:cat>
          <c:val>
            <c:numRef>
              <c:f>'estatística'!$C$569:$M$569</c:f>
              <c:numCache/>
            </c:numRef>
          </c:val>
        </c:ser>
        <c:ser>
          <c:idx val="568"/>
          <c:order val="568"/>
          <c:tx>
            <c:strRef>
              <c:f>'estatística'!$B$570</c:f>
            </c:strRef>
          </c:tx>
          <c:cat>
            <c:strRef>
              <c:f>'estatística'!$C$1:$M$1</c:f>
            </c:strRef>
          </c:cat>
          <c:val>
            <c:numRef>
              <c:f>'estatística'!$C$570:$M$570</c:f>
              <c:numCache/>
            </c:numRef>
          </c:val>
        </c:ser>
        <c:ser>
          <c:idx val="569"/>
          <c:order val="569"/>
          <c:tx>
            <c:strRef>
              <c:f>'estatística'!$B$571</c:f>
            </c:strRef>
          </c:tx>
          <c:cat>
            <c:strRef>
              <c:f>'estatística'!$C$1:$M$1</c:f>
            </c:strRef>
          </c:cat>
          <c:val>
            <c:numRef>
              <c:f>'estatística'!$C$571:$M$571</c:f>
              <c:numCache/>
            </c:numRef>
          </c:val>
        </c:ser>
        <c:ser>
          <c:idx val="570"/>
          <c:order val="570"/>
          <c:tx>
            <c:strRef>
              <c:f>'estatística'!$B$572</c:f>
            </c:strRef>
          </c:tx>
          <c:cat>
            <c:strRef>
              <c:f>'estatística'!$C$1:$M$1</c:f>
            </c:strRef>
          </c:cat>
          <c:val>
            <c:numRef>
              <c:f>'estatística'!$C$572:$M$572</c:f>
              <c:numCache/>
            </c:numRef>
          </c:val>
        </c:ser>
        <c:ser>
          <c:idx val="571"/>
          <c:order val="571"/>
          <c:tx>
            <c:strRef>
              <c:f>'estatística'!$B$573</c:f>
            </c:strRef>
          </c:tx>
          <c:cat>
            <c:strRef>
              <c:f>'estatística'!$C$1:$M$1</c:f>
            </c:strRef>
          </c:cat>
          <c:val>
            <c:numRef>
              <c:f>'estatística'!$C$573:$M$573</c:f>
              <c:numCache/>
            </c:numRef>
          </c:val>
        </c:ser>
        <c:ser>
          <c:idx val="572"/>
          <c:order val="572"/>
          <c:tx>
            <c:strRef>
              <c:f>'estatística'!$B$574</c:f>
            </c:strRef>
          </c:tx>
          <c:cat>
            <c:strRef>
              <c:f>'estatística'!$C$1:$M$1</c:f>
            </c:strRef>
          </c:cat>
          <c:val>
            <c:numRef>
              <c:f>'estatística'!$C$574:$M$574</c:f>
              <c:numCache/>
            </c:numRef>
          </c:val>
        </c:ser>
        <c:ser>
          <c:idx val="573"/>
          <c:order val="573"/>
          <c:tx>
            <c:strRef>
              <c:f>'estatística'!$B$575</c:f>
            </c:strRef>
          </c:tx>
          <c:cat>
            <c:strRef>
              <c:f>'estatística'!$C$1:$M$1</c:f>
            </c:strRef>
          </c:cat>
          <c:val>
            <c:numRef>
              <c:f>'estatística'!$C$575:$M$575</c:f>
              <c:numCache/>
            </c:numRef>
          </c:val>
        </c:ser>
        <c:ser>
          <c:idx val="574"/>
          <c:order val="574"/>
          <c:tx>
            <c:strRef>
              <c:f>'estatística'!$B$576</c:f>
            </c:strRef>
          </c:tx>
          <c:cat>
            <c:strRef>
              <c:f>'estatística'!$C$1:$M$1</c:f>
            </c:strRef>
          </c:cat>
          <c:val>
            <c:numRef>
              <c:f>'estatística'!$C$576:$M$576</c:f>
              <c:numCache/>
            </c:numRef>
          </c:val>
        </c:ser>
        <c:ser>
          <c:idx val="575"/>
          <c:order val="575"/>
          <c:tx>
            <c:strRef>
              <c:f>'estatística'!$B$577</c:f>
            </c:strRef>
          </c:tx>
          <c:cat>
            <c:strRef>
              <c:f>'estatística'!$C$1:$M$1</c:f>
            </c:strRef>
          </c:cat>
          <c:val>
            <c:numRef>
              <c:f>'estatística'!$C$577:$M$577</c:f>
              <c:numCache/>
            </c:numRef>
          </c:val>
        </c:ser>
        <c:ser>
          <c:idx val="576"/>
          <c:order val="576"/>
          <c:tx>
            <c:strRef>
              <c:f>'estatística'!$B$578</c:f>
            </c:strRef>
          </c:tx>
          <c:cat>
            <c:strRef>
              <c:f>'estatística'!$C$1:$M$1</c:f>
            </c:strRef>
          </c:cat>
          <c:val>
            <c:numRef>
              <c:f>'estatística'!$C$578:$M$578</c:f>
              <c:numCache/>
            </c:numRef>
          </c:val>
        </c:ser>
        <c:ser>
          <c:idx val="577"/>
          <c:order val="577"/>
          <c:tx>
            <c:strRef>
              <c:f>'estatística'!$B$579</c:f>
            </c:strRef>
          </c:tx>
          <c:cat>
            <c:strRef>
              <c:f>'estatística'!$C$1:$M$1</c:f>
            </c:strRef>
          </c:cat>
          <c:val>
            <c:numRef>
              <c:f>'estatística'!$C$579:$M$579</c:f>
              <c:numCache/>
            </c:numRef>
          </c:val>
        </c:ser>
        <c:ser>
          <c:idx val="578"/>
          <c:order val="578"/>
          <c:tx>
            <c:strRef>
              <c:f>'estatística'!$B$580</c:f>
            </c:strRef>
          </c:tx>
          <c:cat>
            <c:strRef>
              <c:f>'estatística'!$C$1:$M$1</c:f>
            </c:strRef>
          </c:cat>
          <c:val>
            <c:numRef>
              <c:f>'estatística'!$C$580:$M$580</c:f>
              <c:numCache/>
            </c:numRef>
          </c:val>
        </c:ser>
        <c:ser>
          <c:idx val="579"/>
          <c:order val="579"/>
          <c:tx>
            <c:strRef>
              <c:f>'estatística'!$B$581</c:f>
            </c:strRef>
          </c:tx>
          <c:cat>
            <c:strRef>
              <c:f>'estatística'!$C$1:$M$1</c:f>
            </c:strRef>
          </c:cat>
          <c:val>
            <c:numRef>
              <c:f>'estatística'!$C$581:$M$581</c:f>
              <c:numCache/>
            </c:numRef>
          </c:val>
        </c:ser>
        <c:ser>
          <c:idx val="580"/>
          <c:order val="580"/>
          <c:tx>
            <c:strRef>
              <c:f>'estatística'!$B$582</c:f>
            </c:strRef>
          </c:tx>
          <c:cat>
            <c:strRef>
              <c:f>'estatística'!$C$1:$M$1</c:f>
            </c:strRef>
          </c:cat>
          <c:val>
            <c:numRef>
              <c:f>'estatística'!$C$582:$M$582</c:f>
              <c:numCache/>
            </c:numRef>
          </c:val>
        </c:ser>
        <c:ser>
          <c:idx val="581"/>
          <c:order val="581"/>
          <c:tx>
            <c:strRef>
              <c:f>'estatística'!$B$583</c:f>
            </c:strRef>
          </c:tx>
          <c:cat>
            <c:strRef>
              <c:f>'estatística'!$C$1:$M$1</c:f>
            </c:strRef>
          </c:cat>
          <c:val>
            <c:numRef>
              <c:f>'estatística'!$C$583:$M$583</c:f>
              <c:numCache/>
            </c:numRef>
          </c:val>
        </c:ser>
        <c:ser>
          <c:idx val="582"/>
          <c:order val="582"/>
          <c:tx>
            <c:strRef>
              <c:f>'estatística'!$B$584</c:f>
            </c:strRef>
          </c:tx>
          <c:cat>
            <c:strRef>
              <c:f>'estatística'!$C$1:$M$1</c:f>
            </c:strRef>
          </c:cat>
          <c:val>
            <c:numRef>
              <c:f>'estatística'!$C$584:$M$584</c:f>
              <c:numCache/>
            </c:numRef>
          </c:val>
        </c:ser>
        <c:ser>
          <c:idx val="583"/>
          <c:order val="583"/>
          <c:tx>
            <c:strRef>
              <c:f>'estatística'!$B$585</c:f>
            </c:strRef>
          </c:tx>
          <c:cat>
            <c:strRef>
              <c:f>'estatística'!$C$1:$M$1</c:f>
            </c:strRef>
          </c:cat>
          <c:val>
            <c:numRef>
              <c:f>'estatística'!$C$585:$M$585</c:f>
              <c:numCache/>
            </c:numRef>
          </c:val>
        </c:ser>
        <c:ser>
          <c:idx val="584"/>
          <c:order val="584"/>
          <c:tx>
            <c:strRef>
              <c:f>'estatística'!$B$586</c:f>
            </c:strRef>
          </c:tx>
          <c:cat>
            <c:strRef>
              <c:f>'estatística'!$C$1:$M$1</c:f>
            </c:strRef>
          </c:cat>
          <c:val>
            <c:numRef>
              <c:f>'estatística'!$C$586:$M$586</c:f>
              <c:numCache/>
            </c:numRef>
          </c:val>
        </c:ser>
        <c:ser>
          <c:idx val="585"/>
          <c:order val="585"/>
          <c:tx>
            <c:strRef>
              <c:f>'estatística'!$B$587</c:f>
            </c:strRef>
          </c:tx>
          <c:cat>
            <c:strRef>
              <c:f>'estatística'!$C$1:$M$1</c:f>
            </c:strRef>
          </c:cat>
          <c:val>
            <c:numRef>
              <c:f>'estatística'!$C$587:$M$587</c:f>
              <c:numCache/>
            </c:numRef>
          </c:val>
        </c:ser>
        <c:ser>
          <c:idx val="586"/>
          <c:order val="586"/>
          <c:tx>
            <c:strRef>
              <c:f>'estatística'!$B$588</c:f>
            </c:strRef>
          </c:tx>
          <c:cat>
            <c:strRef>
              <c:f>'estatística'!$C$1:$M$1</c:f>
            </c:strRef>
          </c:cat>
          <c:val>
            <c:numRef>
              <c:f>'estatística'!$C$588:$M$588</c:f>
              <c:numCache/>
            </c:numRef>
          </c:val>
        </c:ser>
        <c:ser>
          <c:idx val="587"/>
          <c:order val="587"/>
          <c:tx>
            <c:strRef>
              <c:f>'estatística'!$B$589</c:f>
            </c:strRef>
          </c:tx>
          <c:cat>
            <c:strRef>
              <c:f>'estatística'!$C$1:$M$1</c:f>
            </c:strRef>
          </c:cat>
          <c:val>
            <c:numRef>
              <c:f>'estatística'!$C$589:$M$589</c:f>
              <c:numCache/>
            </c:numRef>
          </c:val>
        </c:ser>
        <c:ser>
          <c:idx val="588"/>
          <c:order val="588"/>
          <c:tx>
            <c:strRef>
              <c:f>'estatística'!$B$590</c:f>
            </c:strRef>
          </c:tx>
          <c:cat>
            <c:strRef>
              <c:f>'estatística'!$C$1:$M$1</c:f>
            </c:strRef>
          </c:cat>
          <c:val>
            <c:numRef>
              <c:f>'estatística'!$C$590:$M$590</c:f>
              <c:numCache/>
            </c:numRef>
          </c:val>
        </c:ser>
        <c:ser>
          <c:idx val="589"/>
          <c:order val="589"/>
          <c:tx>
            <c:strRef>
              <c:f>'estatística'!$B$591</c:f>
            </c:strRef>
          </c:tx>
          <c:cat>
            <c:strRef>
              <c:f>'estatística'!$C$1:$M$1</c:f>
            </c:strRef>
          </c:cat>
          <c:val>
            <c:numRef>
              <c:f>'estatística'!$C$591:$M$591</c:f>
              <c:numCache/>
            </c:numRef>
          </c:val>
        </c:ser>
        <c:ser>
          <c:idx val="590"/>
          <c:order val="590"/>
          <c:tx>
            <c:strRef>
              <c:f>'estatística'!$B$592</c:f>
            </c:strRef>
          </c:tx>
          <c:cat>
            <c:strRef>
              <c:f>'estatística'!$C$1:$M$1</c:f>
            </c:strRef>
          </c:cat>
          <c:val>
            <c:numRef>
              <c:f>'estatística'!$C$592:$M$592</c:f>
              <c:numCache/>
            </c:numRef>
          </c:val>
        </c:ser>
        <c:ser>
          <c:idx val="591"/>
          <c:order val="591"/>
          <c:tx>
            <c:strRef>
              <c:f>'estatística'!$B$593</c:f>
            </c:strRef>
          </c:tx>
          <c:cat>
            <c:strRef>
              <c:f>'estatística'!$C$1:$M$1</c:f>
            </c:strRef>
          </c:cat>
          <c:val>
            <c:numRef>
              <c:f>'estatística'!$C$593:$M$593</c:f>
              <c:numCache/>
            </c:numRef>
          </c:val>
        </c:ser>
        <c:ser>
          <c:idx val="592"/>
          <c:order val="592"/>
          <c:tx>
            <c:strRef>
              <c:f>'estatística'!$B$594</c:f>
            </c:strRef>
          </c:tx>
          <c:cat>
            <c:strRef>
              <c:f>'estatística'!$C$1:$M$1</c:f>
            </c:strRef>
          </c:cat>
          <c:val>
            <c:numRef>
              <c:f>'estatística'!$C$594:$M$594</c:f>
              <c:numCache/>
            </c:numRef>
          </c:val>
        </c:ser>
        <c:ser>
          <c:idx val="593"/>
          <c:order val="593"/>
          <c:tx>
            <c:strRef>
              <c:f>'estatística'!$B$595</c:f>
            </c:strRef>
          </c:tx>
          <c:cat>
            <c:strRef>
              <c:f>'estatística'!$C$1:$M$1</c:f>
            </c:strRef>
          </c:cat>
          <c:val>
            <c:numRef>
              <c:f>'estatística'!$C$595:$M$595</c:f>
              <c:numCache/>
            </c:numRef>
          </c:val>
        </c:ser>
        <c:ser>
          <c:idx val="594"/>
          <c:order val="594"/>
          <c:tx>
            <c:strRef>
              <c:f>'estatística'!$B$596</c:f>
            </c:strRef>
          </c:tx>
          <c:cat>
            <c:strRef>
              <c:f>'estatística'!$C$1:$M$1</c:f>
            </c:strRef>
          </c:cat>
          <c:val>
            <c:numRef>
              <c:f>'estatística'!$C$596:$M$596</c:f>
              <c:numCache/>
            </c:numRef>
          </c:val>
        </c:ser>
        <c:ser>
          <c:idx val="595"/>
          <c:order val="595"/>
          <c:tx>
            <c:strRef>
              <c:f>'estatística'!$B$597</c:f>
            </c:strRef>
          </c:tx>
          <c:cat>
            <c:strRef>
              <c:f>'estatística'!$C$1:$M$1</c:f>
            </c:strRef>
          </c:cat>
          <c:val>
            <c:numRef>
              <c:f>'estatística'!$C$597:$M$597</c:f>
              <c:numCache/>
            </c:numRef>
          </c:val>
        </c:ser>
        <c:ser>
          <c:idx val="596"/>
          <c:order val="596"/>
          <c:tx>
            <c:strRef>
              <c:f>'estatística'!$B$598</c:f>
            </c:strRef>
          </c:tx>
          <c:cat>
            <c:strRef>
              <c:f>'estatística'!$C$1:$M$1</c:f>
            </c:strRef>
          </c:cat>
          <c:val>
            <c:numRef>
              <c:f>'estatística'!$C$598:$M$598</c:f>
              <c:numCache/>
            </c:numRef>
          </c:val>
        </c:ser>
        <c:ser>
          <c:idx val="597"/>
          <c:order val="597"/>
          <c:tx>
            <c:strRef>
              <c:f>'estatística'!$B$599</c:f>
            </c:strRef>
          </c:tx>
          <c:cat>
            <c:strRef>
              <c:f>'estatística'!$C$1:$M$1</c:f>
            </c:strRef>
          </c:cat>
          <c:val>
            <c:numRef>
              <c:f>'estatística'!$C$599:$M$599</c:f>
              <c:numCache/>
            </c:numRef>
          </c:val>
        </c:ser>
        <c:ser>
          <c:idx val="598"/>
          <c:order val="598"/>
          <c:tx>
            <c:strRef>
              <c:f>'estatística'!$B$600</c:f>
            </c:strRef>
          </c:tx>
          <c:cat>
            <c:strRef>
              <c:f>'estatística'!$C$1:$M$1</c:f>
            </c:strRef>
          </c:cat>
          <c:val>
            <c:numRef>
              <c:f>'estatística'!$C$600:$M$600</c:f>
              <c:numCache/>
            </c:numRef>
          </c:val>
        </c:ser>
        <c:ser>
          <c:idx val="599"/>
          <c:order val="599"/>
          <c:tx>
            <c:strRef>
              <c:f>'estatística'!$B$601</c:f>
            </c:strRef>
          </c:tx>
          <c:cat>
            <c:strRef>
              <c:f>'estatística'!$C$1:$M$1</c:f>
            </c:strRef>
          </c:cat>
          <c:val>
            <c:numRef>
              <c:f>'estatística'!$C$601:$M$601</c:f>
              <c:numCache/>
            </c:numRef>
          </c:val>
        </c:ser>
        <c:ser>
          <c:idx val="600"/>
          <c:order val="600"/>
          <c:tx>
            <c:strRef>
              <c:f>'estatística'!$B$602</c:f>
            </c:strRef>
          </c:tx>
          <c:cat>
            <c:strRef>
              <c:f>'estatística'!$C$1:$M$1</c:f>
            </c:strRef>
          </c:cat>
          <c:val>
            <c:numRef>
              <c:f>'estatística'!$C$602:$M$602</c:f>
              <c:numCache/>
            </c:numRef>
          </c:val>
        </c:ser>
        <c:ser>
          <c:idx val="601"/>
          <c:order val="601"/>
          <c:tx>
            <c:strRef>
              <c:f>'estatística'!$B$603</c:f>
            </c:strRef>
          </c:tx>
          <c:cat>
            <c:strRef>
              <c:f>'estatística'!$C$1:$M$1</c:f>
            </c:strRef>
          </c:cat>
          <c:val>
            <c:numRef>
              <c:f>'estatística'!$C$603:$M$603</c:f>
              <c:numCache/>
            </c:numRef>
          </c:val>
        </c:ser>
        <c:ser>
          <c:idx val="602"/>
          <c:order val="602"/>
          <c:tx>
            <c:strRef>
              <c:f>'estatística'!$B$604</c:f>
            </c:strRef>
          </c:tx>
          <c:cat>
            <c:strRef>
              <c:f>'estatística'!$C$1:$M$1</c:f>
            </c:strRef>
          </c:cat>
          <c:val>
            <c:numRef>
              <c:f>'estatística'!$C$604:$M$604</c:f>
              <c:numCache/>
            </c:numRef>
          </c:val>
        </c:ser>
        <c:ser>
          <c:idx val="603"/>
          <c:order val="603"/>
          <c:tx>
            <c:strRef>
              <c:f>'estatística'!$B$605</c:f>
            </c:strRef>
          </c:tx>
          <c:cat>
            <c:strRef>
              <c:f>'estatística'!$C$1:$M$1</c:f>
            </c:strRef>
          </c:cat>
          <c:val>
            <c:numRef>
              <c:f>'estatística'!$C$605:$M$605</c:f>
              <c:numCache/>
            </c:numRef>
          </c:val>
        </c:ser>
        <c:ser>
          <c:idx val="604"/>
          <c:order val="604"/>
          <c:tx>
            <c:strRef>
              <c:f>'estatística'!$B$606</c:f>
            </c:strRef>
          </c:tx>
          <c:cat>
            <c:strRef>
              <c:f>'estatística'!$C$1:$M$1</c:f>
            </c:strRef>
          </c:cat>
          <c:val>
            <c:numRef>
              <c:f>'estatística'!$C$606:$M$606</c:f>
              <c:numCache/>
            </c:numRef>
          </c:val>
        </c:ser>
        <c:ser>
          <c:idx val="605"/>
          <c:order val="605"/>
          <c:tx>
            <c:strRef>
              <c:f>'estatística'!$B$607</c:f>
            </c:strRef>
          </c:tx>
          <c:cat>
            <c:strRef>
              <c:f>'estatística'!$C$1:$M$1</c:f>
            </c:strRef>
          </c:cat>
          <c:val>
            <c:numRef>
              <c:f>'estatística'!$C$607:$M$607</c:f>
              <c:numCache/>
            </c:numRef>
          </c:val>
        </c:ser>
        <c:ser>
          <c:idx val="606"/>
          <c:order val="606"/>
          <c:tx>
            <c:strRef>
              <c:f>'estatística'!$B$608</c:f>
            </c:strRef>
          </c:tx>
          <c:cat>
            <c:strRef>
              <c:f>'estatística'!$C$1:$M$1</c:f>
            </c:strRef>
          </c:cat>
          <c:val>
            <c:numRef>
              <c:f>'estatística'!$C$608:$M$608</c:f>
              <c:numCache/>
            </c:numRef>
          </c:val>
        </c:ser>
        <c:ser>
          <c:idx val="607"/>
          <c:order val="607"/>
          <c:tx>
            <c:strRef>
              <c:f>'estatística'!$B$609</c:f>
            </c:strRef>
          </c:tx>
          <c:cat>
            <c:strRef>
              <c:f>'estatística'!$C$1:$M$1</c:f>
            </c:strRef>
          </c:cat>
          <c:val>
            <c:numRef>
              <c:f>'estatística'!$C$609:$M$609</c:f>
              <c:numCache/>
            </c:numRef>
          </c:val>
        </c:ser>
        <c:ser>
          <c:idx val="608"/>
          <c:order val="608"/>
          <c:tx>
            <c:strRef>
              <c:f>'estatística'!$B$610</c:f>
            </c:strRef>
          </c:tx>
          <c:cat>
            <c:strRef>
              <c:f>'estatística'!$C$1:$M$1</c:f>
            </c:strRef>
          </c:cat>
          <c:val>
            <c:numRef>
              <c:f>'estatística'!$C$610:$M$610</c:f>
              <c:numCache/>
            </c:numRef>
          </c:val>
        </c:ser>
        <c:ser>
          <c:idx val="609"/>
          <c:order val="609"/>
          <c:tx>
            <c:strRef>
              <c:f>'estatística'!$B$611</c:f>
            </c:strRef>
          </c:tx>
          <c:cat>
            <c:strRef>
              <c:f>'estatística'!$C$1:$M$1</c:f>
            </c:strRef>
          </c:cat>
          <c:val>
            <c:numRef>
              <c:f>'estatística'!$C$611:$M$611</c:f>
              <c:numCache/>
            </c:numRef>
          </c:val>
        </c:ser>
        <c:ser>
          <c:idx val="610"/>
          <c:order val="610"/>
          <c:tx>
            <c:strRef>
              <c:f>'estatística'!$B$612</c:f>
            </c:strRef>
          </c:tx>
          <c:cat>
            <c:strRef>
              <c:f>'estatística'!$C$1:$M$1</c:f>
            </c:strRef>
          </c:cat>
          <c:val>
            <c:numRef>
              <c:f>'estatística'!$C$612:$M$612</c:f>
              <c:numCache/>
            </c:numRef>
          </c:val>
        </c:ser>
        <c:ser>
          <c:idx val="611"/>
          <c:order val="611"/>
          <c:tx>
            <c:strRef>
              <c:f>'estatística'!$B$613</c:f>
            </c:strRef>
          </c:tx>
          <c:cat>
            <c:strRef>
              <c:f>'estatística'!$C$1:$M$1</c:f>
            </c:strRef>
          </c:cat>
          <c:val>
            <c:numRef>
              <c:f>'estatística'!$C$613:$M$613</c:f>
              <c:numCache/>
            </c:numRef>
          </c:val>
        </c:ser>
        <c:ser>
          <c:idx val="612"/>
          <c:order val="612"/>
          <c:tx>
            <c:strRef>
              <c:f>'estatística'!$B$614</c:f>
            </c:strRef>
          </c:tx>
          <c:cat>
            <c:strRef>
              <c:f>'estatística'!$C$1:$M$1</c:f>
            </c:strRef>
          </c:cat>
          <c:val>
            <c:numRef>
              <c:f>'estatística'!$C$614:$M$614</c:f>
              <c:numCache/>
            </c:numRef>
          </c:val>
        </c:ser>
        <c:ser>
          <c:idx val="613"/>
          <c:order val="613"/>
          <c:tx>
            <c:strRef>
              <c:f>'estatística'!$B$615</c:f>
            </c:strRef>
          </c:tx>
          <c:cat>
            <c:strRef>
              <c:f>'estatística'!$C$1:$M$1</c:f>
            </c:strRef>
          </c:cat>
          <c:val>
            <c:numRef>
              <c:f>'estatística'!$C$615:$M$615</c:f>
              <c:numCache/>
            </c:numRef>
          </c:val>
        </c:ser>
        <c:ser>
          <c:idx val="614"/>
          <c:order val="614"/>
          <c:tx>
            <c:strRef>
              <c:f>'estatística'!$B$616</c:f>
            </c:strRef>
          </c:tx>
          <c:cat>
            <c:strRef>
              <c:f>'estatística'!$C$1:$M$1</c:f>
            </c:strRef>
          </c:cat>
          <c:val>
            <c:numRef>
              <c:f>'estatística'!$C$616:$M$616</c:f>
              <c:numCache/>
            </c:numRef>
          </c:val>
        </c:ser>
        <c:ser>
          <c:idx val="615"/>
          <c:order val="615"/>
          <c:tx>
            <c:strRef>
              <c:f>'estatística'!$B$617</c:f>
            </c:strRef>
          </c:tx>
          <c:cat>
            <c:strRef>
              <c:f>'estatística'!$C$1:$M$1</c:f>
            </c:strRef>
          </c:cat>
          <c:val>
            <c:numRef>
              <c:f>'estatística'!$C$617:$M$617</c:f>
              <c:numCache/>
            </c:numRef>
          </c:val>
        </c:ser>
        <c:ser>
          <c:idx val="616"/>
          <c:order val="616"/>
          <c:tx>
            <c:strRef>
              <c:f>'estatística'!$B$618</c:f>
            </c:strRef>
          </c:tx>
          <c:cat>
            <c:strRef>
              <c:f>'estatística'!$C$1:$M$1</c:f>
            </c:strRef>
          </c:cat>
          <c:val>
            <c:numRef>
              <c:f>'estatística'!$C$618:$M$618</c:f>
              <c:numCache/>
            </c:numRef>
          </c:val>
        </c:ser>
        <c:ser>
          <c:idx val="617"/>
          <c:order val="617"/>
          <c:tx>
            <c:strRef>
              <c:f>'estatística'!$B$619</c:f>
            </c:strRef>
          </c:tx>
          <c:cat>
            <c:strRef>
              <c:f>'estatística'!$C$1:$M$1</c:f>
            </c:strRef>
          </c:cat>
          <c:val>
            <c:numRef>
              <c:f>'estatística'!$C$619:$M$619</c:f>
              <c:numCache/>
            </c:numRef>
          </c:val>
        </c:ser>
        <c:ser>
          <c:idx val="618"/>
          <c:order val="618"/>
          <c:tx>
            <c:strRef>
              <c:f>'estatística'!$B$620</c:f>
            </c:strRef>
          </c:tx>
          <c:cat>
            <c:strRef>
              <c:f>'estatística'!$C$1:$M$1</c:f>
            </c:strRef>
          </c:cat>
          <c:val>
            <c:numRef>
              <c:f>'estatística'!$C$620:$M$620</c:f>
              <c:numCache/>
            </c:numRef>
          </c:val>
        </c:ser>
        <c:ser>
          <c:idx val="619"/>
          <c:order val="619"/>
          <c:tx>
            <c:strRef>
              <c:f>'estatística'!$B$621</c:f>
            </c:strRef>
          </c:tx>
          <c:cat>
            <c:strRef>
              <c:f>'estatística'!$C$1:$M$1</c:f>
            </c:strRef>
          </c:cat>
          <c:val>
            <c:numRef>
              <c:f>'estatística'!$C$621:$M$621</c:f>
              <c:numCache/>
            </c:numRef>
          </c:val>
        </c:ser>
        <c:ser>
          <c:idx val="620"/>
          <c:order val="620"/>
          <c:tx>
            <c:strRef>
              <c:f>'estatística'!$B$622</c:f>
            </c:strRef>
          </c:tx>
          <c:cat>
            <c:strRef>
              <c:f>'estatística'!$C$1:$M$1</c:f>
            </c:strRef>
          </c:cat>
          <c:val>
            <c:numRef>
              <c:f>'estatística'!$C$622:$M$622</c:f>
              <c:numCache/>
            </c:numRef>
          </c:val>
        </c:ser>
        <c:ser>
          <c:idx val="621"/>
          <c:order val="621"/>
          <c:tx>
            <c:strRef>
              <c:f>'estatística'!$B$623</c:f>
            </c:strRef>
          </c:tx>
          <c:cat>
            <c:strRef>
              <c:f>'estatística'!$C$1:$M$1</c:f>
            </c:strRef>
          </c:cat>
          <c:val>
            <c:numRef>
              <c:f>'estatística'!$C$623:$M$623</c:f>
              <c:numCache/>
            </c:numRef>
          </c:val>
        </c:ser>
        <c:ser>
          <c:idx val="622"/>
          <c:order val="622"/>
          <c:tx>
            <c:strRef>
              <c:f>'estatística'!$B$624</c:f>
            </c:strRef>
          </c:tx>
          <c:cat>
            <c:strRef>
              <c:f>'estatística'!$C$1:$M$1</c:f>
            </c:strRef>
          </c:cat>
          <c:val>
            <c:numRef>
              <c:f>'estatística'!$C$624:$M$624</c:f>
              <c:numCache/>
            </c:numRef>
          </c:val>
        </c:ser>
        <c:ser>
          <c:idx val="623"/>
          <c:order val="623"/>
          <c:tx>
            <c:strRef>
              <c:f>'estatística'!$B$625</c:f>
            </c:strRef>
          </c:tx>
          <c:cat>
            <c:strRef>
              <c:f>'estatística'!$C$1:$M$1</c:f>
            </c:strRef>
          </c:cat>
          <c:val>
            <c:numRef>
              <c:f>'estatística'!$C$625:$M$625</c:f>
              <c:numCache/>
            </c:numRef>
          </c:val>
        </c:ser>
        <c:ser>
          <c:idx val="624"/>
          <c:order val="624"/>
          <c:tx>
            <c:strRef>
              <c:f>'estatística'!$B$626</c:f>
            </c:strRef>
          </c:tx>
          <c:cat>
            <c:strRef>
              <c:f>'estatística'!$C$1:$M$1</c:f>
            </c:strRef>
          </c:cat>
          <c:val>
            <c:numRef>
              <c:f>'estatística'!$C$626:$M$626</c:f>
              <c:numCache/>
            </c:numRef>
          </c:val>
        </c:ser>
        <c:ser>
          <c:idx val="625"/>
          <c:order val="625"/>
          <c:tx>
            <c:strRef>
              <c:f>'estatística'!$B$627</c:f>
            </c:strRef>
          </c:tx>
          <c:cat>
            <c:strRef>
              <c:f>'estatística'!$C$1:$M$1</c:f>
            </c:strRef>
          </c:cat>
          <c:val>
            <c:numRef>
              <c:f>'estatística'!$C$627:$M$627</c:f>
              <c:numCache/>
            </c:numRef>
          </c:val>
        </c:ser>
        <c:ser>
          <c:idx val="626"/>
          <c:order val="626"/>
          <c:tx>
            <c:strRef>
              <c:f>'estatística'!$B$628</c:f>
            </c:strRef>
          </c:tx>
          <c:cat>
            <c:strRef>
              <c:f>'estatística'!$C$1:$M$1</c:f>
            </c:strRef>
          </c:cat>
          <c:val>
            <c:numRef>
              <c:f>'estatística'!$C$628:$M$628</c:f>
              <c:numCache/>
            </c:numRef>
          </c:val>
        </c:ser>
        <c:ser>
          <c:idx val="627"/>
          <c:order val="627"/>
          <c:tx>
            <c:strRef>
              <c:f>'estatística'!$B$629</c:f>
            </c:strRef>
          </c:tx>
          <c:cat>
            <c:strRef>
              <c:f>'estatística'!$C$1:$M$1</c:f>
            </c:strRef>
          </c:cat>
          <c:val>
            <c:numRef>
              <c:f>'estatística'!$C$629:$M$629</c:f>
              <c:numCache/>
            </c:numRef>
          </c:val>
        </c:ser>
        <c:ser>
          <c:idx val="628"/>
          <c:order val="628"/>
          <c:tx>
            <c:strRef>
              <c:f>'estatística'!$B$630</c:f>
            </c:strRef>
          </c:tx>
          <c:cat>
            <c:strRef>
              <c:f>'estatística'!$C$1:$M$1</c:f>
            </c:strRef>
          </c:cat>
          <c:val>
            <c:numRef>
              <c:f>'estatística'!$C$630:$M$630</c:f>
              <c:numCache/>
            </c:numRef>
          </c:val>
        </c:ser>
        <c:ser>
          <c:idx val="629"/>
          <c:order val="629"/>
          <c:tx>
            <c:strRef>
              <c:f>'estatística'!$B$631</c:f>
            </c:strRef>
          </c:tx>
          <c:cat>
            <c:strRef>
              <c:f>'estatística'!$C$1:$M$1</c:f>
            </c:strRef>
          </c:cat>
          <c:val>
            <c:numRef>
              <c:f>'estatística'!$C$631:$M$631</c:f>
              <c:numCache/>
            </c:numRef>
          </c:val>
        </c:ser>
        <c:ser>
          <c:idx val="630"/>
          <c:order val="630"/>
          <c:tx>
            <c:strRef>
              <c:f>'estatística'!$B$632</c:f>
            </c:strRef>
          </c:tx>
          <c:cat>
            <c:strRef>
              <c:f>'estatística'!$C$1:$M$1</c:f>
            </c:strRef>
          </c:cat>
          <c:val>
            <c:numRef>
              <c:f>'estatística'!$C$632:$M$632</c:f>
              <c:numCache/>
            </c:numRef>
          </c:val>
        </c:ser>
        <c:ser>
          <c:idx val="631"/>
          <c:order val="631"/>
          <c:tx>
            <c:strRef>
              <c:f>'estatística'!$B$633</c:f>
            </c:strRef>
          </c:tx>
          <c:cat>
            <c:strRef>
              <c:f>'estatística'!$C$1:$M$1</c:f>
            </c:strRef>
          </c:cat>
          <c:val>
            <c:numRef>
              <c:f>'estatística'!$C$633:$M$633</c:f>
              <c:numCache/>
            </c:numRef>
          </c:val>
        </c:ser>
        <c:ser>
          <c:idx val="632"/>
          <c:order val="632"/>
          <c:tx>
            <c:strRef>
              <c:f>'estatística'!$B$634</c:f>
            </c:strRef>
          </c:tx>
          <c:cat>
            <c:strRef>
              <c:f>'estatística'!$C$1:$M$1</c:f>
            </c:strRef>
          </c:cat>
          <c:val>
            <c:numRef>
              <c:f>'estatística'!$C$634:$M$634</c:f>
              <c:numCache/>
            </c:numRef>
          </c:val>
        </c:ser>
        <c:ser>
          <c:idx val="633"/>
          <c:order val="633"/>
          <c:tx>
            <c:strRef>
              <c:f>'estatística'!$B$635</c:f>
            </c:strRef>
          </c:tx>
          <c:cat>
            <c:strRef>
              <c:f>'estatística'!$C$1:$M$1</c:f>
            </c:strRef>
          </c:cat>
          <c:val>
            <c:numRef>
              <c:f>'estatística'!$C$635:$M$635</c:f>
              <c:numCache/>
            </c:numRef>
          </c:val>
        </c:ser>
        <c:ser>
          <c:idx val="634"/>
          <c:order val="634"/>
          <c:tx>
            <c:strRef>
              <c:f>'estatística'!$B$636</c:f>
            </c:strRef>
          </c:tx>
          <c:cat>
            <c:strRef>
              <c:f>'estatística'!$C$1:$M$1</c:f>
            </c:strRef>
          </c:cat>
          <c:val>
            <c:numRef>
              <c:f>'estatística'!$C$636:$M$636</c:f>
              <c:numCache/>
            </c:numRef>
          </c:val>
        </c:ser>
        <c:ser>
          <c:idx val="635"/>
          <c:order val="635"/>
          <c:tx>
            <c:strRef>
              <c:f>'estatística'!$B$637</c:f>
            </c:strRef>
          </c:tx>
          <c:cat>
            <c:strRef>
              <c:f>'estatística'!$C$1:$M$1</c:f>
            </c:strRef>
          </c:cat>
          <c:val>
            <c:numRef>
              <c:f>'estatística'!$C$637:$M$637</c:f>
              <c:numCache/>
            </c:numRef>
          </c:val>
        </c:ser>
        <c:ser>
          <c:idx val="636"/>
          <c:order val="636"/>
          <c:tx>
            <c:strRef>
              <c:f>'estatística'!$B$638</c:f>
            </c:strRef>
          </c:tx>
          <c:cat>
            <c:strRef>
              <c:f>'estatística'!$C$1:$M$1</c:f>
            </c:strRef>
          </c:cat>
          <c:val>
            <c:numRef>
              <c:f>'estatística'!$C$638:$M$638</c:f>
              <c:numCache/>
            </c:numRef>
          </c:val>
        </c:ser>
        <c:ser>
          <c:idx val="637"/>
          <c:order val="637"/>
          <c:tx>
            <c:strRef>
              <c:f>'estatística'!$B$639</c:f>
            </c:strRef>
          </c:tx>
          <c:cat>
            <c:strRef>
              <c:f>'estatística'!$C$1:$M$1</c:f>
            </c:strRef>
          </c:cat>
          <c:val>
            <c:numRef>
              <c:f>'estatística'!$C$639:$M$639</c:f>
              <c:numCache/>
            </c:numRef>
          </c:val>
        </c:ser>
        <c:ser>
          <c:idx val="638"/>
          <c:order val="638"/>
          <c:tx>
            <c:strRef>
              <c:f>'estatística'!$B$640</c:f>
            </c:strRef>
          </c:tx>
          <c:cat>
            <c:strRef>
              <c:f>'estatística'!$C$1:$M$1</c:f>
            </c:strRef>
          </c:cat>
          <c:val>
            <c:numRef>
              <c:f>'estatística'!$C$640:$M$640</c:f>
              <c:numCache/>
            </c:numRef>
          </c:val>
        </c:ser>
        <c:ser>
          <c:idx val="639"/>
          <c:order val="639"/>
          <c:tx>
            <c:strRef>
              <c:f>'estatística'!$B$641</c:f>
            </c:strRef>
          </c:tx>
          <c:cat>
            <c:strRef>
              <c:f>'estatística'!$C$1:$M$1</c:f>
            </c:strRef>
          </c:cat>
          <c:val>
            <c:numRef>
              <c:f>'estatística'!$C$641:$M$641</c:f>
              <c:numCache/>
            </c:numRef>
          </c:val>
        </c:ser>
        <c:ser>
          <c:idx val="640"/>
          <c:order val="640"/>
          <c:tx>
            <c:strRef>
              <c:f>'estatística'!$B$642</c:f>
            </c:strRef>
          </c:tx>
          <c:cat>
            <c:strRef>
              <c:f>'estatística'!$C$1:$M$1</c:f>
            </c:strRef>
          </c:cat>
          <c:val>
            <c:numRef>
              <c:f>'estatística'!$C$642:$M$642</c:f>
              <c:numCache/>
            </c:numRef>
          </c:val>
        </c:ser>
        <c:ser>
          <c:idx val="641"/>
          <c:order val="641"/>
          <c:tx>
            <c:strRef>
              <c:f>'estatística'!$B$643</c:f>
            </c:strRef>
          </c:tx>
          <c:cat>
            <c:strRef>
              <c:f>'estatística'!$C$1:$M$1</c:f>
            </c:strRef>
          </c:cat>
          <c:val>
            <c:numRef>
              <c:f>'estatística'!$C$643:$M$643</c:f>
              <c:numCache/>
            </c:numRef>
          </c:val>
        </c:ser>
        <c:ser>
          <c:idx val="642"/>
          <c:order val="642"/>
          <c:tx>
            <c:strRef>
              <c:f>'estatística'!$B$644</c:f>
            </c:strRef>
          </c:tx>
          <c:cat>
            <c:strRef>
              <c:f>'estatística'!$C$1:$M$1</c:f>
            </c:strRef>
          </c:cat>
          <c:val>
            <c:numRef>
              <c:f>'estatística'!$C$644:$M$644</c:f>
              <c:numCache/>
            </c:numRef>
          </c:val>
        </c:ser>
        <c:ser>
          <c:idx val="643"/>
          <c:order val="643"/>
          <c:tx>
            <c:strRef>
              <c:f>'estatística'!$B$645</c:f>
            </c:strRef>
          </c:tx>
          <c:cat>
            <c:strRef>
              <c:f>'estatística'!$C$1:$M$1</c:f>
            </c:strRef>
          </c:cat>
          <c:val>
            <c:numRef>
              <c:f>'estatística'!$C$645:$M$645</c:f>
              <c:numCache/>
            </c:numRef>
          </c:val>
        </c:ser>
        <c:ser>
          <c:idx val="644"/>
          <c:order val="644"/>
          <c:tx>
            <c:strRef>
              <c:f>'estatística'!$B$646</c:f>
            </c:strRef>
          </c:tx>
          <c:cat>
            <c:strRef>
              <c:f>'estatística'!$C$1:$M$1</c:f>
            </c:strRef>
          </c:cat>
          <c:val>
            <c:numRef>
              <c:f>'estatística'!$C$646:$M$646</c:f>
              <c:numCache/>
            </c:numRef>
          </c:val>
        </c:ser>
        <c:ser>
          <c:idx val="645"/>
          <c:order val="645"/>
          <c:tx>
            <c:strRef>
              <c:f>'estatística'!$B$647</c:f>
            </c:strRef>
          </c:tx>
          <c:cat>
            <c:strRef>
              <c:f>'estatística'!$C$1:$M$1</c:f>
            </c:strRef>
          </c:cat>
          <c:val>
            <c:numRef>
              <c:f>'estatística'!$C$647:$M$647</c:f>
              <c:numCache/>
            </c:numRef>
          </c:val>
        </c:ser>
        <c:ser>
          <c:idx val="646"/>
          <c:order val="646"/>
          <c:tx>
            <c:strRef>
              <c:f>'estatística'!$B$648</c:f>
            </c:strRef>
          </c:tx>
          <c:cat>
            <c:strRef>
              <c:f>'estatística'!$C$1:$M$1</c:f>
            </c:strRef>
          </c:cat>
          <c:val>
            <c:numRef>
              <c:f>'estatística'!$C$648:$M$648</c:f>
              <c:numCache/>
            </c:numRef>
          </c:val>
        </c:ser>
        <c:ser>
          <c:idx val="647"/>
          <c:order val="647"/>
          <c:tx>
            <c:strRef>
              <c:f>'estatística'!$B$649</c:f>
            </c:strRef>
          </c:tx>
          <c:cat>
            <c:strRef>
              <c:f>'estatística'!$C$1:$M$1</c:f>
            </c:strRef>
          </c:cat>
          <c:val>
            <c:numRef>
              <c:f>'estatística'!$C$649:$M$649</c:f>
              <c:numCache/>
            </c:numRef>
          </c:val>
        </c:ser>
        <c:ser>
          <c:idx val="648"/>
          <c:order val="648"/>
          <c:tx>
            <c:strRef>
              <c:f>'estatística'!$B$650</c:f>
            </c:strRef>
          </c:tx>
          <c:cat>
            <c:strRef>
              <c:f>'estatística'!$C$1:$M$1</c:f>
            </c:strRef>
          </c:cat>
          <c:val>
            <c:numRef>
              <c:f>'estatística'!$C$650:$M$650</c:f>
              <c:numCache/>
            </c:numRef>
          </c:val>
        </c:ser>
        <c:ser>
          <c:idx val="649"/>
          <c:order val="649"/>
          <c:tx>
            <c:strRef>
              <c:f>'estatística'!$B$651</c:f>
            </c:strRef>
          </c:tx>
          <c:cat>
            <c:strRef>
              <c:f>'estatística'!$C$1:$M$1</c:f>
            </c:strRef>
          </c:cat>
          <c:val>
            <c:numRef>
              <c:f>'estatística'!$C$651:$M$651</c:f>
              <c:numCache/>
            </c:numRef>
          </c:val>
        </c:ser>
        <c:ser>
          <c:idx val="650"/>
          <c:order val="650"/>
          <c:tx>
            <c:strRef>
              <c:f>'estatística'!$B$652</c:f>
            </c:strRef>
          </c:tx>
          <c:cat>
            <c:strRef>
              <c:f>'estatística'!$C$1:$M$1</c:f>
            </c:strRef>
          </c:cat>
          <c:val>
            <c:numRef>
              <c:f>'estatística'!$C$652:$M$652</c:f>
              <c:numCache/>
            </c:numRef>
          </c:val>
        </c:ser>
        <c:ser>
          <c:idx val="651"/>
          <c:order val="651"/>
          <c:tx>
            <c:strRef>
              <c:f>'estatística'!$B$653</c:f>
            </c:strRef>
          </c:tx>
          <c:cat>
            <c:strRef>
              <c:f>'estatística'!$C$1:$M$1</c:f>
            </c:strRef>
          </c:cat>
          <c:val>
            <c:numRef>
              <c:f>'estatística'!$C$653:$M$653</c:f>
              <c:numCache/>
            </c:numRef>
          </c:val>
        </c:ser>
        <c:ser>
          <c:idx val="652"/>
          <c:order val="652"/>
          <c:tx>
            <c:strRef>
              <c:f>'estatística'!$B$654</c:f>
            </c:strRef>
          </c:tx>
          <c:cat>
            <c:strRef>
              <c:f>'estatística'!$C$1:$M$1</c:f>
            </c:strRef>
          </c:cat>
          <c:val>
            <c:numRef>
              <c:f>'estatística'!$C$654:$M$654</c:f>
              <c:numCache/>
            </c:numRef>
          </c:val>
        </c:ser>
        <c:ser>
          <c:idx val="653"/>
          <c:order val="653"/>
          <c:tx>
            <c:strRef>
              <c:f>'estatística'!$B$655</c:f>
            </c:strRef>
          </c:tx>
          <c:cat>
            <c:strRef>
              <c:f>'estatística'!$C$1:$M$1</c:f>
            </c:strRef>
          </c:cat>
          <c:val>
            <c:numRef>
              <c:f>'estatística'!$C$655:$M$655</c:f>
              <c:numCache/>
            </c:numRef>
          </c:val>
        </c:ser>
        <c:ser>
          <c:idx val="654"/>
          <c:order val="654"/>
          <c:tx>
            <c:strRef>
              <c:f>'estatística'!$B$656</c:f>
            </c:strRef>
          </c:tx>
          <c:cat>
            <c:strRef>
              <c:f>'estatística'!$C$1:$M$1</c:f>
            </c:strRef>
          </c:cat>
          <c:val>
            <c:numRef>
              <c:f>'estatística'!$C$656:$M$656</c:f>
              <c:numCache/>
            </c:numRef>
          </c:val>
        </c:ser>
        <c:ser>
          <c:idx val="655"/>
          <c:order val="655"/>
          <c:tx>
            <c:strRef>
              <c:f>'estatística'!$B$657</c:f>
            </c:strRef>
          </c:tx>
          <c:cat>
            <c:strRef>
              <c:f>'estatística'!$C$1:$M$1</c:f>
            </c:strRef>
          </c:cat>
          <c:val>
            <c:numRef>
              <c:f>'estatística'!$C$657:$M$657</c:f>
              <c:numCache/>
            </c:numRef>
          </c:val>
        </c:ser>
        <c:ser>
          <c:idx val="656"/>
          <c:order val="656"/>
          <c:tx>
            <c:strRef>
              <c:f>'estatística'!$B$658</c:f>
            </c:strRef>
          </c:tx>
          <c:cat>
            <c:strRef>
              <c:f>'estatística'!$C$1:$M$1</c:f>
            </c:strRef>
          </c:cat>
          <c:val>
            <c:numRef>
              <c:f>'estatística'!$C$658:$M$658</c:f>
              <c:numCache/>
            </c:numRef>
          </c:val>
        </c:ser>
        <c:ser>
          <c:idx val="657"/>
          <c:order val="657"/>
          <c:tx>
            <c:strRef>
              <c:f>'estatística'!$B$659</c:f>
            </c:strRef>
          </c:tx>
          <c:cat>
            <c:strRef>
              <c:f>'estatística'!$C$1:$M$1</c:f>
            </c:strRef>
          </c:cat>
          <c:val>
            <c:numRef>
              <c:f>'estatística'!$C$659:$M$659</c:f>
              <c:numCache/>
            </c:numRef>
          </c:val>
        </c:ser>
        <c:ser>
          <c:idx val="658"/>
          <c:order val="658"/>
          <c:tx>
            <c:strRef>
              <c:f>'estatística'!$B$660</c:f>
            </c:strRef>
          </c:tx>
          <c:cat>
            <c:strRef>
              <c:f>'estatística'!$C$1:$M$1</c:f>
            </c:strRef>
          </c:cat>
          <c:val>
            <c:numRef>
              <c:f>'estatística'!$C$660:$M$660</c:f>
              <c:numCache/>
            </c:numRef>
          </c:val>
        </c:ser>
        <c:ser>
          <c:idx val="659"/>
          <c:order val="659"/>
          <c:tx>
            <c:strRef>
              <c:f>'estatística'!$B$661</c:f>
            </c:strRef>
          </c:tx>
          <c:cat>
            <c:strRef>
              <c:f>'estatística'!$C$1:$M$1</c:f>
            </c:strRef>
          </c:cat>
          <c:val>
            <c:numRef>
              <c:f>'estatística'!$C$661:$M$661</c:f>
              <c:numCache/>
            </c:numRef>
          </c:val>
        </c:ser>
        <c:ser>
          <c:idx val="660"/>
          <c:order val="660"/>
          <c:tx>
            <c:strRef>
              <c:f>'estatística'!$B$662</c:f>
            </c:strRef>
          </c:tx>
          <c:cat>
            <c:strRef>
              <c:f>'estatística'!$C$1:$M$1</c:f>
            </c:strRef>
          </c:cat>
          <c:val>
            <c:numRef>
              <c:f>'estatística'!$C$662:$M$662</c:f>
              <c:numCache/>
            </c:numRef>
          </c:val>
        </c:ser>
        <c:ser>
          <c:idx val="661"/>
          <c:order val="661"/>
          <c:tx>
            <c:strRef>
              <c:f>'estatística'!$B$663</c:f>
            </c:strRef>
          </c:tx>
          <c:cat>
            <c:strRef>
              <c:f>'estatística'!$C$1:$M$1</c:f>
            </c:strRef>
          </c:cat>
          <c:val>
            <c:numRef>
              <c:f>'estatística'!$C$663:$M$663</c:f>
              <c:numCache/>
            </c:numRef>
          </c:val>
        </c:ser>
        <c:ser>
          <c:idx val="662"/>
          <c:order val="662"/>
          <c:tx>
            <c:strRef>
              <c:f>'estatística'!$B$664</c:f>
            </c:strRef>
          </c:tx>
          <c:cat>
            <c:strRef>
              <c:f>'estatística'!$C$1:$M$1</c:f>
            </c:strRef>
          </c:cat>
          <c:val>
            <c:numRef>
              <c:f>'estatística'!$C$664:$M$664</c:f>
              <c:numCache/>
            </c:numRef>
          </c:val>
        </c:ser>
        <c:ser>
          <c:idx val="663"/>
          <c:order val="663"/>
          <c:tx>
            <c:strRef>
              <c:f>'estatística'!$B$665</c:f>
            </c:strRef>
          </c:tx>
          <c:cat>
            <c:strRef>
              <c:f>'estatística'!$C$1:$M$1</c:f>
            </c:strRef>
          </c:cat>
          <c:val>
            <c:numRef>
              <c:f>'estatística'!$C$665:$M$665</c:f>
              <c:numCache/>
            </c:numRef>
          </c:val>
        </c:ser>
        <c:ser>
          <c:idx val="664"/>
          <c:order val="664"/>
          <c:tx>
            <c:strRef>
              <c:f>'estatística'!$B$666</c:f>
            </c:strRef>
          </c:tx>
          <c:cat>
            <c:strRef>
              <c:f>'estatística'!$C$1:$M$1</c:f>
            </c:strRef>
          </c:cat>
          <c:val>
            <c:numRef>
              <c:f>'estatística'!$C$666:$M$666</c:f>
              <c:numCache/>
            </c:numRef>
          </c:val>
        </c:ser>
        <c:ser>
          <c:idx val="665"/>
          <c:order val="665"/>
          <c:tx>
            <c:strRef>
              <c:f>'estatística'!$B$667</c:f>
            </c:strRef>
          </c:tx>
          <c:cat>
            <c:strRef>
              <c:f>'estatística'!$C$1:$M$1</c:f>
            </c:strRef>
          </c:cat>
          <c:val>
            <c:numRef>
              <c:f>'estatística'!$C$667:$M$667</c:f>
              <c:numCache/>
            </c:numRef>
          </c:val>
        </c:ser>
        <c:ser>
          <c:idx val="666"/>
          <c:order val="666"/>
          <c:tx>
            <c:strRef>
              <c:f>'estatística'!$B$668</c:f>
            </c:strRef>
          </c:tx>
          <c:cat>
            <c:strRef>
              <c:f>'estatística'!$C$1:$M$1</c:f>
            </c:strRef>
          </c:cat>
          <c:val>
            <c:numRef>
              <c:f>'estatística'!$C$668:$M$668</c:f>
              <c:numCache/>
            </c:numRef>
          </c:val>
        </c:ser>
        <c:ser>
          <c:idx val="667"/>
          <c:order val="667"/>
          <c:tx>
            <c:strRef>
              <c:f>'estatística'!$B$669</c:f>
            </c:strRef>
          </c:tx>
          <c:cat>
            <c:strRef>
              <c:f>'estatística'!$C$1:$M$1</c:f>
            </c:strRef>
          </c:cat>
          <c:val>
            <c:numRef>
              <c:f>'estatística'!$C$669:$M$669</c:f>
              <c:numCache/>
            </c:numRef>
          </c:val>
        </c:ser>
        <c:ser>
          <c:idx val="668"/>
          <c:order val="668"/>
          <c:tx>
            <c:strRef>
              <c:f>'estatística'!$B$670</c:f>
            </c:strRef>
          </c:tx>
          <c:cat>
            <c:strRef>
              <c:f>'estatística'!$C$1:$M$1</c:f>
            </c:strRef>
          </c:cat>
          <c:val>
            <c:numRef>
              <c:f>'estatística'!$C$670:$M$670</c:f>
              <c:numCache/>
            </c:numRef>
          </c:val>
        </c:ser>
        <c:ser>
          <c:idx val="669"/>
          <c:order val="669"/>
          <c:tx>
            <c:strRef>
              <c:f>'estatística'!$B$671</c:f>
            </c:strRef>
          </c:tx>
          <c:cat>
            <c:strRef>
              <c:f>'estatística'!$C$1:$M$1</c:f>
            </c:strRef>
          </c:cat>
          <c:val>
            <c:numRef>
              <c:f>'estatística'!$C$671:$M$671</c:f>
              <c:numCache/>
            </c:numRef>
          </c:val>
        </c:ser>
        <c:ser>
          <c:idx val="670"/>
          <c:order val="670"/>
          <c:tx>
            <c:strRef>
              <c:f>'estatística'!$B$672</c:f>
            </c:strRef>
          </c:tx>
          <c:cat>
            <c:strRef>
              <c:f>'estatística'!$C$1:$M$1</c:f>
            </c:strRef>
          </c:cat>
          <c:val>
            <c:numRef>
              <c:f>'estatística'!$C$672:$M$672</c:f>
              <c:numCache/>
            </c:numRef>
          </c:val>
        </c:ser>
        <c:ser>
          <c:idx val="671"/>
          <c:order val="671"/>
          <c:tx>
            <c:strRef>
              <c:f>'estatística'!$B$673</c:f>
            </c:strRef>
          </c:tx>
          <c:cat>
            <c:strRef>
              <c:f>'estatística'!$C$1:$M$1</c:f>
            </c:strRef>
          </c:cat>
          <c:val>
            <c:numRef>
              <c:f>'estatística'!$C$673:$M$673</c:f>
              <c:numCache/>
            </c:numRef>
          </c:val>
        </c:ser>
        <c:ser>
          <c:idx val="672"/>
          <c:order val="672"/>
          <c:tx>
            <c:strRef>
              <c:f>'estatística'!$B$674</c:f>
            </c:strRef>
          </c:tx>
          <c:cat>
            <c:strRef>
              <c:f>'estatística'!$C$1:$M$1</c:f>
            </c:strRef>
          </c:cat>
          <c:val>
            <c:numRef>
              <c:f>'estatística'!$C$674:$M$674</c:f>
              <c:numCache/>
            </c:numRef>
          </c:val>
        </c:ser>
        <c:ser>
          <c:idx val="673"/>
          <c:order val="673"/>
          <c:tx>
            <c:strRef>
              <c:f>'estatística'!$B$675</c:f>
            </c:strRef>
          </c:tx>
          <c:cat>
            <c:strRef>
              <c:f>'estatística'!$C$1:$M$1</c:f>
            </c:strRef>
          </c:cat>
          <c:val>
            <c:numRef>
              <c:f>'estatística'!$C$675:$M$675</c:f>
              <c:numCache/>
            </c:numRef>
          </c:val>
        </c:ser>
        <c:ser>
          <c:idx val="674"/>
          <c:order val="674"/>
          <c:tx>
            <c:strRef>
              <c:f>'estatística'!$B$676</c:f>
            </c:strRef>
          </c:tx>
          <c:cat>
            <c:strRef>
              <c:f>'estatística'!$C$1:$M$1</c:f>
            </c:strRef>
          </c:cat>
          <c:val>
            <c:numRef>
              <c:f>'estatística'!$C$676:$M$676</c:f>
              <c:numCache/>
            </c:numRef>
          </c:val>
        </c:ser>
        <c:ser>
          <c:idx val="675"/>
          <c:order val="675"/>
          <c:tx>
            <c:strRef>
              <c:f>'estatística'!$B$677</c:f>
            </c:strRef>
          </c:tx>
          <c:cat>
            <c:strRef>
              <c:f>'estatística'!$C$1:$M$1</c:f>
            </c:strRef>
          </c:cat>
          <c:val>
            <c:numRef>
              <c:f>'estatística'!$C$677:$M$677</c:f>
              <c:numCache/>
            </c:numRef>
          </c:val>
        </c:ser>
        <c:ser>
          <c:idx val="676"/>
          <c:order val="676"/>
          <c:tx>
            <c:strRef>
              <c:f>'estatística'!$B$678</c:f>
            </c:strRef>
          </c:tx>
          <c:cat>
            <c:strRef>
              <c:f>'estatística'!$C$1:$M$1</c:f>
            </c:strRef>
          </c:cat>
          <c:val>
            <c:numRef>
              <c:f>'estatística'!$C$678:$M$678</c:f>
              <c:numCache/>
            </c:numRef>
          </c:val>
        </c:ser>
        <c:ser>
          <c:idx val="677"/>
          <c:order val="677"/>
          <c:tx>
            <c:strRef>
              <c:f>'estatística'!$B$679</c:f>
            </c:strRef>
          </c:tx>
          <c:cat>
            <c:strRef>
              <c:f>'estatística'!$C$1:$M$1</c:f>
            </c:strRef>
          </c:cat>
          <c:val>
            <c:numRef>
              <c:f>'estatística'!$C$679:$M$679</c:f>
              <c:numCache/>
            </c:numRef>
          </c:val>
        </c:ser>
        <c:ser>
          <c:idx val="678"/>
          <c:order val="678"/>
          <c:tx>
            <c:strRef>
              <c:f>'estatística'!$B$680</c:f>
            </c:strRef>
          </c:tx>
          <c:cat>
            <c:strRef>
              <c:f>'estatística'!$C$1:$M$1</c:f>
            </c:strRef>
          </c:cat>
          <c:val>
            <c:numRef>
              <c:f>'estatística'!$C$680:$M$680</c:f>
              <c:numCache/>
            </c:numRef>
          </c:val>
        </c:ser>
        <c:ser>
          <c:idx val="679"/>
          <c:order val="679"/>
          <c:tx>
            <c:strRef>
              <c:f>'estatística'!$B$681</c:f>
            </c:strRef>
          </c:tx>
          <c:cat>
            <c:strRef>
              <c:f>'estatística'!$C$1:$M$1</c:f>
            </c:strRef>
          </c:cat>
          <c:val>
            <c:numRef>
              <c:f>'estatística'!$C$681:$M$681</c:f>
              <c:numCache/>
            </c:numRef>
          </c:val>
        </c:ser>
        <c:ser>
          <c:idx val="680"/>
          <c:order val="680"/>
          <c:tx>
            <c:strRef>
              <c:f>'estatística'!$B$682</c:f>
            </c:strRef>
          </c:tx>
          <c:cat>
            <c:strRef>
              <c:f>'estatística'!$C$1:$M$1</c:f>
            </c:strRef>
          </c:cat>
          <c:val>
            <c:numRef>
              <c:f>'estatística'!$C$682:$M$682</c:f>
              <c:numCache/>
            </c:numRef>
          </c:val>
        </c:ser>
        <c:ser>
          <c:idx val="681"/>
          <c:order val="681"/>
          <c:tx>
            <c:strRef>
              <c:f>'estatística'!$B$683</c:f>
            </c:strRef>
          </c:tx>
          <c:cat>
            <c:strRef>
              <c:f>'estatística'!$C$1:$M$1</c:f>
            </c:strRef>
          </c:cat>
          <c:val>
            <c:numRef>
              <c:f>'estatística'!$C$683:$M$683</c:f>
              <c:numCache/>
            </c:numRef>
          </c:val>
        </c:ser>
        <c:ser>
          <c:idx val="682"/>
          <c:order val="682"/>
          <c:tx>
            <c:strRef>
              <c:f>'estatística'!$B$684</c:f>
            </c:strRef>
          </c:tx>
          <c:cat>
            <c:strRef>
              <c:f>'estatística'!$C$1:$M$1</c:f>
            </c:strRef>
          </c:cat>
          <c:val>
            <c:numRef>
              <c:f>'estatística'!$C$684:$M$684</c:f>
              <c:numCache/>
            </c:numRef>
          </c:val>
        </c:ser>
        <c:ser>
          <c:idx val="683"/>
          <c:order val="683"/>
          <c:tx>
            <c:strRef>
              <c:f>'estatística'!$B$685</c:f>
            </c:strRef>
          </c:tx>
          <c:cat>
            <c:strRef>
              <c:f>'estatística'!$C$1:$M$1</c:f>
            </c:strRef>
          </c:cat>
          <c:val>
            <c:numRef>
              <c:f>'estatística'!$C$685:$M$685</c:f>
              <c:numCache/>
            </c:numRef>
          </c:val>
        </c:ser>
        <c:ser>
          <c:idx val="684"/>
          <c:order val="684"/>
          <c:tx>
            <c:strRef>
              <c:f>'estatística'!$B$686</c:f>
            </c:strRef>
          </c:tx>
          <c:cat>
            <c:strRef>
              <c:f>'estatística'!$C$1:$M$1</c:f>
            </c:strRef>
          </c:cat>
          <c:val>
            <c:numRef>
              <c:f>'estatística'!$C$686:$M$686</c:f>
              <c:numCache/>
            </c:numRef>
          </c:val>
        </c:ser>
        <c:ser>
          <c:idx val="685"/>
          <c:order val="685"/>
          <c:tx>
            <c:strRef>
              <c:f>'estatística'!$B$687</c:f>
            </c:strRef>
          </c:tx>
          <c:cat>
            <c:strRef>
              <c:f>'estatística'!$C$1:$M$1</c:f>
            </c:strRef>
          </c:cat>
          <c:val>
            <c:numRef>
              <c:f>'estatística'!$C$687:$M$687</c:f>
              <c:numCache/>
            </c:numRef>
          </c:val>
        </c:ser>
        <c:ser>
          <c:idx val="686"/>
          <c:order val="686"/>
          <c:tx>
            <c:strRef>
              <c:f>'estatística'!$B$688</c:f>
            </c:strRef>
          </c:tx>
          <c:cat>
            <c:strRef>
              <c:f>'estatística'!$C$1:$M$1</c:f>
            </c:strRef>
          </c:cat>
          <c:val>
            <c:numRef>
              <c:f>'estatística'!$C$688:$M$688</c:f>
              <c:numCache/>
            </c:numRef>
          </c:val>
        </c:ser>
        <c:ser>
          <c:idx val="687"/>
          <c:order val="687"/>
          <c:tx>
            <c:strRef>
              <c:f>'estatística'!$B$689</c:f>
            </c:strRef>
          </c:tx>
          <c:cat>
            <c:strRef>
              <c:f>'estatística'!$C$1:$M$1</c:f>
            </c:strRef>
          </c:cat>
          <c:val>
            <c:numRef>
              <c:f>'estatística'!$C$689:$M$689</c:f>
              <c:numCache/>
            </c:numRef>
          </c:val>
        </c:ser>
        <c:ser>
          <c:idx val="688"/>
          <c:order val="688"/>
          <c:tx>
            <c:strRef>
              <c:f>'estatística'!$B$690</c:f>
            </c:strRef>
          </c:tx>
          <c:cat>
            <c:strRef>
              <c:f>'estatística'!$C$1:$M$1</c:f>
            </c:strRef>
          </c:cat>
          <c:val>
            <c:numRef>
              <c:f>'estatística'!$C$690:$M$690</c:f>
              <c:numCache/>
            </c:numRef>
          </c:val>
        </c:ser>
        <c:ser>
          <c:idx val="689"/>
          <c:order val="689"/>
          <c:tx>
            <c:strRef>
              <c:f>'estatística'!$B$691</c:f>
            </c:strRef>
          </c:tx>
          <c:cat>
            <c:strRef>
              <c:f>'estatística'!$C$1:$M$1</c:f>
            </c:strRef>
          </c:cat>
          <c:val>
            <c:numRef>
              <c:f>'estatística'!$C$691:$M$691</c:f>
              <c:numCache/>
            </c:numRef>
          </c:val>
        </c:ser>
        <c:ser>
          <c:idx val="690"/>
          <c:order val="690"/>
          <c:tx>
            <c:strRef>
              <c:f>'estatística'!$B$692</c:f>
            </c:strRef>
          </c:tx>
          <c:cat>
            <c:strRef>
              <c:f>'estatística'!$C$1:$M$1</c:f>
            </c:strRef>
          </c:cat>
          <c:val>
            <c:numRef>
              <c:f>'estatística'!$C$692:$M$692</c:f>
              <c:numCache/>
            </c:numRef>
          </c:val>
        </c:ser>
        <c:ser>
          <c:idx val="691"/>
          <c:order val="691"/>
          <c:tx>
            <c:strRef>
              <c:f>'estatística'!$B$693</c:f>
            </c:strRef>
          </c:tx>
          <c:cat>
            <c:strRef>
              <c:f>'estatística'!$C$1:$M$1</c:f>
            </c:strRef>
          </c:cat>
          <c:val>
            <c:numRef>
              <c:f>'estatística'!$C$693:$M$693</c:f>
              <c:numCache/>
            </c:numRef>
          </c:val>
        </c:ser>
        <c:ser>
          <c:idx val="692"/>
          <c:order val="692"/>
          <c:tx>
            <c:strRef>
              <c:f>'estatística'!$B$694</c:f>
            </c:strRef>
          </c:tx>
          <c:cat>
            <c:strRef>
              <c:f>'estatística'!$C$1:$M$1</c:f>
            </c:strRef>
          </c:cat>
          <c:val>
            <c:numRef>
              <c:f>'estatística'!$C$694:$M$694</c:f>
              <c:numCache/>
            </c:numRef>
          </c:val>
        </c:ser>
        <c:ser>
          <c:idx val="693"/>
          <c:order val="693"/>
          <c:tx>
            <c:strRef>
              <c:f>'estatística'!$B$695</c:f>
            </c:strRef>
          </c:tx>
          <c:cat>
            <c:strRef>
              <c:f>'estatística'!$C$1:$M$1</c:f>
            </c:strRef>
          </c:cat>
          <c:val>
            <c:numRef>
              <c:f>'estatística'!$C$695:$M$695</c:f>
              <c:numCache/>
            </c:numRef>
          </c:val>
        </c:ser>
        <c:ser>
          <c:idx val="694"/>
          <c:order val="694"/>
          <c:tx>
            <c:strRef>
              <c:f>'estatística'!$B$696</c:f>
            </c:strRef>
          </c:tx>
          <c:cat>
            <c:strRef>
              <c:f>'estatística'!$C$1:$M$1</c:f>
            </c:strRef>
          </c:cat>
          <c:val>
            <c:numRef>
              <c:f>'estatística'!$C$696:$M$696</c:f>
              <c:numCache/>
            </c:numRef>
          </c:val>
        </c:ser>
        <c:ser>
          <c:idx val="695"/>
          <c:order val="695"/>
          <c:tx>
            <c:strRef>
              <c:f>'estatística'!$B$697</c:f>
            </c:strRef>
          </c:tx>
          <c:cat>
            <c:strRef>
              <c:f>'estatística'!$C$1:$M$1</c:f>
            </c:strRef>
          </c:cat>
          <c:val>
            <c:numRef>
              <c:f>'estatística'!$C$697:$M$697</c:f>
              <c:numCache/>
            </c:numRef>
          </c:val>
        </c:ser>
        <c:ser>
          <c:idx val="696"/>
          <c:order val="696"/>
          <c:tx>
            <c:strRef>
              <c:f>'estatística'!$B$698</c:f>
            </c:strRef>
          </c:tx>
          <c:cat>
            <c:strRef>
              <c:f>'estatística'!$C$1:$M$1</c:f>
            </c:strRef>
          </c:cat>
          <c:val>
            <c:numRef>
              <c:f>'estatística'!$C$698:$M$698</c:f>
              <c:numCache/>
            </c:numRef>
          </c:val>
        </c:ser>
        <c:ser>
          <c:idx val="697"/>
          <c:order val="697"/>
          <c:tx>
            <c:strRef>
              <c:f>'estatística'!$B$699</c:f>
            </c:strRef>
          </c:tx>
          <c:cat>
            <c:strRef>
              <c:f>'estatística'!$C$1:$M$1</c:f>
            </c:strRef>
          </c:cat>
          <c:val>
            <c:numRef>
              <c:f>'estatística'!$C$699:$M$699</c:f>
              <c:numCache/>
            </c:numRef>
          </c:val>
        </c:ser>
        <c:ser>
          <c:idx val="698"/>
          <c:order val="698"/>
          <c:tx>
            <c:strRef>
              <c:f>'estatística'!$B$700</c:f>
            </c:strRef>
          </c:tx>
          <c:cat>
            <c:strRef>
              <c:f>'estatística'!$C$1:$M$1</c:f>
            </c:strRef>
          </c:cat>
          <c:val>
            <c:numRef>
              <c:f>'estatística'!$C$700:$M$700</c:f>
              <c:numCache/>
            </c:numRef>
          </c:val>
        </c:ser>
        <c:ser>
          <c:idx val="699"/>
          <c:order val="699"/>
          <c:tx>
            <c:strRef>
              <c:f>'estatística'!$B$701</c:f>
            </c:strRef>
          </c:tx>
          <c:cat>
            <c:strRef>
              <c:f>'estatística'!$C$1:$M$1</c:f>
            </c:strRef>
          </c:cat>
          <c:val>
            <c:numRef>
              <c:f>'estatística'!$C$701:$M$701</c:f>
              <c:numCache/>
            </c:numRef>
          </c:val>
        </c:ser>
        <c:ser>
          <c:idx val="700"/>
          <c:order val="700"/>
          <c:tx>
            <c:strRef>
              <c:f>'estatística'!$B$702</c:f>
            </c:strRef>
          </c:tx>
          <c:cat>
            <c:strRef>
              <c:f>'estatística'!$C$1:$M$1</c:f>
            </c:strRef>
          </c:cat>
          <c:val>
            <c:numRef>
              <c:f>'estatística'!$C$702:$M$702</c:f>
              <c:numCache/>
            </c:numRef>
          </c:val>
        </c:ser>
        <c:ser>
          <c:idx val="701"/>
          <c:order val="701"/>
          <c:tx>
            <c:strRef>
              <c:f>'estatística'!$B$703</c:f>
            </c:strRef>
          </c:tx>
          <c:cat>
            <c:strRef>
              <c:f>'estatística'!$C$1:$M$1</c:f>
            </c:strRef>
          </c:cat>
          <c:val>
            <c:numRef>
              <c:f>'estatística'!$C$703:$M$703</c:f>
              <c:numCache/>
            </c:numRef>
          </c:val>
        </c:ser>
        <c:ser>
          <c:idx val="702"/>
          <c:order val="702"/>
          <c:tx>
            <c:strRef>
              <c:f>'estatística'!$B$704</c:f>
            </c:strRef>
          </c:tx>
          <c:cat>
            <c:strRef>
              <c:f>'estatística'!$C$1:$M$1</c:f>
            </c:strRef>
          </c:cat>
          <c:val>
            <c:numRef>
              <c:f>'estatística'!$C$704:$M$704</c:f>
              <c:numCache/>
            </c:numRef>
          </c:val>
        </c:ser>
        <c:ser>
          <c:idx val="703"/>
          <c:order val="703"/>
          <c:tx>
            <c:strRef>
              <c:f>'estatística'!$B$705</c:f>
            </c:strRef>
          </c:tx>
          <c:cat>
            <c:strRef>
              <c:f>'estatística'!$C$1:$M$1</c:f>
            </c:strRef>
          </c:cat>
          <c:val>
            <c:numRef>
              <c:f>'estatística'!$C$705:$M$705</c:f>
              <c:numCache/>
            </c:numRef>
          </c:val>
        </c:ser>
        <c:ser>
          <c:idx val="704"/>
          <c:order val="704"/>
          <c:tx>
            <c:strRef>
              <c:f>'estatística'!$B$706</c:f>
            </c:strRef>
          </c:tx>
          <c:cat>
            <c:strRef>
              <c:f>'estatística'!$C$1:$M$1</c:f>
            </c:strRef>
          </c:cat>
          <c:val>
            <c:numRef>
              <c:f>'estatística'!$C$706:$M$706</c:f>
              <c:numCache/>
            </c:numRef>
          </c:val>
        </c:ser>
        <c:ser>
          <c:idx val="705"/>
          <c:order val="705"/>
          <c:tx>
            <c:strRef>
              <c:f>'estatística'!$B$707</c:f>
            </c:strRef>
          </c:tx>
          <c:cat>
            <c:strRef>
              <c:f>'estatística'!$C$1:$M$1</c:f>
            </c:strRef>
          </c:cat>
          <c:val>
            <c:numRef>
              <c:f>'estatística'!$C$707:$M$707</c:f>
              <c:numCache/>
            </c:numRef>
          </c:val>
        </c:ser>
        <c:ser>
          <c:idx val="706"/>
          <c:order val="706"/>
          <c:tx>
            <c:strRef>
              <c:f>'estatística'!$B$708</c:f>
            </c:strRef>
          </c:tx>
          <c:cat>
            <c:strRef>
              <c:f>'estatística'!$C$1:$M$1</c:f>
            </c:strRef>
          </c:cat>
          <c:val>
            <c:numRef>
              <c:f>'estatística'!$C$708:$M$708</c:f>
              <c:numCache/>
            </c:numRef>
          </c:val>
        </c:ser>
        <c:ser>
          <c:idx val="707"/>
          <c:order val="707"/>
          <c:tx>
            <c:strRef>
              <c:f>'estatística'!$B$709</c:f>
            </c:strRef>
          </c:tx>
          <c:cat>
            <c:strRef>
              <c:f>'estatística'!$C$1:$M$1</c:f>
            </c:strRef>
          </c:cat>
          <c:val>
            <c:numRef>
              <c:f>'estatística'!$C$709:$M$709</c:f>
              <c:numCache/>
            </c:numRef>
          </c:val>
        </c:ser>
        <c:ser>
          <c:idx val="708"/>
          <c:order val="708"/>
          <c:tx>
            <c:strRef>
              <c:f>'estatística'!$B$710</c:f>
            </c:strRef>
          </c:tx>
          <c:cat>
            <c:strRef>
              <c:f>'estatística'!$C$1:$M$1</c:f>
            </c:strRef>
          </c:cat>
          <c:val>
            <c:numRef>
              <c:f>'estatística'!$C$710:$M$710</c:f>
              <c:numCache/>
            </c:numRef>
          </c:val>
        </c:ser>
        <c:ser>
          <c:idx val="709"/>
          <c:order val="709"/>
          <c:tx>
            <c:strRef>
              <c:f>'estatística'!$B$711</c:f>
            </c:strRef>
          </c:tx>
          <c:cat>
            <c:strRef>
              <c:f>'estatística'!$C$1:$M$1</c:f>
            </c:strRef>
          </c:cat>
          <c:val>
            <c:numRef>
              <c:f>'estatística'!$C$711:$M$711</c:f>
              <c:numCache/>
            </c:numRef>
          </c:val>
        </c:ser>
        <c:ser>
          <c:idx val="710"/>
          <c:order val="710"/>
          <c:tx>
            <c:strRef>
              <c:f>'estatística'!$B$712</c:f>
            </c:strRef>
          </c:tx>
          <c:cat>
            <c:strRef>
              <c:f>'estatística'!$C$1:$M$1</c:f>
            </c:strRef>
          </c:cat>
          <c:val>
            <c:numRef>
              <c:f>'estatística'!$C$712:$M$712</c:f>
              <c:numCache/>
            </c:numRef>
          </c:val>
        </c:ser>
        <c:ser>
          <c:idx val="711"/>
          <c:order val="711"/>
          <c:tx>
            <c:strRef>
              <c:f>'estatística'!$B$713</c:f>
            </c:strRef>
          </c:tx>
          <c:cat>
            <c:strRef>
              <c:f>'estatística'!$C$1:$M$1</c:f>
            </c:strRef>
          </c:cat>
          <c:val>
            <c:numRef>
              <c:f>'estatística'!$C$713:$M$713</c:f>
              <c:numCache/>
            </c:numRef>
          </c:val>
        </c:ser>
        <c:ser>
          <c:idx val="712"/>
          <c:order val="712"/>
          <c:tx>
            <c:strRef>
              <c:f>'estatística'!$B$714</c:f>
            </c:strRef>
          </c:tx>
          <c:cat>
            <c:strRef>
              <c:f>'estatística'!$C$1:$M$1</c:f>
            </c:strRef>
          </c:cat>
          <c:val>
            <c:numRef>
              <c:f>'estatística'!$C$714:$M$714</c:f>
              <c:numCache/>
            </c:numRef>
          </c:val>
        </c:ser>
        <c:ser>
          <c:idx val="713"/>
          <c:order val="713"/>
          <c:tx>
            <c:strRef>
              <c:f>'estatística'!$B$715</c:f>
            </c:strRef>
          </c:tx>
          <c:cat>
            <c:strRef>
              <c:f>'estatística'!$C$1:$M$1</c:f>
            </c:strRef>
          </c:cat>
          <c:val>
            <c:numRef>
              <c:f>'estatística'!$C$715:$M$715</c:f>
              <c:numCache/>
            </c:numRef>
          </c:val>
        </c:ser>
        <c:ser>
          <c:idx val="714"/>
          <c:order val="714"/>
          <c:tx>
            <c:strRef>
              <c:f>'estatística'!$B$716</c:f>
            </c:strRef>
          </c:tx>
          <c:cat>
            <c:strRef>
              <c:f>'estatística'!$C$1:$M$1</c:f>
            </c:strRef>
          </c:cat>
          <c:val>
            <c:numRef>
              <c:f>'estatística'!$C$716:$M$716</c:f>
              <c:numCache/>
            </c:numRef>
          </c:val>
        </c:ser>
        <c:ser>
          <c:idx val="715"/>
          <c:order val="715"/>
          <c:tx>
            <c:strRef>
              <c:f>'estatística'!$B$717</c:f>
            </c:strRef>
          </c:tx>
          <c:cat>
            <c:strRef>
              <c:f>'estatística'!$C$1:$M$1</c:f>
            </c:strRef>
          </c:cat>
          <c:val>
            <c:numRef>
              <c:f>'estatística'!$C$717:$M$717</c:f>
              <c:numCache/>
            </c:numRef>
          </c:val>
        </c:ser>
        <c:ser>
          <c:idx val="716"/>
          <c:order val="716"/>
          <c:tx>
            <c:strRef>
              <c:f>'estatística'!$B$718</c:f>
            </c:strRef>
          </c:tx>
          <c:cat>
            <c:strRef>
              <c:f>'estatística'!$C$1:$M$1</c:f>
            </c:strRef>
          </c:cat>
          <c:val>
            <c:numRef>
              <c:f>'estatística'!$C$718:$M$718</c:f>
              <c:numCache/>
            </c:numRef>
          </c:val>
        </c:ser>
        <c:ser>
          <c:idx val="717"/>
          <c:order val="717"/>
          <c:tx>
            <c:strRef>
              <c:f>'estatística'!$B$719</c:f>
            </c:strRef>
          </c:tx>
          <c:cat>
            <c:strRef>
              <c:f>'estatística'!$C$1:$M$1</c:f>
            </c:strRef>
          </c:cat>
          <c:val>
            <c:numRef>
              <c:f>'estatística'!$C$719:$M$719</c:f>
              <c:numCache/>
            </c:numRef>
          </c:val>
        </c:ser>
        <c:ser>
          <c:idx val="718"/>
          <c:order val="718"/>
          <c:tx>
            <c:strRef>
              <c:f>'estatística'!$B$720</c:f>
            </c:strRef>
          </c:tx>
          <c:cat>
            <c:strRef>
              <c:f>'estatística'!$C$1:$M$1</c:f>
            </c:strRef>
          </c:cat>
          <c:val>
            <c:numRef>
              <c:f>'estatística'!$C$720:$M$720</c:f>
              <c:numCache/>
            </c:numRef>
          </c:val>
        </c:ser>
        <c:ser>
          <c:idx val="719"/>
          <c:order val="719"/>
          <c:tx>
            <c:strRef>
              <c:f>'estatística'!$B$721</c:f>
            </c:strRef>
          </c:tx>
          <c:cat>
            <c:strRef>
              <c:f>'estatística'!$C$1:$M$1</c:f>
            </c:strRef>
          </c:cat>
          <c:val>
            <c:numRef>
              <c:f>'estatística'!$C$721:$M$721</c:f>
              <c:numCache/>
            </c:numRef>
          </c:val>
        </c:ser>
        <c:ser>
          <c:idx val="720"/>
          <c:order val="720"/>
          <c:tx>
            <c:strRef>
              <c:f>'estatística'!$B$722</c:f>
            </c:strRef>
          </c:tx>
          <c:cat>
            <c:strRef>
              <c:f>'estatística'!$C$1:$M$1</c:f>
            </c:strRef>
          </c:cat>
          <c:val>
            <c:numRef>
              <c:f>'estatística'!$C$722:$M$722</c:f>
              <c:numCache/>
            </c:numRef>
          </c:val>
        </c:ser>
        <c:ser>
          <c:idx val="721"/>
          <c:order val="721"/>
          <c:tx>
            <c:strRef>
              <c:f>'estatística'!$B$723</c:f>
            </c:strRef>
          </c:tx>
          <c:cat>
            <c:strRef>
              <c:f>'estatística'!$C$1:$M$1</c:f>
            </c:strRef>
          </c:cat>
          <c:val>
            <c:numRef>
              <c:f>'estatística'!$C$723:$M$723</c:f>
              <c:numCache/>
            </c:numRef>
          </c:val>
        </c:ser>
        <c:ser>
          <c:idx val="722"/>
          <c:order val="722"/>
          <c:tx>
            <c:strRef>
              <c:f>'estatística'!$B$724</c:f>
            </c:strRef>
          </c:tx>
          <c:cat>
            <c:strRef>
              <c:f>'estatística'!$C$1:$M$1</c:f>
            </c:strRef>
          </c:cat>
          <c:val>
            <c:numRef>
              <c:f>'estatística'!$C$724:$M$724</c:f>
              <c:numCache/>
            </c:numRef>
          </c:val>
        </c:ser>
        <c:ser>
          <c:idx val="723"/>
          <c:order val="723"/>
          <c:tx>
            <c:strRef>
              <c:f>'estatística'!$B$725</c:f>
            </c:strRef>
          </c:tx>
          <c:cat>
            <c:strRef>
              <c:f>'estatística'!$C$1:$M$1</c:f>
            </c:strRef>
          </c:cat>
          <c:val>
            <c:numRef>
              <c:f>'estatística'!$C$725:$M$725</c:f>
              <c:numCache/>
            </c:numRef>
          </c:val>
        </c:ser>
        <c:ser>
          <c:idx val="724"/>
          <c:order val="724"/>
          <c:tx>
            <c:strRef>
              <c:f>'estatística'!$B$726</c:f>
            </c:strRef>
          </c:tx>
          <c:cat>
            <c:strRef>
              <c:f>'estatística'!$C$1:$M$1</c:f>
            </c:strRef>
          </c:cat>
          <c:val>
            <c:numRef>
              <c:f>'estatística'!$C$726:$M$726</c:f>
              <c:numCache/>
            </c:numRef>
          </c:val>
        </c:ser>
        <c:ser>
          <c:idx val="725"/>
          <c:order val="725"/>
          <c:tx>
            <c:strRef>
              <c:f>'estatística'!$B$727</c:f>
            </c:strRef>
          </c:tx>
          <c:cat>
            <c:strRef>
              <c:f>'estatística'!$C$1:$M$1</c:f>
            </c:strRef>
          </c:cat>
          <c:val>
            <c:numRef>
              <c:f>'estatística'!$C$727:$M$727</c:f>
              <c:numCache/>
            </c:numRef>
          </c:val>
        </c:ser>
        <c:ser>
          <c:idx val="726"/>
          <c:order val="726"/>
          <c:tx>
            <c:strRef>
              <c:f>'estatística'!$B$728</c:f>
            </c:strRef>
          </c:tx>
          <c:cat>
            <c:strRef>
              <c:f>'estatística'!$C$1:$M$1</c:f>
            </c:strRef>
          </c:cat>
          <c:val>
            <c:numRef>
              <c:f>'estatística'!$C$728:$M$728</c:f>
              <c:numCache/>
            </c:numRef>
          </c:val>
        </c:ser>
        <c:ser>
          <c:idx val="727"/>
          <c:order val="727"/>
          <c:tx>
            <c:strRef>
              <c:f>'estatística'!$B$729</c:f>
            </c:strRef>
          </c:tx>
          <c:cat>
            <c:strRef>
              <c:f>'estatística'!$C$1:$M$1</c:f>
            </c:strRef>
          </c:cat>
          <c:val>
            <c:numRef>
              <c:f>'estatística'!$C$729:$M$729</c:f>
              <c:numCache/>
            </c:numRef>
          </c:val>
        </c:ser>
        <c:ser>
          <c:idx val="728"/>
          <c:order val="728"/>
          <c:tx>
            <c:strRef>
              <c:f>'estatística'!$B$730</c:f>
            </c:strRef>
          </c:tx>
          <c:cat>
            <c:strRef>
              <c:f>'estatística'!$C$1:$M$1</c:f>
            </c:strRef>
          </c:cat>
          <c:val>
            <c:numRef>
              <c:f>'estatística'!$C$730:$M$730</c:f>
              <c:numCache/>
            </c:numRef>
          </c:val>
        </c:ser>
        <c:ser>
          <c:idx val="729"/>
          <c:order val="729"/>
          <c:tx>
            <c:strRef>
              <c:f>'estatística'!$B$731</c:f>
            </c:strRef>
          </c:tx>
          <c:cat>
            <c:strRef>
              <c:f>'estatística'!$C$1:$M$1</c:f>
            </c:strRef>
          </c:cat>
          <c:val>
            <c:numRef>
              <c:f>'estatística'!$C$731:$M$731</c:f>
              <c:numCache/>
            </c:numRef>
          </c:val>
        </c:ser>
        <c:ser>
          <c:idx val="730"/>
          <c:order val="730"/>
          <c:tx>
            <c:strRef>
              <c:f>'estatística'!$B$732</c:f>
            </c:strRef>
          </c:tx>
          <c:cat>
            <c:strRef>
              <c:f>'estatística'!$C$1:$M$1</c:f>
            </c:strRef>
          </c:cat>
          <c:val>
            <c:numRef>
              <c:f>'estatística'!$C$732:$M$732</c:f>
              <c:numCache/>
            </c:numRef>
          </c:val>
        </c:ser>
        <c:ser>
          <c:idx val="731"/>
          <c:order val="731"/>
          <c:tx>
            <c:strRef>
              <c:f>'estatística'!$B$733</c:f>
            </c:strRef>
          </c:tx>
          <c:cat>
            <c:strRef>
              <c:f>'estatística'!$C$1:$M$1</c:f>
            </c:strRef>
          </c:cat>
          <c:val>
            <c:numRef>
              <c:f>'estatística'!$C$733:$M$733</c:f>
              <c:numCache/>
            </c:numRef>
          </c:val>
        </c:ser>
        <c:ser>
          <c:idx val="732"/>
          <c:order val="732"/>
          <c:tx>
            <c:strRef>
              <c:f>'estatística'!$B$734</c:f>
            </c:strRef>
          </c:tx>
          <c:cat>
            <c:strRef>
              <c:f>'estatística'!$C$1:$M$1</c:f>
            </c:strRef>
          </c:cat>
          <c:val>
            <c:numRef>
              <c:f>'estatística'!$C$734:$M$734</c:f>
              <c:numCache/>
            </c:numRef>
          </c:val>
        </c:ser>
        <c:ser>
          <c:idx val="733"/>
          <c:order val="733"/>
          <c:tx>
            <c:strRef>
              <c:f>'estatística'!$B$735</c:f>
            </c:strRef>
          </c:tx>
          <c:cat>
            <c:strRef>
              <c:f>'estatística'!$C$1:$M$1</c:f>
            </c:strRef>
          </c:cat>
          <c:val>
            <c:numRef>
              <c:f>'estatística'!$C$735:$M$735</c:f>
              <c:numCache/>
            </c:numRef>
          </c:val>
        </c:ser>
        <c:ser>
          <c:idx val="734"/>
          <c:order val="734"/>
          <c:tx>
            <c:strRef>
              <c:f>'estatística'!$B$736</c:f>
            </c:strRef>
          </c:tx>
          <c:cat>
            <c:strRef>
              <c:f>'estatística'!$C$1:$M$1</c:f>
            </c:strRef>
          </c:cat>
          <c:val>
            <c:numRef>
              <c:f>'estatística'!$C$736:$M$736</c:f>
              <c:numCache/>
            </c:numRef>
          </c:val>
        </c:ser>
        <c:ser>
          <c:idx val="735"/>
          <c:order val="735"/>
          <c:tx>
            <c:strRef>
              <c:f>'estatística'!$B$737</c:f>
            </c:strRef>
          </c:tx>
          <c:cat>
            <c:strRef>
              <c:f>'estatística'!$C$1:$M$1</c:f>
            </c:strRef>
          </c:cat>
          <c:val>
            <c:numRef>
              <c:f>'estatística'!$C$737:$M$737</c:f>
              <c:numCache/>
            </c:numRef>
          </c:val>
        </c:ser>
        <c:ser>
          <c:idx val="736"/>
          <c:order val="736"/>
          <c:tx>
            <c:strRef>
              <c:f>'estatística'!$B$738</c:f>
            </c:strRef>
          </c:tx>
          <c:cat>
            <c:strRef>
              <c:f>'estatística'!$C$1:$M$1</c:f>
            </c:strRef>
          </c:cat>
          <c:val>
            <c:numRef>
              <c:f>'estatística'!$C$738:$M$738</c:f>
              <c:numCache/>
            </c:numRef>
          </c:val>
        </c:ser>
        <c:ser>
          <c:idx val="737"/>
          <c:order val="737"/>
          <c:tx>
            <c:strRef>
              <c:f>'estatística'!$B$739</c:f>
            </c:strRef>
          </c:tx>
          <c:cat>
            <c:strRef>
              <c:f>'estatística'!$C$1:$M$1</c:f>
            </c:strRef>
          </c:cat>
          <c:val>
            <c:numRef>
              <c:f>'estatística'!$C$739:$M$739</c:f>
              <c:numCache/>
            </c:numRef>
          </c:val>
        </c:ser>
        <c:ser>
          <c:idx val="738"/>
          <c:order val="738"/>
          <c:tx>
            <c:strRef>
              <c:f>'estatística'!$B$740</c:f>
            </c:strRef>
          </c:tx>
          <c:cat>
            <c:strRef>
              <c:f>'estatística'!$C$1:$M$1</c:f>
            </c:strRef>
          </c:cat>
          <c:val>
            <c:numRef>
              <c:f>'estatística'!$C$740:$M$740</c:f>
              <c:numCache/>
            </c:numRef>
          </c:val>
        </c:ser>
        <c:ser>
          <c:idx val="739"/>
          <c:order val="739"/>
          <c:tx>
            <c:strRef>
              <c:f>'estatística'!$B$741</c:f>
            </c:strRef>
          </c:tx>
          <c:cat>
            <c:strRef>
              <c:f>'estatística'!$C$1:$M$1</c:f>
            </c:strRef>
          </c:cat>
          <c:val>
            <c:numRef>
              <c:f>'estatística'!$C$741:$M$741</c:f>
              <c:numCache/>
            </c:numRef>
          </c:val>
        </c:ser>
        <c:ser>
          <c:idx val="740"/>
          <c:order val="740"/>
          <c:tx>
            <c:strRef>
              <c:f>'estatística'!$B$742</c:f>
            </c:strRef>
          </c:tx>
          <c:cat>
            <c:strRef>
              <c:f>'estatística'!$C$1:$M$1</c:f>
            </c:strRef>
          </c:cat>
          <c:val>
            <c:numRef>
              <c:f>'estatística'!$C$742:$M$742</c:f>
              <c:numCache/>
            </c:numRef>
          </c:val>
        </c:ser>
        <c:ser>
          <c:idx val="741"/>
          <c:order val="741"/>
          <c:tx>
            <c:strRef>
              <c:f>'estatística'!$B$743</c:f>
            </c:strRef>
          </c:tx>
          <c:cat>
            <c:strRef>
              <c:f>'estatística'!$C$1:$M$1</c:f>
            </c:strRef>
          </c:cat>
          <c:val>
            <c:numRef>
              <c:f>'estatística'!$C$743:$M$743</c:f>
              <c:numCache/>
            </c:numRef>
          </c:val>
        </c:ser>
        <c:ser>
          <c:idx val="742"/>
          <c:order val="742"/>
          <c:tx>
            <c:strRef>
              <c:f>'estatística'!$B$744</c:f>
            </c:strRef>
          </c:tx>
          <c:cat>
            <c:strRef>
              <c:f>'estatística'!$C$1:$M$1</c:f>
            </c:strRef>
          </c:cat>
          <c:val>
            <c:numRef>
              <c:f>'estatística'!$C$744:$M$744</c:f>
              <c:numCache/>
            </c:numRef>
          </c:val>
        </c:ser>
        <c:ser>
          <c:idx val="743"/>
          <c:order val="743"/>
          <c:tx>
            <c:strRef>
              <c:f>'estatística'!$B$745</c:f>
            </c:strRef>
          </c:tx>
          <c:cat>
            <c:strRef>
              <c:f>'estatística'!$C$1:$M$1</c:f>
            </c:strRef>
          </c:cat>
          <c:val>
            <c:numRef>
              <c:f>'estatística'!$C$745:$M$745</c:f>
              <c:numCache/>
            </c:numRef>
          </c:val>
        </c:ser>
        <c:ser>
          <c:idx val="744"/>
          <c:order val="744"/>
          <c:tx>
            <c:strRef>
              <c:f>'estatística'!$B$746</c:f>
            </c:strRef>
          </c:tx>
          <c:cat>
            <c:strRef>
              <c:f>'estatística'!$C$1:$M$1</c:f>
            </c:strRef>
          </c:cat>
          <c:val>
            <c:numRef>
              <c:f>'estatística'!$C$746:$M$746</c:f>
              <c:numCache/>
            </c:numRef>
          </c:val>
        </c:ser>
        <c:ser>
          <c:idx val="745"/>
          <c:order val="745"/>
          <c:tx>
            <c:strRef>
              <c:f>'estatística'!$B$747</c:f>
            </c:strRef>
          </c:tx>
          <c:cat>
            <c:strRef>
              <c:f>'estatística'!$C$1:$M$1</c:f>
            </c:strRef>
          </c:cat>
          <c:val>
            <c:numRef>
              <c:f>'estatística'!$C$747:$M$747</c:f>
              <c:numCache/>
            </c:numRef>
          </c:val>
        </c:ser>
        <c:ser>
          <c:idx val="746"/>
          <c:order val="746"/>
          <c:tx>
            <c:strRef>
              <c:f>'estatística'!$B$748</c:f>
            </c:strRef>
          </c:tx>
          <c:cat>
            <c:strRef>
              <c:f>'estatística'!$C$1:$M$1</c:f>
            </c:strRef>
          </c:cat>
          <c:val>
            <c:numRef>
              <c:f>'estatística'!$C$748:$M$748</c:f>
              <c:numCache/>
            </c:numRef>
          </c:val>
        </c:ser>
        <c:ser>
          <c:idx val="747"/>
          <c:order val="747"/>
          <c:tx>
            <c:strRef>
              <c:f>'estatística'!$B$749</c:f>
            </c:strRef>
          </c:tx>
          <c:cat>
            <c:strRef>
              <c:f>'estatística'!$C$1:$M$1</c:f>
            </c:strRef>
          </c:cat>
          <c:val>
            <c:numRef>
              <c:f>'estatística'!$C$749:$M$749</c:f>
              <c:numCache/>
            </c:numRef>
          </c:val>
        </c:ser>
        <c:ser>
          <c:idx val="748"/>
          <c:order val="748"/>
          <c:tx>
            <c:strRef>
              <c:f>'estatística'!$B$750</c:f>
            </c:strRef>
          </c:tx>
          <c:cat>
            <c:strRef>
              <c:f>'estatística'!$C$1:$M$1</c:f>
            </c:strRef>
          </c:cat>
          <c:val>
            <c:numRef>
              <c:f>'estatística'!$C$750:$M$750</c:f>
              <c:numCache/>
            </c:numRef>
          </c:val>
        </c:ser>
        <c:ser>
          <c:idx val="749"/>
          <c:order val="749"/>
          <c:tx>
            <c:strRef>
              <c:f>'estatística'!$B$751</c:f>
            </c:strRef>
          </c:tx>
          <c:cat>
            <c:strRef>
              <c:f>'estatística'!$C$1:$M$1</c:f>
            </c:strRef>
          </c:cat>
          <c:val>
            <c:numRef>
              <c:f>'estatística'!$C$751:$M$751</c:f>
              <c:numCache/>
            </c:numRef>
          </c:val>
        </c:ser>
        <c:ser>
          <c:idx val="750"/>
          <c:order val="750"/>
          <c:tx>
            <c:strRef>
              <c:f>'estatística'!$B$752</c:f>
            </c:strRef>
          </c:tx>
          <c:cat>
            <c:strRef>
              <c:f>'estatística'!$C$1:$M$1</c:f>
            </c:strRef>
          </c:cat>
          <c:val>
            <c:numRef>
              <c:f>'estatística'!$C$752:$M$752</c:f>
              <c:numCache/>
            </c:numRef>
          </c:val>
        </c:ser>
        <c:ser>
          <c:idx val="751"/>
          <c:order val="751"/>
          <c:tx>
            <c:strRef>
              <c:f>'estatística'!$B$753</c:f>
            </c:strRef>
          </c:tx>
          <c:cat>
            <c:strRef>
              <c:f>'estatística'!$C$1:$M$1</c:f>
            </c:strRef>
          </c:cat>
          <c:val>
            <c:numRef>
              <c:f>'estatística'!$C$753:$M$753</c:f>
              <c:numCache/>
            </c:numRef>
          </c:val>
        </c:ser>
        <c:ser>
          <c:idx val="752"/>
          <c:order val="752"/>
          <c:tx>
            <c:strRef>
              <c:f>'estatística'!$B$754</c:f>
            </c:strRef>
          </c:tx>
          <c:cat>
            <c:strRef>
              <c:f>'estatística'!$C$1:$M$1</c:f>
            </c:strRef>
          </c:cat>
          <c:val>
            <c:numRef>
              <c:f>'estatística'!$C$754:$M$754</c:f>
              <c:numCache/>
            </c:numRef>
          </c:val>
        </c:ser>
        <c:ser>
          <c:idx val="753"/>
          <c:order val="753"/>
          <c:tx>
            <c:strRef>
              <c:f>'estatística'!$B$755</c:f>
            </c:strRef>
          </c:tx>
          <c:cat>
            <c:strRef>
              <c:f>'estatística'!$C$1:$M$1</c:f>
            </c:strRef>
          </c:cat>
          <c:val>
            <c:numRef>
              <c:f>'estatística'!$C$755:$M$755</c:f>
              <c:numCache/>
            </c:numRef>
          </c:val>
        </c:ser>
        <c:ser>
          <c:idx val="754"/>
          <c:order val="754"/>
          <c:tx>
            <c:strRef>
              <c:f>'estatística'!$B$756</c:f>
            </c:strRef>
          </c:tx>
          <c:cat>
            <c:strRef>
              <c:f>'estatística'!$C$1:$M$1</c:f>
            </c:strRef>
          </c:cat>
          <c:val>
            <c:numRef>
              <c:f>'estatística'!$C$756:$M$756</c:f>
              <c:numCache/>
            </c:numRef>
          </c:val>
        </c:ser>
        <c:ser>
          <c:idx val="755"/>
          <c:order val="755"/>
          <c:tx>
            <c:strRef>
              <c:f>'estatística'!$B$757</c:f>
            </c:strRef>
          </c:tx>
          <c:cat>
            <c:strRef>
              <c:f>'estatística'!$C$1:$M$1</c:f>
            </c:strRef>
          </c:cat>
          <c:val>
            <c:numRef>
              <c:f>'estatística'!$C$757:$M$757</c:f>
              <c:numCache/>
            </c:numRef>
          </c:val>
        </c:ser>
        <c:ser>
          <c:idx val="756"/>
          <c:order val="756"/>
          <c:tx>
            <c:strRef>
              <c:f>'estatística'!$B$758</c:f>
            </c:strRef>
          </c:tx>
          <c:cat>
            <c:strRef>
              <c:f>'estatística'!$C$1:$M$1</c:f>
            </c:strRef>
          </c:cat>
          <c:val>
            <c:numRef>
              <c:f>'estatística'!$C$758:$M$758</c:f>
              <c:numCache/>
            </c:numRef>
          </c:val>
        </c:ser>
        <c:ser>
          <c:idx val="757"/>
          <c:order val="757"/>
          <c:tx>
            <c:strRef>
              <c:f>'estatística'!$B$759</c:f>
            </c:strRef>
          </c:tx>
          <c:cat>
            <c:strRef>
              <c:f>'estatística'!$C$1:$M$1</c:f>
            </c:strRef>
          </c:cat>
          <c:val>
            <c:numRef>
              <c:f>'estatística'!$C$759:$M$759</c:f>
              <c:numCache/>
            </c:numRef>
          </c:val>
        </c:ser>
        <c:ser>
          <c:idx val="758"/>
          <c:order val="758"/>
          <c:tx>
            <c:strRef>
              <c:f>'estatística'!$B$760</c:f>
            </c:strRef>
          </c:tx>
          <c:cat>
            <c:strRef>
              <c:f>'estatística'!$C$1:$M$1</c:f>
            </c:strRef>
          </c:cat>
          <c:val>
            <c:numRef>
              <c:f>'estatística'!$C$760:$M$760</c:f>
              <c:numCache/>
            </c:numRef>
          </c:val>
        </c:ser>
        <c:ser>
          <c:idx val="759"/>
          <c:order val="759"/>
          <c:tx>
            <c:strRef>
              <c:f>'estatística'!$B$761</c:f>
            </c:strRef>
          </c:tx>
          <c:cat>
            <c:strRef>
              <c:f>'estatística'!$C$1:$M$1</c:f>
            </c:strRef>
          </c:cat>
          <c:val>
            <c:numRef>
              <c:f>'estatística'!$C$761:$M$761</c:f>
              <c:numCache/>
            </c:numRef>
          </c:val>
        </c:ser>
        <c:ser>
          <c:idx val="760"/>
          <c:order val="760"/>
          <c:tx>
            <c:strRef>
              <c:f>'estatística'!$B$762</c:f>
            </c:strRef>
          </c:tx>
          <c:cat>
            <c:strRef>
              <c:f>'estatística'!$C$1:$M$1</c:f>
            </c:strRef>
          </c:cat>
          <c:val>
            <c:numRef>
              <c:f>'estatística'!$C$762:$M$762</c:f>
              <c:numCache/>
            </c:numRef>
          </c:val>
        </c:ser>
        <c:ser>
          <c:idx val="761"/>
          <c:order val="761"/>
          <c:tx>
            <c:strRef>
              <c:f>'estatística'!$B$763</c:f>
            </c:strRef>
          </c:tx>
          <c:cat>
            <c:strRef>
              <c:f>'estatística'!$C$1:$M$1</c:f>
            </c:strRef>
          </c:cat>
          <c:val>
            <c:numRef>
              <c:f>'estatística'!$C$763:$M$763</c:f>
              <c:numCache/>
            </c:numRef>
          </c:val>
        </c:ser>
        <c:ser>
          <c:idx val="762"/>
          <c:order val="762"/>
          <c:tx>
            <c:strRef>
              <c:f>'estatística'!$B$764</c:f>
            </c:strRef>
          </c:tx>
          <c:cat>
            <c:strRef>
              <c:f>'estatística'!$C$1:$M$1</c:f>
            </c:strRef>
          </c:cat>
          <c:val>
            <c:numRef>
              <c:f>'estatística'!$C$764:$M$764</c:f>
              <c:numCache/>
            </c:numRef>
          </c:val>
        </c:ser>
        <c:ser>
          <c:idx val="763"/>
          <c:order val="763"/>
          <c:tx>
            <c:strRef>
              <c:f>'estatística'!$B$765</c:f>
            </c:strRef>
          </c:tx>
          <c:cat>
            <c:strRef>
              <c:f>'estatística'!$C$1:$M$1</c:f>
            </c:strRef>
          </c:cat>
          <c:val>
            <c:numRef>
              <c:f>'estatística'!$C$765:$M$765</c:f>
              <c:numCache/>
            </c:numRef>
          </c:val>
        </c:ser>
        <c:ser>
          <c:idx val="764"/>
          <c:order val="764"/>
          <c:tx>
            <c:strRef>
              <c:f>'estatística'!$B$766</c:f>
            </c:strRef>
          </c:tx>
          <c:cat>
            <c:strRef>
              <c:f>'estatística'!$C$1:$M$1</c:f>
            </c:strRef>
          </c:cat>
          <c:val>
            <c:numRef>
              <c:f>'estatística'!$C$766:$M$766</c:f>
              <c:numCache/>
            </c:numRef>
          </c:val>
        </c:ser>
        <c:ser>
          <c:idx val="765"/>
          <c:order val="765"/>
          <c:tx>
            <c:strRef>
              <c:f>'estatística'!$B$767</c:f>
            </c:strRef>
          </c:tx>
          <c:cat>
            <c:strRef>
              <c:f>'estatística'!$C$1:$M$1</c:f>
            </c:strRef>
          </c:cat>
          <c:val>
            <c:numRef>
              <c:f>'estatística'!$C$767:$M$767</c:f>
              <c:numCache/>
            </c:numRef>
          </c:val>
        </c:ser>
        <c:ser>
          <c:idx val="766"/>
          <c:order val="766"/>
          <c:tx>
            <c:strRef>
              <c:f>'estatística'!$B$768</c:f>
            </c:strRef>
          </c:tx>
          <c:cat>
            <c:strRef>
              <c:f>'estatística'!$C$1:$M$1</c:f>
            </c:strRef>
          </c:cat>
          <c:val>
            <c:numRef>
              <c:f>'estatística'!$C$768:$M$768</c:f>
              <c:numCache/>
            </c:numRef>
          </c:val>
        </c:ser>
        <c:ser>
          <c:idx val="767"/>
          <c:order val="767"/>
          <c:tx>
            <c:strRef>
              <c:f>'estatística'!$B$769</c:f>
            </c:strRef>
          </c:tx>
          <c:cat>
            <c:strRef>
              <c:f>'estatística'!$C$1:$M$1</c:f>
            </c:strRef>
          </c:cat>
          <c:val>
            <c:numRef>
              <c:f>'estatística'!$C$769:$M$769</c:f>
              <c:numCache/>
            </c:numRef>
          </c:val>
        </c:ser>
        <c:ser>
          <c:idx val="768"/>
          <c:order val="768"/>
          <c:tx>
            <c:strRef>
              <c:f>'estatística'!$B$770</c:f>
            </c:strRef>
          </c:tx>
          <c:cat>
            <c:strRef>
              <c:f>'estatística'!$C$1:$M$1</c:f>
            </c:strRef>
          </c:cat>
          <c:val>
            <c:numRef>
              <c:f>'estatística'!$C$770:$M$770</c:f>
              <c:numCache/>
            </c:numRef>
          </c:val>
        </c:ser>
        <c:ser>
          <c:idx val="769"/>
          <c:order val="769"/>
          <c:tx>
            <c:strRef>
              <c:f>'estatística'!$B$771</c:f>
            </c:strRef>
          </c:tx>
          <c:cat>
            <c:strRef>
              <c:f>'estatística'!$C$1:$M$1</c:f>
            </c:strRef>
          </c:cat>
          <c:val>
            <c:numRef>
              <c:f>'estatística'!$C$771:$M$771</c:f>
              <c:numCache/>
            </c:numRef>
          </c:val>
        </c:ser>
        <c:ser>
          <c:idx val="770"/>
          <c:order val="770"/>
          <c:tx>
            <c:strRef>
              <c:f>'estatística'!$B$772</c:f>
            </c:strRef>
          </c:tx>
          <c:cat>
            <c:strRef>
              <c:f>'estatística'!$C$1:$M$1</c:f>
            </c:strRef>
          </c:cat>
          <c:val>
            <c:numRef>
              <c:f>'estatística'!$C$772:$M$772</c:f>
              <c:numCache/>
            </c:numRef>
          </c:val>
        </c:ser>
        <c:ser>
          <c:idx val="771"/>
          <c:order val="771"/>
          <c:tx>
            <c:strRef>
              <c:f>'estatística'!$B$773</c:f>
            </c:strRef>
          </c:tx>
          <c:cat>
            <c:strRef>
              <c:f>'estatística'!$C$1:$M$1</c:f>
            </c:strRef>
          </c:cat>
          <c:val>
            <c:numRef>
              <c:f>'estatística'!$C$773:$M$773</c:f>
              <c:numCache/>
            </c:numRef>
          </c:val>
        </c:ser>
        <c:ser>
          <c:idx val="772"/>
          <c:order val="772"/>
          <c:tx>
            <c:strRef>
              <c:f>'estatística'!$B$774</c:f>
            </c:strRef>
          </c:tx>
          <c:cat>
            <c:strRef>
              <c:f>'estatística'!$C$1:$M$1</c:f>
            </c:strRef>
          </c:cat>
          <c:val>
            <c:numRef>
              <c:f>'estatística'!$C$774:$M$774</c:f>
              <c:numCache/>
            </c:numRef>
          </c:val>
        </c:ser>
        <c:ser>
          <c:idx val="773"/>
          <c:order val="773"/>
          <c:tx>
            <c:strRef>
              <c:f>'estatística'!$B$775</c:f>
            </c:strRef>
          </c:tx>
          <c:cat>
            <c:strRef>
              <c:f>'estatística'!$C$1:$M$1</c:f>
            </c:strRef>
          </c:cat>
          <c:val>
            <c:numRef>
              <c:f>'estatística'!$C$775:$M$775</c:f>
              <c:numCache/>
            </c:numRef>
          </c:val>
        </c:ser>
        <c:ser>
          <c:idx val="774"/>
          <c:order val="774"/>
          <c:tx>
            <c:strRef>
              <c:f>'estatística'!$B$776</c:f>
            </c:strRef>
          </c:tx>
          <c:cat>
            <c:strRef>
              <c:f>'estatística'!$C$1:$M$1</c:f>
            </c:strRef>
          </c:cat>
          <c:val>
            <c:numRef>
              <c:f>'estatística'!$C$776:$M$776</c:f>
              <c:numCache/>
            </c:numRef>
          </c:val>
        </c:ser>
        <c:ser>
          <c:idx val="775"/>
          <c:order val="775"/>
          <c:tx>
            <c:strRef>
              <c:f>'estatística'!$B$777</c:f>
            </c:strRef>
          </c:tx>
          <c:cat>
            <c:strRef>
              <c:f>'estatística'!$C$1:$M$1</c:f>
            </c:strRef>
          </c:cat>
          <c:val>
            <c:numRef>
              <c:f>'estatística'!$C$777:$M$777</c:f>
              <c:numCache/>
            </c:numRef>
          </c:val>
        </c:ser>
        <c:ser>
          <c:idx val="776"/>
          <c:order val="776"/>
          <c:tx>
            <c:strRef>
              <c:f>'estatística'!$B$778</c:f>
            </c:strRef>
          </c:tx>
          <c:cat>
            <c:strRef>
              <c:f>'estatística'!$C$1:$M$1</c:f>
            </c:strRef>
          </c:cat>
          <c:val>
            <c:numRef>
              <c:f>'estatística'!$C$778:$M$778</c:f>
              <c:numCache/>
            </c:numRef>
          </c:val>
        </c:ser>
        <c:ser>
          <c:idx val="777"/>
          <c:order val="777"/>
          <c:tx>
            <c:strRef>
              <c:f>'estatística'!$B$779</c:f>
            </c:strRef>
          </c:tx>
          <c:cat>
            <c:strRef>
              <c:f>'estatística'!$C$1:$M$1</c:f>
            </c:strRef>
          </c:cat>
          <c:val>
            <c:numRef>
              <c:f>'estatística'!$C$779:$M$779</c:f>
              <c:numCache/>
            </c:numRef>
          </c:val>
        </c:ser>
        <c:ser>
          <c:idx val="778"/>
          <c:order val="778"/>
          <c:tx>
            <c:strRef>
              <c:f>'estatística'!$B$780</c:f>
            </c:strRef>
          </c:tx>
          <c:cat>
            <c:strRef>
              <c:f>'estatística'!$C$1:$M$1</c:f>
            </c:strRef>
          </c:cat>
          <c:val>
            <c:numRef>
              <c:f>'estatística'!$C$780:$M$780</c:f>
              <c:numCache/>
            </c:numRef>
          </c:val>
        </c:ser>
        <c:ser>
          <c:idx val="779"/>
          <c:order val="779"/>
          <c:tx>
            <c:strRef>
              <c:f>'estatística'!$B$781</c:f>
            </c:strRef>
          </c:tx>
          <c:cat>
            <c:strRef>
              <c:f>'estatística'!$C$1:$M$1</c:f>
            </c:strRef>
          </c:cat>
          <c:val>
            <c:numRef>
              <c:f>'estatística'!$C$781:$M$781</c:f>
              <c:numCache/>
            </c:numRef>
          </c:val>
        </c:ser>
        <c:ser>
          <c:idx val="780"/>
          <c:order val="780"/>
          <c:tx>
            <c:strRef>
              <c:f>'estatística'!$B$782</c:f>
            </c:strRef>
          </c:tx>
          <c:cat>
            <c:strRef>
              <c:f>'estatística'!$C$1:$M$1</c:f>
            </c:strRef>
          </c:cat>
          <c:val>
            <c:numRef>
              <c:f>'estatística'!$C$782:$M$782</c:f>
              <c:numCache/>
            </c:numRef>
          </c:val>
        </c:ser>
        <c:ser>
          <c:idx val="781"/>
          <c:order val="781"/>
          <c:tx>
            <c:strRef>
              <c:f>'estatística'!$B$783</c:f>
            </c:strRef>
          </c:tx>
          <c:cat>
            <c:strRef>
              <c:f>'estatística'!$C$1:$M$1</c:f>
            </c:strRef>
          </c:cat>
          <c:val>
            <c:numRef>
              <c:f>'estatística'!$C$783:$M$783</c:f>
              <c:numCache/>
            </c:numRef>
          </c:val>
        </c:ser>
        <c:ser>
          <c:idx val="782"/>
          <c:order val="782"/>
          <c:tx>
            <c:strRef>
              <c:f>'estatística'!$B$784</c:f>
            </c:strRef>
          </c:tx>
          <c:cat>
            <c:strRef>
              <c:f>'estatística'!$C$1:$M$1</c:f>
            </c:strRef>
          </c:cat>
          <c:val>
            <c:numRef>
              <c:f>'estatística'!$C$784:$M$784</c:f>
              <c:numCache/>
            </c:numRef>
          </c:val>
        </c:ser>
        <c:ser>
          <c:idx val="783"/>
          <c:order val="783"/>
          <c:tx>
            <c:strRef>
              <c:f>'estatística'!$B$785</c:f>
            </c:strRef>
          </c:tx>
          <c:cat>
            <c:strRef>
              <c:f>'estatística'!$C$1:$M$1</c:f>
            </c:strRef>
          </c:cat>
          <c:val>
            <c:numRef>
              <c:f>'estatística'!$C$785:$M$785</c:f>
              <c:numCache/>
            </c:numRef>
          </c:val>
        </c:ser>
        <c:ser>
          <c:idx val="784"/>
          <c:order val="784"/>
          <c:tx>
            <c:strRef>
              <c:f>'estatística'!$B$786</c:f>
            </c:strRef>
          </c:tx>
          <c:cat>
            <c:strRef>
              <c:f>'estatística'!$C$1:$M$1</c:f>
            </c:strRef>
          </c:cat>
          <c:val>
            <c:numRef>
              <c:f>'estatística'!$C$786:$M$786</c:f>
              <c:numCache/>
            </c:numRef>
          </c:val>
        </c:ser>
        <c:ser>
          <c:idx val="785"/>
          <c:order val="785"/>
          <c:tx>
            <c:strRef>
              <c:f>'estatística'!$B$787</c:f>
            </c:strRef>
          </c:tx>
          <c:cat>
            <c:strRef>
              <c:f>'estatística'!$C$1:$M$1</c:f>
            </c:strRef>
          </c:cat>
          <c:val>
            <c:numRef>
              <c:f>'estatística'!$C$787:$M$787</c:f>
              <c:numCache/>
            </c:numRef>
          </c:val>
        </c:ser>
        <c:ser>
          <c:idx val="786"/>
          <c:order val="786"/>
          <c:tx>
            <c:strRef>
              <c:f>'estatística'!$B$788</c:f>
            </c:strRef>
          </c:tx>
          <c:cat>
            <c:strRef>
              <c:f>'estatística'!$C$1:$M$1</c:f>
            </c:strRef>
          </c:cat>
          <c:val>
            <c:numRef>
              <c:f>'estatística'!$C$788:$M$788</c:f>
              <c:numCache/>
            </c:numRef>
          </c:val>
        </c:ser>
        <c:ser>
          <c:idx val="787"/>
          <c:order val="787"/>
          <c:tx>
            <c:strRef>
              <c:f>'estatística'!$B$789</c:f>
            </c:strRef>
          </c:tx>
          <c:cat>
            <c:strRef>
              <c:f>'estatística'!$C$1:$M$1</c:f>
            </c:strRef>
          </c:cat>
          <c:val>
            <c:numRef>
              <c:f>'estatística'!$C$789:$M$789</c:f>
              <c:numCache/>
            </c:numRef>
          </c:val>
        </c:ser>
        <c:ser>
          <c:idx val="788"/>
          <c:order val="788"/>
          <c:tx>
            <c:strRef>
              <c:f>'estatística'!$B$790</c:f>
            </c:strRef>
          </c:tx>
          <c:cat>
            <c:strRef>
              <c:f>'estatística'!$C$1:$M$1</c:f>
            </c:strRef>
          </c:cat>
          <c:val>
            <c:numRef>
              <c:f>'estatística'!$C$790:$M$790</c:f>
              <c:numCache/>
            </c:numRef>
          </c:val>
        </c:ser>
        <c:ser>
          <c:idx val="789"/>
          <c:order val="789"/>
          <c:tx>
            <c:strRef>
              <c:f>'estatística'!$B$791</c:f>
            </c:strRef>
          </c:tx>
          <c:cat>
            <c:strRef>
              <c:f>'estatística'!$C$1:$M$1</c:f>
            </c:strRef>
          </c:cat>
          <c:val>
            <c:numRef>
              <c:f>'estatística'!$C$791:$M$791</c:f>
              <c:numCache/>
            </c:numRef>
          </c:val>
        </c:ser>
        <c:ser>
          <c:idx val="790"/>
          <c:order val="790"/>
          <c:tx>
            <c:strRef>
              <c:f>'estatística'!$B$792</c:f>
            </c:strRef>
          </c:tx>
          <c:cat>
            <c:strRef>
              <c:f>'estatística'!$C$1:$M$1</c:f>
            </c:strRef>
          </c:cat>
          <c:val>
            <c:numRef>
              <c:f>'estatística'!$C$792:$M$792</c:f>
              <c:numCache/>
            </c:numRef>
          </c:val>
        </c:ser>
        <c:ser>
          <c:idx val="791"/>
          <c:order val="791"/>
          <c:tx>
            <c:strRef>
              <c:f>'estatística'!$B$793</c:f>
            </c:strRef>
          </c:tx>
          <c:cat>
            <c:strRef>
              <c:f>'estatística'!$C$1:$M$1</c:f>
            </c:strRef>
          </c:cat>
          <c:val>
            <c:numRef>
              <c:f>'estatística'!$C$793:$M$793</c:f>
              <c:numCache/>
            </c:numRef>
          </c:val>
        </c:ser>
        <c:ser>
          <c:idx val="792"/>
          <c:order val="792"/>
          <c:tx>
            <c:strRef>
              <c:f>'estatística'!$B$794</c:f>
            </c:strRef>
          </c:tx>
          <c:cat>
            <c:strRef>
              <c:f>'estatística'!$C$1:$M$1</c:f>
            </c:strRef>
          </c:cat>
          <c:val>
            <c:numRef>
              <c:f>'estatística'!$C$794:$M$794</c:f>
              <c:numCache/>
            </c:numRef>
          </c:val>
        </c:ser>
        <c:ser>
          <c:idx val="793"/>
          <c:order val="793"/>
          <c:tx>
            <c:strRef>
              <c:f>'estatística'!$B$795</c:f>
            </c:strRef>
          </c:tx>
          <c:cat>
            <c:strRef>
              <c:f>'estatística'!$C$1:$M$1</c:f>
            </c:strRef>
          </c:cat>
          <c:val>
            <c:numRef>
              <c:f>'estatística'!$C$795:$M$795</c:f>
              <c:numCache/>
            </c:numRef>
          </c:val>
        </c:ser>
        <c:ser>
          <c:idx val="794"/>
          <c:order val="794"/>
          <c:tx>
            <c:strRef>
              <c:f>'estatística'!$B$796</c:f>
            </c:strRef>
          </c:tx>
          <c:cat>
            <c:strRef>
              <c:f>'estatística'!$C$1:$M$1</c:f>
            </c:strRef>
          </c:cat>
          <c:val>
            <c:numRef>
              <c:f>'estatística'!$C$796:$M$796</c:f>
              <c:numCache/>
            </c:numRef>
          </c:val>
        </c:ser>
        <c:ser>
          <c:idx val="795"/>
          <c:order val="795"/>
          <c:tx>
            <c:strRef>
              <c:f>'estatística'!$B$797</c:f>
            </c:strRef>
          </c:tx>
          <c:cat>
            <c:strRef>
              <c:f>'estatística'!$C$1:$M$1</c:f>
            </c:strRef>
          </c:cat>
          <c:val>
            <c:numRef>
              <c:f>'estatística'!$C$797:$M$797</c:f>
              <c:numCache/>
            </c:numRef>
          </c:val>
        </c:ser>
        <c:ser>
          <c:idx val="796"/>
          <c:order val="796"/>
          <c:tx>
            <c:strRef>
              <c:f>'estatística'!$B$798</c:f>
            </c:strRef>
          </c:tx>
          <c:cat>
            <c:strRef>
              <c:f>'estatística'!$C$1:$M$1</c:f>
            </c:strRef>
          </c:cat>
          <c:val>
            <c:numRef>
              <c:f>'estatística'!$C$798:$M$798</c:f>
              <c:numCache/>
            </c:numRef>
          </c:val>
        </c:ser>
        <c:ser>
          <c:idx val="797"/>
          <c:order val="797"/>
          <c:tx>
            <c:strRef>
              <c:f>'estatística'!$B$799</c:f>
            </c:strRef>
          </c:tx>
          <c:cat>
            <c:strRef>
              <c:f>'estatística'!$C$1:$M$1</c:f>
            </c:strRef>
          </c:cat>
          <c:val>
            <c:numRef>
              <c:f>'estatística'!$C$799:$M$799</c:f>
              <c:numCache/>
            </c:numRef>
          </c:val>
        </c:ser>
        <c:ser>
          <c:idx val="798"/>
          <c:order val="798"/>
          <c:tx>
            <c:strRef>
              <c:f>'estatística'!$B$800</c:f>
            </c:strRef>
          </c:tx>
          <c:cat>
            <c:strRef>
              <c:f>'estatística'!$C$1:$M$1</c:f>
            </c:strRef>
          </c:cat>
          <c:val>
            <c:numRef>
              <c:f>'estatística'!$C$800:$M$800</c:f>
              <c:numCache/>
            </c:numRef>
          </c:val>
        </c:ser>
        <c:ser>
          <c:idx val="799"/>
          <c:order val="799"/>
          <c:tx>
            <c:strRef>
              <c:f>'estatística'!$B$801</c:f>
            </c:strRef>
          </c:tx>
          <c:cat>
            <c:strRef>
              <c:f>'estatística'!$C$1:$M$1</c:f>
            </c:strRef>
          </c:cat>
          <c:val>
            <c:numRef>
              <c:f>'estatística'!$C$801:$M$801</c:f>
              <c:numCache/>
            </c:numRef>
          </c:val>
        </c:ser>
        <c:ser>
          <c:idx val="800"/>
          <c:order val="800"/>
          <c:tx>
            <c:strRef>
              <c:f>'estatística'!$B$802</c:f>
            </c:strRef>
          </c:tx>
          <c:cat>
            <c:strRef>
              <c:f>'estatística'!$C$1:$M$1</c:f>
            </c:strRef>
          </c:cat>
          <c:val>
            <c:numRef>
              <c:f>'estatística'!$C$802:$M$802</c:f>
              <c:numCache/>
            </c:numRef>
          </c:val>
        </c:ser>
        <c:ser>
          <c:idx val="801"/>
          <c:order val="801"/>
          <c:tx>
            <c:strRef>
              <c:f>'estatística'!$B$803</c:f>
            </c:strRef>
          </c:tx>
          <c:cat>
            <c:strRef>
              <c:f>'estatística'!$C$1:$M$1</c:f>
            </c:strRef>
          </c:cat>
          <c:val>
            <c:numRef>
              <c:f>'estatística'!$C$803:$M$803</c:f>
              <c:numCache/>
            </c:numRef>
          </c:val>
        </c:ser>
        <c:ser>
          <c:idx val="802"/>
          <c:order val="802"/>
          <c:tx>
            <c:strRef>
              <c:f>'estatística'!$B$804</c:f>
            </c:strRef>
          </c:tx>
          <c:cat>
            <c:strRef>
              <c:f>'estatística'!$C$1:$M$1</c:f>
            </c:strRef>
          </c:cat>
          <c:val>
            <c:numRef>
              <c:f>'estatística'!$C$804:$M$804</c:f>
              <c:numCache/>
            </c:numRef>
          </c:val>
        </c:ser>
        <c:ser>
          <c:idx val="803"/>
          <c:order val="803"/>
          <c:tx>
            <c:strRef>
              <c:f>'estatística'!$B$805</c:f>
            </c:strRef>
          </c:tx>
          <c:cat>
            <c:strRef>
              <c:f>'estatística'!$C$1:$M$1</c:f>
            </c:strRef>
          </c:cat>
          <c:val>
            <c:numRef>
              <c:f>'estatística'!$C$805:$M$805</c:f>
              <c:numCache/>
            </c:numRef>
          </c:val>
        </c:ser>
        <c:ser>
          <c:idx val="804"/>
          <c:order val="804"/>
          <c:tx>
            <c:strRef>
              <c:f>'estatística'!$B$806</c:f>
            </c:strRef>
          </c:tx>
          <c:cat>
            <c:strRef>
              <c:f>'estatística'!$C$1:$M$1</c:f>
            </c:strRef>
          </c:cat>
          <c:val>
            <c:numRef>
              <c:f>'estatística'!$C$806:$M$806</c:f>
              <c:numCache/>
            </c:numRef>
          </c:val>
        </c:ser>
        <c:ser>
          <c:idx val="805"/>
          <c:order val="805"/>
          <c:tx>
            <c:strRef>
              <c:f>'estatística'!$B$807</c:f>
            </c:strRef>
          </c:tx>
          <c:cat>
            <c:strRef>
              <c:f>'estatística'!$C$1:$M$1</c:f>
            </c:strRef>
          </c:cat>
          <c:val>
            <c:numRef>
              <c:f>'estatística'!$C$807:$M$807</c:f>
              <c:numCache/>
            </c:numRef>
          </c:val>
        </c:ser>
        <c:ser>
          <c:idx val="806"/>
          <c:order val="806"/>
          <c:tx>
            <c:strRef>
              <c:f>'estatística'!$B$808</c:f>
            </c:strRef>
          </c:tx>
          <c:cat>
            <c:strRef>
              <c:f>'estatística'!$C$1:$M$1</c:f>
            </c:strRef>
          </c:cat>
          <c:val>
            <c:numRef>
              <c:f>'estatística'!$C$808:$M$808</c:f>
              <c:numCache/>
            </c:numRef>
          </c:val>
        </c:ser>
        <c:ser>
          <c:idx val="807"/>
          <c:order val="807"/>
          <c:tx>
            <c:strRef>
              <c:f>'estatística'!$B$809</c:f>
            </c:strRef>
          </c:tx>
          <c:cat>
            <c:strRef>
              <c:f>'estatística'!$C$1:$M$1</c:f>
            </c:strRef>
          </c:cat>
          <c:val>
            <c:numRef>
              <c:f>'estatística'!$C$809:$M$809</c:f>
              <c:numCache/>
            </c:numRef>
          </c:val>
        </c:ser>
        <c:ser>
          <c:idx val="808"/>
          <c:order val="808"/>
          <c:tx>
            <c:strRef>
              <c:f>'estatística'!$B$810</c:f>
            </c:strRef>
          </c:tx>
          <c:cat>
            <c:strRef>
              <c:f>'estatística'!$C$1:$M$1</c:f>
            </c:strRef>
          </c:cat>
          <c:val>
            <c:numRef>
              <c:f>'estatística'!$C$810:$M$810</c:f>
              <c:numCache/>
            </c:numRef>
          </c:val>
        </c:ser>
        <c:ser>
          <c:idx val="809"/>
          <c:order val="809"/>
          <c:tx>
            <c:strRef>
              <c:f>'estatística'!$B$811</c:f>
            </c:strRef>
          </c:tx>
          <c:cat>
            <c:strRef>
              <c:f>'estatística'!$C$1:$M$1</c:f>
            </c:strRef>
          </c:cat>
          <c:val>
            <c:numRef>
              <c:f>'estatística'!$C$811:$M$811</c:f>
              <c:numCache/>
            </c:numRef>
          </c:val>
        </c:ser>
        <c:ser>
          <c:idx val="810"/>
          <c:order val="810"/>
          <c:tx>
            <c:strRef>
              <c:f>'estatística'!$B$812</c:f>
            </c:strRef>
          </c:tx>
          <c:cat>
            <c:strRef>
              <c:f>'estatística'!$C$1:$M$1</c:f>
            </c:strRef>
          </c:cat>
          <c:val>
            <c:numRef>
              <c:f>'estatística'!$C$812:$M$812</c:f>
              <c:numCache/>
            </c:numRef>
          </c:val>
        </c:ser>
        <c:ser>
          <c:idx val="811"/>
          <c:order val="811"/>
          <c:tx>
            <c:strRef>
              <c:f>'estatística'!$B$813</c:f>
            </c:strRef>
          </c:tx>
          <c:cat>
            <c:strRef>
              <c:f>'estatística'!$C$1:$M$1</c:f>
            </c:strRef>
          </c:cat>
          <c:val>
            <c:numRef>
              <c:f>'estatística'!$C$813:$M$813</c:f>
              <c:numCache/>
            </c:numRef>
          </c:val>
        </c:ser>
        <c:ser>
          <c:idx val="812"/>
          <c:order val="812"/>
          <c:tx>
            <c:strRef>
              <c:f>'estatística'!$B$814</c:f>
            </c:strRef>
          </c:tx>
          <c:cat>
            <c:strRef>
              <c:f>'estatística'!$C$1:$M$1</c:f>
            </c:strRef>
          </c:cat>
          <c:val>
            <c:numRef>
              <c:f>'estatística'!$C$814:$M$814</c:f>
              <c:numCache/>
            </c:numRef>
          </c:val>
        </c:ser>
        <c:ser>
          <c:idx val="813"/>
          <c:order val="813"/>
          <c:tx>
            <c:strRef>
              <c:f>'estatística'!$B$815</c:f>
            </c:strRef>
          </c:tx>
          <c:cat>
            <c:strRef>
              <c:f>'estatística'!$C$1:$M$1</c:f>
            </c:strRef>
          </c:cat>
          <c:val>
            <c:numRef>
              <c:f>'estatística'!$C$815:$M$815</c:f>
              <c:numCache/>
            </c:numRef>
          </c:val>
        </c:ser>
        <c:ser>
          <c:idx val="814"/>
          <c:order val="814"/>
          <c:tx>
            <c:strRef>
              <c:f>'estatística'!$B$816</c:f>
            </c:strRef>
          </c:tx>
          <c:cat>
            <c:strRef>
              <c:f>'estatística'!$C$1:$M$1</c:f>
            </c:strRef>
          </c:cat>
          <c:val>
            <c:numRef>
              <c:f>'estatística'!$C$816:$M$816</c:f>
              <c:numCache/>
            </c:numRef>
          </c:val>
        </c:ser>
        <c:ser>
          <c:idx val="815"/>
          <c:order val="815"/>
          <c:tx>
            <c:strRef>
              <c:f>'estatística'!$B$817</c:f>
            </c:strRef>
          </c:tx>
          <c:cat>
            <c:strRef>
              <c:f>'estatística'!$C$1:$M$1</c:f>
            </c:strRef>
          </c:cat>
          <c:val>
            <c:numRef>
              <c:f>'estatística'!$C$817:$M$817</c:f>
              <c:numCache/>
            </c:numRef>
          </c:val>
        </c:ser>
        <c:ser>
          <c:idx val="816"/>
          <c:order val="816"/>
          <c:tx>
            <c:strRef>
              <c:f>'estatística'!$B$818</c:f>
            </c:strRef>
          </c:tx>
          <c:cat>
            <c:strRef>
              <c:f>'estatística'!$C$1:$M$1</c:f>
            </c:strRef>
          </c:cat>
          <c:val>
            <c:numRef>
              <c:f>'estatística'!$C$818:$M$818</c:f>
              <c:numCache/>
            </c:numRef>
          </c:val>
        </c:ser>
        <c:ser>
          <c:idx val="817"/>
          <c:order val="817"/>
          <c:tx>
            <c:strRef>
              <c:f>'estatística'!$B$819</c:f>
            </c:strRef>
          </c:tx>
          <c:cat>
            <c:strRef>
              <c:f>'estatística'!$C$1:$M$1</c:f>
            </c:strRef>
          </c:cat>
          <c:val>
            <c:numRef>
              <c:f>'estatística'!$C$819:$M$819</c:f>
              <c:numCache/>
            </c:numRef>
          </c:val>
        </c:ser>
        <c:ser>
          <c:idx val="818"/>
          <c:order val="818"/>
          <c:tx>
            <c:strRef>
              <c:f>'estatística'!$B$820</c:f>
            </c:strRef>
          </c:tx>
          <c:cat>
            <c:strRef>
              <c:f>'estatística'!$C$1:$M$1</c:f>
            </c:strRef>
          </c:cat>
          <c:val>
            <c:numRef>
              <c:f>'estatística'!$C$820:$M$820</c:f>
              <c:numCache/>
            </c:numRef>
          </c:val>
        </c:ser>
        <c:ser>
          <c:idx val="819"/>
          <c:order val="819"/>
          <c:tx>
            <c:strRef>
              <c:f>'estatística'!$B$821</c:f>
            </c:strRef>
          </c:tx>
          <c:cat>
            <c:strRef>
              <c:f>'estatística'!$C$1:$M$1</c:f>
            </c:strRef>
          </c:cat>
          <c:val>
            <c:numRef>
              <c:f>'estatística'!$C$821:$M$821</c:f>
              <c:numCache/>
            </c:numRef>
          </c:val>
        </c:ser>
        <c:ser>
          <c:idx val="820"/>
          <c:order val="820"/>
          <c:tx>
            <c:strRef>
              <c:f>'estatística'!$B$822</c:f>
            </c:strRef>
          </c:tx>
          <c:cat>
            <c:strRef>
              <c:f>'estatística'!$C$1:$M$1</c:f>
            </c:strRef>
          </c:cat>
          <c:val>
            <c:numRef>
              <c:f>'estatística'!$C$822:$M$822</c:f>
              <c:numCache/>
            </c:numRef>
          </c:val>
        </c:ser>
        <c:ser>
          <c:idx val="821"/>
          <c:order val="821"/>
          <c:tx>
            <c:strRef>
              <c:f>'estatística'!$B$823</c:f>
            </c:strRef>
          </c:tx>
          <c:cat>
            <c:strRef>
              <c:f>'estatística'!$C$1:$M$1</c:f>
            </c:strRef>
          </c:cat>
          <c:val>
            <c:numRef>
              <c:f>'estatística'!$C$823:$M$823</c:f>
              <c:numCache/>
            </c:numRef>
          </c:val>
        </c:ser>
        <c:ser>
          <c:idx val="822"/>
          <c:order val="822"/>
          <c:tx>
            <c:strRef>
              <c:f>'estatística'!$B$824</c:f>
            </c:strRef>
          </c:tx>
          <c:cat>
            <c:strRef>
              <c:f>'estatística'!$C$1:$M$1</c:f>
            </c:strRef>
          </c:cat>
          <c:val>
            <c:numRef>
              <c:f>'estatística'!$C$824:$M$824</c:f>
              <c:numCache/>
            </c:numRef>
          </c:val>
        </c:ser>
        <c:ser>
          <c:idx val="823"/>
          <c:order val="823"/>
          <c:tx>
            <c:strRef>
              <c:f>'estatística'!$B$825</c:f>
            </c:strRef>
          </c:tx>
          <c:cat>
            <c:strRef>
              <c:f>'estatística'!$C$1:$M$1</c:f>
            </c:strRef>
          </c:cat>
          <c:val>
            <c:numRef>
              <c:f>'estatística'!$C$825:$M$825</c:f>
              <c:numCache/>
            </c:numRef>
          </c:val>
        </c:ser>
        <c:ser>
          <c:idx val="824"/>
          <c:order val="824"/>
          <c:tx>
            <c:strRef>
              <c:f>'estatística'!$B$826</c:f>
            </c:strRef>
          </c:tx>
          <c:cat>
            <c:strRef>
              <c:f>'estatística'!$C$1:$M$1</c:f>
            </c:strRef>
          </c:cat>
          <c:val>
            <c:numRef>
              <c:f>'estatística'!$C$826:$M$826</c:f>
              <c:numCache/>
            </c:numRef>
          </c:val>
        </c:ser>
        <c:ser>
          <c:idx val="825"/>
          <c:order val="825"/>
          <c:tx>
            <c:strRef>
              <c:f>'estatística'!$B$827</c:f>
            </c:strRef>
          </c:tx>
          <c:cat>
            <c:strRef>
              <c:f>'estatística'!$C$1:$M$1</c:f>
            </c:strRef>
          </c:cat>
          <c:val>
            <c:numRef>
              <c:f>'estatística'!$C$827:$M$827</c:f>
              <c:numCache/>
            </c:numRef>
          </c:val>
        </c:ser>
        <c:ser>
          <c:idx val="826"/>
          <c:order val="826"/>
          <c:tx>
            <c:strRef>
              <c:f>'estatística'!$B$828</c:f>
            </c:strRef>
          </c:tx>
          <c:cat>
            <c:strRef>
              <c:f>'estatística'!$C$1:$M$1</c:f>
            </c:strRef>
          </c:cat>
          <c:val>
            <c:numRef>
              <c:f>'estatística'!$C$828:$M$828</c:f>
              <c:numCache/>
            </c:numRef>
          </c:val>
        </c:ser>
        <c:ser>
          <c:idx val="827"/>
          <c:order val="827"/>
          <c:tx>
            <c:strRef>
              <c:f>'estatística'!$B$829</c:f>
            </c:strRef>
          </c:tx>
          <c:cat>
            <c:strRef>
              <c:f>'estatística'!$C$1:$M$1</c:f>
            </c:strRef>
          </c:cat>
          <c:val>
            <c:numRef>
              <c:f>'estatística'!$C$829:$M$829</c:f>
              <c:numCache/>
            </c:numRef>
          </c:val>
        </c:ser>
        <c:ser>
          <c:idx val="828"/>
          <c:order val="828"/>
          <c:tx>
            <c:strRef>
              <c:f>'estatística'!$B$830</c:f>
            </c:strRef>
          </c:tx>
          <c:cat>
            <c:strRef>
              <c:f>'estatística'!$C$1:$M$1</c:f>
            </c:strRef>
          </c:cat>
          <c:val>
            <c:numRef>
              <c:f>'estatística'!$C$830:$M$830</c:f>
              <c:numCache/>
            </c:numRef>
          </c:val>
        </c:ser>
        <c:ser>
          <c:idx val="829"/>
          <c:order val="829"/>
          <c:tx>
            <c:strRef>
              <c:f>'estatística'!$B$831</c:f>
            </c:strRef>
          </c:tx>
          <c:cat>
            <c:strRef>
              <c:f>'estatística'!$C$1:$M$1</c:f>
            </c:strRef>
          </c:cat>
          <c:val>
            <c:numRef>
              <c:f>'estatística'!$C$831:$M$831</c:f>
              <c:numCache/>
            </c:numRef>
          </c:val>
        </c:ser>
        <c:ser>
          <c:idx val="830"/>
          <c:order val="830"/>
          <c:tx>
            <c:strRef>
              <c:f>'estatística'!$B$832</c:f>
            </c:strRef>
          </c:tx>
          <c:cat>
            <c:strRef>
              <c:f>'estatística'!$C$1:$M$1</c:f>
            </c:strRef>
          </c:cat>
          <c:val>
            <c:numRef>
              <c:f>'estatística'!$C$832:$M$832</c:f>
              <c:numCache/>
            </c:numRef>
          </c:val>
        </c:ser>
        <c:ser>
          <c:idx val="831"/>
          <c:order val="831"/>
          <c:tx>
            <c:strRef>
              <c:f>'estatística'!$B$833</c:f>
            </c:strRef>
          </c:tx>
          <c:cat>
            <c:strRef>
              <c:f>'estatística'!$C$1:$M$1</c:f>
            </c:strRef>
          </c:cat>
          <c:val>
            <c:numRef>
              <c:f>'estatística'!$C$833:$M$833</c:f>
              <c:numCache/>
            </c:numRef>
          </c:val>
        </c:ser>
        <c:ser>
          <c:idx val="832"/>
          <c:order val="832"/>
          <c:tx>
            <c:strRef>
              <c:f>'estatística'!$B$834</c:f>
            </c:strRef>
          </c:tx>
          <c:cat>
            <c:strRef>
              <c:f>'estatística'!$C$1:$M$1</c:f>
            </c:strRef>
          </c:cat>
          <c:val>
            <c:numRef>
              <c:f>'estatística'!$C$834:$M$834</c:f>
              <c:numCache/>
            </c:numRef>
          </c:val>
        </c:ser>
        <c:ser>
          <c:idx val="833"/>
          <c:order val="833"/>
          <c:tx>
            <c:strRef>
              <c:f>'estatística'!$B$835</c:f>
            </c:strRef>
          </c:tx>
          <c:cat>
            <c:strRef>
              <c:f>'estatística'!$C$1:$M$1</c:f>
            </c:strRef>
          </c:cat>
          <c:val>
            <c:numRef>
              <c:f>'estatística'!$C$835:$M$835</c:f>
              <c:numCache/>
            </c:numRef>
          </c:val>
        </c:ser>
        <c:ser>
          <c:idx val="834"/>
          <c:order val="834"/>
          <c:tx>
            <c:strRef>
              <c:f>'estatística'!$B$836</c:f>
            </c:strRef>
          </c:tx>
          <c:cat>
            <c:strRef>
              <c:f>'estatística'!$C$1:$M$1</c:f>
            </c:strRef>
          </c:cat>
          <c:val>
            <c:numRef>
              <c:f>'estatística'!$C$836:$M$836</c:f>
              <c:numCache/>
            </c:numRef>
          </c:val>
        </c:ser>
        <c:ser>
          <c:idx val="835"/>
          <c:order val="835"/>
          <c:tx>
            <c:strRef>
              <c:f>'estatística'!$B$837</c:f>
            </c:strRef>
          </c:tx>
          <c:cat>
            <c:strRef>
              <c:f>'estatística'!$C$1:$M$1</c:f>
            </c:strRef>
          </c:cat>
          <c:val>
            <c:numRef>
              <c:f>'estatística'!$C$837:$M$837</c:f>
              <c:numCache/>
            </c:numRef>
          </c:val>
        </c:ser>
        <c:ser>
          <c:idx val="836"/>
          <c:order val="836"/>
          <c:tx>
            <c:strRef>
              <c:f>'estatística'!$B$838</c:f>
            </c:strRef>
          </c:tx>
          <c:cat>
            <c:strRef>
              <c:f>'estatística'!$C$1:$M$1</c:f>
            </c:strRef>
          </c:cat>
          <c:val>
            <c:numRef>
              <c:f>'estatística'!$C$838:$M$838</c:f>
              <c:numCache/>
            </c:numRef>
          </c:val>
        </c:ser>
        <c:ser>
          <c:idx val="837"/>
          <c:order val="837"/>
          <c:tx>
            <c:strRef>
              <c:f>'estatística'!$B$839</c:f>
            </c:strRef>
          </c:tx>
          <c:cat>
            <c:strRef>
              <c:f>'estatística'!$C$1:$M$1</c:f>
            </c:strRef>
          </c:cat>
          <c:val>
            <c:numRef>
              <c:f>'estatística'!$C$839:$M$839</c:f>
              <c:numCache/>
            </c:numRef>
          </c:val>
        </c:ser>
        <c:ser>
          <c:idx val="838"/>
          <c:order val="838"/>
          <c:tx>
            <c:strRef>
              <c:f>'estatística'!$B$840</c:f>
            </c:strRef>
          </c:tx>
          <c:cat>
            <c:strRef>
              <c:f>'estatística'!$C$1:$M$1</c:f>
            </c:strRef>
          </c:cat>
          <c:val>
            <c:numRef>
              <c:f>'estatística'!$C$840:$M$840</c:f>
              <c:numCache/>
            </c:numRef>
          </c:val>
        </c:ser>
        <c:ser>
          <c:idx val="839"/>
          <c:order val="839"/>
          <c:tx>
            <c:strRef>
              <c:f>'estatística'!$B$841</c:f>
            </c:strRef>
          </c:tx>
          <c:cat>
            <c:strRef>
              <c:f>'estatística'!$C$1:$M$1</c:f>
            </c:strRef>
          </c:cat>
          <c:val>
            <c:numRef>
              <c:f>'estatística'!$C$841:$M$841</c:f>
              <c:numCache/>
            </c:numRef>
          </c:val>
        </c:ser>
        <c:ser>
          <c:idx val="840"/>
          <c:order val="840"/>
          <c:tx>
            <c:strRef>
              <c:f>'estatística'!$B$842</c:f>
            </c:strRef>
          </c:tx>
          <c:cat>
            <c:strRef>
              <c:f>'estatística'!$C$1:$M$1</c:f>
            </c:strRef>
          </c:cat>
          <c:val>
            <c:numRef>
              <c:f>'estatística'!$C$842:$M$842</c:f>
              <c:numCache/>
            </c:numRef>
          </c:val>
        </c:ser>
        <c:ser>
          <c:idx val="841"/>
          <c:order val="841"/>
          <c:tx>
            <c:strRef>
              <c:f>'estatística'!$B$843</c:f>
            </c:strRef>
          </c:tx>
          <c:cat>
            <c:strRef>
              <c:f>'estatística'!$C$1:$M$1</c:f>
            </c:strRef>
          </c:cat>
          <c:val>
            <c:numRef>
              <c:f>'estatística'!$C$843:$M$843</c:f>
              <c:numCache/>
            </c:numRef>
          </c:val>
        </c:ser>
        <c:ser>
          <c:idx val="842"/>
          <c:order val="842"/>
          <c:tx>
            <c:strRef>
              <c:f>'estatística'!$B$844</c:f>
            </c:strRef>
          </c:tx>
          <c:cat>
            <c:strRef>
              <c:f>'estatística'!$C$1:$M$1</c:f>
            </c:strRef>
          </c:cat>
          <c:val>
            <c:numRef>
              <c:f>'estatística'!$C$844:$M$844</c:f>
              <c:numCache/>
            </c:numRef>
          </c:val>
        </c:ser>
        <c:ser>
          <c:idx val="843"/>
          <c:order val="843"/>
          <c:tx>
            <c:strRef>
              <c:f>'estatística'!$B$845</c:f>
            </c:strRef>
          </c:tx>
          <c:cat>
            <c:strRef>
              <c:f>'estatística'!$C$1:$M$1</c:f>
            </c:strRef>
          </c:cat>
          <c:val>
            <c:numRef>
              <c:f>'estatística'!$C$845:$M$845</c:f>
              <c:numCache/>
            </c:numRef>
          </c:val>
        </c:ser>
        <c:ser>
          <c:idx val="844"/>
          <c:order val="844"/>
          <c:tx>
            <c:strRef>
              <c:f>'estatística'!$B$846</c:f>
            </c:strRef>
          </c:tx>
          <c:cat>
            <c:strRef>
              <c:f>'estatística'!$C$1:$M$1</c:f>
            </c:strRef>
          </c:cat>
          <c:val>
            <c:numRef>
              <c:f>'estatística'!$C$846:$M$846</c:f>
              <c:numCache/>
            </c:numRef>
          </c:val>
        </c:ser>
        <c:ser>
          <c:idx val="845"/>
          <c:order val="845"/>
          <c:tx>
            <c:strRef>
              <c:f>'estatística'!$B$847</c:f>
            </c:strRef>
          </c:tx>
          <c:cat>
            <c:strRef>
              <c:f>'estatística'!$C$1:$M$1</c:f>
            </c:strRef>
          </c:cat>
          <c:val>
            <c:numRef>
              <c:f>'estatística'!$C$847:$M$847</c:f>
              <c:numCache/>
            </c:numRef>
          </c:val>
        </c:ser>
        <c:ser>
          <c:idx val="846"/>
          <c:order val="846"/>
          <c:tx>
            <c:strRef>
              <c:f>'estatística'!$B$848</c:f>
            </c:strRef>
          </c:tx>
          <c:cat>
            <c:strRef>
              <c:f>'estatística'!$C$1:$M$1</c:f>
            </c:strRef>
          </c:cat>
          <c:val>
            <c:numRef>
              <c:f>'estatística'!$C$848:$M$848</c:f>
              <c:numCache/>
            </c:numRef>
          </c:val>
        </c:ser>
        <c:ser>
          <c:idx val="847"/>
          <c:order val="847"/>
          <c:tx>
            <c:strRef>
              <c:f>'estatística'!$B$849</c:f>
            </c:strRef>
          </c:tx>
          <c:cat>
            <c:strRef>
              <c:f>'estatística'!$C$1:$M$1</c:f>
            </c:strRef>
          </c:cat>
          <c:val>
            <c:numRef>
              <c:f>'estatística'!$C$849:$M$849</c:f>
              <c:numCache/>
            </c:numRef>
          </c:val>
        </c:ser>
        <c:ser>
          <c:idx val="848"/>
          <c:order val="848"/>
          <c:tx>
            <c:strRef>
              <c:f>'estatística'!$B$850</c:f>
            </c:strRef>
          </c:tx>
          <c:cat>
            <c:strRef>
              <c:f>'estatística'!$C$1:$M$1</c:f>
            </c:strRef>
          </c:cat>
          <c:val>
            <c:numRef>
              <c:f>'estatística'!$C$850:$M$850</c:f>
              <c:numCache/>
            </c:numRef>
          </c:val>
        </c:ser>
        <c:ser>
          <c:idx val="849"/>
          <c:order val="849"/>
          <c:tx>
            <c:strRef>
              <c:f>'estatística'!$B$851</c:f>
            </c:strRef>
          </c:tx>
          <c:cat>
            <c:strRef>
              <c:f>'estatística'!$C$1:$M$1</c:f>
            </c:strRef>
          </c:cat>
          <c:val>
            <c:numRef>
              <c:f>'estatística'!$C$851:$M$851</c:f>
              <c:numCache/>
            </c:numRef>
          </c:val>
        </c:ser>
        <c:ser>
          <c:idx val="850"/>
          <c:order val="850"/>
          <c:tx>
            <c:strRef>
              <c:f>'estatística'!$B$852</c:f>
            </c:strRef>
          </c:tx>
          <c:cat>
            <c:strRef>
              <c:f>'estatística'!$C$1:$M$1</c:f>
            </c:strRef>
          </c:cat>
          <c:val>
            <c:numRef>
              <c:f>'estatística'!$C$852:$M$852</c:f>
              <c:numCache/>
            </c:numRef>
          </c:val>
        </c:ser>
        <c:ser>
          <c:idx val="851"/>
          <c:order val="851"/>
          <c:tx>
            <c:strRef>
              <c:f>'estatística'!$B$853</c:f>
            </c:strRef>
          </c:tx>
          <c:cat>
            <c:strRef>
              <c:f>'estatística'!$C$1:$M$1</c:f>
            </c:strRef>
          </c:cat>
          <c:val>
            <c:numRef>
              <c:f>'estatística'!$C$853:$M$853</c:f>
              <c:numCache/>
            </c:numRef>
          </c:val>
        </c:ser>
        <c:ser>
          <c:idx val="852"/>
          <c:order val="852"/>
          <c:tx>
            <c:strRef>
              <c:f>'estatística'!$B$854</c:f>
            </c:strRef>
          </c:tx>
          <c:cat>
            <c:strRef>
              <c:f>'estatística'!$C$1:$M$1</c:f>
            </c:strRef>
          </c:cat>
          <c:val>
            <c:numRef>
              <c:f>'estatística'!$C$854:$M$854</c:f>
              <c:numCache/>
            </c:numRef>
          </c:val>
        </c:ser>
        <c:ser>
          <c:idx val="853"/>
          <c:order val="853"/>
          <c:tx>
            <c:strRef>
              <c:f>'estatística'!$B$855</c:f>
            </c:strRef>
          </c:tx>
          <c:cat>
            <c:strRef>
              <c:f>'estatística'!$C$1:$M$1</c:f>
            </c:strRef>
          </c:cat>
          <c:val>
            <c:numRef>
              <c:f>'estatística'!$C$855:$M$855</c:f>
              <c:numCache/>
            </c:numRef>
          </c:val>
        </c:ser>
        <c:ser>
          <c:idx val="854"/>
          <c:order val="854"/>
          <c:tx>
            <c:strRef>
              <c:f>'estatística'!$B$856</c:f>
            </c:strRef>
          </c:tx>
          <c:cat>
            <c:strRef>
              <c:f>'estatística'!$C$1:$M$1</c:f>
            </c:strRef>
          </c:cat>
          <c:val>
            <c:numRef>
              <c:f>'estatística'!$C$856:$M$856</c:f>
              <c:numCache/>
            </c:numRef>
          </c:val>
        </c:ser>
        <c:ser>
          <c:idx val="855"/>
          <c:order val="855"/>
          <c:tx>
            <c:strRef>
              <c:f>'estatística'!$B$857</c:f>
            </c:strRef>
          </c:tx>
          <c:cat>
            <c:strRef>
              <c:f>'estatística'!$C$1:$M$1</c:f>
            </c:strRef>
          </c:cat>
          <c:val>
            <c:numRef>
              <c:f>'estatística'!$C$857:$M$857</c:f>
              <c:numCache/>
            </c:numRef>
          </c:val>
        </c:ser>
        <c:ser>
          <c:idx val="856"/>
          <c:order val="856"/>
          <c:tx>
            <c:strRef>
              <c:f>'estatística'!$B$858</c:f>
            </c:strRef>
          </c:tx>
          <c:cat>
            <c:strRef>
              <c:f>'estatística'!$C$1:$M$1</c:f>
            </c:strRef>
          </c:cat>
          <c:val>
            <c:numRef>
              <c:f>'estatística'!$C$858:$M$858</c:f>
              <c:numCache/>
            </c:numRef>
          </c:val>
        </c:ser>
        <c:ser>
          <c:idx val="857"/>
          <c:order val="857"/>
          <c:tx>
            <c:strRef>
              <c:f>'estatística'!$B$859</c:f>
            </c:strRef>
          </c:tx>
          <c:cat>
            <c:strRef>
              <c:f>'estatística'!$C$1:$M$1</c:f>
            </c:strRef>
          </c:cat>
          <c:val>
            <c:numRef>
              <c:f>'estatística'!$C$859:$M$859</c:f>
              <c:numCache/>
            </c:numRef>
          </c:val>
        </c:ser>
        <c:ser>
          <c:idx val="858"/>
          <c:order val="858"/>
          <c:tx>
            <c:strRef>
              <c:f>'estatística'!$B$860</c:f>
            </c:strRef>
          </c:tx>
          <c:cat>
            <c:strRef>
              <c:f>'estatística'!$C$1:$M$1</c:f>
            </c:strRef>
          </c:cat>
          <c:val>
            <c:numRef>
              <c:f>'estatística'!$C$860:$M$860</c:f>
              <c:numCache/>
            </c:numRef>
          </c:val>
        </c:ser>
        <c:ser>
          <c:idx val="859"/>
          <c:order val="859"/>
          <c:tx>
            <c:strRef>
              <c:f>'estatística'!$B$861</c:f>
            </c:strRef>
          </c:tx>
          <c:cat>
            <c:strRef>
              <c:f>'estatística'!$C$1:$M$1</c:f>
            </c:strRef>
          </c:cat>
          <c:val>
            <c:numRef>
              <c:f>'estatística'!$C$861:$M$861</c:f>
              <c:numCache/>
            </c:numRef>
          </c:val>
        </c:ser>
        <c:ser>
          <c:idx val="860"/>
          <c:order val="860"/>
          <c:tx>
            <c:strRef>
              <c:f>'estatística'!$B$862</c:f>
            </c:strRef>
          </c:tx>
          <c:cat>
            <c:strRef>
              <c:f>'estatística'!$C$1:$M$1</c:f>
            </c:strRef>
          </c:cat>
          <c:val>
            <c:numRef>
              <c:f>'estatística'!$C$862:$M$862</c:f>
              <c:numCache/>
            </c:numRef>
          </c:val>
        </c:ser>
        <c:ser>
          <c:idx val="861"/>
          <c:order val="861"/>
          <c:tx>
            <c:strRef>
              <c:f>'estatística'!$B$863</c:f>
            </c:strRef>
          </c:tx>
          <c:cat>
            <c:strRef>
              <c:f>'estatística'!$C$1:$M$1</c:f>
            </c:strRef>
          </c:cat>
          <c:val>
            <c:numRef>
              <c:f>'estatística'!$C$863:$M$863</c:f>
              <c:numCache/>
            </c:numRef>
          </c:val>
        </c:ser>
        <c:ser>
          <c:idx val="862"/>
          <c:order val="862"/>
          <c:tx>
            <c:strRef>
              <c:f>'estatística'!$B$864</c:f>
            </c:strRef>
          </c:tx>
          <c:cat>
            <c:strRef>
              <c:f>'estatística'!$C$1:$M$1</c:f>
            </c:strRef>
          </c:cat>
          <c:val>
            <c:numRef>
              <c:f>'estatística'!$C$864:$M$864</c:f>
              <c:numCache/>
            </c:numRef>
          </c:val>
        </c:ser>
        <c:ser>
          <c:idx val="863"/>
          <c:order val="863"/>
          <c:tx>
            <c:strRef>
              <c:f>'estatística'!$B$865</c:f>
            </c:strRef>
          </c:tx>
          <c:cat>
            <c:strRef>
              <c:f>'estatística'!$C$1:$M$1</c:f>
            </c:strRef>
          </c:cat>
          <c:val>
            <c:numRef>
              <c:f>'estatística'!$C$865:$M$865</c:f>
              <c:numCache/>
            </c:numRef>
          </c:val>
        </c:ser>
        <c:ser>
          <c:idx val="864"/>
          <c:order val="864"/>
          <c:tx>
            <c:strRef>
              <c:f>'estatística'!$B$866</c:f>
            </c:strRef>
          </c:tx>
          <c:cat>
            <c:strRef>
              <c:f>'estatística'!$C$1:$M$1</c:f>
            </c:strRef>
          </c:cat>
          <c:val>
            <c:numRef>
              <c:f>'estatística'!$C$866:$M$866</c:f>
              <c:numCache/>
            </c:numRef>
          </c:val>
        </c:ser>
        <c:ser>
          <c:idx val="865"/>
          <c:order val="865"/>
          <c:tx>
            <c:strRef>
              <c:f>'estatística'!$B$867</c:f>
            </c:strRef>
          </c:tx>
          <c:cat>
            <c:strRef>
              <c:f>'estatística'!$C$1:$M$1</c:f>
            </c:strRef>
          </c:cat>
          <c:val>
            <c:numRef>
              <c:f>'estatística'!$C$867:$M$867</c:f>
              <c:numCache/>
            </c:numRef>
          </c:val>
        </c:ser>
        <c:ser>
          <c:idx val="866"/>
          <c:order val="866"/>
          <c:tx>
            <c:strRef>
              <c:f>'estatística'!$B$868</c:f>
            </c:strRef>
          </c:tx>
          <c:cat>
            <c:strRef>
              <c:f>'estatística'!$C$1:$M$1</c:f>
            </c:strRef>
          </c:cat>
          <c:val>
            <c:numRef>
              <c:f>'estatística'!$C$868:$M$868</c:f>
              <c:numCache/>
            </c:numRef>
          </c:val>
        </c:ser>
        <c:ser>
          <c:idx val="867"/>
          <c:order val="867"/>
          <c:tx>
            <c:strRef>
              <c:f>'estatística'!$B$869</c:f>
            </c:strRef>
          </c:tx>
          <c:cat>
            <c:strRef>
              <c:f>'estatística'!$C$1:$M$1</c:f>
            </c:strRef>
          </c:cat>
          <c:val>
            <c:numRef>
              <c:f>'estatística'!$C$869:$M$869</c:f>
              <c:numCache/>
            </c:numRef>
          </c:val>
        </c:ser>
        <c:ser>
          <c:idx val="868"/>
          <c:order val="868"/>
          <c:tx>
            <c:strRef>
              <c:f>'estatística'!$B$870</c:f>
            </c:strRef>
          </c:tx>
          <c:cat>
            <c:strRef>
              <c:f>'estatística'!$C$1:$M$1</c:f>
            </c:strRef>
          </c:cat>
          <c:val>
            <c:numRef>
              <c:f>'estatística'!$C$870:$M$870</c:f>
              <c:numCache/>
            </c:numRef>
          </c:val>
        </c:ser>
        <c:ser>
          <c:idx val="869"/>
          <c:order val="869"/>
          <c:tx>
            <c:strRef>
              <c:f>'estatística'!$B$871</c:f>
            </c:strRef>
          </c:tx>
          <c:cat>
            <c:strRef>
              <c:f>'estatística'!$C$1:$M$1</c:f>
            </c:strRef>
          </c:cat>
          <c:val>
            <c:numRef>
              <c:f>'estatística'!$C$871:$M$871</c:f>
              <c:numCache/>
            </c:numRef>
          </c:val>
        </c:ser>
        <c:ser>
          <c:idx val="870"/>
          <c:order val="870"/>
          <c:tx>
            <c:strRef>
              <c:f>'estatística'!$B$872</c:f>
            </c:strRef>
          </c:tx>
          <c:cat>
            <c:strRef>
              <c:f>'estatística'!$C$1:$M$1</c:f>
            </c:strRef>
          </c:cat>
          <c:val>
            <c:numRef>
              <c:f>'estatística'!$C$872:$M$872</c:f>
              <c:numCache/>
            </c:numRef>
          </c:val>
        </c:ser>
        <c:ser>
          <c:idx val="871"/>
          <c:order val="871"/>
          <c:tx>
            <c:strRef>
              <c:f>'estatística'!$B$873</c:f>
            </c:strRef>
          </c:tx>
          <c:cat>
            <c:strRef>
              <c:f>'estatística'!$C$1:$M$1</c:f>
            </c:strRef>
          </c:cat>
          <c:val>
            <c:numRef>
              <c:f>'estatística'!$C$873:$M$873</c:f>
              <c:numCache/>
            </c:numRef>
          </c:val>
        </c:ser>
        <c:ser>
          <c:idx val="872"/>
          <c:order val="872"/>
          <c:tx>
            <c:strRef>
              <c:f>'estatística'!$B$874</c:f>
            </c:strRef>
          </c:tx>
          <c:cat>
            <c:strRef>
              <c:f>'estatística'!$C$1:$M$1</c:f>
            </c:strRef>
          </c:cat>
          <c:val>
            <c:numRef>
              <c:f>'estatística'!$C$874:$M$874</c:f>
              <c:numCache/>
            </c:numRef>
          </c:val>
        </c:ser>
        <c:ser>
          <c:idx val="873"/>
          <c:order val="873"/>
          <c:tx>
            <c:strRef>
              <c:f>'estatística'!$B$875</c:f>
            </c:strRef>
          </c:tx>
          <c:cat>
            <c:strRef>
              <c:f>'estatística'!$C$1:$M$1</c:f>
            </c:strRef>
          </c:cat>
          <c:val>
            <c:numRef>
              <c:f>'estatística'!$C$875:$M$875</c:f>
              <c:numCache/>
            </c:numRef>
          </c:val>
        </c:ser>
        <c:ser>
          <c:idx val="874"/>
          <c:order val="874"/>
          <c:tx>
            <c:strRef>
              <c:f>'estatística'!$B$876</c:f>
            </c:strRef>
          </c:tx>
          <c:cat>
            <c:strRef>
              <c:f>'estatística'!$C$1:$M$1</c:f>
            </c:strRef>
          </c:cat>
          <c:val>
            <c:numRef>
              <c:f>'estatística'!$C$876:$M$876</c:f>
              <c:numCache/>
            </c:numRef>
          </c:val>
        </c:ser>
        <c:ser>
          <c:idx val="875"/>
          <c:order val="875"/>
          <c:tx>
            <c:strRef>
              <c:f>'estatística'!$B$877</c:f>
            </c:strRef>
          </c:tx>
          <c:cat>
            <c:strRef>
              <c:f>'estatística'!$C$1:$M$1</c:f>
            </c:strRef>
          </c:cat>
          <c:val>
            <c:numRef>
              <c:f>'estatística'!$C$877:$M$877</c:f>
              <c:numCache/>
            </c:numRef>
          </c:val>
        </c:ser>
        <c:ser>
          <c:idx val="876"/>
          <c:order val="876"/>
          <c:tx>
            <c:strRef>
              <c:f>'estatística'!$B$878</c:f>
            </c:strRef>
          </c:tx>
          <c:cat>
            <c:strRef>
              <c:f>'estatística'!$C$1:$M$1</c:f>
            </c:strRef>
          </c:cat>
          <c:val>
            <c:numRef>
              <c:f>'estatística'!$C$878:$M$878</c:f>
              <c:numCache/>
            </c:numRef>
          </c:val>
        </c:ser>
        <c:ser>
          <c:idx val="877"/>
          <c:order val="877"/>
          <c:tx>
            <c:strRef>
              <c:f>'estatística'!$B$879</c:f>
            </c:strRef>
          </c:tx>
          <c:cat>
            <c:strRef>
              <c:f>'estatística'!$C$1:$M$1</c:f>
            </c:strRef>
          </c:cat>
          <c:val>
            <c:numRef>
              <c:f>'estatística'!$C$879:$M$879</c:f>
              <c:numCache/>
            </c:numRef>
          </c:val>
        </c:ser>
        <c:ser>
          <c:idx val="878"/>
          <c:order val="878"/>
          <c:tx>
            <c:strRef>
              <c:f>'estatística'!$B$880</c:f>
            </c:strRef>
          </c:tx>
          <c:cat>
            <c:strRef>
              <c:f>'estatística'!$C$1:$M$1</c:f>
            </c:strRef>
          </c:cat>
          <c:val>
            <c:numRef>
              <c:f>'estatística'!$C$880:$M$880</c:f>
              <c:numCache/>
            </c:numRef>
          </c:val>
        </c:ser>
        <c:ser>
          <c:idx val="879"/>
          <c:order val="879"/>
          <c:tx>
            <c:strRef>
              <c:f>'estatística'!$B$881</c:f>
            </c:strRef>
          </c:tx>
          <c:cat>
            <c:strRef>
              <c:f>'estatística'!$C$1:$M$1</c:f>
            </c:strRef>
          </c:cat>
          <c:val>
            <c:numRef>
              <c:f>'estatística'!$C$881:$M$881</c:f>
              <c:numCache/>
            </c:numRef>
          </c:val>
        </c:ser>
        <c:ser>
          <c:idx val="880"/>
          <c:order val="880"/>
          <c:tx>
            <c:strRef>
              <c:f>'estatística'!$B$882</c:f>
            </c:strRef>
          </c:tx>
          <c:cat>
            <c:strRef>
              <c:f>'estatística'!$C$1:$M$1</c:f>
            </c:strRef>
          </c:cat>
          <c:val>
            <c:numRef>
              <c:f>'estatística'!$C$882:$M$882</c:f>
              <c:numCache/>
            </c:numRef>
          </c:val>
        </c:ser>
        <c:ser>
          <c:idx val="881"/>
          <c:order val="881"/>
          <c:tx>
            <c:strRef>
              <c:f>'estatística'!$B$883</c:f>
            </c:strRef>
          </c:tx>
          <c:cat>
            <c:strRef>
              <c:f>'estatística'!$C$1:$M$1</c:f>
            </c:strRef>
          </c:cat>
          <c:val>
            <c:numRef>
              <c:f>'estatística'!$C$883:$M$883</c:f>
              <c:numCache/>
            </c:numRef>
          </c:val>
        </c:ser>
        <c:ser>
          <c:idx val="882"/>
          <c:order val="882"/>
          <c:tx>
            <c:strRef>
              <c:f>'estatística'!$B$884</c:f>
            </c:strRef>
          </c:tx>
          <c:cat>
            <c:strRef>
              <c:f>'estatística'!$C$1:$M$1</c:f>
            </c:strRef>
          </c:cat>
          <c:val>
            <c:numRef>
              <c:f>'estatística'!$C$884:$M$884</c:f>
              <c:numCache/>
            </c:numRef>
          </c:val>
        </c:ser>
        <c:ser>
          <c:idx val="883"/>
          <c:order val="883"/>
          <c:tx>
            <c:strRef>
              <c:f>'estatística'!$B$885</c:f>
            </c:strRef>
          </c:tx>
          <c:cat>
            <c:strRef>
              <c:f>'estatística'!$C$1:$M$1</c:f>
            </c:strRef>
          </c:cat>
          <c:val>
            <c:numRef>
              <c:f>'estatística'!$C$885:$M$885</c:f>
              <c:numCache/>
            </c:numRef>
          </c:val>
        </c:ser>
        <c:ser>
          <c:idx val="884"/>
          <c:order val="884"/>
          <c:tx>
            <c:strRef>
              <c:f>'estatística'!$B$886</c:f>
            </c:strRef>
          </c:tx>
          <c:cat>
            <c:strRef>
              <c:f>'estatística'!$C$1:$M$1</c:f>
            </c:strRef>
          </c:cat>
          <c:val>
            <c:numRef>
              <c:f>'estatística'!$C$886:$M$886</c:f>
              <c:numCache/>
            </c:numRef>
          </c:val>
        </c:ser>
        <c:ser>
          <c:idx val="885"/>
          <c:order val="885"/>
          <c:tx>
            <c:strRef>
              <c:f>'estatística'!$B$887</c:f>
            </c:strRef>
          </c:tx>
          <c:cat>
            <c:strRef>
              <c:f>'estatística'!$C$1:$M$1</c:f>
            </c:strRef>
          </c:cat>
          <c:val>
            <c:numRef>
              <c:f>'estatística'!$C$887:$M$887</c:f>
              <c:numCache/>
            </c:numRef>
          </c:val>
        </c:ser>
        <c:ser>
          <c:idx val="886"/>
          <c:order val="886"/>
          <c:tx>
            <c:strRef>
              <c:f>'estatística'!$B$888</c:f>
            </c:strRef>
          </c:tx>
          <c:cat>
            <c:strRef>
              <c:f>'estatística'!$C$1:$M$1</c:f>
            </c:strRef>
          </c:cat>
          <c:val>
            <c:numRef>
              <c:f>'estatística'!$C$888:$M$888</c:f>
              <c:numCache/>
            </c:numRef>
          </c:val>
        </c:ser>
        <c:ser>
          <c:idx val="887"/>
          <c:order val="887"/>
          <c:tx>
            <c:strRef>
              <c:f>'estatística'!$B$889</c:f>
            </c:strRef>
          </c:tx>
          <c:cat>
            <c:strRef>
              <c:f>'estatística'!$C$1:$M$1</c:f>
            </c:strRef>
          </c:cat>
          <c:val>
            <c:numRef>
              <c:f>'estatística'!$C$889:$M$889</c:f>
              <c:numCache/>
            </c:numRef>
          </c:val>
        </c:ser>
        <c:ser>
          <c:idx val="888"/>
          <c:order val="888"/>
          <c:tx>
            <c:strRef>
              <c:f>'estatística'!$B$890</c:f>
            </c:strRef>
          </c:tx>
          <c:cat>
            <c:strRef>
              <c:f>'estatística'!$C$1:$M$1</c:f>
            </c:strRef>
          </c:cat>
          <c:val>
            <c:numRef>
              <c:f>'estatística'!$C$890:$M$890</c:f>
              <c:numCache/>
            </c:numRef>
          </c:val>
        </c:ser>
        <c:ser>
          <c:idx val="889"/>
          <c:order val="889"/>
          <c:tx>
            <c:strRef>
              <c:f>'estatística'!$B$891</c:f>
            </c:strRef>
          </c:tx>
          <c:cat>
            <c:strRef>
              <c:f>'estatística'!$C$1:$M$1</c:f>
            </c:strRef>
          </c:cat>
          <c:val>
            <c:numRef>
              <c:f>'estatística'!$C$891:$M$891</c:f>
              <c:numCache/>
            </c:numRef>
          </c:val>
        </c:ser>
        <c:ser>
          <c:idx val="890"/>
          <c:order val="890"/>
          <c:tx>
            <c:strRef>
              <c:f>'estatística'!$B$892</c:f>
            </c:strRef>
          </c:tx>
          <c:cat>
            <c:strRef>
              <c:f>'estatística'!$C$1:$M$1</c:f>
            </c:strRef>
          </c:cat>
          <c:val>
            <c:numRef>
              <c:f>'estatística'!$C$892:$M$892</c:f>
              <c:numCache/>
            </c:numRef>
          </c:val>
        </c:ser>
        <c:ser>
          <c:idx val="891"/>
          <c:order val="891"/>
          <c:tx>
            <c:strRef>
              <c:f>'estatística'!$B$893</c:f>
            </c:strRef>
          </c:tx>
          <c:cat>
            <c:strRef>
              <c:f>'estatística'!$C$1:$M$1</c:f>
            </c:strRef>
          </c:cat>
          <c:val>
            <c:numRef>
              <c:f>'estatística'!$C$893:$M$893</c:f>
              <c:numCache/>
            </c:numRef>
          </c:val>
        </c:ser>
        <c:ser>
          <c:idx val="892"/>
          <c:order val="892"/>
          <c:tx>
            <c:strRef>
              <c:f>'estatística'!$B$894</c:f>
            </c:strRef>
          </c:tx>
          <c:cat>
            <c:strRef>
              <c:f>'estatística'!$C$1:$M$1</c:f>
            </c:strRef>
          </c:cat>
          <c:val>
            <c:numRef>
              <c:f>'estatística'!$C$894:$M$894</c:f>
              <c:numCache/>
            </c:numRef>
          </c:val>
        </c:ser>
        <c:ser>
          <c:idx val="893"/>
          <c:order val="893"/>
          <c:tx>
            <c:strRef>
              <c:f>'estatística'!$B$895</c:f>
            </c:strRef>
          </c:tx>
          <c:cat>
            <c:strRef>
              <c:f>'estatística'!$C$1:$M$1</c:f>
            </c:strRef>
          </c:cat>
          <c:val>
            <c:numRef>
              <c:f>'estatística'!$C$895:$M$895</c:f>
              <c:numCache/>
            </c:numRef>
          </c:val>
        </c:ser>
        <c:ser>
          <c:idx val="894"/>
          <c:order val="894"/>
          <c:tx>
            <c:strRef>
              <c:f>'estatística'!$B$896</c:f>
            </c:strRef>
          </c:tx>
          <c:cat>
            <c:strRef>
              <c:f>'estatística'!$C$1:$M$1</c:f>
            </c:strRef>
          </c:cat>
          <c:val>
            <c:numRef>
              <c:f>'estatística'!$C$896:$M$896</c:f>
              <c:numCache/>
            </c:numRef>
          </c:val>
        </c:ser>
        <c:ser>
          <c:idx val="895"/>
          <c:order val="895"/>
          <c:tx>
            <c:strRef>
              <c:f>'estatística'!$B$897</c:f>
            </c:strRef>
          </c:tx>
          <c:cat>
            <c:strRef>
              <c:f>'estatística'!$C$1:$M$1</c:f>
            </c:strRef>
          </c:cat>
          <c:val>
            <c:numRef>
              <c:f>'estatística'!$C$897:$M$897</c:f>
              <c:numCache/>
            </c:numRef>
          </c:val>
        </c:ser>
        <c:ser>
          <c:idx val="896"/>
          <c:order val="896"/>
          <c:tx>
            <c:strRef>
              <c:f>'estatística'!$B$898</c:f>
            </c:strRef>
          </c:tx>
          <c:cat>
            <c:strRef>
              <c:f>'estatística'!$C$1:$M$1</c:f>
            </c:strRef>
          </c:cat>
          <c:val>
            <c:numRef>
              <c:f>'estatística'!$C$898:$M$898</c:f>
              <c:numCache/>
            </c:numRef>
          </c:val>
        </c:ser>
        <c:ser>
          <c:idx val="897"/>
          <c:order val="897"/>
          <c:tx>
            <c:strRef>
              <c:f>'estatística'!$B$899</c:f>
            </c:strRef>
          </c:tx>
          <c:cat>
            <c:strRef>
              <c:f>'estatística'!$C$1:$M$1</c:f>
            </c:strRef>
          </c:cat>
          <c:val>
            <c:numRef>
              <c:f>'estatística'!$C$899:$M$899</c:f>
              <c:numCache/>
            </c:numRef>
          </c:val>
        </c:ser>
        <c:ser>
          <c:idx val="898"/>
          <c:order val="898"/>
          <c:tx>
            <c:strRef>
              <c:f>'estatística'!$B$900</c:f>
            </c:strRef>
          </c:tx>
          <c:cat>
            <c:strRef>
              <c:f>'estatística'!$C$1:$M$1</c:f>
            </c:strRef>
          </c:cat>
          <c:val>
            <c:numRef>
              <c:f>'estatística'!$C$900:$M$900</c:f>
              <c:numCache/>
            </c:numRef>
          </c:val>
        </c:ser>
        <c:ser>
          <c:idx val="899"/>
          <c:order val="899"/>
          <c:tx>
            <c:strRef>
              <c:f>'estatística'!$B$901</c:f>
            </c:strRef>
          </c:tx>
          <c:cat>
            <c:strRef>
              <c:f>'estatística'!$C$1:$M$1</c:f>
            </c:strRef>
          </c:cat>
          <c:val>
            <c:numRef>
              <c:f>'estatística'!$C$901:$M$901</c:f>
              <c:numCache/>
            </c:numRef>
          </c:val>
        </c:ser>
        <c:ser>
          <c:idx val="900"/>
          <c:order val="900"/>
          <c:tx>
            <c:strRef>
              <c:f>'estatística'!$B$902</c:f>
            </c:strRef>
          </c:tx>
          <c:cat>
            <c:strRef>
              <c:f>'estatística'!$C$1:$M$1</c:f>
            </c:strRef>
          </c:cat>
          <c:val>
            <c:numRef>
              <c:f>'estatística'!$C$902:$M$902</c:f>
              <c:numCache/>
            </c:numRef>
          </c:val>
        </c:ser>
        <c:ser>
          <c:idx val="901"/>
          <c:order val="901"/>
          <c:tx>
            <c:strRef>
              <c:f>'estatística'!$B$903</c:f>
            </c:strRef>
          </c:tx>
          <c:cat>
            <c:strRef>
              <c:f>'estatística'!$C$1:$M$1</c:f>
            </c:strRef>
          </c:cat>
          <c:val>
            <c:numRef>
              <c:f>'estatística'!$C$903:$M$903</c:f>
              <c:numCache/>
            </c:numRef>
          </c:val>
        </c:ser>
        <c:ser>
          <c:idx val="902"/>
          <c:order val="902"/>
          <c:tx>
            <c:strRef>
              <c:f>'estatística'!$B$904</c:f>
            </c:strRef>
          </c:tx>
          <c:cat>
            <c:strRef>
              <c:f>'estatística'!$C$1:$M$1</c:f>
            </c:strRef>
          </c:cat>
          <c:val>
            <c:numRef>
              <c:f>'estatística'!$C$904:$M$904</c:f>
              <c:numCache/>
            </c:numRef>
          </c:val>
        </c:ser>
        <c:ser>
          <c:idx val="903"/>
          <c:order val="903"/>
          <c:tx>
            <c:strRef>
              <c:f>'estatística'!$B$905</c:f>
            </c:strRef>
          </c:tx>
          <c:cat>
            <c:strRef>
              <c:f>'estatística'!$C$1:$M$1</c:f>
            </c:strRef>
          </c:cat>
          <c:val>
            <c:numRef>
              <c:f>'estatística'!$C$905:$M$905</c:f>
              <c:numCache/>
            </c:numRef>
          </c:val>
        </c:ser>
        <c:ser>
          <c:idx val="904"/>
          <c:order val="904"/>
          <c:tx>
            <c:strRef>
              <c:f>'estatística'!$B$906</c:f>
            </c:strRef>
          </c:tx>
          <c:cat>
            <c:strRef>
              <c:f>'estatística'!$C$1:$M$1</c:f>
            </c:strRef>
          </c:cat>
          <c:val>
            <c:numRef>
              <c:f>'estatística'!$C$906:$M$906</c:f>
              <c:numCache/>
            </c:numRef>
          </c:val>
        </c:ser>
        <c:ser>
          <c:idx val="905"/>
          <c:order val="905"/>
          <c:tx>
            <c:strRef>
              <c:f>'estatística'!$B$907</c:f>
            </c:strRef>
          </c:tx>
          <c:cat>
            <c:strRef>
              <c:f>'estatística'!$C$1:$M$1</c:f>
            </c:strRef>
          </c:cat>
          <c:val>
            <c:numRef>
              <c:f>'estatística'!$C$907:$M$907</c:f>
              <c:numCache/>
            </c:numRef>
          </c:val>
        </c:ser>
        <c:ser>
          <c:idx val="906"/>
          <c:order val="906"/>
          <c:tx>
            <c:strRef>
              <c:f>'estatística'!$B$908</c:f>
            </c:strRef>
          </c:tx>
          <c:cat>
            <c:strRef>
              <c:f>'estatística'!$C$1:$M$1</c:f>
            </c:strRef>
          </c:cat>
          <c:val>
            <c:numRef>
              <c:f>'estatística'!$C$908:$M$908</c:f>
              <c:numCache/>
            </c:numRef>
          </c:val>
        </c:ser>
        <c:ser>
          <c:idx val="907"/>
          <c:order val="907"/>
          <c:tx>
            <c:strRef>
              <c:f>'estatística'!$B$909</c:f>
            </c:strRef>
          </c:tx>
          <c:cat>
            <c:strRef>
              <c:f>'estatística'!$C$1:$M$1</c:f>
            </c:strRef>
          </c:cat>
          <c:val>
            <c:numRef>
              <c:f>'estatística'!$C$909:$M$909</c:f>
              <c:numCache/>
            </c:numRef>
          </c:val>
        </c:ser>
        <c:ser>
          <c:idx val="908"/>
          <c:order val="908"/>
          <c:tx>
            <c:strRef>
              <c:f>'estatística'!$B$910</c:f>
            </c:strRef>
          </c:tx>
          <c:cat>
            <c:strRef>
              <c:f>'estatística'!$C$1:$M$1</c:f>
            </c:strRef>
          </c:cat>
          <c:val>
            <c:numRef>
              <c:f>'estatística'!$C$910:$M$910</c:f>
              <c:numCache/>
            </c:numRef>
          </c:val>
        </c:ser>
        <c:ser>
          <c:idx val="909"/>
          <c:order val="909"/>
          <c:tx>
            <c:strRef>
              <c:f>'estatística'!$B$911</c:f>
            </c:strRef>
          </c:tx>
          <c:cat>
            <c:strRef>
              <c:f>'estatística'!$C$1:$M$1</c:f>
            </c:strRef>
          </c:cat>
          <c:val>
            <c:numRef>
              <c:f>'estatística'!$C$911:$M$911</c:f>
              <c:numCache/>
            </c:numRef>
          </c:val>
        </c:ser>
        <c:ser>
          <c:idx val="910"/>
          <c:order val="910"/>
          <c:tx>
            <c:strRef>
              <c:f>'estatística'!$B$912</c:f>
            </c:strRef>
          </c:tx>
          <c:cat>
            <c:strRef>
              <c:f>'estatística'!$C$1:$M$1</c:f>
            </c:strRef>
          </c:cat>
          <c:val>
            <c:numRef>
              <c:f>'estatística'!$C$912:$M$912</c:f>
              <c:numCache/>
            </c:numRef>
          </c:val>
        </c:ser>
        <c:ser>
          <c:idx val="911"/>
          <c:order val="911"/>
          <c:tx>
            <c:strRef>
              <c:f>'estatística'!$B$913</c:f>
            </c:strRef>
          </c:tx>
          <c:cat>
            <c:strRef>
              <c:f>'estatística'!$C$1:$M$1</c:f>
            </c:strRef>
          </c:cat>
          <c:val>
            <c:numRef>
              <c:f>'estatística'!$C$913:$M$913</c:f>
              <c:numCache/>
            </c:numRef>
          </c:val>
        </c:ser>
        <c:ser>
          <c:idx val="912"/>
          <c:order val="912"/>
          <c:tx>
            <c:strRef>
              <c:f>'estatística'!$B$914</c:f>
            </c:strRef>
          </c:tx>
          <c:cat>
            <c:strRef>
              <c:f>'estatística'!$C$1:$M$1</c:f>
            </c:strRef>
          </c:cat>
          <c:val>
            <c:numRef>
              <c:f>'estatística'!$C$914:$M$914</c:f>
              <c:numCache/>
            </c:numRef>
          </c:val>
        </c:ser>
        <c:ser>
          <c:idx val="913"/>
          <c:order val="913"/>
          <c:tx>
            <c:strRef>
              <c:f>'estatística'!$B$915</c:f>
            </c:strRef>
          </c:tx>
          <c:cat>
            <c:strRef>
              <c:f>'estatística'!$C$1:$M$1</c:f>
            </c:strRef>
          </c:cat>
          <c:val>
            <c:numRef>
              <c:f>'estatística'!$C$915:$M$915</c:f>
              <c:numCache/>
            </c:numRef>
          </c:val>
        </c:ser>
        <c:ser>
          <c:idx val="914"/>
          <c:order val="914"/>
          <c:tx>
            <c:strRef>
              <c:f>'estatística'!$B$916</c:f>
            </c:strRef>
          </c:tx>
          <c:cat>
            <c:strRef>
              <c:f>'estatística'!$C$1:$M$1</c:f>
            </c:strRef>
          </c:cat>
          <c:val>
            <c:numRef>
              <c:f>'estatística'!$C$916:$M$916</c:f>
              <c:numCache/>
            </c:numRef>
          </c:val>
        </c:ser>
        <c:ser>
          <c:idx val="915"/>
          <c:order val="915"/>
          <c:tx>
            <c:strRef>
              <c:f>'estatística'!$B$917</c:f>
            </c:strRef>
          </c:tx>
          <c:cat>
            <c:strRef>
              <c:f>'estatística'!$C$1:$M$1</c:f>
            </c:strRef>
          </c:cat>
          <c:val>
            <c:numRef>
              <c:f>'estatística'!$C$917:$M$917</c:f>
              <c:numCache/>
            </c:numRef>
          </c:val>
        </c:ser>
        <c:ser>
          <c:idx val="916"/>
          <c:order val="916"/>
          <c:tx>
            <c:strRef>
              <c:f>'estatística'!$B$918</c:f>
            </c:strRef>
          </c:tx>
          <c:cat>
            <c:strRef>
              <c:f>'estatística'!$C$1:$M$1</c:f>
            </c:strRef>
          </c:cat>
          <c:val>
            <c:numRef>
              <c:f>'estatística'!$C$918:$M$918</c:f>
              <c:numCache/>
            </c:numRef>
          </c:val>
        </c:ser>
        <c:ser>
          <c:idx val="917"/>
          <c:order val="917"/>
          <c:tx>
            <c:strRef>
              <c:f>'estatística'!$B$919</c:f>
            </c:strRef>
          </c:tx>
          <c:cat>
            <c:strRef>
              <c:f>'estatística'!$C$1:$M$1</c:f>
            </c:strRef>
          </c:cat>
          <c:val>
            <c:numRef>
              <c:f>'estatística'!$C$919:$M$919</c:f>
              <c:numCache/>
            </c:numRef>
          </c:val>
        </c:ser>
        <c:ser>
          <c:idx val="918"/>
          <c:order val="918"/>
          <c:tx>
            <c:strRef>
              <c:f>'estatística'!$B$920</c:f>
            </c:strRef>
          </c:tx>
          <c:cat>
            <c:strRef>
              <c:f>'estatística'!$C$1:$M$1</c:f>
            </c:strRef>
          </c:cat>
          <c:val>
            <c:numRef>
              <c:f>'estatística'!$C$920:$M$920</c:f>
              <c:numCache/>
            </c:numRef>
          </c:val>
        </c:ser>
        <c:ser>
          <c:idx val="919"/>
          <c:order val="919"/>
          <c:tx>
            <c:strRef>
              <c:f>'estatística'!$B$921</c:f>
            </c:strRef>
          </c:tx>
          <c:cat>
            <c:strRef>
              <c:f>'estatística'!$C$1:$M$1</c:f>
            </c:strRef>
          </c:cat>
          <c:val>
            <c:numRef>
              <c:f>'estatística'!$C$921:$M$921</c:f>
              <c:numCache/>
            </c:numRef>
          </c:val>
        </c:ser>
        <c:ser>
          <c:idx val="920"/>
          <c:order val="920"/>
          <c:tx>
            <c:strRef>
              <c:f>'estatística'!$B$922</c:f>
            </c:strRef>
          </c:tx>
          <c:cat>
            <c:strRef>
              <c:f>'estatística'!$C$1:$M$1</c:f>
            </c:strRef>
          </c:cat>
          <c:val>
            <c:numRef>
              <c:f>'estatística'!$C$922:$M$922</c:f>
              <c:numCache/>
            </c:numRef>
          </c:val>
        </c:ser>
        <c:ser>
          <c:idx val="921"/>
          <c:order val="921"/>
          <c:tx>
            <c:strRef>
              <c:f>'estatística'!$B$923</c:f>
            </c:strRef>
          </c:tx>
          <c:cat>
            <c:strRef>
              <c:f>'estatística'!$C$1:$M$1</c:f>
            </c:strRef>
          </c:cat>
          <c:val>
            <c:numRef>
              <c:f>'estatística'!$C$923:$M$923</c:f>
              <c:numCache/>
            </c:numRef>
          </c:val>
        </c:ser>
        <c:ser>
          <c:idx val="922"/>
          <c:order val="922"/>
          <c:tx>
            <c:strRef>
              <c:f>'estatística'!$B$924</c:f>
            </c:strRef>
          </c:tx>
          <c:cat>
            <c:strRef>
              <c:f>'estatística'!$C$1:$M$1</c:f>
            </c:strRef>
          </c:cat>
          <c:val>
            <c:numRef>
              <c:f>'estatística'!$C$924:$M$924</c:f>
              <c:numCache/>
            </c:numRef>
          </c:val>
        </c:ser>
        <c:ser>
          <c:idx val="923"/>
          <c:order val="923"/>
          <c:tx>
            <c:strRef>
              <c:f>'estatística'!$B$925</c:f>
            </c:strRef>
          </c:tx>
          <c:cat>
            <c:strRef>
              <c:f>'estatística'!$C$1:$M$1</c:f>
            </c:strRef>
          </c:cat>
          <c:val>
            <c:numRef>
              <c:f>'estatística'!$C$925:$M$925</c:f>
              <c:numCache/>
            </c:numRef>
          </c:val>
        </c:ser>
        <c:ser>
          <c:idx val="924"/>
          <c:order val="924"/>
          <c:tx>
            <c:strRef>
              <c:f>'estatística'!$B$926</c:f>
            </c:strRef>
          </c:tx>
          <c:cat>
            <c:strRef>
              <c:f>'estatística'!$C$1:$M$1</c:f>
            </c:strRef>
          </c:cat>
          <c:val>
            <c:numRef>
              <c:f>'estatística'!$C$926:$M$926</c:f>
              <c:numCache/>
            </c:numRef>
          </c:val>
        </c:ser>
        <c:ser>
          <c:idx val="925"/>
          <c:order val="925"/>
          <c:tx>
            <c:strRef>
              <c:f>'estatística'!$B$927</c:f>
            </c:strRef>
          </c:tx>
          <c:cat>
            <c:strRef>
              <c:f>'estatística'!$C$1:$M$1</c:f>
            </c:strRef>
          </c:cat>
          <c:val>
            <c:numRef>
              <c:f>'estatística'!$C$927:$M$927</c:f>
              <c:numCache/>
            </c:numRef>
          </c:val>
        </c:ser>
        <c:ser>
          <c:idx val="926"/>
          <c:order val="926"/>
          <c:tx>
            <c:strRef>
              <c:f>'estatística'!$B$928</c:f>
            </c:strRef>
          </c:tx>
          <c:cat>
            <c:strRef>
              <c:f>'estatística'!$C$1:$M$1</c:f>
            </c:strRef>
          </c:cat>
          <c:val>
            <c:numRef>
              <c:f>'estatística'!$C$928:$M$928</c:f>
              <c:numCache/>
            </c:numRef>
          </c:val>
        </c:ser>
        <c:ser>
          <c:idx val="927"/>
          <c:order val="927"/>
          <c:tx>
            <c:strRef>
              <c:f>'estatística'!$B$929</c:f>
            </c:strRef>
          </c:tx>
          <c:cat>
            <c:strRef>
              <c:f>'estatística'!$C$1:$M$1</c:f>
            </c:strRef>
          </c:cat>
          <c:val>
            <c:numRef>
              <c:f>'estatística'!$C$929:$M$929</c:f>
              <c:numCache/>
            </c:numRef>
          </c:val>
        </c:ser>
        <c:ser>
          <c:idx val="928"/>
          <c:order val="928"/>
          <c:tx>
            <c:strRef>
              <c:f>'estatística'!$B$930</c:f>
            </c:strRef>
          </c:tx>
          <c:cat>
            <c:strRef>
              <c:f>'estatística'!$C$1:$M$1</c:f>
            </c:strRef>
          </c:cat>
          <c:val>
            <c:numRef>
              <c:f>'estatística'!$C$930:$M$930</c:f>
              <c:numCache/>
            </c:numRef>
          </c:val>
        </c:ser>
        <c:ser>
          <c:idx val="929"/>
          <c:order val="929"/>
          <c:tx>
            <c:strRef>
              <c:f>'estatística'!$B$931</c:f>
            </c:strRef>
          </c:tx>
          <c:cat>
            <c:strRef>
              <c:f>'estatística'!$C$1:$M$1</c:f>
            </c:strRef>
          </c:cat>
          <c:val>
            <c:numRef>
              <c:f>'estatística'!$C$931:$M$931</c:f>
              <c:numCache/>
            </c:numRef>
          </c:val>
        </c:ser>
        <c:ser>
          <c:idx val="930"/>
          <c:order val="930"/>
          <c:tx>
            <c:strRef>
              <c:f>'estatística'!$B$932</c:f>
            </c:strRef>
          </c:tx>
          <c:cat>
            <c:strRef>
              <c:f>'estatística'!$C$1:$M$1</c:f>
            </c:strRef>
          </c:cat>
          <c:val>
            <c:numRef>
              <c:f>'estatística'!$C$932:$M$932</c:f>
              <c:numCache/>
            </c:numRef>
          </c:val>
        </c:ser>
        <c:ser>
          <c:idx val="931"/>
          <c:order val="931"/>
          <c:tx>
            <c:strRef>
              <c:f>'estatística'!$B$933</c:f>
            </c:strRef>
          </c:tx>
          <c:cat>
            <c:strRef>
              <c:f>'estatística'!$C$1:$M$1</c:f>
            </c:strRef>
          </c:cat>
          <c:val>
            <c:numRef>
              <c:f>'estatística'!$C$933:$M$933</c:f>
              <c:numCache/>
            </c:numRef>
          </c:val>
        </c:ser>
        <c:ser>
          <c:idx val="932"/>
          <c:order val="932"/>
          <c:tx>
            <c:strRef>
              <c:f>'estatística'!$B$934</c:f>
            </c:strRef>
          </c:tx>
          <c:cat>
            <c:strRef>
              <c:f>'estatística'!$C$1:$M$1</c:f>
            </c:strRef>
          </c:cat>
          <c:val>
            <c:numRef>
              <c:f>'estatística'!$C$934:$M$934</c:f>
              <c:numCache/>
            </c:numRef>
          </c:val>
        </c:ser>
        <c:ser>
          <c:idx val="933"/>
          <c:order val="933"/>
          <c:tx>
            <c:strRef>
              <c:f>'estatística'!$B$935</c:f>
            </c:strRef>
          </c:tx>
          <c:cat>
            <c:strRef>
              <c:f>'estatística'!$C$1:$M$1</c:f>
            </c:strRef>
          </c:cat>
          <c:val>
            <c:numRef>
              <c:f>'estatística'!$C$935:$M$935</c:f>
              <c:numCache/>
            </c:numRef>
          </c:val>
        </c:ser>
        <c:ser>
          <c:idx val="934"/>
          <c:order val="934"/>
          <c:tx>
            <c:strRef>
              <c:f>'estatística'!$B$936</c:f>
            </c:strRef>
          </c:tx>
          <c:cat>
            <c:strRef>
              <c:f>'estatística'!$C$1:$M$1</c:f>
            </c:strRef>
          </c:cat>
          <c:val>
            <c:numRef>
              <c:f>'estatística'!$C$936:$M$936</c:f>
              <c:numCache/>
            </c:numRef>
          </c:val>
        </c:ser>
        <c:ser>
          <c:idx val="935"/>
          <c:order val="935"/>
          <c:tx>
            <c:strRef>
              <c:f>'estatística'!$B$937</c:f>
            </c:strRef>
          </c:tx>
          <c:cat>
            <c:strRef>
              <c:f>'estatística'!$C$1:$M$1</c:f>
            </c:strRef>
          </c:cat>
          <c:val>
            <c:numRef>
              <c:f>'estatística'!$C$937:$M$937</c:f>
              <c:numCache/>
            </c:numRef>
          </c:val>
        </c:ser>
        <c:ser>
          <c:idx val="936"/>
          <c:order val="936"/>
          <c:tx>
            <c:strRef>
              <c:f>'estatística'!$B$938</c:f>
            </c:strRef>
          </c:tx>
          <c:cat>
            <c:strRef>
              <c:f>'estatística'!$C$1:$M$1</c:f>
            </c:strRef>
          </c:cat>
          <c:val>
            <c:numRef>
              <c:f>'estatística'!$C$938:$M$938</c:f>
              <c:numCache/>
            </c:numRef>
          </c:val>
        </c:ser>
        <c:ser>
          <c:idx val="937"/>
          <c:order val="937"/>
          <c:tx>
            <c:strRef>
              <c:f>'estatística'!$B$939</c:f>
            </c:strRef>
          </c:tx>
          <c:cat>
            <c:strRef>
              <c:f>'estatística'!$C$1:$M$1</c:f>
            </c:strRef>
          </c:cat>
          <c:val>
            <c:numRef>
              <c:f>'estatística'!$C$939:$M$939</c:f>
              <c:numCache/>
            </c:numRef>
          </c:val>
        </c:ser>
        <c:ser>
          <c:idx val="938"/>
          <c:order val="938"/>
          <c:tx>
            <c:strRef>
              <c:f>'estatística'!$B$940</c:f>
            </c:strRef>
          </c:tx>
          <c:cat>
            <c:strRef>
              <c:f>'estatística'!$C$1:$M$1</c:f>
            </c:strRef>
          </c:cat>
          <c:val>
            <c:numRef>
              <c:f>'estatística'!$C$940:$M$940</c:f>
              <c:numCache/>
            </c:numRef>
          </c:val>
        </c:ser>
        <c:ser>
          <c:idx val="939"/>
          <c:order val="939"/>
          <c:tx>
            <c:strRef>
              <c:f>'estatística'!$B$941</c:f>
            </c:strRef>
          </c:tx>
          <c:cat>
            <c:strRef>
              <c:f>'estatística'!$C$1:$M$1</c:f>
            </c:strRef>
          </c:cat>
          <c:val>
            <c:numRef>
              <c:f>'estatística'!$C$941:$M$941</c:f>
              <c:numCache/>
            </c:numRef>
          </c:val>
        </c:ser>
        <c:ser>
          <c:idx val="940"/>
          <c:order val="940"/>
          <c:tx>
            <c:strRef>
              <c:f>'estatística'!$B$942</c:f>
            </c:strRef>
          </c:tx>
          <c:cat>
            <c:strRef>
              <c:f>'estatística'!$C$1:$M$1</c:f>
            </c:strRef>
          </c:cat>
          <c:val>
            <c:numRef>
              <c:f>'estatística'!$C$942:$M$942</c:f>
              <c:numCache/>
            </c:numRef>
          </c:val>
        </c:ser>
        <c:ser>
          <c:idx val="941"/>
          <c:order val="941"/>
          <c:tx>
            <c:strRef>
              <c:f>'estatística'!$B$943</c:f>
            </c:strRef>
          </c:tx>
          <c:cat>
            <c:strRef>
              <c:f>'estatística'!$C$1:$M$1</c:f>
            </c:strRef>
          </c:cat>
          <c:val>
            <c:numRef>
              <c:f>'estatística'!$C$943:$M$943</c:f>
              <c:numCache/>
            </c:numRef>
          </c:val>
        </c:ser>
        <c:ser>
          <c:idx val="942"/>
          <c:order val="942"/>
          <c:tx>
            <c:strRef>
              <c:f>'estatística'!$B$944</c:f>
            </c:strRef>
          </c:tx>
          <c:cat>
            <c:strRef>
              <c:f>'estatística'!$C$1:$M$1</c:f>
            </c:strRef>
          </c:cat>
          <c:val>
            <c:numRef>
              <c:f>'estatística'!$C$944:$M$944</c:f>
              <c:numCache/>
            </c:numRef>
          </c:val>
        </c:ser>
        <c:ser>
          <c:idx val="943"/>
          <c:order val="943"/>
          <c:tx>
            <c:strRef>
              <c:f>'estatística'!$B$945</c:f>
            </c:strRef>
          </c:tx>
          <c:cat>
            <c:strRef>
              <c:f>'estatística'!$C$1:$M$1</c:f>
            </c:strRef>
          </c:cat>
          <c:val>
            <c:numRef>
              <c:f>'estatística'!$C$945:$M$945</c:f>
              <c:numCache/>
            </c:numRef>
          </c:val>
        </c:ser>
        <c:ser>
          <c:idx val="944"/>
          <c:order val="944"/>
          <c:tx>
            <c:strRef>
              <c:f>'estatística'!$B$946</c:f>
            </c:strRef>
          </c:tx>
          <c:cat>
            <c:strRef>
              <c:f>'estatística'!$C$1:$M$1</c:f>
            </c:strRef>
          </c:cat>
          <c:val>
            <c:numRef>
              <c:f>'estatística'!$C$946:$M$946</c:f>
              <c:numCache/>
            </c:numRef>
          </c:val>
        </c:ser>
        <c:ser>
          <c:idx val="945"/>
          <c:order val="945"/>
          <c:tx>
            <c:strRef>
              <c:f>'estatística'!$B$947</c:f>
            </c:strRef>
          </c:tx>
          <c:cat>
            <c:strRef>
              <c:f>'estatística'!$C$1:$M$1</c:f>
            </c:strRef>
          </c:cat>
          <c:val>
            <c:numRef>
              <c:f>'estatística'!$C$947:$M$947</c:f>
              <c:numCache/>
            </c:numRef>
          </c:val>
        </c:ser>
        <c:ser>
          <c:idx val="946"/>
          <c:order val="946"/>
          <c:tx>
            <c:strRef>
              <c:f>'estatística'!$B$948</c:f>
            </c:strRef>
          </c:tx>
          <c:cat>
            <c:strRef>
              <c:f>'estatística'!$C$1:$M$1</c:f>
            </c:strRef>
          </c:cat>
          <c:val>
            <c:numRef>
              <c:f>'estatística'!$C$948:$M$948</c:f>
              <c:numCache/>
            </c:numRef>
          </c:val>
        </c:ser>
        <c:ser>
          <c:idx val="947"/>
          <c:order val="947"/>
          <c:tx>
            <c:strRef>
              <c:f>'estatística'!$B$949</c:f>
            </c:strRef>
          </c:tx>
          <c:cat>
            <c:strRef>
              <c:f>'estatística'!$C$1:$M$1</c:f>
            </c:strRef>
          </c:cat>
          <c:val>
            <c:numRef>
              <c:f>'estatística'!$C$949:$M$949</c:f>
              <c:numCache/>
            </c:numRef>
          </c:val>
        </c:ser>
        <c:ser>
          <c:idx val="948"/>
          <c:order val="948"/>
          <c:tx>
            <c:strRef>
              <c:f>'estatística'!$B$950</c:f>
            </c:strRef>
          </c:tx>
          <c:cat>
            <c:strRef>
              <c:f>'estatística'!$C$1:$M$1</c:f>
            </c:strRef>
          </c:cat>
          <c:val>
            <c:numRef>
              <c:f>'estatística'!$C$950:$M$950</c:f>
              <c:numCache/>
            </c:numRef>
          </c:val>
        </c:ser>
        <c:ser>
          <c:idx val="949"/>
          <c:order val="949"/>
          <c:tx>
            <c:strRef>
              <c:f>'estatística'!$B$951</c:f>
            </c:strRef>
          </c:tx>
          <c:cat>
            <c:strRef>
              <c:f>'estatística'!$C$1:$M$1</c:f>
            </c:strRef>
          </c:cat>
          <c:val>
            <c:numRef>
              <c:f>'estatística'!$C$951:$M$951</c:f>
              <c:numCache/>
            </c:numRef>
          </c:val>
        </c:ser>
        <c:ser>
          <c:idx val="950"/>
          <c:order val="950"/>
          <c:tx>
            <c:strRef>
              <c:f>'estatística'!$B$952</c:f>
            </c:strRef>
          </c:tx>
          <c:cat>
            <c:strRef>
              <c:f>'estatística'!$C$1:$M$1</c:f>
            </c:strRef>
          </c:cat>
          <c:val>
            <c:numRef>
              <c:f>'estatística'!$C$952:$M$952</c:f>
              <c:numCache/>
            </c:numRef>
          </c:val>
        </c:ser>
        <c:ser>
          <c:idx val="951"/>
          <c:order val="951"/>
          <c:tx>
            <c:strRef>
              <c:f>'estatística'!$B$953</c:f>
            </c:strRef>
          </c:tx>
          <c:cat>
            <c:strRef>
              <c:f>'estatística'!$C$1:$M$1</c:f>
            </c:strRef>
          </c:cat>
          <c:val>
            <c:numRef>
              <c:f>'estatística'!$C$953:$M$953</c:f>
              <c:numCache/>
            </c:numRef>
          </c:val>
        </c:ser>
        <c:ser>
          <c:idx val="952"/>
          <c:order val="952"/>
          <c:tx>
            <c:strRef>
              <c:f>'estatística'!$B$954</c:f>
            </c:strRef>
          </c:tx>
          <c:cat>
            <c:strRef>
              <c:f>'estatística'!$C$1:$M$1</c:f>
            </c:strRef>
          </c:cat>
          <c:val>
            <c:numRef>
              <c:f>'estatística'!$C$954:$M$954</c:f>
              <c:numCache/>
            </c:numRef>
          </c:val>
        </c:ser>
        <c:ser>
          <c:idx val="953"/>
          <c:order val="953"/>
          <c:tx>
            <c:strRef>
              <c:f>'estatística'!$B$955</c:f>
            </c:strRef>
          </c:tx>
          <c:cat>
            <c:strRef>
              <c:f>'estatística'!$C$1:$M$1</c:f>
            </c:strRef>
          </c:cat>
          <c:val>
            <c:numRef>
              <c:f>'estatística'!$C$955:$M$955</c:f>
              <c:numCache/>
            </c:numRef>
          </c:val>
        </c:ser>
        <c:ser>
          <c:idx val="954"/>
          <c:order val="954"/>
          <c:tx>
            <c:strRef>
              <c:f>'estatística'!$B$956</c:f>
            </c:strRef>
          </c:tx>
          <c:cat>
            <c:strRef>
              <c:f>'estatística'!$C$1:$M$1</c:f>
            </c:strRef>
          </c:cat>
          <c:val>
            <c:numRef>
              <c:f>'estatística'!$C$956:$M$956</c:f>
              <c:numCache/>
            </c:numRef>
          </c:val>
        </c:ser>
        <c:ser>
          <c:idx val="955"/>
          <c:order val="955"/>
          <c:tx>
            <c:strRef>
              <c:f>'estatística'!$B$957</c:f>
            </c:strRef>
          </c:tx>
          <c:cat>
            <c:strRef>
              <c:f>'estatística'!$C$1:$M$1</c:f>
            </c:strRef>
          </c:cat>
          <c:val>
            <c:numRef>
              <c:f>'estatística'!$C$957:$M$957</c:f>
              <c:numCache/>
            </c:numRef>
          </c:val>
        </c:ser>
        <c:ser>
          <c:idx val="956"/>
          <c:order val="956"/>
          <c:tx>
            <c:strRef>
              <c:f>'estatística'!$B$958</c:f>
            </c:strRef>
          </c:tx>
          <c:cat>
            <c:strRef>
              <c:f>'estatística'!$C$1:$M$1</c:f>
            </c:strRef>
          </c:cat>
          <c:val>
            <c:numRef>
              <c:f>'estatística'!$C$958:$M$958</c:f>
              <c:numCache/>
            </c:numRef>
          </c:val>
        </c:ser>
        <c:ser>
          <c:idx val="957"/>
          <c:order val="957"/>
          <c:tx>
            <c:strRef>
              <c:f>'estatística'!$B$959</c:f>
            </c:strRef>
          </c:tx>
          <c:cat>
            <c:strRef>
              <c:f>'estatística'!$C$1:$M$1</c:f>
            </c:strRef>
          </c:cat>
          <c:val>
            <c:numRef>
              <c:f>'estatística'!$C$959:$M$959</c:f>
              <c:numCache/>
            </c:numRef>
          </c:val>
        </c:ser>
        <c:ser>
          <c:idx val="958"/>
          <c:order val="958"/>
          <c:tx>
            <c:strRef>
              <c:f>'estatística'!$B$960</c:f>
            </c:strRef>
          </c:tx>
          <c:cat>
            <c:strRef>
              <c:f>'estatística'!$C$1:$M$1</c:f>
            </c:strRef>
          </c:cat>
          <c:val>
            <c:numRef>
              <c:f>'estatística'!$C$960:$M$960</c:f>
              <c:numCache/>
            </c:numRef>
          </c:val>
        </c:ser>
        <c:ser>
          <c:idx val="959"/>
          <c:order val="959"/>
          <c:tx>
            <c:strRef>
              <c:f>'estatística'!$B$961</c:f>
            </c:strRef>
          </c:tx>
          <c:cat>
            <c:strRef>
              <c:f>'estatística'!$C$1:$M$1</c:f>
            </c:strRef>
          </c:cat>
          <c:val>
            <c:numRef>
              <c:f>'estatística'!$C$961:$M$961</c:f>
              <c:numCache/>
            </c:numRef>
          </c:val>
        </c:ser>
        <c:ser>
          <c:idx val="960"/>
          <c:order val="960"/>
          <c:tx>
            <c:strRef>
              <c:f>'estatística'!$B$962</c:f>
            </c:strRef>
          </c:tx>
          <c:cat>
            <c:strRef>
              <c:f>'estatística'!$C$1:$M$1</c:f>
            </c:strRef>
          </c:cat>
          <c:val>
            <c:numRef>
              <c:f>'estatística'!$C$962:$M$962</c:f>
              <c:numCache/>
            </c:numRef>
          </c:val>
        </c:ser>
        <c:ser>
          <c:idx val="961"/>
          <c:order val="961"/>
          <c:tx>
            <c:strRef>
              <c:f>'estatística'!$B$963</c:f>
            </c:strRef>
          </c:tx>
          <c:cat>
            <c:strRef>
              <c:f>'estatística'!$C$1:$M$1</c:f>
            </c:strRef>
          </c:cat>
          <c:val>
            <c:numRef>
              <c:f>'estatística'!$C$963:$M$963</c:f>
              <c:numCache/>
            </c:numRef>
          </c:val>
        </c:ser>
        <c:ser>
          <c:idx val="962"/>
          <c:order val="962"/>
          <c:tx>
            <c:strRef>
              <c:f>'estatística'!$B$964</c:f>
            </c:strRef>
          </c:tx>
          <c:cat>
            <c:strRef>
              <c:f>'estatística'!$C$1:$M$1</c:f>
            </c:strRef>
          </c:cat>
          <c:val>
            <c:numRef>
              <c:f>'estatística'!$C$964:$M$964</c:f>
              <c:numCache/>
            </c:numRef>
          </c:val>
        </c:ser>
        <c:ser>
          <c:idx val="963"/>
          <c:order val="963"/>
          <c:tx>
            <c:strRef>
              <c:f>'estatística'!$B$965</c:f>
            </c:strRef>
          </c:tx>
          <c:cat>
            <c:strRef>
              <c:f>'estatística'!$C$1:$M$1</c:f>
            </c:strRef>
          </c:cat>
          <c:val>
            <c:numRef>
              <c:f>'estatística'!$C$965:$M$965</c:f>
              <c:numCache/>
            </c:numRef>
          </c:val>
        </c:ser>
        <c:ser>
          <c:idx val="964"/>
          <c:order val="964"/>
          <c:tx>
            <c:strRef>
              <c:f>'estatística'!$B$966</c:f>
            </c:strRef>
          </c:tx>
          <c:cat>
            <c:strRef>
              <c:f>'estatística'!$C$1:$M$1</c:f>
            </c:strRef>
          </c:cat>
          <c:val>
            <c:numRef>
              <c:f>'estatística'!$C$966:$M$966</c:f>
              <c:numCache/>
            </c:numRef>
          </c:val>
        </c:ser>
        <c:ser>
          <c:idx val="965"/>
          <c:order val="965"/>
          <c:tx>
            <c:strRef>
              <c:f>'estatística'!$B$967</c:f>
            </c:strRef>
          </c:tx>
          <c:cat>
            <c:strRef>
              <c:f>'estatística'!$C$1:$M$1</c:f>
            </c:strRef>
          </c:cat>
          <c:val>
            <c:numRef>
              <c:f>'estatística'!$C$967:$M$967</c:f>
              <c:numCache/>
            </c:numRef>
          </c:val>
        </c:ser>
        <c:ser>
          <c:idx val="966"/>
          <c:order val="966"/>
          <c:tx>
            <c:strRef>
              <c:f>'estatística'!$B$968</c:f>
            </c:strRef>
          </c:tx>
          <c:cat>
            <c:strRef>
              <c:f>'estatística'!$C$1:$M$1</c:f>
            </c:strRef>
          </c:cat>
          <c:val>
            <c:numRef>
              <c:f>'estatística'!$C$968:$M$968</c:f>
              <c:numCache/>
            </c:numRef>
          </c:val>
        </c:ser>
        <c:ser>
          <c:idx val="967"/>
          <c:order val="967"/>
          <c:tx>
            <c:strRef>
              <c:f>'estatística'!$B$969</c:f>
            </c:strRef>
          </c:tx>
          <c:cat>
            <c:strRef>
              <c:f>'estatística'!$C$1:$M$1</c:f>
            </c:strRef>
          </c:cat>
          <c:val>
            <c:numRef>
              <c:f>'estatística'!$C$969:$M$969</c:f>
              <c:numCache/>
            </c:numRef>
          </c:val>
        </c:ser>
        <c:ser>
          <c:idx val="968"/>
          <c:order val="968"/>
          <c:tx>
            <c:strRef>
              <c:f>'estatística'!$B$970</c:f>
            </c:strRef>
          </c:tx>
          <c:cat>
            <c:strRef>
              <c:f>'estatística'!$C$1:$M$1</c:f>
            </c:strRef>
          </c:cat>
          <c:val>
            <c:numRef>
              <c:f>'estatística'!$C$970:$M$970</c:f>
              <c:numCache/>
            </c:numRef>
          </c:val>
        </c:ser>
        <c:ser>
          <c:idx val="969"/>
          <c:order val="969"/>
          <c:tx>
            <c:strRef>
              <c:f>'estatística'!$B$971</c:f>
            </c:strRef>
          </c:tx>
          <c:cat>
            <c:strRef>
              <c:f>'estatística'!$C$1:$M$1</c:f>
            </c:strRef>
          </c:cat>
          <c:val>
            <c:numRef>
              <c:f>'estatística'!$C$971:$M$971</c:f>
              <c:numCache/>
            </c:numRef>
          </c:val>
        </c:ser>
        <c:ser>
          <c:idx val="970"/>
          <c:order val="970"/>
          <c:tx>
            <c:strRef>
              <c:f>'estatística'!$B$972</c:f>
            </c:strRef>
          </c:tx>
          <c:cat>
            <c:strRef>
              <c:f>'estatística'!$C$1:$M$1</c:f>
            </c:strRef>
          </c:cat>
          <c:val>
            <c:numRef>
              <c:f>'estatística'!$C$972:$M$972</c:f>
              <c:numCache/>
            </c:numRef>
          </c:val>
        </c:ser>
        <c:ser>
          <c:idx val="971"/>
          <c:order val="971"/>
          <c:tx>
            <c:strRef>
              <c:f>'estatística'!$B$973</c:f>
            </c:strRef>
          </c:tx>
          <c:cat>
            <c:strRef>
              <c:f>'estatística'!$C$1:$M$1</c:f>
            </c:strRef>
          </c:cat>
          <c:val>
            <c:numRef>
              <c:f>'estatística'!$C$973:$M$973</c:f>
              <c:numCache/>
            </c:numRef>
          </c:val>
        </c:ser>
        <c:ser>
          <c:idx val="972"/>
          <c:order val="972"/>
          <c:tx>
            <c:strRef>
              <c:f>'estatística'!$B$974</c:f>
            </c:strRef>
          </c:tx>
          <c:cat>
            <c:strRef>
              <c:f>'estatística'!$C$1:$M$1</c:f>
            </c:strRef>
          </c:cat>
          <c:val>
            <c:numRef>
              <c:f>'estatística'!$C$974:$M$974</c:f>
              <c:numCache/>
            </c:numRef>
          </c:val>
        </c:ser>
        <c:ser>
          <c:idx val="973"/>
          <c:order val="973"/>
          <c:tx>
            <c:strRef>
              <c:f>'estatística'!$B$975</c:f>
            </c:strRef>
          </c:tx>
          <c:cat>
            <c:strRef>
              <c:f>'estatística'!$C$1:$M$1</c:f>
            </c:strRef>
          </c:cat>
          <c:val>
            <c:numRef>
              <c:f>'estatística'!$C$975:$M$975</c:f>
              <c:numCache/>
            </c:numRef>
          </c:val>
        </c:ser>
        <c:ser>
          <c:idx val="974"/>
          <c:order val="974"/>
          <c:tx>
            <c:strRef>
              <c:f>'estatística'!$B$976</c:f>
            </c:strRef>
          </c:tx>
          <c:cat>
            <c:strRef>
              <c:f>'estatística'!$C$1:$M$1</c:f>
            </c:strRef>
          </c:cat>
          <c:val>
            <c:numRef>
              <c:f>'estatística'!$C$976:$M$976</c:f>
              <c:numCache/>
            </c:numRef>
          </c:val>
        </c:ser>
        <c:ser>
          <c:idx val="975"/>
          <c:order val="975"/>
          <c:tx>
            <c:strRef>
              <c:f>'estatística'!$B$977</c:f>
            </c:strRef>
          </c:tx>
          <c:cat>
            <c:strRef>
              <c:f>'estatística'!$C$1:$M$1</c:f>
            </c:strRef>
          </c:cat>
          <c:val>
            <c:numRef>
              <c:f>'estatística'!$C$977:$M$977</c:f>
              <c:numCache/>
            </c:numRef>
          </c:val>
        </c:ser>
        <c:ser>
          <c:idx val="976"/>
          <c:order val="976"/>
          <c:tx>
            <c:strRef>
              <c:f>'estatística'!$B$978</c:f>
            </c:strRef>
          </c:tx>
          <c:cat>
            <c:strRef>
              <c:f>'estatística'!$C$1:$M$1</c:f>
            </c:strRef>
          </c:cat>
          <c:val>
            <c:numRef>
              <c:f>'estatística'!$C$978:$M$978</c:f>
              <c:numCache/>
            </c:numRef>
          </c:val>
        </c:ser>
        <c:ser>
          <c:idx val="977"/>
          <c:order val="977"/>
          <c:tx>
            <c:strRef>
              <c:f>'estatística'!$B$979</c:f>
            </c:strRef>
          </c:tx>
          <c:cat>
            <c:strRef>
              <c:f>'estatística'!$C$1:$M$1</c:f>
            </c:strRef>
          </c:cat>
          <c:val>
            <c:numRef>
              <c:f>'estatística'!$C$979:$M$979</c:f>
              <c:numCache/>
            </c:numRef>
          </c:val>
        </c:ser>
        <c:ser>
          <c:idx val="978"/>
          <c:order val="978"/>
          <c:tx>
            <c:strRef>
              <c:f>'estatística'!$B$980</c:f>
            </c:strRef>
          </c:tx>
          <c:cat>
            <c:strRef>
              <c:f>'estatística'!$C$1:$M$1</c:f>
            </c:strRef>
          </c:cat>
          <c:val>
            <c:numRef>
              <c:f>'estatística'!$C$980:$M$980</c:f>
              <c:numCache/>
            </c:numRef>
          </c:val>
        </c:ser>
        <c:ser>
          <c:idx val="979"/>
          <c:order val="979"/>
          <c:tx>
            <c:strRef>
              <c:f>'estatística'!$B$981</c:f>
            </c:strRef>
          </c:tx>
          <c:cat>
            <c:strRef>
              <c:f>'estatística'!$C$1:$M$1</c:f>
            </c:strRef>
          </c:cat>
          <c:val>
            <c:numRef>
              <c:f>'estatística'!$C$981:$M$981</c:f>
              <c:numCache/>
            </c:numRef>
          </c:val>
        </c:ser>
        <c:ser>
          <c:idx val="980"/>
          <c:order val="980"/>
          <c:tx>
            <c:strRef>
              <c:f>'estatística'!$B$982</c:f>
            </c:strRef>
          </c:tx>
          <c:cat>
            <c:strRef>
              <c:f>'estatística'!$C$1:$M$1</c:f>
            </c:strRef>
          </c:cat>
          <c:val>
            <c:numRef>
              <c:f>'estatística'!$C$982:$M$982</c:f>
              <c:numCache/>
            </c:numRef>
          </c:val>
        </c:ser>
        <c:ser>
          <c:idx val="981"/>
          <c:order val="981"/>
          <c:tx>
            <c:strRef>
              <c:f>'estatística'!$B$983</c:f>
            </c:strRef>
          </c:tx>
          <c:cat>
            <c:strRef>
              <c:f>'estatística'!$C$1:$M$1</c:f>
            </c:strRef>
          </c:cat>
          <c:val>
            <c:numRef>
              <c:f>'estatística'!$C$983:$M$983</c:f>
              <c:numCache/>
            </c:numRef>
          </c:val>
        </c:ser>
        <c:ser>
          <c:idx val="982"/>
          <c:order val="982"/>
          <c:tx>
            <c:strRef>
              <c:f>'estatística'!$B$984</c:f>
            </c:strRef>
          </c:tx>
          <c:cat>
            <c:strRef>
              <c:f>'estatística'!$C$1:$M$1</c:f>
            </c:strRef>
          </c:cat>
          <c:val>
            <c:numRef>
              <c:f>'estatística'!$C$984:$M$984</c:f>
              <c:numCache/>
            </c:numRef>
          </c:val>
        </c:ser>
        <c:ser>
          <c:idx val="983"/>
          <c:order val="983"/>
          <c:tx>
            <c:strRef>
              <c:f>'estatística'!$B$985</c:f>
            </c:strRef>
          </c:tx>
          <c:cat>
            <c:strRef>
              <c:f>'estatística'!$C$1:$M$1</c:f>
            </c:strRef>
          </c:cat>
          <c:val>
            <c:numRef>
              <c:f>'estatística'!$C$985:$M$985</c:f>
              <c:numCache/>
            </c:numRef>
          </c:val>
        </c:ser>
        <c:ser>
          <c:idx val="984"/>
          <c:order val="984"/>
          <c:tx>
            <c:strRef>
              <c:f>'estatística'!$B$986</c:f>
            </c:strRef>
          </c:tx>
          <c:cat>
            <c:strRef>
              <c:f>'estatística'!$C$1:$M$1</c:f>
            </c:strRef>
          </c:cat>
          <c:val>
            <c:numRef>
              <c:f>'estatística'!$C$986:$M$986</c:f>
              <c:numCache/>
            </c:numRef>
          </c:val>
        </c:ser>
        <c:ser>
          <c:idx val="985"/>
          <c:order val="985"/>
          <c:tx>
            <c:strRef>
              <c:f>'estatística'!$B$987</c:f>
            </c:strRef>
          </c:tx>
          <c:cat>
            <c:strRef>
              <c:f>'estatística'!$C$1:$M$1</c:f>
            </c:strRef>
          </c:cat>
          <c:val>
            <c:numRef>
              <c:f>'estatística'!$C$987:$M$987</c:f>
              <c:numCache/>
            </c:numRef>
          </c:val>
        </c:ser>
        <c:ser>
          <c:idx val="986"/>
          <c:order val="986"/>
          <c:tx>
            <c:strRef>
              <c:f>'estatística'!$B$988</c:f>
            </c:strRef>
          </c:tx>
          <c:cat>
            <c:strRef>
              <c:f>'estatística'!$C$1:$M$1</c:f>
            </c:strRef>
          </c:cat>
          <c:val>
            <c:numRef>
              <c:f>'estatística'!$C$988:$M$988</c:f>
              <c:numCache/>
            </c:numRef>
          </c:val>
        </c:ser>
        <c:ser>
          <c:idx val="987"/>
          <c:order val="987"/>
          <c:tx>
            <c:strRef>
              <c:f>'estatística'!$B$989</c:f>
            </c:strRef>
          </c:tx>
          <c:cat>
            <c:strRef>
              <c:f>'estatística'!$C$1:$M$1</c:f>
            </c:strRef>
          </c:cat>
          <c:val>
            <c:numRef>
              <c:f>'estatística'!$C$989:$M$989</c:f>
              <c:numCache/>
            </c:numRef>
          </c:val>
        </c:ser>
        <c:ser>
          <c:idx val="988"/>
          <c:order val="988"/>
          <c:tx>
            <c:strRef>
              <c:f>'estatística'!$B$990</c:f>
            </c:strRef>
          </c:tx>
          <c:cat>
            <c:strRef>
              <c:f>'estatística'!$C$1:$M$1</c:f>
            </c:strRef>
          </c:cat>
          <c:val>
            <c:numRef>
              <c:f>'estatística'!$C$990:$M$990</c:f>
              <c:numCache/>
            </c:numRef>
          </c:val>
        </c:ser>
        <c:ser>
          <c:idx val="989"/>
          <c:order val="989"/>
          <c:tx>
            <c:strRef>
              <c:f>'estatística'!$B$991</c:f>
            </c:strRef>
          </c:tx>
          <c:cat>
            <c:strRef>
              <c:f>'estatística'!$C$1:$M$1</c:f>
            </c:strRef>
          </c:cat>
          <c:val>
            <c:numRef>
              <c:f>'estatística'!$C$991:$M$991</c:f>
              <c:numCache/>
            </c:numRef>
          </c:val>
        </c:ser>
        <c:ser>
          <c:idx val="990"/>
          <c:order val="990"/>
          <c:tx>
            <c:strRef>
              <c:f>'estatística'!$B$992</c:f>
            </c:strRef>
          </c:tx>
          <c:cat>
            <c:strRef>
              <c:f>'estatística'!$C$1:$M$1</c:f>
            </c:strRef>
          </c:cat>
          <c:val>
            <c:numRef>
              <c:f>'estatística'!$C$992:$M$992</c:f>
              <c:numCache/>
            </c:numRef>
          </c:val>
        </c:ser>
        <c:ser>
          <c:idx val="991"/>
          <c:order val="991"/>
          <c:tx>
            <c:strRef>
              <c:f>'estatística'!$B$993</c:f>
            </c:strRef>
          </c:tx>
          <c:cat>
            <c:strRef>
              <c:f>'estatística'!$C$1:$M$1</c:f>
            </c:strRef>
          </c:cat>
          <c:val>
            <c:numRef>
              <c:f>'estatística'!$C$993:$M$993</c:f>
              <c:numCache/>
            </c:numRef>
          </c:val>
        </c:ser>
        <c:ser>
          <c:idx val="992"/>
          <c:order val="992"/>
          <c:tx>
            <c:strRef>
              <c:f>'estatística'!$B$994</c:f>
            </c:strRef>
          </c:tx>
          <c:cat>
            <c:strRef>
              <c:f>'estatística'!$C$1:$M$1</c:f>
            </c:strRef>
          </c:cat>
          <c:val>
            <c:numRef>
              <c:f>'estatística'!$C$994:$M$994</c:f>
              <c:numCache/>
            </c:numRef>
          </c:val>
        </c:ser>
        <c:ser>
          <c:idx val="993"/>
          <c:order val="993"/>
          <c:tx>
            <c:strRef>
              <c:f>'estatística'!$B$995</c:f>
            </c:strRef>
          </c:tx>
          <c:cat>
            <c:strRef>
              <c:f>'estatística'!$C$1:$M$1</c:f>
            </c:strRef>
          </c:cat>
          <c:val>
            <c:numRef>
              <c:f>'estatística'!$C$995:$M$995</c:f>
              <c:numCache/>
            </c:numRef>
          </c:val>
        </c:ser>
        <c:ser>
          <c:idx val="994"/>
          <c:order val="994"/>
          <c:tx>
            <c:strRef>
              <c:f>'estatística'!$B$996</c:f>
            </c:strRef>
          </c:tx>
          <c:cat>
            <c:strRef>
              <c:f>'estatística'!$C$1:$M$1</c:f>
            </c:strRef>
          </c:cat>
          <c:val>
            <c:numRef>
              <c:f>'estatística'!$C$996:$M$996</c:f>
              <c:numCache/>
            </c:numRef>
          </c:val>
        </c:ser>
        <c:ser>
          <c:idx val="995"/>
          <c:order val="995"/>
          <c:tx>
            <c:strRef>
              <c:f>'estatística'!$B$997</c:f>
            </c:strRef>
          </c:tx>
          <c:cat>
            <c:strRef>
              <c:f>'estatística'!$C$1:$M$1</c:f>
            </c:strRef>
          </c:cat>
          <c:val>
            <c:numRef>
              <c:f>'estatística'!$C$997:$M$997</c:f>
              <c:numCache/>
            </c:numRef>
          </c:val>
        </c:ser>
        <c:ser>
          <c:idx val="996"/>
          <c:order val="996"/>
          <c:tx>
            <c:strRef>
              <c:f>'estatística'!$B$998</c:f>
            </c:strRef>
          </c:tx>
          <c:cat>
            <c:strRef>
              <c:f>'estatística'!$C$1:$M$1</c:f>
            </c:strRef>
          </c:cat>
          <c:val>
            <c:numRef>
              <c:f>'estatística'!$C$998:$M$998</c:f>
              <c:numCache/>
            </c:numRef>
          </c:val>
        </c:ser>
        <c:ser>
          <c:idx val="997"/>
          <c:order val="997"/>
          <c:tx>
            <c:strRef>
              <c:f>'estatística'!$B$999</c:f>
            </c:strRef>
          </c:tx>
          <c:cat>
            <c:strRef>
              <c:f>'estatística'!$C$1:$M$1</c:f>
            </c:strRef>
          </c:cat>
          <c:val>
            <c:numRef>
              <c:f>'estatística'!$C$999:$M$999</c:f>
              <c:numCache/>
            </c:numRef>
          </c:val>
        </c:ser>
        <c:ser>
          <c:idx val="998"/>
          <c:order val="998"/>
          <c:tx>
            <c:strRef>
              <c:f>'estatística'!$B$1000</c:f>
            </c:strRef>
          </c:tx>
          <c:cat>
            <c:strRef>
              <c:f>'estatística'!$C$1:$M$1</c:f>
            </c:strRef>
          </c:cat>
          <c:val>
            <c:numRef>
              <c:f>'estatística'!$C$1000:$M$1000</c:f>
              <c:numCache/>
            </c:numRef>
          </c:val>
        </c:ser>
        <c:ser>
          <c:idx val="999"/>
          <c:order val="999"/>
          <c:tx>
            <c:strRef>
              <c:f>'estatística'!$B$1001</c:f>
            </c:strRef>
          </c:tx>
          <c:cat>
            <c:strRef>
              <c:f>'estatística'!$C$1:$M$1</c:f>
            </c:strRef>
          </c:cat>
          <c:val>
            <c:numRef>
              <c:f>'estatística'!$C$1001:$M$1001</c:f>
              <c:numCache/>
            </c:numRef>
          </c:val>
        </c:ser>
        <c:ser>
          <c:idx val="1000"/>
          <c:order val="1000"/>
          <c:tx>
            <c:strRef>
              <c:f>'estatística'!$B$1002</c:f>
            </c:strRef>
          </c:tx>
          <c:cat>
            <c:strRef>
              <c:f>'estatística'!$C$1:$M$1</c:f>
            </c:strRef>
          </c:cat>
          <c:val>
            <c:numRef>
              <c:f>'estatística'!$C$1002:$M$1002</c:f>
              <c:numCache/>
            </c:numRef>
          </c:val>
        </c:ser>
        <c:ser>
          <c:idx val="1001"/>
          <c:order val="1001"/>
          <c:tx>
            <c:strRef>
              <c:f>'estatística'!$B$1003</c:f>
            </c:strRef>
          </c:tx>
          <c:cat>
            <c:strRef>
              <c:f>'estatística'!$C$1:$M$1</c:f>
            </c:strRef>
          </c:cat>
          <c:val>
            <c:numRef>
              <c:f>'estatística'!$C$1003:$M$1003</c:f>
              <c:numCache/>
            </c:numRef>
          </c:val>
        </c:ser>
        <c:ser>
          <c:idx val="1002"/>
          <c:order val="1002"/>
          <c:tx>
            <c:strRef>
              <c:f>'estatística'!$B$1004</c:f>
            </c:strRef>
          </c:tx>
          <c:cat>
            <c:strRef>
              <c:f>'estatística'!$C$1:$M$1</c:f>
            </c:strRef>
          </c:cat>
          <c:val>
            <c:numRef>
              <c:f>'estatística'!$C$1004:$M$1004</c:f>
              <c:numCache/>
            </c:numRef>
          </c:val>
        </c:ser>
        <c:ser>
          <c:idx val="1003"/>
          <c:order val="1003"/>
          <c:tx>
            <c:strRef>
              <c:f>'estatística'!$B$1005</c:f>
            </c:strRef>
          </c:tx>
          <c:cat>
            <c:strRef>
              <c:f>'estatística'!$C$1:$M$1</c:f>
            </c:strRef>
          </c:cat>
          <c:val>
            <c:numRef>
              <c:f>'estatística'!$C$1005:$M$1005</c:f>
              <c:numCache/>
            </c:numRef>
          </c:val>
        </c:ser>
        <c:ser>
          <c:idx val="1004"/>
          <c:order val="1004"/>
          <c:tx>
            <c:strRef>
              <c:f>'estatística'!$B$1006</c:f>
            </c:strRef>
          </c:tx>
          <c:cat>
            <c:strRef>
              <c:f>'estatística'!$C$1:$M$1</c:f>
            </c:strRef>
          </c:cat>
          <c:val>
            <c:numRef>
              <c:f>'estatística'!$C$1006:$M$1006</c:f>
              <c:numCache/>
            </c:numRef>
          </c:val>
        </c:ser>
        <c:ser>
          <c:idx val="1005"/>
          <c:order val="1005"/>
          <c:tx>
            <c:strRef>
              <c:f>'estatística'!$B$1007</c:f>
            </c:strRef>
          </c:tx>
          <c:cat>
            <c:strRef>
              <c:f>'estatística'!$C$1:$M$1</c:f>
            </c:strRef>
          </c:cat>
          <c:val>
            <c:numRef>
              <c:f>'estatística'!$C$1007:$M$1007</c:f>
              <c:numCache/>
            </c:numRef>
          </c:val>
        </c:ser>
        <c:ser>
          <c:idx val="1006"/>
          <c:order val="1006"/>
          <c:tx>
            <c:strRef>
              <c:f>'estatística'!$B$1008</c:f>
            </c:strRef>
          </c:tx>
          <c:cat>
            <c:strRef>
              <c:f>'estatística'!$C$1:$M$1</c:f>
            </c:strRef>
          </c:cat>
          <c:val>
            <c:numRef>
              <c:f>'estatística'!$C$1008:$M$1008</c:f>
              <c:numCache/>
            </c:numRef>
          </c:val>
        </c:ser>
        <c:ser>
          <c:idx val="1007"/>
          <c:order val="1007"/>
          <c:tx>
            <c:strRef>
              <c:f>'estatística'!$B$1009</c:f>
            </c:strRef>
          </c:tx>
          <c:cat>
            <c:strRef>
              <c:f>'estatística'!$C$1:$M$1</c:f>
            </c:strRef>
          </c:cat>
          <c:val>
            <c:numRef>
              <c:f>'estatística'!$C$1009:$M$1009</c:f>
              <c:numCache/>
            </c:numRef>
          </c:val>
        </c:ser>
        <c:ser>
          <c:idx val="1008"/>
          <c:order val="1008"/>
          <c:tx>
            <c:strRef>
              <c:f>'estatística'!$B$1010</c:f>
            </c:strRef>
          </c:tx>
          <c:cat>
            <c:strRef>
              <c:f>'estatística'!$C$1:$M$1</c:f>
            </c:strRef>
          </c:cat>
          <c:val>
            <c:numRef>
              <c:f>'estatística'!$C$1010:$M$1010</c:f>
              <c:numCache/>
            </c:numRef>
          </c:val>
        </c:ser>
        <c:ser>
          <c:idx val="1009"/>
          <c:order val="1009"/>
          <c:tx>
            <c:strRef>
              <c:f>'estatística'!$B$1011</c:f>
            </c:strRef>
          </c:tx>
          <c:cat>
            <c:strRef>
              <c:f>'estatística'!$C$1:$M$1</c:f>
            </c:strRef>
          </c:cat>
          <c:val>
            <c:numRef>
              <c:f>'estatística'!$C$1011:$M$1011</c:f>
              <c:numCache/>
            </c:numRef>
          </c:val>
        </c:ser>
        <c:ser>
          <c:idx val="1010"/>
          <c:order val="1010"/>
          <c:tx>
            <c:strRef>
              <c:f>'estatística'!$B$1012</c:f>
            </c:strRef>
          </c:tx>
          <c:cat>
            <c:strRef>
              <c:f>'estatística'!$C$1:$M$1</c:f>
            </c:strRef>
          </c:cat>
          <c:val>
            <c:numRef>
              <c:f>'estatística'!$C$1012:$M$1012</c:f>
              <c:numCache/>
            </c:numRef>
          </c:val>
        </c:ser>
        <c:ser>
          <c:idx val="1011"/>
          <c:order val="1011"/>
          <c:tx>
            <c:strRef>
              <c:f>'estatística'!$B$1013</c:f>
            </c:strRef>
          </c:tx>
          <c:cat>
            <c:strRef>
              <c:f>'estatística'!$C$1:$M$1</c:f>
            </c:strRef>
          </c:cat>
          <c:val>
            <c:numRef>
              <c:f>'estatística'!$C$1013:$M$1013</c:f>
              <c:numCache/>
            </c:numRef>
          </c:val>
        </c:ser>
        <c:ser>
          <c:idx val="1012"/>
          <c:order val="1012"/>
          <c:tx>
            <c:strRef>
              <c:f>'estatística'!$B$1014</c:f>
            </c:strRef>
          </c:tx>
          <c:cat>
            <c:strRef>
              <c:f>'estatística'!$C$1:$M$1</c:f>
            </c:strRef>
          </c:cat>
          <c:val>
            <c:numRef>
              <c:f>'estatística'!$C$1014:$M$1014</c:f>
              <c:numCache/>
            </c:numRef>
          </c:val>
        </c:ser>
        <c:ser>
          <c:idx val="1013"/>
          <c:order val="1013"/>
          <c:tx>
            <c:strRef>
              <c:f>'estatística'!$B$1015</c:f>
            </c:strRef>
          </c:tx>
          <c:cat>
            <c:strRef>
              <c:f>'estatística'!$C$1:$M$1</c:f>
            </c:strRef>
          </c:cat>
          <c:val>
            <c:numRef>
              <c:f>'estatística'!$C$1015:$M$1015</c:f>
              <c:numCache/>
            </c:numRef>
          </c:val>
        </c:ser>
        <c:ser>
          <c:idx val="1014"/>
          <c:order val="1014"/>
          <c:tx>
            <c:strRef>
              <c:f>'estatística'!$B$1016</c:f>
            </c:strRef>
          </c:tx>
          <c:cat>
            <c:strRef>
              <c:f>'estatística'!$C$1:$M$1</c:f>
            </c:strRef>
          </c:cat>
          <c:val>
            <c:numRef>
              <c:f>'estatística'!$C$1016:$M$1016</c:f>
              <c:numCache/>
            </c:numRef>
          </c:val>
        </c:ser>
        <c:ser>
          <c:idx val="1015"/>
          <c:order val="1015"/>
          <c:tx>
            <c:strRef>
              <c:f>'estatística'!$B$1017</c:f>
            </c:strRef>
          </c:tx>
          <c:cat>
            <c:strRef>
              <c:f>'estatística'!$C$1:$M$1</c:f>
            </c:strRef>
          </c:cat>
          <c:val>
            <c:numRef>
              <c:f>'estatística'!$C$1017:$M$1017</c:f>
              <c:numCache/>
            </c:numRef>
          </c:val>
        </c:ser>
        <c:ser>
          <c:idx val="1016"/>
          <c:order val="1016"/>
          <c:tx>
            <c:strRef>
              <c:f>'estatística'!$B$1018</c:f>
            </c:strRef>
          </c:tx>
          <c:cat>
            <c:strRef>
              <c:f>'estatística'!$C$1:$M$1</c:f>
            </c:strRef>
          </c:cat>
          <c:val>
            <c:numRef>
              <c:f>'estatística'!$C$1018:$M$1018</c:f>
              <c:numCache/>
            </c:numRef>
          </c:val>
        </c:ser>
        <c:ser>
          <c:idx val="1017"/>
          <c:order val="1017"/>
          <c:tx>
            <c:strRef>
              <c:f>'estatística'!$B$1019</c:f>
            </c:strRef>
          </c:tx>
          <c:cat>
            <c:strRef>
              <c:f>'estatística'!$C$1:$M$1</c:f>
            </c:strRef>
          </c:cat>
          <c:val>
            <c:numRef>
              <c:f>'estatística'!$C$1019:$M$1019</c:f>
              <c:numCache/>
            </c:numRef>
          </c:val>
        </c:ser>
        <c:ser>
          <c:idx val="1018"/>
          <c:order val="1018"/>
          <c:tx>
            <c:strRef>
              <c:f>'estatística'!$B$1020</c:f>
            </c:strRef>
          </c:tx>
          <c:cat>
            <c:strRef>
              <c:f>'estatística'!$C$1:$M$1</c:f>
            </c:strRef>
          </c:cat>
          <c:val>
            <c:numRef>
              <c:f>'estatística'!$C$1020:$M$1020</c:f>
              <c:numCache/>
            </c:numRef>
          </c:val>
        </c:ser>
        <c:ser>
          <c:idx val="1019"/>
          <c:order val="1019"/>
          <c:tx>
            <c:strRef>
              <c:f>'estatística'!$B$1021</c:f>
            </c:strRef>
          </c:tx>
          <c:cat>
            <c:strRef>
              <c:f>'estatística'!$C$1:$M$1</c:f>
            </c:strRef>
          </c:cat>
          <c:val>
            <c:numRef>
              <c:f>'estatística'!$C$1021:$M$1021</c:f>
              <c:numCache/>
            </c:numRef>
          </c:val>
        </c:ser>
        <c:ser>
          <c:idx val="1020"/>
          <c:order val="1020"/>
          <c:tx>
            <c:strRef>
              <c:f>'estatística'!$B$1022</c:f>
            </c:strRef>
          </c:tx>
          <c:cat>
            <c:strRef>
              <c:f>'estatística'!$C$1:$M$1</c:f>
            </c:strRef>
          </c:cat>
          <c:val>
            <c:numRef>
              <c:f>'estatística'!$C$1022:$M$1022</c:f>
              <c:numCache/>
            </c:numRef>
          </c:val>
        </c:ser>
        <c:ser>
          <c:idx val="1021"/>
          <c:order val="1021"/>
          <c:tx>
            <c:strRef>
              <c:f>'estatística'!$B$1023</c:f>
            </c:strRef>
          </c:tx>
          <c:cat>
            <c:strRef>
              <c:f>'estatística'!$C$1:$M$1</c:f>
            </c:strRef>
          </c:cat>
          <c:val>
            <c:numRef>
              <c:f>'estatística'!$C$1023:$M$1023</c:f>
              <c:numCache/>
            </c:numRef>
          </c:val>
        </c:ser>
        <c:ser>
          <c:idx val="1022"/>
          <c:order val="1022"/>
          <c:tx>
            <c:strRef>
              <c:f>'estatística'!$B$1024</c:f>
            </c:strRef>
          </c:tx>
          <c:cat>
            <c:strRef>
              <c:f>'estatística'!$C$1:$M$1</c:f>
            </c:strRef>
          </c:cat>
          <c:val>
            <c:numRef>
              <c:f>'estatística'!$C$1024:$M$1024</c:f>
              <c:numCache/>
            </c:numRef>
          </c:val>
        </c:ser>
        <c:ser>
          <c:idx val="1023"/>
          <c:order val="1023"/>
          <c:tx>
            <c:strRef>
              <c:f>'estatística'!$B$1025</c:f>
            </c:strRef>
          </c:tx>
          <c:cat>
            <c:strRef>
              <c:f>'estatística'!$C$1:$M$1</c:f>
            </c:strRef>
          </c:cat>
          <c:val>
            <c:numRef>
              <c:f>'estatística'!$C$1025:$M$1025</c:f>
              <c:numCache/>
            </c:numRef>
          </c:val>
        </c:ser>
        <c:ser>
          <c:idx val="1024"/>
          <c:order val="1024"/>
          <c:tx>
            <c:strRef>
              <c:f>'estatística'!$B$1026</c:f>
            </c:strRef>
          </c:tx>
          <c:cat>
            <c:strRef>
              <c:f>'estatística'!$C$1:$M$1</c:f>
            </c:strRef>
          </c:cat>
          <c:val>
            <c:numRef>
              <c:f>'estatística'!$C$1026:$M$1026</c:f>
              <c:numCache/>
            </c:numRef>
          </c:val>
        </c:ser>
        <c:ser>
          <c:idx val="1025"/>
          <c:order val="1025"/>
          <c:tx>
            <c:strRef>
              <c:f>'estatística'!$B$1027</c:f>
            </c:strRef>
          </c:tx>
          <c:cat>
            <c:strRef>
              <c:f>'estatística'!$C$1:$M$1</c:f>
            </c:strRef>
          </c:cat>
          <c:val>
            <c:numRef>
              <c:f>'estatística'!$C$1027:$M$1027</c:f>
              <c:numCache/>
            </c:numRef>
          </c:val>
        </c:ser>
        <c:ser>
          <c:idx val="1026"/>
          <c:order val="1026"/>
          <c:tx>
            <c:strRef>
              <c:f>'estatística'!$B$1028</c:f>
            </c:strRef>
          </c:tx>
          <c:cat>
            <c:strRef>
              <c:f>'estatística'!$C$1:$M$1</c:f>
            </c:strRef>
          </c:cat>
          <c:val>
            <c:numRef>
              <c:f>'estatística'!$C$1028:$M$1028</c:f>
              <c:numCache/>
            </c:numRef>
          </c:val>
        </c:ser>
        <c:ser>
          <c:idx val="1027"/>
          <c:order val="1027"/>
          <c:tx>
            <c:strRef>
              <c:f>'estatística'!$B$1029</c:f>
            </c:strRef>
          </c:tx>
          <c:cat>
            <c:strRef>
              <c:f>'estatística'!$C$1:$M$1</c:f>
            </c:strRef>
          </c:cat>
          <c:val>
            <c:numRef>
              <c:f>'estatística'!$C$1029:$M$1029</c:f>
              <c:numCache/>
            </c:numRef>
          </c:val>
        </c:ser>
        <c:ser>
          <c:idx val="1028"/>
          <c:order val="1028"/>
          <c:tx>
            <c:strRef>
              <c:f>'estatística'!$B$1030</c:f>
            </c:strRef>
          </c:tx>
          <c:cat>
            <c:strRef>
              <c:f>'estatística'!$C$1:$M$1</c:f>
            </c:strRef>
          </c:cat>
          <c:val>
            <c:numRef>
              <c:f>'estatística'!$C$1030:$M$1030</c:f>
              <c:numCache/>
            </c:numRef>
          </c:val>
        </c:ser>
        <c:ser>
          <c:idx val="1029"/>
          <c:order val="1029"/>
          <c:tx>
            <c:strRef>
              <c:f>'estatística'!$B$1031</c:f>
            </c:strRef>
          </c:tx>
          <c:cat>
            <c:strRef>
              <c:f>'estatística'!$C$1:$M$1</c:f>
            </c:strRef>
          </c:cat>
          <c:val>
            <c:numRef>
              <c:f>'estatística'!$C$1031:$M$1031</c:f>
              <c:numCache/>
            </c:numRef>
          </c:val>
        </c:ser>
        <c:ser>
          <c:idx val="1030"/>
          <c:order val="1030"/>
          <c:tx>
            <c:strRef>
              <c:f>'estatística'!$B$1032</c:f>
            </c:strRef>
          </c:tx>
          <c:cat>
            <c:strRef>
              <c:f>'estatística'!$C$1:$M$1</c:f>
            </c:strRef>
          </c:cat>
          <c:val>
            <c:numRef>
              <c:f>'estatística'!$C$1032:$M$1032</c:f>
              <c:numCache/>
            </c:numRef>
          </c:val>
        </c:ser>
        <c:ser>
          <c:idx val="1031"/>
          <c:order val="1031"/>
          <c:tx>
            <c:strRef>
              <c:f>'estatística'!$B$1033</c:f>
            </c:strRef>
          </c:tx>
          <c:cat>
            <c:strRef>
              <c:f>'estatística'!$C$1:$M$1</c:f>
            </c:strRef>
          </c:cat>
          <c:val>
            <c:numRef>
              <c:f>'estatística'!$C$1033:$M$1033</c:f>
              <c:numCache/>
            </c:numRef>
          </c:val>
        </c:ser>
        <c:ser>
          <c:idx val="1032"/>
          <c:order val="1032"/>
          <c:tx>
            <c:strRef>
              <c:f>'estatística'!$B$1034</c:f>
            </c:strRef>
          </c:tx>
          <c:cat>
            <c:strRef>
              <c:f>'estatística'!$C$1:$M$1</c:f>
            </c:strRef>
          </c:cat>
          <c:val>
            <c:numRef>
              <c:f>'estatística'!$C$1034:$M$1034</c:f>
              <c:numCache/>
            </c:numRef>
          </c:val>
        </c:ser>
        <c:ser>
          <c:idx val="1033"/>
          <c:order val="1033"/>
          <c:tx>
            <c:strRef>
              <c:f>'estatística'!$B$1035</c:f>
            </c:strRef>
          </c:tx>
          <c:cat>
            <c:strRef>
              <c:f>'estatística'!$C$1:$M$1</c:f>
            </c:strRef>
          </c:cat>
          <c:val>
            <c:numRef>
              <c:f>'estatística'!$C$1035:$M$1035</c:f>
              <c:numCache/>
            </c:numRef>
          </c:val>
        </c:ser>
        <c:ser>
          <c:idx val="1034"/>
          <c:order val="1034"/>
          <c:tx>
            <c:strRef>
              <c:f>'estatística'!$B$1036</c:f>
            </c:strRef>
          </c:tx>
          <c:cat>
            <c:strRef>
              <c:f>'estatística'!$C$1:$M$1</c:f>
            </c:strRef>
          </c:cat>
          <c:val>
            <c:numRef>
              <c:f>'estatística'!$C$1036:$M$1036</c:f>
              <c:numCache/>
            </c:numRef>
          </c:val>
        </c:ser>
        <c:ser>
          <c:idx val="1035"/>
          <c:order val="1035"/>
          <c:tx>
            <c:strRef>
              <c:f>'estatística'!$B$1037</c:f>
            </c:strRef>
          </c:tx>
          <c:cat>
            <c:strRef>
              <c:f>'estatística'!$C$1:$M$1</c:f>
            </c:strRef>
          </c:cat>
          <c:val>
            <c:numRef>
              <c:f>'estatística'!$C$1037:$M$1037</c:f>
              <c:numCache/>
            </c:numRef>
          </c:val>
        </c:ser>
        <c:ser>
          <c:idx val="1036"/>
          <c:order val="1036"/>
          <c:tx>
            <c:strRef>
              <c:f>'estatística'!$B$1038</c:f>
            </c:strRef>
          </c:tx>
          <c:cat>
            <c:strRef>
              <c:f>'estatística'!$C$1:$M$1</c:f>
            </c:strRef>
          </c:cat>
          <c:val>
            <c:numRef>
              <c:f>'estatística'!$C$1038:$M$1038</c:f>
              <c:numCache/>
            </c:numRef>
          </c:val>
        </c:ser>
        <c:ser>
          <c:idx val="1037"/>
          <c:order val="1037"/>
          <c:tx>
            <c:strRef>
              <c:f>'estatística'!$B$1039</c:f>
            </c:strRef>
          </c:tx>
          <c:cat>
            <c:strRef>
              <c:f>'estatística'!$C$1:$M$1</c:f>
            </c:strRef>
          </c:cat>
          <c:val>
            <c:numRef>
              <c:f>'estatística'!$C$1039:$M$1039</c:f>
              <c:numCache/>
            </c:numRef>
          </c:val>
        </c:ser>
        <c:ser>
          <c:idx val="1038"/>
          <c:order val="1038"/>
          <c:tx>
            <c:strRef>
              <c:f>'estatística'!$B$1040</c:f>
            </c:strRef>
          </c:tx>
          <c:cat>
            <c:strRef>
              <c:f>'estatística'!$C$1:$M$1</c:f>
            </c:strRef>
          </c:cat>
          <c:val>
            <c:numRef>
              <c:f>'estatística'!$C$1040:$M$1040</c:f>
              <c:numCache/>
            </c:numRef>
          </c:val>
        </c:ser>
        <c:ser>
          <c:idx val="1039"/>
          <c:order val="1039"/>
          <c:tx>
            <c:strRef>
              <c:f>'estatística'!$B$1041</c:f>
            </c:strRef>
          </c:tx>
          <c:cat>
            <c:strRef>
              <c:f>'estatística'!$C$1:$M$1</c:f>
            </c:strRef>
          </c:cat>
          <c:val>
            <c:numRef>
              <c:f>'estatística'!$C$1041:$M$1041</c:f>
              <c:numCache/>
            </c:numRef>
          </c:val>
        </c:ser>
        <c:ser>
          <c:idx val="1040"/>
          <c:order val="1040"/>
          <c:tx>
            <c:strRef>
              <c:f>'estatística'!$B$1042</c:f>
            </c:strRef>
          </c:tx>
          <c:cat>
            <c:strRef>
              <c:f>'estatística'!$C$1:$M$1</c:f>
            </c:strRef>
          </c:cat>
          <c:val>
            <c:numRef>
              <c:f>'estatística'!$C$1042:$M$1042</c:f>
              <c:numCache/>
            </c:numRef>
          </c:val>
        </c:ser>
        <c:ser>
          <c:idx val="1041"/>
          <c:order val="1041"/>
          <c:tx>
            <c:strRef>
              <c:f>'estatística'!$B$1043</c:f>
            </c:strRef>
          </c:tx>
          <c:cat>
            <c:strRef>
              <c:f>'estatística'!$C$1:$M$1</c:f>
            </c:strRef>
          </c:cat>
          <c:val>
            <c:numRef>
              <c:f>'estatística'!$C$1043:$M$1043</c:f>
              <c:numCache/>
            </c:numRef>
          </c:val>
        </c:ser>
        <c:ser>
          <c:idx val="1042"/>
          <c:order val="1042"/>
          <c:tx>
            <c:strRef>
              <c:f>'estatística'!$B$1044</c:f>
            </c:strRef>
          </c:tx>
          <c:cat>
            <c:strRef>
              <c:f>'estatística'!$C$1:$M$1</c:f>
            </c:strRef>
          </c:cat>
          <c:val>
            <c:numRef>
              <c:f>'estatística'!$C$1044:$M$1044</c:f>
              <c:numCache/>
            </c:numRef>
          </c:val>
        </c:ser>
        <c:ser>
          <c:idx val="1043"/>
          <c:order val="1043"/>
          <c:tx>
            <c:strRef>
              <c:f>'estatística'!$B$1045</c:f>
            </c:strRef>
          </c:tx>
          <c:cat>
            <c:strRef>
              <c:f>'estatística'!$C$1:$M$1</c:f>
            </c:strRef>
          </c:cat>
          <c:val>
            <c:numRef>
              <c:f>'estatística'!$C$1045:$M$1045</c:f>
              <c:numCache/>
            </c:numRef>
          </c:val>
        </c:ser>
        <c:ser>
          <c:idx val="1044"/>
          <c:order val="1044"/>
          <c:tx>
            <c:strRef>
              <c:f>'estatística'!$B$1046</c:f>
            </c:strRef>
          </c:tx>
          <c:cat>
            <c:strRef>
              <c:f>'estatística'!$C$1:$M$1</c:f>
            </c:strRef>
          </c:cat>
          <c:val>
            <c:numRef>
              <c:f>'estatística'!$C$1046:$M$1046</c:f>
              <c:numCache/>
            </c:numRef>
          </c:val>
        </c:ser>
        <c:ser>
          <c:idx val="1045"/>
          <c:order val="1045"/>
          <c:tx>
            <c:strRef>
              <c:f>'estatística'!$B$1047</c:f>
            </c:strRef>
          </c:tx>
          <c:cat>
            <c:strRef>
              <c:f>'estatística'!$C$1:$M$1</c:f>
            </c:strRef>
          </c:cat>
          <c:val>
            <c:numRef>
              <c:f>'estatística'!$C$1047:$M$1047</c:f>
              <c:numCache/>
            </c:numRef>
          </c:val>
        </c:ser>
        <c:ser>
          <c:idx val="1046"/>
          <c:order val="1046"/>
          <c:tx>
            <c:strRef>
              <c:f>'estatística'!$B$1048</c:f>
            </c:strRef>
          </c:tx>
          <c:cat>
            <c:strRef>
              <c:f>'estatística'!$C$1:$M$1</c:f>
            </c:strRef>
          </c:cat>
          <c:val>
            <c:numRef>
              <c:f>'estatística'!$C$1048:$M$1048</c:f>
              <c:numCache/>
            </c:numRef>
          </c:val>
        </c:ser>
        <c:ser>
          <c:idx val="1047"/>
          <c:order val="1047"/>
          <c:tx>
            <c:strRef>
              <c:f>'estatística'!$B$1049</c:f>
            </c:strRef>
          </c:tx>
          <c:cat>
            <c:strRef>
              <c:f>'estatística'!$C$1:$M$1</c:f>
            </c:strRef>
          </c:cat>
          <c:val>
            <c:numRef>
              <c:f>'estatística'!$C$1049:$M$1049</c:f>
              <c:numCache/>
            </c:numRef>
          </c:val>
        </c:ser>
        <c:ser>
          <c:idx val="1048"/>
          <c:order val="1048"/>
          <c:tx>
            <c:strRef>
              <c:f>'estatística'!$B$1050</c:f>
            </c:strRef>
          </c:tx>
          <c:cat>
            <c:strRef>
              <c:f>'estatística'!$C$1:$M$1</c:f>
            </c:strRef>
          </c:cat>
          <c:val>
            <c:numRef>
              <c:f>'estatística'!$C$1050:$M$1050</c:f>
              <c:numCache/>
            </c:numRef>
          </c:val>
        </c:ser>
        <c:ser>
          <c:idx val="1049"/>
          <c:order val="1049"/>
          <c:tx>
            <c:strRef>
              <c:f>'estatística'!$B$1051</c:f>
            </c:strRef>
          </c:tx>
          <c:cat>
            <c:strRef>
              <c:f>'estatística'!$C$1:$M$1</c:f>
            </c:strRef>
          </c:cat>
          <c:val>
            <c:numRef>
              <c:f>'estatística'!$C$1051:$M$1051</c:f>
              <c:numCache/>
            </c:numRef>
          </c:val>
        </c:ser>
        <c:ser>
          <c:idx val="1050"/>
          <c:order val="1050"/>
          <c:tx>
            <c:strRef>
              <c:f>'estatística'!$B$1052</c:f>
            </c:strRef>
          </c:tx>
          <c:cat>
            <c:strRef>
              <c:f>'estatística'!$C$1:$M$1</c:f>
            </c:strRef>
          </c:cat>
          <c:val>
            <c:numRef>
              <c:f>'estatística'!$C$1052:$M$1052</c:f>
              <c:numCache/>
            </c:numRef>
          </c:val>
        </c:ser>
        <c:ser>
          <c:idx val="1051"/>
          <c:order val="1051"/>
          <c:tx>
            <c:strRef>
              <c:f>'estatística'!$B$1053</c:f>
            </c:strRef>
          </c:tx>
          <c:cat>
            <c:strRef>
              <c:f>'estatística'!$C$1:$M$1</c:f>
            </c:strRef>
          </c:cat>
          <c:val>
            <c:numRef>
              <c:f>'estatística'!$C$1053:$M$1053</c:f>
              <c:numCache/>
            </c:numRef>
          </c:val>
        </c:ser>
        <c:ser>
          <c:idx val="1052"/>
          <c:order val="1052"/>
          <c:tx>
            <c:strRef>
              <c:f>'estatística'!$B$1054</c:f>
            </c:strRef>
          </c:tx>
          <c:cat>
            <c:strRef>
              <c:f>'estatística'!$C$1:$M$1</c:f>
            </c:strRef>
          </c:cat>
          <c:val>
            <c:numRef>
              <c:f>'estatística'!$C$1054:$M$1054</c:f>
              <c:numCache/>
            </c:numRef>
          </c:val>
        </c:ser>
        <c:ser>
          <c:idx val="1053"/>
          <c:order val="1053"/>
          <c:tx>
            <c:strRef>
              <c:f>'estatística'!$B$1055</c:f>
            </c:strRef>
          </c:tx>
          <c:cat>
            <c:strRef>
              <c:f>'estatística'!$C$1:$M$1</c:f>
            </c:strRef>
          </c:cat>
          <c:val>
            <c:numRef>
              <c:f>'estatística'!$C$1055:$M$1055</c:f>
              <c:numCache/>
            </c:numRef>
          </c:val>
        </c:ser>
        <c:ser>
          <c:idx val="1054"/>
          <c:order val="1054"/>
          <c:tx>
            <c:strRef>
              <c:f>'estatística'!$B$1056</c:f>
            </c:strRef>
          </c:tx>
          <c:cat>
            <c:strRef>
              <c:f>'estatística'!$C$1:$M$1</c:f>
            </c:strRef>
          </c:cat>
          <c:val>
            <c:numRef>
              <c:f>'estatística'!$C$1056:$M$1056</c:f>
              <c:numCache/>
            </c:numRef>
          </c:val>
        </c:ser>
        <c:ser>
          <c:idx val="1055"/>
          <c:order val="1055"/>
          <c:tx>
            <c:strRef>
              <c:f>'estatística'!$B$1057</c:f>
            </c:strRef>
          </c:tx>
          <c:cat>
            <c:strRef>
              <c:f>'estatística'!$C$1:$M$1</c:f>
            </c:strRef>
          </c:cat>
          <c:val>
            <c:numRef>
              <c:f>'estatística'!$C$1057:$M$1057</c:f>
              <c:numCache/>
            </c:numRef>
          </c:val>
        </c:ser>
        <c:ser>
          <c:idx val="1056"/>
          <c:order val="1056"/>
          <c:tx>
            <c:strRef>
              <c:f>'estatística'!$B$1058</c:f>
            </c:strRef>
          </c:tx>
          <c:cat>
            <c:strRef>
              <c:f>'estatística'!$C$1:$M$1</c:f>
            </c:strRef>
          </c:cat>
          <c:val>
            <c:numRef>
              <c:f>'estatística'!$C$1058:$M$1058</c:f>
              <c:numCache/>
            </c:numRef>
          </c:val>
        </c:ser>
        <c:ser>
          <c:idx val="1057"/>
          <c:order val="1057"/>
          <c:tx>
            <c:strRef>
              <c:f>'estatística'!$B$1059</c:f>
            </c:strRef>
          </c:tx>
          <c:cat>
            <c:strRef>
              <c:f>'estatística'!$C$1:$M$1</c:f>
            </c:strRef>
          </c:cat>
          <c:val>
            <c:numRef>
              <c:f>'estatística'!$C$1059:$M$1059</c:f>
              <c:numCache/>
            </c:numRef>
          </c:val>
        </c:ser>
        <c:ser>
          <c:idx val="1058"/>
          <c:order val="1058"/>
          <c:tx>
            <c:strRef>
              <c:f>'estatística'!$B$1060</c:f>
            </c:strRef>
          </c:tx>
          <c:cat>
            <c:strRef>
              <c:f>'estatística'!$C$1:$M$1</c:f>
            </c:strRef>
          </c:cat>
          <c:val>
            <c:numRef>
              <c:f>'estatística'!$C$1060:$M$1060</c:f>
              <c:numCache/>
            </c:numRef>
          </c:val>
        </c:ser>
        <c:ser>
          <c:idx val="1059"/>
          <c:order val="1059"/>
          <c:tx>
            <c:strRef>
              <c:f>'estatística'!$B$1061</c:f>
            </c:strRef>
          </c:tx>
          <c:cat>
            <c:strRef>
              <c:f>'estatística'!$C$1:$M$1</c:f>
            </c:strRef>
          </c:cat>
          <c:val>
            <c:numRef>
              <c:f>'estatística'!$C$1061:$M$1061</c:f>
              <c:numCache/>
            </c:numRef>
          </c:val>
        </c:ser>
        <c:ser>
          <c:idx val="1060"/>
          <c:order val="1060"/>
          <c:tx>
            <c:strRef>
              <c:f>'estatística'!$B$1062</c:f>
            </c:strRef>
          </c:tx>
          <c:cat>
            <c:strRef>
              <c:f>'estatística'!$C$1:$M$1</c:f>
            </c:strRef>
          </c:cat>
          <c:val>
            <c:numRef>
              <c:f>'estatística'!$C$1062:$M$1062</c:f>
              <c:numCache/>
            </c:numRef>
          </c:val>
        </c:ser>
        <c:ser>
          <c:idx val="1061"/>
          <c:order val="1061"/>
          <c:tx>
            <c:strRef>
              <c:f>'estatística'!$B$1063</c:f>
            </c:strRef>
          </c:tx>
          <c:cat>
            <c:strRef>
              <c:f>'estatística'!$C$1:$M$1</c:f>
            </c:strRef>
          </c:cat>
          <c:val>
            <c:numRef>
              <c:f>'estatística'!$C$1063:$M$1063</c:f>
              <c:numCache/>
            </c:numRef>
          </c:val>
        </c:ser>
        <c:ser>
          <c:idx val="1062"/>
          <c:order val="1062"/>
          <c:tx>
            <c:strRef>
              <c:f>'estatística'!$B$1064</c:f>
            </c:strRef>
          </c:tx>
          <c:cat>
            <c:strRef>
              <c:f>'estatística'!$C$1:$M$1</c:f>
            </c:strRef>
          </c:cat>
          <c:val>
            <c:numRef>
              <c:f>'estatística'!$C$1064:$M$1064</c:f>
              <c:numCache/>
            </c:numRef>
          </c:val>
        </c:ser>
        <c:ser>
          <c:idx val="1063"/>
          <c:order val="1063"/>
          <c:tx>
            <c:strRef>
              <c:f>'estatística'!$B$1065</c:f>
            </c:strRef>
          </c:tx>
          <c:cat>
            <c:strRef>
              <c:f>'estatística'!$C$1:$M$1</c:f>
            </c:strRef>
          </c:cat>
          <c:val>
            <c:numRef>
              <c:f>'estatística'!$C$1065:$M$1065</c:f>
              <c:numCache/>
            </c:numRef>
          </c:val>
        </c:ser>
        <c:ser>
          <c:idx val="1064"/>
          <c:order val="1064"/>
          <c:tx>
            <c:strRef>
              <c:f>'estatística'!$B$1066</c:f>
            </c:strRef>
          </c:tx>
          <c:cat>
            <c:strRef>
              <c:f>'estatística'!$C$1:$M$1</c:f>
            </c:strRef>
          </c:cat>
          <c:val>
            <c:numRef>
              <c:f>'estatística'!$C$1066:$M$1066</c:f>
              <c:numCache/>
            </c:numRef>
          </c:val>
        </c:ser>
        <c:ser>
          <c:idx val="1065"/>
          <c:order val="1065"/>
          <c:tx>
            <c:strRef>
              <c:f>'estatística'!$B$1067</c:f>
            </c:strRef>
          </c:tx>
          <c:cat>
            <c:strRef>
              <c:f>'estatística'!$C$1:$M$1</c:f>
            </c:strRef>
          </c:cat>
          <c:val>
            <c:numRef>
              <c:f>'estatística'!$C$1067:$M$1067</c:f>
              <c:numCache/>
            </c:numRef>
          </c:val>
        </c:ser>
        <c:ser>
          <c:idx val="1066"/>
          <c:order val="1066"/>
          <c:tx>
            <c:strRef>
              <c:f>'estatística'!$B$1068</c:f>
            </c:strRef>
          </c:tx>
          <c:cat>
            <c:strRef>
              <c:f>'estatística'!$C$1:$M$1</c:f>
            </c:strRef>
          </c:cat>
          <c:val>
            <c:numRef>
              <c:f>'estatística'!$C$1068:$M$1068</c:f>
              <c:numCache/>
            </c:numRef>
          </c:val>
        </c:ser>
        <c:ser>
          <c:idx val="1067"/>
          <c:order val="1067"/>
          <c:tx>
            <c:strRef>
              <c:f>'estatística'!$B$1069</c:f>
            </c:strRef>
          </c:tx>
          <c:cat>
            <c:strRef>
              <c:f>'estatística'!$C$1:$M$1</c:f>
            </c:strRef>
          </c:cat>
          <c:val>
            <c:numRef>
              <c:f>'estatística'!$C$1069:$M$1069</c:f>
              <c:numCache/>
            </c:numRef>
          </c:val>
        </c:ser>
        <c:ser>
          <c:idx val="1068"/>
          <c:order val="1068"/>
          <c:tx>
            <c:strRef>
              <c:f>'estatística'!$B$1070</c:f>
            </c:strRef>
          </c:tx>
          <c:cat>
            <c:strRef>
              <c:f>'estatística'!$C$1:$M$1</c:f>
            </c:strRef>
          </c:cat>
          <c:val>
            <c:numRef>
              <c:f>'estatística'!$C$1070:$M$1070</c:f>
              <c:numCache/>
            </c:numRef>
          </c:val>
        </c:ser>
        <c:ser>
          <c:idx val="1069"/>
          <c:order val="1069"/>
          <c:tx>
            <c:strRef>
              <c:f>'estatística'!$B$1071</c:f>
            </c:strRef>
          </c:tx>
          <c:cat>
            <c:strRef>
              <c:f>'estatística'!$C$1:$M$1</c:f>
            </c:strRef>
          </c:cat>
          <c:val>
            <c:numRef>
              <c:f>'estatística'!$C$1071:$M$1071</c:f>
              <c:numCache/>
            </c:numRef>
          </c:val>
        </c:ser>
        <c:ser>
          <c:idx val="1070"/>
          <c:order val="1070"/>
          <c:tx>
            <c:strRef>
              <c:f>'estatística'!$B$1072</c:f>
            </c:strRef>
          </c:tx>
          <c:cat>
            <c:strRef>
              <c:f>'estatística'!$C$1:$M$1</c:f>
            </c:strRef>
          </c:cat>
          <c:val>
            <c:numRef>
              <c:f>'estatística'!$C$1072:$M$1072</c:f>
              <c:numCache/>
            </c:numRef>
          </c:val>
        </c:ser>
        <c:ser>
          <c:idx val="1071"/>
          <c:order val="1071"/>
          <c:tx>
            <c:strRef>
              <c:f>'estatística'!$B$1073</c:f>
            </c:strRef>
          </c:tx>
          <c:cat>
            <c:strRef>
              <c:f>'estatística'!$C$1:$M$1</c:f>
            </c:strRef>
          </c:cat>
          <c:val>
            <c:numRef>
              <c:f>'estatística'!$C$1073:$M$1073</c:f>
              <c:numCache/>
            </c:numRef>
          </c:val>
        </c:ser>
        <c:ser>
          <c:idx val="1072"/>
          <c:order val="1072"/>
          <c:tx>
            <c:strRef>
              <c:f>'estatística'!$B$1074</c:f>
            </c:strRef>
          </c:tx>
          <c:cat>
            <c:strRef>
              <c:f>'estatística'!$C$1:$M$1</c:f>
            </c:strRef>
          </c:cat>
          <c:val>
            <c:numRef>
              <c:f>'estatística'!$C$1074:$M$1074</c:f>
              <c:numCache/>
            </c:numRef>
          </c:val>
        </c:ser>
        <c:ser>
          <c:idx val="1073"/>
          <c:order val="1073"/>
          <c:tx>
            <c:strRef>
              <c:f>'estatística'!$B$1075</c:f>
            </c:strRef>
          </c:tx>
          <c:cat>
            <c:strRef>
              <c:f>'estatística'!$C$1:$M$1</c:f>
            </c:strRef>
          </c:cat>
          <c:val>
            <c:numRef>
              <c:f>'estatística'!$C$1075:$M$1075</c:f>
              <c:numCache/>
            </c:numRef>
          </c:val>
        </c:ser>
        <c:ser>
          <c:idx val="1074"/>
          <c:order val="1074"/>
          <c:tx>
            <c:strRef>
              <c:f>'estatística'!$B$1076</c:f>
            </c:strRef>
          </c:tx>
          <c:cat>
            <c:strRef>
              <c:f>'estatística'!$C$1:$M$1</c:f>
            </c:strRef>
          </c:cat>
          <c:val>
            <c:numRef>
              <c:f>'estatística'!$C$1076:$M$1076</c:f>
              <c:numCache/>
            </c:numRef>
          </c:val>
        </c:ser>
        <c:ser>
          <c:idx val="1075"/>
          <c:order val="1075"/>
          <c:tx>
            <c:strRef>
              <c:f>'estatística'!$B$1077</c:f>
            </c:strRef>
          </c:tx>
          <c:cat>
            <c:strRef>
              <c:f>'estatística'!$C$1:$M$1</c:f>
            </c:strRef>
          </c:cat>
          <c:val>
            <c:numRef>
              <c:f>'estatística'!$C$1077:$M$1077</c:f>
              <c:numCache/>
            </c:numRef>
          </c:val>
        </c:ser>
        <c:ser>
          <c:idx val="1076"/>
          <c:order val="1076"/>
          <c:tx>
            <c:strRef>
              <c:f>'estatística'!$B$1078</c:f>
            </c:strRef>
          </c:tx>
          <c:cat>
            <c:strRef>
              <c:f>'estatística'!$C$1:$M$1</c:f>
            </c:strRef>
          </c:cat>
          <c:val>
            <c:numRef>
              <c:f>'estatística'!$C$1078:$M$1078</c:f>
              <c:numCache/>
            </c:numRef>
          </c:val>
        </c:ser>
        <c:ser>
          <c:idx val="1077"/>
          <c:order val="1077"/>
          <c:tx>
            <c:strRef>
              <c:f>'estatística'!$B$1079</c:f>
            </c:strRef>
          </c:tx>
          <c:cat>
            <c:strRef>
              <c:f>'estatística'!$C$1:$M$1</c:f>
            </c:strRef>
          </c:cat>
          <c:val>
            <c:numRef>
              <c:f>'estatística'!$C$1079:$M$1079</c:f>
              <c:numCache/>
            </c:numRef>
          </c:val>
        </c:ser>
        <c:ser>
          <c:idx val="1078"/>
          <c:order val="1078"/>
          <c:tx>
            <c:strRef>
              <c:f>'estatística'!$B$1080</c:f>
            </c:strRef>
          </c:tx>
          <c:cat>
            <c:strRef>
              <c:f>'estatística'!$C$1:$M$1</c:f>
            </c:strRef>
          </c:cat>
          <c:val>
            <c:numRef>
              <c:f>'estatística'!$C$1080:$M$1080</c:f>
              <c:numCache/>
            </c:numRef>
          </c:val>
        </c:ser>
        <c:ser>
          <c:idx val="1079"/>
          <c:order val="1079"/>
          <c:tx>
            <c:strRef>
              <c:f>'estatística'!$B$1081</c:f>
            </c:strRef>
          </c:tx>
          <c:cat>
            <c:strRef>
              <c:f>'estatística'!$C$1:$M$1</c:f>
            </c:strRef>
          </c:cat>
          <c:val>
            <c:numRef>
              <c:f>'estatística'!$C$1081:$M$1081</c:f>
              <c:numCache/>
            </c:numRef>
          </c:val>
        </c:ser>
        <c:ser>
          <c:idx val="1080"/>
          <c:order val="1080"/>
          <c:tx>
            <c:strRef>
              <c:f>'estatística'!$B$1082</c:f>
            </c:strRef>
          </c:tx>
          <c:cat>
            <c:strRef>
              <c:f>'estatística'!$C$1:$M$1</c:f>
            </c:strRef>
          </c:cat>
          <c:val>
            <c:numRef>
              <c:f>'estatística'!$C$1082:$M$1082</c:f>
              <c:numCache/>
            </c:numRef>
          </c:val>
        </c:ser>
        <c:ser>
          <c:idx val="1081"/>
          <c:order val="1081"/>
          <c:tx>
            <c:strRef>
              <c:f>'estatística'!$B$1083</c:f>
            </c:strRef>
          </c:tx>
          <c:cat>
            <c:strRef>
              <c:f>'estatística'!$C$1:$M$1</c:f>
            </c:strRef>
          </c:cat>
          <c:val>
            <c:numRef>
              <c:f>'estatística'!$C$1083:$M$1083</c:f>
              <c:numCache/>
            </c:numRef>
          </c:val>
        </c:ser>
        <c:ser>
          <c:idx val="1082"/>
          <c:order val="1082"/>
          <c:tx>
            <c:strRef>
              <c:f>'estatística'!$B$1084</c:f>
            </c:strRef>
          </c:tx>
          <c:cat>
            <c:strRef>
              <c:f>'estatística'!$C$1:$M$1</c:f>
            </c:strRef>
          </c:cat>
          <c:val>
            <c:numRef>
              <c:f>'estatística'!$C$1084:$M$1084</c:f>
              <c:numCache/>
            </c:numRef>
          </c:val>
        </c:ser>
        <c:ser>
          <c:idx val="1083"/>
          <c:order val="1083"/>
          <c:tx>
            <c:strRef>
              <c:f>'estatística'!$B$1085</c:f>
            </c:strRef>
          </c:tx>
          <c:cat>
            <c:strRef>
              <c:f>'estatística'!$C$1:$M$1</c:f>
            </c:strRef>
          </c:cat>
          <c:val>
            <c:numRef>
              <c:f>'estatística'!$C$1085:$M$1085</c:f>
              <c:numCache/>
            </c:numRef>
          </c:val>
        </c:ser>
        <c:ser>
          <c:idx val="1084"/>
          <c:order val="1084"/>
          <c:tx>
            <c:strRef>
              <c:f>'estatística'!$B$1086</c:f>
            </c:strRef>
          </c:tx>
          <c:cat>
            <c:strRef>
              <c:f>'estatística'!$C$1:$M$1</c:f>
            </c:strRef>
          </c:cat>
          <c:val>
            <c:numRef>
              <c:f>'estatística'!$C$1086:$M$1086</c:f>
              <c:numCache/>
            </c:numRef>
          </c:val>
        </c:ser>
        <c:ser>
          <c:idx val="1085"/>
          <c:order val="1085"/>
          <c:tx>
            <c:strRef>
              <c:f>'estatística'!$B$1087</c:f>
            </c:strRef>
          </c:tx>
          <c:cat>
            <c:strRef>
              <c:f>'estatística'!$C$1:$M$1</c:f>
            </c:strRef>
          </c:cat>
          <c:val>
            <c:numRef>
              <c:f>'estatística'!$C$1087:$M$1087</c:f>
              <c:numCache/>
            </c:numRef>
          </c:val>
        </c:ser>
        <c:ser>
          <c:idx val="1086"/>
          <c:order val="1086"/>
          <c:tx>
            <c:strRef>
              <c:f>'estatística'!$B$1088</c:f>
            </c:strRef>
          </c:tx>
          <c:cat>
            <c:strRef>
              <c:f>'estatística'!$C$1:$M$1</c:f>
            </c:strRef>
          </c:cat>
          <c:val>
            <c:numRef>
              <c:f>'estatística'!$C$1088:$M$1088</c:f>
              <c:numCache/>
            </c:numRef>
          </c:val>
        </c:ser>
        <c:ser>
          <c:idx val="1087"/>
          <c:order val="1087"/>
          <c:tx>
            <c:strRef>
              <c:f>'estatística'!$B$1089</c:f>
            </c:strRef>
          </c:tx>
          <c:cat>
            <c:strRef>
              <c:f>'estatística'!$C$1:$M$1</c:f>
            </c:strRef>
          </c:cat>
          <c:val>
            <c:numRef>
              <c:f>'estatística'!$C$1089:$M$1089</c:f>
              <c:numCache/>
            </c:numRef>
          </c:val>
        </c:ser>
        <c:ser>
          <c:idx val="1088"/>
          <c:order val="1088"/>
          <c:tx>
            <c:strRef>
              <c:f>'estatística'!$B$1090</c:f>
            </c:strRef>
          </c:tx>
          <c:cat>
            <c:strRef>
              <c:f>'estatística'!$C$1:$M$1</c:f>
            </c:strRef>
          </c:cat>
          <c:val>
            <c:numRef>
              <c:f>'estatística'!$C$1090:$M$1090</c:f>
              <c:numCache/>
            </c:numRef>
          </c:val>
        </c:ser>
        <c:ser>
          <c:idx val="1089"/>
          <c:order val="1089"/>
          <c:tx>
            <c:strRef>
              <c:f>'estatística'!$B$1091</c:f>
            </c:strRef>
          </c:tx>
          <c:cat>
            <c:strRef>
              <c:f>'estatística'!$C$1:$M$1</c:f>
            </c:strRef>
          </c:cat>
          <c:val>
            <c:numRef>
              <c:f>'estatística'!$C$1091:$M$1091</c:f>
              <c:numCache/>
            </c:numRef>
          </c:val>
        </c:ser>
        <c:ser>
          <c:idx val="1090"/>
          <c:order val="1090"/>
          <c:tx>
            <c:strRef>
              <c:f>'estatística'!$B$1092</c:f>
            </c:strRef>
          </c:tx>
          <c:cat>
            <c:strRef>
              <c:f>'estatística'!$C$1:$M$1</c:f>
            </c:strRef>
          </c:cat>
          <c:val>
            <c:numRef>
              <c:f>'estatística'!$C$1092:$M$1092</c:f>
              <c:numCache/>
            </c:numRef>
          </c:val>
        </c:ser>
        <c:ser>
          <c:idx val="1091"/>
          <c:order val="1091"/>
          <c:tx>
            <c:strRef>
              <c:f>'estatística'!$B$1093</c:f>
            </c:strRef>
          </c:tx>
          <c:cat>
            <c:strRef>
              <c:f>'estatística'!$C$1:$M$1</c:f>
            </c:strRef>
          </c:cat>
          <c:val>
            <c:numRef>
              <c:f>'estatística'!$C$1093:$M$1093</c:f>
              <c:numCache/>
            </c:numRef>
          </c:val>
        </c:ser>
        <c:ser>
          <c:idx val="1092"/>
          <c:order val="1092"/>
          <c:tx>
            <c:strRef>
              <c:f>'estatística'!$B$1094</c:f>
            </c:strRef>
          </c:tx>
          <c:cat>
            <c:strRef>
              <c:f>'estatística'!$C$1:$M$1</c:f>
            </c:strRef>
          </c:cat>
          <c:val>
            <c:numRef>
              <c:f>'estatística'!$C$1094:$M$1094</c:f>
              <c:numCache/>
            </c:numRef>
          </c:val>
        </c:ser>
        <c:ser>
          <c:idx val="1093"/>
          <c:order val="1093"/>
          <c:tx>
            <c:strRef>
              <c:f>'estatística'!$B$1095</c:f>
            </c:strRef>
          </c:tx>
          <c:cat>
            <c:strRef>
              <c:f>'estatística'!$C$1:$M$1</c:f>
            </c:strRef>
          </c:cat>
          <c:val>
            <c:numRef>
              <c:f>'estatística'!$C$1095:$M$1095</c:f>
              <c:numCache/>
            </c:numRef>
          </c:val>
        </c:ser>
        <c:ser>
          <c:idx val="1094"/>
          <c:order val="1094"/>
          <c:tx>
            <c:strRef>
              <c:f>'estatística'!$B$1096</c:f>
            </c:strRef>
          </c:tx>
          <c:cat>
            <c:strRef>
              <c:f>'estatística'!$C$1:$M$1</c:f>
            </c:strRef>
          </c:cat>
          <c:val>
            <c:numRef>
              <c:f>'estatística'!$C$1096:$M$1096</c:f>
              <c:numCache/>
            </c:numRef>
          </c:val>
        </c:ser>
        <c:ser>
          <c:idx val="1095"/>
          <c:order val="1095"/>
          <c:tx>
            <c:strRef>
              <c:f>'estatística'!$B$1097</c:f>
            </c:strRef>
          </c:tx>
          <c:cat>
            <c:strRef>
              <c:f>'estatística'!$C$1:$M$1</c:f>
            </c:strRef>
          </c:cat>
          <c:val>
            <c:numRef>
              <c:f>'estatística'!$C$1097:$M$1097</c:f>
              <c:numCache/>
            </c:numRef>
          </c:val>
        </c:ser>
        <c:ser>
          <c:idx val="1096"/>
          <c:order val="1096"/>
          <c:tx>
            <c:strRef>
              <c:f>'estatística'!$B$1098</c:f>
            </c:strRef>
          </c:tx>
          <c:cat>
            <c:strRef>
              <c:f>'estatística'!$C$1:$M$1</c:f>
            </c:strRef>
          </c:cat>
          <c:val>
            <c:numRef>
              <c:f>'estatística'!$C$1098:$M$1098</c:f>
              <c:numCache/>
            </c:numRef>
          </c:val>
        </c:ser>
        <c:ser>
          <c:idx val="1097"/>
          <c:order val="1097"/>
          <c:tx>
            <c:strRef>
              <c:f>'estatística'!$B$1099</c:f>
            </c:strRef>
          </c:tx>
          <c:cat>
            <c:strRef>
              <c:f>'estatística'!$C$1:$M$1</c:f>
            </c:strRef>
          </c:cat>
          <c:val>
            <c:numRef>
              <c:f>'estatística'!$C$1099:$M$1099</c:f>
              <c:numCache/>
            </c:numRef>
          </c:val>
        </c:ser>
        <c:ser>
          <c:idx val="1098"/>
          <c:order val="1098"/>
          <c:tx>
            <c:strRef>
              <c:f>'estatística'!$B$1100</c:f>
            </c:strRef>
          </c:tx>
          <c:cat>
            <c:strRef>
              <c:f>'estatística'!$C$1:$M$1</c:f>
            </c:strRef>
          </c:cat>
          <c:val>
            <c:numRef>
              <c:f>'estatística'!$C$1100:$M$1100</c:f>
              <c:numCache/>
            </c:numRef>
          </c:val>
        </c:ser>
        <c:ser>
          <c:idx val="1099"/>
          <c:order val="1099"/>
          <c:tx>
            <c:strRef>
              <c:f>'estatística'!$B$1101</c:f>
            </c:strRef>
          </c:tx>
          <c:cat>
            <c:strRef>
              <c:f>'estatística'!$C$1:$M$1</c:f>
            </c:strRef>
          </c:cat>
          <c:val>
            <c:numRef>
              <c:f>'estatística'!$C$1101:$M$1101</c:f>
              <c:numCache/>
            </c:numRef>
          </c:val>
        </c:ser>
        <c:ser>
          <c:idx val="1100"/>
          <c:order val="1100"/>
          <c:tx>
            <c:strRef>
              <c:f>'estatística'!$B$1102</c:f>
            </c:strRef>
          </c:tx>
          <c:cat>
            <c:strRef>
              <c:f>'estatística'!$C$1:$M$1</c:f>
            </c:strRef>
          </c:cat>
          <c:val>
            <c:numRef>
              <c:f>'estatística'!$C$1102:$M$1102</c:f>
              <c:numCache/>
            </c:numRef>
          </c:val>
        </c:ser>
        <c:ser>
          <c:idx val="1101"/>
          <c:order val="1101"/>
          <c:tx>
            <c:strRef>
              <c:f>'estatística'!$B$1103</c:f>
            </c:strRef>
          </c:tx>
          <c:cat>
            <c:strRef>
              <c:f>'estatística'!$C$1:$M$1</c:f>
            </c:strRef>
          </c:cat>
          <c:val>
            <c:numRef>
              <c:f>'estatística'!$C$1103:$M$1103</c:f>
              <c:numCache/>
            </c:numRef>
          </c:val>
        </c:ser>
        <c:ser>
          <c:idx val="1102"/>
          <c:order val="1102"/>
          <c:tx>
            <c:strRef>
              <c:f>'estatística'!$B$1104</c:f>
            </c:strRef>
          </c:tx>
          <c:cat>
            <c:strRef>
              <c:f>'estatística'!$C$1:$M$1</c:f>
            </c:strRef>
          </c:cat>
          <c:val>
            <c:numRef>
              <c:f>'estatística'!$C$1104:$M$1104</c:f>
              <c:numCache/>
            </c:numRef>
          </c:val>
        </c:ser>
        <c:ser>
          <c:idx val="1103"/>
          <c:order val="1103"/>
          <c:tx>
            <c:strRef>
              <c:f>'estatística'!$B$1105</c:f>
            </c:strRef>
          </c:tx>
          <c:cat>
            <c:strRef>
              <c:f>'estatística'!$C$1:$M$1</c:f>
            </c:strRef>
          </c:cat>
          <c:val>
            <c:numRef>
              <c:f>'estatística'!$C$1105:$M$1105</c:f>
              <c:numCache/>
            </c:numRef>
          </c:val>
        </c:ser>
        <c:ser>
          <c:idx val="1104"/>
          <c:order val="1104"/>
          <c:tx>
            <c:strRef>
              <c:f>'estatística'!$B$1106</c:f>
            </c:strRef>
          </c:tx>
          <c:cat>
            <c:strRef>
              <c:f>'estatística'!$C$1:$M$1</c:f>
            </c:strRef>
          </c:cat>
          <c:val>
            <c:numRef>
              <c:f>'estatística'!$C$1106:$M$1106</c:f>
              <c:numCache/>
            </c:numRef>
          </c:val>
        </c:ser>
        <c:ser>
          <c:idx val="1105"/>
          <c:order val="1105"/>
          <c:tx>
            <c:strRef>
              <c:f>'estatística'!$B$1107</c:f>
            </c:strRef>
          </c:tx>
          <c:cat>
            <c:strRef>
              <c:f>'estatística'!$C$1:$M$1</c:f>
            </c:strRef>
          </c:cat>
          <c:val>
            <c:numRef>
              <c:f>'estatística'!$C$1107:$M$1107</c:f>
              <c:numCache/>
            </c:numRef>
          </c:val>
        </c:ser>
        <c:ser>
          <c:idx val="1106"/>
          <c:order val="1106"/>
          <c:tx>
            <c:strRef>
              <c:f>'estatística'!$B$1108</c:f>
            </c:strRef>
          </c:tx>
          <c:cat>
            <c:strRef>
              <c:f>'estatística'!$C$1:$M$1</c:f>
            </c:strRef>
          </c:cat>
          <c:val>
            <c:numRef>
              <c:f>'estatística'!$C$1108:$M$1108</c:f>
              <c:numCache/>
            </c:numRef>
          </c:val>
        </c:ser>
        <c:ser>
          <c:idx val="1107"/>
          <c:order val="1107"/>
          <c:tx>
            <c:strRef>
              <c:f>'estatística'!$B$1109</c:f>
            </c:strRef>
          </c:tx>
          <c:cat>
            <c:strRef>
              <c:f>'estatística'!$C$1:$M$1</c:f>
            </c:strRef>
          </c:cat>
          <c:val>
            <c:numRef>
              <c:f>'estatística'!$C$1109:$M$1109</c:f>
              <c:numCache/>
            </c:numRef>
          </c:val>
        </c:ser>
        <c:ser>
          <c:idx val="1108"/>
          <c:order val="1108"/>
          <c:tx>
            <c:strRef>
              <c:f>'estatística'!$B$1110</c:f>
            </c:strRef>
          </c:tx>
          <c:cat>
            <c:strRef>
              <c:f>'estatística'!$C$1:$M$1</c:f>
            </c:strRef>
          </c:cat>
          <c:val>
            <c:numRef>
              <c:f>'estatística'!$C$1110:$M$1110</c:f>
              <c:numCache/>
            </c:numRef>
          </c:val>
        </c:ser>
        <c:ser>
          <c:idx val="1109"/>
          <c:order val="1109"/>
          <c:tx>
            <c:strRef>
              <c:f>'estatística'!$B$1111</c:f>
            </c:strRef>
          </c:tx>
          <c:cat>
            <c:strRef>
              <c:f>'estatística'!$C$1:$M$1</c:f>
            </c:strRef>
          </c:cat>
          <c:val>
            <c:numRef>
              <c:f>'estatística'!$C$1111:$M$1111</c:f>
              <c:numCache/>
            </c:numRef>
          </c:val>
        </c:ser>
        <c:ser>
          <c:idx val="1110"/>
          <c:order val="1110"/>
          <c:tx>
            <c:strRef>
              <c:f>'estatística'!$B$1112</c:f>
            </c:strRef>
          </c:tx>
          <c:cat>
            <c:strRef>
              <c:f>'estatística'!$C$1:$M$1</c:f>
            </c:strRef>
          </c:cat>
          <c:val>
            <c:numRef>
              <c:f>'estatística'!$C$1112:$M$1112</c:f>
              <c:numCache/>
            </c:numRef>
          </c:val>
        </c:ser>
        <c:ser>
          <c:idx val="1111"/>
          <c:order val="1111"/>
          <c:tx>
            <c:strRef>
              <c:f>'estatística'!$B$1113</c:f>
            </c:strRef>
          </c:tx>
          <c:cat>
            <c:strRef>
              <c:f>'estatística'!$C$1:$M$1</c:f>
            </c:strRef>
          </c:cat>
          <c:val>
            <c:numRef>
              <c:f>'estatística'!$C$1113:$M$1113</c:f>
              <c:numCache/>
            </c:numRef>
          </c:val>
        </c:ser>
        <c:ser>
          <c:idx val="1112"/>
          <c:order val="1112"/>
          <c:tx>
            <c:strRef>
              <c:f>'estatística'!$B$1114</c:f>
            </c:strRef>
          </c:tx>
          <c:cat>
            <c:strRef>
              <c:f>'estatística'!$C$1:$M$1</c:f>
            </c:strRef>
          </c:cat>
          <c:val>
            <c:numRef>
              <c:f>'estatística'!$C$1114:$M$1114</c:f>
              <c:numCache/>
            </c:numRef>
          </c:val>
        </c:ser>
        <c:ser>
          <c:idx val="1113"/>
          <c:order val="1113"/>
          <c:tx>
            <c:strRef>
              <c:f>'estatística'!$B$1115</c:f>
            </c:strRef>
          </c:tx>
          <c:cat>
            <c:strRef>
              <c:f>'estatística'!$C$1:$M$1</c:f>
            </c:strRef>
          </c:cat>
          <c:val>
            <c:numRef>
              <c:f>'estatística'!$C$1115:$M$1115</c:f>
              <c:numCache/>
            </c:numRef>
          </c:val>
        </c:ser>
        <c:ser>
          <c:idx val="1114"/>
          <c:order val="1114"/>
          <c:tx>
            <c:strRef>
              <c:f>'estatística'!$B$1116</c:f>
            </c:strRef>
          </c:tx>
          <c:cat>
            <c:strRef>
              <c:f>'estatística'!$C$1:$M$1</c:f>
            </c:strRef>
          </c:cat>
          <c:val>
            <c:numRef>
              <c:f>'estatística'!$C$1116:$M$1116</c:f>
              <c:numCache/>
            </c:numRef>
          </c:val>
        </c:ser>
        <c:ser>
          <c:idx val="1115"/>
          <c:order val="1115"/>
          <c:tx>
            <c:strRef>
              <c:f>'estatística'!$B$1117</c:f>
            </c:strRef>
          </c:tx>
          <c:cat>
            <c:strRef>
              <c:f>'estatística'!$C$1:$M$1</c:f>
            </c:strRef>
          </c:cat>
          <c:val>
            <c:numRef>
              <c:f>'estatística'!$C$1117:$M$1117</c:f>
              <c:numCache/>
            </c:numRef>
          </c:val>
        </c:ser>
        <c:ser>
          <c:idx val="1116"/>
          <c:order val="1116"/>
          <c:tx>
            <c:strRef>
              <c:f>'estatística'!$B$1118</c:f>
            </c:strRef>
          </c:tx>
          <c:cat>
            <c:strRef>
              <c:f>'estatística'!$C$1:$M$1</c:f>
            </c:strRef>
          </c:cat>
          <c:val>
            <c:numRef>
              <c:f>'estatística'!$C$1118:$M$1118</c:f>
              <c:numCache/>
            </c:numRef>
          </c:val>
        </c:ser>
        <c:ser>
          <c:idx val="1117"/>
          <c:order val="1117"/>
          <c:tx>
            <c:strRef>
              <c:f>'estatística'!$B$1119</c:f>
            </c:strRef>
          </c:tx>
          <c:cat>
            <c:strRef>
              <c:f>'estatística'!$C$1:$M$1</c:f>
            </c:strRef>
          </c:cat>
          <c:val>
            <c:numRef>
              <c:f>'estatística'!$C$1119:$M$1119</c:f>
              <c:numCache/>
            </c:numRef>
          </c:val>
        </c:ser>
        <c:ser>
          <c:idx val="1118"/>
          <c:order val="1118"/>
          <c:tx>
            <c:strRef>
              <c:f>'estatística'!$B$1120</c:f>
            </c:strRef>
          </c:tx>
          <c:cat>
            <c:strRef>
              <c:f>'estatística'!$C$1:$M$1</c:f>
            </c:strRef>
          </c:cat>
          <c:val>
            <c:numRef>
              <c:f>'estatística'!$C$1120:$M$1120</c:f>
              <c:numCache/>
            </c:numRef>
          </c:val>
        </c:ser>
        <c:ser>
          <c:idx val="1119"/>
          <c:order val="1119"/>
          <c:tx>
            <c:strRef>
              <c:f>'estatística'!$B$1121</c:f>
            </c:strRef>
          </c:tx>
          <c:cat>
            <c:strRef>
              <c:f>'estatística'!$C$1:$M$1</c:f>
            </c:strRef>
          </c:cat>
          <c:val>
            <c:numRef>
              <c:f>'estatística'!$C$1121:$M$1121</c:f>
              <c:numCache/>
            </c:numRef>
          </c:val>
        </c:ser>
        <c:ser>
          <c:idx val="1120"/>
          <c:order val="1120"/>
          <c:tx>
            <c:strRef>
              <c:f>'estatística'!$B$1122</c:f>
            </c:strRef>
          </c:tx>
          <c:cat>
            <c:strRef>
              <c:f>'estatística'!$C$1:$M$1</c:f>
            </c:strRef>
          </c:cat>
          <c:val>
            <c:numRef>
              <c:f>'estatística'!$C$1122:$M$1122</c:f>
              <c:numCache/>
            </c:numRef>
          </c:val>
        </c:ser>
        <c:ser>
          <c:idx val="1121"/>
          <c:order val="1121"/>
          <c:tx>
            <c:strRef>
              <c:f>'estatística'!$B$1123</c:f>
            </c:strRef>
          </c:tx>
          <c:cat>
            <c:strRef>
              <c:f>'estatística'!$C$1:$M$1</c:f>
            </c:strRef>
          </c:cat>
          <c:val>
            <c:numRef>
              <c:f>'estatística'!$C$1123:$M$1123</c:f>
              <c:numCache/>
            </c:numRef>
          </c:val>
        </c:ser>
        <c:ser>
          <c:idx val="1122"/>
          <c:order val="1122"/>
          <c:tx>
            <c:strRef>
              <c:f>'estatística'!$B$1124</c:f>
            </c:strRef>
          </c:tx>
          <c:cat>
            <c:strRef>
              <c:f>'estatística'!$C$1:$M$1</c:f>
            </c:strRef>
          </c:cat>
          <c:val>
            <c:numRef>
              <c:f>'estatística'!$C$1124:$M$1124</c:f>
              <c:numCache/>
            </c:numRef>
          </c:val>
        </c:ser>
        <c:ser>
          <c:idx val="1123"/>
          <c:order val="1123"/>
          <c:tx>
            <c:strRef>
              <c:f>'estatística'!$B$1125</c:f>
            </c:strRef>
          </c:tx>
          <c:cat>
            <c:strRef>
              <c:f>'estatística'!$C$1:$M$1</c:f>
            </c:strRef>
          </c:cat>
          <c:val>
            <c:numRef>
              <c:f>'estatística'!$C$1125:$M$1125</c:f>
              <c:numCache/>
            </c:numRef>
          </c:val>
        </c:ser>
        <c:ser>
          <c:idx val="1124"/>
          <c:order val="1124"/>
          <c:tx>
            <c:strRef>
              <c:f>'estatística'!$B$1126</c:f>
            </c:strRef>
          </c:tx>
          <c:cat>
            <c:strRef>
              <c:f>'estatística'!$C$1:$M$1</c:f>
            </c:strRef>
          </c:cat>
          <c:val>
            <c:numRef>
              <c:f>'estatística'!$C$1126:$M$1126</c:f>
              <c:numCache/>
            </c:numRef>
          </c:val>
        </c:ser>
        <c:ser>
          <c:idx val="1125"/>
          <c:order val="1125"/>
          <c:tx>
            <c:strRef>
              <c:f>'estatística'!$B$1127</c:f>
            </c:strRef>
          </c:tx>
          <c:cat>
            <c:strRef>
              <c:f>'estatística'!$C$1:$M$1</c:f>
            </c:strRef>
          </c:cat>
          <c:val>
            <c:numRef>
              <c:f>'estatística'!$C$1127:$M$1127</c:f>
              <c:numCache/>
            </c:numRef>
          </c:val>
        </c:ser>
        <c:ser>
          <c:idx val="1126"/>
          <c:order val="1126"/>
          <c:tx>
            <c:strRef>
              <c:f>'estatística'!$B$1128</c:f>
            </c:strRef>
          </c:tx>
          <c:cat>
            <c:strRef>
              <c:f>'estatística'!$C$1:$M$1</c:f>
            </c:strRef>
          </c:cat>
          <c:val>
            <c:numRef>
              <c:f>'estatística'!$C$1128:$M$1128</c:f>
              <c:numCache/>
            </c:numRef>
          </c:val>
        </c:ser>
        <c:ser>
          <c:idx val="1127"/>
          <c:order val="1127"/>
          <c:tx>
            <c:strRef>
              <c:f>'estatística'!$B$1129</c:f>
            </c:strRef>
          </c:tx>
          <c:cat>
            <c:strRef>
              <c:f>'estatística'!$C$1:$M$1</c:f>
            </c:strRef>
          </c:cat>
          <c:val>
            <c:numRef>
              <c:f>'estatística'!$C$1129:$M$1129</c:f>
              <c:numCache/>
            </c:numRef>
          </c:val>
        </c:ser>
        <c:ser>
          <c:idx val="1128"/>
          <c:order val="1128"/>
          <c:tx>
            <c:strRef>
              <c:f>'estatística'!$B$1130</c:f>
            </c:strRef>
          </c:tx>
          <c:cat>
            <c:strRef>
              <c:f>'estatística'!$C$1:$M$1</c:f>
            </c:strRef>
          </c:cat>
          <c:val>
            <c:numRef>
              <c:f>'estatística'!$C$1130:$M$1130</c:f>
              <c:numCache/>
            </c:numRef>
          </c:val>
        </c:ser>
        <c:ser>
          <c:idx val="1129"/>
          <c:order val="1129"/>
          <c:tx>
            <c:strRef>
              <c:f>'estatística'!$B$1131</c:f>
            </c:strRef>
          </c:tx>
          <c:cat>
            <c:strRef>
              <c:f>'estatística'!$C$1:$M$1</c:f>
            </c:strRef>
          </c:cat>
          <c:val>
            <c:numRef>
              <c:f>'estatística'!$C$1131:$M$1131</c:f>
              <c:numCache/>
            </c:numRef>
          </c:val>
        </c:ser>
        <c:ser>
          <c:idx val="1130"/>
          <c:order val="1130"/>
          <c:tx>
            <c:strRef>
              <c:f>'estatística'!$B$1132</c:f>
            </c:strRef>
          </c:tx>
          <c:cat>
            <c:strRef>
              <c:f>'estatística'!$C$1:$M$1</c:f>
            </c:strRef>
          </c:cat>
          <c:val>
            <c:numRef>
              <c:f>'estatística'!$C$1132:$M$1132</c:f>
              <c:numCache/>
            </c:numRef>
          </c:val>
        </c:ser>
        <c:ser>
          <c:idx val="1131"/>
          <c:order val="1131"/>
          <c:tx>
            <c:strRef>
              <c:f>'estatística'!$B$1133</c:f>
            </c:strRef>
          </c:tx>
          <c:cat>
            <c:strRef>
              <c:f>'estatística'!$C$1:$M$1</c:f>
            </c:strRef>
          </c:cat>
          <c:val>
            <c:numRef>
              <c:f>'estatística'!$C$1133:$M$1133</c:f>
              <c:numCache/>
            </c:numRef>
          </c:val>
        </c:ser>
        <c:ser>
          <c:idx val="1132"/>
          <c:order val="1132"/>
          <c:tx>
            <c:strRef>
              <c:f>'estatística'!$B$1134</c:f>
            </c:strRef>
          </c:tx>
          <c:cat>
            <c:strRef>
              <c:f>'estatística'!$C$1:$M$1</c:f>
            </c:strRef>
          </c:cat>
          <c:val>
            <c:numRef>
              <c:f>'estatística'!$C$1134:$M$1134</c:f>
              <c:numCache/>
            </c:numRef>
          </c:val>
        </c:ser>
        <c:ser>
          <c:idx val="1133"/>
          <c:order val="1133"/>
          <c:tx>
            <c:strRef>
              <c:f>'estatística'!$B$1135</c:f>
            </c:strRef>
          </c:tx>
          <c:cat>
            <c:strRef>
              <c:f>'estatística'!$C$1:$M$1</c:f>
            </c:strRef>
          </c:cat>
          <c:val>
            <c:numRef>
              <c:f>'estatística'!$C$1135:$M$1135</c:f>
              <c:numCache/>
            </c:numRef>
          </c:val>
        </c:ser>
        <c:ser>
          <c:idx val="1134"/>
          <c:order val="1134"/>
          <c:tx>
            <c:strRef>
              <c:f>'estatística'!$B$1136</c:f>
            </c:strRef>
          </c:tx>
          <c:cat>
            <c:strRef>
              <c:f>'estatística'!$C$1:$M$1</c:f>
            </c:strRef>
          </c:cat>
          <c:val>
            <c:numRef>
              <c:f>'estatística'!$C$1136:$M$1136</c:f>
              <c:numCache/>
            </c:numRef>
          </c:val>
        </c:ser>
        <c:ser>
          <c:idx val="1135"/>
          <c:order val="1135"/>
          <c:tx>
            <c:strRef>
              <c:f>'estatística'!$B$1137</c:f>
            </c:strRef>
          </c:tx>
          <c:cat>
            <c:strRef>
              <c:f>'estatística'!$C$1:$M$1</c:f>
            </c:strRef>
          </c:cat>
          <c:val>
            <c:numRef>
              <c:f>'estatística'!$C$1137:$M$1137</c:f>
              <c:numCache/>
            </c:numRef>
          </c:val>
        </c:ser>
        <c:ser>
          <c:idx val="1136"/>
          <c:order val="1136"/>
          <c:tx>
            <c:strRef>
              <c:f>'estatística'!$B$1138</c:f>
            </c:strRef>
          </c:tx>
          <c:cat>
            <c:strRef>
              <c:f>'estatística'!$C$1:$M$1</c:f>
            </c:strRef>
          </c:cat>
          <c:val>
            <c:numRef>
              <c:f>'estatística'!$C$1138:$M$1138</c:f>
              <c:numCache/>
            </c:numRef>
          </c:val>
        </c:ser>
        <c:ser>
          <c:idx val="1137"/>
          <c:order val="1137"/>
          <c:tx>
            <c:strRef>
              <c:f>'estatística'!$B$1139</c:f>
            </c:strRef>
          </c:tx>
          <c:cat>
            <c:strRef>
              <c:f>'estatística'!$C$1:$M$1</c:f>
            </c:strRef>
          </c:cat>
          <c:val>
            <c:numRef>
              <c:f>'estatística'!$C$1139:$M$1139</c:f>
              <c:numCache/>
            </c:numRef>
          </c:val>
        </c:ser>
        <c:ser>
          <c:idx val="1138"/>
          <c:order val="1138"/>
          <c:tx>
            <c:strRef>
              <c:f>'estatística'!$B$1140</c:f>
            </c:strRef>
          </c:tx>
          <c:cat>
            <c:strRef>
              <c:f>'estatística'!$C$1:$M$1</c:f>
            </c:strRef>
          </c:cat>
          <c:val>
            <c:numRef>
              <c:f>'estatística'!$C$1140:$M$1140</c:f>
              <c:numCache/>
            </c:numRef>
          </c:val>
        </c:ser>
        <c:ser>
          <c:idx val="1139"/>
          <c:order val="1139"/>
          <c:tx>
            <c:strRef>
              <c:f>'estatística'!$B$1141</c:f>
            </c:strRef>
          </c:tx>
          <c:cat>
            <c:strRef>
              <c:f>'estatística'!$C$1:$M$1</c:f>
            </c:strRef>
          </c:cat>
          <c:val>
            <c:numRef>
              <c:f>'estatística'!$C$1141:$M$1141</c:f>
              <c:numCache/>
            </c:numRef>
          </c:val>
        </c:ser>
        <c:ser>
          <c:idx val="1140"/>
          <c:order val="1140"/>
          <c:tx>
            <c:strRef>
              <c:f>'estatística'!$B$1142</c:f>
            </c:strRef>
          </c:tx>
          <c:cat>
            <c:strRef>
              <c:f>'estatística'!$C$1:$M$1</c:f>
            </c:strRef>
          </c:cat>
          <c:val>
            <c:numRef>
              <c:f>'estatística'!$C$1142:$M$1142</c:f>
              <c:numCache/>
            </c:numRef>
          </c:val>
        </c:ser>
        <c:ser>
          <c:idx val="1141"/>
          <c:order val="1141"/>
          <c:tx>
            <c:strRef>
              <c:f>'estatística'!$B$1143</c:f>
            </c:strRef>
          </c:tx>
          <c:cat>
            <c:strRef>
              <c:f>'estatística'!$C$1:$M$1</c:f>
            </c:strRef>
          </c:cat>
          <c:val>
            <c:numRef>
              <c:f>'estatística'!$C$1143:$M$1143</c:f>
              <c:numCache/>
            </c:numRef>
          </c:val>
        </c:ser>
        <c:ser>
          <c:idx val="1142"/>
          <c:order val="1142"/>
          <c:tx>
            <c:strRef>
              <c:f>'estatística'!$B$1144</c:f>
            </c:strRef>
          </c:tx>
          <c:cat>
            <c:strRef>
              <c:f>'estatística'!$C$1:$M$1</c:f>
            </c:strRef>
          </c:cat>
          <c:val>
            <c:numRef>
              <c:f>'estatística'!$C$1144:$M$1144</c:f>
              <c:numCache/>
            </c:numRef>
          </c:val>
        </c:ser>
        <c:ser>
          <c:idx val="1143"/>
          <c:order val="1143"/>
          <c:tx>
            <c:strRef>
              <c:f>'estatística'!$B$1145</c:f>
            </c:strRef>
          </c:tx>
          <c:cat>
            <c:strRef>
              <c:f>'estatística'!$C$1:$M$1</c:f>
            </c:strRef>
          </c:cat>
          <c:val>
            <c:numRef>
              <c:f>'estatística'!$C$1145:$M$1145</c:f>
              <c:numCache/>
            </c:numRef>
          </c:val>
        </c:ser>
        <c:ser>
          <c:idx val="1144"/>
          <c:order val="1144"/>
          <c:tx>
            <c:strRef>
              <c:f>'estatística'!$B$1146</c:f>
            </c:strRef>
          </c:tx>
          <c:cat>
            <c:strRef>
              <c:f>'estatística'!$C$1:$M$1</c:f>
            </c:strRef>
          </c:cat>
          <c:val>
            <c:numRef>
              <c:f>'estatística'!$C$1146:$M$1146</c:f>
              <c:numCache/>
            </c:numRef>
          </c:val>
        </c:ser>
        <c:ser>
          <c:idx val="1145"/>
          <c:order val="1145"/>
          <c:tx>
            <c:strRef>
              <c:f>'estatística'!$B$1147</c:f>
            </c:strRef>
          </c:tx>
          <c:cat>
            <c:strRef>
              <c:f>'estatística'!$C$1:$M$1</c:f>
            </c:strRef>
          </c:cat>
          <c:val>
            <c:numRef>
              <c:f>'estatística'!$C$1147:$M$1147</c:f>
              <c:numCache/>
            </c:numRef>
          </c:val>
        </c:ser>
        <c:ser>
          <c:idx val="1146"/>
          <c:order val="1146"/>
          <c:tx>
            <c:strRef>
              <c:f>'estatística'!$B$1148</c:f>
            </c:strRef>
          </c:tx>
          <c:cat>
            <c:strRef>
              <c:f>'estatística'!$C$1:$M$1</c:f>
            </c:strRef>
          </c:cat>
          <c:val>
            <c:numRef>
              <c:f>'estatística'!$C$1148:$M$1148</c:f>
              <c:numCache/>
            </c:numRef>
          </c:val>
        </c:ser>
        <c:ser>
          <c:idx val="1147"/>
          <c:order val="1147"/>
          <c:tx>
            <c:strRef>
              <c:f>'estatística'!$B$1149</c:f>
            </c:strRef>
          </c:tx>
          <c:cat>
            <c:strRef>
              <c:f>'estatística'!$C$1:$M$1</c:f>
            </c:strRef>
          </c:cat>
          <c:val>
            <c:numRef>
              <c:f>'estatística'!$C$1149:$M$1149</c:f>
              <c:numCache/>
            </c:numRef>
          </c:val>
        </c:ser>
        <c:ser>
          <c:idx val="1148"/>
          <c:order val="1148"/>
          <c:tx>
            <c:strRef>
              <c:f>'estatística'!$B$1150</c:f>
            </c:strRef>
          </c:tx>
          <c:cat>
            <c:strRef>
              <c:f>'estatística'!$C$1:$M$1</c:f>
            </c:strRef>
          </c:cat>
          <c:val>
            <c:numRef>
              <c:f>'estatística'!$C$1150:$M$1150</c:f>
              <c:numCache/>
            </c:numRef>
          </c:val>
        </c:ser>
        <c:ser>
          <c:idx val="1149"/>
          <c:order val="1149"/>
          <c:tx>
            <c:strRef>
              <c:f>'estatística'!$B$1151</c:f>
            </c:strRef>
          </c:tx>
          <c:cat>
            <c:strRef>
              <c:f>'estatística'!$C$1:$M$1</c:f>
            </c:strRef>
          </c:cat>
          <c:val>
            <c:numRef>
              <c:f>'estatística'!$C$1151:$M$1151</c:f>
              <c:numCache/>
            </c:numRef>
          </c:val>
        </c:ser>
        <c:ser>
          <c:idx val="1150"/>
          <c:order val="1150"/>
          <c:tx>
            <c:strRef>
              <c:f>'estatística'!$B$1152</c:f>
            </c:strRef>
          </c:tx>
          <c:cat>
            <c:strRef>
              <c:f>'estatística'!$C$1:$M$1</c:f>
            </c:strRef>
          </c:cat>
          <c:val>
            <c:numRef>
              <c:f>'estatística'!$C$1152:$M$1152</c:f>
              <c:numCache/>
            </c:numRef>
          </c:val>
        </c:ser>
        <c:ser>
          <c:idx val="1151"/>
          <c:order val="1151"/>
          <c:tx>
            <c:strRef>
              <c:f>'estatística'!$B$1153</c:f>
            </c:strRef>
          </c:tx>
          <c:cat>
            <c:strRef>
              <c:f>'estatística'!$C$1:$M$1</c:f>
            </c:strRef>
          </c:cat>
          <c:val>
            <c:numRef>
              <c:f>'estatística'!$C$1153:$M$1153</c:f>
              <c:numCache/>
            </c:numRef>
          </c:val>
        </c:ser>
        <c:ser>
          <c:idx val="1152"/>
          <c:order val="1152"/>
          <c:tx>
            <c:strRef>
              <c:f>'estatística'!$B$1154</c:f>
            </c:strRef>
          </c:tx>
          <c:cat>
            <c:strRef>
              <c:f>'estatística'!$C$1:$M$1</c:f>
            </c:strRef>
          </c:cat>
          <c:val>
            <c:numRef>
              <c:f>'estatística'!$C$1154:$M$1154</c:f>
              <c:numCache/>
            </c:numRef>
          </c:val>
        </c:ser>
        <c:ser>
          <c:idx val="1153"/>
          <c:order val="1153"/>
          <c:tx>
            <c:strRef>
              <c:f>'estatística'!$B$1155</c:f>
            </c:strRef>
          </c:tx>
          <c:cat>
            <c:strRef>
              <c:f>'estatística'!$C$1:$M$1</c:f>
            </c:strRef>
          </c:cat>
          <c:val>
            <c:numRef>
              <c:f>'estatística'!$C$1155:$M$1155</c:f>
              <c:numCache/>
            </c:numRef>
          </c:val>
        </c:ser>
        <c:ser>
          <c:idx val="1154"/>
          <c:order val="1154"/>
          <c:tx>
            <c:strRef>
              <c:f>'estatística'!$B$1156</c:f>
            </c:strRef>
          </c:tx>
          <c:cat>
            <c:strRef>
              <c:f>'estatística'!$C$1:$M$1</c:f>
            </c:strRef>
          </c:cat>
          <c:val>
            <c:numRef>
              <c:f>'estatística'!$C$1156:$M$1156</c:f>
              <c:numCache/>
            </c:numRef>
          </c:val>
        </c:ser>
        <c:ser>
          <c:idx val="1155"/>
          <c:order val="1155"/>
          <c:tx>
            <c:strRef>
              <c:f>'estatística'!$B$1157</c:f>
            </c:strRef>
          </c:tx>
          <c:cat>
            <c:strRef>
              <c:f>'estatística'!$C$1:$M$1</c:f>
            </c:strRef>
          </c:cat>
          <c:val>
            <c:numRef>
              <c:f>'estatística'!$C$1157:$M$1157</c:f>
              <c:numCache/>
            </c:numRef>
          </c:val>
        </c:ser>
        <c:ser>
          <c:idx val="1156"/>
          <c:order val="1156"/>
          <c:tx>
            <c:strRef>
              <c:f>'estatística'!$B$1158</c:f>
            </c:strRef>
          </c:tx>
          <c:cat>
            <c:strRef>
              <c:f>'estatística'!$C$1:$M$1</c:f>
            </c:strRef>
          </c:cat>
          <c:val>
            <c:numRef>
              <c:f>'estatística'!$C$1158:$M$1158</c:f>
              <c:numCache/>
            </c:numRef>
          </c:val>
        </c:ser>
        <c:ser>
          <c:idx val="1157"/>
          <c:order val="1157"/>
          <c:tx>
            <c:strRef>
              <c:f>'estatística'!$B$1159</c:f>
            </c:strRef>
          </c:tx>
          <c:cat>
            <c:strRef>
              <c:f>'estatística'!$C$1:$M$1</c:f>
            </c:strRef>
          </c:cat>
          <c:val>
            <c:numRef>
              <c:f>'estatística'!$C$1159:$M$1159</c:f>
              <c:numCache/>
            </c:numRef>
          </c:val>
        </c:ser>
        <c:ser>
          <c:idx val="1158"/>
          <c:order val="1158"/>
          <c:tx>
            <c:strRef>
              <c:f>'estatística'!$B$1160</c:f>
            </c:strRef>
          </c:tx>
          <c:cat>
            <c:strRef>
              <c:f>'estatística'!$C$1:$M$1</c:f>
            </c:strRef>
          </c:cat>
          <c:val>
            <c:numRef>
              <c:f>'estatística'!$C$1160:$M$1160</c:f>
              <c:numCache/>
            </c:numRef>
          </c:val>
        </c:ser>
        <c:ser>
          <c:idx val="1159"/>
          <c:order val="1159"/>
          <c:tx>
            <c:strRef>
              <c:f>'estatística'!$B$1161</c:f>
            </c:strRef>
          </c:tx>
          <c:cat>
            <c:strRef>
              <c:f>'estatística'!$C$1:$M$1</c:f>
            </c:strRef>
          </c:cat>
          <c:val>
            <c:numRef>
              <c:f>'estatística'!$C$1161:$M$1161</c:f>
              <c:numCache/>
            </c:numRef>
          </c:val>
        </c:ser>
        <c:ser>
          <c:idx val="1160"/>
          <c:order val="1160"/>
          <c:tx>
            <c:strRef>
              <c:f>'estatística'!$B$1162</c:f>
            </c:strRef>
          </c:tx>
          <c:cat>
            <c:strRef>
              <c:f>'estatística'!$C$1:$M$1</c:f>
            </c:strRef>
          </c:cat>
          <c:val>
            <c:numRef>
              <c:f>'estatística'!$C$1162:$M$1162</c:f>
              <c:numCache/>
            </c:numRef>
          </c:val>
        </c:ser>
        <c:ser>
          <c:idx val="1161"/>
          <c:order val="1161"/>
          <c:tx>
            <c:strRef>
              <c:f>'estatística'!$B$1163</c:f>
            </c:strRef>
          </c:tx>
          <c:cat>
            <c:strRef>
              <c:f>'estatística'!$C$1:$M$1</c:f>
            </c:strRef>
          </c:cat>
          <c:val>
            <c:numRef>
              <c:f>'estatística'!$C$1163:$M$1163</c:f>
              <c:numCache/>
            </c:numRef>
          </c:val>
        </c:ser>
        <c:ser>
          <c:idx val="1162"/>
          <c:order val="1162"/>
          <c:tx>
            <c:strRef>
              <c:f>'estatística'!$B$1164</c:f>
            </c:strRef>
          </c:tx>
          <c:cat>
            <c:strRef>
              <c:f>'estatística'!$C$1:$M$1</c:f>
            </c:strRef>
          </c:cat>
          <c:val>
            <c:numRef>
              <c:f>'estatística'!$C$1164:$M$1164</c:f>
              <c:numCache/>
            </c:numRef>
          </c:val>
        </c:ser>
        <c:ser>
          <c:idx val="1163"/>
          <c:order val="1163"/>
          <c:tx>
            <c:strRef>
              <c:f>'estatística'!$B$1165</c:f>
            </c:strRef>
          </c:tx>
          <c:cat>
            <c:strRef>
              <c:f>'estatística'!$C$1:$M$1</c:f>
            </c:strRef>
          </c:cat>
          <c:val>
            <c:numRef>
              <c:f>'estatística'!$C$1165:$M$1165</c:f>
              <c:numCache/>
            </c:numRef>
          </c:val>
        </c:ser>
        <c:ser>
          <c:idx val="1164"/>
          <c:order val="1164"/>
          <c:tx>
            <c:strRef>
              <c:f>'estatística'!$B$1166</c:f>
            </c:strRef>
          </c:tx>
          <c:cat>
            <c:strRef>
              <c:f>'estatística'!$C$1:$M$1</c:f>
            </c:strRef>
          </c:cat>
          <c:val>
            <c:numRef>
              <c:f>'estatística'!$C$1166:$M$1166</c:f>
              <c:numCache/>
            </c:numRef>
          </c:val>
        </c:ser>
        <c:ser>
          <c:idx val="1165"/>
          <c:order val="1165"/>
          <c:tx>
            <c:strRef>
              <c:f>'estatística'!$B$1167</c:f>
            </c:strRef>
          </c:tx>
          <c:cat>
            <c:strRef>
              <c:f>'estatística'!$C$1:$M$1</c:f>
            </c:strRef>
          </c:cat>
          <c:val>
            <c:numRef>
              <c:f>'estatística'!$C$1167:$M$1167</c:f>
              <c:numCache/>
            </c:numRef>
          </c:val>
        </c:ser>
        <c:ser>
          <c:idx val="1166"/>
          <c:order val="1166"/>
          <c:tx>
            <c:strRef>
              <c:f>'estatística'!$B$1168</c:f>
            </c:strRef>
          </c:tx>
          <c:cat>
            <c:strRef>
              <c:f>'estatística'!$C$1:$M$1</c:f>
            </c:strRef>
          </c:cat>
          <c:val>
            <c:numRef>
              <c:f>'estatística'!$C$1168:$M$1168</c:f>
              <c:numCache/>
            </c:numRef>
          </c:val>
        </c:ser>
        <c:ser>
          <c:idx val="1167"/>
          <c:order val="1167"/>
          <c:tx>
            <c:strRef>
              <c:f>'estatística'!$B$1169</c:f>
            </c:strRef>
          </c:tx>
          <c:cat>
            <c:strRef>
              <c:f>'estatística'!$C$1:$M$1</c:f>
            </c:strRef>
          </c:cat>
          <c:val>
            <c:numRef>
              <c:f>'estatística'!$C$1169:$M$1169</c:f>
              <c:numCache/>
            </c:numRef>
          </c:val>
        </c:ser>
        <c:ser>
          <c:idx val="1168"/>
          <c:order val="1168"/>
          <c:tx>
            <c:strRef>
              <c:f>'estatística'!$B$1170</c:f>
            </c:strRef>
          </c:tx>
          <c:cat>
            <c:strRef>
              <c:f>'estatística'!$C$1:$M$1</c:f>
            </c:strRef>
          </c:cat>
          <c:val>
            <c:numRef>
              <c:f>'estatística'!$C$1170:$M$1170</c:f>
              <c:numCache/>
            </c:numRef>
          </c:val>
        </c:ser>
        <c:ser>
          <c:idx val="1169"/>
          <c:order val="1169"/>
          <c:tx>
            <c:strRef>
              <c:f>'estatística'!$B$1171</c:f>
            </c:strRef>
          </c:tx>
          <c:cat>
            <c:strRef>
              <c:f>'estatística'!$C$1:$M$1</c:f>
            </c:strRef>
          </c:cat>
          <c:val>
            <c:numRef>
              <c:f>'estatística'!$C$1171:$M$1171</c:f>
              <c:numCache/>
            </c:numRef>
          </c:val>
        </c:ser>
        <c:ser>
          <c:idx val="1170"/>
          <c:order val="1170"/>
          <c:tx>
            <c:strRef>
              <c:f>'estatística'!$B$1172</c:f>
            </c:strRef>
          </c:tx>
          <c:cat>
            <c:strRef>
              <c:f>'estatística'!$C$1:$M$1</c:f>
            </c:strRef>
          </c:cat>
          <c:val>
            <c:numRef>
              <c:f>'estatística'!$C$1172:$M$1172</c:f>
              <c:numCache/>
            </c:numRef>
          </c:val>
        </c:ser>
        <c:ser>
          <c:idx val="1171"/>
          <c:order val="1171"/>
          <c:tx>
            <c:strRef>
              <c:f>'estatística'!$B$1173</c:f>
            </c:strRef>
          </c:tx>
          <c:cat>
            <c:strRef>
              <c:f>'estatística'!$C$1:$M$1</c:f>
            </c:strRef>
          </c:cat>
          <c:val>
            <c:numRef>
              <c:f>'estatística'!$C$1173:$M$1173</c:f>
              <c:numCache/>
            </c:numRef>
          </c:val>
        </c:ser>
        <c:ser>
          <c:idx val="1172"/>
          <c:order val="1172"/>
          <c:tx>
            <c:strRef>
              <c:f>'estatística'!$B$1174</c:f>
            </c:strRef>
          </c:tx>
          <c:cat>
            <c:strRef>
              <c:f>'estatística'!$C$1:$M$1</c:f>
            </c:strRef>
          </c:cat>
          <c:val>
            <c:numRef>
              <c:f>'estatística'!$C$1174:$M$1174</c:f>
              <c:numCache/>
            </c:numRef>
          </c:val>
        </c:ser>
        <c:ser>
          <c:idx val="1173"/>
          <c:order val="1173"/>
          <c:tx>
            <c:strRef>
              <c:f>'estatística'!$B$1175</c:f>
            </c:strRef>
          </c:tx>
          <c:cat>
            <c:strRef>
              <c:f>'estatística'!$C$1:$M$1</c:f>
            </c:strRef>
          </c:cat>
          <c:val>
            <c:numRef>
              <c:f>'estatística'!$C$1175:$M$1175</c:f>
              <c:numCache/>
            </c:numRef>
          </c:val>
        </c:ser>
        <c:ser>
          <c:idx val="1174"/>
          <c:order val="1174"/>
          <c:tx>
            <c:strRef>
              <c:f>'estatística'!$B$1176</c:f>
            </c:strRef>
          </c:tx>
          <c:cat>
            <c:strRef>
              <c:f>'estatística'!$C$1:$M$1</c:f>
            </c:strRef>
          </c:cat>
          <c:val>
            <c:numRef>
              <c:f>'estatística'!$C$1176:$M$1176</c:f>
              <c:numCache/>
            </c:numRef>
          </c:val>
        </c:ser>
        <c:ser>
          <c:idx val="1175"/>
          <c:order val="1175"/>
          <c:tx>
            <c:strRef>
              <c:f>'estatística'!$B$1177</c:f>
            </c:strRef>
          </c:tx>
          <c:cat>
            <c:strRef>
              <c:f>'estatística'!$C$1:$M$1</c:f>
            </c:strRef>
          </c:cat>
          <c:val>
            <c:numRef>
              <c:f>'estatística'!$C$1177:$M$1177</c:f>
              <c:numCache/>
            </c:numRef>
          </c:val>
        </c:ser>
        <c:ser>
          <c:idx val="1176"/>
          <c:order val="1176"/>
          <c:tx>
            <c:strRef>
              <c:f>'estatística'!$B$1178</c:f>
            </c:strRef>
          </c:tx>
          <c:cat>
            <c:strRef>
              <c:f>'estatística'!$C$1:$M$1</c:f>
            </c:strRef>
          </c:cat>
          <c:val>
            <c:numRef>
              <c:f>'estatística'!$C$1178:$M$1178</c:f>
              <c:numCache/>
            </c:numRef>
          </c:val>
        </c:ser>
        <c:ser>
          <c:idx val="1177"/>
          <c:order val="1177"/>
          <c:tx>
            <c:strRef>
              <c:f>'estatística'!$B$1179</c:f>
            </c:strRef>
          </c:tx>
          <c:cat>
            <c:strRef>
              <c:f>'estatística'!$C$1:$M$1</c:f>
            </c:strRef>
          </c:cat>
          <c:val>
            <c:numRef>
              <c:f>'estatística'!$C$1179:$M$1179</c:f>
              <c:numCache/>
            </c:numRef>
          </c:val>
        </c:ser>
        <c:ser>
          <c:idx val="1178"/>
          <c:order val="1178"/>
          <c:tx>
            <c:strRef>
              <c:f>'estatística'!$B$1180</c:f>
            </c:strRef>
          </c:tx>
          <c:cat>
            <c:strRef>
              <c:f>'estatística'!$C$1:$M$1</c:f>
            </c:strRef>
          </c:cat>
          <c:val>
            <c:numRef>
              <c:f>'estatística'!$C$1180:$M$1180</c:f>
              <c:numCache/>
            </c:numRef>
          </c:val>
        </c:ser>
        <c:ser>
          <c:idx val="1179"/>
          <c:order val="1179"/>
          <c:tx>
            <c:strRef>
              <c:f>'estatística'!$B$1181</c:f>
            </c:strRef>
          </c:tx>
          <c:cat>
            <c:strRef>
              <c:f>'estatística'!$C$1:$M$1</c:f>
            </c:strRef>
          </c:cat>
          <c:val>
            <c:numRef>
              <c:f>'estatística'!$C$1181:$M$1181</c:f>
              <c:numCache/>
            </c:numRef>
          </c:val>
        </c:ser>
        <c:ser>
          <c:idx val="1180"/>
          <c:order val="1180"/>
          <c:tx>
            <c:strRef>
              <c:f>'estatística'!$B$1182</c:f>
            </c:strRef>
          </c:tx>
          <c:cat>
            <c:strRef>
              <c:f>'estatística'!$C$1:$M$1</c:f>
            </c:strRef>
          </c:cat>
          <c:val>
            <c:numRef>
              <c:f>'estatística'!$C$1182:$M$1182</c:f>
              <c:numCache/>
            </c:numRef>
          </c:val>
        </c:ser>
        <c:ser>
          <c:idx val="1181"/>
          <c:order val="1181"/>
          <c:tx>
            <c:strRef>
              <c:f>'estatística'!$B$1183</c:f>
            </c:strRef>
          </c:tx>
          <c:cat>
            <c:strRef>
              <c:f>'estatística'!$C$1:$M$1</c:f>
            </c:strRef>
          </c:cat>
          <c:val>
            <c:numRef>
              <c:f>'estatística'!$C$1183:$M$1183</c:f>
              <c:numCache/>
            </c:numRef>
          </c:val>
        </c:ser>
        <c:ser>
          <c:idx val="1182"/>
          <c:order val="1182"/>
          <c:tx>
            <c:strRef>
              <c:f>'estatística'!$B$1184</c:f>
            </c:strRef>
          </c:tx>
          <c:cat>
            <c:strRef>
              <c:f>'estatística'!$C$1:$M$1</c:f>
            </c:strRef>
          </c:cat>
          <c:val>
            <c:numRef>
              <c:f>'estatística'!$C$1184:$M$1184</c:f>
              <c:numCache/>
            </c:numRef>
          </c:val>
        </c:ser>
        <c:ser>
          <c:idx val="1183"/>
          <c:order val="1183"/>
          <c:tx>
            <c:strRef>
              <c:f>'estatística'!$B$1185</c:f>
            </c:strRef>
          </c:tx>
          <c:cat>
            <c:strRef>
              <c:f>'estatística'!$C$1:$M$1</c:f>
            </c:strRef>
          </c:cat>
          <c:val>
            <c:numRef>
              <c:f>'estatística'!$C$1185:$M$1185</c:f>
              <c:numCache/>
            </c:numRef>
          </c:val>
        </c:ser>
        <c:ser>
          <c:idx val="1184"/>
          <c:order val="1184"/>
          <c:tx>
            <c:strRef>
              <c:f>'estatística'!$B$1186</c:f>
            </c:strRef>
          </c:tx>
          <c:cat>
            <c:strRef>
              <c:f>'estatística'!$C$1:$M$1</c:f>
            </c:strRef>
          </c:cat>
          <c:val>
            <c:numRef>
              <c:f>'estatística'!$C$1186:$M$1186</c:f>
              <c:numCache/>
            </c:numRef>
          </c:val>
        </c:ser>
        <c:ser>
          <c:idx val="1185"/>
          <c:order val="1185"/>
          <c:tx>
            <c:strRef>
              <c:f>'estatística'!$B$1187</c:f>
            </c:strRef>
          </c:tx>
          <c:cat>
            <c:strRef>
              <c:f>'estatística'!$C$1:$M$1</c:f>
            </c:strRef>
          </c:cat>
          <c:val>
            <c:numRef>
              <c:f>'estatística'!$C$1187:$M$1187</c:f>
              <c:numCache/>
            </c:numRef>
          </c:val>
        </c:ser>
        <c:ser>
          <c:idx val="1186"/>
          <c:order val="1186"/>
          <c:tx>
            <c:strRef>
              <c:f>'estatística'!$B$1188</c:f>
            </c:strRef>
          </c:tx>
          <c:cat>
            <c:strRef>
              <c:f>'estatística'!$C$1:$M$1</c:f>
            </c:strRef>
          </c:cat>
          <c:val>
            <c:numRef>
              <c:f>'estatística'!$C$1188:$M$1188</c:f>
              <c:numCache/>
            </c:numRef>
          </c:val>
        </c:ser>
        <c:ser>
          <c:idx val="1187"/>
          <c:order val="1187"/>
          <c:tx>
            <c:strRef>
              <c:f>'estatística'!$B$1189</c:f>
            </c:strRef>
          </c:tx>
          <c:cat>
            <c:strRef>
              <c:f>'estatística'!$C$1:$M$1</c:f>
            </c:strRef>
          </c:cat>
          <c:val>
            <c:numRef>
              <c:f>'estatística'!$C$1189:$M$1189</c:f>
              <c:numCache/>
            </c:numRef>
          </c:val>
        </c:ser>
        <c:ser>
          <c:idx val="1188"/>
          <c:order val="1188"/>
          <c:tx>
            <c:strRef>
              <c:f>'estatística'!$B$1190</c:f>
            </c:strRef>
          </c:tx>
          <c:cat>
            <c:strRef>
              <c:f>'estatística'!$C$1:$M$1</c:f>
            </c:strRef>
          </c:cat>
          <c:val>
            <c:numRef>
              <c:f>'estatística'!$C$1190:$M$1190</c:f>
              <c:numCache/>
            </c:numRef>
          </c:val>
        </c:ser>
        <c:ser>
          <c:idx val="1189"/>
          <c:order val="1189"/>
          <c:tx>
            <c:strRef>
              <c:f>'estatística'!$B$1191</c:f>
            </c:strRef>
          </c:tx>
          <c:cat>
            <c:strRef>
              <c:f>'estatística'!$C$1:$M$1</c:f>
            </c:strRef>
          </c:cat>
          <c:val>
            <c:numRef>
              <c:f>'estatística'!$C$1191:$M$1191</c:f>
              <c:numCache/>
            </c:numRef>
          </c:val>
        </c:ser>
        <c:ser>
          <c:idx val="1190"/>
          <c:order val="1190"/>
          <c:tx>
            <c:strRef>
              <c:f>'estatística'!$B$1192</c:f>
            </c:strRef>
          </c:tx>
          <c:cat>
            <c:strRef>
              <c:f>'estatística'!$C$1:$M$1</c:f>
            </c:strRef>
          </c:cat>
          <c:val>
            <c:numRef>
              <c:f>'estatística'!$C$1192:$M$1192</c:f>
              <c:numCache/>
            </c:numRef>
          </c:val>
        </c:ser>
        <c:ser>
          <c:idx val="1191"/>
          <c:order val="1191"/>
          <c:tx>
            <c:strRef>
              <c:f>'estatística'!$B$1193</c:f>
            </c:strRef>
          </c:tx>
          <c:cat>
            <c:strRef>
              <c:f>'estatística'!$C$1:$M$1</c:f>
            </c:strRef>
          </c:cat>
          <c:val>
            <c:numRef>
              <c:f>'estatística'!$C$1193:$M$1193</c:f>
              <c:numCache/>
            </c:numRef>
          </c:val>
        </c:ser>
        <c:ser>
          <c:idx val="1192"/>
          <c:order val="1192"/>
          <c:tx>
            <c:strRef>
              <c:f>'estatística'!$B$1194</c:f>
            </c:strRef>
          </c:tx>
          <c:cat>
            <c:strRef>
              <c:f>'estatística'!$C$1:$M$1</c:f>
            </c:strRef>
          </c:cat>
          <c:val>
            <c:numRef>
              <c:f>'estatística'!$C$1194:$M$1194</c:f>
              <c:numCache/>
            </c:numRef>
          </c:val>
        </c:ser>
        <c:ser>
          <c:idx val="1193"/>
          <c:order val="1193"/>
          <c:tx>
            <c:strRef>
              <c:f>'estatística'!$B$1195</c:f>
            </c:strRef>
          </c:tx>
          <c:cat>
            <c:strRef>
              <c:f>'estatística'!$C$1:$M$1</c:f>
            </c:strRef>
          </c:cat>
          <c:val>
            <c:numRef>
              <c:f>'estatística'!$C$1195:$M$1195</c:f>
              <c:numCache/>
            </c:numRef>
          </c:val>
        </c:ser>
        <c:ser>
          <c:idx val="1194"/>
          <c:order val="1194"/>
          <c:tx>
            <c:strRef>
              <c:f>'estatística'!$B$1196</c:f>
            </c:strRef>
          </c:tx>
          <c:cat>
            <c:strRef>
              <c:f>'estatística'!$C$1:$M$1</c:f>
            </c:strRef>
          </c:cat>
          <c:val>
            <c:numRef>
              <c:f>'estatística'!$C$1196:$M$1196</c:f>
              <c:numCache/>
            </c:numRef>
          </c:val>
        </c:ser>
        <c:ser>
          <c:idx val="1195"/>
          <c:order val="1195"/>
          <c:tx>
            <c:strRef>
              <c:f>'estatística'!$B$1197</c:f>
            </c:strRef>
          </c:tx>
          <c:cat>
            <c:strRef>
              <c:f>'estatística'!$C$1:$M$1</c:f>
            </c:strRef>
          </c:cat>
          <c:val>
            <c:numRef>
              <c:f>'estatística'!$C$1197:$M$1197</c:f>
              <c:numCache/>
            </c:numRef>
          </c:val>
        </c:ser>
        <c:ser>
          <c:idx val="1196"/>
          <c:order val="1196"/>
          <c:tx>
            <c:strRef>
              <c:f>'estatística'!$B$1198</c:f>
            </c:strRef>
          </c:tx>
          <c:cat>
            <c:strRef>
              <c:f>'estatística'!$C$1:$M$1</c:f>
            </c:strRef>
          </c:cat>
          <c:val>
            <c:numRef>
              <c:f>'estatística'!$C$1198:$M$1198</c:f>
              <c:numCache/>
            </c:numRef>
          </c:val>
        </c:ser>
        <c:ser>
          <c:idx val="1197"/>
          <c:order val="1197"/>
          <c:tx>
            <c:strRef>
              <c:f>'estatística'!$B$1199</c:f>
            </c:strRef>
          </c:tx>
          <c:cat>
            <c:strRef>
              <c:f>'estatística'!$C$1:$M$1</c:f>
            </c:strRef>
          </c:cat>
          <c:val>
            <c:numRef>
              <c:f>'estatística'!$C$1199:$M$1199</c:f>
              <c:numCache/>
            </c:numRef>
          </c:val>
        </c:ser>
        <c:ser>
          <c:idx val="1198"/>
          <c:order val="1198"/>
          <c:tx>
            <c:strRef>
              <c:f>'estatística'!$B$1200</c:f>
            </c:strRef>
          </c:tx>
          <c:cat>
            <c:strRef>
              <c:f>'estatística'!$C$1:$M$1</c:f>
            </c:strRef>
          </c:cat>
          <c:val>
            <c:numRef>
              <c:f>'estatística'!$C$1200:$M$1200</c:f>
              <c:numCache/>
            </c:numRef>
          </c:val>
        </c:ser>
        <c:ser>
          <c:idx val="1199"/>
          <c:order val="1199"/>
          <c:tx>
            <c:strRef>
              <c:f>'estatística'!$B$1201</c:f>
            </c:strRef>
          </c:tx>
          <c:cat>
            <c:strRef>
              <c:f>'estatística'!$C$1:$M$1</c:f>
            </c:strRef>
          </c:cat>
          <c:val>
            <c:numRef>
              <c:f>'estatística'!$C$1201:$M$1201</c:f>
              <c:numCache/>
            </c:numRef>
          </c:val>
        </c:ser>
        <c:ser>
          <c:idx val="1200"/>
          <c:order val="1200"/>
          <c:tx>
            <c:strRef>
              <c:f>'estatística'!$B$1202</c:f>
            </c:strRef>
          </c:tx>
          <c:cat>
            <c:strRef>
              <c:f>'estatística'!$C$1:$M$1</c:f>
            </c:strRef>
          </c:cat>
          <c:val>
            <c:numRef>
              <c:f>'estatística'!$C$1202:$M$1202</c:f>
              <c:numCache/>
            </c:numRef>
          </c:val>
        </c:ser>
        <c:ser>
          <c:idx val="1201"/>
          <c:order val="1201"/>
          <c:tx>
            <c:strRef>
              <c:f>'estatística'!$B$1203</c:f>
            </c:strRef>
          </c:tx>
          <c:cat>
            <c:strRef>
              <c:f>'estatística'!$C$1:$M$1</c:f>
            </c:strRef>
          </c:cat>
          <c:val>
            <c:numRef>
              <c:f>'estatística'!$C$1203:$M$1203</c:f>
              <c:numCache/>
            </c:numRef>
          </c:val>
        </c:ser>
        <c:ser>
          <c:idx val="1202"/>
          <c:order val="1202"/>
          <c:tx>
            <c:strRef>
              <c:f>'estatística'!$B$1204</c:f>
            </c:strRef>
          </c:tx>
          <c:cat>
            <c:strRef>
              <c:f>'estatística'!$C$1:$M$1</c:f>
            </c:strRef>
          </c:cat>
          <c:val>
            <c:numRef>
              <c:f>'estatística'!$C$1204:$M$1204</c:f>
              <c:numCache/>
            </c:numRef>
          </c:val>
        </c:ser>
        <c:ser>
          <c:idx val="1203"/>
          <c:order val="1203"/>
          <c:tx>
            <c:strRef>
              <c:f>'estatística'!$B$1205</c:f>
            </c:strRef>
          </c:tx>
          <c:cat>
            <c:strRef>
              <c:f>'estatística'!$C$1:$M$1</c:f>
            </c:strRef>
          </c:cat>
          <c:val>
            <c:numRef>
              <c:f>'estatística'!$C$1205:$M$1205</c:f>
              <c:numCache/>
            </c:numRef>
          </c:val>
        </c:ser>
        <c:ser>
          <c:idx val="1204"/>
          <c:order val="1204"/>
          <c:tx>
            <c:strRef>
              <c:f>'estatística'!$B$1206</c:f>
            </c:strRef>
          </c:tx>
          <c:cat>
            <c:strRef>
              <c:f>'estatística'!$C$1:$M$1</c:f>
            </c:strRef>
          </c:cat>
          <c:val>
            <c:numRef>
              <c:f>'estatística'!$C$1206:$M$1206</c:f>
              <c:numCache/>
            </c:numRef>
          </c:val>
        </c:ser>
        <c:ser>
          <c:idx val="1205"/>
          <c:order val="1205"/>
          <c:tx>
            <c:strRef>
              <c:f>'estatística'!$B$1207</c:f>
            </c:strRef>
          </c:tx>
          <c:cat>
            <c:strRef>
              <c:f>'estatística'!$C$1:$M$1</c:f>
            </c:strRef>
          </c:cat>
          <c:val>
            <c:numRef>
              <c:f>'estatística'!$C$1207:$M$1207</c:f>
              <c:numCache/>
            </c:numRef>
          </c:val>
        </c:ser>
        <c:ser>
          <c:idx val="1206"/>
          <c:order val="1206"/>
          <c:tx>
            <c:strRef>
              <c:f>'estatística'!$B$1208</c:f>
            </c:strRef>
          </c:tx>
          <c:cat>
            <c:strRef>
              <c:f>'estatística'!$C$1:$M$1</c:f>
            </c:strRef>
          </c:cat>
          <c:val>
            <c:numRef>
              <c:f>'estatística'!$C$1208:$M$1208</c:f>
              <c:numCache/>
            </c:numRef>
          </c:val>
        </c:ser>
        <c:ser>
          <c:idx val="1207"/>
          <c:order val="1207"/>
          <c:tx>
            <c:strRef>
              <c:f>'estatística'!$B$1209</c:f>
            </c:strRef>
          </c:tx>
          <c:cat>
            <c:strRef>
              <c:f>'estatística'!$C$1:$M$1</c:f>
            </c:strRef>
          </c:cat>
          <c:val>
            <c:numRef>
              <c:f>'estatística'!$C$1209:$M$1209</c:f>
              <c:numCache/>
            </c:numRef>
          </c:val>
        </c:ser>
        <c:ser>
          <c:idx val="1208"/>
          <c:order val="1208"/>
          <c:tx>
            <c:strRef>
              <c:f>'estatística'!$B$1210</c:f>
            </c:strRef>
          </c:tx>
          <c:cat>
            <c:strRef>
              <c:f>'estatística'!$C$1:$M$1</c:f>
            </c:strRef>
          </c:cat>
          <c:val>
            <c:numRef>
              <c:f>'estatística'!$C$1210:$M$1210</c:f>
              <c:numCache/>
            </c:numRef>
          </c:val>
        </c:ser>
        <c:ser>
          <c:idx val="1209"/>
          <c:order val="1209"/>
          <c:tx>
            <c:strRef>
              <c:f>'estatística'!$B$1211</c:f>
            </c:strRef>
          </c:tx>
          <c:cat>
            <c:strRef>
              <c:f>'estatística'!$C$1:$M$1</c:f>
            </c:strRef>
          </c:cat>
          <c:val>
            <c:numRef>
              <c:f>'estatística'!$C$1211:$M$1211</c:f>
              <c:numCache/>
            </c:numRef>
          </c:val>
        </c:ser>
        <c:ser>
          <c:idx val="1210"/>
          <c:order val="1210"/>
          <c:tx>
            <c:strRef>
              <c:f>'estatística'!$B$1212</c:f>
            </c:strRef>
          </c:tx>
          <c:cat>
            <c:strRef>
              <c:f>'estatística'!$C$1:$M$1</c:f>
            </c:strRef>
          </c:cat>
          <c:val>
            <c:numRef>
              <c:f>'estatística'!$C$1212:$M$1212</c:f>
              <c:numCache/>
            </c:numRef>
          </c:val>
        </c:ser>
        <c:ser>
          <c:idx val="1211"/>
          <c:order val="1211"/>
          <c:tx>
            <c:strRef>
              <c:f>'estatística'!$B$1213</c:f>
            </c:strRef>
          </c:tx>
          <c:cat>
            <c:strRef>
              <c:f>'estatística'!$C$1:$M$1</c:f>
            </c:strRef>
          </c:cat>
          <c:val>
            <c:numRef>
              <c:f>'estatística'!$C$1213:$M$1213</c:f>
              <c:numCache/>
            </c:numRef>
          </c:val>
        </c:ser>
        <c:ser>
          <c:idx val="1212"/>
          <c:order val="1212"/>
          <c:tx>
            <c:strRef>
              <c:f>'estatística'!$B$1214</c:f>
            </c:strRef>
          </c:tx>
          <c:cat>
            <c:strRef>
              <c:f>'estatística'!$C$1:$M$1</c:f>
            </c:strRef>
          </c:cat>
          <c:val>
            <c:numRef>
              <c:f>'estatística'!$C$1214:$M$1214</c:f>
              <c:numCache/>
            </c:numRef>
          </c:val>
        </c:ser>
        <c:ser>
          <c:idx val="1213"/>
          <c:order val="1213"/>
          <c:tx>
            <c:strRef>
              <c:f>'estatística'!$B$1215</c:f>
            </c:strRef>
          </c:tx>
          <c:cat>
            <c:strRef>
              <c:f>'estatística'!$C$1:$M$1</c:f>
            </c:strRef>
          </c:cat>
          <c:val>
            <c:numRef>
              <c:f>'estatística'!$C$1215:$M$1215</c:f>
              <c:numCache/>
            </c:numRef>
          </c:val>
        </c:ser>
        <c:ser>
          <c:idx val="1214"/>
          <c:order val="1214"/>
          <c:tx>
            <c:strRef>
              <c:f>'estatística'!$B$1216</c:f>
            </c:strRef>
          </c:tx>
          <c:cat>
            <c:strRef>
              <c:f>'estatística'!$C$1:$M$1</c:f>
            </c:strRef>
          </c:cat>
          <c:val>
            <c:numRef>
              <c:f>'estatística'!$C$1216:$M$1216</c:f>
              <c:numCache/>
            </c:numRef>
          </c:val>
        </c:ser>
        <c:ser>
          <c:idx val="1215"/>
          <c:order val="1215"/>
          <c:tx>
            <c:strRef>
              <c:f>'estatística'!$B$1217</c:f>
            </c:strRef>
          </c:tx>
          <c:cat>
            <c:strRef>
              <c:f>'estatística'!$C$1:$M$1</c:f>
            </c:strRef>
          </c:cat>
          <c:val>
            <c:numRef>
              <c:f>'estatística'!$C$1217:$M$1217</c:f>
              <c:numCache/>
            </c:numRef>
          </c:val>
        </c:ser>
        <c:ser>
          <c:idx val="1216"/>
          <c:order val="1216"/>
          <c:tx>
            <c:strRef>
              <c:f>'estatística'!$B$1218</c:f>
            </c:strRef>
          </c:tx>
          <c:cat>
            <c:strRef>
              <c:f>'estatística'!$C$1:$M$1</c:f>
            </c:strRef>
          </c:cat>
          <c:val>
            <c:numRef>
              <c:f>'estatística'!$C$1218:$M$1218</c:f>
              <c:numCache/>
            </c:numRef>
          </c:val>
        </c:ser>
        <c:ser>
          <c:idx val="1217"/>
          <c:order val="1217"/>
          <c:tx>
            <c:strRef>
              <c:f>'estatística'!$B$1219</c:f>
            </c:strRef>
          </c:tx>
          <c:cat>
            <c:strRef>
              <c:f>'estatística'!$C$1:$M$1</c:f>
            </c:strRef>
          </c:cat>
          <c:val>
            <c:numRef>
              <c:f>'estatística'!$C$1219:$M$1219</c:f>
              <c:numCache/>
            </c:numRef>
          </c:val>
        </c:ser>
        <c:ser>
          <c:idx val="1218"/>
          <c:order val="1218"/>
          <c:tx>
            <c:strRef>
              <c:f>'estatística'!$B$1220</c:f>
            </c:strRef>
          </c:tx>
          <c:cat>
            <c:strRef>
              <c:f>'estatística'!$C$1:$M$1</c:f>
            </c:strRef>
          </c:cat>
          <c:val>
            <c:numRef>
              <c:f>'estatística'!$C$1220:$M$1220</c:f>
              <c:numCache/>
            </c:numRef>
          </c:val>
        </c:ser>
        <c:ser>
          <c:idx val="1219"/>
          <c:order val="1219"/>
          <c:tx>
            <c:strRef>
              <c:f>'estatística'!$B$1221</c:f>
            </c:strRef>
          </c:tx>
          <c:cat>
            <c:strRef>
              <c:f>'estatística'!$C$1:$M$1</c:f>
            </c:strRef>
          </c:cat>
          <c:val>
            <c:numRef>
              <c:f>'estatística'!$C$1221:$M$1221</c:f>
              <c:numCache/>
            </c:numRef>
          </c:val>
        </c:ser>
        <c:ser>
          <c:idx val="1220"/>
          <c:order val="1220"/>
          <c:tx>
            <c:strRef>
              <c:f>'estatística'!$B$1222</c:f>
            </c:strRef>
          </c:tx>
          <c:cat>
            <c:strRef>
              <c:f>'estatística'!$C$1:$M$1</c:f>
            </c:strRef>
          </c:cat>
          <c:val>
            <c:numRef>
              <c:f>'estatística'!$C$1222:$M$1222</c:f>
              <c:numCache/>
            </c:numRef>
          </c:val>
        </c:ser>
        <c:ser>
          <c:idx val="1221"/>
          <c:order val="1221"/>
          <c:tx>
            <c:strRef>
              <c:f>'estatística'!$B$1223</c:f>
            </c:strRef>
          </c:tx>
          <c:cat>
            <c:strRef>
              <c:f>'estatística'!$C$1:$M$1</c:f>
            </c:strRef>
          </c:cat>
          <c:val>
            <c:numRef>
              <c:f>'estatística'!$C$1223:$M$1223</c:f>
              <c:numCache/>
            </c:numRef>
          </c:val>
        </c:ser>
        <c:ser>
          <c:idx val="1222"/>
          <c:order val="1222"/>
          <c:tx>
            <c:strRef>
              <c:f>'estatística'!$B$1224</c:f>
            </c:strRef>
          </c:tx>
          <c:cat>
            <c:strRef>
              <c:f>'estatística'!$C$1:$M$1</c:f>
            </c:strRef>
          </c:cat>
          <c:val>
            <c:numRef>
              <c:f>'estatística'!$C$1224:$M$1224</c:f>
              <c:numCache/>
            </c:numRef>
          </c:val>
        </c:ser>
        <c:ser>
          <c:idx val="1223"/>
          <c:order val="1223"/>
          <c:tx>
            <c:strRef>
              <c:f>'estatística'!$B$1225</c:f>
            </c:strRef>
          </c:tx>
          <c:cat>
            <c:strRef>
              <c:f>'estatística'!$C$1:$M$1</c:f>
            </c:strRef>
          </c:cat>
          <c:val>
            <c:numRef>
              <c:f>'estatística'!$C$1225:$M$1225</c:f>
              <c:numCache/>
            </c:numRef>
          </c:val>
        </c:ser>
        <c:ser>
          <c:idx val="1224"/>
          <c:order val="1224"/>
          <c:tx>
            <c:strRef>
              <c:f>'estatística'!$B$1226</c:f>
            </c:strRef>
          </c:tx>
          <c:cat>
            <c:strRef>
              <c:f>'estatística'!$C$1:$M$1</c:f>
            </c:strRef>
          </c:cat>
          <c:val>
            <c:numRef>
              <c:f>'estatística'!$C$1226:$M$1226</c:f>
              <c:numCache/>
            </c:numRef>
          </c:val>
        </c:ser>
        <c:ser>
          <c:idx val="1225"/>
          <c:order val="1225"/>
          <c:tx>
            <c:strRef>
              <c:f>'estatística'!$B$1227</c:f>
            </c:strRef>
          </c:tx>
          <c:cat>
            <c:strRef>
              <c:f>'estatística'!$C$1:$M$1</c:f>
            </c:strRef>
          </c:cat>
          <c:val>
            <c:numRef>
              <c:f>'estatística'!$C$1227:$M$1227</c:f>
              <c:numCache/>
            </c:numRef>
          </c:val>
        </c:ser>
        <c:ser>
          <c:idx val="1226"/>
          <c:order val="1226"/>
          <c:tx>
            <c:strRef>
              <c:f>'estatística'!$B$1228</c:f>
            </c:strRef>
          </c:tx>
          <c:cat>
            <c:strRef>
              <c:f>'estatística'!$C$1:$M$1</c:f>
            </c:strRef>
          </c:cat>
          <c:val>
            <c:numRef>
              <c:f>'estatística'!$C$1228:$M$1228</c:f>
              <c:numCache/>
            </c:numRef>
          </c:val>
        </c:ser>
        <c:ser>
          <c:idx val="1227"/>
          <c:order val="1227"/>
          <c:tx>
            <c:strRef>
              <c:f>'estatística'!$B$1229</c:f>
            </c:strRef>
          </c:tx>
          <c:cat>
            <c:strRef>
              <c:f>'estatística'!$C$1:$M$1</c:f>
            </c:strRef>
          </c:cat>
          <c:val>
            <c:numRef>
              <c:f>'estatística'!$C$1229:$M$1229</c:f>
              <c:numCache/>
            </c:numRef>
          </c:val>
        </c:ser>
        <c:ser>
          <c:idx val="1228"/>
          <c:order val="1228"/>
          <c:tx>
            <c:strRef>
              <c:f>'estatística'!$B$1230</c:f>
            </c:strRef>
          </c:tx>
          <c:cat>
            <c:strRef>
              <c:f>'estatística'!$C$1:$M$1</c:f>
            </c:strRef>
          </c:cat>
          <c:val>
            <c:numRef>
              <c:f>'estatística'!$C$1230:$M$1230</c:f>
              <c:numCache/>
            </c:numRef>
          </c:val>
        </c:ser>
        <c:ser>
          <c:idx val="1229"/>
          <c:order val="1229"/>
          <c:tx>
            <c:strRef>
              <c:f>'estatística'!$B$1231</c:f>
            </c:strRef>
          </c:tx>
          <c:cat>
            <c:strRef>
              <c:f>'estatística'!$C$1:$M$1</c:f>
            </c:strRef>
          </c:cat>
          <c:val>
            <c:numRef>
              <c:f>'estatística'!$C$1231:$M$1231</c:f>
              <c:numCache/>
            </c:numRef>
          </c:val>
        </c:ser>
        <c:ser>
          <c:idx val="1230"/>
          <c:order val="1230"/>
          <c:tx>
            <c:strRef>
              <c:f>'estatística'!$B$1232</c:f>
            </c:strRef>
          </c:tx>
          <c:cat>
            <c:strRef>
              <c:f>'estatística'!$C$1:$M$1</c:f>
            </c:strRef>
          </c:cat>
          <c:val>
            <c:numRef>
              <c:f>'estatística'!$C$1232:$M$1232</c:f>
              <c:numCache/>
            </c:numRef>
          </c:val>
        </c:ser>
        <c:ser>
          <c:idx val="1231"/>
          <c:order val="1231"/>
          <c:tx>
            <c:strRef>
              <c:f>'estatística'!$B$1233</c:f>
            </c:strRef>
          </c:tx>
          <c:cat>
            <c:strRef>
              <c:f>'estatística'!$C$1:$M$1</c:f>
            </c:strRef>
          </c:cat>
          <c:val>
            <c:numRef>
              <c:f>'estatística'!$C$1233:$M$1233</c:f>
              <c:numCache/>
            </c:numRef>
          </c:val>
        </c:ser>
        <c:ser>
          <c:idx val="1232"/>
          <c:order val="1232"/>
          <c:tx>
            <c:strRef>
              <c:f>'estatística'!$B$1234</c:f>
            </c:strRef>
          </c:tx>
          <c:cat>
            <c:strRef>
              <c:f>'estatística'!$C$1:$M$1</c:f>
            </c:strRef>
          </c:cat>
          <c:val>
            <c:numRef>
              <c:f>'estatística'!$C$1234:$M$1234</c:f>
              <c:numCache/>
            </c:numRef>
          </c:val>
        </c:ser>
        <c:ser>
          <c:idx val="1233"/>
          <c:order val="1233"/>
          <c:tx>
            <c:strRef>
              <c:f>'estatística'!$B$1235</c:f>
            </c:strRef>
          </c:tx>
          <c:cat>
            <c:strRef>
              <c:f>'estatística'!$C$1:$M$1</c:f>
            </c:strRef>
          </c:cat>
          <c:val>
            <c:numRef>
              <c:f>'estatística'!$C$1235:$M$1235</c:f>
              <c:numCache/>
            </c:numRef>
          </c:val>
        </c:ser>
        <c:ser>
          <c:idx val="1234"/>
          <c:order val="1234"/>
          <c:tx>
            <c:strRef>
              <c:f>'estatística'!$B$1236</c:f>
            </c:strRef>
          </c:tx>
          <c:cat>
            <c:strRef>
              <c:f>'estatística'!$C$1:$M$1</c:f>
            </c:strRef>
          </c:cat>
          <c:val>
            <c:numRef>
              <c:f>'estatística'!$C$1236:$M$1236</c:f>
              <c:numCache/>
            </c:numRef>
          </c:val>
        </c:ser>
        <c:ser>
          <c:idx val="1235"/>
          <c:order val="1235"/>
          <c:tx>
            <c:strRef>
              <c:f>'estatística'!$B$1237</c:f>
            </c:strRef>
          </c:tx>
          <c:cat>
            <c:strRef>
              <c:f>'estatística'!$C$1:$M$1</c:f>
            </c:strRef>
          </c:cat>
          <c:val>
            <c:numRef>
              <c:f>'estatística'!$C$1237:$M$1237</c:f>
              <c:numCache/>
            </c:numRef>
          </c:val>
        </c:ser>
        <c:ser>
          <c:idx val="1236"/>
          <c:order val="1236"/>
          <c:tx>
            <c:strRef>
              <c:f>'estatística'!$B$1238</c:f>
            </c:strRef>
          </c:tx>
          <c:cat>
            <c:strRef>
              <c:f>'estatística'!$C$1:$M$1</c:f>
            </c:strRef>
          </c:cat>
          <c:val>
            <c:numRef>
              <c:f>'estatística'!$C$1238:$M$1238</c:f>
              <c:numCache/>
            </c:numRef>
          </c:val>
        </c:ser>
        <c:ser>
          <c:idx val="1237"/>
          <c:order val="1237"/>
          <c:tx>
            <c:strRef>
              <c:f>'estatística'!$B$1239</c:f>
            </c:strRef>
          </c:tx>
          <c:cat>
            <c:strRef>
              <c:f>'estatística'!$C$1:$M$1</c:f>
            </c:strRef>
          </c:cat>
          <c:val>
            <c:numRef>
              <c:f>'estatística'!$C$1239:$M$1239</c:f>
              <c:numCache/>
            </c:numRef>
          </c:val>
        </c:ser>
        <c:ser>
          <c:idx val="1238"/>
          <c:order val="1238"/>
          <c:tx>
            <c:strRef>
              <c:f>'estatística'!$B$1240</c:f>
            </c:strRef>
          </c:tx>
          <c:cat>
            <c:strRef>
              <c:f>'estatística'!$C$1:$M$1</c:f>
            </c:strRef>
          </c:cat>
          <c:val>
            <c:numRef>
              <c:f>'estatística'!$C$1240:$M$1240</c:f>
              <c:numCache/>
            </c:numRef>
          </c:val>
        </c:ser>
        <c:ser>
          <c:idx val="1239"/>
          <c:order val="1239"/>
          <c:tx>
            <c:strRef>
              <c:f>'estatística'!$B$1241</c:f>
            </c:strRef>
          </c:tx>
          <c:cat>
            <c:strRef>
              <c:f>'estatística'!$C$1:$M$1</c:f>
            </c:strRef>
          </c:cat>
          <c:val>
            <c:numRef>
              <c:f>'estatística'!$C$1241:$M$1241</c:f>
              <c:numCache/>
            </c:numRef>
          </c:val>
        </c:ser>
        <c:ser>
          <c:idx val="1240"/>
          <c:order val="1240"/>
          <c:tx>
            <c:strRef>
              <c:f>'estatística'!$B$1242</c:f>
            </c:strRef>
          </c:tx>
          <c:cat>
            <c:strRef>
              <c:f>'estatística'!$C$1:$M$1</c:f>
            </c:strRef>
          </c:cat>
          <c:val>
            <c:numRef>
              <c:f>'estatística'!$C$1242:$M$1242</c:f>
              <c:numCache/>
            </c:numRef>
          </c:val>
        </c:ser>
        <c:ser>
          <c:idx val="1241"/>
          <c:order val="1241"/>
          <c:tx>
            <c:strRef>
              <c:f>'estatística'!$B$1243</c:f>
            </c:strRef>
          </c:tx>
          <c:cat>
            <c:strRef>
              <c:f>'estatística'!$C$1:$M$1</c:f>
            </c:strRef>
          </c:cat>
          <c:val>
            <c:numRef>
              <c:f>'estatística'!$C$1243:$M$1243</c:f>
              <c:numCache/>
            </c:numRef>
          </c:val>
        </c:ser>
        <c:ser>
          <c:idx val="1242"/>
          <c:order val="1242"/>
          <c:tx>
            <c:strRef>
              <c:f>'estatística'!$B$1244</c:f>
            </c:strRef>
          </c:tx>
          <c:cat>
            <c:strRef>
              <c:f>'estatística'!$C$1:$M$1</c:f>
            </c:strRef>
          </c:cat>
          <c:val>
            <c:numRef>
              <c:f>'estatística'!$C$1244:$M$1244</c:f>
              <c:numCache/>
            </c:numRef>
          </c:val>
        </c:ser>
        <c:ser>
          <c:idx val="1243"/>
          <c:order val="1243"/>
          <c:tx>
            <c:strRef>
              <c:f>'estatística'!$B$1245</c:f>
            </c:strRef>
          </c:tx>
          <c:cat>
            <c:strRef>
              <c:f>'estatística'!$C$1:$M$1</c:f>
            </c:strRef>
          </c:cat>
          <c:val>
            <c:numRef>
              <c:f>'estatística'!$C$1245:$M$1245</c:f>
              <c:numCache/>
            </c:numRef>
          </c:val>
        </c:ser>
        <c:ser>
          <c:idx val="1244"/>
          <c:order val="1244"/>
          <c:tx>
            <c:strRef>
              <c:f>'estatística'!$B$1246</c:f>
            </c:strRef>
          </c:tx>
          <c:cat>
            <c:strRef>
              <c:f>'estatística'!$C$1:$M$1</c:f>
            </c:strRef>
          </c:cat>
          <c:val>
            <c:numRef>
              <c:f>'estatística'!$C$1246:$M$1246</c:f>
              <c:numCache/>
            </c:numRef>
          </c:val>
        </c:ser>
        <c:ser>
          <c:idx val="1245"/>
          <c:order val="1245"/>
          <c:tx>
            <c:strRef>
              <c:f>'estatística'!$B$1247</c:f>
            </c:strRef>
          </c:tx>
          <c:cat>
            <c:strRef>
              <c:f>'estatística'!$C$1:$M$1</c:f>
            </c:strRef>
          </c:cat>
          <c:val>
            <c:numRef>
              <c:f>'estatística'!$C$1247:$M$1247</c:f>
              <c:numCache/>
            </c:numRef>
          </c:val>
        </c:ser>
        <c:ser>
          <c:idx val="1246"/>
          <c:order val="1246"/>
          <c:tx>
            <c:strRef>
              <c:f>'estatística'!$B$1248</c:f>
            </c:strRef>
          </c:tx>
          <c:cat>
            <c:strRef>
              <c:f>'estatística'!$C$1:$M$1</c:f>
            </c:strRef>
          </c:cat>
          <c:val>
            <c:numRef>
              <c:f>'estatística'!$C$1248:$M$1248</c:f>
              <c:numCache/>
            </c:numRef>
          </c:val>
        </c:ser>
        <c:ser>
          <c:idx val="1247"/>
          <c:order val="1247"/>
          <c:tx>
            <c:strRef>
              <c:f>'estatística'!$B$1249</c:f>
            </c:strRef>
          </c:tx>
          <c:cat>
            <c:strRef>
              <c:f>'estatística'!$C$1:$M$1</c:f>
            </c:strRef>
          </c:cat>
          <c:val>
            <c:numRef>
              <c:f>'estatística'!$C$1249:$M$1249</c:f>
              <c:numCache/>
            </c:numRef>
          </c:val>
        </c:ser>
        <c:ser>
          <c:idx val="1248"/>
          <c:order val="1248"/>
          <c:tx>
            <c:strRef>
              <c:f>'estatística'!$B$1250</c:f>
            </c:strRef>
          </c:tx>
          <c:cat>
            <c:strRef>
              <c:f>'estatística'!$C$1:$M$1</c:f>
            </c:strRef>
          </c:cat>
          <c:val>
            <c:numRef>
              <c:f>'estatística'!$C$1250:$M$1250</c:f>
              <c:numCache/>
            </c:numRef>
          </c:val>
        </c:ser>
        <c:ser>
          <c:idx val="1249"/>
          <c:order val="1249"/>
          <c:tx>
            <c:strRef>
              <c:f>'estatística'!$B$1251</c:f>
            </c:strRef>
          </c:tx>
          <c:cat>
            <c:strRef>
              <c:f>'estatística'!$C$1:$M$1</c:f>
            </c:strRef>
          </c:cat>
          <c:val>
            <c:numRef>
              <c:f>'estatística'!$C$1251:$M$1251</c:f>
              <c:numCache/>
            </c:numRef>
          </c:val>
        </c:ser>
        <c:ser>
          <c:idx val="1250"/>
          <c:order val="1250"/>
          <c:tx>
            <c:strRef>
              <c:f>'estatística'!$B$1252</c:f>
            </c:strRef>
          </c:tx>
          <c:cat>
            <c:strRef>
              <c:f>'estatística'!$C$1:$M$1</c:f>
            </c:strRef>
          </c:cat>
          <c:val>
            <c:numRef>
              <c:f>'estatística'!$C$1252:$M$1252</c:f>
              <c:numCache/>
            </c:numRef>
          </c:val>
        </c:ser>
        <c:ser>
          <c:idx val="1251"/>
          <c:order val="1251"/>
          <c:tx>
            <c:strRef>
              <c:f>'estatística'!$B$1253</c:f>
            </c:strRef>
          </c:tx>
          <c:cat>
            <c:strRef>
              <c:f>'estatística'!$C$1:$M$1</c:f>
            </c:strRef>
          </c:cat>
          <c:val>
            <c:numRef>
              <c:f>'estatística'!$C$1253:$M$1253</c:f>
              <c:numCache/>
            </c:numRef>
          </c:val>
        </c:ser>
        <c:ser>
          <c:idx val="1252"/>
          <c:order val="1252"/>
          <c:tx>
            <c:strRef>
              <c:f>'estatística'!$B$1254</c:f>
            </c:strRef>
          </c:tx>
          <c:cat>
            <c:strRef>
              <c:f>'estatística'!$C$1:$M$1</c:f>
            </c:strRef>
          </c:cat>
          <c:val>
            <c:numRef>
              <c:f>'estatística'!$C$1254:$M$1254</c:f>
              <c:numCache/>
            </c:numRef>
          </c:val>
        </c:ser>
        <c:ser>
          <c:idx val="1253"/>
          <c:order val="1253"/>
          <c:tx>
            <c:strRef>
              <c:f>'estatística'!$B$1255</c:f>
            </c:strRef>
          </c:tx>
          <c:cat>
            <c:strRef>
              <c:f>'estatística'!$C$1:$M$1</c:f>
            </c:strRef>
          </c:cat>
          <c:val>
            <c:numRef>
              <c:f>'estatística'!$C$1255:$M$1255</c:f>
              <c:numCache/>
            </c:numRef>
          </c:val>
        </c:ser>
        <c:ser>
          <c:idx val="1254"/>
          <c:order val="1254"/>
          <c:tx>
            <c:strRef>
              <c:f>'estatística'!$B$1256</c:f>
            </c:strRef>
          </c:tx>
          <c:cat>
            <c:strRef>
              <c:f>'estatística'!$C$1:$M$1</c:f>
            </c:strRef>
          </c:cat>
          <c:val>
            <c:numRef>
              <c:f>'estatística'!$C$1256:$M$1256</c:f>
              <c:numCache/>
            </c:numRef>
          </c:val>
        </c:ser>
        <c:ser>
          <c:idx val="1255"/>
          <c:order val="1255"/>
          <c:tx>
            <c:strRef>
              <c:f>'estatística'!$B$1257</c:f>
            </c:strRef>
          </c:tx>
          <c:cat>
            <c:strRef>
              <c:f>'estatística'!$C$1:$M$1</c:f>
            </c:strRef>
          </c:cat>
          <c:val>
            <c:numRef>
              <c:f>'estatística'!$C$1257:$M$1257</c:f>
              <c:numCache/>
            </c:numRef>
          </c:val>
        </c:ser>
        <c:ser>
          <c:idx val="1256"/>
          <c:order val="1256"/>
          <c:tx>
            <c:strRef>
              <c:f>'estatística'!$B$1258</c:f>
            </c:strRef>
          </c:tx>
          <c:cat>
            <c:strRef>
              <c:f>'estatística'!$C$1:$M$1</c:f>
            </c:strRef>
          </c:cat>
          <c:val>
            <c:numRef>
              <c:f>'estatística'!$C$1258:$M$1258</c:f>
              <c:numCache/>
            </c:numRef>
          </c:val>
        </c:ser>
        <c:ser>
          <c:idx val="1257"/>
          <c:order val="1257"/>
          <c:tx>
            <c:strRef>
              <c:f>'estatística'!$B$1259</c:f>
            </c:strRef>
          </c:tx>
          <c:cat>
            <c:strRef>
              <c:f>'estatística'!$C$1:$M$1</c:f>
            </c:strRef>
          </c:cat>
          <c:val>
            <c:numRef>
              <c:f>'estatística'!$C$1259:$M$1259</c:f>
              <c:numCache/>
            </c:numRef>
          </c:val>
        </c:ser>
        <c:ser>
          <c:idx val="1258"/>
          <c:order val="1258"/>
          <c:tx>
            <c:strRef>
              <c:f>'estatística'!$B$1260</c:f>
            </c:strRef>
          </c:tx>
          <c:cat>
            <c:strRef>
              <c:f>'estatística'!$C$1:$M$1</c:f>
            </c:strRef>
          </c:cat>
          <c:val>
            <c:numRef>
              <c:f>'estatística'!$C$1260:$M$1260</c:f>
              <c:numCache/>
            </c:numRef>
          </c:val>
        </c:ser>
        <c:ser>
          <c:idx val="1259"/>
          <c:order val="1259"/>
          <c:tx>
            <c:strRef>
              <c:f>'estatística'!$B$1261</c:f>
            </c:strRef>
          </c:tx>
          <c:cat>
            <c:strRef>
              <c:f>'estatística'!$C$1:$M$1</c:f>
            </c:strRef>
          </c:cat>
          <c:val>
            <c:numRef>
              <c:f>'estatística'!$C$1261:$M$1261</c:f>
              <c:numCache/>
            </c:numRef>
          </c:val>
        </c:ser>
        <c:ser>
          <c:idx val="1260"/>
          <c:order val="1260"/>
          <c:tx>
            <c:strRef>
              <c:f>'estatística'!$B$1262</c:f>
            </c:strRef>
          </c:tx>
          <c:cat>
            <c:strRef>
              <c:f>'estatística'!$C$1:$M$1</c:f>
            </c:strRef>
          </c:cat>
          <c:val>
            <c:numRef>
              <c:f>'estatística'!$C$1262:$M$1262</c:f>
              <c:numCache/>
            </c:numRef>
          </c:val>
        </c:ser>
        <c:ser>
          <c:idx val="1261"/>
          <c:order val="1261"/>
          <c:tx>
            <c:strRef>
              <c:f>'estatística'!$B$1263</c:f>
            </c:strRef>
          </c:tx>
          <c:cat>
            <c:strRef>
              <c:f>'estatística'!$C$1:$M$1</c:f>
            </c:strRef>
          </c:cat>
          <c:val>
            <c:numRef>
              <c:f>'estatística'!$C$1263:$M$1263</c:f>
              <c:numCache/>
            </c:numRef>
          </c:val>
        </c:ser>
        <c:ser>
          <c:idx val="1262"/>
          <c:order val="1262"/>
          <c:tx>
            <c:strRef>
              <c:f>'estatística'!$B$1264</c:f>
            </c:strRef>
          </c:tx>
          <c:cat>
            <c:strRef>
              <c:f>'estatística'!$C$1:$M$1</c:f>
            </c:strRef>
          </c:cat>
          <c:val>
            <c:numRef>
              <c:f>'estatística'!$C$1264:$M$1264</c:f>
              <c:numCache/>
            </c:numRef>
          </c:val>
        </c:ser>
        <c:ser>
          <c:idx val="1263"/>
          <c:order val="1263"/>
          <c:tx>
            <c:strRef>
              <c:f>'estatística'!$B$1265</c:f>
            </c:strRef>
          </c:tx>
          <c:cat>
            <c:strRef>
              <c:f>'estatística'!$C$1:$M$1</c:f>
            </c:strRef>
          </c:cat>
          <c:val>
            <c:numRef>
              <c:f>'estatística'!$C$1265:$M$1265</c:f>
              <c:numCache/>
            </c:numRef>
          </c:val>
        </c:ser>
        <c:ser>
          <c:idx val="1264"/>
          <c:order val="1264"/>
          <c:tx>
            <c:strRef>
              <c:f>'estatística'!$B$1266</c:f>
            </c:strRef>
          </c:tx>
          <c:cat>
            <c:strRef>
              <c:f>'estatística'!$C$1:$M$1</c:f>
            </c:strRef>
          </c:cat>
          <c:val>
            <c:numRef>
              <c:f>'estatística'!$C$1266:$M$1266</c:f>
              <c:numCache/>
            </c:numRef>
          </c:val>
        </c:ser>
        <c:ser>
          <c:idx val="1265"/>
          <c:order val="1265"/>
          <c:tx>
            <c:strRef>
              <c:f>'estatística'!$B$1267</c:f>
            </c:strRef>
          </c:tx>
          <c:cat>
            <c:strRef>
              <c:f>'estatística'!$C$1:$M$1</c:f>
            </c:strRef>
          </c:cat>
          <c:val>
            <c:numRef>
              <c:f>'estatística'!$C$1267:$M$1267</c:f>
              <c:numCache/>
            </c:numRef>
          </c:val>
        </c:ser>
        <c:ser>
          <c:idx val="1266"/>
          <c:order val="1266"/>
          <c:tx>
            <c:strRef>
              <c:f>'estatística'!$B$1268</c:f>
            </c:strRef>
          </c:tx>
          <c:cat>
            <c:strRef>
              <c:f>'estatística'!$C$1:$M$1</c:f>
            </c:strRef>
          </c:cat>
          <c:val>
            <c:numRef>
              <c:f>'estatística'!$C$1268:$M$1268</c:f>
              <c:numCache/>
            </c:numRef>
          </c:val>
        </c:ser>
        <c:ser>
          <c:idx val="1267"/>
          <c:order val="1267"/>
          <c:tx>
            <c:strRef>
              <c:f>'estatística'!$B$1269</c:f>
            </c:strRef>
          </c:tx>
          <c:cat>
            <c:strRef>
              <c:f>'estatística'!$C$1:$M$1</c:f>
            </c:strRef>
          </c:cat>
          <c:val>
            <c:numRef>
              <c:f>'estatística'!$C$1269:$M$1269</c:f>
              <c:numCache/>
            </c:numRef>
          </c:val>
        </c:ser>
        <c:ser>
          <c:idx val="1268"/>
          <c:order val="1268"/>
          <c:tx>
            <c:strRef>
              <c:f>'estatística'!$B$1270</c:f>
            </c:strRef>
          </c:tx>
          <c:cat>
            <c:strRef>
              <c:f>'estatística'!$C$1:$M$1</c:f>
            </c:strRef>
          </c:cat>
          <c:val>
            <c:numRef>
              <c:f>'estatística'!$C$1270:$M$1270</c:f>
              <c:numCache/>
            </c:numRef>
          </c:val>
        </c:ser>
        <c:ser>
          <c:idx val="1269"/>
          <c:order val="1269"/>
          <c:tx>
            <c:strRef>
              <c:f>'estatística'!$B$1271</c:f>
            </c:strRef>
          </c:tx>
          <c:cat>
            <c:strRef>
              <c:f>'estatística'!$C$1:$M$1</c:f>
            </c:strRef>
          </c:cat>
          <c:val>
            <c:numRef>
              <c:f>'estatística'!$C$1271:$M$1271</c:f>
              <c:numCache/>
            </c:numRef>
          </c:val>
        </c:ser>
        <c:ser>
          <c:idx val="1270"/>
          <c:order val="1270"/>
          <c:tx>
            <c:strRef>
              <c:f>'estatística'!$B$1272</c:f>
            </c:strRef>
          </c:tx>
          <c:cat>
            <c:strRef>
              <c:f>'estatística'!$C$1:$M$1</c:f>
            </c:strRef>
          </c:cat>
          <c:val>
            <c:numRef>
              <c:f>'estatística'!$C$1272:$M$1272</c:f>
              <c:numCache/>
            </c:numRef>
          </c:val>
        </c:ser>
        <c:ser>
          <c:idx val="1271"/>
          <c:order val="1271"/>
          <c:tx>
            <c:strRef>
              <c:f>'estatística'!$B$1273</c:f>
            </c:strRef>
          </c:tx>
          <c:cat>
            <c:strRef>
              <c:f>'estatística'!$C$1:$M$1</c:f>
            </c:strRef>
          </c:cat>
          <c:val>
            <c:numRef>
              <c:f>'estatística'!$C$1273:$M$1273</c:f>
              <c:numCache/>
            </c:numRef>
          </c:val>
        </c:ser>
        <c:ser>
          <c:idx val="1272"/>
          <c:order val="1272"/>
          <c:tx>
            <c:strRef>
              <c:f>'estatística'!$B$1274</c:f>
            </c:strRef>
          </c:tx>
          <c:cat>
            <c:strRef>
              <c:f>'estatística'!$C$1:$M$1</c:f>
            </c:strRef>
          </c:cat>
          <c:val>
            <c:numRef>
              <c:f>'estatística'!$C$1274:$M$1274</c:f>
              <c:numCache/>
            </c:numRef>
          </c:val>
        </c:ser>
        <c:ser>
          <c:idx val="1273"/>
          <c:order val="1273"/>
          <c:tx>
            <c:strRef>
              <c:f>'estatística'!$B$1275</c:f>
            </c:strRef>
          </c:tx>
          <c:cat>
            <c:strRef>
              <c:f>'estatística'!$C$1:$M$1</c:f>
            </c:strRef>
          </c:cat>
          <c:val>
            <c:numRef>
              <c:f>'estatística'!$C$1275:$M$1275</c:f>
              <c:numCache/>
            </c:numRef>
          </c:val>
        </c:ser>
        <c:ser>
          <c:idx val="1274"/>
          <c:order val="1274"/>
          <c:tx>
            <c:strRef>
              <c:f>'estatística'!$B$1276</c:f>
            </c:strRef>
          </c:tx>
          <c:cat>
            <c:strRef>
              <c:f>'estatística'!$C$1:$M$1</c:f>
            </c:strRef>
          </c:cat>
          <c:val>
            <c:numRef>
              <c:f>'estatística'!$C$1276:$M$1276</c:f>
              <c:numCache/>
            </c:numRef>
          </c:val>
        </c:ser>
        <c:ser>
          <c:idx val="1275"/>
          <c:order val="1275"/>
          <c:tx>
            <c:strRef>
              <c:f>'estatística'!$B$1277</c:f>
            </c:strRef>
          </c:tx>
          <c:cat>
            <c:strRef>
              <c:f>'estatística'!$C$1:$M$1</c:f>
            </c:strRef>
          </c:cat>
          <c:val>
            <c:numRef>
              <c:f>'estatística'!$C$1277:$M$1277</c:f>
              <c:numCache/>
            </c:numRef>
          </c:val>
        </c:ser>
        <c:ser>
          <c:idx val="1276"/>
          <c:order val="1276"/>
          <c:tx>
            <c:strRef>
              <c:f>'estatística'!$B$1278</c:f>
            </c:strRef>
          </c:tx>
          <c:cat>
            <c:strRef>
              <c:f>'estatística'!$C$1:$M$1</c:f>
            </c:strRef>
          </c:cat>
          <c:val>
            <c:numRef>
              <c:f>'estatística'!$C$1278:$M$1278</c:f>
              <c:numCache/>
            </c:numRef>
          </c:val>
        </c:ser>
        <c:ser>
          <c:idx val="1277"/>
          <c:order val="1277"/>
          <c:tx>
            <c:strRef>
              <c:f>'estatística'!$B$1279</c:f>
            </c:strRef>
          </c:tx>
          <c:cat>
            <c:strRef>
              <c:f>'estatística'!$C$1:$M$1</c:f>
            </c:strRef>
          </c:cat>
          <c:val>
            <c:numRef>
              <c:f>'estatística'!$C$1279:$M$1279</c:f>
              <c:numCache/>
            </c:numRef>
          </c:val>
        </c:ser>
        <c:ser>
          <c:idx val="1278"/>
          <c:order val="1278"/>
          <c:tx>
            <c:strRef>
              <c:f>'estatística'!$B$1280</c:f>
            </c:strRef>
          </c:tx>
          <c:cat>
            <c:strRef>
              <c:f>'estatística'!$C$1:$M$1</c:f>
            </c:strRef>
          </c:cat>
          <c:val>
            <c:numRef>
              <c:f>'estatística'!$C$1280:$M$1280</c:f>
              <c:numCache/>
            </c:numRef>
          </c:val>
        </c:ser>
        <c:ser>
          <c:idx val="1279"/>
          <c:order val="1279"/>
          <c:tx>
            <c:strRef>
              <c:f>'estatística'!$B$1281</c:f>
            </c:strRef>
          </c:tx>
          <c:cat>
            <c:strRef>
              <c:f>'estatística'!$C$1:$M$1</c:f>
            </c:strRef>
          </c:cat>
          <c:val>
            <c:numRef>
              <c:f>'estatística'!$C$1281:$M$1281</c:f>
              <c:numCache/>
            </c:numRef>
          </c:val>
        </c:ser>
        <c:ser>
          <c:idx val="1280"/>
          <c:order val="1280"/>
          <c:tx>
            <c:strRef>
              <c:f>'estatística'!$B$1282</c:f>
            </c:strRef>
          </c:tx>
          <c:cat>
            <c:strRef>
              <c:f>'estatística'!$C$1:$M$1</c:f>
            </c:strRef>
          </c:cat>
          <c:val>
            <c:numRef>
              <c:f>'estatística'!$C$1282:$M$1282</c:f>
              <c:numCache/>
            </c:numRef>
          </c:val>
        </c:ser>
        <c:ser>
          <c:idx val="1281"/>
          <c:order val="1281"/>
          <c:tx>
            <c:strRef>
              <c:f>'estatística'!$B$1283</c:f>
            </c:strRef>
          </c:tx>
          <c:cat>
            <c:strRef>
              <c:f>'estatística'!$C$1:$M$1</c:f>
            </c:strRef>
          </c:cat>
          <c:val>
            <c:numRef>
              <c:f>'estatística'!$C$1283:$M$1283</c:f>
              <c:numCache/>
            </c:numRef>
          </c:val>
        </c:ser>
        <c:ser>
          <c:idx val="1282"/>
          <c:order val="1282"/>
          <c:tx>
            <c:strRef>
              <c:f>'estatística'!$B$1284</c:f>
            </c:strRef>
          </c:tx>
          <c:cat>
            <c:strRef>
              <c:f>'estatística'!$C$1:$M$1</c:f>
            </c:strRef>
          </c:cat>
          <c:val>
            <c:numRef>
              <c:f>'estatística'!$C$1284:$M$1284</c:f>
              <c:numCache/>
            </c:numRef>
          </c:val>
        </c:ser>
        <c:ser>
          <c:idx val="1283"/>
          <c:order val="1283"/>
          <c:tx>
            <c:strRef>
              <c:f>'estatística'!$B$1285</c:f>
            </c:strRef>
          </c:tx>
          <c:cat>
            <c:strRef>
              <c:f>'estatística'!$C$1:$M$1</c:f>
            </c:strRef>
          </c:cat>
          <c:val>
            <c:numRef>
              <c:f>'estatística'!$C$1285:$M$1285</c:f>
              <c:numCache/>
            </c:numRef>
          </c:val>
        </c:ser>
        <c:ser>
          <c:idx val="1284"/>
          <c:order val="1284"/>
          <c:tx>
            <c:strRef>
              <c:f>'estatística'!$B$1286</c:f>
            </c:strRef>
          </c:tx>
          <c:cat>
            <c:strRef>
              <c:f>'estatística'!$C$1:$M$1</c:f>
            </c:strRef>
          </c:cat>
          <c:val>
            <c:numRef>
              <c:f>'estatística'!$C$1286:$M$1286</c:f>
              <c:numCache/>
            </c:numRef>
          </c:val>
        </c:ser>
        <c:ser>
          <c:idx val="1285"/>
          <c:order val="1285"/>
          <c:tx>
            <c:strRef>
              <c:f>'estatística'!$B$1287</c:f>
            </c:strRef>
          </c:tx>
          <c:cat>
            <c:strRef>
              <c:f>'estatística'!$C$1:$M$1</c:f>
            </c:strRef>
          </c:cat>
          <c:val>
            <c:numRef>
              <c:f>'estatística'!$C$1287:$M$1287</c:f>
              <c:numCache/>
            </c:numRef>
          </c:val>
        </c:ser>
        <c:ser>
          <c:idx val="1286"/>
          <c:order val="1286"/>
          <c:tx>
            <c:strRef>
              <c:f>'estatística'!$B$1288</c:f>
            </c:strRef>
          </c:tx>
          <c:cat>
            <c:strRef>
              <c:f>'estatística'!$C$1:$M$1</c:f>
            </c:strRef>
          </c:cat>
          <c:val>
            <c:numRef>
              <c:f>'estatística'!$C$1288:$M$1288</c:f>
              <c:numCache/>
            </c:numRef>
          </c:val>
        </c:ser>
        <c:ser>
          <c:idx val="1287"/>
          <c:order val="1287"/>
          <c:tx>
            <c:strRef>
              <c:f>'estatística'!$B$1289</c:f>
            </c:strRef>
          </c:tx>
          <c:cat>
            <c:strRef>
              <c:f>'estatística'!$C$1:$M$1</c:f>
            </c:strRef>
          </c:cat>
          <c:val>
            <c:numRef>
              <c:f>'estatística'!$C$1289:$M$1289</c:f>
              <c:numCache/>
            </c:numRef>
          </c:val>
        </c:ser>
        <c:ser>
          <c:idx val="1288"/>
          <c:order val="1288"/>
          <c:tx>
            <c:strRef>
              <c:f>'estatística'!$B$1290</c:f>
            </c:strRef>
          </c:tx>
          <c:cat>
            <c:strRef>
              <c:f>'estatística'!$C$1:$M$1</c:f>
            </c:strRef>
          </c:cat>
          <c:val>
            <c:numRef>
              <c:f>'estatística'!$C$1290:$M$1290</c:f>
              <c:numCache/>
            </c:numRef>
          </c:val>
        </c:ser>
        <c:ser>
          <c:idx val="1289"/>
          <c:order val="1289"/>
          <c:tx>
            <c:strRef>
              <c:f>'estatística'!$B$1291</c:f>
            </c:strRef>
          </c:tx>
          <c:cat>
            <c:strRef>
              <c:f>'estatística'!$C$1:$M$1</c:f>
            </c:strRef>
          </c:cat>
          <c:val>
            <c:numRef>
              <c:f>'estatística'!$C$1291:$M$1291</c:f>
              <c:numCache/>
            </c:numRef>
          </c:val>
        </c:ser>
        <c:ser>
          <c:idx val="1290"/>
          <c:order val="1290"/>
          <c:tx>
            <c:strRef>
              <c:f>'estatística'!$B$1292</c:f>
            </c:strRef>
          </c:tx>
          <c:cat>
            <c:strRef>
              <c:f>'estatística'!$C$1:$M$1</c:f>
            </c:strRef>
          </c:cat>
          <c:val>
            <c:numRef>
              <c:f>'estatística'!$C$1292:$M$1292</c:f>
              <c:numCache/>
            </c:numRef>
          </c:val>
        </c:ser>
        <c:ser>
          <c:idx val="1291"/>
          <c:order val="1291"/>
          <c:tx>
            <c:strRef>
              <c:f>'estatística'!$B$1293</c:f>
            </c:strRef>
          </c:tx>
          <c:cat>
            <c:strRef>
              <c:f>'estatística'!$C$1:$M$1</c:f>
            </c:strRef>
          </c:cat>
          <c:val>
            <c:numRef>
              <c:f>'estatística'!$C$1293:$M$1293</c:f>
              <c:numCache/>
            </c:numRef>
          </c:val>
        </c:ser>
        <c:ser>
          <c:idx val="1292"/>
          <c:order val="1292"/>
          <c:tx>
            <c:strRef>
              <c:f>'estatística'!$B$1294</c:f>
            </c:strRef>
          </c:tx>
          <c:cat>
            <c:strRef>
              <c:f>'estatística'!$C$1:$M$1</c:f>
            </c:strRef>
          </c:cat>
          <c:val>
            <c:numRef>
              <c:f>'estatística'!$C$1294:$M$1294</c:f>
              <c:numCache/>
            </c:numRef>
          </c:val>
        </c:ser>
        <c:ser>
          <c:idx val="1293"/>
          <c:order val="1293"/>
          <c:tx>
            <c:strRef>
              <c:f>'estatística'!$B$1295</c:f>
            </c:strRef>
          </c:tx>
          <c:cat>
            <c:strRef>
              <c:f>'estatística'!$C$1:$M$1</c:f>
            </c:strRef>
          </c:cat>
          <c:val>
            <c:numRef>
              <c:f>'estatística'!$C$1295:$M$1295</c:f>
              <c:numCache/>
            </c:numRef>
          </c:val>
        </c:ser>
        <c:ser>
          <c:idx val="1294"/>
          <c:order val="1294"/>
          <c:tx>
            <c:strRef>
              <c:f>'estatística'!$B$1296</c:f>
            </c:strRef>
          </c:tx>
          <c:cat>
            <c:strRef>
              <c:f>'estatística'!$C$1:$M$1</c:f>
            </c:strRef>
          </c:cat>
          <c:val>
            <c:numRef>
              <c:f>'estatística'!$C$1296:$M$1296</c:f>
              <c:numCache/>
            </c:numRef>
          </c:val>
        </c:ser>
        <c:ser>
          <c:idx val="1295"/>
          <c:order val="1295"/>
          <c:tx>
            <c:strRef>
              <c:f>'estatística'!$B$1297</c:f>
            </c:strRef>
          </c:tx>
          <c:cat>
            <c:strRef>
              <c:f>'estatística'!$C$1:$M$1</c:f>
            </c:strRef>
          </c:cat>
          <c:val>
            <c:numRef>
              <c:f>'estatística'!$C$1297:$M$1297</c:f>
              <c:numCache/>
            </c:numRef>
          </c:val>
        </c:ser>
        <c:ser>
          <c:idx val="1296"/>
          <c:order val="1296"/>
          <c:tx>
            <c:strRef>
              <c:f>'estatística'!$B$1298</c:f>
            </c:strRef>
          </c:tx>
          <c:cat>
            <c:strRef>
              <c:f>'estatística'!$C$1:$M$1</c:f>
            </c:strRef>
          </c:cat>
          <c:val>
            <c:numRef>
              <c:f>'estatística'!$C$1298:$M$1298</c:f>
              <c:numCache/>
            </c:numRef>
          </c:val>
        </c:ser>
        <c:ser>
          <c:idx val="1297"/>
          <c:order val="1297"/>
          <c:tx>
            <c:strRef>
              <c:f>'estatística'!$B$1299</c:f>
            </c:strRef>
          </c:tx>
          <c:cat>
            <c:strRef>
              <c:f>'estatística'!$C$1:$M$1</c:f>
            </c:strRef>
          </c:cat>
          <c:val>
            <c:numRef>
              <c:f>'estatística'!$C$1299:$M$1299</c:f>
              <c:numCache/>
            </c:numRef>
          </c:val>
        </c:ser>
        <c:ser>
          <c:idx val="1298"/>
          <c:order val="1298"/>
          <c:tx>
            <c:strRef>
              <c:f>'estatística'!$B$1300</c:f>
            </c:strRef>
          </c:tx>
          <c:cat>
            <c:strRef>
              <c:f>'estatística'!$C$1:$M$1</c:f>
            </c:strRef>
          </c:cat>
          <c:val>
            <c:numRef>
              <c:f>'estatística'!$C$1300:$M$1300</c:f>
              <c:numCache/>
            </c:numRef>
          </c:val>
        </c:ser>
        <c:ser>
          <c:idx val="1299"/>
          <c:order val="1299"/>
          <c:tx>
            <c:strRef>
              <c:f>'estatística'!$B$1301</c:f>
            </c:strRef>
          </c:tx>
          <c:cat>
            <c:strRef>
              <c:f>'estatística'!$C$1:$M$1</c:f>
            </c:strRef>
          </c:cat>
          <c:val>
            <c:numRef>
              <c:f>'estatística'!$C$1301:$M$1301</c:f>
              <c:numCache/>
            </c:numRef>
          </c:val>
        </c:ser>
        <c:ser>
          <c:idx val="1300"/>
          <c:order val="1300"/>
          <c:tx>
            <c:strRef>
              <c:f>'estatística'!$B$1302</c:f>
            </c:strRef>
          </c:tx>
          <c:cat>
            <c:strRef>
              <c:f>'estatística'!$C$1:$M$1</c:f>
            </c:strRef>
          </c:cat>
          <c:val>
            <c:numRef>
              <c:f>'estatística'!$C$1302:$M$1302</c:f>
              <c:numCache/>
            </c:numRef>
          </c:val>
        </c:ser>
        <c:ser>
          <c:idx val="1301"/>
          <c:order val="1301"/>
          <c:tx>
            <c:strRef>
              <c:f>'estatística'!$B$1303</c:f>
            </c:strRef>
          </c:tx>
          <c:cat>
            <c:strRef>
              <c:f>'estatística'!$C$1:$M$1</c:f>
            </c:strRef>
          </c:cat>
          <c:val>
            <c:numRef>
              <c:f>'estatística'!$C$1303:$M$1303</c:f>
              <c:numCache/>
            </c:numRef>
          </c:val>
        </c:ser>
        <c:ser>
          <c:idx val="1302"/>
          <c:order val="1302"/>
          <c:tx>
            <c:strRef>
              <c:f>'estatística'!$B$1304</c:f>
            </c:strRef>
          </c:tx>
          <c:cat>
            <c:strRef>
              <c:f>'estatística'!$C$1:$M$1</c:f>
            </c:strRef>
          </c:cat>
          <c:val>
            <c:numRef>
              <c:f>'estatística'!$C$1304:$M$1304</c:f>
              <c:numCache/>
            </c:numRef>
          </c:val>
        </c:ser>
        <c:ser>
          <c:idx val="1303"/>
          <c:order val="1303"/>
          <c:tx>
            <c:strRef>
              <c:f>'estatística'!$B$1305</c:f>
            </c:strRef>
          </c:tx>
          <c:cat>
            <c:strRef>
              <c:f>'estatística'!$C$1:$M$1</c:f>
            </c:strRef>
          </c:cat>
          <c:val>
            <c:numRef>
              <c:f>'estatística'!$C$1305:$M$1305</c:f>
              <c:numCache/>
            </c:numRef>
          </c:val>
        </c:ser>
        <c:ser>
          <c:idx val="1304"/>
          <c:order val="1304"/>
          <c:tx>
            <c:strRef>
              <c:f>'estatística'!$B$1306</c:f>
            </c:strRef>
          </c:tx>
          <c:cat>
            <c:strRef>
              <c:f>'estatística'!$C$1:$M$1</c:f>
            </c:strRef>
          </c:cat>
          <c:val>
            <c:numRef>
              <c:f>'estatística'!$C$1306:$M$1306</c:f>
              <c:numCache/>
            </c:numRef>
          </c:val>
        </c:ser>
        <c:ser>
          <c:idx val="1305"/>
          <c:order val="1305"/>
          <c:tx>
            <c:strRef>
              <c:f>'estatística'!$B$1307</c:f>
            </c:strRef>
          </c:tx>
          <c:cat>
            <c:strRef>
              <c:f>'estatística'!$C$1:$M$1</c:f>
            </c:strRef>
          </c:cat>
          <c:val>
            <c:numRef>
              <c:f>'estatística'!$C$1307:$M$1307</c:f>
              <c:numCache/>
            </c:numRef>
          </c:val>
        </c:ser>
        <c:ser>
          <c:idx val="1306"/>
          <c:order val="1306"/>
          <c:tx>
            <c:strRef>
              <c:f>'estatística'!$B$1308</c:f>
            </c:strRef>
          </c:tx>
          <c:cat>
            <c:strRef>
              <c:f>'estatística'!$C$1:$M$1</c:f>
            </c:strRef>
          </c:cat>
          <c:val>
            <c:numRef>
              <c:f>'estatística'!$C$1308:$M$1308</c:f>
              <c:numCache/>
            </c:numRef>
          </c:val>
        </c:ser>
        <c:ser>
          <c:idx val="1307"/>
          <c:order val="1307"/>
          <c:tx>
            <c:strRef>
              <c:f>'estatística'!$B$1309</c:f>
            </c:strRef>
          </c:tx>
          <c:cat>
            <c:strRef>
              <c:f>'estatística'!$C$1:$M$1</c:f>
            </c:strRef>
          </c:cat>
          <c:val>
            <c:numRef>
              <c:f>'estatística'!$C$1309:$M$1309</c:f>
              <c:numCache/>
            </c:numRef>
          </c:val>
        </c:ser>
        <c:ser>
          <c:idx val="1308"/>
          <c:order val="1308"/>
          <c:tx>
            <c:strRef>
              <c:f>'estatística'!$B$1310</c:f>
            </c:strRef>
          </c:tx>
          <c:cat>
            <c:strRef>
              <c:f>'estatística'!$C$1:$M$1</c:f>
            </c:strRef>
          </c:cat>
          <c:val>
            <c:numRef>
              <c:f>'estatística'!$C$1310:$M$1310</c:f>
              <c:numCache/>
            </c:numRef>
          </c:val>
        </c:ser>
        <c:ser>
          <c:idx val="1309"/>
          <c:order val="1309"/>
          <c:tx>
            <c:strRef>
              <c:f>'estatística'!$B$1311</c:f>
            </c:strRef>
          </c:tx>
          <c:cat>
            <c:strRef>
              <c:f>'estatística'!$C$1:$M$1</c:f>
            </c:strRef>
          </c:cat>
          <c:val>
            <c:numRef>
              <c:f>'estatística'!$C$1311:$M$1311</c:f>
              <c:numCache/>
            </c:numRef>
          </c:val>
        </c:ser>
        <c:ser>
          <c:idx val="1310"/>
          <c:order val="1310"/>
          <c:tx>
            <c:strRef>
              <c:f>'estatística'!$B$1312</c:f>
            </c:strRef>
          </c:tx>
          <c:cat>
            <c:strRef>
              <c:f>'estatística'!$C$1:$M$1</c:f>
            </c:strRef>
          </c:cat>
          <c:val>
            <c:numRef>
              <c:f>'estatística'!$C$1312:$M$1312</c:f>
              <c:numCache/>
            </c:numRef>
          </c:val>
        </c:ser>
        <c:ser>
          <c:idx val="1311"/>
          <c:order val="1311"/>
          <c:tx>
            <c:strRef>
              <c:f>'estatística'!$B$1313</c:f>
            </c:strRef>
          </c:tx>
          <c:cat>
            <c:strRef>
              <c:f>'estatística'!$C$1:$M$1</c:f>
            </c:strRef>
          </c:cat>
          <c:val>
            <c:numRef>
              <c:f>'estatística'!$C$1313:$M$1313</c:f>
              <c:numCache/>
            </c:numRef>
          </c:val>
        </c:ser>
        <c:ser>
          <c:idx val="1312"/>
          <c:order val="1312"/>
          <c:tx>
            <c:strRef>
              <c:f>'estatística'!$B$1314</c:f>
            </c:strRef>
          </c:tx>
          <c:cat>
            <c:strRef>
              <c:f>'estatística'!$C$1:$M$1</c:f>
            </c:strRef>
          </c:cat>
          <c:val>
            <c:numRef>
              <c:f>'estatística'!$C$1314:$M$1314</c:f>
              <c:numCache/>
            </c:numRef>
          </c:val>
        </c:ser>
        <c:ser>
          <c:idx val="1313"/>
          <c:order val="1313"/>
          <c:tx>
            <c:strRef>
              <c:f>'estatística'!$B$1315</c:f>
            </c:strRef>
          </c:tx>
          <c:cat>
            <c:strRef>
              <c:f>'estatística'!$C$1:$M$1</c:f>
            </c:strRef>
          </c:cat>
          <c:val>
            <c:numRef>
              <c:f>'estatística'!$C$1315:$M$1315</c:f>
              <c:numCache/>
            </c:numRef>
          </c:val>
        </c:ser>
        <c:ser>
          <c:idx val="1314"/>
          <c:order val="1314"/>
          <c:tx>
            <c:strRef>
              <c:f>'estatística'!$B$1316</c:f>
            </c:strRef>
          </c:tx>
          <c:cat>
            <c:strRef>
              <c:f>'estatística'!$C$1:$M$1</c:f>
            </c:strRef>
          </c:cat>
          <c:val>
            <c:numRef>
              <c:f>'estatística'!$C$1316:$M$1316</c:f>
              <c:numCache/>
            </c:numRef>
          </c:val>
        </c:ser>
        <c:ser>
          <c:idx val="1315"/>
          <c:order val="1315"/>
          <c:tx>
            <c:strRef>
              <c:f>'estatística'!$B$1317</c:f>
            </c:strRef>
          </c:tx>
          <c:cat>
            <c:strRef>
              <c:f>'estatística'!$C$1:$M$1</c:f>
            </c:strRef>
          </c:cat>
          <c:val>
            <c:numRef>
              <c:f>'estatística'!$C$1317:$M$1317</c:f>
              <c:numCache/>
            </c:numRef>
          </c:val>
        </c:ser>
        <c:ser>
          <c:idx val="1316"/>
          <c:order val="1316"/>
          <c:tx>
            <c:strRef>
              <c:f>'estatística'!$B$1318</c:f>
            </c:strRef>
          </c:tx>
          <c:cat>
            <c:strRef>
              <c:f>'estatística'!$C$1:$M$1</c:f>
            </c:strRef>
          </c:cat>
          <c:val>
            <c:numRef>
              <c:f>'estatística'!$C$1318:$M$1318</c:f>
              <c:numCache/>
            </c:numRef>
          </c:val>
        </c:ser>
        <c:ser>
          <c:idx val="1317"/>
          <c:order val="1317"/>
          <c:tx>
            <c:strRef>
              <c:f>'estatística'!$B$1319</c:f>
            </c:strRef>
          </c:tx>
          <c:cat>
            <c:strRef>
              <c:f>'estatística'!$C$1:$M$1</c:f>
            </c:strRef>
          </c:cat>
          <c:val>
            <c:numRef>
              <c:f>'estatística'!$C$1319:$M$1319</c:f>
              <c:numCache/>
            </c:numRef>
          </c:val>
        </c:ser>
        <c:ser>
          <c:idx val="1318"/>
          <c:order val="1318"/>
          <c:tx>
            <c:strRef>
              <c:f>'estatística'!$B$1320</c:f>
            </c:strRef>
          </c:tx>
          <c:cat>
            <c:strRef>
              <c:f>'estatística'!$C$1:$M$1</c:f>
            </c:strRef>
          </c:cat>
          <c:val>
            <c:numRef>
              <c:f>'estatística'!$C$1320:$M$1320</c:f>
              <c:numCache/>
            </c:numRef>
          </c:val>
        </c:ser>
        <c:ser>
          <c:idx val="1319"/>
          <c:order val="1319"/>
          <c:tx>
            <c:strRef>
              <c:f>'estatística'!$B$1321</c:f>
            </c:strRef>
          </c:tx>
          <c:cat>
            <c:strRef>
              <c:f>'estatística'!$C$1:$M$1</c:f>
            </c:strRef>
          </c:cat>
          <c:val>
            <c:numRef>
              <c:f>'estatística'!$C$1321:$M$1321</c:f>
              <c:numCache/>
            </c:numRef>
          </c:val>
        </c:ser>
        <c:ser>
          <c:idx val="1320"/>
          <c:order val="1320"/>
          <c:tx>
            <c:strRef>
              <c:f>'estatística'!$B$1322</c:f>
            </c:strRef>
          </c:tx>
          <c:cat>
            <c:strRef>
              <c:f>'estatística'!$C$1:$M$1</c:f>
            </c:strRef>
          </c:cat>
          <c:val>
            <c:numRef>
              <c:f>'estatística'!$C$1322:$M$1322</c:f>
              <c:numCache/>
            </c:numRef>
          </c:val>
        </c:ser>
        <c:ser>
          <c:idx val="1321"/>
          <c:order val="1321"/>
          <c:tx>
            <c:strRef>
              <c:f>'estatística'!$B$1323</c:f>
            </c:strRef>
          </c:tx>
          <c:cat>
            <c:strRef>
              <c:f>'estatística'!$C$1:$M$1</c:f>
            </c:strRef>
          </c:cat>
          <c:val>
            <c:numRef>
              <c:f>'estatística'!$C$1323:$M$1323</c:f>
              <c:numCache/>
            </c:numRef>
          </c:val>
        </c:ser>
        <c:ser>
          <c:idx val="1322"/>
          <c:order val="1322"/>
          <c:tx>
            <c:strRef>
              <c:f>'estatística'!$B$1324</c:f>
            </c:strRef>
          </c:tx>
          <c:cat>
            <c:strRef>
              <c:f>'estatística'!$C$1:$M$1</c:f>
            </c:strRef>
          </c:cat>
          <c:val>
            <c:numRef>
              <c:f>'estatística'!$C$1324:$M$1324</c:f>
              <c:numCache/>
            </c:numRef>
          </c:val>
        </c:ser>
        <c:ser>
          <c:idx val="1323"/>
          <c:order val="1323"/>
          <c:tx>
            <c:strRef>
              <c:f>'estatística'!$B$1325</c:f>
            </c:strRef>
          </c:tx>
          <c:cat>
            <c:strRef>
              <c:f>'estatística'!$C$1:$M$1</c:f>
            </c:strRef>
          </c:cat>
          <c:val>
            <c:numRef>
              <c:f>'estatística'!$C$1325:$M$1325</c:f>
              <c:numCache/>
            </c:numRef>
          </c:val>
        </c:ser>
        <c:ser>
          <c:idx val="1324"/>
          <c:order val="1324"/>
          <c:tx>
            <c:strRef>
              <c:f>'estatística'!$B$1326</c:f>
            </c:strRef>
          </c:tx>
          <c:cat>
            <c:strRef>
              <c:f>'estatística'!$C$1:$M$1</c:f>
            </c:strRef>
          </c:cat>
          <c:val>
            <c:numRef>
              <c:f>'estatística'!$C$1326:$M$1326</c:f>
              <c:numCache/>
            </c:numRef>
          </c:val>
        </c:ser>
        <c:ser>
          <c:idx val="1325"/>
          <c:order val="1325"/>
          <c:tx>
            <c:strRef>
              <c:f>'estatística'!$B$1327</c:f>
            </c:strRef>
          </c:tx>
          <c:cat>
            <c:strRef>
              <c:f>'estatística'!$C$1:$M$1</c:f>
            </c:strRef>
          </c:cat>
          <c:val>
            <c:numRef>
              <c:f>'estatística'!$C$1327:$M$1327</c:f>
              <c:numCache/>
            </c:numRef>
          </c:val>
        </c:ser>
        <c:ser>
          <c:idx val="1326"/>
          <c:order val="1326"/>
          <c:tx>
            <c:strRef>
              <c:f>'estatística'!$B$1328</c:f>
            </c:strRef>
          </c:tx>
          <c:cat>
            <c:strRef>
              <c:f>'estatística'!$C$1:$M$1</c:f>
            </c:strRef>
          </c:cat>
          <c:val>
            <c:numRef>
              <c:f>'estatística'!$C$1328:$M$1328</c:f>
              <c:numCache/>
            </c:numRef>
          </c:val>
        </c:ser>
        <c:ser>
          <c:idx val="1327"/>
          <c:order val="1327"/>
          <c:tx>
            <c:strRef>
              <c:f>'estatística'!$B$1329</c:f>
            </c:strRef>
          </c:tx>
          <c:cat>
            <c:strRef>
              <c:f>'estatística'!$C$1:$M$1</c:f>
            </c:strRef>
          </c:cat>
          <c:val>
            <c:numRef>
              <c:f>'estatística'!$C$1329:$M$1329</c:f>
              <c:numCache/>
            </c:numRef>
          </c:val>
        </c:ser>
        <c:ser>
          <c:idx val="1328"/>
          <c:order val="1328"/>
          <c:tx>
            <c:strRef>
              <c:f>'estatística'!$B$1330</c:f>
            </c:strRef>
          </c:tx>
          <c:cat>
            <c:strRef>
              <c:f>'estatística'!$C$1:$M$1</c:f>
            </c:strRef>
          </c:cat>
          <c:val>
            <c:numRef>
              <c:f>'estatística'!$C$1330:$M$1330</c:f>
              <c:numCache/>
            </c:numRef>
          </c:val>
        </c:ser>
        <c:ser>
          <c:idx val="1329"/>
          <c:order val="1329"/>
          <c:tx>
            <c:strRef>
              <c:f>'estatística'!$B$1331</c:f>
            </c:strRef>
          </c:tx>
          <c:cat>
            <c:strRef>
              <c:f>'estatística'!$C$1:$M$1</c:f>
            </c:strRef>
          </c:cat>
          <c:val>
            <c:numRef>
              <c:f>'estatística'!$C$1331:$M$1331</c:f>
              <c:numCache/>
            </c:numRef>
          </c:val>
        </c:ser>
        <c:ser>
          <c:idx val="1330"/>
          <c:order val="1330"/>
          <c:tx>
            <c:strRef>
              <c:f>'estatística'!$B$1332</c:f>
            </c:strRef>
          </c:tx>
          <c:cat>
            <c:strRef>
              <c:f>'estatística'!$C$1:$M$1</c:f>
            </c:strRef>
          </c:cat>
          <c:val>
            <c:numRef>
              <c:f>'estatística'!$C$1332:$M$1332</c:f>
              <c:numCache/>
            </c:numRef>
          </c:val>
        </c:ser>
        <c:ser>
          <c:idx val="1331"/>
          <c:order val="1331"/>
          <c:tx>
            <c:strRef>
              <c:f>'estatística'!$B$1333</c:f>
            </c:strRef>
          </c:tx>
          <c:cat>
            <c:strRef>
              <c:f>'estatística'!$C$1:$M$1</c:f>
            </c:strRef>
          </c:cat>
          <c:val>
            <c:numRef>
              <c:f>'estatística'!$C$1333:$M$1333</c:f>
              <c:numCache/>
            </c:numRef>
          </c:val>
        </c:ser>
        <c:ser>
          <c:idx val="1332"/>
          <c:order val="1332"/>
          <c:tx>
            <c:strRef>
              <c:f>'estatística'!$B$1334</c:f>
            </c:strRef>
          </c:tx>
          <c:cat>
            <c:strRef>
              <c:f>'estatística'!$C$1:$M$1</c:f>
            </c:strRef>
          </c:cat>
          <c:val>
            <c:numRef>
              <c:f>'estatística'!$C$1334:$M$1334</c:f>
              <c:numCache/>
            </c:numRef>
          </c:val>
        </c:ser>
        <c:ser>
          <c:idx val="1333"/>
          <c:order val="1333"/>
          <c:tx>
            <c:strRef>
              <c:f>'estatística'!$B$1335</c:f>
            </c:strRef>
          </c:tx>
          <c:cat>
            <c:strRef>
              <c:f>'estatística'!$C$1:$M$1</c:f>
            </c:strRef>
          </c:cat>
          <c:val>
            <c:numRef>
              <c:f>'estatística'!$C$1335:$M$1335</c:f>
              <c:numCache/>
            </c:numRef>
          </c:val>
        </c:ser>
        <c:ser>
          <c:idx val="1334"/>
          <c:order val="1334"/>
          <c:tx>
            <c:strRef>
              <c:f>'estatística'!$B$1336</c:f>
            </c:strRef>
          </c:tx>
          <c:cat>
            <c:strRef>
              <c:f>'estatística'!$C$1:$M$1</c:f>
            </c:strRef>
          </c:cat>
          <c:val>
            <c:numRef>
              <c:f>'estatística'!$C$1336:$M$1336</c:f>
              <c:numCache/>
            </c:numRef>
          </c:val>
        </c:ser>
        <c:ser>
          <c:idx val="1335"/>
          <c:order val="1335"/>
          <c:tx>
            <c:strRef>
              <c:f>'estatística'!$B$1337</c:f>
            </c:strRef>
          </c:tx>
          <c:cat>
            <c:strRef>
              <c:f>'estatística'!$C$1:$M$1</c:f>
            </c:strRef>
          </c:cat>
          <c:val>
            <c:numRef>
              <c:f>'estatística'!$C$1337:$M$1337</c:f>
              <c:numCache/>
            </c:numRef>
          </c:val>
        </c:ser>
        <c:ser>
          <c:idx val="1336"/>
          <c:order val="1336"/>
          <c:tx>
            <c:strRef>
              <c:f>'estatística'!$B$1338</c:f>
            </c:strRef>
          </c:tx>
          <c:cat>
            <c:strRef>
              <c:f>'estatística'!$C$1:$M$1</c:f>
            </c:strRef>
          </c:cat>
          <c:val>
            <c:numRef>
              <c:f>'estatística'!$C$1338:$M$1338</c:f>
              <c:numCache/>
            </c:numRef>
          </c:val>
        </c:ser>
        <c:ser>
          <c:idx val="1337"/>
          <c:order val="1337"/>
          <c:tx>
            <c:strRef>
              <c:f>'estatística'!$B$1339</c:f>
            </c:strRef>
          </c:tx>
          <c:cat>
            <c:strRef>
              <c:f>'estatística'!$C$1:$M$1</c:f>
            </c:strRef>
          </c:cat>
          <c:val>
            <c:numRef>
              <c:f>'estatística'!$C$1339:$M$1339</c:f>
              <c:numCache/>
            </c:numRef>
          </c:val>
        </c:ser>
        <c:ser>
          <c:idx val="1338"/>
          <c:order val="1338"/>
          <c:tx>
            <c:strRef>
              <c:f>'estatística'!$B$1340</c:f>
            </c:strRef>
          </c:tx>
          <c:cat>
            <c:strRef>
              <c:f>'estatística'!$C$1:$M$1</c:f>
            </c:strRef>
          </c:cat>
          <c:val>
            <c:numRef>
              <c:f>'estatística'!$C$1340:$M$1340</c:f>
              <c:numCache/>
            </c:numRef>
          </c:val>
        </c:ser>
        <c:ser>
          <c:idx val="1339"/>
          <c:order val="1339"/>
          <c:tx>
            <c:strRef>
              <c:f>'estatística'!$B$1341</c:f>
            </c:strRef>
          </c:tx>
          <c:cat>
            <c:strRef>
              <c:f>'estatística'!$C$1:$M$1</c:f>
            </c:strRef>
          </c:cat>
          <c:val>
            <c:numRef>
              <c:f>'estatística'!$C$1341:$M$1341</c:f>
              <c:numCache/>
            </c:numRef>
          </c:val>
        </c:ser>
        <c:ser>
          <c:idx val="1340"/>
          <c:order val="1340"/>
          <c:tx>
            <c:strRef>
              <c:f>'estatística'!$B$1342</c:f>
            </c:strRef>
          </c:tx>
          <c:cat>
            <c:strRef>
              <c:f>'estatística'!$C$1:$M$1</c:f>
            </c:strRef>
          </c:cat>
          <c:val>
            <c:numRef>
              <c:f>'estatística'!$C$1342:$M$1342</c:f>
              <c:numCache/>
            </c:numRef>
          </c:val>
        </c:ser>
        <c:ser>
          <c:idx val="1341"/>
          <c:order val="1341"/>
          <c:tx>
            <c:strRef>
              <c:f>'estatística'!$B$1343</c:f>
            </c:strRef>
          </c:tx>
          <c:cat>
            <c:strRef>
              <c:f>'estatística'!$C$1:$M$1</c:f>
            </c:strRef>
          </c:cat>
          <c:val>
            <c:numRef>
              <c:f>'estatística'!$C$1343:$M$1343</c:f>
              <c:numCache/>
            </c:numRef>
          </c:val>
        </c:ser>
        <c:ser>
          <c:idx val="1342"/>
          <c:order val="1342"/>
          <c:tx>
            <c:strRef>
              <c:f>'estatística'!$B$1344</c:f>
            </c:strRef>
          </c:tx>
          <c:cat>
            <c:strRef>
              <c:f>'estatística'!$C$1:$M$1</c:f>
            </c:strRef>
          </c:cat>
          <c:val>
            <c:numRef>
              <c:f>'estatística'!$C$1344:$M$1344</c:f>
              <c:numCache/>
            </c:numRef>
          </c:val>
        </c:ser>
        <c:ser>
          <c:idx val="1343"/>
          <c:order val="1343"/>
          <c:tx>
            <c:strRef>
              <c:f>'estatística'!$B$1345</c:f>
            </c:strRef>
          </c:tx>
          <c:cat>
            <c:strRef>
              <c:f>'estatística'!$C$1:$M$1</c:f>
            </c:strRef>
          </c:cat>
          <c:val>
            <c:numRef>
              <c:f>'estatística'!$C$1345:$M$1345</c:f>
              <c:numCache/>
            </c:numRef>
          </c:val>
        </c:ser>
        <c:ser>
          <c:idx val="1344"/>
          <c:order val="1344"/>
          <c:tx>
            <c:strRef>
              <c:f>'estatística'!$B$1346</c:f>
            </c:strRef>
          </c:tx>
          <c:cat>
            <c:strRef>
              <c:f>'estatística'!$C$1:$M$1</c:f>
            </c:strRef>
          </c:cat>
          <c:val>
            <c:numRef>
              <c:f>'estatística'!$C$1346:$M$1346</c:f>
              <c:numCache/>
            </c:numRef>
          </c:val>
        </c:ser>
        <c:ser>
          <c:idx val="1345"/>
          <c:order val="1345"/>
          <c:tx>
            <c:strRef>
              <c:f>'estatística'!$B$1347</c:f>
            </c:strRef>
          </c:tx>
          <c:cat>
            <c:strRef>
              <c:f>'estatística'!$C$1:$M$1</c:f>
            </c:strRef>
          </c:cat>
          <c:val>
            <c:numRef>
              <c:f>'estatística'!$C$1347:$M$1347</c:f>
              <c:numCache/>
            </c:numRef>
          </c:val>
        </c:ser>
        <c:ser>
          <c:idx val="1346"/>
          <c:order val="1346"/>
          <c:tx>
            <c:strRef>
              <c:f>'estatística'!$B$1348</c:f>
            </c:strRef>
          </c:tx>
          <c:cat>
            <c:strRef>
              <c:f>'estatística'!$C$1:$M$1</c:f>
            </c:strRef>
          </c:cat>
          <c:val>
            <c:numRef>
              <c:f>'estatística'!$C$1348:$M$1348</c:f>
              <c:numCache/>
            </c:numRef>
          </c:val>
        </c:ser>
        <c:ser>
          <c:idx val="1347"/>
          <c:order val="1347"/>
          <c:tx>
            <c:strRef>
              <c:f>'estatística'!$B$1349</c:f>
            </c:strRef>
          </c:tx>
          <c:cat>
            <c:strRef>
              <c:f>'estatística'!$C$1:$M$1</c:f>
            </c:strRef>
          </c:cat>
          <c:val>
            <c:numRef>
              <c:f>'estatística'!$C$1349:$M$1349</c:f>
              <c:numCache/>
            </c:numRef>
          </c:val>
        </c:ser>
        <c:ser>
          <c:idx val="1348"/>
          <c:order val="1348"/>
          <c:tx>
            <c:strRef>
              <c:f>'estatística'!$B$1350</c:f>
            </c:strRef>
          </c:tx>
          <c:cat>
            <c:strRef>
              <c:f>'estatística'!$C$1:$M$1</c:f>
            </c:strRef>
          </c:cat>
          <c:val>
            <c:numRef>
              <c:f>'estatística'!$C$1350:$M$1350</c:f>
              <c:numCache/>
            </c:numRef>
          </c:val>
        </c:ser>
        <c:ser>
          <c:idx val="1349"/>
          <c:order val="1349"/>
          <c:tx>
            <c:strRef>
              <c:f>'estatística'!$B$1351</c:f>
            </c:strRef>
          </c:tx>
          <c:cat>
            <c:strRef>
              <c:f>'estatística'!$C$1:$M$1</c:f>
            </c:strRef>
          </c:cat>
          <c:val>
            <c:numRef>
              <c:f>'estatística'!$C$1351:$M$1351</c:f>
              <c:numCache/>
            </c:numRef>
          </c:val>
        </c:ser>
        <c:ser>
          <c:idx val="1350"/>
          <c:order val="1350"/>
          <c:tx>
            <c:strRef>
              <c:f>'estatística'!$B$1352</c:f>
            </c:strRef>
          </c:tx>
          <c:cat>
            <c:strRef>
              <c:f>'estatística'!$C$1:$M$1</c:f>
            </c:strRef>
          </c:cat>
          <c:val>
            <c:numRef>
              <c:f>'estatística'!$C$1352:$M$1352</c:f>
              <c:numCache/>
            </c:numRef>
          </c:val>
        </c:ser>
        <c:ser>
          <c:idx val="1351"/>
          <c:order val="1351"/>
          <c:tx>
            <c:strRef>
              <c:f>'estatística'!$B$1353</c:f>
            </c:strRef>
          </c:tx>
          <c:cat>
            <c:strRef>
              <c:f>'estatística'!$C$1:$M$1</c:f>
            </c:strRef>
          </c:cat>
          <c:val>
            <c:numRef>
              <c:f>'estatística'!$C$1353:$M$1353</c:f>
              <c:numCache/>
            </c:numRef>
          </c:val>
        </c:ser>
        <c:ser>
          <c:idx val="1352"/>
          <c:order val="1352"/>
          <c:tx>
            <c:strRef>
              <c:f>'estatística'!$B$1354</c:f>
            </c:strRef>
          </c:tx>
          <c:cat>
            <c:strRef>
              <c:f>'estatística'!$C$1:$M$1</c:f>
            </c:strRef>
          </c:cat>
          <c:val>
            <c:numRef>
              <c:f>'estatística'!$C$1354:$M$1354</c:f>
              <c:numCache/>
            </c:numRef>
          </c:val>
        </c:ser>
        <c:ser>
          <c:idx val="1353"/>
          <c:order val="1353"/>
          <c:tx>
            <c:strRef>
              <c:f>'estatística'!$B$1355</c:f>
            </c:strRef>
          </c:tx>
          <c:cat>
            <c:strRef>
              <c:f>'estatística'!$C$1:$M$1</c:f>
            </c:strRef>
          </c:cat>
          <c:val>
            <c:numRef>
              <c:f>'estatística'!$C$1355:$M$1355</c:f>
              <c:numCache/>
            </c:numRef>
          </c:val>
        </c:ser>
        <c:ser>
          <c:idx val="1354"/>
          <c:order val="1354"/>
          <c:tx>
            <c:strRef>
              <c:f>'estatística'!$B$1356</c:f>
            </c:strRef>
          </c:tx>
          <c:cat>
            <c:strRef>
              <c:f>'estatística'!$C$1:$M$1</c:f>
            </c:strRef>
          </c:cat>
          <c:val>
            <c:numRef>
              <c:f>'estatística'!$C$1356:$M$1356</c:f>
              <c:numCache/>
            </c:numRef>
          </c:val>
        </c:ser>
        <c:ser>
          <c:idx val="1355"/>
          <c:order val="1355"/>
          <c:tx>
            <c:strRef>
              <c:f>'estatística'!$B$1357</c:f>
            </c:strRef>
          </c:tx>
          <c:cat>
            <c:strRef>
              <c:f>'estatística'!$C$1:$M$1</c:f>
            </c:strRef>
          </c:cat>
          <c:val>
            <c:numRef>
              <c:f>'estatística'!$C$1357:$M$1357</c:f>
              <c:numCache/>
            </c:numRef>
          </c:val>
        </c:ser>
        <c:ser>
          <c:idx val="1356"/>
          <c:order val="1356"/>
          <c:tx>
            <c:strRef>
              <c:f>'estatística'!$B$1358</c:f>
            </c:strRef>
          </c:tx>
          <c:cat>
            <c:strRef>
              <c:f>'estatística'!$C$1:$M$1</c:f>
            </c:strRef>
          </c:cat>
          <c:val>
            <c:numRef>
              <c:f>'estatística'!$C$1358:$M$1358</c:f>
              <c:numCache/>
            </c:numRef>
          </c:val>
        </c:ser>
        <c:ser>
          <c:idx val="1357"/>
          <c:order val="1357"/>
          <c:tx>
            <c:strRef>
              <c:f>'estatística'!$B$1359</c:f>
            </c:strRef>
          </c:tx>
          <c:cat>
            <c:strRef>
              <c:f>'estatística'!$C$1:$M$1</c:f>
            </c:strRef>
          </c:cat>
          <c:val>
            <c:numRef>
              <c:f>'estatística'!$C$1359:$M$1359</c:f>
              <c:numCache/>
            </c:numRef>
          </c:val>
        </c:ser>
        <c:ser>
          <c:idx val="1358"/>
          <c:order val="1358"/>
          <c:tx>
            <c:strRef>
              <c:f>'estatística'!$B$1360</c:f>
            </c:strRef>
          </c:tx>
          <c:cat>
            <c:strRef>
              <c:f>'estatística'!$C$1:$M$1</c:f>
            </c:strRef>
          </c:cat>
          <c:val>
            <c:numRef>
              <c:f>'estatística'!$C$1360:$M$1360</c:f>
              <c:numCache/>
            </c:numRef>
          </c:val>
        </c:ser>
        <c:ser>
          <c:idx val="1359"/>
          <c:order val="1359"/>
          <c:tx>
            <c:strRef>
              <c:f>'estatística'!$B$1361</c:f>
            </c:strRef>
          </c:tx>
          <c:cat>
            <c:strRef>
              <c:f>'estatística'!$C$1:$M$1</c:f>
            </c:strRef>
          </c:cat>
          <c:val>
            <c:numRef>
              <c:f>'estatística'!$C$1361:$M$1361</c:f>
              <c:numCache/>
            </c:numRef>
          </c:val>
        </c:ser>
        <c:ser>
          <c:idx val="1360"/>
          <c:order val="1360"/>
          <c:tx>
            <c:strRef>
              <c:f>'estatística'!$B$1362</c:f>
            </c:strRef>
          </c:tx>
          <c:cat>
            <c:strRef>
              <c:f>'estatística'!$C$1:$M$1</c:f>
            </c:strRef>
          </c:cat>
          <c:val>
            <c:numRef>
              <c:f>'estatística'!$C$1362:$M$1362</c:f>
              <c:numCache/>
            </c:numRef>
          </c:val>
        </c:ser>
        <c:ser>
          <c:idx val="1361"/>
          <c:order val="1361"/>
          <c:tx>
            <c:strRef>
              <c:f>'estatística'!$B$1363</c:f>
            </c:strRef>
          </c:tx>
          <c:cat>
            <c:strRef>
              <c:f>'estatística'!$C$1:$M$1</c:f>
            </c:strRef>
          </c:cat>
          <c:val>
            <c:numRef>
              <c:f>'estatística'!$C$1363:$M$1363</c:f>
              <c:numCache/>
            </c:numRef>
          </c:val>
        </c:ser>
        <c:ser>
          <c:idx val="1362"/>
          <c:order val="1362"/>
          <c:tx>
            <c:strRef>
              <c:f>'estatística'!$B$1364</c:f>
            </c:strRef>
          </c:tx>
          <c:cat>
            <c:strRef>
              <c:f>'estatística'!$C$1:$M$1</c:f>
            </c:strRef>
          </c:cat>
          <c:val>
            <c:numRef>
              <c:f>'estatística'!$C$1364:$M$1364</c:f>
              <c:numCache/>
            </c:numRef>
          </c:val>
        </c:ser>
        <c:ser>
          <c:idx val="1363"/>
          <c:order val="1363"/>
          <c:tx>
            <c:strRef>
              <c:f>'estatística'!$B$1365</c:f>
            </c:strRef>
          </c:tx>
          <c:cat>
            <c:strRef>
              <c:f>'estatística'!$C$1:$M$1</c:f>
            </c:strRef>
          </c:cat>
          <c:val>
            <c:numRef>
              <c:f>'estatística'!$C$1365:$M$1365</c:f>
              <c:numCache/>
            </c:numRef>
          </c:val>
        </c:ser>
        <c:ser>
          <c:idx val="1364"/>
          <c:order val="1364"/>
          <c:tx>
            <c:strRef>
              <c:f>'estatística'!$B$1366</c:f>
            </c:strRef>
          </c:tx>
          <c:cat>
            <c:strRef>
              <c:f>'estatística'!$C$1:$M$1</c:f>
            </c:strRef>
          </c:cat>
          <c:val>
            <c:numRef>
              <c:f>'estatística'!$C$1366:$M$1366</c:f>
              <c:numCache/>
            </c:numRef>
          </c:val>
        </c:ser>
        <c:ser>
          <c:idx val="1365"/>
          <c:order val="1365"/>
          <c:tx>
            <c:strRef>
              <c:f>'estatística'!$B$1367</c:f>
            </c:strRef>
          </c:tx>
          <c:cat>
            <c:strRef>
              <c:f>'estatística'!$C$1:$M$1</c:f>
            </c:strRef>
          </c:cat>
          <c:val>
            <c:numRef>
              <c:f>'estatística'!$C$1367:$M$1367</c:f>
              <c:numCache/>
            </c:numRef>
          </c:val>
        </c:ser>
        <c:ser>
          <c:idx val="1366"/>
          <c:order val="1366"/>
          <c:tx>
            <c:strRef>
              <c:f>'estatística'!$B$1368</c:f>
            </c:strRef>
          </c:tx>
          <c:cat>
            <c:strRef>
              <c:f>'estatística'!$C$1:$M$1</c:f>
            </c:strRef>
          </c:cat>
          <c:val>
            <c:numRef>
              <c:f>'estatística'!$C$1368:$M$1368</c:f>
              <c:numCache/>
            </c:numRef>
          </c:val>
        </c:ser>
        <c:ser>
          <c:idx val="1367"/>
          <c:order val="1367"/>
          <c:tx>
            <c:strRef>
              <c:f>'estatística'!$B$1369</c:f>
            </c:strRef>
          </c:tx>
          <c:cat>
            <c:strRef>
              <c:f>'estatística'!$C$1:$M$1</c:f>
            </c:strRef>
          </c:cat>
          <c:val>
            <c:numRef>
              <c:f>'estatística'!$C$1369:$M$1369</c:f>
              <c:numCache/>
            </c:numRef>
          </c:val>
        </c:ser>
        <c:ser>
          <c:idx val="1368"/>
          <c:order val="1368"/>
          <c:tx>
            <c:strRef>
              <c:f>'estatística'!$B$1370</c:f>
            </c:strRef>
          </c:tx>
          <c:cat>
            <c:strRef>
              <c:f>'estatística'!$C$1:$M$1</c:f>
            </c:strRef>
          </c:cat>
          <c:val>
            <c:numRef>
              <c:f>'estatística'!$C$1370:$M$1370</c:f>
              <c:numCache/>
            </c:numRef>
          </c:val>
        </c:ser>
        <c:ser>
          <c:idx val="1369"/>
          <c:order val="1369"/>
          <c:tx>
            <c:strRef>
              <c:f>'estatística'!$B$1371</c:f>
            </c:strRef>
          </c:tx>
          <c:cat>
            <c:strRef>
              <c:f>'estatística'!$C$1:$M$1</c:f>
            </c:strRef>
          </c:cat>
          <c:val>
            <c:numRef>
              <c:f>'estatística'!$C$1371:$M$1371</c:f>
              <c:numCache/>
            </c:numRef>
          </c:val>
        </c:ser>
        <c:ser>
          <c:idx val="1370"/>
          <c:order val="1370"/>
          <c:tx>
            <c:strRef>
              <c:f>'estatística'!$B$1372</c:f>
            </c:strRef>
          </c:tx>
          <c:cat>
            <c:strRef>
              <c:f>'estatística'!$C$1:$M$1</c:f>
            </c:strRef>
          </c:cat>
          <c:val>
            <c:numRef>
              <c:f>'estatística'!$C$1372:$M$1372</c:f>
              <c:numCache/>
            </c:numRef>
          </c:val>
        </c:ser>
        <c:ser>
          <c:idx val="1371"/>
          <c:order val="1371"/>
          <c:tx>
            <c:strRef>
              <c:f>'estatística'!$B$1373</c:f>
            </c:strRef>
          </c:tx>
          <c:cat>
            <c:strRef>
              <c:f>'estatística'!$C$1:$M$1</c:f>
            </c:strRef>
          </c:cat>
          <c:val>
            <c:numRef>
              <c:f>'estatística'!$C$1373:$M$1373</c:f>
              <c:numCache/>
            </c:numRef>
          </c:val>
        </c:ser>
        <c:ser>
          <c:idx val="1372"/>
          <c:order val="1372"/>
          <c:tx>
            <c:strRef>
              <c:f>'estatística'!$B$1374</c:f>
            </c:strRef>
          </c:tx>
          <c:cat>
            <c:strRef>
              <c:f>'estatística'!$C$1:$M$1</c:f>
            </c:strRef>
          </c:cat>
          <c:val>
            <c:numRef>
              <c:f>'estatística'!$C$1374:$M$1374</c:f>
              <c:numCache/>
            </c:numRef>
          </c:val>
        </c:ser>
        <c:ser>
          <c:idx val="1373"/>
          <c:order val="1373"/>
          <c:tx>
            <c:strRef>
              <c:f>'estatística'!$B$1375</c:f>
            </c:strRef>
          </c:tx>
          <c:cat>
            <c:strRef>
              <c:f>'estatística'!$C$1:$M$1</c:f>
            </c:strRef>
          </c:cat>
          <c:val>
            <c:numRef>
              <c:f>'estatística'!$C$1375:$M$1375</c:f>
              <c:numCache/>
            </c:numRef>
          </c:val>
        </c:ser>
        <c:ser>
          <c:idx val="1374"/>
          <c:order val="1374"/>
          <c:tx>
            <c:strRef>
              <c:f>'estatística'!$B$1376</c:f>
            </c:strRef>
          </c:tx>
          <c:cat>
            <c:strRef>
              <c:f>'estatística'!$C$1:$M$1</c:f>
            </c:strRef>
          </c:cat>
          <c:val>
            <c:numRef>
              <c:f>'estatística'!$C$1376:$M$1376</c:f>
              <c:numCache/>
            </c:numRef>
          </c:val>
        </c:ser>
        <c:ser>
          <c:idx val="1375"/>
          <c:order val="1375"/>
          <c:tx>
            <c:strRef>
              <c:f>'estatística'!$B$1377</c:f>
            </c:strRef>
          </c:tx>
          <c:cat>
            <c:strRef>
              <c:f>'estatística'!$C$1:$M$1</c:f>
            </c:strRef>
          </c:cat>
          <c:val>
            <c:numRef>
              <c:f>'estatística'!$C$1377:$M$1377</c:f>
              <c:numCache/>
            </c:numRef>
          </c:val>
        </c:ser>
        <c:ser>
          <c:idx val="1376"/>
          <c:order val="1376"/>
          <c:tx>
            <c:strRef>
              <c:f>'estatística'!$B$1378</c:f>
            </c:strRef>
          </c:tx>
          <c:cat>
            <c:strRef>
              <c:f>'estatística'!$C$1:$M$1</c:f>
            </c:strRef>
          </c:cat>
          <c:val>
            <c:numRef>
              <c:f>'estatística'!$C$1378:$M$1378</c:f>
              <c:numCache/>
            </c:numRef>
          </c:val>
        </c:ser>
        <c:ser>
          <c:idx val="1377"/>
          <c:order val="1377"/>
          <c:tx>
            <c:strRef>
              <c:f>'estatística'!$B$1379</c:f>
            </c:strRef>
          </c:tx>
          <c:cat>
            <c:strRef>
              <c:f>'estatística'!$C$1:$M$1</c:f>
            </c:strRef>
          </c:cat>
          <c:val>
            <c:numRef>
              <c:f>'estatística'!$C$1379:$M$1379</c:f>
              <c:numCache/>
            </c:numRef>
          </c:val>
        </c:ser>
        <c:ser>
          <c:idx val="1378"/>
          <c:order val="1378"/>
          <c:tx>
            <c:strRef>
              <c:f>'estatística'!$B$1380</c:f>
            </c:strRef>
          </c:tx>
          <c:cat>
            <c:strRef>
              <c:f>'estatística'!$C$1:$M$1</c:f>
            </c:strRef>
          </c:cat>
          <c:val>
            <c:numRef>
              <c:f>'estatística'!$C$1380:$M$1380</c:f>
              <c:numCache/>
            </c:numRef>
          </c:val>
        </c:ser>
        <c:ser>
          <c:idx val="1379"/>
          <c:order val="1379"/>
          <c:tx>
            <c:strRef>
              <c:f>'estatística'!$B$1381</c:f>
            </c:strRef>
          </c:tx>
          <c:cat>
            <c:strRef>
              <c:f>'estatística'!$C$1:$M$1</c:f>
            </c:strRef>
          </c:cat>
          <c:val>
            <c:numRef>
              <c:f>'estatística'!$C$1381:$M$1381</c:f>
              <c:numCache/>
            </c:numRef>
          </c:val>
        </c:ser>
        <c:ser>
          <c:idx val="1380"/>
          <c:order val="1380"/>
          <c:tx>
            <c:strRef>
              <c:f>'estatística'!$B$1382</c:f>
            </c:strRef>
          </c:tx>
          <c:cat>
            <c:strRef>
              <c:f>'estatística'!$C$1:$M$1</c:f>
            </c:strRef>
          </c:cat>
          <c:val>
            <c:numRef>
              <c:f>'estatística'!$C$1382:$M$1382</c:f>
              <c:numCache/>
            </c:numRef>
          </c:val>
        </c:ser>
        <c:ser>
          <c:idx val="1381"/>
          <c:order val="1381"/>
          <c:tx>
            <c:strRef>
              <c:f>'estatística'!$B$1383</c:f>
            </c:strRef>
          </c:tx>
          <c:cat>
            <c:strRef>
              <c:f>'estatística'!$C$1:$M$1</c:f>
            </c:strRef>
          </c:cat>
          <c:val>
            <c:numRef>
              <c:f>'estatística'!$C$1383:$M$1383</c:f>
              <c:numCache/>
            </c:numRef>
          </c:val>
        </c:ser>
        <c:ser>
          <c:idx val="1382"/>
          <c:order val="1382"/>
          <c:tx>
            <c:strRef>
              <c:f>'estatística'!$B$1384</c:f>
            </c:strRef>
          </c:tx>
          <c:cat>
            <c:strRef>
              <c:f>'estatística'!$C$1:$M$1</c:f>
            </c:strRef>
          </c:cat>
          <c:val>
            <c:numRef>
              <c:f>'estatística'!$C$1384:$M$1384</c:f>
              <c:numCache/>
            </c:numRef>
          </c:val>
        </c:ser>
        <c:ser>
          <c:idx val="1383"/>
          <c:order val="1383"/>
          <c:tx>
            <c:strRef>
              <c:f>'estatística'!$B$1385</c:f>
            </c:strRef>
          </c:tx>
          <c:cat>
            <c:strRef>
              <c:f>'estatística'!$C$1:$M$1</c:f>
            </c:strRef>
          </c:cat>
          <c:val>
            <c:numRef>
              <c:f>'estatística'!$C$1385:$M$1385</c:f>
              <c:numCache/>
            </c:numRef>
          </c:val>
        </c:ser>
        <c:ser>
          <c:idx val="1384"/>
          <c:order val="1384"/>
          <c:tx>
            <c:strRef>
              <c:f>'estatística'!$B$1386</c:f>
            </c:strRef>
          </c:tx>
          <c:cat>
            <c:strRef>
              <c:f>'estatística'!$C$1:$M$1</c:f>
            </c:strRef>
          </c:cat>
          <c:val>
            <c:numRef>
              <c:f>'estatística'!$C$1386:$M$1386</c:f>
              <c:numCache/>
            </c:numRef>
          </c:val>
        </c:ser>
        <c:ser>
          <c:idx val="1385"/>
          <c:order val="1385"/>
          <c:tx>
            <c:strRef>
              <c:f>'estatística'!$B$1387</c:f>
            </c:strRef>
          </c:tx>
          <c:cat>
            <c:strRef>
              <c:f>'estatística'!$C$1:$M$1</c:f>
            </c:strRef>
          </c:cat>
          <c:val>
            <c:numRef>
              <c:f>'estatística'!$C$1387:$M$1387</c:f>
              <c:numCache/>
            </c:numRef>
          </c:val>
        </c:ser>
        <c:ser>
          <c:idx val="1386"/>
          <c:order val="1386"/>
          <c:tx>
            <c:strRef>
              <c:f>'estatística'!$B$1388</c:f>
            </c:strRef>
          </c:tx>
          <c:cat>
            <c:strRef>
              <c:f>'estatística'!$C$1:$M$1</c:f>
            </c:strRef>
          </c:cat>
          <c:val>
            <c:numRef>
              <c:f>'estatística'!$C$1388:$M$1388</c:f>
              <c:numCache/>
            </c:numRef>
          </c:val>
        </c:ser>
        <c:ser>
          <c:idx val="1387"/>
          <c:order val="1387"/>
          <c:tx>
            <c:strRef>
              <c:f>'estatística'!$B$1389</c:f>
            </c:strRef>
          </c:tx>
          <c:cat>
            <c:strRef>
              <c:f>'estatística'!$C$1:$M$1</c:f>
            </c:strRef>
          </c:cat>
          <c:val>
            <c:numRef>
              <c:f>'estatística'!$C$1389:$M$1389</c:f>
              <c:numCache/>
            </c:numRef>
          </c:val>
        </c:ser>
        <c:ser>
          <c:idx val="1388"/>
          <c:order val="1388"/>
          <c:tx>
            <c:strRef>
              <c:f>'estatística'!$B$1390</c:f>
            </c:strRef>
          </c:tx>
          <c:cat>
            <c:strRef>
              <c:f>'estatística'!$C$1:$M$1</c:f>
            </c:strRef>
          </c:cat>
          <c:val>
            <c:numRef>
              <c:f>'estatística'!$C$1390:$M$1390</c:f>
              <c:numCache/>
            </c:numRef>
          </c:val>
        </c:ser>
        <c:ser>
          <c:idx val="1389"/>
          <c:order val="1389"/>
          <c:tx>
            <c:strRef>
              <c:f>'estatística'!$B$1391</c:f>
            </c:strRef>
          </c:tx>
          <c:cat>
            <c:strRef>
              <c:f>'estatística'!$C$1:$M$1</c:f>
            </c:strRef>
          </c:cat>
          <c:val>
            <c:numRef>
              <c:f>'estatística'!$C$1391:$M$1391</c:f>
              <c:numCache/>
            </c:numRef>
          </c:val>
        </c:ser>
        <c:ser>
          <c:idx val="1390"/>
          <c:order val="1390"/>
          <c:tx>
            <c:strRef>
              <c:f>'estatística'!$B$1392</c:f>
            </c:strRef>
          </c:tx>
          <c:cat>
            <c:strRef>
              <c:f>'estatística'!$C$1:$M$1</c:f>
            </c:strRef>
          </c:cat>
          <c:val>
            <c:numRef>
              <c:f>'estatística'!$C$1392:$M$1392</c:f>
              <c:numCache/>
            </c:numRef>
          </c:val>
        </c:ser>
        <c:ser>
          <c:idx val="1391"/>
          <c:order val="1391"/>
          <c:tx>
            <c:strRef>
              <c:f>'estatística'!$B$1393</c:f>
            </c:strRef>
          </c:tx>
          <c:cat>
            <c:strRef>
              <c:f>'estatística'!$C$1:$M$1</c:f>
            </c:strRef>
          </c:cat>
          <c:val>
            <c:numRef>
              <c:f>'estatística'!$C$1393:$M$1393</c:f>
              <c:numCache/>
            </c:numRef>
          </c:val>
        </c:ser>
        <c:ser>
          <c:idx val="1392"/>
          <c:order val="1392"/>
          <c:tx>
            <c:strRef>
              <c:f>'estatística'!$B$1394</c:f>
            </c:strRef>
          </c:tx>
          <c:cat>
            <c:strRef>
              <c:f>'estatística'!$C$1:$M$1</c:f>
            </c:strRef>
          </c:cat>
          <c:val>
            <c:numRef>
              <c:f>'estatística'!$C$1394:$M$1394</c:f>
              <c:numCache/>
            </c:numRef>
          </c:val>
        </c:ser>
        <c:ser>
          <c:idx val="1393"/>
          <c:order val="1393"/>
          <c:tx>
            <c:strRef>
              <c:f>'estatística'!$B$1395</c:f>
            </c:strRef>
          </c:tx>
          <c:cat>
            <c:strRef>
              <c:f>'estatística'!$C$1:$M$1</c:f>
            </c:strRef>
          </c:cat>
          <c:val>
            <c:numRef>
              <c:f>'estatística'!$C$1395:$M$1395</c:f>
              <c:numCache/>
            </c:numRef>
          </c:val>
        </c:ser>
        <c:ser>
          <c:idx val="1394"/>
          <c:order val="1394"/>
          <c:tx>
            <c:strRef>
              <c:f>'estatística'!$B$1396</c:f>
            </c:strRef>
          </c:tx>
          <c:cat>
            <c:strRef>
              <c:f>'estatística'!$C$1:$M$1</c:f>
            </c:strRef>
          </c:cat>
          <c:val>
            <c:numRef>
              <c:f>'estatística'!$C$1396:$M$1396</c:f>
              <c:numCache/>
            </c:numRef>
          </c:val>
        </c:ser>
        <c:ser>
          <c:idx val="1395"/>
          <c:order val="1395"/>
          <c:tx>
            <c:strRef>
              <c:f>'estatística'!$B$1397</c:f>
            </c:strRef>
          </c:tx>
          <c:cat>
            <c:strRef>
              <c:f>'estatística'!$C$1:$M$1</c:f>
            </c:strRef>
          </c:cat>
          <c:val>
            <c:numRef>
              <c:f>'estatística'!$C$1397:$M$1397</c:f>
              <c:numCache/>
            </c:numRef>
          </c:val>
        </c:ser>
        <c:ser>
          <c:idx val="1396"/>
          <c:order val="1396"/>
          <c:tx>
            <c:strRef>
              <c:f>'estatística'!$B$1398</c:f>
            </c:strRef>
          </c:tx>
          <c:cat>
            <c:strRef>
              <c:f>'estatística'!$C$1:$M$1</c:f>
            </c:strRef>
          </c:cat>
          <c:val>
            <c:numRef>
              <c:f>'estatística'!$C$1398:$M$1398</c:f>
              <c:numCache/>
            </c:numRef>
          </c:val>
        </c:ser>
        <c:ser>
          <c:idx val="1397"/>
          <c:order val="1397"/>
          <c:tx>
            <c:strRef>
              <c:f>'estatística'!$B$1399</c:f>
            </c:strRef>
          </c:tx>
          <c:cat>
            <c:strRef>
              <c:f>'estatística'!$C$1:$M$1</c:f>
            </c:strRef>
          </c:cat>
          <c:val>
            <c:numRef>
              <c:f>'estatística'!$C$1399:$M$1399</c:f>
              <c:numCache/>
            </c:numRef>
          </c:val>
        </c:ser>
        <c:ser>
          <c:idx val="1398"/>
          <c:order val="1398"/>
          <c:tx>
            <c:strRef>
              <c:f>'estatística'!$B$1400</c:f>
            </c:strRef>
          </c:tx>
          <c:cat>
            <c:strRef>
              <c:f>'estatística'!$C$1:$M$1</c:f>
            </c:strRef>
          </c:cat>
          <c:val>
            <c:numRef>
              <c:f>'estatística'!$C$1400:$M$1400</c:f>
              <c:numCache/>
            </c:numRef>
          </c:val>
        </c:ser>
        <c:ser>
          <c:idx val="1399"/>
          <c:order val="1399"/>
          <c:tx>
            <c:strRef>
              <c:f>'estatística'!$B$1401</c:f>
            </c:strRef>
          </c:tx>
          <c:cat>
            <c:strRef>
              <c:f>'estatística'!$C$1:$M$1</c:f>
            </c:strRef>
          </c:cat>
          <c:val>
            <c:numRef>
              <c:f>'estatística'!$C$1401:$M$1401</c:f>
              <c:numCache/>
            </c:numRef>
          </c:val>
        </c:ser>
        <c:ser>
          <c:idx val="1400"/>
          <c:order val="1400"/>
          <c:tx>
            <c:strRef>
              <c:f>'estatística'!$B$1402</c:f>
            </c:strRef>
          </c:tx>
          <c:cat>
            <c:strRef>
              <c:f>'estatística'!$C$1:$M$1</c:f>
            </c:strRef>
          </c:cat>
          <c:val>
            <c:numRef>
              <c:f>'estatística'!$C$1402:$M$1402</c:f>
              <c:numCache/>
            </c:numRef>
          </c:val>
        </c:ser>
        <c:ser>
          <c:idx val="1401"/>
          <c:order val="1401"/>
          <c:tx>
            <c:strRef>
              <c:f>'estatística'!$B$1403</c:f>
            </c:strRef>
          </c:tx>
          <c:cat>
            <c:strRef>
              <c:f>'estatística'!$C$1:$M$1</c:f>
            </c:strRef>
          </c:cat>
          <c:val>
            <c:numRef>
              <c:f>'estatística'!$C$1403:$M$1403</c:f>
              <c:numCache/>
            </c:numRef>
          </c:val>
        </c:ser>
        <c:ser>
          <c:idx val="1402"/>
          <c:order val="1402"/>
          <c:tx>
            <c:strRef>
              <c:f>'estatística'!$B$1404</c:f>
            </c:strRef>
          </c:tx>
          <c:cat>
            <c:strRef>
              <c:f>'estatística'!$C$1:$M$1</c:f>
            </c:strRef>
          </c:cat>
          <c:val>
            <c:numRef>
              <c:f>'estatística'!$C$1404:$M$1404</c:f>
              <c:numCache/>
            </c:numRef>
          </c:val>
        </c:ser>
        <c:ser>
          <c:idx val="1403"/>
          <c:order val="1403"/>
          <c:tx>
            <c:strRef>
              <c:f>'estatística'!$B$1405</c:f>
            </c:strRef>
          </c:tx>
          <c:cat>
            <c:strRef>
              <c:f>'estatística'!$C$1:$M$1</c:f>
            </c:strRef>
          </c:cat>
          <c:val>
            <c:numRef>
              <c:f>'estatística'!$C$1405:$M$1405</c:f>
              <c:numCache/>
            </c:numRef>
          </c:val>
        </c:ser>
        <c:ser>
          <c:idx val="1404"/>
          <c:order val="1404"/>
          <c:tx>
            <c:strRef>
              <c:f>'estatística'!$B$1406</c:f>
            </c:strRef>
          </c:tx>
          <c:cat>
            <c:strRef>
              <c:f>'estatística'!$C$1:$M$1</c:f>
            </c:strRef>
          </c:cat>
          <c:val>
            <c:numRef>
              <c:f>'estatística'!$C$1406:$M$1406</c:f>
              <c:numCache/>
            </c:numRef>
          </c:val>
        </c:ser>
        <c:ser>
          <c:idx val="1405"/>
          <c:order val="1405"/>
          <c:tx>
            <c:strRef>
              <c:f>'estatística'!$B$1407</c:f>
            </c:strRef>
          </c:tx>
          <c:cat>
            <c:strRef>
              <c:f>'estatística'!$C$1:$M$1</c:f>
            </c:strRef>
          </c:cat>
          <c:val>
            <c:numRef>
              <c:f>'estatística'!$C$1407:$M$1407</c:f>
              <c:numCache/>
            </c:numRef>
          </c:val>
        </c:ser>
        <c:ser>
          <c:idx val="1406"/>
          <c:order val="1406"/>
          <c:tx>
            <c:strRef>
              <c:f>'estatística'!$B$1408</c:f>
            </c:strRef>
          </c:tx>
          <c:cat>
            <c:strRef>
              <c:f>'estatística'!$C$1:$M$1</c:f>
            </c:strRef>
          </c:cat>
          <c:val>
            <c:numRef>
              <c:f>'estatística'!$C$1408:$M$1408</c:f>
              <c:numCache/>
            </c:numRef>
          </c:val>
        </c:ser>
        <c:ser>
          <c:idx val="1407"/>
          <c:order val="1407"/>
          <c:tx>
            <c:strRef>
              <c:f>'estatística'!$B$1409</c:f>
            </c:strRef>
          </c:tx>
          <c:cat>
            <c:strRef>
              <c:f>'estatística'!$C$1:$M$1</c:f>
            </c:strRef>
          </c:cat>
          <c:val>
            <c:numRef>
              <c:f>'estatística'!$C$1409:$M$1409</c:f>
              <c:numCache/>
            </c:numRef>
          </c:val>
        </c:ser>
        <c:ser>
          <c:idx val="1408"/>
          <c:order val="1408"/>
          <c:tx>
            <c:strRef>
              <c:f>'estatística'!$B$1410</c:f>
            </c:strRef>
          </c:tx>
          <c:cat>
            <c:strRef>
              <c:f>'estatística'!$C$1:$M$1</c:f>
            </c:strRef>
          </c:cat>
          <c:val>
            <c:numRef>
              <c:f>'estatística'!$C$1410:$M$1410</c:f>
              <c:numCache/>
            </c:numRef>
          </c:val>
        </c:ser>
        <c:ser>
          <c:idx val="1409"/>
          <c:order val="1409"/>
          <c:tx>
            <c:strRef>
              <c:f>'estatística'!$B$1411</c:f>
            </c:strRef>
          </c:tx>
          <c:cat>
            <c:strRef>
              <c:f>'estatística'!$C$1:$M$1</c:f>
            </c:strRef>
          </c:cat>
          <c:val>
            <c:numRef>
              <c:f>'estatística'!$C$1411:$M$1411</c:f>
              <c:numCache/>
            </c:numRef>
          </c:val>
        </c:ser>
        <c:ser>
          <c:idx val="1410"/>
          <c:order val="1410"/>
          <c:tx>
            <c:strRef>
              <c:f>'estatística'!$B$1412</c:f>
            </c:strRef>
          </c:tx>
          <c:cat>
            <c:strRef>
              <c:f>'estatística'!$C$1:$M$1</c:f>
            </c:strRef>
          </c:cat>
          <c:val>
            <c:numRef>
              <c:f>'estatística'!$C$1412:$M$1412</c:f>
              <c:numCache/>
            </c:numRef>
          </c:val>
        </c:ser>
        <c:ser>
          <c:idx val="1411"/>
          <c:order val="1411"/>
          <c:tx>
            <c:strRef>
              <c:f>'estatística'!$B$1413</c:f>
            </c:strRef>
          </c:tx>
          <c:cat>
            <c:strRef>
              <c:f>'estatística'!$C$1:$M$1</c:f>
            </c:strRef>
          </c:cat>
          <c:val>
            <c:numRef>
              <c:f>'estatística'!$C$1413:$M$1413</c:f>
              <c:numCache/>
            </c:numRef>
          </c:val>
        </c:ser>
        <c:ser>
          <c:idx val="1412"/>
          <c:order val="1412"/>
          <c:tx>
            <c:strRef>
              <c:f>'estatística'!$B$1414</c:f>
            </c:strRef>
          </c:tx>
          <c:cat>
            <c:strRef>
              <c:f>'estatística'!$C$1:$M$1</c:f>
            </c:strRef>
          </c:cat>
          <c:val>
            <c:numRef>
              <c:f>'estatística'!$C$1414:$M$1414</c:f>
              <c:numCache/>
            </c:numRef>
          </c:val>
        </c:ser>
        <c:ser>
          <c:idx val="1413"/>
          <c:order val="1413"/>
          <c:tx>
            <c:strRef>
              <c:f>'estatística'!$B$1415</c:f>
            </c:strRef>
          </c:tx>
          <c:cat>
            <c:strRef>
              <c:f>'estatística'!$C$1:$M$1</c:f>
            </c:strRef>
          </c:cat>
          <c:val>
            <c:numRef>
              <c:f>'estatística'!$C$1415:$M$1415</c:f>
              <c:numCache/>
            </c:numRef>
          </c:val>
        </c:ser>
        <c:ser>
          <c:idx val="1414"/>
          <c:order val="1414"/>
          <c:tx>
            <c:strRef>
              <c:f>'estatística'!$B$1416</c:f>
            </c:strRef>
          </c:tx>
          <c:cat>
            <c:strRef>
              <c:f>'estatística'!$C$1:$M$1</c:f>
            </c:strRef>
          </c:cat>
          <c:val>
            <c:numRef>
              <c:f>'estatística'!$C$1416:$M$1416</c:f>
              <c:numCache/>
            </c:numRef>
          </c:val>
        </c:ser>
        <c:ser>
          <c:idx val="1415"/>
          <c:order val="1415"/>
          <c:tx>
            <c:strRef>
              <c:f>'estatística'!$B$1417</c:f>
            </c:strRef>
          </c:tx>
          <c:cat>
            <c:strRef>
              <c:f>'estatística'!$C$1:$M$1</c:f>
            </c:strRef>
          </c:cat>
          <c:val>
            <c:numRef>
              <c:f>'estatística'!$C$1417:$M$1417</c:f>
              <c:numCache/>
            </c:numRef>
          </c:val>
        </c:ser>
        <c:ser>
          <c:idx val="1416"/>
          <c:order val="1416"/>
          <c:tx>
            <c:strRef>
              <c:f>'estatística'!$B$1418</c:f>
            </c:strRef>
          </c:tx>
          <c:cat>
            <c:strRef>
              <c:f>'estatística'!$C$1:$M$1</c:f>
            </c:strRef>
          </c:cat>
          <c:val>
            <c:numRef>
              <c:f>'estatística'!$C$1418:$M$1418</c:f>
              <c:numCache/>
            </c:numRef>
          </c:val>
        </c:ser>
        <c:ser>
          <c:idx val="1417"/>
          <c:order val="1417"/>
          <c:tx>
            <c:strRef>
              <c:f>'estatística'!$B$1419</c:f>
            </c:strRef>
          </c:tx>
          <c:cat>
            <c:strRef>
              <c:f>'estatística'!$C$1:$M$1</c:f>
            </c:strRef>
          </c:cat>
          <c:val>
            <c:numRef>
              <c:f>'estatística'!$C$1419:$M$1419</c:f>
              <c:numCache/>
            </c:numRef>
          </c:val>
        </c:ser>
        <c:ser>
          <c:idx val="1418"/>
          <c:order val="1418"/>
          <c:tx>
            <c:strRef>
              <c:f>'estatística'!$B$1420</c:f>
            </c:strRef>
          </c:tx>
          <c:cat>
            <c:strRef>
              <c:f>'estatística'!$C$1:$M$1</c:f>
            </c:strRef>
          </c:cat>
          <c:val>
            <c:numRef>
              <c:f>'estatística'!$C$1420:$M$1420</c:f>
              <c:numCache/>
            </c:numRef>
          </c:val>
        </c:ser>
        <c:ser>
          <c:idx val="1419"/>
          <c:order val="1419"/>
          <c:tx>
            <c:strRef>
              <c:f>'estatística'!$B$1421</c:f>
            </c:strRef>
          </c:tx>
          <c:cat>
            <c:strRef>
              <c:f>'estatística'!$C$1:$M$1</c:f>
            </c:strRef>
          </c:cat>
          <c:val>
            <c:numRef>
              <c:f>'estatística'!$C$1421:$M$1421</c:f>
              <c:numCache/>
            </c:numRef>
          </c:val>
        </c:ser>
        <c:ser>
          <c:idx val="1420"/>
          <c:order val="1420"/>
          <c:tx>
            <c:strRef>
              <c:f>'estatística'!$B$1422</c:f>
            </c:strRef>
          </c:tx>
          <c:cat>
            <c:strRef>
              <c:f>'estatística'!$C$1:$M$1</c:f>
            </c:strRef>
          </c:cat>
          <c:val>
            <c:numRef>
              <c:f>'estatística'!$C$1422:$M$1422</c:f>
              <c:numCache/>
            </c:numRef>
          </c:val>
        </c:ser>
        <c:ser>
          <c:idx val="1421"/>
          <c:order val="1421"/>
          <c:tx>
            <c:strRef>
              <c:f>'estatística'!$B$1423</c:f>
            </c:strRef>
          </c:tx>
          <c:cat>
            <c:strRef>
              <c:f>'estatística'!$C$1:$M$1</c:f>
            </c:strRef>
          </c:cat>
          <c:val>
            <c:numRef>
              <c:f>'estatística'!$C$1423:$M$1423</c:f>
              <c:numCache/>
            </c:numRef>
          </c:val>
        </c:ser>
        <c:ser>
          <c:idx val="1422"/>
          <c:order val="1422"/>
          <c:tx>
            <c:strRef>
              <c:f>'estatística'!$B$1424</c:f>
            </c:strRef>
          </c:tx>
          <c:cat>
            <c:strRef>
              <c:f>'estatística'!$C$1:$M$1</c:f>
            </c:strRef>
          </c:cat>
          <c:val>
            <c:numRef>
              <c:f>'estatística'!$C$1424:$M$1424</c:f>
              <c:numCache/>
            </c:numRef>
          </c:val>
        </c:ser>
        <c:ser>
          <c:idx val="1423"/>
          <c:order val="1423"/>
          <c:tx>
            <c:strRef>
              <c:f>'estatística'!$B$1425</c:f>
            </c:strRef>
          </c:tx>
          <c:cat>
            <c:strRef>
              <c:f>'estatística'!$C$1:$M$1</c:f>
            </c:strRef>
          </c:cat>
          <c:val>
            <c:numRef>
              <c:f>'estatística'!$C$1425:$M$1425</c:f>
              <c:numCache/>
            </c:numRef>
          </c:val>
        </c:ser>
        <c:ser>
          <c:idx val="1424"/>
          <c:order val="1424"/>
          <c:tx>
            <c:strRef>
              <c:f>'estatística'!$B$1426</c:f>
            </c:strRef>
          </c:tx>
          <c:cat>
            <c:strRef>
              <c:f>'estatística'!$C$1:$M$1</c:f>
            </c:strRef>
          </c:cat>
          <c:val>
            <c:numRef>
              <c:f>'estatística'!$C$1426:$M$1426</c:f>
              <c:numCache/>
            </c:numRef>
          </c:val>
        </c:ser>
        <c:ser>
          <c:idx val="1425"/>
          <c:order val="1425"/>
          <c:tx>
            <c:strRef>
              <c:f>'estatística'!$B$1427</c:f>
            </c:strRef>
          </c:tx>
          <c:cat>
            <c:strRef>
              <c:f>'estatística'!$C$1:$M$1</c:f>
            </c:strRef>
          </c:cat>
          <c:val>
            <c:numRef>
              <c:f>'estatística'!$C$1427:$M$1427</c:f>
              <c:numCache/>
            </c:numRef>
          </c:val>
        </c:ser>
        <c:ser>
          <c:idx val="1426"/>
          <c:order val="1426"/>
          <c:tx>
            <c:strRef>
              <c:f>'estatística'!$B$1428</c:f>
            </c:strRef>
          </c:tx>
          <c:cat>
            <c:strRef>
              <c:f>'estatística'!$C$1:$M$1</c:f>
            </c:strRef>
          </c:cat>
          <c:val>
            <c:numRef>
              <c:f>'estatística'!$C$1428:$M$1428</c:f>
              <c:numCache/>
            </c:numRef>
          </c:val>
        </c:ser>
        <c:ser>
          <c:idx val="1427"/>
          <c:order val="1427"/>
          <c:tx>
            <c:strRef>
              <c:f>'estatística'!$B$1429</c:f>
            </c:strRef>
          </c:tx>
          <c:cat>
            <c:strRef>
              <c:f>'estatística'!$C$1:$M$1</c:f>
            </c:strRef>
          </c:cat>
          <c:val>
            <c:numRef>
              <c:f>'estatística'!$C$1429:$M$1429</c:f>
              <c:numCache/>
            </c:numRef>
          </c:val>
        </c:ser>
        <c:ser>
          <c:idx val="1428"/>
          <c:order val="1428"/>
          <c:tx>
            <c:strRef>
              <c:f>'estatística'!$B$1430</c:f>
            </c:strRef>
          </c:tx>
          <c:cat>
            <c:strRef>
              <c:f>'estatística'!$C$1:$M$1</c:f>
            </c:strRef>
          </c:cat>
          <c:val>
            <c:numRef>
              <c:f>'estatística'!$C$1430:$M$1430</c:f>
              <c:numCache/>
            </c:numRef>
          </c:val>
        </c:ser>
        <c:ser>
          <c:idx val="1429"/>
          <c:order val="1429"/>
          <c:tx>
            <c:strRef>
              <c:f>'estatística'!$B$1431</c:f>
            </c:strRef>
          </c:tx>
          <c:cat>
            <c:strRef>
              <c:f>'estatística'!$C$1:$M$1</c:f>
            </c:strRef>
          </c:cat>
          <c:val>
            <c:numRef>
              <c:f>'estatística'!$C$1431:$M$1431</c:f>
              <c:numCache/>
            </c:numRef>
          </c:val>
        </c:ser>
        <c:ser>
          <c:idx val="1430"/>
          <c:order val="1430"/>
          <c:tx>
            <c:strRef>
              <c:f>'estatística'!$B$1432</c:f>
            </c:strRef>
          </c:tx>
          <c:cat>
            <c:strRef>
              <c:f>'estatística'!$C$1:$M$1</c:f>
            </c:strRef>
          </c:cat>
          <c:val>
            <c:numRef>
              <c:f>'estatística'!$C$1432:$M$1432</c:f>
              <c:numCache/>
            </c:numRef>
          </c:val>
        </c:ser>
        <c:ser>
          <c:idx val="1431"/>
          <c:order val="1431"/>
          <c:tx>
            <c:strRef>
              <c:f>'estatística'!$B$1433</c:f>
            </c:strRef>
          </c:tx>
          <c:cat>
            <c:strRef>
              <c:f>'estatística'!$C$1:$M$1</c:f>
            </c:strRef>
          </c:cat>
          <c:val>
            <c:numRef>
              <c:f>'estatística'!$C$1433:$M$1433</c:f>
              <c:numCache/>
            </c:numRef>
          </c:val>
        </c:ser>
        <c:ser>
          <c:idx val="1432"/>
          <c:order val="1432"/>
          <c:tx>
            <c:strRef>
              <c:f>'estatística'!$B$1434</c:f>
            </c:strRef>
          </c:tx>
          <c:cat>
            <c:strRef>
              <c:f>'estatística'!$C$1:$M$1</c:f>
            </c:strRef>
          </c:cat>
          <c:val>
            <c:numRef>
              <c:f>'estatística'!$C$1434:$M$1434</c:f>
              <c:numCache/>
            </c:numRef>
          </c:val>
        </c:ser>
        <c:ser>
          <c:idx val="1433"/>
          <c:order val="1433"/>
          <c:tx>
            <c:strRef>
              <c:f>'estatística'!$B$1435</c:f>
            </c:strRef>
          </c:tx>
          <c:cat>
            <c:strRef>
              <c:f>'estatística'!$C$1:$M$1</c:f>
            </c:strRef>
          </c:cat>
          <c:val>
            <c:numRef>
              <c:f>'estatística'!$C$1435:$M$1435</c:f>
              <c:numCache/>
            </c:numRef>
          </c:val>
        </c:ser>
        <c:ser>
          <c:idx val="1434"/>
          <c:order val="1434"/>
          <c:tx>
            <c:strRef>
              <c:f>'estatística'!$B$1436</c:f>
            </c:strRef>
          </c:tx>
          <c:cat>
            <c:strRef>
              <c:f>'estatística'!$C$1:$M$1</c:f>
            </c:strRef>
          </c:cat>
          <c:val>
            <c:numRef>
              <c:f>'estatística'!$C$1436:$M$1436</c:f>
              <c:numCache/>
            </c:numRef>
          </c:val>
        </c:ser>
        <c:ser>
          <c:idx val="1435"/>
          <c:order val="1435"/>
          <c:tx>
            <c:strRef>
              <c:f>'estatística'!$B$1437</c:f>
            </c:strRef>
          </c:tx>
          <c:cat>
            <c:strRef>
              <c:f>'estatística'!$C$1:$M$1</c:f>
            </c:strRef>
          </c:cat>
          <c:val>
            <c:numRef>
              <c:f>'estatística'!$C$1437:$M$1437</c:f>
              <c:numCache/>
            </c:numRef>
          </c:val>
        </c:ser>
        <c:ser>
          <c:idx val="1436"/>
          <c:order val="1436"/>
          <c:tx>
            <c:strRef>
              <c:f>'estatística'!$B$1438</c:f>
            </c:strRef>
          </c:tx>
          <c:cat>
            <c:strRef>
              <c:f>'estatística'!$C$1:$M$1</c:f>
            </c:strRef>
          </c:cat>
          <c:val>
            <c:numRef>
              <c:f>'estatística'!$C$1438:$M$1438</c:f>
              <c:numCache/>
            </c:numRef>
          </c:val>
        </c:ser>
        <c:ser>
          <c:idx val="1437"/>
          <c:order val="1437"/>
          <c:tx>
            <c:strRef>
              <c:f>'estatística'!$B$1439</c:f>
            </c:strRef>
          </c:tx>
          <c:cat>
            <c:strRef>
              <c:f>'estatística'!$C$1:$M$1</c:f>
            </c:strRef>
          </c:cat>
          <c:val>
            <c:numRef>
              <c:f>'estatística'!$C$1439:$M$1439</c:f>
              <c:numCache/>
            </c:numRef>
          </c:val>
        </c:ser>
        <c:ser>
          <c:idx val="1438"/>
          <c:order val="1438"/>
          <c:tx>
            <c:strRef>
              <c:f>'estatística'!$B$1440</c:f>
            </c:strRef>
          </c:tx>
          <c:cat>
            <c:strRef>
              <c:f>'estatística'!$C$1:$M$1</c:f>
            </c:strRef>
          </c:cat>
          <c:val>
            <c:numRef>
              <c:f>'estatística'!$C$1440:$M$1440</c:f>
              <c:numCache/>
            </c:numRef>
          </c:val>
        </c:ser>
        <c:ser>
          <c:idx val="1439"/>
          <c:order val="1439"/>
          <c:tx>
            <c:strRef>
              <c:f>'estatística'!$B$1441</c:f>
            </c:strRef>
          </c:tx>
          <c:cat>
            <c:strRef>
              <c:f>'estatística'!$C$1:$M$1</c:f>
            </c:strRef>
          </c:cat>
          <c:val>
            <c:numRef>
              <c:f>'estatística'!$C$1441:$M$1441</c:f>
              <c:numCache/>
            </c:numRef>
          </c:val>
        </c:ser>
        <c:ser>
          <c:idx val="1440"/>
          <c:order val="1440"/>
          <c:tx>
            <c:strRef>
              <c:f>'estatística'!$B$1442</c:f>
            </c:strRef>
          </c:tx>
          <c:cat>
            <c:strRef>
              <c:f>'estatística'!$C$1:$M$1</c:f>
            </c:strRef>
          </c:cat>
          <c:val>
            <c:numRef>
              <c:f>'estatística'!$C$1442:$M$1442</c:f>
              <c:numCache/>
            </c:numRef>
          </c:val>
        </c:ser>
        <c:ser>
          <c:idx val="1441"/>
          <c:order val="1441"/>
          <c:tx>
            <c:strRef>
              <c:f>'estatística'!$B$1443</c:f>
            </c:strRef>
          </c:tx>
          <c:cat>
            <c:strRef>
              <c:f>'estatística'!$C$1:$M$1</c:f>
            </c:strRef>
          </c:cat>
          <c:val>
            <c:numRef>
              <c:f>'estatística'!$C$1443:$M$1443</c:f>
              <c:numCache/>
            </c:numRef>
          </c:val>
        </c:ser>
        <c:ser>
          <c:idx val="1442"/>
          <c:order val="1442"/>
          <c:tx>
            <c:strRef>
              <c:f>'estatística'!$B$1444</c:f>
            </c:strRef>
          </c:tx>
          <c:cat>
            <c:strRef>
              <c:f>'estatística'!$C$1:$M$1</c:f>
            </c:strRef>
          </c:cat>
          <c:val>
            <c:numRef>
              <c:f>'estatística'!$C$1444:$M$1444</c:f>
              <c:numCache/>
            </c:numRef>
          </c:val>
        </c:ser>
        <c:ser>
          <c:idx val="1443"/>
          <c:order val="1443"/>
          <c:tx>
            <c:strRef>
              <c:f>'estatística'!$B$1445</c:f>
            </c:strRef>
          </c:tx>
          <c:cat>
            <c:strRef>
              <c:f>'estatística'!$C$1:$M$1</c:f>
            </c:strRef>
          </c:cat>
          <c:val>
            <c:numRef>
              <c:f>'estatística'!$C$1445:$M$1445</c:f>
              <c:numCache/>
            </c:numRef>
          </c:val>
        </c:ser>
        <c:ser>
          <c:idx val="1444"/>
          <c:order val="1444"/>
          <c:tx>
            <c:strRef>
              <c:f>'estatística'!$B$1446</c:f>
            </c:strRef>
          </c:tx>
          <c:cat>
            <c:strRef>
              <c:f>'estatística'!$C$1:$M$1</c:f>
            </c:strRef>
          </c:cat>
          <c:val>
            <c:numRef>
              <c:f>'estatística'!$C$1446:$M$1446</c:f>
              <c:numCache/>
            </c:numRef>
          </c:val>
        </c:ser>
        <c:ser>
          <c:idx val="1445"/>
          <c:order val="1445"/>
          <c:tx>
            <c:strRef>
              <c:f>'estatística'!$B$1447</c:f>
            </c:strRef>
          </c:tx>
          <c:cat>
            <c:strRef>
              <c:f>'estatística'!$C$1:$M$1</c:f>
            </c:strRef>
          </c:cat>
          <c:val>
            <c:numRef>
              <c:f>'estatística'!$C$1447:$M$1447</c:f>
              <c:numCache/>
            </c:numRef>
          </c:val>
        </c:ser>
        <c:ser>
          <c:idx val="1446"/>
          <c:order val="1446"/>
          <c:tx>
            <c:strRef>
              <c:f>'estatística'!$B$1448</c:f>
            </c:strRef>
          </c:tx>
          <c:cat>
            <c:strRef>
              <c:f>'estatística'!$C$1:$M$1</c:f>
            </c:strRef>
          </c:cat>
          <c:val>
            <c:numRef>
              <c:f>'estatística'!$C$1448:$M$1448</c:f>
              <c:numCache/>
            </c:numRef>
          </c:val>
        </c:ser>
        <c:ser>
          <c:idx val="1447"/>
          <c:order val="1447"/>
          <c:tx>
            <c:strRef>
              <c:f>'estatística'!$B$1449</c:f>
            </c:strRef>
          </c:tx>
          <c:cat>
            <c:strRef>
              <c:f>'estatística'!$C$1:$M$1</c:f>
            </c:strRef>
          </c:cat>
          <c:val>
            <c:numRef>
              <c:f>'estatística'!$C$1449:$M$1449</c:f>
              <c:numCache/>
            </c:numRef>
          </c:val>
        </c:ser>
        <c:ser>
          <c:idx val="1448"/>
          <c:order val="1448"/>
          <c:tx>
            <c:strRef>
              <c:f>'estatística'!$B$1450</c:f>
            </c:strRef>
          </c:tx>
          <c:cat>
            <c:strRef>
              <c:f>'estatística'!$C$1:$M$1</c:f>
            </c:strRef>
          </c:cat>
          <c:val>
            <c:numRef>
              <c:f>'estatística'!$C$1450:$M$1450</c:f>
              <c:numCache/>
            </c:numRef>
          </c:val>
        </c:ser>
        <c:ser>
          <c:idx val="1449"/>
          <c:order val="1449"/>
          <c:tx>
            <c:strRef>
              <c:f>'estatística'!$B$1451</c:f>
            </c:strRef>
          </c:tx>
          <c:cat>
            <c:strRef>
              <c:f>'estatística'!$C$1:$M$1</c:f>
            </c:strRef>
          </c:cat>
          <c:val>
            <c:numRef>
              <c:f>'estatística'!$C$1451:$M$1451</c:f>
              <c:numCache/>
            </c:numRef>
          </c:val>
        </c:ser>
        <c:ser>
          <c:idx val="1450"/>
          <c:order val="1450"/>
          <c:tx>
            <c:strRef>
              <c:f>'estatística'!$B$1452</c:f>
            </c:strRef>
          </c:tx>
          <c:cat>
            <c:strRef>
              <c:f>'estatística'!$C$1:$M$1</c:f>
            </c:strRef>
          </c:cat>
          <c:val>
            <c:numRef>
              <c:f>'estatística'!$C$1452:$M$1452</c:f>
              <c:numCache/>
            </c:numRef>
          </c:val>
        </c:ser>
        <c:ser>
          <c:idx val="1451"/>
          <c:order val="1451"/>
          <c:tx>
            <c:strRef>
              <c:f>'estatística'!$B$1453</c:f>
            </c:strRef>
          </c:tx>
          <c:cat>
            <c:strRef>
              <c:f>'estatística'!$C$1:$M$1</c:f>
            </c:strRef>
          </c:cat>
          <c:val>
            <c:numRef>
              <c:f>'estatística'!$C$1453:$M$1453</c:f>
              <c:numCache/>
            </c:numRef>
          </c:val>
        </c:ser>
        <c:ser>
          <c:idx val="1452"/>
          <c:order val="1452"/>
          <c:tx>
            <c:strRef>
              <c:f>'estatística'!$B$1454</c:f>
            </c:strRef>
          </c:tx>
          <c:cat>
            <c:strRef>
              <c:f>'estatística'!$C$1:$M$1</c:f>
            </c:strRef>
          </c:cat>
          <c:val>
            <c:numRef>
              <c:f>'estatística'!$C$1454:$M$1454</c:f>
              <c:numCache/>
            </c:numRef>
          </c:val>
        </c:ser>
        <c:ser>
          <c:idx val="1453"/>
          <c:order val="1453"/>
          <c:tx>
            <c:strRef>
              <c:f>'estatística'!$B$1455</c:f>
            </c:strRef>
          </c:tx>
          <c:cat>
            <c:strRef>
              <c:f>'estatística'!$C$1:$M$1</c:f>
            </c:strRef>
          </c:cat>
          <c:val>
            <c:numRef>
              <c:f>'estatística'!$C$1455:$M$1455</c:f>
              <c:numCache/>
            </c:numRef>
          </c:val>
        </c:ser>
        <c:ser>
          <c:idx val="1454"/>
          <c:order val="1454"/>
          <c:tx>
            <c:strRef>
              <c:f>'estatística'!$B$1456</c:f>
            </c:strRef>
          </c:tx>
          <c:cat>
            <c:strRef>
              <c:f>'estatística'!$C$1:$M$1</c:f>
            </c:strRef>
          </c:cat>
          <c:val>
            <c:numRef>
              <c:f>'estatística'!$C$1456:$M$1456</c:f>
              <c:numCache/>
            </c:numRef>
          </c:val>
        </c:ser>
        <c:ser>
          <c:idx val="1455"/>
          <c:order val="1455"/>
          <c:tx>
            <c:strRef>
              <c:f>'estatística'!$B$1457</c:f>
            </c:strRef>
          </c:tx>
          <c:cat>
            <c:strRef>
              <c:f>'estatística'!$C$1:$M$1</c:f>
            </c:strRef>
          </c:cat>
          <c:val>
            <c:numRef>
              <c:f>'estatística'!$C$1457:$M$1457</c:f>
              <c:numCache/>
            </c:numRef>
          </c:val>
        </c:ser>
        <c:ser>
          <c:idx val="1456"/>
          <c:order val="1456"/>
          <c:tx>
            <c:strRef>
              <c:f>'estatística'!$B$1458</c:f>
            </c:strRef>
          </c:tx>
          <c:cat>
            <c:strRef>
              <c:f>'estatística'!$C$1:$M$1</c:f>
            </c:strRef>
          </c:cat>
          <c:val>
            <c:numRef>
              <c:f>'estatística'!$C$1458:$M$1458</c:f>
              <c:numCache/>
            </c:numRef>
          </c:val>
        </c:ser>
        <c:ser>
          <c:idx val="1457"/>
          <c:order val="1457"/>
          <c:tx>
            <c:strRef>
              <c:f>'estatística'!$B$1459</c:f>
            </c:strRef>
          </c:tx>
          <c:cat>
            <c:strRef>
              <c:f>'estatística'!$C$1:$M$1</c:f>
            </c:strRef>
          </c:cat>
          <c:val>
            <c:numRef>
              <c:f>'estatística'!$C$1459:$M$1459</c:f>
              <c:numCache/>
            </c:numRef>
          </c:val>
        </c:ser>
        <c:ser>
          <c:idx val="1458"/>
          <c:order val="1458"/>
          <c:tx>
            <c:strRef>
              <c:f>'estatística'!$B$1460</c:f>
            </c:strRef>
          </c:tx>
          <c:cat>
            <c:strRef>
              <c:f>'estatística'!$C$1:$M$1</c:f>
            </c:strRef>
          </c:cat>
          <c:val>
            <c:numRef>
              <c:f>'estatística'!$C$1460:$M$1460</c:f>
              <c:numCache/>
            </c:numRef>
          </c:val>
        </c:ser>
        <c:ser>
          <c:idx val="1459"/>
          <c:order val="1459"/>
          <c:tx>
            <c:strRef>
              <c:f>'estatística'!$B$1461</c:f>
            </c:strRef>
          </c:tx>
          <c:cat>
            <c:strRef>
              <c:f>'estatística'!$C$1:$M$1</c:f>
            </c:strRef>
          </c:cat>
          <c:val>
            <c:numRef>
              <c:f>'estatística'!$C$1461:$M$1461</c:f>
              <c:numCache/>
            </c:numRef>
          </c:val>
        </c:ser>
        <c:ser>
          <c:idx val="1460"/>
          <c:order val="1460"/>
          <c:tx>
            <c:strRef>
              <c:f>'estatística'!$B$1462</c:f>
            </c:strRef>
          </c:tx>
          <c:cat>
            <c:strRef>
              <c:f>'estatística'!$C$1:$M$1</c:f>
            </c:strRef>
          </c:cat>
          <c:val>
            <c:numRef>
              <c:f>'estatística'!$C$1462:$M$1462</c:f>
              <c:numCache/>
            </c:numRef>
          </c:val>
        </c:ser>
        <c:ser>
          <c:idx val="1461"/>
          <c:order val="1461"/>
          <c:tx>
            <c:strRef>
              <c:f>'estatística'!$B$1463</c:f>
            </c:strRef>
          </c:tx>
          <c:cat>
            <c:strRef>
              <c:f>'estatística'!$C$1:$M$1</c:f>
            </c:strRef>
          </c:cat>
          <c:val>
            <c:numRef>
              <c:f>'estatística'!$C$1463:$M$1463</c:f>
              <c:numCache/>
            </c:numRef>
          </c:val>
        </c:ser>
        <c:ser>
          <c:idx val="1462"/>
          <c:order val="1462"/>
          <c:tx>
            <c:strRef>
              <c:f>'estatística'!$B$1464</c:f>
            </c:strRef>
          </c:tx>
          <c:cat>
            <c:strRef>
              <c:f>'estatística'!$C$1:$M$1</c:f>
            </c:strRef>
          </c:cat>
          <c:val>
            <c:numRef>
              <c:f>'estatística'!$C$1464:$M$1464</c:f>
              <c:numCache/>
            </c:numRef>
          </c:val>
        </c:ser>
        <c:ser>
          <c:idx val="1463"/>
          <c:order val="1463"/>
          <c:tx>
            <c:strRef>
              <c:f>'estatística'!$B$1465</c:f>
            </c:strRef>
          </c:tx>
          <c:cat>
            <c:strRef>
              <c:f>'estatística'!$C$1:$M$1</c:f>
            </c:strRef>
          </c:cat>
          <c:val>
            <c:numRef>
              <c:f>'estatística'!$C$1465:$M$1465</c:f>
              <c:numCache/>
            </c:numRef>
          </c:val>
        </c:ser>
        <c:ser>
          <c:idx val="1464"/>
          <c:order val="1464"/>
          <c:tx>
            <c:strRef>
              <c:f>'estatística'!$B$1466</c:f>
            </c:strRef>
          </c:tx>
          <c:cat>
            <c:strRef>
              <c:f>'estatística'!$C$1:$M$1</c:f>
            </c:strRef>
          </c:cat>
          <c:val>
            <c:numRef>
              <c:f>'estatística'!$C$1466:$M$1466</c:f>
              <c:numCache/>
            </c:numRef>
          </c:val>
        </c:ser>
        <c:ser>
          <c:idx val="1465"/>
          <c:order val="1465"/>
          <c:tx>
            <c:strRef>
              <c:f>'estatística'!$B$1467</c:f>
            </c:strRef>
          </c:tx>
          <c:cat>
            <c:strRef>
              <c:f>'estatística'!$C$1:$M$1</c:f>
            </c:strRef>
          </c:cat>
          <c:val>
            <c:numRef>
              <c:f>'estatística'!$C$1467:$M$1467</c:f>
              <c:numCache/>
            </c:numRef>
          </c:val>
        </c:ser>
        <c:ser>
          <c:idx val="1466"/>
          <c:order val="1466"/>
          <c:tx>
            <c:strRef>
              <c:f>'estatística'!$B$1468</c:f>
            </c:strRef>
          </c:tx>
          <c:cat>
            <c:strRef>
              <c:f>'estatística'!$C$1:$M$1</c:f>
            </c:strRef>
          </c:cat>
          <c:val>
            <c:numRef>
              <c:f>'estatística'!$C$1468:$M$1468</c:f>
              <c:numCache/>
            </c:numRef>
          </c:val>
        </c:ser>
        <c:ser>
          <c:idx val="1467"/>
          <c:order val="1467"/>
          <c:tx>
            <c:strRef>
              <c:f>'estatística'!$B$1469</c:f>
            </c:strRef>
          </c:tx>
          <c:cat>
            <c:strRef>
              <c:f>'estatística'!$C$1:$M$1</c:f>
            </c:strRef>
          </c:cat>
          <c:val>
            <c:numRef>
              <c:f>'estatística'!$C$1469:$M$1469</c:f>
              <c:numCache/>
            </c:numRef>
          </c:val>
        </c:ser>
        <c:ser>
          <c:idx val="1468"/>
          <c:order val="1468"/>
          <c:tx>
            <c:strRef>
              <c:f>'estatística'!$B$1470</c:f>
            </c:strRef>
          </c:tx>
          <c:cat>
            <c:strRef>
              <c:f>'estatística'!$C$1:$M$1</c:f>
            </c:strRef>
          </c:cat>
          <c:val>
            <c:numRef>
              <c:f>'estatística'!$C$1470:$M$1470</c:f>
              <c:numCache/>
            </c:numRef>
          </c:val>
        </c:ser>
        <c:ser>
          <c:idx val="1469"/>
          <c:order val="1469"/>
          <c:tx>
            <c:strRef>
              <c:f>'estatística'!$B$1471</c:f>
            </c:strRef>
          </c:tx>
          <c:cat>
            <c:strRef>
              <c:f>'estatística'!$C$1:$M$1</c:f>
            </c:strRef>
          </c:cat>
          <c:val>
            <c:numRef>
              <c:f>'estatística'!$C$1471:$M$1471</c:f>
              <c:numCache/>
            </c:numRef>
          </c:val>
        </c:ser>
        <c:ser>
          <c:idx val="1470"/>
          <c:order val="1470"/>
          <c:tx>
            <c:strRef>
              <c:f>'estatística'!$B$1472</c:f>
            </c:strRef>
          </c:tx>
          <c:cat>
            <c:strRef>
              <c:f>'estatística'!$C$1:$M$1</c:f>
            </c:strRef>
          </c:cat>
          <c:val>
            <c:numRef>
              <c:f>'estatística'!$C$1472:$M$1472</c:f>
              <c:numCache/>
            </c:numRef>
          </c:val>
        </c:ser>
        <c:ser>
          <c:idx val="1471"/>
          <c:order val="1471"/>
          <c:tx>
            <c:strRef>
              <c:f>'estatística'!$B$1473</c:f>
            </c:strRef>
          </c:tx>
          <c:cat>
            <c:strRef>
              <c:f>'estatística'!$C$1:$M$1</c:f>
            </c:strRef>
          </c:cat>
          <c:val>
            <c:numRef>
              <c:f>'estatística'!$C$1473:$M$1473</c:f>
              <c:numCache/>
            </c:numRef>
          </c:val>
        </c:ser>
        <c:ser>
          <c:idx val="1472"/>
          <c:order val="1472"/>
          <c:tx>
            <c:strRef>
              <c:f>'estatística'!$B$1474</c:f>
            </c:strRef>
          </c:tx>
          <c:cat>
            <c:strRef>
              <c:f>'estatística'!$C$1:$M$1</c:f>
            </c:strRef>
          </c:cat>
          <c:val>
            <c:numRef>
              <c:f>'estatística'!$C$1474:$M$1474</c:f>
              <c:numCache/>
            </c:numRef>
          </c:val>
        </c:ser>
        <c:ser>
          <c:idx val="1473"/>
          <c:order val="1473"/>
          <c:tx>
            <c:strRef>
              <c:f>'estatística'!$B$1475</c:f>
            </c:strRef>
          </c:tx>
          <c:cat>
            <c:strRef>
              <c:f>'estatística'!$C$1:$M$1</c:f>
            </c:strRef>
          </c:cat>
          <c:val>
            <c:numRef>
              <c:f>'estatística'!$C$1475:$M$1475</c:f>
              <c:numCache/>
            </c:numRef>
          </c:val>
        </c:ser>
        <c:ser>
          <c:idx val="1474"/>
          <c:order val="1474"/>
          <c:tx>
            <c:strRef>
              <c:f>'estatística'!$B$1476</c:f>
            </c:strRef>
          </c:tx>
          <c:cat>
            <c:strRef>
              <c:f>'estatística'!$C$1:$M$1</c:f>
            </c:strRef>
          </c:cat>
          <c:val>
            <c:numRef>
              <c:f>'estatística'!$C$1476:$M$1476</c:f>
              <c:numCache/>
            </c:numRef>
          </c:val>
        </c:ser>
        <c:ser>
          <c:idx val="1475"/>
          <c:order val="1475"/>
          <c:tx>
            <c:strRef>
              <c:f>'estatística'!$B$1477</c:f>
            </c:strRef>
          </c:tx>
          <c:cat>
            <c:strRef>
              <c:f>'estatística'!$C$1:$M$1</c:f>
            </c:strRef>
          </c:cat>
          <c:val>
            <c:numRef>
              <c:f>'estatística'!$C$1477:$M$1477</c:f>
              <c:numCache/>
            </c:numRef>
          </c:val>
        </c:ser>
        <c:ser>
          <c:idx val="1476"/>
          <c:order val="1476"/>
          <c:tx>
            <c:strRef>
              <c:f>'estatística'!$B$1478</c:f>
            </c:strRef>
          </c:tx>
          <c:cat>
            <c:strRef>
              <c:f>'estatística'!$C$1:$M$1</c:f>
            </c:strRef>
          </c:cat>
          <c:val>
            <c:numRef>
              <c:f>'estatística'!$C$1478:$M$1478</c:f>
              <c:numCache/>
            </c:numRef>
          </c:val>
        </c:ser>
        <c:ser>
          <c:idx val="1477"/>
          <c:order val="1477"/>
          <c:tx>
            <c:strRef>
              <c:f>'estatística'!$B$1479</c:f>
            </c:strRef>
          </c:tx>
          <c:cat>
            <c:strRef>
              <c:f>'estatística'!$C$1:$M$1</c:f>
            </c:strRef>
          </c:cat>
          <c:val>
            <c:numRef>
              <c:f>'estatística'!$C$1479:$M$1479</c:f>
              <c:numCache/>
            </c:numRef>
          </c:val>
        </c:ser>
        <c:ser>
          <c:idx val="1478"/>
          <c:order val="1478"/>
          <c:tx>
            <c:strRef>
              <c:f>'estatística'!$B$1480</c:f>
            </c:strRef>
          </c:tx>
          <c:cat>
            <c:strRef>
              <c:f>'estatística'!$C$1:$M$1</c:f>
            </c:strRef>
          </c:cat>
          <c:val>
            <c:numRef>
              <c:f>'estatística'!$C$1480:$M$1480</c:f>
              <c:numCache/>
            </c:numRef>
          </c:val>
        </c:ser>
        <c:ser>
          <c:idx val="1479"/>
          <c:order val="1479"/>
          <c:tx>
            <c:strRef>
              <c:f>'estatística'!$B$1481</c:f>
            </c:strRef>
          </c:tx>
          <c:cat>
            <c:strRef>
              <c:f>'estatística'!$C$1:$M$1</c:f>
            </c:strRef>
          </c:cat>
          <c:val>
            <c:numRef>
              <c:f>'estatística'!$C$1481:$M$1481</c:f>
              <c:numCache/>
            </c:numRef>
          </c:val>
        </c:ser>
        <c:ser>
          <c:idx val="1480"/>
          <c:order val="1480"/>
          <c:tx>
            <c:strRef>
              <c:f>'estatística'!$B$1482</c:f>
            </c:strRef>
          </c:tx>
          <c:cat>
            <c:strRef>
              <c:f>'estatística'!$C$1:$M$1</c:f>
            </c:strRef>
          </c:cat>
          <c:val>
            <c:numRef>
              <c:f>'estatística'!$C$1482:$M$1482</c:f>
              <c:numCache/>
            </c:numRef>
          </c:val>
        </c:ser>
        <c:ser>
          <c:idx val="1481"/>
          <c:order val="1481"/>
          <c:tx>
            <c:strRef>
              <c:f>'estatística'!$B$1483</c:f>
            </c:strRef>
          </c:tx>
          <c:cat>
            <c:strRef>
              <c:f>'estatística'!$C$1:$M$1</c:f>
            </c:strRef>
          </c:cat>
          <c:val>
            <c:numRef>
              <c:f>'estatística'!$C$1483:$M$1483</c:f>
              <c:numCache/>
            </c:numRef>
          </c:val>
        </c:ser>
        <c:ser>
          <c:idx val="1482"/>
          <c:order val="1482"/>
          <c:tx>
            <c:strRef>
              <c:f>'estatística'!$B$1484</c:f>
            </c:strRef>
          </c:tx>
          <c:cat>
            <c:strRef>
              <c:f>'estatística'!$C$1:$M$1</c:f>
            </c:strRef>
          </c:cat>
          <c:val>
            <c:numRef>
              <c:f>'estatística'!$C$1484:$M$1484</c:f>
              <c:numCache/>
            </c:numRef>
          </c:val>
        </c:ser>
        <c:ser>
          <c:idx val="1483"/>
          <c:order val="1483"/>
          <c:tx>
            <c:strRef>
              <c:f>'estatística'!$B$1485</c:f>
            </c:strRef>
          </c:tx>
          <c:cat>
            <c:strRef>
              <c:f>'estatística'!$C$1:$M$1</c:f>
            </c:strRef>
          </c:cat>
          <c:val>
            <c:numRef>
              <c:f>'estatística'!$C$1485:$M$1485</c:f>
              <c:numCache/>
            </c:numRef>
          </c:val>
        </c:ser>
        <c:ser>
          <c:idx val="1484"/>
          <c:order val="1484"/>
          <c:tx>
            <c:strRef>
              <c:f>'estatística'!$B$1486</c:f>
            </c:strRef>
          </c:tx>
          <c:cat>
            <c:strRef>
              <c:f>'estatística'!$C$1:$M$1</c:f>
            </c:strRef>
          </c:cat>
          <c:val>
            <c:numRef>
              <c:f>'estatística'!$C$1486:$M$1486</c:f>
              <c:numCache/>
            </c:numRef>
          </c:val>
        </c:ser>
        <c:ser>
          <c:idx val="1485"/>
          <c:order val="1485"/>
          <c:tx>
            <c:strRef>
              <c:f>'estatística'!$B$1487</c:f>
            </c:strRef>
          </c:tx>
          <c:cat>
            <c:strRef>
              <c:f>'estatística'!$C$1:$M$1</c:f>
            </c:strRef>
          </c:cat>
          <c:val>
            <c:numRef>
              <c:f>'estatística'!$C$1487:$M$1487</c:f>
              <c:numCache/>
            </c:numRef>
          </c:val>
        </c:ser>
        <c:ser>
          <c:idx val="1486"/>
          <c:order val="1486"/>
          <c:tx>
            <c:strRef>
              <c:f>'estatística'!$B$1488</c:f>
            </c:strRef>
          </c:tx>
          <c:cat>
            <c:strRef>
              <c:f>'estatística'!$C$1:$M$1</c:f>
            </c:strRef>
          </c:cat>
          <c:val>
            <c:numRef>
              <c:f>'estatística'!$C$1488:$M$1488</c:f>
              <c:numCache/>
            </c:numRef>
          </c:val>
        </c:ser>
        <c:ser>
          <c:idx val="1487"/>
          <c:order val="1487"/>
          <c:tx>
            <c:strRef>
              <c:f>'estatística'!$B$1489</c:f>
            </c:strRef>
          </c:tx>
          <c:cat>
            <c:strRef>
              <c:f>'estatística'!$C$1:$M$1</c:f>
            </c:strRef>
          </c:cat>
          <c:val>
            <c:numRef>
              <c:f>'estatística'!$C$1489:$M$1489</c:f>
              <c:numCache/>
            </c:numRef>
          </c:val>
        </c:ser>
        <c:ser>
          <c:idx val="1488"/>
          <c:order val="1488"/>
          <c:tx>
            <c:strRef>
              <c:f>'estatística'!$B$1490</c:f>
            </c:strRef>
          </c:tx>
          <c:cat>
            <c:strRef>
              <c:f>'estatística'!$C$1:$M$1</c:f>
            </c:strRef>
          </c:cat>
          <c:val>
            <c:numRef>
              <c:f>'estatística'!$C$1490:$M$1490</c:f>
              <c:numCache/>
            </c:numRef>
          </c:val>
        </c:ser>
        <c:ser>
          <c:idx val="1489"/>
          <c:order val="1489"/>
          <c:tx>
            <c:strRef>
              <c:f>'estatística'!$B$1491</c:f>
            </c:strRef>
          </c:tx>
          <c:cat>
            <c:strRef>
              <c:f>'estatística'!$C$1:$M$1</c:f>
            </c:strRef>
          </c:cat>
          <c:val>
            <c:numRef>
              <c:f>'estatística'!$C$1491:$M$1491</c:f>
              <c:numCache/>
            </c:numRef>
          </c:val>
        </c:ser>
        <c:ser>
          <c:idx val="1490"/>
          <c:order val="1490"/>
          <c:tx>
            <c:strRef>
              <c:f>'estatística'!$B$1492</c:f>
            </c:strRef>
          </c:tx>
          <c:cat>
            <c:strRef>
              <c:f>'estatística'!$C$1:$M$1</c:f>
            </c:strRef>
          </c:cat>
          <c:val>
            <c:numRef>
              <c:f>'estatística'!$C$1492:$M$1492</c:f>
              <c:numCache/>
            </c:numRef>
          </c:val>
        </c:ser>
        <c:ser>
          <c:idx val="1491"/>
          <c:order val="1491"/>
          <c:tx>
            <c:strRef>
              <c:f>'estatística'!$B$1493</c:f>
            </c:strRef>
          </c:tx>
          <c:cat>
            <c:strRef>
              <c:f>'estatística'!$C$1:$M$1</c:f>
            </c:strRef>
          </c:cat>
          <c:val>
            <c:numRef>
              <c:f>'estatística'!$C$1493:$M$1493</c:f>
              <c:numCache/>
            </c:numRef>
          </c:val>
        </c:ser>
        <c:ser>
          <c:idx val="1492"/>
          <c:order val="1492"/>
          <c:tx>
            <c:strRef>
              <c:f>'estatística'!$B$1494</c:f>
            </c:strRef>
          </c:tx>
          <c:cat>
            <c:strRef>
              <c:f>'estatística'!$C$1:$M$1</c:f>
            </c:strRef>
          </c:cat>
          <c:val>
            <c:numRef>
              <c:f>'estatística'!$C$1494:$M$1494</c:f>
              <c:numCache/>
            </c:numRef>
          </c:val>
        </c:ser>
        <c:ser>
          <c:idx val="1493"/>
          <c:order val="1493"/>
          <c:tx>
            <c:strRef>
              <c:f>'estatística'!$B$1495</c:f>
            </c:strRef>
          </c:tx>
          <c:cat>
            <c:strRef>
              <c:f>'estatística'!$C$1:$M$1</c:f>
            </c:strRef>
          </c:cat>
          <c:val>
            <c:numRef>
              <c:f>'estatística'!$C$1495:$M$1495</c:f>
              <c:numCache/>
            </c:numRef>
          </c:val>
        </c:ser>
        <c:ser>
          <c:idx val="1494"/>
          <c:order val="1494"/>
          <c:tx>
            <c:strRef>
              <c:f>'estatística'!$B$1496</c:f>
            </c:strRef>
          </c:tx>
          <c:cat>
            <c:strRef>
              <c:f>'estatística'!$C$1:$M$1</c:f>
            </c:strRef>
          </c:cat>
          <c:val>
            <c:numRef>
              <c:f>'estatística'!$C$1496:$M$1496</c:f>
              <c:numCache/>
            </c:numRef>
          </c:val>
        </c:ser>
        <c:ser>
          <c:idx val="1495"/>
          <c:order val="1495"/>
          <c:tx>
            <c:strRef>
              <c:f>'estatística'!$B$1497</c:f>
            </c:strRef>
          </c:tx>
          <c:cat>
            <c:strRef>
              <c:f>'estatística'!$C$1:$M$1</c:f>
            </c:strRef>
          </c:cat>
          <c:val>
            <c:numRef>
              <c:f>'estatística'!$C$1497:$M$1497</c:f>
              <c:numCache/>
            </c:numRef>
          </c:val>
        </c:ser>
        <c:ser>
          <c:idx val="1496"/>
          <c:order val="1496"/>
          <c:tx>
            <c:strRef>
              <c:f>'estatística'!$B$1498</c:f>
            </c:strRef>
          </c:tx>
          <c:cat>
            <c:strRef>
              <c:f>'estatística'!$C$1:$M$1</c:f>
            </c:strRef>
          </c:cat>
          <c:val>
            <c:numRef>
              <c:f>'estatística'!$C$1498:$M$1498</c:f>
              <c:numCache/>
            </c:numRef>
          </c:val>
        </c:ser>
        <c:ser>
          <c:idx val="1497"/>
          <c:order val="1497"/>
          <c:tx>
            <c:strRef>
              <c:f>'estatística'!$B$1499</c:f>
            </c:strRef>
          </c:tx>
          <c:cat>
            <c:strRef>
              <c:f>'estatística'!$C$1:$M$1</c:f>
            </c:strRef>
          </c:cat>
          <c:val>
            <c:numRef>
              <c:f>'estatística'!$C$1499:$M$1499</c:f>
              <c:numCache/>
            </c:numRef>
          </c:val>
        </c:ser>
        <c:ser>
          <c:idx val="1498"/>
          <c:order val="1498"/>
          <c:tx>
            <c:strRef>
              <c:f>'estatística'!$B$1500</c:f>
            </c:strRef>
          </c:tx>
          <c:cat>
            <c:strRef>
              <c:f>'estatística'!$C$1:$M$1</c:f>
            </c:strRef>
          </c:cat>
          <c:val>
            <c:numRef>
              <c:f>'estatística'!$C$1500:$M$1500</c:f>
              <c:numCache/>
            </c:numRef>
          </c:val>
        </c:ser>
        <c:ser>
          <c:idx val="1499"/>
          <c:order val="1499"/>
          <c:tx>
            <c:strRef>
              <c:f>'estatística'!$B$1501</c:f>
            </c:strRef>
          </c:tx>
          <c:cat>
            <c:strRef>
              <c:f>'estatística'!$C$1:$M$1</c:f>
            </c:strRef>
          </c:cat>
          <c:val>
            <c:numRef>
              <c:f>'estatística'!$C$1501:$M$1501</c:f>
              <c:numCache/>
            </c:numRef>
          </c:val>
        </c:ser>
        <c:ser>
          <c:idx val="1500"/>
          <c:order val="1500"/>
          <c:tx>
            <c:strRef>
              <c:f>'estatística'!$B$1502</c:f>
            </c:strRef>
          </c:tx>
          <c:cat>
            <c:strRef>
              <c:f>'estatística'!$C$1:$M$1</c:f>
            </c:strRef>
          </c:cat>
          <c:val>
            <c:numRef>
              <c:f>'estatística'!$C$1502:$M$1502</c:f>
              <c:numCache/>
            </c:numRef>
          </c:val>
        </c:ser>
        <c:ser>
          <c:idx val="1501"/>
          <c:order val="1501"/>
          <c:tx>
            <c:strRef>
              <c:f>'estatística'!$B$1503</c:f>
            </c:strRef>
          </c:tx>
          <c:cat>
            <c:strRef>
              <c:f>'estatística'!$C$1:$M$1</c:f>
            </c:strRef>
          </c:cat>
          <c:val>
            <c:numRef>
              <c:f>'estatística'!$C$1503:$M$1503</c:f>
              <c:numCache/>
            </c:numRef>
          </c:val>
        </c:ser>
        <c:ser>
          <c:idx val="1502"/>
          <c:order val="1502"/>
          <c:tx>
            <c:strRef>
              <c:f>'estatística'!$B$1504</c:f>
            </c:strRef>
          </c:tx>
          <c:cat>
            <c:strRef>
              <c:f>'estatística'!$C$1:$M$1</c:f>
            </c:strRef>
          </c:cat>
          <c:val>
            <c:numRef>
              <c:f>'estatística'!$C$1504:$M$1504</c:f>
              <c:numCache/>
            </c:numRef>
          </c:val>
        </c:ser>
        <c:ser>
          <c:idx val="1503"/>
          <c:order val="1503"/>
          <c:tx>
            <c:strRef>
              <c:f>'estatística'!$B$1505</c:f>
            </c:strRef>
          </c:tx>
          <c:cat>
            <c:strRef>
              <c:f>'estatística'!$C$1:$M$1</c:f>
            </c:strRef>
          </c:cat>
          <c:val>
            <c:numRef>
              <c:f>'estatística'!$C$1505:$M$1505</c:f>
              <c:numCache/>
            </c:numRef>
          </c:val>
        </c:ser>
        <c:ser>
          <c:idx val="1504"/>
          <c:order val="1504"/>
          <c:tx>
            <c:strRef>
              <c:f>'estatística'!$B$1506</c:f>
            </c:strRef>
          </c:tx>
          <c:cat>
            <c:strRef>
              <c:f>'estatística'!$C$1:$M$1</c:f>
            </c:strRef>
          </c:cat>
          <c:val>
            <c:numRef>
              <c:f>'estatística'!$C$1506:$M$1506</c:f>
              <c:numCache/>
            </c:numRef>
          </c:val>
        </c:ser>
        <c:ser>
          <c:idx val="1505"/>
          <c:order val="1505"/>
          <c:tx>
            <c:strRef>
              <c:f>'estatística'!$B$1507</c:f>
            </c:strRef>
          </c:tx>
          <c:cat>
            <c:strRef>
              <c:f>'estatística'!$C$1:$M$1</c:f>
            </c:strRef>
          </c:cat>
          <c:val>
            <c:numRef>
              <c:f>'estatística'!$C$1507:$M$1507</c:f>
              <c:numCache/>
            </c:numRef>
          </c:val>
        </c:ser>
        <c:ser>
          <c:idx val="1506"/>
          <c:order val="1506"/>
          <c:tx>
            <c:strRef>
              <c:f>'estatística'!$B$1508</c:f>
            </c:strRef>
          </c:tx>
          <c:cat>
            <c:strRef>
              <c:f>'estatística'!$C$1:$M$1</c:f>
            </c:strRef>
          </c:cat>
          <c:val>
            <c:numRef>
              <c:f>'estatística'!$C$1508:$M$1508</c:f>
              <c:numCache/>
            </c:numRef>
          </c:val>
        </c:ser>
        <c:ser>
          <c:idx val="1507"/>
          <c:order val="1507"/>
          <c:tx>
            <c:strRef>
              <c:f>'estatística'!$B$1509</c:f>
            </c:strRef>
          </c:tx>
          <c:cat>
            <c:strRef>
              <c:f>'estatística'!$C$1:$M$1</c:f>
            </c:strRef>
          </c:cat>
          <c:val>
            <c:numRef>
              <c:f>'estatística'!$C$1509:$M$1509</c:f>
              <c:numCache/>
            </c:numRef>
          </c:val>
        </c:ser>
        <c:ser>
          <c:idx val="1508"/>
          <c:order val="1508"/>
          <c:tx>
            <c:strRef>
              <c:f>'estatística'!$B$1510</c:f>
            </c:strRef>
          </c:tx>
          <c:cat>
            <c:strRef>
              <c:f>'estatística'!$C$1:$M$1</c:f>
            </c:strRef>
          </c:cat>
          <c:val>
            <c:numRef>
              <c:f>'estatística'!$C$1510:$M$1510</c:f>
              <c:numCache/>
            </c:numRef>
          </c:val>
        </c:ser>
        <c:ser>
          <c:idx val="1509"/>
          <c:order val="1509"/>
          <c:tx>
            <c:strRef>
              <c:f>'estatística'!$B$1511</c:f>
            </c:strRef>
          </c:tx>
          <c:cat>
            <c:strRef>
              <c:f>'estatística'!$C$1:$M$1</c:f>
            </c:strRef>
          </c:cat>
          <c:val>
            <c:numRef>
              <c:f>'estatística'!$C$1511:$M$1511</c:f>
              <c:numCache/>
            </c:numRef>
          </c:val>
        </c:ser>
        <c:ser>
          <c:idx val="1510"/>
          <c:order val="1510"/>
          <c:tx>
            <c:strRef>
              <c:f>'estatística'!$B$1512</c:f>
            </c:strRef>
          </c:tx>
          <c:cat>
            <c:strRef>
              <c:f>'estatística'!$C$1:$M$1</c:f>
            </c:strRef>
          </c:cat>
          <c:val>
            <c:numRef>
              <c:f>'estatística'!$C$1512:$M$1512</c:f>
              <c:numCache/>
            </c:numRef>
          </c:val>
        </c:ser>
        <c:ser>
          <c:idx val="1511"/>
          <c:order val="1511"/>
          <c:tx>
            <c:strRef>
              <c:f>'estatística'!$B$1513</c:f>
            </c:strRef>
          </c:tx>
          <c:cat>
            <c:strRef>
              <c:f>'estatística'!$C$1:$M$1</c:f>
            </c:strRef>
          </c:cat>
          <c:val>
            <c:numRef>
              <c:f>'estatística'!$C$1513:$M$1513</c:f>
              <c:numCache/>
            </c:numRef>
          </c:val>
        </c:ser>
        <c:ser>
          <c:idx val="1512"/>
          <c:order val="1512"/>
          <c:tx>
            <c:strRef>
              <c:f>'estatística'!$B$1514</c:f>
            </c:strRef>
          </c:tx>
          <c:cat>
            <c:strRef>
              <c:f>'estatística'!$C$1:$M$1</c:f>
            </c:strRef>
          </c:cat>
          <c:val>
            <c:numRef>
              <c:f>'estatística'!$C$1514:$M$1514</c:f>
              <c:numCache/>
            </c:numRef>
          </c:val>
        </c:ser>
        <c:ser>
          <c:idx val="1513"/>
          <c:order val="1513"/>
          <c:tx>
            <c:strRef>
              <c:f>'estatística'!$B$1515</c:f>
            </c:strRef>
          </c:tx>
          <c:cat>
            <c:strRef>
              <c:f>'estatística'!$C$1:$M$1</c:f>
            </c:strRef>
          </c:cat>
          <c:val>
            <c:numRef>
              <c:f>'estatística'!$C$1515:$M$1515</c:f>
              <c:numCache/>
            </c:numRef>
          </c:val>
        </c:ser>
        <c:ser>
          <c:idx val="1514"/>
          <c:order val="1514"/>
          <c:tx>
            <c:strRef>
              <c:f>'estatística'!$B$1516</c:f>
            </c:strRef>
          </c:tx>
          <c:cat>
            <c:strRef>
              <c:f>'estatística'!$C$1:$M$1</c:f>
            </c:strRef>
          </c:cat>
          <c:val>
            <c:numRef>
              <c:f>'estatística'!$C$1516:$M$1516</c:f>
              <c:numCache/>
            </c:numRef>
          </c:val>
        </c:ser>
        <c:ser>
          <c:idx val="1515"/>
          <c:order val="1515"/>
          <c:tx>
            <c:strRef>
              <c:f>'estatística'!$B$1517</c:f>
            </c:strRef>
          </c:tx>
          <c:cat>
            <c:strRef>
              <c:f>'estatística'!$C$1:$M$1</c:f>
            </c:strRef>
          </c:cat>
          <c:val>
            <c:numRef>
              <c:f>'estatística'!$C$1517:$M$1517</c:f>
              <c:numCache/>
            </c:numRef>
          </c:val>
        </c:ser>
        <c:ser>
          <c:idx val="1516"/>
          <c:order val="1516"/>
          <c:tx>
            <c:strRef>
              <c:f>'estatística'!$B$1518</c:f>
            </c:strRef>
          </c:tx>
          <c:cat>
            <c:strRef>
              <c:f>'estatística'!$C$1:$M$1</c:f>
            </c:strRef>
          </c:cat>
          <c:val>
            <c:numRef>
              <c:f>'estatística'!$C$1518:$M$1518</c:f>
              <c:numCache/>
            </c:numRef>
          </c:val>
        </c:ser>
        <c:ser>
          <c:idx val="1517"/>
          <c:order val="1517"/>
          <c:tx>
            <c:strRef>
              <c:f>'estatística'!$B$1519</c:f>
            </c:strRef>
          </c:tx>
          <c:cat>
            <c:strRef>
              <c:f>'estatística'!$C$1:$M$1</c:f>
            </c:strRef>
          </c:cat>
          <c:val>
            <c:numRef>
              <c:f>'estatística'!$C$1519:$M$1519</c:f>
              <c:numCache/>
            </c:numRef>
          </c:val>
        </c:ser>
        <c:ser>
          <c:idx val="1518"/>
          <c:order val="1518"/>
          <c:tx>
            <c:strRef>
              <c:f>'estatística'!$B$1520</c:f>
            </c:strRef>
          </c:tx>
          <c:cat>
            <c:strRef>
              <c:f>'estatística'!$C$1:$M$1</c:f>
            </c:strRef>
          </c:cat>
          <c:val>
            <c:numRef>
              <c:f>'estatística'!$C$1520:$M$1520</c:f>
              <c:numCache/>
            </c:numRef>
          </c:val>
        </c:ser>
        <c:ser>
          <c:idx val="1519"/>
          <c:order val="1519"/>
          <c:tx>
            <c:strRef>
              <c:f>'estatística'!$B$1521</c:f>
            </c:strRef>
          </c:tx>
          <c:cat>
            <c:strRef>
              <c:f>'estatística'!$C$1:$M$1</c:f>
            </c:strRef>
          </c:cat>
          <c:val>
            <c:numRef>
              <c:f>'estatística'!$C$1521:$M$1521</c:f>
              <c:numCache/>
            </c:numRef>
          </c:val>
        </c:ser>
        <c:ser>
          <c:idx val="1520"/>
          <c:order val="1520"/>
          <c:tx>
            <c:strRef>
              <c:f>'estatística'!$B$1522</c:f>
            </c:strRef>
          </c:tx>
          <c:cat>
            <c:strRef>
              <c:f>'estatística'!$C$1:$M$1</c:f>
            </c:strRef>
          </c:cat>
          <c:val>
            <c:numRef>
              <c:f>'estatística'!$C$1522:$M$1522</c:f>
              <c:numCache/>
            </c:numRef>
          </c:val>
        </c:ser>
        <c:ser>
          <c:idx val="1521"/>
          <c:order val="1521"/>
          <c:tx>
            <c:strRef>
              <c:f>'estatística'!$B$1523</c:f>
            </c:strRef>
          </c:tx>
          <c:cat>
            <c:strRef>
              <c:f>'estatística'!$C$1:$M$1</c:f>
            </c:strRef>
          </c:cat>
          <c:val>
            <c:numRef>
              <c:f>'estatística'!$C$1523:$M$1523</c:f>
              <c:numCache/>
            </c:numRef>
          </c:val>
        </c:ser>
        <c:ser>
          <c:idx val="1522"/>
          <c:order val="1522"/>
          <c:tx>
            <c:strRef>
              <c:f>'estatística'!$B$1524</c:f>
            </c:strRef>
          </c:tx>
          <c:cat>
            <c:strRef>
              <c:f>'estatística'!$C$1:$M$1</c:f>
            </c:strRef>
          </c:cat>
          <c:val>
            <c:numRef>
              <c:f>'estatística'!$C$1524:$M$1524</c:f>
              <c:numCache/>
            </c:numRef>
          </c:val>
        </c:ser>
        <c:ser>
          <c:idx val="1523"/>
          <c:order val="1523"/>
          <c:tx>
            <c:strRef>
              <c:f>'estatística'!$B$1525</c:f>
            </c:strRef>
          </c:tx>
          <c:cat>
            <c:strRef>
              <c:f>'estatística'!$C$1:$M$1</c:f>
            </c:strRef>
          </c:cat>
          <c:val>
            <c:numRef>
              <c:f>'estatística'!$C$1525:$M$1525</c:f>
              <c:numCache/>
            </c:numRef>
          </c:val>
        </c:ser>
        <c:ser>
          <c:idx val="1524"/>
          <c:order val="1524"/>
          <c:tx>
            <c:strRef>
              <c:f>'estatística'!$B$1526</c:f>
            </c:strRef>
          </c:tx>
          <c:cat>
            <c:strRef>
              <c:f>'estatística'!$C$1:$M$1</c:f>
            </c:strRef>
          </c:cat>
          <c:val>
            <c:numRef>
              <c:f>'estatística'!$C$1526:$M$1526</c:f>
              <c:numCache/>
            </c:numRef>
          </c:val>
        </c:ser>
        <c:ser>
          <c:idx val="1525"/>
          <c:order val="1525"/>
          <c:tx>
            <c:strRef>
              <c:f>'estatística'!$B$1527</c:f>
            </c:strRef>
          </c:tx>
          <c:cat>
            <c:strRef>
              <c:f>'estatística'!$C$1:$M$1</c:f>
            </c:strRef>
          </c:cat>
          <c:val>
            <c:numRef>
              <c:f>'estatística'!$C$1527:$M$1527</c:f>
              <c:numCache/>
            </c:numRef>
          </c:val>
        </c:ser>
        <c:ser>
          <c:idx val="1526"/>
          <c:order val="1526"/>
          <c:tx>
            <c:strRef>
              <c:f>'estatística'!$B$1528</c:f>
            </c:strRef>
          </c:tx>
          <c:cat>
            <c:strRef>
              <c:f>'estatística'!$C$1:$M$1</c:f>
            </c:strRef>
          </c:cat>
          <c:val>
            <c:numRef>
              <c:f>'estatística'!$C$1528:$M$1528</c:f>
              <c:numCache/>
            </c:numRef>
          </c:val>
        </c:ser>
        <c:ser>
          <c:idx val="1527"/>
          <c:order val="1527"/>
          <c:tx>
            <c:strRef>
              <c:f>'estatística'!$B$1529</c:f>
            </c:strRef>
          </c:tx>
          <c:cat>
            <c:strRef>
              <c:f>'estatística'!$C$1:$M$1</c:f>
            </c:strRef>
          </c:cat>
          <c:val>
            <c:numRef>
              <c:f>'estatística'!$C$1529:$M$1529</c:f>
              <c:numCache/>
            </c:numRef>
          </c:val>
        </c:ser>
        <c:ser>
          <c:idx val="1528"/>
          <c:order val="1528"/>
          <c:tx>
            <c:strRef>
              <c:f>'estatística'!$B$1530</c:f>
            </c:strRef>
          </c:tx>
          <c:cat>
            <c:strRef>
              <c:f>'estatística'!$C$1:$M$1</c:f>
            </c:strRef>
          </c:cat>
          <c:val>
            <c:numRef>
              <c:f>'estatística'!$C$1530:$M$1530</c:f>
              <c:numCache/>
            </c:numRef>
          </c:val>
        </c:ser>
        <c:ser>
          <c:idx val="1529"/>
          <c:order val="1529"/>
          <c:tx>
            <c:strRef>
              <c:f>'estatística'!$B$1531</c:f>
            </c:strRef>
          </c:tx>
          <c:cat>
            <c:strRef>
              <c:f>'estatística'!$C$1:$M$1</c:f>
            </c:strRef>
          </c:cat>
          <c:val>
            <c:numRef>
              <c:f>'estatística'!$C$1531:$M$1531</c:f>
              <c:numCache/>
            </c:numRef>
          </c:val>
        </c:ser>
        <c:ser>
          <c:idx val="1530"/>
          <c:order val="1530"/>
          <c:tx>
            <c:strRef>
              <c:f>'estatística'!$B$1532</c:f>
            </c:strRef>
          </c:tx>
          <c:cat>
            <c:strRef>
              <c:f>'estatística'!$C$1:$M$1</c:f>
            </c:strRef>
          </c:cat>
          <c:val>
            <c:numRef>
              <c:f>'estatística'!$C$1532:$M$1532</c:f>
              <c:numCache/>
            </c:numRef>
          </c:val>
        </c:ser>
        <c:ser>
          <c:idx val="1531"/>
          <c:order val="1531"/>
          <c:tx>
            <c:strRef>
              <c:f>'estatística'!$B$1533</c:f>
            </c:strRef>
          </c:tx>
          <c:cat>
            <c:strRef>
              <c:f>'estatística'!$C$1:$M$1</c:f>
            </c:strRef>
          </c:cat>
          <c:val>
            <c:numRef>
              <c:f>'estatística'!$C$1533:$M$1533</c:f>
              <c:numCache/>
            </c:numRef>
          </c:val>
        </c:ser>
        <c:ser>
          <c:idx val="1532"/>
          <c:order val="1532"/>
          <c:tx>
            <c:strRef>
              <c:f>'estatística'!$B$1534</c:f>
            </c:strRef>
          </c:tx>
          <c:cat>
            <c:strRef>
              <c:f>'estatística'!$C$1:$M$1</c:f>
            </c:strRef>
          </c:cat>
          <c:val>
            <c:numRef>
              <c:f>'estatística'!$C$1534:$M$1534</c:f>
              <c:numCache/>
            </c:numRef>
          </c:val>
        </c:ser>
        <c:ser>
          <c:idx val="1533"/>
          <c:order val="1533"/>
          <c:tx>
            <c:strRef>
              <c:f>'estatística'!$B$1535</c:f>
            </c:strRef>
          </c:tx>
          <c:cat>
            <c:strRef>
              <c:f>'estatística'!$C$1:$M$1</c:f>
            </c:strRef>
          </c:cat>
          <c:val>
            <c:numRef>
              <c:f>'estatística'!$C$1535:$M$1535</c:f>
              <c:numCache/>
            </c:numRef>
          </c:val>
        </c:ser>
        <c:ser>
          <c:idx val="1534"/>
          <c:order val="1534"/>
          <c:tx>
            <c:strRef>
              <c:f>'estatística'!$B$1536</c:f>
            </c:strRef>
          </c:tx>
          <c:cat>
            <c:strRef>
              <c:f>'estatística'!$C$1:$M$1</c:f>
            </c:strRef>
          </c:cat>
          <c:val>
            <c:numRef>
              <c:f>'estatística'!$C$1536:$M$1536</c:f>
              <c:numCache/>
            </c:numRef>
          </c:val>
        </c:ser>
        <c:ser>
          <c:idx val="1535"/>
          <c:order val="1535"/>
          <c:tx>
            <c:strRef>
              <c:f>'estatística'!$B$1537</c:f>
            </c:strRef>
          </c:tx>
          <c:cat>
            <c:strRef>
              <c:f>'estatística'!$C$1:$M$1</c:f>
            </c:strRef>
          </c:cat>
          <c:val>
            <c:numRef>
              <c:f>'estatística'!$C$1537:$M$1537</c:f>
              <c:numCache/>
            </c:numRef>
          </c:val>
        </c:ser>
        <c:ser>
          <c:idx val="1536"/>
          <c:order val="1536"/>
          <c:tx>
            <c:strRef>
              <c:f>'estatística'!$B$1538</c:f>
            </c:strRef>
          </c:tx>
          <c:cat>
            <c:strRef>
              <c:f>'estatística'!$C$1:$M$1</c:f>
            </c:strRef>
          </c:cat>
          <c:val>
            <c:numRef>
              <c:f>'estatística'!$C$1538:$M$1538</c:f>
              <c:numCache/>
            </c:numRef>
          </c:val>
        </c:ser>
        <c:ser>
          <c:idx val="1537"/>
          <c:order val="1537"/>
          <c:tx>
            <c:strRef>
              <c:f>'estatística'!$B$1539</c:f>
            </c:strRef>
          </c:tx>
          <c:cat>
            <c:strRef>
              <c:f>'estatística'!$C$1:$M$1</c:f>
            </c:strRef>
          </c:cat>
          <c:val>
            <c:numRef>
              <c:f>'estatística'!$C$1539:$M$1539</c:f>
              <c:numCache/>
            </c:numRef>
          </c:val>
        </c:ser>
        <c:ser>
          <c:idx val="1538"/>
          <c:order val="1538"/>
          <c:tx>
            <c:strRef>
              <c:f>'estatística'!$B$1540</c:f>
            </c:strRef>
          </c:tx>
          <c:cat>
            <c:strRef>
              <c:f>'estatística'!$C$1:$M$1</c:f>
            </c:strRef>
          </c:cat>
          <c:val>
            <c:numRef>
              <c:f>'estatística'!$C$1540:$M$1540</c:f>
              <c:numCache/>
            </c:numRef>
          </c:val>
        </c:ser>
        <c:ser>
          <c:idx val="1539"/>
          <c:order val="1539"/>
          <c:tx>
            <c:strRef>
              <c:f>'estatística'!$B$1541</c:f>
            </c:strRef>
          </c:tx>
          <c:cat>
            <c:strRef>
              <c:f>'estatística'!$C$1:$M$1</c:f>
            </c:strRef>
          </c:cat>
          <c:val>
            <c:numRef>
              <c:f>'estatística'!$C$1541:$M$1541</c:f>
              <c:numCache/>
            </c:numRef>
          </c:val>
        </c:ser>
        <c:ser>
          <c:idx val="1540"/>
          <c:order val="1540"/>
          <c:tx>
            <c:strRef>
              <c:f>'estatística'!$B$1542</c:f>
            </c:strRef>
          </c:tx>
          <c:cat>
            <c:strRef>
              <c:f>'estatística'!$C$1:$M$1</c:f>
            </c:strRef>
          </c:cat>
          <c:val>
            <c:numRef>
              <c:f>'estatística'!$C$1542:$M$1542</c:f>
              <c:numCache/>
            </c:numRef>
          </c:val>
        </c:ser>
        <c:ser>
          <c:idx val="1541"/>
          <c:order val="1541"/>
          <c:tx>
            <c:strRef>
              <c:f>'estatística'!$B$1543</c:f>
            </c:strRef>
          </c:tx>
          <c:cat>
            <c:strRef>
              <c:f>'estatística'!$C$1:$M$1</c:f>
            </c:strRef>
          </c:cat>
          <c:val>
            <c:numRef>
              <c:f>'estatística'!$C$1543:$M$1543</c:f>
              <c:numCache/>
            </c:numRef>
          </c:val>
        </c:ser>
        <c:ser>
          <c:idx val="1542"/>
          <c:order val="1542"/>
          <c:tx>
            <c:strRef>
              <c:f>'estatística'!$B$1544</c:f>
            </c:strRef>
          </c:tx>
          <c:cat>
            <c:strRef>
              <c:f>'estatística'!$C$1:$M$1</c:f>
            </c:strRef>
          </c:cat>
          <c:val>
            <c:numRef>
              <c:f>'estatística'!$C$1544:$M$1544</c:f>
              <c:numCache/>
            </c:numRef>
          </c:val>
        </c:ser>
        <c:ser>
          <c:idx val="1543"/>
          <c:order val="1543"/>
          <c:tx>
            <c:strRef>
              <c:f>'estatística'!$B$1545</c:f>
            </c:strRef>
          </c:tx>
          <c:cat>
            <c:strRef>
              <c:f>'estatística'!$C$1:$M$1</c:f>
            </c:strRef>
          </c:cat>
          <c:val>
            <c:numRef>
              <c:f>'estatística'!$C$1545:$M$1545</c:f>
              <c:numCache/>
            </c:numRef>
          </c:val>
        </c:ser>
        <c:ser>
          <c:idx val="1544"/>
          <c:order val="1544"/>
          <c:tx>
            <c:strRef>
              <c:f>'estatística'!$B$1546</c:f>
            </c:strRef>
          </c:tx>
          <c:cat>
            <c:strRef>
              <c:f>'estatística'!$C$1:$M$1</c:f>
            </c:strRef>
          </c:cat>
          <c:val>
            <c:numRef>
              <c:f>'estatística'!$C$1546:$M$1546</c:f>
              <c:numCache/>
            </c:numRef>
          </c:val>
        </c:ser>
        <c:ser>
          <c:idx val="1545"/>
          <c:order val="1545"/>
          <c:tx>
            <c:strRef>
              <c:f>'estatística'!$B$1547</c:f>
            </c:strRef>
          </c:tx>
          <c:cat>
            <c:strRef>
              <c:f>'estatística'!$C$1:$M$1</c:f>
            </c:strRef>
          </c:cat>
          <c:val>
            <c:numRef>
              <c:f>'estatística'!$C$1547:$M$1547</c:f>
              <c:numCache/>
            </c:numRef>
          </c:val>
        </c:ser>
        <c:ser>
          <c:idx val="1546"/>
          <c:order val="1546"/>
          <c:tx>
            <c:strRef>
              <c:f>'estatística'!$B$1548</c:f>
            </c:strRef>
          </c:tx>
          <c:cat>
            <c:strRef>
              <c:f>'estatística'!$C$1:$M$1</c:f>
            </c:strRef>
          </c:cat>
          <c:val>
            <c:numRef>
              <c:f>'estatística'!$C$1548:$M$1548</c:f>
              <c:numCache/>
            </c:numRef>
          </c:val>
        </c:ser>
        <c:ser>
          <c:idx val="1547"/>
          <c:order val="1547"/>
          <c:tx>
            <c:strRef>
              <c:f>'estatística'!$B$1549</c:f>
            </c:strRef>
          </c:tx>
          <c:cat>
            <c:strRef>
              <c:f>'estatística'!$C$1:$M$1</c:f>
            </c:strRef>
          </c:cat>
          <c:val>
            <c:numRef>
              <c:f>'estatística'!$C$1549:$M$1549</c:f>
              <c:numCache/>
            </c:numRef>
          </c:val>
        </c:ser>
        <c:ser>
          <c:idx val="1548"/>
          <c:order val="1548"/>
          <c:tx>
            <c:strRef>
              <c:f>'estatística'!$B$1550</c:f>
            </c:strRef>
          </c:tx>
          <c:cat>
            <c:strRef>
              <c:f>'estatística'!$C$1:$M$1</c:f>
            </c:strRef>
          </c:cat>
          <c:val>
            <c:numRef>
              <c:f>'estatística'!$C$1550:$M$1550</c:f>
              <c:numCache/>
            </c:numRef>
          </c:val>
        </c:ser>
        <c:ser>
          <c:idx val="1549"/>
          <c:order val="1549"/>
          <c:tx>
            <c:strRef>
              <c:f>'estatística'!$B$1551</c:f>
            </c:strRef>
          </c:tx>
          <c:cat>
            <c:strRef>
              <c:f>'estatística'!$C$1:$M$1</c:f>
            </c:strRef>
          </c:cat>
          <c:val>
            <c:numRef>
              <c:f>'estatística'!$C$1551:$M$1551</c:f>
              <c:numCache/>
            </c:numRef>
          </c:val>
        </c:ser>
        <c:ser>
          <c:idx val="1550"/>
          <c:order val="1550"/>
          <c:tx>
            <c:strRef>
              <c:f>'estatística'!$B$1552</c:f>
            </c:strRef>
          </c:tx>
          <c:cat>
            <c:strRef>
              <c:f>'estatística'!$C$1:$M$1</c:f>
            </c:strRef>
          </c:cat>
          <c:val>
            <c:numRef>
              <c:f>'estatística'!$C$1552:$M$1552</c:f>
              <c:numCache/>
            </c:numRef>
          </c:val>
        </c:ser>
        <c:ser>
          <c:idx val="1551"/>
          <c:order val="1551"/>
          <c:tx>
            <c:strRef>
              <c:f>'estatística'!$B$1553</c:f>
            </c:strRef>
          </c:tx>
          <c:cat>
            <c:strRef>
              <c:f>'estatística'!$C$1:$M$1</c:f>
            </c:strRef>
          </c:cat>
          <c:val>
            <c:numRef>
              <c:f>'estatística'!$C$1553:$M$1553</c:f>
              <c:numCache/>
            </c:numRef>
          </c:val>
        </c:ser>
        <c:ser>
          <c:idx val="1552"/>
          <c:order val="1552"/>
          <c:tx>
            <c:strRef>
              <c:f>'estatística'!$B$1554</c:f>
            </c:strRef>
          </c:tx>
          <c:cat>
            <c:strRef>
              <c:f>'estatística'!$C$1:$M$1</c:f>
            </c:strRef>
          </c:cat>
          <c:val>
            <c:numRef>
              <c:f>'estatística'!$C$1554:$M$1554</c:f>
              <c:numCache/>
            </c:numRef>
          </c:val>
        </c:ser>
        <c:ser>
          <c:idx val="1553"/>
          <c:order val="1553"/>
          <c:tx>
            <c:strRef>
              <c:f>'estatística'!$B$1555</c:f>
            </c:strRef>
          </c:tx>
          <c:cat>
            <c:strRef>
              <c:f>'estatística'!$C$1:$M$1</c:f>
            </c:strRef>
          </c:cat>
          <c:val>
            <c:numRef>
              <c:f>'estatística'!$C$1555:$M$1555</c:f>
              <c:numCache/>
            </c:numRef>
          </c:val>
        </c:ser>
        <c:ser>
          <c:idx val="1554"/>
          <c:order val="1554"/>
          <c:tx>
            <c:strRef>
              <c:f>'estatística'!$B$1556</c:f>
            </c:strRef>
          </c:tx>
          <c:cat>
            <c:strRef>
              <c:f>'estatística'!$C$1:$M$1</c:f>
            </c:strRef>
          </c:cat>
          <c:val>
            <c:numRef>
              <c:f>'estatística'!$C$1556:$M$1556</c:f>
              <c:numCache/>
            </c:numRef>
          </c:val>
        </c:ser>
        <c:ser>
          <c:idx val="1555"/>
          <c:order val="1555"/>
          <c:tx>
            <c:strRef>
              <c:f>'estatística'!$B$1557</c:f>
            </c:strRef>
          </c:tx>
          <c:cat>
            <c:strRef>
              <c:f>'estatística'!$C$1:$M$1</c:f>
            </c:strRef>
          </c:cat>
          <c:val>
            <c:numRef>
              <c:f>'estatística'!$C$1557:$M$1557</c:f>
              <c:numCache/>
            </c:numRef>
          </c:val>
        </c:ser>
        <c:ser>
          <c:idx val="1556"/>
          <c:order val="1556"/>
          <c:tx>
            <c:strRef>
              <c:f>'estatística'!$B$1558</c:f>
            </c:strRef>
          </c:tx>
          <c:cat>
            <c:strRef>
              <c:f>'estatística'!$C$1:$M$1</c:f>
            </c:strRef>
          </c:cat>
          <c:val>
            <c:numRef>
              <c:f>'estatística'!$C$1558:$M$1558</c:f>
              <c:numCache/>
            </c:numRef>
          </c:val>
        </c:ser>
        <c:ser>
          <c:idx val="1557"/>
          <c:order val="1557"/>
          <c:tx>
            <c:strRef>
              <c:f>'estatística'!$B$1559</c:f>
            </c:strRef>
          </c:tx>
          <c:cat>
            <c:strRef>
              <c:f>'estatística'!$C$1:$M$1</c:f>
            </c:strRef>
          </c:cat>
          <c:val>
            <c:numRef>
              <c:f>'estatística'!$C$1559:$M$1559</c:f>
              <c:numCache/>
            </c:numRef>
          </c:val>
        </c:ser>
        <c:ser>
          <c:idx val="1558"/>
          <c:order val="1558"/>
          <c:tx>
            <c:strRef>
              <c:f>'estatística'!$B$1560</c:f>
            </c:strRef>
          </c:tx>
          <c:cat>
            <c:strRef>
              <c:f>'estatística'!$C$1:$M$1</c:f>
            </c:strRef>
          </c:cat>
          <c:val>
            <c:numRef>
              <c:f>'estatística'!$C$1560:$M$1560</c:f>
              <c:numCache/>
            </c:numRef>
          </c:val>
        </c:ser>
        <c:ser>
          <c:idx val="1559"/>
          <c:order val="1559"/>
          <c:tx>
            <c:strRef>
              <c:f>'estatística'!$B$1561</c:f>
            </c:strRef>
          </c:tx>
          <c:cat>
            <c:strRef>
              <c:f>'estatística'!$C$1:$M$1</c:f>
            </c:strRef>
          </c:cat>
          <c:val>
            <c:numRef>
              <c:f>'estatística'!$C$1561:$M$1561</c:f>
              <c:numCache/>
            </c:numRef>
          </c:val>
        </c:ser>
        <c:ser>
          <c:idx val="1560"/>
          <c:order val="1560"/>
          <c:tx>
            <c:strRef>
              <c:f>'estatística'!$B$1562</c:f>
            </c:strRef>
          </c:tx>
          <c:cat>
            <c:strRef>
              <c:f>'estatística'!$C$1:$M$1</c:f>
            </c:strRef>
          </c:cat>
          <c:val>
            <c:numRef>
              <c:f>'estatística'!$C$1562:$M$1562</c:f>
              <c:numCache/>
            </c:numRef>
          </c:val>
        </c:ser>
        <c:ser>
          <c:idx val="1561"/>
          <c:order val="1561"/>
          <c:tx>
            <c:strRef>
              <c:f>'estatística'!$B$1563</c:f>
            </c:strRef>
          </c:tx>
          <c:cat>
            <c:strRef>
              <c:f>'estatística'!$C$1:$M$1</c:f>
            </c:strRef>
          </c:cat>
          <c:val>
            <c:numRef>
              <c:f>'estatística'!$C$1563:$M$1563</c:f>
              <c:numCache/>
            </c:numRef>
          </c:val>
        </c:ser>
        <c:ser>
          <c:idx val="1562"/>
          <c:order val="1562"/>
          <c:tx>
            <c:strRef>
              <c:f>'estatística'!$B$1564</c:f>
            </c:strRef>
          </c:tx>
          <c:cat>
            <c:strRef>
              <c:f>'estatística'!$C$1:$M$1</c:f>
            </c:strRef>
          </c:cat>
          <c:val>
            <c:numRef>
              <c:f>'estatística'!$C$1564:$M$1564</c:f>
              <c:numCache/>
            </c:numRef>
          </c:val>
        </c:ser>
        <c:ser>
          <c:idx val="1563"/>
          <c:order val="1563"/>
          <c:tx>
            <c:strRef>
              <c:f>'estatística'!$B$1565</c:f>
            </c:strRef>
          </c:tx>
          <c:cat>
            <c:strRef>
              <c:f>'estatística'!$C$1:$M$1</c:f>
            </c:strRef>
          </c:cat>
          <c:val>
            <c:numRef>
              <c:f>'estatística'!$C$1565:$M$1565</c:f>
              <c:numCache/>
            </c:numRef>
          </c:val>
        </c:ser>
        <c:ser>
          <c:idx val="1564"/>
          <c:order val="1564"/>
          <c:tx>
            <c:strRef>
              <c:f>'estatística'!$B$1566</c:f>
            </c:strRef>
          </c:tx>
          <c:cat>
            <c:strRef>
              <c:f>'estatística'!$C$1:$M$1</c:f>
            </c:strRef>
          </c:cat>
          <c:val>
            <c:numRef>
              <c:f>'estatística'!$C$1566:$M$1566</c:f>
              <c:numCache/>
            </c:numRef>
          </c:val>
        </c:ser>
        <c:ser>
          <c:idx val="1565"/>
          <c:order val="1565"/>
          <c:tx>
            <c:strRef>
              <c:f>'estatística'!$B$1567</c:f>
            </c:strRef>
          </c:tx>
          <c:cat>
            <c:strRef>
              <c:f>'estatística'!$C$1:$M$1</c:f>
            </c:strRef>
          </c:cat>
          <c:val>
            <c:numRef>
              <c:f>'estatística'!$C$1567:$M$1567</c:f>
              <c:numCache/>
            </c:numRef>
          </c:val>
        </c:ser>
        <c:ser>
          <c:idx val="1566"/>
          <c:order val="1566"/>
          <c:tx>
            <c:strRef>
              <c:f>'estatística'!$B$1568</c:f>
            </c:strRef>
          </c:tx>
          <c:cat>
            <c:strRef>
              <c:f>'estatística'!$C$1:$M$1</c:f>
            </c:strRef>
          </c:cat>
          <c:val>
            <c:numRef>
              <c:f>'estatística'!$C$1568:$M$1568</c:f>
              <c:numCache/>
            </c:numRef>
          </c:val>
        </c:ser>
        <c:ser>
          <c:idx val="1567"/>
          <c:order val="1567"/>
          <c:tx>
            <c:strRef>
              <c:f>'estatística'!$B$1569</c:f>
            </c:strRef>
          </c:tx>
          <c:cat>
            <c:strRef>
              <c:f>'estatística'!$C$1:$M$1</c:f>
            </c:strRef>
          </c:cat>
          <c:val>
            <c:numRef>
              <c:f>'estatística'!$C$1569:$M$1569</c:f>
              <c:numCache/>
            </c:numRef>
          </c:val>
        </c:ser>
        <c:ser>
          <c:idx val="1568"/>
          <c:order val="1568"/>
          <c:tx>
            <c:strRef>
              <c:f>'estatística'!$B$1570</c:f>
            </c:strRef>
          </c:tx>
          <c:cat>
            <c:strRef>
              <c:f>'estatística'!$C$1:$M$1</c:f>
            </c:strRef>
          </c:cat>
          <c:val>
            <c:numRef>
              <c:f>'estatística'!$C$1570:$M$1570</c:f>
              <c:numCache/>
            </c:numRef>
          </c:val>
        </c:ser>
        <c:ser>
          <c:idx val="1569"/>
          <c:order val="1569"/>
          <c:tx>
            <c:strRef>
              <c:f>'estatística'!$B$1571</c:f>
            </c:strRef>
          </c:tx>
          <c:cat>
            <c:strRef>
              <c:f>'estatística'!$C$1:$M$1</c:f>
            </c:strRef>
          </c:cat>
          <c:val>
            <c:numRef>
              <c:f>'estatística'!$C$1571:$M$1571</c:f>
              <c:numCache/>
            </c:numRef>
          </c:val>
        </c:ser>
        <c:ser>
          <c:idx val="1570"/>
          <c:order val="1570"/>
          <c:tx>
            <c:strRef>
              <c:f>'estatística'!$B$1572</c:f>
            </c:strRef>
          </c:tx>
          <c:cat>
            <c:strRef>
              <c:f>'estatística'!$C$1:$M$1</c:f>
            </c:strRef>
          </c:cat>
          <c:val>
            <c:numRef>
              <c:f>'estatística'!$C$1572:$M$1572</c:f>
              <c:numCache/>
            </c:numRef>
          </c:val>
        </c:ser>
        <c:ser>
          <c:idx val="1571"/>
          <c:order val="1571"/>
          <c:tx>
            <c:strRef>
              <c:f>'estatística'!$B$1573</c:f>
            </c:strRef>
          </c:tx>
          <c:cat>
            <c:strRef>
              <c:f>'estatística'!$C$1:$M$1</c:f>
            </c:strRef>
          </c:cat>
          <c:val>
            <c:numRef>
              <c:f>'estatística'!$C$1573:$M$1573</c:f>
              <c:numCache/>
            </c:numRef>
          </c:val>
        </c:ser>
        <c:ser>
          <c:idx val="1572"/>
          <c:order val="1572"/>
          <c:tx>
            <c:strRef>
              <c:f>'estatística'!$B$1574</c:f>
            </c:strRef>
          </c:tx>
          <c:cat>
            <c:strRef>
              <c:f>'estatística'!$C$1:$M$1</c:f>
            </c:strRef>
          </c:cat>
          <c:val>
            <c:numRef>
              <c:f>'estatística'!$C$1574:$M$1574</c:f>
              <c:numCache/>
            </c:numRef>
          </c:val>
        </c:ser>
        <c:ser>
          <c:idx val="1573"/>
          <c:order val="1573"/>
          <c:tx>
            <c:strRef>
              <c:f>'estatística'!$B$1575</c:f>
            </c:strRef>
          </c:tx>
          <c:cat>
            <c:strRef>
              <c:f>'estatística'!$C$1:$M$1</c:f>
            </c:strRef>
          </c:cat>
          <c:val>
            <c:numRef>
              <c:f>'estatística'!$C$1575:$M$1575</c:f>
              <c:numCache/>
            </c:numRef>
          </c:val>
        </c:ser>
        <c:ser>
          <c:idx val="1574"/>
          <c:order val="1574"/>
          <c:tx>
            <c:strRef>
              <c:f>'estatística'!$B$1576</c:f>
            </c:strRef>
          </c:tx>
          <c:cat>
            <c:strRef>
              <c:f>'estatística'!$C$1:$M$1</c:f>
            </c:strRef>
          </c:cat>
          <c:val>
            <c:numRef>
              <c:f>'estatística'!$C$1576:$M$1576</c:f>
              <c:numCache/>
            </c:numRef>
          </c:val>
        </c:ser>
        <c:ser>
          <c:idx val="1575"/>
          <c:order val="1575"/>
          <c:tx>
            <c:strRef>
              <c:f>'estatística'!$B$1577</c:f>
            </c:strRef>
          </c:tx>
          <c:cat>
            <c:strRef>
              <c:f>'estatística'!$C$1:$M$1</c:f>
            </c:strRef>
          </c:cat>
          <c:val>
            <c:numRef>
              <c:f>'estatística'!$C$1577:$M$1577</c:f>
              <c:numCache/>
            </c:numRef>
          </c:val>
        </c:ser>
        <c:ser>
          <c:idx val="1576"/>
          <c:order val="1576"/>
          <c:tx>
            <c:strRef>
              <c:f>'estatística'!$B$1578</c:f>
            </c:strRef>
          </c:tx>
          <c:cat>
            <c:strRef>
              <c:f>'estatística'!$C$1:$M$1</c:f>
            </c:strRef>
          </c:cat>
          <c:val>
            <c:numRef>
              <c:f>'estatística'!$C$1578:$M$1578</c:f>
              <c:numCache/>
            </c:numRef>
          </c:val>
        </c:ser>
        <c:ser>
          <c:idx val="1577"/>
          <c:order val="1577"/>
          <c:tx>
            <c:strRef>
              <c:f>'estatística'!$B$1579</c:f>
            </c:strRef>
          </c:tx>
          <c:cat>
            <c:strRef>
              <c:f>'estatística'!$C$1:$M$1</c:f>
            </c:strRef>
          </c:cat>
          <c:val>
            <c:numRef>
              <c:f>'estatística'!$C$1579:$M$1579</c:f>
              <c:numCache/>
            </c:numRef>
          </c:val>
        </c:ser>
        <c:ser>
          <c:idx val="1578"/>
          <c:order val="1578"/>
          <c:tx>
            <c:strRef>
              <c:f>'estatística'!$B$1580</c:f>
            </c:strRef>
          </c:tx>
          <c:cat>
            <c:strRef>
              <c:f>'estatística'!$C$1:$M$1</c:f>
            </c:strRef>
          </c:cat>
          <c:val>
            <c:numRef>
              <c:f>'estatística'!$C$1580:$M$1580</c:f>
              <c:numCache/>
            </c:numRef>
          </c:val>
        </c:ser>
        <c:ser>
          <c:idx val="1579"/>
          <c:order val="1579"/>
          <c:tx>
            <c:strRef>
              <c:f>'estatística'!$B$1581</c:f>
            </c:strRef>
          </c:tx>
          <c:cat>
            <c:strRef>
              <c:f>'estatística'!$C$1:$M$1</c:f>
            </c:strRef>
          </c:cat>
          <c:val>
            <c:numRef>
              <c:f>'estatística'!$C$1581:$M$1581</c:f>
              <c:numCache/>
            </c:numRef>
          </c:val>
        </c:ser>
        <c:ser>
          <c:idx val="1580"/>
          <c:order val="1580"/>
          <c:tx>
            <c:strRef>
              <c:f>'estatística'!$B$1582</c:f>
            </c:strRef>
          </c:tx>
          <c:cat>
            <c:strRef>
              <c:f>'estatística'!$C$1:$M$1</c:f>
            </c:strRef>
          </c:cat>
          <c:val>
            <c:numRef>
              <c:f>'estatística'!$C$1582:$M$1582</c:f>
              <c:numCache/>
            </c:numRef>
          </c:val>
        </c:ser>
        <c:ser>
          <c:idx val="1581"/>
          <c:order val="1581"/>
          <c:tx>
            <c:strRef>
              <c:f>'estatística'!$B$1583</c:f>
            </c:strRef>
          </c:tx>
          <c:cat>
            <c:strRef>
              <c:f>'estatística'!$C$1:$M$1</c:f>
            </c:strRef>
          </c:cat>
          <c:val>
            <c:numRef>
              <c:f>'estatística'!$C$1583:$M$1583</c:f>
              <c:numCache/>
            </c:numRef>
          </c:val>
        </c:ser>
        <c:ser>
          <c:idx val="1582"/>
          <c:order val="1582"/>
          <c:tx>
            <c:strRef>
              <c:f>'estatística'!$B$1584</c:f>
            </c:strRef>
          </c:tx>
          <c:cat>
            <c:strRef>
              <c:f>'estatística'!$C$1:$M$1</c:f>
            </c:strRef>
          </c:cat>
          <c:val>
            <c:numRef>
              <c:f>'estatística'!$C$1584:$M$1584</c:f>
              <c:numCache/>
            </c:numRef>
          </c:val>
        </c:ser>
        <c:ser>
          <c:idx val="1583"/>
          <c:order val="1583"/>
          <c:tx>
            <c:strRef>
              <c:f>'estatística'!$B$1585</c:f>
            </c:strRef>
          </c:tx>
          <c:cat>
            <c:strRef>
              <c:f>'estatística'!$C$1:$M$1</c:f>
            </c:strRef>
          </c:cat>
          <c:val>
            <c:numRef>
              <c:f>'estatística'!$C$1585:$M$1585</c:f>
              <c:numCache/>
            </c:numRef>
          </c:val>
        </c:ser>
        <c:ser>
          <c:idx val="1584"/>
          <c:order val="1584"/>
          <c:tx>
            <c:strRef>
              <c:f>'estatística'!$B$1586</c:f>
            </c:strRef>
          </c:tx>
          <c:cat>
            <c:strRef>
              <c:f>'estatística'!$C$1:$M$1</c:f>
            </c:strRef>
          </c:cat>
          <c:val>
            <c:numRef>
              <c:f>'estatística'!$C$1586:$M$1586</c:f>
              <c:numCache/>
            </c:numRef>
          </c:val>
        </c:ser>
        <c:ser>
          <c:idx val="1585"/>
          <c:order val="1585"/>
          <c:tx>
            <c:strRef>
              <c:f>'estatística'!$B$1587</c:f>
            </c:strRef>
          </c:tx>
          <c:cat>
            <c:strRef>
              <c:f>'estatística'!$C$1:$M$1</c:f>
            </c:strRef>
          </c:cat>
          <c:val>
            <c:numRef>
              <c:f>'estatística'!$C$1587:$M$1587</c:f>
              <c:numCache/>
            </c:numRef>
          </c:val>
        </c:ser>
        <c:ser>
          <c:idx val="1586"/>
          <c:order val="1586"/>
          <c:tx>
            <c:strRef>
              <c:f>'estatística'!$B$1588</c:f>
            </c:strRef>
          </c:tx>
          <c:cat>
            <c:strRef>
              <c:f>'estatística'!$C$1:$M$1</c:f>
            </c:strRef>
          </c:cat>
          <c:val>
            <c:numRef>
              <c:f>'estatística'!$C$1588:$M$1588</c:f>
              <c:numCache/>
            </c:numRef>
          </c:val>
        </c:ser>
        <c:ser>
          <c:idx val="1587"/>
          <c:order val="1587"/>
          <c:tx>
            <c:strRef>
              <c:f>'estatística'!$B$1589</c:f>
            </c:strRef>
          </c:tx>
          <c:cat>
            <c:strRef>
              <c:f>'estatística'!$C$1:$M$1</c:f>
            </c:strRef>
          </c:cat>
          <c:val>
            <c:numRef>
              <c:f>'estatística'!$C$1589:$M$1589</c:f>
              <c:numCache/>
            </c:numRef>
          </c:val>
        </c:ser>
        <c:ser>
          <c:idx val="1588"/>
          <c:order val="1588"/>
          <c:tx>
            <c:strRef>
              <c:f>'estatística'!$B$1590</c:f>
            </c:strRef>
          </c:tx>
          <c:cat>
            <c:strRef>
              <c:f>'estatística'!$C$1:$M$1</c:f>
            </c:strRef>
          </c:cat>
          <c:val>
            <c:numRef>
              <c:f>'estatística'!$C$1590:$M$1590</c:f>
              <c:numCache/>
            </c:numRef>
          </c:val>
        </c:ser>
        <c:ser>
          <c:idx val="1589"/>
          <c:order val="1589"/>
          <c:tx>
            <c:strRef>
              <c:f>'estatística'!$B$1591</c:f>
            </c:strRef>
          </c:tx>
          <c:cat>
            <c:strRef>
              <c:f>'estatística'!$C$1:$M$1</c:f>
            </c:strRef>
          </c:cat>
          <c:val>
            <c:numRef>
              <c:f>'estatística'!$C$1591:$M$1591</c:f>
              <c:numCache/>
            </c:numRef>
          </c:val>
        </c:ser>
        <c:ser>
          <c:idx val="1590"/>
          <c:order val="1590"/>
          <c:tx>
            <c:strRef>
              <c:f>'estatística'!$B$1592</c:f>
            </c:strRef>
          </c:tx>
          <c:cat>
            <c:strRef>
              <c:f>'estatística'!$C$1:$M$1</c:f>
            </c:strRef>
          </c:cat>
          <c:val>
            <c:numRef>
              <c:f>'estatística'!$C$1592:$M$1592</c:f>
              <c:numCache/>
            </c:numRef>
          </c:val>
        </c:ser>
        <c:ser>
          <c:idx val="1591"/>
          <c:order val="1591"/>
          <c:tx>
            <c:strRef>
              <c:f>'estatística'!$B$1593</c:f>
            </c:strRef>
          </c:tx>
          <c:cat>
            <c:strRef>
              <c:f>'estatística'!$C$1:$M$1</c:f>
            </c:strRef>
          </c:cat>
          <c:val>
            <c:numRef>
              <c:f>'estatística'!$C$1593:$M$1593</c:f>
              <c:numCache/>
            </c:numRef>
          </c:val>
        </c:ser>
        <c:ser>
          <c:idx val="1592"/>
          <c:order val="1592"/>
          <c:tx>
            <c:strRef>
              <c:f>'estatística'!$B$1594</c:f>
            </c:strRef>
          </c:tx>
          <c:cat>
            <c:strRef>
              <c:f>'estatística'!$C$1:$M$1</c:f>
            </c:strRef>
          </c:cat>
          <c:val>
            <c:numRef>
              <c:f>'estatística'!$C$1594:$M$1594</c:f>
              <c:numCache/>
            </c:numRef>
          </c:val>
        </c:ser>
        <c:ser>
          <c:idx val="1593"/>
          <c:order val="1593"/>
          <c:tx>
            <c:strRef>
              <c:f>'estatística'!$B$1595</c:f>
            </c:strRef>
          </c:tx>
          <c:cat>
            <c:strRef>
              <c:f>'estatística'!$C$1:$M$1</c:f>
            </c:strRef>
          </c:cat>
          <c:val>
            <c:numRef>
              <c:f>'estatística'!$C$1595:$M$1595</c:f>
              <c:numCache/>
            </c:numRef>
          </c:val>
        </c:ser>
        <c:ser>
          <c:idx val="1594"/>
          <c:order val="1594"/>
          <c:tx>
            <c:strRef>
              <c:f>'estatística'!$B$1596</c:f>
            </c:strRef>
          </c:tx>
          <c:cat>
            <c:strRef>
              <c:f>'estatística'!$C$1:$M$1</c:f>
            </c:strRef>
          </c:cat>
          <c:val>
            <c:numRef>
              <c:f>'estatística'!$C$1596:$M$1596</c:f>
              <c:numCache/>
            </c:numRef>
          </c:val>
        </c:ser>
        <c:ser>
          <c:idx val="1595"/>
          <c:order val="1595"/>
          <c:tx>
            <c:strRef>
              <c:f>'estatística'!$B$1597</c:f>
            </c:strRef>
          </c:tx>
          <c:cat>
            <c:strRef>
              <c:f>'estatística'!$C$1:$M$1</c:f>
            </c:strRef>
          </c:cat>
          <c:val>
            <c:numRef>
              <c:f>'estatística'!$C$1597:$M$1597</c:f>
              <c:numCache/>
            </c:numRef>
          </c:val>
        </c:ser>
        <c:ser>
          <c:idx val="1596"/>
          <c:order val="1596"/>
          <c:tx>
            <c:strRef>
              <c:f>'estatística'!$B$1598</c:f>
            </c:strRef>
          </c:tx>
          <c:cat>
            <c:strRef>
              <c:f>'estatística'!$C$1:$M$1</c:f>
            </c:strRef>
          </c:cat>
          <c:val>
            <c:numRef>
              <c:f>'estatística'!$C$1598:$M$1598</c:f>
              <c:numCache/>
            </c:numRef>
          </c:val>
        </c:ser>
        <c:ser>
          <c:idx val="1597"/>
          <c:order val="1597"/>
          <c:tx>
            <c:strRef>
              <c:f>'estatística'!$B$1599</c:f>
            </c:strRef>
          </c:tx>
          <c:cat>
            <c:strRef>
              <c:f>'estatística'!$C$1:$M$1</c:f>
            </c:strRef>
          </c:cat>
          <c:val>
            <c:numRef>
              <c:f>'estatística'!$C$1599:$M$1599</c:f>
              <c:numCache/>
            </c:numRef>
          </c:val>
        </c:ser>
        <c:ser>
          <c:idx val="1598"/>
          <c:order val="1598"/>
          <c:tx>
            <c:strRef>
              <c:f>'estatística'!$B$1600</c:f>
            </c:strRef>
          </c:tx>
          <c:cat>
            <c:strRef>
              <c:f>'estatística'!$C$1:$M$1</c:f>
            </c:strRef>
          </c:cat>
          <c:val>
            <c:numRef>
              <c:f>'estatística'!$C$1600:$M$1600</c:f>
              <c:numCache/>
            </c:numRef>
          </c:val>
        </c:ser>
        <c:ser>
          <c:idx val="1599"/>
          <c:order val="1599"/>
          <c:tx>
            <c:strRef>
              <c:f>'estatística'!$B$1601</c:f>
            </c:strRef>
          </c:tx>
          <c:cat>
            <c:strRef>
              <c:f>'estatística'!$C$1:$M$1</c:f>
            </c:strRef>
          </c:cat>
          <c:val>
            <c:numRef>
              <c:f>'estatística'!$C$1601:$M$1601</c:f>
              <c:numCache/>
            </c:numRef>
          </c:val>
        </c:ser>
        <c:ser>
          <c:idx val="1600"/>
          <c:order val="1600"/>
          <c:tx>
            <c:strRef>
              <c:f>'estatística'!$B$1602</c:f>
            </c:strRef>
          </c:tx>
          <c:cat>
            <c:strRef>
              <c:f>'estatística'!$C$1:$M$1</c:f>
            </c:strRef>
          </c:cat>
          <c:val>
            <c:numRef>
              <c:f>'estatística'!$C$1602:$M$1602</c:f>
              <c:numCache/>
            </c:numRef>
          </c:val>
        </c:ser>
        <c:ser>
          <c:idx val="1601"/>
          <c:order val="1601"/>
          <c:tx>
            <c:strRef>
              <c:f>'estatística'!$B$1603</c:f>
            </c:strRef>
          </c:tx>
          <c:cat>
            <c:strRef>
              <c:f>'estatística'!$C$1:$M$1</c:f>
            </c:strRef>
          </c:cat>
          <c:val>
            <c:numRef>
              <c:f>'estatística'!$C$1603:$M$1603</c:f>
              <c:numCache/>
            </c:numRef>
          </c:val>
        </c:ser>
        <c:ser>
          <c:idx val="1602"/>
          <c:order val="1602"/>
          <c:tx>
            <c:strRef>
              <c:f>'estatística'!$B$1604</c:f>
            </c:strRef>
          </c:tx>
          <c:cat>
            <c:strRef>
              <c:f>'estatística'!$C$1:$M$1</c:f>
            </c:strRef>
          </c:cat>
          <c:val>
            <c:numRef>
              <c:f>'estatística'!$C$1604:$M$1604</c:f>
              <c:numCache/>
            </c:numRef>
          </c:val>
        </c:ser>
        <c:ser>
          <c:idx val="1603"/>
          <c:order val="1603"/>
          <c:tx>
            <c:strRef>
              <c:f>'estatística'!$B$1605</c:f>
            </c:strRef>
          </c:tx>
          <c:cat>
            <c:strRef>
              <c:f>'estatística'!$C$1:$M$1</c:f>
            </c:strRef>
          </c:cat>
          <c:val>
            <c:numRef>
              <c:f>'estatística'!$C$1605:$M$1605</c:f>
              <c:numCache/>
            </c:numRef>
          </c:val>
        </c:ser>
        <c:ser>
          <c:idx val="1604"/>
          <c:order val="1604"/>
          <c:tx>
            <c:strRef>
              <c:f>'estatística'!$B$1606</c:f>
            </c:strRef>
          </c:tx>
          <c:cat>
            <c:strRef>
              <c:f>'estatística'!$C$1:$M$1</c:f>
            </c:strRef>
          </c:cat>
          <c:val>
            <c:numRef>
              <c:f>'estatística'!$C$1606:$M$1606</c:f>
              <c:numCache/>
            </c:numRef>
          </c:val>
        </c:ser>
        <c:ser>
          <c:idx val="1605"/>
          <c:order val="1605"/>
          <c:tx>
            <c:strRef>
              <c:f>'estatística'!$B$1607</c:f>
            </c:strRef>
          </c:tx>
          <c:cat>
            <c:strRef>
              <c:f>'estatística'!$C$1:$M$1</c:f>
            </c:strRef>
          </c:cat>
          <c:val>
            <c:numRef>
              <c:f>'estatística'!$C$1607:$M$1607</c:f>
              <c:numCache/>
            </c:numRef>
          </c:val>
        </c:ser>
        <c:ser>
          <c:idx val="1606"/>
          <c:order val="1606"/>
          <c:tx>
            <c:strRef>
              <c:f>'estatística'!$B$1608</c:f>
            </c:strRef>
          </c:tx>
          <c:cat>
            <c:strRef>
              <c:f>'estatística'!$C$1:$M$1</c:f>
            </c:strRef>
          </c:cat>
          <c:val>
            <c:numRef>
              <c:f>'estatística'!$C$1608:$M$1608</c:f>
              <c:numCache/>
            </c:numRef>
          </c:val>
        </c:ser>
        <c:ser>
          <c:idx val="1607"/>
          <c:order val="1607"/>
          <c:tx>
            <c:strRef>
              <c:f>'estatística'!$B$1609</c:f>
            </c:strRef>
          </c:tx>
          <c:cat>
            <c:strRef>
              <c:f>'estatística'!$C$1:$M$1</c:f>
            </c:strRef>
          </c:cat>
          <c:val>
            <c:numRef>
              <c:f>'estatística'!$C$1609:$M$1609</c:f>
              <c:numCache/>
            </c:numRef>
          </c:val>
        </c:ser>
        <c:ser>
          <c:idx val="1608"/>
          <c:order val="1608"/>
          <c:tx>
            <c:strRef>
              <c:f>'estatística'!$B$1610</c:f>
            </c:strRef>
          </c:tx>
          <c:cat>
            <c:strRef>
              <c:f>'estatística'!$C$1:$M$1</c:f>
            </c:strRef>
          </c:cat>
          <c:val>
            <c:numRef>
              <c:f>'estatística'!$C$1610:$M$1610</c:f>
              <c:numCache/>
            </c:numRef>
          </c:val>
        </c:ser>
        <c:ser>
          <c:idx val="1609"/>
          <c:order val="1609"/>
          <c:tx>
            <c:strRef>
              <c:f>'estatística'!$B$1611</c:f>
            </c:strRef>
          </c:tx>
          <c:cat>
            <c:strRef>
              <c:f>'estatística'!$C$1:$M$1</c:f>
            </c:strRef>
          </c:cat>
          <c:val>
            <c:numRef>
              <c:f>'estatística'!$C$1611:$M$1611</c:f>
              <c:numCache/>
            </c:numRef>
          </c:val>
        </c:ser>
        <c:ser>
          <c:idx val="1610"/>
          <c:order val="1610"/>
          <c:tx>
            <c:strRef>
              <c:f>'estatística'!$B$1612</c:f>
            </c:strRef>
          </c:tx>
          <c:cat>
            <c:strRef>
              <c:f>'estatística'!$C$1:$M$1</c:f>
            </c:strRef>
          </c:cat>
          <c:val>
            <c:numRef>
              <c:f>'estatística'!$C$1612:$M$1612</c:f>
              <c:numCache/>
            </c:numRef>
          </c:val>
        </c:ser>
        <c:ser>
          <c:idx val="1611"/>
          <c:order val="1611"/>
          <c:tx>
            <c:strRef>
              <c:f>'estatística'!$B$1613</c:f>
            </c:strRef>
          </c:tx>
          <c:cat>
            <c:strRef>
              <c:f>'estatística'!$C$1:$M$1</c:f>
            </c:strRef>
          </c:cat>
          <c:val>
            <c:numRef>
              <c:f>'estatística'!$C$1613:$M$1613</c:f>
              <c:numCache/>
            </c:numRef>
          </c:val>
        </c:ser>
        <c:ser>
          <c:idx val="1612"/>
          <c:order val="1612"/>
          <c:tx>
            <c:strRef>
              <c:f>'estatística'!$B$1614</c:f>
            </c:strRef>
          </c:tx>
          <c:cat>
            <c:strRef>
              <c:f>'estatística'!$C$1:$M$1</c:f>
            </c:strRef>
          </c:cat>
          <c:val>
            <c:numRef>
              <c:f>'estatística'!$C$1614:$M$1614</c:f>
              <c:numCache/>
            </c:numRef>
          </c:val>
        </c:ser>
        <c:ser>
          <c:idx val="1613"/>
          <c:order val="1613"/>
          <c:tx>
            <c:strRef>
              <c:f>'estatística'!$B$1615</c:f>
            </c:strRef>
          </c:tx>
          <c:cat>
            <c:strRef>
              <c:f>'estatística'!$C$1:$M$1</c:f>
            </c:strRef>
          </c:cat>
          <c:val>
            <c:numRef>
              <c:f>'estatística'!$C$1615:$M$1615</c:f>
              <c:numCache/>
            </c:numRef>
          </c:val>
        </c:ser>
        <c:ser>
          <c:idx val="1614"/>
          <c:order val="1614"/>
          <c:tx>
            <c:strRef>
              <c:f>'estatística'!$B$1616</c:f>
            </c:strRef>
          </c:tx>
          <c:cat>
            <c:strRef>
              <c:f>'estatística'!$C$1:$M$1</c:f>
            </c:strRef>
          </c:cat>
          <c:val>
            <c:numRef>
              <c:f>'estatística'!$C$1616:$M$1616</c:f>
              <c:numCache/>
            </c:numRef>
          </c:val>
        </c:ser>
        <c:ser>
          <c:idx val="1615"/>
          <c:order val="1615"/>
          <c:tx>
            <c:strRef>
              <c:f>'estatística'!$B$1617</c:f>
            </c:strRef>
          </c:tx>
          <c:cat>
            <c:strRef>
              <c:f>'estatística'!$C$1:$M$1</c:f>
            </c:strRef>
          </c:cat>
          <c:val>
            <c:numRef>
              <c:f>'estatística'!$C$1617:$M$1617</c:f>
              <c:numCache/>
            </c:numRef>
          </c:val>
        </c:ser>
        <c:ser>
          <c:idx val="1616"/>
          <c:order val="1616"/>
          <c:tx>
            <c:strRef>
              <c:f>'estatística'!$B$1618</c:f>
            </c:strRef>
          </c:tx>
          <c:cat>
            <c:strRef>
              <c:f>'estatística'!$C$1:$M$1</c:f>
            </c:strRef>
          </c:cat>
          <c:val>
            <c:numRef>
              <c:f>'estatística'!$C$1618:$M$1618</c:f>
              <c:numCache/>
            </c:numRef>
          </c:val>
        </c:ser>
        <c:ser>
          <c:idx val="1617"/>
          <c:order val="1617"/>
          <c:tx>
            <c:strRef>
              <c:f>'estatística'!$B$1619</c:f>
            </c:strRef>
          </c:tx>
          <c:cat>
            <c:strRef>
              <c:f>'estatística'!$C$1:$M$1</c:f>
            </c:strRef>
          </c:cat>
          <c:val>
            <c:numRef>
              <c:f>'estatística'!$C$1619:$M$1619</c:f>
              <c:numCache/>
            </c:numRef>
          </c:val>
        </c:ser>
        <c:ser>
          <c:idx val="1618"/>
          <c:order val="1618"/>
          <c:tx>
            <c:strRef>
              <c:f>'estatística'!$B$1620</c:f>
            </c:strRef>
          </c:tx>
          <c:cat>
            <c:strRef>
              <c:f>'estatística'!$C$1:$M$1</c:f>
            </c:strRef>
          </c:cat>
          <c:val>
            <c:numRef>
              <c:f>'estatística'!$C$1620:$M$1620</c:f>
              <c:numCache/>
            </c:numRef>
          </c:val>
        </c:ser>
        <c:ser>
          <c:idx val="1619"/>
          <c:order val="1619"/>
          <c:tx>
            <c:strRef>
              <c:f>'estatística'!$B$1621</c:f>
            </c:strRef>
          </c:tx>
          <c:cat>
            <c:strRef>
              <c:f>'estatística'!$C$1:$M$1</c:f>
            </c:strRef>
          </c:cat>
          <c:val>
            <c:numRef>
              <c:f>'estatística'!$C$1621:$M$1621</c:f>
              <c:numCache/>
            </c:numRef>
          </c:val>
        </c:ser>
        <c:ser>
          <c:idx val="1620"/>
          <c:order val="1620"/>
          <c:tx>
            <c:strRef>
              <c:f>'estatística'!$B$1622</c:f>
            </c:strRef>
          </c:tx>
          <c:cat>
            <c:strRef>
              <c:f>'estatística'!$C$1:$M$1</c:f>
            </c:strRef>
          </c:cat>
          <c:val>
            <c:numRef>
              <c:f>'estatística'!$C$1622:$M$1622</c:f>
              <c:numCache/>
            </c:numRef>
          </c:val>
        </c:ser>
        <c:ser>
          <c:idx val="1621"/>
          <c:order val="1621"/>
          <c:tx>
            <c:strRef>
              <c:f>'estatística'!$B$1623</c:f>
            </c:strRef>
          </c:tx>
          <c:cat>
            <c:strRef>
              <c:f>'estatística'!$C$1:$M$1</c:f>
            </c:strRef>
          </c:cat>
          <c:val>
            <c:numRef>
              <c:f>'estatística'!$C$1623:$M$1623</c:f>
              <c:numCache/>
            </c:numRef>
          </c:val>
        </c:ser>
        <c:ser>
          <c:idx val="1622"/>
          <c:order val="1622"/>
          <c:tx>
            <c:strRef>
              <c:f>'estatística'!$B$1624</c:f>
            </c:strRef>
          </c:tx>
          <c:cat>
            <c:strRef>
              <c:f>'estatística'!$C$1:$M$1</c:f>
            </c:strRef>
          </c:cat>
          <c:val>
            <c:numRef>
              <c:f>'estatística'!$C$1624:$M$1624</c:f>
              <c:numCache/>
            </c:numRef>
          </c:val>
        </c:ser>
        <c:ser>
          <c:idx val="1623"/>
          <c:order val="1623"/>
          <c:tx>
            <c:strRef>
              <c:f>'estatística'!$B$1625</c:f>
            </c:strRef>
          </c:tx>
          <c:cat>
            <c:strRef>
              <c:f>'estatística'!$C$1:$M$1</c:f>
            </c:strRef>
          </c:cat>
          <c:val>
            <c:numRef>
              <c:f>'estatística'!$C$1625:$M$1625</c:f>
              <c:numCache/>
            </c:numRef>
          </c:val>
        </c:ser>
        <c:ser>
          <c:idx val="1624"/>
          <c:order val="1624"/>
          <c:tx>
            <c:strRef>
              <c:f>'estatística'!$B$1626</c:f>
            </c:strRef>
          </c:tx>
          <c:cat>
            <c:strRef>
              <c:f>'estatística'!$C$1:$M$1</c:f>
            </c:strRef>
          </c:cat>
          <c:val>
            <c:numRef>
              <c:f>'estatística'!$C$1626:$M$1626</c:f>
              <c:numCache/>
            </c:numRef>
          </c:val>
        </c:ser>
        <c:ser>
          <c:idx val="1625"/>
          <c:order val="1625"/>
          <c:tx>
            <c:strRef>
              <c:f>'estatística'!$B$1627</c:f>
            </c:strRef>
          </c:tx>
          <c:cat>
            <c:strRef>
              <c:f>'estatística'!$C$1:$M$1</c:f>
            </c:strRef>
          </c:cat>
          <c:val>
            <c:numRef>
              <c:f>'estatística'!$C$1627:$M$1627</c:f>
              <c:numCache/>
            </c:numRef>
          </c:val>
        </c:ser>
        <c:ser>
          <c:idx val="1626"/>
          <c:order val="1626"/>
          <c:tx>
            <c:strRef>
              <c:f>'estatística'!$B$1628</c:f>
            </c:strRef>
          </c:tx>
          <c:cat>
            <c:strRef>
              <c:f>'estatística'!$C$1:$M$1</c:f>
            </c:strRef>
          </c:cat>
          <c:val>
            <c:numRef>
              <c:f>'estatística'!$C$1628:$M$1628</c:f>
              <c:numCache/>
            </c:numRef>
          </c:val>
        </c:ser>
        <c:ser>
          <c:idx val="1627"/>
          <c:order val="1627"/>
          <c:tx>
            <c:strRef>
              <c:f>'estatística'!$B$1629</c:f>
            </c:strRef>
          </c:tx>
          <c:cat>
            <c:strRef>
              <c:f>'estatística'!$C$1:$M$1</c:f>
            </c:strRef>
          </c:cat>
          <c:val>
            <c:numRef>
              <c:f>'estatística'!$C$1629:$M$1629</c:f>
              <c:numCache/>
            </c:numRef>
          </c:val>
        </c:ser>
        <c:ser>
          <c:idx val="1628"/>
          <c:order val="1628"/>
          <c:tx>
            <c:strRef>
              <c:f>'estatística'!$B$1630</c:f>
            </c:strRef>
          </c:tx>
          <c:cat>
            <c:strRef>
              <c:f>'estatística'!$C$1:$M$1</c:f>
            </c:strRef>
          </c:cat>
          <c:val>
            <c:numRef>
              <c:f>'estatística'!$C$1630:$M$1630</c:f>
              <c:numCache/>
            </c:numRef>
          </c:val>
        </c:ser>
        <c:ser>
          <c:idx val="1629"/>
          <c:order val="1629"/>
          <c:tx>
            <c:strRef>
              <c:f>'estatística'!$B$1631</c:f>
            </c:strRef>
          </c:tx>
          <c:cat>
            <c:strRef>
              <c:f>'estatística'!$C$1:$M$1</c:f>
            </c:strRef>
          </c:cat>
          <c:val>
            <c:numRef>
              <c:f>'estatística'!$C$1631:$M$1631</c:f>
              <c:numCache/>
            </c:numRef>
          </c:val>
        </c:ser>
        <c:ser>
          <c:idx val="1630"/>
          <c:order val="1630"/>
          <c:tx>
            <c:strRef>
              <c:f>'estatística'!$B$1632</c:f>
            </c:strRef>
          </c:tx>
          <c:cat>
            <c:strRef>
              <c:f>'estatística'!$C$1:$M$1</c:f>
            </c:strRef>
          </c:cat>
          <c:val>
            <c:numRef>
              <c:f>'estatística'!$C$1632:$M$1632</c:f>
              <c:numCache/>
            </c:numRef>
          </c:val>
        </c:ser>
        <c:ser>
          <c:idx val="1631"/>
          <c:order val="1631"/>
          <c:tx>
            <c:strRef>
              <c:f>'estatística'!$B$1633</c:f>
            </c:strRef>
          </c:tx>
          <c:cat>
            <c:strRef>
              <c:f>'estatística'!$C$1:$M$1</c:f>
            </c:strRef>
          </c:cat>
          <c:val>
            <c:numRef>
              <c:f>'estatística'!$C$1633:$M$1633</c:f>
              <c:numCache/>
            </c:numRef>
          </c:val>
        </c:ser>
        <c:ser>
          <c:idx val="1632"/>
          <c:order val="1632"/>
          <c:tx>
            <c:strRef>
              <c:f>'estatística'!$B$1634</c:f>
            </c:strRef>
          </c:tx>
          <c:cat>
            <c:strRef>
              <c:f>'estatística'!$C$1:$M$1</c:f>
            </c:strRef>
          </c:cat>
          <c:val>
            <c:numRef>
              <c:f>'estatística'!$C$1634:$M$1634</c:f>
              <c:numCache/>
            </c:numRef>
          </c:val>
        </c:ser>
        <c:ser>
          <c:idx val="1633"/>
          <c:order val="1633"/>
          <c:tx>
            <c:strRef>
              <c:f>'estatística'!$B$1635</c:f>
            </c:strRef>
          </c:tx>
          <c:cat>
            <c:strRef>
              <c:f>'estatística'!$C$1:$M$1</c:f>
            </c:strRef>
          </c:cat>
          <c:val>
            <c:numRef>
              <c:f>'estatística'!$C$1635:$M$1635</c:f>
              <c:numCache/>
            </c:numRef>
          </c:val>
        </c:ser>
        <c:ser>
          <c:idx val="1634"/>
          <c:order val="1634"/>
          <c:tx>
            <c:strRef>
              <c:f>'estatística'!$B$1636</c:f>
            </c:strRef>
          </c:tx>
          <c:cat>
            <c:strRef>
              <c:f>'estatística'!$C$1:$M$1</c:f>
            </c:strRef>
          </c:cat>
          <c:val>
            <c:numRef>
              <c:f>'estatística'!$C$1636:$M$1636</c:f>
              <c:numCache/>
            </c:numRef>
          </c:val>
        </c:ser>
        <c:ser>
          <c:idx val="1635"/>
          <c:order val="1635"/>
          <c:tx>
            <c:strRef>
              <c:f>'estatística'!$B$1637</c:f>
            </c:strRef>
          </c:tx>
          <c:cat>
            <c:strRef>
              <c:f>'estatística'!$C$1:$M$1</c:f>
            </c:strRef>
          </c:cat>
          <c:val>
            <c:numRef>
              <c:f>'estatística'!$C$1637:$M$1637</c:f>
              <c:numCache/>
            </c:numRef>
          </c:val>
        </c:ser>
        <c:ser>
          <c:idx val="1636"/>
          <c:order val="1636"/>
          <c:tx>
            <c:strRef>
              <c:f>'estatística'!$B$1638</c:f>
            </c:strRef>
          </c:tx>
          <c:cat>
            <c:strRef>
              <c:f>'estatística'!$C$1:$M$1</c:f>
            </c:strRef>
          </c:cat>
          <c:val>
            <c:numRef>
              <c:f>'estatística'!$C$1638:$M$1638</c:f>
              <c:numCache/>
            </c:numRef>
          </c:val>
        </c:ser>
        <c:ser>
          <c:idx val="1637"/>
          <c:order val="1637"/>
          <c:tx>
            <c:strRef>
              <c:f>'estatística'!$B$1639</c:f>
            </c:strRef>
          </c:tx>
          <c:cat>
            <c:strRef>
              <c:f>'estatística'!$C$1:$M$1</c:f>
            </c:strRef>
          </c:cat>
          <c:val>
            <c:numRef>
              <c:f>'estatística'!$C$1639:$M$1639</c:f>
              <c:numCache/>
            </c:numRef>
          </c:val>
        </c:ser>
        <c:ser>
          <c:idx val="1638"/>
          <c:order val="1638"/>
          <c:tx>
            <c:strRef>
              <c:f>'estatística'!$B$1640</c:f>
            </c:strRef>
          </c:tx>
          <c:cat>
            <c:strRef>
              <c:f>'estatística'!$C$1:$M$1</c:f>
            </c:strRef>
          </c:cat>
          <c:val>
            <c:numRef>
              <c:f>'estatística'!$C$1640:$M$1640</c:f>
              <c:numCache/>
            </c:numRef>
          </c:val>
        </c:ser>
        <c:ser>
          <c:idx val="1639"/>
          <c:order val="1639"/>
          <c:tx>
            <c:strRef>
              <c:f>'estatística'!$B$1641</c:f>
            </c:strRef>
          </c:tx>
          <c:cat>
            <c:strRef>
              <c:f>'estatística'!$C$1:$M$1</c:f>
            </c:strRef>
          </c:cat>
          <c:val>
            <c:numRef>
              <c:f>'estatística'!$C$1641:$M$1641</c:f>
              <c:numCache/>
            </c:numRef>
          </c:val>
        </c:ser>
        <c:ser>
          <c:idx val="1640"/>
          <c:order val="1640"/>
          <c:tx>
            <c:strRef>
              <c:f>'estatística'!$B$1642</c:f>
            </c:strRef>
          </c:tx>
          <c:cat>
            <c:strRef>
              <c:f>'estatística'!$C$1:$M$1</c:f>
            </c:strRef>
          </c:cat>
          <c:val>
            <c:numRef>
              <c:f>'estatística'!$C$1642:$M$1642</c:f>
              <c:numCache/>
            </c:numRef>
          </c:val>
        </c:ser>
        <c:ser>
          <c:idx val="1641"/>
          <c:order val="1641"/>
          <c:tx>
            <c:strRef>
              <c:f>'estatística'!$B$1643</c:f>
            </c:strRef>
          </c:tx>
          <c:cat>
            <c:strRef>
              <c:f>'estatística'!$C$1:$M$1</c:f>
            </c:strRef>
          </c:cat>
          <c:val>
            <c:numRef>
              <c:f>'estatística'!$C$1643:$M$1643</c:f>
              <c:numCache/>
            </c:numRef>
          </c:val>
        </c:ser>
        <c:ser>
          <c:idx val="1642"/>
          <c:order val="1642"/>
          <c:tx>
            <c:strRef>
              <c:f>'estatística'!$B$1644</c:f>
            </c:strRef>
          </c:tx>
          <c:cat>
            <c:strRef>
              <c:f>'estatística'!$C$1:$M$1</c:f>
            </c:strRef>
          </c:cat>
          <c:val>
            <c:numRef>
              <c:f>'estatística'!$C$1644:$M$1644</c:f>
              <c:numCache/>
            </c:numRef>
          </c:val>
        </c:ser>
        <c:ser>
          <c:idx val="1643"/>
          <c:order val="1643"/>
          <c:tx>
            <c:strRef>
              <c:f>'estatística'!$B$1645</c:f>
            </c:strRef>
          </c:tx>
          <c:cat>
            <c:strRef>
              <c:f>'estatística'!$C$1:$M$1</c:f>
            </c:strRef>
          </c:cat>
          <c:val>
            <c:numRef>
              <c:f>'estatística'!$C$1645:$M$1645</c:f>
              <c:numCache/>
            </c:numRef>
          </c:val>
        </c:ser>
        <c:ser>
          <c:idx val="1644"/>
          <c:order val="1644"/>
          <c:tx>
            <c:strRef>
              <c:f>'estatística'!$B$1646</c:f>
            </c:strRef>
          </c:tx>
          <c:cat>
            <c:strRef>
              <c:f>'estatística'!$C$1:$M$1</c:f>
            </c:strRef>
          </c:cat>
          <c:val>
            <c:numRef>
              <c:f>'estatística'!$C$1646:$M$1646</c:f>
              <c:numCache/>
            </c:numRef>
          </c:val>
        </c:ser>
        <c:ser>
          <c:idx val="1645"/>
          <c:order val="1645"/>
          <c:tx>
            <c:strRef>
              <c:f>'estatística'!$B$1647</c:f>
            </c:strRef>
          </c:tx>
          <c:cat>
            <c:strRef>
              <c:f>'estatística'!$C$1:$M$1</c:f>
            </c:strRef>
          </c:cat>
          <c:val>
            <c:numRef>
              <c:f>'estatística'!$C$1647:$M$1647</c:f>
              <c:numCache/>
            </c:numRef>
          </c:val>
        </c:ser>
        <c:ser>
          <c:idx val="1646"/>
          <c:order val="1646"/>
          <c:tx>
            <c:strRef>
              <c:f>'estatística'!$B$1648</c:f>
            </c:strRef>
          </c:tx>
          <c:cat>
            <c:strRef>
              <c:f>'estatística'!$C$1:$M$1</c:f>
            </c:strRef>
          </c:cat>
          <c:val>
            <c:numRef>
              <c:f>'estatística'!$C$1648:$M$1648</c:f>
              <c:numCache/>
            </c:numRef>
          </c:val>
        </c:ser>
        <c:ser>
          <c:idx val="1647"/>
          <c:order val="1647"/>
          <c:tx>
            <c:strRef>
              <c:f>'estatística'!$B$1649</c:f>
            </c:strRef>
          </c:tx>
          <c:cat>
            <c:strRef>
              <c:f>'estatística'!$C$1:$M$1</c:f>
            </c:strRef>
          </c:cat>
          <c:val>
            <c:numRef>
              <c:f>'estatística'!$C$1649:$M$1649</c:f>
              <c:numCache/>
            </c:numRef>
          </c:val>
        </c:ser>
        <c:ser>
          <c:idx val="1648"/>
          <c:order val="1648"/>
          <c:tx>
            <c:strRef>
              <c:f>'estatística'!$B$1650</c:f>
            </c:strRef>
          </c:tx>
          <c:cat>
            <c:strRef>
              <c:f>'estatística'!$C$1:$M$1</c:f>
            </c:strRef>
          </c:cat>
          <c:val>
            <c:numRef>
              <c:f>'estatística'!$C$1650:$M$1650</c:f>
              <c:numCache/>
            </c:numRef>
          </c:val>
        </c:ser>
        <c:ser>
          <c:idx val="1649"/>
          <c:order val="1649"/>
          <c:tx>
            <c:strRef>
              <c:f>'estatística'!$B$1651</c:f>
            </c:strRef>
          </c:tx>
          <c:cat>
            <c:strRef>
              <c:f>'estatística'!$C$1:$M$1</c:f>
            </c:strRef>
          </c:cat>
          <c:val>
            <c:numRef>
              <c:f>'estatística'!$C$1651:$M$1651</c:f>
              <c:numCache/>
            </c:numRef>
          </c:val>
        </c:ser>
        <c:ser>
          <c:idx val="1650"/>
          <c:order val="1650"/>
          <c:tx>
            <c:strRef>
              <c:f>'estatística'!$B$1652</c:f>
            </c:strRef>
          </c:tx>
          <c:cat>
            <c:strRef>
              <c:f>'estatística'!$C$1:$M$1</c:f>
            </c:strRef>
          </c:cat>
          <c:val>
            <c:numRef>
              <c:f>'estatística'!$C$1652:$M$1652</c:f>
              <c:numCache/>
            </c:numRef>
          </c:val>
        </c:ser>
        <c:ser>
          <c:idx val="1651"/>
          <c:order val="1651"/>
          <c:tx>
            <c:strRef>
              <c:f>'estatística'!$B$1653</c:f>
            </c:strRef>
          </c:tx>
          <c:cat>
            <c:strRef>
              <c:f>'estatística'!$C$1:$M$1</c:f>
            </c:strRef>
          </c:cat>
          <c:val>
            <c:numRef>
              <c:f>'estatística'!$C$1653:$M$1653</c:f>
              <c:numCache/>
            </c:numRef>
          </c:val>
        </c:ser>
        <c:ser>
          <c:idx val="1652"/>
          <c:order val="1652"/>
          <c:tx>
            <c:strRef>
              <c:f>'estatística'!$B$1654</c:f>
            </c:strRef>
          </c:tx>
          <c:cat>
            <c:strRef>
              <c:f>'estatística'!$C$1:$M$1</c:f>
            </c:strRef>
          </c:cat>
          <c:val>
            <c:numRef>
              <c:f>'estatística'!$C$1654:$M$1654</c:f>
              <c:numCache/>
            </c:numRef>
          </c:val>
        </c:ser>
        <c:ser>
          <c:idx val="1653"/>
          <c:order val="1653"/>
          <c:tx>
            <c:strRef>
              <c:f>'estatística'!$B$1655</c:f>
            </c:strRef>
          </c:tx>
          <c:cat>
            <c:strRef>
              <c:f>'estatística'!$C$1:$M$1</c:f>
            </c:strRef>
          </c:cat>
          <c:val>
            <c:numRef>
              <c:f>'estatística'!$C$1655:$M$1655</c:f>
              <c:numCache/>
            </c:numRef>
          </c:val>
        </c:ser>
        <c:ser>
          <c:idx val="1654"/>
          <c:order val="1654"/>
          <c:tx>
            <c:strRef>
              <c:f>'estatística'!$B$1656</c:f>
            </c:strRef>
          </c:tx>
          <c:cat>
            <c:strRef>
              <c:f>'estatística'!$C$1:$M$1</c:f>
            </c:strRef>
          </c:cat>
          <c:val>
            <c:numRef>
              <c:f>'estatística'!$C$1656:$M$1656</c:f>
              <c:numCache/>
            </c:numRef>
          </c:val>
        </c:ser>
        <c:ser>
          <c:idx val="1655"/>
          <c:order val="1655"/>
          <c:tx>
            <c:strRef>
              <c:f>'estatística'!$B$1657</c:f>
            </c:strRef>
          </c:tx>
          <c:cat>
            <c:strRef>
              <c:f>'estatística'!$C$1:$M$1</c:f>
            </c:strRef>
          </c:cat>
          <c:val>
            <c:numRef>
              <c:f>'estatística'!$C$1657:$M$1657</c:f>
              <c:numCache/>
            </c:numRef>
          </c:val>
        </c:ser>
        <c:ser>
          <c:idx val="1656"/>
          <c:order val="1656"/>
          <c:tx>
            <c:strRef>
              <c:f>'estatística'!$B$1658</c:f>
            </c:strRef>
          </c:tx>
          <c:cat>
            <c:strRef>
              <c:f>'estatística'!$C$1:$M$1</c:f>
            </c:strRef>
          </c:cat>
          <c:val>
            <c:numRef>
              <c:f>'estatística'!$C$1658:$M$1658</c:f>
              <c:numCache/>
            </c:numRef>
          </c:val>
        </c:ser>
        <c:ser>
          <c:idx val="1657"/>
          <c:order val="1657"/>
          <c:tx>
            <c:strRef>
              <c:f>'estatística'!$B$1659</c:f>
            </c:strRef>
          </c:tx>
          <c:cat>
            <c:strRef>
              <c:f>'estatística'!$C$1:$M$1</c:f>
            </c:strRef>
          </c:cat>
          <c:val>
            <c:numRef>
              <c:f>'estatística'!$C$1659:$M$1659</c:f>
              <c:numCache/>
            </c:numRef>
          </c:val>
        </c:ser>
        <c:ser>
          <c:idx val="1658"/>
          <c:order val="1658"/>
          <c:tx>
            <c:strRef>
              <c:f>'estatística'!$B$1660</c:f>
            </c:strRef>
          </c:tx>
          <c:cat>
            <c:strRef>
              <c:f>'estatística'!$C$1:$M$1</c:f>
            </c:strRef>
          </c:cat>
          <c:val>
            <c:numRef>
              <c:f>'estatística'!$C$1660:$M$1660</c:f>
              <c:numCache/>
            </c:numRef>
          </c:val>
        </c:ser>
        <c:ser>
          <c:idx val="1659"/>
          <c:order val="1659"/>
          <c:tx>
            <c:strRef>
              <c:f>'estatística'!$B$1661</c:f>
            </c:strRef>
          </c:tx>
          <c:cat>
            <c:strRef>
              <c:f>'estatística'!$C$1:$M$1</c:f>
            </c:strRef>
          </c:cat>
          <c:val>
            <c:numRef>
              <c:f>'estatística'!$C$1661:$M$1661</c:f>
              <c:numCache/>
            </c:numRef>
          </c:val>
        </c:ser>
        <c:ser>
          <c:idx val="1660"/>
          <c:order val="1660"/>
          <c:tx>
            <c:strRef>
              <c:f>'estatística'!$B$1662</c:f>
            </c:strRef>
          </c:tx>
          <c:cat>
            <c:strRef>
              <c:f>'estatística'!$C$1:$M$1</c:f>
            </c:strRef>
          </c:cat>
          <c:val>
            <c:numRef>
              <c:f>'estatística'!$C$1662:$M$1662</c:f>
              <c:numCache/>
            </c:numRef>
          </c:val>
        </c:ser>
        <c:ser>
          <c:idx val="1661"/>
          <c:order val="1661"/>
          <c:tx>
            <c:strRef>
              <c:f>'estatística'!$B$1663</c:f>
            </c:strRef>
          </c:tx>
          <c:cat>
            <c:strRef>
              <c:f>'estatística'!$C$1:$M$1</c:f>
            </c:strRef>
          </c:cat>
          <c:val>
            <c:numRef>
              <c:f>'estatística'!$C$1663:$M$1663</c:f>
              <c:numCache/>
            </c:numRef>
          </c:val>
        </c:ser>
        <c:ser>
          <c:idx val="1662"/>
          <c:order val="1662"/>
          <c:tx>
            <c:strRef>
              <c:f>'estatística'!$B$1664</c:f>
            </c:strRef>
          </c:tx>
          <c:cat>
            <c:strRef>
              <c:f>'estatística'!$C$1:$M$1</c:f>
            </c:strRef>
          </c:cat>
          <c:val>
            <c:numRef>
              <c:f>'estatística'!$C$1664:$M$1664</c:f>
              <c:numCache/>
            </c:numRef>
          </c:val>
        </c:ser>
        <c:ser>
          <c:idx val="1663"/>
          <c:order val="1663"/>
          <c:tx>
            <c:strRef>
              <c:f>'estatística'!$B$1665</c:f>
            </c:strRef>
          </c:tx>
          <c:cat>
            <c:strRef>
              <c:f>'estatística'!$C$1:$M$1</c:f>
            </c:strRef>
          </c:cat>
          <c:val>
            <c:numRef>
              <c:f>'estatística'!$C$1665:$M$1665</c:f>
              <c:numCache/>
            </c:numRef>
          </c:val>
        </c:ser>
        <c:ser>
          <c:idx val="1664"/>
          <c:order val="1664"/>
          <c:tx>
            <c:strRef>
              <c:f>'estatística'!$B$1666</c:f>
            </c:strRef>
          </c:tx>
          <c:cat>
            <c:strRef>
              <c:f>'estatística'!$C$1:$M$1</c:f>
            </c:strRef>
          </c:cat>
          <c:val>
            <c:numRef>
              <c:f>'estatística'!$C$1666:$M$1666</c:f>
              <c:numCache/>
            </c:numRef>
          </c:val>
        </c:ser>
        <c:ser>
          <c:idx val="1665"/>
          <c:order val="1665"/>
          <c:tx>
            <c:strRef>
              <c:f>'estatística'!$B$1667</c:f>
            </c:strRef>
          </c:tx>
          <c:cat>
            <c:strRef>
              <c:f>'estatística'!$C$1:$M$1</c:f>
            </c:strRef>
          </c:cat>
          <c:val>
            <c:numRef>
              <c:f>'estatística'!$C$1667:$M$1667</c:f>
              <c:numCache/>
            </c:numRef>
          </c:val>
        </c:ser>
        <c:ser>
          <c:idx val="1666"/>
          <c:order val="1666"/>
          <c:tx>
            <c:strRef>
              <c:f>'estatística'!$B$1668</c:f>
            </c:strRef>
          </c:tx>
          <c:cat>
            <c:strRef>
              <c:f>'estatística'!$C$1:$M$1</c:f>
            </c:strRef>
          </c:cat>
          <c:val>
            <c:numRef>
              <c:f>'estatística'!$C$1668:$M$1668</c:f>
              <c:numCache/>
            </c:numRef>
          </c:val>
        </c:ser>
        <c:ser>
          <c:idx val="1667"/>
          <c:order val="1667"/>
          <c:tx>
            <c:strRef>
              <c:f>'estatística'!$B$1669</c:f>
            </c:strRef>
          </c:tx>
          <c:cat>
            <c:strRef>
              <c:f>'estatística'!$C$1:$M$1</c:f>
            </c:strRef>
          </c:cat>
          <c:val>
            <c:numRef>
              <c:f>'estatística'!$C$1669:$M$1669</c:f>
              <c:numCache/>
            </c:numRef>
          </c:val>
        </c:ser>
        <c:ser>
          <c:idx val="1668"/>
          <c:order val="1668"/>
          <c:tx>
            <c:strRef>
              <c:f>'estatística'!$B$1670</c:f>
            </c:strRef>
          </c:tx>
          <c:cat>
            <c:strRef>
              <c:f>'estatística'!$C$1:$M$1</c:f>
            </c:strRef>
          </c:cat>
          <c:val>
            <c:numRef>
              <c:f>'estatística'!$C$1670:$M$1670</c:f>
              <c:numCache/>
            </c:numRef>
          </c:val>
        </c:ser>
        <c:ser>
          <c:idx val="1669"/>
          <c:order val="1669"/>
          <c:tx>
            <c:strRef>
              <c:f>'estatística'!$B$1671</c:f>
            </c:strRef>
          </c:tx>
          <c:cat>
            <c:strRef>
              <c:f>'estatística'!$C$1:$M$1</c:f>
            </c:strRef>
          </c:cat>
          <c:val>
            <c:numRef>
              <c:f>'estatística'!$C$1671:$M$1671</c:f>
              <c:numCache/>
            </c:numRef>
          </c:val>
        </c:ser>
        <c:ser>
          <c:idx val="1670"/>
          <c:order val="1670"/>
          <c:tx>
            <c:strRef>
              <c:f>'estatística'!$B$1672</c:f>
            </c:strRef>
          </c:tx>
          <c:cat>
            <c:strRef>
              <c:f>'estatística'!$C$1:$M$1</c:f>
            </c:strRef>
          </c:cat>
          <c:val>
            <c:numRef>
              <c:f>'estatística'!$C$1672:$M$1672</c:f>
              <c:numCache/>
            </c:numRef>
          </c:val>
        </c:ser>
        <c:ser>
          <c:idx val="1671"/>
          <c:order val="1671"/>
          <c:tx>
            <c:strRef>
              <c:f>'estatística'!$B$1673</c:f>
            </c:strRef>
          </c:tx>
          <c:cat>
            <c:strRef>
              <c:f>'estatística'!$C$1:$M$1</c:f>
            </c:strRef>
          </c:cat>
          <c:val>
            <c:numRef>
              <c:f>'estatística'!$C$1673:$M$1673</c:f>
              <c:numCache/>
            </c:numRef>
          </c:val>
        </c:ser>
        <c:ser>
          <c:idx val="1672"/>
          <c:order val="1672"/>
          <c:tx>
            <c:strRef>
              <c:f>'estatística'!$B$1674</c:f>
            </c:strRef>
          </c:tx>
          <c:cat>
            <c:strRef>
              <c:f>'estatística'!$C$1:$M$1</c:f>
            </c:strRef>
          </c:cat>
          <c:val>
            <c:numRef>
              <c:f>'estatística'!$C$1674:$M$1674</c:f>
              <c:numCache/>
            </c:numRef>
          </c:val>
        </c:ser>
        <c:ser>
          <c:idx val="1673"/>
          <c:order val="1673"/>
          <c:tx>
            <c:strRef>
              <c:f>'estatística'!$B$1675</c:f>
            </c:strRef>
          </c:tx>
          <c:cat>
            <c:strRef>
              <c:f>'estatística'!$C$1:$M$1</c:f>
            </c:strRef>
          </c:cat>
          <c:val>
            <c:numRef>
              <c:f>'estatística'!$C$1675:$M$1675</c:f>
              <c:numCache/>
            </c:numRef>
          </c:val>
        </c:ser>
        <c:ser>
          <c:idx val="1674"/>
          <c:order val="1674"/>
          <c:tx>
            <c:strRef>
              <c:f>'estatística'!$B$1676</c:f>
            </c:strRef>
          </c:tx>
          <c:cat>
            <c:strRef>
              <c:f>'estatística'!$C$1:$M$1</c:f>
            </c:strRef>
          </c:cat>
          <c:val>
            <c:numRef>
              <c:f>'estatística'!$C$1676:$M$1676</c:f>
              <c:numCache/>
            </c:numRef>
          </c:val>
        </c:ser>
        <c:ser>
          <c:idx val="1675"/>
          <c:order val="1675"/>
          <c:tx>
            <c:strRef>
              <c:f>'estatística'!$B$1677</c:f>
            </c:strRef>
          </c:tx>
          <c:cat>
            <c:strRef>
              <c:f>'estatística'!$C$1:$M$1</c:f>
            </c:strRef>
          </c:cat>
          <c:val>
            <c:numRef>
              <c:f>'estatística'!$C$1677:$M$1677</c:f>
              <c:numCache/>
            </c:numRef>
          </c:val>
        </c:ser>
        <c:ser>
          <c:idx val="1676"/>
          <c:order val="1676"/>
          <c:tx>
            <c:strRef>
              <c:f>'estatística'!$B$1678</c:f>
            </c:strRef>
          </c:tx>
          <c:cat>
            <c:strRef>
              <c:f>'estatística'!$C$1:$M$1</c:f>
            </c:strRef>
          </c:cat>
          <c:val>
            <c:numRef>
              <c:f>'estatística'!$C$1678:$M$1678</c:f>
              <c:numCache/>
            </c:numRef>
          </c:val>
        </c:ser>
        <c:ser>
          <c:idx val="1677"/>
          <c:order val="1677"/>
          <c:tx>
            <c:strRef>
              <c:f>'estatística'!$B$1679</c:f>
            </c:strRef>
          </c:tx>
          <c:cat>
            <c:strRef>
              <c:f>'estatística'!$C$1:$M$1</c:f>
            </c:strRef>
          </c:cat>
          <c:val>
            <c:numRef>
              <c:f>'estatística'!$C$1679:$M$1679</c:f>
              <c:numCache/>
            </c:numRef>
          </c:val>
        </c:ser>
        <c:ser>
          <c:idx val="1678"/>
          <c:order val="1678"/>
          <c:tx>
            <c:strRef>
              <c:f>'estatística'!$B$1680</c:f>
            </c:strRef>
          </c:tx>
          <c:cat>
            <c:strRef>
              <c:f>'estatística'!$C$1:$M$1</c:f>
            </c:strRef>
          </c:cat>
          <c:val>
            <c:numRef>
              <c:f>'estatística'!$C$1680:$M$1680</c:f>
              <c:numCache/>
            </c:numRef>
          </c:val>
        </c:ser>
        <c:ser>
          <c:idx val="1679"/>
          <c:order val="1679"/>
          <c:tx>
            <c:strRef>
              <c:f>'estatística'!$B$1681</c:f>
            </c:strRef>
          </c:tx>
          <c:cat>
            <c:strRef>
              <c:f>'estatística'!$C$1:$M$1</c:f>
            </c:strRef>
          </c:cat>
          <c:val>
            <c:numRef>
              <c:f>'estatística'!$C$1681:$M$1681</c:f>
              <c:numCache/>
            </c:numRef>
          </c:val>
        </c:ser>
        <c:ser>
          <c:idx val="1680"/>
          <c:order val="1680"/>
          <c:tx>
            <c:strRef>
              <c:f>'estatística'!$B$1682</c:f>
            </c:strRef>
          </c:tx>
          <c:cat>
            <c:strRef>
              <c:f>'estatística'!$C$1:$M$1</c:f>
            </c:strRef>
          </c:cat>
          <c:val>
            <c:numRef>
              <c:f>'estatística'!$C$1682:$M$1682</c:f>
              <c:numCache/>
            </c:numRef>
          </c:val>
        </c:ser>
        <c:ser>
          <c:idx val="1681"/>
          <c:order val="1681"/>
          <c:tx>
            <c:strRef>
              <c:f>'estatística'!$B$1683</c:f>
            </c:strRef>
          </c:tx>
          <c:cat>
            <c:strRef>
              <c:f>'estatística'!$C$1:$M$1</c:f>
            </c:strRef>
          </c:cat>
          <c:val>
            <c:numRef>
              <c:f>'estatística'!$C$1683:$M$1683</c:f>
              <c:numCache/>
            </c:numRef>
          </c:val>
        </c:ser>
        <c:ser>
          <c:idx val="1682"/>
          <c:order val="1682"/>
          <c:tx>
            <c:strRef>
              <c:f>'estatística'!$B$1684</c:f>
            </c:strRef>
          </c:tx>
          <c:cat>
            <c:strRef>
              <c:f>'estatística'!$C$1:$M$1</c:f>
            </c:strRef>
          </c:cat>
          <c:val>
            <c:numRef>
              <c:f>'estatística'!$C$1684:$M$1684</c:f>
              <c:numCache/>
            </c:numRef>
          </c:val>
        </c:ser>
        <c:ser>
          <c:idx val="1683"/>
          <c:order val="1683"/>
          <c:tx>
            <c:strRef>
              <c:f>'estatística'!$B$1685</c:f>
            </c:strRef>
          </c:tx>
          <c:cat>
            <c:strRef>
              <c:f>'estatística'!$C$1:$M$1</c:f>
            </c:strRef>
          </c:cat>
          <c:val>
            <c:numRef>
              <c:f>'estatística'!$C$1685:$M$1685</c:f>
              <c:numCache/>
            </c:numRef>
          </c:val>
        </c:ser>
        <c:ser>
          <c:idx val="1684"/>
          <c:order val="1684"/>
          <c:tx>
            <c:strRef>
              <c:f>'estatística'!$B$1686</c:f>
            </c:strRef>
          </c:tx>
          <c:cat>
            <c:strRef>
              <c:f>'estatística'!$C$1:$M$1</c:f>
            </c:strRef>
          </c:cat>
          <c:val>
            <c:numRef>
              <c:f>'estatística'!$C$1686:$M$1686</c:f>
              <c:numCache/>
            </c:numRef>
          </c:val>
        </c:ser>
        <c:ser>
          <c:idx val="1685"/>
          <c:order val="1685"/>
          <c:tx>
            <c:strRef>
              <c:f>'estatística'!$B$1687</c:f>
            </c:strRef>
          </c:tx>
          <c:cat>
            <c:strRef>
              <c:f>'estatística'!$C$1:$M$1</c:f>
            </c:strRef>
          </c:cat>
          <c:val>
            <c:numRef>
              <c:f>'estatística'!$C$1687:$M$1687</c:f>
              <c:numCache/>
            </c:numRef>
          </c:val>
        </c:ser>
        <c:ser>
          <c:idx val="1686"/>
          <c:order val="1686"/>
          <c:tx>
            <c:strRef>
              <c:f>'estatística'!$B$1688</c:f>
            </c:strRef>
          </c:tx>
          <c:cat>
            <c:strRef>
              <c:f>'estatística'!$C$1:$M$1</c:f>
            </c:strRef>
          </c:cat>
          <c:val>
            <c:numRef>
              <c:f>'estatística'!$C$1688:$M$1688</c:f>
              <c:numCache/>
            </c:numRef>
          </c:val>
        </c:ser>
        <c:ser>
          <c:idx val="1687"/>
          <c:order val="1687"/>
          <c:tx>
            <c:strRef>
              <c:f>'estatística'!$B$1689</c:f>
            </c:strRef>
          </c:tx>
          <c:cat>
            <c:strRef>
              <c:f>'estatística'!$C$1:$M$1</c:f>
            </c:strRef>
          </c:cat>
          <c:val>
            <c:numRef>
              <c:f>'estatística'!$C$1689:$M$1689</c:f>
              <c:numCache/>
            </c:numRef>
          </c:val>
        </c:ser>
        <c:ser>
          <c:idx val="1688"/>
          <c:order val="1688"/>
          <c:tx>
            <c:strRef>
              <c:f>'estatística'!$B$1690</c:f>
            </c:strRef>
          </c:tx>
          <c:cat>
            <c:strRef>
              <c:f>'estatística'!$C$1:$M$1</c:f>
            </c:strRef>
          </c:cat>
          <c:val>
            <c:numRef>
              <c:f>'estatística'!$C$1690:$M$1690</c:f>
              <c:numCache/>
            </c:numRef>
          </c:val>
        </c:ser>
        <c:ser>
          <c:idx val="1689"/>
          <c:order val="1689"/>
          <c:tx>
            <c:strRef>
              <c:f>'estatística'!$B$1691</c:f>
            </c:strRef>
          </c:tx>
          <c:cat>
            <c:strRef>
              <c:f>'estatística'!$C$1:$M$1</c:f>
            </c:strRef>
          </c:cat>
          <c:val>
            <c:numRef>
              <c:f>'estatística'!$C$1691:$M$1691</c:f>
              <c:numCache/>
            </c:numRef>
          </c:val>
        </c:ser>
        <c:ser>
          <c:idx val="1690"/>
          <c:order val="1690"/>
          <c:tx>
            <c:strRef>
              <c:f>'estatística'!$B$1692</c:f>
            </c:strRef>
          </c:tx>
          <c:cat>
            <c:strRef>
              <c:f>'estatística'!$C$1:$M$1</c:f>
            </c:strRef>
          </c:cat>
          <c:val>
            <c:numRef>
              <c:f>'estatística'!$C$1692:$M$1692</c:f>
              <c:numCache/>
            </c:numRef>
          </c:val>
        </c:ser>
        <c:ser>
          <c:idx val="1691"/>
          <c:order val="1691"/>
          <c:tx>
            <c:strRef>
              <c:f>'estatística'!$B$1693</c:f>
            </c:strRef>
          </c:tx>
          <c:cat>
            <c:strRef>
              <c:f>'estatística'!$C$1:$M$1</c:f>
            </c:strRef>
          </c:cat>
          <c:val>
            <c:numRef>
              <c:f>'estatística'!$C$1693:$M$1693</c:f>
              <c:numCache/>
            </c:numRef>
          </c:val>
        </c:ser>
        <c:ser>
          <c:idx val="1692"/>
          <c:order val="1692"/>
          <c:tx>
            <c:strRef>
              <c:f>'estatística'!$B$1694</c:f>
            </c:strRef>
          </c:tx>
          <c:cat>
            <c:strRef>
              <c:f>'estatística'!$C$1:$M$1</c:f>
            </c:strRef>
          </c:cat>
          <c:val>
            <c:numRef>
              <c:f>'estatística'!$C$1694:$M$1694</c:f>
              <c:numCache/>
            </c:numRef>
          </c:val>
        </c:ser>
        <c:ser>
          <c:idx val="1693"/>
          <c:order val="1693"/>
          <c:tx>
            <c:strRef>
              <c:f>'estatística'!$B$1695</c:f>
            </c:strRef>
          </c:tx>
          <c:cat>
            <c:strRef>
              <c:f>'estatística'!$C$1:$M$1</c:f>
            </c:strRef>
          </c:cat>
          <c:val>
            <c:numRef>
              <c:f>'estatística'!$C$1695:$M$1695</c:f>
              <c:numCache/>
            </c:numRef>
          </c:val>
        </c:ser>
        <c:ser>
          <c:idx val="1694"/>
          <c:order val="1694"/>
          <c:tx>
            <c:strRef>
              <c:f>'estatística'!$B$1696</c:f>
            </c:strRef>
          </c:tx>
          <c:cat>
            <c:strRef>
              <c:f>'estatística'!$C$1:$M$1</c:f>
            </c:strRef>
          </c:cat>
          <c:val>
            <c:numRef>
              <c:f>'estatística'!$C$1696:$M$1696</c:f>
              <c:numCache/>
            </c:numRef>
          </c:val>
        </c:ser>
        <c:ser>
          <c:idx val="1695"/>
          <c:order val="1695"/>
          <c:tx>
            <c:strRef>
              <c:f>'estatística'!$B$1697</c:f>
            </c:strRef>
          </c:tx>
          <c:cat>
            <c:strRef>
              <c:f>'estatística'!$C$1:$M$1</c:f>
            </c:strRef>
          </c:cat>
          <c:val>
            <c:numRef>
              <c:f>'estatística'!$C$1697:$M$1697</c:f>
              <c:numCache/>
            </c:numRef>
          </c:val>
        </c:ser>
        <c:ser>
          <c:idx val="1696"/>
          <c:order val="1696"/>
          <c:tx>
            <c:strRef>
              <c:f>'estatística'!$B$1698</c:f>
            </c:strRef>
          </c:tx>
          <c:cat>
            <c:strRef>
              <c:f>'estatística'!$C$1:$M$1</c:f>
            </c:strRef>
          </c:cat>
          <c:val>
            <c:numRef>
              <c:f>'estatística'!$C$1698:$M$1698</c:f>
              <c:numCache/>
            </c:numRef>
          </c:val>
        </c:ser>
        <c:ser>
          <c:idx val="1697"/>
          <c:order val="1697"/>
          <c:tx>
            <c:strRef>
              <c:f>'estatística'!$B$1699</c:f>
            </c:strRef>
          </c:tx>
          <c:cat>
            <c:strRef>
              <c:f>'estatística'!$C$1:$M$1</c:f>
            </c:strRef>
          </c:cat>
          <c:val>
            <c:numRef>
              <c:f>'estatística'!$C$1699:$M$1699</c:f>
              <c:numCache/>
            </c:numRef>
          </c:val>
        </c:ser>
        <c:ser>
          <c:idx val="1698"/>
          <c:order val="1698"/>
          <c:tx>
            <c:strRef>
              <c:f>'estatística'!$B$1700</c:f>
            </c:strRef>
          </c:tx>
          <c:cat>
            <c:strRef>
              <c:f>'estatística'!$C$1:$M$1</c:f>
            </c:strRef>
          </c:cat>
          <c:val>
            <c:numRef>
              <c:f>'estatística'!$C$1700:$M$1700</c:f>
              <c:numCache/>
            </c:numRef>
          </c:val>
        </c:ser>
        <c:ser>
          <c:idx val="1699"/>
          <c:order val="1699"/>
          <c:tx>
            <c:strRef>
              <c:f>'estatística'!$B$1701</c:f>
            </c:strRef>
          </c:tx>
          <c:cat>
            <c:strRef>
              <c:f>'estatística'!$C$1:$M$1</c:f>
            </c:strRef>
          </c:cat>
          <c:val>
            <c:numRef>
              <c:f>'estatística'!$C$1701:$M$1701</c:f>
              <c:numCache/>
            </c:numRef>
          </c:val>
        </c:ser>
        <c:ser>
          <c:idx val="1700"/>
          <c:order val="1700"/>
          <c:tx>
            <c:strRef>
              <c:f>'estatística'!$B$1702</c:f>
            </c:strRef>
          </c:tx>
          <c:cat>
            <c:strRef>
              <c:f>'estatística'!$C$1:$M$1</c:f>
            </c:strRef>
          </c:cat>
          <c:val>
            <c:numRef>
              <c:f>'estatística'!$C$1702:$M$1702</c:f>
              <c:numCache/>
            </c:numRef>
          </c:val>
        </c:ser>
        <c:ser>
          <c:idx val="1701"/>
          <c:order val="1701"/>
          <c:tx>
            <c:strRef>
              <c:f>'estatística'!$B$1703</c:f>
            </c:strRef>
          </c:tx>
          <c:cat>
            <c:strRef>
              <c:f>'estatística'!$C$1:$M$1</c:f>
            </c:strRef>
          </c:cat>
          <c:val>
            <c:numRef>
              <c:f>'estatística'!$C$1703:$M$1703</c:f>
              <c:numCache/>
            </c:numRef>
          </c:val>
        </c:ser>
        <c:ser>
          <c:idx val="1702"/>
          <c:order val="1702"/>
          <c:tx>
            <c:strRef>
              <c:f>'estatística'!$B$1704</c:f>
            </c:strRef>
          </c:tx>
          <c:cat>
            <c:strRef>
              <c:f>'estatística'!$C$1:$M$1</c:f>
            </c:strRef>
          </c:cat>
          <c:val>
            <c:numRef>
              <c:f>'estatística'!$C$1704:$M$1704</c:f>
              <c:numCache/>
            </c:numRef>
          </c:val>
        </c:ser>
        <c:ser>
          <c:idx val="1703"/>
          <c:order val="1703"/>
          <c:tx>
            <c:strRef>
              <c:f>'estatística'!$B$1705</c:f>
            </c:strRef>
          </c:tx>
          <c:cat>
            <c:strRef>
              <c:f>'estatística'!$C$1:$M$1</c:f>
            </c:strRef>
          </c:cat>
          <c:val>
            <c:numRef>
              <c:f>'estatística'!$C$1705:$M$1705</c:f>
              <c:numCache/>
            </c:numRef>
          </c:val>
        </c:ser>
        <c:ser>
          <c:idx val="1704"/>
          <c:order val="1704"/>
          <c:tx>
            <c:strRef>
              <c:f>'estatística'!$B$1706</c:f>
            </c:strRef>
          </c:tx>
          <c:cat>
            <c:strRef>
              <c:f>'estatística'!$C$1:$M$1</c:f>
            </c:strRef>
          </c:cat>
          <c:val>
            <c:numRef>
              <c:f>'estatística'!$C$1706:$M$1706</c:f>
              <c:numCache/>
            </c:numRef>
          </c:val>
        </c:ser>
        <c:ser>
          <c:idx val="1705"/>
          <c:order val="1705"/>
          <c:tx>
            <c:strRef>
              <c:f>'estatística'!$B$1707</c:f>
            </c:strRef>
          </c:tx>
          <c:cat>
            <c:strRef>
              <c:f>'estatística'!$C$1:$M$1</c:f>
            </c:strRef>
          </c:cat>
          <c:val>
            <c:numRef>
              <c:f>'estatística'!$C$1707:$M$1707</c:f>
              <c:numCache/>
            </c:numRef>
          </c:val>
        </c:ser>
        <c:ser>
          <c:idx val="1706"/>
          <c:order val="1706"/>
          <c:tx>
            <c:strRef>
              <c:f>'estatística'!$B$1708</c:f>
            </c:strRef>
          </c:tx>
          <c:cat>
            <c:strRef>
              <c:f>'estatística'!$C$1:$M$1</c:f>
            </c:strRef>
          </c:cat>
          <c:val>
            <c:numRef>
              <c:f>'estatística'!$C$1708:$M$1708</c:f>
              <c:numCache/>
            </c:numRef>
          </c:val>
        </c:ser>
        <c:ser>
          <c:idx val="1707"/>
          <c:order val="1707"/>
          <c:tx>
            <c:strRef>
              <c:f>'estatística'!$B$1709</c:f>
            </c:strRef>
          </c:tx>
          <c:cat>
            <c:strRef>
              <c:f>'estatística'!$C$1:$M$1</c:f>
            </c:strRef>
          </c:cat>
          <c:val>
            <c:numRef>
              <c:f>'estatística'!$C$1709:$M$1709</c:f>
              <c:numCache/>
            </c:numRef>
          </c:val>
        </c:ser>
        <c:ser>
          <c:idx val="1708"/>
          <c:order val="1708"/>
          <c:tx>
            <c:strRef>
              <c:f>'estatística'!$B$1710</c:f>
            </c:strRef>
          </c:tx>
          <c:cat>
            <c:strRef>
              <c:f>'estatística'!$C$1:$M$1</c:f>
            </c:strRef>
          </c:cat>
          <c:val>
            <c:numRef>
              <c:f>'estatística'!$C$1710:$M$1710</c:f>
              <c:numCache/>
            </c:numRef>
          </c:val>
        </c:ser>
        <c:ser>
          <c:idx val="1709"/>
          <c:order val="1709"/>
          <c:tx>
            <c:strRef>
              <c:f>'estatística'!$B$1711</c:f>
            </c:strRef>
          </c:tx>
          <c:cat>
            <c:strRef>
              <c:f>'estatística'!$C$1:$M$1</c:f>
            </c:strRef>
          </c:cat>
          <c:val>
            <c:numRef>
              <c:f>'estatística'!$C$1711:$M$1711</c:f>
              <c:numCache/>
            </c:numRef>
          </c:val>
        </c:ser>
        <c:ser>
          <c:idx val="1710"/>
          <c:order val="1710"/>
          <c:tx>
            <c:strRef>
              <c:f>'estatística'!$B$1712</c:f>
            </c:strRef>
          </c:tx>
          <c:cat>
            <c:strRef>
              <c:f>'estatística'!$C$1:$M$1</c:f>
            </c:strRef>
          </c:cat>
          <c:val>
            <c:numRef>
              <c:f>'estatística'!$C$1712:$M$1712</c:f>
              <c:numCache/>
            </c:numRef>
          </c:val>
        </c:ser>
        <c:ser>
          <c:idx val="1711"/>
          <c:order val="1711"/>
          <c:tx>
            <c:strRef>
              <c:f>'estatística'!$B$1713</c:f>
            </c:strRef>
          </c:tx>
          <c:cat>
            <c:strRef>
              <c:f>'estatística'!$C$1:$M$1</c:f>
            </c:strRef>
          </c:cat>
          <c:val>
            <c:numRef>
              <c:f>'estatística'!$C$1713:$M$1713</c:f>
              <c:numCache/>
            </c:numRef>
          </c:val>
        </c:ser>
        <c:ser>
          <c:idx val="1712"/>
          <c:order val="1712"/>
          <c:tx>
            <c:strRef>
              <c:f>'estatística'!$B$1714</c:f>
            </c:strRef>
          </c:tx>
          <c:cat>
            <c:strRef>
              <c:f>'estatística'!$C$1:$M$1</c:f>
            </c:strRef>
          </c:cat>
          <c:val>
            <c:numRef>
              <c:f>'estatística'!$C$1714:$M$1714</c:f>
              <c:numCache/>
            </c:numRef>
          </c:val>
        </c:ser>
        <c:ser>
          <c:idx val="1713"/>
          <c:order val="1713"/>
          <c:tx>
            <c:strRef>
              <c:f>'estatística'!$B$1715</c:f>
            </c:strRef>
          </c:tx>
          <c:cat>
            <c:strRef>
              <c:f>'estatística'!$C$1:$M$1</c:f>
            </c:strRef>
          </c:cat>
          <c:val>
            <c:numRef>
              <c:f>'estatística'!$C$1715:$M$1715</c:f>
              <c:numCache/>
            </c:numRef>
          </c:val>
        </c:ser>
        <c:ser>
          <c:idx val="1714"/>
          <c:order val="1714"/>
          <c:tx>
            <c:strRef>
              <c:f>'estatística'!$B$1716</c:f>
            </c:strRef>
          </c:tx>
          <c:cat>
            <c:strRef>
              <c:f>'estatística'!$C$1:$M$1</c:f>
            </c:strRef>
          </c:cat>
          <c:val>
            <c:numRef>
              <c:f>'estatística'!$C$1716:$M$1716</c:f>
              <c:numCache/>
            </c:numRef>
          </c:val>
        </c:ser>
        <c:ser>
          <c:idx val="1715"/>
          <c:order val="1715"/>
          <c:tx>
            <c:strRef>
              <c:f>'estatística'!$B$1717</c:f>
            </c:strRef>
          </c:tx>
          <c:cat>
            <c:strRef>
              <c:f>'estatística'!$C$1:$M$1</c:f>
            </c:strRef>
          </c:cat>
          <c:val>
            <c:numRef>
              <c:f>'estatística'!$C$1717:$M$1717</c:f>
              <c:numCache/>
            </c:numRef>
          </c:val>
        </c:ser>
        <c:ser>
          <c:idx val="1716"/>
          <c:order val="1716"/>
          <c:tx>
            <c:strRef>
              <c:f>'estatística'!$B$1718</c:f>
            </c:strRef>
          </c:tx>
          <c:cat>
            <c:strRef>
              <c:f>'estatística'!$C$1:$M$1</c:f>
            </c:strRef>
          </c:cat>
          <c:val>
            <c:numRef>
              <c:f>'estatística'!$C$1718:$M$1718</c:f>
              <c:numCache/>
            </c:numRef>
          </c:val>
        </c:ser>
        <c:ser>
          <c:idx val="1717"/>
          <c:order val="1717"/>
          <c:tx>
            <c:strRef>
              <c:f>'estatística'!$B$1719</c:f>
            </c:strRef>
          </c:tx>
          <c:cat>
            <c:strRef>
              <c:f>'estatística'!$C$1:$M$1</c:f>
            </c:strRef>
          </c:cat>
          <c:val>
            <c:numRef>
              <c:f>'estatística'!$C$1719:$M$1719</c:f>
              <c:numCache/>
            </c:numRef>
          </c:val>
        </c:ser>
        <c:ser>
          <c:idx val="1718"/>
          <c:order val="1718"/>
          <c:tx>
            <c:strRef>
              <c:f>'estatística'!$B$1720</c:f>
            </c:strRef>
          </c:tx>
          <c:cat>
            <c:strRef>
              <c:f>'estatística'!$C$1:$M$1</c:f>
            </c:strRef>
          </c:cat>
          <c:val>
            <c:numRef>
              <c:f>'estatística'!$C$1720:$M$1720</c:f>
              <c:numCache/>
            </c:numRef>
          </c:val>
        </c:ser>
        <c:ser>
          <c:idx val="1719"/>
          <c:order val="1719"/>
          <c:tx>
            <c:strRef>
              <c:f>'estatística'!$B$1721</c:f>
            </c:strRef>
          </c:tx>
          <c:cat>
            <c:strRef>
              <c:f>'estatística'!$C$1:$M$1</c:f>
            </c:strRef>
          </c:cat>
          <c:val>
            <c:numRef>
              <c:f>'estatística'!$C$1721:$M$1721</c:f>
              <c:numCache/>
            </c:numRef>
          </c:val>
        </c:ser>
        <c:ser>
          <c:idx val="1720"/>
          <c:order val="1720"/>
          <c:tx>
            <c:strRef>
              <c:f>'estatística'!$B$1722</c:f>
            </c:strRef>
          </c:tx>
          <c:cat>
            <c:strRef>
              <c:f>'estatística'!$C$1:$M$1</c:f>
            </c:strRef>
          </c:cat>
          <c:val>
            <c:numRef>
              <c:f>'estatística'!$C$1722:$M$1722</c:f>
              <c:numCache/>
            </c:numRef>
          </c:val>
        </c:ser>
        <c:ser>
          <c:idx val="1721"/>
          <c:order val="1721"/>
          <c:tx>
            <c:strRef>
              <c:f>'estatística'!$B$1723</c:f>
            </c:strRef>
          </c:tx>
          <c:cat>
            <c:strRef>
              <c:f>'estatística'!$C$1:$M$1</c:f>
            </c:strRef>
          </c:cat>
          <c:val>
            <c:numRef>
              <c:f>'estatística'!$C$1723:$M$1723</c:f>
              <c:numCache/>
            </c:numRef>
          </c:val>
        </c:ser>
        <c:ser>
          <c:idx val="1722"/>
          <c:order val="1722"/>
          <c:tx>
            <c:strRef>
              <c:f>'estatística'!$B$1724</c:f>
            </c:strRef>
          </c:tx>
          <c:cat>
            <c:strRef>
              <c:f>'estatística'!$C$1:$M$1</c:f>
            </c:strRef>
          </c:cat>
          <c:val>
            <c:numRef>
              <c:f>'estatística'!$C$1724:$M$1724</c:f>
              <c:numCache/>
            </c:numRef>
          </c:val>
        </c:ser>
        <c:ser>
          <c:idx val="1723"/>
          <c:order val="1723"/>
          <c:tx>
            <c:strRef>
              <c:f>'estatística'!$B$1725</c:f>
            </c:strRef>
          </c:tx>
          <c:cat>
            <c:strRef>
              <c:f>'estatística'!$C$1:$M$1</c:f>
            </c:strRef>
          </c:cat>
          <c:val>
            <c:numRef>
              <c:f>'estatística'!$C$1725:$M$1725</c:f>
              <c:numCache/>
            </c:numRef>
          </c:val>
        </c:ser>
        <c:ser>
          <c:idx val="1724"/>
          <c:order val="1724"/>
          <c:tx>
            <c:strRef>
              <c:f>'estatística'!$B$1726</c:f>
            </c:strRef>
          </c:tx>
          <c:cat>
            <c:strRef>
              <c:f>'estatística'!$C$1:$M$1</c:f>
            </c:strRef>
          </c:cat>
          <c:val>
            <c:numRef>
              <c:f>'estatística'!$C$1726:$M$1726</c:f>
              <c:numCache/>
            </c:numRef>
          </c:val>
        </c:ser>
        <c:ser>
          <c:idx val="1725"/>
          <c:order val="1725"/>
          <c:tx>
            <c:strRef>
              <c:f>'estatística'!$B$1727</c:f>
            </c:strRef>
          </c:tx>
          <c:cat>
            <c:strRef>
              <c:f>'estatística'!$C$1:$M$1</c:f>
            </c:strRef>
          </c:cat>
          <c:val>
            <c:numRef>
              <c:f>'estatística'!$C$1727:$M$1727</c:f>
              <c:numCache/>
            </c:numRef>
          </c:val>
        </c:ser>
        <c:ser>
          <c:idx val="1726"/>
          <c:order val="1726"/>
          <c:tx>
            <c:strRef>
              <c:f>'estatística'!$B$1728</c:f>
            </c:strRef>
          </c:tx>
          <c:cat>
            <c:strRef>
              <c:f>'estatística'!$C$1:$M$1</c:f>
            </c:strRef>
          </c:cat>
          <c:val>
            <c:numRef>
              <c:f>'estatística'!$C$1728:$M$1728</c:f>
              <c:numCache/>
            </c:numRef>
          </c:val>
        </c:ser>
        <c:ser>
          <c:idx val="1727"/>
          <c:order val="1727"/>
          <c:tx>
            <c:strRef>
              <c:f>'estatística'!$B$1729</c:f>
            </c:strRef>
          </c:tx>
          <c:cat>
            <c:strRef>
              <c:f>'estatística'!$C$1:$M$1</c:f>
            </c:strRef>
          </c:cat>
          <c:val>
            <c:numRef>
              <c:f>'estatística'!$C$1729:$M$1729</c:f>
              <c:numCache/>
            </c:numRef>
          </c:val>
        </c:ser>
        <c:ser>
          <c:idx val="1728"/>
          <c:order val="1728"/>
          <c:tx>
            <c:strRef>
              <c:f>'estatística'!$B$1730</c:f>
            </c:strRef>
          </c:tx>
          <c:cat>
            <c:strRef>
              <c:f>'estatística'!$C$1:$M$1</c:f>
            </c:strRef>
          </c:cat>
          <c:val>
            <c:numRef>
              <c:f>'estatística'!$C$1730:$M$1730</c:f>
              <c:numCache/>
            </c:numRef>
          </c:val>
        </c:ser>
        <c:ser>
          <c:idx val="1729"/>
          <c:order val="1729"/>
          <c:tx>
            <c:strRef>
              <c:f>'estatística'!$B$1731</c:f>
            </c:strRef>
          </c:tx>
          <c:cat>
            <c:strRef>
              <c:f>'estatística'!$C$1:$M$1</c:f>
            </c:strRef>
          </c:cat>
          <c:val>
            <c:numRef>
              <c:f>'estatística'!$C$1731:$M$1731</c:f>
              <c:numCache/>
            </c:numRef>
          </c:val>
        </c:ser>
        <c:ser>
          <c:idx val="1730"/>
          <c:order val="1730"/>
          <c:tx>
            <c:strRef>
              <c:f>'estatística'!$B$1732</c:f>
            </c:strRef>
          </c:tx>
          <c:cat>
            <c:strRef>
              <c:f>'estatística'!$C$1:$M$1</c:f>
            </c:strRef>
          </c:cat>
          <c:val>
            <c:numRef>
              <c:f>'estatística'!$C$1732:$M$1732</c:f>
              <c:numCache/>
            </c:numRef>
          </c:val>
        </c:ser>
        <c:ser>
          <c:idx val="1731"/>
          <c:order val="1731"/>
          <c:tx>
            <c:strRef>
              <c:f>'estatística'!$B$1733</c:f>
            </c:strRef>
          </c:tx>
          <c:cat>
            <c:strRef>
              <c:f>'estatística'!$C$1:$M$1</c:f>
            </c:strRef>
          </c:cat>
          <c:val>
            <c:numRef>
              <c:f>'estatística'!$C$1733:$M$1733</c:f>
              <c:numCache/>
            </c:numRef>
          </c:val>
        </c:ser>
        <c:ser>
          <c:idx val="1732"/>
          <c:order val="1732"/>
          <c:tx>
            <c:strRef>
              <c:f>'estatística'!$B$1734</c:f>
            </c:strRef>
          </c:tx>
          <c:cat>
            <c:strRef>
              <c:f>'estatística'!$C$1:$M$1</c:f>
            </c:strRef>
          </c:cat>
          <c:val>
            <c:numRef>
              <c:f>'estatística'!$C$1734:$M$1734</c:f>
              <c:numCache/>
            </c:numRef>
          </c:val>
        </c:ser>
        <c:ser>
          <c:idx val="1733"/>
          <c:order val="1733"/>
          <c:tx>
            <c:strRef>
              <c:f>'estatística'!$B$1735</c:f>
            </c:strRef>
          </c:tx>
          <c:cat>
            <c:strRef>
              <c:f>'estatística'!$C$1:$M$1</c:f>
            </c:strRef>
          </c:cat>
          <c:val>
            <c:numRef>
              <c:f>'estatística'!$C$1735:$M$1735</c:f>
              <c:numCache/>
            </c:numRef>
          </c:val>
        </c:ser>
        <c:ser>
          <c:idx val="1734"/>
          <c:order val="1734"/>
          <c:tx>
            <c:strRef>
              <c:f>'estatística'!$B$1736</c:f>
            </c:strRef>
          </c:tx>
          <c:cat>
            <c:strRef>
              <c:f>'estatística'!$C$1:$M$1</c:f>
            </c:strRef>
          </c:cat>
          <c:val>
            <c:numRef>
              <c:f>'estatística'!$C$1736:$M$1736</c:f>
              <c:numCache/>
            </c:numRef>
          </c:val>
        </c:ser>
        <c:ser>
          <c:idx val="1735"/>
          <c:order val="1735"/>
          <c:tx>
            <c:strRef>
              <c:f>'estatística'!$B$1737</c:f>
            </c:strRef>
          </c:tx>
          <c:cat>
            <c:strRef>
              <c:f>'estatística'!$C$1:$M$1</c:f>
            </c:strRef>
          </c:cat>
          <c:val>
            <c:numRef>
              <c:f>'estatística'!$C$1737:$M$1737</c:f>
              <c:numCache/>
            </c:numRef>
          </c:val>
        </c:ser>
        <c:ser>
          <c:idx val="1736"/>
          <c:order val="1736"/>
          <c:tx>
            <c:strRef>
              <c:f>'estatística'!$B$1738</c:f>
            </c:strRef>
          </c:tx>
          <c:cat>
            <c:strRef>
              <c:f>'estatística'!$C$1:$M$1</c:f>
            </c:strRef>
          </c:cat>
          <c:val>
            <c:numRef>
              <c:f>'estatística'!$C$1738:$M$1738</c:f>
              <c:numCache/>
            </c:numRef>
          </c:val>
        </c:ser>
        <c:ser>
          <c:idx val="1737"/>
          <c:order val="1737"/>
          <c:tx>
            <c:strRef>
              <c:f>'estatística'!$B$1739</c:f>
            </c:strRef>
          </c:tx>
          <c:cat>
            <c:strRef>
              <c:f>'estatística'!$C$1:$M$1</c:f>
            </c:strRef>
          </c:cat>
          <c:val>
            <c:numRef>
              <c:f>'estatística'!$C$1739:$M$1739</c:f>
              <c:numCache/>
            </c:numRef>
          </c:val>
        </c:ser>
        <c:ser>
          <c:idx val="1738"/>
          <c:order val="1738"/>
          <c:tx>
            <c:strRef>
              <c:f>'estatística'!$B$1740</c:f>
            </c:strRef>
          </c:tx>
          <c:cat>
            <c:strRef>
              <c:f>'estatística'!$C$1:$M$1</c:f>
            </c:strRef>
          </c:cat>
          <c:val>
            <c:numRef>
              <c:f>'estatística'!$C$1740:$M$1740</c:f>
              <c:numCache/>
            </c:numRef>
          </c:val>
        </c:ser>
        <c:ser>
          <c:idx val="1739"/>
          <c:order val="1739"/>
          <c:tx>
            <c:strRef>
              <c:f>'estatística'!$B$1741</c:f>
            </c:strRef>
          </c:tx>
          <c:cat>
            <c:strRef>
              <c:f>'estatística'!$C$1:$M$1</c:f>
            </c:strRef>
          </c:cat>
          <c:val>
            <c:numRef>
              <c:f>'estatística'!$C$1741:$M$1741</c:f>
              <c:numCache/>
            </c:numRef>
          </c:val>
        </c:ser>
        <c:ser>
          <c:idx val="1740"/>
          <c:order val="1740"/>
          <c:tx>
            <c:strRef>
              <c:f>'estatística'!$B$1742</c:f>
            </c:strRef>
          </c:tx>
          <c:cat>
            <c:strRef>
              <c:f>'estatística'!$C$1:$M$1</c:f>
            </c:strRef>
          </c:cat>
          <c:val>
            <c:numRef>
              <c:f>'estatística'!$C$1742:$M$1742</c:f>
              <c:numCache/>
            </c:numRef>
          </c:val>
        </c:ser>
        <c:ser>
          <c:idx val="1741"/>
          <c:order val="1741"/>
          <c:tx>
            <c:strRef>
              <c:f>'estatística'!$B$1743</c:f>
            </c:strRef>
          </c:tx>
          <c:cat>
            <c:strRef>
              <c:f>'estatística'!$C$1:$M$1</c:f>
            </c:strRef>
          </c:cat>
          <c:val>
            <c:numRef>
              <c:f>'estatística'!$C$1743:$M$1743</c:f>
              <c:numCache/>
            </c:numRef>
          </c:val>
        </c:ser>
        <c:ser>
          <c:idx val="1742"/>
          <c:order val="1742"/>
          <c:tx>
            <c:strRef>
              <c:f>'estatística'!$B$1744</c:f>
            </c:strRef>
          </c:tx>
          <c:cat>
            <c:strRef>
              <c:f>'estatística'!$C$1:$M$1</c:f>
            </c:strRef>
          </c:cat>
          <c:val>
            <c:numRef>
              <c:f>'estatística'!$C$1744:$M$1744</c:f>
              <c:numCache/>
            </c:numRef>
          </c:val>
        </c:ser>
        <c:ser>
          <c:idx val="1743"/>
          <c:order val="1743"/>
          <c:tx>
            <c:strRef>
              <c:f>'estatística'!$B$1745</c:f>
            </c:strRef>
          </c:tx>
          <c:cat>
            <c:strRef>
              <c:f>'estatística'!$C$1:$M$1</c:f>
            </c:strRef>
          </c:cat>
          <c:val>
            <c:numRef>
              <c:f>'estatística'!$C$1745:$M$1745</c:f>
              <c:numCache/>
            </c:numRef>
          </c:val>
        </c:ser>
        <c:ser>
          <c:idx val="1744"/>
          <c:order val="1744"/>
          <c:tx>
            <c:strRef>
              <c:f>'estatística'!$B$1746</c:f>
            </c:strRef>
          </c:tx>
          <c:cat>
            <c:strRef>
              <c:f>'estatística'!$C$1:$M$1</c:f>
            </c:strRef>
          </c:cat>
          <c:val>
            <c:numRef>
              <c:f>'estatística'!$C$1746:$M$1746</c:f>
              <c:numCache/>
            </c:numRef>
          </c:val>
        </c:ser>
        <c:ser>
          <c:idx val="1745"/>
          <c:order val="1745"/>
          <c:tx>
            <c:strRef>
              <c:f>'estatística'!$B$1747</c:f>
            </c:strRef>
          </c:tx>
          <c:cat>
            <c:strRef>
              <c:f>'estatística'!$C$1:$M$1</c:f>
            </c:strRef>
          </c:cat>
          <c:val>
            <c:numRef>
              <c:f>'estatística'!$C$1747:$M$1747</c:f>
              <c:numCache/>
            </c:numRef>
          </c:val>
        </c:ser>
        <c:ser>
          <c:idx val="1746"/>
          <c:order val="1746"/>
          <c:tx>
            <c:strRef>
              <c:f>'estatística'!$B$1748</c:f>
            </c:strRef>
          </c:tx>
          <c:cat>
            <c:strRef>
              <c:f>'estatística'!$C$1:$M$1</c:f>
            </c:strRef>
          </c:cat>
          <c:val>
            <c:numRef>
              <c:f>'estatística'!$C$1748:$M$1748</c:f>
              <c:numCache/>
            </c:numRef>
          </c:val>
        </c:ser>
        <c:ser>
          <c:idx val="1747"/>
          <c:order val="1747"/>
          <c:tx>
            <c:strRef>
              <c:f>'estatística'!$B$1749</c:f>
            </c:strRef>
          </c:tx>
          <c:cat>
            <c:strRef>
              <c:f>'estatística'!$C$1:$M$1</c:f>
            </c:strRef>
          </c:cat>
          <c:val>
            <c:numRef>
              <c:f>'estatística'!$C$1749:$M$1749</c:f>
              <c:numCache/>
            </c:numRef>
          </c:val>
        </c:ser>
        <c:ser>
          <c:idx val="1748"/>
          <c:order val="1748"/>
          <c:tx>
            <c:strRef>
              <c:f>'estatística'!$B$1750</c:f>
            </c:strRef>
          </c:tx>
          <c:cat>
            <c:strRef>
              <c:f>'estatística'!$C$1:$M$1</c:f>
            </c:strRef>
          </c:cat>
          <c:val>
            <c:numRef>
              <c:f>'estatística'!$C$1750:$M$1750</c:f>
              <c:numCache/>
            </c:numRef>
          </c:val>
        </c:ser>
        <c:ser>
          <c:idx val="1749"/>
          <c:order val="1749"/>
          <c:tx>
            <c:strRef>
              <c:f>'estatística'!$B$1751</c:f>
            </c:strRef>
          </c:tx>
          <c:cat>
            <c:strRef>
              <c:f>'estatística'!$C$1:$M$1</c:f>
            </c:strRef>
          </c:cat>
          <c:val>
            <c:numRef>
              <c:f>'estatística'!$C$1751:$M$1751</c:f>
              <c:numCache/>
            </c:numRef>
          </c:val>
        </c:ser>
        <c:ser>
          <c:idx val="1750"/>
          <c:order val="1750"/>
          <c:tx>
            <c:strRef>
              <c:f>'estatística'!$B$1752</c:f>
            </c:strRef>
          </c:tx>
          <c:cat>
            <c:strRef>
              <c:f>'estatística'!$C$1:$M$1</c:f>
            </c:strRef>
          </c:cat>
          <c:val>
            <c:numRef>
              <c:f>'estatística'!$C$1752:$M$1752</c:f>
              <c:numCache/>
            </c:numRef>
          </c:val>
        </c:ser>
        <c:ser>
          <c:idx val="1751"/>
          <c:order val="1751"/>
          <c:tx>
            <c:strRef>
              <c:f>'estatística'!$B$1753</c:f>
            </c:strRef>
          </c:tx>
          <c:cat>
            <c:strRef>
              <c:f>'estatística'!$C$1:$M$1</c:f>
            </c:strRef>
          </c:cat>
          <c:val>
            <c:numRef>
              <c:f>'estatística'!$C$1753:$M$1753</c:f>
              <c:numCache/>
            </c:numRef>
          </c:val>
        </c:ser>
        <c:ser>
          <c:idx val="1752"/>
          <c:order val="1752"/>
          <c:tx>
            <c:strRef>
              <c:f>'estatística'!$B$1754</c:f>
            </c:strRef>
          </c:tx>
          <c:cat>
            <c:strRef>
              <c:f>'estatística'!$C$1:$M$1</c:f>
            </c:strRef>
          </c:cat>
          <c:val>
            <c:numRef>
              <c:f>'estatística'!$C$1754:$M$1754</c:f>
              <c:numCache/>
            </c:numRef>
          </c:val>
        </c:ser>
        <c:ser>
          <c:idx val="1753"/>
          <c:order val="1753"/>
          <c:tx>
            <c:strRef>
              <c:f>'estatística'!$B$1755</c:f>
            </c:strRef>
          </c:tx>
          <c:cat>
            <c:strRef>
              <c:f>'estatística'!$C$1:$M$1</c:f>
            </c:strRef>
          </c:cat>
          <c:val>
            <c:numRef>
              <c:f>'estatística'!$C$1755:$M$1755</c:f>
              <c:numCache/>
            </c:numRef>
          </c:val>
        </c:ser>
        <c:ser>
          <c:idx val="1754"/>
          <c:order val="1754"/>
          <c:tx>
            <c:strRef>
              <c:f>'estatística'!$B$1756</c:f>
            </c:strRef>
          </c:tx>
          <c:cat>
            <c:strRef>
              <c:f>'estatística'!$C$1:$M$1</c:f>
            </c:strRef>
          </c:cat>
          <c:val>
            <c:numRef>
              <c:f>'estatística'!$C$1756:$M$1756</c:f>
              <c:numCache/>
            </c:numRef>
          </c:val>
        </c:ser>
        <c:ser>
          <c:idx val="1755"/>
          <c:order val="1755"/>
          <c:tx>
            <c:strRef>
              <c:f>'estatística'!$B$1757</c:f>
            </c:strRef>
          </c:tx>
          <c:cat>
            <c:strRef>
              <c:f>'estatística'!$C$1:$M$1</c:f>
            </c:strRef>
          </c:cat>
          <c:val>
            <c:numRef>
              <c:f>'estatística'!$C$1757:$M$1757</c:f>
              <c:numCache/>
            </c:numRef>
          </c:val>
        </c:ser>
        <c:ser>
          <c:idx val="1756"/>
          <c:order val="1756"/>
          <c:tx>
            <c:strRef>
              <c:f>'estatística'!$B$1758</c:f>
            </c:strRef>
          </c:tx>
          <c:cat>
            <c:strRef>
              <c:f>'estatística'!$C$1:$M$1</c:f>
            </c:strRef>
          </c:cat>
          <c:val>
            <c:numRef>
              <c:f>'estatística'!$C$1758:$M$1758</c:f>
              <c:numCache/>
            </c:numRef>
          </c:val>
        </c:ser>
        <c:ser>
          <c:idx val="1757"/>
          <c:order val="1757"/>
          <c:tx>
            <c:strRef>
              <c:f>'estatística'!$B$1759</c:f>
            </c:strRef>
          </c:tx>
          <c:cat>
            <c:strRef>
              <c:f>'estatística'!$C$1:$M$1</c:f>
            </c:strRef>
          </c:cat>
          <c:val>
            <c:numRef>
              <c:f>'estatística'!$C$1759:$M$1759</c:f>
              <c:numCache/>
            </c:numRef>
          </c:val>
        </c:ser>
        <c:ser>
          <c:idx val="1758"/>
          <c:order val="1758"/>
          <c:tx>
            <c:strRef>
              <c:f>'estatística'!$B$1760</c:f>
            </c:strRef>
          </c:tx>
          <c:cat>
            <c:strRef>
              <c:f>'estatística'!$C$1:$M$1</c:f>
            </c:strRef>
          </c:cat>
          <c:val>
            <c:numRef>
              <c:f>'estatística'!$C$1760:$M$1760</c:f>
              <c:numCache/>
            </c:numRef>
          </c:val>
        </c:ser>
        <c:ser>
          <c:idx val="1759"/>
          <c:order val="1759"/>
          <c:tx>
            <c:strRef>
              <c:f>'estatística'!$B$1761</c:f>
            </c:strRef>
          </c:tx>
          <c:cat>
            <c:strRef>
              <c:f>'estatística'!$C$1:$M$1</c:f>
            </c:strRef>
          </c:cat>
          <c:val>
            <c:numRef>
              <c:f>'estatística'!$C$1761:$M$1761</c:f>
              <c:numCache/>
            </c:numRef>
          </c:val>
        </c:ser>
        <c:ser>
          <c:idx val="1760"/>
          <c:order val="1760"/>
          <c:tx>
            <c:strRef>
              <c:f>'estatística'!$B$1762</c:f>
            </c:strRef>
          </c:tx>
          <c:cat>
            <c:strRef>
              <c:f>'estatística'!$C$1:$M$1</c:f>
            </c:strRef>
          </c:cat>
          <c:val>
            <c:numRef>
              <c:f>'estatística'!$C$1762:$M$1762</c:f>
              <c:numCache/>
            </c:numRef>
          </c:val>
        </c:ser>
        <c:ser>
          <c:idx val="1761"/>
          <c:order val="1761"/>
          <c:tx>
            <c:strRef>
              <c:f>'estatística'!$B$1763</c:f>
            </c:strRef>
          </c:tx>
          <c:cat>
            <c:strRef>
              <c:f>'estatística'!$C$1:$M$1</c:f>
            </c:strRef>
          </c:cat>
          <c:val>
            <c:numRef>
              <c:f>'estatística'!$C$1763:$M$1763</c:f>
              <c:numCache/>
            </c:numRef>
          </c:val>
        </c:ser>
        <c:ser>
          <c:idx val="1762"/>
          <c:order val="1762"/>
          <c:tx>
            <c:strRef>
              <c:f>'estatística'!$B$1764</c:f>
            </c:strRef>
          </c:tx>
          <c:cat>
            <c:strRef>
              <c:f>'estatística'!$C$1:$M$1</c:f>
            </c:strRef>
          </c:cat>
          <c:val>
            <c:numRef>
              <c:f>'estatística'!$C$1764:$M$1764</c:f>
              <c:numCache/>
            </c:numRef>
          </c:val>
        </c:ser>
        <c:ser>
          <c:idx val="1763"/>
          <c:order val="1763"/>
          <c:tx>
            <c:strRef>
              <c:f>'estatística'!$B$1765</c:f>
            </c:strRef>
          </c:tx>
          <c:cat>
            <c:strRef>
              <c:f>'estatística'!$C$1:$M$1</c:f>
            </c:strRef>
          </c:cat>
          <c:val>
            <c:numRef>
              <c:f>'estatística'!$C$1765:$M$1765</c:f>
              <c:numCache/>
            </c:numRef>
          </c:val>
        </c:ser>
        <c:ser>
          <c:idx val="1764"/>
          <c:order val="1764"/>
          <c:tx>
            <c:strRef>
              <c:f>'estatística'!$B$1766</c:f>
            </c:strRef>
          </c:tx>
          <c:cat>
            <c:strRef>
              <c:f>'estatística'!$C$1:$M$1</c:f>
            </c:strRef>
          </c:cat>
          <c:val>
            <c:numRef>
              <c:f>'estatística'!$C$1766:$M$1766</c:f>
              <c:numCache/>
            </c:numRef>
          </c:val>
        </c:ser>
        <c:ser>
          <c:idx val="1765"/>
          <c:order val="1765"/>
          <c:tx>
            <c:strRef>
              <c:f>'estatística'!$B$1767</c:f>
            </c:strRef>
          </c:tx>
          <c:cat>
            <c:strRef>
              <c:f>'estatística'!$C$1:$M$1</c:f>
            </c:strRef>
          </c:cat>
          <c:val>
            <c:numRef>
              <c:f>'estatística'!$C$1767:$M$1767</c:f>
              <c:numCache/>
            </c:numRef>
          </c:val>
        </c:ser>
        <c:ser>
          <c:idx val="1766"/>
          <c:order val="1766"/>
          <c:tx>
            <c:strRef>
              <c:f>'estatística'!$B$1768</c:f>
            </c:strRef>
          </c:tx>
          <c:cat>
            <c:strRef>
              <c:f>'estatística'!$C$1:$M$1</c:f>
            </c:strRef>
          </c:cat>
          <c:val>
            <c:numRef>
              <c:f>'estatística'!$C$1768:$M$1768</c:f>
              <c:numCache/>
            </c:numRef>
          </c:val>
        </c:ser>
        <c:ser>
          <c:idx val="1767"/>
          <c:order val="1767"/>
          <c:tx>
            <c:strRef>
              <c:f>'estatística'!$B$1769</c:f>
            </c:strRef>
          </c:tx>
          <c:cat>
            <c:strRef>
              <c:f>'estatística'!$C$1:$M$1</c:f>
            </c:strRef>
          </c:cat>
          <c:val>
            <c:numRef>
              <c:f>'estatística'!$C$1769:$M$1769</c:f>
              <c:numCache/>
            </c:numRef>
          </c:val>
        </c:ser>
        <c:ser>
          <c:idx val="1768"/>
          <c:order val="1768"/>
          <c:tx>
            <c:strRef>
              <c:f>'estatística'!$B$1770</c:f>
            </c:strRef>
          </c:tx>
          <c:cat>
            <c:strRef>
              <c:f>'estatística'!$C$1:$M$1</c:f>
            </c:strRef>
          </c:cat>
          <c:val>
            <c:numRef>
              <c:f>'estatística'!$C$1770:$M$1770</c:f>
              <c:numCache/>
            </c:numRef>
          </c:val>
        </c:ser>
        <c:ser>
          <c:idx val="1769"/>
          <c:order val="1769"/>
          <c:tx>
            <c:strRef>
              <c:f>'estatística'!$B$1771</c:f>
            </c:strRef>
          </c:tx>
          <c:cat>
            <c:strRef>
              <c:f>'estatística'!$C$1:$M$1</c:f>
            </c:strRef>
          </c:cat>
          <c:val>
            <c:numRef>
              <c:f>'estatística'!$C$1771:$M$1771</c:f>
              <c:numCache/>
            </c:numRef>
          </c:val>
        </c:ser>
        <c:ser>
          <c:idx val="1770"/>
          <c:order val="1770"/>
          <c:tx>
            <c:strRef>
              <c:f>'estatística'!$B$1772</c:f>
            </c:strRef>
          </c:tx>
          <c:cat>
            <c:strRef>
              <c:f>'estatística'!$C$1:$M$1</c:f>
            </c:strRef>
          </c:cat>
          <c:val>
            <c:numRef>
              <c:f>'estatística'!$C$1772:$M$1772</c:f>
              <c:numCache/>
            </c:numRef>
          </c:val>
        </c:ser>
        <c:ser>
          <c:idx val="1771"/>
          <c:order val="1771"/>
          <c:tx>
            <c:strRef>
              <c:f>'estatística'!$B$1773</c:f>
            </c:strRef>
          </c:tx>
          <c:cat>
            <c:strRef>
              <c:f>'estatística'!$C$1:$M$1</c:f>
            </c:strRef>
          </c:cat>
          <c:val>
            <c:numRef>
              <c:f>'estatística'!$C$1773:$M$1773</c:f>
              <c:numCache/>
            </c:numRef>
          </c:val>
        </c:ser>
        <c:ser>
          <c:idx val="1772"/>
          <c:order val="1772"/>
          <c:tx>
            <c:strRef>
              <c:f>'estatística'!$B$1774</c:f>
            </c:strRef>
          </c:tx>
          <c:cat>
            <c:strRef>
              <c:f>'estatística'!$C$1:$M$1</c:f>
            </c:strRef>
          </c:cat>
          <c:val>
            <c:numRef>
              <c:f>'estatística'!$C$1774:$M$1774</c:f>
              <c:numCache/>
            </c:numRef>
          </c:val>
        </c:ser>
        <c:ser>
          <c:idx val="1773"/>
          <c:order val="1773"/>
          <c:tx>
            <c:strRef>
              <c:f>'estatística'!$B$1775</c:f>
            </c:strRef>
          </c:tx>
          <c:cat>
            <c:strRef>
              <c:f>'estatística'!$C$1:$M$1</c:f>
            </c:strRef>
          </c:cat>
          <c:val>
            <c:numRef>
              <c:f>'estatística'!$C$1775:$M$1775</c:f>
              <c:numCache/>
            </c:numRef>
          </c:val>
        </c:ser>
        <c:ser>
          <c:idx val="1774"/>
          <c:order val="1774"/>
          <c:tx>
            <c:strRef>
              <c:f>'estatística'!$B$1776</c:f>
            </c:strRef>
          </c:tx>
          <c:cat>
            <c:strRef>
              <c:f>'estatística'!$C$1:$M$1</c:f>
            </c:strRef>
          </c:cat>
          <c:val>
            <c:numRef>
              <c:f>'estatística'!$C$1776:$M$1776</c:f>
              <c:numCache/>
            </c:numRef>
          </c:val>
        </c:ser>
        <c:ser>
          <c:idx val="1775"/>
          <c:order val="1775"/>
          <c:tx>
            <c:strRef>
              <c:f>'estatística'!$B$1777</c:f>
            </c:strRef>
          </c:tx>
          <c:cat>
            <c:strRef>
              <c:f>'estatística'!$C$1:$M$1</c:f>
            </c:strRef>
          </c:cat>
          <c:val>
            <c:numRef>
              <c:f>'estatística'!$C$1777:$M$1777</c:f>
              <c:numCache/>
            </c:numRef>
          </c:val>
        </c:ser>
        <c:ser>
          <c:idx val="1776"/>
          <c:order val="1776"/>
          <c:tx>
            <c:strRef>
              <c:f>'estatística'!$B$1778</c:f>
            </c:strRef>
          </c:tx>
          <c:cat>
            <c:strRef>
              <c:f>'estatística'!$C$1:$M$1</c:f>
            </c:strRef>
          </c:cat>
          <c:val>
            <c:numRef>
              <c:f>'estatística'!$C$1778:$M$1778</c:f>
              <c:numCache/>
            </c:numRef>
          </c:val>
        </c:ser>
        <c:ser>
          <c:idx val="1777"/>
          <c:order val="1777"/>
          <c:tx>
            <c:strRef>
              <c:f>'estatística'!$B$1779</c:f>
            </c:strRef>
          </c:tx>
          <c:cat>
            <c:strRef>
              <c:f>'estatística'!$C$1:$M$1</c:f>
            </c:strRef>
          </c:cat>
          <c:val>
            <c:numRef>
              <c:f>'estatística'!$C$1779:$M$1779</c:f>
              <c:numCache/>
            </c:numRef>
          </c:val>
        </c:ser>
        <c:ser>
          <c:idx val="1778"/>
          <c:order val="1778"/>
          <c:tx>
            <c:strRef>
              <c:f>'estatística'!$B$1780</c:f>
            </c:strRef>
          </c:tx>
          <c:cat>
            <c:strRef>
              <c:f>'estatística'!$C$1:$M$1</c:f>
            </c:strRef>
          </c:cat>
          <c:val>
            <c:numRef>
              <c:f>'estatística'!$C$1780:$M$1780</c:f>
              <c:numCache/>
            </c:numRef>
          </c:val>
        </c:ser>
        <c:ser>
          <c:idx val="1779"/>
          <c:order val="1779"/>
          <c:tx>
            <c:strRef>
              <c:f>'estatística'!$B$1781</c:f>
            </c:strRef>
          </c:tx>
          <c:cat>
            <c:strRef>
              <c:f>'estatística'!$C$1:$M$1</c:f>
            </c:strRef>
          </c:cat>
          <c:val>
            <c:numRef>
              <c:f>'estatística'!$C$1781:$M$1781</c:f>
              <c:numCache/>
            </c:numRef>
          </c:val>
        </c:ser>
        <c:ser>
          <c:idx val="1780"/>
          <c:order val="1780"/>
          <c:tx>
            <c:strRef>
              <c:f>'estatística'!$B$1782</c:f>
            </c:strRef>
          </c:tx>
          <c:cat>
            <c:strRef>
              <c:f>'estatística'!$C$1:$M$1</c:f>
            </c:strRef>
          </c:cat>
          <c:val>
            <c:numRef>
              <c:f>'estatística'!$C$1782:$M$1782</c:f>
              <c:numCache/>
            </c:numRef>
          </c:val>
        </c:ser>
        <c:ser>
          <c:idx val="1781"/>
          <c:order val="1781"/>
          <c:tx>
            <c:strRef>
              <c:f>'estatística'!$B$1783</c:f>
            </c:strRef>
          </c:tx>
          <c:cat>
            <c:strRef>
              <c:f>'estatística'!$C$1:$M$1</c:f>
            </c:strRef>
          </c:cat>
          <c:val>
            <c:numRef>
              <c:f>'estatística'!$C$1783:$M$1783</c:f>
              <c:numCache/>
            </c:numRef>
          </c:val>
        </c:ser>
        <c:ser>
          <c:idx val="1782"/>
          <c:order val="1782"/>
          <c:tx>
            <c:strRef>
              <c:f>'estatística'!$B$1784</c:f>
            </c:strRef>
          </c:tx>
          <c:cat>
            <c:strRef>
              <c:f>'estatística'!$C$1:$M$1</c:f>
            </c:strRef>
          </c:cat>
          <c:val>
            <c:numRef>
              <c:f>'estatística'!$C$1784:$M$1784</c:f>
              <c:numCache/>
            </c:numRef>
          </c:val>
        </c:ser>
        <c:ser>
          <c:idx val="1783"/>
          <c:order val="1783"/>
          <c:tx>
            <c:strRef>
              <c:f>'estatística'!$B$1785</c:f>
            </c:strRef>
          </c:tx>
          <c:cat>
            <c:strRef>
              <c:f>'estatística'!$C$1:$M$1</c:f>
            </c:strRef>
          </c:cat>
          <c:val>
            <c:numRef>
              <c:f>'estatística'!$C$1785:$M$1785</c:f>
              <c:numCache/>
            </c:numRef>
          </c:val>
        </c:ser>
        <c:ser>
          <c:idx val="1784"/>
          <c:order val="1784"/>
          <c:tx>
            <c:strRef>
              <c:f>'estatística'!$B$1786</c:f>
            </c:strRef>
          </c:tx>
          <c:cat>
            <c:strRef>
              <c:f>'estatística'!$C$1:$M$1</c:f>
            </c:strRef>
          </c:cat>
          <c:val>
            <c:numRef>
              <c:f>'estatística'!$C$1786:$M$1786</c:f>
              <c:numCache/>
            </c:numRef>
          </c:val>
        </c:ser>
        <c:ser>
          <c:idx val="1785"/>
          <c:order val="1785"/>
          <c:tx>
            <c:strRef>
              <c:f>'estatística'!$B$1787</c:f>
            </c:strRef>
          </c:tx>
          <c:cat>
            <c:strRef>
              <c:f>'estatística'!$C$1:$M$1</c:f>
            </c:strRef>
          </c:cat>
          <c:val>
            <c:numRef>
              <c:f>'estatística'!$C$1787:$M$1787</c:f>
              <c:numCache/>
            </c:numRef>
          </c:val>
        </c:ser>
        <c:ser>
          <c:idx val="1786"/>
          <c:order val="1786"/>
          <c:tx>
            <c:strRef>
              <c:f>'estatística'!$B$1788</c:f>
            </c:strRef>
          </c:tx>
          <c:cat>
            <c:strRef>
              <c:f>'estatística'!$C$1:$M$1</c:f>
            </c:strRef>
          </c:cat>
          <c:val>
            <c:numRef>
              <c:f>'estatística'!$C$1788:$M$1788</c:f>
              <c:numCache/>
            </c:numRef>
          </c:val>
        </c:ser>
        <c:ser>
          <c:idx val="1787"/>
          <c:order val="1787"/>
          <c:tx>
            <c:strRef>
              <c:f>'estatística'!$B$1789</c:f>
            </c:strRef>
          </c:tx>
          <c:cat>
            <c:strRef>
              <c:f>'estatística'!$C$1:$M$1</c:f>
            </c:strRef>
          </c:cat>
          <c:val>
            <c:numRef>
              <c:f>'estatística'!$C$1789:$M$1789</c:f>
              <c:numCache/>
            </c:numRef>
          </c:val>
        </c:ser>
        <c:ser>
          <c:idx val="1788"/>
          <c:order val="1788"/>
          <c:tx>
            <c:strRef>
              <c:f>'estatística'!$B$1790</c:f>
            </c:strRef>
          </c:tx>
          <c:cat>
            <c:strRef>
              <c:f>'estatística'!$C$1:$M$1</c:f>
            </c:strRef>
          </c:cat>
          <c:val>
            <c:numRef>
              <c:f>'estatística'!$C$1790:$M$1790</c:f>
              <c:numCache/>
            </c:numRef>
          </c:val>
        </c:ser>
        <c:ser>
          <c:idx val="1789"/>
          <c:order val="1789"/>
          <c:tx>
            <c:strRef>
              <c:f>'estatística'!$B$1791</c:f>
            </c:strRef>
          </c:tx>
          <c:cat>
            <c:strRef>
              <c:f>'estatística'!$C$1:$M$1</c:f>
            </c:strRef>
          </c:cat>
          <c:val>
            <c:numRef>
              <c:f>'estatística'!$C$1791:$M$1791</c:f>
              <c:numCache/>
            </c:numRef>
          </c:val>
        </c:ser>
        <c:ser>
          <c:idx val="1790"/>
          <c:order val="1790"/>
          <c:tx>
            <c:strRef>
              <c:f>'estatística'!$B$1792</c:f>
            </c:strRef>
          </c:tx>
          <c:cat>
            <c:strRef>
              <c:f>'estatística'!$C$1:$M$1</c:f>
            </c:strRef>
          </c:cat>
          <c:val>
            <c:numRef>
              <c:f>'estatística'!$C$1792:$M$1792</c:f>
              <c:numCache/>
            </c:numRef>
          </c:val>
        </c:ser>
        <c:ser>
          <c:idx val="1791"/>
          <c:order val="1791"/>
          <c:tx>
            <c:strRef>
              <c:f>'estatística'!$B$1793</c:f>
            </c:strRef>
          </c:tx>
          <c:cat>
            <c:strRef>
              <c:f>'estatística'!$C$1:$M$1</c:f>
            </c:strRef>
          </c:cat>
          <c:val>
            <c:numRef>
              <c:f>'estatística'!$C$1793:$M$1793</c:f>
              <c:numCache/>
            </c:numRef>
          </c:val>
        </c:ser>
        <c:ser>
          <c:idx val="1792"/>
          <c:order val="1792"/>
          <c:tx>
            <c:strRef>
              <c:f>'estatística'!$B$1794</c:f>
            </c:strRef>
          </c:tx>
          <c:cat>
            <c:strRef>
              <c:f>'estatística'!$C$1:$M$1</c:f>
            </c:strRef>
          </c:cat>
          <c:val>
            <c:numRef>
              <c:f>'estatística'!$C$1794:$M$1794</c:f>
              <c:numCache/>
            </c:numRef>
          </c:val>
        </c:ser>
        <c:ser>
          <c:idx val="1793"/>
          <c:order val="1793"/>
          <c:tx>
            <c:strRef>
              <c:f>'estatística'!$B$1795</c:f>
            </c:strRef>
          </c:tx>
          <c:cat>
            <c:strRef>
              <c:f>'estatística'!$C$1:$M$1</c:f>
            </c:strRef>
          </c:cat>
          <c:val>
            <c:numRef>
              <c:f>'estatística'!$C$1795:$M$1795</c:f>
              <c:numCache/>
            </c:numRef>
          </c:val>
        </c:ser>
        <c:ser>
          <c:idx val="1794"/>
          <c:order val="1794"/>
          <c:tx>
            <c:strRef>
              <c:f>'estatística'!$B$1796</c:f>
            </c:strRef>
          </c:tx>
          <c:cat>
            <c:strRef>
              <c:f>'estatística'!$C$1:$M$1</c:f>
            </c:strRef>
          </c:cat>
          <c:val>
            <c:numRef>
              <c:f>'estatística'!$C$1796:$M$1796</c:f>
              <c:numCache/>
            </c:numRef>
          </c:val>
        </c:ser>
        <c:ser>
          <c:idx val="1795"/>
          <c:order val="1795"/>
          <c:tx>
            <c:strRef>
              <c:f>'estatística'!$B$1797</c:f>
            </c:strRef>
          </c:tx>
          <c:cat>
            <c:strRef>
              <c:f>'estatística'!$C$1:$M$1</c:f>
            </c:strRef>
          </c:cat>
          <c:val>
            <c:numRef>
              <c:f>'estatística'!$C$1797:$M$1797</c:f>
              <c:numCache/>
            </c:numRef>
          </c:val>
        </c:ser>
        <c:ser>
          <c:idx val="1796"/>
          <c:order val="1796"/>
          <c:tx>
            <c:strRef>
              <c:f>'estatística'!$B$1798</c:f>
            </c:strRef>
          </c:tx>
          <c:cat>
            <c:strRef>
              <c:f>'estatística'!$C$1:$M$1</c:f>
            </c:strRef>
          </c:cat>
          <c:val>
            <c:numRef>
              <c:f>'estatística'!$C$1798:$M$1798</c:f>
              <c:numCache/>
            </c:numRef>
          </c:val>
        </c:ser>
        <c:ser>
          <c:idx val="1797"/>
          <c:order val="1797"/>
          <c:tx>
            <c:strRef>
              <c:f>'estatística'!$B$1799</c:f>
            </c:strRef>
          </c:tx>
          <c:cat>
            <c:strRef>
              <c:f>'estatística'!$C$1:$M$1</c:f>
            </c:strRef>
          </c:cat>
          <c:val>
            <c:numRef>
              <c:f>'estatística'!$C$1799:$M$1799</c:f>
              <c:numCache/>
            </c:numRef>
          </c:val>
        </c:ser>
        <c:ser>
          <c:idx val="1798"/>
          <c:order val="1798"/>
          <c:tx>
            <c:strRef>
              <c:f>'estatística'!$B$1800</c:f>
            </c:strRef>
          </c:tx>
          <c:cat>
            <c:strRef>
              <c:f>'estatística'!$C$1:$M$1</c:f>
            </c:strRef>
          </c:cat>
          <c:val>
            <c:numRef>
              <c:f>'estatística'!$C$1800:$M$1800</c:f>
              <c:numCache/>
            </c:numRef>
          </c:val>
        </c:ser>
        <c:ser>
          <c:idx val="1799"/>
          <c:order val="1799"/>
          <c:tx>
            <c:strRef>
              <c:f>'estatística'!$B$1801</c:f>
            </c:strRef>
          </c:tx>
          <c:cat>
            <c:strRef>
              <c:f>'estatística'!$C$1:$M$1</c:f>
            </c:strRef>
          </c:cat>
          <c:val>
            <c:numRef>
              <c:f>'estatística'!$C$1801:$M$1801</c:f>
              <c:numCache/>
            </c:numRef>
          </c:val>
        </c:ser>
        <c:ser>
          <c:idx val="1800"/>
          <c:order val="1800"/>
          <c:tx>
            <c:strRef>
              <c:f>'estatística'!$B$1802</c:f>
            </c:strRef>
          </c:tx>
          <c:cat>
            <c:strRef>
              <c:f>'estatística'!$C$1:$M$1</c:f>
            </c:strRef>
          </c:cat>
          <c:val>
            <c:numRef>
              <c:f>'estatística'!$C$1802:$M$1802</c:f>
              <c:numCache/>
            </c:numRef>
          </c:val>
        </c:ser>
        <c:ser>
          <c:idx val="1801"/>
          <c:order val="1801"/>
          <c:tx>
            <c:strRef>
              <c:f>'estatística'!$B$1803</c:f>
            </c:strRef>
          </c:tx>
          <c:cat>
            <c:strRef>
              <c:f>'estatística'!$C$1:$M$1</c:f>
            </c:strRef>
          </c:cat>
          <c:val>
            <c:numRef>
              <c:f>'estatística'!$C$1803:$M$1803</c:f>
              <c:numCache/>
            </c:numRef>
          </c:val>
        </c:ser>
        <c:ser>
          <c:idx val="1802"/>
          <c:order val="1802"/>
          <c:tx>
            <c:strRef>
              <c:f>'estatística'!$B$1804</c:f>
            </c:strRef>
          </c:tx>
          <c:cat>
            <c:strRef>
              <c:f>'estatística'!$C$1:$M$1</c:f>
            </c:strRef>
          </c:cat>
          <c:val>
            <c:numRef>
              <c:f>'estatística'!$C$1804:$M$1804</c:f>
              <c:numCache/>
            </c:numRef>
          </c:val>
        </c:ser>
        <c:ser>
          <c:idx val="1803"/>
          <c:order val="1803"/>
          <c:tx>
            <c:strRef>
              <c:f>'estatística'!$B$1805</c:f>
            </c:strRef>
          </c:tx>
          <c:cat>
            <c:strRef>
              <c:f>'estatística'!$C$1:$M$1</c:f>
            </c:strRef>
          </c:cat>
          <c:val>
            <c:numRef>
              <c:f>'estatística'!$C$1805:$M$1805</c:f>
              <c:numCache/>
            </c:numRef>
          </c:val>
        </c:ser>
        <c:ser>
          <c:idx val="1804"/>
          <c:order val="1804"/>
          <c:tx>
            <c:strRef>
              <c:f>'estatística'!$B$1806</c:f>
            </c:strRef>
          </c:tx>
          <c:cat>
            <c:strRef>
              <c:f>'estatística'!$C$1:$M$1</c:f>
            </c:strRef>
          </c:cat>
          <c:val>
            <c:numRef>
              <c:f>'estatística'!$C$1806:$M$1806</c:f>
              <c:numCache/>
            </c:numRef>
          </c:val>
        </c:ser>
        <c:ser>
          <c:idx val="1805"/>
          <c:order val="1805"/>
          <c:tx>
            <c:strRef>
              <c:f>'estatística'!$B$1807</c:f>
            </c:strRef>
          </c:tx>
          <c:cat>
            <c:strRef>
              <c:f>'estatística'!$C$1:$M$1</c:f>
            </c:strRef>
          </c:cat>
          <c:val>
            <c:numRef>
              <c:f>'estatística'!$C$1807:$M$1807</c:f>
              <c:numCache/>
            </c:numRef>
          </c:val>
        </c:ser>
        <c:ser>
          <c:idx val="1806"/>
          <c:order val="1806"/>
          <c:tx>
            <c:strRef>
              <c:f>'estatística'!$B$1808</c:f>
            </c:strRef>
          </c:tx>
          <c:cat>
            <c:strRef>
              <c:f>'estatística'!$C$1:$M$1</c:f>
            </c:strRef>
          </c:cat>
          <c:val>
            <c:numRef>
              <c:f>'estatística'!$C$1808:$M$1808</c:f>
              <c:numCache/>
            </c:numRef>
          </c:val>
        </c:ser>
        <c:ser>
          <c:idx val="1807"/>
          <c:order val="1807"/>
          <c:tx>
            <c:strRef>
              <c:f>'estatística'!$B$1809</c:f>
            </c:strRef>
          </c:tx>
          <c:cat>
            <c:strRef>
              <c:f>'estatística'!$C$1:$M$1</c:f>
            </c:strRef>
          </c:cat>
          <c:val>
            <c:numRef>
              <c:f>'estatística'!$C$1809:$M$1809</c:f>
              <c:numCache/>
            </c:numRef>
          </c:val>
        </c:ser>
        <c:ser>
          <c:idx val="1808"/>
          <c:order val="1808"/>
          <c:tx>
            <c:strRef>
              <c:f>'estatística'!$B$1810</c:f>
            </c:strRef>
          </c:tx>
          <c:cat>
            <c:strRef>
              <c:f>'estatística'!$C$1:$M$1</c:f>
            </c:strRef>
          </c:cat>
          <c:val>
            <c:numRef>
              <c:f>'estatística'!$C$1810:$M$1810</c:f>
              <c:numCache/>
            </c:numRef>
          </c:val>
        </c:ser>
        <c:ser>
          <c:idx val="1809"/>
          <c:order val="1809"/>
          <c:tx>
            <c:strRef>
              <c:f>'estatística'!$B$1811</c:f>
            </c:strRef>
          </c:tx>
          <c:cat>
            <c:strRef>
              <c:f>'estatística'!$C$1:$M$1</c:f>
            </c:strRef>
          </c:cat>
          <c:val>
            <c:numRef>
              <c:f>'estatística'!$C$1811:$M$1811</c:f>
              <c:numCache/>
            </c:numRef>
          </c:val>
        </c:ser>
        <c:ser>
          <c:idx val="1810"/>
          <c:order val="1810"/>
          <c:tx>
            <c:strRef>
              <c:f>'estatística'!$B$1812</c:f>
            </c:strRef>
          </c:tx>
          <c:cat>
            <c:strRef>
              <c:f>'estatística'!$C$1:$M$1</c:f>
            </c:strRef>
          </c:cat>
          <c:val>
            <c:numRef>
              <c:f>'estatística'!$C$1812:$M$1812</c:f>
              <c:numCache/>
            </c:numRef>
          </c:val>
        </c:ser>
        <c:ser>
          <c:idx val="1811"/>
          <c:order val="1811"/>
          <c:tx>
            <c:strRef>
              <c:f>'estatística'!$B$1813</c:f>
            </c:strRef>
          </c:tx>
          <c:cat>
            <c:strRef>
              <c:f>'estatística'!$C$1:$M$1</c:f>
            </c:strRef>
          </c:cat>
          <c:val>
            <c:numRef>
              <c:f>'estatística'!$C$1813:$M$1813</c:f>
              <c:numCache/>
            </c:numRef>
          </c:val>
        </c:ser>
        <c:ser>
          <c:idx val="1812"/>
          <c:order val="1812"/>
          <c:tx>
            <c:strRef>
              <c:f>'estatística'!$B$1814</c:f>
            </c:strRef>
          </c:tx>
          <c:cat>
            <c:strRef>
              <c:f>'estatística'!$C$1:$M$1</c:f>
            </c:strRef>
          </c:cat>
          <c:val>
            <c:numRef>
              <c:f>'estatística'!$C$1814:$M$1814</c:f>
              <c:numCache/>
            </c:numRef>
          </c:val>
        </c:ser>
        <c:ser>
          <c:idx val="1813"/>
          <c:order val="1813"/>
          <c:tx>
            <c:strRef>
              <c:f>'estatística'!$B$1815</c:f>
            </c:strRef>
          </c:tx>
          <c:cat>
            <c:strRef>
              <c:f>'estatística'!$C$1:$M$1</c:f>
            </c:strRef>
          </c:cat>
          <c:val>
            <c:numRef>
              <c:f>'estatística'!$C$1815:$M$1815</c:f>
              <c:numCache/>
            </c:numRef>
          </c:val>
        </c:ser>
        <c:ser>
          <c:idx val="1814"/>
          <c:order val="1814"/>
          <c:tx>
            <c:strRef>
              <c:f>'estatística'!$B$1816</c:f>
            </c:strRef>
          </c:tx>
          <c:cat>
            <c:strRef>
              <c:f>'estatística'!$C$1:$M$1</c:f>
            </c:strRef>
          </c:cat>
          <c:val>
            <c:numRef>
              <c:f>'estatística'!$C$1816:$M$1816</c:f>
              <c:numCache/>
            </c:numRef>
          </c:val>
        </c:ser>
        <c:ser>
          <c:idx val="1815"/>
          <c:order val="1815"/>
          <c:tx>
            <c:strRef>
              <c:f>'estatística'!$B$1817</c:f>
            </c:strRef>
          </c:tx>
          <c:cat>
            <c:strRef>
              <c:f>'estatística'!$C$1:$M$1</c:f>
            </c:strRef>
          </c:cat>
          <c:val>
            <c:numRef>
              <c:f>'estatística'!$C$1817:$M$1817</c:f>
              <c:numCache/>
            </c:numRef>
          </c:val>
        </c:ser>
        <c:ser>
          <c:idx val="1816"/>
          <c:order val="1816"/>
          <c:tx>
            <c:strRef>
              <c:f>'estatística'!$B$1818</c:f>
            </c:strRef>
          </c:tx>
          <c:cat>
            <c:strRef>
              <c:f>'estatística'!$C$1:$M$1</c:f>
            </c:strRef>
          </c:cat>
          <c:val>
            <c:numRef>
              <c:f>'estatística'!$C$1818:$M$1818</c:f>
              <c:numCache/>
            </c:numRef>
          </c:val>
        </c:ser>
        <c:ser>
          <c:idx val="1817"/>
          <c:order val="1817"/>
          <c:tx>
            <c:strRef>
              <c:f>'estatística'!$B$1819</c:f>
            </c:strRef>
          </c:tx>
          <c:cat>
            <c:strRef>
              <c:f>'estatística'!$C$1:$M$1</c:f>
            </c:strRef>
          </c:cat>
          <c:val>
            <c:numRef>
              <c:f>'estatística'!$C$1819:$M$1819</c:f>
              <c:numCache/>
            </c:numRef>
          </c:val>
        </c:ser>
        <c:ser>
          <c:idx val="1818"/>
          <c:order val="1818"/>
          <c:tx>
            <c:strRef>
              <c:f>'estatística'!$B$1820</c:f>
            </c:strRef>
          </c:tx>
          <c:cat>
            <c:strRef>
              <c:f>'estatística'!$C$1:$M$1</c:f>
            </c:strRef>
          </c:cat>
          <c:val>
            <c:numRef>
              <c:f>'estatística'!$C$1820:$M$1820</c:f>
              <c:numCache/>
            </c:numRef>
          </c:val>
        </c:ser>
        <c:ser>
          <c:idx val="1819"/>
          <c:order val="1819"/>
          <c:tx>
            <c:strRef>
              <c:f>'estatística'!$B$1821</c:f>
            </c:strRef>
          </c:tx>
          <c:cat>
            <c:strRef>
              <c:f>'estatística'!$C$1:$M$1</c:f>
            </c:strRef>
          </c:cat>
          <c:val>
            <c:numRef>
              <c:f>'estatística'!$C$1821:$M$1821</c:f>
              <c:numCache/>
            </c:numRef>
          </c:val>
        </c:ser>
        <c:ser>
          <c:idx val="1820"/>
          <c:order val="1820"/>
          <c:tx>
            <c:strRef>
              <c:f>'estatística'!$B$1822</c:f>
            </c:strRef>
          </c:tx>
          <c:cat>
            <c:strRef>
              <c:f>'estatística'!$C$1:$M$1</c:f>
            </c:strRef>
          </c:cat>
          <c:val>
            <c:numRef>
              <c:f>'estatística'!$C$1822:$M$1822</c:f>
              <c:numCache/>
            </c:numRef>
          </c:val>
        </c:ser>
        <c:ser>
          <c:idx val="1821"/>
          <c:order val="1821"/>
          <c:tx>
            <c:strRef>
              <c:f>'estatística'!$B$1823</c:f>
            </c:strRef>
          </c:tx>
          <c:cat>
            <c:strRef>
              <c:f>'estatística'!$C$1:$M$1</c:f>
            </c:strRef>
          </c:cat>
          <c:val>
            <c:numRef>
              <c:f>'estatística'!$C$1823:$M$1823</c:f>
              <c:numCache/>
            </c:numRef>
          </c:val>
        </c:ser>
        <c:ser>
          <c:idx val="1822"/>
          <c:order val="1822"/>
          <c:tx>
            <c:strRef>
              <c:f>'estatística'!$B$1824</c:f>
            </c:strRef>
          </c:tx>
          <c:cat>
            <c:strRef>
              <c:f>'estatística'!$C$1:$M$1</c:f>
            </c:strRef>
          </c:cat>
          <c:val>
            <c:numRef>
              <c:f>'estatística'!$C$1824:$M$1824</c:f>
              <c:numCache/>
            </c:numRef>
          </c:val>
        </c:ser>
        <c:ser>
          <c:idx val="1823"/>
          <c:order val="1823"/>
          <c:tx>
            <c:strRef>
              <c:f>'estatística'!$B$1825</c:f>
            </c:strRef>
          </c:tx>
          <c:cat>
            <c:strRef>
              <c:f>'estatística'!$C$1:$M$1</c:f>
            </c:strRef>
          </c:cat>
          <c:val>
            <c:numRef>
              <c:f>'estatística'!$C$1825:$M$1825</c:f>
              <c:numCache/>
            </c:numRef>
          </c:val>
        </c:ser>
        <c:ser>
          <c:idx val="1824"/>
          <c:order val="1824"/>
          <c:tx>
            <c:strRef>
              <c:f>'estatística'!$B$1826</c:f>
            </c:strRef>
          </c:tx>
          <c:cat>
            <c:strRef>
              <c:f>'estatística'!$C$1:$M$1</c:f>
            </c:strRef>
          </c:cat>
          <c:val>
            <c:numRef>
              <c:f>'estatística'!$C$1826:$M$1826</c:f>
              <c:numCache/>
            </c:numRef>
          </c:val>
        </c:ser>
        <c:ser>
          <c:idx val="1825"/>
          <c:order val="1825"/>
          <c:tx>
            <c:strRef>
              <c:f>'estatística'!$B$1827</c:f>
            </c:strRef>
          </c:tx>
          <c:cat>
            <c:strRef>
              <c:f>'estatística'!$C$1:$M$1</c:f>
            </c:strRef>
          </c:cat>
          <c:val>
            <c:numRef>
              <c:f>'estatística'!$C$1827:$M$1827</c:f>
              <c:numCache/>
            </c:numRef>
          </c:val>
        </c:ser>
        <c:ser>
          <c:idx val="1826"/>
          <c:order val="1826"/>
          <c:tx>
            <c:strRef>
              <c:f>'estatística'!$B$1828</c:f>
            </c:strRef>
          </c:tx>
          <c:cat>
            <c:strRef>
              <c:f>'estatística'!$C$1:$M$1</c:f>
            </c:strRef>
          </c:cat>
          <c:val>
            <c:numRef>
              <c:f>'estatística'!$C$1828:$M$1828</c:f>
              <c:numCache/>
            </c:numRef>
          </c:val>
        </c:ser>
        <c:ser>
          <c:idx val="1827"/>
          <c:order val="1827"/>
          <c:tx>
            <c:strRef>
              <c:f>'estatística'!$B$1829</c:f>
            </c:strRef>
          </c:tx>
          <c:cat>
            <c:strRef>
              <c:f>'estatística'!$C$1:$M$1</c:f>
            </c:strRef>
          </c:cat>
          <c:val>
            <c:numRef>
              <c:f>'estatística'!$C$1829:$M$1829</c:f>
              <c:numCache/>
            </c:numRef>
          </c:val>
        </c:ser>
        <c:ser>
          <c:idx val="1828"/>
          <c:order val="1828"/>
          <c:tx>
            <c:strRef>
              <c:f>'estatística'!$B$1830</c:f>
            </c:strRef>
          </c:tx>
          <c:cat>
            <c:strRef>
              <c:f>'estatística'!$C$1:$M$1</c:f>
            </c:strRef>
          </c:cat>
          <c:val>
            <c:numRef>
              <c:f>'estatística'!$C$1830:$M$1830</c:f>
              <c:numCache/>
            </c:numRef>
          </c:val>
        </c:ser>
        <c:ser>
          <c:idx val="1829"/>
          <c:order val="1829"/>
          <c:tx>
            <c:strRef>
              <c:f>'estatística'!$B$1831</c:f>
            </c:strRef>
          </c:tx>
          <c:cat>
            <c:strRef>
              <c:f>'estatística'!$C$1:$M$1</c:f>
            </c:strRef>
          </c:cat>
          <c:val>
            <c:numRef>
              <c:f>'estatística'!$C$1831:$M$1831</c:f>
              <c:numCache/>
            </c:numRef>
          </c:val>
        </c:ser>
        <c:ser>
          <c:idx val="1830"/>
          <c:order val="1830"/>
          <c:tx>
            <c:strRef>
              <c:f>'estatística'!$B$1832</c:f>
            </c:strRef>
          </c:tx>
          <c:cat>
            <c:strRef>
              <c:f>'estatística'!$C$1:$M$1</c:f>
            </c:strRef>
          </c:cat>
          <c:val>
            <c:numRef>
              <c:f>'estatística'!$C$1832:$M$1832</c:f>
              <c:numCache/>
            </c:numRef>
          </c:val>
        </c:ser>
        <c:ser>
          <c:idx val="1831"/>
          <c:order val="1831"/>
          <c:tx>
            <c:strRef>
              <c:f>'estatística'!$B$1833</c:f>
            </c:strRef>
          </c:tx>
          <c:cat>
            <c:strRef>
              <c:f>'estatística'!$C$1:$M$1</c:f>
            </c:strRef>
          </c:cat>
          <c:val>
            <c:numRef>
              <c:f>'estatística'!$C$1833:$M$1833</c:f>
              <c:numCache/>
            </c:numRef>
          </c:val>
        </c:ser>
        <c:ser>
          <c:idx val="1832"/>
          <c:order val="1832"/>
          <c:tx>
            <c:strRef>
              <c:f>'estatística'!$B$1834</c:f>
            </c:strRef>
          </c:tx>
          <c:cat>
            <c:strRef>
              <c:f>'estatística'!$C$1:$M$1</c:f>
            </c:strRef>
          </c:cat>
          <c:val>
            <c:numRef>
              <c:f>'estatística'!$C$1834:$M$1834</c:f>
              <c:numCache/>
            </c:numRef>
          </c:val>
        </c:ser>
        <c:ser>
          <c:idx val="1833"/>
          <c:order val="1833"/>
          <c:tx>
            <c:strRef>
              <c:f>'estatística'!$B$1835</c:f>
            </c:strRef>
          </c:tx>
          <c:cat>
            <c:strRef>
              <c:f>'estatística'!$C$1:$M$1</c:f>
            </c:strRef>
          </c:cat>
          <c:val>
            <c:numRef>
              <c:f>'estatística'!$C$1835:$M$1835</c:f>
              <c:numCache/>
            </c:numRef>
          </c:val>
        </c:ser>
        <c:ser>
          <c:idx val="1834"/>
          <c:order val="1834"/>
          <c:tx>
            <c:strRef>
              <c:f>'estatística'!$B$1836</c:f>
            </c:strRef>
          </c:tx>
          <c:cat>
            <c:strRef>
              <c:f>'estatística'!$C$1:$M$1</c:f>
            </c:strRef>
          </c:cat>
          <c:val>
            <c:numRef>
              <c:f>'estatística'!$C$1836:$M$1836</c:f>
              <c:numCache/>
            </c:numRef>
          </c:val>
        </c:ser>
        <c:ser>
          <c:idx val="1835"/>
          <c:order val="1835"/>
          <c:tx>
            <c:strRef>
              <c:f>'estatística'!$B$1837</c:f>
            </c:strRef>
          </c:tx>
          <c:cat>
            <c:strRef>
              <c:f>'estatística'!$C$1:$M$1</c:f>
            </c:strRef>
          </c:cat>
          <c:val>
            <c:numRef>
              <c:f>'estatística'!$C$1837:$M$1837</c:f>
              <c:numCache/>
            </c:numRef>
          </c:val>
        </c:ser>
        <c:ser>
          <c:idx val="1836"/>
          <c:order val="1836"/>
          <c:tx>
            <c:strRef>
              <c:f>'estatística'!$B$1838</c:f>
            </c:strRef>
          </c:tx>
          <c:cat>
            <c:strRef>
              <c:f>'estatística'!$C$1:$M$1</c:f>
            </c:strRef>
          </c:cat>
          <c:val>
            <c:numRef>
              <c:f>'estatística'!$C$1838:$M$1838</c:f>
              <c:numCache/>
            </c:numRef>
          </c:val>
        </c:ser>
        <c:ser>
          <c:idx val="1837"/>
          <c:order val="1837"/>
          <c:tx>
            <c:strRef>
              <c:f>'estatística'!$B$1839</c:f>
            </c:strRef>
          </c:tx>
          <c:cat>
            <c:strRef>
              <c:f>'estatística'!$C$1:$M$1</c:f>
            </c:strRef>
          </c:cat>
          <c:val>
            <c:numRef>
              <c:f>'estatística'!$C$1839:$M$1839</c:f>
              <c:numCache/>
            </c:numRef>
          </c:val>
        </c:ser>
        <c:ser>
          <c:idx val="1838"/>
          <c:order val="1838"/>
          <c:tx>
            <c:strRef>
              <c:f>'estatística'!$B$1840</c:f>
            </c:strRef>
          </c:tx>
          <c:cat>
            <c:strRef>
              <c:f>'estatística'!$C$1:$M$1</c:f>
            </c:strRef>
          </c:cat>
          <c:val>
            <c:numRef>
              <c:f>'estatística'!$C$1840:$M$1840</c:f>
              <c:numCache/>
            </c:numRef>
          </c:val>
        </c:ser>
        <c:ser>
          <c:idx val="1839"/>
          <c:order val="1839"/>
          <c:tx>
            <c:strRef>
              <c:f>'estatística'!$B$1841</c:f>
            </c:strRef>
          </c:tx>
          <c:cat>
            <c:strRef>
              <c:f>'estatística'!$C$1:$M$1</c:f>
            </c:strRef>
          </c:cat>
          <c:val>
            <c:numRef>
              <c:f>'estatística'!$C$1841:$M$1841</c:f>
              <c:numCache/>
            </c:numRef>
          </c:val>
        </c:ser>
        <c:ser>
          <c:idx val="1840"/>
          <c:order val="1840"/>
          <c:tx>
            <c:strRef>
              <c:f>'estatística'!$B$1842</c:f>
            </c:strRef>
          </c:tx>
          <c:cat>
            <c:strRef>
              <c:f>'estatística'!$C$1:$M$1</c:f>
            </c:strRef>
          </c:cat>
          <c:val>
            <c:numRef>
              <c:f>'estatística'!$C$1842:$M$1842</c:f>
              <c:numCache/>
            </c:numRef>
          </c:val>
        </c:ser>
        <c:ser>
          <c:idx val="1841"/>
          <c:order val="1841"/>
          <c:tx>
            <c:strRef>
              <c:f>'estatística'!$B$1843</c:f>
            </c:strRef>
          </c:tx>
          <c:cat>
            <c:strRef>
              <c:f>'estatística'!$C$1:$M$1</c:f>
            </c:strRef>
          </c:cat>
          <c:val>
            <c:numRef>
              <c:f>'estatística'!$C$1843:$M$1843</c:f>
              <c:numCache/>
            </c:numRef>
          </c:val>
        </c:ser>
        <c:ser>
          <c:idx val="1842"/>
          <c:order val="1842"/>
          <c:tx>
            <c:strRef>
              <c:f>'estatística'!$B$1844</c:f>
            </c:strRef>
          </c:tx>
          <c:cat>
            <c:strRef>
              <c:f>'estatística'!$C$1:$M$1</c:f>
            </c:strRef>
          </c:cat>
          <c:val>
            <c:numRef>
              <c:f>'estatística'!$C$1844:$M$1844</c:f>
              <c:numCache/>
            </c:numRef>
          </c:val>
        </c:ser>
        <c:ser>
          <c:idx val="1843"/>
          <c:order val="1843"/>
          <c:tx>
            <c:strRef>
              <c:f>'estatística'!$B$1845</c:f>
            </c:strRef>
          </c:tx>
          <c:cat>
            <c:strRef>
              <c:f>'estatística'!$C$1:$M$1</c:f>
            </c:strRef>
          </c:cat>
          <c:val>
            <c:numRef>
              <c:f>'estatística'!$C$1845:$M$1845</c:f>
              <c:numCache/>
            </c:numRef>
          </c:val>
        </c:ser>
        <c:ser>
          <c:idx val="1844"/>
          <c:order val="1844"/>
          <c:tx>
            <c:strRef>
              <c:f>'estatística'!$B$1846</c:f>
            </c:strRef>
          </c:tx>
          <c:cat>
            <c:strRef>
              <c:f>'estatística'!$C$1:$M$1</c:f>
            </c:strRef>
          </c:cat>
          <c:val>
            <c:numRef>
              <c:f>'estatística'!$C$1846:$M$1846</c:f>
              <c:numCache/>
            </c:numRef>
          </c:val>
        </c:ser>
        <c:ser>
          <c:idx val="1845"/>
          <c:order val="1845"/>
          <c:tx>
            <c:strRef>
              <c:f>'estatística'!$B$1847</c:f>
            </c:strRef>
          </c:tx>
          <c:cat>
            <c:strRef>
              <c:f>'estatística'!$C$1:$M$1</c:f>
            </c:strRef>
          </c:cat>
          <c:val>
            <c:numRef>
              <c:f>'estatística'!$C$1847:$M$1847</c:f>
              <c:numCache/>
            </c:numRef>
          </c:val>
        </c:ser>
        <c:ser>
          <c:idx val="1846"/>
          <c:order val="1846"/>
          <c:tx>
            <c:strRef>
              <c:f>'estatística'!$B$1848</c:f>
            </c:strRef>
          </c:tx>
          <c:cat>
            <c:strRef>
              <c:f>'estatística'!$C$1:$M$1</c:f>
            </c:strRef>
          </c:cat>
          <c:val>
            <c:numRef>
              <c:f>'estatística'!$C$1848:$M$1848</c:f>
              <c:numCache/>
            </c:numRef>
          </c:val>
        </c:ser>
        <c:ser>
          <c:idx val="1847"/>
          <c:order val="1847"/>
          <c:tx>
            <c:strRef>
              <c:f>'estatística'!$B$1849</c:f>
            </c:strRef>
          </c:tx>
          <c:cat>
            <c:strRef>
              <c:f>'estatística'!$C$1:$M$1</c:f>
            </c:strRef>
          </c:cat>
          <c:val>
            <c:numRef>
              <c:f>'estatística'!$C$1849:$M$1849</c:f>
              <c:numCache/>
            </c:numRef>
          </c:val>
        </c:ser>
        <c:ser>
          <c:idx val="1848"/>
          <c:order val="1848"/>
          <c:tx>
            <c:strRef>
              <c:f>'estatística'!$B$1850</c:f>
            </c:strRef>
          </c:tx>
          <c:cat>
            <c:strRef>
              <c:f>'estatística'!$C$1:$M$1</c:f>
            </c:strRef>
          </c:cat>
          <c:val>
            <c:numRef>
              <c:f>'estatística'!$C$1850:$M$1850</c:f>
              <c:numCache/>
            </c:numRef>
          </c:val>
        </c:ser>
        <c:ser>
          <c:idx val="1849"/>
          <c:order val="1849"/>
          <c:tx>
            <c:strRef>
              <c:f>'estatística'!$B$1851</c:f>
            </c:strRef>
          </c:tx>
          <c:cat>
            <c:strRef>
              <c:f>'estatística'!$C$1:$M$1</c:f>
            </c:strRef>
          </c:cat>
          <c:val>
            <c:numRef>
              <c:f>'estatística'!$C$1851:$M$1851</c:f>
              <c:numCache/>
            </c:numRef>
          </c:val>
        </c:ser>
        <c:ser>
          <c:idx val="1850"/>
          <c:order val="1850"/>
          <c:tx>
            <c:strRef>
              <c:f>'estatística'!$B$1852</c:f>
            </c:strRef>
          </c:tx>
          <c:cat>
            <c:strRef>
              <c:f>'estatística'!$C$1:$M$1</c:f>
            </c:strRef>
          </c:cat>
          <c:val>
            <c:numRef>
              <c:f>'estatística'!$C$1852:$M$1852</c:f>
              <c:numCache/>
            </c:numRef>
          </c:val>
        </c:ser>
        <c:ser>
          <c:idx val="1851"/>
          <c:order val="1851"/>
          <c:tx>
            <c:strRef>
              <c:f>'estatística'!$B$1853</c:f>
            </c:strRef>
          </c:tx>
          <c:cat>
            <c:strRef>
              <c:f>'estatística'!$C$1:$M$1</c:f>
            </c:strRef>
          </c:cat>
          <c:val>
            <c:numRef>
              <c:f>'estatística'!$C$1853:$M$1853</c:f>
              <c:numCache/>
            </c:numRef>
          </c:val>
        </c:ser>
        <c:ser>
          <c:idx val="1852"/>
          <c:order val="1852"/>
          <c:tx>
            <c:strRef>
              <c:f>'estatística'!$B$1854</c:f>
            </c:strRef>
          </c:tx>
          <c:cat>
            <c:strRef>
              <c:f>'estatística'!$C$1:$M$1</c:f>
            </c:strRef>
          </c:cat>
          <c:val>
            <c:numRef>
              <c:f>'estatística'!$C$1854:$M$1854</c:f>
              <c:numCache/>
            </c:numRef>
          </c:val>
        </c:ser>
        <c:ser>
          <c:idx val="1853"/>
          <c:order val="1853"/>
          <c:tx>
            <c:strRef>
              <c:f>'estatística'!$B$1855</c:f>
            </c:strRef>
          </c:tx>
          <c:cat>
            <c:strRef>
              <c:f>'estatística'!$C$1:$M$1</c:f>
            </c:strRef>
          </c:cat>
          <c:val>
            <c:numRef>
              <c:f>'estatística'!$C$1855:$M$1855</c:f>
              <c:numCache/>
            </c:numRef>
          </c:val>
        </c:ser>
        <c:ser>
          <c:idx val="1854"/>
          <c:order val="1854"/>
          <c:tx>
            <c:strRef>
              <c:f>'estatística'!$B$1856</c:f>
            </c:strRef>
          </c:tx>
          <c:cat>
            <c:strRef>
              <c:f>'estatística'!$C$1:$M$1</c:f>
            </c:strRef>
          </c:cat>
          <c:val>
            <c:numRef>
              <c:f>'estatística'!$C$1856:$M$1856</c:f>
              <c:numCache/>
            </c:numRef>
          </c:val>
        </c:ser>
        <c:ser>
          <c:idx val="1855"/>
          <c:order val="1855"/>
          <c:tx>
            <c:strRef>
              <c:f>'estatística'!$B$1857</c:f>
            </c:strRef>
          </c:tx>
          <c:cat>
            <c:strRef>
              <c:f>'estatística'!$C$1:$M$1</c:f>
            </c:strRef>
          </c:cat>
          <c:val>
            <c:numRef>
              <c:f>'estatística'!$C$1857:$M$1857</c:f>
              <c:numCache/>
            </c:numRef>
          </c:val>
        </c:ser>
        <c:ser>
          <c:idx val="1856"/>
          <c:order val="1856"/>
          <c:tx>
            <c:strRef>
              <c:f>'estatística'!$B$1858</c:f>
            </c:strRef>
          </c:tx>
          <c:cat>
            <c:strRef>
              <c:f>'estatística'!$C$1:$M$1</c:f>
            </c:strRef>
          </c:cat>
          <c:val>
            <c:numRef>
              <c:f>'estatística'!$C$1858:$M$1858</c:f>
              <c:numCache/>
            </c:numRef>
          </c:val>
        </c:ser>
        <c:ser>
          <c:idx val="1857"/>
          <c:order val="1857"/>
          <c:tx>
            <c:strRef>
              <c:f>'estatística'!$B$1859</c:f>
            </c:strRef>
          </c:tx>
          <c:cat>
            <c:strRef>
              <c:f>'estatística'!$C$1:$M$1</c:f>
            </c:strRef>
          </c:cat>
          <c:val>
            <c:numRef>
              <c:f>'estatística'!$C$1859:$M$1859</c:f>
              <c:numCache/>
            </c:numRef>
          </c:val>
        </c:ser>
        <c:ser>
          <c:idx val="1858"/>
          <c:order val="1858"/>
          <c:tx>
            <c:strRef>
              <c:f>'estatística'!$B$1860</c:f>
            </c:strRef>
          </c:tx>
          <c:cat>
            <c:strRef>
              <c:f>'estatística'!$C$1:$M$1</c:f>
            </c:strRef>
          </c:cat>
          <c:val>
            <c:numRef>
              <c:f>'estatística'!$C$1860:$M$1860</c:f>
              <c:numCache/>
            </c:numRef>
          </c:val>
        </c:ser>
        <c:ser>
          <c:idx val="1859"/>
          <c:order val="1859"/>
          <c:tx>
            <c:strRef>
              <c:f>'estatística'!$B$1861</c:f>
            </c:strRef>
          </c:tx>
          <c:cat>
            <c:strRef>
              <c:f>'estatística'!$C$1:$M$1</c:f>
            </c:strRef>
          </c:cat>
          <c:val>
            <c:numRef>
              <c:f>'estatística'!$C$1861:$M$1861</c:f>
              <c:numCache/>
            </c:numRef>
          </c:val>
        </c:ser>
        <c:ser>
          <c:idx val="1860"/>
          <c:order val="1860"/>
          <c:tx>
            <c:strRef>
              <c:f>'estatística'!$B$1862</c:f>
            </c:strRef>
          </c:tx>
          <c:cat>
            <c:strRef>
              <c:f>'estatística'!$C$1:$M$1</c:f>
            </c:strRef>
          </c:cat>
          <c:val>
            <c:numRef>
              <c:f>'estatística'!$C$1862:$M$1862</c:f>
              <c:numCache/>
            </c:numRef>
          </c:val>
        </c:ser>
        <c:ser>
          <c:idx val="1861"/>
          <c:order val="1861"/>
          <c:tx>
            <c:strRef>
              <c:f>'estatística'!$B$1863</c:f>
            </c:strRef>
          </c:tx>
          <c:cat>
            <c:strRef>
              <c:f>'estatística'!$C$1:$M$1</c:f>
            </c:strRef>
          </c:cat>
          <c:val>
            <c:numRef>
              <c:f>'estatística'!$C$1863:$M$1863</c:f>
              <c:numCache/>
            </c:numRef>
          </c:val>
        </c:ser>
        <c:ser>
          <c:idx val="1862"/>
          <c:order val="1862"/>
          <c:tx>
            <c:strRef>
              <c:f>'estatística'!$B$1864</c:f>
            </c:strRef>
          </c:tx>
          <c:cat>
            <c:strRef>
              <c:f>'estatística'!$C$1:$M$1</c:f>
            </c:strRef>
          </c:cat>
          <c:val>
            <c:numRef>
              <c:f>'estatística'!$C$1864:$M$1864</c:f>
              <c:numCache/>
            </c:numRef>
          </c:val>
        </c:ser>
        <c:ser>
          <c:idx val="1863"/>
          <c:order val="1863"/>
          <c:tx>
            <c:strRef>
              <c:f>'estatística'!$B$1865</c:f>
            </c:strRef>
          </c:tx>
          <c:cat>
            <c:strRef>
              <c:f>'estatística'!$C$1:$M$1</c:f>
            </c:strRef>
          </c:cat>
          <c:val>
            <c:numRef>
              <c:f>'estatística'!$C$1865:$M$1865</c:f>
              <c:numCache/>
            </c:numRef>
          </c:val>
        </c:ser>
        <c:ser>
          <c:idx val="1864"/>
          <c:order val="1864"/>
          <c:tx>
            <c:strRef>
              <c:f>'estatística'!$B$1866</c:f>
            </c:strRef>
          </c:tx>
          <c:cat>
            <c:strRef>
              <c:f>'estatística'!$C$1:$M$1</c:f>
            </c:strRef>
          </c:cat>
          <c:val>
            <c:numRef>
              <c:f>'estatística'!$C$1866:$M$1866</c:f>
              <c:numCache/>
            </c:numRef>
          </c:val>
        </c:ser>
        <c:ser>
          <c:idx val="1865"/>
          <c:order val="1865"/>
          <c:tx>
            <c:strRef>
              <c:f>'estatística'!$B$1867</c:f>
            </c:strRef>
          </c:tx>
          <c:cat>
            <c:strRef>
              <c:f>'estatística'!$C$1:$M$1</c:f>
            </c:strRef>
          </c:cat>
          <c:val>
            <c:numRef>
              <c:f>'estatística'!$C$1867:$M$1867</c:f>
              <c:numCache/>
            </c:numRef>
          </c:val>
        </c:ser>
        <c:ser>
          <c:idx val="1866"/>
          <c:order val="1866"/>
          <c:tx>
            <c:strRef>
              <c:f>'estatística'!$B$1868</c:f>
            </c:strRef>
          </c:tx>
          <c:cat>
            <c:strRef>
              <c:f>'estatística'!$C$1:$M$1</c:f>
            </c:strRef>
          </c:cat>
          <c:val>
            <c:numRef>
              <c:f>'estatística'!$C$1868:$M$1868</c:f>
              <c:numCache/>
            </c:numRef>
          </c:val>
        </c:ser>
        <c:ser>
          <c:idx val="1867"/>
          <c:order val="1867"/>
          <c:tx>
            <c:strRef>
              <c:f>'estatística'!$B$1869</c:f>
            </c:strRef>
          </c:tx>
          <c:cat>
            <c:strRef>
              <c:f>'estatística'!$C$1:$M$1</c:f>
            </c:strRef>
          </c:cat>
          <c:val>
            <c:numRef>
              <c:f>'estatística'!$C$1869:$M$1869</c:f>
              <c:numCache/>
            </c:numRef>
          </c:val>
        </c:ser>
        <c:ser>
          <c:idx val="1868"/>
          <c:order val="1868"/>
          <c:tx>
            <c:strRef>
              <c:f>'estatística'!$B$1870</c:f>
            </c:strRef>
          </c:tx>
          <c:cat>
            <c:strRef>
              <c:f>'estatística'!$C$1:$M$1</c:f>
            </c:strRef>
          </c:cat>
          <c:val>
            <c:numRef>
              <c:f>'estatística'!$C$1870:$M$1870</c:f>
              <c:numCache/>
            </c:numRef>
          </c:val>
        </c:ser>
        <c:ser>
          <c:idx val="1869"/>
          <c:order val="1869"/>
          <c:tx>
            <c:strRef>
              <c:f>'estatística'!$B$1871</c:f>
            </c:strRef>
          </c:tx>
          <c:cat>
            <c:strRef>
              <c:f>'estatística'!$C$1:$M$1</c:f>
            </c:strRef>
          </c:cat>
          <c:val>
            <c:numRef>
              <c:f>'estatística'!$C$1871:$M$1871</c:f>
              <c:numCache/>
            </c:numRef>
          </c:val>
        </c:ser>
        <c:ser>
          <c:idx val="1870"/>
          <c:order val="1870"/>
          <c:tx>
            <c:strRef>
              <c:f>'estatística'!$B$1872</c:f>
            </c:strRef>
          </c:tx>
          <c:cat>
            <c:strRef>
              <c:f>'estatística'!$C$1:$M$1</c:f>
            </c:strRef>
          </c:cat>
          <c:val>
            <c:numRef>
              <c:f>'estatística'!$C$1872:$M$1872</c:f>
              <c:numCache/>
            </c:numRef>
          </c:val>
        </c:ser>
        <c:ser>
          <c:idx val="1871"/>
          <c:order val="1871"/>
          <c:tx>
            <c:strRef>
              <c:f>'estatística'!$B$1873</c:f>
            </c:strRef>
          </c:tx>
          <c:cat>
            <c:strRef>
              <c:f>'estatística'!$C$1:$M$1</c:f>
            </c:strRef>
          </c:cat>
          <c:val>
            <c:numRef>
              <c:f>'estatística'!$C$1873:$M$1873</c:f>
              <c:numCache/>
            </c:numRef>
          </c:val>
        </c:ser>
        <c:ser>
          <c:idx val="1872"/>
          <c:order val="1872"/>
          <c:tx>
            <c:strRef>
              <c:f>'estatística'!$B$1874</c:f>
            </c:strRef>
          </c:tx>
          <c:cat>
            <c:strRef>
              <c:f>'estatística'!$C$1:$M$1</c:f>
            </c:strRef>
          </c:cat>
          <c:val>
            <c:numRef>
              <c:f>'estatística'!$C$1874:$M$1874</c:f>
              <c:numCache/>
            </c:numRef>
          </c:val>
        </c:ser>
        <c:ser>
          <c:idx val="1873"/>
          <c:order val="1873"/>
          <c:tx>
            <c:strRef>
              <c:f>'estatística'!$B$1875</c:f>
            </c:strRef>
          </c:tx>
          <c:cat>
            <c:strRef>
              <c:f>'estatística'!$C$1:$M$1</c:f>
            </c:strRef>
          </c:cat>
          <c:val>
            <c:numRef>
              <c:f>'estatística'!$C$1875:$M$1875</c:f>
              <c:numCache/>
            </c:numRef>
          </c:val>
        </c:ser>
        <c:ser>
          <c:idx val="1874"/>
          <c:order val="1874"/>
          <c:tx>
            <c:strRef>
              <c:f>'estatística'!$B$1876</c:f>
            </c:strRef>
          </c:tx>
          <c:cat>
            <c:strRef>
              <c:f>'estatística'!$C$1:$M$1</c:f>
            </c:strRef>
          </c:cat>
          <c:val>
            <c:numRef>
              <c:f>'estatística'!$C$1876:$M$1876</c:f>
              <c:numCache/>
            </c:numRef>
          </c:val>
        </c:ser>
        <c:ser>
          <c:idx val="1875"/>
          <c:order val="1875"/>
          <c:tx>
            <c:strRef>
              <c:f>'estatística'!$B$1877</c:f>
            </c:strRef>
          </c:tx>
          <c:cat>
            <c:strRef>
              <c:f>'estatística'!$C$1:$M$1</c:f>
            </c:strRef>
          </c:cat>
          <c:val>
            <c:numRef>
              <c:f>'estatística'!$C$1877:$M$1877</c:f>
              <c:numCache/>
            </c:numRef>
          </c:val>
        </c:ser>
        <c:ser>
          <c:idx val="1876"/>
          <c:order val="1876"/>
          <c:tx>
            <c:strRef>
              <c:f>'estatística'!$B$1878</c:f>
            </c:strRef>
          </c:tx>
          <c:cat>
            <c:strRef>
              <c:f>'estatística'!$C$1:$M$1</c:f>
            </c:strRef>
          </c:cat>
          <c:val>
            <c:numRef>
              <c:f>'estatística'!$C$1878:$M$1878</c:f>
              <c:numCache/>
            </c:numRef>
          </c:val>
        </c:ser>
        <c:ser>
          <c:idx val="1877"/>
          <c:order val="1877"/>
          <c:tx>
            <c:strRef>
              <c:f>'estatística'!$B$1879</c:f>
            </c:strRef>
          </c:tx>
          <c:cat>
            <c:strRef>
              <c:f>'estatística'!$C$1:$M$1</c:f>
            </c:strRef>
          </c:cat>
          <c:val>
            <c:numRef>
              <c:f>'estatística'!$C$1879:$M$1879</c:f>
              <c:numCache/>
            </c:numRef>
          </c:val>
        </c:ser>
        <c:ser>
          <c:idx val="1878"/>
          <c:order val="1878"/>
          <c:tx>
            <c:strRef>
              <c:f>'estatística'!$B$1880</c:f>
            </c:strRef>
          </c:tx>
          <c:cat>
            <c:strRef>
              <c:f>'estatística'!$C$1:$M$1</c:f>
            </c:strRef>
          </c:cat>
          <c:val>
            <c:numRef>
              <c:f>'estatística'!$C$1880:$M$1880</c:f>
              <c:numCache/>
            </c:numRef>
          </c:val>
        </c:ser>
        <c:ser>
          <c:idx val="1879"/>
          <c:order val="1879"/>
          <c:tx>
            <c:strRef>
              <c:f>'estatística'!$B$1881</c:f>
            </c:strRef>
          </c:tx>
          <c:cat>
            <c:strRef>
              <c:f>'estatística'!$C$1:$M$1</c:f>
            </c:strRef>
          </c:cat>
          <c:val>
            <c:numRef>
              <c:f>'estatística'!$C$1881:$M$1881</c:f>
              <c:numCache/>
            </c:numRef>
          </c:val>
        </c:ser>
        <c:ser>
          <c:idx val="1880"/>
          <c:order val="1880"/>
          <c:tx>
            <c:strRef>
              <c:f>'estatística'!$B$1882</c:f>
            </c:strRef>
          </c:tx>
          <c:cat>
            <c:strRef>
              <c:f>'estatística'!$C$1:$M$1</c:f>
            </c:strRef>
          </c:cat>
          <c:val>
            <c:numRef>
              <c:f>'estatística'!$C$1882:$M$1882</c:f>
              <c:numCache/>
            </c:numRef>
          </c:val>
        </c:ser>
        <c:ser>
          <c:idx val="1881"/>
          <c:order val="1881"/>
          <c:tx>
            <c:strRef>
              <c:f>'estatística'!$B$1883</c:f>
            </c:strRef>
          </c:tx>
          <c:cat>
            <c:strRef>
              <c:f>'estatística'!$C$1:$M$1</c:f>
            </c:strRef>
          </c:cat>
          <c:val>
            <c:numRef>
              <c:f>'estatística'!$C$1883:$M$1883</c:f>
              <c:numCache/>
            </c:numRef>
          </c:val>
        </c:ser>
        <c:ser>
          <c:idx val="1882"/>
          <c:order val="1882"/>
          <c:tx>
            <c:strRef>
              <c:f>'estatística'!$B$1884</c:f>
            </c:strRef>
          </c:tx>
          <c:cat>
            <c:strRef>
              <c:f>'estatística'!$C$1:$M$1</c:f>
            </c:strRef>
          </c:cat>
          <c:val>
            <c:numRef>
              <c:f>'estatística'!$C$1884:$M$1884</c:f>
              <c:numCache/>
            </c:numRef>
          </c:val>
        </c:ser>
        <c:ser>
          <c:idx val="1883"/>
          <c:order val="1883"/>
          <c:tx>
            <c:strRef>
              <c:f>'estatística'!$B$1885</c:f>
            </c:strRef>
          </c:tx>
          <c:cat>
            <c:strRef>
              <c:f>'estatística'!$C$1:$M$1</c:f>
            </c:strRef>
          </c:cat>
          <c:val>
            <c:numRef>
              <c:f>'estatística'!$C$1885:$M$1885</c:f>
              <c:numCache/>
            </c:numRef>
          </c:val>
        </c:ser>
        <c:ser>
          <c:idx val="1884"/>
          <c:order val="1884"/>
          <c:tx>
            <c:strRef>
              <c:f>'estatística'!$B$1886</c:f>
            </c:strRef>
          </c:tx>
          <c:cat>
            <c:strRef>
              <c:f>'estatística'!$C$1:$M$1</c:f>
            </c:strRef>
          </c:cat>
          <c:val>
            <c:numRef>
              <c:f>'estatística'!$C$1886:$M$1886</c:f>
              <c:numCache/>
            </c:numRef>
          </c:val>
        </c:ser>
        <c:ser>
          <c:idx val="1885"/>
          <c:order val="1885"/>
          <c:tx>
            <c:strRef>
              <c:f>'estatística'!$B$1887</c:f>
            </c:strRef>
          </c:tx>
          <c:cat>
            <c:strRef>
              <c:f>'estatística'!$C$1:$M$1</c:f>
            </c:strRef>
          </c:cat>
          <c:val>
            <c:numRef>
              <c:f>'estatística'!$C$1887:$M$1887</c:f>
              <c:numCache/>
            </c:numRef>
          </c:val>
        </c:ser>
        <c:ser>
          <c:idx val="1886"/>
          <c:order val="1886"/>
          <c:tx>
            <c:strRef>
              <c:f>'estatística'!$B$1888</c:f>
            </c:strRef>
          </c:tx>
          <c:cat>
            <c:strRef>
              <c:f>'estatística'!$C$1:$M$1</c:f>
            </c:strRef>
          </c:cat>
          <c:val>
            <c:numRef>
              <c:f>'estatística'!$C$1888:$M$1888</c:f>
              <c:numCache/>
            </c:numRef>
          </c:val>
        </c:ser>
        <c:ser>
          <c:idx val="1887"/>
          <c:order val="1887"/>
          <c:tx>
            <c:strRef>
              <c:f>'estatística'!$B$1889</c:f>
            </c:strRef>
          </c:tx>
          <c:cat>
            <c:strRef>
              <c:f>'estatística'!$C$1:$M$1</c:f>
            </c:strRef>
          </c:cat>
          <c:val>
            <c:numRef>
              <c:f>'estatística'!$C$1889:$M$1889</c:f>
              <c:numCache/>
            </c:numRef>
          </c:val>
        </c:ser>
        <c:ser>
          <c:idx val="1888"/>
          <c:order val="1888"/>
          <c:tx>
            <c:strRef>
              <c:f>'estatística'!$B$1890</c:f>
            </c:strRef>
          </c:tx>
          <c:cat>
            <c:strRef>
              <c:f>'estatística'!$C$1:$M$1</c:f>
            </c:strRef>
          </c:cat>
          <c:val>
            <c:numRef>
              <c:f>'estatística'!$C$1890:$M$1890</c:f>
              <c:numCache/>
            </c:numRef>
          </c:val>
        </c:ser>
        <c:ser>
          <c:idx val="1889"/>
          <c:order val="1889"/>
          <c:tx>
            <c:strRef>
              <c:f>'estatística'!$B$1891</c:f>
            </c:strRef>
          </c:tx>
          <c:cat>
            <c:strRef>
              <c:f>'estatística'!$C$1:$M$1</c:f>
            </c:strRef>
          </c:cat>
          <c:val>
            <c:numRef>
              <c:f>'estatística'!$C$1891:$M$1891</c:f>
              <c:numCache/>
            </c:numRef>
          </c:val>
        </c:ser>
        <c:ser>
          <c:idx val="1890"/>
          <c:order val="1890"/>
          <c:tx>
            <c:strRef>
              <c:f>'estatística'!$B$1892</c:f>
            </c:strRef>
          </c:tx>
          <c:cat>
            <c:strRef>
              <c:f>'estatística'!$C$1:$M$1</c:f>
            </c:strRef>
          </c:cat>
          <c:val>
            <c:numRef>
              <c:f>'estatística'!$C$1892:$M$1892</c:f>
              <c:numCache/>
            </c:numRef>
          </c:val>
        </c:ser>
        <c:ser>
          <c:idx val="1891"/>
          <c:order val="1891"/>
          <c:tx>
            <c:strRef>
              <c:f>'estatística'!$B$1893</c:f>
            </c:strRef>
          </c:tx>
          <c:cat>
            <c:strRef>
              <c:f>'estatística'!$C$1:$M$1</c:f>
            </c:strRef>
          </c:cat>
          <c:val>
            <c:numRef>
              <c:f>'estatística'!$C$1893:$M$1893</c:f>
              <c:numCache/>
            </c:numRef>
          </c:val>
        </c:ser>
        <c:ser>
          <c:idx val="1892"/>
          <c:order val="1892"/>
          <c:tx>
            <c:strRef>
              <c:f>'estatística'!$B$1894</c:f>
            </c:strRef>
          </c:tx>
          <c:cat>
            <c:strRef>
              <c:f>'estatística'!$C$1:$M$1</c:f>
            </c:strRef>
          </c:cat>
          <c:val>
            <c:numRef>
              <c:f>'estatística'!$C$1894:$M$1894</c:f>
              <c:numCache/>
            </c:numRef>
          </c:val>
        </c:ser>
        <c:ser>
          <c:idx val="1893"/>
          <c:order val="1893"/>
          <c:tx>
            <c:strRef>
              <c:f>'estatística'!$B$1895</c:f>
            </c:strRef>
          </c:tx>
          <c:cat>
            <c:strRef>
              <c:f>'estatística'!$C$1:$M$1</c:f>
            </c:strRef>
          </c:cat>
          <c:val>
            <c:numRef>
              <c:f>'estatística'!$C$1895:$M$1895</c:f>
              <c:numCache/>
            </c:numRef>
          </c:val>
        </c:ser>
        <c:ser>
          <c:idx val="1894"/>
          <c:order val="1894"/>
          <c:tx>
            <c:strRef>
              <c:f>'estatística'!$B$1896</c:f>
            </c:strRef>
          </c:tx>
          <c:cat>
            <c:strRef>
              <c:f>'estatística'!$C$1:$M$1</c:f>
            </c:strRef>
          </c:cat>
          <c:val>
            <c:numRef>
              <c:f>'estatística'!$C$1896:$M$1896</c:f>
              <c:numCache/>
            </c:numRef>
          </c:val>
        </c:ser>
        <c:ser>
          <c:idx val="1895"/>
          <c:order val="1895"/>
          <c:tx>
            <c:strRef>
              <c:f>'estatística'!$B$1897</c:f>
            </c:strRef>
          </c:tx>
          <c:cat>
            <c:strRef>
              <c:f>'estatística'!$C$1:$M$1</c:f>
            </c:strRef>
          </c:cat>
          <c:val>
            <c:numRef>
              <c:f>'estatística'!$C$1897:$M$1897</c:f>
              <c:numCache/>
            </c:numRef>
          </c:val>
        </c:ser>
        <c:ser>
          <c:idx val="1896"/>
          <c:order val="1896"/>
          <c:tx>
            <c:strRef>
              <c:f>'estatística'!$B$1898</c:f>
            </c:strRef>
          </c:tx>
          <c:cat>
            <c:strRef>
              <c:f>'estatística'!$C$1:$M$1</c:f>
            </c:strRef>
          </c:cat>
          <c:val>
            <c:numRef>
              <c:f>'estatística'!$C$1898:$M$1898</c:f>
              <c:numCache/>
            </c:numRef>
          </c:val>
        </c:ser>
        <c:ser>
          <c:idx val="1897"/>
          <c:order val="1897"/>
          <c:tx>
            <c:strRef>
              <c:f>'estatística'!$B$1899</c:f>
            </c:strRef>
          </c:tx>
          <c:cat>
            <c:strRef>
              <c:f>'estatística'!$C$1:$M$1</c:f>
            </c:strRef>
          </c:cat>
          <c:val>
            <c:numRef>
              <c:f>'estatística'!$C$1899:$M$1899</c:f>
              <c:numCache/>
            </c:numRef>
          </c:val>
        </c:ser>
        <c:ser>
          <c:idx val="1898"/>
          <c:order val="1898"/>
          <c:tx>
            <c:strRef>
              <c:f>'estatística'!$B$1900</c:f>
            </c:strRef>
          </c:tx>
          <c:cat>
            <c:strRef>
              <c:f>'estatística'!$C$1:$M$1</c:f>
            </c:strRef>
          </c:cat>
          <c:val>
            <c:numRef>
              <c:f>'estatística'!$C$1900:$M$1900</c:f>
              <c:numCache/>
            </c:numRef>
          </c:val>
        </c:ser>
        <c:ser>
          <c:idx val="1899"/>
          <c:order val="1899"/>
          <c:tx>
            <c:strRef>
              <c:f>'estatística'!$B$1901</c:f>
            </c:strRef>
          </c:tx>
          <c:cat>
            <c:strRef>
              <c:f>'estatística'!$C$1:$M$1</c:f>
            </c:strRef>
          </c:cat>
          <c:val>
            <c:numRef>
              <c:f>'estatística'!$C$1901:$M$1901</c:f>
              <c:numCache/>
            </c:numRef>
          </c:val>
        </c:ser>
        <c:ser>
          <c:idx val="1900"/>
          <c:order val="1900"/>
          <c:tx>
            <c:strRef>
              <c:f>'estatística'!$B$1902</c:f>
            </c:strRef>
          </c:tx>
          <c:cat>
            <c:strRef>
              <c:f>'estatística'!$C$1:$M$1</c:f>
            </c:strRef>
          </c:cat>
          <c:val>
            <c:numRef>
              <c:f>'estatística'!$C$1902:$M$1902</c:f>
              <c:numCache/>
            </c:numRef>
          </c:val>
        </c:ser>
        <c:ser>
          <c:idx val="1901"/>
          <c:order val="1901"/>
          <c:tx>
            <c:strRef>
              <c:f>'estatística'!$B$1903</c:f>
            </c:strRef>
          </c:tx>
          <c:cat>
            <c:strRef>
              <c:f>'estatística'!$C$1:$M$1</c:f>
            </c:strRef>
          </c:cat>
          <c:val>
            <c:numRef>
              <c:f>'estatística'!$C$1903:$M$1903</c:f>
              <c:numCache/>
            </c:numRef>
          </c:val>
        </c:ser>
        <c:ser>
          <c:idx val="1902"/>
          <c:order val="1902"/>
          <c:tx>
            <c:strRef>
              <c:f>'estatística'!$B$1904</c:f>
            </c:strRef>
          </c:tx>
          <c:cat>
            <c:strRef>
              <c:f>'estatística'!$C$1:$M$1</c:f>
            </c:strRef>
          </c:cat>
          <c:val>
            <c:numRef>
              <c:f>'estatística'!$C$1904:$M$1904</c:f>
              <c:numCache/>
            </c:numRef>
          </c:val>
        </c:ser>
        <c:ser>
          <c:idx val="1903"/>
          <c:order val="1903"/>
          <c:tx>
            <c:strRef>
              <c:f>'estatística'!$B$1905</c:f>
            </c:strRef>
          </c:tx>
          <c:cat>
            <c:strRef>
              <c:f>'estatística'!$C$1:$M$1</c:f>
            </c:strRef>
          </c:cat>
          <c:val>
            <c:numRef>
              <c:f>'estatística'!$C$1905:$M$1905</c:f>
              <c:numCache/>
            </c:numRef>
          </c:val>
        </c:ser>
        <c:ser>
          <c:idx val="1904"/>
          <c:order val="1904"/>
          <c:tx>
            <c:strRef>
              <c:f>'estatística'!$B$1906</c:f>
            </c:strRef>
          </c:tx>
          <c:cat>
            <c:strRef>
              <c:f>'estatística'!$C$1:$M$1</c:f>
            </c:strRef>
          </c:cat>
          <c:val>
            <c:numRef>
              <c:f>'estatística'!$C$1906:$M$1906</c:f>
              <c:numCache/>
            </c:numRef>
          </c:val>
        </c:ser>
        <c:ser>
          <c:idx val="1905"/>
          <c:order val="1905"/>
          <c:tx>
            <c:strRef>
              <c:f>'estatística'!$B$1907</c:f>
            </c:strRef>
          </c:tx>
          <c:cat>
            <c:strRef>
              <c:f>'estatística'!$C$1:$M$1</c:f>
            </c:strRef>
          </c:cat>
          <c:val>
            <c:numRef>
              <c:f>'estatística'!$C$1907:$M$1907</c:f>
              <c:numCache/>
            </c:numRef>
          </c:val>
        </c:ser>
        <c:ser>
          <c:idx val="1906"/>
          <c:order val="1906"/>
          <c:tx>
            <c:strRef>
              <c:f>'estatística'!$B$1908</c:f>
            </c:strRef>
          </c:tx>
          <c:cat>
            <c:strRef>
              <c:f>'estatística'!$C$1:$M$1</c:f>
            </c:strRef>
          </c:cat>
          <c:val>
            <c:numRef>
              <c:f>'estatística'!$C$1908:$M$1908</c:f>
              <c:numCache/>
            </c:numRef>
          </c:val>
        </c:ser>
        <c:ser>
          <c:idx val="1907"/>
          <c:order val="1907"/>
          <c:tx>
            <c:strRef>
              <c:f>'estatística'!$B$1909</c:f>
            </c:strRef>
          </c:tx>
          <c:cat>
            <c:strRef>
              <c:f>'estatística'!$C$1:$M$1</c:f>
            </c:strRef>
          </c:cat>
          <c:val>
            <c:numRef>
              <c:f>'estatística'!$C$1909:$M$1909</c:f>
              <c:numCache/>
            </c:numRef>
          </c:val>
        </c:ser>
        <c:ser>
          <c:idx val="1908"/>
          <c:order val="1908"/>
          <c:tx>
            <c:strRef>
              <c:f>'estatística'!$B$1910</c:f>
            </c:strRef>
          </c:tx>
          <c:cat>
            <c:strRef>
              <c:f>'estatística'!$C$1:$M$1</c:f>
            </c:strRef>
          </c:cat>
          <c:val>
            <c:numRef>
              <c:f>'estatística'!$C$1910:$M$1910</c:f>
              <c:numCache/>
            </c:numRef>
          </c:val>
        </c:ser>
        <c:ser>
          <c:idx val="1909"/>
          <c:order val="1909"/>
          <c:tx>
            <c:strRef>
              <c:f>'estatística'!$B$1911</c:f>
            </c:strRef>
          </c:tx>
          <c:cat>
            <c:strRef>
              <c:f>'estatística'!$C$1:$M$1</c:f>
            </c:strRef>
          </c:cat>
          <c:val>
            <c:numRef>
              <c:f>'estatística'!$C$1911:$M$1911</c:f>
              <c:numCache/>
            </c:numRef>
          </c:val>
        </c:ser>
        <c:ser>
          <c:idx val="1910"/>
          <c:order val="1910"/>
          <c:tx>
            <c:strRef>
              <c:f>'estatística'!$B$1912</c:f>
            </c:strRef>
          </c:tx>
          <c:cat>
            <c:strRef>
              <c:f>'estatística'!$C$1:$M$1</c:f>
            </c:strRef>
          </c:cat>
          <c:val>
            <c:numRef>
              <c:f>'estatística'!$C$1912:$M$1912</c:f>
              <c:numCache/>
            </c:numRef>
          </c:val>
        </c:ser>
        <c:ser>
          <c:idx val="1911"/>
          <c:order val="1911"/>
          <c:tx>
            <c:strRef>
              <c:f>'estatística'!$B$1913</c:f>
            </c:strRef>
          </c:tx>
          <c:cat>
            <c:strRef>
              <c:f>'estatística'!$C$1:$M$1</c:f>
            </c:strRef>
          </c:cat>
          <c:val>
            <c:numRef>
              <c:f>'estatística'!$C$1913:$M$1913</c:f>
              <c:numCache/>
            </c:numRef>
          </c:val>
        </c:ser>
        <c:ser>
          <c:idx val="1912"/>
          <c:order val="1912"/>
          <c:tx>
            <c:strRef>
              <c:f>'estatística'!$B$1914</c:f>
            </c:strRef>
          </c:tx>
          <c:cat>
            <c:strRef>
              <c:f>'estatística'!$C$1:$M$1</c:f>
            </c:strRef>
          </c:cat>
          <c:val>
            <c:numRef>
              <c:f>'estatística'!$C$1914:$M$1914</c:f>
              <c:numCache/>
            </c:numRef>
          </c:val>
        </c:ser>
        <c:ser>
          <c:idx val="1913"/>
          <c:order val="1913"/>
          <c:tx>
            <c:strRef>
              <c:f>'estatística'!$B$1915</c:f>
            </c:strRef>
          </c:tx>
          <c:cat>
            <c:strRef>
              <c:f>'estatística'!$C$1:$M$1</c:f>
            </c:strRef>
          </c:cat>
          <c:val>
            <c:numRef>
              <c:f>'estatística'!$C$1915:$M$1915</c:f>
              <c:numCache/>
            </c:numRef>
          </c:val>
        </c:ser>
        <c:ser>
          <c:idx val="1914"/>
          <c:order val="1914"/>
          <c:tx>
            <c:strRef>
              <c:f>'estatística'!$B$1916</c:f>
            </c:strRef>
          </c:tx>
          <c:cat>
            <c:strRef>
              <c:f>'estatística'!$C$1:$M$1</c:f>
            </c:strRef>
          </c:cat>
          <c:val>
            <c:numRef>
              <c:f>'estatística'!$C$1916:$M$1916</c:f>
              <c:numCache/>
            </c:numRef>
          </c:val>
        </c:ser>
        <c:ser>
          <c:idx val="1915"/>
          <c:order val="1915"/>
          <c:tx>
            <c:strRef>
              <c:f>'estatística'!$B$1917</c:f>
            </c:strRef>
          </c:tx>
          <c:cat>
            <c:strRef>
              <c:f>'estatística'!$C$1:$M$1</c:f>
            </c:strRef>
          </c:cat>
          <c:val>
            <c:numRef>
              <c:f>'estatística'!$C$1917:$M$1917</c:f>
              <c:numCache/>
            </c:numRef>
          </c:val>
        </c:ser>
        <c:ser>
          <c:idx val="1916"/>
          <c:order val="1916"/>
          <c:tx>
            <c:strRef>
              <c:f>'estatística'!$B$1918</c:f>
            </c:strRef>
          </c:tx>
          <c:cat>
            <c:strRef>
              <c:f>'estatística'!$C$1:$M$1</c:f>
            </c:strRef>
          </c:cat>
          <c:val>
            <c:numRef>
              <c:f>'estatística'!$C$1918:$M$1918</c:f>
              <c:numCache/>
            </c:numRef>
          </c:val>
        </c:ser>
        <c:ser>
          <c:idx val="1917"/>
          <c:order val="1917"/>
          <c:tx>
            <c:strRef>
              <c:f>'estatística'!$B$1919</c:f>
            </c:strRef>
          </c:tx>
          <c:cat>
            <c:strRef>
              <c:f>'estatística'!$C$1:$M$1</c:f>
            </c:strRef>
          </c:cat>
          <c:val>
            <c:numRef>
              <c:f>'estatística'!$C$1919:$M$1919</c:f>
              <c:numCache/>
            </c:numRef>
          </c:val>
        </c:ser>
        <c:ser>
          <c:idx val="1918"/>
          <c:order val="1918"/>
          <c:tx>
            <c:strRef>
              <c:f>'estatística'!$B$1920</c:f>
            </c:strRef>
          </c:tx>
          <c:cat>
            <c:strRef>
              <c:f>'estatística'!$C$1:$M$1</c:f>
            </c:strRef>
          </c:cat>
          <c:val>
            <c:numRef>
              <c:f>'estatística'!$C$1920:$M$1920</c:f>
              <c:numCache/>
            </c:numRef>
          </c:val>
        </c:ser>
        <c:ser>
          <c:idx val="1919"/>
          <c:order val="1919"/>
          <c:tx>
            <c:strRef>
              <c:f>'estatística'!$B$1921</c:f>
            </c:strRef>
          </c:tx>
          <c:cat>
            <c:strRef>
              <c:f>'estatística'!$C$1:$M$1</c:f>
            </c:strRef>
          </c:cat>
          <c:val>
            <c:numRef>
              <c:f>'estatística'!$C$1921:$M$1921</c:f>
              <c:numCache/>
            </c:numRef>
          </c:val>
        </c:ser>
        <c:ser>
          <c:idx val="1920"/>
          <c:order val="1920"/>
          <c:tx>
            <c:strRef>
              <c:f>'estatística'!$B$1922</c:f>
            </c:strRef>
          </c:tx>
          <c:cat>
            <c:strRef>
              <c:f>'estatística'!$C$1:$M$1</c:f>
            </c:strRef>
          </c:cat>
          <c:val>
            <c:numRef>
              <c:f>'estatística'!$C$1922:$M$1922</c:f>
              <c:numCache/>
            </c:numRef>
          </c:val>
        </c:ser>
        <c:ser>
          <c:idx val="1921"/>
          <c:order val="1921"/>
          <c:tx>
            <c:strRef>
              <c:f>'estatística'!$B$1923</c:f>
            </c:strRef>
          </c:tx>
          <c:cat>
            <c:strRef>
              <c:f>'estatística'!$C$1:$M$1</c:f>
            </c:strRef>
          </c:cat>
          <c:val>
            <c:numRef>
              <c:f>'estatística'!$C$1923:$M$1923</c:f>
              <c:numCache/>
            </c:numRef>
          </c:val>
        </c:ser>
        <c:ser>
          <c:idx val="1922"/>
          <c:order val="1922"/>
          <c:tx>
            <c:strRef>
              <c:f>'estatística'!$B$1924</c:f>
            </c:strRef>
          </c:tx>
          <c:cat>
            <c:strRef>
              <c:f>'estatística'!$C$1:$M$1</c:f>
            </c:strRef>
          </c:cat>
          <c:val>
            <c:numRef>
              <c:f>'estatística'!$C$1924:$M$1924</c:f>
              <c:numCache/>
            </c:numRef>
          </c:val>
        </c:ser>
        <c:ser>
          <c:idx val="1923"/>
          <c:order val="1923"/>
          <c:tx>
            <c:strRef>
              <c:f>'estatística'!$B$1925</c:f>
            </c:strRef>
          </c:tx>
          <c:cat>
            <c:strRef>
              <c:f>'estatística'!$C$1:$M$1</c:f>
            </c:strRef>
          </c:cat>
          <c:val>
            <c:numRef>
              <c:f>'estatística'!$C$1925:$M$1925</c:f>
              <c:numCache/>
            </c:numRef>
          </c:val>
        </c:ser>
        <c:ser>
          <c:idx val="1924"/>
          <c:order val="1924"/>
          <c:tx>
            <c:strRef>
              <c:f>'estatística'!$B$1926</c:f>
            </c:strRef>
          </c:tx>
          <c:cat>
            <c:strRef>
              <c:f>'estatística'!$C$1:$M$1</c:f>
            </c:strRef>
          </c:cat>
          <c:val>
            <c:numRef>
              <c:f>'estatística'!$C$1926:$M$1926</c:f>
              <c:numCache/>
            </c:numRef>
          </c:val>
        </c:ser>
        <c:ser>
          <c:idx val="1925"/>
          <c:order val="1925"/>
          <c:tx>
            <c:strRef>
              <c:f>'estatística'!$B$1927</c:f>
            </c:strRef>
          </c:tx>
          <c:cat>
            <c:strRef>
              <c:f>'estatística'!$C$1:$M$1</c:f>
            </c:strRef>
          </c:cat>
          <c:val>
            <c:numRef>
              <c:f>'estatística'!$C$1927:$M$1927</c:f>
              <c:numCache/>
            </c:numRef>
          </c:val>
        </c:ser>
        <c:ser>
          <c:idx val="1926"/>
          <c:order val="1926"/>
          <c:tx>
            <c:strRef>
              <c:f>'estatística'!$B$1928</c:f>
            </c:strRef>
          </c:tx>
          <c:cat>
            <c:strRef>
              <c:f>'estatística'!$C$1:$M$1</c:f>
            </c:strRef>
          </c:cat>
          <c:val>
            <c:numRef>
              <c:f>'estatística'!$C$1928:$M$1928</c:f>
              <c:numCache/>
            </c:numRef>
          </c:val>
        </c:ser>
        <c:ser>
          <c:idx val="1927"/>
          <c:order val="1927"/>
          <c:tx>
            <c:strRef>
              <c:f>'estatística'!$B$1929</c:f>
            </c:strRef>
          </c:tx>
          <c:cat>
            <c:strRef>
              <c:f>'estatística'!$C$1:$M$1</c:f>
            </c:strRef>
          </c:cat>
          <c:val>
            <c:numRef>
              <c:f>'estatística'!$C$1929:$M$1929</c:f>
              <c:numCache/>
            </c:numRef>
          </c:val>
        </c:ser>
        <c:ser>
          <c:idx val="1928"/>
          <c:order val="1928"/>
          <c:tx>
            <c:strRef>
              <c:f>'estatística'!$B$1930</c:f>
            </c:strRef>
          </c:tx>
          <c:cat>
            <c:strRef>
              <c:f>'estatística'!$C$1:$M$1</c:f>
            </c:strRef>
          </c:cat>
          <c:val>
            <c:numRef>
              <c:f>'estatística'!$C$1930:$M$1930</c:f>
              <c:numCache/>
            </c:numRef>
          </c:val>
        </c:ser>
        <c:ser>
          <c:idx val="1929"/>
          <c:order val="1929"/>
          <c:tx>
            <c:strRef>
              <c:f>'estatística'!$B$1931</c:f>
            </c:strRef>
          </c:tx>
          <c:cat>
            <c:strRef>
              <c:f>'estatística'!$C$1:$M$1</c:f>
            </c:strRef>
          </c:cat>
          <c:val>
            <c:numRef>
              <c:f>'estatística'!$C$1931:$M$1931</c:f>
              <c:numCache/>
            </c:numRef>
          </c:val>
        </c:ser>
        <c:ser>
          <c:idx val="1930"/>
          <c:order val="1930"/>
          <c:tx>
            <c:strRef>
              <c:f>'estatística'!$B$1932</c:f>
            </c:strRef>
          </c:tx>
          <c:cat>
            <c:strRef>
              <c:f>'estatística'!$C$1:$M$1</c:f>
            </c:strRef>
          </c:cat>
          <c:val>
            <c:numRef>
              <c:f>'estatística'!$C$1932:$M$1932</c:f>
              <c:numCache/>
            </c:numRef>
          </c:val>
        </c:ser>
        <c:ser>
          <c:idx val="1931"/>
          <c:order val="1931"/>
          <c:tx>
            <c:strRef>
              <c:f>'estatística'!$B$1933</c:f>
            </c:strRef>
          </c:tx>
          <c:cat>
            <c:strRef>
              <c:f>'estatística'!$C$1:$M$1</c:f>
            </c:strRef>
          </c:cat>
          <c:val>
            <c:numRef>
              <c:f>'estatística'!$C$1933:$M$1933</c:f>
              <c:numCache/>
            </c:numRef>
          </c:val>
        </c:ser>
        <c:ser>
          <c:idx val="1932"/>
          <c:order val="1932"/>
          <c:tx>
            <c:strRef>
              <c:f>'estatística'!$B$1934</c:f>
            </c:strRef>
          </c:tx>
          <c:cat>
            <c:strRef>
              <c:f>'estatística'!$C$1:$M$1</c:f>
            </c:strRef>
          </c:cat>
          <c:val>
            <c:numRef>
              <c:f>'estatística'!$C$1934:$M$1934</c:f>
              <c:numCache/>
            </c:numRef>
          </c:val>
        </c:ser>
        <c:ser>
          <c:idx val="1933"/>
          <c:order val="1933"/>
          <c:tx>
            <c:strRef>
              <c:f>'estatística'!$B$1935</c:f>
            </c:strRef>
          </c:tx>
          <c:cat>
            <c:strRef>
              <c:f>'estatística'!$C$1:$M$1</c:f>
            </c:strRef>
          </c:cat>
          <c:val>
            <c:numRef>
              <c:f>'estatística'!$C$1935:$M$1935</c:f>
              <c:numCache/>
            </c:numRef>
          </c:val>
        </c:ser>
        <c:ser>
          <c:idx val="1934"/>
          <c:order val="1934"/>
          <c:tx>
            <c:strRef>
              <c:f>'estatística'!$B$1936</c:f>
            </c:strRef>
          </c:tx>
          <c:cat>
            <c:strRef>
              <c:f>'estatística'!$C$1:$M$1</c:f>
            </c:strRef>
          </c:cat>
          <c:val>
            <c:numRef>
              <c:f>'estatística'!$C$1936:$M$1936</c:f>
              <c:numCache/>
            </c:numRef>
          </c:val>
        </c:ser>
        <c:ser>
          <c:idx val="1935"/>
          <c:order val="1935"/>
          <c:tx>
            <c:strRef>
              <c:f>'estatística'!$B$1937</c:f>
            </c:strRef>
          </c:tx>
          <c:cat>
            <c:strRef>
              <c:f>'estatística'!$C$1:$M$1</c:f>
            </c:strRef>
          </c:cat>
          <c:val>
            <c:numRef>
              <c:f>'estatística'!$C$1937:$M$1937</c:f>
              <c:numCache/>
            </c:numRef>
          </c:val>
        </c:ser>
        <c:ser>
          <c:idx val="1936"/>
          <c:order val="1936"/>
          <c:tx>
            <c:strRef>
              <c:f>'estatística'!$B$1938</c:f>
            </c:strRef>
          </c:tx>
          <c:cat>
            <c:strRef>
              <c:f>'estatística'!$C$1:$M$1</c:f>
            </c:strRef>
          </c:cat>
          <c:val>
            <c:numRef>
              <c:f>'estatística'!$C$1938:$M$1938</c:f>
              <c:numCache/>
            </c:numRef>
          </c:val>
        </c:ser>
        <c:ser>
          <c:idx val="1937"/>
          <c:order val="1937"/>
          <c:tx>
            <c:strRef>
              <c:f>'estatística'!$B$1939</c:f>
            </c:strRef>
          </c:tx>
          <c:cat>
            <c:strRef>
              <c:f>'estatística'!$C$1:$M$1</c:f>
            </c:strRef>
          </c:cat>
          <c:val>
            <c:numRef>
              <c:f>'estatística'!$C$1939:$M$1939</c:f>
              <c:numCache/>
            </c:numRef>
          </c:val>
        </c:ser>
        <c:ser>
          <c:idx val="1938"/>
          <c:order val="1938"/>
          <c:tx>
            <c:strRef>
              <c:f>'estatística'!$B$1940</c:f>
            </c:strRef>
          </c:tx>
          <c:cat>
            <c:strRef>
              <c:f>'estatística'!$C$1:$M$1</c:f>
            </c:strRef>
          </c:cat>
          <c:val>
            <c:numRef>
              <c:f>'estatística'!$C$1940:$M$1940</c:f>
              <c:numCache/>
            </c:numRef>
          </c:val>
        </c:ser>
        <c:ser>
          <c:idx val="1939"/>
          <c:order val="1939"/>
          <c:tx>
            <c:strRef>
              <c:f>'estatística'!$B$1941</c:f>
            </c:strRef>
          </c:tx>
          <c:cat>
            <c:strRef>
              <c:f>'estatística'!$C$1:$M$1</c:f>
            </c:strRef>
          </c:cat>
          <c:val>
            <c:numRef>
              <c:f>'estatística'!$C$1941:$M$1941</c:f>
              <c:numCache/>
            </c:numRef>
          </c:val>
        </c:ser>
        <c:ser>
          <c:idx val="1940"/>
          <c:order val="1940"/>
          <c:tx>
            <c:strRef>
              <c:f>'estatística'!$B$1942</c:f>
            </c:strRef>
          </c:tx>
          <c:cat>
            <c:strRef>
              <c:f>'estatística'!$C$1:$M$1</c:f>
            </c:strRef>
          </c:cat>
          <c:val>
            <c:numRef>
              <c:f>'estatística'!$C$1942:$M$1942</c:f>
              <c:numCache/>
            </c:numRef>
          </c:val>
        </c:ser>
        <c:ser>
          <c:idx val="1941"/>
          <c:order val="1941"/>
          <c:tx>
            <c:strRef>
              <c:f>'estatística'!$B$1943</c:f>
            </c:strRef>
          </c:tx>
          <c:cat>
            <c:strRef>
              <c:f>'estatística'!$C$1:$M$1</c:f>
            </c:strRef>
          </c:cat>
          <c:val>
            <c:numRef>
              <c:f>'estatística'!$C$1943:$M$1943</c:f>
              <c:numCache/>
            </c:numRef>
          </c:val>
        </c:ser>
        <c:ser>
          <c:idx val="1942"/>
          <c:order val="1942"/>
          <c:tx>
            <c:strRef>
              <c:f>'estatística'!$B$1944</c:f>
            </c:strRef>
          </c:tx>
          <c:cat>
            <c:strRef>
              <c:f>'estatística'!$C$1:$M$1</c:f>
            </c:strRef>
          </c:cat>
          <c:val>
            <c:numRef>
              <c:f>'estatística'!$C$1944:$M$1944</c:f>
              <c:numCache/>
            </c:numRef>
          </c:val>
        </c:ser>
        <c:ser>
          <c:idx val="1943"/>
          <c:order val="1943"/>
          <c:tx>
            <c:strRef>
              <c:f>'estatística'!$B$1945</c:f>
            </c:strRef>
          </c:tx>
          <c:cat>
            <c:strRef>
              <c:f>'estatística'!$C$1:$M$1</c:f>
            </c:strRef>
          </c:cat>
          <c:val>
            <c:numRef>
              <c:f>'estatística'!$C$1945:$M$1945</c:f>
              <c:numCache/>
            </c:numRef>
          </c:val>
        </c:ser>
        <c:ser>
          <c:idx val="1944"/>
          <c:order val="1944"/>
          <c:tx>
            <c:strRef>
              <c:f>'estatística'!$B$1946</c:f>
            </c:strRef>
          </c:tx>
          <c:cat>
            <c:strRef>
              <c:f>'estatística'!$C$1:$M$1</c:f>
            </c:strRef>
          </c:cat>
          <c:val>
            <c:numRef>
              <c:f>'estatística'!$C$1946:$M$1946</c:f>
              <c:numCache/>
            </c:numRef>
          </c:val>
        </c:ser>
        <c:ser>
          <c:idx val="1945"/>
          <c:order val="1945"/>
          <c:tx>
            <c:strRef>
              <c:f>'estatística'!$B$1947</c:f>
            </c:strRef>
          </c:tx>
          <c:cat>
            <c:strRef>
              <c:f>'estatística'!$C$1:$M$1</c:f>
            </c:strRef>
          </c:cat>
          <c:val>
            <c:numRef>
              <c:f>'estatística'!$C$1947:$M$1947</c:f>
              <c:numCache/>
            </c:numRef>
          </c:val>
        </c:ser>
        <c:ser>
          <c:idx val="1946"/>
          <c:order val="1946"/>
          <c:tx>
            <c:strRef>
              <c:f>'estatística'!$B$1948</c:f>
            </c:strRef>
          </c:tx>
          <c:cat>
            <c:strRef>
              <c:f>'estatística'!$C$1:$M$1</c:f>
            </c:strRef>
          </c:cat>
          <c:val>
            <c:numRef>
              <c:f>'estatística'!$C$1948:$M$1948</c:f>
              <c:numCache/>
            </c:numRef>
          </c:val>
        </c:ser>
        <c:ser>
          <c:idx val="1947"/>
          <c:order val="1947"/>
          <c:tx>
            <c:strRef>
              <c:f>'estatística'!$B$1949</c:f>
            </c:strRef>
          </c:tx>
          <c:cat>
            <c:strRef>
              <c:f>'estatística'!$C$1:$M$1</c:f>
            </c:strRef>
          </c:cat>
          <c:val>
            <c:numRef>
              <c:f>'estatística'!$C$1949:$M$1949</c:f>
              <c:numCache/>
            </c:numRef>
          </c:val>
        </c:ser>
        <c:ser>
          <c:idx val="1948"/>
          <c:order val="1948"/>
          <c:tx>
            <c:strRef>
              <c:f>'estatística'!$B$1950</c:f>
            </c:strRef>
          </c:tx>
          <c:cat>
            <c:strRef>
              <c:f>'estatística'!$C$1:$M$1</c:f>
            </c:strRef>
          </c:cat>
          <c:val>
            <c:numRef>
              <c:f>'estatística'!$C$1950:$M$1950</c:f>
              <c:numCache/>
            </c:numRef>
          </c:val>
        </c:ser>
        <c:ser>
          <c:idx val="1949"/>
          <c:order val="1949"/>
          <c:tx>
            <c:strRef>
              <c:f>'estatística'!$B$1951</c:f>
            </c:strRef>
          </c:tx>
          <c:cat>
            <c:strRef>
              <c:f>'estatística'!$C$1:$M$1</c:f>
            </c:strRef>
          </c:cat>
          <c:val>
            <c:numRef>
              <c:f>'estatística'!$C$1951:$M$1951</c:f>
              <c:numCache/>
            </c:numRef>
          </c:val>
        </c:ser>
        <c:ser>
          <c:idx val="1950"/>
          <c:order val="1950"/>
          <c:tx>
            <c:strRef>
              <c:f>'estatística'!$B$1952</c:f>
            </c:strRef>
          </c:tx>
          <c:cat>
            <c:strRef>
              <c:f>'estatística'!$C$1:$M$1</c:f>
            </c:strRef>
          </c:cat>
          <c:val>
            <c:numRef>
              <c:f>'estatística'!$C$1952:$M$1952</c:f>
              <c:numCache/>
            </c:numRef>
          </c:val>
        </c:ser>
        <c:ser>
          <c:idx val="1951"/>
          <c:order val="1951"/>
          <c:tx>
            <c:strRef>
              <c:f>'estatística'!$B$1953</c:f>
            </c:strRef>
          </c:tx>
          <c:cat>
            <c:strRef>
              <c:f>'estatística'!$C$1:$M$1</c:f>
            </c:strRef>
          </c:cat>
          <c:val>
            <c:numRef>
              <c:f>'estatística'!$C$1953:$M$1953</c:f>
              <c:numCache/>
            </c:numRef>
          </c:val>
        </c:ser>
        <c:ser>
          <c:idx val="1952"/>
          <c:order val="1952"/>
          <c:tx>
            <c:strRef>
              <c:f>'estatística'!$B$1954</c:f>
            </c:strRef>
          </c:tx>
          <c:cat>
            <c:strRef>
              <c:f>'estatística'!$C$1:$M$1</c:f>
            </c:strRef>
          </c:cat>
          <c:val>
            <c:numRef>
              <c:f>'estatística'!$C$1954:$M$1954</c:f>
              <c:numCache/>
            </c:numRef>
          </c:val>
        </c:ser>
        <c:ser>
          <c:idx val="1953"/>
          <c:order val="1953"/>
          <c:tx>
            <c:strRef>
              <c:f>'estatística'!$B$1955</c:f>
            </c:strRef>
          </c:tx>
          <c:cat>
            <c:strRef>
              <c:f>'estatística'!$C$1:$M$1</c:f>
            </c:strRef>
          </c:cat>
          <c:val>
            <c:numRef>
              <c:f>'estatística'!$C$1955:$M$1955</c:f>
              <c:numCache/>
            </c:numRef>
          </c:val>
        </c:ser>
        <c:ser>
          <c:idx val="1954"/>
          <c:order val="1954"/>
          <c:tx>
            <c:strRef>
              <c:f>'estatística'!$B$1956</c:f>
            </c:strRef>
          </c:tx>
          <c:cat>
            <c:strRef>
              <c:f>'estatística'!$C$1:$M$1</c:f>
            </c:strRef>
          </c:cat>
          <c:val>
            <c:numRef>
              <c:f>'estatística'!$C$1956:$M$1956</c:f>
              <c:numCache/>
            </c:numRef>
          </c:val>
        </c:ser>
        <c:ser>
          <c:idx val="1955"/>
          <c:order val="1955"/>
          <c:tx>
            <c:strRef>
              <c:f>'estatística'!$B$1957</c:f>
            </c:strRef>
          </c:tx>
          <c:cat>
            <c:strRef>
              <c:f>'estatística'!$C$1:$M$1</c:f>
            </c:strRef>
          </c:cat>
          <c:val>
            <c:numRef>
              <c:f>'estatística'!$C$1957:$M$1957</c:f>
              <c:numCache/>
            </c:numRef>
          </c:val>
        </c:ser>
        <c:ser>
          <c:idx val="1956"/>
          <c:order val="1956"/>
          <c:tx>
            <c:strRef>
              <c:f>'estatística'!$B$1958</c:f>
            </c:strRef>
          </c:tx>
          <c:cat>
            <c:strRef>
              <c:f>'estatística'!$C$1:$M$1</c:f>
            </c:strRef>
          </c:cat>
          <c:val>
            <c:numRef>
              <c:f>'estatística'!$C$1958:$M$1958</c:f>
              <c:numCache/>
            </c:numRef>
          </c:val>
        </c:ser>
        <c:ser>
          <c:idx val="1957"/>
          <c:order val="1957"/>
          <c:tx>
            <c:strRef>
              <c:f>'estatística'!$B$1959</c:f>
            </c:strRef>
          </c:tx>
          <c:cat>
            <c:strRef>
              <c:f>'estatística'!$C$1:$M$1</c:f>
            </c:strRef>
          </c:cat>
          <c:val>
            <c:numRef>
              <c:f>'estatística'!$C$1959:$M$1959</c:f>
              <c:numCache/>
            </c:numRef>
          </c:val>
        </c:ser>
        <c:ser>
          <c:idx val="1958"/>
          <c:order val="1958"/>
          <c:tx>
            <c:strRef>
              <c:f>'estatística'!$B$1960</c:f>
            </c:strRef>
          </c:tx>
          <c:cat>
            <c:strRef>
              <c:f>'estatística'!$C$1:$M$1</c:f>
            </c:strRef>
          </c:cat>
          <c:val>
            <c:numRef>
              <c:f>'estatística'!$C$1960:$M$1960</c:f>
              <c:numCache/>
            </c:numRef>
          </c:val>
        </c:ser>
        <c:ser>
          <c:idx val="1959"/>
          <c:order val="1959"/>
          <c:tx>
            <c:strRef>
              <c:f>'estatística'!$B$1961</c:f>
            </c:strRef>
          </c:tx>
          <c:cat>
            <c:strRef>
              <c:f>'estatística'!$C$1:$M$1</c:f>
            </c:strRef>
          </c:cat>
          <c:val>
            <c:numRef>
              <c:f>'estatística'!$C$1961:$M$1961</c:f>
              <c:numCache/>
            </c:numRef>
          </c:val>
        </c:ser>
        <c:ser>
          <c:idx val="1960"/>
          <c:order val="1960"/>
          <c:tx>
            <c:strRef>
              <c:f>'estatística'!$B$1962</c:f>
            </c:strRef>
          </c:tx>
          <c:cat>
            <c:strRef>
              <c:f>'estatística'!$C$1:$M$1</c:f>
            </c:strRef>
          </c:cat>
          <c:val>
            <c:numRef>
              <c:f>'estatística'!$C$1962:$M$1962</c:f>
              <c:numCache/>
            </c:numRef>
          </c:val>
        </c:ser>
        <c:ser>
          <c:idx val="1961"/>
          <c:order val="1961"/>
          <c:tx>
            <c:strRef>
              <c:f>'estatística'!$B$1963</c:f>
            </c:strRef>
          </c:tx>
          <c:cat>
            <c:strRef>
              <c:f>'estatística'!$C$1:$M$1</c:f>
            </c:strRef>
          </c:cat>
          <c:val>
            <c:numRef>
              <c:f>'estatística'!$C$1963:$M$1963</c:f>
              <c:numCache/>
            </c:numRef>
          </c:val>
        </c:ser>
        <c:ser>
          <c:idx val="1962"/>
          <c:order val="1962"/>
          <c:tx>
            <c:strRef>
              <c:f>'estatística'!$B$1964</c:f>
            </c:strRef>
          </c:tx>
          <c:cat>
            <c:strRef>
              <c:f>'estatística'!$C$1:$M$1</c:f>
            </c:strRef>
          </c:cat>
          <c:val>
            <c:numRef>
              <c:f>'estatística'!$C$1964:$M$1964</c:f>
              <c:numCache/>
            </c:numRef>
          </c:val>
        </c:ser>
        <c:ser>
          <c:idx val="1963"/>
          <c:order val="1963"/>
          <c:tx>
            <c:strRef>
              <c:f>'estatística'!$B$1965</c:f>
            </c:strRef>
          </c:tx>
          <c:cat>
            <c:strRef>
              <c:f>'estatística'!$C$1:$M$1</c:f>
            </c:strRef>
          </c:cat>
          <c:val>
            <c:numRef>
              <c:f>'estatística'!$C$1965:$M$1965</c:f>
              <c:numCache/>
            </c:numRef>
          </c:val>
        </c:ser>
        <c:ser>
          <c:idx val="1964"/>
          <c:order val="1964"/>
          <c:tx>
            <c:strRef>
              <c:f>'estatística'!$B$1966</c:f>
            </c:strRef>
          </c:tx>
          <c:cat>
            <c:strRef>
              <c:f>'estatística'!$C$1:$M$1</c:f>
            </c:strRef>
          </c:cat>
          <c:val>
            <c:numRef>
              <c:f>'estatística'!$C$1966:$M$1966</c:f>
              <c:numCache/>
            </c:numRef>
          </c:val>
        </c:ser>
        <c:ser>
          <c:idx val="1965"/>
          <c:order val="1965"/>
          <c:tx>
            <c:strRef>
              <c:f>'estatística'!$B$1967</c:f>
            </c:strRef>
          </c:tx>
          <c:cat>
            <c:strRef>
              <c:f>'estatística'!$C$1:$M$1</c:f>
            </c:strRef>
          </c:cat>
          <c:val>
            <c:numRef>
              <c:f>'estatística'!$C$1967:$M$1967</c:f>
              <c:numCache/>
            </c:numRef>
          </c:val>
        </c:ser>
        <c:ser>
          <c:idx val="1966"/>
          <c:order val="1966"/>
          <c:tx>
            <c:strRef>
              <c:f>'estatística'!$B$1968</c:f>
            </c:strRef>
          </c:tx>
          <c:cat>
            <c:strRef>
              <c:f>'estatística'!$C$1:$M$1</c:f>
            </c:strRef>
          </c:cat>
          <c:val>
            <c:numRef>
              <c:f>'estatística'!$C$1968:$M$1968</c:f>
              <c:numCache/>
            </c:numRef>
          </c:val>
        </c:ser>
        <c:ser>
          <c:idx val="1967"/>
          <c:order val="1967"/>
          <c:tx>
            <c:strRef>
              <c:f>'estatística'!$B$1969</c:f>
            </c:strRef>
          </c:tx>
          <c:cat>
            <c:strRef>
              <c:f>'estatística'!$C$1:$M$1</c:f>
            </c:strRef>
          </c:cat>
          <c:val>
            <c:numRef>
              <c:f>'estatística'!$C$1969:$M$1969</c:f>
              <c:numCache/>
            </c:numRef>
          </c:val>
        </c:ser>
        <c:ser>
          <c:idx val="1968"/>
          <c:order val="1968"/>
          <c:tx>
            <c:strRef>
              <c:f>'estatística'!$B$1970</c:f>
            </c:strRef>
          </c:tx>
          <c:cat>
            <c:strRef>
              <c:f>'estatística'!$C$1:$M$1</c:f>
            </c:strRef>
          </c:cat>
          <c:val>
            <c:numRef>
              <c:f>'estatística'!$C$1970:$M$1970</c:f>
              <c:numCache/>
            </c:numRef>
          </c:val>
        </c:ser>
        <c:ser>
          <c:idx val="1969"/>
          <c:order val="1969"/>
          <c:tx>
            <c:strRef>
              <c:f>'estatística'!$B$1971</c:f>
            </c:strRef>
          </c:tx>
          <c:cat>
            <c:strRef>
              <c:f>'estatística'!$C$1:$M$1</c:f>
            </c:strRef>
          </c:cat>
          <c:val>
            <c:numRef>
              <c:f>'estatística'!$C$1971:$M$1971</c:f>
              <c:numCache/>
            </c:numRef>
          </c:val>
        </c:ser>
        <c:ser>
          <c:idx val="1970"/>
          <c:order val="1970"/>
          <c:tx>
            <c:strRef>
              <c:f>'estatística'!$B$1972</c:f>
            </c:strRef>
          </c:tx>
          <c:cat>
            <c:strRef>
              <c:f>'estatística'!$C$1:$M$1</c:f>
            </c:strRef>
          </c:cat>
          <c:val>
            <c:numRef>
              <c:f>'estatística'!$C$1972:$M$1972</c:f>
              <c:numCache/>
            </c:numRef>
          </c:val>
        </c:ser>
        <c:ser>
          <c:idx val="1971"/>
          <c:order val="1971"/>
          <c:tx>
            <c:strRef>
              <c:f>'estatística'!$B$1973</c:f>
            </c:strRef>
          </c:tx>
          <c:cat>
            <c:strRef>
              <c:f>'estatística'!$C$1:$M$1</c:f>
            </c:strRef>
          </c:cat>
          <c:val>
            <c:numRef>
              <c:f>'estatística'!$C$1973:$M$1973</c:f>
              <c:numCache/>
            </c:numRef>
          </c:val>
        </c:ser>
        <c:ser>
          <c:idx val="1972"/>
          <c:order val="1972"/>
          <c:tx>
            <c:strRef>
              <c:f>'estatística'!$B$1974</c:f>
            </c:strRef>
          </c:tx>
          <c:cat>
            <c:strRef>
              <c:f>'estatística'!$C$1:$M$1</c:f>
            </c:strRef>
          </c:cat>
          <c:val>
            <c:numRef>
              <c:f>'estatística'!$C$1974:$M$1974</c:f>
              <c:numCache/>
            </c:numRef>
          </c:val>
        </c:ser>
        <c:ser>
          <c:idx val="1973"/>
          <c:order val="1973"/>
          <c:tx>
            <c:strRef>
              <c:f>'estatística'!$B$1975</c:f>
            </c:strRef>
          </c:tx>
          <c:cat>
            <c:strRef>
              <c:f>'estatística'!$C$1:$M$1</c:f>
            </c:strRef>
          </c:cat>
          <c:val>
            <c:numRef>
              <c:f>'estatística'!$C$1975:$M$1975</c:f>
              <c:numCache/>
            </c:numRef>
          </c:val>
        </c:ser>
        <c:ser>
          <c:idx val="1974"/>
          <c:order val="1974"/>
          <c:tx>
            <c:strRef>
              <c:f>'estatística'!$B$1976</c:f>
            </c:strRef>
          </c:tx>
          <c:cat>
            <c:strRef>
              <c:f>'estatística'!$C$1:$M$1</c:f>
            </c:strRef>
          </c:cat>
          <c:val>
            <c:numRef>
              <c:f>'estatística'!$C$1976:$M$1976</c:f>
              <c:numCache/>
            </c:numRef>
          </c:val>
        </c:ser>
        <c:ser>
          <c:idx val="1975"/>
          <c:order val="1975"/>
          <c:tx>
            <c:strRef>
              <c:f>'estatística'!$B$1977</c:f>
            </c:strRef>
          </c:tx>
          <c:cat>
            <c:strRef>
              <c:f>'estatística'!$C$1:$M$1</c:f>
            </c:strRef>
          </c:cat>
          <c:val>
            <c:numRef>
              <c:f>'estatística'!$C$1977:$M$1977</c:f>
              <c:numCache/>
            </c:numRef>
          </c:val>
        </c:ser>
        <c:ser>
          <c:idx val="1976"/>
          <c:order val="1976"/>
          <c:tx>
            <c:strRef>
              <c:f>'estatística'!$B$1978</c:f>
            </c:strRef>
          </c:tx>
          <c:cat>
            <c:strRef>
              <c:f>'estatística'!$C$1:$M$1</c:f>
            </c:strRef>
          </c:cat>
          <c:val>
            <c:numRef>
              <c:f>'estatística'!$C$1978:$M$1978</c:f>
              <c:numCache/>
            </c:numRef>
          </c:val>
        </c:ser>
        <c:ser>
          <c:idx val="1977"/>
          <c:order val="1977"/>
          <c:tx>
            <c:strRef>
              <c:f>'estatística'!$B$1979</c:f>
            </c:strRef>
          </c:tx>
          <c:cat>
            <c:strRef>
              <c:f>'estatística'!$C$1:$M$1</c:f>
            </c:strRef>
          </c:cat>
          <c:val>
            <c:numRef>
              <c:f>'estatística'!$C$1979:$M$1979</c:f>
              <c:numCache/>
            </c:numRef>
          </c:val>
        </c:ser>
        <c:ser>
          <c:idx val="1978"/>
          <c:order val="1978"/>
          <c:tx>
            <c:strRef>
              <c:f>'estatística'!$B$1980</c:f>
            </c:strRef>
          </c:tx>
          <c:cat>
            <c:strRef>
              <c:f>'estatística'!$C$1:$M$1</c:f>
            </c:strRef>
          </c:cat>
          <c:val>
            <c:numRef>
              <c:f>'estatística'!$C$1980:$M$1980</c:f>
              <c:numCache/>
            </c:numRef>
          </c:val>
        </c:ser>
        <c:ser>
          <c:idx val="1979"/>
          <c:order val="1979"/>
          <c:tx>
            <c:strRef>
              <c:f>'estatística'!$B$1981</c:f>
            </c:strRef>
          </c:tx>
          <c:cat>
            <c:strRef>
              <c:f>'estatística'!$C$1:$M$1</c:f>
            </c:strRef>
          </c:cat>
          <c:val>
            <c:numRef>
              <c:f>'estatística'!$C$1981:$M$1981</c:f>
              <c:numCache/>
            </c:numRef>
          </c:val>
        </c:ser>
        <c:ser>
          <c:idx val="1980"/>
          <c:order val="1980"/>
          <c:tx>
            <c:strRef>
              <c:f>'estatística'!$B$1982</c:f>
            </c:strRef>
          </c:tx>
          <c:cat>
            <c:strRef>
              <c:f>'estatística'!$C$1:$M$1</c:f>
            </c:strRef>
          </c:cat>
          <c:val>
            <c:numRef>
              <c:f>'estatística'!$C$1982:$M$1982</c:f>
              <c:numCache/>
            </c:numRef>
          </c:val>
        </c:ser>
        <c:ser>
          <c:idx val="1981"/>
          <c:order val="1981"/>
          <c:tx>
            <c:strRef>
              <c:f>'estatística'!$B$1983</c:f>
            </c:strRef>
          </c:tx>
          <c:cat>
            <c:strRef>
              <c:f>'estatística'!$C$1:$M$1</c:f>
            </c:strRef>
          </c:cat>
          <c:val>
            <c:numRef>
              <c:f>'estatística'!$C$1983:$M$1983</c:f>
              <c:numCache/>
            </c:numRef>
          </c:val>
        </c:ser>
        <c:ser>
          <c:idx val="1982"/>
          <c:order val="1982"/>
          <c:tx>
            <c:strRef>
              <c:f>'estatística'!$B$1984</c:f>
            </c:strRef>
          </c:tx>
          <c:cat>
            <c:strRef>
              <c:f>'estatística'!$C$1:$M$1</c:f>
            </c:strRef>
          </c:cat>
          <c:val>
            <c:numRef>
              <c:f>'estatística'!$C$1984:$M$1984</c:f>
              <c:numCache/>
            </c:numRef>
          </c:val>
        </c:ser>
        <c:ser>
          <c:idx val="1983"/>
          <c:order val="1983"/>
          <c:tx>
            <c:strRef>
              <c:f>'estatística'!$B$1985</c:f>
            </c:strRef>
          </c:tx>
          <c:cat>
            <c:strRef>
              <c:f>'estatística'!$C$1:$M$1</c:f>
            </c:strRef>
          </c:cat>
          <c:val>
            <c:numRef>
              <c:f>'estatística'!$C$1985:$M$1985</c:f>
              <c:numCache/>
            </c:numRef>
          </c:val>
        </c:ser>
        <c:ser>
          <c:idx val="1984"/>
          <c:order val="1984"/>
          <c:tx>
            <c:strRef>
              <c:f>'estatística'!$B$1986</c:f>
            </c:strRef>
          </c:tx>
          <c:cat>
            <c:strRef>
              <c:f>'estatística'!$C$1:$M$1</c:f>
            </c:strRef>
          </c:cat>
          <c:val>
            <c:numRef>
              <c:f>'estatística'!$C$1986:$M$1986</c:f>
              <c:numCache/>
            </c:numRef>
          </c:val>
        </c:ser>
        <c:ser>
          <c:idx val="1985"/>
          <c:order val="1985"/>
          <c:tx>
            <c:strRef>
              <c:f>'estatística'!$B$1987</c:f>
            </c:strRef>
          </c:tx>
          <c:cat>
            <c:strRef>
              <c:f>'estatística'!$C$1:$M$1</c:f>
            </c:strRef>
          </c:cat>
          <c:val>
            <c:numRef>
              <c:f>'estatística'!$C$1987:$M$1987</c:f>
              <c:numCache/>
            </c:numRef>
          </c:val>
        </c:ser>
        <c:ser>
          <c:idx val="1986"/>
          <c:order val="1986"/>
          <c:tx>
            <c:strRef>
              <c:f>'estatística'!$B$1988</c:f>
            </c:strRef>
          </c:tx>
          <c:cat>
            <c:strRef>
              <c:f>'estatística'!$C$1:$M$1</c:f>
            </c:strRef>
          </c:cat>
          <c:val>
            <c:numRef>
              <c:f>'estatística'!$C$1988:$M$1988</c:f>
              <c:numCache/>
            </c:numRef>
          </c:val>
        </c:ser>
        <c:ser>
          <c:idx val="1987"/>
          <c:order val="1987"/>
          <c:tx>
            <c:strRef>
              <c:f>'estatística'!$B$1989</c:f>
            </c:strRef>
          </c:tx>
          <c:cat>
            <c:strRef>
              <c:f>'estatística'!$C$1:$M$1</c:f>
            </c:strRef>
          </c:cat>
          <c:val>
            <c:numRef>
              <c:f>'estatística'!$C$1989:$M$1989</c:f>
              <c:numCache/>
            </c:numRef>
          </c:val>
        </c:ser>
        <c:ser>
          <c:idx val="1988"/>
          <c:order val="1988"/>
          <c:tx>
            <c:strRef>
              <c:f>'estatística'!$B$1990</c:f>
            </c:strRef>
          </c:tx>
          <c:cat>
            <c:strRef>
              <c:f>'estatística'!$C$1:$M$1</c:f>
            </c:strRef>
          </c:cat>
          <c:val>
            <c:numRef>
              <c:f>'estatística'!$C$1990:$M$1990</c:f>
              <c:numCache/>
            </c:numRef>
          </c:val>
        </c:ser>
        <c:ser>
          <c:idx val="1989"/>
          <c:order val="1989"/>
          <c:tx>
            <c:strRef>
              <c:f>'estatística'!$B$1991</c:f>
            </c:strRef>
          </c:tx>
          <c:cat>
            <c:strRef>
              <c:f>'estatística'!$C$1:$M$1</c:f>
            </c:strRef>
          </c:cat>
          <c:val>
            <c:numRef>
              <c:f>'estatística'!$C$1991:$M$1991</c:f>
              <c:numCache/>
            </c:numRef>
          </c:val>
        </c:ser>
        <c:ser>
          <c:idx val="1990"/>
          <c:order val="1990"/>
          <c:tx>
            <c:strRef>
              <c:f>'estatística'!$B$1992</c:f>
            </c:strRef>
          </c:tx>
          <c:cat>
            <c:strRef>
              <c:f>'estatística'!$C$1:$M$1</c:f>
            </c:strRef>
          </c:cat>
          <c:val>
            <c:numRef>
              <c:f>'estatística'!$C$1992:$M$1992</c:f>
              <c:numCache/>
            </c:numRef>
          </c:val>
        </c:ser>
        <c:ser>
          <c:idx val="1991"/>
          <c:order val="1991"/>
          <c:tx>
            <c:strRef>
              <c:f>'estatística'!$B$1993</c:f>
            </c:strRef>
          </c:tx>
          <c:cat>
            <c:strRef>
              <c:f>'estatística'!$C$1:$M$1</c:f>
            </c:strRef>
          </c:cat>
          <c:val>
            <c:numRef>
              <c:f>'estatística'!$C$1993:$M$1993</c:f>
              <c:numCache/>
            </c:numRef>
          </c:val>
        </c:ser>
        <c:ser>
          <c:idx val="1992"/>
          <c:order val="1992"/>
          <c:tx>
            <c:strRef>
              <c:f>'estatística'!$B$1994</c:f>
            </c:strRef>
          </c:tx>
          <c:cat>
            <c:strRef>
              <c:f>'estatística'!$C$1:$M$1</c:f>
            </c:strRef>
          </c:cat>
          <c:val>
            <c:numRef>
              <c:f>'estatística'!$C$1994:$M$1994</c:f>
              <c:numCache/>
            </c:numRef>
          </c:val>
        </c:ser>
        <c:ser>
          <c:idx val="1993"/>
          <c:order val="1993"/>
          <c:tx>
            <c:strRef>
              <c:f>'estatística'!$B$1995</c:f>
            </c:strRef>
          </c:tx>
          <c:cat>
            <c:strRef>
              <c:f>'estatística'!$C$1:$M$1</c:f>
            </c:strRef>
          </c:cat>
          <c:val>
            <c:numRef>
              <c:f>'estatística'!$C$1995:$M$1995</c:f>
              <c:numCache/>
            </c:numRef>
          </c:val>
        </c:ser>
        <c:ser>
          <c:idx val="1994"/>
          <c:order val="1994"/>
          <c:tx>
            <c:strRef>
              <c:f>'estatística'!$B$1996</c:f>
            </c:strRef>
          </c:tx>
          <c:cat>
            <c:strRef>
              <c:f>'estatística'!$C$1:$M$1</c:f>
            </c:strRef>
          </c:cat>
          <c:val>
            <c:numRef>
              <c:f>'estatística'!$C$1996:$M$1996</c:f>
              <c:numCache/>
            </c:numRef>
          </c:val>
        </c:ser>
        <c:ser>
          <c:idx val="1995"/>
          <c:order val="1995"/>
          <c:tx>
            <c:strRef>
              <c:f>'estatística'!$B$1997</c:f>
            </c:strRef>
          </c:tx>
          <c:cat>
            <c:strRef>
              <c:f>'estatística'!$C$1:$M$1</c:f>
            </c:strRef>
          </c:cat>
          <c:val>
            <c:numRef>
              <c:f>'estatística'!$C$1997:$M$1997</c:f>
              <c:numCache/>
            </c:numRef>
          </c:val>
        </c:ser>
        <c:ser>
          <c:idx val="1996"/>
          <c:order val="1996"/>
          <c:tx>
            <c:strRef>
              <c:f>'estatística'!$B$1998</c:f>
            </c:strRef>
          </c:tx>
          <c:cat>
            <c:strRef>
              <c:f>'estatística'!$C$1:$M$1</c:f>
            </c:strRef>
          </c:cat>
          <c:val>
            <c:numRef>
              <c:f>'estatística'!$C$1998:$M$1998</c:f>
              <c:numCache/>
            </c:numRef>
          </c:val>
        </c:ser>
        <c:ser>
          <c:idx val="1997"/>
          <c:order val="1997"/>
          <c:tx>
            <c:strRef>
              <c:f>'estatística'!$B$1999</c:f>
            </c:strRef>
          </c:tx>
          <c:cat>
            <c:strRef>
              <c:f>'estatística'!$C$1:$M$1</c:f>
            </c:strRef>
          </c:cat>
          <c:val>
            <c:numRef>
              <c:f>'estatística'!$C$1999:$M$1999</c:f>
              <c:numCache/>
            </c:numRef>
          </c:val>
        </c:ser>
        <c:ser>
          <c:idx val="1998"/>
          <c:order val="1998"/>
          <c:tx>
            <c:strRef>
              <c:f>'estatística'!$B$2000</c:f>
            </c:strRef>
          </c:tx>
          <c:cat>
            <c:strRef>
              <c:f>'estatística'!$C$1:$M$1</c:f>
            </c:strRef>
          </c:cat>
          <c:val>
            <c:numRef>
              <c:f>'estatística'!$C$2000:$M$2000</c:f>
              <c:numCache/>
            </c:numRef>
          </c:val>
        </c:ser>
        <c:ser>
          <c:idx val="1999"/>
          <c:order val="1999"/>
          <c:tx>
            <c:strRef>
              <c:f>'estatística'!$B$2001</c:f>
            </c:strRef>
          </c:tx>
          <c:cat>
            <c:strRef>
              <c:f>'estatística'!$C$1:$M$1</c:f>
            </c:strRef>
          </c:cat>
          <c:val>
            <c:numRef>
              <c:f>'estatística'!$C$2001:$M$2001</c:f>
              <c:numCache/>
            </c:numRef>
          </c:val>
        </c:ser>
        <c:ser>
          <c:idx val="2000"/>
          <c:order val="2000"/>
          <c:tx>
            <c:strRef>
              <c:f>'estatística'!$B$2002</c:f>
            </c:strRef>
          </c:tx>
          <c:cat>
            <c:strRef>
              <c:f>'estatística'!$C$1:$M$1</c:f>
            </c:strRef>
          </c:cat>
          <c:val>
            <c:numRef>
              <c:f>'estatística'!$C$2002:$M$2002</c:f>
              <c:numCache/>
            </c:numRef>
          </c:val>
        </c:ser>
        <c:ser>
          <c:idx val="2001"/>
          <c:order val="2001"/>
          <c:tx>
            <c:strRef>
              <c:f>'estatística'!$B$2003</c:f>
            </c:strRef>
          </c:tx>
          <c:cat>
            <c:strRef>
              <c:f>'estatística'!$C$1:$M$1</c:f>
            </c:strRef>
          </c:cat>
          <c:val>
            <c:numRef>
              <c:f>'estatística'!$C$2003:$M$2003</c:f>
              <c:numCache/>
            </c:numRef>
          </c:val>
        </c:ser>
        <c:axId val="297752395"/>
        <c:axId val="417140876"/>
      </c:bar3DChart>
      <c:catAx>
        <c:axId val="29775239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7140876"/>
      </c:catAx>
      <c:valAx>
        <c:axId val="4171408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775239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'estatística'!$B$2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'estatística'!$C$1:$M$1</c:f>
            </c:strRef>
          </c:cat>
          <c:val>
            <c:numRef>
              <c:f>'estatística'!$C$2:$M$2</c:f>
              <c:numCache/>
            </c:numRef>
          </c:val>
        </c:ser>
        <c:ser>
          <c:idx val="1"/>
          <c:order val="1"/>
          <c:tx>
            <c:strRef>
              <c:f>'estatística'!$B$3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'estatística'!$C$1:$M$1</c:f>
            </c:strRef>
          </c:cat>
          <c:val>
            <c:numRef>
              <c:f>'estatística'!$C$3:$M$3</c:f>
              <c:numCache/>
            </c:numRef>
          </c:val>
        </c:ser>
        <c:ser>
          <c:idx val="2"/>
          <c:order val="2"/>
          <c:tx>
            <c:strRef>
              <c:f>'estatística'!$B$4</c:f>
            </c:strRef>
          </c:tx>
          <c:cat>
            <c:strRef>
              <c:f>'estatística'!$C$1:$M$1</c:f>
            </c:strRef>
          </c:cat>
          <c:val>
            <c:numRef>
              <c:f>'estatística'!$C$4:$M$4</c:f>
              <c:numCache/>
            </c:numRef>
          </c:val>
        </c:ser>
        <c:ser>
          <c:idx val="3"/>
          <c:order val="3"/>
          <c:tx>
            <c:strRef>
              <c:f>'estatística'!$B$5</c:f>
            </c:strRef>
          </c:tx>
          <c:cat>
            <c:strRef>
              <c:f>'estatística'!$C$1:$M$1</c:f>
            </c:strRef>
          </c:cat>
          <c:val>
            <c:numRef>
              <c:f>'estatística'!$C$5:$M$5</c:f>
              <c:numCache/>
            </c:numRef>
          </c:val>
        </c:ser>
        <c:ser>
          <c:idx val="4"/>
          <c:order val="4"/>
          <c:tx>
            <c:strRef>
              <c:f>'estatística'!$B$6</c:f>
            </c:strRef>
          </c:tx>
          <c:cat>
            <c:strRef>
              <c:f>'estatística'!$C$1:$M$1</c:f>
            </c:strRef>
          </c:cat>
          <c:val>
            <c:numRef>
              <c:f>'estatística'!$C$6:$M$6</c:f>
              <c:numCache/>
            </c:numRef>
          </c:val>
        </c:ser>
        <c:ser>
          <c:idx val="5"/>
          <c:order val="5"/>
          <c:tx>
            <c:strRef>
              <c:f>'estatística'!$B$7</c:f>
            </c:strRef>
          </c:tx>
          <c:cat>
            <c:strRef>
              <c:f>'estatística'!$C$1:$M$1</c:f>
            </c:strRef>
          </c:cat>
          <c:val>
            <c:numRef>
              <c:f>'estatística'!$C$7:$M$7</c:f>
              <c:numCache/>
            </c:numRef>
          </c:val>
        </c:ser>
        <c:ser>
          <c:idx val="6"/>
          <c:order val="6"/>
          <c:tx>
            <c:strRef>
              <c:f>'estatística'!$B$8</c:f>
            </c:strRef>
          </c:tx>
          <c:cat>
            <c:strRef>
              <c:f>'estatística'!$C$1:$M$1</c:f>
            </c:strRef>
          </c:cat>
          <c:val>
            <c:numRef>
              <c:f>'estatística'!$C$8:$M$8</c:f>
              <c:numCache/>
            </c:numRef>
          </c:val>
        </c:ser>
        <c:ser>
          <c:idx val="7"/>
          <c:order val="7"/>
          <c:tx>
            <c:strRef>
              <c:f>'estatística'!$B$9</c:f>
            </c:strRef>
          </c:tx>
          <c:cat>
            <c:strRef>
              <c:f>'estatística'!$C$1:$M$1</c:f>
            </c:strRef>
          </c:cat>
          <c:val>
            <c:numRef>
              <c:f>'estatística'!$C$9:$M$9</c:f>
              <c:numCache/>
            </c:numRef>
          </c:val>
        </c:ser>
        <c:ser>
          <c:idx val="8"/>
          <c:order val="8"/>
          <c:tx>
            <c:strRef>
              <c:f>'estatística'!$B$10</c:f>
            </c:strRef>
          </c:tx>
          <c:cat>
            <c:strRef>
              <c:f>'estatística'!$C$1:$M$1</c:f>
            </c:strRef>
          </c:cat>
          <c:val>
            <c:numRef>
              <c:f>'estatística'!$C$10:$M$10</c:f>
              <c:numCache/>
            </c:numRef>
          </c:val>
        </c:ser>
        <c:ser>
          <c:idx val="9"/>
          <c:order val="9"/>
          <c:tx>
            <c:strRef>
              <c:f>'estatística'!$B$11</c:f>
            </c:strRef>
          </c:tx>
          <c:cat>
            <c:strRef>
              <c:f>'estatística'!$C$1:$M$1</c:f>
            </c:strRef>
          </c:cat>
          <c:val>
            <c:numRef>
              <c:f>'estatística'!$C$11:$M$11</c:f>
              <c:numCache/>
            </c:numRef>
          </c:val>
        </c:ser>
        <c:ser>
          <c:idx val="10"/>
          <c:order val="10"/>
          <c:tx>
            <c:strRef>
              <c:f>'estatística'!$B$12</c:f>
            </c:strRef>
          </c:tx>
          <c:cat>
            <c:strRef>
              <c:f>'estatística'!$C$1:$M$1</c:f>
            </c:strRef>
          </c:cat>
          <c:val>
            <c:numRef>
              <c:f>'estatística'!$C$12:$M$12</c:f>
              <c:numCache/>
            </c:numRef>
          </c:val>
        </c:ser>
        <c:ser>
          <c:idx val="11"/>
          <c:order val="11"/>
          <c:tx>
            <c:strRef>
              <c:f>'estatística'!$B$13</c:f>
            </c:strRef>
          </c:tx>
          <c:cat>
            <c:strRef>
              <c:f>'estatística'!$C$1:$M$1</c:f>
            </c:strRef>
          </c:cat>
          <c:val>
            <c:numRef>
              <c:f>'estatística'!$C$13:$M$13</c:f>
              <c:numCache/>
            </c:numRef>
          </c:val>
        </c:ser>
        <c:ser>
          <c:idx val="12"/>
          <c:order val="12"/>
          <c:tx>
            <c:strRef>
              <c:f>'estatística'!$B$14</c:f>
            </c:strRef>
          </c:tx>
          <c:cat>
            <c:strRef>
              <c:f>'estatística'!$C$1:$M$1</c:f>
            </c:strRef>
          </c:cat>
          <c:val>
            <c:numRef>
              <c:f>'estatística'!$C$14:$M$14</c:f>
              <c:numCache/>
            </c:numRef>
          </c:val>
        </c:ser>
        <c:ser>
          <c:idx val="13"/>
          <c:order val="13"/>
          <c:tx>
            <c:strRef>
              <c:f>'estatística'!$B$15</c:f>
            </c:strRef>
          </c:tx>
          <c:cat>
            <c:strRef>
              <c:f>'estatística'!$C$1:$M$1</c:f>
            </c:strRef>
          </c:cat>
          <c:val>
            <c:numRef>
              <c:f>'estatística'!$C$15:$M$15</c:f>
              <c:numCache/>
            </c:numRef>
          </c:val>
        </c:ser>
        <c:ser>
          <c:idx val="14"/>
          <c:order val="14"/>
          <c:tx>
            <c:strRef>
              <c:f>'estatística'!$B$16</c:f>
            </c:strRef>
          </c:tx>
          <c:cat>
            <c:strRef>
              <c:f>'estatística'!$C$1:$M$1</c:f>
            </c:strRef>
          </c:cat>
          <c:val>
            <c:numRef>
              <c:f>'estatística'!$C$16:$M$16</c:f>
              <c:numCache/>
            </c:numRef>
          </c:val>
        </c:ser>
        <c:ser>
          <c:idx val="15"/>
          <c:order val="15"/>
          <c:tx>
            <c:strRef>
              <c:f>'estatística'!$B$17</c:f>
            </c:strRef>
          </c:tx>
          <c:cat>
            <c:strRef>
              <c:f>'estatística'!$C$1:$M$1</c:f>
            </c:strRef>
          </c:cat>
          <c:val>
            <c:numRef>
              <c:f>'estatística'!$C$17:$M$17</c:f>
              <c:numCache/>
            </c:numRef>
          </c:val>
        </c:ser>
        <c:ser>
          <c:idx val="16"/>
          <c:order val="16"/>
          <c:tx>
            <c:strRef>
              <c:f>'estatística'!$B$18</c:f>
            </c:strRef>
          </c:tx>
          <c:cat>
            <c:strRef>
              <c:f>'estatística'!$C$1:$M$1</c:f>
            </c:strRef>
          </c:cat>
          <c:val>
            <c:numRef>
              <c:f>'estatística'!$C$18:$M$18</c:f>
              <c:numCache/>
            </c:numRef>
          </c:val>
        </c:ser>
        <c:ser>
          <c:idx val="17"/>
          <c:order val="17"/>
          <c:tx>
            <c:strRef>
              <c:f>'estatística'!$B$19</c:f>
            </c:strRef>
          </c:tx>
          <c:cat>
            <c:strRef>
              <c:f>'estatística'!$C$1:$M$1</c:f>
            </c:strRef>
          </c:cat>
          <c:val>
            <c:numRef>
              <c:f>'estatística'!$C$19:$M$19</c:f>
              <c:numCache/>
            </c:numRef>
          </c:val>
        </c:ser>
        <c:ser>
          <c:idx val="18"/>
          <c:order val="18"/>
          <c:tx>
            <c:strRef>
              <c:f>'estatística'!$B$20</c:f>
            </c:strRef>
          </c:tx>
          <c:cat>
            <c:strRef>
              <c:f>'estatística'!$C$1:$M$1</c:f>
            </c:strRef>
          </c:cat>
          <c:val>
            <c:numRef>
              <c:f>'estatística'!$C$20:$M$20</c:f>
              <c:numCache/>
            </c:numRef>
          </c:val>
        </c:ser>
        <c:ser>
          <c:idx val="19"/>
          <c:order val="19"/>
          <c:tx>
            <c:strRef>
              <c:f>'estatística'!$B$21</c:f>
            </c:strRef>
          </c:tx>
          <c:cat>
            <c:strRef>
              <c:f>'estatística'!$C$1:$M$1</c:f>
            </c:strRef>
          </c:cat>
          <c:val>
            <c:numRef>
              <c:f>'estatística'!$C$21:$M$21</c:f>
              <c:numCache/>
            </c:numRef>
          </c:val>
        </c:ser>
        <c:ser>
          <c:idx val="20"/>
          <c:order val="20"/>
          <c:tx>
            <c:strRef>
              <c:f>'estatística'!$B$22</c:f>
            </c:strRef>
          </c:tx>
          <c:cat>
            <c:strRef>
              <c:f>'estatística'!$C$1:$M$1</c:f>
            </c:strRef>
          </c:cat>
          <c:val>
            <c:numRef>
              <c:f>'estatística'!$C$22:$M$22</c:f>
              <c:numCache/>
            </c:numRef>
          </c:val>
        </c:ser>
        <c:ser>
          <c:idx val="21"/>
          <c:order val="21"/>
          <c:tx>
            <c:strRef>
              <c:f>'estatística'!$B$23</c:f>
            </c:strRef>
          </c:tx>
          <c:cat>
            <c:strRef>
              <c:f>'estatística'!$C$1:$M$1</c:f>
            </c:strRef>
          </c:cat>
          <c:val>
            <c:numRef>
              <c:f>'estatística'!$C$23:$M$23</c:f>
              <c:numCache/>
            </c:numRef>
          </c:val>
        </c:ser>
        <c:ser>
          <c:idx val="22"/>
          <c:order val="22"/>
          <c:tx>
            <c:strRef>
              <c:f>'estatística'!$B$24</c:f>
            </c:strRef>
          </c:tx>
          <c:cat>
            <c:strRef>
              <c:f>'estatística'!$C$1:$M$1</c:f>
            </c:strRef>
          </c:cat>
          <c:val>
            <c:numRef>
              <c:f>'estatística'!$C$24:$M$24</c:f>
              <c:numCache/>
            </c:numRef>
          </c:val>
        </c:ser>
        <c:ser>
          <c:idx val="23"/>
          <c:order val="23"/>
          <c:tx>
            <c:strRef>
              <c:f>'estatística'!$B$25</c:f>
            </c:strRef>
          </c:tx>
          <c:cat>
            <c:strRef>
              <c:f>'estatística'!$C$1:$M$1</c:f>
            </c:strRef>
          </c:cat>
          <c:val>
            <c:numRef>
              <c:f>'estatística'!$C$25:$M$25</c:f>
              <c:numCache/>
            </c:numRef>
          </c:val>
        </c:ser>
        <c:ser>
          <c:idx val="24"/>
          <c:order val="24"/>
          <c:tx>
            <c:strRef>
              <c:f>'estatística'!$B$26</c:f>
            </c:strRef>
          </c:tx>
          <c:cat>
            <c:strRef>
              <c:f>'estatística'!$C$1:$M$1</c:f>
            </c:strRef>
          </c:cat>
          <c:val>
            <c:numRef>
              <c:f>'estatística'!$C$26:$M$26</c:f>
              <c:numCache/>
            </c:numRef>
          </c:val>
        </c:ser>
        <c:ser>
          <c:idx val="25"/>
          <c:order val="25"/>
          <c:tx>
            <c:strRef>
              <c:f>'estatística'!$B$27</c:f>
            </c:strRef>
          </c:tx>
          <c:cat>
            <c:strRef>
              <c:f>'estatística'!$C$1:$M$1</c:f>
            </c:strRef>
          </c:cat>
          <c:val>
            <c:numRef>
              <c:f>'estatística'!$C$27:$M$27</c:f>
              <c:numCache/>
            </c:numRef>
          </c:val>
        </c:ser>
        <c:ser>
          <c:idx val="26"/>
          <c:order val="26"/>
          <c:tx>
            <c:strRef>
              <c:f>'estatística'!$B$28</c:f>
            </c:strRef>
          </c:tx>
          <c:cat>
            <c:strRef>
              <c:f>'estatística'!$C$1:$M$1</c:f>
            </c:strRef>
          </c:cat>
          <c:val>
            <c:numRef>
              <c:f>'estatística'!$C$28:$M$28</c:f>
              <c:numCache/>
            </c:numRef>
          </c:val>
        </c:ser>
        <c:ser>
          <c:idx val="27"/>
          <c:order val="27"/>
          <c:tx>
            <c:strRef>
              <c:f>'estatística'!$B$29</c:f>
            </c:strRef>
          </c:tx>
          <c:cat>
            <c:strRef>
              <c:f>'estatística'!$C$1:$M$1</c:f>
            </c:strRef>
          </c:cat>
          <c:val>
            <c:numRef>
              <c:f>'estatística'!$C$29:$M$29</c:f>
              <c:numCache/>
            </c:numRef>
          </c:val>
        </c:ser>
        <c:ser>
          <c:idx val="28"/>
          <c:order val="28"/>
          <c:tx>
            <c:strRef>
              <c:f>'estatística'!$B$30</c:f>
            </c:strRef>
          </c:tx>
          <c:cat>
            <c:strRef>
              <c:f>'estatística'!$C$1:$M$1</c:f>
            </c:strRef>
          </c:cat>
          <c:val>
            <c:numRef>
              <c:f>'estatística'!$C$30:$M$30</c:f>
              <c:numCache/>
            </c:numRef>
          </c:val>
        </c:ser>
        <c:ser>
          <c:idx val="29"/>
          <c:order val="29"/>
          <c:tx>
            <c:strRef>
              <c:f>'estatística'!$B$31</c:f>
            </c:strRef>
          </c:tx>
          <c:cat>
            <c:strRef>
              <c:f>'estatística'!$C$1:$M$1</c:f>
            </c:strRef>
          </c:cat>
          <c:val>
            <c:numRef>
              <c:f>'estatística'!$C$31:$M$31</c:f>
              <c:numCache/>
            </c:numRef>
          </c:val>
        </c:ser>
        <c:ser>
          <c:idx val="30"/>
          <c:order val="30"/>
          <c:tx>
            <c:strRef>
              <c:f>'estatística'!$B$32</c:f>
            </c:strRef>
          </c:tx>
          <c:cat>
            <c:strRef>
              <c:f>'estatística'!$C$1:$M$1</c:f>
            </c:strRef>
          </c:cat>
          <c:val>
            <c:numRef>
              <c:f>'estatística'!$C$32:$M$32</c:f>
              <c:numCache/>
            </c:numRef>
          </c:val>
        </c:ser>
        <c:ser>
          <c:idx val="31"/>
          <c:order val="31"/>
          <c:tx>
            <c:strRef>
              <c:f>'estatística'!$B$33</c:f>
            </c:strRef>
          </c:tx>
          <c:cat>
            <c:strRef>
              <c:f>'estatística'!$C$1:$M$1</c:f>
            </c:strRef>
          </c:cat>
          <c:val>
            <c:numRef>
              <c:f>'estatística'!$C$33:$M$33</c:f>
              <c:numCache/>
            </c:numRef>
          </c:val>
        </c:ser>
        <c:ser>
          <c:idx val="32"/>
          <c:order val="32"/>
          <c:tx>
            <c:strRef>
              <c:f>'estatística'!$B$34</c:f>
            </c:strRef>
          </c:tx>
          <c:cat>
            <c:strRef>
              <c:f>'estatística'!$C$1:$M$1</c:f>
            </c:strRef>
          </c:cat>
          <c:val>
            <c:numRef>
              <c:f>'estatística'!$C$34:$M$34</c:f>
              <c:numCache/>
            </c:numRef>
          </c:val>
        </c:ser>
        <c:ser>
          <c:idx val="33"/>
          <c:order val="33"/>
          <c:tx>
            <c:strRef>
              <c:f>'estatística'!$B$35</c:f>
            </c:strRef>
          </c:tx>
          <c:cat>
            <c:strRef>
              <c:f>'estatística'!$C$1:$M$1</c:f>
            </c:strRef>
          </c:cat>
          <c:val>
            <c:numRef>
              <c:f>'estatística'!$C$35:$M$35</c:f>
              <c:numCache/>
            </c:numRef>
          </c:val>
        </c:ser>
        <c:ser>
          <c:idx val="34"/>
          <c:order val="34"/>
          <c:tx>
            <c:strRef>
              <c:f>'estatística'!$B$36</c:f>
            </c:strRef>
          </c:tx>
          <c:cat>
            <c:strRef>
              <c:f>'estatística'!$C$1:$M$1</c:f>
            </c:strRef>
          </c:cat>
          <c:val>
            <c:numRef>
              <c:f>'estatística'!$C$36:$M$36</c:f>
              <c:numCache/>
            </c:numRef>
          </c:val>
        </c:ser>
        <c:ser>
          <c:idx val="35"/>
          <c:order val="35"/>
          <c:tx>
            <c:strRef>
              <c:f>'estatística'!$B$37</c:f>
            </c:strRef>
          </c:tx>
          <c:cat>
            <c:strRef>
              <c:f>'estatística'!$C$1:$M$1</c:f>
            </c:strRef>
          </c:cat>
          <c:val>
            <c:numRef>
              <c:f>'estatística'!$C$37:$M$37</c:f>
              <c:numCache/>
            </c:numRef>
          </c:val>
        </c:ser>
        <c:ser>
          <c:idx val="36"/>
          <c:order val="36"/>
          <c:tx>
            <c:strRef>
              <c:f>'estatística'!$B$38</c:f>
            </c:strRef>
          </c:tx>
          <c:cat>
            <c:strRef>
              <c:f>'estatística'!$C$1:$M$1</c:f>
            </c:strRef>
          </c:cat>
          <c:val>
            <c:numRef>
              <c:f>'estatística'!$C$38:$M$38</c:f>
              <c:numCache/>
            </c:numRef>
          </c:val>
        </c:ser>
        <c:ser>
          <c:idx val="37"/>
          <c:order val="37"/>
          <c:tx>
            <c:strRef>
              <c:f>'estatística'!$B$39</c:f>
            </c:strRef>
          </c:tx>
          <c:cat>
            <c:strRef>
              <c:f>'estatística'!$C$1:$M$1</c:f>
            </c:strRef>
          </c:cat>
          <c:val>
            <c:numRef>
              <c:f>'estatística'!$C$39:$M$39</c:f>
              <c:numCache/>
            </c:numRef>
          </c:val>
        </c:ser>
        <c:ser>
          <c:idx val="38"/>
          <c:order val="38"/>
          <c:tx>
            <c:strRef>
              <c:f>'estatística'!$B$40</c:f>
            </c:strRef>
          </c:tx>
          <c:cat>
            <c:strRef>
              <c:f>'estatística'!$C$1:$M$1</c:f>
            </c:strRef>
          </c:cat>
          <c:val>
            <c:numRef>
              <c:f>'estatística'!$C$40:$M$40</c:f>
              <c:numCache/>
            </c:numRef>
          </c:val>
        </c:ser>
        <c:ser>
          <c:idx val="39"/>
          <c:order val="39"/>
          <c:tx>
            <c:strRef>
              <c:f>'estatística'!$B$41</c:f>
            </c:strRef>
          </c:tx>
          <c:cat>
            <c:strRef>
              <c:f>'estatística'!$C$1:$M$1</c:f>
            </c:strRef>
          </c:cat>
          <c:val>
            <c:numRef>
              <c:f>'estatística'!$C$41:$M$41</c:f>
              <c:numCache/>
            </c:numRef>
          </c:val>
        </c:ser>
        <c:ser>
          <c:idx val="40"/>
          <c:order val="40"/>
          <c:tx>
            <c:strRef>
              <c:f>'estatística'!$B$42</c:f>
            </c:strRef>
          </c:tx>
          <c:cat>
            <c:strRef>
              <c:f>'estatística'!$C$1:$M$1</c:f>
            </c:strRef>
          </c:cat>
          <c:val>
            <c:numRef>
              <c:f>'estatística'!$C$42:$M$42</c:f>
              <c:numCache/>
            </c:numRef>
          </c:val>
        </c:ser>
        <c:ser>
          <c:idx val="41"/>
          <c:order val="41"/>
          <c:tx>
            <c:strRef>
              <c:f>'estatística'!$B$43</c:f>
            </c:strRef>
          </c:tx>
          <c:cat>
            <c:strRef>
              <c:f>'estatística'!$C$1:$M$1</c:f>
            </c:strRef>
          </c:cat>
          <c:val>
            <c:numRef>
              <c:f>'estatística'!$C$43:$M$43</c:f>
              <c:numCache/>
            </c:numRef>
          </c:val>
        </c:ser>
        <c:ser>
          <c:idx val="42"/>
          <c:order val="42"/>
          <c:tx>
            <c:strRef>
              <c:f>'estatística'!$B$44</c:f>
            </c:strRef>
          </c:tx>
          <c:cat>
            <c:strRef>
              <c:f>'estatística'!$C$1:$M$1</c:f>
            </c:strRef>
          </c:cat>
          <c:val>
            <c:numRef>
              <c:f>'estatística'!$C$44:$M$44</c:f>
              <c:numCache/>
            </c:numRef>
          </c:val>
        </c:ser>
        <c:ser>
          <c:idx val="43"/>
          <c:order val="43"/>
          <c:tx>
            <c:strRef>
              <c:f>'estatística'!$B$45</c:f>
            </c:strRef>
          </c:tx>
          <c:cat>
            <c:strRef>
              <c:f>'estatística'!$C$1:$M$1</c:f>
            </c:strRef>
          </c:cat>
          <c:val>
            <c:numRef>
              <c:f>'estatística'!$C$45:$M$45</c:f>
              <c:numCache/>
            </c:numRef>
          </c:val>
        </c:ser>
        <c:ser>
          <c:idx val="44"/>
          <c:order val="44"/>
          <c:tx>
            <c:strRef>
              <c:f>'estatística'!$B$46</c:f>
            </c:strRef>
          </c:tx>
          <c:cat>
            <c:strRef>
              <c:f>'estatística'!$C$1:$M$1</c:f>
            </c:strRef>
          </c:cat>
          <c:val>
            <c:numRef>
              <c:f>'estatística'!$C$46:$M$46</c:f>
              <c:numCache/>
            </c:numRef>
          </c:val>
        </c:ser>
        <c:ser>
          <c:idx val="45"/>
          <c:order val="45"/>
          <c:tx>
            <c:strRef>
              <c:f>'estatística'!$B$47</c:f>
            </c:strRef>
          </c:tx>
          <c:cat>
            <c:strRef>
              <c:f>'estatística'!$C$1:$M$1</c:f>
            </c:strRef>
          </c:cat>
          <c:val>
            <c:numRef>
              <c:f>'estatística'!$C$47:$M$47</c:f>
              <c:numCache/>
            </c:numRef>
          </c:val>
        </c:ser>
        <c:ser>
          <c:idx val="46"/>
          <c:order val="46"/>
          <c:tx>
            <c:strRef>
              <c:f>'estatística'!$B$48</c:f>
            </c:strRef>
          </c:tx>
          <c:cat>
            <c:strRef>
              <c:f>'estatística'!$C$1:$M$1</c:f>
            </c:strRef>
          </c:cat>
          <c:val>
            <c:numRef>
              <c:f>'estatística'!$C$48:$M$48</c:f>
              <c:numCache/>
            </c:numRef>
          </c:val>
        </c:ser>
        <c:ser>
          <c:idx val="47"/>
          <c:order val="47"/>
          <c:tx>
            <c:strRef>
              <c:f>'estatística'!$B$49</c:f>
            </c:strRef>
          </c:tx>
          <c:cat>
            <c:strRef>
              <c:f>'estatística'!$C$1:$M$1</c:f>
            </c:strRef>
          </c:cat>
          <c:val>
            <c:numRef>
              <c:f>'estatística'!$C$49:$M$49</c:f>
              <c:numCache/>
            </c:numRef>
          </c:val>
        </c:ser>
        <c:ser>
          <c:idx val="48"/>
          <c:order val="48"/>
          <c:tx>
            <c:strRef>
              <c:f>'estatística'!$B$50</c:f>
            </c:strRef>
          </c:tx>
          <c:cat>
            <c:strRef>
              <c:f>'estatística'!$C$1:$M$1</c:f>
            </c:strRef>
          </c:cat>
          <c:val>
            <c:numRef>
              <c:f>'estatística'!$C$50:$M$50</c:f>
              <c:numCache/>
            </c:numRef>
          </c:val>
        </c:ser>
        <c:ser>
          <c:idx val="49"/>
          <c:order val="49"/>
          <c:tx>
            <c:strRef>
              <c:f>'estatística'!$B$51</c:f>
            </c:strRef>
          </c:tx>
          <c:cat>
            <c:strRef>
              <c:f>'estatística'!$C$1:$M$1</c:f>
            </c:strRef>
          </c:cat>
          <c:val>
            <c:numRef>
              <c:f>'estatística'!$C$51:$M$51</c:f>
              <c:numCache/>
            </c:numRef>
          </c:val>
        </c:ser>
        <c:ser>
          <c:idx val="50"/>
          <c:order val="50"/>
          <c:tx>
            <c:strRef>
              <c:f>'estatística'!$B$52</c:f>
            </c:strRef>
          </c:tx>
          <c:cat>
            <c:strRef>
              <c:f>'estatística'!$C$1:$M$1</c:f>
            </c:strRef>
          </c:cat>
          <c:val>
            <c:numRef>
              <c:f>'estatística'!$C$52:$M$52</c:f>
              <c:numCache/>
            </c:numRef>
          </c:val>
        </c:ser>
        <c:ser>
          <c:idx val="51"/>
          <c:order val="51"/>
          <c:tx>
            <c:strRef>
              <c:f>'estatística'!$B$53</c:f>
            </c:strRef>
          </c:tx>
          <c:cat>
            <c:strRef>
              <c:f>'estatística'!$C$1:$M$1</c:f>
            </c:strRef>
          </c:cat>
          <c:val>
            <c:numRef>
              <c:f>'estatística'!$C$53:$M$53</c:f>
              <c:numCache/>
            </c:numRef>
          </c:val>
        </c:ser>
        <c:ser>
          <c:idx val="52"/>
          <c:order val="52"/>
          <c:tx>
            <c:strRef>
              <c:f>'estatística'!$B$54</c:f>
            </c:strRef>
          </c:tx>
          <c:cat>
            <c:strRef>
              <c:f>'estatística'!$C$1:$M$1</c:f>
            </c:strRef>
          </c:cat>
          <c:val>
            <c:numRef>
              <c:f>'estatística'!$C$54:$M$54</c:f>
              <c:numCache/>
            </c:numRef>
          </c:val>
        </c:ser>
        <c:ser>
          <c:idx val="53"/>
          <c:order val="53"/>
          <c:tx>
            <c:strRef>
              <c:f>'estatística'!$B$55</c:f>
            </c:strRef>
          </c:tx>
          <c:cat>
            <c:strRef>
              <c:f>'estatística'!$C$1:$M$1</c:f>
            </c:strRef>
          </c:cat>
          <c:val>
            <c:numRef>
              <c:f>'estatística'!$C$55:$M$55</c:f>
              <c:numCache/>
            </c:numRef>
          </c:val>
        </c:ser>
        <c:ser>
          <c:idx val="54"/>
          <c:order val="54"/>
          <c:tx>
            <c:strRef>
              <c:f>'estatística'!$B$56</c:f>
            </c:strRef>
          </c:tx>
          <c:cat>
            <c:strRef>
              <c:f>'estatística'!$C$1:$M$1</c:f>
            </c:strRef>
          </c:cat>
          <c:val>
            <c:numRef>
              <c:f>'estatística'!$C$56:$M$56</c:f>
              <c:numCache/>
            </c:numRef>
          </c:val>
        </c:ser>
        <c:ser>
          <c:idx val="55"/>
          <c:order val="55"/>
          <c:tx>
            <c:strRef>
              <c:f>'estatística'!$B$57</c:f>
            </c:strRef>
          </c:tx>
          <c:cat>
            <c:strRef>
              <c:f>'estatística'!$C$1:$M$1</c:f>
            </c:strRef>
          </c:cat>
          <c:val>
            <c:numRef>
              <c:f>'estatística'!$C$57:$M$57</c:f>
              <c:numCache/>
            </c:numRef>
          </c:val>
        </c:ser>
        <c:ser>
          <c:idx val="56"/>
          <c:order val="56"/>
          <c:tx>
            <c:strRef>
              <c:f>'estatística'!$B$58</c:f>
            </c:strRef>
          </c:tx>
          <c:cat>
            <c:strRef>
              <c:f>'estatística'!$C$1:$M$1</c:f>
            </c:strRef>
          </c:cat>
          <c:val>
            <c:numRef>
              <c:f>'estatística'!$C$58:$M$58</c:f>
              <c:numCache/>
            </c:numRef>
          </c:val>
        </c:ser>
        <c:ser>
          <c:idx val="57"/>
          <c:order val="57"/>
          <c:tx>
            <c:strRef>
              <c:f>'estatística'!$B$59</c:f>
            </c:strRef>
          </c:tx>
          <c:cat>
            <c:strRef>
              <c:f>'estatística'!$C$1:$M$1</c:f>
            </c:strRef>
          </c:cat>
          <c:val>
            <c:numRef>
              <c:f>'estatística'!$C$59:$M$59</c:f>
              <c:numCache/>
            </c:numRef>
          </c:val>
        </c:ser>
        <c:ser>
          <c:idx val="58"/>
          <c:order val="58"/>
          <c:tx>
            <c:strRef>
              <c:f>'estatística'!$B$60</c:f>
            </c:strRef>
          </c:tx>
          <c:cat>
            <c:strRef>
              <c:f>'estatística'!$C$1:$M$1</c:f>
            </c:strRef>
          </c:cat>
          <c:val>
            <c:numRef>
              <c:f>'estatística'!$C$60:$M$60</c:f>
              <c:numCache/>
            </c:numRef>
          </c:val>
        </c:ser>
        <c:ser>
          <c:idx val="59"/>
          <c:order val="59"/>
          <c:tx>
            <c:strRef>
              <c:f>'estatística'!$B$61</c:f>
            </c:strRef>
          </c:tx>
          <c:cat>
            <c:strRef>
              <c:f>'estatística'!$C$1:$M$1</c:f>
            </c:strRef>
          </c:cat>
          <c:val>
            <c:numRef>
              <c:f>'estatística'!$C$61:$M$61</c:f>
              <c:numCache/>
            </c:numRef>
          </c:val>
        </c:ser>
        <c:ser>
          <c:idx val="60"/>
          <c:order val="60"/>
          <c:tx>
            <c:strRef>
              <c:f>'estatística'!$B$62</c:f>
            </c:strRef>
          </c:tx>
          <c:cat>
            <c:strRef>
              <c:f>'estatística'!$C$1:$M$1</c:f>
            </c:strRef>
          </c:cat>
          <c:val>
            <c:numRef>
              <c:f>'estatística'!$C$62:$M$62</c:f>
              <c:numCache/>
            </c:numRef>
          </c:val>
        </c:ser>
        <c:ser>
          <c:idx val="61"/>
          <c:order val="61"/>
          <c:tx>
            <c:strRef>
              <c:f>'estatística'!$B$63</c:f>
            </c:strRef>
          </c:tx>
          <c:cat>
            <c:strRef>
              <c:f>'estatística'!$C$1:$M$1</c:f>
            </c:strRef>
          </c:cat>
          <c:val>
            <c:numRef>
              <c:f>'estatística'!$C$63:$M$63</c:f>
              <c:numCache/>
            </c:numRef>
          </c:val>
        </c:ser>
        <c:ser>
          <c:idx val="62"/>
          <c:order val="62"/>
          <c:tx>
            <c:strRef>
              <c:f>'estatística'!$B$64</c:f>
            </c:strRef>
          </c:tx>
          <c:cat>
            <c:strRef>
              <c:f>'estatística'!$C$1:$M$1</c:f>
            </c:strRef>
          </c:cat>
          <c:val>
            <c:numRef>
              <c:f>'estatística'!$C$64:$M$64</c:f>
              <c:numCache/>
            </c:numRef>
          </c:val>
        </c:ser>
        <c:ser>
          <c:idx val="63"/>
          <c:order val="63"/>
          <c:tx>
            <c:strRef>
              <c:f>'estatística'!$B$65</c:f>
            </c:strRef>
          </c:tx>
          <c:cat>
            <c:strRef>
              <c:f>'estatística'!$C$1:$M$1</c:f>
            </c:strRef>
          </c:cat>
          <c:val>
            <c:numRef>
              <c:f>'estatística'!$C$65:$M$65</c:f>
              <c:numCache/>
            </c:numRef>
          </c:val>
        </c:ser>
        <c:ser>
          <c:idx val="64"/>
          <c:order val="64"/>
          <c:tx>
            <c:strRef>
              <c:f>'estatística'!$B$66</c:f>
            </c:strRef>
          </c:tx>
          <c:cat>
            <c:strRef>
              <c:f>'estatística'!$C$1:$M$1</c:f>
            </c:strRef>
          </c:cat>
          <c:val>
            <c:numRef>
              <c:f>'estatística'!$C$66:$M$66</c:f>
              <c:numCache/>
            </c:numRef>
          </c:val>
        </c:ser>
        <c:ser>
          <c:idx val="65"/>
          <c:order val="65"/>
          <c:tx>
            <c:strRef>
              <c:f>'estatística'!$B$67</c:f>
            </c:strRef>
          </c:tx>
          <c:cat>
            <c:strRef>
              <c:f>'estatística'!$C$1:$M$1</c:f>
            </c:strRef>
          </c:cat>
          <c:val>
            <c:numRef>
              <c:f>'estatística'!$C$67:$M$67</c:f>
              <c:numCache/>
            </c:numRef>
          </c:val>
        </c:ser>
        <c:ser>
          <c:idx val="66"/>
          <c:order val="66"/>
          <c:tx>
            <c:strRef>
              <c:f>'estatística'!$B$68</c:f>
            </c:strRef>
          </c:tx>
          <c:cat>
            <c:strRef>
              <c:f>'estatística'!$C$1:$M$1</c:f>
            </c:strRef>
          </c:cat>
          <c:val>
            <c:numRef>
              <c:f>'estatística'!$C$68:$M$68</c:f>
              <c:numCache/>
            </c:numRef>
          </c:val>
        </c:ser>
        <c:ser>
          <c:idx val="67"/>
          <c:order val="67"/>
          <c:tx>
            <c:strRef>
              <c:f>'estatística'!$B$69</c:f>
            </c:strRef>
          </c:tx>
          <c:cat>
            <c:strRef>
              <c:f>'estatística'!$C$1:$M$1</c:f>
            </c:strRef>
          </c:cat>
          <c:val>
            <c:numRef>
              <c:f>'estatística'!$C$69:$M$69</c:f>
              <c:numCache/>
            </c:numRef>
          </c:val>
        </c:ser>
        <c:ser>
          <c:idx val="68"/>
          <c:order val="68"/>
          <c:tx>
            <c:strRef>
              <c:f>'estatística'!$B$70</c:f>
            </c:strRef>
          </c:tx>
          <c:cat>
            <c:strRef>
              <c:f>'estatística'!$C$1:$M$1</c:f>
            </c:strRef>
          </c:cat>
          <c:val>
            <c:numRef>
              <c:f>'estatística'!$C$70:$M$70</c:f>
              <c:numCache/>
            </c:numRef>
          </c:val>
        </c:ser>
        <c:ser>
          <c:idx val="69"/>
          <c:order val="69"/>
          <c:tx>
            <c:strRef>
              <c:f>'estatística'!$B$71</c:f>
            </c:strRef>
          </c:tx>
          <c:cat>
            <c:strRef>
              <c:f>'estatística'!$C$1:$M$1</c:f>
            </c:strRef>
          </c:cat>
          <c:val>
            <c:numRef>
              <c:f>'estatística'!$C$71:$M$71</c:f>
              <c:numCache/>
            </c:numRef>
          </c:val>
        </c:ser>
        <c:ser>
          <c:idx val="70"/>
          <c:order val="70"/>
          <c:tx>
            <c:strRef>
              <c:f>'estatística'!$B$72</c:f>
            </c:strRef>
          </c:tx>
          <c:cat>
            <c:strRef>
              <c:f>'estatística'!$C$1:$M$1</c:f>
            </c:strRef>
          </c:cat>
          <c:val>
            <c:numRef>
              <c:f>'estatística'!$C$72:$M$72</c:f>
              <c:numCache/>
            </c:numRef>
          </c:val>
        </c:ser>
        <c:ser>
          <c:idx val="71"/>
          <c:order val="71"/>
          <c:tx>
            <c:strRef>
              <c:f>'estatística'!$B$73</c:f>
            </c:strRef>
          </c:tx>
          <c:cat>
            <c:strRef>
              <c:f>'estatística'!$C$1:$M$1</c:f>
            </c:strRef>
          </c:cat>
          <c:val>
            <c:numRef>
              <c:f>'estatística'!$C$73:$M$73</c:f>
              <c:numCache/>
            </c:numRef>
          </c:val>
        </c:ser>
        <c:ser>
          <c:idx val="72"/>
          <c:order val="72"/>
          <c:tx>
            <c:strRef>
              <c:f>'estatística'!$B$74</c:f>
            </c:strRef>
          </c:tx>
          <c:cat>
            <c:strRef>
              <c:f>'estatística'!$C$1:$M$1</c:f>
            </c:strRef>
          </c:cat>
          <c:val>
            <c:numRef>
              <c:f>'estatística'!$C$74:$M$74</c:f>
              <c:numCache/>
            </c:numRef>
          </c:val>
        </c:ser>
        <c:ser>
          <c:idx val="73"/>
          <c:order val="73"/>
          <c:tx>
            <c:strRef>
              <c:f>'estatística'!$B$75</c:f>
            </c:strRef>
          </c:tx>
          <c:cat>
            <c:strRef>
              <c:f>'estatística'!$C$1:$M$1</c:f>
            </c:strRef>
          </c:cat>
          <c:val>
            <c:numRef>
              <c:f>'estatística'!$C$75:$M$75</c:f>
              <c:numCache/>
            </c:numRef>
          </c:val>
        </c:ser>
        <c:ser>
          <c:idx val="74"/>
          <c:order val="74"/>
          <c:tx>
            <c:strRef>
              <c:f>'estatística'!$B$76</c:f>
            </c:strRef>
          </c:tx>
          <c:cat>
            <c:strRef>
              <c:f>'estatística'!$C$1:$M$1</c:f>
            </c:strRef>
          </c:cat>
          <c:val>
            <c:numRef>
              <c:f>'estatística'!$C$76:$M$76</c:f>
              <c:numCache/>
            </c:numRef>
          </c:val>
        </c:ser>
        <c:ser>
          <c:idx val="75"/>
          <c:order val="75"/>
          <c:tx>
            <c:strRef>
              <c:f>'estatística'!$B$77</c:f>
            </c:strRef>
          </c:tx>
          <c:cat>
            <c:strRef>
              <c:f>'estatística'!$C$1:$M$1</c:f>
            </c:strRef>
          </c:cat>
          <c:val>
            <c:numRef>
              <c:f>'estatística'!$C$77:$M$77</c:f>
              <c:numCache/>
            </c:numRef>
          </c:val>
        </c:ser>
        <c:ser>
          <c:idx val="76"/>
          <c:order val="76"/>
          <c:tx>
            <c:strRef>
              <c:f>'estatística'!$B$78</c:f>
            </c:strRef>
          </c:tx>
          <c:cat>
            <c:strRef>
              <c:f>'estatística'!$C$1:$M$1</c:f>
            </c:strRef>
          </c:cat>
          <c:val>
            <c:numRef>
              <c:f>'estatística'!$C$78:$M$78</c:f>
              <c:numCache/>
            </c:numRef>
          </c:val>
        </c:ser>
        <c:ser>
          <c:idx val="77"/>
          <c:order val="77"/>
          <c:tx>
            <c:strRef>
              <c:f>'estatística'!$B$79</c:f>
            </c:strRef>
          </c:tx>
          <c:cat>
            <c:strRef>
              <c:f>'estatística'!$C$1:$M$1</c:f>
            </c:strRef>
          </c:cat>
          <c:val>
            <c:numRef>
              <c:f>'estatística'!$C$79:$M$79</c:f>
              <c:numCache/>
            </c:numRef>
          </c:val>
        </c:ser>
        <c:ser>
          <c:idx val="78"/>
          <c:order val="78"/>
          <c:tx>
            <c:strRef>
              <c:f>'estatística'!$B$80</c:f>
            </c:strRef>
          </c:tx>
          <c:cat>
            <c:strRef>
              <c:f>'estatística'!$C$1:$M$1</c:f>
            </c:strRef>
          </c:cat>
          <c:val>
            <c:numRef>
              <c:f>'estatística'!$C$80:$M$80</c:f>
              <c:numCache/>
            </c:numRef>
          </c:val>
        </c:ser>
        <c:ser>
          <c:idx val="79"/>
          <c:order val="79"/>
          <c:tx>
            <c:strRef>
              <c:f>'estatística'!$B$81</c:f>
            </c:strRef>
          </c:tx>
          <c:cat>
            <c:strRef>
              <c:f>'estatística'!$C$1:$M$1</c:f>
            </c:strRef>
          </c:cat>
          <c:val>
            <c:numRef>
              <c:f>'estatística'!$C$81:$M$81</c:f>
              <c:numCache/>
            </c:numRef>
          </c:val>
        </c:ser>
        <c:ser>
          <c:idx val="80"/>
          <c:order val="80"/>
          <c:tx>
            <c:strRef>
              <c:f>'estatística'!$B$82</c:f>
            </c:strRef>
          </c:tx>
          <c:cat>
            <c:strRef>
              <c:f>'estatística'!$C$1:$M$1</c:f>
            </c:strRef>
          </c:cat>
          <c:val>
            <c:numRef>
              <c:f>'estatística'!$C$82:$M$82</c:f>
              <c:numCache/>
            </c:numRef>
          </c:val>
        </c:ser>
        <c:ser>
          <c:idx val="81"/>
          <c:order val="81"/>
          <c:tx>
            <c:strRef>
              <c:f>'estatística'!$B$83</c:f>
            </c:strRef>
          </c:tx>
          <c:cat>
            <c:strRef>
              <c:f>'estatística'!$C$1:$M$1</c:f>
            </c:strRef>
          </c:cat>
          <c:val>
            <c:numRef>
              <c:f>'estatística'!$C$83:$M$83</c:f>
              <c:numCache/>
            </c:numRef>
          </c:val>
        </c:ser>
        <c:ser>
          <c:idx val="82"/>
          <c:order val="82"/>
          <c:tx>
            <c:strRef>
              <c:f>'estatística'!$B$84</c:f>
            </c:strRef>
          </c:tx>
          <c:cat>
            <c:strRef>
              <c:f>'estatística'!$C$1:$M$1</c:f>
            </c:strRef>
          </c:cat>
          <c:val>
            <c:numRef>
              <c:f>'estatística'!$C$84:$M$84</c:f>
              <c:numCache/>
            </c:numRef>
          </c:val>
        </c:ser>
        <c:ser>
          <c:idx val="83"/>
          <c:order val="83"/>
          <c:tx>
            <c:strRef>
              <c:f>'estatística'!$B$85</c:f>
            </c:strRef>
          </c:tx>
          <c:cat>
            <c:strRef>
              <c:f>'estatística'!$C$1:$M$1</c:f>
            </c:strRef>
          </c:cat>
          <c:val>
            <c:numRef>
              <c:f>'estatística'!$C$85:$M$85</c:f>
              <c:numCache/>
            </c:numRef>
          </c:val>
        </c:ser>
        <c:ser>
          <c:idx val="84"/>
          <c:order val="84"/>
          <c:tx>
            <c:strRef>
              <c:f>'estatística'!$B$86</c:f>
            </c:strRef>
          </c:tx>
          <c:cat>
            <c:strRef>
              <c:f>'estatística'!$C$1:$M$1</c:f>
            </c:strRef>
          </c:cat>
          <c:val>
            <c:numRef>
              <c:f>'estatística'!$C$86:$M$86</c:f>
              <c:numCache/>
            </c:numRef>
          </c:val>
        </c:ser>
        <c:ser>
          <c:idx val="85"/>
          <c:order val="85"/>
          <c:tx>
            <c:strRef>
              <c:f>'estatística'!$B$87</c:f>
            </c:strRef>
          </c:tx>
          <c:cat>
            <c:strRef>
              <c:f>'estatística'!$C$1:$M$1</c:f>
            </c:strRef>
          </c:cat>
          <c:val>
            <c:numRef>
              <c:f>'estatística'!$C$87:$M$87</c:f>
              <c:numCache/>
            </c:numRef>
          </c:val>
        </c:ser>
        <c:ser>
          <c:idx val="86"/>
          <c:order val="86"/>
          <c:tx>
            <c:strRef>
              <c:f>'estatística'!$B$88</c:f>
            </c:strRef>
          </c:tx>
          <c:cat>
            <c:strRef>
              <c:f>'estatística'!$C$1:$M$1</c:f>
            </c:strRef>
          </c:cat>
          <c:val>
            <c:numRef>
              <c:f>'estatística'!$C$88:$M$88</c:f>
              <c:numCache/>
            </c:numRef>
          </c:val>
        </c:ser>
        <c:ser>
          <c:idx val="87"/>
          <c:order val="87"/>
          <c:tx>
            <c:strRef>
              <c:f>'estatística'!$B$89</c:f>
            </c:strRef>
          </c:tx>
          <c:cat>
            <c:strRef>
              <c:f>'estatística'!$C$1:$M$1</c:f>
            </c:strRef>
          </c:cat>
          <c:val>
            <c:numRef>
              <c:f>'estatística'!$C$89:$M$89</c:f>
              <c:numCache/>
            </c:numRef>
          </c:val>
        </c:ser>
        <c:ser>
          <c:idx val="88"/>
          <c:order val="88"/>
          <c:tx>
            <c:strRef>
              <c:f>'estatística'!$B$90</c:f>
            </c:strRef>
          </c:tx>
          <c:cat>
            <c:strRef>
              <c:f>'estatística'!$C$1:$M$1</c:f>
            </c:strRef>
          </c:cat>
          <c:val>
            <c:numRef>
              <c:f>'estatística'!$C$90:$M$90</c:f>
              <c:numCache/>
            </c:numRef>
          </c:val>
        </c:ser>
        <c:ser>
          <c:idx val="89"/>
          <c:order val="89"/>
          <c:tx>
            <c:strRef>
              <c:f>'estatística'!$B$91</c:f>
            </c:strRef>
          </c:tx>
          <c:cat>
            <c:strRef>
              <c:f>'estatística'!$C$1:$M$1</c:f>
            </c:strRef>
          </c:cat>
          <c:val>
            <c:numRef>
              <c:f>'estatística'!$C$91:$M$91</c:f>
              <c:numCache/>
            </c:numRef>
          </c:val>
        </c:ser>
        <c:ser>
          <c:idx val="90"/>
          <c:order val="90"/>
          <c:tx>
            <c:strRef>
              <c:f>'estatística'!$B$92</c:f>
            </c:strRef>
          </c:tx>
          <c:cat>
            <c:strRef>
              <c:f>'estatística'!$C$1:$M$1</c:f>
            </c:strRef>
          </c:cat>
          <c:val>
            <c:numRef>
              <c:f>'estatística'!$C$92:$M$92</c:f>
              <c:numCache/>
            </c:numRef>
          </c:val>
        </c:ser>
        <c:ser>
          <c:idx val="91"/>
          <c:order val="91"/>
          <c:tx>
            <c:strRef>
              <c:f>'estatística'!$B$93</c:f>
            </c:strRef>
          </c:tx>
          <c:cat>
            <c:strRef>
              <c:f>'estatística'!$C$1:$M$1</c:f>
            </c:strRef>
          </c:cat>
          <c:val>
            <c:numRef>
              <c:f>'estatística'!$C$93:$M$93</c:f>
              <c:numCache/>
            </c:numRef>
          </c:val>
        </c:ser>
        <c:ser>
          <c:idx val="92"/>
          <c:order val="92"/>
          <c:tx>
            <c:strRef>
              <c:f>'estatística'!$B$94</c:f>
            </c:strRef>
          </c:tx>
          <c:cat>
            <c:strRef>
              <c:f>'estatística'!$C$1:$M$1</c:f>
            </c:strRef>
          </c:cat>
          <c:val>
            <c:numRef>
              <c:f>'estatística'!$C$94:$M$94</c:f>
              <c:numCache/>
            </c:numRef>
          </c:val>
        </c:ser>
        <c:ser>
          <c:idx val="93"/>
          <c:order val="93"/>
          <c:tx>
            <c:strRef>
              <c:f>'estatística'!$B$95</c:f>
            </c:strRef>
          </c:tx>
          <c:cat>
            <c:strRef>
              <c:f>'estatística'!$C$1:$M$1</c:f>
            </c:strRef>
          </c:cat>
          <c:val>
            <c:numRef>
              <c:f>'estatística'!$C$95:$M$95</c:f>
              <c:numCache/>
            </c:numRef>
          </c:val>
        </c:ser>
        <c:ser>
          <c:idx val="94"/>
          <c:order val="94"/>
          <c:tx>
            <c:strRef>
              <c:f>'estatística'!$B$96</c:f>
            </c:strRef>
          </c:tx>
          <c:cat>
            <c:strRef>
              <c:f>'estatística'!$C$1:$M$1</c:f>
            </c:strRef>
          </c:cat>
          <c:val>
            <c:numRef>
              <c:f>'estatística'!$C$96:$M$96</c:f>
              <c:numCache/>
            </c:numRef>
          </c:val>
        </c:ser>
        <c:ser>
          <c:idx val="95"/>
          <c:order val="95"/>
          <c:tx>
            <c:strRef>
              <c:f>'estatística'!$B$97</c:f>
            </c:strRef>
          </c:tx>
          <c:cat>
            <c:strRef>
              <c:f>'estatística'!$C$1:$M$1</c:f>
            </c:strRef>
          </c:cat>
          <c:val>
            <c:numRef>
              <c:f>'estatística'!$C$97:$M$97</c:f>
              <c:numCache/>
            </c:numRef>
          </c:val>
        </c:ser>
        <c:ser>
          <c:idx val="96"/>
          <c:order val="96"/>
          <c:tx>
            <c:strRef>
              <c:f>'estatística'!$B$98</c:f>
            </c:strRef>
          </c:tx>
          <c:cat>
            <c:strRef>
              <c:f>'estatística'!$C$1:$M$1</c:f>
            </c:strRef>
          </c:cat>
          <c:val>
            <c:numRef>
              <c:f>'estatística'!$C$98:$M$98</c:f>
              <c:numCache/>
            </c:numRef>
          </c:val>
        </c:ser>
        <c:ser>
          <c:idx val="97"/>
          <c:order val="97"/>
          <c:tx>
            <c:strRef>
              <c:f>'estatística'!$B$99</c:f>
            </c:strRef>
          </c:tx>
          <c:cat>
            <c:strRef>
              <c:f>'estatística'!$C$1:$M$1</c:f>
            </c:strRef>
          </c:cat>
          <c:val>
            <c:numRef>
              <c:f>'estatística'!$C$99:$M$99</c:f>
              <c:numCache/>
            </c:numRef>
          </c:val>
        </c:ser>
        <c:ser>
          <c:idx val="98"/>
          <c:order val="98"/>
          <c:tx>
            <c:strRef>
              <c:f>'estatística'!$B$100</c:f>
            </c:strRef>
          </c:tx>
          <c:cat>
            <c:strRef>
              <c:f>'estatística'!$C$1:$M$1</c:f>
            </c:strRef>
          </c:cat>
          <c:val>
            <c:numRef>
              <c:f>'estatística'!$C$100:$M$100</c:f>
              <c:numCache/>
            </c:numRef>
          </c:val>
        </c:ser>
        <c:ser>
          <c:idx val="99"/>
          <c:order val="99"/>
          <c:tx>
            <c:strRef>
              <c:f>'estatística'!$B$101</c:f>
            </c:strRef>
          </c:tx>
          <c:cat>
            <c:strRef>
              <c:f>'estatística'!$C$1:$M$1</c:f>
            </c:strRef>
          </c:cat>
          <c:val>
            <c:numRef>
              <c:f>'estatística'!$C$101:$M$101</c:f>
              <c:numCache/>
            </c:numRef>
          </c:val>
        </c:ser>
        <c:ser>
          <c:idx val="100"/>
          <c:order val="100"/>
          <c:tx>
            <c:strRef>
              <c:f>'estatística'!$B$102</c:f>
            </c:strRef>
          </c:tx>
          <c:cat>
            <c:strRef>
              <c:f>'estatística'!$C$1:$M$1</c:f>
            </c:strRef>
          </c:cat>
          <c:val>
            <c:numRef>
              <c:f>'estatística'!$C$102:$M$102</c:f>
              <c:numCache/>
            </c:numRef>
          </c:val>
        </c:ser>
        <c:ser>
          <c:idx val="101"/>
          <c:order val="101"/>
          <c:tx>
            <c:strRef>
              <c:f>'estatística'!$B$103</c:f>
            </c:strRef>
          </c:tx>
          <c:cat>
            <c:strRef>
              <c:f>'estatística'!$C$1:$M$1</c:f>
            </c:strRef>
          </c:cat>
          <c:val>
            <c:numRef>
              <c:f>'estatística'!$C$103:$M$103</c:f>
              <c:numCache/>
            </c:numRef>
          </c:val>
        </c:ser>
        <c:ser>
          <c:idx val="102"/>
          <c:order val="102"/>
          <c:tx>
            <c:strRef>
              <c:f>'estatística'!$B$104</c:f>
            </c:strRef>
          </c:tx>
          <c:cat>
            <c:strRef>
              <c:f>'estatística'!$C$1:$M$1</c:f>
            </c:strRef>
          </c:cat>
          <c:val>
            <c:numRef>
              <c:f>'estatística'!$C$104:$M$104</c:f>
              <c:numCache/>
            </c:numRef>
          </c:val>
        </c:ser>
        <c:ser>
          <c:idx val="103"/>
          <c:order val="103"/>
          <c:tx>
            <c:strRef>
              <c:f>'estatística'!$B$105</c:f>
            </c:strRef>
          </c:tx>
          <c:cat>
            <c:strRef>
              <c:f>'estatística'!$C$1:$M$1</c:f>
            </c:strRef>
          </c:cat>
          <c:val>
            <c:numRef>
              <c:f>'estatística'!$C$105:$M$105</c:f>
              <c:numCache/>
            </c:numRef>
          </c:val>
        </c:ser>
        <c:ser>
          <c:idx val="104"/>
          <c:order val="104"/>
          <c:tx>
            <c:strRef>
              <c:f>'estatística'!$B$106</c:f>
            </c:strRef>
          </c:tx>
          <c:cat>
            <c:strRef>
              <c:f>'estatística'!$C$1:$M$1</c:f>
            </c:strRef>
          </c:cat>
          <c:val>
            <c:numRef>
              <c:f>'estatística'!$C$106:$M$106</c:f>
              <c:numCache/>
            </c:numRef>
          </c:val>
        </c:ser>
        <c:ser>
          <c:idx val="105"/>
          <c:order val="105"/>
          <c:tx>
            <c:strRef>
              <c:f>'estatística'!$B$107</c:f>
            </c:strRef>
          </c:tx>
          <c:cat>
            <c:strRef>
              <c:f>'estatística'!$C$1:$M$1</c:f>
            </c:strRef>
          </c:cat>
          <c:val>
            <c:numRef>
              <c:f>'estatística'!$C$107:$M$107</c:f>
              <c:numCache/>
            </c:numRef>
          </c:val>
        </c:ser>
        <c:ser>
          <c:idx val="106"/>
          <c:order val="106"/>
          <c:tx>
            <c:strRef>
              <c:f>'estatística'!$B$108</c:f>
            </c:strRef>
          </c:tx>
          <c:cat>
            <c:strRef>
              <c:f>'estatística'!$C$1:$M$1</c:f>
            </c:strRef>
          </c:cat>
          <c:val>
            <c:numRef>
              <c:f>'estatística'!$C$108:$M$108</c:f>
              <c:numCache/>
            </c:numRef>
          </c:val>
        </c:ser>
        <c:ser>
          <c:idx val="107"/>
          <c:order val="107"/>
          <c:tx>
            <c:strRef>
              <c:f>'estatística'!$B$109</c:f>
            </c:strRef>
          </c:tx>
          <c:cat>
            <c:strRef>
              <c:f>'estatística'!$C$1:$M$1</c:f>
            </c:strRef>
          </c:cat>
          <c:val>
            <c:numRef>
              <c:f>'estatística'!$C$109:$M$109</c:f>
              <c:numCache/>
            </c:numRef>
          </c:val>
        </c:ser>
        <c:ser>
          <c:idx val="108"/>
          <c:order val="108"/>
          <c:tx>
            <c:strRef>
              <c:f>'estatística'!$B$110</c:f>
            </c:strRef>
          </c:tx>
          <c:cat>
            <c:strRef>
              <c:f>'estatística'!$C$1:$M$1</c:f>
            </c:strRef>
          </c:cat>
          <c:val>
            <c:numRef>
              <c:f>'estatística'!$C$110:$M$110</c:f>
              <c:numCache/>
            </c:numRef>
          </c:val>
        </c:ser>
        <c:ser>
          <c:idx val="109"/>
          <c:order val="109"/>
          <c:tx>
            <c:strRef>
              <c:f>'estatística'!$B$111</c:f>
            </c:strRef>
          </c:tx>
          <c:cat>
            <c:strRef>
              <c:f>'estatística'!$C$1:$M$1</c:f>
            </c:strRef>
          </c:cat>
          <c:val>
            <c:numRef>
              <c:f>'estatística'!$C$111:$M$111</c:f>
              <c:numCache/>
            </c:numRef>
          </c:val>
        </c:ser>
        <c:ser>
          <c:idx val="110"/>
          <c:order val="110"/>
          <c:tx>
            <c:strRef>
              <c:f>'estatística'!$B$112</c:f>
            </c:strRef>
          </c:tx>
          <c:cat>
            <c:strRef>
              <c:f>'estatística'!$C$1:$M$1</c:f>
            </c:strRef>
          </c:cat>
          <c:val>
            <c:numRef>
              <c:f>'estatística'!$C$112:$M$112</c:f>
              <c:numCache/>
            </c:numRef>
          </c:val>
        </c:ser>
        <c:ser>
          <c:idx val="111"/>
          <c:order val="111"/>
          <c:tx>
            <c:strRef>
              <c:f>'estatística'!$B$113</c:f>
            </c:strRef>
          </c:tx>
          <c:cat>
            <c:strRef>
              <c:f>'estatística'!$C$1:$M$1</c:f>
            </c:strRef>
          </c:cat>
          <c:val>
            <c:numRef>
              <c:f>'estatística'!$C$113:$M$113</c:f>
              <c:numCache/>
            </c:numRef>
          </c:val>
        </c:ser>
        <c:ser>
          <c:idx val="112"/>
          <c:order val="112"/>
          <c:tx>
            <c:strRef>
              <c:f>'estatística'!$B$114</c:f>
            </c:strRef>
          </c:tx>
          <c:cat>
            <c:strRef>
              <c:f>'estatística'!$C$1:$M$1</c:f>
            </c:strRef>
          </c:cat>
          <c:val>
            <c:numRef>
              <c:f>'estatística'!$C$114:$M$114</c:f>
              <c:numCache/>
            </c:numRef>
          </c:val>
        </c:ser>
        <c:ser>
          <c:idx val="113"/>
          <c:order val="113"/>
          <c:tx>
            <c:strRef>
              <c:f>'estatística'!$B$115</c:f>
            </c:strRef>
          </c:tx>
          <c:cat>
            <c:strRef>
              <c:f>'estatística'!$C$1:$M$1</c:f>
            </c:strRef>
          </c:cat>
          <c:val>
            <c:numRef>
              <c:f>'estatística'!$C$115:$M$115</c:f>
              <c:numCache/>
            </c:numRef>
          </c:val>
        </c:ser>
        <c:ser>
          <c:idx val="114"/>
          <c:order val="114"/>
          <c:tx>
            <c:strRef>
              <c:f>'estatística'!$B$116</c:f>
            </c:strRef>
          </c:tx>
          <c:cat>
            <c:strRef>
              <c:f>'estatística'!$C$1:$M$1</c:f>
            </c:strRef>
          </c:cat>
          <c:val>
            <c:numRef>
              <c:f>'estatística'!$C$116:$M$116</c:f>
              <c:numCache/>
            </c:numRef>
          </c:val>
        </c:ser>
        <c:ser>
          <c:idx val="115"/>
          <c:order val="115"/>
          <c:tx>
            <c:strRef>
              <c:f>'estatística'!$B$117</c:f>
            </c:strRef>
          </c:tx>
          <c:cat>
            <c:strRef>
              <c:f>'estatística'!$C$1:$M$1</c:f>
            </c:strRef>
          </c:cat>
          <c:val>
            <c:numRef>
              <c:f>'estatística'!$C$117:$M$117</c:f>
              <c:numCache/>
            </c:numRef>
          </c:val>
        </c:ser>
        <c:ser>
          <c:idx val="116"/>
          <c:order val="116"/>
          <c:tx>
            <c:strRef>
              <c:f>'estatística'!$B$118</c:f>
            </c:strRef>
          </c:tx>
          <c:cat>
            <c:strRef>
              <c:f>'estatística'!$C$1:$M$1</c:f>
            </c:strRef>
          </c:cat>
          <c:val>
            <c:numRef>
              <c:f>'estatística'!$C$118:$M$118</c:f>
              <c:numCache/>
            </c:numRef>
          </c:val>
        </c:ser>
        <c:ser>
          <c:idx val="117"/>
          <c:order val="117"/>
          <c:tx>
            <c:strRef>
              <c:f>'estatística'!$B$119</c:f>
            </c:strRef>
          </c:tx>
          <c:cat>
            <c:strRef>
              <c:f>'estatística'!$C$1:$M$1</c:f>
            </c:strRef>
          </c:cat>
          <c:val>
            <c:numRef>
              <c:f>'estatística'!$C$119:$M$119</c:f>
              <c:numCache/>
            </c:numRef>
          </c:val>
        </c:ser>
        <c:ser>
          <c:idx val="118"/>
          <c:order val="118"/>
          <c:tx>
            <c:strRef>
              <c:f>'estatística'!$B$120</c:f>
            </c:strRef>
          </c:tx>
          <c:cat>
            <c:strRef>
              <c:f>'estatística'!$C$1:$M$1</c:f>
            </c:strRef>
          </c:cat>
          <c:val>
            <c:numRef>
              <c:f>'estatística'!$C$120:$M$120</c:f>
              <c:numCache/>
            </c:numRef>
          </c:val>
        </c:ser>
        <c:ser>
          <c:idx val="119"/>
          <c:order val="119"/>
          <c:tx>
            <c:strRef>
              <c:f>'estatística'!$B$121</c:f>
            </c:strRef>
          </c:tx>
          <c:cat>
            <c:strRef>
              <c:f>'estatística'!$C$1:$M$1</c:f>
            </c:strRef>
          </c:cat>
          <c:val>
            <c:numRef>
              <c:f>'estatística'!$C$121:$M$121</c:f>
              <c:numCache/>
            </c:numRef>
          </c:val>
        </c:ser>
        <c:ser>
          <c:idx val="120"/>
          <c:order val="120"/>
          <c:tx>
            <c:strRef>
              <c:f>'estatística'!$B$122</c:f>
            </c:strRef>
          </c:tx>
          <c:cat>
            <c:strRef>
              <c:f>'estatística'!$C$1:$M$1</c:f>
            </c:strRef>
          </c:cat>
          <c:val>
            <c:numRef>
              <c:f>'estatística'!$C$122:$M$122</c:f>
              <c:numCache/>
            </c:numRef>
          </c:val>
        </c:ser>
        <c:ser>
          <c:idx val="121"/>
          <c:order val="121"/>
          <c:tx>
            <c:strRef>
              <c:f>'estatística'!$B$123</c:f>
            </c:strRef>
          </c:tx>
          <c:cat>
            <c:strRef>
              <c:f>'estatística'!$C$1:$M$1</c:f>
            </c:strRef>
          </c:cat>
          <c:val>
            <c:numRef>
              <c:f>'estatística'!$C$123:$M$123</c:f>
              <c:numCache/>
            </c:numRef>
          </c:val>
        </c:ser>
        <c:ser>
          <c:idx val="122"/>
          <c:order val="122"/>
          <c:tx>
            <c:strRef>
              <c:f>'estatística'!$B$124</c:f>
            </c:strRef>
          </c:tx>
          <c:cat>
            <c:strRef>
              <c:f>'estatística'!$C$1:$M$1</c:f>
            </c:strRef>
          </c:cat>
          <c:val>
            <c:numRef>
              <c:f>'estatística'!$C$124:$M$124</c:f>
              <c:numCache/>
            </c:numRef>
          </c:val>
        </c:ser>
        <c:ser>
          <c:idx val="123"/>
          <c:order val="123"/>
          <c:tx>
            <c:strRef>
              <c:f>'estatística'!$B$125</c:f>
            </c:strRef>
          </c:tx>
          <c:cat>
            <c:strRef>
              <c:f>'estatística'!$C$1:$M$1</c:f>
            </c:strRef>
          </c:cat>
          <c:val>
            <c:numRef>
              <c:f>'estatística'!$C$125:$M$125</c:f>
              <c:numCache/>
            </c:numRef>
          </c:val>
        </c:ser>
        <c:ser>
          <c:idx val="124"/>
          <c:order val="124"/>
          <c:tx>
            <c:strRef>
              <c:f>'estatística'!$B$126</c:f>
            </c:strRef>
          </c:tx>
          <c:cat>
            <c:strRef>
              <c:f>'estatística'!$C$1:$M$1</c:f>
            </c:strRef>
          </c:cat>
          <c:val>
            <c:numRef>
              <c:f>'estatística'!$C$126:$M$126</c:f>
              <c:numCache/>
            </c:numRef>
          </c:val>
        </c:ser>
        <c:ser>
          <c:idx val="125"/>
          <c:order val="125"/>
          <c:tx>
            <c:strRef>
              <c:f>'estatística'!$B$127</c:f>
            </c:strRef>
          </c:tx>
          <c:cat>
            <c:strRef>
              <c:f>'estatística'!$C$1:$M$1</c:f>
            </c:strRef>
          </c:cat>
          <c:val>
            <c:numRef>
              <c:f>'estatística'!$C$127:$M$127</c:f>
              <c:numCache/>
            </c:numRef>
          </c:val>
        </c:ser>
        <c:ser>
          <c:idx val="126"/>
          <c:order val="126"/>
          <c:tx>
            <c:strRef>
              <c:f>'estatística'!$B$128</c:f>
            </c:strRef>
          </c:tx>
          <c:cat>
            <c:strRef>
              <c:f>'estatística'!$C$1:$M$1</c:f>
            </c:strRef>
          </c:cat>
          <c:val>
            <c:numRef>
              <c:f>'estatística'!$C$128:$M$128</c:f>
              <c:numCache/>
            </c:numRef>
          </c:val>
        </c:ser>
        <c:ser>
          <c:idx val="127"/>
          <c:order val="127"/>
          <c:tx>
            <c:strRef>
              <c:f>'estatística'!$B$129</c:f>
            </c:strRef>
          </c:tx>
          <c:cat>
            <c:strRef>
              <c:f>'estatística'!$C$1:$M$1</c:f>
            </c:strRef>
          </c:cat>
          <c:val>
            <c:numRef>
              <c:f>'estatística'!$C$129:$M$129</c:f>
              <c:numCache/>
            </c:numRef>
          </c:val>
        </c:ser>
        <c:ser>
          <c:idx val="128"/>
          <c:order val="128"/>
          <c:tx>
            <c:strRef>
              <c:f>'estatística'!$B$130</c:f>
            </c:strRef>
          </c:tx>
          <c:cat>
            <c:strRef>
              <c:f>'estatística'!$C$1:$M$1</c:f>
            </c:strRef>
          </c:cat>
          <c:val>
            <c:numRef>
              <c:f>'estatística'!$C$130:$M$130</c:f>
              <c:numCache/>
            </c:numRef>
          </c:val>
        </c:ser>
        <c:ser>
          <c:idx val="129"/>
          <c:order val="129"/>
          <c:tx>
            <c:strRef>
              <c:f>'estatística'!$B$131</c:f>
            </c:strRef>
          </c:tx>
          <c:cat>
            <c:strRef>
              <c:f>'estatística'!$C$1:$M$1</c:f>
            </c:strRef>
          </c:cat>
          <c:val>
            <c:numRef>
              <c:f>'estatística'!$C$131:$M$131</c:f>
              <c:numCache/>
            </c:numRef>
          </c:val>
        </c:ser>
        <c:ser>
          <c:idx val="130"/>
          <c:order val="130"/>
          <c:tx>
            <c:strRef>
              <c:f>'estatística'!$B$132</c:f>
            </c:strRef>
          </c:tx>
          <c:cat>
            <c:strRef>
              <c:f>'estatística'!$C$1:$M$1</c:f>
            </c:strRef>
          </c:cat>
          <c:val>
            <c:numRef>
              <c:f>'estatística'!$C$132:$M$132</c:f>
              <c:numCache/>
            </c:numRef>
          </c:val>
        </c:ser>
        <c:ser>
          <c:idx val="131"/>
          <c:order val="131"/>
          <c:tx>
            <c:strRef>
              <c:f>'estatística'!$B$133</c:f>
            </c:strRef>
          </c:tx>
          <c:cat>
            <c:strRef>
              <c:f>'estatística'!$C$1:$M$1</c:f>
            </c:strRef>
          </c:cat>
          <c:val>
            <c:numRef>
              <c:f>'estatística'!$C$133:$M$133</c:f>
              <c:numCache/>
            </c:numRef>
          </c:val>
        </c:ser>
        <c:ser>
          <c:idx val="132"/>
          <c:order val="132"/>
          <c:tx>
            <c:strRef>
              <c:f>'estatística'!$B$134</c:f>
            </c:strRef>
          </c:tx>
          <c:cat>
            <c:strRef>
              <c:f>'estatística'!$C$1:$M$1</c:f>
            </c:strRef>
          </c:cat>
          <c:val>
            <c:numRef>
              <c:f>'estatística'!$C$134:$M$134</c:f>
              <c:numCache/>
            </c:numRef>
          </c:val>
        </c:ser>
        <c:ser>
          <c:idx val="133"/>
          <c:order val="133"/>
          <c:tx>
            <c:strRef>
              <c:f>'estatística'!$B$135</c:f>
            </c:strRef>
          </c:tx>
          <c:cat>
            <c:strRef>
              <c:f>'estatística'!$C$1:$M$1</c:f>
            </c:strRef>
          </c:cat>
          <c:val>
            <c:numRef>
              <c:f>'estatística'!$C$135:$M$135</c:f>
              <c:numCache/>
            </c:numRef>
          </c:val>
        </c:ser>
        <c:ser>
          <c:idx val="134"/>
          <c:order val="134"/>
          <c:tx>
            <c:strRef>
              <c:f>'estatística'!$B$136</c:f>
            </c:strRef>
          </c:tx>
          <c:cat>
            <c:strRef>
              <c:f>'estatística'!$C$1:$M$1</c:f>
            </c:strRef>
          </c:cat>
          <c:val>
            <c:numRef>
              <c:f>'estatística'!$C$136:$M$136</c:f>
              <c:numCache/>
            </c:numRef>
          </c:val>
        </c:ser>
        <c:ser>
          <c:idx val="135"/>
          <c:order val="135"/>
          <c:tx>
            <c:strRef>
              <c:f>'estatística'!$B$137</c:f>
            </c:strRef>
          </c:tx>
          <c:cat>
            <c:strRef>
              <c:f>'estatística'!$C$1:$M$1</c:f>
            </c:strRef>
          </c:cat>
          <c:val>
            <c:numRef>
              <c:f>'estatística'!$C$137:$M$137</c:f>
              <c:numCache/>
            </c:numRef>
          </c:val>
        </c:ser>
        <c:ser>
          <c:idx val="136"/>
          <c:order val="136"/>
          <c:tx>
            <c:strRef>
              <c:f>'estatística'!$B$138</c:f>
            </c:strRef>
          </c:tx>
          <c:cat>
            <c:strRef>
              <c:f>'estatística'!$C$1:$M$1</c:f>
            </c:strRef>
          </c:cat>
          <c:val>
            <c:numRef>
              <c:f>'estatística'!$C$138:$M$138</c:f>
              <c:numCache/>
            </c:numRef>
          </c:val>
        </c:ser>
        <c:ser>
          <c:idx val="137"/>
          <c:order val="137"/>
          <c:tx>
            <c:strRef>
              <c:f>'estatística'!$B$139</c:f>
            </c:strRef>
          </c:tx>
          <c:cat>
            <c:strRef>
              <c:f>'estatística'!$C$1:$M$1</c:f>
            </c:strRef>
          </c:cat>
          <c:val>
            <c:numRef>
              <c:f>'estatística'!$C$139:$M$139</c:f>
              <c:numCache/>
            </c:numRef>
          </c:val>
        </c:ser>
        <c:ser>
          <c:idx val="138"/>
          <c:order val="138"/>
          <c:tx>
            <c:strRef>
              <c:f>'estatística'!$B$140</c:f>
            </c:strRef>
          </c:tx>
          <c:cat>
            <c:strRef>
              <c:f>'estatística'!$C$1:$M$1</c:f>
            </c:strRef>
          </c:cat>
          <c:val>
            <c:numRef>
              <c:f>'estatística'!$C$140:$M$140</c:f>
              <c:numCache/>
            </c:numRef>
          </c:val>
        </c:ser>
        <c:ser>
          <c:idx val="139"/>
          <c:order val="139"/>
          <c:tx>
            <c:strRef>
              <c:f>'estatística'!$B$141</c:f>
            </c:strRef>
          </c:tx>
          <c:cat>
            <c:strRef>
              <c:f>'estatística'!$C$1:$M$1</c:f>
            </c:strRef>
          </c:cat>
          <c:val>
            <c:numRef>
              <c:f>'estatística'!$C$141:$M$141</c:f>
              <c:numCache/>
            </c:numRef>
          </c:val>
        </c:ser>
        <c:ser>
          <c:idx val="140"/>
          <c:order val="140"/>
          <c:tx>
            <c:strRef>
              <c:f>'estatística'!$B$142</c:f>
            </c:strRef>
          </c:tx>
          <c:cat>
            <c:strRef>
              <c:f>'estatística'!$C$1:$M$1</c:f>
            </c:strRef>
          </c:cat>
          <c:val>
            <c:numRef>
              <c:f>'estatística'!$C$142:$M$142</c:f>
              <c:numCache/>
            </c:numRef>
          </c:val>
        </c:ser>
        <c:ser>
          <c:idx val="141"/>
          <c:order val="141"/>
          <c:tx>
            <c:strRef>
              <c:f>'estatística'!$B$143</c:f>
            </c:strRef>
          </c:tx>
          <c:cat>
            <c:strRef>
              <c:f>'estatística'!$C$1:$M$1</c:f>
            </c:strRef>
          </c:cat>
          <c:val>
            <c:numRef>
              <c:f>'estatística'!$C$143:$M$143</c:f>
              <c:numCache/>
            </c:numRef>
          </c:val>
        </c:ser>
        <c:ser>
          <c:idx val="142"/>
          <c:order val="142"/>
          <c:tx>
            <c:strRef>
              <c:f>'estatística'!$B$144</c:f>
            </c:strRef>
          </c:tx>
          <c:cat>
            <c:strRef>
              <c:f>'estatística'!$C$1:$M$1</c:f>
            </c:strRef>
          </c:cat>
          <c:val>
            <c:numRef>
              <c:f>'estatística'!$C$144:$M$144</c:f>
              <c:numCache/>
            </c:numRef>
          </c:val>
        </c:ser>
        <c:ser>
          <c:idx val="143"/>
          <c:order val="143"/>
          <c:tx>
            <c:strRef>
              <c:f>'estatística'!$B$145</c:f>
            </c:strRef>
          </c:tx>
          <c:cat>
            <c:strRef>
              <c:f>'estatística'!$C$1:$M$1</c:f>
            </c:strRef>
          </c:cat>
          <c:val>
            <c:numRef>
              <c:f>'estatística'!$C$145:$M$145</c:f>
              <c:numCache/>
            </c:numRef>
          </c:val>
        </c:ser>
        <c:ser>
          <c:idx val="144"/>
          <c:order val="144"/>
          <c:tx>
            <c:strRef>
              <c:f>'estatística'!$B$146</c:f>
            </c:strRef>
          </c:tx>
          <c:cat>
            <c:strRef>
              <c:f>'estatística'!$C$1:$M$1</c:f>
            </c:strRef>
          </c:cat>
          <c:val>
            <c:numRef>
              <c:f>'estatística'!$C$146:$M$146</c:f>
              <c:numCache/>
            </c:numRef>
          </c:val>
        </c:ser>
        <c:ser>
          <c:idx val="145"/>
          <c:order val="145"/>
          <c:tx>
            <c:strRef>
              <c:f>'estatística'!$B$147</c:f>
            </c:strRef>
          </c:tx>
          <c:cat>
            <c:strRef>
              <c:f>'estatística'!$C$1:$M$1</c:f>
            </c:strRef>
          </c:cat>
          <c:val>
            <c:numRef>
              <c:f>'estatística'!$C$147:$M$147</c:f>
              <c:numCache/>
            </c:numRef>
          </c:val>
        </c:ser>
        <c:ser>
          <c:idx val="146"/>
          <c:order val="146"/>
          <c:tx>
            <c:strRef>
              <c:f>'estatística'!$B$148</c:f>
            </c:strRef>
          </c:tx>
          <c:cat>
            <c:strRef>
              <c:f>'estatística'!$C$1:$M$1</c:f>
            </c:strRef>
          </c:cat>
          <c:val>
            <c:numRef>
              <c:f>'estatística'!$C$148:$M$148</c:f>
              <c:numCache/>
            </c:numRef>
          </c:val>
        </c:ser>
        <c:ser>
          <c:idx val="147"/>
          <c:order val="147"/>
          <c:tx>
            <c:strRef>
              <c:f>'estatística'!$B$149</c:f>
            </c:strRef>
          </c:tx>
          <c:cat>
            <c:strRef>
              <c:f>'estatística'!$C$1:$M$1</c:f>
            </c:strRef>
          </c:cat>
          <c:val>
            <c:numRef>
              <c:f>'estatística'!$C$149:$M$149</c:f>
              <c:numCache/>
            </c:numRef>
          </c:val>
        </c:ser>
        <c:ser>
          <c:idx val="148"/>
          <c:order val="148"/>
          <c:tx>
            <c:strRef>
              <c:f>'estatística'!$B$150</c:f>
            </c:strRef>
          </c:tx>
          <c:cat>
            <c:strRef>
              <c:f>'estatística'!$C$1:$M$1</c:f>
            </c:strRef>
          </c:cat>
          <c:val>
            <c:numRef>
              <c:f>'estatística'!$C$150:$M$150</c:f>
              <c:numCache/>
            </c:numRef>
          </c:val>
        </c:ser>
        <c:ser>
          <c:idx val="149"/>
          <c:order val="149"/>
          <c:tx>
            <c:strRef>
              <c:f>'estatística'!$B$151</c:f>
            </c:strRef>
          </c:tx>
          <c:cat>
            <c:strRef>
              <c:f>'estatística'!$C$1:$M$1</c:f>
            </c:strRef>
          </c:cat>
          <c:val>
            <c:numRef>
              <c:f>'estatística'!$C$151:$M$151</c:f>
              <c:numCache/>
            </c:numRef>
          </c:val>
        </c:ser>
        <c:ser>
          <c:idx val="150"/>
          <c:order val="150"/>
          <c:tx>
            <c:strRef>
              <c:f>'estatística'!$B$152</c:f>
            </c:strRef>
          </c:tx>
          <c:cat>
            <c:strRef>
              <c:f>'estatística'!$C$1:$M$1</c:f>
            </c:strRef>
          </c:cat>
          <c:val>
            <c:numRef>
              <c:f>'estatística'!$C$152:$M$152</c:f>
              <c:numCache/>
            </c:numRef>
          </c:val>
        </c:ser>
        <c:ser>
          <c:idx val="151"/>
          <c:order val="151"/>
          <c:tx>
            <c:strRef>
              <c:f>'estatística'!$B$153</c:f>
            </c:strRef>
          </c:tx>
          <c:cat>
            <c:strRef>
              <c:f>'estatística'!$C$1:$M$1</c:f>
            </c:strRef>
          </c:cat>
          <c:val>
            <c:numRef>
              <c:f>'estatística'!$C$153:$M$153</c:f>
              <c:numCache/>
            </c:numRef>
          </c:val>
        </c:ser>
        <c:ser>
          <c:idx val="152"/>
          <c:order val="152"/>
          <c:tx>
            <c:strRef>
              <c:f>'estatística'!$B$154</c:f>
            </c:strRef>
          </c:tx>
          <c:cat>
            <c:strRef>
              <c:f>'estatística'!$C$1:$M$1</c:f>
            </c:strRef>
          </c:cat>
          <c:val>
            <c:numRef>
              <c:f>'estatística'!$C$154:$M$154</c:f>
              <c:numCache/>
            </c:numRef>
          </c:val>
        </c:ser>
        <c:ser>
          <c:idx val="153"/>
          <c:order val="153"/>
          <c:tx>
            <c:strRef>
              <c:f>'estatística'!$B$155</c:f>
            </c:strRef>
          </c:tx>
          <c:cat>
            <c:strRef>
              <c:f>'estatística'!$C$1:$M$1</c:f>
            </c:strRef>
          </c:cat>
          <c:val>
            <c:numRef>
              <c:f>'estatística'!$C$155:$M$155</c:f>
              <c:numCache/>
            </c:numRef>
          </c:val>
        </c:ser>
        <c:ser>
          <c:idx val="154"/>
          <c:order val="154"/>
          <c:tx>
            <c:strRef>
              <c:f>'estatística'!$B$156</c:f>
            </c:strRef>
          </c:tx>
          <c:cat>
            <c:strRef>
              <c:f>'estatística'!$C$1:$M$1</c:f>
            </c:strRef>
          </c:cat>
          <c:val>
            <c:numRef>
              <c:f>'estatística'!$C$156:$M$156</c:f>
              <c:numCache/>
            </c:numRef>
          </c:val>
        </c:ser>
        <c:ser>
          <c:idx val="155"/>
          <c:order val="155"/>
          <c:tx>
            <c:strRef>
              <c:f>'estatística'!$B$157</c:f>
            </c:strRef>
          </c:tx>
          <c:cat>
            <c:strRef>
              <c:f>'estatística'!$C$1:$M$1</c:f>
            </c:strRef>
          </c:cat>
          <c:val>
            <c:numRef>
              <c:f>'estatística'!$C$157:$M$157</c:f>
              <c:numCache/>
            </c:numRef>
          </c:val>
        </c:ser>
        <c:ser>
          <c:idx val="156"/>
          <c:order val="156"/>
          <c:tx>
            <c:strRef>
              <c:f>'estatística'!$B$158</c:f>
            </c:strRef>
          </c:tx>
          <c:cat>
            <c:strRef>
              <c:f>'estatística'!$C$1:$M$1</c:f>
            </c:strRef>
          </c:cat>
          <c:val>
            <c:numRef>
              <c:f>'estatística'!$C$158:$M$158</c:f>
              <c:numCache/>
            </c:numRef>
          </c:val>
        </c:ser>
        <c:ser>
          <c:idx val="157"/>
          <c:order val="157"/>
          <c:tx>
            <c:strRef>
              <c:f>'estatística'!$B$159</c:f>
            </c:strRef>
          </c:tx>
          <c:cat>
            <c:strRef>
              <c:f>'estatística'!$C$1:$M$1</c:f>
            </c:strRef>
          </c:cat>
          <c:val>
            <c:numRef>
              <c:f>'estatística'!$C$159:$M$159</c:f>
              <c:numCache/>
            </c:numRef>
          </c:val>
        </c:ser>
        <c:ser>
          <c:idx val="158"/>
          <c:order val="158"/>
          <c:tx>
            <c:strRef>
              <c:f>'estatística'!$B$160</c:f>
            </c:strRef>
          </c:tx>
          <c:cat>
            <c:strRef>
              <c:f>'estatística'!$C$1:$M$1</c:f>
            </c:strRef>
          </c:cat>
          <c:val>
            <c:numRef>
              <c:f>'estatística'!$C$160:$M$160</c:f>
              <c:numCache/>
            </c:numRef>
          </c:val>
        </c:ser>
        <c:ser>
          <c:idx val="159"/>
          <c:order val="159"/>
          <c:tx>
            <c:strRef>
              <c:f>'estatística'!$B$161</c:f>
            </c:strRef>
          </c:tx>
          <c:cat>
            <c:strRef>
              <c:f>'estatística'!$C$1:$M$1</c:f>
            </c:strRef>
          </c:cat>
          <c:val>
            <c:numRef>
              <c:f>'estatística'!$C$161:$M$161</c:f>
              <c:numCache/>
            </c:numRef>
          </c:val>
        </c:ser>
        <c:ser>
          <c:idx val="160"/>
          <c:order val="160"/>
          <c:tx>
            <c:strRef>
              <c:f>'estatística'!$B$162</c:f>
            </c:strRef>
          </c:tx>
          <c:cat>
            <c:strRef>
              <c:f>'estatística'!$C$1:$M$1</c:f>
            </c:strRef>
          </c:cat>
          <c:val>
            <c:numRef>
              <c:f>'estatística'!$C$162:$M$162</c:f>
              <c:numCache/>
            </c:numRef>
          </c:val>
        </c:ser>
        <c:ser>
          <c:idx val="161"/>
          <c:order val="161"/>
          <c:tx>
            <c:strRef>
              <c:f>'estatística'!$B$163</c:f>
            </c:strRef>
          </c:tx>
          <c:cat>
            <c:strRef>
              <c:f>'estatística'!$C$1:$M$1</c:f>
            </c:strRef>
          </c:cat>
          <c:val>
            <c:numRef>
              <c:f>'estatística'!$C$163:$M$163</c:f>
              <c:numCache/>
            </c:numRef>
          </c:val>
        </c:ser>
        <c:ser>
          <c:idx val="162"/>
          <c:order val="162"/>
          <c:tx>
            <c:strRef>
              <c:f>'estatística'!$B$164</c:f>
            </c:strRef>
          </c:tx>
          <c:cat>
            <c:strRef>
              <c:f>'estatística'!$C$1:$M$1</c:f>
            </c:strRef>
          </c:cat>
          <c:val>
            <c:numRef>
              <c:f>'estatística'!$C$164:$M$164</c:f>
              <c:numCache/>
            </c:numRef>
          </c:val>
        </c:ser>
        <c:ser>
          <c:idx val="163"/>
          <c:order val="163"/>
          <c:tx>
            <c:strRef>
              <c:f>'estatística'!$B$165</c:f>
            </c:strRef>
          </c:tx>
          <c:cat>
            <c:strRef>
              <c:f>'estatística'!$C$1:$M$1</c:f>
            </c:strRef>
          </c:cat>
          <c:val>
            <c:numRef>
              <c:f>'estatística'!$C$165:$M$165</c:f>
              <c:numCache/>
            </c:numRef>
          </c:val>
        </c:ser>
        <c:ser>
          <c:idx val="164"/>
          <c:order val="164"/>
          <c:tx>
            <c:strRef>
              <c:f>'estatística'!$B$166</c:f>
            </c:strRef>
          </c:tx>
          <c:cat>
            <c:strRef>
              <c:f>'estatística'!$C$1:$M$1</c:f>
            </c:strRef>
          </c:cat>
          <c:val>
            <c:numRef>
              <c:f>'estatística'!$C$166:$M$166</c:f>
              <c:numCache/>
            </c:numRef>
          </c:val>
        </c:ser>
        <c:ser>
          <c:idx val="165"/>
          <c:order val="165"/>
          <c:tx>
            <c:strRef>
              <c:f>'estatística'!$B$167</c:f>
            </c:strRef>
          </c:tx>
          <c:cat>
            <c:strRef>
              <c:f>'estatística'!$C$1:$M$1</c:f>
            </c:strRef>
          </c:cat>
          <c:val>
            <c:numRef>
              <c:f>'estatística'!$C$167:$M$167</c:f>
              <c:numCache/>
            </c:numRef>
          </c:val>
        </c:ser>
        <c:ser>
          <c:idx val="166"/>
          <c:order val="166"/>
          <c:tx>
            <c:strRef>
              <c:f>'estatística'!$B$168</c:f>
            </c:strRef>
          </c:tx>
          <c:cat>
            <c:strRef>
              <c:f>'estatística'!$C$1:$M$1</c:f>
            </c:strRef>
          </c:cat>
          <c:val>
            <c:numRef>
              <c:f>'estatística'!$C$168:$M$168</c:f>
              <c:numCache/>
            </c:numRef>
          </c:val>
        </c:ser>
        <c:ser>
          <c:idx val="167"/>
          <c:order val="167"/>
          <c:tx>
            <c:strRef>
              <c:f>'estatística'!$B$169</c:f>
            </c:strRef>
          </c:tx>
          <c:cat>
            <c:strRef>
              <c:f>'estatística'!$C$1:$M$1</c:f>
            </c:strRef>
          </c:cat>
          <c:val>
            <c:numRef>
              <c:f>'estatística'!$C$169:$M$169</c:f>
              <c:numCache/>
            </c:numRef>
          </c:val>
        </c:ser>
        <c:ser>
          <c:idx val="168"/>
          <c:order val="168"/>
          <c:tx>
            <c:strRef>
              <c:f>'estatística'!$B$170</c:f>
            </c:strRef>
          </c:tx>
          <c:cat>
            <c:strRef>
              <c:f>'estatística'!$C$1:$M$1</c:f>
            </c:strRef>
          </c:cat>
          <c:val>
            <c:numRef>
              <c:f>'estatística'!$C$170:$M$170</c:f>
              <c:numCache/>
            </c:numRef>
          </c:val>
        </c:ser>
        <c:ser>
          <c:idx val="169"/>
          <c:order val="169"/>
          <c:tx>
            <c:strRef>
              <c:f>'estatística'!$B$171</c:f>
            </c:strRef>
          </c:tx>
          <c:cat>
            <c:strRef>
              <c:f>'estatística'!$C$1:$M$1</c:f>
            </c:strRef>
          </c:cat>
          <c:val>
            <c:numRef>
              <c:f>'estatística'!$C$171:$M$171</c:f>
              <c:numCache/>
            </c:numRef>
          </c:val>
        </c:ser>
        <c:ser>
          <c:idx val="170"/>
          <c:order val="170"/>
          <c:tx>
            <c:strRef>
              <c:f>'estatística'!$B$172</c:f>
            </c:strRef>
          </c:tx>
          <c:cat>
            <c:strRef>
              <c:f>'estatística'!$C$1:$M$1</c:f>
            </c:strRef>
          </c:cat>
          <c:val>
            <c:numRef>
              <c:f>'estatística'!$C$172:$M$172</c:f>
              <c:numCache/>
            </c:numRef>
          </c:val>
        </c:ser>
        <c:ser>
          <c:idx val="171"/>
          <c:order val="171"/>
          <c:tx>
            <c:strRef>
              <c:f>'estatística'!$B$173</c:f>
            </c:strRef>
          </c:tx>
          <c:cat>
            <c:strRef>
              <c:f>'estatística'!$C$1:$M$1</c:f>
            </c:strRef>
          </c:cat>
          <c:val>
            <c:numRef>
              <c:f>'estatística'!$C$173:$M$173</c:f>
              <c:numCache/>
            </c:numRef>
          </c:val>
        </c:ser>
        <c:ser>
          <c:idx val="172"/>
          <c:order val="172"/>
          <c:tx>
            <c:strRef>
              <c:f>'estatística'!$B$174</c:f>
            </c:strRef>
          </c:tx>
          <c:cat>
            <c:strRef>
              <c:f>'estatística'!$C$1:$M$1</c:f>
            </c:strRef>
          </c:cat>
          <c:val>
            <c:numRef>
              <c:f>'estatística'!$C$174:$M$174</c:f>
              <c:numCache/>
            </c:numRef>
          </c:val>
        </c:ser>
        <c:ser>
          <c:idx val="173"/>
          <c:order val="173"/>
          <c:tx>
            <c:strRef>
              <c:f>'estatística'!$B$175</c:f>
            </c:strRef>
          </c:tx>
          <c:cat>
            <c:strRef>
              <c:f>'estatística'!$C$1:$M$1</c:f>
            </c:strRef>
          </c:cat>
          <c:val>
            <c:numRef>
              <c:f>'estatística'!$C$175:$M$175</c:f>
              <c:numCache/>
            </c:numRef>
          </c:val>
        </c:ser>
        <c:ser>
          <c:idx val="174"/>
          <c:order val="174"/>
          <c:tx>
            <c:strRef>
              <c:f>'estatística'!$B$176</c:f>
            </c:strRef>
          </c:tx>
          <c:cat>
            <c:strRef>
              <c:f>'estatística'!$C$1:$M$1</c:f>
            </c:strRef>
          </c:cat>
          <c:val>
            <c:numRef>
              <c:f>'estatística'!$C$176:$M$176</c:f>
              <c:numCache/>
            </c:numRef>
          </c:val>
        </c:ser>
        <c:ser>
          <c:idx val="175"/>
          <c:order val="175"/>
          <c:tx>
            <c:strRef>
              <c:f>'estatística'!$B$177</c:f>
            </c:strRef>
          </c:tx>
          <c:cat>
            <c:strRef>
              <c:f>'estatística'!$C$1:$M$1</c:f>
            </c:strRef>
          </c:cat>
          <c:val>
            <c:numRef>
              <c:f>'estatística'!$C$177:$M$177</c:f>
              <c:numCache/>
            </c:numRef>
          </c:val>
        </c:ser>
        <c:ser>
          <c:idx val="176"/>
          <c:order val="176"/>
          <c:tx>
            <c:strRef>
              <c:f>'estatística'!$B$178</c:f>
            </c:strRef>
          </c:tx>
          <c:cat>
            <c:strRef>
              <c:f>'estatística'!$C$1:$M$1</c:f>
            </c:strRef>
          </c:cat>
          <c:val>
            <c:numRef>
              <c:f>'estatística'!$C$178:$M$178</c:f>
              <c:numCache/>
            </c:numRef>
          </c:val>
        </c:ser>
        <c:ser>
          <c:idx val="177"/>
          <c:order val="177"/>
          <c:tx>
            <c:strRef>
              <c:f>'estatística'!$B$179</c:f>
            </c:strRef>
          </c:tx>
          <c:cat>
            <c:strRef>
              <c:f>'estatística'!$C$1:$M$1</c:f>
            </c:strRef>
          </c:cat>
          <c:val>
            <c:numRef>
              <c:f>'estatística'!$C$179:$M$179</c:f>
              <c:numCache/>
            </c:numRef>
          </c:val>
        </c:ser>
        <c:ser>
          <c:idx val="178"/>
          <c:order val="178"/>
          <c:tx>
            <c:strRef>
              <c:f>'estatística'!$B$180</c:f>
            </c:strRef>
          </c:tx>
          <c:cat>
            <c:strRef>
              <c:f>'estatística'!$C$1:$M$1</c:f>
            </c:strRef>
          </c:cat>
          <c:val>
            <c:numRef>
              <c:f>'estatística'!$C$180:$M$180</c:f>
              <c:numCache/>
            </c:numRef>
          </c:val>
        </c:ser>
        <c:ser>
          <c:idx val="179"/>
          <c:order val="179"/>
          <c:tx>
            <c:strRef>
              <c:f>'estatística'!$B$181</c:f>
            </c:strRef>
          </c:tx>
          <c:cat>
            <c:strRef>
              <c:f>'estatística'!$C$1:$M$1</c:f>
            </c:strRef>
          </c:cat>
          <c:val>
            <c:numRef>
              <c:f>'estatística'!$C$181:$M$181</c:f>
              <c:numCache/>
            </c:numRef>
          </c:val>
        </c:ser>
        <c:ser>
          <c:idx val="180"/>
          <c:order val="180"/>
          <c:tx>
            <c:strRef>
              <c:f>'estatística'!$B$182</c:f>
            </c:strRef>
          </c:tx>
          <c:cat>
            <c:strRef>
              <c:f>'estatística'!$C$1:$M$1</c:f>
            </c:strRef>
          </c:cat>
          <c:val>
            <c:numRef>
              <c:f>'estatística'!$C$182:$M$182</c:f>
              <c:numCache/>
            </c:numRef>
          </c:val>
        </c:ser>
        <c:ser>
          <c:idx val="181"/>
          <c:order val="181"/>
          <c:tx>
            <c:strRef>
              <c:f>'estatística'!$B$183</c:f>
            </c:strRef>
          </c:tx>
          <c:cat>
            <c:strRef>
              <c:f>'estatística'!$C$1:$M$1</c:f>
            </c:strRef>
          </c:cat>
          <c:val>
            <c:numRef>
              <c:f>'estatística'!$C$183:$M$183</c:f>
              <c:numCache/>
            </c:numRef>
          </c:val>
        </c:ser>
        <c:ser>
          <c:idx val="182"/>
          <c:order val="182"/>
          <c:tx>
            <c:strRef>
              <c:f>'estatística'!$B$184</c:f>
            </c:strRef>
          </c:tx>
          <c:cat>
            <c:strRef>
              <c:f>'estatística'!$C$1:$M$1</c:f>
            </c:strRef>
          </c:cat>
          <c:val>
            <c:numRef>
              <c:f>'estatística'!$C$184:$M$184</c:f>
              <c:numCache/>
            </c:numRef>
          </c:val>
        </c:ser>
        <c:ser>
          <c:idx val="183"/>
          <c:order val="183"/>
          <c:tx>
            <c:strRef>
              <c:f>'estatística'!$B$185</c:f>
            </c:strRef>
          </c:tx>
          <c:cat>
            <c:strRef>
              <c:f>'estatística'!$C$1:$M$1</c:f>
            </c:strRef>
          </c:cat>
          <c:val>
            <c:numRef>
              <c:f>'estatística'!$C$185:$M$185</c:f>
              <c:numCache/>
            </c:numRef>
          </c:val>
        </c:ser>
        <c:ser>
          <c:idx val="184"/>
          <c:order val="184"/>
          <c:tx>
            <c:strRef>
              <c:f>'estatística'!$B$186</c:f>
            </c:strRef>
          </c:tx>
          <c:cat>
            <c:strRef>
              <c:f>'estatística'!$C$1:$M$1</c:f>
            </c:strRef>
          </c:cat>
          <c:val>
            <c:numRef>
              <c:f>'estatística'!$C$186:$M$186</c:f>
              <c:numCache/>
            </c:numRef>
          </c:val>
        </c:ser>
        <c:ser>
          <c:idx val="185"/>
          <c:order val="185"/>
          <c:tx>
            <c:strRef>
              <c:f>'estatística'!$B$187</c:f>
            </c:strRef>
          </c:tx>
          <c:cat>
            <c:strRef>
              <c:f>'estatística'!$C$1:$M$1</c:f>
            </c:strRef>
          </c:cat>
          <c:val>
            <c:numRef>
              <c:f>'estatística'!$C$187:$M$187</c:f>
              <c:numCache/>
            </c:numRef>
          </c:val>
        </c:ser>
        <c:ser>
          <c:idx val="186"/>
          <c:order val="186"/>
          <c:tx>
            <c:strRef>
              <c:f>'estatística'!$B$188</c:f>
            </c:strRef>
          </c:tx>
          <c:cat>
            <c:strRef>
              <c:f>'estatística'!$C$1:$M$1</c:f>
            </c:strRef>
          </c:cat>
          <c:val>
            <c:numRef>
              <c:f>'estatística'!$C$188:$M$188</c:f>
              <c:numCache/>
            </c:numRef>
          </c:val>
        </c:ser>
        <c:ser>
          <c:idx val="187"/>
          <c:order val="187"/>
          <c:tx>
            <c:strRef>
              <c:f>'estatística'!$B$189</c:f>
            </c:strRef>
          </c:tx>
          <c:cat>
            <c:strRef>
              <c:f>'estatística'!$C$1:$M$1</c:f>
            </c:strRef>
          </c:cat>
          <c:val>
            <c:numRef>
              <c:f>'estatística'!$C$189:$M$189</c:f>
              <c:numCache/>
            </c:numRef>
          </c:val>
        </c:ser>
        <c:ser>
          <c:idx val="188"/>
          <c:order val="188"/>
          <c:tx>
            <c:strRef>
              <c:f>'estatística'!$B$190</c:f>
            </c:strRef>
          </c:tx>
          <c:cat>
            <c:strRef>
              <c:f>'estatística'!$C$1:$M$1</c:f>
            </c:strRef>
          </c:cat>
          <c:val>
            <c:numRef>
              <c:f>'estatística'!$C$190:$M$190</c:f>
              <c:numCache/>
            </c:numRef>
          </c:val>
        </c:ser>
        <c:ser>
          <c:idx val="189"/>
          <c:order val="189"/>
          <c:tx>
            <c:strRef>
              <c:f>'estatística'!$B$191</c:f>
            </c:strRef>
          </c:tx>
          <c:cat>
            <c:strRef>
              <c:f>'estatística'!$C$1:$M$1</c:f>
            </c:strRef>
          </c:cat>
          <c:val>
            <c:numRef>
              <c:f>'estatística'!$C$191:$M$191</c:f>
              <c:numCache/>
            </c:numRef>
          </c:val>
        </c:ser>
        <c:ser>
          <c:idx val="190"/>
          <c:order val="190"/>
          <c:tx>
            <c:strRef>
              <c:f>'estatística'!$B$192</c:f>
            </c:strRef>
          </c:tx>
          <c:cat>
            <c:strRef>
              <c:f>'estatística'!$C$1:$M$1</c:f>
            </c:strRef>
          </c:cat>
          <c:val>
            <c:numRef>
              <c:f>'estatística'!$C$192:$M$192</c:f>
              <c:numCache/>
            </c:numRef>
          </c:val>
        </c:ser>
        <c:ser>
          <c:idx val="191"/>
          <c:order val="191"/>
          <c:tx>
            <c:strRef>
              <c:f>'estatística'!$B$193</c:f>
            </c:strRef>
          </c:tx>
          <c:cat>
            <c:strRef>
              <c:f>'estatística'!$C$1:$M$1</c:f>
            </c:strRef>
          </c:cat>
          <c:val>
            <c:numRef>
              <c:f>'estatística'!$C$193:$M$193</c:f>
              <c:numCache/>
            </c:numRef>
          </c:val>
        </c:ser>
        <c:ser>
          <c:idx val="192"/>
          <c:order val="192"/>
          <c:tx>
            <c:strRef>
              <c:f>'estatística'!$B$194</c:f>
            </c:strRef>
          </c:tx>
          <c:cat>
            <c:strRef>
              <c:f>'estatística'!$C$1:$M$1</c:f>
            </c:strRef>
          </c:cat>
          <c:val>
            <c:numRef>
              <c:f>'estatística'!$C$194:$M$194</c:f>
              <c:numCache/>
            </c:numRef>
          </c:val>
        </c:ser>
        <c:ser>
          <c:idx val="193"/>
          <c:order val="193"/>
          <c:tx>
            <c:strRef>
              <c:f>'estatística'!$B$195</c:f>
            </c:strRef>
          </c:tx>
          <c:cat>
            <c:strRef>
              <c:f>'estatística'!$C$1:$M$1</c:f>
            </c:strRef>
          </c:cat>
          <c:val>
            <c:numRef>
              <c:f>'estatística'!$C$195:$M$195</c:f>
              <c:numCache/>
            </c:numRef>
          </c:val>
        </c:ser>
        <c:ser>
          <c:idx val="194"/>
          <c:order val="194"/>
          <c:tx>
            <c:strRef>
              <c:f>'estatística'!$B$196</c:f>
            </c:strRef>
          </c:tx>
          <c:cat>
            <c:strRef>
              <c:f>'estatística'!$C$1:$M$1</c:f>
            </c:strRef>
          </c:cat>
          <c:val>
            <c:numRef>
              <c:f>'estatística'!$C$196:$M$196</c:f>
              <c:numCache/>
            </c:numRef>
          </c:val>
        </c:ser>
        <c:ser>
          <c:idx val="195"/>
          <c:order val="195"/>
          <c:tx>
            <c:strRef>
              <c:f>'estatística'!$B$197</c:f>
            </c:strRef>
          </c:tx>
          <c:cat>
            <c:strRef>
              <c:f>'estatística'!$C$1:$M$1</c:f>
            </c:strRef>
          </c:cat>
          <c:val>
            <c:numRef>
              <c:f>'estatística'!$C$197:$M$197</c:f>
              <c:numCache/>
            </c:numRef>
          </c:val>
        </c:ser>
        <c:ser>
          <c:idx val="196"/>
          <c:order val="196"/>
          <c:tx>
            <c:strRef>
              <c:f>'estatística'!$B$198</c:f>
            </c:strRef>
          </c:tx>
          <c:cat>
            <c:strRef>
              <c:f>'estatística'!$C$1:$M$1</c:f>
            </c:strRef>
          </c:cat>
          <c:val>
            <c:numRef>
              <c:f>'estatística'!$C$198:$M$198</c:f>
              <c:numCache/>
            </c:numRef>
          </c:val>
        </c:ser>
        <c:ser>
          <c:idx val="197"/>
          <c:order val="197"/>
          <c:tx>
            <c:strRef>
              <c:f>'estatística'!$B$199</c:f>
            </c:strRef>
          </c:tx>
          <c:cat>
            <c:strRef>
              <c:f>'estatística'!$C$1:$M$1</c:f>
            </c:strRef>
          </c:cat>
          <c:val>
            <c:numRef>
              <c:f>'estatística'!$C$199:$M$199</c:f>
              <c:numCache/>
            </c:numRef>
          </c:val>
        </c:ser>
        <c:ser>
          <c:idx val="198"/>
          <c:order val="198"/>
          <c:tx>
            <c:strRef>
              <c:f>'estatística'!$B$200</c:f>
            </c:strRef>
          </c:tx>
          <c:cat>
            <c:strRef>
              <c:f>'estatística'!$C$1:$M$1</c:f>
            </c:strRef>
          </c:cat>
          <c:val>
            <c:numRef>
              <c:f>'estatística'!$C$200:$M$200</c:f>
              <c:numCache/>
            </c:numRef>
          </c:val>
        </c:ser>
        <c:ser>
          <c:idx val="199"/>
          <c:order val="199"/>
          <c:tx>
            <c:strRef>
              <c:f>'estatística'!$B$201</c:f>
            </c:strRef>
          </c:tx>
          <c:cat>
            <c:strRef>
              <c:f>'estatística'!$C$1:$M$1</c:f>
            </c:strRef>
          </c:cat>
          <c:val>
            <c:numRef>
              <c:f>'estatística'!$C$201:$M$201</c:f>
              <c:numCache/>
            </c:numRef>
          </c:val>
        </c:ser>
        <c:ser>
          <c:idx val="200"/>
          <c:order val="200"/>
          <c:tx>
            <c:strRef>
              <c:f>'estatística'!$B$202</c:f>
            </c:strRef>
          </c:tx>
          <c:cat>
            <c:strRef>
              <c:f>'estatística'!$C$1:$M$1</c:f>
            </c:strRef>
          </c:cat>
          <c:val>
            <c:numRef>
              <c:f>'estatística'!$C$202:$M$202</c:f>
              <c:numCache/>
            </c:numRef>
          </c:val>
        </c:ser>
        <c:ser>
          <c:idx val="201"/>
          <c:order val="201"/>
          <c:tx>
            <c:strRef>
              <c:f>'estatística'!$B$203</c:f>
            </c:strRef>
          </c:tx>
          <c:cat>
            <c:strRef>
              <c:f>'estatística'!$C$1:$M$1</c:f>
            </c:strRef>
          </c:cat>
          <c:val>
            <c:numRef>
              <c:f>'estatística'!$C$203:$M$203</c:f>
              <c:numCache/>
            </c:numRef>
          </c:val>
        </c:ser>
        <c:ser>
          <c:idx val="202"/>
          <c:order val="202"/>
          <c:tx>
            <c:strRef>
              <c:f>'estatística'!$B$204</c:f>
            </c:strRef>
          </c:tx>
          <c:cat>
            <c:strRef>
              <c:f>'estatística'!$C$1:$M$1</c:f>
            </c:strRef>
          </c:cat>
          <c:val>
            <c:numRef>
              <c:f>'estatística'!$C$204:$M$204</c:f>
              <c:numCache/>
            </c:numRef>
          </c:val>
        </c:ser>
        <c:ser>
          <c:idx val="203"/>
          <c:order val="203"/>
          <c:tx>
            <c:strRef>
              <c:f>'estatística'!$B$205</c:f>
            </c:strRef>
          </c:tx>
          <c:cat>
            <c:strRef>
              <c:f>'estatística'!$C$1:$M$1</c:f>
            </c:strRef>
          </c:cat>
          <c:val>
            <c:numRef>
              <c:f>'estatística'!$C$205:$M$205</c:f>
              <c:numCache/>
            </c:numRef>
          </c:val>
        </c:ser>
        <c:ser>
          <c:idx val="204"/>
          <c:order val="204"/>
          <c:tx>
            <c:strRef>
              <c:f>'estatística'!$B$206</c:f>
            </c:strRef>
          </c:tx>
          <c:cat>
            <c:strRef>
              <c:f>'estatística'!$C$1:$M$1</c:f>
            </c:strRef>
          </c:cat>
          <c:val>
            <c:numRef>
              <c:f>'estatística'!$C$206:$M$206</c:f>
              <c:numCache/>
            </c:numRef>
          </c:val>
        </c:ser>
        <c:ser>
          <c:idx val="205"/>
          <c:order val="205"/>
          <c:tx>
            <c:strRef>
              <c:f>'estatística'!$B$207</c:f>
            </c:strRef>
          </c:tx>
          <c:cat>
            <c:strRef>
              <c:f>'estatística'!$C$1:$M$1</c:f>
            </c:strRef>
          </c:cat>
          <c:val>
            <c:numRef>
              <c:f>'estatística'!$C$207:$M$207</c:f>
              <c:numCache/>
            </c:numRef>
          </c:val>
        </c:ser>
        <c:ser>
          <c:idx val="206"/>
          <c:order val="206"/>
          <c:tx>
            <c:strRef>
              <c:f>'estatística'!$B$208</c:f>
            </c:strRef>
          </c:tx>
          <c:cat>
            <c:strRef>
              <c:f>'estatística'!$C$1:$M$1</c:f>
            </c:strRef>
          </c:cat>
          <c:val>
            <c:numRef>
              <c:f>'estatística'!$C$208:$M$208</c:f>
              <c:numCache/>
            </c:numRef>
          </c:val>
        </c:ser>
        <c:ser>
          <c:idx val="207"/>
          <c:order val="207"/>
          <c:tx>
            <c:strRef>
              <c:f>'estatística'!$B$209</c:f>
            </c:strRef>
          </c:tx>
          <c:cat>
            <c:strRef>
              <c:f>'estatística'!$C$1:$M$1</c:f>
            </c:strRef>
          </c:cat>
          <c:val>
            <c:numRef>
              <c:f>'estatística'!$C$209:$M$209</c:f>
              <c:numCache/>
            </c:numRef>
          </c:val>
        </c:ser>
        <c:ser>
          <c:idx val="208"/>
          <c:order val="208"/>
          <c:tx>
            <c:strRef>
              <c:f>'estatística'!$B$210</c:f>
            </c:strRef>
          </c:tx>
          <c:cat>
            <c:strRef>
              <c:f>'estatística'!$C$1:$M$1</c:f>
            </c:strRef>
          </c:cat>
          <c:val>
            <c:numRef>
              <c:f>'estatística'!$C$210:$M$210</c:f>
              <c:numCache/>
            </c:numRef>
          </c:val>
        </c:ser>
        <c:ser>
          <c:idx val="209"/>
          <c:order val="209"/>
          <c:tx>
            <c:strRef>
              <c:f>'estatística'!$B$211</c:f>
            </c:strRef>
          </c:tx>
          <c:cat>
            <c:strRef>
              <c:f>'estatística'!$C$1:$M$1</c:f>
            </c:strRef>
          </c:cat>
          <c:val>
            <c:numRef>
              <c:f>'estatística'!$C$211:$M$211</c:f>
              <c:numCache/>
            </c:numRef>
          </c:val>
        </c:ser>
        <c:ser>
          <c:idx val="210"/>
          <c:order val="210"/>
          <c:tx>
            <c:strRef>
              <c:f>'estatística'!$B$212</c:f>
            </c:strRef>
          </c:tx>
          <c:cat>
            <c:strRef>
              <c:f>'estatística'!$C$1:$M$1</c:f>
            </c:strRef>
          </c:cat>
          <c:val>
            <c:numRef>
              <c:f>'estatística'!$C$212:$M$212</c:f>
              <c:numCache/>
            </c:numRef>
          </c:val>
        </c:ser>
        <c:ser>
          <c:idx val="211"/>
          <c:order val="211"/>
          <c:tx>
            <c:strRef>
              <c:f>'estatística'!$B$213</c:f>
            </c:strRef>
          </c:tx>
          <c:cat>
            <c:strRef>
              <c:f>'estatística'!$C$1:$M$1</c:f>
            </c:strRef>
          </c:cat>
          <c:val>
            <c:numRef>
              <c:f>'estatística'!$C$213:$M$213</c:f>
              <c:numCache/>
            </c:numRef>
          </c:val>
        </c:ser>
        <c:ser>
          <c:idx val="212"/>
          <c:order val="212"/>
          <c:tx>
            <c:strRef>
              <c:f>'estatística'!$B$214</c:f>
            </c:strRef>
          </c:tx>
          <c:cat>
            <c:strRef>
              <c:f>'estatística'!$C$1:$M$1</c:f>
            </c:strRef>
          </c:cat>
          <c:val>
            <c:numRef>
              <c:f>'estatística'!$C$214:$M$214</c:f>
              <c:numCache/>
            </c:numRef>
          </c:val>
        </c:ser>
        <c:ser>
          <c:idx val="213"/>
          <c:order val="213"/>
          <c:tx>
            <c:strRef>
              <c:f>'estatística'!$B$215</c:f>
            </c:strRef>
          </c:tx>
          <c:cat>
            <c:strRef>
              <c:f>'estatística'!$C$1:$M$1</c:f>
            </c:strRef>
          </c:cat>
          <c:val>
            <c:numRef>
              <c:f>'estatística'!$C$215:$M$215</c:f>
              <c:numCache/>
            </c:numRef>
          </c:val>
        </c:ser>
        <c:ser>
          <c:idx val="214"/>
          <c:order val="214"/>
          <c:tx>
            <c:strRef>
              <c:f>'estatística'!$B$216</c:f>
            </c:strRef>
          </c:tx>
          <c:cat>
            <c:strRef>
              <c:f>'estatística'!$C$1:$M$1</c:f>
            </c:strRef>
          </c:cat>
          <c:val>
            <c:numRef>
              <c:f>'estatística'!$C$216:$M$216</c:f>
              <c:numCache/>
            </c:numRef>
          </c:val>
        </c:ser>
        <c:ser>
          <c:idx val="215"/>
          <c:order val="215"/>
          <c:tx>
            <c:strRef>
              <c:f>'estatística'!$B$217</c:f>
            </c:strRef>
          </c:tx>
          <c:cat>
            <c:strRef>
              <c:f>'estatística'!$C$1:$M$1</c:f>
            </c:strRef>
          </c:cat>
          <c:val>
            <c:numRef>
              <c:f>'estatística'!$C$217:$M$217</c:f>
              <c:numCache/>
            </c:numRef>
          </c:val>
        </c:ser>
        <c:ser>
          <c:idx val="216"/>
          <c:order val="216"/>
          <c:tx>
            <c:strRef>
              <c:f>'estatística'!$B$218</c:f>
            </c:strRef>
          </c:tx>
          <c:cat>
            <c:strRef>
              <c:f>'estatística'!$C$1:$M$1</c:f>
            </c:strRef>
          </c:cat>
          <c:val>
            <c:numRef>
              <c:f>'estatística'!$C$218:$M$218</c:f>
              <c:numCache/>
            </c:numRef>
          </c:val>
        </c:ser>
        <c:ser>
          <c:idx val="217"/>
          <c:order val="217"/>
          <c:tx>
            <c:strRef>
              <c:f>'estatística'!$B$219</c:f>
            </c:strRef>
          </c:tx>
          <c:cat>
            <c:strRef>
              <c:f>'estatística'!$C$1:$M$1</c:f>
            </c:strRef>
          </c:cat>
          <c:val>
            <c:numRef>
              <c:f>'estatística'!$C$219:$M$219</c:f>
              <c:numCache/>
            </c:numRef>
          </c:val>
        </c:ser>
        <c:ser>
          <c:idx val="218"/>
          <c:order val="218"/>
          <c:tx>
            <c:strRef>
              <c:f>'estatística'!$B$220</c:f>
            </c:strRef>
          </c:tx>
          <c:cat>
            <c:strRef>
              <c:f>'estatística'!$C$1:$M$1</c:f>
            </c:strRef>
          </c:cat>
          <c:val>
            <c:numRef>
              <c:f>'estatística'!$C$220:$M$220</c:f>
              <c:numCache/>
            </c:numRef>
          </c:val>
        </c:ser>
        <c:ser>
          <c:idx val="219"/>
          <c:order val="219"/>
          <c:tx>
            <c:strRef>
              <c:f>'estatística'!$B$221</c:f>
            </c:strRef>
          </c:tx>
          <c:cat>
            <c:strRef>
              <c:f>'estatística'!$C$1:$M$1</c:f>
            </c:strRef>
          </c:cat>
          <c:val>
            <c:numRef>
              <c:f>'estatística'!$C$221:$M$221</c:f>
              <c:numCache/>
            </c:numRef>
          </c:val>
        </c:ser>
        <c:ser>
          <c:idx val="220"/>
          <c:order val="220"/>
          <c:tx>
            <c:strRef>
              <c:f>'estatística'!$B$222</c:f>
            </c:strRef>
          </c:tx>
          <c:cat>
            <c:strRef>
              <c:f>'estatística'!$C$1:$M$1</c:f>
            </c:strRef>
          </c:cat>
          <c:val>
            <c:numRef>
              <c:f>'estatística'!$C$222:$M$222</c:f>
              <c:numCache/>
            </c:numRef>
          </c:val>
        </c:ser>
        <c:ser>
          <c:idx val="221"/>
          <c:order val="221"/>
          <c:tx>
            <c:strRef>
              <c:f>'estatística'!$B$223</c:f>
            </c:strRef>
          </c:tx>
          <c:cat>
            <c:strRef>
              <c:f>'estatística'!$C$1:$M$1</c:f>
            </c:strRef>
          </c:cat>
          <c:val>
            <c:numRef>
              <c:f>'estatística'!$C$223:$M$223</c:f>
              <c:numCache/>
            </c:numRef>
          </c:val>
        </c:ser>
        <c:ser>
          <c:idx val="222"/>
          <c:order val="222"/>
          <c:tx>
            <c:strRef>
              <c:f>'estatística'!$B$224</c:f>
            </c:strRef>
          </c:tx>
          <c:cat>
            <c:strRef>
              <c:f>'estatística'!$C$1:$M$1</c:f>
            </c:strRef>
          </c:cat>
          <c:val>
            <c:numRef>
              <c:f>'estatística'!$C$224:$M$224</c:f>
              <c:numCache/>
            </c:numRef>
          </c:val>
        </c:ser>
        <c:ser>
          <c:idx val="223"/>
          <c:order val="223"/>
          <c:tx>
            <c:strRef>
              <c:f>'estatística'!$B$225</c:f>
            </c:strRef>
          </c:tx>
          <c:cat>
            <c:strRef>
              <c:f>'estatística'!$C$1:$M$1</c:f>
            </c:strRef>
          </c:cat>
          <c:val>
            <c:numRef>
              <c:f>'estatística'!$C$225:$M$225</c:f>
              <c:numCache/>
            </c:numRef>
          </c:val>
        </c:ser>
        <c:ser>
          <c:idx val="224"/>
          <c:order val="224"/>
          <c:tx>
            <c:strRef>
              <c:f>'estatística'!$B$226</c:f>
            </c:strRef>
          </c:tx>
          <c:cat>
            <c:strRef>
              <c:f>'estatística'!$C$1:$M$1</c:f>
            </c:strRef>
          </c:cat>
          <c:val>
            <c:numRef>
              <c:f>'estatística'!$C$226:$M$226</c:f>
              <c:numCache/>
            </c:numRef>
          </c:val>
        </c:ser>
        <c:ser>
          <c:idx val="225"/>
          <c:order val="225"/>
          <c:tx>
            <c:strRef>
              <c:f>'estatística'!$B$227</c:f>
            </c:strRef>
          </c:tx>
          <c:cat>
            <c:strRef>
              <c:f>'estatística'!$C$1:$M$1</c:f>
            </c:strRef>
          </c:cat>
          <c:val>
            <c:numRef>
              <c:f>'estatística'!$C$227:$M$227</c:f>
              <c:numCache/>
            </c:numRef>
          </c:val>
        </c:ser>
        <c:ser>
          <c:idx val="226"/>
          <c:order val="226"/>
          <c:tx>
            <c:strRef>
              <c:f>'estatística'!$B$228</c:f>
            </c:strRef>
          </c:tx>
          <c:cat>
            <c:strRef>
              <c:f>'estatística'!$C$1:$M$1</c:f>
            </c:strRef>
          </c:cat>
          <c:val>
            <c:numRef>
              <c:f>'estatística'!$C$228:$M$228</c:f>
              <c:numCache/>
            </c:numRef>
          </c:val>
        </c:ser>
        <c:ser>
          <c:idx val="227"/>
          <c:order val="227"/>
          <c:tx>
            <c:strRef>
              <c:f>'estatística'!$B$229</c:f>
            </c:strRef>
          </c:tx>
          <c:cat>
            <c:strRef>
              <c:f>'estatística'!$C$1:$M$1</c:f>
            </c:strRef>
          </c:cat>
          <c:val>
            <c:numRef>
              <c:f>'estatística'!$C$229:$M$229</c:f>
              <c:numCache/>
            </c:numRef>
          </c:val>
        </c:ser>
        <c:ser>
          <c:idx val="228"/>
          <c:order val="228"/>
          <c:tx>
            <c:strRef>
              <c:f>'estatística'!$B$230</c:f>
            </c:strRef>
          </c:tx>
          <c:cat>
            <c:strRef>
              <c:f>'estatística'!$C$1:$M$1</c:f>
            </c:strRef>
          </c:cat>
          <c:val>
            <c:numRef>
              <c:f>'estatística'!$C$230:$M$230</c:f>
              <c:numCache/>
            </c:numRef>
          </c:val>
        </c:ser>
        <c:ser>
          <c:idx val="229"/>
          <c:order val="229"/>
          <c:tx>
            <c:strRef>
              <c:f>'estatística'!$B$231</c:f>
            </c:strRef>
          </c:tx>
          <c:cat>
            <c:strRef>
              <c:f>'estatística'!$C$1:$M$1</c:f>
            </c:strRef>
          </c:cat>
          <c:val>
            <c:numRef>
              <c:f>'estatística'!$C$231:$M$231</c:f>
              <c:numCache/>
            </c:numRef>
          </c:val>
        </c:ser>
        <c:ser>
          <c:idx val="230"/>
          <c:order val="230"/>
          <c:tx>
            <c:strRef>
              <c:f>'estatística'!$B$232</c:f>
            </c:strRef>
          </c:tx>
          <c:cat>
            <c:strRef>
              <c:f>'estatística'!$C$1:$M$1</c:f>
            </c:strRef>
          </c:cat>
          <c:val>
            <c:numRef>
              <c:f>'estatística'!$C$232:$M$232</c:f>
              <c:numCache/>
            </c:numRef>
          </c:val>
        </c:ser>
        <c:ser>
          <c:idx val="231"/>
          <c:order val="231"/>
          <c:tx>
            <c:strRef>
              <c:f>'estatística'!$B$233</c:f>
            </c:strRef>
          </c:tx>
          <c:cat>
            <c:strRef>
              <c:f>'estatística'!$C$1:$M$1</c:f>
            </c:strRef>
          </c:cat>
          <c:val>
            <c:numRef>
              <c:f>'estatística'!$C$233:$M$233</c:f>
              <c:numCache/>
            </c:numRef>
          </c:val>
        </c:ser>
        <c:ser>
          <c:idx val="232"/>
          <c:order val="232"/>
          <c:tx>
            <c:strRef>
              <c:f>'estatística'!$B$234</c:f>
            </c:strRef>
          </c:tx>
          <c:cat>
            <c:strRef>
              <c:f>'estatística'!$C$1:$M$1</c:f>
            </c:strRef>
          </c:cat>
          <c:val>
            <c:numRef>
              <c:f>'estatística'!$C$234:$M$234</c:f>
              <c:numCache/>
            </c:numRef>
          </c:val>
        </c:ser>
        <c:ser>
          <c:idx val="233"/>
          <c:order val="233"/>
          <c:tx>
            <c:strRef>
              <c:f>'estatística'!$B$235</c:f>
            </c:strRef>
          </c:tx>
          <c:cat>
            <c:strRef>
              <c:f>'estatística'!$C$1:$M$1</c:f>
            </c:strRef>
          </c:cat>
          <c:val>
            <c:numRef>
              <c:f>'estatística'!$C$235:$M$235</c:f>
              <c:numCache/>
            </c:numRef>
          </c:val>
        </c:ser>
        <c:ser>
          <c:idx val="234"/>
          <c:order val="234"/>
          <c:tx>
            <c:strRef>
              <c:f>'estatística'!$B$236</c:f>
            </c:strRef>
          </c:tx>
          <c:cat>
            <c:strRef>
              <c:f>'estatística'!$C$1:$M$1</c:f>
            </c:strRef>
          </c:cat>
          <c:val>
            <c:numRef>
              <c:f>'estatística'!$C$236:$M$236</c:f>
              <c:numCache/>
            </c:numRef>
          </c:val>
        </c:ser>
        <c:ser>
          <c:idx val="235"/>
          <c:order val="235"/>
          <c:tx>
            <c:strRef>
              <c:f>'estatística'!$B$237</c:f>
            </c:strRef>
          </c:tx>
          <c:cat>
            <c:strRef>
              <c:f>'estatística'!$C$1:$M$1</c:f>
            </c:strRef>
          </c:cat>
          <c:val>
            <c:numRef>
              <c:f>'estatística'!$C$237:$M$237</c:f>
              <c:numCache/>
            </c:numRef>
          </c:val>
        </c:ser>
        <c:ser>
          <c:idx val="236"/>
          <c:order val="236"/>
          <c:tx>
            <c:strRef>
              <c:f>'estatística'!$B$238</c:f>
            </c:strRef>
          </c:tx>
          <c:cat>
            <c:strRef>
              <c:f>'estatística'!$C$1:$M$1</c:f>
            </c:strRef>
          </c:cat>
          <c:val>
            <c:numRef>
              <c:f>'estatística'!$C$238:$M$238</c:f>
              <c:numCache/>
            </c:numRef>
          </c:val>
        </c:ser>
        <c:ser>
          <c:idx val="237"/>
          <c:order val="237"/>
          <c:tx>
            <c:strRef>
              <c:f>'estatística'!$B$239</c:f>
            </c:strRef>
          </c:tx>
          <c:cat>
            <c:strRef>
              <c:f>'estatística'!$C$1:$M$1</c:f>
            </c:strRef>
          </c:cat>
          <c:val>
            <c:numRef>
              <c:f>'estatística'!$C$239:$M$239</c:f>
              <c:numCache/>
            </c:numRef>
          </c:val>
        </c:ser>
        <c:ser>
          <c:idx val="238"/>
          <c:order val="238"/>
          <c:tx>
            <c:strRef>
              <c:f>'estatística'!$B$240</c:f>
            </c:strRef>
          </c:tx>
          <c:cat>
            <c:strRef>
              <c:f>'estatística'!$C$1:$M$1</c:f>
            </c:strRef>
          </c:cat>
          <c:val>
            <c:numRef>
              <c:f>'estatística'!$C$240:$M$240</c:f>
              <c:numCache/>
            </c:numRef>
          </c:val>
        </c:ser>
        <c:ser>
          <c:idx val="239"/>
          <c:order val="239"/>
          <c:tx>
            <c:strRef>
              <c:f>'estatística'!$B$241</c:f>
            </c:strRef>
          </c:tx>
          <c:cat>
            <c:strRef>
              <c:f>'estatística'!$C$1:$M$1</c:f>
            </c:strRef>
          </c:cat>
          <c:val>
            <c:numRef>
              <c:f>'estatística'!$C$241:$M$241</c:f>
              <c:numCache/>
            </c:numRef>
          </c:val>
        </c:ser>
        <c:ser>
          <c:idx val="240"/>
          <c:order val="240"/>
          <c:tx>
            <c:strRef>
              <c:f>'estatística'!$B$242</c:f>
            </c:strRef>
          </c:tx>
          <c:cat>
            <c:strRef>
              <c:f>'estatística'!$C$1:$M$1</c:f>
            </c:strRef>
          </c:cat>
          <c:val>
            <c:numRef>
              <c:f>'estatística'!$C$242:$M$242</c:f>
              <c:numCache/>
            </c:numRef>
          </c:val>
        </c:ser>
        <c:ser>
          <c:idx val="241"/>
          <c:order val="241"/>
          <c:tx>
            <c:strRef>
              <c:f>'estatística'!$B$243</c:f>
            </c:strRef>
          </c:tx>
          <c:cat>
            <c:strRef>
              <c:f>'estatística'!$C$1:$M$1</c:f>
            </c:strRef>
          </c:cat>
          <c:val>
            <c:numRef>
              <c:f>'estatística'!$C$243:$M$243</c:f>
              <c:numCache/>
            </c:numRef>
          </c:val>
        </c:ser>
        <c:ser>
          <c:idx val="242"/>
          <c:order val="242"/>
          <c:tx>
            <c:strRef>
              <c:f>'estatística'!$B$244</c:f>
            </c:strRef>
          </c:tx>
          <c:cat>
            <c:strRef>
              <c:f>'estatística'!$C$1:$M$1</c:f>
            </c:strRef>
          </c:cat>
          <c:val>
            <c:numRef>
              <c:f>'estatística'!$C$244:$M$244</c:f>
              <c:numCache/>
            </c:numRef>
          </c:val>
        </c:ser>
        <c:ser>
          <c:idx val="243"/>
          <c:order val="243"/>
          <c:tx>
            <c:strRef>
              <c:f>'estatística'!$B$245</c:f>
            </c:strRef>
          </c:tx>
          <c:cat>
            <c:strRef>
              <c:f>'estatística'!$C$1:$M$1</c:f>
            </c:strRef>
          </c:cat>
          <c:val>
            <c:numRef>
              <c:f>'estatística'!$C$245:$M$245</c:f>
              <c:numCache/>
            </c:numRef>
          </c:val>
        </c:ser>
        <c:ser>
          <c:idx val="244"/>
          <c:order val="244"/>
          <c:tx>
            <c:strRef>
              <c:f>'estatística'!$B$246</c:f>
            </c:strRef>
          </c:tx>
          <c:cat>
            <c:strRef>
              <c:f>'estatística'!$C$1:$M$1</c:f>
            </c:strRef>
          </c:cat>
          <c:val>
            <c:numRef>
              <c:f>'estatística'!$C$246:$M$246</c:f>
              <c:numCache/>
            </c:numRef>
          </c:val>
        </c:ser>
        <c:ser>
          <c:idx val="245"/>
          <c:order val="245"/>
          <c:tx>
            <c:strRef>
              <c:f>'estatística'!$B$247</c:f>
            </c:strRef>
          </c:tx>
          <c:cat>
            <c:strRef>
              <c:f>'estatística'!$C$1:$M$1</c:f>
            </c:strRef>
          </c:cat>
          <c:val>
            <c:numRef>
              <c:f>'estatística'!$C$247:$M$247</c:f>
              <c:numCache/>
            </c:numRef>
          </c:val>
        </c:ser>
        <c:ser>
          <c:idx val="246"/>
          <c:order val="246"/>
          <c:tx>
            <c:strRef>
              <c:f>'estatística'!$B$248</c:f>
            </c:strRef>
          </c:tx>
          <c:cat>
            <c:strRef>
              <c:f>'estatística'!$C$1:$M$1</c:f>
            </c:strRef>
          </c:cat>
          <c:val>
            <c:numRef>
              <c:f>'estatística'!$C$248:$M$248</c:f>
              <c:numCache/>
            </c:numRef>
          </c:val>
        </c:ser>
        <c:ser>
          <c:idx val="247"/>
          <c:order val="247"/>
          <c:tx>
            <c:strRef>
              <c:f>'estatística'!$B$249</c:f>
            </c:strRef>
          </c:tx>
          <c:cat>
            <c:strRef>
              <c:f>'estatística'!$C$1:$M$1</c:f>
            </c:strRef>
          </c:cat>
          <c:val>
            <c:numRef>
              <c:f>'estatística'!$C$249:$M$249</c:f>
              <c:numCache/>
            </c:numRef>
          </c:val>
        </c:ser>
        <c:ser>
          <c:idx val="248"/>
          <c:order val="248"/>
          <c:tx>
            <c:strRef>
              <c:f>'estatística'!$B$250</c:f>
            </c:strRef>
          </c:tx>
          <c:cat>
            <c:strRef>
              <c:f>'estatística'!$C$1:$M$1</c:f>
            </c:strRef>
          </c:cat>
          <c:val>
            <c:numRef>
              <c:f>'estatística'!$C$250:$M$250</c:f>
              <c:numCache/>
            </c:numRef>
          </c:val>
        </c:ser>
        <c:ser>
          <c:idx val="249"/>
          <c:order val="249"/>
          <c:tx>
            <c:strRef>
              <c:f>'estatística'!$B$251</c:f>
            </c:strRef>
          </c:tx>
          <c:cat>
            <c:strRef>
              <c:f>'estatística'!$C$1:$M$1</c:f>
            </c:strRef>
          </c:cat>
          <c:val>
            <c:numRef>
              <c:f>'estatística'!$C$251:$M$251</c:f>
              <c:numCache/>
            </c:numRef>
          </c:val>
        </c:ser>
        <c:ser>
          <c:idx val="250"/>
          <c:order val="250"/>
          <c:tx>
            <c:strRef>
              <c:f>'estatística'!$B$252</c:f>
            </c:strRef>
          </c:tx>
          <c:cat>
            <c:strRef>
              <c:f>'estatística'!$C$1:$M$1</c:f>
            </c:strRef>
          </c:cat>
          <c:val>
            <c:numRef>
              <c:f>'estatística'!$C$252:$M$252</c:f>
              <c:numCache/>
            </c:numRef>
          </c:val>
        </c:ser>
        <c:ser>
          <c:idx val="251"/>
          <c:order val="251"/>
          <c:tx>
            <c:strRef>
              <c:f>'estatística'!$B$253</c:f>
            </c:strRef>
          </c:tx>
          <c:cat>
            <c:strRef>
              <c:f>'estatística'!$C$1:$M$1</c:f>
            </c:strRef>
          </c:cat>
          <c:val>
            <c:numRef>
              <c:f>'estatística'!$C$253:$M$253</c:f>
              <c:numCache/>
            </c:numRef>
          </c:val>
        </c:ser>
        <c:ser>
          <c:idx val="252"/>
          <c:order val="252"/>
          <c:tx>
            <c:strRef>
              <c:f>'estatística'!$B$254</c:f>
            </c:strRef>
          </c:tx>
          <c:cat>
            <c:strRef>
              <c:f>'estatística'!$C$1:$M$1</c:f>
            </c:strRef>
          </c:cat>
          <c:val>
            <c:numRef>
              <c:f>'estatística'!$C$254:$M$254</c:f>
              <c:numCache/>
            </c:numRef>
          </c:val>
        </c:ser>
        <c:ser>
          <c:idx val="253"/>
          <c:order val="253"/>
          <c:tx>
            <c:strRef>
              <c:f>'estatística'!$B$255</c:f>
            </c:strRef>
          </c:tx>
          <c:cat>
            <c:strRef>
              <c:f>'estatística'!$C$1:$M$1</c:f>
            </c:strRef>
          </c:cat>
          <c:val>
            <c:numRef>
              <c:f>'estatística'!$C$255:$M$255</c:f>
              <c:numCache/>
            </c:numRef>
          </c:val>
        </c:ser>
        <c:ser>
          <c:idx val="254"/>
          <c:order val="254"/>
          <c:tx>
            <c:strRef>
              <c:f>'estatística'!$B$256</c:f>
            </c:strRef>
          </c:tx>
          <c:cat>
            <c:strRef>
              <c:f>'estatística'!$C$1:$M$1</c:f>
            </c:strRef>
          </c:cat>
          <c:val>
            <c:numRef>
              <c:f>'estatística'!$C$256:$M$256</c:f>
              <c:numCache/>
            </c:numRef>
          </c:val>
        </c:ser>
        <c:ser>
          <c:idx val="255"/>
          <c:order val="255"/>
          <c:tx>
            <c:strRef>
              <c:f>'estatística'!$B$257</c:f>
            </c:strRef>
          </c:tx>
          <c:cat>
            <c:strRef>
              <c:f>'estatística'!$C$1:$M$1</c:f>
            </c:strRef>
          </c:cat>
          <c:val>
            <c:numRef>
              <c:f>'estatística'!$C$257:$M$257</c:f>
              <c:numCache/>
            </c:numRef>
          </c:val>
        </c:ser>
        <c:ser>
          <c:idx val="256"/>
          <c:order val="256"/>
          <c:tx>
            <c:strRef>
              <c:f>'estatística'!$B$258</c:f>
            </c:strRef>
          </c:tx>
          <c:cat>
            <c:strRef>
              <c:f>'estatística'!$C$1:$M$1</c:f>
            </c:strRef>
          </c:cat>
          <c:val>
            <c:numRef>
              <c:f>'estatística'!$C$258:$M$258</c:f>
              <c:numCache/>
            </c:numRef>
          </c:val>
        </c:ser>
        <c:ser>
          <c:idx val="257"/>
          <c:order val="257"/>
          <c:tx>
            <c:strRef>
              <c:f>'estatística'!$B$259</c:f>
            </c:strRef>
          </c:tx>
          <c:cat>
            <c:strRef>
              <c:f>'estatística'!$C$1:$M$1</c:f>
            </c:strRef>
          </c:cat>
          <c:val>
            <c:numRef>
              <c:f>'estatística'!$C$259:$M$259</c:f>
              <c:numCache/>
            </c:numRef>
          </c:val>
        </c:ser>
        <c:ser>
          <c:idx val="258"/>
          <c:order val="258"/>
          <c:tx>
            <c:strRef>
              <c:f>'estatística'!$B$260</c:f>
            </c:strRef>
          </c:tx>
          <c:cat>
            <c:strRef>
              <c:f>'estatística'!$C$1:$M$1</c:f>
            </c:strRef>
          </c:cat>
          <c:val>
            <c:numRef>
              <c:f>'estatística'!$C$260:$M$260</c:f>
              <c:numCache/>
            </c:numRef>
          </c:val>
        </c:ser>
        <c:ser>
          <c:idx val="259"/>
          <c:order val="259"/>
          <c:tx>
            <c:strRef>
              <c:f>'estatística'!$B$261</c:f>
            </c:strRef>
          </c:tx>
          <c:cat>
            <c:strRef>
              <c:f>'estatística'!$C$1:$M$1</c:f>
            </c:strRef>
          </c:cat>
          <c:val>
            <c:numRef>
              <c:f>'estatística'!$C$261:$M$261</c:f>
              <c:numCache/>
            </c:numRef>
          </c:val>
        </c:ser>
        <c:ser>
          <c:idx val="260"/>
          <c:order val="260"/>
          <c:tx>
            <c:strRef>
              <c:f>'estatística'!$B$262</c:f>
            </c:strRef>
          </c:tx>
          <c:cat>
            <c:strRef>
              <c:f>'estatística'!$C$1:$M$1</c:f>
            </c:strRef>
          </c:cat>
          <c:val>
            <c:numRef>
              <c:f>'estatística'!$C$262:$M$262</c:f>
              <c:numCache/>
            </c:numRef>
          </c:val>
        </c:ser>
        <c:ser>
          <c:idx val="261"/>
          <c:order val="261"/>
          <c:tx>
            <c:strRef>
              <c:f>'estatística'!$B$263</c:f>
            </c:strRef>
          </c:tx>
          <c:cat>
            <c:strRef>
              <c:f>'estatística'!$C$1:$M$1</c:f>
            </c:strRef>
          </c:cat>
          <c:val>
            <c:numRef>
              <c:f>'estatística'!$C$263:$M$263</c:f>
              <c:numCache/>
            </c:numRef>
          </c:val>
        </c:ser>
        <c:ser>
          <c:idx val="262"/>
          <c:order val="262"/>
          <c:tx>
            <c:strRef>
              <c:f>'estatística'!$B$264</c:f>
            </c:strRef>
          </c:tx>
          <c:cat>
            <c:strRef>
              <c:f>'estatística'!$C$1:$M$1</c:f>
            </c:strRef>
          </c:cat>
          <c:val>
            <c:numRef>
              <c:f>'estatística'!$C$264:$M$264</c:f>
              <c:numCache/>
            </c:numRef>
          </c:val>
        </c:ser>
        <c:ser>
          <c:idx val="263"/>
          <c:order val="263"/>
          <c:tx>
            <c:strRef>
              <c:f>'estatística'!$B$265</c:f>
            </c:strRef>
          </c:tx>
          <c:cat>
            <c:strRef>
              <c:f>'estatística'!$C$1:$M$1</c:f>
            </c:strRef>
          </c:cat>
          <c:val>
            <c:numRef>
              <c:f>'estatística'!$C$265:$M$265</c:f>
              <c:numCache/>
            </c:numRef>
          </c:val>
        </c:ser>
        <c:ser>
          <c:idx val="264"/>
          <c:order val="264"/>
          <c:tx>
            <c:strRef>
              <c:f>'estatística'!$B$266</c:f>
            </c:strRef>
          </c:tx>
          <c:cat>
            <c:strRef>
              <c:f>'estatística'!$C$1:$M$1</c:f>
            </c:strRef>
          </c:cat>
          <c:val>
            <c:numRef>
              <c:f>'estatística'!$C$266:$M$266</c:f>
              <c:numCache/>
            </c:numRef>
          </c:val>
        </c:ser>
        <c:ser>
          <c:idx val="265"/>
          <c:order val="265"/>
          <c:tx>
            <c:strRef>
              <c:f>'estatística'!$B$267</c:f>
            </c:strRef>
          </c:tx>
          <c:cat>
            <c:strRef>
              <c:f>'estatística'!$C$1:$M$1</c:f>
            </c:strRef>
          </c:cat>
          <c:val>
            <c:numRef>
              <c:f>'estatística'!$C$267:$M$267</c:f>
              <c:numCache/>
            </c:numRef>
          </c:val>
        </c:ser>
        <c:ser>
          <c:idx val="266"/>
          <c:order val="266"/>
          <c:tx>
            <c:strRef>
              <c:f>'estatística'!$B$268</c:f>
            </c:strRef>
          </c:tx>
          <c:cat>
            <c:strRef>
              <c:f>'estatística'!$C$1:$M$1</c:f>
            </c:strRef>
          </c:cat>
          <c:val>
            <c:numRef>
              <c:f>'estatística'!$C$268:$M$268</c:f>
              <c:numCache/>
            </c:numRef>
          </c:val>
        </c:ser>
        <c:ser>
          <c:idx val="267"/>
          <c:order val="267"/>
          <c:tx>
            <c:strRef>
              <c:f>'estatística'!$B$269</c:f>
            </c:strRef>
          </c:tx>
          <c:cat>
            <c:strRef>
              <c:f>'estatística'!$C$1:$M$1</c:f>
            </c:strRef>
          </c:cat>
          <c:val>
            <c:numRef>
              <c:f>'estatística'!$C$269:$M$269</c:f>
              <c:numCache/>
            </c:numRef>
          </c:val>
        </c:ser>
        <c:ser>
          <c:idx val="268"/>
          <c:order val="268"/>
          <c:tx>
            <c:strRef>
              <c:f>'estatística'!$B$270</c:f>
            </c:strRef>
          </c:tx>
          <c:cat>
            <c:strRef>
              <c:f>'estatística'!$C$1:$M$1</c:f>
            </c:strRef>
          </c:cat>
          <c:val>
            <c:numRef>
              <c:f>'estatística'!$C$270:$M$270</c:f>
              <c:numCache/>
            </c:numRef>
          </c:val>
        </c:ser>
        <c:ser>
          <c:idx val="269"/>
          <c:order val="269"/>
          <c:tx>
            <c:strRef>
              <c:f>'estatística'!$B$271</c:f>
            </c:strRef>
          </c:tx>
          <c:cat>
            <c:strRef>
              <c:f>'estatística'!$C$1:$M$1</c:f>
            </c:strRef>
          </c:cat>
          <c:val>
            <c:numRef>
              <c:f>'estatística'!$C$271:$M$271</c:f>
              <c:numCache/>
            </c:numRef>
          </c:val>
        </c:ser>
        <c:ser>
          <c:idx val="270"/>
          <c:order val="270"/>
          <c:tx>
            <c:strRef>
              <c:f>'estatística'!$B$272</c:f>
            </c:strRef>
          </c:tx>
          <c:cat>
            <c:strRef>
              <c:f>'estatística'!$C$1:$M$1</c:f>
            </c:strRef>
          </c:cat>
          <c:val>
            <c:numRef>
              <c:f>'estatística'!$C$272:$M$272</c:f>
              <c:numCache/>
            </c:numRef>
          </c:val>
        </c:ser>
        <c:ser>
          <c:idx val="271"/>
          <c:order val="271"/>
          <c:tx>
            <c:strRef>
              <c:f>'estatística'!$B$273</c:f>
            </c:strRef>
          </c:tx>
          <c:cat>
            <c:strRef>
              <c:f>'estatística'!$C$1:$M$1</c:f>
            </c:strRef>
          </c:cat>
          <c:val>
            <c:numRef>
              <c:f>'estatística'!$C$273:$M$273</c:f>
              <c:numCache/>
            </c:numRef>
          </c:val>
        </c:ser>
        <c:ser>
          <c:idx val="272"/>
          <c:order val="272"/>
          <c:tx>
            <c:strRef>
              <c:f>'estatística'!$B$274</c:f>
            </c:strRef>
          </c:tx>
          <c:cat>
            <c:strRef>
              <c:f>'estatística'!$C$1:$M$1</c:f>
            </c:strRef>
          </c:cat>
          <c:val>
            <c:numRef>
              <c:f>'estatística'!$C$274:$M$274</c:f>
              <c:numCache/>
            </c:numRef>
          </c:val>
        </c:ser>
        <c:ser>
          <c:idx val="273"/>
          <c:order val="273"/>
          <c:tx>
            <c:strRef>
              <c:f>'estatística'!$B$275</c:f>
            </c:strRef>
          </c:tx>
          <c:cat>
            <c:strRef>
              <c:f>'estatística'!$C$1:$M$1</c:f>
            </c:strRef>
          </c:cat>
          <c:val>
            <c:numRef>
              <c:f>'estatística'!$C$275:$M$275</c:f>
              <c:numCache/>
            </c:numRef>
          </c:val>
        </c:ser>
        <c:ser>
          <c:idx val="274"/>
          <c:order val="274"/>
          <c:tx>
            <c:strRef>
              <c:f>'estatística'!$B$276</c:f>
            </c:strRef>
          </c:tx>
          <c:cat>
            <c:strRef>
              <c:f>'estatística'!$C$1:$M$1</c:f>
            </c:strRef>
          </c:cat>
          <c:val>
            <c:numRef>
              <c:f>'estatística'!$C$276:$M$276</c:f>
              <c:numCache/>
            </c:numRef>
          </c:val>
        </c:ser>
        <c:ser>
          <c:idx val="275"/>
          <c:order val="275"/>
          <c:tx>
            <c:strRef>
              <c:f>'estatística'!$B$277</c:f>
            </c:strRef>
          </c:tx>
          <c:cat>
            <c:strRef>
              <c:f>'estatística'!$C$1:$M$1</c:f>
            </c:strRef>
          </c:cat>
          <c:val>
            <c:numRef>
              <c:f>'estatística'!$C$277:$M$277</c:f>
              <c:numCache/>
            </c:numRef>
          </c:val>
        </c:ser>
        <c:ser>
          <c:idx val="276"/>
          <c:order val="276"/>
          <c:tx>
            <c:strRef>
              <c:f>'estatística'!$B$278</c:f>
            </c:strRef>
          </c:tx>
          <c:cat>
            <c:strRef>
              <c:f>'estatística'!$C$1:$M$1</c:f>
            </c:strRef>
          </c:cat>
          <c:val>
            <c:numRef>
              <c:f>'estatística'!$C$278:$M$278</c:f>
              <c:numCache/>
            </c:numRef>
          </c:val>
        </c:ser>
        <c:ser>
          <c:idx val="277"/>
          <c:order val="277"/>
          <c:tx>
            <c:strRef>
              <c:f>'estatística'!$B$279</c:f>
            </c:strRef>
          </c:tx>
          <c:cat>
            <c:strRef>
              <c:f>'estatística'!$C$1:$M$1</c:f>
            </c:strRef>
          </c:cat>
          <c:val>
            <c:numRef>
              <c:f>'estatística'!$C$279:$M$279</c:f>
              <c:numCache/>
            </c:numRef>
          </c:val>
        </c:ser>
        <c:ser>
          <c:idx val="278"/>
          <c:order val="278"/>
          <c:tx>
            <c:strRef>
              <c:f>'estatística'!$B$280</c:f>
            </c:strRef>
          </c:tx>
          <c:cat>
            <c:strRef>
              <c:f>'estatística'!$C$1:$M$1</c:f>
            </c:strRef>
          </c:cat>
          <c:val>
            <c:numRef>
              <c:f>'estatística'!$C$280:$M$280</c:f>
              <c:numCache/>
            </c:numRef>
          </c:val>
        </c:ser>
        <c:ser>
          <c:idx val="279"/>
          <c:order val="279"/>
          <c:tx>
            <c:strRef>
              <c:f>'estatística'!$B$281</c:f>
            </c:strRef>
          </c:tx>
          <c:cat>
            <c:strRef>
              <c:f>'estatística'!$C$1:$M$1</c:f>
            </c:strRef>
          </c:cat>
          <c:val>
            <c:numRef>
              <c:f>'estatística'!$C$281:$M$281</c:f>
              <c:numCache/>
            </c:numRef>
          </c:val>
        </c:ser>
        <c:ser>
          <c:idx val="280"/>
          <c:order val="280"/>
          <c:tx>
            <c:strRef>
              <c:f>'estatística'!$B$282</c:f>
            </c:strRef>
          </c:tx>
          <c:cat>
            <c:strRef>
              <c:f>'estatística'!$C$1:$M$1</c:f>
            </c:strRef>
          </c:cat>
          <c:val>
            <c:numRef>
              <c:f>'estatística'!$C$282:$M$282</c:f>
              <c:numCache/>
            </c:numRef>
          </c:val>
        </c:ser>
        <c:ser>
          <c:idx val="281"/>
          <c:order val="281"/>
          <c:tx>
            <c:strRef>
              <c:f>'estatística'!$B$283</c:f>
            </c:strRef>
          </c:tx>
          <c:cat>
            <c:strRef>
              <c:f>'estatística'!$C$1:$M$1</c:f>
            </c:strRef>
          </c:cat>
          <c:val>
            <c:numRef>
              <c:f>'estatística'!$C$283:$M$283</c:f>
              <c:numCache/>
            </c:numRef>
          </c:val>
        </c:ser>
        <c:ser>
          <c:idx val="282"/>
          <c:order val="282"/>
          <c:tx>
            <c:strRef>
              <c:f>'estatística'!$B$284</c:f>
            </c:strRef>
          </c:tx>
          <c:cat>
            <c:strRef>
              <c:f>'estatística'!$C$1:$M$1</c:f>
            </c:strRef>
          </c:cat>
          <c:val>
            <c:numRef>
              <c:f>'estatística'!$C$284:$M$284</c:f>
              <c:numCache/>
            </c:numRef>
          </c:val>
        </c:ser>
        <c:ser>
          <c:idx val="283"/>
          <c:order val="283"/>
          <c:tx>
            <c:strRef>
              <c:f>'estatística'!$B$285</c:f>
            </c:strRef>
          </c:tx>
          <c:cat>
            <c:strRef>
              <c:f>'estatística'!$C$1:$M$1</c:f>
            </c:strRef>
          </c:cat>
          <c:val>
            <c:numRef>
              <c:f>'estatística'!$C$285:$M$285</c:f>
              <c:numCache/>
            </c:numRef>
          </c:val>
        </c:ser>
        <c:ser>
          <c:idx val="284"/>
          <c:order val="284"/>
          <c:tx>
            <c:strRef>
              <c:f>'estatística'!$B$286</c:f>
            </c:strRef>
          </c:tx>
          <c:cat>
            <c:strRef>
              <c:f>'estatística'!$C$1:$M$1</c:f>
            </c:strRef>
          </c:cat>
          <c:val>
            <c:numRef>
              <c:f>'estatística'!$C$286:$M$286</c:f>
              <c:numCache/>
            </c:numRef>
          </c:val>
        </c:ser>
        <c:ser>
          <c:idx val="285"/>
          <c:order val="285"/>
          <c:tx>
            <c:strRef>
              <c:f>'estatística'!$B$287</c:f>
            </c:strRef>
          </c:tx>
          <c:cat>
            <c:strRef>
              <c:f>'estatística'!$C$1:$M$1</c:f>
            </c:strRef>
          </c:cat>
          <c:val>
            <c:numRef>
              <c:f>'estatística'!$C$287:$M$287</c:f>
              <c:numCache/>
            </c:numRef>
          </c:val>
        </c:ser>
        <c:ser>
          <c:idx val="286"/>
          <c:order val="286"/>
          <c:tx>
            <c:strRef>
              <c:f>'estatística'!$B$288</c:f>
            </c:strRef>
          </c:tx>
          <c:cat>
            <c:strRef>
              <c:f>'estatística'!$C$1:$M$1</c:f>
            </c:strRef>
          </c:cat>
          <c:val>
            <c:numRef>
              <c:f>'estatística'!$C$288:$M$288</c:f>
              <c:numCache/>
            </c:numRef>
          </c:val>
        </c:ser>
        <c:ser>
          <c:idx val="287"/>
          <c:order val="287"/>
          <c:tx>
            <c:strRef>
              <c:f>'estatística'!$B$289</c:f>
            </c:strRef>
          </c:tx>
          <c:cat>
            <c:strRef>
              <c:f>'estatística'!$C$1:$M$1</c:f>
            </c:strRef>
          </c:cat>
          <c:val>
            <c:numRef>
              <c:f>'estatística'!$C$289:$M$289</c:f>
              <c:numCache/>
            </c:numRef>
          </c:val>
        </c:ser>
        <c:ser>
          <c:idx val="288"/>
          <c:order val="288"/>
          <c:tx>
            <c:strRef>
              <c:f>'estatística'!$B$290</c:f>
            </c:strRef>
          </c:tx>
          <c:cat>
            <c:strRef>
              <c:f>'estatística'!$C$1:$M$1</c:f>
            </c:strRef>
          </c:cat>
          <c:val>
            <c:numRef>
              <c:f>'estatística'!$C$290:$M$290</c:f>
              <c:numCache/>
            </c:numRef>
          </c:val>
        </c:ser>
        <c:ser>
          <c:idx val="289"/>
          <c:order val="289"/>
          <c:tx>
            <c:strRef>
              <c:f>'estatística'!$B$291</c:f>
            </c:strRef>
          </c:tx>
          <c:cat>
            <c:strRef>
              <c:f>'estatística'!$C$1:$M$1</c:f>
            </c:strRef>
          </c:cat>
          <c:val>
            <c:numRef>
              <c:f>'estatística'!$C$291:$M$291</c:f>
              <c:numCache/>
            </c:numRef>
          </c:val>
        </c:ser>
        <c:ser>
          <c:idx val="290"/>
          <c:order val="290"/>
          <c:tx>
            <c:strRef>
              <c:f>'estatística'!$B$292</c:f>
            </c:strRef>
          </c:tx>
          <c:cat>
            <c:strRef>
              <c:f>'estatística'!$C$1:$M$1</c:f>
            </c:strRef>
          </c:cat>
          <c:val>
            <c:numRef>
              <c:f>'estatística'!$C$292:$M$292</c:f>
              <c:numCache/>
            </c:numRef>
          </c:val>
        </c:ser>
        <c:ser>
          <c:idx val="291"/>
          <c:order val="291"/>
          <c:tx>
            <c:strRef>
              <c:f>'estatística'!$B$293</c:f>
            </c:strRef>
          </c:tx>
          <c:cat>
            <c:strRef>
              <c:f>'estatística'!$C$1:$M$1</c:f>
            </c:strRef>
          </c:cat>
          <c:val>
            <c:numRef>
              <c:f>'estatística'!$C$293:$M$293</c:f>
              <c:numCache/>
            </c:numRef>
          </c:val>
        </c:ser>
        <c:ser>
          <c:idx val="292"/>
          <c:order val="292"/>
          <c:tx>
            <c:strRef>
              <c:f>'estatística'!$B$294</c:f>
            </c:strRef>
          </c:tx>
          <c:cat>
            <c:strRef>
              <c:f>'estatística'!$C$1:$M$1</c:f>
            </c:strRef>
          </c:cat>
          <c:val>
            <c:numRef>
              <c:f>'estatística'!$C$294:$M$294</c:f>
              <c:numCache/>
            </c:numRef>
          </c:val>
        </c:ser>
        <c:ser>
          <c:idx val="293"/>
          <c:order val="293"/>
          <c:tx>
            <c:strRef>
              <c:f>'estatística'!$B$295</c:f>
            </c:strRef>
          </c:tx>
          <c:cat>
            <c:strRef>
              <c:f>'estatística'!$C$1:$M$1</c:f>
            </c:strRef>
          </c:cat>
          <c:val>
            <c:numRef>
              <c:f>'estatística'!$C$295:$M$295</c:f>
              <c:numCache/>
            </c:numRef>
          </c:val>
        </c:ser>
        <c:ser>
          <c:idx val="294"/>
          <c:order val="294"/>
          <c:tx>
            <c:strRef>
              <c:f>'estatística'!$B$296</c:f>
            </c:strRef>
          </c:tx>
          <c:cat>
            <c:strRef>
              <c:f>'estatística'!$C$1:$M$1</c:f>
            </c:strRef>
          </c:cat>
          <c:val>
            <c:numRef>
              <c:f>'estatística'!$C$296:$M$296</c:f>
              <c:numCache/>
            </c:numRef>
          </c:val>
        </c:ser>
        <c:ser>
          <c:idx val="295"/>
          <c:order val="295"/>
          <c:tx>
            <c:strRef>
              <c:f>'estatística'!$B$297</c:f>
            </c:strRef>
          </c:tx>
          <c:cat>
            <c:strRef>
              <c:f>'estatística'!$C$1:$M$1</c:f>
            </c:strRef>
          </c:cat>
          <c:val>
            <c:numRef>
              <c:f>'estatística'!$C$297:$M$297</c:f>
              <c:numCache/>
            </c:numRef>
          </c:val>
        </c:ser>
        <c:ser>
          <c:idx val="296"/>
          <c:order val="296"/>
          <c:tx>
            <c:strRef>
              <c:f>'estatística'!$B$298</c:f>
            </c:strRef>
          </c:tx>
          <c:cat>
            <c:strRef>
              <c:f>'estatística'!$C$1:$M$1</c:f>
            </c:strRef>
          </c:cat>
          <c:val>
            <c:numRef>
              <c:f>'estatística'!$C$298:$M$298</c:f>
              <c:numCache/>
            </c:numRef>
          </c:val>
        </c:ser>
        <c:ser>
          <c:idx val="297"/>
          <c:order val="297"/>
          <c:tx>
            <c:strRef>
              <c:f>'estatística'!$B$299</c:f>
            </c:strRef>
          </c:tx>
          <c:cat>
            <c:strRef>
              <c:f>'estatística'!$C$1:$M$1</c:f>
            </c:strRef>
          </c:cat>
          <c:val>
            <c:numRef>
              <c:f>'estatística'!$C$299:$M$299</c:f>
              <c:numCache/>
            </c:numRef>
          </c:val>
        </c:ser>
        <c:ser>
          <c:idx val="298"/>
          <c:order val="298"/>
          <c:tx>
            <c:strRef>
              <c:f>'estatística'!$B$300</c:f>
            </c:strRef>
          </c:tx>
          <c:cat>
            <c:strRef>
              <c:f>'estatística'!$C$1:$M$1</c:f>
            </c:strRef>
          </c:cat>
          <c:val>
            <c:numRef>
              <c:f>'estatística'!$C$300:$M$300</c:f>
              <c:numCache/>
            </c:numRef>
          </c:val>
        </c:ser>
        <c:ser>
          <c:idx val="299"/>
          <c:order val="299"/>
          <c:tx>
            <c:strRef>
              <c:f>'estatística'!$B$301</c:f>
            </c:strRef>
          </c:tx>
          <c:cat>
            <c:strRef>
              <c:f>'estatística'!$C$1:$M$1</c:f>
            </c:strRef>
          </c:cat>
          <c:val>
            <c:numRef>
              <c:f>'estatística'!$C$301:$M$301</c:f>
              <c:numCache/>
            </c:numRef>
          </c:val>
        </c:ser>
        <c:ser>
          <c:idx val="300"/>
          <c:order val="300"/>
          <c:tx>
            <c:strRef>
              <c:f>'estatística'!$B$302</c:f>
            </c:strRef>
          </c:tx>
          <c:cat>
            <c:strRef>
              <c:f>'estatística'!$C$1:$M$1</c:f>
            </c:strRef>
          </c:cat>
          <c:val>
            <c:numRef>
              <c:f>'estatística'!$C$302:$M$302</c:f>
              <c:numCache/>
            </c:numRef>
          </c:val>
        </c:ser>
        <c:ser>
          <c:idx val="301"/>
          <c:order val="301"/>
          <c:tx>
            <c:strRef>
              <c:f>'estatística'!$B$303</c:f>
            </c:strRef>
          </c:tx>
          <c:cat>
            <c:strRef>
              <c:f>'estatística'!$C$1:$M$1</c:f>
            </c:strRef>
          </c:cat>
          <c:val>
            <c:numRef>
              <c:f>'estatística'!$C$303:$M$303</c:f>
              <c:numCache/>
            </c:numRef>
          </c:val>
        </c:ser>
        <c:ser>
          <c:idx val="302"/>
          <c:order val="302"/>
          <c:tx>
            <c:strRef>
              <c:f>'estatística'!$B$304</c:f>
            </c:strRef>
          </c:tx>
          <c:cat>
            <c:strRef>
              <c:f>'estatística'!$C$1:$M$1</c:f>
            </c:strRef>
          </c:cat>
          <c:val>
            <c:numRef>
              <c:f>'estatística'!$C$304:$M$304</c:f>
              <c:numCache/>
            </c:numRef>
          </c:val>
        </c:ser>
        <c:ser>
          <c:idx val="303"/>
          <c:order val="303"/>
          <c:tx>
            <c:strRef>
              <c:f>'estatística'!$B$305</c:f>
            </c:strRef>
          </c:tx>
          <c:cat>
            <c:strRef>
              <c:f>'estatística'!$C$1:$M$1</c:f>
            </c:strRef>
          </c:cat>
          <c:val>
            <c:numRef>
              <c:f>'estatística'!$C$305:$M$305</c:f>
              <c:numCache/>
            </c:numRef>
          </c:val>
        </c:ser>
        <c:ser>
          <c:idx val="304"/>
          <c:order val="304"/>
          <c:tx>
            <c:strRef>
              <c:f>'estatística'!$B$306</c:f>
            </c:strRef>
          </c:tx>
          <c:cat>
            <c:strRef>
              <c:f>'estatística'!$C$1:$M$1</c:f>
            </c:strRef>
          </c:cat>
          <c:val>
            <c:numRef>
              <c:f>'estatística'!$C$306:$M$306</c:f>
              <c:numCache/>
            </c:numRef>
          </c:val>
        </c:ser>
        <c:ser>
          <c:idx val="305"/>
          <c:order val="305"/>
          <c:tx>
            <c:strRef>
              <c:f>'estatística'!$B$307</c:f>
            </c:strRef>
          </c:tx>
          <c:cat>
            <c:strRef>
              <c:f>'estatística'!$C$1:$M$1</c:f>
            </c:strRef>
          </c:cat>
          <c:val>
            <c:numRef>
              <c:f>'estatística'!$C$307:$M$307</c:f>
              <c:numCache/>
            </c:numRef>
          </c:val>
        </c:ser>
        <c:ser>
          <c:idx val="306"/>
          <c:order val="306"/>
          <c:tx>
            <c:strRef>
              <c:f>'estatística'!$B$308</c:f>
            </c:strRef>
          </c:tx>
          <c:cat>
            <c:strRef>
              <c:f>'estatística'!$C$1:$M$1</c:f>
            </c:strRef>
          </c:cat>
          <c:val>
            <c:numRef>
              <c:f>'estatística'!$C$308:$M$308</c:f>
              <c:numCache/>
            </c:numRef>
          </c:val>
        </c:ser>
        <c:ser>
          <c:idx val="307"/>
          <c:order val="307"/>
          <c:tx>
            <c:strRef>
              <c:f>'estatística'!$B$309</c:f>
            </c:strRef>
          </c:tx>
          <c:cat>
            <c:strRef>
              <c:f>'estatística'!$C$1:$M$1</c:f>
            </c:strRef>
          </c:cat>
          <c:val>
            <c:numRef>
              <c:f>'estatística'!$C$309:$M$309</c:f>
              <c:numCache/>
            </c:numRef>
          </c:val>
        </c:ser>
        <c:ser>
          <c:idx val="308"/>
          <c:order val="308"/>
          <c:tx>
            <c:strRef>
              <c:f>'estatística'!$B$310</c:f>
            </c:strRef>
          </c:tx>
          <c:cat>
            <c:strRef>
              <c:f>'estatística'!$C$1:$M$1</c:f>
            </c:strRef>
          </c:cat>
          <c:val>
            <c:numRef>
              <c:f>'estatística'!$C$310:$M$310</c:f>
              <c:numCache/>
            </c:numRef>
          </c:val>
        </c:ser>
        <c:ser>
          <c:idx val="309"/>
          <c:order val="309"/>
          <c:tx>
            <c:strRef>
              <c:f>'estatística'!$B$311</c:f>
            </c:strRef>
          </c:tx>
          <c:cat>
            <c:strRef>
              <c:f>'estatística'!$C$1:$M$1</c:f>
            </c:strRef>
          </c:cat>
          <c:val>
            <c:numRef>
              <c:f>'estatística'!$C$311:$M$311</c:f>
              <c:numCache/>
            </c:numRef>
          </c:val>
        </c:ser>
        <c:ser>
          <c:idx val="310"/>
          <c:order val="310"/>
          <c:tx>
            <c:strRef>
              <c:f>'estatística'!$B$312</c:f>
            </c:strRef>
          </c:tx>
          <c:cat>
            <c:strRef>
              <c:f>'estatística'!$C$1:$M$1</c:f>
            </c:strRef>
          </c:cat>
          <c:val>
            <c:numRef>
              <c:f>'estatística'!$C$312:$M$312</c:f>
              <c:numCache/>
            </c:numRef>
          </c:val>
        </c:ser>
        <c:ser>
          <c:idx val="311"/>
          <c:order val="311"/>
          <c:tx>
            <c:strRef>
              <c:f>'estatística'!$B$313</c:f>
            </c:strRef>
          </c:tx>
          <c:cat>
            <c:strRef>
              <c:f>'estatística'!$C$1:$M$1</c:f>
            </c:strRef>
          </c:cat>
          <c:val>
            <c:numRef>
              <c:f>'estatística'!$C$313:$M$313</c:f>
              <c:numCache/>
            </c:numRef>
          </c:val>
        </c:ser>
        <c:ser>
          <c:idx val="312"/>
          <c:order val="312"/>
          <c:tx>
            <c:strRef>
              <c:f>'estatística'!$B$314</c:f>
            </c:strRef>
          </c:tx>
          <c:cat>
            <c:strRef>
              <c:f>'estatística'!$C$1:$M$1</c:f>
            </c:strRef>
          </c:cat>
          <c:val>
            <c:numRef>
              <c:f>'estatística'!$C$314:$M$314</c:f>
              <c:numCache/>
            </c:numRef>
          </c:val>
        </c:ser>
        <c:ser>
          <c:idx val="313"/>
          <c:order val="313"/>
          <c:tx>
            <c:strRef>
              <c:f>'estatística'!$B$315</c:f>
            </c:strRef>
          </c:tx>
          <c:cat>
            <c:strRef>
              <c:f>'estatística'!$C$1:$M$1</c:f>
            </c:strRef>
          </c:cat>
          <c:val>
            <c:numRef>
              <c:f>'estatística'!$C$315:$M$315</c:f>
              <c:numCache/>
            </c:numRef>
          </c:val>
        </c:ser>
        <c:ser>
          <c:idx val="314"/>
          <c:order val="314"/>
          <c:tx>
            <c:strRef>
              <c:f>'estatística'!$B$316</c:f>
            </c:strRef>
          </c:tx>
          <c:cat>
            <c:strRef>
              <c:f>'estatística'!$C$1:$M$1</c:f>
            </c:strRef>
          </c:cat>
          <c:val>
            <c:numRef>
              <c:f>'estatística'!$C$316:$M$316</c:f>
              <c:numCache/>
            </c:numRef>
          </c:val>
        </c:ser>
        <c:ser>
          <c:idx val="315"/>
          <c:order val="315"/>
          <c:tx>
            <c:strRef>
              <c:f>'estatística'!$B$317</c:f>
            </c:strRef>
          </c:tx>
          <c:cat>
            <c:strRef>
              <c:f>'estatística'!$C$1:$M$1</c:f>
            </c:strRef>
          </c:cat>
          <c:val>
            <c:numRef>
              <c:f>'estatística'!$C$317:$M$317</c:f>
              <c:numCache/>
            </c:numRef>
          </c:val>
        </c:ser>
        <c:ser>
          <c:idx val="316"/>
          <c:order val="316"/>
          <c:tx>
            <c:strRef>
              <c:f>'estatística'!$B$318</c:f>
            </c:strRef>
          </c:tx>
          <c:cat>
            <c:strRef>
              <c:f>'estatística'!$C$1:$M$1</c:f>
            </c:strRef>
          </c:cat>
          <c:val>
            <c:numRef>
              <c:f>'estatística'!$C$318:$M$318</c:f>
              <c:numCache/>
            </c:numRef>
          </c:val>
        </c:ser>
        <c:ser>
          <c:idx val="317"/>
          <c:order val="317"/>
          <c:tx>
            <c:strRef>
              <c:f>'estatística'!$B$319</c:f>
            </c:strRef>
          </c:tx>
          <c:cat>
            <c:strRef>
              <c:f>'estatística'!$C$1:$M$1</c:f>
            </c:strRef>
          </c:cat>
          <c:val>
            <c:numRef>
              <c:f>'estatística'!$C$319:$M$319</c:f>
              <c:numCache/>
            </c:numRef>
          </c:val>
        </c:ser>
        <c:ser>
          <c:idx val="318"/>
          <c:order val="318"/>
          <c:tx>
            <c:strRef>
              <c:f>'estatística'!$B$320</c:f>
            </c:strRef>
          </c:tx>
          <c:cat>
            <c:strRef>
              <c:f>'estatística'!$C$1:$M$1</c:f>
            </c:strRef>
          </c:cat>
          <c:val>
            <c:numRef>
              <c:f>'estatística'!$C$320:$M$320</c:f>
              <c:numCache/>
            </c:numRef>
          </c:val>
        </c:ser>
        <c:ser>
          <c:idx val="319"/>
          <c:order val="319"/>
          <c:tx>
            <c:strRef>
              <c:f>'estatística'!$B$321</c:f>
            </c:strRef>
          </c:tx>
          <c:cat>
            <c:strRef>
              <c:f>'estatística'!$C$1:$M$1</c:f>
            </c:strRef>
          </c:cat>
          <c:val>
            <c:numRef>
              <c:f>'estatística'!$C$321:$M$321</c:f>
              <c:numCache/>
            </c:numRef>
          </c:val>
        </c:ser>
        <c:ser>
          <c:idx val="320"/>
          <c:order val="320"/>
          <c:tx>
            <c:strRef>
              <c:f>'estatística'!$B$322</c:f>
            </c:strRef>
          </c:tx>
          <c:cat>
            <c:strRef>
              <c:f>'estatística'!$C$1:$M$1</c:f>
            </c:strRef>
          </c:cat>
          <c:val>
            <c:numRef>
              <c:f>'estatística'!$C$322:$M$322</c:f>
              <c:numCache/>
            </c:numRef>
          </c:val>
        </c:ser>
        <c:ser>
          <c:idx val="321"/>
          <c:order val="321"/>
          <c:tx>
            <c:strRef>
              <c:f>'estatística'!$B$323</c:f>
            </c:strRef>
          </c:tx>
          <c:cat>
            <c:strRef>
              <c:f>'estatística'!$C$1:$M$1</c:f>
            </c:strRef>
          </c:cat>
          <c:val>
            <c:numRef>
              <c:f>'estatística'!$C$323:$M$323</c:f>
              <c:numCache/>
            </c:numRef>
          </c:val>
        </c:ser>
        <c:ser>
          <c:idx val="322"/>
          <c:order val="322"/>
          <c:tx>
            <c:strRef>
              <c:f>'estatística'!$B$324</c:f>
            </c:strRef>
          </c:tx>
          <c:cat>
            <c:strRef>
              <c:f>'estatística'!$C$1:$M$1</c:f>
            </c:strRef>
          </c:cat>
          <c:val>
            <c:numRef>
              <c:f>'estatística'!$C$324:$M$324</c:f>
              <c:numCache/>
            </c:numRef>
          </c:val>
        </c:ser>
        <c:ser>
          <c:idx val="323"/>
          <c:order val="323"/>
          <c:tx>
            <c:strRef>
              <c:f>'estatística'!$B$325</c:f>
            </c:strRef>
          </c:tx>
          <c:cat>
            <c:strRef>
              <c:f>'estatística'!$C$1:$M$1</c:f>
            </c:strRef>
          </c:cat>
          <c:val>
            <c:numRef>
              <c:f>'estatística'!$C$325:$M$325</c:f>
              <c:numCache/>
            </c:numRef>
          </c:val>
        </c:ser>
        <c:ser>
          <c:idx val="324"/>
          <c:order val="324"/>
          <c:tx>
            <c:strRef>
              <c:f>'estatística'!$B$326</c:f>
            </c:strRef>
          </c:tx>
          <c:cat>
            <c:strRef>
              <c:f>'estatística'!$C$1:$M$1</c:f>
            </c:strRef>
          </c:cat>
          <c:val>
            <c:numRef>
              <c:f>'estatística'!$C$326:$M$326</c:f>
              <c:numCache/>
            </c:numRef>
          </c:val>
        </c:ser>
        <c:ser>
          <c:idx val="325"/>
          <c:order val="325"/>
          <c:tx>
            <c:strRef>
              <c:f>'estatística'!$B$327</c:f>
            </c:strRef>
          </c:tx>
          <c:cat>
            <c:strRef>
              <c:f>'estatística'!$C$1:$M$1</c:f>
            </c:strRef>
          </c:cat>
          <c:val>
            <c:numRef>
              <c:f>'estatística'!$C$327:$M$327</c:f>
              <c:numCache/>
            </c:numRef>
          </c:val>
        </c:ser>
        <c:ser>
          <c:idx val="326"/>
          <c:order val="326"/>
          <c:tx>
            <c:strRef>
              <c:f>'estatística'!$B$328</c:f>
            </c:strRef>
          </c:tx>
          <c:cat>
            <c:strRef>
              <c:f>'estatística'!$C$1:$M$1</c:f>
            </c:strRef>
          </c:cat>
          <c:val>
            <c:numRef>
              <c:f>'estatística'!$C$328:$M$328</c:f>
              <c:numCache/>
            </c:numRef>
          </c:val>
        </c:ser>
        <c:ser>
          <c:idx val="327"/>
          <c:order val="327"/>
          <c:tx>
            <c:strRef>
              <c:f>'estatística'!$B$329</c:f>
            </c:strRef>
          </c:tx>
          <c:cat>
            <c:strRef>
              <c:f>'estatística'!$C$1:$M$1</c:f>
            </c:strRef>
          </c:cat>
          <c:val>
            <c:numRef>
              <c:f>'estatística'!$C$329:$M$329</c:f>
              <c:numCache/>
            </c:numRef>
          </c:val>
        </c:ser>
        <c:ser>
          <c:idx val="328"/>
          <c:order val="328"/>
          <c:tx>
            <c:strRef>
              <c:f>'estatística'!$B$330</c:f>
            </c:strRef>
          </c:tx>
          <c:cat>
            <c:strRef>
              <c:f>'estatística'!$C$1:$M$1</c:f>
            </c:strRef>
          </c:cat>
          <c:val>
            <c:numRef>
              <c:f>'estatística'!$C$330:$M$330</c:f>
              <c:numCache/>
            </c:numRef>
          </c:val>
        </c:ser>
        <c:ser>
          <c:idx val="329"/>
          <c:order val="329"/>
          <c:tx>
            <c:strRef>
              <c:f>'estatística'!$B$331</c:f>
            </c:strRef>
          </c:tx>
          <c:cat>
            <c:strRef>
              <c:f>'estatística'!$C$1:$M$1</c:f>
            </c:strRef>
          </c:cat>
          <c:val>
            <c:numRef>
              <c:f>'estatística'!$C$331:$M$331</c:f>
              <c:numCache/>
            </c:numRef>
          </c:val>
        </c:ser>
        <c:ser>
          <c:idx val="330"/>
          <c:order val="330"/>
          <c:tx>
            <c:strRef>
              <c:f>'estatística'!$B$332</c:f>
            </c:strRef>
          </c:tx>
          <c:cat>
            <c:strRef>
              <c:f>'estatística'!$C$1:$M$1</c:f>
            </c:strRef>
          </c:cat>
          <c:val>
            <c:numRef>
              <c:f>'estatística'!$C$332:$M$332</c:f>
              <c:numCache/>
            </c:numRef>
          </c:val>
        </c:ser>
        <c:ser>
          <c:idx val="331"/>
          <c:order val="331"/>
          <c:tx>
            <c:strRef>
              <c:f>'estatística'!$B$333</c:f>
            </c:strRef>
          </c:tx>
          <c:cat>
            <c:strRef>
              <c:f>'estatística'!$C$1:$M$1</c:f>
            </c:strRef>
          </c:cat>
          <c:val>
            <c:numRef>
              <c:f>'estatística'!$C$333:$M$333</c:f>
              <c:numCache/>
            </c:numRef>
          </c:val>
        </c:ser>
        <c:ser>
          <c:idx val="332"/>
          <c:order val="332"/>
          <c:tx>
            <c:strRef>
              <c:f>'estatística'!$B$334</c:f>
            </c:strRef>
          </c:tx>
          <c:cat>
            <c:strRef>
              <c:f>'estatística'!$C$1:$M$1</c:f>
            </c:strRef>
          </c:cat>
          <c:val>
            <c:numRef>
              <c:f>'estatística'!$C$334:$M$334</c:f>
              <c:numCache/>
            </c:numRef>
          </c:val>
        </c:ser>
        <c:ser>
          <c:idx val="333"/>
          <c:order val="333"/>
          <c:tx>
            <c:strRef>
              <c:f>'estatística'!$B$335</c:f>
            </c:strRef>
          </c:tx>
          <c:cat>
            <c:strRef>
              <c:f>'estatística'!$C$1:$M$1</c:f>
            </c:strRef>
          </c:cat>
          <c:val>
            <c:numRef>
              <c:f>'estatística'!$C$335:$M$335</c:f>
              <c:numCache/>
            </c:numRef>
          </c:val>
        </c:ser>
        <c:ser>
          <c:idx val="334"/>
          <c:order val="334"/>
          <c:tx>
            <c:strRef>
              <c:f>'estatística'!$B$336</c:f>
            </c:strRef>
          </c:tx>
          <c:cat>
            <c:strRef>
              <c:f>'estatística'!$C$1:$M$1</c:f>
            </c:strRef>
          </c:cat>
          <c:val>
            <c:numRef>
              <c:f>'estatística'!$C$336:$M$336</c:f>
              <c:numCache/>
            </c:numRef>
          </c:val>
        </c:ser>
        <c:ser>
          <c:idx val="335"/>
          <c:order val="335"/>
          <c:tx>
            <c:strRef>
              <c:f>'estatística'!$B$337</c:f>
            </c:strRef>
          </c:tx>
          <c:cat>
            <c:strRef>
              <c:f>'estatística'!$C$1:$M$1</c:f>
            </c:strRef>
          </c:cat>
          <c:val>
            <c:numRef>
              <c:f>'estatística'!$C$337:$M$337</c:f>
              <c:numCache/>
            </c:numRef>
          </c:val>
        </c:ser>
        <c:ser>
          <c:idx val="336"/>
          <c:order val="336"/>
          <c:tx>
            <c:strRef>
              <c:f>'estatística'!$B$338</c:f>
            </c:strRef>
          </c:tx>
          <c:cat>
            <c:strRef>
              <c:f>'estatística'!$C$1:$M$1</c:f>
            </c:strRef>
          </c:cat>
          <c:val>
            <c:numRef>
              <c:f>'estatística'!$C$338:$M$338</c:f>
              <c:numCache/>
            </c:numRef>
          </c:val>
        </c:ser>
        <c:ser>
          <c:idx val="337"/>
          <c:order val="337"/>
          <c:tx>
            <c:strRef>
              <c:f>'estatística'!$B$339</c:f>
            </c:strRef>
          </c:tx>
          <c:cat>
            <c:strRef>
              <c:f>'estatística'!$C$1:$M$1</c:f>
            </c:strRef>
          </c:cat>
          <c:val>
            <c:numRef>
              <c:f>'estatística'!$C$339:$M$339</c:f>
              <c:numCache/>
            </c:numRef>
          </c:val>
        </c:ser>
        <c:ser>
          <c:idx val="338"/>
          <c:order val="338"/>
          <c:tx>
            <c:strRef>
              <c:f>'estatística'!$B$340</c:f>
            </c:strRef>
          </c:tx>
          <c:cat>
            <c:strRef>
              <c:f>'estatística'!$C$1:$M$1</c:f>
            </c:strRef>
          </c:cat>
          <c:val>
            <c:numRef>
              <c:f>'estatística'!$C$340:$M$340</c:f>
              <c:numCache/>
            </c:numRef>
          </c:val>
        </c:ser>
        <c:ser>
          <c:idx val="339"/>
          <c:order val="339"/>
          <c:tx>
            <c:strRef>
              <c:f>'estatística'!$B$341</c:f>
            </c:strRef>
          </c:tx>
          <c:cat>
            <c:strRef>
              <c:f>'estatística'!$C$1:$M$1</c:f>
            </c:strRef>
          </c:cat>
          <c:val>
            <c:numRef>
              <c:f>'estatística'!$C$341:$M$341</c:f>
              <c:numCache/>
            </c:numRef>
          </c:val>
        </c:ser>
        <c:ser>
          <c:idx val="340"/>
          <c:order val="340"/>
          <c:tx>
            <c:strRef>
              <c:f>'estatística'!$B$342</c:f>
            </c:strRef>
          </c:tx>
          <c:cat>
            <c:strRef>
              <c:f>'estatística'!$C$1:$M$1</c:f>
            </c:strRef>
          </c:cat>
          <c:val>
            <c:numRef>
              <c:f>'estatística'!$C$342:$M$342</c:f>
              <c:numCache/>
            </c:numRef>
          </c:val>
        </c:ser>
        <c:ser>
          <c:idx val="341"/>
          <c:order val="341"/>
          <c:tx>
            <c:strRef>
              <c:f>'estatística'!$B$343</c:f>
            </c:strRef>
          </c:tx>
          <c:cat>
            <c:strRef>
              <c:f>'estatística'!$C$1:$M$1</c:f>
            </c:strRef>
          </c:cat>
          <c:val>
            <c:numRef>
              <c:f>'estatística'!$C$343:$M$343</c:f>
              <c:numCache/>
            </c:numRef>
          </c:val>
        </c:ser>
        <c:ser>
          <c:idx val="342"/>
          <c:order val="342"/>
          <c:tx>
            <c:strRef>
              <c:f>'estatística'!$B$344</c:f>
            </c:strRef>
          </c:tx>
          <c:cat>
            <c:strRef>
              <c:f>'estatística'!$C$1:$M$1</c:f>
            </c:strRef>
          </c:cat>
          <c:val>
            <c:numRef>
              <c:f>'estatística'!$C$344:$M$344</c:f>
              <c:numCache/>
            </c:numRef>
          </c:val>
        </c:ser>
        <c:ser>
          <c:idx val="343"/>
          <c:order val="343"/>
          <c:tx>
            <c:strRef>
              <c:f>'estatística'!$B$345</c:f>
            </c:strRef>
          </c:tx>
          <c:cat>
            <c:strRef>
              <c:f>'estatística'!$C$1:$M$1</c:f>
            </c:strRef>
          </c:cat>
          <c:val>
            <c:numRef>
              <c:f>'estatística'!$C$345:$M$345</c:f>
              <c:numCache/>
            </c:numRef>
          </c:val>
        </c:ser>
        <c:ser>
          <c:idx val="344"/>
          <c:order val="344"/>
          <c:tx>
            <c:strRef>
              <c:f>'estatística'!$B$346</c:f>
            </c:strRef>
          </c:tx>
          <c:cat>
            <c:strRef>
              <c:f>'estatística'!$C$1:$M$1</c:f>
            </c:strRef>
          </c:cat>
          <c:val>
            <c:numRef>
              <c:f>'estatística'!$C$346:$M$346</c:f>
              <c:numCache/>
            </c:numRef>
          </c:val>
        </c:ser>
        <c:ser>
          <c:idx val="345"/>
          <c:order val="345"/>
          <c:tx>
            <c:strRef>
              <c:f>'estatística'!$B$347</c:f>
            </c:strRef>
          </c:tx>
          <c:cat>
            <c:strRef>
              <c:f>'estatística'!$C$1:$M$1</c:f>
            </c:strRef>
          </c:cat>
          <c:val>
            <c:numRef>
              <c:f>'estatística'!$C$347:$M$347</c:f>
              <c:numCache/>
            </c:numRef>
          </c:val>
        </c:ser>
        <c:ser>
          <c:idx val="346"/>
          <c:order val="346"/>
          <c:tx>
            <c:strRef>
              <c:f>'estatística'!$B$348</c:f>
            </c:strRef>
          </c:tx>
          <c:cat>
            <c:strRef>
              <c:f>'estatística'!$C$1:$M$1</c:f>
            </c:strRef>
          </c:cat>
          <c:val>
            <c:numRef>
              <c:f>'estatística'!$C$348:$M$348</c:f>
              <c:numCache/>
            </c:numRef>
          </c:val>
        </c:ser>
        <c:ser>
          <c:idx val="347"/>
          <c:order val="347"/>
          <c:tx>
            <c:strRef>
              <c:f>'estatística'!$B$349</c:f>
            </c:strRef>
          </c:tx>
          <c:cat>
            <c:strRef>
              <c:f>'estatística'!$C$1:$M$1</c:f>
            </c:strRef>
          </c:cat>
          <c:val>
            <c:numRef>
              <c:f>'estatística'!$C$349:$M$349</c:f>
              <c:numCache/>
            </c:numRef>
          </c:val>
        </c:ser>
        <c:ser>
          <c:idx val="348"/>
          <c:order val="348"/>
          <c:tx>
            <c:strRef>
              <c:f>'estatística'!$B$350</c:f>
            </c:strRef>
          </c:tx>
          <c:cat>
            <c:strRef>
              <c:f>'estatística'!$C$1:$M$1</c:f>
            </c:strRef>
          </c:cat>
          <c:val>
            <c:numRef>
              <c:f>'estatística'!$C$350:$M$350</c:f>
              <c:numCache/>
            </c:numRef>
          </c:val>
        </c:ser>
        <c:ser>
          <c:idx val="349"/>
          <c:order val="349"/>
          <c:tx>
            <c:strRef>
              <c:f>'estatística'!$B$351</c:f>
            </c:strRef>
          </c:tx>
          <c:cat>
            <c:strRef>
              <c:f>'estatística'!$C$1:$M$1</c:f>
            </c:strRef>
          </c:cat>
          <c:val>
            <c:numRef>
              <c:f>'estatística'!$C$351:$M$351</c:f>
              <c:numCache/>
            </c:numRef>
          </c:val>
        </c:ser>
        <c:ser>
          <c:idx val="350"/>
          <c:order val="350"/>
          <c:tx>
            <c:strRef>
              <c:f>'estatística'!$B$352</c:f>
            </c:strRef>
          </c:tx>
          <c:cat>
            <c:strRef>
              <c:f>'estatística'!$C$1:$M$1</c:f>
            </c:strRef>
          </c:cat>
          <c:val>
            <c:numRef>
              <c:f>'estatística'!$C$352:$M$352</c:f>
              <c:numCache/>
            </c:numRef>
          </c:val>
        </c:ser>
        <c:ser>
          <c:idx val="351"/>
          <c:order val="351"/>
          <c:tx>
            <c:strRef>
              <c:f>'estatística'!$B$353</c:f>
            </c:strRef>
          </c:tx>
          <c:cat>
            <c:strRef>
              <c:f>'estatística'!$C$1:$M$1</c:f>
            </c:strRef>
          </c:cat>
          <c:val>
            <c:numRef>
              <c:f>'estatística'!$C$353:$M$353</c:f>
              <c:numCache/>
            </c:numRef>
          </c:val>
        </c:ser>
        <c:ser>
          <c:idx val="352"/>
          <c:order val="352"/>
          <c:tx>
            <c:strRef>
              <c:f>'estatística'!$B$354</c:f>
            </c:strRef>
          </c:tx>
          <c:cat>
            <c:strRef>
              <c:f>'estatística'!$C$1:$M$1</c:f>
            </c:strRef>
          </c:cat>
          <c:val>
            <c:numRef>
              <c:f>'estatística'!$C$354:$M$354</c:f>
              <c:numCache/>
            </c:numRef>
          </c:val>
        </c:ser>
        <c:ser>
          <c:idx val="353"/>
          <c:order val="353"/>
          <c:tx>
            <c:strRef>
              <c:f>'estatística'!$B$355</c:f>
            </c:strRef>
          </c:tx>
          <c:cat>
            <c:strRef>
              <c:f>'estatística'!$C$1:$M$1</c:f>
            </c:strRef>
          </c:cat>
          <c:val>
            <c:numRef>
              <c:f>'estatística'!$C$355:$M$355</c:f>
              <c:numCache/>
            </c:numRef>
          </c:val>
        </c:ser>
        <c:ser>
          <c:idx val="354"/>
          <c:order val="354"/>
          <c:tx>
            <c:strRef>
              <c:f>'estatística'!$B$356</c:f>
            </c:strRef>
          </c:tx>
          <c:cat>
            <c:strRef>
              <c:f>'estatística'!$C$1:$M$1</c:f>
            </c:strRef>
          </c:cat>
          <c:val>
            <c:numRef>
              <c:f>'estatística'!$C$356:$M$356</c:f>
              <c:numCache/>
            </c:numRef>
          </c:val>
        </c:ser>
        <c:ser>
          <c:idx val="355"/>
          <c:order val="355"/>
          <c:tx>
            <c:strRef>
              <c:f>'estatística'!$B$357</c:f>
            </c:strRef>
          </c:tx>
          <c:cat>
            <c:strRef>
              <c:f>'estatística'!$C$1:$M$1</c:f>
            </c:strRef>
          </c:cat>
          <c:val>
            <c:numRef>
              <c:f>'estatística'!$C$357:$M$357</c:f>
              <c:numCache/>
            </c:numRef>
          </c:val>
        </c:ser>
        <c:ser>
          <c:idx val="356"/>
          <c:order val="356"/>
          <c:tx>
            <c:strRef>
              <c:f>'estatística'!$B$358</c:f>
            </c:strRef>
          </c:tx>
          <c:cat>
            <c:strRef>
              <c:f>'estatística'!$C$1:$M$1</c:f>
            </c:strRef>
          </c:cat>
          <c:val>
            <c:numRef>
              <c:f>'estatística'!$C$358:$M$358</c:f>
              <c:numCache/>
            </c:numRef>
          </c:val>
        </c:ser>
        <c:ser>
          <c:idx val="357"/>
          <c:order val="357"/>
          <c:tx>
            <c:strRef>
              <c:f>'estatística'!$B$359</c:f>
            </c:strRef>
          </c:tx>
          <c:cat>
            <c:strRef>
              <c:f>'estatística'!$C$1:$M$1</c:f>
            </c:strRef>
          </c:cat>
          <c:val>
            <c:numRef>
              <c:f>'estatística'!$C$359:$M$359</c:f>
              <c:numCache/>
            </c:numRef>
          </c:val>
        </c:ser>
        <c:ser>
          <c:idx val="358"/>
          <c:order val="358"/>
          <c:tx>
            <c:strRef>
              <c:f>'estatística'!$B$360</c:f>
            </c:strRef>
          </c:tx>
          <c:cat>
            <c:strRef>
              <c:f>'estatística'!$C$1:$M$1</c:f>
            </c:strRef>
          </c:cat>
          <c:val>
            <c:numRef>
              <c:f>'estatística'!$C$360:$M$360</c:f>
              <c:numCache/>
            </c:numRef>
          </c:val>
        </c:ser>
        <c:ser>
          <c:idx val="359"/>
          <c:order val="359"/>
          <c:tx>
            <c:strRef>
              <c:f>'estatística'!$B$361</c:f>
            </c:strRef>
          </c:tx>
          <c:cat>
            <c:strRef>
              <c:f>'estatística'!$C$1:$M$1</c:f>
            </c:strRef>
          </c:cat>
          <c:val>
            <c:numRef>
              <c:f>'estatística'!$C$361:$M$361</c:f>
              <c:numCache/>
            </c:numRef>
          </c:val>
        </c:ser>
        <c:ser>
          <c:idx val="360"/>
          <c:order val="360"/>
          <c:tx>
            <c:strRef>
              <c:f>'estatística'!$B$362</c:f>
            </c:strRef>
          </c:tx>
          <c:cat>
            <c:strRef>
              <c:f>'estatística'!$C$1:$M$1</c:f>
            </c:strRef>
          </c:cat>
          <c:val>
            <c:numRef>
              <c:f>'estatística'!$C$362:$M$362</c:f>
              <c:numCache/>
            </c:numRef>
          </c:val>
        </c:ser>
        <c:ser>
          <c:idx val="361"/>
          <c:order val="361"/>
          <c:tx>
            <c:strRef>
              <c:f>'estatística'!$B$363</c:f>
            </c:strRef>
          </c:tx>
          <c:cat>
            <c:strRef>
              <c:f>'estatística'!$C$1:$M$1</c:f>
            </c:strRef>
          </c:cat>
          <c:val>
            <c:numRef>
              <c:f>'estatística'!$C$363:$M$363</c:f>
              <c:numCache/>
            </c:numRef>
          </c:val>
        </c:ser>
        <c:ser>
          <c:idx val="362"/>
          <c:order val="362"/>
          <c:tx>
            <c:strRef>
              <c:f>'estatística'!$B$364</c:f>
            </c:strRef>
          </c:tx>
          <c:cat>
            <c:strRef>
              <c:f>'estatística'!$C$1:$M$1</c:f>
            </c:strRef>
          </c:cat>
          <c:val>
            <c:numRef>
              <c:f>'estatística'!$C$364:$M$364</c:f>
              <c:numCache/>
            </c:numRef>
          </c:val>
        </c:ser>
        <c:ser>
          <c:idx val="363"/>
          <c:order val="363"/>
          <c:tx>
            <c:strRef>
              <c:f>'estatística'!$B$365</c:f>
            </c:strRef>
          </c:tx>
          <c:cat>
            <c:strRef>
              <c:f>'estatística'!$C$1:$M$1</c:f>
            </c:strRef>
          </c:cat>
          <c:val>
            <c:numRef>
              <c:f>'estatística'!$C$365:$M$365</c:f>
              <c:numCache/>
            </c:numRef>
          </c:val>
        </c:ser>
        <c:ser>
          <c:idx val="364"/>
          <c:order val="364"/>
          <c:tx>
            <c:strRef>
              <c:f>'estatística'!$B$366</c:f>
            </c:strRef>
          </c:tx>
          <c:cat>
            <c:strRef>
              <c:f>'estatística'!$C$1:$M$1</c:f>
            </c:strRef>
          </c:cat>
          <c:val>
            <c:numRef>
              <c:f>'estatística'!$C$366:$M$366</c:f>
              <c:numCache/>
            </c:numRef>
          </c:val>
        </c:ser>
        <c:ser>
          <c:idx val="365"/>
          <c:order val="365"/>
          <c:tx>
            <c:strRef>
              <c:f>'estatística'!$B$367</c:f>
            </c:strRef>
          </c:tx>
          <c:cat>
            <c:strRef>
              <c:f>'estatística'!$C$1:$M$1</c:f>
            </c:strRef>
          </c:cat>
          <c:val>
            <c:numRef>
              <c:f>'estatística'!$C$367:$M$367</c:f>
              <c:numCache/>
            </c:numRef>
          </c:val>
        </c:ser>
        <c:ser>
          <c:idx val="366"/>
          <c:order val="366"/>
          <c:tx>
            <c:strRef>
              <c:f>'estatística'!$B$368</c:f>
            </c:strRef>
          </c:tx>
          <c:cat>
            <c:strRef>
              <c:f>'estatística'!$C$1:$M$1</c:f>
            </c:strRef>
          </c:cat>
          <c:val>
            <c:numRef>
              <c:f>'estatística'!$C$368:$M$368</c:f>
              <c:numCache/>
            </c:numRef>
          </c:val>
        </c:ser>
        <c:ser>
          <c:idx val="367"/>
          <c:order val="367"/>
          <c:tx>
            <c:strRef>
              <c:f>'estatística'!$B$369</c:f>
            </c:strRef>
          </c:tx>
          <c:cat>
            <c:strRef>
              <c:f>'estatística'!$C$1:$M$1</c:f>
            </c:strRef>
          </c:cat>
          <c:val>
            <c:numRef>
              <c:f>'estatística'!$C$369:$M$369</c:f>
              <c:numCache/>
            </c:numRef>
          </c:val>
        </c:ser>
        <c:ser>
          <c:idx val="368"/>
          <c:order val="368"/>
          <c:tx>
            <c:strRef>
              <c:f>'estatística'!$B$370</c:f>
            </c:strRef>
          </c:tx>
          <c:cat>
            <c:strRef>
              <c:f>'estatística'!$C$1:$M$1</c:f>
            </c:strRef>
          </c:cat>
          <c:val>
            <c:numRef>
              <c:f>'estatística'!$C$370:$M$370</c:f>
              <c:numCache/>
            </c:numRef>
          </c:val>
        </c:ser>
        <c:ser>
          <c:idx val="369"/>
          <c:order val="369"/>
          <c:tx>
            <c:strRef>
              <c:f>'estatística'!$B$371</c:f>
            </c:strRef>
          </c:tx>
          <c:cat>
            <c:strRef>
              <c:f>'estatística'!$C$1:$M$1</c:f>
            </c:strRef>
          </c:cat>
          <c:val>
            <c:numRef>
              <c:f>'estatística'!$C$371:$M$371</c:f>
              <c:numCache/>
            </c:numRef>
          </c:val>
        </c:ser>
        <c:ser>
          <c:idx val="370"/>
          <c:order val="370"/>
          <c:tx>
            <c:strRef>
              <c:f>'estatística'!$B$372</c:f>
            </c:strRef>
          </c:tx>
          <c:cat>
            <c:strRef>
              <c:f>'estatística'!$C$1:$M$1</c:f>
            </c:strRef>
          </c:cat>
          <c:val>
            <c:numRef>
              <c:f>'estatística'!$C$372:$M$372</c:f>
              <c:numCache/>
            </c:numRef>
          </c:val>
        </c:ser>
        <c:ser>
          <c:idx val="371"/>
          <c:order val="371"/>
          <c:tx>
            <c:strRef>
              <c:f>'estatística'!$B$373</c:f>
            </c:strRef>
          </c:tx>
          <c:cat>
            <c:strRef>
              <c:f>'estatística'!$C$1:$M$1</c:f>
            </c:strRef>
          </c:cat>
          <c:val>
            <c:numRef>
              <c:f>'estatística'!$C$373:$M$373</c:f>
              <c:numCache/>
            </c:numRef>
          </c:val>
        </c:ser>
        <c:ser>
          <c:idx val="372"/>
          <c:order val="372"/>
          <c:tx>
            <c:strRef>
              <c:f>'estatística'!$B$374</c:f>
            </c:strRef>
          </c:tx>
          <c:cat>
            <c:strRef>
              <c:f>'estatística'!$C$1:$M$1</c:f>
            </c:strRef>
          </c:cat>
          <c:val>
            <c:numRef>
              <c:f>'estatística'!$C$374:$M$374</c:f>
              <c:numCache/>
            </c:numRef>
          </c:val>
        </c:ser>
        <c:ser>
          <c:idx val="373"/>
          <c:order val="373"/>
          <c:tx>
            <c:strRef>
              <c:f>'estatística'!$B$375</c:f>
            </c:strRef>
          </c:tx>
          <c:cat>
            <c:strRef>
              <c:f>'estatística'!$C$1:$M$1</c:f>
            </c:strRef>
          </c:cat>
          <c:val>
            <c:numRef>
              <c:f>'estatística'!$C$375:$M$375</c:f>
              <c:numCache/>
            </c:numRef>
          </c:val>
        </c:ser>
        <c:ser>
          <c:idx val="374"/>
          <c:order val="374"/>
          <c:tx>
            <c:strRef>
              <c:f>'estatística'!$B$376</c:f>
            </c:strRef>
          </c:tx>
          <c:cat>
            <c:strRef>
              <c:f>'estatística'!$C$1:$M$1</c:f>
            </c:strRef>
          </c:cat>
          <c:val>
            <c:numRef>
              <c:f>'estatística'!$C$376:$M$376</c:f>
              <c:numCache/>
            </c:numRef>
          </c:val>
        </c:ser>
        <c:ser>
          <c:idx val="375"/>
          <c:order val="375"/>
          <c:tx>
            <c:strRef>
              <c:f>'estatística'!$B$377</c:f>
            </c:strRef>
          </c:tx>
          <c:cat>
            <c:strRef>
              <c:f>'estatística'!$C$1:$M$1</c:f>
            </c:strRef>
          </c:cat>
          <c:val>
            <c:numRef>
              <c:f>'estatística'!$C$377:$M$377</c:f>
              <c:numCache/>
            </c:numRef>
          </c:val>
        </c:ser>
        <c:ser>
          <c:idx val="376"/>
          <c:order val="376"/>
          <c:tx>
            <c:strRef>
              <c:f>'estatística'!$B$378</c:f>
            </c:strRef>
          </c:tx>
          <c:cat>
            <c:strRef>
              <c:f>'estatística'!$C$1:$M$1</c:f>
            </c:strRef>
          </c:cat>
          <c:val>
            <c:numRef>
              <c:f>'estatística'!$C$378:$M$378</c:f>
              <c:numCache/>
            </c:numRef>
          </c:val>
        </c:ser>
        <c:ser>
          <c:idx val="377"/>
          <c:order val="377"/>
          <c:tx>
            <c:strRef>
              <c:f>'estatística'!$B$379</c:f>
            </c:strRef>
          </c:tx>
          <c:cat>
            <c:strRef>
              <c:f>'estatística'!$C$1:$M$1</c:f>
            </c:strRef>
          </c:cat>
          <c:val>
            <c:numRef>
              <c:f>'estatística'!$C$379:$M$379</c:f>
              <c:numCache/>
            </c:numRef>
          </c:val>
        </c:ser>
        <c:ser>
          <c:idx val="378"/>
          <c:order val="378"/>
          <c:tx>
            <c:strRef>
              <c:f>'estatística'!$B$380</c:f>
            </c:strRef>
          </c:tx>
          <c:cat>
            <c:strRef>
              <c:f>'estatística'!$C$1:$M$1</c:f>
            </c:strRef>
          </c:cat>
          <c:val>
            <c:numRef>
              <c:f>'estatística'!$C$380:$M$380</c:f>
              <c:numCache/>
            </c:numRef>
          </c:val>
        </c:ser>
        <c:ser>
          <c:idx val="379"/>
          <c:order val="379"/>
          <c:tx>
            <c:strRef>
              <c:f>'estatística'!$B$381</c:f>
            </c:strRef>
          </c:tx>
          <c:cat>
            <c:strRef>
              <c:f>'estatística'!$C$1:$M$1</c:f>
            </c:strRef>
          </c:cat>
          <c:val>
            <c:numRef>
              <c:f>'estatística'!$C$381:$M$381</c:f>
              <c:numCache/>
            </c:numRef>
          </c:val>
        </c:ser>
        <c:ser>
          <c:idx val="380"/>
          <c:order val="380"/>
          <c:tx>
            <c:strRef>
              <c:f>'estatística'!$B$382</c:f>
            </c:strRef>
          </c:tx>
          <c:cat>
            <c:strRef>
              <c:f>'estatística'!$C$1:$M$1</c:f>
            </c:strRef>
          </c:cat>
          <c:val>
            <c:numRef>
              <c:f>'estatística'!$C$382:$M$382</c:f>
              <c:numCache/>
            </c:numRef>
          </c:val>
        </c:ser>
        <c:ser>
          <c:idx val="381"/>
          <c:order val="381"/>
          <c:tx>
            <c:strRef>
              <c:f>'estatística'!$B$383</c:f>
            </c:strRef>
          </c:tx>
          <c:cat>
            <c:strRef>
              <c:f>'estatística'!$C$1:$M$1</c:f>
            </c:strRef>
          </c:cat>
          <c:val>
            <c:numRef>
              <c:f>'estatística'!$C$383:$M$383</c:f>
              <c:numCache/>
            </c:numRef>
          </c:val>
        </c:ser>
        <c:ser>
          <c:idx val="382"/>
          <c:order val="382"/>
          <c:tx>
            <c:strRef>
              <c:f>'estatística'!$B$384</c:f>
            </c:strRef>
          </c:tx>
          <c:cat>
            <c:strRef>
              <c:f>'estatística'!$C$1:$M$1</c:f>
            </c:strRef>
          </c:cat>
          <c:val>
            <c:numRef>
              <c:f>'estatística'!$C$384:$M$384</c:f>
              <c:numCache/>
            </c:numRef>
          </c:val>
        </c:ser>
        <c:ser>
          <c:idx val="383"/>
          <c:order val="383"/>
          <c:tx>
            <c:strRef>
              <c:f>'estatística'!$B$385</c:f>
            </c:strRef>
          </c:tx>
          <c:cat>
            <c:strRef>
              <c:f>'estatística'!$C$1:$M$1</c:f>
            </c:strRef>
          </c:cat>
          <c:val>
            <c:numRef>
              <c:f>'estatística'!$C$385:$M$385</c:f>
              <c:numCache/>
            </c:numRef>
          </c:val>
        </c:ser>
        <c:ser>
          <c:idx val="384"/>
          <c:order val="384"/>
          <c:tx>
            <c:strRef>
              <c:f>'estatística'!$B$386</c:f>
            </c:strRef>
          </c:tx>
          <c:cat>
            <c:strRef>
              <c:f>'estatística'!$C$1:$M$1</c:f>
            </c:strRef>
          </c:cat>
          <c:val>
            <c:numRef>
              <c:f>'estatística'!$C$386:$M$386</c:f>
              <c:numCache/>
            </c:numRef>
          </c:val>
        </c:ser>
        <c:ser>
          <c:idx val="385"/>
          <c:order val="385"/>
          <c:tx>
            <c:strRef>
              <c:f>'estatística'!$B$387</c:f>
            </c:strRef>
          </c:tx>
          <c:cat>
            <c:strRef>
              <c:f>'estatística'!$C$1:$M$1</c:f>
            </c:strRef>
          </c:cat>
          <c:val>
            <c:numRef>
              <c:f>'estatística'!$C$387:$M$387</c:f>
              <c:numCache/>
            </c:numRef>
          </c:val>
        </c:ser>
        <c:ser>
          <c:idx val="386"/>
          <c:order val="386"/>
          <c:tx>
            <c:strRef>
              <c:f>'estatística'!$B$388</c:f>
            </c:strRef>
          </c:tx>
          <c:cat>
            <c:strRef>
              <c:f>'estatística'!$C$1:$M$1</c:f>
            </c:strRef>
          </c:cat>
          <c:val>
            <c:numRef>
              <c:f>'estatística'!$C$388:$M$388</c:f>
              <c:numCache/>
            </c:numRef>
          </c:val>
        </c:ser>
        <c:ser>
          <c:idx val="387"/>
          <c:order val="387"/>
          <c:tx>
            <c:strRef>
              <c:f>'estatística'!$B$389</c:f>
            </c:strRef>
          </c:tx>
          <c:cat>
            <c:strRef>
              <c:f>'estatística'!$C$1:$M$1</c:f>
            </c:strRef>
          </c:cat>
          <c:val>
            <c:numRef>
              <c:f>'estatística'!$C$389:$M$389</c:f>
              <c:numCache/>
            </c:numRef>
          </c:val>
        </c:ser>
        <c:ser>
          <c:idx val="388"/>
          <c:order val="388"/>
          <c:tx>
            <c:strRef>
              <c:f>'estatística'!$B$390</c:f>
            </c:strRef>
          </c:tx>
          <c:cat>
            <c:strRef>
              <c:f>'estatística'!$C$1:$M$1</c:f>
            </c:strRef>
          </c:cat>
          <c:val>
            <c:numRef>
              <c:f>'estatística'!$C$390:$M$390</c:f>
              <c:numCache/>
            </c:numRef>
          </c:val>
        </c:ser>
        <c:ser>
          <c:idx val="389"/>
          <c:order val="389"/>
          <c:tx>
            <c:strRef>
              <c:f>'estatística'!$B$391</c:f>
            </c:strRef>
          </c:tx>
          <c:cat>
            <c:strRef>
              <c:f>'estatística'!$C$1:$M$1</c:f>
            </c:strRef>
          </c:cat>
          <c:val>
            <c:numRef>
              <c:f>'estatística'!$C$391:$M$391</c:f>
              <c:numCache/>
            </c:numRef>
          </c:val>
        </c:ser>
        <c:ser>
          <c:idx val="390"/>
          <c:order val="390"/>
          <c:tx>
            <c:strRef>
              <c:f>'estatística'!$B$392</c:f>
            </c:strRef>
          </c:tx>
          <c:cat>
            <c:strRef>
              <c:f>'estatística'!$C$1:$M$1</c:f>
            </c:strRef>
          </c:cat>
          <c:val>
            <c:numRef>
              <c:f>'estatística'!$C$392:$M$392</c:f>
              <c:numCache/>
            </c:numRef>
          </c:val>
        </c:ser>
        <c:ser>
          <c:idx val="391"/>
          <c:order val="391"/>
          <c:tx>
            <c:strRef>
              <c:f>'estatística'!$B$393</c:f>
            </c:strRef>
          </c:tx>
          <c:cat>
            <c:strRef>
              <c:f>'estatística'!$C$1:$M$1</c:f>
            </c:strRef>
          </c:cat>
          <c:val>
            <c:numRef>
              <c:f>'estatística'!$C$393:$M$393</c:f>
              <c:numCache/>
            </c:numRef>
          </c:val>
        </c:ser>
        <c:ser>
          <c:idx val="392"/>
          <c:order val="392"/>
          <c:tx>
            <c:strRef>
              <c:f>'estatística'!$B$394</c:f>
            </c:strRef>
          </c:tx>
          <c:cat>
            <c:strRef>
              <c:f>'estatística'!$C$1:$M$1</c:f>
            </c:strRef>
          </c:cat>
          <c:val>
            <c:numRef>
              <c:f>'estatística'!$C$394:$M$394</c:f>
              <c:numCache/>
            </c:numRef>
          </c:val>
        </c:ser>
        <c:ser>
          <c:idx val="393"/>
          <c:order val="393"/>
          <c:tx>
            <c:strRef>
              <c:f>'estatística'!$B$395</c:f>
            </c:strRef>
          </c:tx>
          <c:cat>
            <c:strRef>
              <c:f>'estatística'!$C$1:$M$1</c:f>
            </c:strRef>
          </c:cat>
          <c:val>
            <c:numRef>
              <c:f>'estatística'!$C$395:$M$395</c:f>
              <c:numCache/>
            </c:numRef>
          </c:val>
        </c:ser>
        <c:ser>
          <c:idx val="394"/>
          <c:order val="394"/>
          <c:tx>
            <c:strRef>
              <c:f>'estatística'!$B$396</c:f>
            </c:strRef>
          </c:tx>
          <c:cat>
            <c:strRef>
              <c:f>'estatística'!$C$1:$M$1</c:f>
            </c:strRef>
          </c:cat>
          <c:val>
            <c:numRef>
              <c:f>'estatística'!$C$396:$M$396</c:f>
              <c:numCache/>
            </c:numRef>
          </c:val>
        </c:ser>
        <c:ser>
          <c:idx val="395"/>
          <c:order val="395"/>
          <c:tx>
            <c:strRef>
              <c:f>'estatística'!$B$397</c:f>
            </c:strRef>
          </c:tx>
          <c:cat>
            <c:strRef>
              <c:f>'estatística'!$C$1:$M$1</c:f>
            </c:strRef>
          </c:cat>
          <c:val>
            <c:numRef>
              <c:f>'estatística'!$C$397:$M$397</c:f>
              <c:numCache/>
            </c:numRef>
          </c:val>
        </c:ser>
        <c:ser>
          <c:idx val="396"/>
          <c:order val="396"/>
          <c:tx>
            <c:strRef>
              <c:f>'estatística'!$B$398</c:f>
            </c:strRef>
          </c:tx>
          <c:cat>
            <c:strRef>
              <c:f>'estatística'!$C$1:$M$1</c:f>
            </c:strRef>
          </c:cat>
          <c:val>
            <c:numRef>
              <c:f>'estatística'!$C$398:$M$398</c:f>
              <c:numCache/>
            </c:numRef>
          </c:val>
        </c:ser>
        <c:ser>
          <c:idx val="397"/>
          <c:order val="397"/>
          <c:tx>
            <c:strRef>
              <c:f>'estatística'!$B$399</c:f>
            </c:strRef>
          </c:tx>
          <c:cat>
            <c:strRef>
              <c:f>'estatística'!$C$1:$M$1</c:f>
            </c:strRef>
          </c:cat>
          <c:val>
            <c:numRef>
              <c:f>'estatística'!$C$399:$M$399</c:f>
              <c:numCache/>
            </c:numRef>
          </c:val>
        </c:ser>
        <c:ser>
          <c:idx val="398"/>
          <c:order val="398"/>
          <c:tx>
            <c:strRef>
              <c:f>'estatística'!$B$400</c:f>
            </c:strRef>
          </c:tx>
          <c:cat>
            <c:strRef>
              <c:f>'estatística'!$C$1:$M$1</c:f>
            </c:strRef>
          </c:cat>
          <c:val>
            <c:numRef>
              <c:f>'estatística'!$C$400:$M$400</c:f>
              <c:numCache/>
            </c:numRef>
          </c:val>
        </c:ser>
        <c:ser>
          <c:idx val="399"/>
          <c:order val="399"/>
          <c:tx>
            <c:strRef>
              <c:f>'estatística'!$B$401</c:f>
            </c:strRef>
          </c:tx>
          <c:cat>
            <c:strRef>
              <c:f>'estatística'!$C$1:$M$1</c:f>
            </c:strRef>
          </c:cat>
          <c:val>
            <c:numRef>
              <c:f>'estatística'!$C$401:$M$401</c:f>
              <c:numCache/>
            </c:numRef>
          </c:val>
        </c:ser>
        <c:ser>
          <c:idx val="400"/>
          <c:order val="400"/>
          <c:tx>
            <c:strRef>
              <c:f>'estatística'!$B$402</c:f>
            </c:strRef>
          </c:tx>
          <c:cat>
            <c:strRef>
              <c:f>'estatística'!$C$1:$M$1</c:f>
            </c:strRef>
          </c:cat>
          <c:val>
            <c:numRef>
              <c:f>'estatística'!$C$402:$M$402</c:f>
              <c:numCache/>
            </c:numRef>
          </c:val>
        </c:ser>
        <c:ser>
          <c:idx val="401"/>
          <c:order val="401"/>
          <c:tx>
            <c:strRef>
              <c:f>'estatística'!$B$403</c:f>
            </c:strRef>
          </c:tx>
          <c:cat>
            <c:strRef>
              <c:f>'estatística'!$C$1:$M$1</c:f>
            </c:strRef>
          </c:cat>
          <c:val>
            <c:numRef>
              <c:f>'estatística'!$C$403:$M$403</c:f>
              <c:numCache/>
            </c:numRef>
          </c:val>
        </c:ser>
        <c:ser>
          <c:idx val="402"/>
          <c:order val="402"/>
          <c:tx>
            <c:strRef>
              <c:f>'estatística'!$B$404</c:f>
            </c:strRef>
          </c:tx>
          <c:cat>
            <c:strRef>
              <c:f>'estatística'!$C$1:$M$1</c:f>
            </c:strRef>
          </c:cat>
          <c:val>
            <c:numRef>
              <c:f>'estatística'!$C$404:$M$404</c:f>
              <c:numCache/>
            </c:numRef>
          </c:val>
        </c:ser>
        <c:ser>
          <c:idx val="403"/>
          <c:order val="403"/>
          <c:tx>
            <c:strRef>
              <c:f>'estatística'!$B$405</c:f>
            </c:strRef>
          </c:tx>
          <c:cat>
            <c:strRef>
              <c:f>'estatística'!$C$1:$M$1</c:f>
            </c:strRef>
          </c:cat>
          <c:val>
            <c:numRef>
              <c:f>'estatística'!$C$405:$M$405</c:f>
              <c:numCache/>
            </c:numRef>
          </c:val>
        </c:ser>
        <c:ser>
          <c:idx val="404"/>
          <c:order val="404"/>
          <c:tx>
            <c:strRef>
              <c:f>'estatística'!$B$406</c:f>
            </c:strRef>
          </c:tx>
          <c:cat>
            <c:strRef>
              <c:f>'estatística'!$C$1:$M$1</c:f>
            </c:strRef>
          </c:cat>
          <c:val>
            <c:numRef>
              <c:f>'estatística'!$C$406:$M$406</c:f>
              <c:numCache/>
            </c:numRef>
          </c:val>
        </c:ser>
        <c:ser>
          <c:idx val="405"/>
          <c:order val="405"/>
          <c:tx>
            <c:strRef>
              <c:f>'estatística'!$B$407</c:f>
            </c:strRef>
          </c:tx>
          <c:cat>
            <c:strRef>
              <c:f>'estatística'!$C$1:$M$1</c:f>
            </c:strRef>
          </c:cat>
          <c:val>
            <c:numRef>
              <c:f>'estatística'!$C$407:$M$407</c:f>
              <c:numCache/>
            </c:numRef>
          </c:val>
        </c:ser>
        <c:ser>
          <c:idx val="406"/>
          <c:order val="406"/>
          <c:tx>
            <c:strRef>
              <c:f>'estatística'!$B$408</c:f>
            </c:strRef>
          </c:tx>
          <c:cat>
            <c:strRef>
              <c:f>'estatística'!$C$1:$M$1</c:f>
            </c:strRef>
          </c:cat>
          <c:val>
            <c:numRef>
              <c:f>'estatística'!$C$408:$M$408</c:f>
              <c:numCache/>
            </c:numRef>
          </c:val>
        </c:ser>
        <c:ser>
          <c:idx val="407"/>
          <c:order val="407"/>
          <c:tx>
            <c:strRef>
              <c:f>'estatística'!$B$409</c:f>
            </c:strRef>
          </c:tx>
          <c:cat>
            <c:strRef>
              <c:f>'estatística'!$C$1:$M$1</c:f>
            </c:strRef>
          </c:cat>
          <c:val>
            <c:numRef>
              <c:f>'estatística'!$C$409:$M$409</c:f>
              <c:numCache/>
            </c:numRef>
          </c:val>
        </c:ser>
        <c:ser>
          <c:idx val="408"/>
          <c:order val="408"/>
          <c:tx>
            <c:strRef>
              <c:f>'estatística'!$B$410</c:f>
            </c:strRef>
          </c:tx>
          <c:cat>
            <c:strRef>
              <c:f>'estatística'!$C$1:$M$1</c:f>
            </c:strRef>
          </c:cat>
          <c:val>
            <c:numRef>
              <c:f>'estatística'!$C$410:$M$410</c:f>
              <c:numCache/>
            </c:numRef>
          </c:val>
        </c:ser>
        <c:ser>
          <c:idx val="409"/>
          <c:order val="409"/>
          <c:tx>
            <c:strRef>
              <c:f>'estatística'!$B$411</c:f>
            </c:strRef>
          </c:tx>
          <c:cat>
            <c:strRef>
              <c:f>'estatística'!$C$1:$M$1</c:f>
            </c:strRef>
          </c:cat>
          <c:val>
            <c:numRef>
              <c:f>'estatística'!$C$411:$M$411</c:f>
              <c:numCache/>
            </c:numRef>
          </c:val>
        </c:ser>
        <c:ser>
          <c:idx val="410"/>
          <c:order val="410"/>
          <c:tx>
            <c:strRef>
              <c:f>'estatística'!$B$412</c:f>
            </c:strRef>
          </c:tx>
          <c:cat>
            <c:strRef>
              <c:f>'estatística'!$C$1:$M$1</c:f>
            </c:strRef>
          </c:cat>
          <c:val>
            <c:numRef>
              <c:f>'estatística'!$C$412:$M$412</c:f>
              <c:numCache/>
            </c:numRef>
          </c:val>
        </c:ser>
        <c:ser>
          <c:idx val="411"/>
          <c:order val="411"/>
          <c:tx>
            <c:strRef>
              <c:f>'estatística'!$B$413</c:f>
            </c:strRef>
          </c:tx>
          <c:cat>
            <c:strRef>
              <c:f>'estatística'!$C$1:$M$1</c:f>
            </c:strRef>
          </c:cat>
          <c:val>
            <c:numRef>
              <c:f>'estatística'!$C$413:$M$413</c:f>
              <c:numCache/>
            </c:numRef>
          </c:val>
        </c:ser>
        <c:ser>
          <c:idx val="412"/>
          <c:order val="412"/>
          <c:tx>
            <c:strRef>
              <c:f>'estatística'!$B$414</c:f>
            </c:strRef>
          </c:tx>
          <c:cat>
            <c:strRef>
              <c:f>'estatística'!$C$1:$M$1</c:f>
            </c:strRef>
          </c:cat>
          <c:val>
            <c:numRef>
              <c:f>'estatística'!$C$414:$M$414</c:f>
              <c:numCache/>
            </c:numRef>
          </c:val>
        </c:ser>
        <c:ser>
          <c:idx val="413"/>
          <c:order val="413"/>
          <c:tx>
            <c:strRef>
              <c:f>'estatística'!$B$415</c:f>
            </c:strRef>
          </c:tx>
          <c:cat>
            <c:strRef>
              <c:f>'estatística'!$C$1:$M$1</c:f>
            </c:strRef>
          </c:cat>
          <c:val>
            <c:numRef>
              <c:f>'estatística'!$C$415:$M$415</c:f>
              <c:numCache/>
            </c:numRef>
          </c:val>
        </c:ser>
        <c:ser>
          <c:idx val="414"/>
          <c:order val="414"/>
          <c:tx>
            <c:strRef>
              <c:f>'estatística'!$B$416</c:f>
            </c:strRef>
          </c:tx>
          <c:cat>
            <c:strRef>
              <c:f>'estatística'!$C$1:$M$1</c:f>
            </c:strRef>
          </c:cat>
          <c:val>
            <c:numRef>
              <c:f>'estatística'!$C$416:$M$416</c:f>
              <c:numCache/>
            </c:numRef>
          </c:val>
        </c:ser>
        <c:ser>
          <c:idx val="415"/>
          <c:order val="415"/>
          <c:tx>
            <c:strRef>
              <c:f>'estatística'!$B$417</c:f>
            </c:strRef>
          </c:tx>
          <c:cat>
            <c:strRef>
              <c:f>'estatística'!$C$1:$M$1</c:f>
            </c:strRef>
          </c:cat>
          <c:val>
            <c:numRef>
              <c:f>'estatística'!$C$417:$M$417</c:f>
              <c:numCache/>
            </c:numRef>
          </c:val>
        </c:ser>
        <c:ser>
          <c:idx val="416"/>
          <c:order val="416"/>
          <c:tx>
            <c:strRef>
              <c:f>'estatística'!$B$418</c:f>
            </c:strRef>
          </c:tx>
          <c:cat>
            <c:strRef>
              <c:f>'estatística'!$C$1:$M$1</c:f>
            </c:strRef>
          </c:cat>
          <c:val>
            <c:numRef>
              <c:f>'estatística'!$C$418:$M$418</c:f>
              <c:numCache/>
            </c:numRef>
          </c:val>
        </c:ser>
        <c:ser>
          <c:idx val="417"/>
          <c:order val="417"/>
          <c:tx>
            <c:strRef>
              <c:f>'estatística'!$B$419</c:f>
            </c:strRef>
          </c:tx>
          <c:cat>
            <c:strRef>
              <c:f>'estatística'!$C$1:$M$1</c:f>
            </c:strRef>
          </c:cat>
          <c:val>
            <c:numRef>
              <c:f>'estatística'!$C$419:$M$419</c:f>
              <c:numCache/>
            </c:numRef>
          </c:val>
        </c:ser>
        <c:ser>
          <c:idx val="418"/>
          <c:order val="418"/>
          <c:tx>
            <c:strRef>
              <c:f>'estatística'!$B$420</c:f>
            </c:strRef>
          </c:tx>
          <c:cat>
            <c:strRef>
              <c:f>'estatística'!$C$1:$M$1</c:f>
            </c:strRef>
          </c:cat>
          <c:val>
            <c:numRef>
              <c:f>'estatística'!$C$420:$M$420</c:f>
              <c:numCache/>
            </c:numRef>
          </c:val>
        </c:ser>
        <c:ser>
          <c:idx val="419"/>
          <c:order val="419"/>
          <c:tx>
            <c:strRef>
              <c:f>'estatística'!$B$421</c:f>
            </c:strRef>
          </c:tx>
          <c:cat>
            <c:strRef>
              <c:f>'estatística'!$C$1:$M$1</c:f>
            </c:strRef>
          </c:cat>
          <c:val>
            <c:numRef>
              <c:f>'estatística'!$C$421:$M$421</c:f>
              <c:numCache/>
            </c:numRef>
          </c:val>
        </c:ser>
        <c:ser>
          <c:idx val="420"/>
          <c:order val="420"/>
          <c:tx>
            <c:strRef>
              <c:f>'estatística'!$B$422</c:f>
            </c:strRef>
          </c:tx>
          <c:cat>
            <c:strRef>
              <c:f>'estatística'!$C$1:$M$1</c:f>
            </c:strRef>
          </c:cat>
          <c:val>
            <c:numRef>
              <c:f>'estatística'!$C$422:$M$422</c:f>
              <c:numCache/>
            </c:numRef>
          </c:val>
        </c:ser>
        <c:ser>
          <c:idx val="421"/>
          <c:order val="421"/>
          <c:tx>
            <c:strRef>
              <c:f>'estatística'!$B$423</c:f>
            </c:strRef>
          </c:tx>
          <c:cat>
            <c:strRef>
              <c:f>'estatística'!$C$1:$M$1</c:f>
            </c:strRef>
          </c:cat>
          <c:val>
            <c:numRef>
              <c:f>'estatística'!$C$423:$M$423</c:f>
              <c:numCache/>
            </c:numRef>
          </c:val>
        </c:ser>
        <c:ser>
          <c:idx val="422"/>
          <c:order val="422"/>
          <c:tx>
            <c:strRef>
              <c:f>'estatística'!$B$424</c:f>
            </c:strRef>
          </c:tx>
          <c:cat>
            <c:strRef>
              <c:f>'estatística'!$C$1:$M$1</c:f>
            </c:strRef>
          </c:cat>
          <c:val>
            <c:numRef>
              <c:f>'estatística'!$C$424:$M$424</c:f>
              <c:numCache/>
            </c:numRef>
          </c:val>
        </c:ser>
        <c:ser>
          <c:idx val="423"/>
          <c:order val="423"/>
          <c:tx>
            <c:strRef>
              <c:f>'estatística'!$B$425</c:f>
            </c:strRef>
          </c:tx>
          <c:cat>
            <c:strRef>
              <c:f>'estatística'!$C$1:$M$1</c:f>
            </c:strRef>
          </c:cat>
          <c:val>
            <c:numRef>
              <c:f>'estatística'!$C$425:$M$425</c:f>
              <c:numCache/>
            </c:numRef>
          </c:val>
        </c:ser>
        <c:ser>
          <c:idx val="424"/>
          <c:order val="424"/>
          <c:tx>
            <c:strRef>
              <c:f>'estatística'!$B$426</c:f>
            </c:strRef>
          </c:tx>
          <c:cat>
            <c:strRef>
              <c:f>'estatística'!$C$1:$M$1</c:f>
            </c:strRef>
          </c:cat>
          <c:val>
            <c:numRef>
              <c:f>'estatística'!$C$426:$M$426</c:f>
              <c:numCache/>
            </c:numRef>
          </c:val>
        </c:ser>
        <c:ser>
          <c:idx val="425"/>
          <c:order val="425"/>
          <c:tx>
            <c:strRef>
              <c:f>'estatística'!$B$427</c:f>
            </c:strRef>
          </c:tx>
          <c:cat>
            <c:strRef>
              <c:f>'estatística'!$C$1:$M$1</c:f>
            </c:strRef>
          </c:cat>
          <c:val>
            <c:numRef>
              <c:f>'estatística'!$C$427:$M$427</c:f>
              <c:numCache/>
            </c:numRef>
          </c:val>
        </c:ser>
        <c:ser>
          <c:idx val="426"/>
          <c:order val="426"/>
          <c:tx>
            <c:strRef>
              <c:f>'estatística'!$B$428</c:f>
            </c:strRef>
          </c:tx>
          <c:cat>
            <c:strRef>
              <c:f>'estatística'!$C$1:$M$1</c:f>
            </c:strRef>
          </c:cat>
          <c:val>
            <c:numRef>
              <c:f>'estatística'!$C$428:$M$428</c:f>
              <c:numCache/>
            </c:numRef>
          </c:val>
        </c:ser>
        <c:ser>
          <c:idx val="427"/>
          <c:order val="427"/>
          <c:tx>
            <c:strRef>
              <c:f>'estatística'!$B$429</c:f>
            </c:strRef>
          </c:tx>
          <c:cat>
            <c:strRef>
              <c:f>'estatística'!$C$1:$M$1</c:f>
            </c:strRef>
          </c:cat>
          <c:val>
            <c:numRef>
              <c:f>'estatística'!$C$429:$M$429</c:f>
              <c:numCache/>
            </c:numRef>
          </c:val>
        </c:ser>
        <c:ser>
          <c:idx val="428"/>
          <c:order val="428"/>
          <c:tx>
            <c:strRef>
              <c:f>'estatística'!$B$430</c:f>
            </c:strRef>
          </c:tx>
          <c:cat>
            <c:strRef>
              <c:f>'estatística'!$C$1:$M$1</c:f>
            </c:strRef>
          </c:cat>
          <c:val>
            <c:numRef>
              <c:f>'estatística'!$C$430:$M$430</c:f>
              <c:numCache/>
            </c:numRef>
          </c:val>
        </c:ser>
        <c:ser>
          <c:idx val="429"/>
          <c:order val="429"/>
          <c:tx>
            <c:strRef>
              <c:f>'estatística'!$B$431</c:f>
            </c:strRef>
          </c:tx>
          <c:cat>
            <c:strRef>
              <c:f>'estatística'!$C$1:$M$1</c:f>
            </c:strRef>
          </c:cat>
          <c:val>
            <c:numRef>
              <c:f>'estatística'!$C$431:$M$431</c:f>
              <c:numCache/>
            </c:numRef>
          </c:val>
        </c:ser>
        <c:ser>
          <c:idx val="430"/>
          <c:order val="430"/>
          <c:tx>
            <c:strRef>
              <c:f>'estatística'!$B$432</c:f>
            </c:strRef>
          </c:tx>
          <c:cat>
            <c:strRef>
              <c:f>'estatística'!$C$1:$M$1</c:f>
            </c:strRef>
          </c:cat>
          <c:val>
            <c:numRef>
              <c:f>'estatística'!$C$432:$M$432</c:f>
              <c:numCache/>
            </c:numRef>
          </c:val>
        </c:ser>
        <c:ser>
          <c:idx val="431"/>
          <c:order val="431"/>
          <c:tx>
            <c:strRef>
              <c:f>'estatística'!$B$433</c:f>
            </c:strRef>
          </c:tx>
          <c:cat>
            <c:strRef>
              <c:f>'estatística'!$C$1:$M$1</c:f>
            </c:strRef>
          </c:cat>
          <c:val>
            <c:numRef>
              <c:f>'estatística'!$C$433:$M$433</c:f>
              <c:numCache/>
            </c:numRef>
          </c:val>
        </c:ser>
        <c:ser>
          <c:idx val="432"/>
          <c:order val="432"/>
          <c:tx>
            <c:strRef>
              <c:f>'estatística'!$B$434</c:f>
            </c:strRef>
          </c:tx>
          <c:cat>
            <c:strRef>
              <c:f>'estatística'!$C$1:$M$1</c:f>
            </c:strRef>
          </c:cat>
          <c:val>
            <c:numRef>
              <c:f>'estatística'!$C$434:$M$434</c:f>
              <c:numCache/>
            </c:numRef>
          </c:val>
        </c:ser>
        <c:ser>
          <c:idx val="433"/>
          <c:order val="433"/>
          <c:tx>
            <c:strRef>
              <c:f>'estatística'!$B$435</c:f>
            </c:strRef>
          </c:tx>
          <c:cat>
            <c:strRef>
              <c:f>'estatística'!$C$1:$M$1</c:f>
            </c:strRef>
          </c:cat>
          <c:val>
            <c:numRef>
              <c:f>'estatística'!$C$435:$M$435</c:f>
              <c:numCache/>
            </c:numRef>
          </c:val>
        </c:ser>
        <c:ser>
          <c:idx val="434"/>
          <c:order val="434"/>
          <c:tx>
            <c:strRef>
              <c:f>'estatística'!$B$436</c:f>
            </c:strRef>
          </c:tx>
          <c:cat>
            <c:strRef>
              <c:f>'estatística'!$C$1:$M$1</c:f>
            </c:strRef>
          </c:cat>
          <c:val>
            <c:numRef>
              <c:f>'estatística'!$C$436:$M$436</c:f>
              <c:numCache/>
            </c:numRef>
          </c:val>
        </c:ser>
        <c:ser>
          <c:idx val="435"/>
          <c:order val="435"/>
          <c:tx>
            <c:strRef>
              <c:f>'estatística'!$B$437</c:f>
            </c:strRef>
          </c:tx>
          <c:cat>
            <c:strRef>
              <c:f>'estatística'!$C$1:$M$1</c:f>
            </c:strRef>
          </c:cat>
          <c:val>
            <c:numRef>
              <c:f>'estatística'!$C$437:$M$437</c:f>
              <c:numCache/>
            </c:numRef>
          </c:val>
        </c:ser>
        <c:ser>
          <c:idx val="436"/>
          <c:order val="436"/>
          <c:tx>
            <c:strRef>
              <c:f>'estatística'!$B$438</c:f>
            </c:strRef>
          </c:tx>
          <c:cat>
            <c:strRef>
              <c:f>'estatística'!$C$1:$M$1</c:f>
            </c:strRef>
          </c:cat>
          <c:val>
            <c:numRef>
              <c:f>'estatística'!$C$438:$M$438</c:f>
              <c:numCache/>
            </c:numRef>
          </c:val>
        </c:ser>
        <c:ser>
          <c:idx val="437"/>
          <c:order val="437"/>
          <c:tx>
            <c:strRef>
              <c:f>'estatística'!$B$439</c:f>
            </c:strRef>
          </c:tx>
          <c:cat>
            <c:strRef>
              <c:f>'estatística'!$C$1:$M$1</c:f>
            </c:strRef>
          </c:cat>
          <c:val>
            <c:numRef>
              <c:f>'estatística'!$C$439:$M$439</c:f>
              <c:numCache/>
            </c:numRef>
          </c:val>
        </c:ser>
        <c:ser>
          <c:idx val="438"/>
          <c:order val="438"/>
          <c:tx>
            <c:strRef>
              <c:f>'estatística'!$B$440</c:f>
            </c:strRef>
          </c:tx>
          <c:cat>
            <c:strRef>
              <c:f>'estatística'!$C$1:$M$1</c:f>
            </c:strRef>
          </c:cat>
          <c:val>
            <c:numRef>
              <c:f>'estatística'!$C$440:$M$440</c:f>
              <c:numCache/>
            </c:numRef>
          </c:val>
        </c:ser>
        <c:ser>
          <c:idx val="439"/>
          <c:order val="439"/>
          <c:tx>
            <c:strRef>
              <c:f>'estatística'!$B$441</c:f>
            </c:strRef>
          </c:tx>
          <c:cat>
            <c:strRef>
              <c:f>'estatística'!$C$1:$M$1</c:f>
            </c:strRef>
          </c:cat>
          <c:val>
            <c:numRef>
              <c:f>'estatística'!$C$441:$M$441</c:f>
              <c:numCache/>
            </c:numRef>
          </c:val>
        </c:ser>
        <c:ser>
          <c:idx val="440"/>
          <c:order val="440"/>
          <c:tx>
            <c:strRef>
              <c:f>'estatística'!$B$442</c:f>
            </c:strRef>
          </c:tx>
          <c:cat>
            <c:strRef>
              <c:f>'estatística'!$C$1:$M$1</c:f>
            </c:strRef>
          </c:cat>
          <c:val>
            <c:numRef>
              <c:f>'estatística'!$C$442:$M$442</c:f>
              <c:numCache/>
            </c:numRef>
          </c:val>
        </c:ser>
        <c:ser>
          <c:idx val="441"/>
          <c:order val="441"/>
          <c:tx>
            <c:strRef>
              <c:f>'estatística'!$B$443</c:f>
            </c:strRef>
          </c:tx>
          <c:cat>
            <c:strRef>
              <c:f>'estatística'!$C$1:$M$1</c:f>
            </c:strRef>
          </c:cat>
          <c:val>
            <c:numRef>
              <c:f>'estatística'!$C$443:$M$443</c:f>
              <c:numCache/>
            </c:numRef>
          </c:val>
        </c:ser>
        <c:ser>
          <c:idx val="442"/>
          <c:order val="442"/>
          <c:tx>
            <c:strRef>
              <c:f>'estatística'!$B$444</c:f>
            </c:strRef>
          </c:tx>
          <c:cat>
            <c:strRef>
              <c:f>'estatística'!$C$1:$M$1</c:f>
            </c:strRef>
          </c:cat>
          <c:val>
            <c:numRef>
              <c:f>'estatística'!$C$444:$M$444</c:f>
              <c:numCache/>
            </c:numRef>
          </c:val>
        </c:ser>
        <c:ser>
          <c:idx val="443"/>
          <c:order val="443"/>
          <c:tx>
            <c:strRef>
              <c:f>'estatística'!$B$445</c:f>
            </c:strRef>
          </c:tx>
          <c:cat>
            <c:strRef>
              <c:f>'estatística'!$C$1:$M$1</c:f>
            </c:strRef>
          </c:cat>
          <c:val>
            <c:numRef>
              <c:f>'estatística'!$C$445:$M$445</c:f>
              <c:numCache/>
            </c:numRef>
          </c:val>
        </c:ser>
        <c:ser>
          <c:idx val="444"/>
          <c:order val="444"/>
          <c:tx>
            <c:strRef>
              <c:f>'estatística'!$B$446</c:f>
            </c:strRef>
          </c:tx>
          <c:cat>
            <c:strRef>
              <c:f>'estatística'!$C$1:$M$1</c:f>
            </c:strRef>
          </c:cat>
          <c:val>
            <c:numRef>
              <c:f>'estatística'!$C$446:$M$446</c:f>
              <c:numCache/>
            </c:numRef>
          </c:val>
        </c:ser>
        <c:ser>
          <c:idx val="445"/>
          <c:order val="445"/>
          <c:tx>
            <c:strRef>
              <c:f>'estatística'!$B$447</c:f>
            </c:strRef>
          </c:tx>
          <c:cat>
            <c:strRef>
              <c:f>'estatística'!$C$1:$M$1</c:f>
            </c:strRef>
          </c:cat>
          <c:val>
            <c:numRef>
              <c:f>'estatística'!$C$447:$M$447</c:f>
              <c:numCache/>
            </c:numRef>
          </c:val>
        </c:ser>
        <c:ser>
          <c:idx val="446"/>
          <c:order val="446"/>
          <c:tx>
            <c:strRef>
              <c:f>'estatística'!$B$448</c:f>
            </c:strRef>
          </c:tx>
          <c:cat>
            <c:strRef>
              <c:f>'estatística'!$C$1:$M$1</c:f>
            </c:strRef>
          </c:cat>
          <c:val>
            <c:numRef>
              <c:f>'estatística'!$C$448:$M$448</c:f>
              <c:numCache/>
            </c:numRef>
          </c:val>
        </c:ser>
        <c:ser>
          <c:idx val="447"/>
          <c:order val="447"/>
          <c:tx>
            <c:strRef>
              <c:f>'estatística'!$B$449</c:f>
            </c:strRef>
          </c:tx>
          <c:cat>
            <c:strRef>
              <c:f>'estatística'!$C$1:$M$1</c:f>
            </c:strRef>
          </c:cat>
          <c:val>
            <c:numRef>
              <c:f>'estatística'!$C$449:$M$449</c:f>
              <c:numCache/>
            </c:numRef>
          </c:val>
        </c:ser>
        <c:ser>
          <c:idx val="448"/>
          <c:order val="448"/>
          <c:tx>
            <c:strRef>
              <c:f>'estatística'!$B$450</c:f>
            </c:strRef>
          </c:tx>
          <c:cat>
            <c:strRef>
              <c:f>'estatística'!$C$1:$M$1</c:f>
            </c:strRef>
          </c:cat>
          <c:val>
            <c:numRef>
              <c:f>'estatística'!$C$450:$M$450</c:f>
              <c:numCache/>
            </c:numRef>
          </c:val>
        </c:ser>
        <c:ser>
          <c:idx val="449"/>
          <c:order val="449"/>
          <c:tx>
            <c:strRef>
              <c:f>'estatística'!$B$451</c:f>
            </c:strRef>
          </c:tx>
          <c:cat>
            <c:strRef>
              <c:f>'estatística'!$C$1:$M$1</c:f>
            </c:strRef>
          </c:cat>
          <c:val>
            <c:numRef>
              <c:f>'estatística'!$C$451:$M$451</c:f>
              <c:numCache/>
            </c:numRef>
          </c:val>
        </c:ser>
        <c:ser>
          <c:idx val="450"/>
          <c:order val="450"/>
          <c:tx>
            <c:strRef>
              <c:f>'estatística'!$B$452</c:f>
            </c:strRef>
          </c:tx>
          <c:cat>
            <c:strRef>
              <c:f>'estatística'!$C$1:$M$1</c:f>
            </c:strRef>
          </c:cat>
          <c:val>
            <c:numRef>
              <c:f>'estatística'!$C$452:$M$452</c:f>
              <c:numCache/>
            </c:numRef>
          </c:val>
        </c:ser>
        <c:ser>
          <c:idx val="451"/>
          <c:order val="451"/>
          <c:tx>
            <c:strRef>
              <c:f>'estatística'!$B$453</c:f>
            </c:strRef>
          </c:tx>
          <c:cat>
            <c:strRef>
              <c:f>'estatística'!$C$1:$M$1</c:f>
            </c:strRef>
          </c:cat>
          <c:val>
            <c:numRef>
              <c:f>'estatística'!$C$453:$M$453</c:f>
              <c:numCache/>
            </c:numRef>
          </c:val>
        </c:ser>
        <c:ser>
          <c:idx val="452"/>
          <c:order val="452"/>
          <c:tx>
            <c:strRef>
              <c:f>'estatística'!$B$454</c:f>
            </c:strRef>
          </c:tx>
          <c:cat>
            <c:strRef>
              <c:f>'estatística'!$C$1:$M$1</c:f>
            </c:strRef>
          </c:cat>
          <c:val>
            <c:numRef>
              <c:f>'estatística'!$C$454:$M$454</c:f>
              <c:numCache/>
            </c:numRef>
          </c:val>
        </c:ser>
        <c:ser>
          <c:idx val="453"/>
          <c:order val="453"/>
          <c:tx>
            <c:strRef>
              <c:f>'estatística'!$B$455</c:f>
            </c:strRef>
          </c:tx>
          <c:cat>
            <c:strRef>
              <c:f>'estatística'!$C$1:$M$1</c:f>
            </c:strRef>
          </c:cat>
          <c:val>
            <c:numRef>
              <c:f>'estatística'!$C$455:$M$455</c:f>
              <c:numCache/>
            </c:numRef>
          </c:val>
        </c:ser>
        <c:ser>
          <c:idx val="454"/>
          <c:order val="454"/>
          <c:tx>
            <c:strRef>
              <c:f>'estatística'!$B$456</c:f>
            </c:strRef>
          </c:tx>
          <c:cat>
            <c:strRef>
              <c:f>'estatística'!$C$1:$M$1</c:f>
            </c:strRef>
          </c:cat>
          <c:val>
            <c:numRef>
              <c:f>'estatística'!$C$456:$M$456</c:f>
              <c:numCache/>
            </c:numRef>
          </c:val>
        </c:ser>
        <c:ser>
          <c:idx val="455"/>
          <c:order val="455"/>
          <c:tx>
            <c:strRef>
              <c:f>'estatística'!$B$457</c:f>
            </c:strRef>
          </c:tx>
          <c:cat>
            <c:strRef>
              <c:f>'estatística'!$C$1:$M$1</c:f>
            </c:strRef>
          </c:cat>
          <c:val>
            <c:numRef>
              <c:f>'estatística'!$C$457:$M$457</c:f>
              <c:numCache/>
            </c:numRef>
          </c:val>
        </c:ser>
        <c:ser>
          <c:idx val="456"/>
          <c:order val="456"/>
          <c:tx>
            <c:strRef>
              <c:f>'estatística'!$B$458</c:f>
            </c:strRef>
          </c:tx>
          <c:cat>
            <c:strRef>
              <c:f>'estatística'!$C$1:$M$1</c:f>
            </c:strRef>
          </c:cat>
          <c:val>
            <c:numRef>
              <c:f>'estatística'!$C$458:$M$458</c:f>
              <c:numCache/>
            </c:numRef>
          </c:val>
        </c:ser>
        <c:ser>
          <c:idx val="457"/>
          <c:order val="457"/>
          <c:tx>
            <c:strRef>
              <c:f>'estatística'!$B$459</c:f>
            </c:strRef>
          </c:tx>
          <c:cat>
            <c:strRef>
              <c:f>'estatística'!$C$1:$M$1</c:f>
            </c:strRef>
          </c:cat>
          <c:val>
            <c:numRef>
              <c:f>'estatística'!$C$459:$M$459</c:f>
              <c:numCache/>
            </c:numRef>
          </c:val>
        </c:ser>
        <c:ser>
          <c:idx val="458"/>
          <c:order val="458"/>
          <c:tx>
            <c:strRef>
              <c:f>'estatística'!$B$460</c:f>
            </c:strRef>
          </c:tx>
          <c:cat>
            <c:strRef>
              <c:f>'estatística'!$C$1:$M$1</c:f>
            </c:strRef>
          </c:cat>
          <c:val>
            <c:numRef>
              <c:f>'estatística'!$C$460:$M$460</c:f>
              <c:numCache/>
            </c:numRef>
          </c:val>
        </c:ser>
        <c:ser>
          <c:idx val="459"/>
          <c:order val="459"/>
          <c:tx>
            <c:strRef>
              <c:f>'estatística'!$B$461</c:f>
            </c:strRef>
          </c:tx>
          <c:cat>
            <c:strRef>
              <c:f>'estatística'!$C$1:$M$1</c:f>
            </c:strRef>
          </c:cat>
          <c:val>
            <c:numRef>
              <c:f>'estatística'!$C$461:$M$461</c:f>
              <c:numCache/>
            </c:numRef>
          </c:val>
        </c:ser>
        <c:ser>
          <c:idx val="460"/>
          <c:order val="460"/>
          <c:tx>
            <c:strRef>
              <c:f>'estatística'!$B$462</c:f>
            </c:strRef>
          </c:tx>
          <c:cat>
            <c:strRef>
              <c:f>'estatística'!$C$1:$M$1</c:f>
            </c:strRef>
          </c:cat>
          <c:val>
            <c:numRef>
              <c:f>'estatística'!$C$462:$M$462</c:f>
              <c:numCache/>
            </c:numRef>
          </c:val>
        </c:ser>
        <c:ser>
          <c:idx val="461"/>
          <c:order val="461"/>
          <c:tx>
            <c:strRef>
              <c:f>'estatística'!$B$463</c:f>
            </c:strRef>
          </c:tx>
          <c:cat>
            <c:strRef>
              <c:f>'estatística'!$C$1:$M$1</c:f>
            </c:strRef>
          </c:cat>
          <c:val>
            <c:numRef>
              <c:f>'estatística'!$C$463:$M$463</c:f>
              <c:numCache/>
            </c:numRef>
          </c:val>
        </c:ser>
        <c:ser>
          <c:idx val="462"/>
          <c:order val="462"/>
          <c:tx>
            <c:strRef>
              <c:f>'estatística'!$B$464</c:f>
            </c:strRef>
          </c:tx>
          <c:cat>
            <c:strRef>
              <c:f>'estatística'!$C$1:$M$1</c:f>
            </c:strRef>
          </c:cat>
          <c:val>
            <c:numRef>
              <c:f>'estatística'!$C$464:$M$464</c:f>
              <c:numCache/>
            </c:numRef>
          </c:val>
        </c:ser>
        <c:ser>
          <c:idx val="463"/>
          <c:order val="463"/>
          <c:tx>
            <c:strRef>
              <c:f>'estatística'!$B$465</c:f>
            </c:strRef>
          </c:tx>
          <c:cat>
            <c:strRef>
              <c:f>'estatística'!$C$1:$M$1</c:f>
            </c:strRef>
          </c:cat>
          <c:val>
            <c:numRef>
              <c:f>'estatística'!$C$465:$M$465</c:f>
              <c:numCache/>
            </c:numRef>
          </c:val>
        </c:ser>
        <c:ser>
          <c:idx val="464"/>
          <c:order val="464"/>
          <c:tx>
            <c:strRef>
              <c:f>'estatística'!$B$466</c:f>
            </c:strRef>
          </c:tx>
          <c:cat>
            <c:strRef>
              <c:f>'estatística'!$C$1:$M$1</c:f>
            </c:strRef>
          </c:cat>
          <c:val>
            <c:numRef>
              <c:f>'estatística'!$C$466:$M$466</c:f>
              <c:numCache/>
            </c:numRef>
          </c:val>
        </c:ser>
        <c:ser>
          <c:idx val="465"/>
          <c:order val="465"/>
          <c:tx>
            <c:strRef>
              <c:f>'estatística'!$B$467</c:f>
            </c:strRef>
          </c:tx>
          <c:cat>
            <c:strRef>
              <c:f>'estatística'!$C$1:$M$1</c:f>
            </c:strRef>
          </c:cat>
          <c:val>
            <c:numRef>
              <c:f>'estatística'!$C$467:$M$467</c:f>
              <c:numCache/>
            </c:numRef>
          </c:val>
        </c:ser>
        <c:ser>
          <c:idx val="466"/>
          <c:order val="466"/>
          <c:tx>
            <c:strRef>
              <c:f>'estatística'!$B$468</c:f>
            </c:strRef>
          </c:tx>
          <c:cat>
            <c:strRef>
              <c:f>'estatística'!$C$1:$M$1</c:f>
            </c:strRef>
          </c:cat>
          <c:val>
            <c:numRef>
              <c:f>'estatística'!$C$468:$M$468</c:f>
              <c:numCache/>
            </c:numRef>
          </c:val>
        </c:ser>
        <c:ser>
          <c:idx val="467"/>
          <c:order val="467"/>
          <c:tx>
            <c:strRef>
              <c:f>'estatística'!$B$469</c:f>
            </c:strRef>
          </c:tx>
          <c:cat>
            <c:strRef>
              <c:f>'estatística'!$C$1:$M$1</c:f>
            </c:strRef>
          </c:cat>
          <c:val>
            <c:numRef>
              <c:f>'estatística'!$C$469:$M$469</c:f>
              <c:numCache/>
            </c:numRef>
          </c:val>
        </c:ser>
        <c:ser>
          <c:idx val="468"/>
          <c:order val="468"/>
          <c:tx>
            <c:strRef>
              <c:f>'estatística'!$B$470</c:f>
            </c:strRef>
          </c:tx>
          <c:cat>
            <c:strRef>
              <c:f>'estatística'!$C$1:$M$1</c:f>
            </c:strRef>
          </c:cat>
          <c:val>
            <c:numRef>
              <c:f>'estatística'!$C$470:$M$470</c:f>
              <c:numCache/>
            </c:numRef>
          </c:val>
        </c:ser>
        <c:ser>
          <c:idx val="469"/>
          <c:order val="469"/>
          <c:tx>
            <c:strRef>
              <c:f>'estatística'!$B$471</c:f>
            </c:strRef>
          </c:tx>
          <c:cat>
            <c:strRef>
              <c:f>'estatística'!$C$1:$M$1</c:f>
            </c:strRef>
          </c:cat>
          <c:val>
            <c:numRef>
              <c:f>'estatística'!$C$471:$M$471</c:f>
              <c:numCache/>
            </c:numRef>
          </c:val>
        </c:ser>
        <c:ser>
          <c:idx val="470"/>
          <c:order val="470"/>
          <c:tx>
            <c:strRef>
              <c:f>'estatística'!$B$472</c:f>
            </c:strRef>
          </c:tx>
          <c:cat>
            <c:strRef>
              <c:f>'estatística'!$C$1:$M$1</c:f>
            </c:strRef>
          </c:cat>
          <c:val>
            <c:numRef>
              <c:f>'estatística'!$C$472:$M$472</c:f>
              <c:numCache/>
            </c:numRef>
          </c:val>
        </c:ser>
        <c:ser>
          <c:idx val="471"/>
          <c:order val="471"/>
          <c:tx>
            <c:strRef>
              <c:f>'estatística'!$B$473</c:f>
            </c:strRef>
          </c:tx>
          <c:cat>
            <c:strRef>
              <c:f>'estatística'!$C$1:$M$1</c:f>
            </c:strRef>
          </c:cat>
          <c:val>
            <c:numRef>
              <c:f>'estatística'!$C$473:$M$473</c:f>
              <c:numCache/>
            </c:numRef>
          </c:val>
        </c:ser>
        <c:ser>
          <c:idx val="472"/>
          <c:order val="472"/>
          <c:tx>
            <c:strRef>
              <c:f>'estatística'!$B$474</c:f>
            </c:strRef>
          </c:tx>
          <c:cat>
            <c:strRef>
              <c:f>'estatística'!$C$1:$M$1</c:f>
            </c:strRef>
          </c:cat>
          <c:val>
            <c:numRef>
              <c:f>'estatística'!$C$474:$M$474</c:f>
              <c:numCache/>
            </c:numRef>
          </c:val>
        </c:ser>
        <c:ser>
          <c:idx val="473"/>
          <c:order val="473"/>
          <c:tx>
            <c:strRef>
              <c:f>'estatística'!$B$475</c:f>
            </c:strRef>
          </c:tx>
          <c:cat>
            <c:strRef>
              <c:f>'estatística'!$C$1:$M$1</c:f>
            </c:strRef>
          </c:cat>
          <c:val>
            <c:numRef>
              <c:f>'estatística'!$C$475:$M$475</c:f>
              <c:numCache/>
            </c:numRef>
          </c:val>
        </c:ser>
        <c:ser>
          <c:idx val="474"/>
          <c:order val="474"/>
          <c:tx>
            <c:strRef>
              <c:f>'estatística'!$B$476</c:f>
            </c:strRef>
          </c:tx>
          <c:cat>
            <c:strRef>
              <c:f>'estatística'!$C$1:$M$1</c:f>
            </c:strRef>
          </c:cat>
          <c:val>
            <c:numRef>
              <c:f>'estatística'!$C$476:$M$476</c:f>
              <c:numCache/>
            </c:numRef>
          </c:val>
        </c:ser>
        <c:ser>
          <c:idx val="475"/>
          <c:order val="475"/>
          <c:tx>
            <c:strRef>
              <c:f>'estatística'!$B$477</c:f>
            </c:strRef>
          </c:tx>
          <c:cat>
            <c:strRef>
              <c:f>'estatística'!$C$1:$M$1</c:f>
            </c:strRef>
          </c:cat>
          <c:val>
            <c:numRef>
              <c:f>'estatística'!$C$477:$M$477</c:f>
              <c:numCache/>
            </c:numRef>
          </c:val>
        </c:ser>
        <c:ser>
          <c:idx val="476"/>
          <c:order val="476"/>
          <c:tx>
            <c:strRef>
              <c:f>'estatística'!$B$478</c:f>
            </c:strRef>
          </c:tx>
          <c:cat>
            <c:strRef>
              <c:f>'estatística'!$C$1:$M$1</c:f>
            </c:strRef>
          </c:cat>
          <c:val>
            <c:numRef>
              <c:f>'estatística'!$C$478:$M$478</c:f>
              <c:numCache/>
            </c:numRef>
          </c:val>
        </c:ser>
        <c:ser>
          <c:idx val="477"/>
          <c:order val="477"/>
          <c:tx>
            <c:strRef>
              <c:f>'estatística'!$B$479</c:f>
            </c:strRef>
          </c:tx>
          <c:cat>
            <c:strRef>
              <c:f>'estatística'!$C$1:$M$1</c:f>
            </c:strRef>
          </c:cat>
          <c:val>
            <c:numRef>
              <c:f>'estatística'!$C$479:$M$479</c:f>
              <c:numCache/>
            </c:numRef>
          </c:val>
        </c:ser>
        <c:ser>
          <c:idx val="478"/>
          <c:order val="478"/>
          <c:tx>
            <c:strRef>
              <c:f>'estatística'!$B$480</c:f>
            </c:strRef>
          </c:tx>
          <c:cat>
            <c:strRef>
              <c:f>'estatística'!$C$1:$M$1</c:f>
            </c:strRef>
          </c:cat>
          <c:val>
            <c:numRef>
              <c:f>'estatística'!$C$480:$M$480</c:f>
              <c:numCache/>
            </c:numRef>
          </c:val>
        </c:ser>
        <c:ser>
          <c:idx val="479"/>
          <c:order val="479"/>
          <c:tx>
            <c:strRef>
              <c:f>'estatística'!$B$481</c:f>
            </c:strRef>
          </c:tx>
          <c:cat>
            <c:strRef>
              <c:f>'estatística'!$C$1:$M$1</c:f>
            </c:strRef>
          </c:cat>
          <c:val>
            <c:numRef>
              <c:f>'estatística'!$C$481:$M$481</c:f>
              <c:numCache/>
            </c:numRef>
          </c:val>
        </c:ser>
        <c:ser>
          <c:idx val="480"/>
          <c:order val="480"/>
          <c:tx>
            <c:strRef>
              <c:f>'estatística'!$B$482</c:f>
            </c:strRef>
          </c:tx>
          <c:cat>
            <c:strRef>
              <c:f>'estatística'!$C$1:$M$1</c:f>
            </c:strRef>
          </c:cat>
          <c:val>
            <c:numRef>
              <c:f>'estatística'!$C$482:$M$482</c:f>
              <c:numCache/>
            </c:numRef>
          </c:val>
        </c:ser>
        <c:ser>
          <c:idx val="481"/>
          <c:order val="481"/>
          <c:tx>
            <c:strRef>
              <c:f>'estatística'!$B$483</c:f>
            </c:strRef>
          </c:tx>
          <c:cat>
            <c:strRef>
              <c:f>'estatística'!$C$1:$M$1</c:f>
            </c:strRef>
          </c:cat>
          <c:val>
            <c:numRef>
              <c:f>'estatística'!$C$483:$M$483</c:f>
              <c:numCache/>
            </c:numRef>
          </c:val>
        </c:ser>
        <c:ser>
          <c:idx val="482"/>
          <c:order val="482"/>
          <c:tx>
            <c:strRef>
              <c:f>'estatística'!$B$484</c:f>
            </c:strRef>
          </c:tx>
          <c:cat>
            <c:strRef>
              <c:f>'estatística'!$C$1:$M$1</c:f>
            </c:strRef>
          </c:cat>
          <c:val>
            <c:numRef>
              <c:f>'estatística'!$C$484:$M$484</c:f>
              <c:numCache/>
            </c:numRef>
          </c:val>
        </c:ser>
        <c:ser>
          <c:idx val="483"/>
          <c:order val="483"/>
          <c:tx>
            <c:strRef>
              <c:f>'estatística'!$B$485</c:f>
            </c:strRef>
          </c:tx>
          <c:cat>
            <c:strRef>
              <c:f>'estatística'!$C$1:$M$1</c:f>
            </c:strRef>
          </c:cat>
          <c:val>
            <c:numRef>
              <c:f>'estatística'!$C$485:$M$485</c:f>
              <c:numCache/>
            </c:numRef>
          </c:val>
        </c:ser>
        <c:ser>
          <c:idx val="484"/>
          <c:order val="484"/>
          <c:tx>
            <c:strRef>
              <c:f>'estatística'!$B$486</c:f>
            </c:strRef>
          </c:tx>
          <c:cat>
            <c:strRef>
              <c:f>'estatística'!$C$1:$M$1</c:f>
            </c:strRef>
          </c:cat>
          <c:val>
            <c:numRef>
              <c:f>'estatística'!$C$486:$M$486</c:f>
              <c:numCache/>
            </c:numRef>
          </c:val>
        </c:ser>
        <c:ser>
          <c:idx val="485"/>
          <c:order val="485"/>
          <c:tx>
            <c:strRef>
              <c:f>'estatística'!$B$487</c:f>
            </c:strRef>
          </c:tx>
          <c:cat>
            <c:strRef>
              <c:f>'estatística'!$C$1:$M$1</c:f>
            </c:strRef>
          </c:cat>
          <c:val>
            <c:numRef>
              <c:f>'estatística'!$C$487:$M$487</c:f>
              <c:numCache/>
            </c:numRef>
          </c:val>
        </c:ser>
        <c:ser>
          <c:idx val="486"/>
          <c:order val="486"/>
          <c:tx>
            <c:strRef>
              <c:f>'estatística'!$B$488</c:f>
            </c:strRef>
          </c:tx>
          <c:cat>
            <c:strRef>
              <c:f>'estatística'!$C$1:$M$1</c:f>
            </c:strRef>
          </c:cat>
          <c:val>
            <c:numRef>
              <c:f>'estatística'!$C$488:$M$488</c:f>
              <c:numCache/>
            </c:numRef>
          </c:val>
        </c:ser>
        <c:ser>
          <c:idx val="487"/>
          <c:order val="487"/>
          <c:tx>
            <c:strRef>
              <c:f>'estatística'!$B$489</c:f>
            </c:strRef>
          </c:tx>
          <c:cat>
            <c:strRef>
              <c:f>'estatística'!$C$1:$M$1</c:f>
            </c:strRef>
          </c:cat>
          <c:val>
            <c:numRef>
              <c:f>'estatística'!$C$489:$M$489</c:f>
              <c:numCache/>
            </c:numRef>
          </c:val>
        </c:ser>
        <c:ser>
          <c:idx val="488"/>
          <c:order val="488"/>
          <c:tx>
            <c:strRef>
              <c:f>'estatística'!$B$490</c:f>
            </c:strRef>
          </c:tx>
          <c:cat>
            <c:strRef>
              <c:f>'estatística'!$C$1:$M$1</c:f>
            </c:strRef>
          </c:cat>
          <c:val>
            <c:numRef>
              <c:f>'estatística'!$C$490:$M$490</c:f>
              <c:numCache/>
            </c:numRef>
          </c:val>
        </c:ser>
        <c:ser>
          <c:idx val="489"/>
          <c:order val="489"/>
          <c:tx>
            <c:strRef>
              <c:f>'estatística'!$B$491</c:f>
            </c:strRef>
          </c:tx>
          <c:cat>
            <c:strRef>
              <c:f>'estatística'!$C$1:$M$1</c:f>
            </c:strRef>
          </c:cat>
          <c:val>
            <c:numRef>
              <c:f>'estatística'!$C$491:$M$491</c:f>
              <c:numCache/>
            </c:numRef>
          </c:val>
        </c:ser>
        <c:ser>
          <c:idx val="490"/>
          <c:order val="490"/>
          <c:tx>
            <c:strRef>
              <c:f>'estatística'!$B$492</c:f>
            </c:strRef>
          </c:tx>
          <c:cat>
            <c:strRef>
              <c:f>'estatística'!$C$1:$M$1</c:f>
            </c:strRef>
          </c:cat>
          <c:val>
            <c:numRef>
              <c:f>'estatística'!$C$492:$M$492</c:f>
              <c:numCache/>
            </c:numRef>
          </c:val>
        </c:ser>
        <c:ser>
          <c:idx val="491"/>
          <c:order val="491"/>
          <c:tx>
            <c:strRef>
              <c:f>'estatística'!$B$493</c:f>
            </c:strRef>
          </c:tx>
          <c:cat>
            <c:strRef>
              <c:f>'estatística'!$C$1:$M$1</c:f>
            </c:strRef>
          </c:cat>
          <c:val>
            <c:numRef>
              <c:f>'estatística'!$C$493:$M$493</c:f>
              <c:numCache/>
            </c:numRef>
          </c:val>
        </c:ser>
        <c:ser>
          <c:idx val="492"/>
          <c:order val="492"/>
          <c:tx>
            <c:strRef>
              <c:f>'estatística'!$B$494</c:f>
            </c:strRef>
          </c:tx>
          <c:cat>
            <c:strRef>
              <c:f>'estatística'!$C$1:$M$1</c:f>
            </c:strRef>
          </c:cat>
          <c:val>
            <c:numRef>
              <c:f>'estatística'!$C$494:$M$494</c:f>
              <c:numCache/>
            </c:numRef>
          </c:val>
        </c:ser>
        <c:ser>
          <c:idx val="493"/>
          <c:order val="493"/>
          <c:tx>
            <c:strRef>
              <c:f>'estatística'!$B$495</c:f>
            </c:strRef>
          </c:tx>
          <c:cat>
            <c:strRef>
              <c:f>'estatística'!$C$1:$M$1</c:f>
            </c:strRef>
          </c:cat>
          <c:val>
            <c:numRef>
              <c:f>'estatística'!$C$495:$M$495</c:f>
              <c:numCache/>
            </c:numRef>
          </c:val>
        </c:ser>
        <c:ser>
          <c:idx val="494"/>
          <c:order val="494"/>
          <c:tx>
            <c:strRef>
              <c:f>'estatística'!$B$496</c:f>
            </c:strRef>
          </c:tx>
          <c:cat>
            <c:strRef>
              <c:f>'estatística'!$C$1:$M$1</c:f>
            </c:strRef>
          </c:cat>
          <c:val>
            <c:numRef>
              <c:f>'estatística'!$C$496:$M$496</c:f>
              <c:numCache/>
            </c:numRef>
          </c:val>
        </c:ser>
        <c:ser>
          <c:idx val="495"/>
          <c:order val="495"/>
          <c:tx>
            <c:strRef>
              <c:f>'estatística'!$B$497</c:f>
            </c:strRef>
          </c:tx>
          <c:cat>
            <c:strRef>
              <c:f>'estatística'!$C$1:$M$1</c:f>
            </c:strRef>
          </c:cat>
          <c:val>
            <c:numRef>
              <c:f>'estatística'!$C$497:$M$497</c:f>
              <c:numCache/>
            </c:numRef>
          </c:val>
        </c:ser>
        <c:ser>
          <c:idx val="496"/>
          <c:order val="496"/>
          <c:tx>
            <c:strRef>
              <c:f>'estatística'!$B$498</c:f>
            </c:strRef>
          </c:tx>
          <c:cat>
            <c:strRef>
              <c:f>'estatística'!$C$1:$M$1</c:f>
            </c:strRef>
          </c:cat>
          <c:val>
            <c:numRef>
              <c:f>'estatística'!$C$498:$M$498</c:f>
              <c:numCache/>
            </c:numRef>
          </c:val>
        </c:ser>
        <c:ser>
          <c:idx val="497"/>
          <c:order val="497"/>
          <c:tx>
            <c:strRef>
              <c:f>'estatística'!$B$499</c:f>
            </c:strRef>
          </c:tx>
          <c:cat>
            <c:strRef>
              <c:f>'estatística'!$C$1:$M$1</c:f>
            </c:strRef>
          </c:cat>
          <c:val>
            <c:numRef>
              <c:f>'estatística'!$C$499:$M$499</c:f>
              <c:numCache/>
            </c:numRef>
          </c:val>
        </c:ser>
        <c:ser>
          <c:idx val="498"/>
          <c:order val="498"/>
          <c:tx>
            <c:strRef>
              <c:f>'estatística'!$B$500</c:f>
            </c:strRef>
          </c:tx>
          <c:cat>
            <c:strRef>
              <c:f>'estatística'!$C$1:$M$1</c:f>
            </c:strRef>
          </c:cat>
          <c:val>
            <c:numRef>
              <c:f>'estatística'!$C$500:$M$500</c:f>
              <c:numCache/>
            </c:numRef>
          </c:val>
        </c:ser>
        <c:ser>
          <c:idx val="499"/>
          <c:order val="499"/>
          <c:tx>
            <c:strRef>
              <c:f>'estatística'!$B$501</c:f>
            </c:strRef>
          </c:tx>
          <c:cat>
            <c:strRef>
              <c:f>'estatística'!$C$1:$M$1</c:f>
            </c:strRef>
          </c:cat>
          <c:val>
            <c:numRef>
              <c:f>'estatística'!$C$501:$M$501</c:f>
              <c:numCache/>
            </c:numRef>
          </c:val>
        </c:ser>
        <c:ser>
          <c:idx val="500"/>
          <c:order val="500"/>
          <c:tx>
            <c:strRef>
              <c:f>'estatística'!$B$502</c:f>
            </c:strRef>
          </c:tx>
          <c:cat>
            <c:strRef>
              <c:f>'estatística'!$C$1:$M$1</c:f>
            </c:strRef>
          </c:cat>
          <c:val>
            <c:numRef>
              <c:f>'estatística'!$C$502:$M$502</c:f>
              <c:numCache/>
            </c:numRef>
          </c:val>
        </c:ser>
        <c:ser>
          <c:idx val="501"/>
          <c:order val="501"/>
          <c:tx>
            <c:strRef>
              <c:f>'estatística'!$B$503</c:f>
            </c:strRef>
          </c:tx>
          <c:cat>
            <c:strRef>
              <c:f>'estatística'!$C$1:$M$1</c:f>
            </c:strRef>
          </c:cat>
          <c:val>
            <c:numRef>
              <c:f>'estatística'!$C$503:$M$503</c:f>
              <c:numCache/>
            </c:numRef>
          </c:val>
        </c:ser>
        <c:ser>
          <c:idx val="502"/>
          <c:order val="502"/>
          <c:tx>
            <c:strRef>
              <c:f>'estatística'!$B$504</c:f>
            </c:strRef>
          </c:tx>
          <c:cat>
            <c:strRef>
              <c:f>'estatística'!$C$1:$M$1</c:f>
            </c:strRef>
          </c:cat>
          <c:val>
            <c:numRef>
              <c:f>'estatística'!$C$504:$M$504</c:f>
              <c:numCache/>
            </c:numRef>
          </c:val>
        </c:ser>
        <c:ser>
          <c:idx val="503"/>
          <c:order val="503"/>
          <c:tx>
            <c:strRef>
              <c:f>'estatística'!$B$505</c:f>
            </c:strRef>
          </c:tx>
          <c:cat>
            <c:strRef>
              <c:f>'estatística'!$C$1:$M$1</c:f>
            </c:strRef>
          </c:cat>
          <c:val>
            <c:numRef>
              <c:f>'estatística'!$C$505:$M$505</c:f>
              <c:numCache/>
            </c:numRef>
          </c:val>
        </c:ser>
        <c:ser>
          <c:idx val="504"/>
          <c:order val="504"/>
          <c:tx>
            <c:strRef>
              <c:f>'estatística'!$B$506</c:f>
            </c:strRef>
          </c:tx>
          <c:cat>
            <c:strRef>
              <c:f>'estatística'!$C$1:$M$1</c:f>
            </c:strRef>
          </c:cat>
          <c:val>
            <c:numRef>
              <c:f>'estatística'!$C$506:$M$506</c:f>
              <c:numCache/>
            </c:numRef>
          </c:val>
        </c:ser>
        <c:ser>
          <c:idx val="505"/>
          <c:order val="505"/>
          <c:tx>
            <c:strRef>
              <c:f>'estatística'!$B$507</c:f>
            </c:strRef>
          </c:tx>
          <c:cat>
            <c:strRef>
              <c:f>'estatística'!$C$1:$M$1</c:f>
            </c:strRef>
          </c:cat>
          <c:val>
            <c:numRef>
              <c:f>'estatística'!$C$507:$M$507</c:f>
              <c:numCache/>
            </c:numRef>
          </c:val>
        </c:ser>
        <c:ser>
          <c:idx val="506"/>
          <c:order val="506"/>
          <c:tx>
            <c:strRef>
              <c:f>'estatística'!$B$508</c:f>
            </c:strRef>
          </c:tx>
          <c:cat>
            <c:strRef>
              <c:f>'estatística'!$C$1:$M$1</c:f>
            </c:strRef>
          </c:cat>
          <c:val>
            <c:numRef>
              <c:f>'estatística'!$C$508:$M$508</c:f>
              <c:numCache/>
            </c:numRef>
          </c:val>
        </c:ser>
        <c:ser>
          <c:idx val="507"/>
          <c:order val="507"/>
          <c:tx>
            <c:strRef>
              <c:f>'estatística'!$B$509</c:f>
            </c:strRef>
          </c:tx>
          <c:cat>
            <c:strRef>
              <c:f>'estatística'!$C$1:$M$1</c:f>
            </c:strRef>
          </c:cat>
          <c:val>
            <c:numRef>
              <c:f>'estatística'!$C$509:$M$509</c:f>
              <c:numCache/>
            </c:numRef>
          </c:val>
        </c:ser>
        <c:ser>
          <c:idx val="508"/>
          <c:order val="508"/>
          <c:tx>
            <c:strRef>
              <c:f>'estatística'!$B$510</c:f>
            </c:strRef>
          </c:tx>
          <c:cat>
            <c:strRef>
              <c:f>'estatística'!$C$1:$M$1</c:f>
            </c:strRef>
          </c:cat>
          <c:val>
            <c:numRef>
              <c:f>'estatística'!$C$510:$M$510</c:f>
              <c:numCache/>
            </c:numRef>
          </c:val>
        </c:ser>
        <c:ser>
          <c:idx val="509"/>
          <c:order val="509"/>
          <c:tx>
            <c:strRef>
              <c:f>'estatística'!$B$511</c:f>
            </c:strRef>
          </c:tx>
          <c:cat>
            <c:strRef>
              <c:f>'estatística'!$C$1:$M$1</c:f>
            </c:strRef>
          </c:cat>
          <c:val>
            <c:numRef>
              <c:f>'estatística'!$C$511:$M$511</c:f>
              <c:numCache/>
            </c:numRef>
          </c:val>
        </c:ser>
        <c:ser>
          <c:idx val="510"/>
          <c:order val="510"/>
          <c:tx>
            <c:strRef>
              <c:f>'estatística'!$B$512</c:f>
            </c:strRef>
          </c:tx>
          <c:cat>
            <c:strRef>
              <c:f>'estatística'!$C$1:$M$1</c:f>
            </c:strRef>
          </c:cat>
          <c:val>
            <c:numRef>
              <c:f>'estatística'!$C$512:$M$512</c:f>
              <c:numCache/>
            </c:numRef>
          </c:val>
        </c:ser>
        <c:ser>
          <c:idx val="511"/>
          <c:order val="511"/>
          <c:tx>
            <c:strRef>
              <c:f>'estatística'!$B$513</c:f>
            </c:strRef>
          </c:tx>
          <c:cat>
            <c:strRef>
              <c:f>'estatística'!$C$1:$M$1</c:f>
            </c:strRef>
          </c:cat>
          <c:val>
            <c:numRef>
              <c:f>'estatística'!$C$513:$M$513</c:f>
              <c:numCache/>
            </c:numRef>
          </c:val>
        </c:ser>
        <c:ser>
          <c:idx val="512"/>
          <c:order val="512"/>
          <c:tx>
            <c:strRef>
              <c:f>'estatística'!$B$514</c:f>
            </c:strRef>
          </c:tx>
          <c:cat>
            <c:strRef>
              <c:f>'estatística'!$C$1:$M$1</c:f>
            </c:strRef>
          </c:cat>
          <c:val>
            <c:numRef>
              <c:f>'estatística'!$C$514:$M$514</c:f>
              <c:numCache/>
            </c:numRef>
          </c:val>
        </c:ser>
        <c:ser>
          <c:idx val="513"/>
          <c:order val="513"/>
          <c:tx>
            <c:strRef>
              <c:f>'estatística'!$B$515</c:f>
            </c:strRef>
          </c:tx>
          <c:cat>
            <c:strRef>
              <c:f>'estatística'!$C$1:$M$1</c:f>
            </c:strRef>
          </c:cat>
          <c:val>
            <c:numRef>
              <c:f>'estatística'!$C$515:$M$515</c:f>
              <c:numCache/>
            </c:numRef>
          </c:val>
        </c:ser>
        <c:ser>
          <c:idx val="514"/>
          <c:order val="514"/>
          <c:tx>
            <c:strRef>
              <c:f>'estatística'!$B$516</c:f>
            </c:strRef>
          </c:tx>
          <c:cat>
            <c:strRef>
              <c:f>'estatística'!$C$1:$M$1</c:f>
            </c:strRef>
          </c:cat>
          <c:val>
            <c:numRef>
              <c:f>'estatística'!$C$516:$M$516</c:f>
              <c:numCache/>
            </c:numRef>
          </c:val>
        </c:ser>
        <c:ser>
          <c:idx val="515"/>
          <c:order val="515"/>
          <c:tx>
            <c:strRef>
              <c:f>'estatística'!$B$517</c:f>
            </c:strRef>
          </c:tx>
          <c:cat>
            <c:strRef>
              <c:f>'estatística'!$C$1:$M$1</c:f>
            </c:strRef>
          </c:cat>
          <c:val>
            <c:numRef>
              <c:f>'estatística'!$C$517:$M$517</c:f>
              <c:numCache/>
            </c:numRef>
          </c:val>
        </c:ser>
        <c:ser>
          <c:idx val="516"/>
          <c:order val="516"/>
          <c:tx>
            <c:strRef>
              <c:f>'estatística'!$B$518</c:f>
            </c:strRef>
          </c:tx>
          <c:cat>
            <c:strRef>
              <c:f>'estatística'!$C$1:$M$1</c:f>
            </c:strRef>
          </c:cat>
          <c:val>
            <c:numRef>
              <c:f>'estatística'!$C$518:$M$518</c:f>
              <c:numCache/>
            </c:numRef>
          </c:val>
        </c:ser>
        <c:ser>
          <c:idx val="517"/>
          <c:order val="517"/>
          <c:tx>
            <c:strRef>
              <c:f>'estatística'!$B$519</c:f>
            </c:strRef>
          </c:tx>
          <c:cat>
            <c:strRef>
              <c:f>'estatística'!$C$1:$M$1</c:f>
            </c:strRef>
          </c:cat>
          <c:val>
            <c:numRef>
              <c:f>'estatística'!$C$519:$M$519</c:f>
              <c:numCache/>
            </c:numRef>
          </c:val>
        </c:ser>
        <c:ser>
          <c:idx val="518"/>
          <c:order val="518"/>
          <c:tx>
            <c:strRef>
              <c:f>'estatística'!$B$520</c:f>
            </c:strRef>
          </c:tx>
          <c:cat>
            <c:strRef>
              <c:f>'estatística'!$C$1:$M$1</c:f>
            </c:strRef>
          </c:cat>
          <c:val>
            <c:numRef>
              <c:f>'estatística'!$C$520:$M$520</c:f>
              <c:numCache/>
            </c:numRef>
          </c:val>
        </c:ser>
        <c:ser>
          <c:idx val="519"/>
          <c:order val="519"/>
          <c:tx>
            <c:strRef>
              <c:f>'estatística'!$B$521</c:f>
            </c:strRef>
          </c:tx>
          <c:cat>
            <c:strRef>
              <c:f>'estatística'!$C$1:$M$1</c:f>
            </c:strRef>
          </c:cat>
          <c:val>
            <c:numRef>
              <c:f>'estatística'!$C$521:$M$521</c:f>
              <c:numCache/>
            </c:numRef>
          </c:val>
        </c:ser>
        <c:ser>
          <c:idx val="520"/>
          <c:order val="520"/>
          <c:tx>
            <c:strRef>
              <c:f>'estatística'!$B$522</c:f>
            </c:strRef>
          </c:tx>
          <c:cat>
            <c:strRef>
              <c:f>'estatística'!$C$1:$M$1</c:f>
            </c:strRef>
          </c:cat>
          <c:val>
            <c:numRef>
              <c:f>'estatística'!$C$522:$M$522</c:f>
              <c:numCache/>
            </c:numRef>
          </c:val>
        </c:ser>
        <c:ser>
          <c:idx val="521"/>
          <c:order val="521"/>
          <c:tx>
            <c:strRef>
              <c:f>'estatística'!$B$523</c:f>
            </c:strRef>
          </c:tx>
          <c:cat>
            <c:strRef>
              <c:f>'estatística'!$C$1:$M$1</c:f>
            </c:strRef>
          </c:cat>
          <c:val>
            <c:numRef>
              <c:f>'estatística'!$C$523:$M$523</c:f>
              <c:numCache/>
            </c:numRef>
          </c:val>
        </c:ser>
        <c:ser>
          <c:idx val="522"/>
          <c:order val="522"/>
          <c:tx>
            <c:strRef>
              <c:f>'estatística'!$B$524</c:f>
            </c:strRef>
          </c:tx>
          <c:cat>
            <c:strRef>
              <c:f>'estatística'!$C$1:$M$1</c:f>
            </c:strRef>
          </c:cat>
          <c:val>
            <c:numRef>
              <c:f>'estatística'!$C$524:$M$524</c:f>
              <c:numCache/>
            </c:numRef>
          </c:val>
        </c:ser>
        <c:ser>
          <c:idx val="523"/>
          <c:order val="523"/>
          <c:tx>
            <c:strRef>
              <c:f>'estatística'!$B$525</c:f>
            </c:strRef>
          </c:tx>
          <c:cat>
            <c:strRef>
              <c:f>'estatística'!$C$1:$M$1</c:f>
            </c:strRef>
          </c:cat>
          <c:val>
            <c:numRef>
              <c:f>'estatística'!$C$525:$M$525</c:f>
              <c:numCache/>
            </c:numRef>
          </c:val>
        </c:ser>
        <c:ser>
          <c:idx val="524"/>
          <c:order val="524"/>
          <c:tx>
            <c:strRef>
              <c:f>'estatística'!$B$526</c:f>
            </c:strRef>
          </c:tx>
          <c:cat>
            <c:strRef>
              <c:f>'estatística'!$C$1:$M$1</c:f>
            </c:strRef>
          </c:cat>
          <c:val>
            <c:numRef>
              <c:f>'estatística'!$C$526:$M$526</c:f>
              <c:numCache/>
            </c:numRef>
          </c:val>
        </c:ser>
        <c:ser>
          <c:idx val="525"/>
          <c:order val="525"/>
          <c:tx>
            <c:strRef>
              <c:f>'estatística'!$B$527</c:f>
            </c:strRef>
          </c:tx>
          <c:cat>
            <c:strRef>
              <c:f>'estatística'!$C$1:$M$1</c:f>
            </c:strRef>
          </c:cat>
          <c:val>
            <c:numRef>
              <c:f>'estatística'!$C$527:$M$527</c:f>
              <c:numCache/>
            </c:numRef>
          </c:val>
        </c:ser>
        <c:ser>
          <c:idx val="526"/>
          <c:order val="526"/>
          <c:tx>
            <c:strRef>
              <c:f>'estatística'!$B$528</c:f>
            </c:strRef>
          </c:tx>
          <c:cat>
            <c:strRef>
              <c:f>'estatística'!$C$1:$M$1</c:f>
            </c:strRef>
          </c:cat>
          <c:val>
            <c:numRef>
              <c:f>'estatística'!$C$528:$M$528</c:f>
              <c:numCache/>
            </c:numRef>
          </c:val>
        </c:ser>
        <c:ser>
          <c:idx val="527"/>
          <c:order val="527"/>
          <c:tx>
            <c:strRef>
              <c:f>'estatística'!$B$529</c:f>
            </c:strRef>
          </c:tx>
          <c:cat>
            <c:strRef>
              <c:f>'estatística'!$C$1:$M$1</c:f>
            </c:strRef>
          </c:cat>
          <c:val>
            <c:numRef>
              <c:f>'estatística'!$C$529:$M$529</c:f>
              <c:numCache/>
            </c:numRef>
          </c:val>
        </c:ser>
        <c:ser>
          <c:idx val="528"/>
          <c:order val="528"/>
          <c:tx>
            <c:strRef>
              <c:f>'estatística'!$B$530</c:f>
            </c:strRef>
          </c:tx>
          <c:cat>
            <c:strRef>
              <c:f>'estatística'!$C$1:$M$1</c:f>
            </c:strRef>
          </c:cat>
          <c:val>
            <c:numRef>
              <c:f>'estatística'!$C$530:$M$530</c:f>
              <c:numCache/>
            </c:numRef>
          </c:val>
        </c:ser>
        <c:ser>
          <c:idx val="529"/>
          <c:order val="529"/>
          <c:tx>
            <c:strRef>
              <c:f>'estatística'!$B$531</c:f>
            </c:strRef>
          </c:tx>
          <c:cat>
            <c:strRef>
              <c:f>'estatística'!$C$1:$M$1</c:f>
            </c:strRef>
          </c:cat>
          <c:val>
            <c:numRef>
              <c:f>'estatística'!$C$531:$M$531</c:f>
              <c:numCache/>
            </c:numRef>
          </c:val>
        </c:ser>
        <c:ser>
          <c:idx val="530"/>
          <c:order val="530"/>
          <c:tx>
            <c:strRef>
              <c:f>'estatística'!$B$532</c:f>
            </c:strRef>
          </c:tx>
          <c:cat>
            <c:strRef>
              <c:f>'estatística'!$C$1:$M$1</c:f>
            </c:strRef>
          </c:cat>
          <c:val>
            <c:numRef>
              <c:f>'estatística'!$C$532:$M$532</c:f>
              <c:numCache/>
            </c:numRef>
          </c:val>
        </c:ser>
        <c:ser>
          <c:idx val="531"/>
          <c:order val="531"/>
          <c:tx>
            <c:strRef>
              <c:f>'estatística'!$B$533</c:f>
            </c:strRef>
          </c:tx>
          <c:cat>
            <c:strRef>
              <c:f>'estatística'!$C$1:$M$1</c:f>
            </c:strRef>
          </c:cat>
          <c:val>
            <c:numRef>
              <c:f>'estatística'!$C$533:$M$533</c:f>
              <c:numCache/>
            </c:numRef>
          </c:val>
        </c:ser>
        <c:ser>
          <c:idx val="532"/>
          <c:order val="532"/>
          <c:tx>
            <c:strRef>
              <c:f>'estatística'!$B$534</c:f>
            </c:strRef>
          </c:tx>
          <c:cat>
            <c:strRef>
              <c:f>'estatística'!$C$1:$M$1</c:f>
            </c:strRef>
          </c:cat>
          <c:val>
            <c:numRef>
              <c:f>'estatística'!$C$534:$M$534</c:f>
              <c:numCache/>
            </c:numRef>
          </c:val>
        </c:ser>
        <c:ser>
          <c:idx val="533"/>
          <c:order val="533"/>
          <c:tx>
            <c:strRef>
              <c:f>'estatística'!$B$535</c:f>
            </c:strRef>
          </c:tx>
          <c:cat>
            <c:strRef>
              <c:f>'estatística'!$C$1:$M$1</c:f>
            </c:strRef>
          </c:cat>
          <c:val>
            <c:numRef>
              <c:f>'estatística'!$C$535:$M$535</c:f>
              <c:numCache/>
            </c:numRef>
          </c:val>
        </c:ser>
        <c:ser>
          <c:idx val="534"/>
          <c:order val="534"/>
          <c:tx>
            <c:strRef>
              <c:f>'estatística'!$B$536</c:f>
            </c:strRef>
          </c:tx>
          <c:cat>
            <c:strRef>
              <c:f>'estatística'!$C$1:$M$1</c:f>
            </c:strRef>
          </c:cat>
          <c:val>
            <c:numRef>
              <c:f>'estatística'!$C$536:$M$536</c:f>
              <c:numCache/>
            </c:numRef>
          </c:val>
        </c:ser>
        <c:ser>
          <c:idx val="535"/>
          <c:order val="535"/>
          <c:tx>
            <c:strRef>
              <c:f>'estatística'!$B$537</c:f>
            </c:strRef>
          </c:tx>
          <c:cat>
            <c:strRef>
              <c:f>'estatística'!$C$1:$M$1</c:f>
            </c:strRef>
          </c:cat>
          <c:val>
            <c:numRef>
              <c:f>'estatística'!$C$537:$M$537</c:f>
              <c:numCache/>
            </c:numRef>
          </c:val>
        </c:ser>
        <c:ser>
          <c:idx val="536"/>
          <c:order val="536"/>
          <c:tx>
            <c:strRef>
              <c:f>'estatística'!$B$538</c:f>
            </c:strRef>
          </c:tx>
          <c:cat>
            <c:strRef>
              <c:f>'estatística'!$C$1:$M$1</c:f>
            </c:strRef>
          </c:cat>
          <c:val>
            <c:numRef>
              <c:f>'estatística'!$C$538:$M$538</c:f>
              <c:numCache/>
            </c:numRef>
          </c:val>
        </c:ser>
        <c:ser>
          <c:idx val="537"/>
          <c:order val="537"/>
          <c:tx>
            <c:strRef>
              <c:f>'estatística'!$B$539</c:f>
            </c:strRef>
          </c:tx>
          <c:cat>
            <c:strRef>
              <c:f>'estatística'!$C$1:$M$1</c:f>
            </c:strRef>
          </c:cat>
          <c:val>
            <c:numRef>
              <c:f>'estatística'!$C$539:$M$539</c:f>
              <c:numCache/>
            </c:numRef>
          </c:val>
        </c:ser>
        <c:ser>
          <c:idx val="538"/>
          <c:order val="538"/>
          <c:tx>
            <c:strRef>
              <c:f>'estatística'!$B$540</c:f>
            </c:strRef>
          </c:tx>
          <c:cat>
            <c:strRef>
              <c:f>'estatística'!$C$1:$M$1</c:f>
            </c:strRef>
          </c:cat>
          <c:val>
            <c:numRef>
              <c:f>'estatística'!$C$540:$M$540</c:f>
              <c:numCache/>
            </c:numRef>
          </c:val>
        </c:ser>
        <c:ser>
          <c:idx val="539"/>
          <c:order val="539"/>
          <c:tx>
            <c:strRef>
              <c:f>'estatística'!$B$541</c:f>
            </c:strRef>
          </c:tx>
          <c:cat>
            <c:strRef>
              <c:f>'estatística'!$C$1:$M$1</c:f>
            </c:strRef>
          </c:cat>
          <c:val>
            <c:numRef>
              <c:f>'estatística'!$C$541:$M$541</c:f>
              <c:numCache/>
            </c:numRef>
          </c:val>
        </c:ser>
        <c:ser>
          <c:idx val="540"/>
          <c:order val="540"/>
          <c:tx>
            <c:strRef>
              <c:f>'estatística'!$B$542</c:f>
            </c:strRef>
          </c:tx>
          <c:cat>
            <c:strRef>
              <c:f>'estatística'!$C$1:$M$1</c:f>
            </c:strRef>
          </c:cat>
          <c:val>
            <c:numRef>
              <c:f>'estatística'!$C$542:$M$542</c:f>
              <c:numCache/>
            </c:numRef>
          </c:val>
        </c:ser>
        <c:ser>
          <c:idx val="541"/>
          <c:order val="541"/>
          <c:tx>
            <c:strRef>
              <c:f>'estatística'!$B$543</c:f>
            </c:strRef>
          </c:tx>
          <c:cat>
            <c:strRef>
              <c:f>'estatística'!$C$1:$M$1</c:f>
            </c:strRef>
          </c:cat>
          <c:val>
            <c:numRef>
              <c:f>'estatística'!$C$543:$M$543</c:f>
              <c:numCache/>
            </c:numRef>
          </c:val>
        </c:ser>
        <c:ser>
          <c:idx val="542"/>
          <c:order val="542"/>
          <c:tx>
            <c:strRef>
              <c:f>'estatística'!$B$544</c:f>
            </c:strRef>
          </c:tx>
          <c:cat>
            <c:strRef>
              <c:f>'estatística'!$C$1:$M$1</c:f>
            </c:strRef>
          </c:cat>
          <c:val>
            <c:numRef>
              <c:f>'estatística'!$C$544:$M$544</c:f>
              <c:numCache/>
            </c:numRef>
          </c:val>
        </c:ser>
        <c:ser>
          <c:idx val="543"/>
          <c:order val="543"/>
          <c:tx>
            <c:strRef>
              <c:f>'estatística'!$B$545</c:f>
            </c:strRef>
          </c:tx>
          <c:cat>
            <c:strRef>
              <c:f>'estatística'!$C$1:$M$1</c:f>
            </c:strRef>
          </c:cat>
          <c:val>
            <c:numRef>
              <c:f>'estatística'!$C$545:$M$545</c:f>
              <c:numCache/>
            </c:numRef>
          </c:val>
        </c:ser>
        <c:ser>
          <c:idx val="544"/>
          <c:order val="544"/>
          <c:tx>
            <c:strRef>
              <c:f>'estatística'!$B$546</c:f>
            </c:strRef>
          </c:tx>
          <c:cat>
            <c:strRef>
              <c:f>'estatística'!$C$1:$M$1</c:f>
            </c:strRef>
          </c:cat>
          <c:val>
            <c:numRef>
              <c:f>'estatística'!$C$546:$M$546</c:f>
              <c:numCache/>
            </c:numRef>
          </c:val>
        </c:ser>
        <c:ser>
          <c:idx val="545"/>
          <c:order val="545"/>
          <c:tx>
            <c:strRef>
              <c:f>'estatística'!$B$547</c:f>
            </c:strRef>
          </c:tx>
          <c:cat>
            <c:strRef>
              <c:f>'estatística'!$C$1:$M$1</c:f>
            </c:strRef>
          </c:cat>
          <c:val>
            <c:numRef>
              <c:f>'estatística'!$C$547:$M$547</c:f>
              <c:numCache/>
            </c:numRef>
          </c:val>
        </c:ser>
        <c:ser>
          <c:idx val="546"/>
          <c:order val="546"/>
          <c:tx>
            <c:strRef>
              <c:f>'estatística'!$B$548</c:f>
            </c:strRef>
          </c:tx>
          <c:cat>
            <c:strRef>
              <c:f>'estatística'!$C$1:$M$1</c:f>
            </c:strRef>
          </c:cat>
          <c:val>
            <c:numRef>
              <c:f>'estatística'!$C$548:$M$548</c:f>
              <c:numCache/>
            </c:numRef>
          </c:val>
        </c:ser>
        <c:ser>
          <c:idx val="547"/>
          <c:order val="547"/>
          <c:tx>
            <c:strRef>
              <c:f>'estatística'!$B$549</c:f>
            </c:strRef>
          </c:tx>
          <c:cat>
            <c:strRef>
              <c:f>'estatística'!$C$1:$M$1</c:f>
            </c:strRef>
          </c:cat>
          <c:val>
            <c:numRef>
              <c:f>'estatística'!$C$549:$M$549</c:f>
              <c:numCache/>
            </c:numRef>
          </c:val>
        </c:ser>
        <c:ser>
          <c:idx val="548"/>
          <c:order val="548"/>
          <c:tx>
            <c:strRef>
              <c:f>'estatística'!$B$550</c:f>
            </c:strRef>
          </c:tx>
          <c:cat>
            <c:strRef>
              <c:f>'estatística'!$C$1:$M$1</c:f>
            </c:strRef>
          </c:cat>
          <c:val>
            <c:numRef>
              <c:f>'estatística'!$C$550:$M$550</c:f>
              <c:numCache/>
            </c:numRef>
          </c:val>
        </c:ser>
        <c:ser>
          <c:idx val="549"/>
          <c:order val="549"/>
          <c:tx>
            <c:strRef>
              <c:f>'estatística'!$B$551</c:f>
            </c:strRef>
          </c:tx>
          <c:cat>
            <c:strRef>
              <c:f>'estatística'!$C$1:$M$1</c:f>
            </c:strRef>
          </c:cat>
          <c:val>
            <c:numRef>
              <c:f>'estatística'!$C$551:$M$551</c:f>
              <c:numCache/>
            </c:numRef>
          </c:val>
        </c:ser>
        <c:ser>
          <c:idx val="550"/>
          <c:order val="550"/>
          <c:tx>
            <c:strRef>
              <c:f>'estatística'!$B$552</c:f>
            </c:strRef>
          </c:tx>
          <c:cat>
            <c:strRef>
              <c:f>'estatística'!$C$1:$M$1</c:f>
            </c:strRef>
          </c:cat>
          <c:val>
            <c:numRef>
              <c:f>'estatística'!$C$552:$M$552</c:f>
              <c:numCache/>
            </c:numRef>
          </c:val>
        </c:ser>
        <c:ser>
          <c:idx val="551"/>
          <c:order val="551"/>
          <c:tx>
            <c:strRef>
              <c:f>'estatística'!$B$553</c:f>
            </c:strRef>
          </c:tx>
          <c:cat>
            <c:strRef>
              <c:f>'estatística'!$C$1:$M$1</c:f>
            </c:strRef>
          </c:cat>
          <c:val>
            <c:numRef>
              <c:f>'estatística'!$C$553:$M$553</c:f>
              <c:numCache/>
            </c:numRef>
          </c:val>
        </c:ser>
        <c:ser>
          <c:idx val="552"/>
          <c:order val="552"/>
          <c:tx>
            <c:strRef>
              <c:f>'estatística'!$B$554</c:f>
            </c:strRef>
          </c:tx>
          <c:cat>
            <c:strRef>
              <c:f>'estatística'!$C$1:$M$1</c:f>
            </c:strRef>
          </c:cat>
          <c:val>
            <c:numRef>
              <c:f>'estatística'!$C$554:$M$554</c:f>
              <c:numCache/>
            </c:numRef>
          </c:val>
        </c:ser>
        <c:ser>
          <c:idx val="553"/>
          <c:order val="553"/>
          <c:tx>
            <c:strRef>
              <c:f>'estatística'!$B$555</c:f>
            </c:strRef>
          </c:tx>
          <c:cat>
            <c:strRef>
              <c:f>'estatística'!$C$1:$M$1</c:f>
            </c:strRef>
          </c:cat>
          <c:val>
            <c:numRef>
              <c:f>'estatística'!$C$555:$M$555</c:f>
              <c:numCache/>
            </c:numRef>
          </c:val>
        </c:ser>
        <c:ser>
          <c:idx val="554"/>
          <c:order val="554"/>
          <c:tx>
            <c:strRef>
              <c:f>'estatística'!$B$556</c:f>
            </c:strRef>
          </c:tx>
          <c:cat>
            <c:strRef>
              <c:f>'estatística'!$C$1:$M$1</c:f>
            </c:strRef>
          </c:cat>
          <c:val>
            <c:numRef>
              <c:f>'estatística'!$C$556:$M$556</c:f>
              <c:numCache/>
            </c:numRef>
          </c:val>
        </c:ser>
        <c:ser>
          <c:idx val="555"/>
          <c:order val="555"/>
          <c:tx>
            <c:strRef>
              <c:f>'estatística'!$B$557</c:f>
            </c:strRef>
          </c:tx>
          <c:cat>
            <c:strRef>
              <c:f>'estatística'!$C$1:$M$1</c:f>
            </c:strRef>
          </c:cat>
          <c:val>
            <c:numRef>
              <c:f>'estatística'!$C$557:$M$557</c:f>
              <c:numCache/>
            </c:numRef>
          </c:val>
        </c:ser>
        <c:ser>
          <c:idx val="556"/>
          <c:order val="556"/>
          <c:tx>
            <c:strRef>
              <c:f>'estatística'!$B$558</c:f>
            </c:strRef>
          </c:tx>
          <c:cat>
            <c:strRef>
              <c:f>'estatística'!$C$1:$M$1</c:f>
            </c:strRef>
          </c:cat>
          <c:val>
            <c:numRef>
              <c:f>'estatística'!$C$558:$M$558</c:f>
              <c:numCache/>
            </c:numRef>
          </c:val>
        </c:ser>
        <c:ser>
          <c:idx val="557"/>
          <c:order val="557"/>
          <c:tx>
            <c:strRef>
              <c:f>'estatística'!$B$559</c:f>
            </c:strRef>
          </c:tx>
          <c:cat>
            <c:strRef>
              <c:f>'estatística'!$C$1:$M$1</c:f>
            </c:strRef>
          </c:cat>
          <c:val>
            <c:numRef>
              <c:f>'estatística'!$C$559:$M$559</c:f>
              <c:numCache/>
            </c:numRef>
          </c:val>
        </c:ser>
        <c:ser>
          <c:idx val="558"/>
          <c:order val="558"/>
          <c:tx>
            <c:strRef>
              <c:f>'estatística'!$B$560</c:f>
            </c:strRef>
          </c:tx>
          <c:cat>
            <c:strRef>
              <c:f>'estatística'!$C$1:$M$1</c:f>
            </c:strRef>
          </c:cat>
          <c:val>
            <c:numRef>
              <c:f>'estatística'!$C$560:$M$560</c:f>
              <c:numCache/>
            </c:numRef>
          </c:val>
        </c:ser>
        <c:ser>
          <c:idx val="559"/>
          <c:order val="559"/>
          <c:tx>
            <c:strRef>
              <c:f>'estatística'!$B$561</c:f>
            </c:strRef>
          </c:tx>
          <c:cat>
            <c:strRef>
              <c:f>'estatística'!$C$1:$M$1</c:f>
            </c:strRef>
          </c:cat>
          <c:val>
            <c:numRef>
              <c:f>'estatística'!$C$561:$M$561</c:f>
              <c:numCache/>
            </c:numRef>
          </c:val>
        </c:ser>
        <c:ser>
          <c:idx val="560"/>
          <c:order val="560"/>
          <c:tx>
            <c:strRef>
              <c:f>'estatística'!$B$562</c:f>
            </c:strRef>
          </c:tx>
          <c:cat>
            <c:strRef>
              <c:f>'estatística'!$C$1:$M$1</c:f>
            </c:strRef>
          </c:cat>
          <c:val>
            <c:numRef>
              <c:f>'estatística'!$C$562:$M$562</c:f>
              <c:numCache/>
            </c:numRef>
          </c:val>
        </c:ser>
        <c:ser>
          <c:idx val="561"/>
          <c:order val="561"/>
          <c:tx>
            <c:strRef>
              <c:f>'estatística'!$B$563</c:f>
            </c:strRef>
          </c:tx>
          <c:cat>
            <c:strRef>
              <c:f>'estatística'!$C$1:$M$1</c:f>
            </c:strRef>
          </c:cat>
          <c:val>
            <c:numRef>
              <c:f>'estatística'!$C$563:$M$563</c:f>
              <c:numCache/>
            </c:numRef>
          </c:val>
        </c:ser>
        <c:ser>
          <c:idx val="562"/>
          <c:order val="562"/>
          <c:tx>
            <c:strRef>
              <c:f>'estatística'!$B$564</c:f>
            </c:strRef>
          </c:tx>
          <c:cat>
            <c:strRef>
              <c:f>'estatística'!$C$1:$M$1</c:f>
            </c:strRef>
          </c:cat>
          <c:val>
            <c:numRef>
              <c:f>'estatística'!$C$564:$M$564</c:f>
              <c:numCache/>
            </c:numRef>
          </c:val>
        </c:ser>
        <c:ser>
          <c:idx val="563"/>
          <c:order val="563"/>
          <c:tx>
            <c:strRef>
              <c:f>'estatística'!$B$565</c:f>
            </c:strRef>
          </c:tx>
          <c:cat>
            <c:strRef>
              <c:f>'estatística'!$C$1:$M$1</c:f>
            </c:strRef>
          </c:cat>
          <c:val>
            <c:numRef>
              <c:f>'estatística'!$C$565:$M$565</c:f>
              <c:numCache/>
            </c:numRef>
          </c:val>
        </c:ser>
        <c:ser>
          <c:idx val="564"/>
          <c:order val="564"/>
          <c:tx>
            <c:strRef>
              <c:f>'estatística'!$B$566</c:f>
            </c:strRef>
          </c:tx>
          <c:cat>
            <c:strRef>
              <c:f>'estatística'!$C$1:$M$1</c:f>
            </c:strRef>
          </c:cat>
          <c:val>
            <c:numRef>
              <c:f>'estatística'!$C$566:$M$566</c:f>
              <c:numCache/>
            </c:numRef>
          </c:val>
        </c:ser>
        <c:ser>
          <c:idx val="565"/>
          <c:order val="565"/>
          <c:tx>
            <c:strRef>
              <c:f>'estatística'!$B$567</c:f>
            </c:strRef>
          </c:tx>
          <c:cat>
            <c:strRef>
              <c:f>'estatística'!$C$1:$M$1</c:f>
            </c:strRef>
          </c:cat>
          <c:val>
            <c:numRef>
              <c:f>'estatística'!$C$567:$M$567</c:f>
              <c:numCache/>
            </c:numRef>
          </c:val>
        </c:ser>
        <c:ser>
          <c:idx val="566"/>
          <c:order val="566"/>
          <c:tx>
            <c:strRef>
              <c:f>'estatística'!$B$568</c:f>
            </c:strRef>
          </c:tx>
          <c:cat>
            <c:strRef>
              <c:f>'estatística'!$C$1:$M$1</c:f>
            </c:strRef>
          </c:cat>
          <c:val>
            <c:numRef>
              <c:f>'estatística'!$C$568:$M$568</c:f>
              <c:numCache/>
            </c:numRef>
          </c:val>
        </c:ser>
        <c:ser>
          <c:idx val="567"/>
          <c:order val="567"/>
          <c:tx>
            <c:strRef>
              <c:f>'estatística'!$B$569</c:f>
            </c:strRef>
          </c:tx>
          <c:cat>
            <c:strRef>
              <c:f>'estatística'!$C$1:$M$1</c:f>
            </c:strRef>
          </c:cat>
          <c:val>
            <c:numRef>
              <c:f>'estatística'!$C$569:$M$569</c:f>
              <c:numCache/>
            </c:numRef>
          </c:val>
        </c:ser>
        <c:ser>
          <c:idx val="568"/>
          <c:order val="568"/>
          <c:tx>
            <c:strRef>
              <c:f>'estatística'!$B$570</c:f>
            </c:strRef>
          </c:tx>
          <c:cat>
            <c:strRef>
              <c:f>'estatística'!$C$1:$M$1</c:f>
            </c:strRef>
          </c:cat>
          <c:val>
            <c:numRef>
              <c:f>'estatística'!$C$570:$M$570</c:f>
              <c:numCache/>
            </c:numRef>
          </c:val>
        </c:ser>
        <c:ser>
          <c:idx val="569"/>
          <c:order val="569"/>
          <c:tx>
            <c:strRef>
              <c:f>'estatística'!$B$571</c:f>
            </c:strRef>
          </c:tx>
          <c:cat>
            <c:strRef>
              <c:f>'estatística'!$C$1:$M$1</c:f>
            </c:strRef>
          </c:cat>
          <c:val>
            <c:numRef>
              <c:f>'estatística'!$C$571:$M$571</c:f>
              <c:numCache/>
            </c:numRef>
          </c:val>
        </c:ser>
        <c:ser>
          <c:idx val="570"/>
          <c:order val="570"/>
          <c:tx>
            <c:strRef>
              <c:f>'estatística'!$B$572</c:f>
            </c:strRef>
          </c:tx>
          <c:cat>
            <c:strRef>
              <c:f>'estatística'!$C$1:$M$1</c:f>
            </c:strRef>
          </c:cat>
          <c:val>
            <c:numRef>
              <c:f>'estatística'!$C$572:$M$572</c:f>
              <c:numCache/>
            </c:numRef>
          </c:val>
        </c:ser>
        <c:ser>
          <c:idx val="571"/>
          <c:order val="571"/>
          <c:tx>
            <c:strRef>
              <c:f>'estatística'!$B$573</c:f>
            </c:strRef>
          </c:tx>
          <c:cat>
            <c:strRef>
              <c:f>'estatística'!$C$1:$M$1</c:f>
            </c:strRef>
          </c:cat>
          <c:val>
            <c:numRef>
              <c:f>'estatística'!$C$573:$M$573</c:f>
              <c:numCache/>
            </c:numRef>
          </c:val>
        </c:ser>
        <c:ser>
          <c:idx val="572"/>
          <c:order val="572"/>
          <c:tx>
            <c:strRef>
              <c:f>'estatística'!$B$574</c:f>
            </c:strRef>
          </c:tx>
          <c:cat>
            <c:strRef>
              <c:f>'estatística'!$C$1:$M$1</c:f>
            </c:strRef>
          </c:cat>
          <c:val>
            <c:numRef>
              <c:f>'estatística'!$C$574:$M$574</c:f>
              <c:numCache/>
            </c:numRef>
          </c:val>
        </c:ser>
        <c:ser>
          <c:idx val="573"/>
          <c:order val="573"/>
          <c:tx>
            <c:strRef>
              <c:f>'estatística'!$B$575</c:f>
            </c:strRef>
          </c:tx>
          <c:cat>
            <c:strRef>
              <c:f>'estatística'!$C$1:$M$1</c:f>
            </c:strRef>
          </c:cat>
          <c:val>
            <c:numRef>
              <c:f>'estatística'!$C$575:$M$575</c:f>
              <c:numCache/>
            </c:numRef>
          </c:val>
        </c:ser>
        <c:ser>
          <c:idx val="574"/>
          <c:order val="574"/>
          <c:tx>
            <c:strRef>
              <c:f>'estatística'!$B$576</c:f>
            </c:strRef>
          </c:tx>
          <c:cat>
            <c:strRef>
              <c:f>'estatística'!$C$1:$M$1</c:f>
            </c:strRef>
          </c:cat>
          <c:val>
            <c:numRef>
              <c:f>'estatística'!$C$576:$M$576</c:f>
              <c:numCache/>
            </c:numRef>
          </c:val>
        </c:ser>
        <c:ser>
          <c:idx val="575"/>
          <c:order val="575"/>
          <c:tx>
            <c:strRef>
              <c:f>'estatística'!$B$577</c:f>
            </c:strRef>
          </c:tx>
          <c:cat>
            <c:strRef>
              <c:f>'estatística'!$C$1:$M$1</c:f>
            </c:strRef>
          </c:cat>
          <c:val>
            <c:numRef>
              <c:f>'estatística'!$C$577:$M$577</c:f>
              <c:numCache/>
            </c:numRef>
          </c:val>
        </c:ser>
        <c:ser>
          <c:idx val="576"/>
          <c:order val="576"/>
          <c:tx>
            <c:strRef>
              <c:f>'estatística'!$B$578</c:f>
            </c:strRef>
          </c:tx>
          <c:cat>
            <c:strRef>
              <c:f>'estatística'!$C$1:$M$1</c:f>
            </c:strRef>
          </c:cat>
          <c:val>
            <c:numRef>
              <c:f>'estatística'!$C$578:$M$578</c:f>
              <c:numCache/>
            </c:numRef>
          </c:val>
        </c:ser>
        <c:ser>
          <c:idx val="577"/>
          <c:order val="577"/>
          <c:tx>
            <c:strRef>
              <c:f>'estatística'!$B$579</c:f>
            </c:strRef>
          </c:tx>
          <c:cat>
            <c:strRef>
              <c:f>'estatística'!$C$1:$M$1</c:f>
            </c:strRef>
          </c:cat>
          <c:val>
            <c:numRef>
              <c:f>'estatística'!$C$579:$M$579</c:f>
              <c:numCache/>
            </c:numRef>
          </c:val>
        </c:ser>
        <c:ser>
          <c:idx val="578"/>
          <c:order val="578"/>
          <c:tx>
            <c:strRef>
              <c:f>'estatística'!$B$580</c:f>
            </c:strRef>
          </c:tx>
          <c:cat>
            <c:strRef>
              <c:f>'estatística'!$C$1:$M$1</c:f>
            </c:strRef>
          </c:cat>
          <c:val>
            <c:numRef>
              <c:f>'estatística'!$C$580:$M$580</c:f>
              <c:numCache/>
            </c:numRef>
          </c:val>
        </c:ser>
        <c:ser>
          <c:idx val="579"/>
          <c:order val="579"/>
          <c:tx>
            <c:strRef>
              <c:f>'estatística'!$B$581</c:f>
            </c:strRef>
          </c:tx>
          <c:cat>
            <c:strRef>
              <c:f>'estatística'!$C$1:$M$1</c:f>
            </c:strRef>
          </c:cat>
          <c:val>
            <c:numRef>
              <c:f>'estatística'!$C$581:$M$581</c:f>
              <c:numCache/>
            </c:numRef>
          </c:val>
        </c:ser>
        <c:ser>
          <c:idx val="580"/>
          <c:order val="580"/>
          <c:tx>
            <c:strRef>
              <c:f>'estatística'!$B$582</c:f>
            </c:strRef>
          </c:tx>
          <c:cat>
            <c:strRef>
              <c:f>'estatística'!$C$1:$M$1</c:f>
            </c:strRef>
          </c:cat>
          <c:val>
            <c:numRef>
              <c:f>'estatística'!$C$582:$M$582</c:f>
              <c:numCache/>
            </c:numRef>
          </c:val>
        </c:ser>
        <c:ser>
          <c:idx val="581"/>
          <c:order val="581"/>
          <c:tx>
            <c:strRef>
              <c:f>'estatística'!$B$583</c:f>
            </c:strRef>
          </c:tx>
          <c:cat>
            <c:strRef>
              <c:f>'estatística'!$C$1:$M$1</c:f>
            </c:strRef>
          </c:cat>
          <c:val>
            <c:numRef>
              <c:f>'estatística'!$C$583:$M$583</c:f>
              <c:numCache/>
            </c:numRef>
          </c:val>
        </c:ser>
        <c:ser>
          <c:idx val="582"/>
          <c:order val="582"/>
          <c:tx>
            <c:strRef>
              <c:f>'estatística'!$B$584</c:f>
            </c:strRef>
          </c:tx>
          <c:cat>
            <c:strRef>
              <c:f>'estatística'!$C$1:$M$1</c:f>
            </c:strRef>
          </c:cat>
          <c:val>
            <c:numRef>
              <c:f>'estatística'!$C$584:$M$584</c:f>
              <c:numCache/>
            </c:numRef>
          </c:val>
        </c:ser>
        <c:ser>
          <c:idx val="583"/>
          <c:order val="583"/>
          <c:tx>
            <c:strRef>
              <c:f>'estatística'!$B$585</c:f>
            </c:strRef>
          </c:tx>
          <c:cat>
            <c:strRef>
              <c:f>'estatística'!$C$1:$M$1</c:f>
            </c:strRef>
          </c:cat>
          <c:val>
            <c:numRef>
              <c:f>'estatística'!$C$585:$M$585</c:f>
              <c:numCache/>
            </c:numRef>
          </c:val>
        </c:ser>
        <c:ser>
          <c:idx val="584"/>
          <c:order val="584"/>
          <c:tx>
            <c:strRef>
              <c:f>'estatística'!$B$586</c:f>
            </c:strRef>
          </c:tx>
          <c:cat>
            <c:strRef>
              <c:f>'estatística'!$C$1:$M$1</c:f>
            </c:strRef>
          </c:cat>
          <c:val>
            <c:numRef>
              <c:f>'estatística'!$C$586:$M$586</c:f>
              <c:numCache/>
            </c:numRef>
          </c:val>
        </c:ser>
        <c:ser>
          <c:idx val="585"/>
          <c:order val="585"/>
          <c:tx>
            <c:strRef>
              <c:f>'estatística'!$B$587</c:f>
            </c:strRef>
          </c:tx>
          <c:cat>
            <c:strRef>
              <c:f>'estatística'!$C$1:$M$1</c:f>
            </c:strRef>
          </c:cat>
          <c:val>
            <c:numRef>
              <c:f>'estatística'!$C$587:$M$587</c:f>
              <c:numCache/>
            </c:numRef>
          </c:val>
        </c:ser>
        <c:ser>
          <c:idx val="586"/>
          <c:order val="586"/>
          <c:tx>
            <c:strRef>
              <c:f>'estatística'!$B$588</c:f>
            </c:strRef>
          </c:tx>
          <c:cat>
            <c:strRef>
              <c:f>'estatística'!$C$1:$M$1</c:f>
            </c:strRef>
          </c:cat>
          <c:val>
            <c:numRef>
              <c:f>'estatística'!$C$588:$M$588</c:f>
              <c:numCache/>
            </c:numRef>
          </c:val>
        </c:ser>
        <c:ser>
          <c:idx val="587"/>
          <c:order val="587"/>
          <c:tx>
            <c:strRef>
              <c:f>'estatística'!$B$589</c:f>
            </c:strRef>
          </c:tx>
          <c:cat>
            <c:strRef>
              <c:f>'estatística'!$C$1:$M$1</c:f>
            </c:strRef>
          </c:cat>
          <c:val>
            <c:numRef>
              <c:f>'estatística'!$C$589:$M$589</c:f>
              <c:numCache/>
            </c:numRef>
          </c:val>
        </c:ser>
        <c:ser>
          <c:idx val="588"/>
          <c:order val="588"/>
          <c:tx>
            <c:strRef>
              <c:f>'estatística'!$B$590</c:f>
            </c:strRef>
          </c:tx>
          <c:cat>
            <c:strRef>
              <c:f>'estatística'!$C$1:$M$1</c:f>
            </c:strRef>
          </c:cat>
          <c:val>
            <c:numRef>
              <c:f>'estatística'!$C$590:$M$590</c:f>
              <c:numCache/>
            </c:numRef>
          </c:val>
        </c:ser>
        <c:ser>
          <c:idx val="589"/>
          <c:order val="589"/>
          <c:tx>
            <c:strRef>
              <c:f>'estatística'!$B$591</c:f>
            </c:strRef>
          </c:tx>
          <c:cat>
            <c:strRef>
              <c:f>'estatística'!$C$1:$M$1</c:f>
            </c:strRef>
          </c:cat>
          <c:val>
            <c:numRef>
              <c:f>'estatística'!$C$591:$M$591</c:f>
              <c:numCache/>
            </c:numRef>
          </c:val>
        </c:ser>
        <c:ser>
          <c:idx val="590"/>
          <c:order val="590"/>
          <c:tx>
            <c:strRef>
              <c:f>'estatística'!$B$592</c:f>
            </c:strRef>
          </c:tx>
          <c:cat>
            <c:strRef>
              <c:f>'estatística'!$C$1:$M$1</c:f>
            </c:strRef>
          </c:cat>
          <c:val>
            <c:numRef>
              <c:f>'estatística'!$C$592:$M$592</c:f>
              <c:numCache/>
            </c:numRef>
          </c:val>
        </c:ser>
        <c:ser>
          <c:idx val="591"/>
          <c:order val="591"/>
          <c:tx>
            <c:strRef>
              <c:f>'estatística'!$B$593</c:f>
            </c:strRef>
          </c:tx>
          <c:cat>
            <c:strRef>
              <c:f>'estatística'!$C$1:$M$1</c:f>
            </c:strRef>
          </c:cat>
          <c:val>
            <c:numRef>
              <c:f>'estatística'!$C$593:$M$593</c:f>
              <c:numCache/>
            </c:numRef>
          </c:val>
        </c:ser>
        <c:ser>
          <c:idx val="592"/>
          <c:order val="592"/>
          <c:tx>
            <c:strRef>
              <c:f>'estatística'!$B$594</c:f>
            </c:strRef>
          </c:tx>
          <c:cat>
            <c:strRef>
              <c:f>'estatística'!$C$1:$M$1</c:f>
            </c:strRef>
          </c:cat>
          <c:val>
            <c:numRef>
              <c:f>'estatística'!$C$594:$M$594</c:f>
              <c:numCache/>
            </c:numRef>
          </c:val>
        </c:ser>
        <c:ser>
          <c:idx val="593"/>
          <c:order val="593"/>
          <c:tx>
            <c:strRef>
              <c:f>'estatística'!$B$595</c:f>
            </c:strRef>
          </c:tx>
          <c:cat>
            <c:strRef>
              <c:f>'estatística'!$C$1:$M$1</c:f>
            </c:strRef>
          </c:cat>
          <c:val>
            <c:numRef>
              <c:f>'estatística'!$C$595:$M$595</c:f>
              <c:numCache/>
            </c:numRef>
          </c:val>
        </c:ser>
        <c:ser>
          <c:idx val="594"/>
          <c:order val="594"/>
          <c:tx>
            <c:strRef>
              <c:f>'estatística'!$B$596</c:f>
            </c:strRef>
          </c:tx>
          <c:cat>
            <c:strRef>
              <c:f>'estatística'!$C$1:$M$1</c:f>
            </c:strRef>
          </c:cat>
          <c:val>
            <c:numRef>
              <c:f>'estatística'!$C$596:$M$596</c:f>
              <c:numCache/>
            </c:numRef>
          </c:val>
        </c:ser>
        <c:ser>
          <c:idx val="595"/>
          <c:order val="595"/>
          <c:tx>
            <c:strRef>
              <c:f>'estatística'!$B$597</c:f>
            </c:strRef>
          </c:tx>
          <c:cat>
            <c:strRef>
              <c:f>'estatística'!$C$1:$M$1</c:f>
            </c:strRef>
          </c:cat>
          <c:val>
            <c:numRef>
              <c:f>'estatística'!$C$597:$M$597</c:f>
              <c:numCache/>
            </c:numRef>
          </c:val>
        </c:ser>
        <c:ser>
          <c:idx val="596"/>
          <c:order val="596"/>
          <c:tx>
            <c:strRef>
              <c:f>'estatística'!$B$598</c:f>
            </c:strRef>
          </c:tx>
          <c:cat>
            <c:strRef>
              <c:f>'estatística'!$C$1:$M$1</c:f>
            </c:strRef>
          </c:cat>
          <c:val>
            <c:numRef>
              <c:f>'estatística'!$C$598:$M$598</c:f>
              <c:numCache/>
            </c:numRef>
          </c:val>
        </c:ser>
        <c:ser>
          <c:idx val="597"/>
          <c:order val="597"/>
          <c:tx>
            <c:strRef>
              <c:f>'estatística'!$B$599</c:f>
            </c:strRef>
          </c:tx>
          <c:cat>
            <c:strRef>
              <c:f>'estatística'!$C$1:$M$1</c:f>
            </c:strRef>
          </c:cat>
          <c:val>
            <c:numRef>
              <c:f>'estatística'!$C$599:$M$599</c:f>
              <c:numCache/>
            </c:numRef>
          </c:val>
        </c:ser>
        <c:ser>
          <c:idx val="598"/>
          <c:order val="598"/>
          <c:tx>
            <c:strRef>
              <c:f>'estatística'!$B$600</c:f>
            </c:strRef>
          </c:tx>
          <c:cat>
            <c:strRef>
              <c:f>'estatística'!$C$1:$M$1</c:f>
            </c:strRef>
          </c:cat>
          <c:val>
            <c:numRef>
              <c:f>'estatística'!$C$600:$M$600</c:f>
              <c:numCache/>
            </c:numRef>
          </c:val>
        </c:ser>
        <c:ser>
          <c:idx val="599"/>
          <c:order val="599"/>
          <c:tx>
            <c:strRef>
              <c:f>'estatística'!$B$601</c:f>
            </c:strRef>
          </c:tx>
          <c:cat>
            <c:strRef>
              <c:f>'estatística'!$C$1:$M$1</c:f>
            </c:strRef>
          </c:cat>
          <c:val>
            <c:numRef>
              <c:f>'estatística'!$C$601:$M$601</c:f>
              <c:numCache/>
            </c:numRef>
          </c:val>
        </c:ser>
        <c:ser>
          <c:idx val="600"/>
          <c:order val="600"/>
          <c:tx>
            <c:strRef>
              <c:f>'estatística'!$B$602</c:f>
            </c:strRef>
          </c:tx>
          <c:cat>
            <c:strRef>
              <c:f>'estatística'!$C$1:$M$1</c:f>
            </c:strRef>
          </c:cat>
          <c:val>
            <c:numRef>
              <c:f>'estatística'!$C$602:$M$602</c:f>
              <c:numCache/>
            </c:numRef>
          </c:val>
        </c:ser>
        <c:ser>
          <c:idx val="601"/>
          <c:order val="601"/>
          <c:tx>
            <c:strRef>
              <c:f>'estatística'!$B$603</c:f>
            </c:strRef>
          </c:tx>
          <c:cat>
            <c:strRef>
              <c:f>'estatística'!$C$1:$M$1</c:f>
            </c:strRef>
          </c:cat>
          <c:val>
            <c:numRef>
              <c:f>'estatística'!$C$603:$M$603</c:f>
              <c:numCache/>
            </c:numRef>
          </c:val>
        </c:ser>
        <c:ser>
          <c:idx val="602"/>
          <c:order val="602"/>
          <c:tx>
            <c:strRef>
              <c:f>'estatística'!$B$604</c:f>
            </c:strRef>
          </c:tx>
          <c:cat>
            <c:strRef>
              <c:f>'estatística'!$C$1:$M$1</c:f>
            </c:strRef>
          </c:cat>
          <c:val>
            <c:numRef>
              <c:f>'estatística'!$C$604:$M$604</c:f>
              <c:numCache/>
            </c:numRef>
          </c:val>
        </c:ser>
        <c:ser>
          <c:idx val="603"/>
          <c:order val="603"/>
          <c:tx>
            <c:strRef>
              <c:f>'estatística'!$B$605</c:f>
            </c:strRef>
          </c:tx>
          <c:cat>
            <c:strRef>
              <c:f>'estatística'!$C$1:$M$1</c:f>
            </c:strRef>
          </c:cat>
          <c:val>
            <c:numRef>
              <c:f>'estatística'!$C$605:$M$605</c:f>
              <c:numCache/>
            </c:numRef>
          </c:val>
        </c:ser>
        <c:ser>
          <c:idx val="604"/>
          <c:order val="604"/>
          <c:tx>
            <c:strRef>
              <c:f>'estatística'!$B$606</c:f>
            </c:strRef>
          </c:tx>
          <c:cat>
            <c:strRef>
              <c:f>'estatística'!$C$1:$M$1</c:f>
            </c:strRef>
          </c:cat>
          <c:val>
            <c:numRef>
              <c:f>'estatística'!$C$606:$M$606</c:f>
              <c:numCache/>
            </c:numRef>
          </c:val>
        </c:ser>
        <c:ser>
          <c:idx val="605"/>
          <c:order val="605"/>
          <c:tx>
            <c:strRef>
              <c:f>'estatística'!$B$607</c:f>
            </c:strRef>
          </c:tx>
          <c:cat>
            <c:strRef>
              <c:f>'estatística'!$C$1:$M$1</c:f>
            </c:strRef>
          </c:cat>
          <c:val>
            <c:numRef>
              <c:f>'estatística'!$C$607:$M$607</c:f>
              <c:numCache/>
            </c:numRef>
          </c:val>
        </c:ser>
        <c:ser>
          <c:idx val="606"/>
          <c:order val="606"/>
          <c:tx>
            <c:strRef>
              <c:f>'estatística'!$B$608</c:f>
            </c:strRef>
          </c:tx>
          <c:cat>
            <c:strRef>
              <c:f>'estatística'!$C$1:$M$1</c:f>
            </c:strRef>
          </c:cat>
          <c:val>
            <c:numRef>
              <c:f>'estatística'!$C$608:$M$608</c:f>
              <c:numCache/>
            </c:numRef>
          </c:val>
        </c:ser>
        <c:ser>
          <c:idx val="607"/>
          <c:order val="607"/>
          <c:tx>
            <c:strRef>
              <c:f>'estatística'!$B$609</c:f>
            </c:strRef>
          </c:tx>
          <c:cat>
            <c:strRef>
              <c:f>'estatística'!$C$1:$M$1</c:f>
            </c:strRef>
          </c:cat>
          <c:val>
            <c:numRef>
              <c:f>'estatística'!$C$609:$M$609</c:f>
              <c:numCache/>
            </c:numRef>
          </c:val>
        </c:ser>
        <c:ser>
          <c:idx val="608"/>
          <c:order val="608"/>
          <c:tx>
            <c:strRef>
              <c:f>'estatística'!$B$610</c:f>
            </c:strRef>
          </c:tx>
          <c:cat>
            <c:strRef>
              <c:f>'estatística'!$C$1:$M$1</c:f>
            </c:strRef>
          </c:cat>
          <c:val>
            <c:numRef>
              <c:f>'estatística'!$C$610:$M$610</c:f>
              <c:numCache/>
            </c:numRef>
          </c:val>
        </c:ser>
        <c:ser>
          <c:idx val="609"/>
          <c:order val="609"/>
          <c:tx>
            <c:strRef>
              <c:f>'estatística'!$B$611</c:f>
            </c:strRef>
          </c:tx>
          <c:cat>
            <c:strRef>
              <c:f>'estatística'!$C$1:$M$1</c:f>
            </c:strRef>
          </c:cat>
          <c:val>
            <c:numRef>
              <c:f>'estatística'!$C$611:$M$611</c:f>
              <c:numCache/>
            </c:numRef>
          </c:val>
        </c:ser>
        <c:ser>
          <c:idx val="610"/>
          <c:order val="610"/>
          <c:tx>
            <c:strRef>
              <c:f>'estatística'!$B$612</c:f>
            </c:strRef>
          </c:tx>
          <c:cat>
            <c:strRef>
              <c:f>'estatística'!$C$1:$M$1</c:f>
            </c:strRef>
          </c:cat>
          <c:val>
            <c:numRef>
              <c:f>'estatística'!$C$612:$M$612</c:f>
              <c:numCache/>
            </c:numRef>
          </c:val>
        </c:ser>
        <c:ser>
          <c:idx val="611"/>
          <c:order val="611"/>
          <c:tx>
            <c:strRef>
              <c:f>'estatística'!$B$613</c:f>
            </c:strRef>
          </c:tx>
          <c:cat>
            <c:strRef>
              <c:f>'estatística'!$C$1:$M$1</c:f>
            </c:strRef>
          </c:cat>
          <c:val>
            <c:numRef>
              <c:f>'estatística'!$C$613:$M$613</c:f>
              <c:numCache/>
            </c:numRef>
          </c:val>
        </c:ser>
        <c:ser>
          <c:idx val="612"/>
          <c:order val="612"/>
          <c:tx>
            <c:strRef>
              <c:f>'estatística'!$B$614</c:f>
            </c:strRef>
          </c:tx>
          <c:cat>
            <c:strRef>
              <c:f>'estatística'!$C$1:$M$1</c:f>
            </c:strRef>
          </c:cat>
          <c:val>
            <c:numRef>
              <c:f>'estatística'!$C$614:$M$614</c:f>
              <c:numCache/>
            </c:numRef>
          </c:val>
        </c:ser>
        <c:ser>
          <c:idx val="613"/>
          <c:order val="613"/>
          <c:tx>
            <c:strRef>
              <c:f>'estatística'!$B$615</c:f>
            </c:strRef>
          </c:tx>
          <c:cat>
            <c:strRef>
              <c:f>'estatística'!$C$1:$M$1</c:f>
            </c:strRef>
          </c:cat>
          <c:val>
            <c:numRef>
              <c:f>'estatística'!$C$615:$M$615</c:f>
              <c:numCache/>
            </c:numRef>
          </c:val>
        </c:ser>
        <c:ser>
          <c:idx val="614"/>
          <c:order val="614"/>
          <c:tx>
            <c:strRef>
              <c:f>'estatística'!$B$616</c:f>
            </c:strRef>
          </c:tx>
          <c:cat>
            <c:strRef>
              <c:f>'estatística'!$C$1:$M$1</c:f>
            </c:strRef>
          </c:cat>
          <c:val>
            <c:numRef>
              <c:f>'estatística'!$C$616:$M$616</c:f>
              <c:numCache/>
            </c:numRef>
          </c:val>
        </c:ser>
        <c:ser>
          <c:idx val="615"/>
          <c:order val="615"/>
          <c:tx>
            <c:strRef>
              <c:f>'estatística'!$B$617</c:f>
            </c:strRef>
          </c:tx>
          <c:cat>
            <c:strRef>
              <c:f>'estatística'!$C$1:$M$1</c:f>
            </c:strRef>
          </c:cat>
          <c:val>
            <c:numRef>
              <c:f>'estatística'!$C$617:$M$617</c:f>
              <c:numCache/>
            </c:numRef>
          </c:val>
        </c:ser>
        <c:ser>
          <c:idx val="616"/>
          <c:order val="616"/>
          <c:tx>
            <c:strRef>
              <c:f>'estatística'!$B$618</c:f>
            </c:strRef>
          </c:tx>
          <c:cat>
            <c:strRef>
              <c:f>'estatística'!$C$1:$M$1</c:f>
            </c:strRef>
          </c:cat>
          <c:val>
            <c:numRef>
              <c:f>'estatística'!$C$618:$M$618</c:f>
              <c:numCache/>
            </c:numRef>
          </c:val>
        </c:ser>
        <c:ser>
          <c:idx val="617"/>
          <c:order val="617"/>
          <c:tx>
            <c:strRef>
              <c:f>'estatística'!$B$619</c:f>
            </c:strRef>
          </c:tx>
          <c:cat>
            <c:strRef>
              <c:f>'estatística'!$C$1:$M$1</c:f>
            </c:strRef>
          </c:cat>
          <c:val>
            <c:numRef>
              <c:f>'estatística'!$C$619:$M$619</c:f>
              <c:numCache/>
            </c:numRef>
          </c:val>
        </c:ser>
        <c:ser>
          <c:idx val="618"/>
          <c:order val="618"/>
          <c:tx>
            <c:strRef>
              <c:f>'estatística'!$B$620</c:f>
            </c:strRef>
          </c:tx>
          <c:cat>
            <c:strRef>
              <c:f>'estatística'!$C$1:$M$1</c:f>
            </c:strRef>
          </c:cat>
          <c:val>
            <c:numRef>
              <c:f>'estatística'!$C$620:$M$620</c:f>
              <c:numCache/>
            </c:numRef>
          </c:val>
        </c:ser>
        <c:ser>
          <c:idx val="619"/>
          <c:order val="619"/>
          <c:tx>
            <c:strRef>
              <c:f>'estatística'!$B$621</c:f>
            </c:strRef>
          </c:tx>
          <c:cat>
            <c:strRef>
              <c:f>'estatística'!$C$1:$M$1</c:f>
            </c:strRef>
          </c:cat>
          <c:val>
            <c:numRef>
              <c:f>'estatística'!$C$621:$M$621</c:f>
              <c:numCache/>
            </c:numRef>
          </c:val>
        </c:ser>
        <c:ser>
          <c:idx val="620"/>
          <c:order val="620"/>
          <c:tx>
            <c:strRef>
              <c:f>'estatística'!$B$622</c:f>
            </c:strRef>
          </c:tx>
          <c:cat>
            <c:strRef>
              <c:f>'estatística'!$C$1:$M$1</c:f>
            </c:strRef>
          </c:cat>
          <c:val>
            <c:numRef>
              <c:f>'estatística'!$C$622:$M$622</c:f>
              <c:numCache/>
            </c:numRef>
          </c:val>
        </c:ser>
        <c:ser>
          <c:idx val="621"/>
          <c:order val="621"/>
          <c:tx>
            <c:strRef>
              <c:f>'estatística'!$B$623</c:f>
            </c:strRef>
          </c:tx>
          <c:cat>
            <c:strRef>
              <c:f>'estatística'!$C$1:$M$1</c:f>
            </c:strRef>
          </c:cat>
          <c:val>
            <c:numRef>
              <c:f>'estatística'!$C$623:$M$623</c:f>
              <c:numCache/>
            </c:numRef>
          </c:val>
        </c:ser>
        <c:ser>
          <c:idx val="622"/>
          <c:order val="622"/>
          <c:tx>
            <c:strRef>
              <c:f>'estatística'!$B$624</c:f>
            </c:strRef>
          </c:tx>
          <c:cat>
            <c:strRef>
              <c:f>'estatística'!$C$1:$M$1</c:f>
            </c:strRef>
          </c:cat>
          <c:val>
            <c:numRef>
              <c:f>'estatística'!$C$624:$M$624</c:f>
              <c:numCache/>
            </c:numRef>
          </c:val>
        </c:ser>
        <c:ser>
          <c:idx val="623"/>
          <c:order val="623"/>
          <c:tx>
            <c:strRef>
              <c:f>'estatística'!$B$625</c:f>
            </c:strRef>
          </c:tx>
          <c:cat>
            <c:strRef>
              <c:f>'estatística'!$C$1:$M$1</c:f>
            </c:strRef>
          </c:cat>
          <c:val>
            <c:numRef>
              <c:f>'estatística'!$C$625:$M$625</c:f>
              <c:numCache/>
            </c:numRef>
          </c:val>
        </c:ser>
        <c:ser>
          <c:idx val="624"/>
          <c:order val="624"/>
          <c:tx>
            <c:strRef>
              <c:f>'estatística'!$B$626</c:f>
            </c:strRef>
          </c:tx>
          <c:cat>
            <c:strRef>
              <c:f>'estatística'!$C$1:$M$1</c:f>
            </c:strRef>
          </c:cat>
          <c:val>
            <c:numRef>
              <c:f>'estatística'!$C$626:$M$626</c:f>
              <c:numCache/>
            </c:numRef>
          </c:val>
        </c:ser>
        <c:ser>
          <c:idx val="625"/>
          <c:order val="625"/>
          <c:tx>
            <c:strRef>
              <c:f>'estatística'!$B$627</c:f>
            </c:strRef>
          </c:tx>
          <c:cat>
            <c:strRef>
              <c:f>'estatística'!$C$1:$M$1</c:f>
            </c:strRef>
          </c:cat>
          <c:val>
            <c:numRef>
              <c:f>'estatística'!$C$627:$M$627</c:f>
              <c:numCache/>
            </c:numRef>
          </c:val>
        </c:ser>
        <c:ser>
          <c:idx val="626"/>
          <c:order val="626"/>
          <c:tx>
            <c:strRef>
              <c:f>'estatística'!$B$628</c:f>
            </c:strRef>
          </c:tx>
          <c:cat>
            <c:strRef>
              <c:f>'estatística'!$C$1:$M$1</c:f>
            </c:strRef>
          </c:cat>
          <c:val>
            <c:numRef>
              <c:f>'estatística'!$C$628:$M$628</c:f>
              <c:numCache/>
            </c:numRef>
          </c:val>
        </c:ser>
        <c:ser>
          <c:idx val="627"/>
          <c:order val="627"/>
          <c:tx>
            <c:strRef>
              <c:f>'estatística'!$B$629</c:f>
            </c:strRef>
          </c:tx>
          <c:cat>
            <c:strRef>
              <c:f>'estatística'!$C$1:$M$1</c:f>
            </c:strRef>
          </c:cat>
          <c:val>
            <c:numRef>
              <c:f>'estatística'!$C$629:$M$629</c:f>
              <c:numCache/>
            </c:numRef>
          </c:val>
        </c:ser>
        <c:ser>
          <c:idx val="628"/>
          <c:order val="628"/>
          <c:tx>
            <c:strRef>
              <c:f>'estatística'!$B$630</c:f>
            </c:strRef>
          </c:tx>
          <c:cat>
            <c:strRef>
              <c:f>'estatística'!$C$1:$M$1</c:f>
            </c:strRef>
          </c:cat>
          <c:val>
            <c:numRef>
              <c:f>'estatística'!$C$630:$M$630</c:f>
              <c:numCache/>
            </c:numRef>
          </c:val>
        </c:ser>
        <c:ser>
          <c:idx val="629"/>
          <c:order val="629"/>
          <c:tx>
            <c:strRef>
              <c:f>'estatística'!$B$631</c:f>
            </c:strRef>
          </c:tx>
          <c:cat>
            <c:strRef>
              <c:f>'estatística'!$C$1:$M$1</c:f>
            </c:strRef>
          </c:cat>
          <c:val>
            <c:numRef>
              <c:f>'estatística'!$C$631:$M$631</c:f>
              <c:numCache/>
            </c:numRef>
          </c:val>
        </c:ser>
        <c:ser>
          <c:idx val="630"/>
          <c:order val="630"/>
          <c:tx>
            <c:strRef>
              <c:f>'estatística'!$B$632</c:f>
            </c:strRef>
          </c:tx>
          <c:cat>
            <c:strRef>
              <c:f>'estatística'!$C$1:$M$1</c:f>
            </c:strRef>
          </c:cat>
          <c:val>
            <c:numRef>
              <c:f>'estatística'!$C$632:$M$632</c:f>
              <c:numCache/>
            </c:numRef>
          </c:val>
        </c:ser>
        <c:ser>
          <c:idx val="631"/>
          <c:order val="631"/>
          <c:tx>
            <c:strRef>
              <c:f>'estatística'!$B$633</c:f>
            </c:strRef>
          </c:tx>
          <c:cat>
            <c:strRef>
              <c:f>'estatística'!$C$1:$M$1</c:f>
            </c:strRef>
          </c:cat>
          <c:val>
            <c:numRef>
              <c:f>'estatística'!$C$633:$M$633</c:f>
              <c:numCache/>
            </c:numRef>
          </c:val>
        </c:ser>
        <c:ser>
          <c:idx val="632"/>
          <c:order val="632"/>
          <c:tx>
            <c:strRef>
              <c:f>'estatística'!$B$634</c:f>
            </c:strRef>
          </c:tx>
          <c:cat>
            <c:strRef>
              <c:f>'estatística'!$C$1:$M$1</c:f>
            </c:strRef>
          </c:cat>
          <c:val>
            <c:numRef>
              <c:f>'estatística'!$C$634:$M$634</c:f>
              <c:numCache/>
            </c:numRef>
          </c:val>
        </c:ser>
        <c:ser>
          <c:idx val="633"/>
          <c:order val="633"/>
          <c:tx>
            <c:strRef>
              <c:f>'estatística'!$B$635</c:f>
            </c:strRef>
          </c:tx>
          <c:cat>
            <c:strRef>
              <c:f>'estatística'!$C$1:$M$1</c:f>
            </c:strRef>
          </c:cat>
          <c:val>
            <c:numRef>
              <c:f>'estatística'!$C$635:$M$635</c:f>
              <c:numCache/>
            </c:numRef>
          </c:val>
        </c:ser>
        <c:ser>
          <c:idx val="634"/>
          <c:order val="634"/>
          <c:tx>
            <c:strRef>
              <c:f>'estatística'!$B$636</c:f>
            </c:strRef>
          </c:tx>
          <c:cat>
            <c:strRef>
              <c:f>'estatística'!$C$1:$M$1</c:f>
            </c:strRef>
          </c:cat>
          <c:val>
            <c:numRef>
              <c:f>'estatística'!$C$636:$M$636</c:f>
              <c:numCache/>
            </c:numRef>
          </c:val>
        </c:ser>
        <c:ser>
          <c:idx val="635"/>
          <c:order val="635"/>
          <c:tx>
            <c:strRef>
              <c:f>'estatística'!$B$637</c:f>
            </c:strRef>
          </c:tx>
          <c:cat>
            <c:strRef>
              <c:f>'estatística'!$C$1:$M$1</c:f>
            </c:strRef>
          </c:cat>
          <c:val>
            <c:numRef>
              <c:f>'estatística'!$C$637:$M$637</c:f>
              <c:numCache/>
            </c:numRef>
          </c:val>
        </c:ser>
        <c:ser>
          <c:idx val="636"/>
          <c:order val="636"/>
          <c:tx>
            <c:strRef>
              <c:f>'estatística'!$B$638</c:f>
            </c:strRef>
          </c:tx>
          <c:cat>
            <c:strRef>
              <c:f>'estatística'!$C$1:$M$1</c:f>
            </c:strRef>
          </c:cat>
          <c:val>
            <c:numRef>
              <c:f>'estatística'!$C$638:$M$638</c:f>
              <c:numCache/>
            </c:numRef>
          </c:val>
        </c:ser>
        <c:ser>
          <c:idx val="637"/>
          <c:order val="637"/>
          <c:tx>
            <c:strRef>
              <c:f>'estatística'!$B$639</c:f>
            </c:strRef>
          </c:tx>
          <c:cat>
            <c:strRef>
              <c:f>'estatística'!$C$1:$M$1</c:f>
            </c:strRef>
          </c:cat>
          <c:val>
            <c:numRef>
              <c:f>'estatística'!$C$639:$M$639</c:f>
              <c:numCache/>
            </c:numRef>
          </c:val>
        </c:ser>
        <c:ser>
          <c:idx val="638"/>
          <c:order val="638"/>
          <c:tx>
            <c:strRef>
              <c:f>'estatística'!$B$640</c:f>
            </c:strRef>
          </c:tx>
          <c:cat>
            <c:strRef>
              <c:f>'estatística'!$C$1:$M$1</c:f>
            </c:strRef>
          </c:cat>
          <c:val>
            <c:numRef>
              <c:f>'estatística'!$C$640:$M$640</c:f>
              <c:numCache/>
            </c:numRef>
          </c:val>
        </c:ser>
        <c:ser>
          <c:idx val="639"/>
          <c:order val="639"/>
          <c:tx>
            <c:strRef>
              <c:f>'estatística'!$B$641</c:f>
            </c:strRef>
          </c:tx>
          <c:cat>
            <c:strRef>
              <c:f>'estatística'!$C$1:$M$1</c:f>
            </c:strRef>
          </c:cat>
          <c:val>
            <c:numRef>
              <c:f>'estatística'!$C$641:$M$641</c:f>
              <c:numCache/>
            </c:numRef>
          </c:val>
        </c:ser>
        <c:ser>
          <c:idx val="640"/>
          <c:order val="640"/>
          <c:tx>
            <c:strRef>
              <c:f>'estatística'!$B$642</c:f>
            </c:strRef>
          </c:tx>
          <c:cat>
            <c:strRef>
              <c:f>'estatística'!$C$1:$M$1</c:f>
            </c:strRef>
          </c:cat>
          <c:val>
            <c:numRef>
              <c:f>'estatística'!$C$642:$M$642</c:f>
              <c:numCache/>
            </c:numRef>
          </c:val>
        </c:ser>
        <c:ser>
          <c:idx val="641"/>
          <c:order val="641"/>
          <c:tx>
            <c:strRef>
              <c:f>'estatística'!$B$643</c:f>
            </c:strRef>
          </c:tx>
          <c:cat>
            <c:strRef>
              <c:f>'estatística'!$C$1:$M$1</c:f>
            </c:strRef>
          </c:cat>
          <c:val>
            <c:numRef>
              <c:f>'estatística'!$C$643:$M$643</c:f>
              <c:numCache/>
            </c:numRef>
          </c:val>
        </c:ser>
        <c:ser>
          <c:idx val="642"/>
          <c:order val="642"/>
          <c:tx>
            <c:strRef>
              <c:f>'estatística'!$B$644</c:f>
            </c:strRef>
          </c:tx>
          <c:cat>
            <c:strRef>
              <c:f>'estatística'!$C$1:$M$1</c:f>
            </c:strRef>
          </c:cat>
          <c:val>
            <c:numRef>
              <c:f>'estatística'!$C$644:$M$644</c:f>
              <c:numCache/>
            </c:numRef>
          </c:val>
        </c:ser>
        <c:ser>
          <c:idx val="643"/>
          <c:order val="643"/>
          <c:tx>
            <c:strRef>
              <c:f>'estatística'!$B$645</c:f>
            </c:strRef>
          </c:tx>
          <c:cat>
            <c:strRef>
              <c:f>'estatística'!$C$1:$M$1</c:f>
            </c:strRef>
          </c:cat>
          <c:val>
            <c:numRef>
              <c:f>'estatística'!$C$645:$M$645</c:f>
              <c:numCache/>
            </c:numRef>
          </c:val>
        </c:ser>
        <c:ser>
          <c:idx val="644"/>
          <c:order val="644"/>
          <c:tx>
            <c:strRef>
              <c:f>'estatística'!$B$646</c:f>
            </c:strRef>
          </c:tx>
          <c:cat>
            <c:strRef>
              <c:f>'estatística'!$C$1:$M$1</c:f>
            </c:strRef>
          </c:cat>
          <c:val>
            <c:numRef>
              <c:f>'estatística'!$C$646:$M$646</c:f>
              <c:numCache/>
            </c:numRef>
          </c:val>
        </c:ser>
        <c:ser>
          <c:idx val="645"/>
          <c:order val="645"/>
          <c:tx>
            <c:strRef>
              <c:f>'estatística'!$B$647</c:f>
            </c:strRef>
          </c:tx>
          <c:cat>
            <c:strRef>
              <c:f>'estatística'!$C$1:$M$1</c:f>
            </c:strRef>
          </c:cat>
          <c:val>
            <c:numRef>
              <c:f>'estatística'!$C$647:$M$647</c:f>
              <c:numCache/>
            </c:numRef>
          </c:val>
        </c:ser>
        <c:ser>
          <c:idx val="646"/>
          <c:order val="646"/>
          <c:tx>
            <c:strRef>
              <c:f>'estatística'!$B$648</c:f>
            </c:strRef>
          </c:tx>
          <c:cat>
            <c:strRef>
              <c:f>'estatística'!$C$1:$M$1</c:f>
            </c:strRef>
          </c:cat>
          <c:val>
            <c:numRef>
              <c:f>'estatística'!$C$648:$M$648</c:f>
              <c:numCache/>
            </c:numRef>
          </c:val>
        </c:ser>
        <c:ser>
          <c:idx val="647"/>
          <c:order val="647"/>
          <c:tx>
            <c:strRef>
              <c:f>'estatística'!$B$649</c:f>
            </c:strRef>
          </c:tx>
          <c:cat>
            <c:strRef>
              <c:f>'estatística'!$C$1:$M$1</c:f>
            </c:strRef>
          </c:cat>
          <c:val>
            <c:numRef>
              <c:f>'estatística'!$C$649:$M$649</c:f>
              <c:numCache/>
            </c:numRef>
          </c:val>
        </c:ser>
        <c:ser>
          <c:idx val="648"/>
          <c:order val="648"/>
          <c:tx>
            <c:strRef>
              <c:f>'estatística'!$B$650</c:f>
            </c:strRef>
          </c:tx>
          <c:cat>
            <c:strRef>
              <c:f>'estatística'!$C$1:$M$1</c:f>
            </c:strRef>
          </c:cat>
          <c:val>
            <c:numRef>
              <c:f>'estatística'!$C$650:$M$650</c:f>
              <c:numCache/>
            </c:numRef>
          </c:val>
        </c:ser>
        <c:ser>
          <c:idx val="649"/>
          <c:order val="649"/>
          <c:tx>
            <c:strRef>
              <c:f>'estatística'!$B$651</c:f>
            </c:strRef>
          </c:tx>
          <c:cat>
            <c:strRef>
              <c:f>'estatística'!$C$1:$M$1</c:f>
            </c:strRef>
          </c:cat>
          <c:val>
            <c:numRef>
              <c:f>'estatística'!$C$651:$M$651</c:f>
              <c:numCache/>
            </c:numRef>
          </c:val>
        </c:ser>
        <c:ser>
          <c:idx val="650"/>
          <c:order val="650"/>
          <c:tx>
            <c:strRef>
              <c:f>'estatística'!$B$652</c:f>
            </c:strRef>
          </c:tx>
          <c:cat>
            <c:strRef>
              <c:f>'estatística'!$C$1:$M$1</c:f>
            </c:strRef>
          </c:cat>
          <c:val>
            <c:numRef>
              <c:f>'estatística'!$C$652:$M$652</c:f>
              <c:numCache/>
            </c:numRef>
          </c:val>
        </c:ser>
        <c:ser>
          <c:idx val="651"/>
          <c:order val="651"/>
          <c:tx>
            <c:strRef>
              <c:f>'estatística'!$B$653</c:f>
            </c:strRef>
          </c:tx>
          <c:cat>
            <c:strRef>
              <c:f>'estatística'!$C$1:$M$1</c:f>
            </c:strRef>
          </c:cat>
          <c:val>
            <c:numRef>
              <c:f>'estatística'!$C$653:$M$653</c:f>
              <c:numCache/>
            </c:numRef>
          </c:val>
        </c:ser>
        <c:ser>
          <c:idx val="652"/>
          <c:order val="652"/>
          <c:tx>
            <c:strRef>
              <c:f>'estatística'!$B$654</c:f>
            </c:strRef>
          </c:tx>
          <c:cat>
            <c:strRef>
              <c:f>'estatística'!$C$1:$M$1</c:f>
            </c:strRef>
          </c:cat>
          <c:val>
            <c:numRef>
              <c:f>'estatística'!$C$654:$M$654</c:f>
              <c:numCache/>
            </c:numRef>
          </c:val>
        </c:ser>
        <c:ser>
          <c:idx val="653"/>
          <c:order val="653"/>
          <c:tx>
            <c:strRef>
              <c:f>'estatística'!$B$655</c:f>
            </c:strRef>
          </c:tx>
          <c:cat>
            <c:strRef>
              <c:f>'estatística'!$C$1:$M$1</c:f>
            </c:strRef>
          </c:cat>
          <c:val>
            <c:numRef>
              <c:f>'estatística'!$C$655:$M$655</c:f>
              <c:numCache/>
            </c:numRef>
          </c:val>
        </c:ser>
        <c:ser>
          <c:idx val="654"/>
          <c:order val="654"/>
          <c:tx>
            <c:strRef>
              <c:f>'estatística'!$B$656</c:f>
            </c:strRef>
          </c:tx>
          <c:cat>
            <c:strRef>
              <c:f>'estatística'!$C$1:$M$1</c:f>
            </c:strRef>
          </c:cat>
          <c:val>
            <c:numRef>
              <c:f>'estatística'!$C$656:$M$656</c:f>
              <c:numCache/>
            </c:numRef>
          </c:val>
        </c:ser>
        <c:ser>
          <c:idx val="655"/>
          <c:order val="655"/>
          <c:tx>
            <c:strRef>
              <c:f>'estatística'!$B$657</c:f>
            </c:strRef>
          </c:tx>
          <c:cat>
            <c:strRef>
              <c:f>'estatística'!$C$1:$M$1</c:f>
            </c:strRef>
          </c:cat>
          <c:val>
            <c:numRef>
              <c:f>'estatística'!$C$657:$M$657</c:f>
              <c:numCache/>
            </c:numRef>
          </c:val>
        </c:ser>
        <c:ser>
          <c:idx val="656"/>
          <c:order val="656"/>
          <c:tx>
            <c:strRef>
              <c:f>'estatística'!$B$658</c:f>
            </c:strRef>
          </c:tx>
          <c:cat>
            <c:strRef>
              <c:f>'estatística'!$C$1:$M$1</c:f>
            </c:strRef>
          </c:cat>
          <c:val>
            <c:numRef>
              <c:f>'estatística'!$C$658:$M$658</c:f>
              <c:numCache/>
            </c:numRef>
          </c:val>
        </c:ser>
        <c:ser>
          <c:idx val="657"/>
          <c:order val="657"/>
          <c:tx>
            <c:strRef>
              <c:f>'estatística'!$B$659</c:f>
            </c:strRef>
          </c:tx>
          <c:cat>
            <c:strRef>
              <c:f>'estatística'!$C$1:$M$1</c:f>
            </c:strRef>
          </c:cat>
          <c:val>
            <c:numRef>
              <c:f>'estatística'!$C$659:$M$659</c:f>
              <c:numCache/>
            </c:numRef>
          </c:val>
        </c:ser>
        <c:ser>
          <c:idx val="658"/>
          <c:order val="658"/>
          <c:tx>
            <c:strRef>
              <c:f>'estatística'!$B$660</c:f>
            </c:strRef>
          </c:tx>
          <c:cat>
            <c:strRef>
              <c:f>'estatística'!$C$1:$M$1</c:f>
            </c:strRef>
          </c:cat>
          <c:val>
            <c:numRef>
              <c:f>'estatística'!$C$660:$M$660</c:f>
              <c:numCache/>
            </c:numRef>
          </c:val>
        </c:ser>
        <c:ser>
          <c:idx val="659"/>
          <c:order val="659"/>
          <c:tx>
            <c:strRef>
              <c:f>'estatística'!$B$661</c:f>
            </c:strRef>
          </c:tx>
          <c:cat>
            <c:strRef>
              <c:f>'estatística'!$C$1:$M$1</c:f>
            </c:strRef>
          </c:cat>
          <c:val>
            <c:numRef>
              <c:f>'estatística'!$C$661:$M$661</c:f>
              <c:numCache/>
            </c:numRef>
          </c:val>
        </c:ser>
        <c:ser>
          <c:idx val="660"/>
          <c:order val="660"/>
          <c:tx>
            <c:strRef>
              <c:f>'estatística'!$B$662</c:f>
            </c:strRef>
          </c:tx>
          <c:cat>
            <c:strRef>
              <c:f>'estatística'!$C$1:$M$1</c:f>
            </c:strRef>
          </c:cat>
          <c:val>
            <c:numRef>
              <c:f>'estatística'!$C$662:$M$662</c:f>
              <c:numCache/>
            </c:numRef>
          </c:val>
        </c:ser>
        <c:ser>
          <c:idx val="661"/>
          <c:order val="661"/>
          <c:tx>
            <c:strRef>
              <c:f>'estatística'!$B$663</c:f>
            </c:strRef>
          </c:tx>
          <c:cat>
            <c:strRef>
              <c:f>'estatística'!$C$1:$M$1</c:f>
            </c:strRef>
          </c:cat>
          <c:val>
            <c:numRef>
              <c:f>'estatística'!$C$663:$M$663</c:f>
              <c:numCache/>
            </c:numRef>
          </c:val>
        </c:ser>
        <c:ser>
          <c:idx val="662"/>
          <c:order val="662"/>
          <c:tx>
            <c:strRef>
              <c:f>'estatística'!$B$664</c:f>
            </c:strRef>
          </c:tx>
          <c:cat>
            <c:strRef>
              <c:f>'estatística'!$C$1:$M$1</c:f>
            </c:strRef>
          </c:cat>
          <c:val>
            <c:numRef>
              <c:f>'estatística'!$C$664:$M$664</c:f>
              <c:numCache/>
            </c:numRef>
          </c:val>
        </c:ser>
        <c:ser>
          <c:idx val="663"/>
          <c:order val="663"/>
          <c:tx>
            <c:strRef>
              <c:f>'estatística'!$B$665</c:f>
            </c:strRef>
          </c:tx>
          <c:cat>
            <c:strRef>
              <c:f>'estatística'!$C$1:$M$1</c:f>
            </c:strRef>
          </c:cat>
          <c:val>
            <c:numRef>
              <c:f>'estatística'!$C$665:$M$665</c:f>
              <c:numCache/>
            </c:numRef>
          </c:val>
        </c:ser>
        <c:ser>
          <c:idx val="664"/>
          <c:order val="664"/>
          <c:tx>
            <c:strRef>
              <c:f>'estatística'!$B$666</c:f>
            </c:strRef>
          </c:tx>
          <c:cat>
            <c:strRef>
              <c:f>'estatística'!$C$1:$M$1</c:f>
            </c:strRef>
          </c:cat>
          <c:val>
            <c:numRef>
              <c:f>'estatística'!$C$666:$M$666</c:f>
              <c:numCache/>
            </c:numRef>
          </c:val>
        </c:ser>
        <c:ser>
          <c:idx val="665"/>
          <c:order val="665"/>
          <c:tx>
            <c:strRef>
              <c:f>'estatística'!$B$667</c:f>
            </c:strRef>
          </c:tx>
          <c:cat>
            <c:strRef>
              <c:f>'estatística'!$C$1:$M$1</c:f>
            </c:strRef>
          </c:cat>
          <c:val>
            <c:numRef>
              <c:f>'estatística'!$C$667:$M$667</c:f>
              <c:numCache/>
            </c:numRef>
          </c:val>
        </c:ser>
        <c:ser>
          <c:idx val="666"/>
          <c:order val="666"/>
          <c:tx>
            <c:strRef>
              <c:f>'estatística'!$B$668</c:f>
            </c:strRef>
          </c:tx>
          <c:cat>
            <c:strRef>
              <c:f>'estatística'!$C$1:$M$1</c:f>
            </c:strRef>
          </c:cat>
          <c:val>
            <c:numRef>
              <c:f>'estatística'!$C$668:$M$668</c:f>
              <c:numCache/>
            </c:numRef>
          </c:val>
        </c:ser>
        <c:ser>
          <c:idx val="667"/>
          <c:order val="667"/>
          <c:tx>
            <c:strRef>
              <c:f>'estatística'!$B$669</c:f>
            </c:strRef>
          </c:tx>
          <c:cat>
            <c:strRef>
              <c:f>'estatística'!$C$1:$M$1</c:f>
            </c:strRef>
          </c:cat>
          <c:val>
            <c:numRef>
              <c:f>'estatística'!$C$669:$M$669</c:f>
              <c:numCache/>
            </c:numRef>
          </c:val>
        </c:ser>
        <c:ser>
          <c:idx val="668"/>
          <c:order val="668"/>
          <c:tx>
            <c:strRef>
              <c:f>'estatística'!$B$670</c:f>
            </c:strRef>
          </c:tx>
          <c:cat>
            <c:strRef>
              <c:f>'estatística'!$C$1:$M$1</c:f>
            </c:strRef>
          </c:cat>
          <c:val>
            <c:numRef>
              <c:f>'estatística'!$C$670:$M$670</c:f>
              <c:numCache/>
            </c:numRef>
          </c:val>
        </c:ser>
        <c:ser>
          <c:idx val="669"/>
          <c:order val="669"/>
          <c:tx>
            <c:strRef>
              <c:f>'estatística'!$B$671</c:f>
            </c:strRef>
          </c:tx>
          <c:cat>
            <c:strRef>
              <c:f>'estatística'!$C$1:$M$1</c:f>
            </c:strRef>
          </c:cat>
          <c:val>
            <c:numRef>
              <c:f>'estatística'!$C$671:$M$671</c:f>
              <c:numCache/>
            </c:numRef>
          </c:val>
        </c:ser>
        <c:ser>
          <c:idx val="670"/>
          <c:order val="670"/>
          <c:tx>
            <c:strRef>
              <c:f>'estatística'!$B$672</c:f>
            </c:strRef>
          </c:tx>
          <c:cat>
            <c:strRef>
              <c:f>'estatística'!$C$1:$M$1</c:f>
            </c:strRef>
          </c:cat>
          <c:val>
            <c:numRef>
              <c:f>'estatística'!$C$672:$M$672</c:f>
              <c:numCache/>
            </c:numRef>
          </c:val>
        </c:ser>
        <c:ser>
          <c:idx val="671"/>
          <c:order val="671"/>
          <c:tx>
            <c:strRef>
              <c:f>'estatística'!$B$673</c:f>
            </c:strRef>
          </c:tx>
          <c:cat>
            <c:strRef>
              <c:f>'estatística'!$C$1:$M$1</c:f>
            </c:strRef>
          </c:cat>
          <c:val>
            <c:numRef>
              <c:f>'estatística'!$C$673:$M$673</c:f>
              <c:numCache/>
            </c:numRef>
          </c:val>
        </c:ser>
        <c:ser>
          <c:idx val="672"/>
          <c:order val="672"/>
          <c:tx>
            <c:strRef>
              <c:f>'estatística'!$B$674</c:f>
            </c:strRef>
          </c:tx>
          <c:cat>
            <c:strRef>
              <c:f>'estatística'!$C$1:$M$1</c:f>
            </c:strRef>
          </c:cat>
          <c:val>
            <c:numRef>
              <c:f>'estatística'!$C$674:$M$674</c:f>
              <c:numCache/>
            </c:numRef>
          </c:val>
        </c:ser>
        <c:ser>
          <c:idx val="673"/>
          <c:order val="673"/>
          <c:tx>
            <c:strRef>
              <c:f>'estatística'!$B$675</c:f>
            </c:strRef>
          </c:tx>
          <c:cat>
            <c:strRef>
              <c:f>'estatística'!$C$1:$M$1</c:f>
            </c:strRef>
          </c:cat>
          <c:val>
            <c:numRef>
              <c:f>'estatística'!$C$675:$M$675</c:f>
              <c:numCache/>
            </c:numRef>
          </c:val>
        </c:ser>
        <c:ser>
          <c:idx val="674"/>
          <c:order val="674"/>
          <c:tx>
            <c:strRef>
              <c:f>'estatística'!$B$676</c:f>
            </c:strRef>
          </c:tx>
          <c:cat>
            <c:strRef>
              <c:f>'estatística'!$C$1:$M$1</c:f>
            </c:strRef>
          </c:cat>
          <c:val>
            <c:numRef>
              <c:f>'estatística'!$C$676:$M$676</c:f>
              <c:numCache/>
            </c:numRef>
          </c:val>
        </c:ser>
        <c:ser>
          <c:idx val="675"/>
          <c:order val="675"/>
          <c:tx>
            <c:strRef>
              <c:f>'estatística'!$B$677</c:f>
            </c:strRef>
          </c:tx>
          <c:cat>
            <c:strRef>
              <c:f>'estatística'!$C$1:$M$1</c:f>
            </c:strRef>
          </c:cat>
          <c:val>
            <c:numRef>
              <c:f>'estatística'!$C$677:$M$677</c:f>
              <c:numCache/>
            </c:numRef>
          </c:val>
        </c:ser>
        <c:ser>
          <c:idx val="676"/>
          <c:order val="676"/>
          <c:tx>
            <c:strRef>
              <c:f>'estatística'!$B$678</c:f>
            </c:strRef>
          </c:tx>
          <c:cat>
            <c:strRef>
              <c:f>'estatística'!$C$1:$M$1</c:f>
            </c:strRef>
          </c:cat>
          <c:val>
            <c:numRef>
              <c:f>'estatística'!$C$678:$M$678</c:f>
              <c:numCache/>
            </c:numRef>
          </c:val>
        </c:ser>
        <c:ser>
          <c:idx val="677"/>
          <c:order val="677"/>
          <c:tx>
            <c:strRef>
              <c:f>'estatística'!$B$679</c:f>
            </c:strRef>
          </c:tx>
          <c:cat>
            <c:strRef>
              <c:f>'estatística'!$C$1:$M$1</c:f>
            </c:strRef>
          </c:cat>
          <c:val>
            <c:numRef>
              <c:f>'estatística'!$C$679:$M$679</c:f>
              <c:numCache/>
            </c:numRef>
          </c:val>
        </c:ser>
        <c:ser>
          <c:idx val="678"/>
          <c:order val="678"/>
          <c:tx>
            <c:strRef>
              <c:f>'estatística'!$B$680</c:f>
            </c:strRef>
          </c:tx>
          <c:cat>
            <c:strRef>
              <c:f>'estatística'!$C$1:$M$1</c:f>
            </c:strRef>
          </c:cat>
          <c:val>
            <c:numRef>
              <c:f>'estatística'!$C$680:$M$680</c:f>
              <c:numCache/>
            </c:numRef>
          </c:val>
        </c:ser>
        <c:ser>
          <c:idx val="679"/>
          <c:order val="679"/>
          <c:tx>
            <c:strRef>
              <c:f>'estatística'!$B$681</c:f>
            </c:strRef>
          </c:tx>
          <c:cat>
            <c:strRef>
              <c:f>'estatística'!$C$1:$M$1</c:f>
            </c:strRef>
          </c:cat>
          <c:val>
            <c:numRef>
              <c:f>'estatística'!$C$681:$M$681</c:f>
              <c:numCache/>
            </c:numRef>
          </c:val>
        </c:ser>
        <c:ser>
          <c:idx val="680"/>
          <c:order val="680"/>
          <c:tx>
            <c:strRef>
              <c:f>'estatística'!$B$682</c:f>
            </c:strRef>
          </c:tx>
          <c:cat>
            <c:strRef>
              <c:f>'estatística'!$C$1:$M$1</c:f>
            </c:strRef>
          </c:cat>
          <c:val>
            <c:numRef>
              <c:f>'estatística'!$C$682:$M$682</c:f>
              <c:numCache/>
            </c:numRef>
          </c:val>
        </c:ser>
        <c:ser>
          <c:idx val="681"/>
          <c:order val="681"/>
          <c:tx>
            <c:strRef>
              <c:f>'estatística'!$B$683</c:f>
            </c:strRef>
          </c:tx>
          <c:cat>
            <c:strRef>
              <c:f>'estatística'!$C$1:$M$1</c:f>
            </c:strRef>
          </c:cat>
          <c:val>
            <c:numRef>
              <c:f>'estatística'!$C$683:$M$683</c:f>
              <c:numCache/>
            </c:numRef>
          </c:val>
        </c:ser>
        <c:ser>
          <c:idx val="682"/>
          <c:order val="682"/>
          <c:tx>
            <c:strRef>
              <c:f>'estatística'!$B$684</c:f>
            </c:strRef>
          </c:tx>
          <c:cat>
            <c:strRef>
              <c:f>'estatística'!$C$1:$M$1</c:f>
            </c:strRef>
          </c:cat>
          <c:val>
            <c:numRef>
              <c:f>'estatística'!$C$684:$M$684</c:f>
              <c:numCache/>
            </c:numRef>
          </c:val>
        </c:ser>
        <c:ser>
          <c:idx val="683"/>
          <c:order val="683"/>
          <c:tx>
            <c:strRef>
              <c:f>'estatística'!$B$685</c:f>
            </c:strRef>
          </c:tx>
          <c:cat>
            <c:strRef>
              <c:f>'estatística'!$C$1:$M$1</c:f>
            </c:strRef>
          </c:cat>
          <c:val>
            <c:numRef>
              <c:f>'estatística'!$C$685:$M$685</c:f>
              <c:numCache/>
            </c:numRef>
          </c:val>
        </c:ser>
        <c:ser>
          <c:idx val="684"/>
          <c:order val="684"/>
          <c:tx>
            <c:strRef>
              <c:f>'estatística'!$B$686</c:f>
            </c:strRef>
          </c:tx>
          <c:cat>
            <c:strRef>
              <c:f>'estatística'!$C$1:$M$1</c:f>
            </c:strRef>
          </c:cat>
          <c:val>
            <c:numRef>
              <c:f>'estatística'!$C$686:$M$686</c:f>
              <c:numCache/>
            </c:numRef>
          </c:val>
        </c:ser>
        <c:ser>
          <c:idx val="685"/>
          <c:order val="685"/>
          <c:tx>
            <c:strRef>
              <c:f>'estatística'!$B$687</c:f>
            </c:strRef>
          </c:tx>
          <c:cat>
            <c:strRef>
              <c:f>'estatística'!$C$1:$M$1</c:f>
            </c:strRef>
          </c:cat>
          <c:val>
            <c:numRef>
              <c:f>'estatística'!$C$687:$M$687</c:f>
              <c:numCache/>
            </c:numRef>
          </c:val>
        </c:ser>
        <c:ser>
          <c:idx val="686"/>
          <c:order val="686"/>
          <c:tx>
            <c:strRef>
              <c:f>'estatística'!$B$688</c:f>
            </c:strRef>
          </c:tx>
          <c:cat>
            <c:strRef>
              <c:f>'estatística'!$C$1:$M$1</c:f>
            </c:strRef>
          </c:cat>
          <c:val>
            <c:numRef>
              <c:f>'estatística'!$C$688:$M$688</c:f>
              <c:numCache/>
            </c:numRef>
          </c:val>
        </c:ser>
        <c:ser>
          <c:idx val="687"/>
          <c:order val="687"/>
          <c:tx>
            <c:strRef>
              <c:f>'estatística'!$B$689</c:f>
            </c:strRef>
          </c:tx>
          <c:cat>
            <c:strRef>
              <c:f>'estatística'!$C$1:$M$1</c:f>
            </c:strRef>
          </c:cat>
          <c:val>
            <c:numRef>
              <c:f>'estatística'!$C$689:$M$689</c:f>
              <c:numCache/>
            </c:numRef>
          </c:val>
        </c:ser>
        <c:ser>
          <c:idx val="688"/>
          <c:order val="688"/>
          <c:tx>
            <c:strRef>
              <c:f>'estatística'!$B$690</c:f>
            </c:strRef>
          </c:tx>
          <c:cat>
            <c:strRef>
              <c:f>'estatística'!$C$1:$M$1</c:f>
            </c:strRef>
          </c:cat>
          <c:val>
            <c:numRef>
              <c:f>'estatística'!$C$690:$M$690</c:f>
              <c:numCache/>
            </c:numRef>
          </c:val>
        </c:ser>
        <c:ser>
          <c:idx val="689"/>
          <c:order val="689"/>
          <c:tx>
            <c:strRef>
              <c:f>'estatística'!$B$691</c:f>
            </c:strRef>
          </c:tx>
          <c:cat>
            <c:strRef>
              <c:f>'estatística'!$C$1:$M$1</c:f>
            </c:strRef>
          </c:cat>
          <c:val>
            <c:numRef>
              <c:f>'estatística'!$C$691:$M$691</c:f>
              <c:numCache/>
            </c:numRef>
          </c:val>
        </c:ser>
        <c:ser>
          <c:idx val="690"/>
          <c:order val="690"/>
          <c:tx>
            <c:strRef>
              <c:f>'estatística'!$B$692</c:f>
            </c:strRef>
          </c:tx>
          <c:cat>
            <c:strRef>
              <c:f>'estatística'!$C$1:$M$1</c:f>
            </c:strRef>
          </c:cat>
          <c:val>
            <c:numRef>
              <c:f>'estatística'!$C$692:$M$692</c:f>
              <c:numCache/>
            </c:numRef>
          </c:val>
        </c:ser>
        <c:ser>
          <c:idx val="691"/>
          <c:order val="691"/>
          <c:tx>
            <c:strRef>
              <c:f>'estatística'!$B$693</c:f>
            </c:strRef>
          </c:tx>
          <c:cat>
            <c:strRef>
              <c:f>'estatística'!$C$1:$M$1</c:f>
            </c:strRef>
          </c:cat>
          <c:val>
            <c:numRef>
              <c:f>'estatística'!$C$693:$M$693</c:f>
              <c:numCache/>
            </c:numRef>
          </c:val>
        </c:ser>
        <c:ser>
          <c:idx val="692"/>
          <c:order val="692"/>
          <c:tx>
            <c:strRef>
              <c:f>'estatística'!$B$694</c:f>
            </c:strRef>
          </c:tx>
          <c:cat>
            <c:strRef>
              <c:f>'estatística'!$C$1:$M$1</c:f>
            </c:strRef>
          </c:cat>
          <c:val>
            <c:numRef>
              <c:f>'estatística'!$C$694:$M$694</c:f>
              <c:numCache/>
            </c:numRef>
          </c:val>
        </c:ser>
        <c:ser>
          <c:idx val="693"/>
          <c:order val="693"/>
          <c:tx>
            <c:strRef>
              <c:f>'estatística'!$B$695</c:f>
            </c:strRef>
          </c:tx>
          <c:cat>
            <c:strRef>
              <c:f>'estatística'!$C$1:$M$1</c:f>
            </c:strRef>
          </c:cat>
          <c:val>
            <c:numRef>
              <c:f>'estatística'!$C$695:$M$695</c:f>
              <c:numCache/>
            </c:numRef>
          </c:val>
        </c:ser>
        <c:ser>
          <c:idx val="694"/>
          <c:order val="694"/>
          <c:tx>
            <c:strRef>
              <c:f>'estatística'!$B$696</c:f>
            </c:strRef>
          </c:tx>
          <c:cat>
            <c:strRef>
              <c:f>'estatística'!$C$1:$M$1</c:f>
            </c:strRef>
          </c:cat>
          <c:val>
            <c:numRef>
              <c:f>'estatística'!$C$696:$M$696</c:f>
              <c:numCache/>
            </c:numRef>
          </c:val>
        </c:ser>
        <c:ser>
          <c:idx val="695"/>
          <c:order val="695"/>
          <c:tx>
            <c:strRef>
              <c:f>'estatística'!$B$697</c:f>
            </c:strRef>
          </c:tx>
          <c:cat>
            <c:strRef>
              <c:f>'estatística'!$C$1:$M$1</c:f>
            </c:strRef>
          </c:cat>
          <c:val>
            <c:numRef>
              <c:f>'estatística'!$C$697:$M$697</c:f>
              <c:numCache/>
            </c:numRef>
          </c:val>
        </c:ser>
        <c:ser>
          <c:idx val="696"/>
          <c:order val="696"/>
          <c:tx>
            <c:strRef>
              <c:f>'estatística'!$B$698</c:f>
            </c:strRef>
          </c:tx>
          <c:cat>
            <c:strRef>
              <c:f>'estatística'!$C$1:$M$1</c:f>
            </c:strRef>
          </c:cat>
          <c:val>
            <c:numRef>
              <c:f>'estatística'!$C$698:$M$698</c:f>
              <c:numCache/>
            </c:numRef>
          </c:val>
        </c:ser>
        <c:ser>
          <c:idx val="697"/>
          <c:order val="697"/>
          <c:tx>
            <c:strRef>
              <c:f>'estatística'!$B$699</c:f>
            </c:strRef>
          </c:tx>
          <c:cat>
            <c:strRef>
              <c:f>'estatística'!$C$1:$M$1</c:f>
            </c:strRef>
          </c:cat>
          <c:val>
            <c:numRef>
              <c:f>'estatística'!$C$699:$M$699</c:f>
              <c:numCache/>
            </c:numRef>
          </c:val>
        </c:ser>
        <c:ser>
          <c:idx val="698"/>
          <c:order val="698"/>
          <c:tx>
            <c:strRef>
              <c:f>'estatística'!$B$700</c:f>
            </c:strRef>
          </c:tx>
          <c:cat>
            <c:strRef>
              <c:f>'estatística'!$C$1:$M$1</c:f>
            </c:strRef>
          </c:cat>
          <c:val>
            <c:numRef>
              <c:f>'estatística'!$C$700:$M$700</c:f>
              <c:numCache/>
            </c:numRef>
          </c:val>
        </c:ser>
        <c:ser>
          <c:idx val="699"/>
          <c:order val="699"/>
          <c:tx>
            <c:strRef>
              <c:f>'estatística'!$B$701</c:f>
            </c:strRef>
          </c:tx>
          <c:cat>
            <c:strRef>
              <c:f>'estatística'!$C$1:$M$1</c:f>
            </c:strRef>
          </c:cat>
          <c:val>
            <c:numRef>
              <c:f>'estatística'!$C$701:$M$701</c:f>
              <c:numCache/>
            </c:numRef>
          </c:val>
        </c:ser>
        <c:ser>
          <c:idx val="700"/>
          <c:order val="700"/>
          <c:tx>
            <c:strRef>
              <c:f>'estatística'!$B$702</c:f>
            </c:strRef>
          </c:tx>
          <c:cat>
            <c:strRef>
              <c:f>'estatística'!$C$1:$M$1</c:f>
            </c:strRef>
          </c:cat>
          <c:val>
            <c:numRef>
              <c:f>'estatística'!$C$702:$M$702</c:f>
              <c:numCache/>
            </c:numRef>
          </c:val>
        </c:ser>
        <c:ser>
          <c:idx val="701"/>
          <c:order val="701"/>
          <c:tx>
            <c:strRef>
              <c:f>'estatística'!$B$703</c:f>
            </c:strRef>
          </c:tx>
          <c:cat>
            <c:strRef>
              <c:f>'estatística'!$C$1:$M$1</c:f>
            </c:strRef>
          </c:cat>
          <c:val>
            <c:numRef>
              <c:f>'estatística'!$C$703:$M$703</c:f>
              <c:numCache/>
            </c:numRef>
          </c:val>
        </c:ser>
        <c:ser>
          <c:idx val="702"/>
          <c:order val="702"/>
          <c:tx>
            <c:strRef>
              <c:f>'estatística'!$B$704</c:f>
            </c:strRef>
          </c:tx>
          <c:cat>
            <c:strRef>
              <c:f>'estatística'!$C$1:$M$1</c:f>
            </c:strRef>
          </c:cat>
          <c:val>
            <c:numRef>
              <c:f>'estatística'!$C$704:$M$704</c:f>
              <c:numCache/>
            </c:numRef>
          </c:val>
        </c:ser>
        <c:ser>
          <c:idx val="703"/>
          <c:order val="703"/>
          <c:tx>
            <c:strRef>
              <c:f>'estatística'!$B$705</c:f>
            </c:strRef>
          </c:tx>
          <c:cat>
            <c:strRef>
              <c:f>'estatística'!$C$1:$M$1</c:f>
            </c:strRef>
          </c:cat>
          <c:val>
            <c:numRef>
              <c:f>'estatística'!$C$705:$M$705</c:f>
              <c:numCache/>
            </c:numRef>
          </c:val>
        </c:ser>
        <c:ser>
          <c:idx val="704"/>
          <c:order val="704"/>
          <c:tx>
            <c:strRef>
              <c:f>'estatística'!$B$706</c:f>
            </c:strRef>
          </c:tx>
          <c:cat>
            <c:strRef>
              <c:f>'estatística'!$C$1:$M$1</c:f>
            </c:strRef>
          </c:cat>
          <c:val>
            <c:numRef>
              <c:f>'estatística'!$C$706:$M$706</c:f>
              <c:numCache/>
            </c:numRef>
          </c:val>
        </c:ser>
        <c:ser>
          <c:idx val="705"/>
          <c:order val="705"/>
          <c:tx>
            <c:strRef>
              <c:f>'estatística'!$B$707</c:f>
            </c:strRef>
          </c:tx>
          <c:cat>
            <c:strRef>
              <c:f>'estatística'!$C$1:$M$1</c:f>
            </c:strRef>
          </c:cat>
          <c:val>
            <c:numRef>
              <c:f>'estatística'!$C$707:$M$707</c:f>
              <c:numCache/>
            </c:numRef>
          </c:val>
        </c:ser>
        <c:ser>
          <c:idx val="706"/>
          <c:order val="706"/>
          <c:tx>
            <c:strRef>
              <c:f>'estatística'!$B$708</c:f>
            </c:strRef>
          </c:tx>
          <c:cat>
            <c:strRef>
              <c:f>'estatística'!$C$1:$M$1</c:f>
            </c:strRef>
          </c:cat>
          <c:val>
            <c:numRef>
              <c:f>'estatística'!$C$708:$M$708</c:f>
              <c:numCache/>
            </c:numRef>
          </c:val>
        </c:ser>
        <c:ser>
          <c:idx val="707"/>
          <c:order val="707"/>
          <c:tx>
            <c:strRef>
              <c:f>'estatística'!$B$709</c:f>
            </c:strRef>
          </c:tx>
          <c:cat>
            <c:strRef>
              <c:f>'estatística'!$C$1:$M$1</c:f>
            </c:strRef>
          </c:cat>
          <c:val>
            <c:numRef>
              <c:f>'estatística'!$C$709:$M$709</c:f>
              <c:numCache/>
            </c:numRef>
          </c:val>
        </c:ser>
        <c:ser>
          <c:idx val="708"/>
          <c:order val="708"/>
          <c:tx>
            <c:strRef>
              <c:f>'estatística'!$B$710</c:f>
            </c:strRef>
          </c:tx>
          <c:cat>
            <c:strRef>
              <c:f>'estatística'!$C$1:$M$1</c:f>
            </c:strRef>
          </c:cat>
          <c:val>
            <c:numRef>
              <c:f>'estatística'!$C$710:$M$710</c:f>
              <c:numCache/>
            </c:numRef>
          </c:val>
        </c:ser>
        <c:ser>
          <c:idx val="709"/>
          <c:order val="709"/>
          <c:tx>
            <c:strRef>
              <c:f>'estatística'!$B$711</c:f>
            </c:strRef>
          </c:tx>
          <c:cat>
            <c:strRef>
              <c:f>'estatística'!$C$1:$M$1</c:f>
            </c:strRef>
          </c:cat>
          <c:val>
            <c:numRef>
              <c:f>'estatística'!$C$711:$M$711</c:f>
              <c:numCache/>
            </c:numRef>
          </c:val>
        </c:ser>
        <c:ser>
          <c:idx val="710"/>
          <c:order val="710"/>
          <c:tx>
            <c:strRef>
              <c:f>'estatística'!$B$712</c:f>
            </c:strRef>
          </c:tx>
          <c:cat>
            <c:strRef>
              <c:f>'estatística'!$C$1:$M$1</c:f>
            </c:strRef>
          </c:cat>
          <c:val>
            <c:numRef>
              <c:f>'estatística'!$C$712:$M$712</c:f>
              <c:numCache/>
            </c:numRef>
          </c:val>
        </c:ser>
        <c:ser>
          <c:idx val="711"/>
          <c:order val="711"/>
          <c:tx>
            <c:strRef>
              <c:f>'estatística'!$B$713</c:f>
            </c:strRef>
          </c:tx>
          <c:cat>
            <c:strRef>
              <c:f>'estatística'!$C$1:$M$1</c:f>
            </c:strRef>
          </c:cat>
          <c:val>
            <c:numRef>
              <c:f>'estatística'!$C$713:$M$713</c:f>
              <c:numCache/>
            </c:numRef>
          </c:val>
        </c:ser>
        <c:ser>
          <c:idx val="712"/>
          <c:order val="712"/>
          <c:tx>
            <c:strRef>
              <c:f>'estatística'!$B$714</c:f>
            </c:strRef>
          </c:tx>
          <c:cat>
            <c:strRef>
              <c:f>'estatística'!$C$1:$M$1</c:f>
            </c:strRef>
          </c:cat>
          <c:val>
            <c:numRef>
              <c:f>'estatística'!$C$714:$M$714</c:f>
              <c:numCache/>
            </c:numRef>
          </c:val>
        </c:ser>
        <c:ser>
          <c:idx val="713"/>
          <c:order val="713"/>
          <c:tx>
            <c:strRef>
              <c:f>'estatística'!$B$715</c:f>
            </c:strRef>
          </c:tx>
          <c:cat>
            <c:strRef>
              <c:f>'estatística'!$C$1:$M$1</c:f>
            </c:strRef>
          </c:cat>
          <c:val>
            <c:numRef>
              <c:f>'estatística'!$C$715:$M$715</c:f>
              <c:numCache/>
            </c:numRef>
          </c:val>
        </c:ser>
        <c:ser>
          <c:idx val="714"/>
          <c:order val="714"/>
          <c:tx>
            <c:strRef>
              <c:f>'estatística'!$B$716</c:f>
            </c:strRef>
          </c:tx>
          <c:cat>
            <c:strRef>
              <c:f>'estatística'!$C$1:$M$1</c:f>
            </c:strRef>
          </c:cat>
          <c:val>
            <c:numRef>
              <c:f>'estatística'!$C$716:$M$716</c:f>
              <c:numCache/>
            </c:numRef>
          </c:val>
        </c:ser>
        <c:ser>
          <c:idx val="715"/>
          <c:order val="715"/>
          <c:tx>
            <c:strRef>
              <c:f>'estatística'!$B$717</c:f>
            </c:strRef>
          </c:tx>
          <c:cat>
            <c:strRef>
              <c:f>'estatística'!$C$1:$M$1</c:f>
            </c:strRef>
          </c:cat>
          <c:val>
            <c:numRef>
              <c:f>'estatística'!$C$717:$M$717</c:f>
              <c:numCache/>
            </c:numRef>
          </c:val>
        </c:ser>
        <c:ser>
          <c:idx val="716"/>
          <c:order val="716"/>
          <c:tx>
            <c:strRef>
              <c:f>'estatística'!$B$718</c:f>
            </c:strRef>
          </c:tx>
          <c:cat>
            <c:strRef>
              <c:f>'estatística'!$C$1:$M$1</c:f>
            </c:strRef>
          </c:cat>
          <c:val>
            <c:numRef>
              <c:f>'estatística'!$C$718:$M$718</c:f>
              <c:numCache/>
            </c:numRef>
          </c:val>
        </c:ser>
        <c:ser>
          <c:idx val="717"/>
          <c:order val="717"/>
          <c:tx>
            <c:strRef>
              <c:f>'estatística'!$B$719</c:f>
            </c:strRef>
          </c:tx>
          <c:cat>
            <c:strRef>
              <c:f>'estatística'!$C$1:$M$1</c:f>
            </c:strRef>
          </c:cat>
          <c:val>
            <c:numRef>
              <c:f>'estatística'!$C$719:$M$719</c:f>
              <c:numCache/>
            </c:numRef>
          </c:val>
        </c:ser>
        <c:ser>
          <c:idx val="718"/>
          <c:order val="718"/>
          <c:tx>
            <c:strRef>
              <c:f>'estatística'!$B$720</c:f>
            </c:strRef>
          </c:tx>
          <c:cat>
            <c:strRef>
              <c:f>'estatística'!$C$1:$M$1</c:f>
            </c:strRef>
          </c:cat>
          <c:val>
            <c:numRef>
              <c:f>'estatística'!$C$720:$M$720</c:f>
              <c:numCache/>
            </c:numRef>
          </c:val>
        </c:ser>
        <c:ser>
          <c:idx val="719"/>
          <c:order val="719"/>
          <c:tx>
            <c:strRef>
              <c:f>'estatística'!$B$721</c:f>
            </c:strRef>
          </c:tx>
          <c:cat>
            <c:strRef>
              <c:f>'estatística'!$C$1:$M$1</c:f>
            </c:strRef>
          </c:cat>
          <c:val>
            <c:numRef>
              <c:f>'estatística'!$C$721:$M$721</c:f>
              <c:numCache/>
            </c:numRef>
          </c:val>
        </c:ser>
        <c:ser>
          <c:idx val="720"/>
          <c:order val="720"/>
          <c:tx>
            <c:strRef>
              <c:f>'estatística'!$B$722</c:f>
            </c:strRef>
          </c:tx>
          <c:cat>
            <c:strRef>
              <c:f>'estatística'!$C$1:$M$1</c:f>
            </c:strRef>
          </c:cat>
          <c:val>
            <c:numRef>
              <c:f>'estatística'!$C$722:$M$722</c:f>
              <c:numCache/>
            </c:numRef>
          </c:val>
        </c:ser>
        <c:ser>
          <c:idx val="721"/>
          <c:order val="721"/>
          <c:tx>
            <c:strRef>
              <c:f>'estatística'!$B$723</c:f>
            </c:strRef>
          </c:tx>
          <c:cat>
            <c:strRef>
              <c:f>'estatística'!$C$1:$M$1</c:f>
            </c:strRef>
          </c:cat>
          <c:val>
            <c:numRef>
              <c:f>'estatística'!$C$723:$M$723</c:f>
              <c:numCache/>
            </c:numRef>
          </c:val>
        </c:ser>
        <c:ser>
          <c:idx val="722"/>
          <c:order val="722"/>
          <c:tx>
            <c:strRef>
              <c:f>'estatística'!$B$724</c:f>
            </c:strRef>
          </c:tx>
          <c:cat>
            <c:strRef>
              <c:f>'estatística'!$C$1:$M$1</c:f>
            </c:strRef>
          </c:cat>
          <c:val>
            <c:numRef>
              <c:f>'estatística'!$C$724:$M$724</c:f>
              <c:numCache/>
            </c:numRef>
          </c:val>
        </c:ser>
        <c:ser>
          <c:idx val="723"/>
          <c:order val="723"/>
          <c:tx>
            <c:strRef>
              <c:f>'estatística'!$B$725</c:f>
            </c:strRef>
          </c:tx>
          <c:cat>
            <c:strRef>
              <c:f>'estatística'!$C$1:$M$1</c:f>
            </c:strRef>
          </c:cat>
          <c:val>
            <c:numRef>
              <c:f>'estatística'!$C$725:$M$725</c:f>
              <c:numCache/>
            </c:numRef>
          </c:val>
        </c:ser>
        <c:ser>
          <c:idx val="724"/>
          <c:order val="724"/>
          <c:tx>
            <c:strRef>
              <c:f>'estatística'!$B$726</c:f>
            </c:strRef>
          </c:tx>
          <c:cat>
            <c:strRef>
              <c:f>'estatística'!$C$1:$M$1</c:f>
            </c:strRef>
          </c:cat>
          <c:val>
            <c:numRef>
              <c:f>'estatística'!$C$726:$M$726</c:f>
              <c:numCache/>
            </c:numRef>
          </c:val>
        </c:ser>
        <c:ser>
          <c:idx val="725"/>
          <c:order val="725"/>
          <c:tx>
            <c:strRef>
              <c:f>'estatística'!$B$727</c:f>
            </c:strRef>
          </c:tx>
          <c:cat>
            <c:strRef>
              <c:f>'estatística'!$C$1:$M$1</c:f>
            </c:strRef>
          </c:cat>
          <c:val>
            <c:numRef>
              <c:f>'estatística'!$C$727:$M$727</c:f>
              <c:numCache/>
            </c:numRef>
          </c:val>
        </c:ser>
        <c:ser>
          <c:idx val="726"/>
          <c:order val="726"/>
          <c:tx>
            <c:strRef>
              <c:f>'estatística'!$B$728</c:f>
            </c:strRef>
          </c:tx>
          <c:cat>
            <c:strRef>
              <c:f>'estatística'!$C$1:$M$1</c:f>
            </c:strRef>
          </c:cat>
          <c:val>
            <c:numRef>
              <c:f>'estatística'!$C$728:$M$728</c:f>
              <c:numCache/>
            </c:numRef>
          </c:val>
        </c:ser>
        <c:ser>
          <c:idx val="727"/>
          <c:order val="727"/>
          <c:tx>
            <c:strRef>
              <c:f>'estatística'!$B$729</c:f>
            </c:strRef>
          </c:tx>
          <c:cat>
            <c:strRef>
              <c:f>'estatística'!$C$1:$M$1</c:f>
            </c:strRef>
          </c:cat>
          <c:val>
            <c:numRef>
              <c:f>'estatística'!$C$729:$M$729</c:f>
              <c:numCache/>
            </c:numRef>
          </c:val>
        </c:ser>
        <c:ser>
          <c:idx val="728"/>
          <c:order val="728"/>
          <c:tx>
            <c:strRef>
              <c:f>'estatística'!$B$730</c:f>
            </c:strRef>
          </c:tx>
          <c:cat>
            <c:strRef>
              <c:f>'estatística'!$C$1:$M$1</c:f>
            </c:strRef>
          </c:cat>
          <c:val>
            <c:numRef>
              <c:f>'estatística'!$C$730:$M$730</c:f>
              <c:numCache/>
            </c:numRef>
          </c:val>
        </c:ser>
        <c:ser>
          <c:idx val="729"/>
          <c:order val="729"/>
          <c:tx>
            <c:strRef>
              <c:f>'estatística'!$B$731</c:f>
            </c:strRef>
          </c:tx>
          <c:cat>
            <c:strRef>
              <c:f>'estatística'!$C$1:$M$1</c:f>
            </c:strRef>
          </c:cat>
          <c:val>
            <c:numRef>
              <c:f>'estatística'!$C$731:$M$731</c:f>
              <c:numCache/>
            </c:numRef>
          </c:val>
        </c:ser>
        <c:ser>
          <c:idx val="730"/>
          <c:order val="730"/>
          <c:tx>
            <c:strRef>
              <c:f>'estatística'!$B$732</c:f>
            </c:strRef>
          </c:tx>
          <c:cat>
            <c:strRef>
              <c:f>'estatística'!$C$1:$M$1</c:f>
            </c:strRef>
          </c:cat>
          <c:val>
            <c:numRef>
              <c:f>'estatística'!$C$732:$M$732</c:f>
              <c:numCache/>
            </c:numRef>
          </c:val>
        </c:ser>
        <c:ser>
          <c:idx val="731"/>
          <c:order val="731"/>
          <c:tx>
            <c:strRef>
              <c:f>'estatística'!$B$733</c:f>
            </c:strRef>
          </c:tx>
          <c:cat>
            <c:strRef>
              <c:f>'estatística'!$C$1:$M$1</c:f>
            </c:strRef>
          </c:cat>
          <c:val>
            <c:numRef>
              <c:f>'estatística'!$C$733:$M$733</c:f>
              <c:numCache/>
            </c:numRef>
          </c:val>
        </c:ser>
        <c:ser>
          <c:idx val="732"/>
          <c:order val="732"/>
          <c:tx>
            <c:strRef>
              <c:f>'estatística'!$B$734</c:f>
            </c:strRef>
          </c:tx>
          <c:cat>
            <c:strRef>
              <c:f>'estatística'!$C$1:$M$1</c:f>
            </c:strRef>
          </c:cat>
          <c:val>
            <c:numRef>
              <c:f>'estatística'!$C$734:$M$734</c:f>
              <c:numCache/>
            </c:numRef>
          </c:val>
        </c:ser>
        <c:ser>
          <c:idx val="733"/>
          <c:order val="733"/>
          <c:tx>
            <c:strRef>
              <c:f>'estatística'!$B$735</c:f>
            </c:strRef>
          </c:tx>
          <c:cat>
            <c:strRef>
              <c:f>'estatística'!$C$1:$M$1</c:f>
            </c:strRef>
          </c:cat>
          <c:val>
            <c:numRef>
              <c:f>'estatística'!$C$735:$M$735</c:f>
              <c:numCache/>
            </c:numRef>
          </c:val>
        </c:ser>
        <c:ser>
          <c:idx val="734"/>
          <c:order val="734"/>
          <c:tx>
            <c:strRef>
              <c:f>'estatística'!$B$736</c:f>
            </c:strRef>
          </c:tx>
          <c:cat>
            <c:strRef>
              <c:f>'estatística'!$C$1:$M$1</c:f>
            </c:strRef>
          </c:cat>
          <c:val>
            <c:numRef>
              <c:f>'estatística'!$C$736:$M$736</c:f>
              <c:numCache/>
            </c:numRef>
          </c:val>
        </c:ser>
        <c:ser>
          <c:idx val="735"/>
          <c:order val="735"/>
          <c:tx>
            <c:strRef>
              <c:f>'estatística'!$B$737</c:f>
            </c:strRef>
          </c:tx>
          <c:cat>
            <c:strRef>
              <c:f>'estatística'!$C$1:$M$1</c:f>
            </c:strRef>
          </c:cat>
          <c:val>
            <c:numRef>
              <c:f>'estatística'!$C$737:$M$737</c:f>
              <c:numCache/>
            </c:numRef>
          </c:val>
        </c:ser>
        <c:ser>
          <c:idx val="736"/>
          <c:order val="736"/>
          <c:tx>
            <c:strRef>
              <c:f>'estatística'!$B$738</c:f>
            </c:strRef>
          </c:tx>
          <c:cat>
            <c:strRef>
              <c:f>'estatística'!$C$1:$M$1</c:f>
            </c:strRef>
          </c:cat>
          <c:val>
            <c:numRef>
              <c:f>'estatística'!$C$738:$M$738</c:f>
              <c:numCache/>
            </c:numRef>
          </c:val>
        </c:ser>
        <c:ser>
          <c:idx val="737"/>
          <c:order val="737"/>
          <c:tx>
            <c:strRef>
              <c:f>'estatística'!$B$739</c:f>
            </c:strRef>
          </c:tx>
          <c:cat>
            <c:strRef>
              <c:f>'estatística'!$C$1:$M$1</c:f>
            </c:strRef>
          </c:cat>
          <c:val>
            <c:numRef>
              <c:f>'estatística'!$C$739:$M$739</c:f>
              <c:numCache/>
            </c:numRef>
          </c:val>
        </c:ser>
        <c:ser>
          <c:idx val="738"/>
          <c:order val="738"/>
          <c:tx>
            <c:strRef>
              <c:f>'estatística'!$B$740</c:f>
            </c:strRef>
          </c:tx>
          <c:cat>
            <c:strRef>
              <c:f>'estatística'!$C$1:$M$1</c:f>
            </c:strRef>
          </c:cat>
          <c:val>
            <c:numRef>
              <c:f>'estatística'!$C$740:$M$740</c:f>
              <c:numCache/>
            </c:numRef>
          </c:val>
        </c:ser>
        <c:ser>
          <c:idx val="739"/>
          <c:order val="739"/>
          <c:tx>
            <c:strRef>
              <c:f>'estatística'!$B$741</c:f>
            </c:strRef>
          </c:tx>
          <c:cat>
            <c:strRef>
              <c:f>'estatística'!$C$1:$M$1</c:f>
            </c:strRef>
          </c:cat>
          <c:val>
            <c:numRef>
              <c:f>'estatística'!$C$741:$M$741</c:f>
              <c:numCache/>
            </c:numRef>
          </c:val>
        </c:ser>
        <c:ser>
          <c:idx val="740"/>
          <c:order val="740"/>
          <c:tx>
            <c:strRef>
              <c:f>'estatística'!$B$742</c:f>
            </c:strRef>
          </c:tx>
          <c:cat>
            <c:strRef>
              <c:f>'estatística'!$C$1:$M$1</c:f>
            </c:strRef>
          </c:cat>
          <c:val>
            <c:numRef>
              <c:f>'estatística'!$C$742:$M$742</c:f>
              <c:numCache/>
            </c:numRef>
          </c:val>
        </c:ser>
        <c:ser>
          <c:idx val="741"/>
          <c:order val="741"/>
          <c:tx>
            <c:strRef>
              <c:f>'estatística'!$B$743</c:f>
            </c:strRef>
          </c:tx>
          <c:cat>
            <c:strRef>
              <c:f>'estatística'!$C$1:$M$1</c:f>
            </c:strRef>
          </c:cat>
          <c:val>
            <c:numRef>
              <c:f>'estatística'!$C$743:$M$743</c:f>
              <c:numCache/>
            </c:numRef>
          </c:val>
        </c:ser>
        <c:ser>
          <c:idx val="742"/>
          <c:order val="742"/>
          <c:tx>
            <c:strRef>
              <c:f>'estatística'!$B$744</c:f>
            </c:strRef>
          </c:tx>
          <c:cat>
            <c:strRef>
              <c:f>'estatística'!$C$1:$M$1</c:f>
            </c:strRef>
          </c:cat>
          <c:val>
            <c:numRef>
              <c:f>'estatística'!$C$744:$M$744</c:f>
              <c:numCache/>
            </c:numRef>
          </c:val>
        </c:ser>
        <c:ser>
          <c:idx val="743"/>
          <c:order val="743"/>
          <c:tx>
            <c:strRef>
              <c:f>'estatística'!$B$745</c:f>
            </c:strRef>
          </c:tx>
          <c:cat>
            <c:strRef>
              <c:f>'estatística'!$C$1:$M$1</c:f>
            </c:strRef>
          </c:cat>
          <c:val>
            <c:numRef>
              <c:f>'estatística'!$C$745:$M$745</c:f>
              <c:numCache/>
            </c:numRef>
          </c:val>
        </c:ser>
        <c:ser>
          <c:idx val="744"/>
          <c:order val="744"/>
          <c:tx>
            <c:strRef>
              <c:f>'estatística'!$B$746</c:f>
            </c:strRef>
          </c:tx>
          <c:cat>
            <c:strRef>
              <c:f>'estatística'!$C$1:$M$1</c:f>
            </c:strRef>
          </c:cat>
          <c:val>
            <c:numRef>
              <c:f>'estatística'!$C$746:$M$746</c:f>
              <c:numCache/>
            </c:numRef>
          </c:val>
        </c:ser>
        <c:ser>
          <c:idx val="745"/>
          <c:order val="745"/>
          <c:tx>
            <c:strRef>
              <c:f>'estatística'!$B$747</c:f>
            </c:strRef>
          </c:tx>
          <c:cat>
            <c:strRef>
              <c:f>'estatística'!$C$1:$M$1</c:f>
            </c:strRef>
          </c:cat>
          <c:val>
            <c:numRef>
              <c:f>'estatística'!$C$747:$M$747</c:f>
              <c:numCache/>
            </c:numRef>
          </c:val>
        </c:ser>
        <c:ser>
          <c:idx val="746"/>
          <c:order val="746"/>
          <c:tx>
            <c:strRef>
              <c:f>'estatística'!$B$748</c:f>
            </c:strRef>
          </c:tx>
          <c:cat>
            <c:strRef>
              <c:f>'estatística'!$C$1:$M$1</c:f>
            </c:strRef>
          </c:cat>
          <c:val>
            <c:numRef>
              <c:f>'estatística'!$C$748:$M$748</c:f>
              <c:numCache/>
            </c:numRef>
          </c:val>
        </c:ser>
        <c:ser>
          <c:idx val="747"/>
          <c:order val="747"/>
          <c:tx>
            <c:strRef>
              <c:f>'estatística'!$B$749</c:f>
            </c:strRef>
          </c:tx>
          <c:cat>
            <c:strRef>
              <c:f>'estatística'!$C$1:$M$1</c:f>
            </c:strRef>
          </c:cat>
          <c:val>
            <c:numRef>
              <c:f>'estatística'!$C$749:$M$749</c:f>
              <c:numCache/>
            </c:numRef>
          </c:val>
        </c:ser>
        <c:ser>
          <c:idx val="748"/>
          <c:order val="748"/>
          <c:tx>
            <c:strRef>
              <c:f>'estatística'!$B$750</c:f>
            </c:strRef>
          </c:tx>
          <c:cat>
            <c:strRef>
              <c:f>'estatística'!$C$1:$M$1</c:f>
            </c:strRef>
          </c:cat>
          <c:val>
            <c:numRef>
              <c:f>'estatística'!$C$750:$M$750</c:f>
              <c:numCache/>
            </c:numRef>
          </c:val>
        </c:ser>
        <c:ser>
          <c:idx val="749"/>
          <c:order val="749"/>
          <c:tx>
            <c:strRef>
              <c:f>'estatística'!$B$751</c:f>
            </c:strRef>
          </c:tx>
          <c:cat>
            <c:strRef>
              <c:f>'estatística'!$C$1:$M$1</c:f>
            </c:strRef>
          </c:cat>
          <c:val>
            <c:numRef>
              <c:f>'estatística'!$C$751:$M$751</c:f>
              <c:numCache/>
            </c:numRef>
          </c:val>
        </c:ser>
        <c:ser>
          <c:idx val="750"/>
          <c:order val="750"/>
          <c:tx>
            <c:strRef>
              <c:f>'estatística'!$B$752</c:f>
            </c:strRef>
          </c:tx>
          <c:cat>
            <c:strRef>
              <c:f>'estatística'!$C$1:$M$1</c:f>
            </c:strRef>
          </c:cat>
          <c:val>
            <c:numRef>
              <c:f>'estatística'!$C$752:$M$752</c:f>
              <c:numCache/>
            </c:numRef>
          </c:val>
        </c:ser>
        <c:ser>
          <c:idx val="751"/>
          <c:order val="751"/>
          <c:tx>
            <c:strRef>
              <c:f>'estatística'!$B$753</c:f>
            </c:strRef>
          </c:tx>
          <c:cat>
            <c:strRef>
              <c:f>'estatística'!$C$1:$M$1</c:f>
            </c:strRef>
          </c:cat>
          <c:val>
            <c:numRef>
              <c:f>'estatística'!$C$753:$M$753</c:f>
              <c:numCache/>
            </c:numRef>
          </c:val>
        </c:ser>
        <c:ser>
          <c:idx val="752"/>
          <c:order val="752"/>
          <c:tx>
            <c:strRef>
              <c:f>'estatística'!$B$754</c:f>
            </c:strRef>
          </c:tx>
          <c:cat>
            <c:strRef>
              <c:f>'estatística'!$C$1:$M$1</c:f>
            </c:strRef>
          </c:cat>
          <c:val>
            <c:numRef>
              <c:f>'estatística'!$C$754:$M$754</c:f>
              <c:numCache/>
            </c:numRef>
          </c:val>
        </c:ser>
        <c:ser>
          <c:idx val="753"/>
          <c:order val="753"/>
          <c:tx>
            <c:strRef>
              <c:f>'estatística'!$B$755</c:f>
            </c:strRef>
          </c:tx>
          <c:cat>
            <c:strRef>
              <c:f>'estatística'!$C$1:$M$1</c:f>
            </c:strRef>
          </c:cat>
          <c:val>
            <c:numRef>
              <c:f>'estatística'!$C$755:$M$755</c:f>
              <c:numCache/>
            </c:numRef>
          </c:val>
        </c:ser>
        <c:ser>
          <c:idx val="754"/>
          <c:order val="754"/>
          <c:tx>
            <c:strRef>
              <c:f>'estatística'!$B$756</c:f>
            </c:strRef>
          </c:tx>
          <c:cat>
            <c:strRef>
              <c:f>'estatística'!$C$1:$M$1</c:f>
            </c:strRef>
          </c:cat>
          <c:val>
            <c:numRef>
              <c:f>'estatística'!$C$756:$M$756</c:f>
              <c:numCache/>
            </c:numRef>
          </c:val>
        </c:ser>
        <c:ser>
          <c:idx val="755"/>
          <c:order val="755"/>
          <c:tx>
            <c:strRef>
              <c:f>'estatística'!$B$757</c:f>
            </c:strRef>
          </c:tx>
          <c:cat>
            <c:strRef>
              <c:f>'estatística'!$C$1:$M$1</c:f>
            </c:strRef>
          </c:cat>
          <c:val>
            <c:numRef>
              <c:f>'estatística'!$C$757:$M$757</c:f>
              <c:numCache/>
            </c:numRef>
          </c:val>
        </c:ser>
        <c:ser>
          <c:idx val="756"/>
          <c:order val="756"/>
          <c:tx>
            <c:strRef>
              <c:f>'estatística'!$B$758</c:f>
            </c:strRef>
          </c:tx>
          <c:cat>
            <c:strRef>
              <c:f>'estatística'!$C$1:$M$1</c:f>
            </c:strRef>
          </c:cat>
          <c:val>
            <c:numRef>
              <c:f>'estatística'!$C$758:$M$758</c:f>
              <c:numCache/>
            </c:numRef>
          </c:val>
        </c:ser>
        <c:ser>
          <c:idx val="757"/>
          <c:order val="757"/>
          <c:tx>
            <c:strRef>
              <c:f>'estatística'!$B$759</c:f>
            </c:strRef>
          </c:tx>
          <c:cat>
            <c:strRef>
              <c:f>'estatística'!$C$1:$M$1</c:f>
            </c:strRef>
          </c:cat>
          <c:val>
            <c:numRef>
              <c:f>'estatística'!$C$759:$M$759</c:f>
              <c:numCache/>
            </c:numRef>
          </c:val>
        </c:ser>
        <c:ser>
          <c:idx val="758"/>
          <c:order val="758"/>
          <c:tx>
            <c:strRef>
              <c:f>'estatística'!$B$760</c:f>
            </c:strRef>
          </c:tx>
          <c:cat>
            <c:strRef>
              <c:f>'estatística'!$C$1:$M$1</c:f>
            </c:strRef>
          </c:cat>
          <c:val>
            <c:numRef>
              <c:f>'estatística'!$C$760:$M$760</c:f>
              <c:numCache/>
            </c:numRef>
          </c:val>
        </c:ser>
        <c:ser>
          <c:idx val="759"/>
          <c:order val="759"/>
          <c:tx>
            <c:strRef>
              <c:f>'estatística'!$B$761</c:f>
            </c:strRef>
          </c:tx>
          <c:cat>
            <c:strRef>
              <c:f>'estatística'!$C$1:$M$1</c:f>
            </c:strRef>
          </c:cat>
          <c:val>
            <c:numRef>
              <c:f>'estatística'!$C$761:$M$761</c:f>
              <c:numCache/>
            </c:numRef>
          </c:val>
        </c:ser>
        <c:ser>
          <c:idx val="760"/>
          <c:order val="760"/>
          <c:tx>
            <c:strRef>
              <c:f>'estatística'!$B$762</c:f>
            </c:strRef>
          </c:tx>
          <c:cat>
            <c:strRef>
              <c:f>'estatística'!$C$1:$M$1</c:f>
            </c:strRef>
          </c:cat>
          <c:val>
            <c:numRef>
              <c:f>'estatística'!$C$762:$M$762</c:f>
              <c:numCache/>
            </c:numRef>
          </c:val>
        </c:ser>
        <c:ser>
          <c:idx val="761"/>
          <c:order val="761"/>
          <c:tx>
            <c:strRef>
              <c:f>'estatística'!$B$763</c:f>
            </c:strRef>
          </c:tx>
          <c:cat>
            <c:strRef>
              <c:f>'estatística'!$C$1:$M$1</c:f>
            </c:strRef>
          </c:cat>
          <c:val>
            <c:numRef>
              <c:f>'estatística'!$C$763:$M$763</c:f>
              <c:numCache/>
            </c:numRef>
          </c:val>
        </c:ser>
        <c:ser>
          <c:idx val="762"/>
          <c:order val="762"/>
          <c:tx>
            <c:strRef>
              <c:f>'estatística'!$B$764</c:f>
            </c:strRef>
          </c:tx>
          <c:cat>
            <c:strRef>
              <c:f>'estatística'!$C$1:$M$1</c:f>
            </c:strRef>
          </c:cat>
          <c:val>
            <c:numRef>
              <c:f>'estatística'!$C$764:$M$764</c:f>
              <c:numCache/>
            </c:numRef>
          </c:val>
        </c:ser>
        <c:ser>
          <c:idx val="763"/>
          <c:order val="763"/>
          <c:tx>
            <c:strRef>
              <c:f>'estatística'!$B$765</c:f>
            </c:strRef>
          </c:tx>
          <c:cat>
            <c:strRef>
              <c:f>'estatística'!$C$1:$M$1</c:f>
            </c:strRef>
          </c:cat>
          <c:val>
            <c:numRef>
              <c:f>'estatística'!$C$765:$M$765</c:f>
              <c:numCache/>
            </c:numRef>
          </c:val>
        </c:ser>
        <c:ser>
          <c:idx val="764"/>
          <c:order val="764"/>
          <c:tx>
            <c:strRef>
              <c:f>'estatística'!$B$766</c:f>
            </c:strRef>
          </c:tx>
          <c:cat>
            <c:strRef>
              <c:f>'estatística'!$C$1:$M$1</c:f>
            </c:strRef>
          </c:cat>
          <c:val>
            <c:numRef>
              <c:f>'estatística'!$C$766:$M$766</c:f>
              <c:numCache/>
            </c:numRef>
          </c:val>
        </c:ser>
        <c:ser>
          <c:idx val="765"/>
          <c:order val="765"/>
          <c:tx>
            <c:strRef>
              <c:f>'estatística'!$B$767</c:f>
            </c:strRef>
          </c:tx>
          <c:cat>
            <c:strRef>
              <c:f>'estatística'!$C$1:$M$1</c:f>
            </c:strRef>
          </c:cat>
          <c:val>
            <c:numRef>
              <c:f>'estatística'!$C$767:$M$767</c:f>
              <c:numCache/>
            </c:numRef>
          </c:val>
        </c:ser>
        <c:ser>
          <c:idx val="766"/>
          <c:order val="766"/>
          <c:tx>
            <c:strRef>
              <c:f>'estatística'!$B$768</c:f>
            </c:strRef>
          </c:tx>
          <c:cat>
            <c:strRef>
              <c:f>'estatística'!$C$1:$M$1</c:f>
            </c:strRef>
          </c:cat>
          <c:val>
            <c:numRef>
              <c:f>'estatística'!$C$768:$M$768</c:f>
              <c:numCache/>
            </c:numRef>
          </c:val>
        </c:ser>
        <c:ser>
          <c:idx val="767"/>
          <c:order val="767"/>
          <c:tx>
            <c:strRef>
              <c:f>'estatística'!$B$769</c:f>
            </c:strRef>
          </c:tx>
          <c:cat>
            <c:strRef>
              <c:f>'estatística'!$C$1:$M$1</c:f>
            </c:strRef>
          </c:cat>
          <c:val>
            <c:numRef>
              <c:f>'estatística'!$C$769:$M$769</c:f>
              <c:numCache/>
            </c:numRef>
          </c:val>
        </c:ser>
        <c:ser>
          <c:idx val="768"/>
          <c:order val="768"/>
          <c:tx>
            <c:strRef>
              <c:f>'estatística'!$B$770</c:f>
            </c:strRef>
          </c:tx>
          <c:cat>
            <c:strRef>
              <c:f>'estatística'!$C$1:$M$1</c:f>
            </c:strRef>
          </c:cat>
          <c:val>
            <c:numRef>
              <c:f>'estatística'!$C$770:$M$770</c:f>
              <c:numCache/>
            </c:numRef>
          </c:val>
        </c:ser>
        <c:ser>
          <c:idx val="769"/>
          <c:order val="769"/>
          <c:tx>
            <c:strRef>
              <c:f>'estatística'!$B$771</c:f>
            </c:strRef>
          </c:tx>
          <c:cat>
            <c:strRef>
              <c:f>'estatística'!$C$1:$M$1</c:f>
            </c:strRef>
          </c:cat>
          <c:val>
            <c:numRef>
              <c:f>'estatística'!$C$771:$M$771</c:f>
              <c:numCache/>
            </c:numRef>
          </c:val>
        </c:ser>
        <c:ser>
          <c:idx val="770"/>
          <c:order val="770"/>
          <c:tx>
            <c:strRef>
              <c:f>'estatística'!$B$772</c:f>
            </c:strRef>
          </c:tx>
          <c:cat>
            <c:strRef>
              <c:f>'estatística'!$C$1:$M$1</c:f>
            </c:strRef>
          </c:cat>
          <c:val>
            <c:numRef>
              <c:f>'estatística'!$C$772:$M$772</c:f>
              <c:numCache/>
            </c:numRef>
          </c:val>
        </c:ser>
        <c:ser>
          <c:idx val="771"/>
          <c:order val="771"/>
          <c:tx>
            <c:strRef>
              <c:f>'estatística'!$B$773</c:f>
            </c:strRef>
          </c:tx>
          <c:cat>
            <c:strRef>
              <c:f>'estatística'!$C$1:$M$1</c:f>
            </c:strRef>
          </c:cat>
          <c:val>
            <c:numRef>
              <c:f>'estatística'!$C$773:$M$773</c:f>
              <c:numCache/>
            </c:numRef>
          </c:val>
        </c:ser>
        <c:ser>
          <c:idx val="772"/>
          <c:order val="772"/>
          <c:tx>
            <c:strRef>
              <c:f>'estatística'!$B$774</c:f>
            </c:strRef>
          </c:tx>
          <c:cat>
            <c:strRef>
              <c:f>'estatística'!$C$1:$M$1</c:f>
            </c:strRef>
          </c:cat>
          <c:val>
            <c:numRef>
              <c:f>'estatística'!$C$774:$M$774</c:f>
              <c:numCache/>
            </c:numRef>
          </c:val>
        </c:ser>
        <c:ser>
          <c:idx val="773"/>
          <c:order val="773"/>
          <c:tx>
            <c:strRef>
              <c:f>'estatística'!$B$775</c:f>
            </c:strRef>
          </c:tx>
          <c:cat>
            <c:strRef>
              <c:f>'estatística'!$C$1:$M$1</c:f>
            </c:strRef>
          </c:cat>
          <c:val>
            <c:numRef>
              <c:f>'estatística'!$C$775:$M$775</c:f>
              <c:numCache/>
            </c:numRef>
          </c:val>
        </c:ser>
        <c:ser>
          <c:idx val="774"/>
          <c:order val="774"/>
          <c:tx>
            <c:strRef>
              <c:f>'estatística'!$B$776</c:f>
            </c:strRef>
          </c:tx>
          <c:cat>
            <c:strRef>
              <c:f>'estatística'!$C$1:$M$1</c:f>
            </c:strRef>
          </c:cat>
          <c:val>
            <c:numRef>
              <c:f>'estatística'!$C$776:$M$776</c:f>
              <c:numCache/>
            </c:numRef>
          </c:val>
        </c:ser>
        <c:ser>
          <c:idx val="775"/>
          <c:order val="775"/>
          <c:tx>
            <c:strRef>
              <c:f>'estatística'!$B$777</c:f>
            </c:strRef>
          </c:tx>
          <c:cat>
            <c:strRef>
              <c:f>'estatística'!$C$1:$M$1</c:f>
            </c:strRef>
          </c:cat>
          <c:val>
            <c:numRef>
              <c:f>'estatística'!$C$777:$M$777</c:f>
              <c:numCache/>
            </c:numRef>
          </c:val>
        </c:ser>
        <c:ser>
          <c:idx val="776"/>
          <c:order val="776"/>
          <c:tx>
            <c:strRef>
              <c:f>'estatística'!$B$778</c:f>
            </c:strRef>
          </c:tx>
          <c:cat>
            <c:strRef>
              <c:f>'estatística'!$C$1:$M$1</c:f>
            </c:strRef>
          </c:cat>
          <c:val>
            <c:numRef>
              <c:f>'estatística'!$C$778:$M$778</c:f>
              <c:numCache/>
            </c:numRef>
          </c:val>
        </c:ser>
        <c:ser>
          <c:idx val="777"/>
          <c:order val="777"/>
          <c:tx>
            <c:strRef>
              <c:f>'estatística'!$B$779</c:f>
            </c:strRef>
          </c:tx>
          <c:cat>
            <c:strRef>
              <c:f>'estatística'!$C$1:$M$1</c:f>
            </c:strRef>
          </c:cat>
          <c:val>
            <c:numRef>
              <c:f>'estatística'!$C$779:$M$779</c:f>
              <c:numCache/>
            </c:numRef>
          </c:val>
        </c:ser>
        <c:ser>
          <c:idx val="778"/>
          <c:order val="778"/>
          <c:tx>
            <c:strRef>
              <c:f>'estatística'!$B$780</c:f>
            </c:strRef>
          </c:tx>
          <c:cat>
            <c:strRef>
              <c:f>'estatística'!$C$1:$M$1</c:f>
            </c:strRef>
          </c:cat>
          <c:val>
            <c:numRef>
              <c:f>'estatística'!$C$780:$M$780</c:f>
              <c:numCache/>
            </c:numRef>
          </c:val>
        </c:ser>
        <c:ser>
          <c:idx val="779"/>
          <c:order val="779"/>
          <c:tx>
            <c:strRef>
              <c:f>'estatística'!$B$781</c:f>
            </c:strRef>
          </c:tx>
          <c:cat>
            <c:strRef>
              <c:f>'estatística'!$C$1:$M$1</c:f>
            </c:strRef>
          </c:cat>
          <c:val>
            <c:numRef>
              <c:f>'estatística'!$C$781:$M$781</c:f>
              <c:numCache/>
            </c:numRef>
          </c:val>
        </c:ser>
        <c:ser>
          <c:idx val="780"/>
          <c:order val="780"/>
          <c:tx>
            <c:strRef>
              <c:f>'estatística'!$B$782</c:f>
            </c:strRef>
          </c:tx>
          <c:cat>
            <c:strRef>
              <c:f>'estatística'!$C$1:$M$1</c:f>
            </c:strRef>
          </c:cat>
          <c:val>
            <c:numRef>
              <c:f>'estatística'!$C$782:$M$782</c:f>
              <c:numCache/>
            </c:numRef>
          </c:val>
        </c:ser>
        <c:ser>
          <c:idx val="781"/>
          <c:order val="781"/>
          <c:tx>
            <c:strRef>
              <c:f>'estatística'!$B$783</c:f>
            </c:strRef>
          </c:tx>
          <c:cat>
            <c:strRef>
              <c:f>'estatística'!$C$1:$M$1</c:f>
            </c:strRef>
          </c:cat>
          <c:val>
            <c:numRef>
              <c:f>'estatística'!$C$783:$M$783</c:f>
              <c:numCache/>
            </c:numRef>
          </c:val>
        </c:ser>
        <c:ser>
          <c:idx val="782"/>
          <c:order val="782"/>
          <c:tx>
            <c:strRef>
              <c:f>'estatística'!$B$784</c:f>
            </c:strRef>
          </c:tx>
          <c:cat>
            <c:strRef>
              <c:f>'estatística'!$C$1:$M$1</c:f>
            </c:strRef>
          </c:cat>
          <c:val>
            <c:numRef>
              <c:f>'estatística'!$C$784:$M$784</c:f>
              <c:numCache/>
            </c:numRef>
          </c:val>
        </c:ser>
        <c:ser>
          <c:idx val="783"/>
          <c:order val="783"/>
          <c:tx>
            <c:strRef>
              <c:f>'estatística'!$B$785</c:f>
            </c:strRef>
          </c:tx>
          <c:cat>
            <c:strRef>
              <c:f>'estatística'!$C$1:$M$1</c:f>
            </c:strRef>
          </c:cat>
          <c:val>
            <c:numRef>
              <c:f>'estatística'!$C$785:$M$785</c:f>
              <c:numCache/>
            </c:numRef>
          </c:val>
        </c:ser>
        <c:ser>
          <c:idx val="784"/>
          <c:order val="784"/>
          <c:tx>
            <c:strRef>
              <c:f>'estatística'!$B$786</c:f>
            </c:strRef>
          </c:tx>
          <c:cat>
            <c:strRef>
              <c:f>'estatística'!$C$1:$M$1</c:f>
            </c:strRef>
          </c:cat>
          <c:val>
            <c:numRef>
              <c:f>'estatística'!$C$786:$M$786</c:f>
              <c:numCache/>
            </c:numRef>
          </c:val>
        </c:ser>
        <c:ser>
          <c:idx val="785"/>
          <c:order val="785"/>
          <c:tx>
            <c:strRef>
              <c:f>'estatística'!$B$787</c:f>
            </c:strRef>
          </c:tx>
          <c:cat>
            <c:strRef>
              <c:f>'estatística'!$C$1:$M$1</c:f>
            </c:strRef>
          </c:cat>
          <c:val>
            <c:numRef>
              <c:f>'estatística'!$C$787:$M$787</c:f>
              <c:numCache/>
            </c:numRef>
          </c:val>
        </c:ser>
        <c:ser>
          <c:idx val="786"/>
          <c:order val="786"/>
          <c:tx>
            <c:strRef>
              <c:f>'estatística'!$B$788</c:f>
            </c:strRef>
          </c:tx>
          <c:cat>
            <c:strRef>
              <c:f>'estatística'!$C$1:$M$1</c:f>
            </c:strRef>
          </c:cat>
          <c:val>
            <c:numRef>
              <c:f>'estatística'!$C$788:$M$788</c:f>
              <c:numCache/>
            </c:numRef>
          </c:val>
        </c:ser>
        <c:ser>
          <c:idx val="787"/>
          <c:order val="787"/>
          <c:tx>
            <c:strRef>
              <c:f>'estatística'!$B$789</c:f>
            </c:strRef>
          </c:tx>
          <c:cat>
            <c:strRef>
              <c:f>'estatística'!$C$1:$M$1</c:f>
            </c:strRef>
          </c:cat>
          <c:val>
            <c:numRef>
              <c:f>'estatística'!$C$789:$M$789</c:f>
              <c:numCache/>
            </c:numRef>
          </c:val>
        </c:ser>
        <c:ser>
          <c:idx val="788"/>
          <c:order val="788"/>
          <c:tx>
            <c:strRef>
              <c:f>'estatística'!$B$790</c:f>
            </c:strRef>
          </c:tx>
          <c:cat>
            <c:strRef>
              <c:f>'estatística'!$C$1:$M$1</c:f>
            </c:strRef>
          </c:cat>
          <c:val>
            <c:numRef>
              <c:f>'estatística'!$C$790:$M$790</c:f>
              <c:numCache/>
            </c:numRef>
          </c:val>
        </c:ser>
        <c:ser>
          <c:idx val="789"/>
          <c:order val="789"/>
          <c:tx>
            <c:strRef>
              <c:f>'estatística'!$B$791</c:f>
            </c:strRef>
          </c:tx>
          <c:cat>
            <c:strRef>
              <c:f>'estatística'!$C$1:$M$1</c:f>
            </c:strRef>
          </c:cat>
          <c:val>
            <c:numRef>
              <c:f>'estatística'!$C$791:$M$791</c:f>
              <c:numCache/>
            </c:numRef>
          </c:val>
        </c:ser>
        <c:ser>
          <c:idx val="790"/>
          <c:order val="790"/>
          <c:tx>
            <c:strRef>
              <c:f>'estatística'!$B$792</c:f>
            </c:strRef>
          </c:tx>
          <c:cat>
            <c:strRef>
              <c:f>'estatística'!$C$1:$M$1</c:f>
            </c:strRef>
          </c:cat>
          <c:val>
            <c:numRef>
              <c:f>'estatística'!$C$792:$M$792</c:f>
              <c:numCache/>
            </c:numRef>
          </c:val>
        </c:ser>
        <c:ser>
          <c:idx val="791"/>
          <c:order val="791"/>
          <c:tx>
            <c:strRef>
              <c:f>'estatística'!$B$793</c:f>
            </c:strRef>
          </c:tx>
          <c:cat>
            <c:strRef>
              <c:f>'estatística'!$C$1:$M$1</c:f>
            </c:strRef>
          </c:cat>
          <c:val>
            <c:numRef>
              <c:f>'estatística'!$C$793:$M$793</c:f>
              <c:numCache/>
            </c:numRef>
          </c:val>
        </c:ser>
        <c:ser>
          <c:idx val="792"/>
          <c:order val="792"/>
          <c:tx>
            <c:strRef>
              <c:f>'estatística'!$B$794</c:f>
            </c:strRef>
          </c:tx>
          <c:cat>
            <c:strRef>
              <c:f>'estatística'!$C$1:$M$1</c:f>
            </c:strRef>
          </c:cat>
          <c:val>
            <c:numRef>
              <c:f>'estatística'!$C$794:$M$794</c:f>
              <c:numCache/>
            </c:numRef>
          </c:val>
        </c:ser>
        <c:ser>
          <c:idx val="793"/>
          <c:order val="793"/>
          <c:tx>
            <c:strRef>
              <c:f>'estatística'!$B$795</c:f>
            </c:strRef>
          </c:tx>
          <c:cat>
            <c:strRef>
              <c:f>'estatística'!$C$1:$M$1</c:f>
            </c:strRef>
          </c:cat>
          <c:val>
            <c:numRef>
              <c:f>'estatística'!$C$795:$M$795</c:f>
              <c:numCache/>
            </c:numRef>
          </c:val>
        </c:ser>
        <c:ser>
          <c:idx val="794"/>
          <c:order val="794"/>
          <c:tx>
            <c:strRef>
              <c:f>'estatística'!$B$796</c:f>
            </c:strRef>
          </c:tx>
          <c:cat>
            <c:strRef>
              <c:f>'estatística'!$C$1:$M$1</c:f>
            </c:strRef>
          </c:cat>
          <c:val>
            <c:numRef>
              <c:f>'estatística'!$C$796:$M$796</c:f>
              <c:numCache/>
            </c:numRef>
          </c:val>
        </c:ser>
        <c:ser>
          <c:idx val="795"/>
          <c:order val="795"/>
          <c:tx>
            <c:strRef>
              <c:f>'estatística'!$B$797</c:f>
            </c:strRef>
          </c:tx>
          <c:cat>
            <c:strRef>
              <c:f>'estatística'!$C$1:$M$1</c:f>
            </c:strRef>
          </c:cat>
          <c:val>
            <c:numRef>
              <c:f>'estatística'!$C$797:$M$797</c:f>
              <c:numCache/>
            </c:numRef>
          </c:val>
        </c:ser>
        <c:ser>
          <c:idx val="796"/>
          <c:order val="796"/>
          <c:tx>
            <c:strRef>
              <c:f>'estatística'!$B$798</c:f>
            </c:strRef>
          </c:tx>
          <c:cat>
            <c:strRef>
              <c:f>'estatística'!$C$1:$M$1</c:f>
            </c:strRef>
          </c:cat>
          <c:val>
            <c:numRef>
              <c:f>'estatística'!$C$798:$M$798</c:f>
              <c:numCache/>
            </c:numRef>
          </c:val>
        </c:ser>
        <c:ser>
          <c:idx val="797"/>
          <c:order val="797"/>
          <c:tx>
            <c:strRef>
              <c:f>'estatística'!$B$799</c:f>
            </c:strRef>
          </c:tx>
          <c:cat>
            <c:strRef>
              <c:f>'estatística'!$C$1:$M$1</c:f>
            </c:strRef>
          </c:cat>
          <c:val>
            <c:numRef>
              <c:f>'estatística'!$C$799:$M$799</c:f>
              <c:numCache/>
            </c:numRef>
          </c:val>
        </c:ser>
        <c:ser>
          <c:idx val="798"/>
          <c:order val="798"/>
          <c:tx>
            <c:strRef>
              <c:f>'estatística'!$B$800</c:f>
            </c:strRef>
          </c:tx>
          <c:cat>
            <c:strRef>
              <c:f>'estatística'!$C$1:$M$1</c:f>
            </c:strRef>
          </c:cat>
          <c:val>
            <c:numRef>
              <c:f>'estatística'!$C$800:$M$800</c:f>
              <c:numCache/>
            </c:numRef>
          </c:val>
        </c:ser>
        <c:ser>
          <c:idx val="799"/>
          <c:order val="799"/>
          <c:tx>
            <c:strRef>
              <c:f>'estatística'!$B$801</c:f>
            </c:strRef>
          </c:tx>
          <c:cat>
            <c:strRef>
              <c:f>'estatística'!$C$1:$M$1</c:f>
            </c:strRef>
          </c:cat>
          <c:val>
            <c:numRef>
              <c:f>'estatística'!$C$801:$M$801</c:f>
              <c:numCache/>
            </c:numRef>
          </c:val>
        </c:ser>
        <c:ser>
          <c:idx val="800"/>
          <c:order val="800"/>
          <c:tx>
            <c:strRef>
              <c:f>'estatística'!$B$802</c:f>
            </c:strRef>
          </c:tx>
          <c:cat>
            <c:strRef>
              <c:f>'estatística'!$C$1:$M$1</c:f>
            </c:strRef>
          </c:cat>
          <c:val>
            <c:numRef>
              <c:f>'estatística'!$C$802:$M$802</c:f>
              <c:numCache/>
            </c:numRef>
          </c:val>
        </c:ser>
        <c:ser>
          <c:idx val="801"/>
          <c:order val="801"/>
          <c:tx>
            <c:strRef>
              <c:f>'estatística'!$B$803</c:f>
            </c:strRef>
          </c:tx>
          <c:cat>
            <c:strRef>
              <c:f>'estatística'!$C$1:$M$1</c:f>
            </c:strRef>
          </c:cat>
          <c:val>
            <c:numRef>
              <c:f>'estatística'!$C$803:$M$803</c:f>
              <c:numCache/>
            </c:numRef>
          </c:val>
        </c:ser>
        <c:ser>
          <c:idx val="802"/>
          <c:order val="802"/>
          <c:tx>
            <c:strRef>
              <c:f>'estatística'!$B$804</c:f>
            </c:strRef>
          </c:tx>
          <c:cat>
            <c:strRef>
              <c:f>'estatística'!$C$1:$M$1</c:f>
            </c:strRef>
          </c:cat>
          <c:val>
            <c:numRef>
              <c:f>'estatística'!$C$804:$M$804</c:f>
              <c:numCache/>
            </c:numRef>
          </c:val>
        </c:ser>
        <c:ser>
          <c:idx val="803"/>
          <c:order val="803"/>
          <c:tx>
            <c:strRef>
              <c:f>'estatística'!$B$805</c:f>
            </c:strRef>
          </c:tx>
          <c:cat>
            <c:strRef>
              <c:f>'estatística'!$C$1:$M$1</c:f>
            </c:strRef>
          </c:cat>
          <c:val>
            <c:numRef>
              <c:f>'estatística'!$C$805:$M$805</c:f>
              <c:numCache/>
            </c:numRef>
          </c:val>
        </c:ser>
        <c:ser>
          <c:idx val="804"/>
          <c:order val="804"/>
          <c:tx>
            <c:strRef>
              <c:f>'estatística'!$B$806</c:f>
            </c:strRef>
          </c:tx>
          <c:cat>
            <c:strRef>
              <c:f>'estatística'!$C$1:$M$1</c:f>
            </c:strRef>
          </c:cat>
          <c:val>
            <c:numRef>
              <c:f>'estatística'!$C$806:$M$806</c:f>
              <c:numCache/>
            </c:numRef>
          </c:val>
        </c:ser>
        <c:ser>
          <c:idx val="805"/>
          <c:order val="805"/>
          <c:tx>
            <c:strRef>
              <c:f>'estatística'!$B$807</c:f>
            </c:strRef>
          </c:tx>
          <c:cat>
            <c:strRef>
              <c:f>'estatística'!$C$1:$M$1</c:f>
            </c:strRef>
          </c:cat>
          <c:val>
            <c:numRef>
              <c:f>'estatística'!$C$807:$M$807</c:f>
              <c:numCache/>
            </c:numRef>
          </c:val>
        </c:ser>
        <c:ser>
          <c:idx val="806"/>
          <c:order val="806"/>
          <c:tx>
            <c:strRef>
              <c:f>'estatística'!$B$808</c:f>
            </c:strRef>
          </c:tx>
          <c:cat>
            <c:strRef>
              <c:f>'estatística'!$C$1:$M$1</c:f>
            </c:strRef>
          </c:cat>
          <c:val>
            <c:numRef>
              <c:f>'estatística'!$C$808:$M$808</c:f>
              <c:numCache/>
            </c:numRef>
          </c:val>
        </c:ser>
        <c:ser>
          <c:idx val="807"/>
          <c:order val="807"/>
          <c:tx>
            <c:strRef>
              <c:f>'estatística'!$B$809</c:f>
            </c:strRef>
          </c:tx>
          <c:cat>
            <c:strRef>
              <c:f>'estatística'!$C$1:$M$1</c:f>
            </c:strRef>
          </c:cat>
          <c:val>
            <c:numRef>
              <c:f>'estatística'!$C$809:$M$809</c:f>
              <c:numCache/>
            </c:numRef>
          </c:val>
        </c:ser>
        <c:ser>
          <c:idx val="808"/>
          <c:order val="808"/>
          <c:tx>
            <c:strRef>
              <c:f>'estatística'!$B$810</c:f>
            </c:strRef>
          </c:tx>
          <c:cat>
            <c:strRef>
              <c:f>'estatística'!$C$1:$M$1</c:f>
            </c:strRef>
          </c:cat>
          <c:val>
            <c:numRef>
              <c:f>'estatística'!$C$810:$M$810</c:f>
              <c:numCache/>
            </c:numRef>
          </c:val>
        </c:ser>
        <c:ser>
          <c:idx val="809"/>
          <c:order val="809"/>
          <c:tx>
            <c:strRef>
              <c:f>'estatística'!$B$811</c:f>
            </c:strRef>
          </c:tx>
          <c:cat>
            <c:strRef>
              <c:f>'estatística'!$C$1:$M$1</c:f>
            </c:strRef>
          </c:cat>
          <c:val>
            <c:numRef>
              <c:f>'estatística'!$C$811:$M$811</c:f>
              <c:numCache/>
            </c:numRef>
          </c:val>
        </c:ser>
        <c:ser>
          <c:idx val="810"/>
          <c:order val="810"/>
          <c:tx>
            <c:strRef>
              <c:f>'estatística'!$B$812</c:f>
            </c:strRef>
          </c:tx>
          <c:cat>
            <c:strRef>
              <c:f>'estatística'!$C$1:$M$1</c:f>
            </c:strRef>
          </c:cat>
          <c:val>
            <c:numRef>
              <c:f>'estatística'!$C$812:$M$812</c:f>
              <c:numCache/>
            </c:numRef>
          </c:val>
        </c:ser>
        <c:ser>
          <c:idx val="811"/>
          <c:order val="811"/>
          <c:tx>
            <c:strRef>
              <c:f>'estatística'!$B$813</c:f>
            </c:strRef>
          </c:tx>
          <c:cat>
            <c:strRef>
              <c:f>'estatística'!$C$1:$M$1</c:f>
            </c:strRef>
          </c:cat>
          <c:val>
            <c:numRef>
              <c:f>'estatística'!$C$813:$M$813</c:f>
              <c:numCache/>
            </c:numRef>
          </c:val>
        </c:ser>
        <c:ser>
          <c:idx val="812"/>
          <c:order val="812"/>
          <c:tx>
            <c:strRef>
              <c:f>'estatística'!$B$814</c:f>
            </c:strRef>
          </c:tx>
          <c:cat>
            <c:strRef>
              <c:f>'estatística'!$C$1:$M$1</c:f>
            </c:strRef>
          </c:cat>
          <c:val>
            <c:numRef>
              <c:f>'estatística'!$C$814:$M$814</c:f>
              <c:numCache/>
            </c:numRef>
          </c:val>
        </c:ser>
        <c:ser>
          <c:idx val="813"/>
          <c:order val="813"/>
          <c:tx>
            <c:strRef>
              <c:f>'estatística'!$B$815</c:f>
            </c:strRef>
          </c:tx>
          <c:cat>
            <c:strRef>
              <c:f>'estatística'!$C$1:$M$1</c:f>
            </c:strRef>
          </c:cat>
          <c:val>
            <c:numRef>
              <c:f>'estatística'!$C$815:$M$815</c:f>
              <c:numCache/>
            </c:numRef>
          </c:val>
        </c:ser>
        <c:ser>
          <c:idx val="814"/>
          <c:order val="814"/>
          <c:tx>
            <c:strRef>
              <c:f>'estatística'!$B$816</c:f>
            </c:strRef>
          </c:tx>
          <c:cat>
            <c:strRef>
              <c:f>'estatística'!$C$1:$M$1</c:f>
            </c:strRef>
          </c:cat>
          <c:val>
            <c:numRef>
              <c:f>'estatística'!$C$816:$M$816</c:f>
              <c:numCache/>
            </c:numRef>
          </c:val>
        </c:ser>
        <c:ser>
          <c:idx val="815"/>
          <c:order val="815"/>
          <c:tx>
            <c:strRef>
              <c:f>'estatística'!$B$817</c:f>
            </c:strRef>
          </c:tx>
          <c:cat>
            <c:strRef>
              <c:f>'estatística'!$C$1:$M$1</c:f>
            </c:strRef>
          </c:cat>
          <c:val>
            <c:numRef>
              <c:f>'estatística'!$C$817:$M$817</c:f>
              <c:numCache/>
            </c:numRef>
          </c:val>
        </c:ser>
        <c:ser>
          <c:idx val="816"/>
          <c:order val="816"/>
          <c:tx>
            <c:strRef>
              <c:f>'estatística'!$B$818</c:f>
            </c:strRef>
          </c:tx>
          <c:cat>
            <c:strRef>
              <c:f>'estatística'!$C$1:$M$1</c:f>
            </c:strRef>
          </c:cat>
          <c:val>
            <c:numRef>
              <c:f>'estatística'!$C$818:$M$818</c:f>
              <c:numCache/>
            </c:numRef>
          </c:val>
        </c:ser>
        <c:ser>
          <c:idx val="817"/>
          <c:order val="817"/>
          <c:tx>
            <c:strRef>
              <c:f>'estatística'!$B$819</c:f>
            </c:strRef>
          </c:tx>
          <c:cat>
            <c:strRef>
              <c:f>'estatística'!$C$1:$M$1</c:f>
            </c:strRef>
          </c:cat>
          <c:val>
            <c:numRef>
              <c:f>'estatística'!$C$819:$M$819</c:f>
              <c:numCache/>
            </c:numRef>
          </c:val>
        </c:ser>
        <c:ser>
          <c:idx val="818"/>
          <c:order val="818"/>
          <c:tx>
            <c:strRef>
              <c:f>'estatística'!$B$820</c:f>
            </c:strRef>
          </c:tx>
          <c:cat>
            <c:strRef>
              <c:f>'estatística'!$C$1:$M$1</c:f>
            </c:strRef>
          </c:cat>
          <c:val>
            <c:numRef>
              <c:f>'estatística'!$C$820:$M$820</c:f>
              <c:numCache/>
            </c:numRef>
          </c:val>
        </c:ser>
        <c:ser>
          <c:idx val="819"/>
          <c:order val="819"/>
          <c:tx>
            <c:strRef>
              <c:f>'estatística'!$B$821</c:f>
            </c:strRef>
          </c:tx>
          <c:cat>
            <c:strRef>
              <c:f>'estatística'!$C$1:$M$1</c:f>
            </c:strRef>
          </c:cat>
          <c:val>
            <c:numRef>
              <c:f>'estatística'!$C$821:$M$821</c:f>
              <c:numCache/>
            </c:numRef>
          </c:val>
        </c:ser>
        <c:ser>
          <c:idx val="820"/>
          <c:order val="820"/>
          <c:tx>
            <c:strRef>
              <c:f>'estatística'!$B$822</c:f>
            </c:strRef>
          </c:tx>
          <c:cat>
            <c:strRef>
              <c:f>'estatística'!$C$1:$M$1</c:f>
            </c:strRef>
          </c:cat>
          <c:val>
            <c:numRef>
              <c:f>'estatística'!$C$822:$M$822</c:f>
              <c:numCache/>
            </c:numRef>
          </c:val>
        </c:ser>
        <c:ser>
          <c:idx val="821"/>
          <c:order val="821"/>
          <c:tx>
            <c:strRef>
              <c:f>'estatística'!$B$823</c:f>
            </c:strRef>
          </c:tx>
          <c:cat>
            <c:strRef>
              <c:f>'estatística'!$C$1:$M$1</c:f>
            </c:strRef>
          </c:cat>
          <c:val>
            <c:numRef>
              <c:f>'estatística'!$C$823:$M$823</c:f>
              <c:numCache/>
            </c:numRef>
          </c:val>
        </c:ser>
        <c:ser>
          <c:idx val="822"/>
          <c:order val="822"/>
          <c:tx>
            <c:strRef>
              <c:f>'estatística'!$B$824</c:f>
            </c:strRef>
          </c:tx>
          <c:cat>
            <c:strRef>
              <c:f>'estatística'!$C$1:$M$1</c:f>
            </c:strRef>
          </c:cat>
          <c:val>
            <c:numRef>
              <c:f>'estatística'!$C$824:$M$824</c:f>
              <c:numCache/>
            </c:numRef>
          </c:val>
        </c:ser>
        <c:ser>
          <c:idx val="823"/>
          <c:order val="823"/>
          <c:tx>
            <c:strRef>
              <c:f>'estatística'!$B$825</c:f>
            </c:strRef>
          </c:tx>
          <c:cat>
            <c:strRef>
              <c:f>'estatística'!$C$1:$M$1</c:f>
            </c:strRef>
          </c:cat>
          <c:val>
            <c:numRef>
              <c:f>'estatística'!$C$825:$M$825</c:f>
              <c:numCache/>
            </c:numRef>
          </c:val>
        </c:ser>
        <c:ser>
          <c:idx val="824"/>
          <c:order val="824"/>
          <c:tx>
            <c:strRef>
              <c:f>'estatística'!$B$826</c:f>
            </c:strRef>
          </c:tx>
          <c:cat>
            <c:strRef>
              <c:f>'estatística'!$C$1:$M$1</c:f>
            </c:strRef>
          </c:cat>
          <c:val>
            <c:numRef>
              <c:f>'estatística'!$C$826:$M$826</c:f>
              <c:numCache/>
            </c:numRef>
          </c:val>
        </c:ser>
        <c:ser>
          <c:idx val="825"/>
          <c:order val="825"/>
          <c:tx>
            <c:strRef>
              <c:f>'estatística'!$B$827</c:f>
            </c:strRef>
          </c:tx>
          <c:cat>
            <c:strRef>
              <c:f>'estatística'!$C$1:$M$1</c:f>
            </c:strRef>
          </c:cat>
          <c:val>
            <c:numRef>
              <c:f>'estatística'!$C$827:$M$827</c:f>
              <c:numCache/>
            </c:numRef>
          </c:val>
        </c:ser>
        <c:ser>
          <c:idx val="826"/>
          <c:order val="826"/>
          <c:tx>
            <c:strRef>
              <c:f>'estatística'!$B$828</c:f>
            </c:strRef>
          </c:tx>
          <c:cat>
            <c:strRef>
              <c:f>'estatística'!$C$1:$M$1</c:f>
            </c:strRef>
          </c:cat>
          <c:val>
            <c:numRef>
              <c:f>'estatística'!$C$828:$M$828</c:f>
              <c:numCache/>
            </c:numRef>
          </c:val>
        </c:ser>
        <c:ser>
          <c:idx val="827"/>
          <c:order val="827"/>
          <c:tx>
            <c:strRef>
              <c:f>'estatística'!$B$829</c:f>
            </c:strRef>
          </c:tx>
          <c:cat>
            <c:strRef>
              <c:f>'estatística'!$C$1:$M$1</c:f>
            </c:strRef>
          </c:cat>
          <c:val>
            <c:numRef>
              <c:f>'estatística'!$C$829:$M$829</c:f>
              <c:numCache/>
            </c:numRef>
          </c:val>
        </c:ser>
        <c:ser>
          <c:idx val="828"/>
          <c:order val="828"/>
          <c:tx>
            <c:strRef>
              <c:f>'estatística'!$B$830</c:f>
            </c:strRef>
          </c:tx>
          <c:cat>
            <c:strRef>
              <c:f>'estatística'!$C$1:$M$1</c:f>
            </c:strRef>
          </c:cat>
          <c:val>
            <c:numRef>
              <c:f>'estatística'!$C$830:$M$830</c:f>
              <c:numCache/>
            </c:numRef>
          </c:val>
        </c:ser>
        <c:ser>
          <c:idx val="829"/>
          <c:order val="829"/>
          <c:tx>
            <c:strRef>
              <c:f>'estatística'!$B$831</c:f>
            </c:strRef>
          </c:tx>
          <c:cat>
            <c:strRef>
              <c:f>'estatística'!$C$1:$M$1</c:f>
            </c:strRef>
          </c:cat>
          <c:val>
            <c:numRef>
              <c:f>'estatística'!$C$831:$M$831</c:f>
              <c:numCache/>
            </c:numRef>
          </c:val>
        </c:ser>
        <c:ser>
          <c:idx val="830"/>
          <c:order val="830"/>
          <c:tx>
            <c:strRef>
              <c:f>'estatística'!$B$832</c:f>
            </c:strRef>
          </c:tx>
          <c:cat>
            <c:strRef>
              <c:f>'estatística'!$C$1:$M$1</c:f>
            </c:strRef>
          </c:cat>
          <c:val>
            <c:numRef>
              <c:f>'estatística'!$C$832:$M$832</c:f>
              <c:numCache/>
            </c:numRef>
          </c:val>
        </c:ser>
        <c:ser>
          <c:idx val="831"/>
          <c:order val="831"/>
          <c:tx>
            <c:strRef>
              <c:f>'estatística'!$B$833</c:f>
            </c:strRef>
          </c:tx>
          <c:cat>
            <c:strRef>
              <c:f>'estatística'!$C$1:$M$1</c:f>
            </c:strRef>
          </c:cat>
          <c:val>
            <c:numRef>
              <c:f>'estatística'!$C$833:$M$833</c:f>
              <c:numCache/>
            </c:numRef>
          </c:val>
        </c:ser>
        <c:ser>
          <c:idx val="832"/>
          <c:order val="832"/>
          <c:tx>
            <c:strRef>
              <c:f>'estatística'!$B$834</c:f>
            </c:strRef>
          </c:tx>
          <c:cat>
            <c:strRef>
              <c:f>'estatística'!$C$1:$M$1</c:f>
            </c:strRef>
          </c:cat>
          <c:val>
            <c:numRef>
              <c:f>'estatística'!$C$834:$M$834</c:f>
              <c:numCache/>
            </c:numRef>
          </c:val>
        </c:ser>
        <c:ser>
          <c:idx val="833"/>
          <c:order val="833"/>
          <c:tx>
            <c:strRef>
              <c:f>'estatística'!$B$835</c:f>
            </c:strRef>
          </c:tx>
          <c:cat>
            <c:strRef>
              <c:f>'estatística'!$C$1:$M$1</c:f>
            </c:strRef>
          </c:cat>
          <c:val>
            <c:numRef>
              <c:f>'estatística'!$C$835:$M$835</c:f>
              <c:numCache/>
            </c:numRef>
          </c:val>
        </c:ser>
        <c:ser>
          <c:idx val="834"/>
          <c:order val="834"/>
          <c:tx>
            <c:strRef>
              <c:f>'estatística'!$B$836</c:f>
            </c:strRef>
          </c:tx>
          <c:cat>
            <c:strRef>
              <c:f>'estatística'!$C$1:$M$1</c:f>
            </c:strRef>
          </c:cat>
          <c:val>
            <c:numRef>
              <c:f>'estatística'!$C$836:$M$836</c:f>
              <c:numCache/>
            </c:numRef>
          </c:val>
        </c:ser>
        <c:ser>
          <c:idx val="835"/>
          <c:order val="835"/>
          <c:tx>
            <c:strRef>
              <c:f>'estatística'!$B$837</c:f>
            </c:strRef>
          </c:tx>
          <c:cat>
            <c:strRef>
              <c:f>'estatística'!$C$1:$M$1</c:f>
            </c:strRef>
          </c:cat>
          <c:val>
            <c:numRef>
              <c:f>'estatística'!$C$837:$M$837</c:f>
              <c:numCache/>
            </c:numRef>
          </c:val>
        </c:ser>
        <c:ser>
          <c:idx val="836"/>
          <c:order val="836"/>
          <c:tx>
            <c:strRef>
              <c:f>'estatística'!$B$838</c:f>
            </c:strRef>
          </c:tx>
          <c:cat>
            <c:strRef>
              <c:f>'estatística'!$C$1:$M$1</c:f>
            </c:strRef>
          </c:cat>
          <c:val>
            <c:numRef>
              <c:f>'estatística'!$C$838:$M$838</c:f>
              <c:numCache/>
            </c:numRef>
          </c:val>
        </c:ser>
        <c:ser>
          <c:idx val="837"/>
          <c:order val="837"/>
          <c:tx>
            <c:strRef>
              <c:f>'estatística'!$B$839</c:f>
            </c:strRef>
          </c:tx>
          <c:cat>
            <c:strRef>
              <c:f>'estatística'!$C$1:$M$1</c:f>
            </c:strRef>
          </c:cat>
          <c:val>
            <c:numRef>
              <c:f>'estatística'!$C$839:$M$839</c:f>
              <c:numCache/>
            </c:numRef>
          </c:val>
        </c:ser>
        <c:ser>
          <c:idx val="838"/>
          <c:order val="838"/>
          <c:tx>
            <c:strRef>
              <c:f>'estatística'!$B$840</c:f>
            </c:strRef>
          </c:tx>
          <c:cat>
            <c:strRef>
              <c:f>'estatística'!$C$1:$M$1</c:f>
            </c:strRef>
          </c:cat>
          <c:val>
            <c:numRef>
              <c:f>'estatística'!$C$840:$M$840</c:f>
              <c:numCache/>
            </c:numRef>
          </c:val>
        </c:ser>
        <c:ser>
          <c:idx val="839"/>
          <c:order val="839"/>
          <c:tx>
            <c:strRef>
              <c:f>'estatística'!$B$841</c:f>
            </c:strRef>
          </c:tx>
          <c:cat>
            <c:strRef>
              <c:f>'estatística'!$C$1:$M$1</c:f>
            </c:strRef>
          </c:cat>
          <c:val>
            <c:numRef>
              <c:f>'estatística'!$C$841:$M$841</c:f>
              <c:numCache/>
            </c:numRef>
          </c:val>
        </c:ser>
        <c:ser>
          <c:idx val="840"/>
          <c:order val="840"/>
          <c:tx>
            <c:strRef>
              <c:f>'estatística'!$B$842</c:f>
            </c:strRef>
          </c:tx>
          <c:cat>
            <c:strRef>
              <c:f>'estatística'!$C$1:$M$1</c:f>
            </c:strRef>
          </c:cat>
          <c:val>
            <c:numRef>
              <c:f>'estatística'!$C$842:$M$842</c:f>
              <c:numCache/>
            </c:numRef>
          </c:val>
        </c:ser>
        <c:ser>
          <c:idx val="841"/>
          <c:order val="841"/>
          <c:tx>
            <c:strRef>
              <c:f>'estatística'!$B$843</c:f>
            </c:strRef>
          </c:tx>
          <c:cat>
            <c:strRef>
              <c:f>'estatística'!$C$1:$M$1</c:f>
            </c:strRef>
          </c:cat>
          <c:val>
            <c:numRef>
              <c:f>'estatística'!$C$843:$M$843</c:f>
              <c:numCache/>
            </c:numRef>
          </c:val>
        </c:ser>
        <c:ser>
          <c:idx val="842"/>
          <c:order val="842"/>
          <c:tx>
            <c:strRef>
              <c:f>'estatística'!$B$844</c:f>
            </c:strRef>
          </c:tx>
          <c:cat>
            <c:strRef>
              <c:f>'estatística'!$C$1:$M$1</c:f>
            </c:strRef>
          </c:cat>
          <c:val>
            <c:numRef>
              <c:f>'estatística'!$C$844:$M$844</c:f>
              <c:numCache/>
            </c:numRef>
          </c:val>
        </c:ser>
        <c:ser>
          <c:idx val="843"/>
          <c:order val="843"/>
          <c:tx>
            <c:strRef>
              <c:f>'estatística'!$B$845</c:f>
            </c:strRef>
          </c:tx>
          <c:cat>
            <c:strRef>
              <c:f>'estatística'!$C$1:$M$1</c:f>
            </c:strRef>
          </c:cat>
          <c:val>
            <c:numRef>
              <c:f>'estatística'!$C$845:$M$845</c:f>
              <c:numCache/>
            </c:numRef>
          </c:val>
        </c:ser>
        <c:ser>
          <c:idx val="844"/>
          <c:order val="844"/>
          <c:tx>
            <c:strRef>
              <c:f>'estatística'!$B$846</c:f>
            </c:strRef>
          </c:tx>
          <c:cat>
            <c:strRef>
              <c:f>'estatística'!$C$1:$M$1</c:f>
            </c:strRef>
          </c:cat>
          <c:val>
            <c:numRef>
              <c:f>'estatística'!$C$846:$M$846</c:f>
              <c:numCache/>
            </c:numRef>
          </c:val>
        </c:ser>
        <c:ser>
          <c:idx val="845"/>
          <c:order val="845"/>
          <c:tx>
            <c:strRef>
              <c:f>'estatística'!$B$847</c:f>
            </c:strRef>
          </c:tx>
          <c:cat>
            <c:strRef>
              <c:f>'estatística'!$C$1:$M$1</c:f>
            </c:strRef>
          </c:cat>
          <c:val>
            <c:numRef>
              <c:f>'estatística'!$C$847:$M$847</c:f>
              <c:numCache/>
            </c:numRef>
          </c:val>
        </c:ser>
        <c:ser>
          <c:idx val="846"/>
          <c:order val="846"/>
          <c:tx>
            <c:strRef>
              <c:f>'estatística'!$B$848</c:f>
            </c:strRef>
          </c:tx>
          <c:cat>
            <c:strRef>
              <c:f>'estatística'!$C$1:$M$1</c:f>
            </c:strRef>
          </c:cat>
          <c:val>
            <c:numRef>
              <c:f>'estatística'!$C$848:$M$848</c:f>
              <c:numCache/>
            </c:numRef>
          </c:val>
        </c:ser>
        <c:ser>
          <c:idx val="847"/>
          <c:order val="847"/>
          <c:tx>
            <c:strRef>
              <c:f>'estatística'!$B$849</c:f>
            </c:strRef>
          </c:tx>
          <c:cat>
            <c:strRef>
              <c:f>'estatística'!$C$1:$M$1</c:f>
            </c:strRef>
          </c:cat>
          <c:val>
            <c:numRef>
              <c:f>'estatística'!$C$849:$M$849</c:f>
              <c:numCache/>
            </c:numRef>
          </c:val>
        </c:ser>
        <c:ser>
          <c:idx val="848"/>
          <c:order val="848"/>
          <c:tx>
            <c:strRef>
              <c:f>'estatística'!$B$850</c:f>
            </c:strRef>
          </c:tx>
          <c:cat>
            <c:strRef>
              <c:f>'estatística'!$C$1:$M$1</c:f>
            </c:strRef>
          </c:cat>
          <c:val>
            <c:numRef>
              <c:f>'estatística'!$C$850:$M$850</c:f>
              <c:numCache/>
            </c:numRef>
          </c:val>
        </c:ser>
        <c:ser>
          <c:idx val="849"/>
          <c:order val="849"/>
          <c:tx>
            <c:strRef>
              <c:f>'estatística'!$B$851</c:f>
            </c:strRef>
          </c:tx>
          <c:cat>
            <c:strRef>
              <c:f>'estatística'!$C$1:$M$1</c:f>
            </c:strRef>
          </c:cat>
          <c:val>
            <c:numRef>
              <c:f>'estatística'!$C$851:$M$851</c:f>
              <c:numCache/>
            </c:numRef>
          </c:val>
        </c:ser>
        <c:ser>
          <c:idx val="850"/>
          <c:order val="850"/>
          <c:tx>
            <c:strRef>
              <c:f>'estatística'!$B$852</c:f>
            </c:strRef>
          </c:tx>
          <c:cat>
            <c:strRef>
              <c:f>'estatística'!$C$1:$M$1</c:f>
            </c:strRef>
          </c:cat>
          <c:val>
            <c:numRef>
              <c:f>'estatística'!$C$852:$M$852</c:f>
              <c:numCache/>
            </c:numRef>
          </c:val>
        </c:ser>
        <c:ser>
          <c:idx val="851"/>
          <c:order val="851"/>
          <c:tx>
            <c:strRef>
              <c:f>'estatística'!$B$853</c:f>
            </c:strRef>
          </c:tx>
          <c:cat>
            <c:strRef>
              <c:f>'estatística'!$C$1:$M$1</c:f>
            </c:strRef>
          </c:cat>
          <c:val>
            <c:numRef>
              <c:f>'estatística'!$C$853:$M$853</c:f>
              <c:numCache/>
            </c:numRef>
          </c:val>
        </c:ser>
        <c:ser>
          <c:idx val="852"/>
          <c:order val="852"/>
          <c:tx>
            <c:strRef>
              <c:f>'estatística'!$B$854</c:f>
            </c:strRef>
          </c:tx>
          <c:cat>
            <c:strRef>
              <c:f>'estatística'!$C$1:$M$1</c:f>
            </c:strRef>
          </c:cat>
          <c:val>
            <c:numRef>
              <c:f>'estatística'!$C$854:$M$854</c:f>
              <c:numCache/>
            </c:numRef>
          </c:val>
        </c:ser>
        <c:ser>
          <c:idx val="853"/>
          <c:order val="853"/>
          <c:tx>
            <c:strRef>
              <c:f>'estatística'!$B$855</c:f>
            </c:strRef>
          </c:tx>
          <c:cat>
            <c:strRef>
              <c:f>'estatística'!$C$1:$M$1</c:f>
            </c:strRef>
          </c:cat>
          <c:val>
            <c:numRef>
              <c:f>'estatística'!$C$855:$M$855</c:f>
              <c:numCache/>
            </c:numRef>
          </c:val>
        </c:ser>
        <c:ser>
          <c:idx val="854"/>
          <c:order val="854"/>
          <c:tx>
            <c:strRef>
              <c:f>'estatística'!$B$856</c:f>
            </c:strRef>
          </c:tx>
          <c:cat>
            <c:strRef>
              <c:f>'estatística'!$C$1:$M$1</c:f>
            </c:strRef>
          </c:cat>
          <c:val>
            <c:numRef>
              <c:f>'estatística'!$C$856:$M$856</c:f>
              <c:numCache/>
            </c:numRef>
          </c:val>
        </c:ser>
        <c:ser>
          <c:idx val="855"/>
          <c:order val="855"/>
          <c:tx>
            <c:strRef>
              <c:f>'estatística'!$B$857</c:f>
            </c:strRef>
          </c:tx>
          <c:cat>
            <c:strRef>
              <c:f>'estatística'!$C$1:$M$1</c:f>
            </c:strRef>
          </c:cat>
          <c:val>
            <c:numRef>
              <c:f>'estatística'!$C$857:$M$857</c:f>
              <c:numCache/>
            </c:numRef>
          </c:val>
        </c:ser>
        <c:ser>
          <c:idx val="856"/>
          <c:order val="856"/>
          <c:tx>
            <c:strRef>
              <c:f>'estatística'!$B$858</c:f>
            </c:strRef>
          </c:tx>
          <c:cat>
            <c:strRef>
              <c:f>'estatística'!$C$1:$M$1</c:f>
            </c:strRef>
          </c:cat>
          <c:val>
            <c:numRef>
              <c:f>'estatística'!$C$858:$M$858</c:f>
              <c:numCache/>
            </c:numRef>
          </c:val>
        </c:ser>
        <c:ser>
          <c:idx val="857"/>
          <c:order val="857"/>
          <c:tx>
            <c:strRef>
              <c:f>'estatística'!$B$859</c:f>
            </c:strRef>
          </c:tx>
          <c:cat>
            <c:strRef>
              <c:f>'estatística'!$C$1:$M$1</c:f>
            </c:strRef>
          </c:cat>
          <c:val>
            <c:numRef>
              <c:f>'estatística'!$C$859:$M$859</c:f>
              <c:numCache/>
            </c:numRef>
          </c:val>
        </c:ser>
        <c:ser>
          <c:idx val="858"/>
          <c:order val="858"/>
          <c:tx>
            <c:strRef>
              <c:f>'estatística'!$B$860</c:f>
            </c:strRef>
          </c:tx>
          <c:cat>
            <c:strRef>
              <c:f>'estatística'!$C$1:$M$1</c:f>
            </c:strRef>
          </c:cat>
          <c:val>
            <c:numRef>
              <c:f>'estatística'!$C$860:$M$860</c:f>
              <c:numCache/>
            </c:numRef>
          </c:val>
        </c:ser>
        <c:ser>
          <c:idx val="859"/>
          <c:order val="859"/>
          <c:tx>
            <c:strRef>
              <c:f>'estatística'!$B$861</c:f>
            </c:strRef>
          </c:tx>
          <c:cat>
            <c:strRef>
              <c:f>'estatística'!$C$1:$M$1</c:f>
            </c:strRef>
          </c:cat>
          <c:val>
            <c:numRef>
              <c:f>'estatística'!$C$861:$M$861</c:f>
              <c:numCache/>
            </c:numRef>
          </c:val>
        </c:ser>
        <c:ser>
          <c:idx val="860"/>
          <c:order val="860"/>
          <c:tx>
            <c:strRef>
              <c:f>'estatística'!$B$862</c:f>
            </c:strRef>
          </c:tx>
          <c:cat>
            <c:strRef>
              <c:f>'estatística'!$C$1:$M$1</c:f>
            </c:strRef>
          </c:cat>
          <c:val>
            <c:numRef>
              <c:f>'estatística'!$C$862:$M$862</c:f>
              <c:numCache/>
            </c:numRef>
          </c:val>
        </c:ser>
        <c:ser>
          <c:idx val="861"/>
          <c:order val="861"/>
          <c:tx>
            <c:strRef>
              <c:f>'estatística'!$B$863</c:f>
            </c:strRef>
          </c:tx>
          <c:cat>
            <c:strRef>
              <c:f>'estatística'!$C$1:$M$1</c:f>
            </c:strRef>
          </c:cat>
          <c:val>
            <c:numRef>
              <c:f>'estatística'!$C$863:$M$863</c:f>
              <c:numCache/>
            </c:numRef>
          </c:val>
        </c:ser>
        <c:ser>
          <c:idx val="862"/>
          <c:order val="862"/>
          <c:tx>
            <c:strRef>
              <c:f>'estatística'!$B$864</c:f>
            </c:strRef>
          </c:tx>
          <c:cat>
            <c:strRef>
              <c:f>'estatística'!$C$1:$M$1</c:f>
            </c:strRef>
          </c:cat>
          <c:val>
            <c:numRef>
              <c:f>'estatística'!$C$864:$M$864</c:f>
              <c:numCache/>
            </c:numRef>
          </c:val>
        </c:ser>
        <c:ser>
          <c:idx val="863"/>
          <c:order val="863"/>
          <c:tx>
            <c:strRef>
              <c:f>'estatística'!$B$865</c:f>
            </c:strRef>
          </c:tx>
          <c:cat>
            <c:strRef>
              <c:f>'estatística'!$C$1:$M$1</c:f>
            </c:strRef>
          </c:cat>
          <c:val>
            <c:numRef>
              <c:f>'estatística'!$C$865:$M$865</c:f>
              <c:numCache/>
            </c:numRef>
          </c:val>
        </c:ser>
        <c:ser>
          <c:idx val="864"/>
          <c:order val="864"/>
          <c:tx>
            <c:strRef>
              <c:f>'estatística'!$B$866</c:f>
            </c:strRef>
          </c:tx>
          <c:cat>
            <c:strRef>
              <c:f>'estatística'!$C$1:$M$1</c:f>
            </c:strRef>
          </c:cat>
          <c:val>
            <c:numRef>
              <c:f>'estatística'!$C$866:$M$866</c:f>
              <c:numCache/>
            </c:numRef>
          </c:val>
        </c:ser>
        <c:ser>
          <c:idx val="865"/>
          <c:order val="865"/>
          <c:tx>
            <c:strRef>
              <c:f>'estatística'!$B$867</c:f>
            </c:strRef>
          </c:tx>
          <c:cat>
            <c:strRef>
              <c:f>'estatística'!$C$1:$M$1</c:f>
            </c:strRef>
          </c:cat>
          <c:val>
            <c:numRef>
              <c:f>'estatística'!$C$867:$M$867</c:f>
              <c:numCache/>
            </c:numRef>
          </c:val>
        </c:ser>
        <c:ser>
          <c:idx val="866"/>
          <c:order val="866"/>
          <c:tx>
            <c:strRef>
              <c:f>'estatística'!$B$868</c:f>
            </c:strRef>
          </c:tx>
          <c:cat>
            <c:strRef>
              <c:f>'estatística'!$C$1:$M$1</c:f>
            </c:strRef>
          </c:cat>
          <c:val>
            <c:numRef>
              <c:f>'estatística'!$C$868:$M$868</c:f>
              <c:numCache/>
            </c:numRef>
          </c:val>
        </c:ser>
        <c:ser>
          <c:idx val="867"/>
          <c:order val="867"/>
          <c:tx>
            <c:strRef>
              <c:f>'estatística'!$B$869</c:f>
            </c:strRef>
          </c:tx>
          <c:cat>
            <c:strRef>
              <c:f>'estatística'!$C$1:$M$1</c:f>
            </c:strRef>
          </c:cat>
          <c:val>
            <c:numRef>
              <c:f>'estatística'!$C$869:$M$869</c:f>
              <c:numCache/>
            </c:numRef>
          </c:val>
        </c:ser>
        <c:ser>
          <c:idx val="868"/>
          <c:order val="868"/>
          <c:tx>
            <c:strRef>
              <c:f>'estatística'!$B$870</c:f>
            </c:strRef>
          </c:tx>
          <c:cat>
            <c:strRef>
              <c:f>'estatística'!$C$1:$M$1</c:f>
            </c:strRef>
          </c:cat>
          <c:val>
            <c:numRef>
              <c:f>'estatística'!$C$870:$M$870</c:f>
              <c:numCache/>
            </c:numRef>
          </c:val>
        </c:ser>
        <c:ser>
          <c:idx val="869"/>
          <c:order val="869"/>
          <c:tx>
            <c:strRef>
              <c:f>'estatística'!$B$871</c:f>
            </c:strRef>
          </c:tx>
          <c:cat>
            <c:strRef>
              <c:f>'estatística'!$C$1:$M$1</c:f>
            </c:strRef>
          </c:cat>
          <c:val>
            <c:numRef>
              <c:f>'estatística'!$C$871:$M$871</c:f>
              <c:numCache/>
            </c:numRef>
          </c:val>
        </c:ser>
        <c:ser>
          <c:idx val="870"/>
          <c:order val="870"/>
          <c:tx>
            <c:strRef>
              <c:f>'estatística'!$B$872</c:f>
            </c:strRef>
          </c:tx>
          <c:cat>
            <c:strRef>
              <c:f>'estatística'!$C$1:$M$1</c:f>
            </c:strRef>
          </c:cat>
          <c:val>
            <c:numRef>
              <c:f>'estatística'!$C$872:$M$872</c:f>
              <c:numCache/>
            </c:numRef>
          </c:val>
        </c:ser>
        <c:ser>
          <c:idx val="871"/>
          <c:order val="871"/>
          <c:tx>
            <c:strRef>
              <c:f>'estatística'!$B$873</c:f>
            </c:strRef>
          </c:tx>
          <c:cat>
            <c:strRef>
              <c:f>'estatística'!$C$1:$M$1</c:f>
            </c:strRef>
          </c:cat>
          <c:val>
            <c:numRef>
              <c:f>'estatística'!$C$873:$M$873</c:f>
              <c:numCache/>
            </c:numRef>
          </c:val>
        </c:ser>
        <c:ser>
          <c:idx val="872"/>
          <c:order val="872"/>
          <c:tx>
            <c:strRef>
              <c:f>'estatística'!$B$874</c:f>
            </c:strRef>
          </c:tx>
          <c:cat>
            <c:strRef>
              <c:f>'estatística'!$C$1:$M$1</c:f>
            </c:strRef>
          </c:cat>
          <c:val>
            <c:numRef>
              <c:f>'estatística'!$C$874:$M$874</c:f>
              <c:numCache/>
            </c:numRef>
          </c:val>
        </c:ser>
        <c:ser>
          <c:idx val="873"/>
          <c:order val="873"/>
          <c:tx>
            <c:strRef>
              <c:f>'estatística'!$B$875</c:f>
            </c:strRef>
          </c:tx>
          <c:cat>
            <c:strRef>
              <c:f>'estatística'!$C$1:$M$1</c:f>
            </c:strRef>
          </c:cat>
          <c:val>
            <c:numRef>
              <c:f>'estatística'!$C$875:$M$875</c:f>
              <c:numCache/>
            </c:numRef>
          </c:val>
        </c:ser>
        <c:ser>
          <c:idx val="874"/>
          <c:order val="874"/>
          <c:tx>
            <c:strRef>
              <c:f>'estatística'!$B$876</c:f>
            </c:strRef>
          </c:tx>
          <c:cat>
            <c:strRef>
              <c:f>'estatística'!$C$1:$M$1</c:f>
            </c:strRef>
          </c:cat>
          <c:val>
            <c:numRef>
              <c:f>'estatística'!$C$876:$M$876</c:f>
              <c:numCache/>
            </c:numRef>
          </c:val>
        </c:ser>
        <c:ser>
          <c:idx val="875"/>
          <c:order val="875"/>
          <c:tx>
            <c:strRef>
              <c:f>'estatística'!$B$877</c:f>
            </c:strRef>
          </c:tx>
          <c:cat>
            <c:strRef>
              <c:f>'estatística'!$C$1:$M$1</c:f>
            </c:strRef>
          </c:cat>
          <c:val>
            <c:numRef>
              <c:f>'estatística'!$C$877:$M$877</c:f>
              <c:numCache/>
            </c:numRef>
          </c:val>
        </c:ser>
        <c:ser>
          <c:idx val="876"/>
          <c:order val="876"/>
          <c:tx>
            <c:strRef>
              <c:f>'estatística'!$B$878</c:f>
            </c:strRef>
          </c:tx>
          <c:cat>
            <c:strRef>
              <c:f>'estatística'!$C$1:$M$1</c:f>
            </c:strRef>
          </c:cat>
          <c:val>
            <c:numRef>
              <c:f>'estatística'!$C$878:$M$878</c:f>
              <c:numCache/>
            </c:numRef>
          </c:val>
        </c:ser>
        <c:ser>
          <c:idx val="877"/>
          <c:order val="877"/>
          <c:tx>
            <c:strRef>
              <c:f>'estatística'!$B$879</c:f>
            </c:strRef>
          </c:tx>
          <c:cat>
            <c:strRef>
              <c:f>'estatística'!$C$1:$M$1</c:f>
            </c:strRef>
          </c:cat>
          <c:val>
            <c:numRef>
              <c:f>'estatística'!$C$879:$M$879</c:f>
              <c:numCache/>
            </c:numRef>
          </c:val>
        </c:ser>
        <c:ser>
          <c:idx val="878"/>
          <c:order val="878"/>
          <c:tx>
            <c:strRef>
              <c:f>'estatística'!$B$880</c:f>
            </c:strRef>
          </c:tx>
          <c:cat>
            <c:strRef>
              <c:f>'estatística'!$C$1:$M$1</c:f>
            </c:strRef>
          </c:cat>
          <c:val>
            <c:numRef>
              <c:f>'estatística'!$C$880:$M$880</c:f>
              <c:numCache/>
            </c:numRef>
          </c:val>
        </c:ser>
        <c:ser>
          <c:idx val="879"/>
          <c:order val="879"/>
          <c:tx>
            <c:strRef>
              <c:f>'estatística'!$B$881</c:f>
            </c:strRef>
          </c:tx>
          <c:cat>
            <c:strRef>
              <c:f>'estatística'!$C$1:$M$1</c:f>
            </c:strRef>
          </c:cat>
          <c:val>
            <c:numRef>
              <c:f>'estatística'!$C$881:$M$881</c:f>
              <c:numCache/>
            </c:numRef>
          </c:val>
        </c:ser>
        <c:ser>
          <c:idx val="880"/>
          <c:order val="880"/>
          <c:tx>
            <c:strRef>
              <c:f>'estatística'!$B$882</c:f>
            </c:strRef>
          </c:tx>
          <c:cat>
            <c:strRef>
              <c:f>'estatística'!$C$1:$M$1</c:f>
            </c:strRef>
          </c:cat>
          <c:val>
            <c:numRef>
              <c:f>'estatística'!$C$882:$M$882</c:f>
              <c:numCache/>
            </c:numRef>
          </c:val>
        </c:ser>
        <c:ser>
          <c:idx val="881"/>
          <c:order val="881"/>
          <c:tx>
            <c:strRef>
              <c:f>'estatística'!$B$883</c:f>
            </c:strRef>
          </c:tx>
          <c:cat>
            <c:strRef>
              <c:f>'estatística'!$C$1:$M$1</c:f>
            </c:strRef>
          </c:cat>
          <c:val>
            <c:numRef>
              <c:f>'estatística'!$C$883:$M$883</c:f>
              <c:numCache/>
            </c:numRef>
          </c:val>
        </c:ser>
        <c:ser>
          <c:idx val="882"/>
          <c:order val="882"/>
          <c:tx>
            <c:strRef>
              <c:f>'estatística'!$B$884</c:f>
            </c:strRef>
          </c:tx>
          <c:cat>
            <c:strRef>
              <c:f>'estatística'!$C$1:$M$1</c:f>
            </c:strRef>
          </c:cat>
          <c:val>
            <c:numRef>
              <c:f>'estatística'!$C$884:$M$884</c:f>
              <c:numCache/>
            </c:numRef>
          </c:val>
        </c:ser>
        <c:ser>
          <c:idx val="883"/>
          <c:order val="883"/>
          <c:tx>
            <c:strRef>
              <c:f>'estatística'!$B$885</c:f>
            </c:strRef>
          </c:tx>
          <c:cat>
            <c:strRef>
              <c:f>'estatística'!$C$1:$M$1</c:f>
            </c:strRef>
          </c:cat>
          <c:val>
            <c:numRef>
              <c:f>'estatística'!$C$885:$M$885</c:f>
              <c:numCache/>
            </c:numRef>
          </c:val>
        </c:ser>
        <c:ser>
          <c:idx val="884"/>
          <c:order val="884"/>
          <c:tx>
            <c:strRef>
              <c:f>'estatística'!$B$886</c:f>
            </c:strRef>
          </c:tx>
          <c:cat>
            <c:strRef>
              <c:f>'estatística'!$C$1:$M$1</c:f>
            </c:strRef>
          </c:cat>
          <c:val>
            <c:numRef>
              <c:f>'estatística'!$C$886:$M$886</c:f>
              <c:numCache/>
            </c:numRef>
          </c:val>
        </c:ser>
        <c:ser>
          <c:idx val="885"/>
          <c:order val="885"/>
          <c:tx>
            <c:strRef>
              <c:f>'estatística'!$B$887</c:f>
            </c:strRef>
          </c:tx>
          <c:cat>
            <c:strRef>
              <c:f>'estatística'!$C$1:$M$1</c:f>
            </c:strRef>
          </c:cat>
          <c:val>
            <c:numRef>
              <c:f>'estatística'!$C$887:$M$887</c:f>
              <c:numCache/>
            </c:numRef>
          </c:val>
        </c:ser>
        <c:ser>
          <c:idx val="886"/>
          <c:order val="886"/>
          <c:tx>
            <c:strRef>
              <c:f>'estatística'!$B$888</c:f>
            </c:strRef>
          </c:tx>
          <c:cat>
            <c:strRef>
              <c:f>'estatística'!$C$1:$M$1</c:f>
            </c:strRef>
          </c:cat>
          <c:val>
            <c:numRef>
              <c:f>'estatística'!$C$888:$M$888</c:f>
              <c:numCache/>
            </c:numRef>
          </c:val>
        </c:ser>
        <c:ser>
          <c:idx val="887"/>
          <c:order val="887"/>
          <c:tx>
            <c:strRef>
              <c:f>'estatística'!$B$889</c:f>
            </c:strRef>
          </c:tx>
          <c:cat>
            <c:strRef>
              <c:f>'estatística'!$C$1:$M$1</c:f>
            </c:strRef>
          </c:cat>
          <c:val>
            <c:numRef>
              <c:f>'estatística'!$C$889:$M$889</c:f>
              <c:numCache/>
            </c:numRef>
          </c:val>
        </c:ser>
        <c:ser>
          <c:idx val="888"/>
          <c:order val="888"/>
          <c:tx>
            <c:strRef>
              <c:f>'estatística'!$B$890</c:f>
            </c:strRef>
          </c:tx>
          <c:cat>
            <c:strRef>
              <c:f>'estatística'!$C$1:$M$1</c:f>
            </c:strRef>
          </c:cat>
          <c:val>
            <c:numRef>
              <c:f>'estatística'!$C$890:$M$890</c:f>
              <c:numCache/>
            </c:numRef>
          </c:val>
        </c:ser>
        <c:ser>
          <c:idx val="889"/>
          <c:order val="889"/>
          <c:tx>
            <c:strRef>
              <c:f>'estatística'!$B$891</c:f>
            </c:strRef>
          </c:tx>
          <c:cat>
            <c:strRef>
              <c:f>'estatística'!$C$1:$M$1</c:f>
            </c:strRef>
          </c:cat>
          <c:val>
            <c:numRef>
              <c:f>'estatística'!$C$891:$M$891</c:f>
              <c:numCache/>
            </c:numRef>
          </c:val>
        </c:ser>
        <c:ser>
          <c:idx val="890"/>
          <c:order val="890"/>
          <c:tx>
            <c:strRef>
              <c:f>'estatística'!$B$892</c:f>
            </c:strRef>
          </c:tx>
          <c:cat>
            <c:strRef>
              <c:f>'estatística'!$C$1:$M$1</c:f>
            </c:strRef>
          </c:cat>
          <c:val>
            <c:numRef>
              <c:f>'estatística'!$C$892:$M$892</c:f>
              <c:numCache/>
            </c:numRef>
          </c:val>
        </c:ser>
        <c:ser>
          <c:idx val="891"/>
          <c:order val="891"/>
          <c:tx>
            <c:strRef>
              <c:f>'estatística'!$B$893</c:f>
            </c:strRef>
          </c:tx>
          <c:cat>
            <c:strRef>
              <c:f>'estatística'!$C$1:$M$1</c:f>
            </c:strRef>
          </c:cat>
          <c:val>
            <c:numRef>
              <c:f>'estatística'!$C$893:$M$893</c:f>
              <c:numCache/>
            </c:numRef>
          </c:val>
        </c:ser>
        <c:ser>
          <c:idx val="892"/>
          <c:order val="892"/>
          <c:tx>
            <c:strRef>
              <c:f>'estatística'!$B$894</c:f>
            </c:strRef>
          </c:tx>
          <c:cat>
            <c:strRef>
              <c:f>'estatística'!$C$1:$M$1</c:f>
            </c:strRef>
          </c:cat>
          <c:val>
            <c:numRef>
              <c:f>'estatística'!$C$894:$M$894</c:f>
              <c:numCache/>
            </c:numRef>
          </c:val>
        </c:ser>
        <c:ser>
          <c:idx val="893"/>
          <c:order val="893"/>
          <c:tx>
            <c:strRef>
              <c:f>'estatística'!$B$895</c:f>
            </c:strRef>
          </c:tx>
          <c:cat>
            <c:strRef>
              <c:f>'estatística'!$C$1:$M$1</c:f>
            </c:strRef>
          </c:cat>
          <c:val>
            <c:numRef>
              <c:f>'estatística'!$C$895:$M$895</c:f>
              <c:numCache/>
            </c:numRef>
          </c:val>
        </c:ser>
        <c:ser>
          <c:idx val="894"/>
          <c:order val="894"/>
          <c:tx>
            <c:strRef>
              <c:f>'estatística'!$B$896</c:f>
            </c:strRef>
          </c:tx>
          <c:cat>
            <c:strRef>
              <c:f>'estatística'!$C$1:$M$1</c:f>
            </c:strRef>
          </c:cat>
          <c:val>
            <c:numRef>
              <c:f>'estatística'!$C$896:$M$896</c:f>
              <c:numCache/>
            </c:numRef>
          </c:val>
        </c:ser>
        <c:ser>
          <c:idx val="895"/>
          <c:order val="895"/>
          <c:tx>
            <c:strRef>
              <c:f>'estatística'!$B$897</c:f>
            </c:strRef>
          </c:tx>
          <c:cat>
            <c:strRef>
              <c:f>'estatística'!$C$1:$M$1</c:f>
            </c:strRef>
          </c:cat>
          <c:val>
            <c:numRef>
              <c:f>'estatística'!$C$897:$M$897</c:f>
              <c:numCache/>
            </c:numRef>
          </c:val>
        </c:ser>
        <c:ser>
          <c:idx val="896"/>
          <c:order val="896"/>
          <c:tx>
            <c:strRef>
              <c:f>'estatística'!$B$898</c:f>
            </c:strRef>
          </c:tx>
          <c:cat>
            <c:strRef>
              <c:f>'estatística'!$C$1:$M$1</c:f>
            </c:strRef>
          </c:cat>
          <c:val>
            <c:numRef>
              <c:f>'estatística'!$C$898:$M$898</c:f>
              <c:numCache/>
            </c:numRef>
          </c:val>
        </c:ser>
        <c:ser>
          <c:idx val="897"/>
          <c:order val="897"/>
          <c:tx>
            <c:strRef>
              <c:f>'estatística'!$B$899</c:f>
            </c:strRef>
          </c:tx>
          <c:cat>
            <c:strRef>
              <c:f>'estatística'!$C$1:$M$1</c:f>
            </c:strRef>
          </c:cat>
          <c:val>
            <c:numRef>
              <c:f>'estatística'!$C$899:$M$899</c:f>
              <c:numCache/>
            </c:numRef>
          </c:val>
        </c:ser>
        <c:ser>
          <c:idx val="898"/>
          <c:order val="898"/>
          <c:tx>
            <c:strRef>
              <c:f>'estatística'!$B$900</c:f>
            </c:strRef>
          </c:tx>
          <c:cat>
            <c:strRef>
              <c:f>'estatística'!$C$1:$M$1</c:f>
            </c:strRef>
          </c:cat>
          <c:val>
            <c:numRef>
              <c:f>'estatística'!$C$900:$M$900</c:f>
              <c:numCache/>
            </c:numRef>
          </c:val>
        </c:ser>
        <c:ser>
          <c:idx val="899"/>
          <c:order val="899"/>
          <c:tx>
            <c:strRef>
              <c:f>'estatística'!$B$901</c:f>
            </c:strRef>
          </c:tx>
          <c:cat>
            <c:strRef>
              <c:f>'estatística'!$C$1:$M$1</c:f>
            </c:strRef>
          </c:cat>
          <c:val>
            <c:numRef>
              <c:f>'estatística'!$C$901:$M$901</c:f>
              <c:numCache/>
            </c:numRef>
          </c:val>
        </c:ser>
        <c:ser>
          <c:idx val="900"/>
          <c:order val="900"/>
          <c:tx>
            <c:strRef>
              <c:f>'estatística'!$B$902</c:f>
            </c:strRef>
          </c:tx>
          <c:cat>
            <c:strRef>
              <c:f>'estatística'!$C$1:$M$1</c:f>
            </c:strRef>
          </c:cat>
          <c:val>
            <c:numRef>
              <c:f>'estatística'!$C$902:$M$902</c:f>
              <c:numCache/>
            </c:numRef>
          </c:val>
        </c:ser>
        <c:ser>
          <c:idx val="901"/>
          <c:order val="901"/>
          <c:tx>
            <c:strRef>
              <c:f>'estatística'!$B$903</c:f>
            </c:strRef>
          </c:tx>
          <c:cat>
            <c:strRef>
              <c:f>'estatística'!$C$1:$M$1</c:f>
            </c:strRef>
          </c:cat>
          <c:val>
            <c:numRef>
              <c:f>'estatística'!$C$903:$M$903</c:f>
              <c:numCache/>
            </c:numRef>
          </c:val>
        </c:ser>
        <c:ser>
          <c:idx val="902"/>
          <c:order val="902"/>
          <c:tx>
            <c:strRef>
              <c:f>'estatística'!$B$904</c:f>
            </c:strRef>
          </c:tx>
          <c:cat>
            <c:strRef>
              <c:f>'estatística'!$C$1:$M$1</c:f>
            </c:strRef>
          </c:cat>
          <c:val>
            <c:numRef>
              <c:f>'estatística'!$C$904:$M$904</c:f>
              <c:numCache/>
            </c:numRef>
          </c:val>
        </c:ser>
        <c:ser>
          <c:idx val="903"/>
          <c:order val="903"/>
          <c:tx>
            <c:strRef>
              <c:f>'estatística'!$B$905</c:f>
            </c:strRef>
          </c:tx>
          <c:cat>
            <c:strRef>
              <c:f>'estatística'!$C$1:$M$1</c:f>
            </c:strRef>
          </c:cat>
          <c:val>
            <c:numRef>
              <c:f>'estatística'!$C$905:$M$905</c:f>
              <c:numCache/>
            </c:numRef>
          </c:val>
        </c:ser>
        <c:ser>
          <c:idx val="904"/>
          <c:order val="904"/>
          <c:tx>
            <c:strRef>
              <c:f>'estatística'!$B$906</c:f>
            </c:strRef>
          </c:tx>
          <c:cat>
            <c:strRef>
              <c:f>'estatística'!$C$1:$M$1</c:f>
            </c:strRef>
          </c:cat>
          <c:val>
            <c:numRef>
              <c:f>'estatística'!$C$906:$M$906</c:f>
              <c:numCache/>
            </c:numRef>
          </c:val>
        </c:ser>
        <c:ser>
          <c:idx val="905"/>
          <c:order val="905"/>
          <c:tx>
            <c:strRef>
              <c:f>'estatística'!$B$907</c:f>
            </c:strRef>
          </c:tx>
          <c:cat>
            <c:strRef>
              <c:f>'estatística'!$C$1:$M$1</c:f>
            </c:strRef>
          </c:cat>
          <c:val>
            <c:numRef>
              <c:f>'estatística'!$C$907:$M$907</c:f>
              <c:numCache/>
            </c:numRef>
          </c:val>
        </c:ser>
        <c:ser>
          <c:idx val="906"/>
          <c:order val="906"/>
          <c:tx>
            <c:strRef>
              <c:f>'estatística'!$B$908</c:f>
            </c:strRef>
          </c:tx>
          <c:cat>
            <c:strRef>
              <c:f>'estatística'!$C$1:$M$1</c:f>
            </c:strRef>
          </c:cat>
          <c:val>
            <c:numRef>
              <c:f>'estatística'!$C$908:$M$908</c:f>
              <c:numCache/>
            </c:numRef>
          </c:val>
        </c:ser>
        <c:ser>
          <c:idx val="907"/>
          <c:order val="907"/>
          <c:tx>
            <c:strRef>
              <c:f>'estatística'!$B$909</c:f>
            </c:strRef>
          </c:tx>
          <c:cat>
            <c:strRef>
              <c:f>'estatística'!$C$1:$M$1</c:f>
            </c:strRef>
          </c:cat>
          <c:val>
            <c:numRef>
              <c:f>'estatística'!$C$909:$M$909</c:f>
              <c:numCache/>
            </c:numRef>
          </c:val>
        </c:ser>
        <c:ser>
          <c:idx val="908"/>
          <c:order val="908"/>
          <c:tx>
            <c:strRef>
              <c:f>'estatística'!$B$910</c:f>
            </c:strRef>
          </c:tx>
          <c:cat>
            <c:strRef>
              <c:f>'estatística'!$C$1:$M$1</c:f>
            </c:strRef>
          </c:cat>
          <c:val>
            <c:numRef>
              <c:f>'estatística'!$C$910:$M$910</c:f>
              <c:numCache/>
            </c:numRef>
          </c:val>
        </c:ser>
        <c:ser>
          <c:idx val="909"/>
          <c:order val="909"/>
          <c:tx>
            <c:strRef>
              <c:f>'estatística'!$B$911</c:f>
            </c:strRef>
          </c:tx>
          <c:cat>
            <c:strRef>
              <c:f>'estatística'!$C$1:$M$1</c:f>
            </c:strRef>
          </c:cat>
          <c:val>
            <c:numRef>
              <c:f>'estatística'!$C$911:$M$911</c:f>
              <c:numCache/>
            </c:numRef>
          </c:val>
        </c:ser>
        <c:ser>
          <c:idx val="910"/>
          <c:order val="910"/>
          <c:tx>
            <c:strRef>
              <c:f>'estatística'!$B$912</c:f>
            </c:strRef>
          </c:tx>
          <c:cat>
            <c:strRef>
              <c:f>'estatística'!$C$1:$M$1</c:f>
            </c:strRef>
          </c:cat>
          <c:val>
            <c:numRef>
              <c:f>'estatística'!$C$912:$M$912</c:f>
              <c:numCache/>
            </c:numRef>
          </c:val>
        </c:ser>
        <c:ser>
          <c:idx val="911"/>
          <c:order val="911"/>
          <c:tx>
            <c:strRef>
              <c:f>'estatística'!$B$913</c:f>
            </c:strRef>
          </c:tx>
          <c:cat>
            <c:strRef>
              <c:f>'estatística'!$C$1:$M$1</c:f>
            </c:strRef>
          </c:cat>
          <c:val>
            <c:numRef>
              <c:f>'estatística'!$C$913:$M$913</c:f>
              <c:numCache/>
            </c:numRef>
          </c:val>
        </c:ser>
        <c:ser>
          <c:idx val="912"/>
          <c:order val="912"/>
          <c:tx>
            <c:strRef>
              <c:f>'estatística'!$B$914</c:f>
            </c:strRef>
          </c:tx>
          <c:cat>
            <c:strRef>
              <c:f>'estatística'!$C$1:$M$1</c:f>
            </c:strRef>
          </c:cat>
          <c:val>
            <c:numRef>
              <c:f>'estatística'!$C$914:$M$914</c:f>
              <c:numCache/>
            </c:numRef>
          </c:val>
        </c:ser>
        <c:ser>
          <c:idx val="913"/>
          <c:order val="913"/>
          <c:tx>
            <c:strRef>
              <c:f>'estatística'!$B$915</c:f>
            </c:strRef>
          </c:tx>
          <c:cat>
            <c:strRef>
              <c:f>'estatística'!$C$1:$M$1</c:f>
            </c:strRef>
          </c:cat>
          <c:val>
            <c:numRef>
              <c:f>'estatística'!$C$915:$M$915</c:f>
              <c:numCache/>
            </c:numRef>
          </c:val>
        </c:ser>
        <c:ser>
          <c:idx val="914"/>
          <c:order val="914"/>
          <c:tx>
            <c:strRef>
              <c:f>'estatística'!$B$916</c:f>
            </c:strRef>
          </c:tx>
          <c:cat>
            <c:strRef>
              <c:f>'estatística'!$C$1:$M$1</c:f>
            </c:strRef>
          </c:cat>
          <c:val>
            <c:numRef>
              <c:f>'estatística'!$C$916:$M$916</c:f>
              <c:numCache/>
            </c:numRef>
          </c:val>
        </c:ser>
        <c:ser>
          <c:idx val="915"/>
          <c:order val="915"/>
          <c:tx>
            <c:strRef>
              <c:f>'estatística'!$B$917</c:f>
            </c:strRef>
          </c:tx>
          <c:cat>
            <c:strRef>
              <c:f>'estatística'!$C$1:$M$1</c:f>
            </c:strRef>
          </c:cat>
          <c:val>
            <c:numRef>
              <c:f>'estatística'!$C$917:$M$917</c:f>
              <c:numCache/>
            </c:numRef>
          </c:val>
        </c:ser>
        <c:ser>
          <c:idx val="916"/>
          <c:order val="916"/>
          <c:tx>
            <c:strRef>
              <c:f>'estatística'!$B$918</c:f>
            </c:strRef>
          </c:tx>
          <c:cat>
            <c:strRef>
              <c:f>'estatística'!$C$1:$M$1</c:f>
            </c:strRef>
          </c:cat>
          <c:val>
            <c:numRef>
              <c:f>'estatística'!$C$918:$M$918</c:f>
              <c:numCache/>
            </c:numRef>
          </c:val>
        </c:ser>
        <c:ser>
          <c:idx val="917"/>
          <c:order val="917"/>
          <c:tx>
            <c:strRef>
              <c:f>'estatística'!$B$919</c:f>
            </c:strRef>
          </c:tx>
          <c:cat>
            <c:strRef>
              <c:f>'estatística'!$C$1:$M$1</c:f>
            </c:strRef>
          </c:cat>
          <c:val>
            <c:numRef>
              <c:f>'estatística'!$C$919:$M$919</c:f>
              <c:numCache/>
            </c:numRef>
          </c:val>
        </c:ser>
        <c:ser>
          <c:idx val="918"/>
          <c:order val="918"/>
          <c:tx>
            <c:strRef>
              <c:f>'estatística'!$B$920</c:f>
            </c:strRef>
          </c:tx>
          <c:cat>
            <c:strRef>
              <c:f>'estatística'!$C$1:$M$1</c:f>
            </c:strRef>
          </c:cat>
          <c:val>
            <c:numRef>
              <c:f>'estatística'!$C$920:$M$920</c:f>
              <c:numCache/>
            </c:numRef>
          </c:val>
        </c:ser>
        <c:ser>
          <c:idx val="919"/>
          <c:order val="919"/>
          <c:tx>
            <c:strRef>
              <c:f>'estatística'!$B$921</c:f>
            </c:strRef>
          </c:tx>
          <c:cat>
            <c:strRef>
              <c:f>'estatística'!$C$1:$M$1</c:f>
            </c:strRef>
          </c:cat>
          <c:val>
            <c:numRef>
              <c:f>'estatística'!$C$921:$M$921</c:f>
              <c:numCache/>
            </c:numRef>
          </c:val>
        </c:ser>
        <c:ser>
          <c:idx val="920"/>
          <c:order val="920"/>
          <c:tx>
            <c:strRef>
              <c:f>'estatística'!$B$922</c:f>
            </c:strRef>
          </c:tx>
          <c:cat>
            <c:strRef>
              <c:f>'estatística'!$C$1:$M$1</c:f>
            </c:strRef>
          </c:cat>
          <c:val>
            <c:numRef>
              <c:f>'estatística'!$C$922:$M$922</c:f>
              <c:numCache/>
            </c:numRef>
          </c:val>
        </c:ser>
        <c:ser>
          <c:idx val="921"/>
          <c:order val="921"/>
          <c:tx>
            <c:strRef>
              <c:f>'estatística'!$B$923</c:f>
            </c:strRef>
          </c:tx>
          <c:cat>
            <c:strRef>
              <c:f>'estatística'!$C$1:$M$1</c:f>
            </c:strRef>
          </c:cat>
          <c:val>
            <c:numRef>
              <c:f>'estatística'!$C$923:$M$923</c:f>
              <c:numCache/>
            </c:numRef>
          </c:val>
        </c:ser>
        <c:ser>
          <c:idx val="922"/>
          <c:order val="922"/>
          <c:tx>
            <c:strRef>
              <c:f>'estatística'!$B$924</c:f>
            </c:strRef>
          </c:tx>
          <c:cat>
            <c:strRef>
              <c:f>'estatística'!$C$1:$M$1</c:f>
            </c:strRef>
          </c:cat>
          <c:val>
            <c:numRef>
              <c:f>'estatística'!$C$924:$M$924</c:f>
              <c:numCache/>
            </c:numRef>
          </c:val>
        </c:ser>
        <c:ser>
          <c:idx val="923"/>
          <c:order val="923"/>
          <c:tx>
            <c:strRef>
              <c:f>'estatística'!$B$925</c:f>
            </c:strRef>
          </c:tx>
          <c:cat>
            <c:strRef>
              <c:f>'estatística'!$C$1:$M$1</c:f>
            </c:strRef>
          </c:cat>
          <c:val>
            <c:numRef>
              <c:f>'estatística'!$C$925:$M$925</c:f>
              <c:numCache/>
            </c:numRef>
          </c:val>
        </c:ser>
        <c:ser>
          <c:idx val="924"/>
          <c:order val="924"/>
          <c:tx>
            <c:strRef>
              <c:f>'estatística'!$B$926</c:f>
            </c:strRef>
          </c:tx>
          <c:cat>
            <c:strRef>
              <c:f>'estatística'!$C$1:$M$1</c:f>
            </c:strRef>
          </c:cat>
          <c:val>
            <c:numRef>
              <c:f>'estatística'!$C$926:$M$926</c:f>
              <c:numCache/>
            </c:numRef>
          </c:val>
        </c:ser>
        <c:ser>
          <c:idx val="925"/>
          <c:order val="925"/>
          <c:tx>
            <c:strRef>
              <c:f>'estatística'!$B$927</c:f>
            </c:strRef>
          </c:tx>
          <c:cat>
            <c:strRef>
              <c:f>'estatística'!$C$1:$M$1</c:f>
            </c:strRef>
          </c:cat>
          <c:val>
            <c:numRef>
              <c:f>'estatística'!$C$927:$M$927</c:f>
              <c:numCache/>
            </c:numRef>
          </c:val>
        </c:ser>
        <c:ser>
          <c:idx val="926"/>
          <c:order val="926"/>
          <c:tx>
            <c:strRef>
              <c:f>'estatística'!$B$928</c:f>
            </c:strRef>
          </c:tx>
          <c:cat>
            <c:strRef>
              <c:f>'estatística'!$C$1:$M$1</c:f>
            </c:strRef>
          </c:cat>
          <c:val>
            <c:numRef>
              <c:f>'estatística'!$C$928:$M$928</c:f>
              <c:numCache/>
            </c:numRef>
          </c:val>
        </c:ser>
        <c:ser>
          <c:idx val="927"/>
          <c:order val="927"/>
          <c:tx>
            <c:strRef>
              <c:f>'estatística'!$B$929</c:f>
            </c:strRef>
          </c:tx>
          <c:cat>
            <c:strRef>
              <c:f>'estatística'!$C$1:$M$1</c:f>
            </c:strRef>
          </c:cat>
          <c:val>
            <c:numRef>
              <c:f>'estatística'!$C$929:$M$929</c:f>
              <c:numCache/>
            </c:numRef>
          </c:val>
        </c:ser>
        <c:ser>
          <c:idx val="928"/>
          <c:order val="928"/>
          <c:tx>
            <c:strRef>
              <c:f>'estatística'!$B$930</c:f>
            </c:strRef>
          </c:tx>
          <c:cat>
            <c:strRef>
              <c:f>'estatística'!$C$1:$M$1</c:f>
            </c:strRef>
          </c:cat>
          <c:val>
            <c:numRef>
              <c:f>'estatística'!$C$930:$M$930</c:f>
              <c:numCache/>
            </c:numRef>
          </c:val>
        </c:ser>
        <c:ser>
          <c:idx val="929"/>
          <c:order val="929"/>
          <c:tx>
            <c:strRef>
              <c:f>'estatística'!$B$931</c:f>
            </c:strRef>
          </c:tx>
          <c:cat>
            <c:strRef>
              <c:f>'estatística'!$C$1:$M$1</c:f>
            </c:strRef>
          </c:cat>
          <c:val>
            <c:numRef>
              <c:f>'estatística'!$C$931:$M$931</c:f>
              <c:numCache/>
            </c:numRef>
          </c:val>
        </c:ser>
        <c:ser>
          <c:idx val="930"/>
          <c:order val="930"/>
          <c:tx>
            <c:strRef>
              <c:f>'estatística'!$B$932</c:f>
            </c:strRef>
          </c:tx>
          <c:cat>
            <c:strRef>
              <c:f>'estatística'!$C$1:$M$1</c:f>
            </c:strRef>
          </c:cat>
          <c:val>
            <c:numRef>
              <c:f>'estatística'!$C$932:$M$932</c:f>
              <c:numCache/>
            </c:numRef>
          </c:val>
        </c:ser>
        <c:ser>
          <c:idx val="931"/>
          <c:order val="931"/>
          <c:tx>
            <c:strRef>
              <c:f>'estatística'!$B$933</c:f>
            </c:strRef>
          </c:tx>
          <c:cat>
            <c:strRef>
              <c:f>'estatística'!$C$1:$M$1</c:f>
            </c:strRef>
          </c:cat>
          <c:val>
            <c:numRef>
              <c:f>'estatística'!$C$933:$M$933</c:f>
              <c:numCache/>
            </c:numRef>
          </c:val>
        </c:ser>
        <c:ser>
          <c:idx val="932"/>
          <c:order val="932"/>
          <c:tx>
            <c:strRef>
              <c:f>'estatística'!$B$934</c:f>
            </c:strRef>
          </c:tx>
          <c:cat>
            <c:strRef>
              <c:f>'estatística'!$C$1:$M$1</c:f>
            </c:strRef>
          </c:cat>
          <c:val>
            <c:numRef>
              <c:f>'estatística'!$C$934:$M$934</c:f>
              <c:numCache/>
            </c:numRef>
          </c:val>
        </c:ser>
        <c:ser>
          <c:idx val="933"/>
          <c:order val="933"/>
          <c:tx>
            <c:strRef>
              <c:f>'estatística'!$B$935</c:f>
            </c:strRef>
          </c:tx>
          <c:cat>
            <c:strRef>
              <c:f>'estatística'!$C$1:$M$1</c:f>
            </c:strRef>
          </c:cat>
          <c:val>
            <c:numRef>
              <c:f>'estatística'!$C$935:$M$935</c:f>
              <c:numCache/>
            </c:numRef>
          </c:val>
        </c:ser>
        <c:ser>
          <c:idx val="934"/>
          <c:order val="934"/>
          <c:tx>
            <c:strRef>
              <c:f>'estatística'!$B$936</c:f>
            </c:strRef>
          </c:tx>
          <c:cat>
            <c:strRef>
              <c:f>'estatística'!$C$1:$M$1</c:f>
            </c:strRef>
          </c:cat>
          <c:val>
            <c:numRef>
              <c:f>'estatística'!$C$936:$M$936</c:f>
              <c:numCache/>
            </c:numRef>
          </c:val>
        </c:ser>
        <c:ser>
          <c:idx val="935"/>
          <c:order val="935"/>
          <c:tx>
            <c:strRef>
              <c:f>'estatística'!$B$937</c:f>
            </c:strRef>
          </c:tx>
          <c:cat>
            <c:strRef>
              <c:f>'estatística'!$C$1:$M$1</c:f>
            </c:strRef>
          </c:cat>
          <c:val>
            <c:numRef>
              <c:f>'estatística'!$C$937:$M$937</c:f>
              <c:numCache/>
            </c:numRef>
          </c:val>
        </c:ser>
        <c:ser>
          <c:idx val="936"/>
          <c:order val="936"/>
          <c:tx>
            <c:strRef>
              <c:f>'estatística'!$B$938</c:f>
            </c:strRef>
          </c:tx>
          <c:cat>
            <c:strRef>
              <c:f>'estatística'!$C$1:$M$1</c:f>
            </c:strRef>
          </c:cat>
          <c:val>
            <c:numRef>
              <c:f>'estatística'!$C$938:$M$938</c:f>
              <c:numCache/>
            </c:numRef>
          </c:val>
        </c:ser>
        <c:ser>
          <c:idx val="937"/>
          <c:order val="937"/>
          <c:tx>
            <c:strRef>
              <c:f>'estatística'!$B$939</c:f>
            </c:strRef>
          </c:tx>
          <c:cat>
            <c:strRef>
              <c:f>'estatística'!$C$1:$M$1</c:f>
            </c:strRef>
          </c:cat>
          <c:val>
            <c:numRef>
              <c:f>'estatística'!$C$939:$M$939</c:f>
              <c:numCache/>
            </c:numRef>
          </c:val>
        </c:ser>
        <c:ser>
          <c:idx val="938"/>
          <c:order val="938"/>
          <c:tx>
            <c:strRef>
              <c:f>'estatística'!$B$940</c:f>
            </c:strRef>
          </c:tx>
          <c:cat>
            <c:strRef>
              <c:f>'estatística'!$C$1:$M$1</c:f>
            </c:strRef>
          </c:cat>
          <c:val>
            <c:numRef>
              <c:f>'estatística'!$C$940:$M$940</c:f>
              <c:numCache/>
            </c:numRef>
          </c:val>
        </c:ser>
        <c:ser>
          <c:idx val="939"/>
          <c:order val="939"/>
          <c:tx>
            <c:strRef>
              <c:f>'estatística'!$B$941</c:f>
            </c:strRef>
          </c:tx>
          <c:cat>
            <c:strRef>
              <c:f>'estatística'!$C$1:$M$1</c:f>
            </c:strRef>
          </c:cat>
          <c:val>
            <c:numRef>
              <c:f>'estatística'!$C$941:$M$941</c:f>
              <c:numCache/>
            </c:numRef>
          </c:val>
        </c:ser>
        <c:ser>
          <c:idx val="940"/>
          <c:order val="940"/>
          <c:tx>
            <c:strRef>
              <c:f>'estatística'!$B$942</c:f>
            </c:strRef>
          </c:tx>
          <c:cat>
            <c:strRef>
              <c:f>'estatística'!$C$1:$M$1</c:f>
            </c:strRef>
          </c:cat>
          <c:val>
            <c:numRef>
              <c:f>'estatística'!$C$942:$M$942</c:f>
              <c:numCache/>
            </c:numRef>
          </c:val>
        </c:ser>
        <c:ser>
          <c:idx val="941"/>
          <c:order val="941"/>
          <c:tx>
            <c:strRef>
              <c:f>'estatística'!$B$943</c:f>
            </c:strRef>
          </c:tx>
          <c:cat>
            <c:strRef>
              <c:f>'estatística'!$C$1:$M$1</c:f>
            </c:strRef>
          </c:cat>
          <c:val>
            <c:numRef>
              <c:f>'estatística'!$C$943:$M$943</c:f>
              <c:numCache/>
            </c:numRef>
          </c:val>
        </c:ser>
        <c:ser>
          <c:idx val="942"/>
          <c:order val="942"/>
          <c:tx>
            <c:strRef>
              <c:f>'estatística'!$B$944</c:f>
            </c:strRef>
          </c:tx>
          <c:cat>
            <c:strRef>
              <c:f>'estatística'!$C$1:$M$1</c:f>
            </c:strRef>
          </c:cat>
          <c:val>
            <c:numRef>
              <c:f>'estatística'!$C$944:$M$944</c:f>
              <c:numCache/>
            </c:numRef>
          </c:val>
        </c:ser>
        <c:ser>
          <c:idx val="943"/>
          <c:order val="943"/>
          <c:tx>
            <c:strRef>
              <c:f>'estatística'!$B$945</c:f>
            </c:strRef>
          </c:tx>
          <c:cat>
            <c:strRef>
              <c:f>'estatística'!$C$1:$M$1</c:f>
            </c:strRef>
          </c:cat>
          <c:val>
            <c:numRef>
              <c:f>'estatística'!$C$945:$M$945</c:f>
              <c:numCache/>
            </c:numRef>
          </c:val>
        </c:ser>
        <c:ser>
          <c:idx val="944"/>
          <c:order val="944"/>
          <c:tx>
            <c:strRef>
              <c:f>'estatística'!$B$946</c:f>
            </c:strRef>
          </c:tx>
          <c:cat>
            <c:strRef>
              <c:f>'estatística'!$C$1:$M$1</c:f>
            </c:strRef>
          </c:cat>
          <c:val>
            <c:numRef>
              <c:f>'estatística'!$C$946:$M$946</c:f>
              <c:numCache/>
            </c:numRef>
          </c:val>
        </c:ser>
        <c:ser>
          <c:idx val="945"/>
          <c:order val="945"/>
          <c:tx>
            <c:strRef>
              <c:f>'estatística'!$B$947</c:f>
            </c:strRef>
          </c:tx>
          <c:cat>
            <c:strRef>
              <c:f>'estatística'!$C$1:$M$1</c:f>
            </c:strRef>
          </c:cat>
          <c:val>
            <c:numRef>
              <c:f>'estatística'!$C$947:$M$947</c:f>
              <c:numCache/>
            </c:numRef>
          </c:val>
        </c:ser>
        <c:ser>
          <c:idx val="946"/>
          <c:order val="946"/>
          <c:tx>
            <c:strRef>
              <c:f>'estatística'!$B$948</c:f>
            </c:strRef>
          </c:tx>
          <c:cat>
            <c:strRef>
              <c:f>'estatística'!$C$1:$M$1</c:f>
            </c:strRef>
          </c:cat>
          <c:val>
            <c:numRef>
              <c:f>'estatística'!$C$948:$M$948</c:f>
              <c:numCache/>
            </c:numRef>
          </c:val>
        </c:ser>
        <c:ser>
          <c:idx val="947"/>
          <c:order val="947"/>
          <c:tx>
            <c:strRef>
              <c:f>'estatística'!$B$949</c:f>
            </c:strRef>
          </c:tx>
          <c:cat>
            <c:strRef>
              <c:f>'estatística'!$C$1:$M$1</c:f>
            </c:strRef>
          </c:cat>
          <c:val>
            <c:numRef>
              <c:f>'estatística'!$C$949:$M$949</c:f>
              <c:numCache/>
            </c:numRef>
          </c:val>
        </c:ser>
        <c:ser>
          <c:idx val="948"/>
          <c:order val="948"/>
          <c:tx>
            <c:strRef>
              <c:f>'estatística'!$B$950</c:f>
            </c:strRef>
          </c:tx>
          <c:cat>
            <c:strRef>
              <c:f>'estatística'!$C$1:$M$1</c:f>
            </c:strRef>
          </c:cat>
          <c:val>
            <c:numRef>
              <c:f>'estatística'!$C$950:$M$950</c:f>
              <c:numCache/>
            </c:numRef>
          </c:val>
        </c:ser>
        <c:ser>
          <c:idx val="949"/>
          <c:order val="949"/>
          <c:tx>
            <c:strRef>
              <c:f>'estatística'!$B$951</c:f>
            </c:strRef>
          </c:tx>
          <c:cat>
            <c:strRef>
              <c:f>'estatística'!$C$1:$M$1</c:f>
            </c:strRef>
          </c:cat>
          <c:val>
            <c:numRef>
              <c:f>'estatística'!$C$951:$M$951</c:f>
              <c:numCache/>
            </c:numRef>
          </c:val>
        </c:ser>
        <c:ser>
          <c:idx val="950"/>
          <c:order val="950"/>
          <c:tx>
            <c:strRef>
              <c:f>'estatística'!$B$952</c:f>
            </c:strRef>
          </c:tx>
          <c:cat>
            <c:strRef>
              <c:f>'estatística'!$C$1:$M$1</c:f>
            </c:strRef>
          </c:cat>
          <c:val>
            <c:numRef>
              <c:f>'estatística'!$C$952:$M$952</c:f>
              <c:numCache/>
            </c:numRef>
          </c:val>
        </c:ser>
        <c:ser>
          <c:idx val="951"/>
          <c:order val="951"/>
          <c:tx>
            <c:strRef>
              <c:f>'estatística'!$B$953</c:f>
            </c:strRef>
          </c:tx>
          <c:cat>
            <c:strRef>
              <c:f>'estatística'!$C$1:$M$1</c:f>
            </c:strRef>
          </c:cat>
          <c:val>
            <c:numRef>
              <c:f>'estatística'!$C$953:$M$953</c:f>
              <c:numCache/>
            </c:numRef>
          </c:val>
        </c:ser>
        <c:ser>
          <c:idx val="952"/>
          <c:order val="952"/>
          <c:tx>
            <c:strRef>
              <c:f>'estatística'!$B$954</c:f>
            </c:strRef>
          </c:tx>
          <c:cat>
            <c:strRef>
              <c:f>'estatística'!$C$1:$M$1</c:f>
            </c:strRef>
          </c:cat>
          <c:val>
            <c:numRef>
              <c:f>'estatística'!$C$954:$M$954</c:f>
              <c:numCache/>
            </c:numRef>
          </c:val>
        </c:ser>
        <c:ser>
          <c:idx val="953"/>
          <c:order val="953"/>
          <c:tx>
            <c:strRef>
              <c:f>'estatística'!$B$955</c:f>
            </c:strRef>
          </c:tx>
          <c:cat>
            <c:strRef>
              <c:f>'estatística'!$C$1:$M$1</c:f>
            </c:strRef>
          </c:cat>
          <c:val>
            <c:numRef>
              <c:f>'estatística'!$C$955:$M$955</c:f>
              <c:numCache/>
            </c:numRef>
          </c:val>
        </c:ser>
        <c:ser>
          <c:idx val="954"/>
          <c:order val="954"/>
          <c:tx>
            <c:strRef>
              <c:f>'estatística'!$B$956</c:f>
            </c:strRef>
          </c:tx>
          <c:cat>
            <c:strRef>
              <c:f>'estatística'!$C$1:$M$1</c:f>
            </c:strRef>
          </c:cat>
          <c:val>
            <c:numRef>
              <c:f>'estatística'!$C$956:$M$956</c:f>
              <c:numCache/>
            </c:numRef>
          </c:val>
        </c:ser>
        <c:ser>
          <c:idx val="955"/>
          <c:order val="955"/>
          <c:tx>
            <c:strRef>
              <c:f>'estatística'!$B$957</c:f>
            </c:strRef>
          </c:tx>
          <c:cat>
            <c:strRef>
              <c:f>'estatística'!$C$1:$M$1</c:f>
            </c:strRef>
          </c:cat>
          <c:val>
            <c:numRef>
              <c:f>'estatística'!$C$957:$M$957</c:f>
              <c:numCache/>
            </c:numRef>
          </c:val>
        </c:ser>
        <c:ser>
          <c:idx val="956"/>
          <c:order val="956"/>
          <c:tx>
            <c:strRef>
              <c:f>'estatística'!$B$958</c:f>
            </c:strRef>
          </c:tx>
          <c:cat>
            <c:strRef>
              <c:f>'estatística'!$C$1:$M$1</c:f>
            </c:strRef>
          </c:cat>
          <c:val>
            <c:numRef>
              <c:f>'estatística'!$C$958:$M$958</c:f>
              <c:numCache/>
            </c:numRef>
          </c:val>
        </c:ser>
        <c:ser>
          <c:idx val="957"/>
          <c:order val="957"/>
          <c:tx>
            <c:strRef>
              <c:f>'estatística'!$B$959</c:f>
            </c:strRef>
          </c:tx>
          <c:cat>
            <c:strRef>
              <c:f>'estatística'!$C$1:$M$1</c:f>
            </c:strRef>
          </c:cat>
          <c:val>
            <c:numRef>
              <c:f>'estatística'!$C$959:$M$959</c:f>
              <c:numCache/>
            </c:numRef>
          </c:val>
        </c:ser>
        <c:ser>
          <c:idx val="958"/>
          <c:order val="958"/>
          <c:tx>
            <c:strRef>
              <c:f>'estatística'!$B$960</c:f>
            </c:strRef>
          </c:tx>
          <c:cat>
            <c:strRef>
              <c:f>'estatística'!$C$1:$M$1</c:f>
            </c:strRef>
          </c:cat>
          <c:val>
            <c:numRef>
              <c:f>'estatística'!$C$960:$M$960</c:f>
              <c:numCache/>
            </c:numRef>
          </c:val>
        </c:ser>
        <c:ser>
          <c:idx val="959"/>
          <c:order val="959"/>
          <c:tx>
            <c:strRef>
              <c:f>'estatística'!$B$961</c:f>
            </c:strRef>
          </c:tx>
          <c:cat>
            <c:strRef>
              <c:f>'estatística'!$C$1:$M$1</c:f>
            </c:strRef>
          </c:cat>
          <c:val>
            <c:numRef>
              <c:f>'estatística'!$C$961:$M$961</c:f>
              <c:numCache/>
            </c:numRef>
          </c:val>
        </c:ser>
        <c:ser>
          <c:idx val="960"/>
          <c:order val="960"/>
          <c:tx>
            <c:strRef>
              <c:f>'estatística'!$B$962</c:f>
            </c:strRef>
          </c:tx>
          <c:cat>
            <c:strRef>
              <c:f>'estatística'!$C$1:$M$1</c:f>
            </c:strRef>
          </c:cat>
          <c:val>
            <c:numRef>
              <c:f>'estatística'!$C$962:$M$962</c:f>
              <c:numCache/>
            </c:numRef>
          </c:val>
        </c:ser>
        <c:ser>
          <c:idx val="961"/>
          <c:order val="961"/>
          <c:tx>
            <c:strRef>
              <c:f>'estatística'!$B$963</c:f>
            </c:strRef>
          </c:tx>
          <c:cat>
            <c:strRef>
              <c:f>'estatística'!$C$1:$M$1</c:f>
            </c:strRef>
          </c:cat>
          <c:val>
            <c:numRef>
              <c:f>'estatística'!$C$963:$M$963</c:f>
              <c:numCache/>
            </c:numRef>
          </c:val>
        </c:ser>
        <c:ser>
          <c:idx val="962"/>
          <c:order val="962"/>
          <c:tx>
            <c:strRef>
              <c:f>'estatística'!$B$964</c:f>
            </c:strRef>
          </c:tx>
          <c:cat>
            <c:strRef>
              <c:f>'estatística'!$C$1:$M$1</c:f>
            </c:strRef>
          </c:cat>
          <c:val>
            <c:numRef>
              <c:f>'estatística'!$C$964:$M$964</c:f>
              <c:numCache/>
            </c:numRef>
          </c:val>
        </c:ser>
        <c:ser>
          <c:idx val="963"/>
          <c:order val="963"/>
          <c:tx>
            <c:strRef>
              <c:f>'estatística'!$B$965</c:f>
            </c:strRef>
          </c:tx>
          <c:cat>
            <c:strRef>
              <c:f>'estatística'!$C$1:$M$1</c:f>
            </c:strRef>
          </c:cat>
          <c:val>
            <c:numRef>
              <c:f>'estatística'!$C$965:$M$965</c:f>
              <c:numCache/>
            </c:numRef>
          </c:val>
        </c:ser>
        <c:ser>
          <c:idx val="964"/>
          <c:order val="964"/>
          <c:tx>
            <c:strRef>
              <c:f>'estatística'!$B$966</c:f>
            </c:strRef>
          </c:tx>
          <c:cat>
            <c:strRef>
              <c:f>'estatística'!$C$1:$M$1</c:f>
            </c:strRef>
          </c:cat>
          <c:val>
            <c:numRef>
              <c:f>'estatística'!$C$966:$M$966</c:f>
              <c:numCache/>
            </c:numRef>
          </c:val>
        </c:ser>
        <c:ser>
          <c:idx val="965"/>
          <c:order val="965"/>
          <c:tx>
            <c:strRef>
              <c:f>'estatística'!$B$967</c:f>
            </c:strRef>
          </c:tx>
          <c:cat>
            <c:strRef>
              <c:f>'estatística'!$C$1:$M$1</c:f>
            </c:strRef>
          </c:cat>
          <c:val>
            <c:numRef>
              <c:f>'estatística'!$C$967:$M$967</c:f>
              <c:numCache/>
            </c:numRef>
          </c:val>
        </c:ser>
        <c:ser>
          <c:idx val="966"/>
          <c:order val="966"/>
          <c:tx>
            <c:strRef>
              <c:f>'estatística'!$B$968</c:f>
            </c:strRef>
          </c:tx>
          <c:cat>
            <c:strRef>
              <c:f>'estatística'!$C$1:$M$1</c:f>
            </c:strRef>
          </c:cat>
          <c:val>
            <c:numRef>
              <c:f>'estatística'!$C$968:$M$968</c:f>
              <c:numCache/>
            </c:numRef>
          </c:val>
        </c:ser>
        <c:ser>
          <c:idx val="967"/>
          <c:order val="967"/>
          <c:tx>
            <c:strRef>
              <c:f>'estatística'!$B$969</c:f>
            </c:strRef>
          </c:tx>
          <c:cat>
            <c:strRef>
              <c:f>'estatística'!$C$1:$M$1</c:f>
            </c:strRef>
          </c:cat>
          <c:val>
            <c:numRef>
              <c:f>'estatística'!$C$969:$M$969</c:f>
              <c:numCache/>
            </c:numRef>
          </c:val>
        </c:ser>
        <c:ser>
          <c:idx val="968"/>
          <c:order val="968"/>
          <c:tx>
            <c:strRef>
              <c:f>'estatística'!$B$970</c:f>
            </c:strRef>
          </c:tx>
          <c:cat>
            <c:strRef>
              <c:f>'estatística'!$C$1:$M$1</c:f>
            </c:strRef>
          </c:cat>
          <c:val>
            <c:numRef>
              <c:f>'estatística'!$C$970:$M$970</c:f>
              <c:numCache/>
            </c:numRef>
          </c:val>
        </c:ser>
        <c:ser>
          <c:idx val="969"/>
          <c:order val="969"/>
          <c:tx>
            <c:strRef>
              <c:f>'estatística'!$B$971</c:f>
            </c:strRef>
          </c:tx>
          <c:cat>
            <c:strRef>
              <c:f>'estatística'!$C$1:$M$1</c:f>
            </c:strRef>
          </c:cat>
          <c:val>
            <c:numRef>
              <c:f>'estatística'!$C$971:$M$971</c:f>
              <c:numCache/>
            </c:numRef>
          </c:val>
        </c:ser>
        <c:ser>
          <c:idx val="970"/>
          <c:order val="970"/>
          <c:tx>
            <c:strRef>
              <c:f>'estatística'!$B$972</c:f>
            </c:strRef>
          </c:tx>
          <c:cat>
            <c:strRef>
              <c:f>'estatística'!$C$1:$M$1</c:f>
            </c:strRef>
          </c:cat>
          <c:val>
            <c:numRef>
              <c:f>'estatística'!$C$972:$M$972</c:f>
              <c:numCache/>
            </c:numRef>
          </c:val>
        </c:ser>
        <c:ser>
          <c:idx val="971"/>
          <c:order val="971"/>
          <c:tx>
            <c:strRef>
              <c:f>'estatística'!$B$973</c:f>
            </c:strRef>
          </c:tx>
          <c:cat>
            <c:strRef>
              <c:f>'estatística'!$C$1:$M$1</c:f>
            </c:strRef>
          </c:cat>
          <c:val>
            <c:numRef>
              <c:f>'estatística'!$C$973:$M$973</c:f>
              <c:numCache/>
            </c:numRef>
          </c:val>
        </c:ser>
        <c:ser>
          <c:idx val="972"/>
          <c:order val="972"/>
          <c:tx>
            <c:strRef>
              <c:f>'estatística'!$B$974</c:f>
            </c:strRef>
          </c:tx>
          <c:cat>
            <c:strRef>
              <c:f>'estatística'!$C$1:$M$1</c:f>
            </c:strRef>
          </c:cat>
          <c:val>
            <c:numRef>
              <c:f>'estatística'!$C$974:$M$974</c:f>
              <c:numCache/>
            </c:numRef>
          </c:val>
        </c:ser>
        <c:ser>
          <c:idx val="973"/>
          <c:order val="973"/>
          <c:tx>
            <c:strRef>
              <c:f>'estatística'!$B$975</c:f>
            </c:strRef>
          </c:tx>
          <c:cat>
            <c:strRef>
              <c:f>'estatística'!$C$1:$M$1</c:f>
            </c:strRef>
          </c:cat>
          <c:val>
            <c:numRef>
              <c:f>'estatística'!$C$975:$M$975</c:f>
              <c:numCache/>
            </c:numRef>
          </c:val>
        </c:ser>
        <c:ser>
          <c:idx val="974"/>
          <c:order val="974"/>
          <c:tx>
            <c:strRef>
              <c:f>'estatística'!$B$976</c:f>
            </c:strRef>
          </c:tx>
          <c:cat>
            <c:strRef>
              <c:f>'estatística'!$C$1:$M$1</c:f>
            </c:strRef>
          </c:cat>
          <c:val>
            <c:numRef>
              <c:f>'estatística'!$C$976:$M$976</c:f>
              <c:numCache/>
            </c:numRef>
          </c:val>
        </c:ser>
        <c:ser>
          <c:idx val="975"/>
          <c:order val="975"/>
          <c:tx>
            <c:strRef>
              <c:f>'estatística'!$B$977</c:f>
            </c:strRef>
          </c:tx>
          <c:cat>
            <c:strRef>
              <c:f>'estatística'!$C$1:$M$1</c:f>
            </c:strRef>
          </c:cat>
          <c:val>
            <c:numRef>
              <c:f>'estatística'!$C$977:$M$977</c:f>
              <c:numCache/>
            </c:numRef>
          </c:val>
        </c:ser>
        <c:ser>
          <c:idx val="976"/>
          <c:order val="976"/>
          <c:tx>
            <c:strRef>
              <c:f>'estatística'!$B$978</c:f>
            </c:strRef>
          </c:tx>
          <c:cat>
            <c:strRef>
              <c:f>'estatística'!$C$1:$M$1</c:f>
            </c:strRef>
          </c:cat>
          <c:val>
            <c:numRef>
              <c:f>'estatística'!$C$978:$M$978</c:f>
              <c:numCache/>
            </c:numRef>
          </c:val>
        </c:ser>
        <c:ser>
          <c:idx val="977"/>
          <c:order val="977"/>
          <c:tx>
            <c:strRef>
              <c:f>'estatística'!$B$979</c:f>
            </c:strRef>
          </c:tx>
          <c:cat>
            <c:strRef>
              <c:f>'estatística'!$C$1:$M$1</c:f>
            </c:strRef>
          </c:cat>
          <c:val>
            <c:numRef>
              <c:f>'estatística'!$C$979:$M$979</c:f>
              <c:numCache/>
            </c:numRef>
          </c:val>
        </c:ser>
        <c:ser>
          <c:idx val="978"/>
          <c:order val="978"/>
          <c:tx>
            <c:strRef>
              <c:f>'estatística'!$B$980</c:f>
            </c:strRef>
          </c:tx>
          <c:cat>
            <c:strRef>
              <c:f>'estatística'!$C$1:$M$1</c:f>
            </c:strRef>
          </c:cat>
          <c:val>
            <c:numRef>
              <c:f>'estatística'!$C$980:$M$980</c:f>
              <c:numCache/>
            </c:numRef>
          </c:val>
        </c:ser>
        <c:ser>
          <c:idx val="979"/>
          <c:order val="979"/>
          <c:tx>
            <c:strRef>
              <c:f>'estatística'!$B$981</c:f>
            </c:strRef>
          </c:tx>
          <c:cat>
            <c:strRef>
              <c:f>'estatística'!$C$1:$M$1</c:f>
            </c:strRef>
          </c:cat>
          <c:val>
            <c:numRef>
              <c:f>'estatística'!$C$981:$M$981</c:f>
              <c:numCache/>
            </c:numRef>
          </c:val>
        </c:ser>
        <c:ser>
          <c:idx val="980"/>
          <c:order val="980"/>
          <c:tx>
            <c:strRef>
              <c:f>'estatística'!$B$982</c:f>
            </c:strRef>
          </c:tx>
          <c:cat>
            <c:strRef>
              <c:f>'estatística'!$C$1:$M$1</c:f>
            </c:strRef>
          </c:cat>
          <c:val>
            <c:numRef>
              <c:f>'estatística'!$C$982:$M$982</c:f>
              <c:numCache/>
            </c:numRef>
          </c:val>
        </c:ser>
        <c:ser>
          <c:idx val="981"/>
          <c:order val="981"/>
          <c:tx>
            <c:strRef>
              <c:f>'estatística'!$B$983</c:f>
            </c:strRef>
          </c:tx>
          <c:cat>
            <c:strRef>
              <c:f>'estatística'!$C$1:$M$1</c:f>
            </c:strRef>
          </c:cat>
          <c:val>
            <c:numRef>
              <c:f>'estatística'!$C$983:$M$983</c:f>
              <c:numCache/>
            </c:numRef>
          </c:val>
        </c:ser>
        <c:ser>
          <c:idx val="982"/>
          <c:order val="982"/>
          <c:tx>
            <c:strRef>
              <c:f>'estatística'!$B$984</c:f>
            </c:strRef>
          </c:tx>
          <c:cat>
            <c:strRef>
              <c:f>'estatística'!$C$1:$M$1</c:f>
            </c:strRef>
          </c:cat>
          <c:val>
            <c:numRef>
              <c:f>'estatística'!$C$984:$M$984</c:f>
              <c:numCache/>
            </c:numRef>
          </c:val>
        </c:ser>
        <c:ser>
          <c:idx val="983"/>
          <c:order val="983"/>
          <c:tx>
            <c:strRef>
              <c:f>'estatística'!$B$985</c:f>
            </c:strRef>
          </c:tx>
          <c:cat>
            <c:strRef>
              <c:f>'estatística'!$C$1:$M$1</c:f>
            </c:strRef>
          </c:cat>
          <c:val>
            <c:numRef>
              <c:f>'estatística'!$C$985:$M$985</c:f>
              <c:numCache/>
            </c:numRef>
          </c:val>
        </c:ser>
        <c:ser>
          <c:idx val="984"/>
          <c:order val="984"/>
          <c:tx>
            <c:strRef>
              <c:f>'estatística'!$B$986</c:f>
            </c:strRef>
          </c:tx>
          <c:cat>
            <c:strRef>
              <c:f>'estatística'!$C$1:$M$1</c:f>
            </c:strRef>
          </c:cat>
          <c:val>
            <c:numRef>
              <c:f>'estatística'!$C$986:$M$986</c:f>
              <c:numCache/>
            </c:numRef>
          </c:val>
        </c:ser>
        <c:ser>
          <c:idx val="985"/>
          <c:order val="985"/>
          <c:tx>
            <c:strRef>
              <c:f>'estatística'!$B$987</c:f>
            </c:strRef>
          </c:tx>
          <c:cat>
            <c:strRef>
              <c:f>'estatística'!$C$1:$M$1</c:f>
            </c:strRef>
          </c:cat>
          <c:val>
            <c:numRef>
              <c:f>'estatística'!$C$987:$M$987</c:f>
              <c:numCache/>
            </c:numRef>
          </c:val>
        </c:ser>
        <c:ser>
          <c:idx val="986"/>
          <c:order val="986"/>
          <c:tx>
            <c:strRef>
              <c:f>'estatística'!$B$988</c:f>
            </c:strRef>
          </c:tx>
          <c:cat>
            <c:strRef>
              <c:f>'estatística'!$C$1:$M$1</c:f>
            </c:strRef>
          </c:cat>
          <c:val>
            <c:numRef>
              <c:f>'estatística'!$C$988:$M$988</c:f>
              <c:numCache/>
            </c:numRef>
          </c:val>
        </c:ser>
        <c:ser>
          <c:idx val="987"/>
          <c:order val="987"/>
          <c:tx>
            <c:strRef>
              <c:f>'estatística'!$B$989</c:f>
            </c:strRef>
          </c:tx>
          <c:cat>
            <c:strRef>
              <c:f>'estatística'!$C$1:$M$1</c:f>
            </c:strRef>
          </c:cat>
          <c:val>
            <c:numRef>
              <c:f>'estatística'!$C$989:$M$989</c:f>
              <c:numCache/>
            </c:numRef>
          </c:val>
        </c:ser>
        <c:ser>
          <c:idx val="988"/>
          <c:order val="988"/>
          <c:tx>
            <c:strRef>
              <c:f>'estatística'!$B$990</c:f>
            </c:strRef>
          </c:tx>
          <c:cat>
            <c:strRef>
              <c:f>'estatística'!$C$1:$M$1</c:f>
            </c:strRef>
          </c:cat>
          <c:val>
            <c:numRef>
              <c:f>'estatística'!$C$990:$M$990</c:f>
              <c:numCache/>
            </c:numRef>
          </c:val>
        </c:ser>
        <c:ser>
          <c:idx val="989"/>
          <c:order val="989"/>
          <c:tx>
            <c:strRef>
              <c:f>'estatística'!$B$991</c:f>
            </c:strRef>
          </c:tx>
          <c:cat>
            <c:strRef>
              <c:f>'estatística'!$C$1:$M$1</c:f>
            </c:strRef>
          </c:cat>
          <c:val>
            <c:numRef>
              <c:f>'estatística'!$C$991:$M$991</c:f>
              <c:numCache/>
            </c:numRef>
          </c:val>
        </c:ser>
        <c:ser>
          <c:idx val="990"/>
          <c:order val="990"/>
          <c:tx>
            <c:strRef>
              <c:f>'estatística'!$B$992</c:f>
            </c:strRef>
          </c:tx>
          <c:cat>
            <c:strRef>
              <c:f>'estatística'!$C$1:$M$1</c:f>
            </c:strRef>
          </c:cat>
          <c:val>
            <c:numRef>
              <c:f>'estatística'!$C$992:$M$992</c:f>
              <c:numCache/>
            </c:numRef>
          </c:val>
        </c:ser>
        <c:ser>
          <c:idx val="991"/>
          <c:order val="991"/>
          <c:tx>
            <c:strRef>
              <c:f>'estatística'!$B$993</c:f>
            </c:strRef>
          </c:tx>
          <c:cat>
            <c:strRef>
              <c:f>'estatística'!$C$1:$M$1</c:f>
            </c:strRef>
          </c:cat>
          <c:val>
            <c:numRef>
              <c:f>'estatística'!$C$993:$M$993</c:f>
              <c:numCache/>
            </c:numRef>
          </c:val>
        </c:ser>
        <c:ser>
          <c:idx val="992"/>
          <c:order val="992"/>
          <c:tx>
            <c:strRef>
              <c:f>'estatística'!$B$994</c:f>
            </c:strRef>
          </c:tx>
          <c:cat>
            <c:strRef>
              <c:f>'estatística'!$C$1:$M$1</c:f>
            </c:strRef>
          </c:cat>
          <c:val>
            <c:numRef>
              <c:f>'estatística'!$C$994:$M$994</c:f>
              <c:numCache/>
            </c:numRef>
          </c:val>
        </c:ser>
        <c:ser>
          <c:idx val="993"/>
          <c:order val="993"/>
          <c:tx>
            <c:strRef>
              <c:f>'estatística'!$B$995</c:f>
            </c:strRef>
          </c:tx>
          <c:cat>
            <c:strRef>
              <c:f>'estatística'!$C$1:$M$1</c:f>
            </c:strRef>
          </c:cat>
          <c:val>
            <c:numRef>
              <c:f>'estatística'!$C$995:$M$995</c:f>
              <c:numCache/>
            </c:numRef>
          </c:val>
        </c:ser>
        <c:ser>
          <c:idx val="994"/>
          <c:order val="994"/>
          <c:tx>
            <c:strRef>
              <c:f>'estatística'!$B$996</c:f>
            </c:strRef>
          </c:tx>
          <c:cat>
            <c:strRef>
              <c:f>'estatística'!$C$1:$M$1</c:f>
            </c:strRef>
          </c:cat>
          <c:val>
            <c:numRef>
              <c:f>'estatística'!$C$996:$M$996</c:f>
              <c:numCache/>
            </c:numRef>
          </c:val>
        </c:ser>
        <c:ser>
          <c:idx val="995"/>
          <c:order val="995"/>
          <c:tx>
            <c:strRef>
              <c:f>'estatística'!$B$997</c:f>
            </c:strRef>
          </c:tx>
          <c:cat>
            <c:strRef>
              <c:f>'estatística'!$C$1:$M$1</c:f>
            </c:strRef>
          </c:cat>
          <c:val>
            <c:numRef>
              <c:f>'estatística'!$C$997:$M$997</c:f>
              <c:numCache/>
            </c:numRef>
          </c:val>
        </c:ser>
        <c:ser>
          <c:idx val="996"/>
          <c:order val="996"/>
          <c:tx>
            <c:strRef>
              <c:f>'estatística'!$B$998</c:f>
            </c:strRef>
          </c:tx>
          <c:cat>
            <c:strRef>
              <c:f>'estatística'!$C$1:$M$1</c:f>
            </c:strRef>
          </c:cat>
          <c:val>
            <c:numRef>
              <c:f>'estatística'!$C$998:$M$998</c:f>
              <c:numCache/>
            </c:numRef>
          </c:val>
        </c:ser>
        <c:ser>
          <c:idx val="997"/>
          <c:order val="997"/>
          <c:tx>
            <c:strRef>
              <c:f>'estatística'!$B$999</c:f>
            </c:strRef>
          </c:tx>
          <c:cat>
            <c:strRef>
              <c:f>'estatística'!$C$1:$M$1</c:f>
            </c:strRef>
          </c:cat>
          <c:val>
            <c:numRef>
              <c:f>'estatística'!$C$999:$M$999</c:f>
              <c:numCache/>
            </c:numRef>
          </c:val>
        </c:ser>
        <c:ser>
          <c:idx val="998"/>
          <c:order val="998"/>
          <c:tx>
            <c:strRef>
              <c:f>'estatística'!$B$1000</c:f>
            </c:strRef>
          </c:tx>
          <c:cat>
            <c:strRef>
              <c:f>'estatística'!$C$1:$M$1</c:f>
            </c:strRef>
          </c:cat>
          <c:val>
            <c:numRef>
              <c:f>'estatística'!$C$1000:$M$1000</c:f>
              <c:numCache/>
            </c:numRef>
          </c:val>
        </c:ser>
        <c:ser>
          <c:idx val="999"/>
          <c:order val="999"/>
          <c:tx>
            <c:strRef>
              <c:f>'estatística'!$B$1001</c:f>
            </c:strRef>
          </c:tx>
          <c:cat>
            <c:strRef>
              <c:f>'estatística'!$C$1:$M$1</c:f>
            </c:strRef>
          </c:cat>
          <c:val>
            <c:numRef>
              <c:f>'estatística'!$C$1001:$M$1001</c:f>
              <c:numCache/>
            </c:numRef>
          </c:val>
        </c:ser>
        <c:ser>
          <c:idx val="1000"/>
          <c:order val="1000"/>
          <c:tx>
            <c:strRef>
              <c:f>'estatística'!$B$1002</c:f>
            </c:strRef>
          </c:tx>
          <c:cat>
            <c:strRef>
              <c:f>'estatística'!$C$1:$M$1</c:f>
            </c:strRef>
          </c:cat>
          <c:val>
            <c:numRef>
              <c:f>'estatística'!$C$1002:$M$1002</c:f>
              <c:numCache/>
            </c:numRef>
          </c:val>
        </c:ser>
        <c:ser>
          <c:idx val="1001"/>
          <c:order val="1001"/>
          <c:tx>
            <c:strRef>
              <c:f>'estatística'!$B$1003</c:f>
            </c:strRef>
          </c:tx>
          <c:cat>
            <c:strRef>
              <c:f>'estatística'!$C$1:$M$1</c:f>
            </c:strRef>
          </c:cat>
          <c:val>
            <c:numRef>
              <c:f>'estatística'!$C$1003:$M$1003</c:f>
              <c:numCache/>
            </c:numRef>
          </c:val>
        </c:ser>
        <c:ser>
          <c:idx val="1002"/>
          <c:order val="1002"/>
          <c:tx>
            <c:strRef>
              <c:f>'estatística'!$B$1004</c:f>
            </c:strRef>
          </c:tx>
          <c:cat>
            <c:strRef>
              <c:f>'estatística'!$C$1:$M$1</c:f>
            </c:strRef>
          </c:cat>
          <c:val>
            <c:numRef>
              <c:f>'estatística'!$C$1004:$M$1004</c:f>
              <c:numCache/>
            </c:numRef>
          </c:val>
        </c:ser>
        <c:ser>
          <c:idx val="1003"/>
          <c:order val="1003"/>
          <c:tx>
            <c:strRef>
              <c:f>'estatística'!$B$1005</c:f>
            </c:strRef>
          </c:tx>
          <c:cat>
            <c:strRef>
              <c:f>'estatística'!$C$1:$M$1</c:f>
            </c:strRef>
          </c:cat>
          <c:val>
            <c:numRef>
              <c:f>'estatística'!$C$1005:$M$1005</c:f>
              <c:numCache/>
            </c:numRef>
          </c:val>
        </c:ser>
        <c:ser>
          <c:idx val="1004"/>
          <c:order val="1004"/>
          <c:tx>
            <c:strRef>
              <c:f>'estatística'!$B$1006</c:f>
            </c:strRef>
          </c:tx>
          <c:cat>
            <c:strRef>
              <c:f>'estatística'!$C$1:$M$1</c:f>
            </c:strRef>
          </c:cat>
          <c:val>
            <c:numRef>
              <c:f>'estatística'!$C$1006:$M$1006</c:f>
              <c:numCache/>
            </c:numRef>
          </c:val>
        </c:ser>
        <c:ser>
          <c:idx val="1005"/>
          <c:order val="1005"/>
          <c:tx>
            <c:strRef>
              <c:f>'estatística'!$B$1007</c:f>
            </c:strRef>
          </c:tx>
          <c:cat>
            <c:strRef>
              <c:f>'estatística'!$C$1:$M$1</c:f>
            </c:strRef>
          </c:cat>
          <c:val>
            <c:numRef>
              <c:f>'estatística'!$C$1007:$M$1007</c:f>
              <c:numCache/>
            </c:numRef>
          </c:val>
        </c:ser>
        <c:ser>
          <c:idx val="1006"/>
          <c:order val="1006"/>
          <c:tx>
            <c:strRef>
              <c:f>'estatística'!$B$1008</c:f>
            </c:strRef>
          </c:tx>
          <c:cat>
            <c:strRef>
              <c:f>'estatística'!$C$1:$M$1</c:f>
            </c:strRef>
          </c:cat>
          <c:val>
            <c:numRef>
              <c:f>'estatística'!$C$1008:$M$1008</c:f>
              <c:numCache/>
            </c:numRef>
          </c:val>
        </c:ser>
        <c:ser>
          <c:idx val="1007"/>
          <c:order val="1007"/>
          <c:tx>
            <c:strRef>
              <c:f>'estatística'!$B$1009</c:f>
            </c:strRef>
          </c:tx>
          <c:cat>
            <c:strRef>
              <c:f>'estatística'!$C$1:$M$1</c:f>
            </c:strRef>
          </c:cat>
          <c:val>
            <c:numRef>
              <c:f>'estatística'!$C$1009:$M$1009</c:f>
              <c:numCache/>
            </c:numRef>
          </c:val>
        </c:ser>
        <c:ser>
          <c:idx val="1008"/>
          <c:order val="1008"/>
          <c:tx>
            <c:strRef>
              <c:f>'estatística'!$B$1010</c:f>
            </c:strRef>
          </c:tx>
          <c:cat>
            <c:strRef>
              <c:f>'estatística'!$C$1:$M$1</c:f>
            </c:strRef>
          </c:cat>
          <c:val>
            <c:numRef>
              <c:f>'estatística'!$C$1010:$M$1010</c:f>
              <c:numCache/>
            </c:numRef>
          </c:val>
        </c:ser>
        <c:ser>
          <c:idx val="1009"/>
          <c:order val="1009"/>
          <c:tx>
            <c:strRef>
              <c:f>'estatística'!$B$1011</c:f>
            </c:strRef>
          </c:tx>
          <c:cat>
            <c:strRef>
              <c:f>'estatística'!$C$1:$M$1</c:f>
            </c:strRef>
          </c:cat>
          <c:val>
            <c:numRef>
              <c:f>'estatística'!$C$1011:$M$1011</c:f>
              <c:numCache/>
            </c:numRef>
          </c:val>
        </c:ser>
        <c:ser>
          <c:idx val="1010"/>
          <c:order val="1010"/>
          <c:tx>
            <c:strRef>
              <c:f>'estatística'!$B$1012</c:f>
            </c:strRef>
          </c:tx>
          <c:cat>
            <c:strRef>
              <c:f>'estatística'!$C$1:$M$1</c:f>
            </c:strRef>
          </c:cat>
          <c:val>
            <c:numRef>
              <c:f>'estatística'!$C$1012:$M$1012</c:f>
              <c:numCache/>
            </c:numRef>
          </c:val>
        </c:ser>
        <c:ser>
          <c:idx val="1011"/>
          <c:order val="1011"/>
          <c:tx>
            <c:strRef>
              <c:f>'estatística'!$B$1013</c:f>
            </c:strRef>
          </c:tx>
          <c:cat>
            <c:strRef>
              <c:f>'estatística'!$C$1:$M$1</c:f>
            </c:strRef>
          </c:cat>
          <c:val>
            <c:numRef>
              <c:f>'estatística'!$C$1013:$M$1013</c:f>
              <c:numCache/>
            </c:numRef>
          </c:val>
        </c:ser>
        <c:ser>
          <c:idx val="1012"/>
          <c:order val="1012"/>
          <c:tx>
            <c:strRef>
              <c:f>'estatística'!$B$1014</c:f>
            </c:strRef>
          </c:tx>
          <c:cat>
            <c:strRef>
              <c:f>'estatística'!$C$1:$M$1</c:f>
            </c:strRef>
          </c:cat>
          <c:val>
            <c:numRef>
              <c:f>'estatística'!$C$1014:$M$1014</c:f>
              <c:numCache/>
            </c:numRef>
          </c:val>
        </c:ser>
        <c:ser>
          <c:idx val="1013"/>
          <c:order val="1013"/>
          <c:tx>
            <c:strRef>
              <c:f>'estatística'!$B$1015</c:f>
            </c:strRef>
          </c:tx>
          <c:cat>
            <c:strRef>
              <c:f>'estatística'!$C$1:$M$1</c:f>
            </c:strRef>
          </c:cat>
          <c:val>
            <c:numRef>
              <c:f>'estatística'!$C$1015:$M$1015</c:f>
              <c:numCache/>
            </c:numRef>
          </c:val>
        </c:ser>
        <c:ser>
          <c:idx val="1014"/>
          <c:order val="1014"/>
          <c:tx>
            <c:strRef>
              <c:f>'estatística'!$B$1016</c:f>
            </c:strRef>
          </c:tx>
          <c:cat>
            <c:strRef>
              <c:f>'estatística'!$C$1:$M$1</c:f>
            </c:strRef>
          </c:cat>
          <c:val>
            <c:numRef>
              <c:f>'estatística'!$C$1016:$M$1016</c:f>
              <c:numCache/>
            </c:numRef>
          </c:val>
        </c:ser>
        <c:ser>
          <c:idx val="1015"/>
          <c:order val="1015"/>
          <c:tx>
            <c:strRef>
              <c:f>'estatística'!$B$1017</c:f>
            </c:strRef>
          </c:tx>
          <c:cat>
            <c:strRef>
              <c:f>'estatística'!$C$1:$M$1</c:f>
            </c:strRef>
          </c:cat>
          <c:val>
            <c:numRef>
              <c:f>'estatística'!$C$1017:$M$1017</c:f>
              <c:numCache/>
            </c:numRef>
          </c:val>
        </c:ser>
        <c:ser>
          <c:idx val="1016"/>
          <c:order val="1016"/>
          <c:tx>
            <c:strRef>
              <c:f>'estatística'!$B$1018</c:f>
            </c:strRef>
          </c:tx>
          <c:cat>
            <c:strRef>
              <c:f>'estatística'!$C$1:$M$1</c:f>
            </c:strRef>
          </c:cat>
          <c:val>
            <c:numRef>
              <c:f>'estatística'!$C$1018:$M$1018</c:f>
              <c:numCache/>
            </c:numRef>
          </c:val>
        </c:ser>
        <c:ser>
          <c:idx val="1017"/>
          <c:order val="1017"/>
          <c:tx>
            <c:strRef>
              <c:f>'estatística'!$B$1019</c:f>
            </c:strRef>
          </c:tx>
          <c:cat>
            <c:strRef>
              <c:f>'estatística'!$C$1:$M$1</c:f>
            </c:strRef>
          </c:cat>
          <c:val>
            <c:numRef>
              <c:f>'estatística'!$C$1019:$M$1019</c:f>
              <c:numCache/>
            </c:numRef>
          </c:val>
        </c:ser>
        <c:ser>
          <c:idx val="1018"/>
          <c:order val="1018"/>
          <c:tx>
            <c:strRef>
              <c:f>'estatística'!$B$1020</c:f>
            </c:strRef>
          </c:tx>
          <c:cat>
            <c:strRef>
              <c:f>'estatística'!$C$1:$M$1</c:f>
            </c:strRef>
          </c:cat>
          <c:val>
            <c:numRef>
              <c:f>'estatística'!$C$1020:$M$1020</c:f>
              <c:numCache/>
            </c:numRef>
          </c:val>
        </c:ser>
        <c:ser>
          <c:idx val="1019"/>
          <c:order val="1019"/>
          <c:tx>
            <c:strRef>
              <c:f>'estatística'!$B$1021</c:f>
            </c:strRef>
          </c:tx>
          <c:cat>
            <c:strRef>
              <c:f>'estatística'!$C$1:$M$1</c:f>
            </c:strRef>
          </c:cat>
          <c:val>
            <c:numRef>
              <c:f>'estatística'!$C$1021:$M$1021</c:f>
              <c:numCache/>
            </c:numRef>
          </c:val>
        </c:ser>
        <c:ser>
          <c:idx val="1020"/>
          <c:order val="1020"/>
          <c:tx>
            <c:strRef>
              <c:f>'estatística'!$B$1022</c:f>
            </c:strRef>
          </c:tx>
          <c:cat>
            <c:strRef>
              <c:f>'estatística'!$C$1:$M$1</c:f>
            </c:strRef>
          </c:cat>
          <c:val>
            <c:numRef>
              <c:f>'estatística'!$C$1022:$M$1022</c:f>
              <c:numCache/>
            </c:numRef>
          </c:val>
        </c:ser>
        <c:ser>
          <c:idx val="1021"/>
          <c:order val="1021"/>
          <c:tx>
            <c:strRef>
              <c:f>'estatística'!$B$1023</c:f>
            </c:strRef>
          </c:tx>
          <c:cat>
            <c:strRef>
              <c:f>'estatística'!$C$1:$M$1</c:f>
            </c:strRef>
          </c:cat>
          <c:val>
            <c:numRef>
              <c:f>'estatística'!$C$1023:$M$1023</c:f>
              <c:numCache/>
            </c:numRef>
          </c:val>
        </c:ser>
        <c:ser>
          <c:idx val="1022"/>
          <c:order val="1022"/>
          <c:tx>
            <c:strRef>
              <c:f>'estatística'!$B$1024</c:f>
            </c:strRef>
          </c:tx>
          <c:cat>
            <c:strRef>
              <c:f>'estatística'!$C$1:$M$1</c:f>
            </c:strRef>
          </c:cat>
          <c:val>
            <c:numRef>
              <c:f>'estatística'!$C$1024:$M$1024</c:f>
              <c:numCache/>
            </c:numRef>
          </c:val>
        </c:ser>
        <c:ser>
          <c:idx val="1023"/>
          <c:order val="1023"/>
          <c:tx>
            <c:strRef>
              <c:f>'estatística'!$B$1025</c:f>
            </c:strRef>
          </c:tx>
          <c:cat>
            <c:strRef>
              <c:f>'estatística'!$C$1:$M$1</c:f>
            </c:strRef>
          </c:cat>
          <c:val>
            <c:numRef>
              <c:f>'estatística'!$C$1025:$M$1025</c:f>
              <c:numCache/>
            </c:numRef>
          </c:val>
        </c:ser>
        <c:ser>
          <c:idx val="1024"/>
          <c:order val="1024"/>
          <c:tx>
            <c:strRef>
              <c:f>'estatística'!$B$1026</c:f>
            </c:strRef>
          </c:tx>
          <c:cat>
            <c:strRef>
              <c:f>'estatística'!$C$1:$M$1</c:f>
            </c:strRef>
          </c:cat>
          <c:val>
            <c:numRef>
              <c:f>'estatística'!$C$1026:$M$1026</c:f>
              <c:numCache/>
            </c:numRef>
          </c:val>
        </c:ser>
        <c:ser>
          <c:idx val="1025"/>
          <c:order val="1025"/>
          <c:tx>
            <c:strRef>
              <c:f>'estatística'!$B$1027</c:f>
            </c:strRef>
          </c:tx>
          <c:cat>
            <c:strRef>
              <c:f>'estatística'!$C$1:$M$1</c:f>
            </c:strRef>
          </c:cat>
          <c:val>
            <c:numRef>
              <c:f>'estatística'!$C$1027:$M$1027</c:f>
              <c:numCache/>
            </c:numRef>
          </c:val>
        </c:ser>
        <c:ser>
          <c:idx val="1026"/>
          <c:order val="1026"/>
          <c:tx>
            <c:strRef>
              <c:f>'estatística'!$B$1028</c:f>
            </c:strRef>
          </c:tx>
          <c:cat>
            <c:strRef>
              <c:f>'estatística'!$C$1:$M$1</c:f>
            </c:strRef>
          </c:cat>
          <c:val>
            <c:numRef>
              <c:f>'estatística'!$C$1028:$M$1028</c:f>
              <c:numCache/>
            </c:numRef>
          </c:val>
        </c:ser>
        <c:ser>
          <c:idx val="1027"/>
          <c:order val="1027"/>
          <c:tx>
            <c:strRef>
              <c:f>'estatística'!$B$1029</c:f>
            </c:strRef>
          </c:tx>
          <c:cat>
            <c:strRef>
              <c:f>'estatística'!$C$1:$M$1</c:f>
            </c:strRef>
          </c:cat>
          <c:val>
            <c:numRef>
              <c:f>'estatística'!$C$1029:$M$1029</c:f>
              <c:numCache/>
            </c:numRef>
          </c:val>
        </c:ser>
        <c:ser>
          <c:idx val="1028"/>
          <c:order val="1028"/>
          <c:tx>
            <c:strRef>
              <c:f>'estatística'!$B$1030</c:f>
            </c:strRef>
          </c:tx>
          <c:cat>
            <c:strRef>
              <c:f>'estatística'!$C$1:$M$1</c:f>
            </c:strRef>
          </c:cat>
          <c:val>
            <c:numRef>
              <c:f>'estatística'!$C$1030:$M$1030</c:f>
              <c:numCache/>
            </c:numRef>
          </c:val>
        </c:ser>
        <c:ser>
          <c:idx val="1029"/>
          <c:order val="1029"/>
          <c:tx>
            <c:strRef>
              <c:f>'estatística'!$B$1031</c:f>
            </c:strRef>
          </c:tx>
          <c:cat>
            <c:strRef>
              <c:f>'estatística'!$C$1:$M$1</c:f>
            </c:strRef>
          </c:cat>
          <c:val>
            <c:numRef>
              <c:f>'estatística'!$C$1031:$M$1031</c:f>
              <c:numCache/>
            </c:numRef>
          </c:val>
        </c:ser>
        <c:ser>
          <c:idx val="1030"/>
          <c:order val="1030"/>
          <c:tx>
            <c:strRef>
              <c:f>'estatística'!$B$1032</c:f>
            </c:strRef>
          </c:tx>
          <c:cat>
            <c:strRef>
              <c:f>'estatística'!$C$1:$M$1</c:f>
            </c:strRef>
          </c:cat>
          <c:val>
            <c:numRef>
              <c:f>'estatística'!$C$1032:$M$1032</c:f>
              <c:numCache/>
            </c:numRef>
          </c:val>
        </c:ser>
        <c:ser>
          <c:idx val="1031"/>
          <c:order val="1031"/>
          <c:tx>
            <c:strRef>
              <c:f>'estatística'!$B$1033</c:f>
            </c:strRef>
          </c:tx>
          <c:cat>
            <c:strRef>
              <c:f>'estatística'!$C$1:$M$1</c:f>
            </c:strRef>
          </c:cat>
          <c:val>
            <c:numRef>
              <c:f>'estatística'!$C$1033:$M$1033</c:f>
              <c:numCache/>
            </c:numRef>
          </c:val>
        </c:ser>
        <c:ser>
          <c:idx val="1032"/>
          <c:order val="1032"/>
          <c:tx>
            <c:strRef>
              <c:f>'estatística'!$B$1034</c:f>
            </c:strRef>
          </c:tx>
          <c:cat>
            <c:strRef>
              <c:f>'estatística'!$C$1:$M$1</c:f>
            </c:strRef>
          </c:cat>
          <c:val>
            <c:numRef>
              <c:f>'estatística'!$C$1034:$M$1034</c:f>
              <c:numCache/>
            </c:numRef>
          </c:val>
        </c:ser>
        <c:ser>
          <c:idx val="1033"/>
          <c:order val="1033"/>
          <c:tx>
            <c:strRef>
              <c:f>'estatística'!$B$1035</c:f>
            </c:strRef>
          </c:tx>
          <c:cat>
            <c:strRef>
              <c:f>'estatística'!$C$1:$M$1</c:f>
            </c:strRef>
          </c:cat>
          <c:val>
            <c:numRef>
              <c:f>'estatística'!$C$1035:$M$1035</c:f>
              <c:numCache/>
            </c:numRef>
          </c:val>
        </c:ser>
        <c:ser>
          <c:idx val="1034"/>
          <c:order val="1034"/>
          <c:tx>
            <c:strRef>
              <c:f>'estatística'!$B$1036</c:f>
            </c:strRef>
          </c:tx>
          <c:cat>
            <c:strRef>
              <c:f>'estatística'!$C$1:$M$1</c:f>
            </c:strRef>
          </c:cat>
          <c:val>
            <c:numRef>
              <c:f>'estatística'!$C$1036:$M$1036</c:f>
              <c:numCache/>
            </c:numRef>
          </c:val>
        </c:ser>
        <c:ser>
          <c:idx val="1035"/>
          <c:order val="1035"/>
          <c:tx>
            <c:strRef>
              <c:f>'estatística'!$B$1037</c:f>
            </c:strRef>
          </c:tx>
          <c:cat>
            <c:strRef>
              <c:f>'estatística'!$C$1:$M$1</c:f>
            </c:strRef>
          </c:cat>
          <c:val>
            <c:numRef>
              <c:f>'estatística'!$C$1037:$M$1037</c:f>
              <c:numCache/>
            </c:numRef>
          </c:val>
        </c:ser>
        <c:ser>
          <c:idx val="1036"/>
          <c:order val="1036"/>
          <c:tx>
            <c:strRef>
              <c:f>'estatística'!$B$1038</c:f>
            </c:strRef>
          </c:tx>
          <c:cat>
            <c:strRef>
              <c:f>'estatística'!$C$1:$M$1</c:f>
            </c:strRef>
          </c:cat>
          <c:val>
            <c:numRef>
              <c:f>'estatística'!$C$1038:$M$1038</c:f>
              <c:numCache/>
            </c:numRef>
          </c:val>
        </c:ser>
        <c:ser>
          <c:idx val="1037"/>
          <c:order val="1037"/>
          <c:tx>
            <c:strRef>
              <c:f>'estatística'!$B$1039</c:f>
            </c:strRef>
          </c:tx>
          <c:cat>
            <c:strRef>
              <c:f>'estatística'!$C$1:$M$1</c:f>
            </c:strRef>
          </c:cat>
          <c:val>
            <c:numRef>
              <c:f>'estatística'!$C$1039:$M$1039</c:f>
              <c:numCache/>
            </c:numRef>
          </c:val>
        </c:ser>
        <c:ser>
          <c:idx val="1038"/>
          <c:order val="1038"/>
          <c:tx>
            <c:strRef>
              <c:f>'estatística'!$B$1040</c:f>
            </c:strRef>
          </c:tx>
          <c:cat>
            <c:strRef>
              <c:f>'estatística'!$C$1:$M$1</c:f>
            </c:strRef>
          </c:cat>
          <c:val>
            <c:numRef>
              <c:f>'estatística'!$C$1040:$M$1040</c:f>
              <c:numCache/>
            </c:numRef>
          </c:val>
        </c:ser>
        <c:ser>
          <c:idx val="1039"/>
          <c:order val="1039"/>
          <c:tx>
            <c:strRef>
              <c:f>'estatística'!$B$1041</c:f>
            </c:strRef>
          </c:tx>
          <c:cat>
            <c:strRef>
              <c:f>'estatística'!$C$1:$M$1</c:f>
            </c:strRef>
          </c:cat>
          <c:val>
            <c:numRef>
              <c:f>'estatística'!$C$1041:$M$1041</c:f>
              <c:numCache/>
            </c:numRef>
          </c:val>
        </c:ser>
        <c:ser>
          <c:idx val="1040"/>
          <c:order val="1040"/>
          <c:tx>
            <c:strRef>
              <c:f>'estatística'!$B$1042</c:f>
            </c:strRef>
          </c:tx>
          <c:cat>
            <c:strRef>
              <c:f>'estatística'!$C$1:$M$1</c:f>
            </c:strRef>
          </c:cat>
          <c:val>
            <c:numRef>
              <c:f>'estatística'!$C$1042:$M$1042</c:f>
              <c:numCache/>
            </c:numRef>
          </c:val>
        </c:ser>
        <c:ser>
          <c:idx val="1041"/>
          <c:order val="1041"/>
          <c:tx>
            <c:strRef>
              <c:f>'estatística'!$B$1043</c:f>
            </c:strRef>
          </c:tx>
          <c:cat>
            <c:strRef>
              <c:f>'estatística'!$C$1:$M$1</c:f>
            </c:strRef>
          </c:cat>
          <c:val>
            <c:numRef>
              <c:f>'estatística'!$C$1043:$M$1043</c:f>
              <c:numCache/>
            </c:numRef>
          </c:val>
        </c:ser>
        <c:ser>
          <c:idx val="1042"/>
          <c:order val="1042"/>
          <c:tx>
            <c:strRef>
              <c:f>'estatística'!$B$1044</c:f>
            </c:strRef>
          </c:tx>
          <c:cat>
            <c:strRef>
              <c:f>'estatística'!$C$1:$M$1</c:f>
            </c:strRef>
          </c:cat>
          <c:val>
            <c:numRef>
              <c:f>'estatística'!$C$1044:$M$1044</c:f>
              <c:numCache/>
            </c:numRef>
          </c:val>
        </c:ser>
        <c:ser>
          <c:idx val="1043"/>
          <c:order val="1043"/>
          <c:tx>
            <c:strRef>
              <c:f>'estatística'!$B$1045</c:f>
            </c:strRef>
          </c:tx>
          <c:cat>
            <c:strRef>
              <c:f>'estatística'!$C$1:$M$1</c:f>
            </c:strRef>
          </c:cat>
          <c:val>
            <c:numRef>
              <c:f>'estatística'!$C$1045:$M$1045</c:f>
              <c:numCache/>
            </c:numRef>
          </c:val>
        </c:ser>
        <c:ser>
          <c:idx val="1044"/>
          <c:order val="1044"/>
          <c:tx>
            <c:strRef>
              <c:f>'estatística'!$B$1046</c:f>
            </c:strRef>
          </c:tx>
          <c:cat>
            <c:strRef>
              <c:f>'estatística'!$C$1:$M$1</c:f>
            </c:strRef>
          </c:cat>
          <c:val>
            <c:numRef>
              <c:f>'estatística'!$C$1046:$M$1046</c:f>
              <c:numCache/>
            </c:numRef>
          </c:val>
        </c:ser>
        <c:ser>
          <c:idx val="1045"/>
          <c:order val="1045"/>
          <c:tx>
            <c:strRef>
              <c:f>'estatística'!$B$1047</c:f>
            </c:strRef>
          </c:tx>
          <c:cat>
            <c:strRef>
              <c:f>'estatística'!$C$1:$M$1</c:f>
            </c:strRef>
          </c:cat>
          <c:val>
            <c:numRef>
              <c:f>'estatística'!$C$1047:$M$1047</c:f>
              <c:numCache/>
            </c:numRef>
          </c:val>
        </c:ser>
        <c:ser>
          <c:idx val="1046"/>
          <c:order val="1046"/>
          <c:tx>
            <c:strRef>
              <c:f>'estatística'!$B$1048</c:f>
            </c:strRef>
          </c:tx>
          <c:cat>
            <c:strRef>
              <c:f>'estatística'!$C$1:$M$1</c:f>
            </c:strRef>
          </c:cat>
          <c:val>
            <c:numRef>
              <c:f>'estatística'!$C$1048:$M$1048</c:f>
              <c:numCache/>
            </c:numRef>
          </c:val>
        </c:ser>
        <c:ser>
          <c:idx val="1047"/>
          <c:order val="1047"/>
          <c:tx>
            <c:strRef>
              <c:f>'estatística'!$B$1049</c:f>
            </c:strRef>
          </c:tx>
          <c:cat>
            <c:strRef>
              <c:f>'estatística'!$C$1:$M$1</c:f>
            </c:strRef>
          </c:cat>
          <c:val>
            <c:numRef>
              <c:f>'estatística'!$C$1049:$M$1049</c:f>
              <c:numCache/>
            </c:numRef>
          </c:val>
        </c:ser>
        <c:ser>
          <c:idx val="1048"/>
          <c:order val="1048"/>
          <c:tx>
            <c:strRef>
              <c:f>'estatística'!$B$1050</c:f>
            </c:strRef>
          </c:tx>
          <c:cat>
            <c:strRef>
              <c:f>'estatística'!$C$1:$M$1</c:f>
            </c:strRef>
          </c:cat>
          <c:val>
            <c:numRef>
              <c:f>'estatística'!$C$1050:$M$1050</c:f>
              <c:numCache/>
            </c:numRef>
          </c:val>
        </c:ser>
        <c:ser>
          <c:idx val="1049"/>
          <c:order val="1049"/>
          <c:tx>
            <c:strRef>
              <c:f>'estatística'!$B$1051</c:f>
            </c:strRef>
          </c:tx>
          <c:cat>
            <c:strRef>
              <c:f>'estatística'!$C$1:$M$1</c:f>
            </c:strRef>
          </c:cat>
          <c:val>
            <c:numRef>
              <c:f>'estatística'!$C$1051:$M$1051</c:f>
              <c:numCache/>
            </c:numRef>
          </c:val>
        </c:ser>
        <c:ser>
          <c:idx val="1050"/>
          <c:order val="1050"/>
          <c:tx>
            <c:strRef>
              <c:f>'estatística'!$B$1052</c:f>
            </c:strRef>
          </c:tx>
          <c:cat>
            <c:strRef>
              <c:f>'estatística'!$C$1:$M$1</c:f>
            </c:strRef>
          </c:cat>
          <c:val>
            <c:numRef>
              <c:f>'estatística'!$C$1052:$M$1052</c:f>
              <c:numCache/>
            </c:numRef>
          </c:val>
        </c:ser>
        <c:ser>
          <c:idx val="1051"/>
          <c:order val="1051"/>
          <c:tx>
            <c:strRef>
              <c:f>'estatística'!$B$1053</c:f>
            </c:strRef>
          </c:tx>
          <c:cat>
            <c:strRef>
              <c:f>'estatística'!$C$1:$M$1</c:f>
            </c:strRef>
          </c:cat>
          <c:val>
            <c:numRef>
              <c:f>'estatística'!$C$1053:$M$1053</c:f>
              <c:numCache/>
            </c:numRef>
          </c:val>
        </c:ser>
        <c:ser>
          <c:idx val="1052"/>
          <c:order val="1052"/>
          <c:tx>
            <c:strRef>
              <c:f>'estatística'!$B$1054</c:f>
            </c:strRef>
          </c:tx>
          <c:cat>
            <c:strRef>
              <c:f>'estatística'!$C$1:$M$1</c:f>
            </c:strRef>
          </c:cat>
          <c:val>
            <c:numRef>
              <c:f>'estatística'!$C$1054:$M$1054</c:f>
              <c:numCache/>
            </c:numRef>
          </c:val>
        </c:ser>
        <c:ser>
          <c:idx val="1053"/>
          <c:order val="1053"/>
          <c:tx>
            <c:strRef>
              <c:f>'estatística'!$B$1055</c:f>
            </c:strRef>
          </c:tx>
          <c:cat>
            <c:strRef>
              <c:f>'estatística'!$C$1:$M$1</c:f>
            </c:strRef>
          </c:cat>
          <c:val>
            <c:numRef>
              <c:f>'estatística'!$C$1055:$M$1055</c:f>
              <c:numCache/>
            </c:numRef>
          </c:val>
        </c:ser>
        <c:ser>
          <c:idx val="1054"/>
          <c:order val="1054"/>
          <c:tx>
            <c:strRef>
              <c:f>'estatística'!$B$1056</c:f>
            </c:strRef>
          </c:tx>
          <c:cat>
            <c:strRef>
              <c:f>'estatística'!$C$1:$M$1</c:f>
            </c:strRef>
          </c:cat>
          <c:val>
            <c:numRef>
              <c:f>'estatística'!$C$1056:$M$1056</c:f>
              <c:numCache/>
            </c:numRef>
          </c:val>
        </c:ser>
        <c:ser>
          <c:idx val="1055"/>
          <c:order val="1055"/>
          <c:tx>
            <c:strRef>
              <c:f>'estatística'!$B$1057</c:f>
            </c:strRef>
          </c:tx>
          <c:cat>
            <c:strRef>
              <c:f>'estatística'!$C$1:$M$1</c:f>
            </c:strRef>
          </c:cat>
          <c:val>
            <c:numRef>
              <c:f>'estatística'!$C$1057:$M$1057</c:f>
              <c:numCache/>
            </c:numRef>
          </c:val>
        </c:ser>
        <c:ser>
          <c:idx val="1056"/>
          <c:order val="1056"/>
          <c:tx>
            <c:strRef>
              <c:f>'estatística'!$B$1058</c:f>
            </c:strRef>
          </c:tx>
          <c:cat>
            <c:strRef>
              <c:f>'estatística'!$C$1:$M$1</c:f>
            </c:strRef>
          </c:cat>
          <c:val>
            <c:numRef>
              <c:f>'estatística'!$C$1058:$M$1058</c:f>
              <c:numCache/>
            </c:numRef>
          </c:val>
        </c:ser>
        <c:ser>
          <c:idx val="1057"/>
          <c:order val="1057"/>
          <c:tx>
            <c:strRef>
              <c:f>'estatística'!$B$1059</c:f>
            </c:strRef>
          </c:tx>
          <c:cat>
            <c:strRef>
              <c:f>'estatística'!$C$1:$M$1</c:f>
            </c:strRef>
          </c:cat>
          <c:val>
            <c:numRef>
              <c:f>'estatística'!$C$1059:$M$1059</c:f>
              <c:numCache/>
            </c:numRef>
          </c:val>
        </c:ser>
        <c:ser>
          <c:idx val="1058"/>
          <c:order val="1058"/>
          <c:tx>
            <c:strRef>
              <c:f>'estatística'!$B$1060</c:f>
            </c:strRef>
          </c:tx>
          <c:cat>
            <c:strRef>
              <c:f>'estatística'!$C$1:$M$1</c:f>
            </c:strRef>
          </c:cat>
          <c:val>
            <c:numRef>
              <c:f>'estatística'!$C$1060:$M$1060</c:f>
              <c:numCache/>
            </c:numRef>
          </c:val>
        </c:ser>
        <c:ser>
          <c:idx val="1059"/>
          <c:order val="1059"/>
          <c:tx>
            <c:strRef>
              <c:f>'estatística'!$B$1061</c:f>
            </c:strRef>
          </c:tx>
          <c:cat>
            <c:strRef>
              <c:f>'estatística'!$C$1:$M$1</c:f>
            </c:strRef>
          </c:cat>
          <c:val>
            <c:numRef>
              <c:f>'estatística'!$C$1061:$M$1061</c:f>
              <c:numCache/>
            </c:numRef>
          </c:val>
        </c:ser>
        <c:ser>
          <c:idx val="1060"/>
          <c:order val="1060"/>
          <c:tx>
            <c:strRef>
              <c:f>'estatística'!$B$1062</c:f>
            </c:strRef>
          </c:tx>
          <c:cat>
            <c:strRef>
              <c:f>'estatística'!$C$1:$M$1</c:f>
            </c:strRef>
          </c:cat>
          <c:val>
            <c:numRef>
              <c:f>'estatística'!$C$1062:$M$1062</c:f>
              <c:numCache/>
            </c:numRef>
          </c:val>
        </c:ser>
        <c:ser>
          <c:idx val="1061"/>
          <c:order val="1061"/>
          <c:tx>
            <c:strRef>
              <c:f>'estatística'!$B$1063</c:f>
            </c:strRef>
          </c:tx>
          <c:cat>
            <c:strRef>
              <c:f>'estatística'!$C$1:$M$1</c:f>
            </c:strRef>
          </c:cat>
          <c:val>
            <c:numRef>
              <c:f>'estatística'!$C$1063:$M$1063</c:f>
              <c:numCache/>
            </c:numRef>
          </c:val>
        </c:ser>
        <c:ser>
          <c:idx val="1062"/>
          <c:order val="1062"/>
          <c:tx>
            <c:strRef>
              <c:f>'estatística'!$B$1064</c:f>
            </c:strRef>
          </c:tx>
          <c:cat>
            <c:strRef>
              <c:f>'estatística'!$C$1:$M$1</c:f>
            </c:strRef>
          </c:cat>
          <c:val>
            <c:numRef>
              <c:f>'estatística'!$C$1064:$M$1064</c:f>
              <c:numCache/>
            </c:numRef>
          </c:val>
        </c:ser>
        <c:ser>
          <c:idx val="1063"/>
          <c:order val="1063"/>
          <c:tx>
            <c:strRef>
              <c:f>'estatística'!$B$1065</c:f>
            </c:strRef>
          </c:tx>
          <c:cat>
            <c:strRef>
              <c:f>'estatística'!$C$1:$M$1</c:f>
            </c:strRef>
          </c:cat>
          <c:val>
            <c:numRef>
              <c:f>'estatística'!$C$1065:$M$1065</c:f>
              <c:numCache/>
            </c:numRef>
          </c:val>
        </c:ser>
        <c:ser>
          <c:idx val="1064"/>
          <c:order val="1064"/>
          <c:tx>
            <c:strRef>
              <c:f>'estatística'!$B$1066</c:f>
            </c:strRef>
          </c:tx>
          <c:cat>
            <c:strRef>
              <c:f>'estatística'!$C$1:$M$1</c:f>
            </c:strRef>
          </c:cat>
          <c:val>
            <c:numRef>
              <c:f>'estatística'!$C$1066:$M$1066</c:f>
              <c:numCache/>
            </c:numRef>
          </c:val>
        </c:ser>
        <c:ser>
          <c:idx val="1065"/>
          <c:order val="1065"/>
          <c:tx>
            <c:strRef>
              <c:f>'estatística'!$B$1067</c:f>
            </c:strRef>
          </c:tx>
          <c:cat>
            <c:strRef>
              <c:f>'estatística'!$C$1:$M$1</c:f>
            </c:strRef>
          </c:cat>
          <c:val>
            <c:numRef>
              <c:f>'estatística'!$C$1067:$M$1067</c:f>
              <c:numCache/>
            </c:numRef>
          </c:val>
        </c:ser>
        <c:ser>
          <c:idx val="1066"/>
          <c:order val="1066"/>
          <c:tx>
            <c:strRef>
              <c:f>'estatística'!$B$1068</c:f>
            </c:strRef>
          </c:tx>
          <c:cat>
            <c:strRef>
              <c:f>'estatística'!$C$1:$M$1</c:f>
            </c:strRef>
          </c:cat>
          <c:val>
            <c:numRef>
              <c:f>'estatística'!$C$1068:$M$1068</c:f>
              <c:numCache/>
            </c:numRef>
          </c:val>
        </c:ser>
        <c:ser>
          <c:idx val="1067"/>
          <c:order val="1067"/>
          <c:tx>
            <c:strRef>
              <c:f>'estatística'!$B$1069</c:f>
            </c:strRef>
          </c:tx>
          <c:cat>
            <c:strRef>
              <c:f>'estatística'!$C$1:$M$1</c:f>
            </c:strRef>
          </c:cat>
          <c:val>
            <c:numRef>
              <c:f>'estatística'!$C$1069:$M$1069</c:f>
              <c:numCache/>
            </c:numRef>
          </c:val>
        </c:ser>
        <c:ser>
          <c:idx val="1068"/>
          <c:order val="1068"/>
          <c:tx>
            <c:strRef>
              <c:f>'estatística'!$B$1070</c:f>
            </c:strRef>
          </c:tx>
          <c:cat>
            <c:strRef>
              <c:f>'estatística'!$C$1:$M$1</c:f>
            </c:strRef>
          </c:cat>
          <c:val>
            <c:numRef>
              <c:f>'estatística'!$C$1070:$M$1070</c:f>
              <c:numCache/>
            </c:numRef>
          </c:val>
        </c:ser>
        <c:ser>
          <c:idx val="1069"/>
          <c:order val="1069"/>
          <c:tx>
            <c:strRef>
              <c:f>'estatística'!$B$1071</c:f>
            </c:strRef>
          </c:tx>
          <c:cat>
            <c:strRef>
              <c:f>'estatística'!$C$1:$M$1</c:f>
            </c:strRef>
          </c:cat>
          <c:val>
            <c:numRef>
              <c:f>'estatística'!$C$1071:$M$1071</c:f>
              <c:numCache/>
            </c:numRef>
          </c:val>
        </c:ser>
        <c:ser>
          <c:idx val="1070"/>
          <c:order val="1070"/>
          <c:tx>
            <c:strRef>
              <c:f>'estatística'!$B$1072</c:f>
            </c:strRef>
          </c:tx>
          <c:cat>
            <c:strRef>
              <c:f>'estatística'!$C$1:$M$1</c:f>
            </c:strRef>
          </c:cat>
          <c:val>
            <c:numRef>
              <c:f>'estatística'!$C$1072:$M$1072</c:f>
              <c:numCache/>
            </c:numRef>
          </c:val>
        </c:ser>
        <c:ser>
          <c:idx val="1071"/>
          <c:order val="1071"/>
          <c:tx>
            <c:strRef>
              <c:f>'estatística'!$B$1073</c:f>
            </c:strRef>
          </c:tx>
          <c:cat>
            <c:strRef>
              <c:f>'estatística'!$C$1:$M$1</c:f>
            </c:strRef>
          </c:cat>
          <c:val>
            <c:numRef>
              <c:f>'estatística'!$C$1073:$M$1073</c:f>
              <c:numCache/>
            </c:numRef>
          </c:val>
        </c:ser>
        <c:ser>
          <c:idx val="1072"/>
          <c:order val="1072"/>
          <c:tx>
            <c:strRef>
              <c:f>'estatística'!$B$1074</c:f>
            </c:strRef>
          </c:tx>
          <c:cat>
            <c:strRef>
              <c:f>'estatística'!$C$1:$M$1</c:f>
            </c:strRef>
          </c:cat>
          <c:val>
            <c:numRef>
              <c:f>'estatística'!$C$1074:$M$1074</c:f>
              <c:numCache/>
            </c:numRef>
          </c:val>
        </c:ser>
        <c:ser>
          <c:idx val="1073"/>
          <c:order val="1073"/>
          <c:tx>
            <c:strRef>
              <c:f>'estatística'!$B$1075</c:f>
            </c:strRef>
          </c:tx>
          <c:cat>
            <c:strRef>
              <c:f>'estatística'!$C$1:$M$1</c:f>
            </c:strRef>
          </c:cat>
          <c:val>
            <c:numRef>
              <c:f>'estatística'!$C$1075:$M$1075</c:f>
              <c:numCache/>
            </c:numRef>
          </c:val>
        </c:ser>
        <c:ser>
          <c:idx val="1074"/>
          <c:order val="1074"/>
          <c:tx>
            <c:strRef>
              <c:f>'estatística'!$B$1076</c:f>
            </c:strRef>
          </c:tx>
          <c:cat>
            <c:strRef>
              <c:f>'estatística'!$C$1:$M$1</c:f>
            </c:strRef>
          </c:cat>
          <c:val>
            <c:numRef>
              <c:f>'estatística'!$C$1076:$M$1076</c:f>
              <c:numCache/>
            </c:numRef>
          </c:val>
        </c:ser>
        <c:ser>
          <c:idx val="1075"/>
          <c:order val="1075"/>
          <c:tx>
            <c:strRef>
              <c:f>'estatística'!$B$1077</c:f>
            </c:strRef>
          </c:tx>
          <c:cat>
            <c:strRef>
              <c:f>'estatística'!$C$1:$M$1</c:f>
            </c:strRef>
          </c:cat>
          <c:val>
            <c:numRef>
              <c:f>'estatística'!$C$1077:$M$1077</c:f>
              <c:numCache/>
            </c:numRef>
          </c:val>
        </c:ser>
        <c:ser>
          <c:idx val="1076"/>
          <c:order val="1076"/>
          <c:tx>
            <c:strRef>
              <c:f>'estatística'!$B$1078</c:f>
            </c:strRef>
          </c:tx>
          <c:cat>
            <c:strRef>
              <c:f>'estatística'!$C$1:$M$1</c:f>
            </c:strRef>
          </c:cat>
          <c:val>
            <c:numRef>
              <c:f>'estatística'!$C$1078:$M$1078</c:f>
              <c:numCache/>
            </c:numRef>
          </c:val>
        </c:ser>
        <c:ser>
          <c:idx val="1077"/>
          <c:order val="1077"/>
          <c:tx>
            <c:strRef>
              <c:f>'estatística'!$B$1079</c:f>
            </c:strRef>
          </c:tx>
          <c:cat>
            <c:strRef>
              <c:f>'estatística'!$C$1:$M$1</c:f>
            </c:strRef>
          </c:cat>
          <c:val>
            <c:numRef>
              <c:f>'estatística'!$C$1079:$M$1079</c:f>
              <c:numCache/>
            </c:numRef>
          </c:val>
        </c:ser>
        <c:ser>
          <c:idx val="1078"/>
          <c:order val="1078"/>
          <c:tx>
            <c:strRef>
              <c:f>'estatística'!$B$1080</c:f>
            </c:strRef>
          </c:tx>
          <c:cat>
            <c:strRef>
              <c:f>'estatística'!$C$1:$M$1</c:f>
            </c:strRef>
          </c:cat>
          <c:val>
            <c:numRef>
              <c:f>'estatística'!$C$1080:$M$1080</c:f>
              <c:numCache/>
            </c:numRef>
          </c:val>
        </c:ser>
        <c:ser>
          <c:idx val="1079"/>
          <c:order val="1079"/>
          <c:tx>
            <c:strRef>
              <c:f>'estatística'!$B$1081</c:f>
            </c:strRef>
          </c:tx>
          <c:cat>
            <c:strRef>
              <c:f>'estatística'!$C$1:$M$1</c:f>
            </c:strRef>
          </c:cat>
          <c:val>
            <c:numRef>
              <c:f>'estatística'!$C$1081:$M$1081</c:f>
              <c:numCache/>
            </c:numRef>
          </c:val>
        </c:ser>
        <c:ser>
          <c:idx val="1080"/>
          <c:order val="1080"/>
          <c:tx>
            <c:strRef>
              <c:f>'estatística'!$B$1082</c:f>
            </c:strRef>
          </c:tx>
          <c:cat>
            <c:strRef>
              <c:f>'estatística'!$C$1:$M$1</c:f>
            </c:strRef>
          </c:cat>
          <c:val>
            <c:numRef>
              <c:f>'estatística'!$C$1082:$M$1082</c:f>
              <c:numCache/>
            </c:numRef>
          </c:val>
        </c:ser>
        <c:ser>
          <c:idx val="1081"/>
          <c:order val="1081"/>
          <c:tx>
            <c:strRef>
              <c:f>'estatística'!$B$1083</c:f>
            </c:strRef>
          </c:tx>
          <c:cat>
            <c:strRef>
              <c:f>'estatística'!$C$1:$M$1</c:f>
            </c:strRef>
          </c:cat>
          <c:val>
            <c:numRef>
              <c:f>'estatística'!$C$1083:$M$1083</c:f>
              <c:numCache/>
            </c:numRef>
          </c:val>
        </c:ser>
        <c:ser>
          <c:idx val="1082"/>
          <c:order val="1082"/>
          <c:tx>
            <c:strRef>
              <c:f>'estatística'!$B$1084</c:f>
            </c:strRef>
          </c:tx>
          <c:cat>
            <c:strRef>
              <c:f>'estatística'!$C$1:$M$1</c:f>
            </c:strRef>
          </c:cat>
          <c:val>
            <c:numRef>
              <c:f>'estatística'!$C$1084:$M$1084</c:f>
              <c:numCache/>
            </c:numRef>
          </c:val>
        </c:ser>
        <c:ser>
          <c:idx val="1083"/>
          <c:order val="1083"/>
          <c:tx>
            <c:strRef>
              <c:f>'estatística'!$B$1085</c:f>
            </c:strRef>
          </c:tx>
          <c:cat>
            <c:strRef>
              <c:f>'estatística'!$C$1:$M$1</c:f>
            </c:strRef>
          </c:cat>
          <c:val>
            <c:numRef>
              <c:f>'estatística'!$C$1085:$M$1085</c:f>
              <c:numCache/>
            </c:numRef>
          </c:val>
        </c:ser>
        <c:ser>
          <c:idx val="1084"/>
          <c:order val="1084"/>
          <c:tx>
            <c:strRef>
              <c:f>'estatística'!$B$1086</c:f>
            </c:strRef>
          </c:tx>
          <c:cat>
            <c:strRef>
              <c:f>'estatística'!$C$1:$M$1</c:f>
            </c:strRef>
          </c:cat>
          <c:val>
            <c:numRef>
              <c:f>'estatística'!$C$1086:$M$1086</c:f>
              <c:numCache/>
            </c:numRef>
          </c:val>
        </c:ser>
        <c:ser>
          <c:idx val="1085"/>
          <c:order val="1085"/>
          <c:tx>
            <c:strRef>
              <c:f>'estatística'!$B$1087</c:f>
            </c:strRef>
          </c:tx>
          <c:cat>
            <c:strRef>
              <c:f>'estatística'!$C$1:$M$1</c:f>
            </c:strRef>
          </c:cat>
          <c:val>
            <c:numRef>
              <c:f>'estatística'!$C$1087:$M$1087</c:f>
              <c:numCache/>
            </c:numRef>
          </c:val>
        </c:ser>
        <c:ser>
          <c:idx val="1086"/>
          <c:order val="1086"/>
          <c:tx>
            <c:strRef>
              <c:f>'estatística'!$B$1088</c:f>
            </c:strRef>
          </c:tx>
          <c:cat>
            <c:strRef>
              <c:f>'estatística'!$C$1:$M$1</c:f>
            </c:strRef>
          </c:cat>
          <c:val>
            <c:numRef>
              <c:f>'estatística'!$C$1088:$M$1088</c:f>
              <c:numCache/>
            </c:numRef>
          </c:val>
        </c:ser>
        <c:ser>
          <c:idx val="1087"/>
          <c:order val="1087"/>
          <c:tx>
            <c:strRef>
              <c:f>'estatística'!$B$1089</c:f>
            </c:strRef>
          </c:tx>
          <c:cat>
            <c:strRef>
              <c:f>'estatística'!$C$1:$M$1</c:f>
            </c:strRef>
          </c:cat>
          <c:val>
            <c:numRef>
              <c:f>'estatística'!$C$1089:$M$1089</c:f>
              <c:numCache/>
            </c:numRef>
          </c:val>
        </c:ser>
        <c:ser>
          <c:idx val="1088"/>
          <c:order val="1088"/>
          <c:tx>
            <c:strRef>
              <c:f>'estatística'!$B$1090</c:f>
            </c:strRef>
          </c:tx>
          <c:cat>
            <c:strRef>
              <c:f>'estatística'!$C$1:$M$1</c:f>
            </c:strRef>
          </c:cat>
          <c:val>
            <c:numRef>
              <c:f>'estatística'!$C$1090:$M$1090</c:f>
              <c:numCache/>
            </c:numRef>
          </c:val>
        </c:ser>
        <c:ser>
          <c:idx val="1089"/>
          <c:order val="1089"/>
          <c:tx>
            <c:strRef>
              <c:f>'estatística'!$B$1091</c:f>
            </c:strRef>
          </c:tx>
          <c:cat>
            <c:strRef>
              <c:f>'estatística'!$C$1:$M$1</c:f>
            </c:strRef>
          </c:cat>
          <c:val>
            <c:numRef>
              <c:f>'estatística'!$C$1091:$M$1091</c:f>
              <c:numCache/>
            </c:numRef>
          </c:val>
        </c:ser>
        <c:ser>
          <c:idx val="1090"/>
          <c:order val="1090"/>
          <c:tx>
            <c:strRef>
              <c:f>'estatística'!$B$1092</c:f>
            </c:strRef>
          </c:tx>
          <c:cat>
            <c:strRef>
              <c:f>'estatística'!$C$1:$M$1</c:f>
            </c:strRef>
          </c:cat>
          <c:val>
            <c:numRef>
              <c:f>'estatística'!$C$1092:$M$1092</c:f>
              <c:numCache/>
            </c:numRef>
          </c:val>
        </c:ser>
        <c:ser>
          <c:idx val="1091"/>
          <c:order val="1091"/>
          <c:tx>
            <c:strRef>
              <c:f>'estatística'!$B$1093</c:f>
            </c:strRef>
          </c:tx>
          <c:cat>
            <c:strRef>
              <c:f>'estatística'!$C$1:$M$1</c:f>
            </c:strRef>
          </c:cat>
          <c:val>
            <c:numRef>
              <c:f>'estatística'!$C$1093:$M$1093</c:f>
              <c:numCache/>
            </c:numRef>
          </c:val>
        </c:ser>
        <c:ser>
          <c:idx val="1092"/>
          <c:order val="1092"/>
          <c:tx>
            <c:strRef>
              <c:f>'estatística'!$B$1094</c:f>
            </c:strRef>
          </c:tx>
          <c:cat>
            <c:strRef>
              <c:f>'estatística'!$C$1:$M$1</c:f>
            </c:strRef>
          </c:cat>
          <c:val>
            <c:numRef>
              <c:f>'estatística'!$C$1094:$M$1094</c:f>
              <c:numCache/>
            </c:numRef>
          </c:val>
        </c:ser>
        <c:ser>
          <c:idx val="1093"/>
          <c:order val="1093"/>
          <c:tx>
            <c:strRef>
              <c:f>'estatística'!$B$1095</c:f>
            </c:strRef>
          </c:tx>
          <c:cat>
            <c:strRef>
              <c:f>'estatística'!$C$1:$M$1</c:f>
            </c:strRef>
          </c:cat>
          <c:val>
            <c:numRef>
              <c:f>'estatística'!$C$1095:$M$1095</c:f>
              <c:numCache/>
            </c:numRef>
          </c:val>
        </c:ser>
        <c:ser>
          <c:idx val="1094"/>
          <c:order val="1094"/>
          <c:tx>
            <c:strRef>
              <c:f>'estatística'!$B$1096</c:f>
            </c:strRef>
          </c:tx>
          <c:cat>
            <c:strRef>
              <c:f>'estatística'!$C$1:$M$1</c:f>
            </c:strRef>
          </c:cat>
          <c:val>
            <c:numRef>
              <c:f>'estatística'!$C$1096:$M$1096</c:f>
              <c:numCache/>
            </c:numRef>
          </c:val>
        </c:ser>
        <c:ser>
          <c:idx val="1095"/>
          <c:order val="1095"/>
          <c:tx>
            <c:strRef>
              <c:f>'estatística'!$B$1097</c:f>
            </c:strRef>
          </c:tx>
          <c:cat>
            <c:strRef>
              <c:f>'estatística'!$C$1:$M$1</c:f>
            </c:strRef>
          </c:cat>
          <c:val>
            <c:numRef>
              <c:f>'estatística'!$C$1097:$M$1097</c:f>
              <c:numCache/>
            </c:numRef>
          </c:val>
        </c:ser>
        <c:ser>
          <c:idx val="1096"/>
          <c:order val="1096"/>
          <c:tx>
            <c:strRef>
              <c:f>'estatística'!$B$1098</c:f>
            </c:strRef>
          </c:tx>
          <c:cat>
            <c:strRef>
              <c:f>'estatística'!$C$1:$M$1</c:f>
            </c:strRef>
          </c:cat>
          <c:val>
            <c:numRef>
              <c:f>'estatística'!$C$1098:$M$1098</c:f>
              <c:numCache/>
            </c:numRef>
          </c:val>
        </c:ser>
        <c:ser>
          <c:idx val="1097"/>
          <c:order val="1097"/>
          <c:tx>
            <c:strRef>
              <c:f>'estatística'!$B$1099</c:f>
            </c:strRef>
          </c:tx>
          <c:cat>
            <c:strRef>
              <c:f>'estatística'!$C$1:$M$1</c:f>
            </c:strRef>
          </c:cat>
          <c:val>
            <c:numRef>
              <c:f>'estatística'!$C$1099:$M$1099</c:f>
              <c:numCache/>
            </c:numRef>
          </c:val>
        </c:ser>
        <c:ser>
          <c:idx val="1098"/>
          <c:order val="1098"/>
          <c:tx>
            <c:strRef>
              <c:f>'estatística'!$B$1100</c:f>
            </c:strRef>
          </c:tx>
          <c:cat>
            <c:strRef>
              <c:f>'estatística'!$C$1:$M$1</c:f>
            </c:strRef>
          </c:cat>
          <c:val>
            <c:numRef>
              <c:f>'estatística'!$C$1100:$M$1100</c:f>
              <c:numCache/>
            </c:numRef>
          </c:val>
        </c:ser>
        <c:ser>
          <c:idx val="1099"/>
          <c:order val="1099"/>
          <c:tx>
            <c:strRef>
              <c:f>'estatística'!$B$1101</c:f>
            </c:strRef>
          </c:tx>
          <c:cat>
            <c:strRef>
              <c:f>'estatística'!$C$1:$M$1</c:f>
            </c:strRef>
          </c:cat>
          <c:val>
            <c:numRef>
              <c:f>'estatística'!$C$1101:$M$1101</c:f>
              <c:numCache/>
            </c:numRef>
          </c:val>
        </c:ser>
        <c:ser>
          <c:idx val="1100"/>
          <c:order val="1100"/>
          <c:tx>
            <c:strRef>
              <c:f>'estatística'!$B$1102</c:f>
            </c:strRef>
          </c:tx>
          <c:cat>
            <c:strRef>
              <c:f>'estatística'!$C$1:$M$1</c:f>
            </c:strRef>
          </c:cat>
          <c:val>
            <c:numRef>
              <c:f>'estatística'!$C$1102:$M$1102</c:f>
              <c:numCache/>
            </c:numRef>
          </c:val>
        </c:ser>
        <c:ser>
          <c:idx val="1101"/>
          <c:order val="1101"/>
          <c:tx>
            <c:strRef>
              <c:f>'estatística'!$B$1103</c:f>
            </c:strRef>
          </c:tx>
          <c:cat>
            <c:strRef>
              <c:f>'estatística'!$C$1:$M$1</c:f>
            </c:strRef>
          </c:cat>
          <c:val>
            <c:numRef>
              <c:f>'estatística'!$C$1103:$M$1103</c:f>
              <c:numCache/>
            </c:numRef>
          </c:val>
        </c:ser>
        <c:ser>
          <c:idx val="1102"/>
          <c:order val="1102"/>
          <c:tx>
            <c:strRef>
              <c:f>'estatística'!$B$1104</c:f>
            </c:strRef>
          </c:tx>
          <c:cat>
            <c:strRef>
              <c:f>'estatística'!$C$1:$M$1</c:f>
            </c:strRef>
          </c:cat>
          <c:val>
            <c:numRef>
              <c:f>'estatística'!$C$1104:$M$1104</c:f>
              <c:numCache/>
            </c:numRef>
          </c:val>
        </c:ser>
        <c:ser>
          <c:idx val="1103"/>
          <c:order val="1103"/>
          <c:tx>
            <c:strRef>
              <c:f>'estatística'!$B$1105</c:f>
            </c:strRef>
          </c:tx>
          <c:cat>
            <c:strRef>
              <c:f>'estatística'!$C$1:$M$1</c:f>
            </c:strRef>
          </c:cat>
          <c:val>
            <c:numRef>
              <c:f>'estatística'!$C$1105:$M$1105</c:f>
              <c:numCache/>
            </c:numRef>
          </c:val>
        </c:ser>
        <c:ser>
          <c:idx val="1104"/>
          <c:order val="1104"/>
          <c:tx>
            <c:strRef>
              <c:f>'estatística'!$B$1106</c:f>
            </c:strRef>
          </c:tx>
          <c:cat>
            <c:strRef>
              <c:f>'estatística'!$C$1:$M$1</c:f>
            </c:strRef>
          </c:cat>
          <c:val>
            <c:numRef>
              <c:f>'estatística'!$C$1106:$M$1106</c:f>
              <c:numCache/>
            </c:numRef>
          </c:val>
        </c:ser>
        <c:ser>
          <c:idx val="1105"/>
          <c:order val="1105"/>
          <c:tx>
            <c:strRef>
              <c:f>'estatística'!$B$1107</c:f>
            </c:strRef>
          </c:tx>
          <c:cat>
            <c:strRef>
              <c:f>'estatística'!$C$1:$M$1</c:f>
            </c:strRef>
          </c:cat>
          <c:val>
            <c:numRef>
              <c:f>'estatística'!$C$1107:$M$1107</c:f>
              <c:numCache/>
            </c:numRef>
          </c:val>
        </c:ser>
        <c:ser>
          <c:idx val="1106"/>
          <c:order val="1106"/>
          <c:tx>
            <c:strRef>
              <c:f>'estatística'!$B$1108</c:f>
            </c:strRef>
          </c:tx>
          <c:cat>
            <c:strRef>
              <c:f>'estatística'!$C$1:$M$1</c:f>
            </c:strRef>
          </c:cat>
          <c:val>
            <c:numRef>
              <c:f>'estatística'!$C$1108:$M$1108</c:f>
              <c:numCache/>
            </c:numRef>
          </c:val>
        </c:ser>
        <c:ser>
          <c:idx val="1107"/>
          <c:order val="1107"/>
          <c:tx>
            <c:strRef>
              <c:f>'estatística'!$B$1109</c:f>
            </c:strRef>
          </c:tx>
          <c:cat>
            <c:strRef>
              <c:f>'estatística'!$C$1:$M$1</c:f>
            </c:strRef>
          </c:cat>
          <c:val>
            <c:numRef>
              <c:f>'estatística'!$C$1109:$M$1109</c:f>
              <c:numCache/>
            </c:numRef>
          </c:val>
        </c:ser>
        <c:ser>
          <c:idx val="1108"/>
          <c:order val="1108"/>
          <c:tx>
            <c:strRef>
              <c:f>'estatística'!$B$1110</c:f>
            </c:strRef>
          </c:tx>
          <c:cat>
            <c:strRef>
              <c:f>'estatística'!$C$1:$M$1</c:f>
            </c:strRef>
          </c:cat>
          <c:val>
            <c:numRef>
              <c:f>'estatística'!$C$1110:$M$1110</c:f>
              <c:numCache/>
            </c:numRef>
          </c:val>
        </c:ser>
        <c:ser>
          <c:idx val="1109"/>
          <c:order val="1109"/>
          <c:tx>
            <c:strRef>
              <c:f>'estatística'!$B$1111</c:f>
            </c:strRef>
          </c:tx>
          <c:cat>
            <c:strRef>
              <c:f>'estatística'!$C$1:$M$1</c:f>
            </c:strRef>
          </c:cat>
          <c:val>
            <c:numRef>
              <c:f>'estatística'!$C$1111:$M$1111</c:f>
              <c:numCache/>
            </c:numRef>
          </c:val>
        </c:ser>
        <c:ser>
          <c:idx val="1110"/>
          <c:order val="1110"/>
          <c:tx>
            <c:strRef>
              <c:f>'estatística'!$B$1112</c:f>
            </c:strRef>
          </c:tx>
          <c:cat>
            <c:strRef>
              <c:f>'estatística'!$C$1:$M$1</c:f>
            </c:strRef>
          </c:cat>
          <c:val>
            <c:numRef>
              <c:f>'estatística'!$C$1112:$M$1112</c:f>
              <c:numCache/>
            </c:numRef>
          </c:val>
        </c:ser>
        <c:ser>
          <c:idx val="1111"/>
          <c:order val="1111"/>
          <c:tx>
            <c:strRef>
              <c:f>'estatística'!$B$1113</c:f>
            </c:strRef>
          </c:tx>
          <c:cat>
            <c:strRef>
              <c:f>'estatística'!$C$1:$M$1</c:f>
            </c:strRef>
          </c:cat>
          <c:val>
            <c:numRef>
              <c:f>'estatística'!$C$1113:$M$1113</c:f>
              <c:numCache/>
            </c:numRef>
          </c:val>
        </c:ser>
        <c:ser>
          <c:idx val="1112"/>
          <c:order val="1112"/>
          <c:tx>
            <c:strRef>
              <c:f>'estatística'!$B$1114</c:f>
            </c:strRef>
          </c:tx>
          <c:cat>
            <c:strRef>
              <c:f>'estatística'!$C$1:$M$1</c:f>
            </c:strRef>
          </c:cat>
          <c:val>
            <c:numRef>
              <c:f>'estatística'!$C$1114:$M$1114</c:f>
              <c:numCache/>
            </c:numRef>
          </c:val>
        </c:ser>
        <c:ser>
          <c:idx val="1113"/>
          <c:order val="1113"/>
          <c:tx>
            <c:strRef>
              <c:f>'estatística'!$B$1115</c:f>
            </c:strRef>
          </c:tx>
          <c:cat>
            <c:strRef>
              <c:f>'estatística'!$C$1:$M$1</c:f>
            </c:strRef>
          </c:cat>
          <c:val>
            <c:numRef>
              <c:f>'estatística'!$C$1115:$M$1115</c:f>
              <c:numCache/>
            </c:numRef>
          </c:val>
        </c:ser>
        <c:ser>
          <c:idx val="1114"/>
          <c:order val="1114"/>
          <c:tx>
            <c:strRef>
              <c:f>'estatística'!$B$1116</c:f>
            </c:strRef>
          </c:tx>
          <c:cat>
            <c:strRef>
              <c:f>'estatística'!$C$1:$M$1</c:f>
            </c:strRef>
          </c:cat>
          <c:val>
            <c:numRef>
              <c:f>'estatística'!$C$1116:$M$1116</c:f>
              <c:numCache/>
            </c:numRef>
          </c:val>
        </c:ser>
        <c:ser>
          <c:idx val="1115"/>
          <c:order val="1115"/>
          <c:tx>
            <c:strRef>
              <c:f>'estatística'!$B$1117</c:f>
            </c:strRef>
          </c:tx>
          <c:cat>
            <c:strRef>
              <c:f>'estatística'!$C$1:$M$1</c:f>
            </c:strRef>
          </c:cat>
          <c:val>
            <c:numRef>
              <c:f>'estatística'!$C$1117:$M$1117</c:f>
              <c:numCache/>
            </c:numRef>
          </c:val>
        </c:ser>
        <c:ser>
          <c:idx val="1116"/>
          <c:order val="1116"/>
          <c:tx>
            <c:strRef>
              <c:f>'estatística'!$B$1118</c:f>
            </c:strRef>
          </c:tx>
          <c:cat>
            <c:strRef>
              <c:f>'estatística'!$C$1:$M$1</c:f>
            </c:strRef>
          </c:cat>
          <c:val>
            <c:numRef>
              <c:f>'estatística'!$C$1118:$M$1118</c:f>
              <c:numCache/>
            </c:numRef>
          </c:val>
        </c:ser>
        <c:ser>
          <c:idx val="1117"/>
          <c:order val="1117"/>
          <c:tx>
            <c:strRef>
              <c:f>'estatística'!$B$1119</c:f>
            </c:strRef>
          </c:tx>
          <c:cat>
            <c:strRef>
              <c:f>'estatística'!$C$1:$M$1</c:f>
            </c:strRef>
          </c:cat>
          <c:val>
            <c:numRef>
              <c:f>'estatística'!$C$1119:$M$1119</c:f>
              <c:numCache/>
            </c:numRef>
          </c:val>
        </c:ser>
        <c:ser>
          <c:idx val="1118"/>
          <c:order val="1118"/>
          <c:tx>
            <c:strRef>
              <c:f>'estatística'!$B$1120</c:f>
            </c:strRef>
          </c:tx>
          <c:cat>
            <c:strRef>
              <c:f>'estatística'!$C$1:$M$1</c:f>
            </c:strRef>
          </c:cat>
          <c:val>
            <c:numRef>
              <c:f>'estatística'!$C$1120:$M$1120</c:f>
              <c:numCache/>
            </c:numRef>
          </c:val>
        </c:ser>
        <c:ser>
          <c:idx val="1119"/>
          <c:order val="1119"/>
          <c:tx>
            <c:strRef>
              <c:f>'estatística'!$B$1121</c:f>
            </c:strRef>
          </c:tx>
          <c:cat>
            <c:strRef>
              <c:f>'estatística'!$C$1:$M$1</c:f>
            </c:strRef>
          </c:cat>
          <c:val>
            <c:numRef>
              <c:f>'estatística'!$C$1121:$M$1121</c:f>
              <c:numCache/>
            </c:numRef>
          </c:val>
        </c:ser>
        <c:ser>
          <c:idx val="1120"/>
          <c:order val="1120"/>
          <c:tx>
            <c:strRef>
              <c:f>'estatística'!$B$1122</c:f>
            </c:strRef>
          </c:tx>
          <c:cat>
            <c:strRef>
              <c:f>'estatística'!$C$1:$M$1</c:f>
            </c:strRef>
          </c:cat>
          <c:val>
            <c:numRef>
              <c:f>'estatística'!$C$1122:$M$1122</c:f>
              <c:numCache/>
            </c:numRef>
          </c:val>
        </c:ser>
        <c:ser>
          <c:idx val="1121"/>
          <c:order val="1121"/>
          <c:tx>
            <c:strRef>
              <c:f>'estatística'!$B$1123</c:f>
            </c:strRef>
          </c:tx>
          <c:cat>
            <c:strRef>
              <c:f>'estatística'!$C$1:$M$1</c:f>
            </c:strRef>
          </c:cat>
          <c:val>
            <c:numRef>
              <c:f>'estatística'!$C$1123:$M$1123</c:f>
              <c:numCache/>
            </c:numRef>
          </c:val>
        </c:ser>
        <c:ser>
          <c:idx val="1122"/>
          <c:order val="1122"/>
          <c:tx>
            <c:strRef>
              <c:f>'estatística'!$B$1124</c:f>
            </c:strRef>
          </c:tx>
          <c:cat>
            <c:strRef>
              <c:f>'estatística'!$C$1:$M$1</c:f>
            </c:strRef>
          </c:cat>
          <c:val>
            <c:numRef>
              <c:f>'estatística'!$C$1124:$M$1124</c:f>
              <c:numCache/>
            </c:numRef>
          </c:val>
        </c:ser>
        <c:ser>
          <c:idx val="1123"/>
          <c:order val="1123"/>
          <c:tx>
            <c:strRef>
              <c:f>'estatística'!$B$1125</c:f>
            </c:strRef>
          </c:tx>
          <c:cat>
            <c:strRef>
              <c:f>'estatística'!$C$1:$M$1</c:f>
            </c:strRef>
          </c:cat>
          <c:val>
            <c:numRef>
              <c:f>'estatística'!$C$1125:$M$1125</c:f>
              <c:numCache/>
            </c:numRef>
          </c:val>
        </c:ser>
        <c:ser>
          <c:idx val="1124"/>
          <c:order val="1124"/>
          <c:tx>
            <c:strRef>
              <c:f>'estatística'!$B$1126</c:f>
            </c:strRef>
          </c:tx>
          <c:cat>
            <c:strRef>
              <c:f>'estatística'!$C$1:$M$1</c:f>
            </c:strRef>
          </c:cat>
          <c:val>
            <c:numRef>
              <c:f>'estatística'!$C$1126:$M$1126</c:f>
              <c:numCache/>
            </c:numRef>
          </c:val>
        </c:ser>
        <c:ser>
          <c:idx val="1125"/>
          <c:order val="1125"/>
          <c:tx>
            <c:strRef>
              <c:f>'estatística'!$B$1127</c:f>
            </c:strRef>
          </c:tx>
          <c:cat>
            <c:strRef>
              <c:f>'estatística'!$C$1:$M$1</c:f>
            </c:strRef>
          </c:cat>
          <c:val>
            <c:numRef>
              <c:f>'estatística'!$C$1127:$M$1127</c:f>
              <c:numCache/>
            </c:numRef>
          </c:val>
        </c:ser>
        <c:ser>
          <c:idx val="1126"/>
          <c:order val="1126"/>
          <c:tx>
            <c:strRef>
              <c:f>'estatística'!$B$1128</c:f>
            </c:strRef>
          </c:tx>
          <c:cat>
            <c:strRef>
              <c:f>'estatística'!$C$1:$M$1</c:f>
            </c:strRef>
          </c:cat>
          <c:val>
            <c:numRef>
              <c:f>'estatística'!$C$1128:$M$1128</c:f>
              <c:numCache/>
            </c:numRef>
          </c:val>
        </c:ser>
        <c:ser>
          <c:idx val="1127"/>
          <c:order val="1127"/>
          <c:tx>
            <c:strRef>
              <c:f>'estatística'!$B$1129</c:f>
            </c:strRef>
          </c:tx>
          <c:cat>
            <c:strRef>
              <c:f>'estatística'!$C$1:$M$1</c:f>
            </c:strRef>
          </c:cat>
          <c:val>
            <c:numRef>
              <c:f>'estatística'!$C$1129:$M$1129</c:f>
              <c:numCache/>
            </c:numRef>
          </c:val>
        </c:ser>
        <c:ser>
          <c:idx val="1128"/>
          <c:order val="1128"/>
          <c:tx>
            <c:strRef>
              <c:f>'estatística'!$B$1130</c:f>
            </c:strRef>
          </c:tx>
          <c:cat>
            <c:strRef>
              <c:f>'estatística'!$C$1:$M$1</c:f>
            </c:strRef>
          </c:cat>
          <c:val>
            <c:numRef>
              <c:f>'estatística'!$C$1130:$M$1130</c:f>
              <c:numCache/>
            </c:numRef>
          </c:val>
        </c:ser>
        <c:ser>
          <c:idx val="1129"/>
          <c:order val="1129"/>
          <c:tx>
            <c:strRef>
              <c:f>'estatística'!$B$1131</c:f>
            </c:strRef>
          </c:tx>
          <c:cat>
            <c:strRef>
              <c:f>'estatística'!$C$1:$M$1</c:f>
            </c:strRef>
          </c:cat>
          <c:val>
            <c:numRef>
              <c:f>'estatística'!$C$1131:$M$1131</c:f>
              <c:numCache/>
            </c:numRef>
          </c:val>
        </c:ser>
        <c:ser>
          <c:idx val="1130"/>
          <c:order val="1130"/>
          <c:tx>
            <c:strRef>
              <c:f>'estatística'!$B$1132</c:f>
            </c:strRef>
          </c:tx>
          <c:cat>
            <c:strRef>
              <c:f>'estatística'!$C$1:$M$1</c:f>
            </c:strRef>
          </c:cat>
          <c:val>
            <c:numRef>
              <c:f>'estatística'!$C$1132:$M$1132</c:f>
              <c:numCache/>
            </c:numRef>
          </c:val>
        </c:ser>
        <c:ser>
          <c:idx val="1131"/>
          <c:order val="1131"/>
          <c:tx>
            <c:strRef>
              <c:f>'estatística'!$B$1133</c:f>
            </c:strRef>
          </c:tx>
          <c:cat>
            <c:strRef>
              <c:f>'estatística'!$C$1:$M$1</c:f>
            </c:strRef>
          </c:cat>
          <c:val>
            <c:numRef>
              <c:f>'estatística'!$C$1133:$M$1133</c:f>
              <c:numCache/>
            </c:numRef>
          </c:val>
        </c:ser>
        <c:ser>
          <c:idx val="1132"/>
          <c:order val="1132"/>
          <c:tx>
            <c:strRef>
              <c:f>'estatística'!$B$1134</c:f>
            </c:strRef>
          </c:tx>
          <c:cat>
            <c:strRef>
              <c:f>'estatística'!$C$1:$M$1</c:f>
            </c:strRef>
          </c:cat>
          <c:val>
            <c:numRef>
              <c:f>'estatística'!$C$1134:$M$1134</c:f>
              <c:numCache/>
            </c:numRef>
          </c:val>
        </c:ser>
        <c:ser>
          <c:idx val="1133"/>
          <c:order val="1133"/>
          <c:tx>
            <c:strRef>
              <c:f>'estatística'!$B$1135</c:f>
            </c:strRef>
          </c:tx>
          <c:cat>
            <c:strRef>
              <c:f>'estatística'!$C$1:$M$1</c:f>
            </c:strRef>
          </c:cat>
          <c:val>
            <c:numRef>
              <c:f>'estatística'!$C$1135:$M$1135</c:f>
              <c:numCache/>
            </c:numRef>
          </c:val>
        </c:ser>
        <c:ser>
          <c:idx val="1134"/>
          <c:order val="1134"/>
          <c:tx>
            <c:strRef>
              <c:f>'estatística'!$B$1136</c:f>
            </c:strRef>
          </c:tx>
          <c:cat>
            <c:strRef>
              <c:f>'estatística'!$C$1:$M$1</c:f>
            </c:strRef>
          </c:cat>
          <c:val>
            <c:numRef>
              <c:f>'estatística'!$C$1136:$M$1136</c:f>
              <c:numCache/>
            </c:numRef>
          </c:val>
        </c:ser>
        <c:ser>
          <c:idx val="1135"/>
          <c:order val="1135"/>
          <c:tx>
            <c:strRef>
              <c:f>'estatística'!$B$1137</c:f>
            </c:strRef>
          </c:tx>
          <c:cat>
            <c:strRef>
              <c:f>'estatística'!$C$1:$M$1</c:f>
            </c:strRef>
          </c:cat>
          <c:val>
            <c:numRef>
              <c:f>'estatística'!$C$1137:$M$1137</c:f>
              <c:numCache/>
            </c:numRef>
          </c:val>
        </c:ser>
        <c:ser>
          <c:idx val="1136"/>
          <c:order val="1136"/>
          <c:tx>
            <c:strRef>
              <c:f>'estatística'!$B$1138</c:f>
            </c:strRef>
          </c:tx>
          <c:cat>
            <c:strRef>
              <c:f>'estatística'!$C$1:$M$1</c:f>
            </c:strRef>
          </c:cat>
          <c:val>
            <c:numRef>
              <c:f>'estatística'!$C$1138:$M$1138</c:f>
              <c:numCache/>
            </c:numRef>
          </c:val>
        </c:ser>
        <c:ser>
          <c:idx val="1137"/>
          <c:order val="1137"/>
          <c:tx>
            <c:strRef>
              <c:f>'estatística'!$B$1139</c:f>
            </c:strRef>
          </c:tx>
          <c:cat>
            <c:strRef>
              <c:f>'estatística'!$C$1:$M$1</c:f>
            </c:strRef>
          </c:cat>
          <c:val>
            <c:numRef>
              <c:f>'estatística'!$C$1139:$M$1139</c:f>
              <c:numCache/>
            </c:numRef>
          </c:val>
        </c:ser>
        <c:ser>
          <c:idx val="1138"/>
          <c:order val="1138"/>
          <c:tx>
            <c:strRef>
              <c:f>'estatística'!$B$1140</c:f>
            </c:strRef>
          </c:tx>
          <c:cat>
            <c:strRef>
              <c:f>'estatística'!$C$1:$M$1</c:f>
            </c:strRef>
          </c:cat>
          <c:val>
            <c:numRef>
              <c:f>'estatística'!$C$1140:$M$1140</c:f>
              <c:numCache/>
            </c:numRef>
          </c:val>
        </c:ser>
        <c:ser>
          <c:idx val="1139"/>
          <c:order val="1139"/>
          <c:tx>
            <c:strRef>
              <c:f>'estatística'!$B$1141</c:f>
            </c:strRef>
          </c:tx>
          <c:cat>
            <c:strRef>
              <c:f>'estatística'!$C$1:$M$1</c:f>
            </c:strRef>
          </c:cat>
          <c:val>
            <c:numRef>
              <c:f>'estatística'!$C$1141:$M$1141</c:f>
              <c:numCache/>
            </c:numRef>
          </c:val>
        </c:ser>
        <c:ser>
          <c:idx val="1140"/>
          <c:order val="1140"/>
          <c:tx>
            <c:strRef>
              <c:f>'estatística'!$B$1142</c:f>
            </c:strRef>
          </c:tx>
          <c:cat>
            <c:strRef>
              <c:f>'estatística'!$C$1:$M$1</c:f>
            </c:strRef>
          </c:cat>
          <c:val>
            <c:numRef>
              <c:f>'estatística'!$C$1142:$M$1142</c:f>
              <c:numCache/>
            </c:numRef>
          </c:val>
        </c:ser>
        <c:ser>
          <c:idx val="1141"/>
          <c:order val="1141"/>
          <c:tx>
            <c:strRef>
              <c:f>'estatística'!$B$1143</c:f>
            </c:strRef>
          </c:tx>
          <c:cat>
            <c:strRef>
              <c:f>'estatística'!$C$1:$M$1</c:f>
            </c:strRef>
          </c:cat>
          <c:val>
            <c:numRef>
              <c:f>'estatística'!$C$1143:$M$1143</c:f>
              <c:numCache/>
            </c:numRef>
          </c:val>
        </c:ser>
        <c:ser>
          <c:idx val="1142"/>
          <c:order val="1142"/>
          <c:tx>
            <c:strRef>
              <c:f>'estatística'!$B$1144</c:f>
            </c:strRef>
          </c:tx>
          <c:cat>
            <c:strRef>
              <c:f>'estatística'!$C$1:$M$1</c:f>
            </c:strRef>
          </c:cat>
          <c:val>
            <c:numRef>
              <c:f>'estatística'!$C$1144:$M$1144</c:f>
              <c:numCache/>
            </c:numRef>
          </c:val>
        </c:ser>
        <c:ser>
          <c:idx val="1143"/>
          <c:order val="1143"/>
          <c:tx>
            <c:strRef>
              <c:f>'estatística'!$B$1145</c:f>
            </c:strRef>
          </c:tx>
          <c:cat>
            <c:strRef>
              <c:f>'estatística'!$C$1:$M$1</c:f>
            </c:strRef>
          </c:cat>
          <c:val>
            <c:numRef>
              <c:f>'estatística'!$C$1145:$M$1145</c:f>
              <c:numCache/>
            </c:numRef>
          </c:val>
        </c:ser>
        <c:ser>
          <c:idx val="1144"/>
          <c:order val="1144"/>
          <c:tx>
            <c:strRef>
              <c:f>'estatística'!$B$1146</c:f>
            </c:strRef>
          </c:tx>
          <c:cat>
            <c:strRef>
              <c:f>'estatística'!$C$1:$M$1</c:f>
            </c:strRef>
          </c:cat>
          <c:val>
            <c:numRef>
              <c:f>'estatística'!$C$1146:$M$1146</c:f>
              <c:numCache/>
            </c:numRef>
          </c:val>
        </c:ser>
        <c:ser>
          <c:idx val="1145"/>
          <c:order val="1145"/>
          <c:tx>
            <c:strRef>
              <c:f>'estatística'!$B$1147</c:f>
            </c:strRef>
          </c:tx>
          <c:cat>
            <c:strRef>
              <c:f>'estatística'!$C$1:$M$1</c:f>
            </c:strRef>
          </c:cat>
          <c:val>
            <c:numRef>
              <c:f>'estatística'!$C$1147:$M$1147</c:f>
              <c:numCache/>
            </c:numRef>
          </c:val>
        </c:ser>
        <c:ser>
          <c:idx val="1146"/>
          <c:order val="1146"/>
          <c:tx>
            <c:strRef>
              <c:f>'estatística'!$B$1148</c:f>
            </c:strRef>
          </c:tx>
          <c:cat>
            <c:strRef>
              <c:f>'estatística'!$C$1:$M$1</c:f>
            </c:strRef>
          </c:cat>
          <c:val>
            <c:numRef>
              <c:f>'estatística'!$C$1148:$M$1148</c:f>
              <c:numCache/>
            </c:numRef>
          </c:val>
        </c:ser>
        <c:ser>
          <c:idx val="1147"/>
          <c:order val="1147"/>
          <c:tx>
            <c:strRef>
              <c:f>'estatística'!$B$1149</c:f>
            </c:strRef>
          </c:tx>
          <c:cat>
            <c:strRef>
              <c:f>'estatística'!$C$1:$M$1</c:f>
            </c:strRef>
          </c:cat>
          <c:val>
            <c:numRef>
              <c:f>'estatística'!$C$1149:$M$1149</c:f>
              <c:numCache/>
            </c:numRef>
          </c:val>
        </c:ser>
        <c:ser>
          <c:idx val="1148"/>
          <c:order val="1148"/>
          <c:tx>
            <c:strRef>
              <c:f>'estatística'!$B$1150</c:f>
            </c:strRef>
          </c:tx>
          <c:cat>
            <c:strRef>
              <c:f>'estatística'!$C$1:$M$1</c:f>
            </c:strRef>
          </c:cat>
          <c:val>
            <c:numRef>
              <c:f>'estatística'!$C$1150:$M$1150</c:f>
              <c:numCache/>
            </c:numRef>
          </c:val>
        </c:ser>
        <c:ser>
          <c:idx val="1149"/>
          <c:order val="1149"/>
          <c:tx>
            <c:strRef>
              <c:f>'estatística'!$B$1151</c:f>
            </c:strRef>
          </c:tx>
          <c:cat>
            <c:strRef>
              <c:f>'estatística'!$C$1:$M$1</c:f>
            </c:strRef>
          </c:cat>
          <c:val>
            <c:numRef>
              <c:f>'estatística'!$C$1151:$M$1151</c:f>
              <c:numCache/>
            </c:numRef>
          </c:val>
        </c:ser>
        <c:ser>
          <c:idx val="1150"/>
          <c:order val="1150"/>
          <c:tx>
            <c:strRef>
              <c:f>'estatística'!$B$1152</c:f>
            </c:strRef>
          </c:tx>
          <c:cat>
            <c:strRef>
              <c:f>'estatística'!$C$1:$M$1</c:f>
            </c:strRef>
          </c:cat>
          <c:val>
            <c:numRef>
              <c:f>'estatística'!$C$1152:$M$1152</c:f>
              <c:numCache/>
            </c:numRef>
          </c:val>
        </c:ser>
        <c:ser>
          <c:idx val="1151"/>
          <c:order val="1151"/>
          <c:tx>
            <c:strRef>
              <c:f>'estatística'!$B$1153</c:f>
            </c:strRef>
          </c:tx>
          <c:cat>
            <c:strRef>
              <c:f>'estatística'!$C$1:$M$1</c:f>
            </c:strRef>
          </c:cat>
          <c:val>
            <c:numRef>
              <c:f>'estatística'!$C$1153:$M$1153</c:f>
              <c:numCache/>
            </c:numRef>
          </c:val>
        </c:ser>
        <c:ser>
          <c:idx val="1152"/>
          <c:order val="1152"/>
          <c:tx>
            <c:strRef>
              <c:f>'estatística'!$B$1154</c:f>
            </c:strRef>
          </c:tx>
          <c:cat>
            <c:strRef>
              <c:f>'estatística'!$C$1:$M$1</c:f>
            </c:strRef>
          </c:cat>
          <c:val>
            <c:numRef>
              <c:f>'estatística'!$C$1154:$M$1154</c:f>
              <c:numCache/>
            </c:numRef>
          </c:val>
        </c:ser>
        <c:ser>
          <c:idx val="1153"/>
          <c:order val="1153"/>
          <c:tx>
            <c:strRef>
              <c:f>'estatística'!$B$1155</c:f>
            </c:strRef>
          </c:tx>
          <c:cat>
            <c:strRef>
              <c:f>'estatística'!$C$1:$M$1</c:f>
            </c:strRef>
          </c:cat>
          <c:val>
            <c:numRef>
              <c:f>'estatística'!$C$1155:$M$1155</c:f>
              <c:numCache/>
            </c:numRef>
          </c:val>
        </c:ser>
        <c:ser>
          <c:idx val="1154"/>
          <c:order val="1154"/>
          <c:tx>
            <c:strRef>
              <c:f>'estatística'!$B$1156</c:f>
            </c:strRef>
          </c:tx>
          <c:cat>
            <c:strRef>
              <c:f>'estatística'!$C$1:$M$1</c:f>
            </c:strRef>
          </c:cat>
          <c:val>
            <c:numRef>
              <c:f>'estatística'!$C$1156:$M$1156</c:f>
              <c:numCache/>
            </c:numRef>
          </c:val>
        </c:ser>
        <c:ser>
          <c:idx val="1155"/>
          <c:order val="1155"/>
          <c:tx>
            <c:strRef>
              <c:f>'estatística'!$B$1157</c:f>
            </c:strRef>
          </c:tx>
          <c:cat>
            <c:strRef>
              <c:f>'estatística'!$C$1:$M$1</c:f>
            </c:strRef>
          </c:cat>
          <c:val>
            <c:numRef>
              <c:f>'estatística'!$C$1157:$M$1157</c:f>
              <c:numCache/>
            </c:numRef>
          </c:val>
        </c:ser>
        <c:ser>
          <c:idx val="1156"/>
          <c:order val="1156"/>
          <c:tx>
            <c:strRef>
              <c:f>'estatística'!$B$1158</c:f>
            </c:strRef>
          </c:tx>
          <c:cat>
            <c:strRef>
              <c:f>'estatística'!$C$1:$M$1</c:f>
            </c:strRef>
          </c:cat>
          <c:val>
            <c:numRef>
              <c:f>'estatística'!$C$1158:$M$1158</c:f>
              <c:numCache/>
            </c:numRef>
          </c:val>
        </c:ser>
        <c:ser>
          <c:idx val="1157"/>
          <c:order val="1157"/>
          <c:tx>
            <c:strRef>
              <c:f>'estatística'!$B$1159</c:f>
            </c:strRef>
          </c:tx>
          <c:cat>
            <c:strRef>
              <c:f>'estatística'!$C$1:$M$1</c:f>
            </c:strRef>
          </c:cat>
          <c:val>
            <c:numRef>
              <c:f>'estatística'!$C$1159:$M$1159</c:f>
              <c:numCache/>
            </c:numRef>
          </c:val>
        </c:ser>
        <c:ser>
          <c:idx val="1158"/>
          <c:order val="1158"/>
          <c:tx>
            <c:strRef>
              <c:f>'estatística'!$B$1160</c:f>
            </c:strRef>
          </c:tx>
          <c:cat>
            <c:strRef>
              <c:f>'estatística'!$C$1:$M$1</c:f>
            </c:strRef>
          </c:cat>
          <c:val>
            <c:numRef>
              <c:f>'estatística'!$C$1160:$M$1160</c:f>
              <c:numCache/>
            </c:numRef>
          </c:val>
        </c:ser>
        <c:ser>
          <c:idx val="1159"/>
          <c:order val="1159"/>
          <c:tx>
            <c:strRef>
              <c:f>'estatística'!$B$1161</c:f>
            </c:strRef>
          </c:tx>
          <c:cat>
            <c:strRef>
              <c:f>'estatística'!$C$1:$M$1</c:f>
            </c:strRef>
          </c:cat>
          <c:val>
            <c:numRef>
              <c:f>'estatística'!$C$1161:$M$1161</c:f>
              <c:numCache/>
            </c:numRef>
          </c:val>
        </c:ser>
        <c:ser>
          <c:idx val="1160"/>
          <c:order val="1160"/>
          <c:tx>
            <c:strRef>
              <c:f>'estatística'!$B$1162</c:f>
            </c:strRef>
          </c:tx>
          <c:cat>
            <c:strRef>
              <c:f>'estatística'!$C$1:$M$1</c:f>
            </c:strRef>
          </c:cat>
          <c:val>
            <c:numRef>
              <c:f>'estatística'!$C$1162:$M$1162</c:f>
              <c:numCache/>
            </c:numRef>
          </c:val>
        </c:ser>
        <c:ser>
          <c:idx val="1161"/>
          <c:order val="1161"/>
          <c:tx>
            <c:strRef>
              <c:f>'estatística'!$B$1163</c:f>
            </c:strRef>
          </c:tx>
          <c:cat>
            <c:strRef>
              <c:f>'estatística'!$C$1:$M$1</c:f>
            </c:strRef>
          </c:cat>
          <c:val>
            <c:numRef>
              <c:f>'estatística'!$C$1163:$M$1163</c:f>
              <c:numCache/>
            </c:numRef>
          </c:val>
        </c:ser>
        <c:ser>
          <c:idx val="1162"/>
          <c:order val="1162"/>
          <c:tx>
            <c:strRef>
              <c:f>'estatística'!$B$1164</c:f>
            </c:strRef>
          </c:tx>
          <c:cat>
            <c:strRef>
              <c:f>'estatística'!$C$1:$M$1</c:f>
            </c:strRef>
          </c:cat>
          <c:val>
            <c:numRef>
              <c:f>'estatística'!$C$1164:$M$1164</c:f>
              <c:numCache/>
            </c:numRef>
          </c:val>
        </c:ser>
        <c:ser>
          <c:idx val="1163"/>
          <c:order val="1163"/>
          <c:tx>
            <c:strRef>
              <c:f>'estatística'!$B$1165</c:f>
            </c:strRef>
          </c:tx>
          <c:cat>
            <c:strRef>
              <c:f>'estatística'!$C$1:$M$1</c:f>
            </c:strRef>
          </c:cat>
          <c:val>
            <c:numRef>
              <c:f>'estatística'!$C$1165:$M$1165</c:f>
              <c:numCache/>
            </c:numRef>
          </c:val>
        </c:ser>
        <c:ser>
          <c:idx val="1164"/>
          <c:order val="1164"/>
          <c:tx>
            <c:strRef>
              <c:f>'estatística'!$B$1166</c:f>
            </c:strRef>
          </c:tx>
          <c:cat>
            <c:strRef>
              <c:f>'estatística'!$C$1:$M$1</c:f>
            </c:strRef>
          </c:cat>
          <c:val>
            <c:numRef>
              <c:f>'estatística'!$C$1166:$M$1166</c:f>
              <c:numCache/>
            </c:numRef>
          </c:val>
        </c:ser>
        <c:ser>
          <c:idx val="1165"/>
          <c:order val="1165"/>
          <c:tx>
            <c:strRef>
              <c:f>'estatística'!$B$1167</c:f>
            </c:strRef>
          </c:tx>
          <c:cat>
            <c:strRef>
              <c:f>'estatística'!$C$1:$M$1</c:f>
            </c:strRef>
          </c:cat>
          <c:val>
            <c:numRef>
              <c:f>'estatística'!$C$1167:$M$1167</c:f>
              <c:numCache/>
            </c:numRef>
          </c:val>
        </c:ser>
        <c:ser>
          <c:idx val="1166"/>
          <c:order val="1166"/>
          <c:tx>
            <c:strRef>
              <c:f>'estatística'!$B$1168</c:f>
            </c:strRef>
          </c:tx>
          <c:cat>
            <c:strRef>
              <c:f>'estatística'!$C$1:$M$1</c:f>
            </c:strRef>
          </c:cat>
          <c:val>
            <c:numRef>
              <c:f>'estatística'!$C$1168:$M$1168</c:f>
              <c:numCache/>
            </c:numRef>
          </c:val>
        </c:ser>
        <c:ser>
          <c:idx val="1167"/>
          <c:order val="1167"/>
          <c:tx>
            <c:strRef>
              <c:f>'estatística'!$B$1169</c:f>
            </c:strRef>
          </c:tx>
          <c:cat>
            <c:strRef>
              <c:f>'estatística'!$C$1:$M$1</c:f>
            </c:strRef>
          </c:cat>
          <c:val>
            <c:numRef>
              <c:f>'estatística'!$C$1169:$M$1169</c:f>
              <c:numCache/>
            </c:numRef>
          </c:val>
        </c:ser>
        <c:ser>
          <c:idx val="1168"/>
          <c:order val="1168"/>
          <c:tx>
            <c:strRef>
              <c:f>'estatística'!$B$1170</c:f>
            </c:strRef>
          </c:tx>
          <c:cat>
            <c:strRef>
              <c:f>'estatística'!$C$1:$M$1</c:f>
            </c:strRef>
          </c:cat>
          <c:val>
            <c:numRef>
              <c:f>'estatística'!$C$1170:$M$1170</c:f>
              <c:numCache/>
            </c:numRef>
          </c:val>
        </c:ser>
        <c:ser>
          <c:idx val="1169"/>
          <c:order val="1169"/>
          <c:tx>
            <c:strRef>
              <c:f>'estatística'!$B$1171</c:f>
            </c:strRef>
          </c:tx>
          <c:cat>
            <c:strRef>
              <c:f>'estatística'!$C$1:$M$1</c:f>
            </c:strRef>
          </c:cat>
          <c:val>
            <c:numRef>
              <c:f>'estatística'!$C$1171:$M$1171</c:f>
              <c:numCache/>
            </c:numRef>
          </c:val>
        </c:ser>
        <c:ser>
          <c:idx val="1170"/>
          <c:order val="1170"/>
          <c:tx>
            <c:strRef>
              <c:f>'estatística'!$B$1172</c:f>
            </c:strRef>
          </c:tx>
          <c:cat>
            <c:strRef>
              <c:f>'estatística'!$C$1:$M$1</c:f>
            </c:strRef>
          </c:cat>
          <c:val>
            <c:numRef>
              <c:f>'estatística'!$C$1172:$M$1172</c:f>
              <c:numCache/>
            </c:numRef>
          </c:val>
        </c:ser>
        <c:ser>
          <c:idx val="1171"/>
          <c:order val="1171"/>
          <c:tx>
            <c:strRef>
              <c:f>'estatística'!$B$1173</c:f>
            </c:strRef>
          </c:tx>
          <c:cat>
            <c:strRef>
              <c:f>'estatística'!$C$1:$M$1</c:f>
            </c:strRef>
          </c:cat>
          <c:val>
            <c:numRef>
              <c:f>'estatística'!$C$1173:$M$1173</c:f>
              <c:numCache/>
            </c:numRef>
          </c:val>
        </c:ser>
        <c:ser>
          <c:idx val="1172"/>
          <c:order val="1172"/>
          <c:tx>
            <c:strRef>
              <c:f>'estatística'!$B$1174</c:f>
            </c:strRef>
          </c:tx>
          <c:cat>
            <c:strRef>
              <c:f>'estatística'!$C$1:$M$1</c:f>
            </c:strRef>
          </c:cat>
          <c:val>
            <c:numRef>
              <c:f>'estatística'!$C$1174:$M$1174</c:f>
              <c:numCache/>
            </c:numRef>
          </c:val>
        </c:ser>
        <c:ser>
          <c:idx val="1173"/>
          <c:order val="1173"/>
          <c:tx>
            <c:strRef>
              <c:f>'estatística'!$B$1175</c:f>
            </c:strRef>
          </c:tx>
          <c:cat>
            <c:strRef>
              <c:f>'estatística'!$C$1:$M$1</c:f>
            </c:strRef>
          </c:cat>
          <c:val>
            <c:numRef>
              <c:f>'estatística'!$C$1175:$M$1175</c:f>
              <c:numCache/>
            </c:numRef>
          </c:val>
        </c:ser>
        <c:ser>
          <c:idx val="1174"/>
          <c:order val="1174"/>
          <c:tx>
            <c:strRef>
              <c:f>'estatística'!$B$1176</c:f>
            </c:strRef>
          </c:tx>
          <c:cat>
            <c:strRef>
              <c:f>'estatística'!$C$1:$M$1</c:f>
            </c:strRef>
          </c:cat>
          <c:val>
            <c:numRef>
              <c:f>'estatística'!$C$1176:$M$1176</c:f>
              <c:numCache/>
            </c:numRef>
          </c:val>
        </c:ser>
        <c:ser>
          <c:idx val="1175"/>
          <c:order val="1175"/>
          <c:tx>
            <c:strRef>
              <c:f>'estatística'!$B$1177</c:f>
            </c:strRef>
          </c:tx>
          <c:cat>
            <c:strRef>
              <c:f>'estatística'!$C$1:$M$1</c:f>
            </c:strRef>
          </c:cat>
          <c:val>
            <c:numRef>
              <c:f>'estatística'!$C$1177:$M$1177</c:f>
              <c:numCache/>
            </c:numRef>
          </c:val>
        </c:ser>
        <c:ser>
          <c:idx val="1176"/>
          <c:order val="1176"/>
          <c:tx>
            <c:strRef>
              <c:f>'estatística'!$B$1178</c:f>
            </c:strRef>
          </c:tx>
          <c:cat>
            <c:strRef>
              <c:f>'estatística'!$C$1:$M$1</c:f>
            </c:strRef>
          </c:cat>
          <c:val>
            <c:numRef>
              <c:f>'estatística'!$C$1178:$M$1178</c:f>
              <c:numCache/>
            </c:numRef>
          </c:val>
        </c:ser>
        <c:ser>
          <c:idx val="1177"/>
          <c:order val="1177"/>
          <c:tx>
            <c:strRef>
              <c:f>'estatística'!$B$1179</c:f>
            </c:strRef>
          </c:tx>
          <c:cat>
            <c:strRef>
              <c:f>'estatística'!$C$1:$M$1</c:f>
            </c:strRef>
          </c:cat>
          <c:val>
            <c:numRef>
              <c:f>'estatística'!$C$1179:$M$1179</c:f>
              <c:numCache/>
            </c:numRef>
          </c:val>
        </c:ser>
        <c:ser>
          <c:idx val="1178"/>
          <c:order val="1178"/>
          <c:tx>
            <c:strRef>
              <c:f>'estatística'!$B$1180</c:f>
            </c:strRef>
          </c:tx>
          <c:cat>
            <c:strRef>
              <c:f>'estatística'!$C$1:$M$1</c:f>
            </c:strRef>
          </c:cat>
          <c:val>
            <c:numRef>
              <c:f>'estatística'!$C$1180:$M$1180</c:f>
              <c:numCache/>
            </c:numRef>
          </c:val>
        </c:ser>
        <c:ser>
          <c:idx val="1179"/>
          <c:order val="1179"/>
          <c:tx>
            <c:strRef>
              <c:f>'estatística'!$B$1181</c:f>
            </c:strRef>
          </c:tx>
          <c:cat>
            <c:strRef>
              <c:f>'estatística'!$C$1:$M$1</c:f>
            </c:strRef>
          </c:cat>
          <c:val>
            <c:numRef>
              <c:f>'estatística'!$C$1181:$M$1181</c:f>
              <c:numCache/>
            </c:numRef>
          </c:val>
        </c:ser>
        <c:ser>
          <c:idx val="1180"/>
          <c:order val="1180"/>
          <c:tx>
            <c:strRef>
              <c:f>'estatística'!$B$1182</c:f>
            </c:strRef>
          </c:tx>
          <c:cat>
            <c:strRef>
              <c:f>'estatística'!$C$1:$M$1</c:f>
            </c:strRef>
          </c:cat>
          <c:val>
            <c:numRef>
              <c:f>'estatística'!$C$1182:$M$1182</c:f>
              <c:numCache/>
            </c:numRef>
          </c:val>
        </c:ser>
        <c:ser>
          <c:idx val="1181"/>
          <c:order val="1181"/>
          <c:tx>
            <c:strRef>
              <c:f>'estatística'!$B$1183</c:f>
            </c:strRef>
          </c:tx>
          <c:cat>
            <c:strRef>
              <c:f>'estatística'!$C$1:$M$1</c:f>
            </c:strRef>
          </c:cat>
          <c:val>
            <c:numRef>
              <c:f>'estatística'!$C$1183:$M$1183</c:f>
              <c:numCache/>
            </c:numRef>
          </c:val>
        </c:ser>
        <c:ser>
          <c:idx val="1182"/>
          <c:order val="1182"/>
          <c:tx>
            <c:strRef>
              <c:f>'estatística'!$B$1184</c:f>
            </c:strRef>
          </c:tx>
          <c:cat>
            <c:strRef>
              <c:f>'estatística'!$C$1:$M$1</c:f>
            </c:strRef>
          </c:cat>
          <c:val>
            <c:numRef>
              <c:f>'estatística'!$C$1184:$M$1184</c:f>
              <c:numCache/>
            </c:numRef>
          </c:val>
        </c:ser>
        <c:ser>
          <c:idx val="1183"/>
          <c:order val="1183"/>
          <c:tx>
            <c:strRef>
              <c:f>'estatística'!$B$1185</c:f>
            </c:strRef>
          </c:tx>
          <c:cat>
            <c:strRef>
              <c:f>'estatística'!$C$1:$M$1</c:f>
            </c:strRef>
          </c:cat>
          <c:val>
            <c:numRef>
              <c:f>'estatística'!$C$1185:$M$1185</c:f>
              <c:numCache/>
            </c:numRef>
          </c:val>
        </c:ser>
        <c:ser>
          <c:idx val="1184"/>
          <c:order val="1184"/>
          <c:tx>
            <c:strRef>
              <c:f>'estatística'!$B$1186</c:f>
            </c:strRef>
          </c:tx>
          <c:cat>
            <c:strRef>
              <c:f>'estatística'!$C$1:$M$1</c:f>
            </c:strRef>
          </c:cat>
          <c:val>
            <c:numRef>
              <c:f>'estatística'!$C$1186:$M$1186</c:f>
              <c:numCache/>
            </c:numRef>
          </c:val>
        </c:ser>
        <c:ser>
          <c:idx val="1185"/>
          <c:order val="1185"/>
          <c:tx>
            <c:strRef>
              <c:f>'estatística'!$B$1187</c:f>
            </c:strRef>
          </c:tx>
          <c:cat>
            <c:strRef>
              <c:f>'estatística'!$C$1:$M$1</c:f>
            </c:strRef>
          </c:cat>
          <c:val>
            <c:numRef>
              <c:f>'estatística'!$C$1187:$M$1187</c:f>
              <c:numCache/>
            </c:numRef>
          </c:val>
        </c:ser>
        <c:ser>
          <c:idx val="1186"/>
          <c:order val="1186"/>
          <c:tx>
            <c:strRef>
              <c:f>'estatística'!$B$1188</c:f>
            </c:strRef>
          </c:tx>
          <c:cat>
            <c:strRef>
              <c:f>'estatística'!$C$1:$M$1</c:f>
            </c:strRef>
          </c:cat>
          <c:val>
            <c:numRef>
              <c:f>'estatística'!$C$1188:$M$1188</c:f>
              <c:numCache/>
            </c:numRef>
          </c:val>
        </c:ser>
        <c:ser>
          <c:idx val="1187"/>
          <c:order val="1187"/>
          <c:tx>
            <c:strRef>
              <c:f>'estatística'!$B$1189</c:f>
            </c:strRef>
          </c:tx>
          <c:cat>
            <c:strRef>
              <c:f>'estatística'!$C$1:$M$1</c:f>
            </c:strRef>
          </c:cat>
          <c:val>
            <c:numRef>
              <c:f>'estatística'!$C$1189:$M$1189</c:f>
              <c:numCache/>
            </c:numRef>
          </c:val>
        </c:ser>
        <c:ser>
          <c:idx val="1188"/>
          <c:order val="1188"/>
          <c:tx>
            <c:strRef>
              <c:f>'estatística'!$B$1190</c:f>
            </c:strRef>
          </c:tx>
          <c:cat>
            <c:strRef>
              <c:f>'estatística'!$C$1:$M$1</c:f>
            </c:strRef>
          </c:cat>
          <c:val>
            <c:numRef>
              <c:f>'estatística'!$C$1190:$M$1190</c:f>
              <c:numCache/>
            </c:numRef>
          </c:val>
        </c:ser>
        <c:ser>
          <c:idx val="1189"/>
          <c:order val="1189"/>
          <c:tx>
            <c:strRef>
              <c:f>'estatística'!$B$1191</c:f>
            </c:strRef>
          </c:tx>
          <c:cat>
            <c:strRef>
              <c:f>'estatística'!$C$1:$M$1</c:f>
            </c:strRef>
          </c:cat>
          <c:val>
            <c:numRef>
              <c:f>'estatística'!$C$1191:$M$1191</c:f>
              <c:numCache/>
            </c:numRef>
          </c:val>
        </c:ser>
        <c:ser>
          <c:idx val="1190"/>
          <c:order val="1190"/>
          <c:tx>
            <c:strRef>
              <c:f>'estatística'!$B$1192</c:f>
            </c:strRef>
          </c:tx>
          <c:cat>
            <c:strRef>
              <c:f>'estatística'!$C$1:$M$1</c:f>
            </c:strRef>
          </c:cat>
          <c:val>
            <c:numRef>
              <c:f>'estatística'!$C$1192:$M$1192</c:f>
              <c:numCache/>
            </c:numRef>
          </c:val>
        </c:ser>
        <c:ser>
          <c:idx val="1191"/>
          <c:order val="1191"/>
          <c:tx>
            <c:strRef>
              <c:f>'estatística'!$B$1193</c:f>
            </c:strRef>
          </c:tx>
          <c:cat>
            <c:strRef>
              <c:f>'estatística'!$C$1:$M$1</c:f>
            </c:strRef>
          </c:cat>
          <c:val>
            <c:numRef>
              <c:f>'estatística'!$C$1193:$M$1193</c:f>
              <c:numCache/>
            </c:numRef>
          </c:val>
        </c:ser>
        <c:ser>
          <c:idx val="1192"/>
          <c:order val="1192"/>
          <c:tx>
            <c:strRef>
              <c:f>'estatística'!$B$1194</c:f>
            </c:strRef>
          </c:tx>
          <c:cat>
            <c:strRef>
              <c:f>'estatística'!$C$1:$M$1</c:f>
            </c:strRef>
          </c:cat>
          <c:val>
            <c:numRef>
              <c:f>'estatística'!$C$1194:$M$1194</c:f>
              <c:numCache/>
            </c:numRef>
          </c:val>
        </c:ser>
        <c:ser>
          <c:idx val="1193"/>
          <c:order val="1193"/>
          <c:tx>
            <c:strRef>
              <c:f>'estatística'!$B$1195</c:f>
            </c:strRef>
          </c:tx>
          <c:cat>
            <c:strRef>
              <c:f>'estatística'!$C$1:$M$1</c:f>
            </c:strRef>
          </c:cat>
          <c:val>
            <c:numRef>
              <c:f>'estatística'!$C$1195:$M$1195</c:f>
              <c:numCache/>
            </c:numRef>
          </c:val>
        </c:ser>
        <c:ser>
          <c:idx val="1194"/>
          <c:order val="1194"/>
          <c:tx>
            <c:strRef>
              <c:f>'estatística'!$B$1196</c:f>
            </c:strRef>
          </c:tx>
          <c:cat>
            <c:strRef>
              <c:f>'estatística'!$C$1:$M$1</c:f>
            </c:strRef>
          </c:cat>
          <c:val>
            <c:numRef>
              <c:f>'estatística'!$C$1196:$M$1196</c:f>
              <c:numCache/>
            </c:numRef>
          </c:val>
        </c:ser>
        <c:ser>
          <c:idx val="1195"/>
          <c:order val="1195"/>
          <c:tx>
            <c:strRef>
              <c:f>'estatística'!$B$1197</c:f>
            </c:strRef>
          </c:tx>
          <c:cat>
            <c:strRef>
              <c:f>'estatística'!$C$1:$M$1</c:f>
            </c:strRef>
          </c:cat>
          <c:val>
            <c:numRef>
              <c:f>'estatística'!$C$1197:$M$1197</c:f>
              <c:numCache/>
            </c:numRef>
          </c:val>
        </c:ser>
        <c:ser>
          <c:idx val="1196"/>
          <c:order val="1196"/>
          <c:tx>
            <c:strRef>
              <c:f>'estatística'!$B$1198</c:f>
            </c:strRef>
          </c:tx>
          <c:cat>
            <c:strRef>
              <c:f>'estatística'!$C$1:$M$1</c:f>
            </c:strRef>
          </c:cat>
          <c:val>
            <c:numRef>
              <c:f>'estatística'!$C$1198:$M$1198</c:f>
              <c:numCache/>
            </c:numRef>
          </c:val>
        </c:ser>
        <c:ser>
          <c:idx val="1197"/>
          <c:order val="1197"/>
          <c:tx>
            <c:strRef>
              <c:f>'estatística'!$B$1199</c:f>
            </c:strRef>
          </c:tx>
          <c:cat>
            <c:strRef>
              <c:f>'estatística'!$C$1:$M$1</c:f>
            </c:strRef>
          </c:cat>
          <c:val>
            <c:numRef>
              <c:f>'estatística'!$C$1199:$M$1199</c:f>
              <c:numCache/>
            </c:numRef>
          </c:val>
        </c:ser>
        <c:ser>
          <c:idx val="1198"/>
          <c:order val="1198"/>
          <c:tx>
            <c:strRef>
              <c:f>'estatística'!$B$1200</c:f>
            </c:strRef>
          </c:tx>
          <c:cat>
            <c:strRef>
              <c:f>'estatística'!$C$1:$M$1</c:f>
            </c:strRef>
          </c:cat>
          <c:val>
            <c:numRef>
              <c:f>'estatística'!$C$1200:$M$1200</c:f>
              <c:numCache/>
            </c:numRef>
          </c:val>
        </c:ser>
        <c:ser>
          <c:idx val="1199"/>
          <c:order val="1199"/>
          <c:tx>
            <c:strRef>
              <c:f>'estatística'!$B$1201</c:f>
            </c:strRef>
          </c:tx>
          <c:cat>
            <c:strRef>
              <c:f>'estatística'!$C$1:$M$1</c:f>
            </c:strRef>
          </c:cat>
          <c:val>
            <c:numRef>
              <c:f>'estatística'!$C$1201:$M$1201</c:f>
              <c:numCache/>
            </c:numRef>
          </c:val>
        </c:ser>
        <c:ser>
          <c:idx val="1200"/>
          <c:order val="1200"/>
          <c:tx>
            <c:strRef>
              <c:f>'estatística'!$B$1202</c:f>
            </c:strRef>
          </c:tx>
          <c:cat>
            <c:strRef>
              <c:f>'estatística'!$C$1:$M$1</c:f>
            </c:strRef>
          </c:cat>
          <c:val>
            <c:numRef>
              <c:f>'estatística'!$C$1202:$M$1202</c:f>
              <c:numCache/>
            </c:numRef>
          </c:val>
        </c:ser>
        <c:ser>
          <c:idx val="1201"/>
          <c:order val="1201"/>
          <c:tx>
            <c:strRef>
              <c:f>'estatística'!$B$1203</c:f>
            </c:strRef>
          </c:tx>
          <c:cat>
            <c:strRef>
              <c:f>'estatística'!$C$1:$M$1</c:f>
            </c:strRef>
          </c:cat>
          <c:val>
            <c:numRef>
              <c:f>'estatística'!$C$1203:$M$1203</c:f>
              <c:numCache/>
            </c:numRef>
          </c:val>
        </c:ser>
        <c:ser>
          <c:idx val="1202"/>
          <c:order val="1202"/>
          <c:tx>
            <c:strRef>
              <c:f>'estatística'!$B$1204</c:f>
            </c:strRef>
          </c:tx>
          <c:cat>
            <c:strRef>
              <c:f>'estatística'!$C$1:$M$1</c:f>
            </c:strRef>
          </c:cat>
          <c:val>
            <c:numRef>
              <c:f>'estatística'!$C$1204:$M$1204</c:f>
              <c:numCache/>
            </c:numRef>
          </c:val>
        </c:ser>
        <c:ser>
          <c:idx val="1203"/>
          <c:order val="1203"/>
          <c:tx>
            <c:strRef>
              <c:f>'estatística'!$B$1205</c:f>
            </c:strRef>
          </c:tx>
          <c:cat>
            <c:strRef>
              <c:f>'estatística'!$C$1:$M$1</c:f>
            </c:strRef>
          </c:cat>
          <c:val>
            <c:numRef>
              <c:f>'estatística'!$C$1205:$M$1205</c:f>
              <c:numCache/>
            </c:numRef>
          </c:val>
        </c:ser>
        <c:ser>
          <c:idx val="1204"/>
          <c:order val="1204"/>
          <c:tx>
            <c:strRef>
              <c:f>'estatística'!$B$1206</c:f>
            </c:strRef>
          </c:tx>
          <c:cat>
            <c:strRef>
              <c:f>'estatística'!$C$1:$M$1</c:f>
            </c:strRef>
          </c:cat>
          <c:val>
            <c:numRef>
              <c:f>'estatística'!$C$1206:$M$1206</c:f>
              <c:numCache/>
            </c:numRef>
          </c:val>
        </c:ser>
        <c:ser>
          <c:idx val="1205"/>
          <c:order val="1205"/>
          <c:tx>
            <c:strRef>
              <c:f>'estatística'!$B$1207</c:f>
            </c:strRef>
          </c:tx>
          <c:cat>
            <c:strRef>
              <c:f>'estatística'!$C$1:$M$1</c:f>
            </c:strRef>
          </c:cat>
          <c:val>
            <c:numRef>
              <c:f>'estatística'!$C$1207:$M$1207</c:f>
              <c:numCache/>
            </c:numRef>
          </c:val>
        </c:ser>
        <c:ser>
          <c:idx val="1206"/>
          <c:order val="1206"/>
          <c:tx>
            <c:strRef>
              <c:f>'estatística'!$B$1208</c:f>
            </c:strRef>
          </c:tx>
          <c:cat>
            <c:strRef>
              <c:f>'estatística'!$C$1:$M$1</c:f>
            </c:strRef>
          </c:cat>
          <c:val>
            <c:numRef>
              <c:f>'estatística'!$C$1208:$M$1208</c:f>
              <c:numCache/>
            </c:numRef>
          </c:val>
        </c:ser>
        <c:ser>
          <c:idx val="1207"/>
          <c:order val="1207"/>
          <c:tx>
            <c:strRef>
              <c:f>'estatística'!$B$1209</c:f>
            </c:strRef>
          </c:tx>
          <c:cat>
            <c:strRef>
              <c:f>'estatística'!$C$1:$M$1</c:f>
            </c:strRef>
          </c:cat>
          <c:val>
            <c:numRef>
              <c:f>'estatística'!$C$1209:$M$1209</c:f>
              <c:numCache/>
            </c:numRef>
          </c:val>
        </c:ser>
        <c:ser>
          <c:idx val="1208"/>
          <c:order val="1208"/>
          <c:tx>
            <c:strRef>
              <c:f>'estatística'!$B$1210</c:f>
            </c:strRef>
          </c:tx>
          <c:cat>
            <c:strRef>
              <c:f>'estatística'!$C$1:$M$1</c:f>
            </c:strRef>
          </c:cat>
          <c:val>
            <c:numRef>
              <c:f>'estatística'!$C$1210:$M$1210</c:f>
              <c:numCache/>
            </c:numRef>
          </c:val>
        </c:ser>
        <c:ser>
          <c:idx val="1209"/>
          <c:order val="1209"/>
          <c:tx>
            <c:strRef>
              <c:f>'estatística'!$B$1211</c:f>
            </c:strRef>
          </c:tx>
          <c:cat>
            <c:strRef>
              <c:f>'estatística'!$C$1:$M$1</c:f>
            </c:strRef>
          </c:cat>
          <c:val>
            <c:numRef>
              <c:f>'estatística'!$C$1211:$M$1211</c:f>
              <c:numCache/>
            </c:numRef>
          </c:val>
        </c:ser>
        <c:ser>
          <c:idx val="1210"/>
          <c:order val="1210"/>
          <c:tx>
            <c:strRef>
              <c:f>'estatística'!$B$1212</c:f>
            </c:strRef>
          </c:tx>
          <c:cat>
            <c:strRef>
              <c:f>'estatística'!$C$1:$M$1</c:f>
            </c:strRef>
          </c:cat>
          <c:val>
            <c:numRef>
              <c:f>'estatística'!$C$1212:$M$1212</c:f>
              <c:numCache/>
            </c:numRef>
          </c:val>
        </c:ser>
        <c:ser>
          <c:idx val="1211"/>
          <c:order val="1211"/>
          <c:tx>
            <c:strRef>
              <c:f>'estatística'!$B$1213</c:f>
            </c:strRef>
          </c:tx>
          <c:cat>
            <c:strRef>
              <c:f>'estatística'!$C$1:$M$1</c:f>
            </c:strRef>
          </c:cat>
          <c:val>
            <c:numRef>
              <c:f>'estatística'!$C$1213:$M$1213</c:f>
              <c:numCache/>
            </c:numRef>
          </c:val>
        </c:ser>
        <c:ser>
          <c:idx val="1212"/>
          <c:order val="1212"/>
          <c:tx>
            <c:strRef>
              <c:f>'estatística'!$B$1214</c:f>
            </c:strRef>
          </c:tx>
          <c:cat>
            <c:strRef>
              <c:f>'estatística'!$C$1:$M$1</c:f>
            </c:strRef>
          </c:cat>
          <c:val>
            <c:numRef>
              <c:f>'estatística'!$C$1214:$M$1214</c:f>
              <c:numCache/>
            </c:numRef>
          </c:val>
        </c:ser>
        <c:ser>
          <c:idx val="1213"/>
          <c:order val="1213"/>
          <c:tx>
            <c:strRef>
              <c:f>'estatística'!$B$1215</c:f>
            </c:strRef>
          </c:tx>
          <c:cat>
            <c:strRef>
              <c:f>'estatística'!$C$1:$M$1</c:f>
            </c:strRef>
          </c:cat>
          <c:val>
            <c:numRef>
              <c:f>'estatística'!$C$1215:$M$1215</c:f>
              <c:numCache/>
            </c:numRef>
          </c:val>
        </c:ser>
        <c:ser>
          <c:idx val="1214"/>
          <c:order val="1214"/>
          <c:tx>
            <c:strRef>
              <c:f>'estatística'!$B$1216</c:f>
            </c:strRef>
          </c:tx>
          <c:cat>
            <c:strRef>
              <c:f>'estatística'!$C$1:$M$1</c:f>
            </c:strRef>
          </c:cat>
          <c:val>
            <c:numRef>
              <c:f>'estatística'!$C$1216:$M$1216</c:f>
              <c:numCache/>
            </c:numRef>
          </c:val>
        </c:ser>
        <c:ser>
          <c:idx val="1215"/>
          <c:order val="1215"/>
          <c:tx>
            <c:strRef>
              <c:f>'estatística'!$B$1217</c:f>
            </c:strRef>
          </c:tx>
          <c:cat>
            <c:strRef>
              <c:f>'estatística'!$C$1:$M$1</c:f>
            </c:strRef>
          </c:cat>
          <c:val>
            <c:numRef>
              <c:f>'estatística'!$C$1217:$M$1217</c:f>
              <c:numCache/>
            </c:numRef>
          </c:val>
        </c:ser>
        <c:ser>
          <c:idx val="1216"/>
          <c:order val="1216"/>
          <c:tx>
            <c:strRef>
              <c:f>'estatística'!$B$1218</c:f>
            </c:strRef>
          </c:tx>
          <c:cat>
            <c:strRef>
              <c:f>'estatística'!$C$1:$M$1</c:f>
            </c:strRef>
          </c:cat>
          <c:val>
            <c:numRef>
              <c:f>'estatística'!$C$1218:$M$1218</c:f>
              <c:numCache/>
            </c:numRef>
          </c:val>
        </c:ser>
        <c:ser>
          <c:idx val="1217"/>
          <c:order val="1217"/>
          <c:tx>
            <c:strRef>
              <c:f>'estatística'!$B$1219</c:f>
            </c:strRef>
          </c:tx>
          <c:cat>
            <c:strRef>
              <c:f>'estatística'!$C$1:$M$1</c:f>
            </c:strRef>
          </c:cat>
          <c:val>
            <c:numRef>
              <c:f>'estatística'!$C$1219:$M$1219</c:f>
              <c:numCache/>
            </c:numRef>
          </c:val>
        </c:ser>
        <c:ser>
          <c:idx val="1218"/>
          <c:order val="1218"/>
          <c:tx>
            <c:strRef>
              <c:f>'estatística'!$B$1220</c:f>
            </c:strRef>
          </c:tx>
          <c:cat>
            <c:strRef>
              <c:f>'estatística'!$C$1:$M$1</c:f>
            </c:strRef>
          </c:cat>
          <c:val>
            <c:numRef>
              <c:f>'estatística'!$C$1220:$M$1220</c:f>
              <c:numCache/>
            </c:numRef>
          </c:val>
        </c:ser>
        <c:ser>
          <c:idx val="1219"/>
          <c:order val="1219"/>
          <c:tx>
            <c:strRef>
              <c:f>'estatística'!$B$1221</c:f>
            </c:strRef>
          </c:tx>
          <c:cat>
            <c:strRef>
              <c:f>'estatística'!$C$1:$M$1</c:f>
            </c:strRef>
          </c:cat>
          <c:val>
            <c:numRef>
              <c:f>'estatística'!$C$1221:$M$1221</c:f>
              <c:numCache/>
            </c:numRef>
          </c:val>
        </c:ser>
        <c:ser>
          <c:idx val="1220"/>
          <c:order val="1220"/>
          <c:tx>
            <c:strRef>
              <c:f>'estatística'!$B$1222</c:f>
            </c:strRef>
          </c:tx>
          <c:cat>
            <c:strRef>
              <c:f>'estatística'!$C$1:$M$1</c:f>
            </c:strRef>
          </c:cat>
          <c:val>
            <c:numRef>
              <c:f>'estatística'!$C$1222:$M$1222</c:f>
              <c:numCache/>
            </c:numRef>
          </c:val>
        </c:ser>
        <c:ser>
          <c:idx val="1221"/>
          <c:order val="1221"/>
          <c:tx>
            <c:strRef>
              <c:f>'estatística'!$B$1223</c:f>
            </c:strRef>
          </c:tx>
          <c:cat>
            <c:strRef>
              <c:f>'estatística'!$C$1:$M$1</c:f>
            </c:strRef>
          </c:cat>
          <c:val>
            <c:numRef>
              <c:f>'estatística'!$C$1223:$M$1223</c:f>
              <c:numCache/>
            </c:numRef>
          </c:val>
        </c:ser>
        <c:ser>
          <c:idx val="1222"/>
          <c:order val="1222"/>
          <c:tx>
            <c:strRef>
              <c:f>'estatística'!$B$1224</c:f>
            </c:strRef>
          </c:tx>
          <c:cat>
            <c:strRef>
              <c:f>'estatística'!$C$1:$M$1</c:f>
            </c:strRef>
          </c:cat>
          <c:val>
            <c:numRef>
              <c:f>'estatística'!$C$1224:$M$1224</c:f>
              <c:numCache/>
            </c:numRef>
          </c:val>
        </c:ser>
        <c:ser>
          <c:idx val="1223"/>
          <c:order val="1223"/>
          <c:tx>
            <c:strRef>
              <c:f>'estatística'!$B$1225</c:f>
            </c:strRef>
          </c:tx>
          <c:cat>
            <c:strRef>
              <c:f>'estatística'!$C$1:$M$1</c:f>
            </c:strRef>
          </c:cat>
          <c:val>
            <c:numRef>
              <c:f>'estatística'!$C$1225:$M$1225</c:f>
              <c:numCache/>
            </c:numRef>
          </c:val>
        </c:ser>
        <c:ser>
          <c:idx val="1224"/>
          <c:order val="1224"/>
          <c:tx>
            <c:strRef>
              <c:f>'estatística'!$B$1226</c:f>
            </c:strRef>
          </c:tx>
          <c:cat>
            <c:strRef>
              <c:f>'estatística'!$C$1:$M$1</c:f>
            </c:strRef>
          </c:cat>
          <c:val>
            <c:numRef>
              <c:f>'estatística'!$C$1226:$M$1226</c:f>
              <c:numCache/>
            </c:numRef>
          </c:val>
        </c:ser>
        <c:ser>
          <c:idx val="1225"/>
          <c:order val="1225"/>
          <c:tx>
            <c:strRef>
              <c:f>'estatística'!$B$1227</c:f>
            </c:strRef>
          </c:tx>
          <c:cat>
            <c:strRef>
              <c:f>'estatística'!$C$1:$M$1</c:f>
            </c:strRef>
          </c:cat>
          <c:val>
            <c:numRef>
              <c:f>'estatística'!$C$1227:$M$1227</c:f>
              <c:numCache/>
            </c:numRef>
          </c:val>
        </c:ser>
        <c:ser>
          <c:idx val="1226"/>
          <c:order val="1226"/>
          <c:tx>
            <c:strRef>
              <c:f>'estatística'!$B$1228</c:f>
            </c:strRef>
          </c:tx>
          <c:cat>
            <c:strRef>
              <c:f>'estatística'!$C$1:$M$1</c:f>
            </c:strRef>
          </c:cat>
          <c:val>
            <c:numRef>
              <c:f>'estatística'!$C$1228:$M$1228</c:f>
              <c:numCache/>
            </c:numRef>
          </c:val>
        </c:ser>
        <c:ser>
          <c:idx val="1227"/>
          <c:order val="1227"/>
          <c:tx>
            <c:strRef>
              <c:f>'estatística'!$B$1229</c:f>
            </c:strRef>
          </c:tx>
          <c:cat>
            <c:strRef>
              <c:f>'estatística'!$C$1:$M$1</c:f>
            </c:strRef>
          </c:cat>
          <c:val>
            <c:numRef>
              <c:f>'estatística'!$C$1229:$M$1229</c:f>
              <c:numCache/>
            </c:numRef>
          </c:val>
        </c:ser>
        <c:ser>
          <c:idx val="1228"/>
          <c:order val="1228"/>
          <c:tx>
            <c:strRef>
              <c:f>'estatística'!$B$1230</c:f>
            </c:strRef>
          </c:tx>
          <c:cat>
            <c:strRef>
              <c:f>'estatística'!$C$1:$M$1</c:f>
            </c:strRef>
          </c:cat>
          <c:val>
            <c:numRef>
              <c:f>'estatística'!$C$1230:$M$1230</c:f>
              <c:numCache/>
            </c:numRef>
          </c:val>
        </c:ser>
        <c:ser>
          <c:idx val="1229"/>
          <c:order val="1229"/>
          <c:tx>
            <c:strRef>
              <c:f>'estatística'!$B$1231</c:f>
            </c:strRef>
          </c:tx>
          <c:cat>
            <c:strRef>
              <c:f>'estatística'!$C$1:$M$1</c:f>
            </c:strRef>
          </c:cat>
          <c:val>
            <c:numRef>
              <c:f>'estatística'!$C$1231:$M$1231</c:f>
              <c:numCache/>
            </c:numRef>
          </c:val>
        </c:ser>
        <c:ser>
          <c:idx val="1230"/>
          <c:order val="1230"/>
          <c:tx>
            <c:strRef>
              <c:f>'estatística'!$B$1232</c:f>
            </c:strRef>
          </c:tx>
          <c:cat>
            <c:strRef>
              <c:f>'estatística'!$C$1:$M$1</c:f>
            </c:strRef>
          </c:cat>
          <c:val>
            <c:numRef>
              <c:f>'estatística'!$C$1232:$M$1232</c:f>
              <c:numCache/>
            </c:numRef>
          </c:val>
        </c:ser>
        <c:ser>
          <c:idx val="1231"/>
          <c:order val="1231"/>
          <c:tx>
            <c:strRef>
              <c:f>'estatística'!$B$1233</c:f>
            </c:strRef>
          </c:tx>
          <c:cat>
            <c:strRef>
              <c:f>'estatística'!$C$1:$M$1</c:f>
            </c:strRef>
          </c:cat>
          <c:val>
            <c:numRef>
              <c:f>'estatística'!$C$1233:$M$1233</c:f>
              <c:numCache/>
            </c:numRef>
          </c:val>
        </c:ser>
        <c:ser>
          <c:idx val="1232"/>
          <c:order val="1232"/>
          <c:tx>
            <c:strRef>
              <c:f>'estatística'!$B$1234</c:f>
            </c:strRef>
          </c:tx>
          <c:cat>
            <c:strRef>
              <c:f>'estatística'!$C$1:$M$1</c:f>
            </c:strRef>
          </c:cat>
          <c:val>
            <c:numRef>
              <c:f>'estatística'!$C$1234:$M$1234</c:f>
              <c:numCache/>
            </c:numRef>
          </c:val>
        </c:ser>
        <c:ser>
          <c:idx val="1233"/>
          <c:order val="1233"/>
          <c:tx>
            <c:strRef>
              <c:f>'estatística'!$B$1235</c:f>
            </c:strRef>
          </c:tx>
          <c:cat>
            <c:strRef>
              <c:f>'estatística'!$C$1:$M$1</c:f>
            </c:strRef>
          </c:cat>
          <c:val>
            <c:numRef>
              <c:f>'estatística'!$C$1235:$M$1235</c:f>
              <c:numCache/>
            </c:numRef>
          </c:val>
        </c:ser>
        <c:ser>
          <c:idx val="1234"/>
          <c:order val="1234"/>
          <c:tx>
            <c:strRef>
              <c:f>'estatística'!$B$1236</c:f>
            </c:strRef>
          </c:tx>
          <c:cat>
            <c:strRef>
              <c:f>'estatística'!$C$1:$M$1</c:f>
            </c:strRef>
          </c:cat>
          <c:val>
            <c:numRef>
              <c:f>'estatística'!$C$1236:$M$1236</c:f>
              <c:numCache/>
            </c:numRef>
          </c:val>
        </c:ser>
        <c:ser>
          <c:idx val="1235"/>
          <c:order val="1235"/>
          <c:tx>
            <c:strRef>
              <c:f>'estatística'!$B$1237</c:f>
            </c:strRef>
          </c:tx>
          <c:cat>
            <c:strRef>
              <c:f>'estatística'!$C$1:$M$1</c:f>
            </c:strRef>
          </c:cat>
          <c:val>
            <c:numRef>
              <c:f>'estatística'!$C$1237:$M$1237</c:f>
              <c:numCache/>
            </c:numRef>
          </c:val>
        </c:ser>
        <c:ser>
          <c:idx val="1236"/>
          <c:order val="1236"/>
          <c:tx>
            <c:strRef>
              <c:f>'estatística'!$B$1238</c:f>
            </c:strRef>
          </c:tx>
          <c:cat>
            <c:strRef>
              <c:f>'estatística'!$C$1:$M$1</c:f>
            </c:strRef>
          </c:cat>
          <c:val>
            <c:numRef>
              <c:f>'estatística'!$C$1238:$M$1238</c:f>
              <c:numCache/>
            </c:numRef>
          </c:val>
        </c:ser>
        <c:ser>
          <c:idx val="1237"/>
          <c:order val="1237"/>
          <c:tx>
            <c:strRef>
              <c:f>'estatística'!$B$1239</c:f>
            </c:strRef>
          </c:tx>
          <c:cat>
            <c:strRef>
              <c:f>'estatística'!$C$1:$M$1</c:f>
            </c:strRef>
          </c:cat>
          <c:val>
            <c:numRef>
              <c:f>'estatística'!$C$1239:$M$1239</c:f>
              <c:numCache/>
            </c:numRef>
          </c:val>
        </c:ser>
        <c:ser>
          <c:idx val="1238"/>
          <c:order val="1238"/>
          <c:tx>
            <c:strRef>
              <c:f>'estatística'!$B$1240</c:f>
            </c:strRef>
          </c:tx>
          <c:cat>
            <c:strRef>
              <c:f>'estatística'!$C$1:$M$1</c:f>
            </c:strRef>
          </c:cat>
          <c:val>
            <c:numRef>
              <c:f>'estatística'!$C$1240:$M$1240</c:f>
              <c:numCache/>
            </c:numRef>
          </c:val>
        </c:ser>
        <c:ser>
          <c:idx val="1239"/>
          <c:order val="1239"/>
          <c:tx>
            <c:strRef>
              <c:f>'estatística'!$B$1241</c:f>
            </c:strRef>
          </c:tx>
          <c:cat>
            <c:strRef>
              <c:f>'estatística'!$C$1:$M$1</c:f>
            </c:strRef>
          </c:cat>
          <c:val>
            <c:numRef>
              <c:f>'estatística'!$C$1241:$M$1241</c:f>
              <c:numCache/>
            </c:numRef>
          </c:val>
        </c:ser>
        <c:ser>
          <c:idx val="1240"/>
          <c:order val="1240"/>
          <c:tx>
            <c:strRef>
              <c:f>'estatística'!$B$1242</c:f>
            </c:strRef>
          </c:tx>
          <c:cat>
            <c:strRef>
              <c:f>'estatística'!$C$1:$M$1</c:f>
            </c:strRef>
          </c:cat>
          <c:val>
            <c:numRef>
              <c:f>'estatística'!$C$1242:$M$1242</c:f>
              <c:numCache/>
            </c:numRef>
          </c:val>
        </c:ser>
        <c:ser>
          <c:idx val="1241"/>
          <c:order val="1241"/>
          <c:tx>
            <c:strRef>
              <c:f>'estatística'!$B$1243</c:f>
            </c:strRef>
          </c:tx>
          <c:cat>
            <c:strRef>
              <c:f>'estatística'!$C$1:$M$1</c:f>
            </c:strRef>
          </c:cat>
          <c:val>
            <c:numRef>
              <c:f>'estatística'!$C$1243:$M$1243</c:f>
              <c:numCache/>
            </c:numRef>
          </c:val>
        </c:ser>
        <c:ser>
          <c:idx val="1242"/>
          <c:order val="1242"/>
          <c:tx>
            <c:strRef>
              <c:f>'estatística'!$B$1244</c:f>
            </c:strRef>
          </c:tx>
          <c:cat>
            <c:strRef>
              <c:f>'estatística'!$C$1:$M$1</c:f>
            </c:strRef>
          </c:cat>
          <c:val>
            <c:numRef>
              <c:f>'estatística'!$C$1244:$M$1244</c:f>
              <c:numCache/>
            </c:numRef>
          </c:val>
        </c:ser>
        <c:ser>
          <c:idx val="1243"/>
          <c:order val="1243"/>
          <c:tx>
            <c:strRef>
              <c:f>'estatística'!$B$1245</c:f>
            </c:strRef>
          </c:tx>
          <c:cat>
            <c:strRef>
              <c:f>'estatística'!$C$1:$M$1</c:f>
            </c:strRef>
          </c:cat>
          <c:val>
            <c:numRef>
              <c:f>'estatística'!$C$1245:$M$1245</c:f>
              <c:numCache/>
            </c:numRef>
          </c:val>
        </c:ser>
        <c:ser>
          <c:idx val="1244"/>
          <c:order val="1244"/>
          <c:tx>
            <c:strRef>
              <c:f>'estatística'!$B$1246</c:f>
            </c:strRef>
          </c:tx>
          <c:cat>
            <c:strRef>
              <c:f>'estatística'!$C$1:$M$1</c:f>
            </c:strRef>
          </c:cat>
          <c:val>
            <c:numRef>
              <c:f>'estatística'!$C$1246:$M$1246</c:f>
              <c:numCache/>
            </c:numRef>
          </c:val>
        </c:ser>
        <c:ser>
          <c:idx val="1245"/>
          <c:order val="1245"/>
          <c:tx>
            <c:strRef>
              <c:f>'estatística'!$B$1247</c:f>
            </c:strRef>
          </c:tx>
          <c:cat>
            <c:strRef>
              <c:f>'estatística'!$C$1:$M$1</c:f>
            </c:strRef>
          </c:cat>
          <c:val>
            <c:numRef>
              <c:f>'estatística'!$C$1247:$M$1247</c:f>
              <c:numCache/>
            </c:numRef>
          </c:val>
        </c:ser>
        <c:ser>
          <c:idx val="1246"/>
          <c:order val="1246"/>
          <c:tx>
            <c:strRef>
              <c:f>'estatística'!$B$1248</c:f>
            </c:strRef>
          </c:tx>
          <c:cat>
            <c:strRef>
              <c:f>'estatística'!$C$1:$M$1</c:f>
            </c:strRef>
          </c:cat>
          <c:val>
            <c:numRef>
              <c:f>'estatística'!$C$1248:$M$1248</c:f>
              <c:numCache/>
            </c:numRef>
          </c:val>
        </c:ser>
        <c:ser>
          <c:idx val="1247"/>
          <c:order val="1247"/>
          <c:tx>
            <c:strRef>
              <c:f>'estatística'!$B$1249</c:f>
            </c:strRef>
          </c:tx>
          <c:cat>
            <c:strRef>
              <c:f>'estatística'!$C$1:$M$1</c:f>
            </c:strRef>
          </c:cat>
          <c:val>
            <c:numRef>
              <c:f>'estatística'!$C$1249:$M$1249</c:f>
              <c:numCache/>
            </c:numRef>
          </c:val>
        </c:ser>
        <c:ser>
          <c:idx val="1248"/>
          <c:order val="1248"/>
          <c:tx>
            <c:strRef>
              <c:f>'estatística'!$B$1250</c:f>
            </c:strRef>
          </c:tx>
          <c:cat>
            <c:strRef>
              <c:f>'estatística'!$C$1:$M$1</c:f>
            </c:strRef>
          </c:cat>
          <c:val>
            <c:numRef>
              <c:f>'estatística'!$C$1250:$M$1250</c:f>
              <c:numCache/>
            </c:numRef>
          </c:val>
        </c:ser>
        <c:ser>
          <c:idx val="1249"/>
          <c:order val="1249"/>
          <c:tx>
            <c:strRef>
              <c:f>'estatística'!$B$1251</c:f>
            </c:strRef>
          </c:tx>
          <c:cat>
            <c:strRef>
              <c:f>'estatística'!$C$1:$M$1</c:f>
            </c:strRef>
          </c:cat>
          <c:val>
            <c:numRef>
              <c:f>'estatística'!$C$1251:$M$1251</c:f>
              <c:numCache/>
            </c:numRef>
          </c:val>
        </c:ser>
        <c:ser>
          <c:idx val="1250"/>
          <c:order val="1250"/>
          <c:tx>
            <c:strRef>
              <c:f>'estatística'!$B$1252</c:f>
            </c:strRef>
          </c:tx>
          <c:cat>
            <c:strRef>
              <c:f>'estatística'!$C$1:$M$1</c:f>
            </c:strRef>
          </c:cat>
          <c:val>
            <c:numRef>
              <c:f>'estatística'!$C$1252:$M$1252</c:f>
              <c:numCache/>
            </c:numRef>
          </c:val>
        </c:ser>
        <c:ser>
          <c:idx val="1251"/>
          <c:order val="1251"/>
          <c:tx>
            <c:strRef>
              <c:f>'estatística'!$B$1253</c:f>
            </c:strRef>
          </c:tx>
          <c:cat>
            <c:strRef>
              <c:f>'estatística'!$C$1:$M$1</c:f>
            </c:strRef>
          </c:cat>
          <c:val>
            <c:numRef>
              <c:f>'estatística'!$C$1253:$M$1253</c:f>
              <c:numCache/>
            </c:numRef>
          </c:val>
        </c:ser>
        <c:ser>
          <c:idx val="1252"/>
          <c:order val="1252"/>
          <c:tx>
            <c:strRef>
              <c:f>'estatística'!$B$1254</c:f>
            </c:strRef>
          </c:tx>
          <c:cat>
            <c:strRef>
              <c:f>'estatística'!$C$1:$M$1</c:f>
            </c:strRef>
          </c:cat>
          <c:val>
            <c:numRef>
              <c:f>'estatística'!$C$1254:$M$1254</c:f>
              <c:numCache/>
            </c:numRef>
          </c:val>
        </c:ser>
        <c:ser>
          <c:idx val="1253"/>
          <c:order val="1253"/>
          <c:tx>
            <c:strRef>
              <c:f>'estatística'!$B$1255</c:f>
            </c:strRef>
          </c:tx>
          <c:cat>
            <c:strRef>
              <c:f>'estatística'!$C$1:$M$1</c:f>
            </c:strRef>
          </c:cat>
          <c:val>
            <c:numRef>
              <c:f>'estatística'!$C$1255:$M$1255</c:f>
              <c:numCache/>
            </c:numRef>
          </c:val>
        </c:ser>
        <c:ser>
          <c:idx val="1254"/>
          <c:order val="1254"/>
          <c:tx>
            <c:strRef>
              <c:f>'estatística'!$B$1256</c:f>
            </c:strRef>
          </c:tx>
          <c:cat>
            <c:strRef>
              <c:f>'estatística'!$C$1:$M$1</c:f>
            </c:strRef>
          </c:cat>
          <c:val>
            <c:numRef>
              <c:f>'estatística'!$C$1256:$M$1256</c:f>
              <c:numCache/>
            </c:numRef>
          </c:val>
        </c:ser>
        <c:ser>
          <c:idx val="1255"/>
          <c:order val="1255"/>
          <c:tx>
            <c:strRef>
              <c:f>'estatística'!$B$1257</c:f>
            </c:strRef>
          </c:tx>
          <c:cat>
            <c:strRef>
              <c:f>'estatística'!$C$1:$M$1</c:f>
            </c:strRef>
          </c:cat>
          <c:val>
            <c:numRef>
              <c:f>'estatística'!$C$1257:$M$1257</c:f>
              <c:numCache/>
            </c:numRef>
          </c:val>
        </c:ser>
        <c:ser>
          <c:idx val="1256"/>
          <c:order val="1256"/>
          <c:tx>
            <c:strRef>
              <c:f>'estatística'!$B$1258</c:f>
            </c:strRef>
          </c:tx>
          <c:cat>
            <c:strRef>
              <c:f>'estatística'!$C$1:$M$1</c:f>
            </c:strRef>
          </c:cat>
          <c:val>
            <c:numRef>
              <c:f>'estatística'!$C$1258:$M$1258</c:f>
              <c:numCache/>
            </c:numRef>
          </c:val>
        </c:ser>
        <c:ser>
          <c:idx val="1257"/>
          <c:order val="1257"/>
          <c:tx>
            <c:strRef>
              <c:f>'estatística'!$B$1259</c:f>
            </c:strRef>
          </c:tx>
          <c:cat>
            <c:strRef>
              <c:f>'estatística'!$C$1:$M$1</c:f>
            </c:strRef>
          </c:cat>
          <c:val>
            <c:numRef>
              <c:f>'estatística'!$C$1259:$M$1259</c:f>
              <c:numCache/>
            </c:numRef>
          </c:val>
        </c:ser>
        <c:ser>
          <c:idx val="1258"/>
          <c:order val="1258"/>
          <c:tx>
            <c:strRef>
              <c:f>'estatística'!$B$1260</c:f>
            </c:strRef>
          </c:tx>
          <c:cat>
            <c:strRef>
              <c:f>'estatística'!$C$1:$M$1</c:f>
            </c:strRef>
          </c:cat>
          <c:val>
            <c:numRef>
              <c:f>'estatística'!$C$1260:$M$1260</c:f>
              <c:numCache/>
            </c:numRef>
          </c:val>
        </c:ser>
        <c:ser>
          <c:idx val="1259"/>
          <c:order val="1259"/>
          <c:tx>
            <c:strRef>
              <c:f>'estatística'!$B$1261</c:f>
            </c:strRef>
          </c:tx>
          <c:cat>
            <c:strRef>
              <c:f>'estatística'!$C$1:$M$1</c:f>
            </c:strRef>
          </c:cat>
          <c:val>
            <c:numRef>
              <c:f>'estatística'!$C$1261:$M$1261</c:f>
              <c:numCache/>
            </c:numRef>
          </c:val>
        </c:ser>
        <c:ser>
          <c:idx val="1260"/>
          <c:order val="1260"/>
          <c:tx>
            <c:strRef>
              <c:f>'estatística'!$B$1262</c:f>
            </c:strRef>
          </c:tx>
          <c:cat>
            <c:strRef>
              <c:f>'estatística'!$C$1:$M$1</c:f>
            </c:strRef>
          </c:cat>
          <c:val>
            <c:numRef>
              <c:f>'estatística'!$C$1262:$M$1262</c:f>
              <c:numCache/>
            </c:numRef>
          </c:val>
        </c:ser>
        <c:ser>
          <c:idx val="1261"/>
          <c:order val="1261"/>
          <c:tx>
            <c:strRef>
              <c:f>'estatística'!$B$1263</c:f>
            </c:strRef>
          </c:tx>
          <c:cat>
            <c:strRef>
              <c:f>'estatística'!$C$1:$M$1</c:f>
            </c:strRef>
          </c:cat>
          <c:val>
            <c:numRef>
              <c:f>'estatística'!$C$1263:$M$1263</c:f>
              <c:numCache/>
            </c:numRef>
          </c:val>
        </c:ser>
        <c:ser>
          <c:idx val="1262"/>
          <c:order val="1262"/>
          <c:tx>
            <c:strRef>
              <c:f>'estatística'!$B$1264</c:f>
            </c:strRef>
          </c:tx>
          <c:cat>
            <c:strRef>
              <c:f>'estatística'!$C$1:$M$1</c:f>
            </c:strRef>
          </c:cat>
          <c:val>
            <c:numRef>
              <c:f>'estatística'!$C$1264:$M$1264</c:f>
              <c:numCache/>
            </c:numRef>
          </c:val>
        </c:ser>
        <c:ser>
          <c:idx val="1263"/>
          <c:order val="1263"/>
          <c:tx>
            <c:strRef>
              <c:f>'estatística'!$B$1265</c:f>
            </c:strRef>
          </c:tx>
          <c:cat>
            <c:strRef>
              <c:f>'estatística'!$C$1:$M$1</c:f>
            </c:strRef>
          </c:cat>
          <c:val>
            <c:numRef>
              <c:f>'estatística'!$C$1265:$M$1265</c:f>
              <c:numCache/>
            </c:numRef>
          </c:val>
        </c:ser>
        <c:ser>
          <c:idx val="1264"/>
          <c:order val="1264"/>
          <c:tx>
            <c:strRef>
              <c:f>'estatística'!$B$1266</c:f>
            </c:strRef>
          </c:tx>
          <c:cat>
            <c:strRef>
              <c:f>'estatística'!$C$1:$M$1</c:f>
            </c:strRef>
          </c:cat>
          <c:val>
            <c:numRef>
              <c:f>'estatística'!$C$1266:$M$1266</c:f>
              <c:numCache/>
            </c:numRef>
          </c:val>
        </c:ser>
        <c:ser>
          <c:idx val="1265"/>
          <c:order val="1265"/>
          <c:tx>
            <c:strRef>
              <c:f>'estatística'!$B$1267</c:f>
            </c:strRef>
          </c:tx>
          <c:cat>
            <c:strRef>
              <c:f>'estatística'!$C$1:$M$1</c:f>
            </c:strRef>
          </c:cat>
          <c:val>
            <c:numRef>
              <c:f>'estatística'!$C$1267:$M$1267</c:f>
              <c:numCache/>
            </c:numRef>
          </c:val>
        </c:ser>
        <c:ser>
          <c:idx val="1266"/>
          <c:order val="1266"/>
          <c:tx>
            <c:strRef>
              <c:f>'estatística'!$B$1268</c:f>
            </c:strRef>
          </c:tx>
          <c:cat>
            <c:strRef>
              <c:f>'estatística'!$C$1:$M$1</c:f>
            </c:strRef>
          </c:cat>
          <c:val>
            <c:numRef>
              <c:f>'estatística'!$C$1268:$M$1268</c:f>
              <c:numCache/>
            </c:numRef>
          </c:val>
        </c:ser>
        <c:ser>
          <c:idx val="1267"/>
          <c:order val="1267"/>
          <c:tx>
            <c:strRef>
              <c:f>'estatística'!$B$1269</c:f>
            </c:strRef>
          </c:tx>
          <c:cat>
            <c:strRef>
              <c:f>'estatística'!$C$1:$M$1</c:f>
            </c:strRef>
          </c:cat>
          <c:val>
            <c:numRef>
              <c:f>'estatística'!$C$1269:$M$1269</c:f>
              <c:numCache/>
            </c:numRef>
          </c:val>
        </c:ser>
        <c:ser>
          <c:idx val="1268"/>
          <c:order val="1268"/>
          <c:tx>
            <c:strRef>
              <c:f>'estatística'!$B$1270</c:f>
            </c:strRef>
          </c:tx>
          <c:cat>
            <c:strRef>
              <c:f>'estatística'!$C$1:$M$1</c:f>
            </c:strRef>
          </c:cat>
          <c:val>
            <c:numRef>
              <c:f>'estatística'!$C$1270:$M$1270</c:f>
              <c:numCache/>
            </c:numRef>
          </c:val>
        </c:ser>
        <c:ser>
          <c:idx val="1269"/>
          <c:order val="1269"/>
          <c:tx>
            <c:strRef>
              <c:f>'estatística'!$B$1271</c:f>
            </c:strRef>
          </c:tx>
          <c:cat>
            <c:strRef>
              <c:f>'estatística'!$C$1:$M$1</c:f>
            </c:strRef>
          </c:cat>
          <c:val>
            <c:numRef>
              <c:f>'estatística'!$C$1271:$M$1271</c:f>
              <c:numCache/>
            </c:numRef>
          </c:val>
        </c:ser>
        <c:ser>
          <c:idx val="1270"/>
          <c:order val="1270"/>
          <c:tx>
            <c:strRef>
              <c:f>'estatística'!$B$1272</c:f>
            </c:strRef>
          </c:tx>
          <c:cat>
            <c:strRef>
              <c:f>'estatística'!$C$1:$M$1</c:f>
            </c:strRef>
          </c:cat>
          <c:val>
            <c:numRef>
              <c:f>'estatística'!$C$1272:$M$1272</c:f>
              <c:numCache/>
            </c:numRef>
          </c:val>
        </c:ser>
        <c:ser>
          <c:idx val="1271"/>
          <c:order val="1271"/>
          <c:tx>
            <c:strRef>
              <c:f>'estatística'!$B$1273</c:f>
            </c:strRef>
          </c:tx>
          <c:cat>
            <c:strRef>
              <c:f>'estatística'!$C$1:$M$1</c:f>
            </c:strRef>
          </c:cat>
          <c:val>
            <c:numRef>
              <c:f>'estatística'!$C$1273:$M$1273</c:f>
              <c:numCache/>
            </c:numRef>
          </c:val>
        </c:ser>
        <c:ser>
          <c:idx val="1272"/>
          <c:order val="1272"/>
          <c:tx>
            <c:strRef>
              <c:f>'estatística'!$B$1274</c:f>
            </c:strRef>
          </c:tx>
          <c:cat>
            <c:strRef>
              <c:f>'estatística'!$C$1:$M$1</c:f>
            </c:strRef>
          </c:cat>
          <c:val>
            <c:numRef>
              <c:f>'estatística'!$C$1274:$M$1274</c:f>
              <c:numCache/>
            </c:numRef>
          </c:val>
        </c:ser>
        <c:ser>
          <c:idx val="1273"/>
          <c:order val="1273"/>
          <c:tx>
            <c:strRef>
              <c:f>'estatística'!$B$1275</c:f>
            </c:strRef>
          </c:tx>
          <c:cat>
            <c:strRef>
              <c:f>'estatística'!$C$1:$M$1</c:f>
            </c:strRef>
          </c:cat>
          <c:val>
            <c:numRef>
              <c:f>'estatística'!$C$1275:$M$1275</c:f>
              <c:numCache/>
            </c:numRef>
          </c:val>
        </c:ser>
        <c:ser>
          <c:idx val="1274"/>
          <c:order val="1274"/>
          <c:tx>
            <c:strRef>
              <c:f>'estatística'!$B$1276</c:f>
            </c:strRef>
          </c:tx>
          <c:cat>
            <c:strRef>
              <c:f>'estatística'!$C$1:$M$1</c:f>
            </c:strRef>
          </c:cat>
          <c:val>
            <c:numRef>
              <c:f>'estatística'!$C$1276:$M$1276</c:f>
              <c:numCache/>
            </c:numRef>
          </c:val>
        </c:ser>
        <c:ser>
          <c:idx val="1275"/>
          <c:order val="1275"/>
          <c:tx>
            <c:strRef>
              <c:f>'estatística'!$B$1277</c:f>
            </c:strRef>
          </c:tx>
          <c:cat>
            <c:strRef>
              <c:f>'estatística'!$C$1:$M$1</c:f>
            </c:strRef>
          </c:cat>
          <c:val>
            <c:numRef>
              <c:f>'estatística'!$C$1277:$M$1277</c:f>
              <c:numCache/>
            </c:numRef>
          </c:val>
        </c:ser>
        <c:ser>
          <c:idx val="1276"/>
          <c:order val="1276"/>
          <c:tx>
            <c:strRef>
              <c:f>'estatística'!$B$1278</c:f>
            </c:strRef>
          </c:tx>
          <c:cat>
            <c:strRef>
              <c:f>'estatística'!$C$1:$M$1</c:f>
            </c:strRef>
          </c:cat>
          <c:val>
            <c:numRef>
              <c:f>'estatística'!$C$1278:$M$1278</c:f>
              <c:numCache/>
            </c:numRef>
          </c:val>
        </c:ser>
        <c:ser>
          <c:idx val="1277"/>
          <c:order val="1277"/>
          <c:tx>
            <c:strRef>
              <c:f>'estatística'!$B$1279</c:f>
            </c:strRef>
          </c:tx>
          <c:cat>
            <c:strRef>
              <c:f>'estatística'!$C$1:$M$1</c:f>
            </c:strRef>
          </c:cat>
          <c:val>
            <c:numRef>
              <c:f>'estatística'!$C$1279:$M$1279</c:f>
              <c:numCache/>
            </c:numRef>
          </c:val>
        </c:ser>
        <c:ser>
          <c:idx val="1278"/>
          <c:order val="1278"/>
          <c:tx>
            <c:strRef>
              <c:f>'estatística'!$B$1280</c:f>
            </c:strRef>
          </c:tx>
          <c:cat>
            <c:strRef>
              <c:f>'estatística'!$C$1:$M$1</c:f>
            </c:strRef>
          </c:cat>
          <c:val>
            <c:numRef>
              <c:f>'estatística'!$C$1280:$M$1280</c:f>
              <c:numCache/>
            </c:numRef>
          </c:val>
        </c:ser>
        <c:ser>
          <c:idx val="1279"/>
          <c:order val="1279"/>
          <c:tx>
            <c:strRef>
              <c:f>'estatística'!$B$1281</c:f>
            </c:strRef>
          </c:tx>
          <c:cat>
            <c:strRef>
              <c:f>'estatística'!$C$1:$M$1</c:f>
            </c:strRef>
          </c:cat>
          <c:val>
            <c:numRef>
              <c:f>'estatística'!$C$1281:$M$1281</c:f>
              <c:numCache/>
            </c:numRef>
          </c:val>
        </c:ser>
        <c:ser>
          <c:idx val="1280"/>
          <c:order val="1280"/>
          <c:tx>
            <c:strRef>
              <c:f>'estatística'!$B$1282</c:f>
            </c:strRef>
          </c:tx>
          <c:cat>
            <c:strRef>
              <c:f>'estatística'!$C$1:$M$1</c:f>
            </c:strRef>
          </c:cat>
          <c:val>
            <c:numRef>
              <c:f>'estatística'!$C$1282:$M$1282</c:f>
              <c:numCache/>
            </c:numRef>
          </c:val>
        </c:ser>
        <c:ser>
          <c:idx val="1281"/>
          <c:order val="1281"/>
          <c:tx>
            <c:strRef>
              <c:f>'estatística'!$B$1283</c:f>
            </c:strRef>
          </c:tx>
          <c:cat>
            <c:strRef>
              <c:f>'estatística'!$C$1:$M$1</c:f>
            </c:strRef>
          </c:cat>
          <c:val>
            <c:numRef>
              <c:f>'estatística'!$C$1283:$M$1283</c:f>
              <c:numCache/>
            </c:numRef>
          </c:val>
        </c:ser>
        <c:ser>
          <c:idx val="1282"/>
          <c:order val="1282"/>
          <c:tx>
            <c:strRef>
              <c:f>'estatística'!$B$1284</c:f>
            </c:strRef>
          </c:tx>
          <c:cat>
            <c:strRef>
              <c:f>'estatística'!$C$1:$M$1</c:f>
            </c:strRef>
          </c:cat>
          <c:val>
            <c:numRef>
              <c:f>'estatística'!$C$1284:$M$1284</c:f>
              <c:numCache/>
            </c:numRef>
          </c:val>
        </c:ser>
        <c:ser>
          <c:idx val="1283"/>
          <c:order val="1283"/>
          <c:tx>
            <c:strRef>
              <c:f>'estatística'!$B$1285</c:f>
            </c:strRef>
          </c:tx>
          <c:cat>
            <c:strRef>
              <c:f>'estatística'!$C$1:$M$1</c:f>
            </c:strRef>
          </c:cat>
          <c:val>
            <c:numRef>
              <c:f>'estatística'!$C$1285:$M$1285</c:f>
              <c:numCache/>
            </c:numRef>
          </c:val>
        </c:ser>
        <c:ser>
          <c:idx val="1284"/>
          <c:order val="1284"/>
          <c:tx>
            <c:strRef>
              <c:f>'estatística'!$B$1286</c:f>
            </c:strRef>
          </c:tx>
          <c:cat>
            <c:strRef>
              <c:f>'estatística'!$C$1:$M$1</c:f>
            </c:strRef>
          </c:cat>
          <c:val>
            <c:numRef>
              <c:f>'estatística'!$C$1286:$M$1286</c:f>
              <c:numCache/>
            </c:numRef>
          </c:val>
        </c:ser>
        <c:ser>
          <c:idx val="1285"/>
          <c:order val="1285"/>
          <c:tx>
            <c:strRef>
              <c:f>'estatística'!$B$1287</c:f>
            </c:strRef>
          </c:tx>
          <c:cat>
            <c:strRef>
              <c:f>'estatística'!$C$1:$M$1</c:f>
            </c:strRef>
          </c:cat>
          <c:val>
            <c:numRef>
              <c:f>'estatística'!$C$1287:$M$1287</c:f>
              <c:numCache/>
            </c:numRef>
          </c:val>
        </c:ser>
        <c:ser>
          <c:idx val="1286"/>
          <c:order val="1286"/>
          <c:tx>
            <c:strRef>
              <c:f>'estatística'!$B$1288</c:f>
            </c:strRef>
          </c:tx>
          <c:cat>
            <c:strRef>
              <c:f>'estatística'!$C$1:$M$1</c:f>
            </c:strRef>
          </c:cat>
          <c:val>
            <c:numRef>
              <c:f>'estatística'!$C$1288:$M$1288</c:f>
              <c:numCache/>
            </c:numRef>
          </c:val>
        </c:ser>
        <c:ser>
          <c:idx val="1287"/>
          <c:order val="1287"/>
          <c:tx>
            <c:strRef>
              <c:f>'estatística'!$B$1289</c:f>
            </c:strRef>
          </c:tx>
          <c:cat>
            <c:strRef>
              <c:f>'estatística'!$C$1:$M$1</c:f>
            </c:strRef>
          </c:cat>
          <c:val>
            <c:numRef>
              <c:f>'estatística'!$C$1289:$M$1289</c:f>
              <c:numCache/>
            </c:numRef>
          </c:val>
        </c:ser>
        <c:ser>
          <c:idx val="1288"/>
          <c:order val="1288"/>
          <c:tx>
            <c:strRef>
              <c:f>'estatística'!$B$1290</c:f>
            </c:strRef>
          </c:tx>
          <c:cat>
            <c:strRef>
              <c:f>'estatística'!$C$1:$M$1</c:f>
            </c:strRef>
          </c:cat>
          <c:val>
            <c:numRef>
              <c:f>'estatística'!$C$1290:$M$1290</c:f>
              <c:numCache/>
            </c:numRef>
          </c:val>
        </c:ser>
        <c:ser>
          <c:idx val="1289"/>
          <c:order val="1289"/>
          <c:tx>
            <c:strRef>
              <c:f>'estatística'!$B$1291</c:f>
            </c:strRef>
          </c:tx>
          <c:cat>
            <c:strRef>
              <c:f>'estatística'!$C$1:$M$1</c:f>
            </c:strRef>
          </c:cat>
          <c:val>
            <c:numRef>
              <c:f>'estatística'!$C$1291:$M$1291</c:f>
              <c:numCache/>
            </c:numRef>
          </c:val>
        </c:ser>
        <c:ser>
          <c:idx val="1290"/>
          <c:order val="1290"/>
          <c:tx>
            <c:strRef>
              <c:f>'estatística'!$B$1292</c:f>
            </c:strRef>
          </c:tx>
          <c:cat>
            <c:strRef>
              <c:f>'estatística'!$C$1:$M$1</c:f>
            </c:strRef>
          </c:cat>
          <c:val>
            <c:numRef>
              <c:f>'estatística'!$C$1292:$M$1292</c:f>
              <c:numCache/>
            </c:numRef>
          </c:val>
        </c:ser>
        <c:ser>
          <c:idx val="1291"/>
          <c:order val="1291"/>
          <c:tx>
            <c:strRef>
              <c:f>'estatística'!$B$1293</c:f>
            </c:strRef>
          </c:tx>
          <c:cat>
            <c:strRef>
              <c:f>'estatística'!$C$1:$M$1</c:f>
            </c:strRef>
          </c:cat>
          <c:val>
            <c:numRef>
              <c:f>'estatística'!$C$1293:$M$1293</c:f>
              <c:numCache/>
            </c:numRef>
          </c:val>
        </c:ser>
        <c:ser>
          <c:idx val="1292"/>
          <c:order val="1292"/>
          <c:tx>
            <c:strRef>
              <c:f>'estatística'!$B$1294</c:f>
            </c:strRef>
          </c:tx>
          <c:cat>
            <c:strRef>
              <c:f>'estatística'!$C$1:$M$1</c:f>
            </c:strRef>
          </c:cat>
          <c:val>
            <c:numRef>
              <c:f>'estatística'!$C$1294:$M$1294</c:f>
              <c:numCache/>
            </c:numRef>
          </c:val>
        </c:ser>
        <c:ser>
          <c:idx val="1293"/>
          <c:order val="1293"/>
          <c:tx>
            <c:strRef>
              <c:f>'estatística'!$B$1295</c:f>
            </c:strRef>
          </c:tx>
          <c:cat>
            <c:strRef>
              <c:f>'estatística'!$C$1:$M$1</c:f>
            </c:strRef>
          </c:cat>
          <c:val>
            <c:numRef>
              <c:f>'estatística'!$C$1295:$M$1295</c:f>
              <c:numCache/>
            </c:numRef>
          </c:val>
        </c:ser>
        <c:ser>
          <c:idx val="1294"/>
          <c:order val="1294"/>
          <c:tx>
            <c:strRef>
              <c:f>'estatística'!$B$1296</c:f>
            </c:strRef>
          </c:tx>
          <c:cat>
            <c:strRef>
              <c:f>'estatística'!$C$1:$M$1</c:f>
            </c:strRef>
          </c:cat>
          <c:val>
            <c:numRef>
              <c:f>'estatística'!$C$1296:$M$1296</c:f>
              <c:numCache/>
            </c:numRef>
          </c:val>
        </c:ser>
        <c:ser>
          <c:idx val="1295"/>
          <c:order val="1295"/>
          <c:tx>
            <c:strRef>
              <c:f>'estatística'!$B$1297</c:f>
            </c:strRef>
          </c:tx>
          <c:cat>
            <c:strRef>
              <c:f>'estatística'!$C$1:$M$1</c:f>
            </c:strRef>
          </c:cat>
          <c:val>
            <c:numRef>
              <c:f>'estatística'!$C$1297:$M$1297</c:f>
              <c:numCache/>
            </c:numRef>
          </c:val>
        </c:ser>
        <c:ser>
          <c:idx val="1296"/>
          <c:order val="1296"/>
          <c:tx>
            <c:strRef>
              <c:f>'estatística'!$B$1298</c:f>
            </c:strRef>
          </c:tx>
          <c:cat>
            <c:strRef>
              <c:f>'estatística'!$C$1:$M$1</c:f>
            </c:strRef>
          </c:cat>
          <c:val>
            <c:numRef>
              <c:f>'estatística'!$C$1298:$M$1298</c:f>
              <c:numCache/>
            </c:numRef>
          </c:val>
        </c:ser>
        <c:ser>
          <c:idx val="1297"/>
          <c:order val="1297"/>
          <c:tx>
            <c:strRef>
              <c:f>'estatística'!$B$1299</c:f>
            </c:strRef>
          </c:tx>
          <c:cat>
            <c:strRef>
              <c:f>'estatística'!$C$1:$M$1</c:f>
            </c:strRef>
          </c:cat>
          <c:val>
            <c:numRef>
              <c:f>'estatística'!$C$1299:$M$1299</c:f>
              <c:numCache/>
            </c:numRef>
          </c:val>
        </c:ser>
        <c:ser>
          <c:idx val="1298"/>
          <c:order val="1298"/>
          <c:tx>
            <c:strRef>
              <c:f>'estatística'!$B$1300</c:f>
            </c:strRef>
          </c:tx>
          <c:cat>
            <c:strRef>
              <c:f>'estatística'!$C$1:$M$1</c:f>
            </c:strRef>
          </c:cat>
          <c:val>
            <c:numRef>
              <c:f>'estatística'!$C$1300:$M$1300</c:f>
              <c:numCache/>
            </c:numRef>
          </c:val>
        </c:ser>
        <c:ser>
          <c:idx val="1299"/>
          <c:order val="1299"/>
          <c:tx>
            <c:strRef>
              <c:f>'estatística'!$B$1301</c:f>
            </c:strRef>
          </c:tx>
          <c:cat>
            <c:strRef>
              <c:f>'estatística'!$C$1:$M$1</c:f>
            </c:strRef>
          </c:cat>
          <c:val>
            <c:numRef>
              <c:f>'estatística'!$C$1301:$M$1301</c:f>
              <c:numCache/>
            </c:numRef>
          </c:val>
        </c:ser>
        <c:ser>
          <c:idx val="1300"/>
          <c:order val="1300"/>
          <c:tx>
            <c:strRef>
              <c:f>'estatística'!$B$1302</c:f>
            </c:strRef>
          </c:tx>
          <c:cat>
            <c:strRef>
              <c:f>'estatística'!$C$1:$M$1</c:f>
            </c:strRef>
          </c:cat>
          <c:val>
            <c:numRef>
              <c:f>'estatística'!$C$1302:$M$1302</c:f>
              <c:numCache/>
            </c:numRef>
          </c:val>
        </c:ser>
        <c:ser>
          <c:idx val="1301"/>
          <c:order val="1301"/>
          <c:tx>
            <c:strRef>
              <c:f>'estatística'!$B$1303</c:f>
            </c:strRef>
          </c:tx>
          <c:cat>
            <c:strRef>
              <c:f>'estatística'!$C$1:$M$1</c:f>
            </c:strRef>
          </c:cat>
          <c:val>
            <c:numRef>
              <c:f>'estatística'!$C$1303:$M$1303</c:f>
              <c:numCache/>
            </c:numRef>
          </c:val>
        </c:ser>
        <c:ser>
          <c:idx val="1302"/>
          <c:order val="1302"/>
          <c:tx>
            <c:strRef>
              <c:f>'estatística'!$B$1304</c:f>
            </c:strRef>
          </c:tx>
          <c:cat>
            <c:strRef>
              <c:f>'estatística'!$C$1:$M$1</c:f>
            </c:strRef>
          </c:cat>
          <c:val>
            <c:numRef>
              <c:f>'estatística'!$C$1304:$M$1304</c:f>
              <c:numCache/>
            </c:numRef>
          </c:val>
        </c:ser>
        <c:ser>
          <c:idx val="1303"/>
          <c:order val="1303"/>
          <c:tx>
            <c:strRef>
              <c:f>'estatística'!$B$1305</c:f>
            </c:strRef>
          </c:tx>
          <c:cat>
            <c:strRef>
              <c:f>'estatística'!$C$1:$M$1</c:f>
            </c:strRef>
          </c:cat>
          <c:val>
            <c:numRef>
              <c:f>'estatística'!$C$1305:$M$1305</c:f>
              <c:numCache/>
            </c:numRef>
          </c:val>
        </c:ser>
        <c:ser>
          <c:idx val="1304"/>
          <c:order val="1304"/>
          <c:tx>
            <c:strRef>
              <c:f>'estatística'!$B$1306</c:f>
            </c:strRef>
          </c:tx>
          <c:cat>
            <c:strRef>
              <c:f>'estatística'!$C$1:$M$1</c:f>
            </c:strRef>
          </c:cat>
          <c:val>
            <c:numRef>
              <c:f>'estatística'!$C$1306:$M$1306</c:f>
              <c:numCache/>
            </c:numRef>
          </c:val>
        </c:ser>
        <c:ser>
          <c:idx val="1305"/>
          <c:order val="1305"/>
          <c:tx>
            <c:strRef>
              <c:f>'estatística'!$B$1307</c:f>
            </c:strRef>
          </c:tx>
          <c:cat>
            <c:strRef>
              <c:f>'estatística'!$C$1:$M$1</c:f>
            </c:strRef>
          </c:cat>
          <c:val>
            <c:numRef>
              <c:f>'estatística'!$C$1307:$M$1307</c:f>
              <c:numCache/>
            </c:numRef>
          </c:val>
        </c:ser>
        <c:ser>
          <c:idx val="1306"/>
          <c:order val="1306"/>
          <c:tx>
            <c:strRef>
              <c:f>'estatística'!$B$1308</c:f>
            </c:strRef>
          </c:tx>
          <c:cat>
            <c:strRef>
              <c:f>'estatística'!$C$1:$M$1</c:f>
            </c:strRef>
          </c:cat>
          <c:val>
            <c:numRef>
              <c:f>'estatística'!$C$1308:$M$1308</c:f>
              <c:numCache/>
            </c:numRef>
          </c:val>
        </c:ser>
        <c:ser>
          <c:idx val="1307"/>
          <c:order val="1307"/>
          <c:tx>
            <c:strRef>
              <c:f>'estatística'!$B$1309</c:f>
            </c:strRef>
          </c:tx>
          <c:cat>
            <c:strRef>
              <c:f>'estatística'!$C$1:$M$1</c:f>
            </c:strRef>
          </c:cat>
          <c:val>
            <c:numRef>
              <c:f>'estatística'!$C$1309:$M$1309</c:f>
              <c:numCache/>
            </c:numRef>
          </c:val>
        </c:ser>
        <c:ser>
          <c:idx val="1308"/>
          <c:order val="1308"/>
          <c:tx>
            <c:strRef>
              <c:f>'estatística'!$B$1310</c:f>
            </c:strRef>
          </c:tx>
          <c:cat>
            <c:strRef>
              <c:f>'estatística'!$C$1:$M$1</c:f>
            </c:strRef>
          </c:cat>
          <c:val>
            <c:numRef>
              <c:f>'estatística'!$C$1310:$M$1310</c:f>
              <c:numCache/>
            </c:numRef>
          </c:val>
        </c:ser>
        <c:ser>
          <c:idx val="1309"/>
          <c:order val="1309"/>
          <c:tx>
            <c:strRef>
              <c:f>'estatística'!$B$1311</c:f>
            </c:strRef>
          </c:tx>
          <c:cat>
            <c:strRef>
              <c:f>'estatística'!$C$1:$M$1</c:f>
            </c:strRef>
          </c:cat>
          <c:val>
            <c:numRef>
              <c:f>'estatística'!$C$1311:$M$1311</c:f>
              <c:numCache/>
            </c:numRef>
          </c:val>
        </c:ser>
        <c:ser>
          <c:idx val="1310"/>
          <c:order val="1310"/>
          <c:tx>
            <c:strRef>
              <c:f>'estatística'!$B$1312</c:f>
            </c:strRef>
          </c:tx>
          <c:cat>
            <c:strRef>
              <c:f>'estatística'!$C$1:$M$1</c:f>
            </c:strRef>
          </c:cat>
          <c:val>
            <c:numRef>
              <c:f>'estatística'!$C$1312:$M$1312</c:f>
              <c:numCache/>
            </c:numRef>
          </c:val>
        </c:ser>
        <c:ser>
          <c:idx val="1311"/>
          <c:order val="1311"/>
          <c:tx>
            <c:strRef>
              <c:f>'estatística'!$B$1313</c:f>
            </c:strRef>
          </c:tx>
          <c:cat>
            <c:strRef>
              <c:f>'estatística'!$C$1:$M$1</c:f>
            </c:strRef>
          </c:cat>
          <c:val>
            <c:numRef>
              <c:f>'estatística'!$C$1313:$M$1313</c:f>
              <c:numCache/>
            </c:numRef>
          </c:val>
        </c:ser>
        <c:ser>
          <c:idx val="1312"/>
          <c:order val="1312"/>
          <c:tx>
            <c:strRef>
              <c:f>'estatística'!$B$1314</c:f>
            </c:strRef>
          </c:tx>
          <c:cat>
            <c:strRef>
              <c:f>'estatística'!$C$1:$M$1</c:f>
            </c:strRef>
          </c:cat>
          <c:val>
            <c:numRef>
              <c:f>'estatística'!$C$1314:$M$1314</c:f>
              <c:numCache/>
            </c:numRef>
          </c:val>
        </c:ser>
        <c:ser>
          <c:idx val="1313"/>
          <c:order val="1313"/>
          <c:tx>
            <c:strRef>
              <c:f>'estatística'!$B$1315</c:f>
            </c:strRef>
          </c:tx>
          <c:cat>
            <c:strRef>
              <c:f>'estatística'!$C$1:$M$1</c:f>
            </c:strRef>
          </c:cat>
          <c:val>
            <c:numRef>
              <c:f>'estatística'!$C$1315:$M$1315</c:f>
              <c:numCache/>
            </c:numRef>
          </c:val>
        </c:ser>
        <c:ser>
          <c:idx val="1314"/>
          <c:order val="1314"/>
          <c:tx>
            <c:strRef>
              <c:f>'estatística'!$B$1316</c:f>
            </c:strRef>
          </c:tx>
          <c:cat>
            <c:strRef>
              <c:f>'estatística'!$C$1:$M$1</c:f>
            </c:strRef>
          </c:cat>
          <c:val>
            <c:numRef>
              <c:f>'estatística'!$C$1316:$M$1316</c:f>
              <c:numCache/>
            </c:numRef>
          </c:val>
        </c:ser>
        <c:ser>
          <c:idx val="1315"/>
          <c:order val="1315"/>
          <c:tx>
            <c:strRef>
              <c:f>'estatística'!$B$1317</c:f>
            </c:strRef>
          </c:tx>
          <c:cat>
            <c:strRef>
              <c:f>'estatística'!$C$1:$M$1</c:f>
            </c:strRef>
          </c:cat>
          <c:val>
            <c:numRef>
              <c:f>'estatística'!$C$1317:$M$1317</c:f>
              <c:numCache/>
            </c:numRef>
          </c:val>
        </c:ser>
        <c:ser>
          <c:idx val="1316"/>
          <c:order val="1316"/>
          <c:tx>
            <c:strRef>
              <c:f>'estatística'!$B$1318</c:f>
            </c:strRef>
          </c:tx>
          <c:cat>
            <c:strRef>
              <c:f>'estatística'!$C$1:$M$1</c:f>
            </c:strRef>
          </c:cat>
          <c:val>
            <c:numRef>
              <c:f>'estatística'!$C$1318:$M$1318</c:f>
              <c:numCache/>
            </c:numRef>
          </c:val>
        </c:ser>
        <c:ser>
          <c:idx val="1317"/>
          <c:order val="1317"/>
          <c:tx>
            <c:strRef>
              <c:f>'estatística'!$B$1319</c:f>
            </c:strRef>
          </c:tx>
          <c:cat>
            <c:strRef>
              <c:f>'estatística'!$C$1:$M$1</c:f>
            </c:strRef>
          </c:cat>
          <c:val>
            <c:numRef>
              <c:f>'estatística'!$C$1319:$M$1319</c:f>
              <c:numCache/>
            </c:numRef>
          </c:val>
        </c:ser>
        <c:ser>
          <c:idx val="1318"/>
          <c:order val="1318"/>
          <c:tx>
            <c:strRef>
              <c:f>'estatística'!$B$1320</c:f>
            </c:strRef>
          </c:tx>
          <c:cat>
            <c:strRef>
              <c:f>'estatística'!$C$1:$M$1</c:f>
            </c:strRef>
          </c:cat>
          <c:val>
            <c:numRef>
              <c:f>'estatística'!$C$1320:$M$1320</c:f>
              <c:numCache/>
            </c:numRef>
          </c:val>
        </c:ser>
        <c:ser>
          <c:idx val="1319"/>
          <c:order val="1319"/>
          <c:tx>
            <c:strRef>
              <c:f>'estatística'!$B$1321</c:f>
            </c:strRef>
          </c:tx>
          <c:cat>
            <c:strRef>
              <c:f>'estatística'!$C$1:$M$1</c:f>
            </c:strRef>
          </c:cat>
          <c:val>
            <c:numRef>
              <c:f>'estatística'!$C$1321:$M$1321</c:f>
              <c:numCache/>
            </c:numRef>
          </c:val>
        </c:ser>
        <c:ser>
          <c:idx val="1320"/>
          <c:order val="1320"/>
          <c:tx>
            <c:strRef>
              <c:f>'estatística'!$B$1322</c:f>
            </c:strRef>
          </c:tx>
          <c:cat>
            <c:strRef>
              <c:f>'estatística'!$C$1:$M$1</c:f>
            </c:strRef>
          </c:cat>
          <c:val>
            <c:numRef>
              <c:f>'estatística'!$C$1322:$M$1322</c:f>
              <c:numCache/>
            </c:numRef>
          </c:val>
        </c:ser>
        <c:ser>
          <c:idx val="1321"/>
          <c:order val="1321"/>
          <c:tx>
            <c:strRef>
              <c:f>'estatística'!$B$1323</c:f>
            </c:strRef>
          </c:tx>
          <c:cat>
            <c:strRef>
              <c:f>'estatística'!$C$1:$M$1</c:f>
            </c:strRef>
          </c:cat>
          <c:val>
            <c:numRef>
              <c:f>'estatística'!$C$1323:$M$1323</c:f>
              <c:numCache/>
            </c:numRef>
          </c:val>
        </c:ser>
        <c:ser>
          <c:idx val="1322"/>
          <c:order val="1322"/>
          <c:tx>
            <c:strRef>
              <c:f>'estatística'!$B$1324</c:f>
            </c:strRef>
          </c:tx>
          <c:cat>
            <c:strRef>
              <c:f>'estatística'!$C$1:$M$1</c:f>
            </c:strRef>
          </c:cat>
          <c:val>
            <c:numRef>
              <c:f>'estatística'!$C$1324:$M$1324</c:f>
              <c:numCache/>
            </c:numRef>
          </c:val>
        </c:ser>
        <c:ser>
          <c:idx val="1323"/>
          <c:order val="1323"/>
          <c:tx>
            <c:strRef>
              <c:f>'estatística'!$B$1325</c:f>
            </c:strRef>
          </c:tx>
          <c:cat>
            <c:strRef>
              <c:f>'estatística'!$C$1:$M$1</c:f>
            </c:strRef>
          </c:cat>
          <c:val>
            <c:numRef>
              <c:f>'estatística'!$C$1325:$M$1325</c:f>
              <c:numCache/>
            </c:numRef>
          </c:val>
        </c:ser>
        <c:ser>
          <c:idx val="1324"/>
          <c:order val="1324"/>
          <c:tx>
            <c:strRef>
              <c:f>'estatística'!$B$1326</c:f>
            </c:strRef>
          </c:tx>
          <c:cat>
            <c:strRef>
              <c:f>'estatística'!$C$1:$M$1</c:f>
            </c:strRef>
          </c:cat>
          <c:val>
            <c:numRef>
              <c:f>'estatística'!$C$1326:$M$1326</c:f>
              <c:numCache/>
            </c:numRef>
          </c:val>
        </c:ser>
        <c:ser>
          <c:idx val="1325"/>
          <c:order val="1325"/>
          <c:tx>
            <c:strRef>
              <c:f>'estatística'!$B$1327</c:f>
            </c:strRef>
          </c:tx>
          <c:cat>
            <c:strRef>
              <c:f>'estatística'!$C$1:$M$1</c:f>
            </c:strRef>
          </c:cat>
          <c:val>
            <c:numRef>
              <c:f>'estatística'!$C$1327:$M$1327</c:f>
              <c:numCache/>
            </c:numRef>
          </c:val>
        </c:ser>
        <c:ser>
          <c:idx val="1326"/>
          <c:order val="1326"/>
          <c:tx>
            <c:strRef>
              <c:f>'estatística'!$B$1328</c:f>
            </c:strRef>
          </c:tx>
          <c:cat>
            <c:strRef>
              <c:f>'estatística'!$C$1:$M$1</c:f>
            </c:strRef>
          </c:cat>
          <c:val>
            <c:numRef>
              <c:f>'estatística'!$C$1328:$M$1328</c:f>
              <c:numCache/>
            </c:numRef>
          </c:val>
        </c:ser>
        <c:ser>
          <c:idx val="1327"/>
          <c:order val="1327"/>
          <c:tx>
            <c:strRef>
              <c:f>'estatística'!$B$1329</c:f>
            </c:strRef>
          </c:tx>
          <c:cat>
            <c:strRef>
              <c:f>'estatística'!$C$1:$M$1</c:f>
            </c:strRef>
          </c:cat>
          <c:val>
            <c:numRef>
              <c:f>'estatística'!$C$1329:$M$1329</c:f>
              <c:numCache/>
            </c:numRef>
          </c:val>
        </c:ser>
        <c:ser>
          <c:idx val="1328"/>
          <c:order val="1328"/>
          <c:tx>
            <c:strRef>
              <c:f>'estatística'!$B$1330</c:f>
            </c:strRef>
          </c:tx>
          <c:cat>
            <c:strRef>
              <c:f>'estatística'!$C$1:$M$1</c:f>
            </c:strRef>
          </c:cat>
          <c:val>
            <c:numRef>
              <c:f>'estatística'!$C$1330:$M$1330</c:f>
              <c:numCache/>
            </c:numRef>
          </c:val>
        </c:ser>
        <c:ser>
          <c:idx val="1329"/>
          <c:order val="1329"/>
          <c:tx>
            <c:strRef>
              <c:f>'estatística'!$B$1331</c:f>
            </c:strRef>
          </c:tx>
          <c:cat>
            <c:strRef>
              <c:f>'estatística'!$C$1:$M$1</c:f>
            </c:strRef>
          </c:cat>
          <c:val>
            <c:numRef>
              <c:f>'estatística'!$C$1331:$M$1331</c:f>
              <c:numCache/>
            </c:numRef>
          </c:val>
        </c:ser>
        <c:ser>
          <c:idx val="1330"/>
          <c:order val="1330"/>
          <c:tx>
            <c:strRef>
              <c:f>'estatística'!$B$1332</c:f>
            </c:strRef>
          </c:tx>
          <c:cat>
            <c:strRef>
              <c:f>'estatística'!$C$1:$M$1</c:f>
            </c:strRef>
          </c:cat>
          <c:val>
            <c:numRef>
              <c:f>'estatística'!$C$1332:$M$1332</c:f>
              <c:numCache/>
            </c:numRef>
          </c:val>
        </c:ser>
        <c:ser>
          <c:idx val="1331"/>
          <c:order val="1331"/>
          <c:tx>
            <c:strRef>
              <c:f>'estatística'!$B$1333</c:f>
            </c:strRef>
          </c:tx>
          <c:cat>
            <c:strRef>
              <c:f>'estatística'!$C$1:$M$1</c:f>
            </c:strRef>
          </c:cat>
          <c:val>
            <c:numRef>
              <c:f>'estatística'!$C$1333:$M$1333</c:f>
              <c:numCache/>
            </c:numRef>
          </c:val>
        </c:ser>
        <c:ser>
          <c:idx val="1332"/>
          <c:order val="1332"/>
          <c:tx>
            <c:strRef>
              <c:f>'estatística'!$B$1334</c:f>
            </c:strRef>
          </c:tx>
          <c:cat>
            <c:strRef>
              <c:f>'estatística'!$C$1:$M$1</c:f>
            </c:strRef>
          </c:cat>
          <c:val>
            <c:numRef>
              <c:f>'estatística'!$C$1334:$M$1334</c:f>
              <c:numCache/>
            </c:numRef>
          </c:val>
        </c:ser>
        <c:ser>
          <c:idx val="1333"/>
          <c:order val="1333"/>
          <c:tx>
            <c:strRef>
              <c:f>'estatística'!$B$1335</c:f>
            </c:strRef>
          </c:tx>
          <c:cat>
            <c:strRef>
              <c:f>'estatística'!$C$1:$M$1</c:f>
            </c:strRef>
          </c:cat>
          <c:val>
            <c:numRef>
              <c:f>'estatística'!$C$1335:$M$1335</c:f>
              <c:numCache/>
            </c:numRef>
          </c:val>
        </c:ser>
        <c:ser>
          <c:idx val="1334"/>
          <c:order val="1334"/>
          <c:tx>
            <c:strRef>
              <c:f>'estatística'!$B$1336</c:f>
            </c:strRef>
          </c:tx>
          <c:cat>
            <c:strRef>
              <c:f>'estatística'!$C$1:$M$1</c:f>
            </c:strRef>
          </c:cat>
          <c:val>
            <c:numRef>
              <c:f>'estatística'!$C$1336:$M$1336</c:f>
              <c:numCache/>
            </c:numRef>
          </c:val>
        </c:ser>
        <c:ser>
          <c:idx val="1335"/>
          <c:order val="1335"/>
          <c:tx>
            <c:strRef>
              <c:f>'estatística'!$B$1337</c:f>
            </c:strRef>
          </c:tx>
          <c:cat>
            <c:strRef>
              <c:f>'estatística'!$C$1:$M$1</c:f>
            </c:strRef>
          </c:cat>
          <c:val>
            <c:numRef>
              <c:f>'estatística'!$C$1337:$M$1337</c:f>
              <c:numCache/>
            </c:numRef>
          </c:val>
        </c:ser>
        <c:ser>
          <c:idx val="1336"/>
          <c:order val="1336"/>
          <c:tx>
            <c:strRef>
              <c:f>'estatística'!$B$1338</c:f>
            </c:strRef>
          </c:tx>
          <c:cat>
            <c:strRef>
              <c:f>'estatística'!$C$1:$M$1</c:f>
            </c:strRef>
          </c:cat>
          <c:val>
            <c:numRef>
              <c:f>'estatística'!$C$1338:$M$1338</c:f>
              <c:numCache/>
            </c:numRef>
          </c:val>
        </c:ser>
        <c:ser>
          <c:idx val="1337"/>
          <c:order val="1337"/>
          <c:tx>
            <c:strRef>
              <c:f>'estatística'!$B$1339</c:f>
            </c:strRef>
          </c:tx>
          <c:cat>
            <c:strRef>
              <c:f>'estatística'!$C$1:$M$1</c:f>
            </c:strRef>
          </c:cat>
          <c:val>
            <c:numRef>
              <c:f>'estatística'!$C$1339:$M$1339</c:f>
              <c:numCache/>
            </c:numRef>
          </c:val>
        </c:ser>
        <c:ser>
          <c:idx val="1338"/>
          <c:order val="1338"/>
          <c:tx>
            <c:strRef>
              <c:f>'estatística'!$B$1340</c:f>
            </c:strRef>
          </c:tx>
          <c:cat>
            <c:strRef>
              <c:f>'estatística'!$C$1:$M$1</c:f>
            </c:strRef>
          </c:cat>
          <c:val>
            <c:numRef>
              <c:f>'estatística'!$C$1340:$M$1340</c:f>
              <c:numCache/>
            </c:numRef>
          </c:val>
        </c:ser>
        <c:ser>
          <c:idx val="1339"/>
          <c:order val="1339"/>
          <c:tx>
            <c:strRef>
              <c:f>'estatística'!$B$1341</c:f>
            </c:strRef>
          </c:tx>
          <c:cat>
            <c:strRef>
              <c:f>'estatística'!$C$1:$M$1</c:f>
            </c:strRef>
          </c:cat>
          <c:val>
            <c:numRef>
              <c:f>'estatística'!$C$1341:$M$1341</c:f>
              <c:numCache/>
            </c:numRef>
          </c:val>
        </c:ser>
        <c:ser>
          <c:idx val="1340"/>
          <c:order val="1340"/>
          <c:tx>
            <c:strRef>
              <c:f>'estatística'!$B$1342</c:f>
            </c:strRef>
          </c:tx>
          <c:cat>
            <c:strRef>
              <c:f>'estatística'!$C$1:$M$1</c:f>
            </c:strRef>
          </c:cat>
          <c:val>
            <c:numRef>
              <c:f>'estatística'!$C$1342:$M$1342</c:f>
              <c:numCache/>
            </c:numRef>
          </c:val>
        </c:ser>
        <c:ser>
          <c:idx val="1341"/>
          <c:order val="1341"/>
          <c:tx>
            <c:strRef>
              <c:f>'estatística'!$B$1343</c:f>
            </c:strRef>
          </c:tx>
          <c:cat>
            <c:strRef>
              <c:f>'estatística'!$C$1:$M$1</c:f>
            </c:strRef>
          </c:cat>
          <c:val>
            <c:numRef>
              <c:f>'estatística'!$C$1343:$M$1343</c:f>
              <c:numCache/>
            </c:numRef>
          </c:val>
        </c:ser>
        <c:ser>
          <c:idx val="1342"/>
          <c:order val="1342"/>
          <c:tx>
            <c:strRef>
              <c:f>'estatística'!$B$1344</c:f>
            </c:strRef>
          </c:tx>
          <c:cat>
            <c:strRef>
              <c:f>'estatística'!$C$1:$M$1</c:f>
            </c:strRef>
          </c:cat>
          <c:val>
            <c:numRef>
              <c:f>'estatística'!$C$1344:$M$1344</c:f>
              <c:numCache/>
            </c:numRef>
          </c:val>
        </c:ser>
        <c:ser>
          <c:idx val="1343"/>
          <c:order val="1343"/>
          <c:tx>
            <c:strRef>
              <c:f>'estatística'!$B$1345</c:f>
            </c:strRef>
          </c:tx>
          <c:cat>
            <c:strRef>
              <c:f>'estatística'!$C$1:$M$1</c:f>
            </c:strRef>
          </c:cat>
          <c:val>
            <c:numRef>
              <c:f>'estatística'!$C$1345:$M$1345</c:f>
              <c:numCache/>
            </c:numRef>
          </c:val>
        </c:ser>
        <c:ser>
          <c:idx val="1344"/>
          <c:order val="1344"/>
          <c:tx>
            <c:strRef>
              <c:f>'estatística'!$B$1346</c:f>
            </c:strRef>
          </c:tx>
          <c:cat>
            <c:strRef>
              <c:f>'estatística'!$C$1:$M$1</c:f>
            </c:strRef>
          </c:cat>
          <c:val>
            <c:numRef>
              <c:f>'estatística'!$C$1346:$M$1346</c:f>
              <c:numCache/>
            </c:numRef>
          </c:val>
        </c:ser>
        <c:ser>
          <c:idx val="1345"/>
          <c:order val="1345"/>
          <c:tx>
            <c:strRef>
              <c:f>'estatística'!$B$1347</c:f>
            </c:strRef>
          </c:tx>
          <c:cat>
            <c:strRef>
              <c:f>'estatística'!$C$1:$M$1</c:f>
            </c:strRef>
          </c:cat>
          <c:val>
            <c:numRef>
              <c:f>'estatística'!$C$1347:$M$1347</c:f>
              <c:numCache/>
            </c:numRef>
          </c:val>
        </c:ser>
        <c:ser>
          <c:idx val="1346"/>
          <c:order val="1346"/>
          <c:tx>
            <c:strRef>
              <c:f>'estatística'!$B$1348</c:f>
            </c:strRef>
          </c:tx>
          <c:cat>
            <c:strRef>
              <c:f>'estatística'!$C$1:$M$1</c:f>
            </c:strRef>
          </c:cat>
          <c:val>
            <c:numRef>
              <c:f>'estatística'!$C$1348:$M$1348</c:f>
              <c:numCache/>
            </c:numRef>
          </c:val>
        </c:ser>
        <c:ser>
          <c:idx val="1347"/>
          <c:order val="1347"/>
          <c:tx>
            <c:strRef>
              <c:f>'estatística'!$B$1349</c:f>
            </c:strRef>
          </c:tx>
          <c:cat>
            <c:strRef>
              <c:f>'estatística'!$C$1:$M$1</c:f>
            </c:strRef>
          </c:cat>
          <c:val>
            <c:numRef>
              <c:f>'estatística'!$C$1349:$M$1349</c:f>
              <c:numCache/>
            </c:numRef>
          </c:val>
        </c:ser>
        <c:ser>
          <c:idx val="1348"/>
          <c:order val="1348"/>
          <c:tx>
            <c:strRef>
              <c:f>'estatística'!$B$1350</c:f>
            </c:strRef>
          </c:tx>
          <c:cat>
            <c:strRef>
              <c:f>'estatística'!$C$1:$M$1</c:f>
            </c:strRef>
          </c:cat>
          <c:val>
            <c:numRef>
              <c:f>'estatística'!$C$1350:$M$1350</c:f>
              <c:numCache/>
            </c:numRef>
          </c:val>
        </c:ser>
        <c:ser>
          <c:idx val="1349"/>
          <c:order val="1349"/>
          <c:tx>
            <c:strRef>
              <c:f>'estatística'!$B$1351</c:f>
            </c:strRef>
          </c:tx>
          <c:cat>
            <c:strRef>
              <c:f>'estatística'!$C$1:$M$1</c:f>
            </c:strRef>
          </c:cat>
          <c:val>
            <c:numRef>
              <c:f>'estatística'!$C$1351:$M$1351</c:f>
              <c:numCache/>
            </c:numRef>
          </c:val>
        </c:ser>
        <c:ser>
          <c:idx val="1350"/>
          <c:order val="1350"/>
          <c:tx>
            <c:strRef>
              <c:f>'estatística'!$B$1352</c:f>
            </c:strRef>
          </c:tx>
          <c:cat>
            <c:strRef>
              <c:f>'estatística'!$C$1:$M$1</c:f>
            </c:strRef>
          </c:cat>
          <c:val>
            <c:numRef>
              <c:f>'estatística'!$C$1352:$M$1352</c:f>
              <c:numCache/>
            </c:numRef>
          </c:val>
        </c:ser>
        <c:ser>
          <c:idx val="1351"/>
          <c:order val="1351"/>
          <c:tx>
            <c:strRef>
              <c:f>'estatística'!$B$1353</c:f>
            </c:strRef>
          </c:tx>
          <c:cat>
            <c:strRef>
              <c:f>'estatística'!$C$1:$M$1</c:f>
            </c:strRef>
          </c:cat>
          <c:val>
            <c:numRef>
              <c:f>'estatística'!$C$1353:$M$1353</c:f>
              <c:numCache/>
            </c:numRef>
          </c:val>
        </c:ser>
        <c:ser>
          <c:idx val="1352"/>
          <c:order val="1352"/>
          <c:tx>
            <c:strRef>
              <c:f>'estatística'!$B$1354</c:f>
            </c:strRef>
          </c:tx>
          <c:cat>
            <c:strRef>
              <c:f>'estatística'!$C$1:$M$1</c:f>
            </c:strRef>
          </c:cat>
          <c:val>
            <c:numRef>
              <c:f>'estatística'!$C$1354:$M$1354</c:f>
              <c:numCache/>
            </c:numRef>
          </c:val>
        </c:ser>
        <c:ser>
          <c:idx val="1353"/>
          <c:order val="1353"/>
          <c:tx>
            <c:strRef>
              <c:f>'estatística'!$B$1355</c:f>
            </c:strRef>
          </c:tx>
          <c:cat>
            <c:strRef>
              <c:f>'estatística'!$C$1:$M$1</c:f>
            </c:strRef>
          </c:cat>
          <c:val>
            <c:numRef>
              <c:f>'estatística'!$C$1355:$M$1355</c:f>
              <c:numCache/>
            </c:numRef>
          </c:val>
        </c:ser>
        <c:ser>
          <c:idx val="1354"/>
          <c:order val="1354"/>
          <c:tx>
            <c:strRef>
              <c:f>'estatística'!$B$1356</c:f>
            </c:strRef>
          </c:tx>
          <c:cat>
            <c:strRef>
              <c:f>'estatística'!$C$1:$M$1</c:f>
            </c:strRef>
          </c:cat>
          <c:val>
            <c:numRef>
              <c:f>'estatística'!$C$1356:$M$1356</c:f>
              <c:numCache/>
            </c:numRef>
          </c:val>
        </c:ser>
        <c:ser>
          <c:idx val="1355"/>
          <c:order val="1355"/>
          <c:tx>
            <c:strRef>
              <c:f>'estatística'!$B$1357</c:f>
            </c:strRef>
          </c:tx>
          <c:cat>
            <c:strRef>
              <c:f>'estatística'!$C$1:$M$1</c:f>
            </c:strRef>
          </c:cat>
          <c:val>
            <c:numRef>
              <c:f>'estatística'!$C$1357:$M$1357</c:f>
              <c:numCache/>
            </c:numRef>
          </c:val>
        </c:ser>
        <c:ser>
          <c:idx val="1356"/>
          <c:order val="1356"/>
          <c:tx>
            <c:strRef>
              <c:f>'estatística'!$B$1358</c:f>
            </c:strRef>
          </c:tx>
          <c:cat>
            <c:strRef>
              <c:f>'estatística'!$C$1:$M$1</c:f>
            </c:strRef>
          </c:cat>
          <c:val>
            <c:numRef>
              <c:f>'estatística'!$C$1358:$M$1358</c:f>
              <c:numCache/>
            </c:numRef>
          </c:val>
        </c:ser>
        <c:ser>
          <c:idx val="1357"/>
          <c:order val="1357"/>
          <c:tx>
            <c:strRef>
              <c:f>'estatística'!$B$1359</c:f>
            </c:strRef>
          </c:tx>
          <c:cat>
            <c:strRef>
              <c:f>'estatística'!$C$1:$M$1</c:f>
            </c:strRef>
          </c:cat>
          <c:val>
            <c:numRef>
              <c:f>'estatística'!$C$1359:$M$1359</c:f>
              <c:numCache/>
            </c:numRef>
          </c:val>
        </c:ser>
        <c:ser>
          <c:idx val="1358"/>
          <c:order val="1358"/>
          <c:tx>
            <c:strRef>
              <c:f>'estatística'!$B$1360</c:f>
            </c:strRef>
          </c:tx>
          <c:cat>
            <c:strRef>
              <c:f>'estatística'!$C$1:$M$1</c:f>
            </c:strRef>
          </c:cat>
          <c:val>
            <c:numRef>
              <c:f>'estatística'!$C$1360:$M$1360</c:f>
              <c:numCache/>
            </c:numRef>
          </c:val>
        </c:ser>
        <c:ser>
          <c:idx val="1359"/>
          <c:order val="1359"/>
          <c:tx>
            <c:strRef>
              <c:f>'estatística'!$B$1361</c:f>
            </c:strRef>
          </c:tx>
          <c:cat>
            <c:strRef>
              <c:f>'estatística'!$C$1:$M$1</c:f>
            </c:strRef>
          </c:cat>
          <c:val>
            <c:numRef>
              <c:f>'estatística'!$C$1361:$M$1361</c:f>
              <c:numCache/>
            </c:numRef>
          </c:val>
        </c:ser>
        <c:ser>
          <c:idx val="1360"/>
          <c:order val="1360"/>
          <c:tx>
            <c:strRef>
              <c:f>'estatística'!$B$1362</c:f>
            </c:strRef>
          </c:tx>
          <c:cat>
            <c:strRef>
              <c:f>'estatística'!$C$1:$M$1</c:f>
            </c:strRef>
          </c:cat>
          <c:val>
            <c:numRef>
              <c:f>'estatística'!$C$1362:$M$1362</c:f>
              <c:numCache/>
            </c:numRef>
          </c:val>
        </c:ser>
        <c:ser>
          <c:idx val="1361"/>
          <c:order val="1361"/>
          <c:tx>
            <c:strRef>
              <c:f>'estatística'!$B$1363</c:f>
            </c:strRef>
          </c:tx>
          <c:cat>
            <c:strRef>
              <c:f>'estatística'!$C$1:$M$1</c:f>
            </c:strRef>
          </c:cat>
          <c:val>
            <c:numRef>
              <c:f>'estatística'!$C$1363:$M$1363</c:f>
              <c:numCache/>
            </c:numRef>
          </c:val>
        </c:ser>
        <c:ser>
          <c:idx val="1362"/>
          <c:order val="1362"/>
          <c:tx>
            <c:strRef>
              <c:f>'estatística'!$B$1364</c:f>
            </c:strRef>
          </c:tx>
          <c:cat>
            <c:strRef>
              <c:f>'estatística'!$C$1:$M$1</c:f>
            </c:strRef>
          </c:cat>
          <c:val>
            <c:numRef>
              <c:f>'estatística'!$C$1364:$M$1364</c:f>
              <c:numCache/>
            </c:numRef>
          </c:val>
        </c:ser>
        <c:ser>
          <c:idx val="1363"/>
          <c:order val="1363"/>
          <c:tx>
            <c:strRef>
              <c:f>'estatística'!$B$1365</c:f>
            </c:strRef>
          </c:tx>
          <c:cat>
            <c:strRef>
              <c:f>'estatística'!$C$1:$M$1</c:f>
            </c:strRef>
          </c:cat>
          <c:val>
            <c:numRef>
              <c:f>'estatística'!$C$1365:$M$1365</c:f>
              <c:numCache/>
            </c:numRef>
          </c:val>
        </c:ser>
        <c:ser>
          <c:idx val="1364"/>
          <c:order val="1364"/>
          <c:tx>
            <c:strRef>
              <c:f>'estatística'!$B$1366</c:f>
            </c:strRef>
          </c:tx>
          <c:cat>
            <c:strRef>
              <c:f>'estatística'!$C$1:$M$1</c:f>
            </c:strRef>
          </c:cat>
          <c:val>
            <c:numRef>
              <c:f>'estatística'!$C$1366:$M$1366</c:f>
              <c:numCache/>
            </c:numRef>
          </c:val>
        </c:ser>
        <c:ser>
          <c:idx val="1365"/>
          <c:order val="1365"/>
          <c:tx>
            <c:strRef>
              <c:f>'estatística'!$B$1367</c:f>
            </c:strRef>
          </c:tx>
          <c:cat>
            <c:strRef>
              <c:f>'estatística'!$C$1:$M$1</c:f>
            </c:strRef>
          </c:cat>
          <c:val>
            <c:numRef>
              <c:f>'estatística'!$C$1367:$M$1367</c:f>
              <c:numCache/>
            </c:numRef>
          </c:val>
        </c:ser>
        <c:ser>
          <c:idx val="1366"/>
          <c:order val="1366"/>
          <c:tx>
            <c:strRef>
              <c:f>'estatística'!$B$1368</c:f>
            </c:strRef>
          </c:tx>
          <c:cat>
            <c:strRef>
              <c:f>'estatística'!$C$1:$M$1</c:f>
            </c:strRef>
          </c:cat>
          <c:val>
            <c:numRef>
              <c:f>'estatística'!$C$1368:$M$1368</c:f>
              <c:numCache/>
            </c:numRef>
          </c:val>
        </c:ser>
        <c:ser>
          <c:idx val="1367"/>
          <c:order val="1367"/>
          <c:tx>
            <c:strRef>
              <c:f>'estatística'!$B$1369</c:f>
            </c:strRef>
          </c:tx>
          <c:cat>
            <c:strRef>
              <c:f>'estatística'!$C$1:$M$1</c:f>
            </c:strRef>
          </c:cat>
          <c:val>
            <c:numRef>
              <c:f>'estatística'!$C$1369:$M$1369</c:f>
              <c:numCache/>
            </c:numRef>
          </c:val>
        </c:ser>
        <c:ser>
          <c:idx val="1368"/>
          <c:order val="1368"/>
          <c:tx>
            <c:strRef>
              <c:f>'estatística'!$B$1370</c:f>
            </c:strRef>
          </c:tx>
          <c:cat>
            <c:strRef>
              <c:f>'estatística'!$C$1:$M$1</c:f>
            </c:strRef>
          </c:cat>
          <c:val>
            <c:numRef>
              <c:f>'estatística'!$C$1370:$M$1370</c:f>
              <c:numCache/>
            </c:numRef>
          </c:val>
        </c:ser>
        <c:ser>
          <c:idx val="1369"/>
          <c:order val="1369"/>
          <c:tx>
            <c:strRef>
              <c:f>'estatística'!$B$1371</c:f>
            </c:strRef>
          </c:tx>
          <c:cat>
            <c:strRef>
              <c:f>'estatística'!$C$1:$M$1</c:f>
            </c:strRef>
          </c:cat>
          <c:val>
            <c:numRef>
              <c:f>'estatística'!$C$1371:$M$1371</c:f>
              <c:numCache/>
            </c:numRef>
          </c:val>
        </c:ser>
        <c:ser>
          <c:idx val="1370"/>
          <c:order val="1370"/>
          <c:tx>
            <c:strRef>
              <c:f>'estatística'!$B$1372</c:f>
            </c:strRef>
          </c:tx>
          <c:cat>
            <c:strRef>
              <c:f>'estatística'!$C$1:$M$1</c:f>
            </c:strRef>
          </c:cat>
          <c:val>
            <c:numRef>
              <c:f>'estatística'!$C$1372:$M$1372</c:f>
              <c:numCache/>
            </c:numRef>
          </c:val>
        </c:ser>
        <c:ser>
          <c:idx val="1371"/>
          <c:order val="1371"/>
          <c:tx>
            <c:strRef>
              <c:f>'estatística'!$B$1373</c:f>
            </c:strRef>
          </c:tx>
          <c:cat>
            <c:strRef>
              <c:f>'estatística'!$C$1:$M$1</c:f>
            </c:strRef>
          </c:cat>
          <c:val>
            <c:numRef>
              <c:f>'estatística'!$C$1373:$M$1373</c:f>
              <c:numCache/>
            </c:numRef>
          </c:val>
        </c:ser>
        <c:ser>
          <c:idx val="1372"/>
          <c:order val="1372"/>
          <c:tx>
            <c:strRef>
              <c:f>'estatística'!$B$1374</c:f>
            </c:strRef>
          </c:tx>
          <c:cat>
            <c:strRef>
              <c:f>'estatística'!$C$1:$M$1</c:f>
            </c:strRef>
          </c:cat>
          <c:val>
            <c:numRef>
              <c:f>'estatística'!$C$1374:$M$1374</c:f>
              <c:numCache/>
            </c:numRef>
          </c:val>
        </c:ser>
        <c:ser>
          <c:idx val="1373"/>
          <c:order val="1373"/>
          <c:tx>
            <c:strRef>
              <c:f>'estatística'!$B$1375</c:f>
            </c:strRef>
          </c:tx>
          <c:cat>
            <c:strRef>
              <c:f>'estatística'!$C$1:$M$1</c:f>
            </c:strRef>
          </c:cat>
          <c:val>
            <c:numRef>
              <c:f>'estatística'!$C$1375:$M$1375</c:f>
              <c:numCache/>
            </c:numRef>
          </c:val>
        </c:ser>
        <c:ser>
          <c:idx val="1374"/>
          <c:order val="1374"/>
          <c:tx>
            <c:strRef>
              <c:f>'estatística'!$B$1376</c:f>
            </c:strRef>
          </c:tx>
          <c:cat>
            <c:strRef>
              <c:f>'estatística'!$C$1:$M$1</c:f>
            </c:strRef>
          </c:cat>
          <c:val>
            <c:numRef>
              <c:f>'estatística'!$C$1376:$M$1376</c:f>
              <c:numCache/>
            </c:numRef>
          </c:val>
        </c:ser>
        <c:ser>
          <c:idx val="1375"/>
          <c:order val="1375"/>
          <c:tx>
            <c:strRef>
              <c:f>'estatística'!$B$1377</c:f>
            </c:strRef>
          </c:tx>
          <c:cat>
            <c:strRef>
              <c:f>'estatística'!$C$1:$M$1</c:f>
            </c:strRef>
          </c:cat>
          <c:val>
            <c:numRef>
              <c:f>'estatística'!$C$1377:$M$1377</c:f>
              <c:numCache/>
            </c:numRef>
          </c:val>
        </c:ser>
        <c:ser>
          <c:idx val="1376"/>
          <c:order val="1376"/>
          <c:tx>
            <c:strRef>
              <c:f>'estatística'!$B$1378</c:f>
            </c:strRef>
          </c:tx>
          <c:cat>
            <c:strRef>
              <c:f>'estatística'!$C$1:$M$1</c:f>
            </c:strRef>
          </c:cat>
          <c:val>
            <c:numRef>
              <c:f>'estatística'!$C$1378:$M$1378</c:f>
              <c:numCache/>
            </c:numRef>
          </c:val>
        </c:ser>
        <c:ser>
          <c:idx val="1377"/>
          <c:order val="1377"/>
          <c:tx>
            <c:strRef>
              <c:f>'estatística'!$B$1379</c:f>
            </c:strRef>
          </c:tx>
          <c:cat>
            <c:strRef>
              <c:f>'estatística'!$C$1:$M$1</c:f>
            </c:strRef>
          </c:cat>
          <c:val>
            <c:numRef>
              <c:f>'estatística'!$C$1379:$M$1379</c:f>
              <c:numCache/>
            </c:numRef>
          </c:val>
        </c:ser>
        <c:ser>
          <c:idx val="1378"/>
          <c:order val="1378"/>
          <c:tx>
            <c:strRef>
              <c:f>'estatística'!$B$1380</c:f>
            </c:strRef>
          </c:tx>
          <c:cat>
            <c:strRef>
              <c:f>'estatística'!$C$1:$M$1</c:f>
            </c:strRef>
          </c:cat>
          <c:val>
            <c:numRef>
              <c:f>'estatística'!$C$1380:$M$1380</c:f>
              <c:numCache/>
            </c:numRef>
          </c:val>
        </c:ser>
        <c:ser>
          <c:idx val="1379"/>
          <c:order val="1379"/>
          <c:tx>
            <c:strRef>
              <c:f>'estatística'!$B$1381</c:f>
            </c:strRef>
          </c:tx>
          <c:cat>
            <c:strRef>
              <c:f>'estatística'!$C$1:$M$1</c:f>
            </c:strRef>
          </c:cat>
          <c:val>
            <c:numRef>
              <c:f>'estatística'!$C$1381:$M$1381</c:f>
              <c:numCache/>
            </c:numRef>
          </c:val>
        </c:ser>
        <c:ser>
          <c:idx val="1380"/>
          <c:order val="1380"/>
          <c:tx>
            <c:strRef>
              <c:f>'estatística'!$B$1382</c:f>
            </c:strRef>
          </c:tx>
          <c:cat>
            <c:strRef>
              <c:f>'estatística'!$C$1:$M$1</c:f>
            </c:strRef>
          </c:cat>
          <c:val>
            <c:numRef>
              <c:f>'estatística'!$C$1382:$M$1382</c:f>
              <c:numCache/>
            </c:numRef>
          </c:val>
        </c:ser>
        <c:ser>
          <c:idx val="1381"/>
          <c:order val="1381"/>
          <c:tx>
            <c:strRef>
              <c:f>'estatística'!$B$1383</c:f>
            </c:strRef>
          </c:tx>
          <c:cat>
            <c:strRef>
              <c:f>'estatística'!$C$1:$M$1</c:f>
            </c:strRef>
          </c:cat>
          <c:val>
            <c:numRef>
              <c:f>'estatística'!$C$1383:$M$1383</c:f>
              <c:numCache/>
            </c:numRef>
          </c:val>
        </c:ser>
        <c:ser>
          <c:idx val="1382"/>
          <c:order val="1382"/>
          <c:tx>
            <c:strRef>
              <c:f>'estatística'!$B$1384</c:f>
            </c:strRef>
          </c:tx>
          <c:cat>
            <c:strRef>
              <c:f>'estatística'!$C$1:$M$1</c:f>
            </c:strRef>
          </c:cat>
          <c:val>
            <c:numRef>
              <c:f>'estatística'!$C$1384:$M$1384</c:f>
              <c:numCache/>
            </c:numRef>
          </c:val>
        </c:ser>
        <c:ser>
          <c:idx val="1383"/>
          <c:order val="1383"/>
          <c:tx>
            <c:strRef>
              <c:f>'estatística'!$B$1385</c:f>
            </c:strRef>
          </c:tx>
          <c:cat>
            <c:strRef>
              <c:f>'estatística'!$C$1:$M$1</c:f>
            </c:strRef>
          </c:cat>
          <c:val>
            <c:numRef>
              <c:f>'estatística'!$C$1385:$M$1385</c:f>
              <c:numCache/>
            </c:numRef>
          </c:val>
        </c:ser>
        <c:ser>
          <c:idx val="1384"/>
          <c:order val="1384"/>
          <c:tx>
            <c:strRef>
              <c:f>'estatística'!$B$1386</c:f>
            </c:strRef>
          </c:tx>
          <c:cat>
            <c:strRef>
              <c:f>'estatística'!$C$1:$M$1</c:f>
            </c:strRef>
          </c:cat>
          <c:val>
            <c:numRef>
              <c:f>'estatística'!$C$1386:$M$1386</c:f>
              <c:numCache/>
            </c:numRef>
          </c:val>
        </c:ser>
        <c:ser>
          <c:idx val="1385"/>
          <c:order val="1385"/>
          <c:tx>
            <c:strRef>
              <c:f>'estatística'!$B$1387</c:f>
            </c:strRef>
          </c:tx>
          <c:cat>
            <c:strRef>
              <c:f>'estatística'!$C$1:$M$1</c:f>
            </c:strRef>
          </c:cat>
          <c:val>
            <c:numRef>
              <c:f>'estatística'!$C$1387:$M$1387</c:f>
              <c:numCache/>
            </c:numRef>
          </c:val>
        </c:ser>
        <c:ser>
          <c:idx val="1386"/>
          <c:order val="1386"/>
          <c:tx>
            <c:strRef>
              <c:f>'estatística'!$B$1388</c:f>
            </c:strRef>
          </c:tx>
          <c:cat>
            <c:strRef>
              <c:f>'estatística'!$C$1:$M$1</c:f>
            </c:strRef>
          </c:cat>
          <c:val>
            <c:numRef>
              <c:f>'estatística'!$C$1388:$M$1388</c:f>
              <c:numCache/>
            </c:numRef>
          </c:val>
        </c:ser>
        <c:ser>
          <c:idx val="1387"/>
          <c:order val="1387"/>
          <c:tx>
            <c:strRef>
              <c:f>'estatística'!$B$1389</c:f>
            </c:strRef>
          </c:tx>
          <c:cat>
            <c:strRef>
              <c:f>'estatística'!$C$1:$M$1</c:f>
            </c:strRef>
          </c:cat>
          <c:val>
            <c:numRef>
              <c:f>'estatística'!$C$1389:$M$1389</c:f>
              <c:numCache/>
            </c:numRef>
          </c:val>
        </c:ser>
        <c:ser>
          <c:idx val="1388"/>
          <c:order val="1388"/>
          <c:tx>
            <c:strRef>
              <c:f>'estatística'!$B$1390</c:f>
            </c:strRef>
          </c:tx>
          <c:cat>
            <c:strRef>
              <c:f>'estatística'!$C$1:$M$1</c:f>
            </c:strRef>
          </c:cat>
          <c:val>
            <c:numRef>
              <c:f>'estatística'!$C$1390:$M$1390</c:f>
              <c:numCache/>
            </c:numRef>
          </c:val>
        </c:ser>
        <c:ser>
          <c:idx val="1389"/>
          <c:order val="1389"/>
          <c:tx>
            <c:strRef>
              <c:f>'estatística'!$B$1391</c:f>
            </c:strRef>
          </c:tx>
          <c:cat>
            <c:strRef>
              <c:f>'estatística'!$C$1:$M$1</c:f>
            </c:strRef>
          </c:cat>
          <c:val>
            <c:numRef>
              <c:f>'estatística'!$C$1391:$M$1391</c:f>
              <c:numCache/>
            </c:numRef>
          </c:val>
        </c:ser>
        <c:ser>
          <c:idx val="1390"/>
          <c:order val="1390"/>
          <c:tx>
            <c:strRef>
              <c:f>'estatística'!$B$1392</c:f>
            </c:strRef>
          </c:tx>
          <c:cat>
            <c:strRef>
              <c:f>'estatística'!$C$1:$M$1</c:f>
            </c:strRef>
          </c:cat>
          <c:val>
            <c:numRef>
              <c:f>'estatística'!$C$1392:$M$1392</c:f>
              <c:numCache/>
            </c:numRef>
          </c:val>
        </c:ser>
        <c:ser>
          <c:idx val="1391"/>
          <c:order val="1391"/>
          <c:tx>
            <c:strRef>
              <c:f>'estatística'!$B$1393</c:f>
            </c:strRef>
          </c:tx>
          <c:cat>
            <c:strRef>
              <c:f>'estatística'!$C$1:$M$1</c:f>
            </c:strRef>
          </c:cat>
          <c:val>
            <c:numRef>
              <c:f>'estatística'!$C$1393:$M$1393</c:f>
              <c:numCache/>
            </c:numRef>
          </c:val>
        </c:ser>
        <c:ser>
          <c:idx val="1392"/>
          <c:order val="1392"/>
          <c:tx>
            <c:strRef>
              <c:f>'estatística'!$B$1394</c:f>
            </c:strRef>
          </c:tx>
          <c:cat>
            <c:strRef>
              <c:f>'estatística'!$C$1:$M$1</c:f>
            </c:strRef>
          </c:cat>
          <c:val>
            <c:numRef>
              <c:f>'estatística'!$C$1394:$M$1394</c:f>
              <c:numCache/>
            </c:numRef>
          </c:val>
        </c:ser>
        <c:ser>
          <c:idx val="1393"/>
          <c:order val="1393"/>
          <c:tx>
            <c:strRef>
              <c:f>'estatística'!$B$1395</c:f>
            </c:strRef>
          </c:tx>
          <c:cat>
            <c:strRef>
              <c:f>'estatística'!$C$1:$M$1</c:f>
            </c:strRef>
          </c:cat>
          <c:val>
            <c:numRef>
              <c:f>'estatística'!$C$1395:$M$1395</c:f>
              <c:numCache/>
            </c:numRef>
          </c:val>
        </c:ser>
        <c:ser>
          <c:idx val="1394"/>
          <c:order val="1394"/>
          <c:tx>
            <c:strRef>
              <c:f>'estatística'!$B$1396</c:f>
            </c:strRef>
          </c:tx>
          <c:cat>
            <c:strRef>
              <c:f>'estatística'!$C$1:$M$1</c:f>
            </c:strRef>
          </c:cat>
          <c:val>
            <c:numRef>
              <c:f>'estatística'!$C$1396:$M$1396</c:f>
              <c:numCache/>
            </c:numRef>
          </c:val>
        </c:ser>
        <c:ser>
          <c:idx val="1395"/>
          <c:order val="1395"/>
          <c:tx>
            <c:strRef>
              <c:f>'estatística'!$B$1397</c:f>
            </c:strRef>
          </c:tx>
          <c:cat>
            <c:strRef>
              <c:f>'estatística'!$C$1:$M$1</c:f>
            </c:strRef>
          </c:cat>
          <c:val>
            <c:numRef>
              <c:f>'estatística'!$C$1397:$M$1397</c:f>
              <c:numCache/>
            </c:numRef>
          </c:val>
        </c:ser>
        <c:ser>
          <c:idx val="1396"/>
          <c:order val="1396"/>
          <c:tx>
            <c:strRef>
              <c:f>'estatística'!$B$1398</c:f>
            </c:strRef>
          </c:tx>
          <c:cat>
            <c:strRef>
              <c:f>'estatística'!$C$1:$M$1</c:f>
            </c:strRef>
          </c:cat>
          <c:val>
            <c:numRef>
              <c:f>'estatística'!$C$1398:$M$1398</c:f>
              <c:numCache/>
            </c:numRef>
          </c:val>
        </c:ser>
        <c:ser>
          <c:idx val="1397"/>
          <c:order val="1397"/>
          <c:tx>
            <c:strRef>
              <c:f>'estatística'!$B$1399</c:f>
            </c:strRef>
          </c:tx>
          <c:cat>
            <c:strRef>
              <c:f>'estatística'!$C$1:$M$1</c:f>
            </c:strRef>
          </c:cat>
          <c:val>
            <c:numRef>
              <c:f>'estatística'!$C$1399:$M$1399</c:f>
              <c:numCache/>
            </c:numRef>
          </c:val>
        </c:ser>
        <c:ser>
          <c:idx val="1398"/>
          <c:order val="1398"/>
          <c:tx>
            <c:strRef>
              <c:f>'estatística'!$B$1400</c:f>
            </c:strRef>
          </c:tx>
          <c:cat>
            <c:strRef>
              <c:f>'estatística'!$C$1:$M$1</c:f>
            </c:strRef>
          </c:cat>
          <c:val>
            <c:numRef>
              <c:f>'estatística'!$C$1400:$M$1400</c:f>
              <c:numCache/>
            </c:numRef>
          </c:val>
        </c:ser>
        <c:ser>
          <c:idx val="1399"/>
          <c:order val="1399"/>
          <c:tx>
            <c:strRef>
              <c:f>'estatística'!$B$1401</c:f>
            </c:strRef>
          </c:tx>
          <c:cat>
            <c:strRef>
              <c:f>'estatística'!$C$1:$M$1</c:f>
            </c:strRef>
          </c:cat>
          <c:val>
            <c:numRef>
              <c:f>'estatística'!$C$1401:$M$1401</c:f>
              <c:numCache/>
            </c:numRef>
          </c:val>
        </c:ser>
        <c:ser>
          <c:idx val="1400"/>
          <c:order val="1400"/>
          <c:tx>
            <c:strRef>
              <c:f>'estatística'!$B$1402</c:f>
            </c:strRef>
          </c:tx>
          <c:cat>
            <c:strRef>
              <c:f>'estatística'!$C$1:$M$1</c:f>
            </c:strRef>
          </c:cat>
          <c:val>
            <c:numRef>
              <c:f>'estatística'!$C$1402:$M$1402</c:f>
              <c:numCache/>
            </c:numRef>
          </c:val>
        </c:ser>
        <c:ser>
          <c:idx val="1401"/>
          <c:order val="1401"/>
          <c:tx>
            <c:strRef>
              <c:f>'estatística'!$B$1403</c:f>
            </c:strRef>
          </c:tx>
          <c:cat>
            <c:strRef>
              <c:f>'estatística'!$C$1:$M$1</c:f>
            </c:strRef>
          </c:cat>
          <c:val>
            <c:numRef>
              <c:f>'estatística'!$C$1403:$M$1403</c:f>
              <c:numCache/>
            </c:numRef>
          </c:val>
        </c:ser>
        <c:ser>
          <c:idx val="1402"/>
          <c:order val="1402"/>
          <c:tx>
            <c:strRef>
              <c:f>'estatística'!$B$1404</c:f>
            </c:strRef>
          </c:tx>
          <c:cat>
            <c:strRef>
              <c:f>'estatística'!$C$1:$M$1</c:f>
            </c:strRef>
          </c:cat>
          <c:val>
            <c:numRef>
              <c:f>'estatística'!$C$1404:$M$1404</c:f>
              <c:numCache/>
            </c:numRef>
          </c:val>
        </c:ser>
        <c:ser>
          <c:idx val="1403"/>
          <c:order val="1403"/>
          <c:tx>
            <c:strRef>
              <c:f>'estatística'!$B$1405</c:f>
            </c:strRef>
          </c:tx>
          <c:cat>
            <c:strRef>
              <c:f>'estatística'!$C$1:$M$1</c:f>
            </c:strRef>
          </c:cat>
          <c:val>
            <c:numRef>
              <c:f>'estatística'!$C$1405:$M$1405</c:f>
              <c:numCache/>
            </c:numRef>
          </c:val>
        </c:ser>
        <c:ser>
          <c:idx val="1404"/>
          <c:order val="1404"/>
          <c:tx>
            <c:strRef>
              <c:f>'estatística'!$B$1406</c:f>
            </c:strRef>
          </c:tx>
          <c:cat>
            <c:strRef>
              <c:f>'estatística'!$C$1:$M$1</c:f>
            </c:strRef>
          </c:cat>
          <c:val>
            <c:numRef>
              <c:f>'estatística'!$C$1406:$M$1406</c:f>
              <c:numCache/>
            </c:numRef>
          </c:val>
        </c:ser>
        <c:ser>
          <c:idx val="1405"/>
          <c:order val="1405"/>
          <c:tx>
            <c:strRef>
              <c:f>'estatística'!$B$1407</c:f>
            </c:strRef>
          </c:tx>
          <c:cat>
            <c:strRef>
              <c:f>'estatística'!$C$1:$M$1</c:f>
            </c:strRef>
          </c:cat>
          <c:val>
            <c:numRef>
              <c:f>'estatística'!$C$1407:$M$1407</c:f>
              <c:numCache/>
            </c:numRef>
          </c:val>
        </c:ser>
        <c:ser>
          <c:idx val="1406"/>
          <c:order val="1406"/>
          <c:tx>
            <c:strRef>
              <c:f>'estatística'!$B$1408</c:f>
            </c:strRef>
          </c:tx>
          <c:cat>
            <c:strRef>
              <c:f>'estatística'!$C$1:$M$1</c:f>
            </c:strRef>
          </c:cat>
          <c:val>
            <c:numRef>
              <c:f>'estatística'!$C$1408:$M$1408</c:f>
              <c:numCache/>
            </c:numRef>
          </c:val>
        </c:ser>
        <c:ser>
          <c:idx val="1407"/>
          <c:order val="1407"/>
          <c:tx>
            <c:strRef>
              <c:f>'estatística'!$B$1409</c:f>
            </c:strRef>
          </c:tx>
          <c:cat>
            <c:strRef>
              <c:f>'estatística'!$C$1:$M$1</c:f>
            </c:strRef>
          </c:cat>
          <c:val>
            <c:numRef>
              <c:f>'estatística'!$C$1409:$M$1409</c:f>
              <c:numCache/>
            </c:numRef>
          </c:val>
        </c:ser>
        <c:ser>
          <c:idx val="1408"/>
          <c:order val="1408"/>
          <c:tx>
            <c:strRef>
              <c:f>'estatística'!$B$1410</c:f>
            </c:strRef>
          </c:tx>
          <c:cat>
            <c:strRef>
              <c:f>'estatística'!$C$1:$M$1</c:f>
            </c:strRef>
          </c:cat>
          <c:val>
            <c:numRef>
              <c:f>'estatística'!$C$1410:$M$1410</c:f>
              <c:numCache/>
            </c:numRef>
          </c:val>
        </c:ser>
        <c:ser>
          <c:idx val="1409"/>
          <c:order val="1409"/>
          <c:tx>
            <c:strRef>
              <c:f>'estatística'!$B$1411</c:f>
            </c:strRef>
          </c:tx>
          <c:cat>
            <c:strRef>
              <c:f>'estatística'!$C$1:$M$1</c:f>
            </c:strRef>
          </c:cat>
          <c:val>
            <c:numRef>
              <c:f>'estatística'!$C$1411:$M$1411</c:f>
              <c:numCache/>
            </c:numRef>
          </c:val>
        </c:ser>
        <c:ser>
          <c:idx val="1410"/>
          <c:order val="1410"/>
          <c:tx>
            <c:strRef>
              <c:f>'estatística'!$B$1412</c:f>
            </c:strRef>
          </c:tx>
          <c:cat>
            <c:strRef>
              <c:f>'estatística'!$C$1:$M$1</c:f>
            </c:strRef>
          </c:cat>
          <c:val>
            <c:numRef>
              <c:f>'estatística'!$C$1412:$M$1412</c:f>
              <c:numCache/>
            </c:numRef>
          </c:val>
        </c:ser>
        <c:ser>
          <c:idx val="1411"/>
          <c:order val="1411"/>
          <c:tx>
            <c:strRef>
              <c:f>'estatística'!$B$1413</c:f>
            </c:strRef>
          </c:tx>
          <c:cat>
            <c:strRef>
              <c:f>'estatística'!$C$1:$M$1</c:f>
            </c:strRef>
          </c:cat>
          <c:val>
            <c:numRef>
              <c:f>'estatística'!$C$1413:$M$1413</c:f>
              <c:numCache/>
            </c:numRef>
          </c:val>
        </c:ser>
        <c:ser>
          <c:idx val="1412"/>
          <c:order val="1412"/>
          <c:tx>
            <c:strRef>
              <c:f>'estatística'!$B$1414</c:f>
            </c:strRef>
          </c:tx>
          <c:cat>
            <c:strRef>
              <c:f>'estatística'!$C$1:$M$1</c:f>
            </c:strRef>
          </c:cat>
          <c:val>
            <c:numRef>
              <c:f>'estatística'!$C$1414:$M$1414</c:f>
              <c:numCache/>
            </c:numRef>
          </c:val>
        </c:ser>
        <c:ser>
          <c:idx val="1413"/>
          <c:order val="1413"/>
          <c:tx>
            <c:strRef>
              <c:f>'estatística'!$B$1415</c:f>
            </c:strRef>
          </c:tx>
          <c:cat>
            <c:strRef>
              <c:f>'estatística'!$C$1:$M$1</c:f>
            </c:strRef>
          </c:cat>
          <c:val>
            <c:numRef>
              <c:f>'estatística'!$C$1415:$M$1415</c:f>
              <c:numCache/>
            </c:numRef>
          </c:val>
        </c:ser>
        <c:ser>
          <c:idx val="1414"/>
          <c:order val="1414"/>
          <c:tx>
            <c:strRef>
              <c:f>'estatística'!$B$1416</c:f>
            </c:strRef>
          </c:tx>
          <c:cat>
            <c:strRef>
              <c:f>'estatística'!$C$1:$M$1</c:f>
            </c:strRef>
          </c:cat>
          <c:val>
            <c:numRef>
              <c:f>'estatística'!$C$1416:$M$1416</c:f>
              <c:numCache/>
            </c:numRef>
          </c:val>
        </c:ser>
        <c:ser>
          <c:idx val="1415"/>
          <c:order val="1415"/>
          <c:tx>
            <c:strRef>
              <c:f>'estatística'!$B$1417</c:f>
            </c:strRef>
          </c:tx>
          <c:cat>
            <c:strRef>
              <c:f>'estatística'!$C$1:$M$1</c:f>
            </c:strRef>
          </c:cat>
          <c:val>
            <c:numRef>
              <c:f>'estatística'!$C$1417:$M$1417</c:f>
              <c:numCache/>
            </c:numRef>
          </c:val>
        </c:ser>
        <c:ser>
          <c:idx val="1416"/>
          <c:order val="1416"/>
          <c:tx>
            <c:strRef>
              <c:f>'estatística'!$B$1418</c:f>
            </c:strRef>
          </c:tx>
          <c:cat>
            <c:strRef>
              <c:f>'estatística'!$C$1:$M$1</c:f>
            </c:strRef>
          </c:cat>
          <c:val>
            <c:numRef>
              <c:f>'estatística'!$C$1418:$M$1418</c:f>
              <c:numCache/>
            </c:numRef>
          </c:val>
        </c:ser>
        <c:ser>
          <c:idx val="1417"/>
          <c:order val="1417"/>
          <c:tx>
            <c:strRef>
              <c:f>'estatística'!$B$1419</c:f>
            </c:strRef>
          </c:tx>
          <c:cat>
            <c:strRef>
              <c:f>'estatística'!$C$1:$M$1</c:f>
            </c:strRef>
          </c:cat>
          <c:val>
            <c:numRef>
              <c:f>'estatística'!$C$1419:$M$1419</c:f>
              <c:numCache/>
            </c:numRef>
          </c:val>
        </c:ser>
        <c:ser>
          <c:idx val="1418"/>
          <c:order val="1418"/>
          <c:tx>
            <c:strRef>
              <c:f>'estatística'!$B$1420</c:f>
            </c:strRef>
          </c:tx>
          <c:cat>
            <c:strRef>
              <c:f>'estatística'!$C$1:$M$1</c:f>
            </c:strRef>
          </c:cat>
          <c:val>
            <c:numRef>
              <c:f>'estatística'!$C$1420:$M$1420</c:f>
              <c:numCache/>
            </c:numRef>
          </c:val>
        </c:ser>
        <c:ser>
          <c:idx val="1419"/>
          <c:order val="1419"/>
          <c:tx>
            <c:strRef>
              <c:f>'estatística'!$B$1421</c:f>
            </c:strRef>
          </c:tx>
          <c:cat>
            <c:strRef>
              <c:f>'estatística'!$C$1:$M$1</c:f>
            </c:strRef>
          </c:cat>
          <c:val>
            <c:numRef>
              <c:f>'estatística'!$C$1421:$M$1421</c:f>
              <c:numCache/>
            </c:numRef>
          </c:val>
        </c:ser>
        <c:ser>
          <c:idx val="1420"/>
          <c:order val="1420"/>
          <c:tx>
            <c:strRef>
              <c:f>'estatística'!$B$1422</c:f>
            </c:strRef>
          </c:tx>
          <c:cat>
            <c:strRef>
              <c:f>'estatística'!$C$1:$M$1</c:f>
            </c:strRef>
          </c:cat>
          <c:val>
            <c:numRef>
              <c:f>'estatística'!$C$1422:$M$1422</c:f>
              <c:numCache/>
            </c:numRef>
          </c:val>
        </c:ser>
        <c:ser>
          <c:idx val="1421"/>
          <c:order val="1421"/>
          <c:tx>
            <c:strRef>
              <c:f>'estatística'!$B$1423</c:f>
            </c:strRef>
          </c:tx>
          <c:cat>
            <c:strRef>
              <c:f>'estatística'!$C$1:$M$1</c:f>
            </c:strRef>
          </c:cat>
          <c:val>
            <c:numRef>
              <c:f>'estatística'!$C$1423:$M$1423</c:f>
              <c:numCache/>
            </c:numRef>
          </c:val>
        </c:ser>
        <c:ser>
          <c:idx val="1422"/>
          <c:order val="1422"/>
          <c:tx>
            <c:strRef>
              <c:f>'estatística'!$B$1424</c:f>
            </c:strRef>
          </c:tx>
          <c:cat>
            <c:strRef>
              <c:f>'estatística'!$C$1:$M$1</c:f>
            </c:strRef>
          </c:cat>
          <c:val>
            <c:numRef>
              <c:f>'estatística'!$C$1424:$M$1424</c:f>
              <c:numCache/>
            </c:numRef>
          </c:val>
        </c:ser>
        <c:ser>
          <c:idx val="1423"/>
          <c:order val="1423"/>
          <c:tx>
            <c:strRef>
              <c:f>'estatística'!$B$1425</c:f>
            </c:strRef>
          </c:tx>
          <c:cat>
            <c:strRef>
              <c:f>'estatística'!$C$1:$M$1</c:f>
            </c:strRef>
          </c:cat>
          <c:val>
            <c:numRef>
              <c:f>'estatística'!$C$1425:$M$1425</c:f>
              <c:numCache/>
            </c:numRef>
          </c:val>
        </c:ser>
        <c:ser>
          <c:idx val="1424"/>
          <c:order val="1424"/>
          <c:tx>
            <c:strRef>
              <c:f>'estatística'!$B$1426</c:f>
            </c:strRef>
          </c:tx>
          <c:cat>
            <c:strRef>
              <c:f>'estatística'!$C$1:$M$1</c:f>
            </c:strRef>
          </c:cat>
          <c:val>
            <c:numRef>
              <c:f>'estatística'!$C$1426:$M$1426</c:f>
              <c:numCache/>
            </c:numRef>
          </c:val>
        </c:ser>
        <c:ser>
          <c:idx val="1425"/>
          <c:order val="1425"/>
          <c:tx>
            <c:strRef>
              <c:f>'estatística'!$B$1427</c:f>
            </c:strRef>
          </c:tx>
          <c:cat>
            <c:strRef>
              <c:f>'estatística'!$C$1:$M$1</c:f>
            </c:strRef>
          </c:cat>
          <c:val>
            <c:numRef>
              <c:f>'estatística'!$C$1427:$M$1427</c:f>
              <c:numCache/>
            </c:numRef>
          </c:val>
        </c:ser>
        <c:ser>
          <c:idx val="1426"/>
          <c:order val="1426"/>
          <c:tx>
            <c:strRef>
              <c:f>'estatística'!$B$1428</c:f>
            </c:strRef>
          </c:tx>
          <c:cat>
            <c:strRef>
              <c:f>'estatística'!$C$1:$M$1</c:f>
            </c:strRef>
          </c:cat>
          <c:val>
            <c:numRef>
              <c:f>'estatística'!$C$1428:$M$1428</c:f>
              <c:numCache/>
            </c:numRef>
          </c:val>
        </c:ser>
        <c:ser>
          <c:idx val="1427"/>
          <c:order val="1427"/>
          <c:tx>
            <c:strRef>
              <c:f>'estatística'!$B$1429</c:f>
            </c:strRef>
          </c:tx>
          <c:cat>
            <c:strRef>
              <c:f>'estatística'!$C$1:$M$1</c:f>
            </c:strRef>
          </c:cat>
          <c:val>
            <c:numRef>
              <c:f>'estatística'!$C$1429:$M$1429</c:f>
              <c:numCache/>
            </c:numRef>
          </c:val>
        </c:ser>
        <c:ser>
          <c:idx val="1428"/>
          <c:order val="1428"/>
          <c:tx>
            <c:strRef>
              <c:f>'estatística'!$B$1430</c:f>
            </c:strRef>
          </c:tx>
          <c:cat>
            <c:strRef>
              <c:f>'estatística'!$C$1:$M$1</c:f>
            </c:strRef>
          </c:cat>
          <c:val>
            <c:numRef>
              <c:f>'estatística'!$C$1430:$M$1430</c:f>
              <c:numCache/>
            </c:numRef>
          </c:val>
        </c:ser>
        <c:ser>
          <c:idx val="1429"/>
          <c:order val="1429"/>
          <c:tx>
            <c:strRef>
              <c:f>'estatística'!$B$1431</c:f>
            </c:strRef>
          </c:tx>
          <c:cat>
            <c:strRef>
              <c:f>'estatística'!$C$1:$M$1</c:f>
            </c:strRef>
          </c:cat>
          <c:val>
            <c:numRef>
              <c:f>'estatística'!$C$1431:$M$1431</c:f>
              <c:numCache/>
            </c:numRef>
          </c:val>
        </c:ser>
        <c:ser>
          <c:idx val="1430"/>
          <c:order val="1430"/>
          <c:tx>
            <c:strRef>
              <c:f>'estatística'!$B$1432</c:f>
            </c:strRef>
          </c:tx>
          <c:cat>
            <c:strRef>
              <c:f>'estatística'!$C$1:$M$1</c:f>
            </c:strRef>
          </c:cat>
          <c:val>
            <c:numRef>
              <c:f>'estatística'!$C$1432:$M$1432</c:f>
              <c:numCache/>
            </c:numRef>
          </c:val>
        </c:ser>
        <c:ser>
          <c:idx val="1431"/>
          <c:order val="1431"/>
          <c:tx>
            <c:strRef>
              <c:f>'estatística'!$B$1433</c:f>
            </c:strRef>
          </c:tx>
          <c:cat>
            <c:strRef>
              <c:f>'estatística'!$C$1:$M$1</c:f>
            </c:strRef>
          </c:cat>
          <c:val>
            <c:numRef>
              <c:f>'estatística'!$C$1433:$M$1433</c:f>
              <c:numCache/>
            </c:numRef>
          </c:val>
        </c:ser>
        <c:ser>
          <c:idx val="1432"/>
          <c:order val="1432"/>
          <c:tx>
            <c:strRef>
              <c:f>'estatística'!$B$1434</c:f>
            </c:strRef>
          </c:tx>
          <c:cat>
            <c:strRef>
              <c:f>'estatística'!$C$1:$M$1</c:f>
            </c:strRef>
          </c:cat>
          <c:val>
            <c:numRef>
              <c:f>'estatística'!$C$1434:$M$1434</c:f>
              <c:numCache/>
            </c:numRef>
          </c:val>
        </c:ser>
        <c:ser>
          <c:idx val="1433"/>
          <c:order val="1433"/>
          <c:tx>
            <c:strRef>
              <c:f>'estatística'!$B$1435</c:f>
            </c:strRef>
          </c:tx>
          <c:cat>
            <c:strRef>
              <c:f>'estatística'!$C$1:$M$1</c:f>
            </c:strRef>
          </c:cat>
          <c:val>
            <c:numRef>
              <c:f>'estatística'!$C$1435:$M$1435</c:f>
              <c:numCache/>
            </c:numRef>
          </c:val>
        </c:ser>
        <c:ser>
          <c:idx val="1434"/>
          <c:order val="1434"/>
          <c:tx>
            <c:strRef>
              <c:f>'estatística'!$B$1436</c:f>
            </c:strRef>
          </c:tx>
          <c:cat>
            <c:strRef>
              <c:f>'estatística'!$C$1:$M$1</c:f>
            </c:strRef>
          </c:cat>
          <c:val>
            <c:numRef>
              <c:f>'estatística'!$C$1436:$M$1436</c:f>
              <c:numCache/>
            </c:numRef>
          </c:val>
        </c:ser>
        <c:ser>
          <c:idx val="1435"/>
          <c:order val="1435"/>
          <c:tx>
            <c:strRef>
              <c:f>'estatística'!$B$1437</c:f>
            </c:strRef>
          </c:tx>
          <c:cat>
            <c:strRef>
              <c:f>'estatística'!$C$1:$M$1</c:f>
            </c:strRef>
          </c:cat>
          <c:val>
            <c:numRef>
              <c:f>'estatística'!$C$1437:$M$1437</c:f>
              <c:numCache/>
            </c:numRef>
          </c:val>
        </c:ser>
        <c:ser>
          <c:idx val="1436"/>
          <c:order val="1436"/>
          <c:tx>
            <c:strRef>
              <c:f>'estatística'!$B$1438</c:f>
            </c:strRef>
          </c:tx>
          <c:cat>
            <c:strRef>
              <c:f>'estatística'!$C$1:$M$1</c:f>
            </c:strRef>
          </c:cat>
          <c:val>
            <c:numRef>
              <c:f>'estatística'!$C$1438:$M$1438</c:f>
              <c:numCache/>
            </c:numRef>
          </c:val>
        </c:ser>
        <c:ser>
          <c:idx val="1437"/>
          <c:order val="1437"/>
          <c:tx>
            <c:strRef>
              <c:f>'estatística'!$B$1439</c:f>
            </c:strRef>
          </c:tx>
          <c:cat>
            <c:strRef>
              <c:f>'estatística'!$C$1:$M$1</c:f>
            </c:strRef>
          </c:cat>
          <c:val>
            <c:numRef>
              <c:f>'estatística'!$C$1439:$M$1439</c:f>
              <c:numCache/>
            </c:numRef>
          </c:val>
        </c:ser>
        <c:ser>
          <c:idx val="1438"/>
          <c:order val="1438"/>
          <c:tx>
            <c:strRef>
              <c:f>'estatística'!$B$1440</c:f>
            </c:strRef>
          </c:tx>
          <c:cat>
            <c:strRef>
              <c:f>'estatística'!$C$1:$M$1</c:f>
            </c:strRef>
          </c:cat>
          <c:val>
            <c:numRef>
              <c:f>'estatística'!$C$1440:$M$1440</c:f>
              <c:numCache/>
            </c:numRef>
          </c:val>
        </c:ser>
        <c:ser>
          <c:idx val="1439"/>
          <c:order val="1439"/>
          <c:tx>
            <c:strRef>
              <c:f>'estatística'!$B$1441</c:f>
            </c:strRef>
          </c:tx>
          <c:cat>
            <c:strRef>
              <c:f>'estatística'!$C$1:$M$1</c:f>
            </c:strRef>
          </c:cat>
          <c:val>
            <c:numRef>
              <c:f>'estatística'!$C$1441:$M$1441</c:f>
              <c:numCache/>
            </c:numRef>
          </c:val>
        </c:ser>
        <c:ser>
          <c:idx val="1440"/>
          <c:order val="1440"/>
          <c:tx>
            <c:strRef>
              <c:f>'estatística'!$B$1442</c:f>
            </c:strRef>
          </c:tx>
          <c:cat>
            <c:strRef>
              <c:f>'estatística'!$C$1:$M$1</c:f>
            </c:strRef>
          </c:cat>
          <c:val>
            <c:numRef>
              <c:f>'estatística'!$C$1442:$M$1442</c:f>
              <c:numCache/>
            </c:numRef>
          </c:val>
        </c:ser>
        <c:ser>
          <c:idx val="1441"/>
          <c:order val="1441"/>
          <c:tx>
            <c:strRef>
              <c:f>'estatística'!$B$1443</c:f>
            </c:strRef>
          </c:tx>
          <c:cat>
            <c:strRef>
              <c:f>'estatística'!$C$1:$M$1</c:f>
            </c:strRef>
          </c:cat>
          <c:val>
            <c:numRef>
              <c:f>'estatística'!$C$1443:$M$1443</c:f>
              <c:numCache/>
            </c:numRef>
          </c:val>
        </c:ser>
        <c:ser>
          <c:idx val="1442"/>
          <c:order val="1442"/>
          <c:tx>
            <c:strRef>
              <c:f>'estatística'!$B$1444</c:f>
            </c:strRef>
          </c:tx>
          <c:cat>
            <c:strRef>
              <c:f>'estatística'!$C$1:$M$1</c:f>
            </c:strRef>
          </c:cat>
          <c:val>
            <c:numRef>
              <c:f>'estatística'!$C$1444:$M$1444</c:f>
              <c:numCache/>
            </c:numRef>
          </c:val>
        </c:ser>
        <c:ser>
          <c:idx val="1443"/>
          <c:order val="1443"/>
          <c:tx>
            <c:strRef>
              <c:f>'estatística'!$B$1445</c:f>
            </c:strRef>
          </c:tx>
          <c:cat>
            <c:strRef>
              <c:f>'estatística'!$C$1:$M$1</c:f>
            </c:strRef>
          </c:cat>
          <c:val>
            <c:numRef>
              <c:f>'estatística'!$C$1445:$M$1445</c:f>
              <c:numCache/>
            </c:numRef>
          </c:val>
        </c:ser>
        <c:ser>
          <c:idx val="1444"/>
          <c:order val="1444"/>
          <c:tx>
            <c:strRef>
              <c:f>'estatística'!$B$1446</c:f>
            </c:strRef>
          </c:tx>
          <c:cat>
            <c:strRef>
              <c:f>'estatística'!$C$1:$M$1</c:f>
            </c:strRef>
          </c:cat>
          <c:val>
            <c:numRef>
              <c:f>'estatística'!$C$1446:$M$1446</c:f>
              <c:numCache/>
            </c:numRef>
          </c:val>
        </c:ser>
        <c:ser>
          <c:idx val="1445"/>
          <c:order val="1445"/>
          <c:tx>
            <c:strRef>
              <c:f>'estatística'!$B$1447</c:f>
            </c:strRef>
          </c:tx>
          <c:cat>
            <c:strRef>
              <c:f>'estatística'!$C$1:$M$1</c:f>
            </c:strRef>
          </c:cat>
          <c:val>
            <c:numRef>
              <c:f>'estatística'!$C$1447:$M$1447</c:f>
              <c:numCache/>
            </c:numRef>
          </c:val>
        </c:ser>
        <c:ser>
          <c:idx val="1446"/>
          <c:order val="1446"/>
          <c:tx>
            <c:strRef>
              <c:f>'estatística'!$B$1448</c:f>
            </c:strRef>
          </c:tx>
          <c:cat>
            <c:strRef>
              <c:f>'estatística'!$C$1:$M$1</c:f>
            </c:strRef>
          </c:cat>
          <c:val>
            <c:numRef>
              <c:f>'estatística'!$C$1448:$M$1448</c:f>
              <c:numCache/>
            </c:numRef>
          </c:val>
        </c:ser>
        <c:ser>
          <c:idx val="1447"/>
          <c:order val="1447"/>
          <c:tx>
            <c:strRef>
              <c:f>'estatística'!$B$1449</c:f>
            </c:strRef>
          </c:tx>
          <c:cat>
            <c:strRef>
              <c:f>'estatística'!$C$1:$M$1</c:f>
            </c:strRef>
          </c:cat>
          <c:val>
            <c:numRef>
              <c:f>'estatística'!$C$1449:$M$1449</c:f>
              <c:numCache/>
            </c:numRef>
          </c:val>
        </c:ser>
        <c:ser>
          <c:idx val="1448"/>
          <c:order val="1448"/>
          <c:tx>
            <c:strRef>
              <c:f>'estatística'!$B$1450</c:f>
            </c:strRef>
          </c:tx>
          <c:cat>
            <c:strRef>
              <c:f>'estatística'!$C$1:$M$1</c:f>
            </c:strRef>
          </c:cat>
          <c:val>
            <c:numRef>
              <c:f>'estatística'!$C$1450:$M$1450</c:f>
              <c:numCache/>
            </c:numRef>
          </c:val>
        </c:ser>
        <c:ser>
          <c:idx val="1449"/>
          <c:order val="1449"/>
          <c:tx>
            <c:strRef>
              <c:f>'estatística'!$B$1451</c:f>
            </c:strRef>
          </c:tx>
          <c:cat>
            <c:strRef>
              <c:f>'estatística'!$C$1:$M$1</c:f>
            </c:strRef>
          </c:cat>
          <c:val>
            <c:numRef>
              <c:f>'estatística'!$C$1451:$M$1451</c:f>
              <c:numCache/>
            </c:numRef>
          </c:val>
        </c:ser>
        <c:ser>
          <c:idx val="1450"/>
          <c:order val="1450"/>
          <c:tx>
            <c:strRef>
              <c:f>'estatística'!$B$1452</c:f>
            </c:strRef>
          </c:tx>
          <c:cat>
            <c:strRef>
              <c:f>'estatística'!$C$1:$M$1</c:f>
            </c:strRef>
          </c:cat>
          <c:val>
            <c:numRef>
              <c:f>'estatística'!$C$1452:$M$1452</c:f>
              <c:numCache/>
            </c:numRef>
          </c:val>
        </c:ser>
        <c:ser>
          <c:idx val="1451"/>
          <c:order val="1451"/>
          <c:tx>
            <c:strRef>
              <c:f>'estatística'!$B$1453</c:f>
            </c:strRef>
          </c:tx>
          <c:cat>
            <c:strRef>
              <c:f>'estatística'!$C$1:$M$1</c:f>
            </c:strRef>
          </c:cat>
          <c:val>
            <c:numRef>
              <c:f>'estatística'!$C$1453:$M$1453</c:f>
              <c:numCache/>
            </c:numRef>
          </c:val>
        </c:ser>
        <c:ser>
          <c:idx val="1452"/>
          <c:order val="1452"/>
          <c:tx>
            <c:strRef>
              <c:f>'estatística'!$B$1454</c:f>
            </c:strRef>
          </c:tx>
          <c:cat>
            <c:strRef>
              <c:f>'estatística'!$C$1:$M$1</c:f>
            </c:strRef>
          </c:cat>
          <c:val>
            <c:numRef>
              <c:f>'estatística'!$C$1454:$M$1454</c:f>
              <c:numCache/>
            </c:numRef>
          </c:val>
        </c:ser>
        <c:ser>
          <c:idx val="1453"/>
          <c:order val="1453"/>
          <c:tx>
            <c:strRef>
              <c:f>'estatística'!$B$1455</c:f>
            </c:strRef>
          </c:tx>
          <c:cat>
            <c:strRef>
              <c:f>'estatística'!$C$1:$M$1</c:f>
            </c:strRef>
          </c:cat>
          <c:val>
            <c:numRef>
              <c:f>'estatística'!$C$1455:$M$1455</c:f>
              <c:numCache/>
            </c:numRef>
          </c:val>
        </c:ser>
        <c:ser>
          <c:idx val="1454"/>
          <c:order val="1454"/>
          <c:tx>
            <c:strRef>
              <c:f>'estatística'!$B$1456</c:f>
            </c:strRef>
          </c:tx>
          <c:cat>
            <c:strRef>
              <c:f>'estatística'!$C$1:$M$1</c:f>
            </c:strRef>
          </c:cat>
          <c:val>
            <c:numRef>
              <c:f>'estatística'!$C$1456:$M$1456</c:f>
              <c:numCache/>
            </c:numRef>
          </c:val>
        </c:ser>
        <c:ser>
          <c:idx val="1455"/>
          <c:order val="1455"/>
          <c:tx>
            <c:strRef>
              <c:f>'estatística'!$B$1457</c:f>
            </c:strRef>
          </c:tx>
          <c:cat>
            <c:strRef>
              <c:f>'estatística'!$C$1:$M$1</c:f>
            </c:strRef>
          </c:cat>
          <c:val>
            <c:numRef>
              <c:f>'estatística'!$C$1457:$M$1457</c:f>
              <c:numCache/>
            </c:numRef>
          </c:val>
        </c:ser>
        <c:ser>
          <c:idx val="1456"/>
          <c:order val="1456"/>
          <c:tx>
            <c:strRef>
              <c:f>'estatística'!$B$1458</c:f>
            </c:strRef>
          </c:tx>
          <c:cat>
            <c:strRef>
              <c:f>'estatística'!$C$1:$M$1</c:f>
            </c:strRef>
          </c:cat>
          <c:val>
            <c:numRef>
              <c:f>'estatística'!$C$1458:$M$1458</c:f>
              <c:numCache/>
            </c:numRef>
          </c:val>
        </c:ser>
        <c:ser>
          <c:idx val="1457"/>
          <c:order val="1457"/>
          <c:tx>
            <c:strRef>
              <c:f>'estatística'!$B$1459</c:f>
            </c:strRef>
          </c:tx>
          <c:cat>
            <c:strRef>
              <c:f>'estatística'!$C$1:$M$1</c:f>
            </c:strRef>
          </c:cat>
          <c:val>
            <c:numRef>
              <c:f>'estatística'!$C$1459:$M$1459</c:f>
              <c:numCache/>
            </c:numRef>
          </c:val>
        </c:ser>
        <c:ser>
          <c:idx val="1458"/>
          <c:order val="1458"/>
          <c:tx>
            <c:strRef>
              <c:f>'estatística'!$B$1460</c:f>
            </c:strRef>
          </c:tx>
          <c:cat>
            <c:strRef>
              <c:f>'estatística'!$C$1:$M$1</c:f>
            </c:strRef>
          </c:cat>
          <c:val>
            <c:numRef>
              <c:f>'estatística'!$C$1460:$M$1460</c:f>
              <c:numCache/>
            </c:numRef>
          </c:val>
        </c:ser>
        <c:ser>
          <c:idx val="1459"/>
          <c:order val="1459"/>
          <c:tx>
            <c:strRef>
              <c:f>'estatística'!$B$1461</c:f>
            </c:strRef>
          </c:tx>
          <c:cat>
            <c:strRef>
              <c:f>'estatística'!$C$1:$M$1</c:f>
            </c:strRef>
          </c:cat>
          <c:val>
            <c:numRef>
              <c:f>'estatística'!$C$1461:$M$1461</c:f>
              <c:numCache/>
            </c:numRef>
          </c:val>
        </c:ser>
        <c:ser>
          <c:idx val="1460"/>
          <c:order val="1460"/>
          <c:tx>
            <c:strRef>
              <c:f>'estatística'!$B$1462</c:f>
            </c:strRef>
          </c:tx>
          <c:cat>
            <c:strRef>
              <c:f>'estatística'!$C$1:$M$1</c:f>
            </c:strRef>
          </c:cat>
          <c:val>
            <c:numRef>
              <c:f>'estatística'!$C$1462:$M$1462</c:f>
              <c:numCache/>
            </c:numRef>
          </c:val>
        </c:ser>
        <c:ser>
          <c:idx val="1461"/>
          <c:order val="1461"/>
          <c:tx>
            <c:strRef>
              <c:f>'estatística'!$B$1463</c:f>
            </c:strRef>
          </c:tx>
          <c:cat>
            <c:strRef>
              <c:f>'estatística'!$C$1:$M$1</c:f>
            </c:strRef>
          </c:cat>
          <c:val>
            <c:numRef>
              <c:f>'estatística'!$C$1463:$M$1463</c:f>
              <c:numCache/>
            </c:numRef>
          </c:val>
        </c:ser>
        <c:ser>
          <c:idx val="1462"/>
          <c:order val="1462"/>
          <c:tx>
            <c:strRef>
              <c:f>'estatística'!$B$1464</c:f>
            </c:strRef>
          </c:tx>
          <c:cat>
            <c:strRef>
              <c:f>'estatística'!$C$1:$M$1</c:f>
            </c:strRef>
          </c:cat>
          <c:val>
            <c:numRef>
              <c:f>'estatística'!$C$1464:$M$1464</c:f>
              <c:numCache/>
            </c:numRef>
          </c:val>
        </c:ser>
        <c:ser>
          <c:idx val="1463"/>
          <c:order val="1463"/>
          <c:tx>
            <c:strRef>
              <c:f>'estatística'!$B$1465</c:f>
            </c:strRef>
          </c:tx>
          <c:cat>
            <c:strRef>
              <c:f>'estatística'!$C$1:$M$1</c:f>
            </c:strRef>
          </c:cat>
          <c:val>
            <c:numRef>
              <c:f>'estatística'!$C$1465:$M$1465</c:f>
              <c:numCache/>
            </c:numRef>
          </c:val>
        </c:ser>
        <c:ser>
          <c:idx val="1464"/>
          <c:order val="1464"/>
          <c:tx>
            <c:strRef>
              <c:f>'estatística'!$B$1466</c:f>
            </c:strRef>
          </c:tx>
          <c:cat>
            <c:strRef>
              <c:f>'estatística'!$C$1:$M$1</c:f>
            </c:strRef>
          </c:cat>
          <c:val>
            <c:numRef>
              <c:f>'estatística'!$C$1466:$M$1466</c:f>
              <c:numCache/>
            </c:numRef>
          </c:val>
        </c:ser>
        <c:ser>
          <c:idx val="1465"/>
          <c:order val="1465"/>
          <c:tx>
            <c:strRef>
              <c:f>'estatística'!$B$1467</c:f>
            </c:strRef>
          </c:tx>
          <c:cat>
            <c:strRef>
              <c:f>'estatística'!$C$1:$M$1</c:f>
            </c:strRef>
          </c:cat>
          <c:val>
            <c:numRef>
              <c:f>'estatística'!$C$1467:$M$1467</c:f>
              <c:numCache/>
            </c:numRef>
          </c:val>
        </c:ser>
        <c:ser>
          <c:idx val="1466"/>
          <c:order val="1466"/>
          <c:tx>
            <c:strRef>
              <c:f>'estatística'!$B$1468</c:f>
            </c:strRef>
          </c:tx>
          <c:cat>
            <c:strRef>
              <c:f>'estatística'!$C$1:$M$1</c:f>
            </c:strRef>
          </c:cat>
          <c:val>
            <c:numRef>
              <c:f>'estatística'!$C$1468:$M$1468</c:f>
              <c:numCache/>
            </c:numRef>
          </c:val>
        </c:ser>
        <c:ser>
          <c:idx val="1467"/>
          <c:order val="1467"/>
          <c:tx>
            <c:strRef>
              <c:f>'estatística'!$B$1469</c:f>
            </c:strRef>
          </c:tx>
          <c:cat>
            <c:strRef>
              <c:f>'estatística'!$C$1:$M$1</c:f>
            </c:strRef>
          </c:cat>
          <c:val>
            <c:numRef>
              <c:f>'estatística'!$C$1469:$M$1469</c:f>
              <c:numCache/>
            </c:numRef>
          </c:val>
        </c:ser>
        <c:ser>
          <c:idx val="1468"/>
          <c:order val="1468"/>
          <c:tx>
            <c:strRef>
              <c:f>'estatística'!$B$1470</c:f>
            </c:strRef>
          </c:tx>
          <c:cat>
            <c:strRef>
              <c:f>'estatística'!$C$1:$M$1</c:f>
            </c:strRef>
          </c:cat>
          <c:val>
            <c:numRef>
              <c:f>'estatística'!$C$1470:$M$1470</c:f>
              <c:numCache/>
            </c:numRef>
          </c:val>
        </c:ser>
        <c:ser>
          <c:idx val="1469"/>
          <c:order val="1469"/>
          <c:tx>
            <c:strRef>
              <c:f>'estatística'!$B$1471</c:f>
            </c:strRef>
          </c:tx>
          <c:cat>
            <c:strRef>
              <c:f>'estatística'!$C$1:$M$1</c:f>
            </c:strRef>
          </c:cat>
          <c:val>
            <c:numRef>
              <c:f>'estatística'!$C$1471:$M$1471</c:f>
              <c:numCache/>
            </c:numRef>
          </c:val>
        </c:ser>
        <c:ser>
          <c:idx val="1470"/>
          <c:order val="1470"/>
          <c:tx>
            <c:strRef>
              <c:f>'estatística'!$B$1472</c:f>
            </c:strRef>
          </c:tx>
          <c:cat>
            <c:strRef>
              <c:f>'estatística'!$C$1:$M$1</c:f>
            </c:strRef>
          </c:cat>
          <c:val>
            <c:numRef>
              <c:f>'estatística'!$C$1472:$M$1472</c:f>
              <c:numCache/>
            </c:numRef>
          </c:val>
        </c:ser>
        <c:ser>
          <c:idx val="1471"/>
          <c:order val="1471"/>
          <c:tx>
            <c:strRef>
              <c:f>'estatística'!$B$1473</c:f>
            </c:strRef>
          </c:tx>
          <c:cat>
            <c:strRef>
              <c:f>'estatística'!$C$1:$M$1</c:f>
            </c:strRef>
          </c:cat>
          <c:val>
            <c:numRef>
              <c:f>'estatística'!$C$1473:$M$1473</c:f>
              <c:numCache/>
            </c:numRef>
          </c:val>
        </c:ser>
        <c:ser>
          <c:idx val="1472"/>
          <c:order val="1472"/>
          <c:tx>
            <c:strRef>
              <c:f>'estatística'!$B$1474</c:f>
            </c:strRef>
          </c:tx>
          <c:cat>
            <c:strRef>
              <c:f>'estatística'!$C$1:$M$1</c:f>
            </c:strRef>
          </c:cat>
          <c:val>
            <c:numRef>
              <c:f>'estatística'!$C$1474:$M$1474</c:f>
              <c:numCache/>
            </c:numRef>
          </c:val>
        </c:ser>
        <c:ser>
          <c:idx val="1473"/>
          <c:order val="1473"/>
          <c:tx>
            <c:strRef>
              <c:f>'estatística'!$B$1475</c:f>
            </c:strRef>
          </c:tx>
          <c:cat>
            <c:strRef>
              <c:f>'estatística'!$C$1:$M$1</c:f>
            </c:strRef>
          </c:cat>
          <c:val>
            <c:numRef>
              <c:f>'estatística'!$C$1475:$M$1475</c:f>
              <c:numCache/>
            </c:numRef>
          </c:val>
        </c:ser>
        <c:ser>
          <c:idx val="1474"/>
          <c:order val="1474"/>
          <c:tx>
            <c:strRef>
              <c:f>'estatística'!$B$1476</c:f>
            </c:strRef>
          </c:tx>
          <c:cat>
            <c:strRef>
              <c:f>'estatística'!$C$1:$M$1</c:f>
            </c:strRef>
          </c:cat>
          <c:val>
            <c:numRef>
              <c:f>'estatística'!$C$1476:$M$1476</c:f>
              <c:numCache/>
            </c:numRef>
          </c:val>
        </c:ser>
        <c:ser>
          <c:idx val="1475"/>
          <c:order val="1475"/>
          <c:tx>
            <c:strRef>
              <c:f>'estatística'!$B$1477</c:f>
            </c:strRef>
          </c:tx>
          <c:cat>
            <c:strRef>
              <c:f>'estatística'!$C$1:$M$1</c:f>
            </c:strRef>
          </c:cat>
          <c:val>
            <c:numRef>
              <c:f>'estatística'!$C$1477:$M$1477</c:f>
              <c:numCache/>
            </c:numRef>
          </c:val>
        </c:ser>
        <c:ser>
          <c:idx val="1476"/>
          <c:order val="1476"/>
          <c:tx>
            <c:strRef>
              <c:f>'estatística'!$B$1478</c:f>
            </c:strRef>
          </c:tx>
          <c:cat>
            <c:strRef>
              <c:f>'estatística'!$C$1:$M$1</c:f>
            </c:strRef>
          </c:cat>
          <c:val>
            <c:numRef>
              <c:f>'estatística'!$C$1478:$M$1478</c:f>
              <c:numCache/>
            </c:numRef>
          </c:val>
        </c:ser>
        <c:ser>
          <c:idx val="1477"/>
          <c:order val="1477"/>
          <c:tx>
            <c:strRef>
              <c:f>'estatística'!$B$1479</c:f>
            </c:strRef>
          </c:tx>
          <c:cat>
            <c:strRef>
              <c:f>'estatística'!$C$1:$M$1</c:f>
            </c:strRef>
          </c:cat>
          <c:val>
            <c:numRef>
              <c:f>'estatística'!$C$1479:$M$1479</c:f>
              <c:numCache/>
            </c:numRef>
          </c:val>
        </c:ser>
        <c:ser>
          <c:idx val="1478"/>
          <c:order val="1478"/>
          <c:tx>
            <c:strRef>
              <c:f>'estatística'!$B$1480</c:f>
            </c:strRef>
          </c:tx>
          <c:cat>
            <c:strRef>
              <c:f>'estatística'!$C$1:$M$1</c:f>
            </c:strRef>
          </c:cat>
          <c:val>
            <c:numRef>
              <c:f>'estatística'!$C$1480:$M$1480</c:f>
              <c:numCache/>
            </c:numRef>
          </c:val>
        </c:ser>
        <c:ser>
          <c:idx val="1479"/>
          <c:order val="1479"/>
          <c:tx>
            <c:strRef>
              <c:f>'estatística'!$B$1481</c:f>
            </c:strRef>
          </c:tx>
          <c:cat>
            <c:strRef>
              <c:f>'estatística'!$C$1:$M$1</c:f>
            </c:strRef>
          </c:cat>
          <c:val>
            <c:numRef>
              <c:f>'estatística'!$C$1481:$M$1481</c:f>
              <c:numCache/>
            </c:numRef>
          </c:val>
        </c:ser>
        <c:ser>
          <c:idx val="1480"/>
          <c:order val="1480"/>
          <c:tx>
            <c:strRef>
              <c:f>'estatística'!$B$1482</c:f>
            </c:strRef>
          </c:tx>
          <c:cat>
            <c:strRef>
              <c:f>'estatística'!$C$1:$M$1</c:f>
            </c:strRef>
          </c:cat>
          <c:val>
            <c:numRef>
              <c:f>'estatística'!$C$1482:$M$1482</c:f>
              <c:numCache/>
            </c:numRef>
          </c:val>
        </c:ser>
        <c:ser>
          <c:idx val="1481"/>
          <c:order val="1481"/>
          <c:tx>
            <c:strRef>
              <c:f>'estatística'!$B$1483</c:f>
            </c:strRef>
          </c:tx>
          <c:cat>
            <c:strRef>
              <c:f>'estatística'!$C$1:$M$1</c:f>
            </c:strRef>
          </c:cat>
          <c:val>
            <c:numRef>
              <c:f>'estatística'!$C$1483:$M$1483</c:f>
              <c:numCache/>
            </c:numRef>
          </c:val>
        </c:ser>
        <c:ser>
          <c:idx val="1482"/>
          <c:order val="1482"/>
          <c:tx>
            <c:strRef>
              <c:f>'estatística'!$B$1484</c:f>
            </c:strRef>
          </c:tx>
          <c:cat>
            <c:strRef>
              <c:f>'estatística'!$C$1:$M$1</c:f>
            </c:strRef>
          </c:cat>
          <c:val>
            <c:numRef>
              <c:f>'estatística'!$C$1484:$M$1484</c:f>
              <c:numCache/>
            </c:numRef>
          </c:val>
        </c:ser>
        <c:ser>
          <c:idx val="1483"/>
          <c:order val="1483"/>
          <c:tx>
            <c:strRef>
              <c:f>'estatística'!$B$1485</c:f>
            </c:strRef>
          </c:tx>
          <c:cat>
            <c:strRef>
              <c:f>'estatística'!$C$1:$M$1</c:f>
            </c:strRef>
          </c:cat>
          <c:val>
            <c:numRef>
              <c:f>'estatística'!$C$1485:$M$1485</c:f>
              <c:numCache/>
            </c:numRef>
          </c:val>
        </c:ser>
        <c:ser>
          <c:idx val="1484"/>
          <c:order val="1484"/>
          <c:tx>
            <c:strRef>
              <c:f>'estatística'!$B$1486</c:f>
            </c:strRef>
          </c:tx>
          <c:cat>
            <c:strRef>
              <c:f>'estatística'!$C$1:$M$1</c:f>
            </c:strRef>
          </c:cat>
          <c:val>
            <c:numRef>
              <c:f>'estatística'!$C$1486:$M$1486</c:f>
              <c:numCache/>
            </c:numRef>
          </c:val>
        </c:ser>
        <c:ser>
          <c:idx val="1485"/>
          <c:order val="1485"/>
          <c:tx>
            <c:strRef>
              <c:f>'estatística'!$B$1487</c:f>
            </c:strRef>
          </c:tx>
          <c:cat>
            <c:strRef>
              <c:f>'estatística'!$C$1:$M$1</c:f>
            </c:strRef>
          </c:cat>
          <c:val>
            <c:numRef>
              <c:f>'estatística'!$C$1487:$M$1487</c:f>
              <c:numCache/>
            </c:numRef>
          </c:val>
        </c:ser>
        <c:ser>
          <c:idx val="1486"/>
          <c:order val="1486"/>
          <c:tx>
            <c:strRef>
              <c:f>'estatística'!$B$1488</c:f>
            </c:strRef>
          </c:tx>
          <c:cat>
            <c:strRef>
              <c:f>'estatística'!$C$1:$M$1</c:f>
            </c:strRef>
          </c:cat>
          <c:val>
            <c:numRef>
              <c:f>'estatística'!$C$1488:$M$1488</c:f>
              <c:numCache/>
            </c:numRef>
          </c:val>
        </c:ser>
        <c:ser>
          <c:idx val="1487"/>
          <c:order val="1487"/>
          <c:tx>
            <c:strRef>
              <c:f>'estatística'!$B$1489</c:f>
            </c:strRef>
          </c:tx>
          <c:cat>
            <c:strRef>
              <c:f>'estatística'!$C$1:$M$1</c:f>
            </c:strRef>
          </c:cat>
          <c:val>
            <c:numRef>
              <c:f>'estatística'!$C$1489:$M$1489</c:f>
              <c:numCache/>
            </c:numRef>
          </c:val>
        </c:ser>
        <c:ser>
          <c:idx val="1488"/>
          <c:order val="1488"/>
          <c:tx>
            <c:strRef>
              <c:f>'estatística'!$B$1490</c:f>
            </c:strRef>
          </c:tx>
          <c:cat>
            <c:strRef>
              <c:f>'estatística'!$C$1:$M$1</c:f>
            </c:strRef>
          </c:cat>
          <c:val>
            <c:numRef>
              <c:f>'estatística'!$C$1490:$M$1490</c:f>
              <c:numCache/>
            </c:numRef>
          </c:val>
        </c:ser>
        <c:ser>
          <c:idx val="1489"/>
          <c:order val="1489"/>
          <c:tx>
            <c:strRef>
              <c:f>'estatística'!$B$1491</c:f>
            </c:strRef>
          </c:tx>
          <c:cat>
            <c:strRef>
              <c:f>'estatística'!$C$1:$M$1</c:f>
            </c:strRef>
          </c:cat>
          <c:val>
            <c:numRef>
              <c:f>'estatística'!$C$1491:$M$1491</c:f>
              <c:numCache/>
            </c:numRef>
          </c:val>
        </c:ser>
        <c:ser>
          <c:idx val="1490"/>
          <c:order val="1490"/>
          <c:tx>
            <c:strRef>
              <c:f>'estatística'!$B$1492</c:f>
            </c:strRef>
          </c:tx>
          <c:cat>
            <c:strRef>
              <c:f>'estatística'!$C$1:$M$1</c:f>
            </c:strRef>
          </c:cat>
          <c:val>
            <c:numRef>
              <c:f>'estatística'!$C$1492:$M$1492</c:f>
              <c:numCache/>
            </c:numRef>
          </c:val>
        </c:ser>
        <c:ser>
          <c:idx val="1491"/>
          <c:order val="1491"/>
          <c:tx>
            <c:strRef>
              <c:f>'estatística'!$B$1493</c:f>
            </c:strRef>
          </c:tx>
          <c:cat>
            <c:strRef>
              <c:f>'estatística'!$C$1:$M$1</c:f>
            </c:strRef>
          </c:cat>
          <c:val>
            <c:numRef>
              <c:f>'estatística'!$C$1493:$M$1493</c:f>
              <c:numCache/>
            </c:numRef>
          </c:val>
        </c:ser>
        <c:ser>
          <c:idx val="1492"/>
          <c:order val="1492"/>
          <c:tx>
            <c:strRef>
              <c:f>'estatística'!$B$1494</c:f>
            </c:strRef>
          </c:tx>
          <c:cat>
            <c:strRef>
              <c:f>'estatística'!$C$1:$M$1</c:f>
            </c:strRef>
          </c:cat>
          <c:val>
            <c:numRef>
              <c:f>'estatística'!$C$1494:$M$1494</c:f>
              <c:numCache/>
            </c:numRef>
          </c:val>
        </c:ser>
        <c:ser>
          <c:idx val="1493"/>
          <c:order val="1493"/>
          <c:tx>
            <c:strRef>
              <c:f>'estatística'!$B$1495</c:f>
            </c:strRef>
          </c:tx>
          <c:cat>
            <c:strRef>
              <c:f>'estatística'!$C$1:$M$1</c:f>
            </c:strRef>
          </c:cat>
          <c:val>
            <c:numRef>
              <c:f>'estatística'!$C$1495:$M$1495</c:f>
              <c:numCache/>
            </c:numRef>
          </c:val>
        </c:ser>
        <c:ser>
          <c:idx val="1494"/>
          <c:order val="1494"/>
          <c:tx>
            <c:strRef>
              <c:f>'estatística'!$B$1496</c:f>
            </c:strRef>
          </c:tx>
          <c:cat>
            <c:strRef>
              <c:f>'estatística'!$C$1:$M$1</c:f>
            </c:strRef>
          </c:cat>
          <c:val>
            <c:numRef>
              <c:f>'estatística'!$C$1496:$M$1496</c:f>
              <c:numCache/>
            </c:numRef>
          </c:val>
        </c:ser>
        <c:ser>
          <c:idx val="1495"/>
          <c:order val="1495"/>
          <c:tx>
            <c:strRef>
              <c:f>'estatística'!$B$1497</c:f>
            </c:strRef>
          </c:tx>
          <c:cat>
            <c:strRef>
              <c:f>'estatística'!$C$1:$M$1</c:f>
            </c:strRef>
          </c:cat>
          <c:val>
            <c:numRef>
              <c:f>'estatística'!$C$1497:$M$1497</c:f>
              <c:numCache/>
            </c:numRef>
          </c:val>
        </c:ser>
        <c:ser>
          <c:idx val="1496"/>
          <c:order val="1496"/>
          <c:tx>
            <c:strRef>
              <c:f>'estatística'!$B$1498</c:f>
            </c:strRef>
          </c:tx>
          <c:cat>
            <c:strRef>
              <c:f>'estatística'!$C$1:$M$1</c:f>
            </c:strRef>
          </c:cat>
          <c:val>
            <c:numRef>
              <c:f>'estatística'!$C$1498:$M$1498</c:f>
              <c:numCache/>
            </c:numRef>
          </c:val>
        </c:ser>
        <c:ser>
          <c:idx val="1497"/>
          <c:order val="1497"/>
          <c:tx>
            <c:strRef>
              <c:f>'estatística'!$B$1499</c:f>
            </c:strRef>
          </c:tx>
          <c:cat>
            <c:strRef>
              <c:f>'estatística'!$C$1:$M$1</c:f>
            </c:strRef>
          </c:cat>
          <c:val>
            <c:numRef>
              <c:f>'estatística'!$C$1499:$M$1499</c:f>
              <c:numCache/>
            </c:numRef>
          </c:val>
        </c:ser>
        <c:ser>
          <c:idx val="1498"/>
          <c:order val="1498"/>
          <c:tx>
            <c:strRef>
              <c:f>'estatística'!$B$1500</c:f>
            </c:strRef>
          </c:tx>
          <c:cat>
            <c:strRef>
              <c:f>'estatística'!$C$1:$M$1</c:f>
            </c:strRef>
          </c:cat>
          <c:val>
            <c:numRef>
              <c:f>'estatística'!$C$1500:$M$1500</c:f>
              <c:numCache/>
            </c:numRef>
          </c:val>
        </c:ser>
        <c:ser>
          <c:idx val="1499"/>
          <c:order val="1499"/>
          <c:tx>
            <c:strRef>
              <c:f>'estatística'!$B$1501</c:f>
            </c:strRef>
          </c:tx>
          <c:cat>
            <c:strRef>
              <c:f>'estatística'!$C$1:$M$1</c:f>
            </c:strRef>
          </c:cat>
          <c:val>
            <c:numRef>
              <c:f>'estatística'!$C$1501:$M$1501</c:f>
              <c:numCache/>
            </c:numRef>
          </c:val>
        </c:ser>
        <c:ser>
          <c:idx val="1500"/>
          <c:order val="1500"/>
          <c:tx>
            <c:strRef>
              <c:f>'estatística'!$B$1502</c:f>
            </c:strRef>
          </c:tx>
          <c:cat>
            <c:strRef>
              <c:f>'estatística'!$C$1:$M$1</c:f>
            </c:strRef>
          </c:cat>
          <c:val>
            <c:numRef>
              <c:f>'estatística'!$C$1502:$M$1502</c:f>
              <c:numCache/>
            </c:numRef>
          </c:val>
        </c:ser>
        <c:ser>
          <c:idx val="1501"/>
          <c:order val="1501"/>
          <c:tx>
            <c:strRef>
              <c:f>'estatística'!$B$1503</c:f>
            </c:strRef>
          </c:tx>
          <c:cat>
            <c:strRef>
              <c:f>'estatística'!$C$1:$M$1</c:f>
            </c:strRef>
          </c:cat>
          <c:val>
            <c:numRef>
              <c:f>'estatística'!$C$1503:$M$1503</c:f>
              <c:numCache/>
            </c:numRef>
          </c:val>
        </c:ser>
        <c:ser>
          <c:idx val="1502"/>
          <c:order val="1502"/>
          <c:tx>
            <c:strRef>
              <c:f>'estatística'!$B$1504</c:f>
            </c:strRef>
          </c:tx>
          <c:cat>
            <c:strRef>
              <c:f>'estatística'!$C$1:$M$1</c:f>
            </c:strRef>
          </c:cat>
          <c:val>
            <c:numRef>
              <c:f>'estatística'!$C$1504:$M$1504</c:f>
              <c:numCache/>
            </c:numRef>
          </c:val>
        </c:ser>
        <c:ser>
          <c:idx val="1503"/>
          <c:order val="1503"/>
          <c:tx>
            <c:strRef>
              <c:f>'estatística'!$B$1505</c:f>
            </c:strRef>
          </c:tx>
          <c:cat>
            <c:strRef>
              <c:f>'estatística'!$C$1:$M$1</c:f>
            </c:strRef>
          </c:cat>
          <c:val>
            <c:numRef>
              <c:f>'estatística'!$C$1505:$M$1505</c:f>
              <c:numCache/>
            </c:numRef>
          </c:val>
        </c:ser>
        <c:ser>
          <c:idx val="1504"/>
          <c:order val="1504"/>
          <c:tx>
            <c:strRef>
              <c:f>'estatística'!$B$1506</c:f>
            </c:strRef>
          </c:tx>
          <c:cat>
            <c:strRef>
              <c:f>'estatística'!$C$1:$M$1</c:f>
            </c:strRef>
          </c:cat>
          <c:val>
            <c:numRef>
              <c:f>'estatística'!$C$1506:$M$1506</c:f>
              <c:numCache/>
            </c:numRef>
          </c:val>
        </c:ser>
        <c:ser>
          <c:idx val="1505"/>
          <c:order val="1505"/>
          <c:tx>
            <c:strRef>
              <c:f>'estatística'!$B$1507</c:f>
            </c:strRef>
          </c:tx>
          <c:cat>
            <c:strRef>
              <c:f>'estatística'!$C$1:$M$1</c:f>
            </c:strRef>
          </c:cat>
          <c:val>
            <c:numRef>
              <c:f>'estatística'!$C$1507:$M$1507</c:f>
              <c:numCache/>
            </c:numRef>
          </c:val>
        </c:ser>
        <c:ser>
          <c:idx val="1506"/>
          <c:order val="1506"/>
          <c:tx>
            <c:strRef>
              <c:f>'estatística'!$B$1508</c:f>
            </c:strRef>
          </c:tx>
          <c:cat>
            <c:strRef>
              <c:f>'estatística'!$C$1:$M$1</c:f>
            </c:strRef>
          </c:cat>
          <c:val>
            <c:numRef>
              <c:f>'estatística'!$C$1508:$M$1508</c:f>
              <c:numCache/>
            </c:numRef>
          </c:val>
        </c:ser>
        <c:ser>
          <c:idx val="1507"/>
          <c:order val="1507"/>
          <c:tx>
            <c:strRef>
              <c:f>'estatística'!$B$1509</c:f>
            </c:strRef>
          </c:tx>
          <c:cat>
            <c:strRef>
              <c:f>'estatística'!$C$1:$M$1</c:f>
            </c:strRef>
          </c:cat>
          <c:val>
            <c:numRef>
              <c:f>'estatística'!$C$1509:$M$1509</c:f>
              <c:numCache/>
            </c:numRef>
          </c:val>
        </c:ser>
        <c:ser>
          <c:idx val="1508"/>
          <c:order val="1508"/>
          <c:tx>
            <c:strRef>
              <c:f>'estatística'!$B$1510</c:f>
            </c:strRef>
          </c:tx>
          <c:cat>
            <c:strRef>
              <c:f>'estatística'!$C$1:$M$1</c:f>
            </c:strRef>
          </c:cat>
          <c:val>
            <c:numRef>
              <c:f>'estatística'!$C$1510:$M$1510</c:f>
              <c:numCache/>
            </c:numRef>
          </c:val>
        </c:ser>
        <c:ser>
          <c:idx val="1509"/>
          <c:order val="1509"/>
          <c:tx>
            <c:strRef>
              <c:f>'estatística'!$B$1511</c:f>
            </c:strRef>
          </c:tx>
          <c:cat>
            <c:strRef>
              <c:f>'estatística'!$C$1:$M$1</c:f>
            </c:strRef>
          </c:cat>
          <c:val>
            <c:numRef>
              <c:f>'estatística'!$C$1511:$M$1511</c:f>
              <c:numCache/>
            </c:numRef>
          </c:val>
        </c:ser>
        <c:ser>
          <c:idx val="1510"/>
          <c:order val="1510"/>
          <c:tx>
            <c:strRef>
              <c:f>'estatística'!$B$1512</c:f>
            </c:strRef>
          </c:tx>
          <c:cat>
            <c:strRef>
              <c:f>'estatística'!$C$1:$M$1</c:f>
            </c:strRef>
          </c:cat>
          <c:val>
            <c:numRef>
              <c:f>'estatística'!$C$1512:$M$1512</c:f>
              <c:numCache/>
            </c:numRef>
          </c:val>
        </c:ser>
        <c:ser>
          <c:idx val="1511"/>
          <c:order val="1511"/>
          <c:tx>
            <c:strRef>
              <c:f>'estatística'!$B$1513</c:f>
            </c:strRef>
          </c:tx>
          <c:cat>
            <c:strRef>
              <c:f>'estatística'!$C$1:$M$1</c:f>
            </c:strRef>
          </c:cat>
          <c:val>
            <c:numRef>
              <c:f>'estatística'!$C$1513:$M$1513</c:f>
              <c:numCache/>
            </c:numRef>
          </c:val>
        </c:ser>
        <c:ser>
          <c:idx val="1512"/>
          <c:order val="1512"/>
          <c:tx>
            <c:strRef>
              <c:f>'estatística'!$B$1514</c:f>
            </c:strRef>
          </c:tx>
          <c:cat>
            <c:strRef>
              <c:f>'estatística'!$C$1:$M$1</c:f>
            </c:strRef>
          </c:cat>
          <c:val>
            <c:numRef>
              <c:f>'estatística'!$C$1514:$M$1514</c:f>
              <c:numCache/>
            </c:numRef>
          </c:val>
        </c:ser>
        <c:ser>
          <c:idx val="1513"/>
          <c:order val="1513"/>
          <c:tx>
            <c:strRef>
              <c:f>'estatística'!$B$1515</c:f>
            </c:strRef>
          </c:tx>
          <c:cat>
            <c:strRef>
              <c:f>'estatística'!$C$1:$M$1</c:f>
            </c:strRef>
          </c:cat>
          <c:val>
            <c:numRef>
              <c:f>'estatística'!$C$1515:$M$1515</c:f>
              <c:numCache/>
            </c:numRef>
          </c:val>
        </c:ser>
        <c:ser>
          <c:idx val="1514"/>
          <c:order val="1514"/>
          <c:tx>
            <c:strRef>
              <c:f>'estatística'!$B$1516</c:f>
            </c:strRef>
          </c:tx>
          <c:cat>
            <c:strRef>
              <c:f>'estatística'!$C$1:$M$1</c:f>
            </c:strRef>
          </c:cat>
          <c:val>
            <c:numRef>
              <c:f>'estatística'!$C$1516:$M$1516</c:f>
              <c:numCache/>
            </c:numRef>
          </c:val>
        </c:ser>
        <c:ser>
          <c:idx val="1515"/>
          <c:order val="1515"/>
          <c:tx>
            <c:strRef>
              <c:f>'estatística'!$B$1517</c:f>
            </c:strRef>
          </c:tx>
          <c:cat>
            <c:strRef>
              <c:f>'estatística'!$C$1:$M$1</c:f>
            </c:strRef>
          </c:cat>
          <c:val>
            <c:numRef>
              <c:f>'estatística'!$C$1517:$M$1517</c:f>
              <c:numCache/>
            </c:numRef>
          </c:val>
        </c:ser>
        <c:ser>
          <c:idx val="1516"/>
          <c:order val="1516"/>
          <c:tx>
            <c:strRef>
              <c:f>'estatística'!$B$1518</c:f>
            </c:strRef>
          </c:tx>
          <c:cat>
            <c:strRef>
              <c:f>'estatística'!$C$1:$M$1</c:f>
            </c:strRef>
          </c:cat>
          <c:val>
            <c:numRef>
              <c:f>'estatística'!$C$1518:$M$1518</c:f>
              <c:numCache/>
            </c:numRef>
          </c:val>
        </c:ser>
        <c:ser>
          <c:idx val="1517"/>
          <c:order val="1517"/>
          <c:tx>
            <c:strRef>
              <c:f>'estatística'!$B$1519</c:f>
            </c:strRef>
          </c:tx>
          <c:cat>
            <c:strRef>
              <c:f>'estatística'!$C$1:$M$1</c:f>
            </c:strRef>
          </c:cat>
          <c:val>
            <c:numRef>
              <c:f>'estatística'!$C$1519:$M$1519</c:f>
              <c:numCache/>
            </c:numRef>
          </c:val>
        </c:ser>
        <c:ser>
          <c:idx val="1518"/>
          <c:order val="1518"/>
          <c:tx>
            <c:strRef>
              <c:f>'estatística'!$B$1520</c:f>
            </c:strRef>
          </c:tx>
          <c:cat>
            <c:strRef>
              <c:f>'estatística'!$C$1:$M$1</c:f>
            </c:strRef>
          </c:cat>
          <c:val>
            <c:numRef>
              <c:f>'estatística'!$C$1520:$M$1520</c:f>
              <c:numCache/>
            </c:numRef>
          </c:val>
        </c:ser>
        <c:ser>
          <c:idx val="1519"/>
          <c:order val="1519"/>
          <c:tx>
            <c:strRef>
              <c:f>'estatística'!$B$1521</c:f>
            </c:strRef>
          </c:tx>
          <c:cat>
            <c:strRef>
              <c:f>'estatística'!$C$1:$M$1</c:f>
            </c:strRef>
          </c:cat>
          <c:val>
            <c:numRef>
              <c:f>'estatística'!$C$1521:$M$1521</c:f>
              <c:numCache/>
            </c:numRef>
          </c:val>
        </c:ser>
        <c:ser>
          <c:idx val="1520"/>
          <c:order val="1520"/>
          <c:tx>
            <c:strRef>
              <c:f>'estatística'!$B$1522</c:f>
            </c:strRef>
          </c:tx>
          <c:cat>
            <c:strRef>
              <c:f>'estatística'!$C$1:$M$1</c:f>
            </c:strRef>
          </c:cat>
          <c:val>
            <c:numRef>
              <c:f>'estatística'!$C$1522:$M$1522</c:f>
              <c:numCache/>
            </c:numRef>
          </c:val>
        </c:ser>
        <c:ser>
          <c:idx val="1521"/>
          <c:order val="1521"/>
          <c:tx>
            <c:strRef>
              <c:f>'estatística'!$B$1523</c:f>
            </c:strRef>
          </c:tx>
          <c:cat>
            <c:strRef>
              <c:f>'estatística'!$C$1:$M$1</c:f>
            </c:strRef>
          </c:cat>
          <c:val>
            <c:numRef>
              <c:f>'estatística'!$C$1523:$M$1523</c:f>
              <c:numCache/>
            </c:numRef>
          </c:val>
        </c:ser>
        <c:ser>
          <c:idx val="1522"/>
          <c:order val="1522"/>
          <c:tx>
            <c:strRef>
              <c:f>'estatística'!$B$1524</c:f>
            </c:strRef>
          </c:tx>
          <c:cat>
            <c:strRef>
              <c:f>'estatística'!$C$1:$M$1</c:f>
            </c:strRef>
          </c:cat>
          <c:val>
            <c:numRef>
              <c:f>'estatística'!$C$1524:$M$1524</c:f>
              <c:numCache/>
            </c:numRef>
          </c:val>
        </c:ser>
        <c:ser>
          <c:idx val="1523"/>
          <c:order val="1523"/>
          <c:tx>
            <c:strRef>
              <c:f>'estatística'!$B$1525</c:f>
            </c:strRef>
          </c:tx>
          <c:cat>
            <c:strRef>
              <c:f>'estatística'!$C$1:$M$1</c:f>
            </c:strRef>
          </c:cat>
          <c:val>
            <c:numRef>
              <c:f>'estatística'!$C$1525:$M$1525</c:f>
              <c:numCache/>
            </c:numRef>
          </c:val>
        </c:ser>
        <c:ser>
          <c:idx val="1524"/>
          <c:order val="1524"/>
          <c:tx>
            <c:strRef>
              <c:f>'estatística'!$B$1526</c:f>
            </c:strRef>
          </c:tx>
          <c:cat>
            <c:strRef>
              <c:f>'estatística'!$C$1:$M$1</c:f>
            </c:strRef>
          </c:cat>
          <c:val>
            <c:numRef>
              <c:f>'estatística'!$C$1526:$M$1526</c:f>
              <c:numCache/>
            </c:numRef>
          </c:val>
        </c:ser>
        <c:ser>
          <c:idx val="1525"/>
          <c:order val="1525"/>
          <c:tx>
            <c:strRef>
              <c:f>'estatística'!$B$1527</c:f>
            </c:strRef>
          </c:tx>
          <c:cat>
            <c:strRef>
              <c:f>'estatística'!$C$1:$M$1</c:f>
            </c:strRef>
          </c:cat>
          <c:val>
            <c:numRef>
              <c:f>'estatística'!$C$1527:$M$1527</c:f>
              <c:numCache/>
            </c:numRef>
          </c:val>
        </c:ser>
        <c:ser>
          <c:idx val="1526"/>
          <c:order val="1526"/>
          <c:tx>
            <c:strRef>
              <c:f>'estatística'!$B$1528</c:f>
            </c:strRef>
          </c:tx>
          <c:cat>
            <c:strRef>
              <c:f>'estatística'!$C$1:$M$1</c:f>
            </c:strRef>
          </c:cat>
          <c:val>
            <c:numRef>
              <c:f>'estatística'!$C$1528:$M$1528</c:f>
              <c:numCache/>
            </c:numRef>
          </c:val>
        </c:ser>
        <c:ser>
          <c:idx val="1527"/>
          <c:order val="1527"/>
          <c:tx>
            <c:strRef>
              <c:f>'estatística'!$B$1529</c:f>
            </c:strRef>
          </c:tx>
          <c:cat>
            <c:strRef>
              <c:f>'estatística'!$C$1:$M$1</c:f>
            </c:strRef>
          </c:cat>
          <c:val>
            <c:numRef>
              <c:f>'estatística'!$C$1529:$M$1529</c:f>
              <c:numCache/>
            </c:numRef>
          </c:val>
        </c:ser>
        <c:ser>
          <c:idx val="1528"/>
          <c:order val="1528"/>
          <c:tx>
            <c:strRef>
              <c:f>'estatística'!$B$1530</c:f>
            </c:strRef>
          </c:tx>
          <c:cat>
            <c:strRef>
              <c:f>'estatística'!$C$1:$M$1</c:f>
            </c:strRef>
          </c:cat>
          <c:val>
            <c:numRef>
              <c:f>'estatística'!$C$1530:$M$1530</c:f>
              <c:numCache/>
            </c:numRef>
          </c:val>
        </c:ser>
        <c:ser>
          <c:idx val="1529"/>
          <c:order val="1529"/>
          <c:tx>
            <c:strRef>
              <c:f>'estatística'!$B$1531</c:f>
            </c:strRef>
          </c:tx>
          <c:cat>
            <c:strRef>
              <c:f>'estatística'!$C$1:$M$1</c:f>
            </c:strRef>
          </c:cat>
          <c:val>
            <c:numRef>
              <c:f>'estatística'!$C$1531:$M$1531</c:f>
              <c:numCache/>
            </c:numRef>
          </c:val>
        </c:ser>
        <c:ser>
          <c:idx val="1530"/>
          <c:order val="1530"/>
          <c:tx>
            <c:strRef>
              <c:f>'estatística'!$B$1532</c:f>
            </c:strRef>
          </c:tx>
          <c:cat>
            <c:strRef>
              <c:f>'estatística'!$C$1:$M$1</c:f>
            </c:strRef>
          </c:cat>
          <c:val>
            <c:numRef>
              <c:f>'estatística'!$C$1532:$M$1532</c:f>
              <c:numCache/>
            </c:numRef>
          </c:val>
        </c:ser>
        <c:ser>
          <c:idx val="1531"/>
          <c:order val="1531"/>
          <c:tx>
            <c:strRef>
              <c:f>'estatística'!$B$1533</c:f>
            </c:strRef>
          </c:tx>
          <c:cat>
            <c:strRef>
              <c:f>'estatística'!$C$1:$M$1</c:f>
            </c:strRef>
          </c:cat>
          <c:val>
            <c:numRef>
              <c:f>'estatística'!$C$1533:$M$1533</c:f>
              <c:numCache/>
            </c:numRef>
          </c:val>
        </c:ser>
        <c:ser>
          <c:idx val="1532"/>
          <c:order val="1532"/>
          <c:tx>
            <c:strRef>
              <c:f>'estatística'!$B$1534</c:f>
            </c:strRef>
          </c:tx>
          <c:cat>
            <c:strRef>
              <c:f>'estatística'!$C$1:$M$1</c:f>
            </c:strRef>
          </c:cat>
          <c:val>
            <c:numRef>
              <c:f>'estatística'!$C$1534:$M$1534</c:f>
              <c:numCache/>
            </c:numRef>
          </c:val>
        </c:ser>
        <c:ser>
          <c:idx val="1533"/>
          <c:order val="1533"/>
          <c:tx>
            <c:strRef>
              <c:f>'estatística'!$B$1535</c:f>
            </c:strRef>
          </c:tx>
          <c:cat>
            <c:strRef>
              <c:f>'estatística'!$C$1:$M$1</c:f>
            </c:strRef>
          </c:cat>
          <c:val>
            <c:numRef>
              <c:f>'estatística'!$C$1535:$M$1535</c:f>
              <c:numCache/>
            </c:numRef>
          </c:val>
        </c:ser>
        <c:ser>
          <c:idx val="1534"/>
          <c:order val="1534"/>
          <c:tx>
            <c:strRef>
              <c:f>'estatística'!$B$1536</c:f>
            </c:strRef>
          </c:tx>
          <c:cat>
            <c:strRef>
              <c:f>'estatística'!$C$1:$M$1</c:f>
            </c:strRef>
          </c:cat>
          <c:val>
            <c:numRef>
              <c:f>'estatística'!$C$1536:$M$1536</c:f>
              <c:numCache/>
            </c:numRef>
          </c:val>
        </c:ser>
        <c:ser>
          <c:idx val="1535"/>
          <c:order val="1535"/>
          <c:tx>
            <c:strRef>
              <c:f>'estatística'!$B$1537</c:f>
            </c:strRef>
          </c:tx>
          <c:cat>
            <c:strRef>
              <c:f>'estatística'!$C$1:$M$1</c:f>
            </c:strRef>
          </c:cat>
          <c:val>
            <c:numRef>
              <c:f>'estatística'!$C$1537:$M$1537</c:f>
              <c:numCache/>
            </c:numRef>
          </c:val>
        </c:ser>
        <c:ser>
          <c:idx val="1536"/>
          <c:order val="1536"/>
          <c:tx>
            <c:strRef>
              <c:f>'estatística'!$B$1538</c:f>
            </c:strRef>
          </c:tx>
          <c:cat>
            <c:strRef>
              <c:f>'estatística'!$C$1:$M$1</c:f>
            </c:strRef>
          </c:cat>
          <c:val>
            <c:numRef>
              <c:f>'estatística'!$C$1538:$M$1538</c:f>
              <c:numCache/>
            </c:numRef>
          </c:val>
        </c:ser>
        <c:ser>
          <c:idx val="1537"/>
          <c:order val="1537"/>
          <c:tx>
            <c:strRef>
              <c:f>'estatística'!$B$1539</c:f>
            </c:strRef>
          </c:tx>
          <c:cat>
            <c:strRef>
              <c:f>'estatística'!$C$1:$M$1</c:f>
            </c:strRef>
          </c:cat>
          <c:val>
            <c:numRef>
              <c:f>'estatística'!$C$1539:$M$1539</c:f>
              <c:numCache/>
            </c:numRef>
          </c:val>
        </c:ser>
        <c:ser>
          <c:idx val="1538"/>
          <c:order val="1538"/>
          <c:tx>
            <c:strRef>
              <c:f>'estatística'!$B$1540</c:f>
            </c:strRef>
          </c:tx>
          <c:cat>
            <c:strRef>
              <c:f>'estatística'!$C$1:$M$1</c:f>
            </c:strRef>
          </c:cat>
          <c:val>
            <c:numRef>
              <c:f>'estatística'!$C$1540:$M$1540</c:f>
              <c:numCache/>
            </c:numRef>
          </c:val>
        </c:ser>
        <c:ser>
          <c:idx val="1539"/>
          <c:order val="1539"/>
          <c:tx>
            <c:strRef>
              <c:f>'estatística'!$B$1541</c:f>
            </c:strRef>
          </c:tx>
          <c:cat>
            <c:strRef>
              <c:f>'estatística'!$C$1:$M$1</c:f>
            </c:strRef>
          </c:cat>
          <c:val>
            <c:numRef>
              <c:f>'estatística'!$C$1541:$M$1541</c:f>
              <c:numCache/>
            </c:numRef>
          </c:val>
        </c:ser>
        <c:ser>
          <c:idx val="1540"/>
          <c:order val="1540"/>
          <c:tx>
            <c:strRef>
              <c:f>'estatística'!$B$1542</c:f>
            </c:strRef>
          </c:tx>
          <c:cat>
            <c:strRef>
              <c:f>'estatística'!$C$1:$M$1</c:f>
            </c:strRef>
          </c:cat>
          <c:val>
            <c:numRef>
              <c:f>'estatística'!$C$1542:$M$1542</c:f>
              <c:numCache/>
            </c:numRef>
          </c:val>
        </c:ser>
        <c:ser>
          <c:idx val="1541"/>
          <c:order val="1541"/>
          <c:tx>
            <c:strRef>
              <c:f>'estatística'!$B$1543</c:f>
            </c:strRef>
          </c:tx>
          <c:cat>
            <c:strRef>
              <c:f>'estatística'!$C$1:$M$1</c:f>
            </c:strRef>
          </c:cat>
          <c:val>
            <c:numRef>
              <c:f>'estatística'!$C$1543:$M$1543</c:f>
              <c:numCache/>
            </c:numRef>
          </c:val>
        </c:ser>
        <c:ser>
          <c:idx val="1542"/>
          <c:order val="1542"/>
          <c:tx>
            <c:strRef>
              <c:f>'estatística'!$B$1544</c:f>
            </c:strRef>
          </c:tx>
          <c:cat>
            <c:strRef>
              <c:f>'estatística'!$C$1:$M$1</c:f>
            </c:strRef>
          </c:cat>
          <c:val>
            <c:numRef>
              <c:f>'estatística'!$C$1544:$M$1544</c:f>
              <c:numCache/>
            </c:numRef>
          </c:val>
        </c:ser>
        <c:ser>
          <c:idx val="1543"/>
          <c:order val="1543"/>
          <c:tx>
            <c:strRef>
              <c:f>'estatística'!$B$1545</c:f>
            </c:strRef>
          </c:tx>
          <c:cat>
            <c:strRef>
              <c:f>'estatística'!$C$1:$M$1</c:f>
            </c:strRef>
          </c:cat>
          <c:val>
            <c:numRef>
              <c:f>'estatística'!$C$1545:$M$1545</c:f>
              <c:numCache/>
            </c:numRef>
          </c:val>
        </c:ser>
        <c:ser>
          <c:idx val="1544"/>
          <c:order val="1544"/>
          <c:tx>
            <c:strRef>
              <c:f>'estatística'!$B$1546</c:f>
            </c:strRef>
          </c:tx>
          <c:cat>
            <c:strRef>
              <c:f>'estatística'!$C$1:$M$1</c:f>
            </c:strRef>
          </c:cat>
          <c:val>
            <c:numRef>
              <c:f>'estatística'!$C$1546:$M$1546</c:f>
              <c:numCache/>
            </c:numRef>
          </c:val>
        </c:ser>
        <c:ser>
          <c:idx val="1545"/>
          <c:order val="1545"/>
          <c:tx>
            <c:strRef>
              <c:f>'estatística'!$B$1547</c:f>
            </c:strRef>
          </c:tx>
          <c:cat>
            <c:strRef>
              <c:f>'estatística'!$C$1:$M$1</c:f>
            </c:strRef>
          </c:cat>
          <c:val>
            <c:numRef>
              <c:f>'estatística'!$C$1547:$M$1547</c:f>
              <c:numCache/>
            </c:numRef>
          </c:val>
        </c:ser>
        <c:ser>
          <c:idx val="1546"/>
          <c:order val="1546"/>
          <c:tx>
            <c:strRef>
              <c:f>'estatística'!$B$1548</c:f>
            </c:strRef>
          </c:tx>
          <c:cat>
            <c:strRef>
              <c:f>'estatística'!$C$1:$M$1</c:f>
            </c:strRef>
          </c:cat>
          <c:val>
            <c:numRef>
              <c:f>'estatística'!$C$1548:$M$1548</c:f>
              <c:numCache/>
            </c:numRef>
          </c:val>
        </c:ser>
        <c:ser>
          <c:idx val="1547"/>
          <c:order val="1547"/>
          <c:tx>
            <c:strRef>
              <c:f>'estatística'!$B$1549</c:f>
            </c:strRef>
          </c:tx>
          <c:cat>
            <c:strRef>
              <c:f>'estatística'!$C$1:$M$1</c:f>
            </c:strRef>
          </c:cat>
          <c:val>
            <c:numRef>
              <c:f>'estatística'!$C$1549:$M$1549</c:f>
              <c:numCache/>
            </c:numRef>
          </c:val>
        </c:ser>
        <c:ser>
          <c:idx val="1548"/>
          <c:order val="1548"/>
          <c:tx>
            <c:strRef>
              <c:f>'estatística'!$B$1550</c:f>
            </c:strRef>
          </c:tx>
          <c:cat>
            <c:strRef>
              <c:f>'estatística'!$C$1:$M$1</c:f>
            </c:strRef>
          </c:cat>
          <c:val>
            <c:numRef>
              <c:f>'estatística'!$C$1550:$M$1550</c:f>
              <c:numCache/>
            </c:numRef>
          </c:val>
        </c:ser>
        <c:ser>
          <c:idx val="1549"/>
          <c:order val="1549"/>
          <c:tx>
            <c:strRef>
              <c:f>'estatística'!$B$1551</c:f>
            </c:strRef>
          </c:tx>
          <c:cat>
            <c:strRef>
              <c:f>'estatística'!$C$1:$M$1</c:f>
            </c:strRef>
          </c:cat>
          <c:val>
            <c:numRef>
              <c:f>'estatística'!$C$1551:$M$1551</c:f>
              <c:numCache/>
            </c:numRef>
          </c:val>
        </c:ser>
        <c:ser>
          <c:idx val="1550"/>
          <c:order val="1550"/>
          <c:tx>
            <c:strRef>
              <c:f>'estatística'!$B$1552</c:f>
            </c:strRef>
          </c:tx>
          <c:cat>
            <c:strRef>
              <c:f>'estatística'!$C$1:$M$1</c:f>
            </c:strRef>
          </c:cat>
          <c:val>
            <c:numRef>
              <c:f>'estatística'!$C$1552:$M$1552</c:f>
              <c:numCache/>
            </c:numRef>
          </c:val>
        </c:ser>
        <c:ser>
          <c:idx val="1551"/>
          <c:order val="1551"/>
          <c:tx>
            <c:strRef>
              <c:f>'estatística'!$B$1553</c:f>
            </c:strRef>
          </c:tx>
          <c:cat>
            <c:strRef>
              <c:f>'estatística'!$C$1:$M$1</c:f>
            </c:strRef>
          </c:cat>
          <c:val>
            <c:numRef>
              <c:f>'estatística'!$C$1553:$M$1553</c:f>
              <c:numCache/>
            </c:numRef>
          </c:val>
        </c:ser>
        <c:ser>
          <c:idx val="1552"/>
          <c:order val="1552"/>
          <c:tx>
            <c:strRef>
              <c:f>'estatística'!$B$1554</c:f>
            </c:strRef>
          </c:tx>
          <c:cat>
            <c:strRef>
              <c:f>'estatística'!$C$1:$M$1</c:f>
            </c:strRef>
          </c:cat>
          <c:val>
            <c:numRef>
              <c:f>'estatística'!$C$1554:$M$1554</c:f>
              <c:numCache/>
            </c:numRef>
          </c:val>
        </c:ser>
        <c:ser>
          <c:idx val="1553"/>
          <c:order val="1553"/>
          <c:tx>
            <c:strRef>
              <c:f>'estatística'!$B$1555</c:f>
            </c:strRef>
          </c:tx>
          <c:cat>
            <c:strRef>
              <c:f>'estatística'!$C$1:$M$1</c:f>
            </c:strRef>
          </c:cat>
          <c:val>
            <c:numRef>
              <c:f>'estatística'!$C$1555:$M$1555</c:f>
              <c:numCache/>
            </c:numRef>
          </c:val>
        </c:ser>
        <c:ser>
          <c:idx val="1554"/>
          <c:order val="1554"/>
          <c:tx>
            <c:strRef>
              <c:f>'estatística'!$B$1556</c:f>
            </c:strRef>
          </c:tx>
          <c:cat>
            <c:strRef>
              <c:f>'estatística'!$C$1:$M$1</c:f>
            </c:strRef>
          </c:cat>
          <c:val>
            <c:numRef>
              <c:f>'estatística'!$C$1556:$M$1556</c:f>
              <c:numCache/>
            </c:numRef>
          </c:val>
        </c:ser>
        <c:ser>
          <c:idx val="1555"/>
          <c:order val="1555"/>
          <c:tx>
            <c:strRef>
              <c:f>'estatística'!$B$1557</c:f>
            </c:strRef>
          </c:tx>
          <c:cat>
            <c:strRef>
              <c:f>'estatística'!$C$1:$M$1</c:f>
            </c:strRef>
          </c:cat>
          <c:val>
            <c:numRef>
              <c:f>'estatística'!$C$1557:$M$1557</c:f>
              <c:numCache/>
            </c:numRef>
          </c:val>
        </c:ser>
        <c:ser>
          <c:idx val="1556"/>
          <c:order val="1556"/>
          <c:tx>
            <c:strRef>
              <c:f>'estatística'!$B$1558</c:f>
            </c:strRef>
          </c:tx>
          <c:cat>
            <c:strRef>
              <c:f>'estatística'!$C$1:$M$1</c:f>
            </c:strRef>
          </c:cat>
          <c:val>
            <c:numRef>
              <c:f>'estatística'!$C$1558:$M$1558</c:f>
              <c:numCache/>
            </c:numRef>
          </c:val>
        </c:ser>
        <c:ser>
          <c:idx val="1557"/>
          <c:order val="1557"/>
          <c:tx>
            <c:strRef>
              <c:f>'estatística'!$B$1559</c:f>
            </c:strRef>
          </c:tx>
          <c:cat>
            <c:strRef>
              <c:f>'estatística'!$C$1:$M$1</c:f>
            </c:strRef>
          </c:cat>
          <c:val>
            <c:numRef>
              <c:f>'estatística'!$C$1559:$M$1559</c:f>
              <c:numCache/>
            </c:numRef>
          </c:val>
        </c:ser>
        <c:ser>
          <c:idx val="1558"/>
          <c:order val="1558"/>
          <c:tx>
            <c:strRef>
              <c:f>'estatística'!$B$1560</c:f>
            </c:strRef>
          </c:tx>
          <c:cat>
            <c:strRef>
              <c:f>'estatística'!$C$1:$M$1</c:f>
            </c:strRef>
          </c:cat>
          <c:val>
            <c:numRef>
              <c:f>'estatística'!$C$1560:$M$1560</c:f>
              <c:numCache/>
            </c:numRef>
          </c:val>
        </c:ser>
        <c:ser>
          <c:idx val="1559"/>
          <c:order val="1559"/>
          <c:tx>
            <c:strRef>
              <c:f>'estatística'!$B$1561</c:f>
            </c:strRef>
          </c:tx>
          <c:cat>
            <c:strRef>
              <c:f>'estatística'!$C$1:$M$1</c:f>
            </c:strRef>
          </c:cat>
          <c:val>
            <c:numRef>
              <c:f>'estatística'!$C$1561:$M$1561</c:f>
              <c:numCache/>
            </c:numRef>
          </c:val>
        </c:ser>
        <c:ser>
          <c:idx val="1560"/>
          <c:order val="1560"/>
          <c:tx>
            <c:strRef>
              <c:f>'estatística'!$B$1562</c:f>
            </c:strRef>
          </c:tx>
          <c:cat>
            <c:strRef>
              <c:f>'estatística'!$C$1:$M$1</c:f>
            </c:strRef>
          </c:cat>
          <c:val>
            <c:numRef>
              <c:f>'estatística'!$C$1562:$M$1562</c:f>
              <c:numCache/>
            </c:numRef>
          </c:val>
        </c:ser>
        <c:ser>
          <c:idx val="1561"/>
          <c:order val="1561"/>
          <c:tx>
            <c:strRef>
              <c:f>'estatística'!$B$1563</c:f>
            </c:strRef>
          </c:tx>
          <c:cat>
            <c:strRef>
              <c:f>'estatística'!$C$1:$M$1</c:f>
            </c:strRef>
          </c:cat>
          <c:val>
            <c:numRef>
              <c:f>'estatística'!$C$1563:$M$1563</c:f>
              <c:numCache/>
            </c:numRef>
          </c:val>
        </c:ser>
        <c:ser>
          <c:idx val="1562"/>
          <c:order val="1562"/>
          <c:tx>
            <c:strRef>
              <c:f>'estatística'!$B$1564</c:f>
            </c:strRef>
          </c:tx>
          <c:cat>
            <c:strRef>
              <c:f>'estatística'!$C$1:$M$1</c:f>
            </c:strRef>
          </c:cat>
          <c:val>
            <c:numRef>
              <c:f>'estatística'!$C$1564:$M$1564</c:f>
              <c:numCache/>
            </c:numRef>
          </c:val>
        </c:ser>
        <c:ser>
          <c:idx val="1563"/>
          <c:order val="1563"/>
          <c:tx>
            <c:strRef>
              <c:f>'estatística'!$B$1565</c:f>
            </c:strRef>
          </c:tx>
          <c:cat>
            <c:strRef>
              <c:f>'estatística'!$C$1:$M$1</c:f>
            </c:strRef>
          </c:cat>
          <c:val>
            <c:numRef>
              <c:f>'estatística'!$C$1565:$M$1565</c:f>
              <c:numCache/>
            </c:numRef>
          </c:val>
        </c:ser>
        <c:ser>
          <c:idx val="1564"/>
          <c:order val="1564"/>
          <c:tx>
            <c:strRef>
              <c:f>'estatística'!$B$1566</c:f>
            </c:strRef>
          </c:tx>
          <c:cat>
            <c:strRef>
              <c:f>'estatística'!$C$1:$M$1</c:f>
            </c:strRef>
          </c:cat>
          <c:val>
            <c:numRef>
              <c:f>'estatística'!$C$1566:$M$1566</c:f>
              <c:numCache/>
            </c:numRef>
          </c:val>
        </c:ser>
        <c:ser>
          <c:idx val="1565"/>
          <c:order val="1565"/>
          <c:tx>
            <c:strRef>
              <c:f>'estatística'!$B$1567</c:f>
            </c:strRef>
          </c:tx>
          <c:cat>
            <c:strRef>
              <c:f>'estatística'!$C$1:$M$1</c:f>
            </c:strRef>
          </c:cat>
          <c:val>
            <c:numRef>
              <c:f>'estatística'!$C$1567:$M$1567</c:f>
              <c:numCache/>
            </c:numRef>
          </c:val>
        </c:ser>
        <c:ser>
          <c:idx val="1566"/>
          <c:order val="1566"/>
          <c:tx>
            <c:strRef>
              <c:f>'estatística'!$B$1568</c:f>
            </c:strRef>
          </c:tx>
          <c:cat>
            <c:strRef>
              <c:f>'estatística'!$C$1:$M$1</c:f>
            </c:strRef>
          </c:cat>
          <c:val>
            <c:numRef>
              <c:f>'estatística'!$C$1568:$M$1568</c:f>
              <c:numCache/>
            </c:numRef>
          </c:val>
        </c:ser>
        <c:ser>
          <c:idx val="1567"/>
          <c:order val="1567"/>
          <c:tx>
            <c:strRef>
              <c:f>'estatística'!$B$1569</c:f>
            </c:strRef>
          </c:tx>
          <c:cat>
            <c:strRef>
              <c:f>'estatística'!$C$1:$M$1</c:f>
            </c:strRef>
          </c:cat>
          <c:val>
            <c:numRef>
              <c:f>'estatística'!$C$1569:$M$1569</c:f>
              <c:numCache/>
            </c:numRef>
          </c:val>
        </c:ser>
        <c:ser>
          <c:idx val="1568"/>
          <c:order val="1568"/>
          <c:tx>
            <c:strRef>
              <c:f>'estatística'!$B$1570</c:f>
            </c:strRef>
          </c:tx>
          <c:cat>
            <c:strRef>
              <c:f>'estatística'!$C$1:$M$1</c:f>
            </c:strRef>
          </c:cat>
          <c:val>
            <c:numRef>
              <c:f>'estatística'!$C$1570:$M$1570</c:f>
              <c:numCache/>
            </c:numRef>
          </c:val>
        </c:ser>
        <c:ser>
          <c:idx val="1569"/>
          <c:order val="1569"/>
          <c:tx>
            <c:strRef>
              <c:f>'estatística'!$B$1571</c:f>
            </c:strRef>
          </c:tx>
          <c:cat>
            <c:strRef>
              <c:f>'estatística'!$C$1:$M$1</c:f>
            </c:strRef>
          </c:cat>
          <c:val>
            <c:numRef>
              <c:f>'estatística'!$C$1571:$M$1571</c:f>
              <c:numCache/>
            </c:numRef>
          </c:val>
        </c:ser>
        <c:ser>
          <c:idx val="1570"/>
          <c:order val="1570"/>
          <c:tx>
            <c:strRef>
              <c:f>'estatística'!$B$1572</c:f>
            </c:strRef>
          </c:tx>
          <c:cat>
            <c:strRef>
              <c:f>'estatística'!$C$1:$M$1</c:f>
            </c:strRef>
          </c:cat>
          <c:val>
            <c:numRef>
              <c:f>'estatística'!$C$1572:$M$1572</c:f>
              <c:numCache/>
            </c:numRef>
          </c:val>
        </c:ser>
        <c:ser>
          <c:idx val="1571"/>
          <c:order val="1571"/>
          <c:tx>
            <c:strRef>
              <c:f>'estatística'!$B$1573</c:f>
            </c:strRef>
          </c:tx>
          <c:cat>
            <c:strRef>
              <c:f>'estatística'!$C$1:$M$1</c:f>
            </c:strRef>
          </c:cat>
          <c:val>
            <c:numRef>
              <c:f>'estatística'!$C$1573:$M$1573</c:f>
              <c:numCache/>
            </c:numRef>
          </c:val>
        </c:ser>
        <c:ser>
          <c:idx val="1572"/>
          <c:order val="1572"/>
          <c:tx>
            <c:strRef>
              <c:f>'estatística'!$B$1574</c:f>
            </c:strRef>
          </c:tx>
          <c:cat>
            <c:strRef>
              <c:f>'estatística'!$C$1:$M$1</c:f>
            </c:strRef>
          </c:cat>
          <c:val>
            <c:numRef>
              <c:f>'estatística'!$C$1574:$M$1574</c:f>
              <c:numCache/>
            </c:numRef>
          </c:val>
        </c:ser>
        <c:ser>
          <c:idx val="1573"/>
          <c:order val="1573"/>
          <c:tx>
            <c:strRef>
              <c:f>'estatística'!$B$1575</c:f>
            </c:strRef>
          </c:tx>
          <c:cat>
            <c:strRef>
              <c:f>'estatística'!$C$1:$M$1</c:f>
            </c:strRef>
          </c:cat>
          <c:val>
            <c:numRef>
              <c:f>'estatística'!$C$1575:$M$1575</c:f>
              <c:numCache/>
            </c:numRef>
          </c:val>
        </c:ser>
        <c:ser>
          <c:idx val="1574"/>
          <c:order val="1574"/>
          <c:tx>
            <c:strRef>
              <c:f>'estatística'!$B$1576</c:f>
            </c:strRef>
          </c:tx>
          <c:cat>
            <c:strRef>
              <c:f>'estatística'!$C$1:$M$1</c:f>
            </c:strRef>
          </c:cat>
          <c:val>
            <c:numRef>
              <c:f>'estatística'!$C$1576:$M$1576</c:f>
              <c:numCache/>
            </c:numRef>
          </c:val>
        </c:ser>
        <c:ser>
          <c:idx val="1575"/>
          <c:order val="1575"/>
          <c:tx>
            <c:strRef>
              <c:f>'estatística'!$B$1577</c:f>
            </c:strRef>
          </c:tx>
          <c:cat>
            <c:strRef>
              <c:f>'estatística'!$C$1:$M$1</c:f>
            </c:strRef>
          </c:cat>
          <c:val>
            <c:numRef>
              <c:f>'estatística'!$C$1577:$M$1577</c:f>
              <c:numCache/>
            </c:numRef>
          </c:val>
        </c:ser>
        <c:ser>
          <c:idx val="1576"/>
          <c:order val="1576"/>
          <c:tx>
            <c:strRef>
              <c:f>'estatística'!$B$1578</c:f>
            </c:strRef>
          </c:tx>
          <c:cat>
            <c:strRef>
              <c:f>'estatística'!$C$1:$M$1</c:f>
            </c:strRef>
          </c:cat>
          <c:val>
            <c:numRef>
              <c:f>'estatística'!$C$1578:$M$1578</c:f>
              <c:numCache/>
            </c:numRef>
          </c:val>
        </c:ser>
        <c:ser>
          <c:idx val="1577"/>
          <c:order val="1577"/>
          <c:tx>
            <c:strRef>
              <c:f>'estatística'!$B$1579</c:f>
            </c:strRef>
          </c:tx>
          <c:cat>
            <c:strRef>
              <c:f>'estatística'!$C$1:$M$1</c:f>
            </c:strRef>
          </c:cat>
          <c:val>
            <c:numRef>
              <c:f>'estatística'!$C$1579:$M$1579</c:f>
              <c:numCache/>
            </c:numRef>
          </c:val>
        </c:ser>
        <c:ser>
          <c:idx val="1578"/>
          <c:order val="1578"/>
          <c:tx>
            <c:strRef>
              <c:f>'estatística'!$B$1580</c:f>
            </c:strRef>
          </c:tx>
          <c:cat>
            <c:strRef>
              <c:f>'estatística'!$C$1:$M$1</c:f>
            </c:strRef>
          </c:cat>
          <c:val>
            <c:numRef>
              <c:f>'estatística'!$C$1580:$M$1580</c:f>
              <c:numCache/>
            </c:numRef>
          </c:val>
        </c:ser>
        <c:ser>
          <c:idx val="1579"/>
          <c:order val="1579"/>
          <c:tx>
            <c:strRef>
              <c:f>'estatística'!$B$1581</c:f>
            </c:strRef>
          </c:tx>
          <c:cat>
            <c:strRef>
              <c:f>'estatística'!$C$1:$M$1</c:f>
            </c:strRef>
          </c:cat>
          <c:val>
            <c:numRef>
              <c:f>'estatística'!$C$1581:$M$1581</c:f>
              <c:numCache/>
            </c:numRef>
          </c:val>
        </c:ser>
        <c:ser>
          <c:idx val="1580"/>
          <c:order val="1580"/>
          <c:tx>
            <c:strRef>
              <c:f>'estatística'!$B$1582</c:f>
            </c:strRef>
          </c:tx>
          <c:cat>
            <c:strRef>
              <c:f>'estatística'!$C$1:$M$1</c:f>
            </c:strRef>
          </c:cat>
          <c:val>
            <c:numRef>
              <c:f>'estatística'!$C$1582:$M$1582</c:f>
              <c:numCache/>
            </c:numRef>
          </c:val>
        </c:ser>
        <c:ser>
          <c:idx val="1581"/>
          <c:order val="1581"/>
          <c:tx>
            <c:strRef>
              <c:f>'estatística'!$B$1583</c:f>
            </c:strRef>
          </c:tx>
          <c:cat>
            <c:strRef>
              <c:f>'estatística'!$C$1:$M$1</c:f>
            </c:strRef>
          </c:cat>
          <c:val>
            <c:numRef>
              <c:f>'estatística'!$C$1583:$M$1583</c:f>
              <c:numCache/>
            </c:numRef>
          </c:val>
        </c:ser>
        <c:ser>
          <c:idx val="1582"/>
          <c:order val="1582"/>
          <c:tx>
            <c:strRef>
              <c:f>'estatística'!$B$1584</c:f>
            </c:strRef>
          </c:tx>
          <c:cat>
            <c:strRef>
              <c:f>'estatística'!$C$1:$M$1</c:f>
            </c:strRef>
          </c:cat>
          <c:val>
            <c:numRef>
              <c:f>'estatística'!$C$1584:$M$1584</c:f>
              <c:numCache/>
            </c:numRef>
          </c:val>
        </c:ser>
        <c:ser>
          <c:idx val="1583"/>
          <c:order val="1583"/>
          <c:tx>
            <c:strRef>
              <c:f>'estatística'!$B$1585</c:f>
            </c:strRef>
          </c:tx>
          <c:cat>
            <c:strRef>
              <c:f>'estatística'!$C$1:$M$1</c:f>
            </c:strRef>
          </c:cat>
          <c:val>
            <c:numRef>
              <c:f>'estatística'!$C$1585:$M$1585</c:f>
              <c:numCache/>
            </c:numRef>
          </c:val>
        </c:ser>
        <c:ser>
          <c:idx val="1584"/>
          <c:order val="1584"/>
          <c:tx>
            <c:strRef>
              <c:f>'estatística'!$B$1586</c:f>
            </c:strRef>
          </c:tx>
          <c:cat>
            <c:strRef>
              <c:f>'estatística'!$C$1:$M$1</c:f>
            </c:strRef>
          </c:cat>
          <c:val>
            <c:numRef>
              <c:f>'estatística'!$C$1586:$M$1586</c:f>
              <c:numCache/>
            </c:numRef>
          </c:val>
        </c:ser>
        <c:ser>
          <c:idx val="1585"/>
          <c:order val="1585"/>
          <c:tx>
            <c:strRef>
              <c:f>'estatística'!$B$1587</c:f>
            </c:strRef>
          </c:tx>
          <c:cat>
            <c:strRef>
              <c:f>'estatística'!$C$1:$M$1</c:f>
            </c:strRef>
          </c:cat>
          <c:val>
            <c:numRef>
              <c:f>'estatística'!$C$1587:$M$1587</c:f>
              <c:numCache/>
            </c:numRef>
          </c:val>
        </c:ser>
        <c:ser>
          <c:idx val="1586"/>
          <c:order val="1586"/>
          <c:tx>
            <c:strRef>
              <c:f>'estatística'!$B$1588</c:f>
            </c:strRef>
          </c:tx>
          <c:cat>
            <c:strRef>
              <c:f>'estatística'!$C$1:$M$1</c:f>
            </c:strRef>
          </c:cat>
          <c:val>
            <c:numRef>
              <c:f>'estatística'!$C$1588:$M$1588</c:f>
              <c:numCache/>
            </c:numRef>
          </c:val>
        </c:ser>
        <c:ser>
          <c:idx val="1587"/>
          <c:order val="1587"/>
          <c:tx>
            <c:strRef>
              <c:f>'estatística'!$B$1589</c:f>
            </c:strRef>
          </c:tx>
          <c:cat>
            <c:strRef>
              <c:f>'estatística'!$C$1:$M$1</c:f>
            </c:strRef>
          </c:cat>
          <c:val>
            <c:numRef>
              <c:f>'estatística'!$C$1589:$M$1589</c:f>
              <c:numCache/>
            </c:numRef>
          </c:val>
        </c:ser>
        <c:ser>
          <c:idx val="1588"/>
          <c:order val="1588"/>
          <c:tx>
            <c:strRef>
              <c:f>'estatística'!$B$1590</c:f>
            </c:strRef>
          </c:tx>
          <c:cat>
            <c:strRef>
              <c:f>'estatística'!$C$1:$M$1</c:f>
            </c:strRef>
          </c:cat>
          <c:val>
            <c:numRef>
              <c:f>'estatística'!$C$1590:$M$1590</c:f>
              <c:numCache/>
            </c:numRef>
          </c:val>
        </c:ser>
        <c:ser>
          <c:idx val="1589"/>
          <c:order val="1589"/>
          <c:tx>
            <c:strRef>
              <c:f>'estatística'!$B$1591</c:f>
            </c:strRef>
          </c:tx>
          <c:cat>
            <c:strRef>
              <c:f>'estatística'!$C$1:$M$1</c:f>
            </c:strRef>
          </c:cat>
          <c:val>
            <c:numRef>
              <c:f>'estatística'!$C$1591:$M$1591</c:f>
              <c:numCache/>
            </c:numRef>
          </c:val>
        </c:ser>
        <c:ser>
          <c:idx val="1590"/>
          <c:order val="1590"/>
          <c:tx>
            <c:strRef>
              <c:f>'estatística'!$B$1592</c:f>
            </c:strRef>
          </c:tx>
          <c:cat>
            <c:strRef>
              <c:f>'estatística'!$C$1:$M$1</c:f>
            </c:strRef>
          </c:cat>
          <c:val>
            <c:numRef>
              <c:f>'estatística'!$C$1592:$M$1592</c:f>
              <c:numCache/>
            </c:numRef>
          </c:val>
        </c:ser>
        <c:ser>
          <c:idx val="1591"/>
          <c:order val="1591"/>
          <c:tx>
            <c:strRef>
              <c:f>'estatística'!$B$1593</c:f>
            </c:strRef>
          </c:tx>
          <c:cat>
            <c:strRef>
              <c:f>'estatística'!$C$1:$M$1</c:f>
            </c:strRef>
          </c:cat>
          <c:val>
            <c:numRef>
              <c:f>'estatística'!$C$1593:$M$1593</c:f>
              <c:numCache/>
            </c:numRef>
          </c:val>
        </c:ser>
        <c:ser>
          <c:idx val="1592"/>
          <c:order val="1592"/>
          <c:tx>
            <c:strRef>
              <c:f>'estatística'!$B$1594</c:f>
            </c:strRef>
          </c:tx>
          <c:cat>
            <c:strRef>
              <c:f>'estatística'!$C$1:$M$1</c:f>
            </c:strRef>
          </c:cat>
          <c:val>
            <c:numRef>
              <c:f>'estatística'!$C$1594:$M$1594</c:f>
              <c:numCache/>
            </c:numRef>
          </c:val>
        </c:ser>
        <c:ser>
          <c:idx val="1593"/>
          <c:order val="1593"/>
          <c:tx>
            <c:strRef>
              <c:f>'estatística'!$B$1595</c:f>
            </c:strRef>
          </c:tx>
          <c:cat>
            <c:strRef>
              <c:f>'estatística'!$C$1:$M$1</c:f>
            </c:strRef>
          </c:cat>
          <c:val>
            <c:numRef>
              <c:f>'estatística'!$C$1595:$M$1595</c:f>
              <c:numCache/>
            </c:numRef>
          </c:val>
        </c:ser>
        <c:ser>
          <c:idx val="1594"/>
          <c:order val="1594"/>
          <c:tx>
            <c:strRef>
              <c:f>'estatística'!$B$1596</c:f>
            </c:strRef>
          </c:tx>
          <c:cat>
            <c:strRef>
              <c:f>'estatística'!$C$1:$M$1</c:f>
            </c:strRef>
          </c:cat>
          <c:val>
            <c:numRef>
              <c:f>'estatística'!$C$1596:$M$1596</c:f>
              <c:numCache/>
            </c:numRef>
          </c:val>
        </c:ser>
        <c:ser>
          <c:idx val="1595"/>
          <c:order val="1595"/>
          <c:tx>
            <c:strRef>
              <c:f>'estatística'!$B$1597</c:f>
            </c:strRef>
          </c:tx>
          <c:cat>
            <c:strRef>
              <c:f>'estatística'!$C$1:$M$1</c:f>
            </c:strRef>
          </c:cat>
          <c:val>
            <c:numRef>
              <c:f>'estatística'!$C$1597:$M$1597</c:f>
              <c:numCache/>
            </c:numRef>
          </c:val>
        </c:ser>
        <c:ser>
          <c:idx val="1596"/>
          <c:order val="1596"/>
          <c:tx>
            <c:strRef>
              <c:f>'estatística'!$B$1598</c:f>
            </c:strRef>
          </c:tx>
          <c:cat>
            <c:strRef>
              <c:f>'estatística'!$C$1:$M$1</c:f>
            </c:strRef>
          </c:cat>
          <c:val>
            <c:numRef>
              <c:f>'estatística'!$C$1598:$M$1598</c:f>
              <c:numCache/>
            </c:numRef>
          </c:val>
        </c:ser>
        <c:ser>
          <c:idx val="1597"/>
          <c:order val="1597"/>
          <c:tx>
            <c:strRef>
              <c:f>'estatística'!$B$1599</c:f>
            </c:strRef>
          </c:tx>
          <c:cat>
            <c:strRef>
              <c:f>'estatística'!$C$1:$M$1</c:f>
            </c:strRef>
          </c:cat>
          <c:val>
            <c:numRef>
              <c:f>'estatística'!$C$1599:$M$1599</c:f>
              <c:numCache/>
            </c:numRef>
          </c:val>
        </c:ser>
        <c:ser>
          <c:idx val="1598"/>
          <c:order val="1598"/>
          <c:tx>
            <c:strRef>
              <c:f>'estatística'!$B$1600</c:f>
            </c:strRef>
          </c:tx>
          <c:cat>
            <c:strRef>
              <c:f>'estatística'!$C$1:$M$1</c:f>
            </c:strRef>
          </c:cat>
          <c:val>
            <c:numRef>
              <c:f>'estatística'!$C$1600:$M$1600</c:f>
              <c:numCache/>
            </c:numRef>
          </c:val>
        </c:ser>
        <c:ser>
          <c:idx val="1599"/>
          <c:order val="1599"/>
          <c:tx>
            <c:strRef>
              <c:f>'estatística'!$B$1601</c:f>
            </c:strRef>
          </c:tx>
          <c:cat>
            <c:strRef>
              <c:f>'estatística'!$C$1:$M$1</c:f>
            </c:strRef>
          </c:cat>
          <c:val>
            <c:numRef>
              <c:f>'estatística'!$C$1601:$M$1601</c:f>
              <c:numCache/>
            </c:numRef>
          </c:val>
        </c:ser>
        <c:ser>
          <c:idx val="1600"/>
          <c:order val="1600"/>
          <c:tx>
            <c:strRef>
              <c:f>'estatística'!$B$1602</c:f>
            </c:strRef>
          </c:tx>
          <c:cat>
            <c:strRef>
              <c:f>'estatística'!$C$1:$M$1</c:f>
            </c:strRef>
          </c:cat>
          <c:val>
            <c:numRef>
              <c:f>'estatística'!$C$1602:$M$1602</c:f>
              <c:numCache/>
            </c:numRef>
          </c:val>
        </c:ser>
        <c:ser>
          <c:idx val="1601"/>
          <c:order val="1601"/>
          <c:tx>
            <c:strRef>
              <c:f>'estatística'!$B$1603</c:f>
            </c:strRef>
          </c:tx>
          <c:cat>
            <c:strRef>
              <c:f>'estatística'!$C$1:$M$1</c:f>
            </c:strRef>
          </c:cat>
          <c:val>
            <c:numRef>
              <c:f>'estatística'!$C$1603:$M$1603</c:f>
              <c:numCache/>
            </c:numRef>
          </c:val>
        </c:ser>
        <c:ser>
          <c:idx val="1602"/>
          <c:order val="1602"/>
          <c:tx>
            <c:strRef>
              <c:f>'estatística'!$B$1604</c:f>
            </c:strRef>
          </c:tx>
          <c:cat>
            <c:strRef>
              <c:f>'estatística'!$C$1:$M$1</c:f>
            </c:strRef>
          </c:cat>
          <c:val>
            <c:numRef>
              <c:f>'estatística'!$C$1604:$M$1604</c:f>
              <c:numCache/>
            </c:numRef>
          </c:val>
        </c:ser>
        <c:ser>
          <c:idx val="1603"/>
          <c:order val="1603"/>
          <c:tx>
            <c:strRef>
              <c:f>'estatística'!$B$1605</c:f>
            </c:strRef>
          </c:tx>
          <c:cat>
            <c:strRef>
              <c:f>'estatística'!$C$1:$M$1</c:f>
            </c:strRef>
          </c:cat>
          <c:val>
            <c:numRef>
              <c:f>'estatística'!$C$1605:$M$1605</c:f>
              <c:numCache/>
            </c:numRef>
          </c:val>
        </c:ser>
        <c:ser>
          <c:idx val="1604"/>
          <c:order val="1604"/>
          <c:tx>
            <c:strRef>
              <c:f>'estatística'!$B$1606</c:f>
            </c:strRef>
          </c:tx>
          <c:cat>
            <c:strRef>
              <c:f>'estatística'!$C$1:$M$1</c:f>
            </c:strRef>
          </c:cat>
          <c:val>
            <c:numRef>
              <c:f>'estatística'!$C$1606:$M$1606</c:f>
              <c:numCache/>
            </c:numRef>
          </c:val>
        </c:ser>
        <c:ser>
          <c:idx val="1605"/>
          <c:order val="1605"/>
          <c:tx>
            <c:strRef>
              <c:f>'estatística'!$B$1607</c:f>
            </c:strRef>
          </c:tx>
          <c:cat>
            <c:strRef>
              <c:f>'estatística'!$C$1:$M$1</c:f>
            </c:strRef>
          </c:cat>
          <c:val>
            <c:numRef>
              <c:f>'estatística'!$C$1607:$M$1607</c:f>
              <c:numCache/>
            </c:numRef>
          </c:val>
        </c:ser>
        <c:ser>
          <c:idx val="1606"/>
          <c:order val="1606"/>
          <c:tx>
            <c:strRef>
              <c:f>'estatística'!$B$1608</c:f>
            </c:strRef>
          </c:tx>
          <c:cat>
            <c:strRef>
              <c:f>'estatística'!$C$1:$M$1</c:f>
            </c:strRef>
          </c:cat>
          <c:val>
            <c:numRef>
              <c:f>'estatística'!$C$1608:$M$1608</c:f>
              <c:numCache/>
            </c:numRef>
          </c:val>
        </c:ser>
        <c:ser>
          <c:idx val="1607"/>
          <c:order val="1607"/>
          <c:tx>
            <c:strRef>
              <c:f>'estatística'!$B$1609</c:f>
            </c:strRef>
          </c:tx>
          <c:cat>
            <c:strRef>
              <c:f>'estatística'!$C$1:$M$1</c:f>
            </c:strRef>
          </c:cat>
          <c:val>
            <c:numRef>
              <c:f>'estatística'!$C$1609:$M$1609</c:f>
              <c:numCache/>
            </c:numRef>
          </c:val>
        </c:ser>
        <c:ser>
          <c:idx val="1608"/>
          <c:order val="1608"/>
          <c:tx>
            <c:strRef>
              <c:f>'estatística'!$B$1610</c:f>
            </c:strRef>
          </c:tx>
          <c:cat>
            <c:strRef>
              <c:f>'estatística'!$C$1:$M$1</c:f>
            </c:strRef>
          </c:cat>
          <c:val>
            <c:numRef>
              <c:f>'estatística'!$C$1610:$M$1610</c:f>
              <c:numCache/>
            </c:numRef>
          </c:val>
        </c:ser>
        <c:ser>
          <c:idx val="1609"/>
          <c:order val="1609"/>
          <c:tx>
            <c:strRef>
              <c:f>'estatística'!$B$1611</c:f>
            </c:strRef>
          </c:tx>
          <c:cat>
            <c:strRef>
              <c:f>'estatística'!$C$1:$M$1</c:f>
            </c:strRef>
          </c:cat>
          <c:val>
            <c:numRef>
              <c:f>'estatística'!$C$1611:$M$1611</c:f>
              <c:numCache/>
            </c:numRef>
          </c:val>
        </c:ser>
        <c:ser>
          <c:idx val="1610"/>
          <c:order val="1610"/>
          <c:tx>
            <c:strRef>
              <c:f>'estatística'!$B$1612</c:f>
            </c:strRef>
          </c:tx>
          <c:cat>
            <c:strRef>
              <c:f>'estatística'!$C$1:$M$1</c:f>
            </c:strRef>
          </c:cat>
          <c:val>
            <c:numRef>
              <c:f>'estatística'!$C$1612:$M$1612</c:f>
              <c:numCache/>
            </c:numRef>
          </c:val>
        </c:ser>
        <c:ser>
          <c:idx val="1611"/>
          <c:order val="1611"/>
          <c:tx>
            <c:strRef>
              <c:f>'estatística'!$B$1613</c:f>
            </c:strRef>
          </c:tx>
          <c:cat>
            <c:strRef>
              <c:f>'estatística'!$C$1:$M$1</c:f>
            </c:strRef>
          </c:cat>
          <c:val>
            <c:numRef>
              <c:f>'estatística'!$C$1613:$M$1613</c:f>
              <c:numCache/>
            </c:numRef>
          </c:val>
        </c:ser>
        <c:ser>
          <c:idx val="1612"/>
          <c:order val="1612"/>
          <c:tx>
            <c:strRef>
              <c:f>'estatística'!$B$1614</c:f>
            </c:strRef>
          </c:tx>
          <c:cat>
            <c:strRef>
              <c:f>'estatística'!$C$1:$M$1</c:f>
            </c:strRef>
          </c:cat>
          <c:val>
            <c:numRef>
              <c:f>'estatística'!$C$1614:$M$1614</c:f>
              <c:numCache/>
            </c:numRef>
          </c:val>
        </c:ser>
        <c:ser>
          <c:idx val="1613"/>
          <c:order val="1613"/>
          <c:tx>
            <c:strRef>
              <c:f>'estatística'!$B$1615</c:f>
            </c:strRef>
          </c:tx>
          <c:cat>
            <c:strRef>
              <c:f>'estatística'!$C$1:$M$1</c:f>
            </c:strRef>
          </c:cat>
          <c:val>
            <c:numRef>
              <c:f>'estatística'!$C$1615:$M$1615</c:f>
              <c:numCache/>
            </c:numRef>
          </c:val>
        </c:ser>
        <c:ser>
          <c:idx val="1614"/>
          <c:order val="1614"/>
          <c:tx>
            <c:strRef>
              <c:f>'estatística'!$B$1616</c:f>
            </c:strRef>
          </c:tx>
          <c:cat>
            <c:strRef>
              <c:f>'estatística'!$C$1:$M$1</c:f>
            </c:strRef>
          </c:cat>
          <c:val>
            <c:numRef>
              <c:f>'estatística'!$C$1616:$M$1616</c:f>
              <c:numCache/>
            </c:numRef>
          </c:val>
        </c:ser>
        <c:ser>
          <c:idx val="1615"/>
          <c:order val="1615"/>
          <c:tx>
            <c:strRef>
              <c:f>'estatística'!$B$1617</c:f>
            </c:strRef>
          </c:tx>
          <c:cat>
            <c:strRef>
              <c:f>'estatística'!$C$1:$M$1</c:f>
            </c:strRef>
          </c:cat>
          <c:val>
            <c:numRef>
              <c:f>'estatística'!$C$1617:$M$1617</c:f>
              <c:numCache/>
            </c:numRef>
          </c:val>
        </c:ser>
        <c:ser>
          <c:idx val="1616"/>
          <c:order val="1616"/>
          <c:tx>
            <c:strRef>
              <c:f>'estatística'!$B$1618</c:f>
            </c:strRef>
          </c:tx>
          <c:cat>
            <c:strRef>
              <c:f>'estatística'!$C$1:$M$1</c:f>
            </c:strRef>
          </c:cat>
          <c:val>
            <c:numRef>
              <c:f>'estatística'!$C$1618:$M$1618</c:f>
              <c:numCache/>
            </c:numRef>
          </c:val>
        </c:ser>
        <c:ser>
          <c:idx val="1617"/>
          <c:order val="1617"/>
          <c:tx>
            <c:strRef>
              <c:f>'estatística'!$B$1619</c:f>
            </c:strRef>
          </c:tx>
          <c:cat>
            <c:strRef>
              <c:f>'estatística'!$C$1:$M$1</c:f>
            </c:strRef>
          </c:cat>
          <c:val>
            <c:numRef>
              <c:f>'estatística'!$C$1619:$M$1619</c:f>
              <c:numCache/>
            </c:numRef>
          </c:val>
        </c:ser>
        <c:ser>
          <c:idx val="1618"/>
          <c:order val="1618"/>
          <c:tx>
            <c:strRef>
              <c:f>'estatística'!$B$1620</c:f>
            </c:strRef>
          </c:tx>
          <c:cat>
            <c:strRef>
              <c:f>'estatística'!$C$1:$M$1</c:f>
            </c:strRef>
          </c:cat>
          <c:val>
            <c:numRef>
              <c:f>'estatística'!$C$1620:$M$1620</c:f>
              <c:numCache/>
            </c:numRef>
          </c:val>
        </c:ser>
        <c:ser>
          <c:idx val="1619"/>
          <c:order val="1619"/>
          <c:tx>
            <c:strRef>
              <c:f>'estatística'!$B$1621</c:f>
            </c:strRef>
          </c:tx>
          <c:cat>
            <c:strRef>
              <c:f>'estatística'!$C$1:$M$1</c:f>
            </c:strRef>
          </c:cat>
          <c:val>
            <c:numRef>
              <c:f>'estatística'!$C$1621:$M$1621</c:f>
              <c:numCache/>
            </c:numRef>
          </c:val>
        </c:ser>
        <c:ser>
          <c:idx val="1620"/>
          <c:order val="1620"/>
          <c:tx>
            <c:strRef>
              <c:f>'estatística'!$B$1622</c:f>
            </c:strRef>
          </c:tx>
          <c:cat>
            <c:strRef>
              <c:f>'estatística'!$C$1:$M$1</c:f>
            </c:strRef>
          </c:cat>
          <c:val>
            <c:numRef>
              <c:f>'estatística'!$C$1622:$M$1622</c:f>
              <c:numCache/>
            </c:numRef>
          </c:val>
        </c:ser>
        <c:ser>
          <c:idx val="1621"/>
          <c:order val="1621"/>
          <c:tx>
            <c:strRef>
              <c:f>'estatística'!$B$1623</c:f>
            </c:strRef>
          </c:tx>
          <c:cat>
            <c:strRef>
              <c:f>'estatística'!$C$1:$M$1</c:f>
            </c:strRef>
          </c:cat>
          <c:val>
            <c:numRef>
              <c:f>'estatística'!$C$1623:$M$1623</c:f>
              <c:numCache/>
            </c:numRef>
          </c:val>
        </c:ser>
        <c:ser>
          <c:idx val="1622"/>
          <c:order val="1622"/>
          <c:tx>
            <c:strRef>
              <c:f>'estatística'!$B$1624</c:f>
            </c:strRef>
          </c:tx>
          <c:cat>
            <c:strRef>
              <c:f>'estatística'!$C$1:$M$1</c:f>
            </c:strRef>
          </c:cat>
          <c:val>
            <c:numRef>
              <c:f>'estatística'!$C$1624:$M$1624</c:f>
              <c:numCache/>
            </c:numRef>
          </c:val>
        </c:ser>
        <c:ser>
          <c:idx val="1623"/>
          <c:order val="1623"/>
          <c:tx>
            <c:strRef>
              <c:f>'estatística'!$B$1625</c:f>
            </c:strRef>
          </c:tx>
          <c:cat>
            <c:strRef>
              <c:f>'estatística'!$C$1:$M$1</c:f>
            </c:strRef>
          </c:cat>
          <c:val>
            <c:numRef>
              <c:f>'estatística'!$C$1625:$M$1625</c:f>
              <c:numCache/>
            </c:numRef>
          </c:val>
        </c:ser>
        <c:ser>
          <c:idx val="1624"/>
          <c:order val="1624"/>
          <c:tx>
            <c:strRef>
              <c:f>'estatística'!$B$1626</c:f>
            </c:strRef>
          </c:tx>
          <c:cat>
            <c:strRef>
              <c:f>'estatística'!$C$1:$M$1</c:f>
            </c:strRef>
          </c:cat>
          <c:val>
            <c:numRef>
              <c:f>'estatística'!$C$1626:$M$1626</c:f>
              <c:numCache/>
            </c:numRef>
          </c:val>
        </c:ser>
        <c:ser>
          <c:idx val="1625"/>
          <c:order val="1625"/>
          <c:tx>
            <c:strRef>
              <c:f>'estatística'!$B$1627</c:f>
            </c:strRef>
          </c:tx>
          <c:cat>
            <c:strRef>
              <c:f>'estatística'!$C$1:$M$1</c:f>
            </c:strRef>
          </c:cat>
          <c:val>
            <c:numRef>
              <c:f>'estatística'!$C$1627:$M$1627</c:f>
              <c:numCache/>
            </c:numRef>
          </c:val>
        </c:ser>
        <c:ser>
          <c:idx val="1626"/>
          <c:order val="1626"/>
          <c:tx>
            <c:strRef>
              <c:f>'estatística'!$B$1628</c:f>
            </c:strRef>
          </c:tx>
          <c:cat>
            <c:strRef>
              <c:f>'estatística'!$C$1:$M$1</c:f>
            </c:strRef>
          </c:cat>
          <c:val>
            <c:numRef>
              <c:f>'estatística'!$C$1628:$M$1628</c:f>
              <c:numCache/>
            </c:numRef>
          </c:val>
        </c:ser>
        <c:ser>
          <c:idx val="1627"/>
          <c:order val="1627"/>
          <c:tx>
            <c:strRef>
              <c:f>'estatística'!$B$1629</c:f>
            </c:strRef>
          </c:tx>
          <c:cat>
            <c:strRef>
              <c:f>'estatística'!$C$1:$M$1</c:f>
            </c:strRef>
          </c:cat>
          <c:val>
            <c:numRef>
              <c:f>'estatística'!$C$1629:$M$1629</c:f>
              <c:numCache/>
            </c:numRef>
          </c:val>
        </c:ser>
        <c:ser>
          <c:idx val="1628"/>
          <c:order val="1628"/>
          <c:tx>
            <c:strRef>
              <c:f>'estatística'!$B$1630</c:f>
            </c:strRef>
          </c:tx>
          <c:cat>
            <c:strRef>
              <c:f>'estatística'!$C$1:$M$1</c:f>
            </c:strRef>
          </c:cat>
          <c:val>
            <c:numRef>
              <c:f>'estatística'!$C$1630:$M$1630</c:f>
              <c:numCache/>
            </c:numRef>
          </c:val>
        </c:ser>
        <c:ser>
          <c:idx val="1629"/>
          <c:order val="1629"/>
          <c:tx>
            <c:strRef>
              <c:f>'estatística'!$B$1631</c:f>
            </c:strRef>
          </c:tx>
          <c:cat>
            <c:strRef>
              <c:f>'estatística'!$C$1:$M$1</c:f>
            </c:strRef>
          </c:cat>
          <c:val>
            <c:numRef>
              <c:f>'estatística'!$C$1631:$M$1631</c:f>
              <c:numCache/>
            </c:numRef>
          </c:val>
        </c:ser>
        <c:ser>
          <c:idx val="1630"/>
          <c:order val="1630"/>
          <c:tx>
            <c:strRef>
              <c:f>'estatística'!$B$1632</c:f>
            </c:strRef>
          </c:tx>
          <c:cat>
            <c:strRef>
              <c:f>'estatística'!$C$1:$M$1</c:f>
            </c:strRef>
          </c:cat>
          <c:val>
            <c:numRef>
              <c:f>'estatística'!$C$1632:$M$1632</c:f>
              <c:numCache/>
            </c:numRef>
          </c:val>
        </c:ser>
        <c:ser>
          <c:idx val="1631"/>
          <c:order val="1631"/>
          <c:tx>
            <c:strRef>
              <c:f>'estatística'!$B$1633</c:f>
            </c:strRef>
          </c:tx>
          <c:cat>
            <c:strRef>
              <c:f>'estatística'!$C$1:$M$1</c:f>
            </c:strRef>
          </c:cat>
          <c:val>
            <c:numRef>
              <c:f>'estatística'!$C$1633:$M$1633</c:f>
              <c:numCache/>
            </c:numRef>
          </c:val>
        </c:ser>
        <c:ser>
          <c:idx val="1632"/>
          <c:order val="1632"/>
          <c:tx>
            <c:strRef>
              <c:f>'estatística'!$B$1634</c:f>
            </c:strRef>
          </c:tx>
          <c:cat>
            <c:strRef>
              <c:f>'estatística'!$C$1:$M$1</c:f>
            </c:strRef>
          </c:cat>
          <c:val>
            <c:numRef>
              <c:f>'estatística'!$C$1634:$M$1634</c:f>
              <c:numCache/>
            </c:numRef>
          </c:val>
        </c:ser>
        <c:ser>
          <c:idx val="1633"/>
          <c:order val="1633"/>
          <c:tx>
            <c:strRef>
              <c:f>'estatística'!$B$1635</c:f>
            </c:strRef>
          </c:tx>
          <c:cat>
            <c:strRef>
              <c:f>'estatística'!$C$1:$M$1</c:f>
            </c:strRef>
          </c:cat>
          <c:val>
            <c:numRef>
              <c:f>'estatística'!$C$1635:$M$1635</c:f>
              <c:numCache/>
            </c:numRef>
          </c:val>
        </c:ser>
        <c:ser>
          <c:idx val="1634"/>
          <c:order val="1634"/>
          <c:tx>
            <c:strRef>
              <c:f>'estatística'!$B$1636</c:f>
            </c:strRef>
          </c:tx>
          <c:cat>
            <c:strRef>
              <c:f>'estatística'!$C$1:$M$1</c:f>
            </c:strRef>
          </c:cat>
          <c:val>
            <c:numRef>
              <c:f>'estatística'!$C$1636:$M$1636</c:f>
              <c:numCache/>
            </c:numRef>
          </c:val>
        </c:ser>
        <c:ser>
          <c:idx val="1635"/>
          <c:order val="1635"/>
          <c:tx>
            <c:strRef>
              <c:f>'estatística'!$B$1637</c:f>
            </c:strRef>
          </c:tx>
          <c:cat>
            <c:strRef>
              <c:f>'estatística'!$C$1:$M$1</c:f>
            </c:strRef>
          </c:cat>
          <c:val>
            <c:numRef>
              <c:f>'estatística'!$C$1637:$M$1637</c:f>
              <c:numCache/>
            </c:numRef>
          </c:val>
        </c:ser>
        <c:ser>
          <c:idx val="1636"/>
          <c:order val="1636"/>
          <c:tx>
            <c:strRef>
              <c:f>'estatística'!$B$1638</c:f>
            </c:strRef>
          </c:tx>
          <c:cat>
            <c:strRef>
              <c:f>'estatística'!$C$1:$M$1</c:f>
            </c:strRef>
          </c:cat>
          <c:val>
            <c:numRef>
              <c:f>'estatística'!$C$1638:$M$1638</c:f>
              <c:numCache/>
            </c:numRef>
          </c:val>
        </c:ser>
        <c:ser>
          <c:idx val="1637"/>
          <c:order val="1637"/>
          <c:tx>
            <c:strRef>
              <c:f>'estatística'!$B$1639</c:f>
            </c:strRef>
          </c:tx>
          <c:cat>
            <c:strRef>
              <c:f>'estatística'!$C$1:$M$1</c:f>
            </c:strRef>
          </c:cat>
          <c:val>
            <c:numRef>
              <c:f>'estatística'!$C$1639:$M$1639</c:f>
              <c:numCache/>
            </c:numRef>
          </c:val>
        </c:ser>
        <c:ser>
          <c:idx val="1638"/>
          <c:order val="1638"/>
          <c:tx>
            <c:strRef>
              <c:f>'estatística'!$B$1640</c:f>
            </c:strRef>
          </c:tx>
          <c:cat>
            <c:strRef>
              <c:f>'estatística'!$C$1:$M$1</c:f>
            </c:strRef>
          </c:cat>
          <c:val>
            <c:numRef>
              <c:f>'estatística'!$C$1640:$M$1640</c:f>
              <c:numCache/>
            </c:numRef>
          </c:val>
        </c:ser>
        <c:ser>
          <c:idx val="1639"/>
          <c:order val="1639"/>
          <c:tx>
            <c:strRef>
              <c:f>'estatística'!$B$1641</c:f>
            </c:strRef>
          </c:tx>
          <c:cat>
            <c:strRef>
              <c:f>'estatística'!$C$1:$M$1</c:f>
            </c:strRef>
          </c:cat>
          <c:val>
            <c:numRef>
              <c:f>'estatística'!$C$1641:$M$1641</c:f>
              <c:numCache/>
            </c:numRef>
          </c:val>
        </c:ser>
        <c:ser>
          <c:idx val="1640"/>
          <c:order val="1640"/>
          <c:tx>
            <c:strRef>
              <c:f>'estatística'!$B$1642</c:f>
            </c:strRef>
          </c:tx>
          <c:cat>
            <c:strRef>
              <c:f>'estatística'!$C$1:$M$1</c:f>
            </c:strRef>
          </c:cat>
          <c:val>
            <c:numRef>
              <c:f>'estatística'!$C$1642:$M$1642</c:f>
              <c:numCache/>
            </c:numRef>
          </c:val>
        </c:ser>
        <c:ser>
          <c:idx val="1641"/>
          <c:order val="1641"/>
          <c:tx>
            <c:strRef>
              <c:f>'estatística'!$B$1643</c:f>
            </c:strRef>
          </c:tx>
          <c:cat>
            <c:strRef>
              <c:f>'estatística'!$C$1:$M$1</c:f>
            </c:strRef>
          </c:cat>
          <c:val>
            <c:numRef>
              <c:f>'estatística'!$C$1643:$M$1643</c:f>
              <c:numCache/>
            </c:numRef>
          </c:val>
        </c:ser>
        <c:ser>
          <c:idx val="1642"/>
          <c:order val="1642"/>
          <c:tx>
            <c:strRef>
              <c:f>'estatística'!$B$1644</c:f>
            </c:strRef>
          </c:tx>
          <c:cat>
            <c:strRef>
              <c:f>'estatística'!$C$1:$M$1</c:f>
            </c:strRef>
          </c:cat>
          <c:val>
            <c:numRef>
              <c:f>'estatística'!$C$1644:$M$1644</c:f>
              <c:numCache/>
            </c:numRef>
          </c:val>
        </c:ser>
        <c:ser>
          <c:idx val="1643"/>
          <c:order val="1643"/>
          <c:tx>
            <c:strRef>
              <c:f>'estatística'!$B$1645</c:f>
            </c:strRef>
          </c:tx>
          <c:cat>
            <c:strRef>
              <c:f>'estatística'!$C$1:$M$1</c:f>
            </c:strRef>
          </c:cat>
          <c:val>
            <c:numRef>
              <c:f>'estatística'!$C$1645:$M$1645</c:f>
              <c:numCache/>
            </c:numRef>
          </c:val>
        </c:ser>
        <c:ser>
          <c:idx val="1644"/>
          <c:order val="1644"/>
          <c:tx>
            <c:strRef>
              <c:f>'estatística'!$B$1646</c:f>
            </c:strRef>
          </c:tx>
          <c:cat>
            <c:strRef>
              <c:f>'estatística'!$C$1:$M$1</c:f>
            </c:strRef>
          </c:cat>
          <c:val>
            <c:numRef>
              <c:f>'estatística'!$C$1646:$M$1646</c:f>
              <c:numCache/>
            </c:numRef>
          </c:val>
        </c:ser>
        <c:ser>
          <c:idx val="1645"/>
          <c:order val="1645"/>
          <c:tx>
            <c:strRef>
              <c:f>'estatística'!$B$1647</c:f>
            </c:strRef>
          </c:tx>
          <c:cat>
            <c:strRef>
              <c:f>'estatística'!$C$1:$M$1</c:f>
            </c:strRef>
          </c:cat>
          <c:val>
            <c:numRef>
              <c:f>'estatística'!$C$1647:$M$1647</c:f>
              <c:numCache/>
            </c:numRef>
          </c:val>
        </c:ser>
        <c:ser>
          <c:idx val="1646"/>
          <c:order val="1646"/>
          <c:tx>
            <c:strRef>
              <c:f>'estatística'!$B$1648</c:f>
            </c:strRef>
          </c:tx>
          <c:cat>
            <c:strRef>
              <c:f>'estatística'!$C$1:$M$1</c:f>
            </c:strRef>
          </c:cat>
          <c:val>
            <c:numRef>
              <c:f>'estatística'!$C$1648:$M$1648</c:f>
              <c:numCache/>
            </c:numRef>
          </c:val>
        </c:ser>
        <c:ser>
          <c:idx val="1647"/>
          <c:order val="1647"/>
          <c:tx>
            <c:strRef>
              <c:f>'estatística'!$B$1649</c:f>
            </c:strRef>
          </c:tx>
          <c:cat>
            <c:strRef>
              <c:f>'estatística'!$C$1:$M$1</c:f>
            </c:strRef>
          </c:cat>
          <c:val>
            <c:numRef>
              <c:f>'estatística'!$C$1649:$M$1649</c:f>
              <c:numCache/>
            </c:numRef>
          </c:val>
        </c:ser>
        <c:ser>
          <c:idx val="1648"/>
          <c:order val="1648"/>
          <c:tx>
            <c:strRef>
              <c:f>'estatística'!$B$1650</c:f>
            </c:strRef>
          </c:tx>
          <c:cat>
            <c:strRef>
              <c:f>'estatística'!$C$1:$M$1</c:f>
            </c:strRef>
          </c:cat>
          <c:val>
            <c:numRef>
              <c:f>'estatística'!$C$1650:$M$1650</c:f>
              <c:numCache/>
            </c:numRef>
          </c:val>
        </c:ser>
        <c:ser>
          <c:idx val="1649"/>
          <c:order val="1649"/>
          <c:tx>
            <c:strRef>
              <c:f>'estatística'!$B$1651</c:f>
            </c:strRef>
          </c:tx>
          <c:cat>
            <c:strRef>
              <c:f>'estatística'!$C$1:$M$1</c:f>
            </c:strRef>
          </c:cat>
          <c:val>
            <c:numRef>
              <c:f>'estatística'!$C$1651:$M$1651</c:f>
              <c:numCache/>
            </c:numRef>
          </c:val>
        </c:ser>
        <c:ser>
          <c:idx val="1650"/>
          <c:order val="1650"/>
          <c:tx>
            <c:strRef>
              <c:f>'estatística'!$B$1652</c:f>
            </c:strRef>
          </c:tx>
          <c:cat>
            <c:strRef>
              <c:f>'estatística'!$C$1:$M$1</c:f>
            </c:strRef>
          </c:cat>
          <c:val>
            <c:numRef>
              <c:f>'estatística'!$C$1652:$M$1652</c:f>
              <c:numCache/>
            </c:numRef>
          </c:val>
        </c:ser>
        <c:ser>
          <c:idx val="1651"/>
          <c:order val="1651"/>
          <c:tx>
            <c:strRef>
              <c:f>'estatística'!$B$1653</c:f>
            </c:strRef>
          </c:tx>
          <c:cat>
            <c:strRef>
              <c:f>'estatística'!$C$1:$M$1</c:f>
            </c:strRef>
          </c:cat>
          <c:val>
            <c:numRef>
              <c:f>'estatística'!$C$1653:$M$1653</c:f>
              <c:numCache/>
            </c:numRef>
          </c:val>
        </c:ser>
        <c:ser>
          <c:idx val="1652"/>
          <c:order val="1652"/>
          <c:tx>
            <c:strRef>
              <c:f>'estatística'!$B$1654</c:f>
            </c:strRef>
          </c:tx>
          <c:cat>
            <c:strRef>
              <c:f>'estatística'!$C$1:$M$1</c:f>
            </c:strRef>
          </c:cat>
          <c:val>
            <c:numRef>
              <c:f>'estatística'!$C$1654:$M$1654</c:f>
              <c:numCache/>
            </c:numRef>
          </c:val>
        </c:ser>
        <c:ser>
          <c:idx val="1653"/>
          <c:order val="1653"/>
          <c:tx>
            <c:strRef>
              <c:f>'estatística'!$B$1655</c:f>
            </c:strRef>
          </c:tx>
          <c:cat>
            <c:strRef>
              <c:f>'estatística'!$C$1:$M$1</c:f>
            </c:strRef>
          </c:cat>
          <c:val>
            <c:numRef>
              <c:f>'estatística'!$C$1655:$M$1655</c:f>
              <c:numCache/>
            </c:numRef>
          </c:val>
        </c:ser>
        <c:ser>
          <c:idx val="1654"/>
          <c:order val="1654"/>
          <c:tx>
            <c:strRef>
              <c:f>'estatística'!$B$1656</c:f>
            </c:strRef>
          </c:tx>
          <c:cat>
            <c:strRef>
              <c:f>'estatística'!$C$1:$M$1</c:f>
            </c:strRef>
          </c:cat>
          <c:val>
            <c:numRef>
              <c:f>'estatística'!$C$1656:$M$1656</c:f>
              <c:numCache/>
            </c:numRef>
          </c:val>
        </c:ser>
        <c:ser>
          <c:idx val="1655"/>
          <c:order val="1655"/>
          <c:tx>
            <c:strRef>
              <c:f>'estatística'!$B$1657</c:f>
            </c:strRef>
          </c:tx>
          <c:cat>
            <c:strRef>
              <c:f>'estatística'!$C$1:$M$1</c:f>
            </c:strRef>
          </c:cat>
          <c:val>
            <c:numRef>
              <c:f>'estatística'!$C$1657:$M$1657</c:f>
              <c:numCache/>
            </c:numRef>
          </c:val>
        </c:ser>
        <c:ser>
          <c:idx val="1656"/>
          <c:order val="1656"/>
          <c:tx>
            <c:strRef>
              <c:f>'estatística'!$B$1658</c:f>
            </c:strRef>
          </c:tx>
          <c:cat>
            <c:strRef>
              <c:f>'estatística'!$C$1:$M$1</c:f>
            </c:strRef>
          </c:cat>
          <c:val>
            <c:numRef>
              <c:f>'estatística'!$C$1658:$M$1658</c:f>
              <c:numCache/>
            </c:numRef>
          </c:val>
        </c:ser>
        <c:ser>
          <c:idx val="1657"/>
          <c:order val="1657"/>
          <c:tx>
            <c:strRef>
              <c:f>'estatística'!$B$1659</c:f>
            </c:strRef>
          </c:tx>
          <c:cat>
            <c:strRef>
              <c:f>'estatística'!$C$1:$M$1</c:f>
            </c:strRef>
          </c:cat>
          <c:val>
            <c:numRef>
              <c:f>'estatística'!$C$1659:$M$1659</c:f>
              <c:numCache/>
            </c:numRef>
          </c:val>
        </c:ser>
        <c:ser>
          <c:idx val="1658"/>
          <c:order val="1658"/>
          <c:tx>
            <c:strRef>
              <c:f>'estatística'!$B$1660</c:f>
            </c:strRef>
          </c:tx>
          <c:cat>
            <c:strRef>
              <c:f>'estatística'!$C$1:$M$1</c:f>
            </c:strRef>
          </c:cat>
          <c:val>
            <c:numRef>
              <c:f>'estatística'!$C$1660:$M$1660</c:f>
              <c:numCache/>
            </c:numRef>
          </c:val>
        </c:ser>
        <c:ser>
          <c:idx val="1659"/>
          <c:order val="1659"/>
          <c:tx>
            <c:strRef>
              <c:f>'estatística'!$B$1661</c:f>
            </c:strRef>
          </c:tx>
          <c:cat>
            <c:strRef>
              <c:f>'estatística'!$C$1:$M$1</c:f>
            </c:strRef>
          </c:cat>
          <c:val>
            <c:numRef>
              <c:f>'estatística'!$C$1661:$M$1661</c:f>
              <c:numCache/>
            </c:numRef>
          </c:val>
        </c:ser>
        <c:ser>
          <c:idx val="1660"/>
          <c:order val="1660"/>
          <c:tx>
            <c:strRef>
              <c:f>'estatística'!$B$1662</c:f>
            </c:strRef>
          </c:tx>
          <c:cat>
            <c:strRef>
              <c:f>'estatística'!$C$1:$M$1</c:f>
            </c:strRef>
          </c:cat>
          <c:val>
            <c:numRef>
              <c:f>'estatística'!$C$1662:$M$1662</c:f>
              <c:numCache/>
            </c:numRef>
          </c:val>
        </c:ser>
        <c:ser>
          <c:idx val="1661"/>
          <c:order val="1661"/>
          <c:tx>
            <c:strRef>
              <c:f>'estatística'!$B$1663</c:f>
            </c:strRef>
          </c:tx>
          <c:cat>
            <c:strRef>
              <c:f>'estatística'!$C$1:$M$1</c:f>
            </c:strRef>
          </c:cat>
          <c:val>
            <c:numRef>
              <c:f>'estatística'!$C$1663:$M$1663</c:f>
              <c:numCache/>
            </c:numRef>
          </c:val>
        </c:ser>
        <c:ser>
          <c:idx val="1662"/>
          <c:order val="1662"/>
          <c:tx>
            <c:strRef>
              <c:f>'estatística'!$B$1664</c:f>
            </c:strRef>
          </c:tx>
          <c:cat>
            <c:strRef>
              <c:f>'estatística'!$C$1:$M$1</c:f>
            </c:strRef>
          </c:cat>
          <c:val>
            <c:numRef>
              <c:f>'estatística'!$C$1664:$M$1664</c:f>
              <c:numCache/>
            </c:numRef>
          </c:val>
        </c:ser>
        <c:ser>
          <c:idx val="1663"/>
          <c:order val="1663"/>
          <c:tx>
            <c:strRef>
              <c:f>'estatística'!$B$1665</c:f>
            </c:strRef>
          </c:tx>
          <c:cat>
            <c:strRef>
              <c:f>'estatística'!$C$1:$M$1</c:f>
            </c:strRef>
          </c:cat>
          <c:val>
            <c:numRef>
              <c:f>'estatística'!$C$1665:$M$1665</c:f>
              <c:numCache/>
            </c:numRef>
          </c:val>
        </c:ser>
        <c:ser>
          <c:idx val="1664"/>
          <c:order val="1664"/>
          <c:tx>
            <c:strRef>
              <c:f>'estatística'!$B$1666</c:f>
            </c:strRef>
          </c:tx>
          <c:cat>
            <c:strRef>
              <c:f>'estatística'!$C$1:$M$1</c:f>
            </c:strRef>
          </c:cat>
          <c:val>
            <c:numRef>
              <c:f>'estatística'!$C$1666:$M$1666</c:f>
              <c:numCache/>
            </c:numRef>
          </c:val>
        </c:ser>
        <c:ser>
          <c:idx val="1665"/>
          <c:order val="1665"/>
          <c:tx>
            <c:strRef>
              <c:f>'estatística'!$B$1667</c:f>
            </c:strRef>
          </c:tx>
          <c:cat>
            <c:strRef>
              <c:f>'estatística'!$C$1:$M$1</c:f>
            </c:strRef>
          </c:cat>
          <c:val>
            <c:numRef>
              <c:f>'estatística'!$C$1667:$M$1667</c:f>
              <c:numCache/>
            </c:numRef>
          </c:val>
        </c:ser>
        <c:ser>
          <c:idx val="1666"/>
          <c:order val="1666"/>
          <c:tx>
            <c:strRef>
              <c:f>'estatística'!$B$1668</c:f>
            </c:strRef>
          </c:tx>
          <c:cat>
            <c:strRef>
              <c:f>'estatística'!$C$1:$M$1</c:f>
            </c:strRef>
          </c:cat>
          <c:val>
            <c:numRef>
              <c:f>'estatística'!$C$1668:$M$1668</c:f>
              <c:numCache/>
            </c:numRef>
          </c:val>
        </c:ser>
        <c:ser>
          <c:idx val="1667"/>
          <c:order val="1667"/>
          <c:tx>
            <c:strRef>
              <c:f>'estatística'!$B$1669</c:f>
            </c:strRef>
          </c:tx>
          <c:cat>
            <c:strRef>
              <c:f>'estatística'!$C$1:$M$1</c:f>
            </c:strRef>
          </c:cat>
          <c:val>
            <c:numRef>
              <c:f>'estatística'!$C$1669:$M$1669</c:f>
              <c:numCache/>
            </c:numRef>
          </c:val>
        </c:ser>
        <c:ser>
          <c:idx val="1668"/>
          <c:order val="1668"/>
          <c:tx>
            <c:strRef>
              <c:f>'estatística'!$B$1670</c:f>
            </c:strRef>
          </c:tx>
          <c:cat>
            <c:strRef>
              <c:f>'estatística'!$C$1:$M$1</c:f>
            </c:strRef>
          </c:cat>
          <c:val>
            <c:numRef>
              <c:f>'estatística'!$C$1670:$M$1670</c:f>
              <c:numCache/>
            </c:numRef>
          </c:val>
        </c:ser>
        <c:ser>
          <c:idx val="1669"/>
          <c:order val="1669"/>
          <c:tx>
            <c:strRef>
              <c:f>'estatística'!$B$1671</c:f>
            </c:strRef>
          </c:tx>
          <c:cat>
            <c:strRef>
              <c:f>'estatística'!$C$1:$M$1</c:f>
            </c:strRef>
          </c:cat>
          <c:val>
            <c:numRef>
              <c:f>'estatística'!$C$1671:$M$1671</c:f>
              <c:numCache/>
            </c:numRef>
          </c:val>
        </c:ser>
        <c:ser>
          <c:idx val="1670"/>
          <c:order val="1670"/>
          <c:tx>
            <c:strRef>
              <c:f>'estatística'!$B$1672</c:f>
            </c:strRef>
          </c:tx>
          <c:cat>
            <c:strRef>
              <c:f>'estatística'!$C$1:$M$1</c:f>
            </c:strRef>
          </c:cat>
          <c:val>
            <c:numRef>
              <c:f>'estatística'!$C$1672:$M$1672</c:f>
              <c:numCache/>
            </c:numRef>
          </c:val>
        </c:ser>
        <c:ser>
          <c:idx val="1671"/>
          <c:order val="1671"/>
          <c:tx>
            <c:strRef>
              <c:f>'estatística'!$B$1673</c:f>
            </c:strRef>
          </c:tx>
          <c:cat>
            <c:strRef>
              <c:f>'estatística'!$C$1:$M$1</c:f>
            </c:strRef>
          </c:cat>
          <c:val>
            <c:numRef>
              <c:f>'estatística'!$C$1673:$M$1673</c:f>
              <c:numCache/>
            </c:numRef>
          </c:val>
        </c:ser>
        <c:ser>
          <c:idx val="1672"/>
          <c:order val="1672"/>
          <c:tx>
            <c:strRef>
              <c:f>'estatística'!$B$1674</c:f>
            </c:strRef>
          </c:tx>
          <c:cat>
            <c:strRef>
              <c:f>'estatística'!$C$1:$M$1</c:f>
            </c:strRef>
          </c:cat>
          <c:val>
            <c:numRef>
              <c:f>'estatística'!$C$1674:$M$1674</c:f>
              <c:numCache/>
            </c:numRef>
          </c:val>
        </c:ser>
        <c:ser>
          <c:idx val="1673"/>
          <c:order val="1673"/>
          <c:tx>
            <c:strRef>
              <c:f>'estatística'!$B$1675</c:f>
            </c:strRef>
          </c:tx>
          <c:cat>
            <c:strRef>
              <c:f>'estatística'!$C$1:$M$1</c:f>
            </c:strRef>
          </c:cat>
          <c:val>
            <c:numRef>
              <c:f>'estatística'!$C$1675:$M$1675</c:f>
              <c:numCache/>
            </c:numRef>
          </c:val>
        </c:ser>
        <c:ser>
          <c:idx val="1674"/>
          <c:order val="1674"/>
          <c:tx>
            <c:strRef>
              <c:f>'estatística'!$B$1676</c:f>
            </c:strRef>
          </c:tx>
          <c:cat>
            <c:strRef>
              <c:f>'estatística'!$C$1:$M$1</c:f>
            </c:strRef>
          </c:cat>
          <c:val>
            <c:numRef>
              <c:f>'estatística'!$C$1676:$M$1676</c:f>
              <c:numCache/>
            </c:numRef>
          </c:val>
        </c:ser>
        <c:ser>
          <c:idx val="1675"/>
          <c:order val="1675"/>
          <c:tx>
            <c:strRef>
              <c:f>'estatística'!$B$1677</c:f>
            </c:strRef>
          </c:tx>
          <c:cat>
            <c:strRef>
              <c:f>'estatística'!$C$1:$M$1</c:f>
            </c:strRef>
          </c:cat>
          <c:val>
            <c:numRef>
              <c:f>'estatística'!$C$1677:$M$1677</c:f>
              <c:numCache/>
            </c:numRef>
          </c:val>
        </c:ser>
        <c:ser>
          <c:idx val="1676"/>
          <c:order val="1676"/>
          <c:tx>
            <c:strRef>
              <c:f>'estatística'!$B$1678</c:f>
            </c:strRef>
          </c:tx>
          <c:cat>
            <c:strRef>
              <c:f>'estatística'!$C$1:$M$1</c:f>
            </c:strRef>
          </c:cat>
          <c:val>
            <c:numRef>
              <c:f>'estatística'!$C$1678:$M$1678</c:f>
              <c:numCache/>
            </c:numRef>
          </c:val>
        </c:ser>
        <c:ser>
          <c:idx val="1677"/>
          <c:order val="1677"/>
          <c:tx>
            <c:strRef>
              <c:f>'estatística'!$B$1679</c:f>
            </c:strRef>
          </c:tx>
          <c:cat>
            <c:strRef>
              <c:f>'estatística'!$C$1:$M$1</c:f>
            </c:strRef>
          </c:cat>
          <c:val>
            <c:numRef>
              <c:f>'estatística'!$C$1679:$M$1679</c:f>
              <c:numCache/>
            </c:numRef>
          </c:val>
        </c:ser>
        <c:ser>
          <c:idx val="1678"/>
          <c:order val="1678"/>
          <c:tx>
            <c:strRef>
              <c:f>'estatística'!$B$1680</c:f>
            </c:strRef>
          </c:tx>
          <c:cat>
            <c:strRef>
              <c:f>'estatística'!$C$1:$M$1</c:f>
            </c:strRef>
          </c:cat>
          <c:val>
            <c:numRef>
              <c:f>'estatística'!$C$1680:$M$1680</c:f>
              <c:numCache/>
            </c:numRef>
          </c:val>
        </c:ser>
        <c:ser>
          <c:idx val="1679"/>
          <c:order val="1679"/>
          <c:tx>
            <c:strRef>
              <c:f>'estatística'!$B$1681</c:f>
            </c:strRef>
          </c:tx>
          <c:cat>
            <c:strRef>
              <c:f>'estatística'!$C$1:$M$1</c:f>
            </c:strRef>
          </c:cat>
          <c:val>
            <c:numRef>
              <c:f>'estatística'!$C$1681:$M$1681</c:f>
              <c:numCache/>
            </c:numRef>
          </c:val>
        </c:ser>
        <c:ser>
          <c:idx val="1680"/>
          <c:order val="1680"/>
          <c:tx>
            <c:strRef>
              <c:f>'estatística'!$B$1682</c:f>
            </c:strRef>
          </c:tx>
          <c:cat>
            <c:strRef>
              <c:f>'estatística'!$C$1:$M$1</c:f>
            </c:strRef>
          </c:cat>
          <c:val>
            <c:numRef>
              <c:f>'estatística'!$C$1682:$M$1682</c:f>
              <c:numCache/>
            </c:numRef>
          </c:val>
        </c:ser>
        <c:ser>
          <c:idx val="1681"/>
          <c:order val="1681"/>
          <c:tx>
            <c:strRef>
              <c:f>'estatística'!$B$1683</c:f>
            </c:strRef>
          </c:tx>
          <c:cat>
            <c:strRef>
              <c:f>'estatística'!$C$1:$M$1</c:f>
            </c:strRef>
          </c:cat>
          <c:val>
            <c:numRef>
              <c:f>'estatística'!$C$1683:$M$1683</c:f>
              <c:numCache/>
            </c:numRef>
          </c:val>
        </c:ser>
        <c:ser>
          <c:idx val="1682"/>
          <c:order val="1682"/>
          <c:tx>
            <c:strRef>
              <c:f>'estatística'!$B$1684</c:f>
            </c:strRef>
          </c:tx>
          <c:cat>
            <c:strRef>
              <c:f>'estatística'!$C$1:$M$1</c:f>
            </c:strRef>
          </c:cat>
          <c:val>
            <c:numRef>
              <c:f>'estatística'!$C$1684:$M$1684</c:f>
              <c:numCache/>
            </c:numRef>
          </c:val>
        </c:ser>
        <c:ser>
          <c:idx val="1683"/>
          <c:order val="1683"/>
          <c:tx>
            <c:strRef>
              <c:f>'estatística'!$B$1685</c:f>
            </c:strRef>
          </c:tx>
          <c:cat>
            <c:strRef>
              <c:f>'estatística'!$C$1:$M$1</c:f>
            </c:strRef>
          </c:cat>
          <c:val>
            <c:numRef>
              <c:f>'estatística'!$C$1685:$M$1685</c:f>
              <c:numCache/>
            </c:numRef>
          </c:val>
        </c:ser>
        <c:ser>
          <c:idx val="1684"/>
          <c:order val="1684"/>
          <c:tx>
            <c:strRef>
              <c:f>'estatística'!$B$1686</c:f>
            </c:strRef>
          </c:tx>
          <c:cat>
            <c:strRef>
              <c:f>'estatística'!$C$1:$M$1</c:f>
            </c:strRef>
          </c:cat>
          <c:val>
            <c:numRef>
              <c:f>'estatística'!$C$1686:$M$1686</c:f>
              <c:numCache/>
            </c:numRef>
          </c:val>
        </c:ser>
        <c:ser>
          <c:idx val="1685"/>
          <c:order val="1685"/>
          <c:tx>
            <c:strRef>
              <c:f>'estatística'!$B$1687</c:f>
            </c:strRef>
          </c:tx>
          <c:cat>
            <c:strRef>
              <c:f>'estatística'!$C$1:$M$1</c:f>
            </c:strRef>
          </c:cat>
          <c:val>
            <c:numRef>
              <c:f>'estatística'!$C$1687:$M$1687</c:f>
              <c:numCache/>
            </c:numRef>
          </c:val>
        </c:ser>
        <c:ser>
          <c:idx val="1686"/>
          <c:order val="1686"/>
          <c:tx>
            <c:strRef>
              <c:f>'estatística'!$B$1688</c:f>
            </c:strRef>
          </c:tx>
          <c:cat>
            <c:strRef>
              <c:f>'estatística'!$C$1:$M$1</c:f>
            </c:strRef>
          </c:cat>
          <c:val>
            <c:numRef>
              <c:f>'estatística'!$C$1688:$M$1688</c:f>
              <c:numCache/>
            </c:numRef>
          </c:val>
        </c:ser>
        <c:ser>
          <c:idx val="1687"/>
          <c:order val="1687"/>
          <c:tx>
            <c:strRef>
              <c:f>'estatística'!$B$1689</c:f>
            </c:strRef>
          </c:tx>
          <c:cat>
            <c:strRef>
              <c:f>'estatística'!$C$1:$M$1</c:f>
            </c:strRef>
          </c:cat>
          <c:val>
            <c:numRef>
              <c:f>'estatística'!$C$1689:$M$1689</c:f>
              <c:numCache/>
            </c:numRef>
          </c:val>
        </c:ser>
        <c:ser>
          <c:idx val="1688"/>
          <c:order val="1688"/>
          <c:tx>
            <c:strRef>
              <c:f>'estatística'!$B$1690</c:f>
            </c:strRef>
          </c:tx>
          <c:cat>
            <c:strRef>
              <c:f>'estatística'!$C$1:$M$1</c:f>
            </c:strRef>
          </c:cat>
          <c:val>
            <c:numRef>
              <c:f>'estatística'!$C$1690:$M$1690</c:f>
              <c:numCache/>
            </c:numRef>
          </c:val>
        </c:ser>
        <c:ser>
          <c:idx val="1689"/>
          <c:order val="1689"/>
          <c:tx>
            <c:strRef>
              <c:f>'estatística'!$B$1691</c:f>
            </c:strRef>
          </c:tx>
          <c:cat>
            <c:strRef>
              <c:f>'estatística'!$C$1:$M$1</c:f>
            </c:strRef>
          </c:cat>
          <c:val>
            <c:numRef>
              <c:f>'estatística'!$C$1691:$M$1691</c:f>
              <c:numCache/>
            </c:numRef>
          </c:val>
        </c:ser>
        <c:ser>
          <c:idx val="1690"/>
          <c:order val="1690"/>
          <c:tx>
            <c:strRef>
              <c:f>'estatística'!$B$1692</c:f>
            </c:strRef>
          </c:tx>
          <c:cat>
            <c:strRef>
              <c:f>'estatística'!$C$1:$M$1</c:f>
            </c:strRef>
          </c:cat>
          <c:val>
            <c:numRef>
              <c:f>'estatística'!$C$1692:$M$1692</c:f>
              <c:numCache/>
            </c:numRef>
          </c:val>
        </c:ser>
        <c:ser>
          <c:idx val="1691"/>
          <c:order val="1691"/>
          <c:tx>
            <c:strRef>
              <c:f>'estatística'!$B$1693</c:f>
            </c:strRef>
          </c:tx>
          <c:cat>
            <c:strRef>
              <c:f>'estatística'!$C$1:$M$1</c:f>
            </c:strRef>
          </c:cat>
          <c:val>
            <c:numRef>
              <c:f>'estatística'!$C$1693:$M$1693</c:f>
              <c:numCache/>
            </c:numRef>
          </c:val>
        </c:ser>
        <c:ser>
          <c:idx val="1692"/>
          <c:order val="1692"/>
          <c:tx>
            <c:strRef>
              <c:f>'estatística'!$B$1694</c:f>
            </c:strRef>
          </c:tx>
          <c:cat>
            <c:strRef>
              <c:f>'estatística'!$C$1:$M$1</c:f>
            </c:strRef>
          </c:cat>
          <c:val>
            <c:numRef>
              <c:f>'estatística'!$C$1694:$M$1694</c:f>
              <c:numCache/>
            </c:numRef>
          </c:val>
        </c:ser>
        <c:ser>
          <c:idx val="1693"/>
          <c:order val="1693"/>
          <c:tx>
            <c:strRef>
              <c:f>'estatística'!$B$1695</c:f>
            </c:strRef>
          </c:tx>
          <c:cat>
            <c:strRef>
              <c:f>'estatística'!$C$1:$M$1</c:f>
            </c:strRef>
          </c:cat>
          <c:val>
            <c:numRef>
              <c:f>'estatística'!$C$1695:$M$1695</c:f>
              <c:numCache/>
            </c:numRef>
          </c:val>
        </c:ser>
        <c:ser>
          <c:idx val="1694"/>
          <c:order val="1694"/>
          <c:tx>
            <c:strRef>
              <c:f>'estatística'!$B$1696</c:f>
            </c:strRef>
          </c:tx>
          <c:cat>
            <c:strRef>
              <c:f>'estatística'!$C$1:$M$1</c:f>
            </c:strRef>
          </c:cat>
          <c:val>
            <c:numRef>
              <c:f>'estatística'!$C$1696:$M$1696</c:f>
              <c:numCache/>
            </c:numRef>
          </c:val>
        </c:ser>
        <c:ser>
          <c:idx val="1695"/>
          <c:order val="1695"/>
          <c:tx>
            <c:strRef>
              <c:f>'estatística'!$B$1697</c:f>
            </c:strRef>
          </c:tx>
          <c:cat>
            <c:strRef>
              <c:f>'estatística'!$C$1:$M$1</c:f>
            </c:strRef>
          </c:cat>
          <c:val>
            <c:numRef>
              <c:f>'estatística'!$C$1697:$M$1697</c:f>
              <c:numCache/>
            </c:numRef>
          </c:val>
        </c:ser>
        <c:ser>
          <c:idx val="1696"/>
          <c:order val="1696"/>
          <c:tx>
            <c:strRef>
              <c:f>'estatística'!$B$1698</c:f>
            </c:strRef>
          </c:tx>
          <c:cat>
            <c:strRef>
              <c:f>'estatística'!$C$1:$M$1</c:f>
            </c:strRef>
          </c:cat>
          <c:val>
            <c:numRef>
              <c:f>'estatística'!$C$1698:$M$1698</c:f>
              <c:numCache/>
            </c:numRef>
          </c:val>
        </c:ser>
        <c:ser>
          <c:idx val="1697"/>
          <c:order val="1697"/>
          <c:tx>
            <c:strRef>
              <c:f>'estatística'!$B$1699</c:f>
            </c:strRef>
          </c:tx>
          <c:cat>
            <c:strRef>
              <c:f>'estatística'!$C$1:$M$1</c:f>
            </c:strRef>
          </c:cat>
          <c:val>
            <c:numRef>
              <c:f>'estatística'!$C$1699:$M$1699</c:f>
              <c:numCache/>
            </c:numRef>
          </c:val>
        </c:ser>
        <c:ser>
          <c:idx val="1698"/>
          <c:order val="1698"/>
          <c:tx>
            <c:strRef>
              <c:f>'estatística'!$B$1700</c:f>
            </c:strRef>
          </c:tx>
          <c:cat>
            <c:strRef>
              <c:f>'estatística'!$C$1:$M$1</c:f>
            </c:strRef>
          </c:cat>
          <c:val>
            <c:numRef>
              <c:f>'estatística'!$C$1700:$M$1700</c:f>
              <c:numCache/>
            </c:numRef>
          </c:val>
        </c:ser>
        <c:ser>
          <c:idx val="1699"/>
          <c:order val="1699"/>
          <c:tx>
            <c:strRef>
              <c:f>'estatística'!$B$1701</c:f>
            </c:strRef>
          </c:tx>
          <c:cat>
            <c:strRef>
              <c:f>'estatística'!$C$1:$M$1</c:f>
            </c:strRef>
          </c:cat>
          <c:val>
            <c:numRef>
              <c:f>'estatística'!$C$1701:$M$1701</c:f>
              <c:numCache/>
            </c:numRef>
          </c:val>
        </c:ser>
        <c:ser>
          <c:idx val="1700"/>
          <c:order val="1700"/>
          <c:tx>
            <c:strRef>
              <c:f>'estatística'!$B$1702</c:f>
            </c:strRef>
          </c:tx>
          <c:cat>
            <c:strRef>
              <c:f>'estatística'!$C$1:$M$1</c:f>
            </c:strRef>
          </c:cat>
          <c:val>
            <c:numRef>
              <c:f>'estatística'!$C$1702:$M$1702</c:f>
              <c:numCache/>
            </c:numRef>
          </c:val>
        </c:ser>
        <c:ser>
          <c:idx val="1701"/>
          <c:order val="1701"/>
          <c:tx>
            <c:strRef>
              <c:f>'estatística'!$B$1703</c:f>
            </c:strRef>
          </c:tx>
          <c:cat>
            <c:strRef>
              <c:f>'estatística'!$C$1:$M$1</c:f>
            </c:strRef>
          </c:cat>
          <c:val>
            <c:numRef>
              <c:f>'estatística'!$C$1703:$M$1703</c:f>
              <c:numCache/>
            </c:numRef>
          </c:val>
        </c:ser>
        <c:ser>
          <c:idx val="1702"/>
          <c:order val="1702"/>
          <c:tx>
            <c:strRef>
              <c:f>'estatística'!$B$1704</c:f>
            </c:strRef>
          </c:tx>
          <c:cat>
            <c:strRef>
              <c:f>'estatística'!$C$1:$M$1</c:f>
            </c:strRef>
          </c:cat>
          <c:val>
            <c:numRef>
              <c:f>'estatística'!$C$1704:$M$1704</c:f>
              <c:numCache/>
            </c:numRef>
          </c:val>
        </c:ser>
        <c:ser>
          <c:idx val="1703"/>
          <c:order val="1703"/>
          <c:tx>
            <c:strRef>
              <c:f>'estatística'!$B$1705</c:f>
            </c:strRef>
          </c:tx>
          <c:cat>
            <c:strRef>
              <c:f>'estatística'!$C$1:$M$1</c:f>
            </c:strRef>
          </c:cat>
          <c:val>
            <c:numRef>
              <c:f>'estatística'!$C$1705:$M$1705</c:f>
              <c:numCache/>
            </c:numRef>
          </c:val>
        </c:ser>
        <c:ser>
          <c:idx val="1704"/>
          <c:order val="1704"/>
          <c:tx>
            <c:strRef>
              <c:f>'estatística'!$B$1706</c:f>
            </c:strRef>
          </c:tx>
          <c:cat>
            <c:strRef>
              <c:f>'estatística'!$C$1:$M$1</c:f>
            </c:strRef>
          </c:cat>
          <c:val>
            <c:numRef>
              <c:f>'estatística'!$C$1706:$M$1706</c:f>
              <c:numCache/>
            </c:numRef>
          </c:val>
        </c:ser>
        <c:ser>
          <c:idx val="1705"/>
          <c:order val="1705"/>
          <c:tx>
            <c:strRef>
              <c:f>'estatística'!$B$1707</c:f>
            </c:strRef>
          </c:tx>
          <c:cat>
            <c:strRef>
              <c:f>'estatística'!$C$1:$M$1</c:f>
            </c:strRef>
          </c:cat>
          <c:val>
            <c:numRef>
              <c:f>'estatística'!$C$1707:$M$1707</c:f>
              <c:numCache/>
            </c:numRef>
          </c:val>
        </c:ser>
        <c:ser>
          <c:idx val="1706"/>
          <c:order val="1706"/>
          <c:tx>
            <c:strRef>
              <c:f>'estatística'!$B$1708</c:f>
            </c:strRef>
          </c:tx>
          <c:cat>
            <c:strRef>
              <c:f>'estatística'!$C$1:$M$1</c:f>
            </c:strRef>
          </c:cat>
          <c:val>
            <c:numRef>
              <c:f>'estatística'!$C$1708:$M$1708</c:f>
              <c:numCache/>
            </c:numRef>
          </c:val>
        </c:ser>
        <c:ser>
          <c:idx val="1707"/>
          <c:order val="1707"/>
          <c:tx>
            <c:strRef>
              <c:f>'estatística'!$B$1709</c:f>
            </c:strRef>
          </c:tx>
          <c:cat>
            <c:strRef>
              <c:f>'estatística'!$C$1:$M$1</c:f>
            </c:strRef>
          </c:cat>
          <c:val>
            <c:numRef>
              <c:f>'estatística'!$C$1709:$M$1709</c:f>
              <c:numCache/>
            </c:numRef>
          </c:val>
        </c:ser>
        <c:ser>
          <c:idx val="1708"/>
          <c:order val="1708"/>
          <c:tx>
            <c:strRef>
              <c:f>'estatística'!$B$1710</c:f>
            </c:strRef>
          </c:tx>
          <c:cat>
            <c:strRef>
              <c:f>'estatística'!$C$1:$M$1</c:f>
            </c:strRef>
          </c:cat>
          <c:val>
            <c:numRef>
              <c:f>'estatística'!$C$1710:$M$1710</c:f>
              <c:numCache/>
            </c:numRef>
          </c:val>
        </c:ser>
        <c:ser>
          <c:idx val="1709"/>
          <c:order val="1709"/>
          <c:tx>
            <c:strRef>
              <c:f>'estatística'!$B$1711</c:f>
            </c:strRef>
          </c:tx>
          <c:cat>
            <c:strRef>
              <c:f>'estatística'!$C$1:$M$1</c:f>
            </c:strRef>
          </c:cat>
          <c:val>
            <c:numRef>
              <c:f>'estatística'!$C$1711:$M$1711</c:f>
              <c:numCache/>
            </c:numRef>
          </c:val>
        </c:ser>
        <c:ser>
          <c:idx val="1710"/>
          <c:order val="1710"/>
          <c:tx>
            <c:strRef>
              <c:f>'estatística'!$B$1712</c:f>
            </c:strRef>
          </c:tx>
          <c:cat>
            <c:strRef>
              <c:f>'estatística'!$C$1:$M$1</c:f>
            </c:strRef>
          </c:cat>
          <c:val>
            <c:numRef>
              <c:f>'estatística'!$C$1712:$M$1712</c:f>
              <c:numCache/>
            </c:numRef>
          </c:val>
        </c:ser>
        <c:ser>
          <c:idx val="1711"/>
          <c:order val="1711"/>
          <c:tx>
            <c:strRef>
              <c:f>'estatística'!$B$1713</c:f>
            </c:strRef>
          </c:tx>
          <c:cat>
            <c:strRef>
              <c:f>'estatística'!$C$1:$M$1</c:f>
            </c:strRef>
          </c:cat>
          <c:val>
            <c:numRef>
              <c:f>'estatística'!$C$1713:$M$1713</c:f>
              <c:numCache/>
            </c:numRef>
          </c:val>
        </c:ser>
        <c:ser>
          <c:idx val="1712"/>
          <c:order val="1712"/>
          <c:tx>
            <c:strRef>
              <c:f>'estatística'!$B$1714</c:f>
            </c:strRef>
          </c:tx>
          <c:cat>
            <c:strRef>
              <c:f>'estatística'!$C$1:$M$1</c:f>
            </c:strRef>
          </c:cat>
          <c:val>
            <c:numRef>
              <c:f>'estatística'!$C$1714:$M$1714</c:f>
              <c:numCache/>
            </c:numRef>
          </c:val>
        </c:ser>
        <c:ser>
          <c:idx val="1713"/>
          <c:order val="1713"/>
          <c:tx>
            <c:strRef>
              <c:f>'estatística'!$B$1715</c:f>
            </c:strRef>
          </c:tx>
          <c:cat>
            <c:strRef>
              <c:f>'estatística'!$C$1:$M$1</c:f>
            </c:strRef>
          </c:cat>
          <c:val>
            <c:numRef>
              <c:f>'estatística'!$C$1715:$M$1715</c:f>
              <c:numCache/>
            </c:numRef>
          </c:val>
        </c:ser>
        <c:ser>
          <c:idx val="1714"/>
          <c:order val="1714"/>
          <c:tx>
            <c:strRef>
              <c:f>'estatística'!$B$1716</c:f>
            </c:strRef>
          </c:tx>
          <c:cat>
            <c:strRef>
              <c:f>'estatística'!$C$1:$M$1</c:f>
            </c:strRef>
          </c:cat>
          <c:val>
            <c:numRef>
              <c:f>'estatística'!$C$1716:$M$1716</c:f>
              <c:numCache/>
            </c:numRef>
          </c:val>
        </c:ser>
        <c:ser>
          <c:idx val="1715"/>
          <c:order val="1715"/>
          <c:tx>
            <c:strRef>
              <c:f>'estatística'!$B$1717</c:f>
            </c:strRef>
          </c:tx>
          <c:cat>
            <c:strRef>
              <c:f>'estatística'!$C$1:$M$1</c:f>
            </c:strRef>
          </c:cat>
          <c:val>
            <c:numRef>
              <c:f>'estatística'!$C$1717:$M$1717</c:f>
              <c:numCache/>
            </c:numRef>
          </c:val>
        </c:ser>
        <c:ser>
          <c:idx val="1716"/>
          <c:order val="1716"/>
          <c:tx>
            <c:strRef>
              <c:f>'estatística'!$B$1718</c:f>
            </c:strRef>
          </c:tx>
          <c:cat>
            <c:strRef>
              <c:f>'estatística'!$C$1:$M$1</c:f>
            </c:strRef>
          </c:cat>
          <c:val>
            <c:numRef>
              <c:f>'estatística'!$C$1718:$M$1718</c:f>
              <c:numCache/>
            </c:numRef>
          </c:val>
        </c:ser>
        <c:ser>
          <c:idx val="1717"/>
          <c:order val="1717"/>
          <c:tx>
            <c:strRef>
              <c:f>'estatística'!$B$1719</c:f>
            </c:strRef>
          </c:tx>
          <c:cat>
            <c:strRef>
              <c:f>'estatística'!$C$1:$M$1</c:f>
            </c:strRef>
          </c:cat>
          <c:val>
            <c:numRef>
              <c:f>'estatística'!$C$1719:$M$1719</c:f>
              <c:numCache/>
            </c:numRef>
          </c:val>
        </c:ser>
        <c:ser>
          <c:idx val="1718"/>
          <c:order val="1718"/>
          <c:tx>
            <c:strRef>
              <c:f>'estatística'!$B$1720</c:f>
            </c:strRef>
          </c:tx>
          <c:cat>
            <c:strRef>
              <c:f>'estatística'!$C$1:$M$1</c:f>
            </c:strRef>
          </c:cat>
          <c:val>
            <c:numRef>
              <c:f>'estatística'!$C$1720:$M$1720</c:f>
              <c:numCache/>
            </c:numRef>
          </c:val>
        </c:ser>
        <c:ser>
          <c:idx val="1719"/>
          <c:order val="1719"/>
          <c:tx>
            <c:strRef>
              <c:f>'estatística'!$B$1721</c:f>
            </c:strRef>
          </c:tx>
          <c:cat>
            <c:strRef>
              <c:f>'estatística'!$C$1:$M$1</c:f>
            </c:strRef>
          </c:cat>
          <c:val>
            <c:numRef>
              <c:f>'estatística'!$C$1721:$M$1721</c:f>
              <c:numCache/>
            </c:numRef>
          </c:val>
        </c:ser>
        <c:ser>
          <c:idx val="1720"/>
          <c:order val="1720"/>
          <c:tx>
            <c:strRef>
              <c:f>'estatística'!$B$1722</c:f>
            </c:strRef>
          </c:tx>
          <c:cat>
            <c:strRef>
              <c:f>'estatística'!$C$1:$M$1</c:f>
            </c:strRef>
          </c:cat>
          <c:val>
            <c:numRef>
              <c:f>'estatística'!$C$1722:$M$1722</c:f>
              <c:numCache/>
            </c:numRef>
          </c:val>
        </c:ser>
        <c:ser>
          <c:idx val="1721"/>
          <c:order val="1721"/>
          <c:tx>
            <c:strRef>
              <c:f>'estatística'!$B$1723</c:f>
            </c:strRef>
          </c:tx>
          <c:cat>
            <c:strRef>
              <c:f>'estatística'!$C$1:$M$1</c:f>
            </c:strRef>
          </c:cat>
          <c:val>
            <c:numRef>
              <c:f>'estatística'!$C$1723:$M$1723</c:f>
              <c:numCache/>
            </c:numRef>
          </c:val>
        </c:ser>
        <c:ser>
          <c:idx val="1722"/>
          <c:order val="1722"/>
          <c:tx>
            <c:strRef>
              <c:f>'estatística'!$B$1724</c:f>
            </c:strRef>
          </c:tx>
          <c:cat>
            <c:strRef>
              <c:f>'estatística'!$C$1:$M$1</c:f>
            </c:strRef>
          </c:cat>
          <c:val>
            <c:numRef>
              <c:f>'estatística'!$C$1724:$M$1724</c:f>
              <c:numCache/>
            </c:numRef>
          </c:val>
        </c:ser>
        <c:ser>
          <c:idx val="1723"/>
          <c:order val="1723"/>
          <c:tx>
            <c:strRef>
              <c:f>'estatística'!$B$1725</c:f>
            </c:strRef>
          </c:tx>
          <c:cat>
            <c:strRef>
              <c:f>'estatística'!$C$1:$M$1</c:f>
            </c:strRef>
          </c:cat>
          <c:val>
            <c:numRef>
              <c:f>'estatística'!$C$1725:$M$1725</c:f>
              <c:numCache/>
            </c:numRef>
          </c:val>
        </c:ser>
        <c:ser>
          <c:idx val="1724"/>
          <c:order val="1724"/>
          <c:tx>
            <c:strRef>
              <c:f>'estatística'!$B$1726</c:f>
            </c:strRef>
          </c:tx>
          <c:cat>
            <c:strRef>
              <c:f>'estatística'!$C$1:$M$1</c:f>
            </c:strRef>
          </c:cat>
          <c:val>
            <c:numRef>
              <c:f>'estatística'!$C$1726:$M$1726</c:f>
              <c:numCache/>
            </c:numRef>
          </c:val>
        </c:ser>
        <c:ser>
          <c:idx val="1725"/>
          <c:order val="1725"/>
          <c:tx>
            <c:strRef>
              <c:f>'estatística'!$B$1727</c:f>
            </c:strRef>
          </c:tx>
          <c:cat>
            <c:strRef>
              <c:f>'estatística'!$C$1:$M$1</c:f>
            </c:strRef>
          </c:cat>
          <c:val>
            <c:numRef>
              <c:f>'estatística'!$C$1727:$M$1727</c:f>
              <c:numCache/>
            </c:numRef>
          </c:val>
        </c:ser>
        <c:ser>
          <c:idx val="1726"/>
          <c:order val="1726"/>
          <c:tx>
            <c:strRef>
              <c:f>'estatística'!$B$1728</c:f>
            </c:strRef>
          </c:tx>
          <c:cat>
            <c:strRef>
              <c:f>'estatística'!$C$1:$M$1</c:f>
            </c:strRef>
          </c:cat>
          <c:val>
            <c:numRef>
              <c:f>'estatística'!$C$1728:$M$1728</c:f>
              <c:numCache/>
            </c:numRef>
          </c:val>
        </c:ser>
        <c:ser>
          <c:idx val="1727"/>
          <c:order val="1727"/>
          <c:tx>
            <c:strRef>
              <c:f>'estatística'!$B$1729</c:f>
            </c:strRef>
          </c:tx>
          <c:cat>
            <c:strRef>
              <c:f>'estatística'!$C$1:$M$1</c:f>
            </c:strRef>
          </c:cat>
          <c:val>
            <c:numRef>
              <c:f>'estatística'!$C$1729:$M$1729</c:f>
              <c:numCache/>
            </c:numRef>
          </c:val>
        </c:ser>
        <c:ser>
          <c:idx val="1728"/>
          <c:order val="1728"/>
          <c:tx>
            <c:strRef>
              <c:f>'estatística'!$B$1730</c:f>
            </c:strRef>
          </c:tx>
          <c:cat>
            <c:strRef>
              <c:f>'estatística'!$C$1:$M$1</c:f>
            </c:strRef>
          </c:cat>
          <c:val>
            <c:numRef>
              <c:f>'estatística'!$C$1730:$M$1730</c:f>
              <c:numCache/>
            </c:numRef>
          </c:val>
        </c:ser>
        <c:ser>
          <c:idx val="1729"/>
          <c:order val="1729"/>
          <c:tx>
            <c:strRef>
              <c:f>'estatística'!$B$1731</c:f>
            </c:strRef>
          </c:tx>
          <c:cat>
            <c:strRef>
              <c:f>'estatística'!$C$1:$M$1</c:f>
            </c:strRef>
          </c:cat>
          <c:val>
            <c:numRef>
              <c:f>'estatística'!$C$1731:$M$1731</c:f>
              <c:numCache/>
            </c:numRef>
          </c:val>
        </c:ser>
        <c:ser>
          <c:idx val="1730"/>
          <c:order val="1730"/>
          <c:tx>
            <c:strRef>
              <c:f>'estatística'!$B$1732</c:f>
            </c:strRef>
          </c:tx>
          <c:cat>
            <c:strRef>
              <c:f>'estatística'!$C$1:$M$1</c:f>
            </c:strRef>
          </c:cat>
          <c:val>
            <c:numRef>
              <c:f>'estatística'!$C$1732:$M$1732</c:f>
              <c:numCache/>
            </c:numRef>
          </c:val>
        </c:ser>
        <c:ser>
          <c:idx val="1731"/>
          <c:order val="1731"/>
          <c:tx>
            <c:strRef>
              <c:f>'estatística'!$B$1733</c:f>
            </c:strRef>
          </c:tx>
          <c:cat>
            <c:strRef>
              <c:f>'estatística'!$C$1:$M$1</c:f>
            </c:strRef>
          </c:cat>
          <c:val>
            <c:numRef>
              <c:f>'estatística'!$C$1733:$M$1733</c:f>
              <c:numCache/>
            </c:numRef>
          </c:val>
        </c:ser>
        <c:ser>
          <c:idx val="1732"/>
          <c:order val="1732"/>
          <c:tx>
            <c:strRef>
              <c:f>'estatística'!$B$1734</c:f>
            </c:strRef>
          </c:tx>
          <c:cat>
            <c:strRef>
              <c:f>'estatística'!$C$1:$M$1</c:f>
            </c:strRef>
          </c:cat>
          <c:val>
            <c:numRef>
              <c:f>'estatística'!$C$1734:$M$1734</c:f>
              <c:numCache/>
            </c:numRef>
          </c:val>
        </c:ser>
        <c:ser>
          <c:idx val="1733"/>
          <c:order val="1733"/>
          <c:tx>
            <c:strRef>
              <c:f>'estatística'!$B$1735</c:f>
            </c:strRef>
          </c:tx>
          <c:cat>
            <c:strRef>
              <c:f>'estatística'!$C$1:$M$1</c:f>
            </c:strRef>
          </c:cat>
          <c:val>
            <c:numRef>
              <c:f>'estatística'!$C$1735:$M$1735</c:f>
              <c:numCache/>
            </c:numRef>
          </c:val>
        </c:ser>
        <c:ser>
          <c:idx val="1734"/>
          <c:order val="1734"/>
          <c:tx>
            <c:strRef>
              <c:f>'estatística'!$B$1736</c:f>
            </c:strRef>
          </c:tx>
          <c:cat>
            <c:strRef>
              <c:f>'estatística'!$C$1:$M$1</c:f>
            </c:strRef>
          </c:cat>
          <c:val>
            <c:numRef>
              <c:f>'estatística'!$C$1736:$M$1736</c:f>
              <c:numCache/>
            </c:numRef>
          </c:val>
        </c:ser>
        <c:ser>
          <c:idx val="1735"/>
          <c:order val="1735"/>
          <c:tx>
            <c:strRef>
              <c:f>'estatística'!$B$1737</c:f>
            </c:strRef>
          </c:tx>
          <c:cat>
            <c:strRef>
              <c:f>'estatística'!$C$1:$M$1</c:f>
            </c:strRef>
          </c:cat>
          <c:val>
            <c:numRef>
              <c:f>'estatística'!$C$1737:$M$1737</c:f>
              <c:numCache/>
            </c:numRef>
          </c:val>
        </c:ser>
        <c:ser>
          <c:idx val="1736"/>
          <c:order val="1736"/>
          <c:tx>
            <c:strRef>
              <c:f>'estatística'!$B$1738</c:f>
            </c:strRef>
          </c:tx>
          <c:cat>
            <c:strRef>
              <c:f>'estatística'!$C$1:$M$1</c:f>
            </c:strRef>
          </c:cat>
          <c:val>
            <c:numRef>
              <c:f>'estatística'!$C$1738:$M$1738</c:f>
              <c:numCache/>
            </c:numRef>
          </c:val>
        </c:ser>
        <c:ser>
          <c:idx val="1737"/>
          <c:order val="1737"/>
          <c:tx>
            <c:strRef>
              <c:f>'estatística'!$B$1739</c:f>
            </c:strRef>
          </c:tx>
          <c:cat>
            <c:strRef>
              <c:f>'estatística'!$C$1:$M$1</c:f>
            </c:strRef>
          </c:cat>
          <c:val>
            <c:numRef>
              <c:f>'estatística'!$C$1739:$M$1739</c:f>
              <c:numCache/>
            </c:numRef>
          </c:val>
        </c:ser>
        <c:ser>
          <c:idx val="1738"/>
          <c:order val="1738"/>
          <c:tx>
            <c:strRef>
              <c:f>'estatística'!$B$1740</c:f>
            </c:strRef>
          </c:tx>
          <c:cat>
            <c:strRef>
              <c:f>'estatística'!$C$1:$M$1</c:f>
            </c:strRef>
          </c:cat>
          <c:val>
            <c:numRef>
              <c:f>'estatística'!$C$1740:$M$1740</c:f>
              <c:numCache/>
            </c:numRef>
          </c:val>
        </c:ser>
        <c:ser>
          <c:idx val="1739"/>
          <c:order val="1739"/>
          <c:tx>
            <c:strRef>
              <c:f>'estatística'!$B$1741</c:f>
            </c:strRef>
          </c:tx>
          <c:cat>
            <c:strRef>
              <c:f>'estatística'!$C$1:$M$1</c:f>
            </c:strRef>
          </c:cat>
          <c:val>
            <c:numRef>
              <c:f>'estatística'!$C$1741:$M$1741</c:f>
              <c:numCache/>
            </c:numRef>
          </c:val>
        </c:ser>
        <c:ser>
          <c:idx val="1740"/>
          <c:order val="1740"/>
          <c:tx>
            <c:strRef>
              <c:f>'estatística'!$B$1742</c:f>
            </c:strRef>
          </c:tx>
          <c:cat>
            <c:strRef>
              <c:f>'estatística'!$C$1:$M$1</c:f>
            </c:strRef>
          </c:cat>
          <c:val>
            <c:numRef>
              <c:f>'estatística'!$C$1742:$M$1742</c:f>
              <c:numCache/>
            </c:numRef>
          </c:val>
        </c:ser>
        <c:ser>
          <c:idx val="1741"/>
          <c:order val="1741"/>
          <c:tx>
            <c:strRef>
              <c:f>'estatística'!$B$1743</c:f>
            </c:strRef>
          </c:tx>
          <c:cat>
            <c:strRef>
              <c:f>'estatística'!$C$1:$M$1</c:f>
            </c:strRef>
          </c:cat>
          <c:val>
            <c:numRef>
              <c:f>'estatística'!$C$1743:$M$1743</c:f>
              <c:numCache/>
            </c:numRef>
          </c:val>
        </c:ser>
        <c:ser>
          <c:idx val="1742"/>
          <c:order val="1742"/>
          <c:tx>
            <c:strRef>
              <c:f>'estatística'!$B$1744</c:f>
            </c:strRef>
          </c:tx>
          <c:cat>
            <c:strRef>
              <c:f>'estatística'!$C$1:$M$1</c:f>
            </c:strRef>
          </c:cat>
          <c:val>
            <c:numRef>
              <c:f>'estatística'!$C$1744:$M$1744</c:f>
              <c:numCache/>
            </c:numRef>
          </c:val>
        </c:ser>
        <c:ser>
          <c:idx val="1743"/>
          <c:order val="1743"/>
          <c:tx>
            <c:strRef>
              <c:f>'estatística'!$B$1745</c:f>
            </c:strRef>
          </c:tx>
          <c:cat>
            <c:strRef>
              <c:f>'estatística'!$C$1:$M$1</c:f>
            </c:strRef>
          </c:cat>
          <c:val>
            <c:numRef>
              <c:f>'estatística'!$C$1745:$M$1745</c:f>
              <c:numCache/>
            </c:numRef>
          </c:val>
        </c:ser>
        <c:ser>
          <c:idx val="1744"/>
          <c:order val="1744"/>
          <c:tx>
            <c:strRef>
              <c:f>'estatística'!$B$1746</c:f>
            </c:strRef>
          </c:tx>
          <c:cat>
            <c:strRef>
              <c:f>'estatística'!$C$1:$M$1</c:f>
            </c:strRef>
          </c:cat>
          <c:val>
            <c:numRef>
              <c:f>'estatística'!$C$1746:$M$1746</c:f>
              <c:numCache/>
            </c:numRef>
          </c:val>
        </c:ser>
        <c:ser>
          <c:idx val="1745"/>
          <c:order val="1745"/>
          <c:tx>
            <c:strRef>
              <c:f>'estatística'!$B$1747</c:f>
            </c:strRef>
          </c:tx>
          <c:cat>
            <c:strRef>
              <c:f>'estatística'!$C$1:$M$1</c:f>
            </c:strRef>
          </c:cat>
          <c:val>
            <c:numRef>
              <c:f>'estatística'!$C$1747:$M$1747</c:f>
              <c:numCache/>
            </c:numRef>
          </c:val>
        </c:ser>
        <c:ser>
          <c:idx val="1746"/>
          <c:order val="1746"/>
          <c:tx>
            <c:strRef>
              <c:f>'estatística'!$B$1748</c:f>
            </c:strRef>
          </c:tx>
          <c:cat>
            <c:strRef>
              <c:f>'estatística'!$C$1:$M$1</c:f>
            </c:strRef>
          </c:cat>
          <c:val>
            <c:numRef>
              <c:f>'estatística'!$C$1748:$M$1748</c:f>
              <c:numCache/>
            </c:numRef>
          </c:val>
        </c:ser>
        <c:ser>
          <c:idx val="1747"/>
          <c:order val="1747"/>
          <c:tx>
            <c:strRef>
              <c:f>'estatística'!$B$1749</c:f>
            </c:strRef>
          </c:tx>
          <c:cat>
            <c:strRef>
              <c:f>'estatística'!$C$1:$M$1</c:f>
            </c:strRef>
          </c:cat>
          <c:val>
            <c:numRef>
              <c:f>'estatística'!$C$1749:$M$1749</c:f>
              <c:numCache/>
            </c:numRef>
          </c:val>
        </c:ser>
        <c:ser>
          <c:idx val="1748"/>
          <c:order val="1748"/>
          <c:tx>
            <c:strRef>
              <c:f>'estatística'!$B$1750</c:f>
            </c:strRef>
          </c:tx>
          <c:cat>
            <c:strRef>
              <c:f>'estatística'!$C$1:$M$1</c:f>
            </c:strRef>
          </c:cat>
          <c:val>
            <c:numRef>
              <c:f>'estatística'!$C$1750:$M$1750</c:f>
              <c:numCache/>
            </c:numRef>
          </c:val>
        </c:ser>
        <c:ser>
          <c:idx val="1749"/>
          <c:order val="1749"/>
          <c:tx>
            <c:strRef>
              <c:f>'estatística'!$B$1751</c:f>
            </c:strRef>
          </c:tx>
          <c:cat>
            <c:strRef>
              <c:f>'estatística'!$C$1:$M$1</c:f>
            </c:strRef>
          </c:cat>
          <c:val>
            <c:numRef>
              <c:f>'estatística'!$C$1751:$M$1751</c:f>
              <c:numCache/>
            </c:numRef>
          </c:val>
        </c:ser>
        <c:ser>
          <c:idx val="1750"/>
          <c:order val="1750"/>
          <c:tx>
            <c:strRef>
              <c:f>'estatística'!$B$1752</c:f>
            </c:strRef>
          </c:tx>
          <c:cat>
            <c:strRef>
              <c:f>'estatística'!$C$1:$M$1</c:f>
            </c:strRef>
          </c:cat>
          <c:val>
            <c:numRef>
              <c:f>'estatística'!$C$1752:$M$1752</c:f>
              <c:numCache/>
            </c:numRef>
          </c:val>
        </c:ser>
        <c:ser>
          <c:idx val="1751"/>
          <c:order val="1751"/>
          <c:tx>
            <c:strRef>
              <c:f>'estatística'!$B$1753</c:f>
            </c:strRef>
          </c:tx>
          <c:cat>
            <c:strRef>
              <c:f>'estatística'!$C$1:$M$1</c:f>
            </c:strRef>
          </c:cat>
          <c:val>
            <c:numRef>
              <c:f>'estatística'!$C$1753:$M$1753</c:f>
              <c:numCache/>
            </c:numRef>
          </c:val>
        </c:ser>
        <c:ser>
          <c:idx val="1752"/>
          <c:order val="1752"/>
          <c:tx>
            <c:strRef>
              <c:f>'estatística'!$B$1754</c:f>
            </c:strRef>
          </c:tx>
          <c:cat>
            <c:strRef>
              <c:f>'estatística'!$C$1:$M$1</c:f>
            </c:strRef>
          </c:cat>
          <c:val>
            <c:numRef>
              <c:f>'estatística'!$C$1754:$M$1754</c:f>
              <c:numCache/>
            </c:numRef>
          </c:val>
        </c:ser>
        <c:ser>
          <c:idx val="1753"/>
          <c:order val="1753"/>
          <c:tx>
            <c:strRef>
              <c:f>'estatística'!$B$1755</c:f>
            </c:strRef>
          </c:tx>
          <c:cat>
            <c:strRef>
              <c:f>'estatística'!$C$1:$M$1</c:f>
            </c:strRef>
          </c:cat>
          <c:val>
            <c:numRef>
              <c:f>'estatística'!$C$1755:$M$1755</c:f>
              <c:numCache/>
            </c:numRef>
          </c:val>
        </c:ser>
        <c:ser>
          <c:idx val="1754"/>
          <c:order val="1754"/>
          <c:tx>
            <c:strRef>
              <c:f>'estatística'!$B$1756</c:f>
            </c:strRef>
          </c:tx>
          <c:cat>
            <c:strRef>
              <c:f>'estatística'!$C$1:$M$1</c:f>
            </c:strRef>
          </c:cat>
          <c:val>
            <c:numRef>
              <c:f>'estatística'!$C$1756:$M$1756</c:f>
              <c:numCache/>
            </c:numRef>
          </c:val>
        </c:ser>
        <c:ser>
          <c:idx val="1755"/>
          <c:order val="1755"/>
          <c:tx>
            <c:strRef>
              <c:f>'estatística'!$B$1757</c:f>
            </c:strRef>
          </c:tx>
          <c:cat>
            <c:strRef>
              <c:f>'estatística'!$C$1:$M$1</c:f>
            </c:strRef>
          </c:cat>
          <c:val>
            <c:numRef>
              <c:f>'estatística'!$C$1757:$M$1757</c:f>
              <c:numCache/>
            </c:numRef>
          </c:val>
        </c:ser>
        <c:ser>
          <c:idx val="1756"/>
          <c:order val="1756"/>
          <c:tx>
            <c:strRef>
              <c:f>'estatística'!$B$1758</c:f>
            </c:strRef>
          </c:tx>
          <c:cat>
            <c:strRef>
              <c:f>'estatística'!$C$1:$M$1</c:f>
            </c:strRef>
          </c:cat>
          <c:val>
            <c:numRef>
              <c:f>'estatística'!$C$1758:$M$1758</c:f>
              <c:numCache/>
            </c:numRef>
          </c:val>
        </c:ser>
        <c:ser>
          <c:idx val="1757"/>
          <c:order val="1757"/>
          <c:tx>
            <c:strRef>
              <c:f>'estatística'!$B$1759</c:f>
            </c:strRef>
          </c:tx>
          <c:cat>
            <c:strRef>
              <c:f>'estatística'!$C$1:$M$1</c:f>
            </c:strRef>
          </c:cat>
          <c:val>
            <c:numRef>
              <c:f>'estatística'!$C$1759:$M$1759</c:f>
              <c:numCache/>
            </c:numRef>
          </c:val>
        </c:ser>
        <c:ser>
          <c:idx val="1758"/>
          <c:order val="1758"/>
          <c:tx>
            <c:strRef>
              <c:f>'estatística'!$B$1760</c:f>
            </c:strRef>
          </c:tx>
          <c:cat>
            <c:strRef>
              <c:f>'estatística'!$C$1:$M$1</c:f>
            </c:strRef>
          </c:cat>
          <c:val>
            <c:numRef>
              <c:f>'estatística'!$C$1760:$M$1760</c:f>
              <c:numCache/>
            </c:numRef>
          </c:val>
        </c:ser>
        <c:ser>
          <c:idx val="1759"/>
          <c:order val="1759"/>
          <c:tx>
            <c:strRef>
              <c:f>'estatística'!$B$1761</c:f>
            </c:strRef>
          </c:tx>
          <c:cat>
            <c:strRef>
              <c:f>'estatística'!$C$1:$M$1</c:f>
            </c:strRef>
          </c:cat>
          <c:val>
            <c:numRef>
              <c:f>'estatística'!$C$1761:$M$1761</c:f>
              <c:numCache/>
            </c:numRef>
          </c:val>
        </c:ser>
        <c:ser>
          <c:idx val="1760"/>
          <c:order val="1760"/>
          <c:tx>
            <c:strRef>
              <c:f>'estatística'!$B$1762</c:f>
            </c:strRef>
          </c:tx>
          <c:cat>
            <c:strRef>
              <c:f>'estatística'!$C$1:$M$1</c:f>
            </c:strRef>
          </c:cat>
          <c:val>
            <c:numRef>
              <c:f>'estatística'!$C$1762:$M$1762</c:f>
              <c:numCache/>
            </c:numRef>
          </c:val>
        </c:ser>
        <c:ser>
          <c:idx val="1761"/>
          <c:order val="1761"/>
          <c:tx>
            <c:strRef>
              <c:f>'estatística'!$B$1763</c:f>
            </c:strRef>
          </c:tx>
          <c:cat>
            <c:strRef>
              <c:f>'estatística'!$C$1:$M$1</c:f>
            </c:strRef>
          </c:cat>
          <c:val>
            <c:numRef>
              <c:f>'estatística'!$C$1763:$M$1763</c:f>
              <c:numCache/>
            </c:numRef>
          </c:val>
        </c:ser>
        <c:ser>
          <c:idx val="1762"/>
          <c:order val="1762"/>
          <c:tx>
            <c:strRef>
              <c:f>'estatística'!$B$1764</c:f>
            </c:strRef>
          </c:tx>
          <c:cat>
            <c:strRef>
              <c:f>'estatística'!$C$1:$M$1</c:f>
            </c:strRef>
          </c:cat>
          <c:val>
            <c:numRef>
              <c:f>'estatística'!$C$1764:$M$1764</c:f>
              <c:numCache/>
            </c:numRef>
          </c:val>
        </c:ser>
        <c:ser>
          <c:idx val="1763"/>
          <c:order val="1763"/>
          <c:tx>
            <c:strRef>
              <c:f>'estatística'!$B$1765</c:f>
            </c:strRef>
          </c:tx>
          <c:cat>
            <c:strRef>
              <c:f>'estatística'!$C$1:$M$1</c:f>
            </c:strRef>
          </c:cat>
          <c:val>
            <c:numRef>
              <c:f>'estatística'!$C$1765:$M$1765</c:f>
              <c:numCache/>
            </c:numRef>
          </c:val>
        </c:ser>
        <c:ser>
          <c:idx val="1764"/>
          <c:order val="1764"/>
          <c:tx>
            <c:strRef>
              <c:f>'estatística'!$B$1766</c:f>
            </c:strRef>
          </c:tx>
          <c:cat>
            <c:strRef>
              <c:f>'estatística'!$C$1:$M$1</c:f>
            </c:strRef>
          </c:cat>
          <c:val>
            <c:numRef>
              <c:f>'estatística'!$C$1766:$M$1766</c:f>
              <c:numCache/>
            </c:numRef>
          </c:val>
        </c:ser>
        <c:ser>
          <c:idx val="1765"/>
          <c:order val="1765"/>
          <c:tx>
            <c:strRef>
              <c:f>'estatística'!$B$1767</c:f>
            </c:strRef>
          </c:tx>
          <c:cat>
            <c:strRef>
              <c:f>'estatística'!$C$1:$M$1</c:f>
            </c:strRef>
          </c:cat>
          <c:val>
            <c:numRef>
              <c:f>'estatística'!$C$1767:$M$1767</c:f>
              <c:numCache/>
            </c:numRef>
          </c:val>
        </c:ser>
        <c:ser>
          <c:idx val="1766"/>
          <c:order val="1766"/>
          <c:tx>
            <c:strRef>
              <c:f>'estatística'!$B$1768</c:f>
            </c:strRef>
          </c:tx>
          <c:cat>
            <c:strRef>
              <c:f>'estatística'!$C$1:$M$1</c:f>
            </c:strRef>
          </c:cat>
          <c:val>
            <c:numRef>
              <c:f>'estatística'!$C$1768:$M$1768</c:f>
              <c:numCache/>
            </c:numRef>
          </c:val>
        </c:ser>
        <c:ser>
          <c:idx val="1767"/>
          <c:order val="1767"/>
          <c:tx>
            <c:strRef>
              <c:f>'estatística'!$B$1769</c:f>
            </c:strRef>
          </c:tx>
          <c:cat>
            <c:strRef>
              <c:f>'estatística'!$C$1:$M$1</c:f>
            </c:strRef>
          </c:cat>
          <c:val>
            <c:numRef>
              <c:f>'estatística'!$C$1769:$M$1769</c:f>
              <c:numCache/>
            </c:numRef>
          </c:val>
        </c:ser>
        <c:ser>
          <c:idx val="1768"/>
          <c:order val="1768"/>
          <c:tx>
            <c:strRef>
              <c:f>'estatística'!$B$1770</c:f>
            </c:strRef>
          </c:tx>
          <c:cat>
            <c:strRef>
              <c:f>'estatística'!$C$1:$M$1</c:f>
            </c:strRef>
          </c:cat>
          <c:val>
            <c:numRef>
              <c:f>'estatística'!$C$1770:$M$1770</c:f>
              <c:numCache/>
            </c:numRef>
          </c:val>
        </c:ser>
        <c:ser>
          <c:idx val="1769"/>
          <c:order val="1769"/>
          <c:tx>
            <c:strRef>
              <c:f>'estatística'!$B$1771</c:f>
            </c:strRef>
          </c:tx>
          <c:cat>
            <c:strRef>
              <c:f>'estatística'!$C$1:$M$1</c:f>
            </c:strRef>
          </c:cat>
          <c:val>
            <c:numRef>
              <c:f>'estatística'!$C$1771:$M$1771</c:f>
              <c:numCache/>
            </c:numRef>
          </c:val>
        </c:ser>
        <c:ser>
          <c:idx val="1770"/>
          <c:order val="1770"/>
          <c:tx>
            <c:strRef>
              <c:f>'estatística'!$B$1772</c:f>
            </c:strRef>
          </c:tx>
          <c:cat>
            <c:strRef>
              <c:f>'estatística'!$C$1:$M$1</c:f>
            </c:strRef>
          </c:cat>
          <c:val>
            <c:numRef>
              <c:f>'estatística'!$C$1772:$M$1772</c:f>
              <c:numCache/>
            </c:numRef>
          </c:val>
        </c:ser>
        <c:ser>
          <c:idx val="1771"/>
          <c:order val="1771"/>
          <c:tx>
            <c:strRef>
              <c:f>'estatística'!$B$1773</c:f>
            </c:strRef>
          </c:tx>
          <c:cat>
            <c:strRef>
              <c:f>'estatística'!$C$1:$M$1</c:f>
            </c:strRef>
          </c:cat>
          <c:val>
            <c:numRef>
              <c:f>'estatística'!$C$1773:$M$1773</c:f>
              <c:numCache/>
            </c:numRef>
          </c:val>
        </c:ser>
        <c:ser>
          <c:idx val="1772"/>
          <c:order val="1772"/>
          <c:tx>
            <c:strRef>
              <c:f>'estatística'!$B$1774</c:f>
            </c:strRef>
          </c:tx>
          <c:cat>
            <c:strRef>
              <c:f>'estatística'!$C$1:$M$1</c:f>
            </c:strRef>
          </c:cat>
          <c:val>
            <c:numRef>
              <c:f>'estatística'!$C$1774:$M$1774</c:f>
              <c:numCache/>
            </c:numRef>
          </c:val>
        </c:ser>
        <c:ser>
          <c:idx val="1773"/>
          <c:order val="1773"/>
          <c:tx>
            <c:strRef>
              <c:f>'estatística'!$B$1775</c:f>
            </c:strRef>
          </c:tx>
          <c:cat>
            <c:strRef>
              <c:f>'estatística'!$C$1:$M$1</c:f>
            </c:strRef>
          </c:cat>
          <c:val>
            <c:numRef>
              <c:f>'estatística'!$C$1775:$M$1775</c:f>
              <c:numCache/>
            </c:numRef>
          </c:val>
        </c:ser>
        <c:ser>
          <c:idx val="1774"/>
          <c:order val="1774"/>
          <c:tx>
            <c:strRef>
              <c:f>'estatística'!$B$1776</c:f>
            </c:strRef>
          </c:tx>
          <c:cat>
            <c:strRef>
              <c:f>'estatística'!$C$1:$M$1</c:f>
            </c:strRef>
          </c:cat>
          <c:val>
            <c:numRef>
              <c:f>'estatística'!$C$1776:$M$1776</c:f>
              <c:numCache/>
            </c:numRef>
          </c:val>
        </c:ser>
        <c:ser>
          <c:idx val="1775"/>
          <c:order val="1775"/>
          <c:tx>
            <c:strRef>
              <c:f>'estatística'!$B$1777</c:f>
            </c:strRef>
          </c:tx>
          <c:cat>
            <c:strRef>
              <c:f>'estatística'!$C$1:$M$1</c:f>
            </c:strRef>
          </c:cat>
          <c:val>
            <c:numRef>
              <c:f>'estatística'!$C$1777:$M$1777</c:f>
              <c:numCache/>
            </c:numRef>
          </c:val>
        </c:ser>
        <c:ser>
          <c:idx val="1776"/>
          <c:order val="1776"/>
          <c:tx>
            <c:strRef>
              <c:f>'estatística'!$B$1778</c:f>
            </c:strRef>
          </c:tx>
          <c:cat>
            <c:strRef>
              <c:f>'estatística'!$C$1:$M$1</c:f>
            </c:strRef>
          </c:cat>
          <c:val>
            <c:numRef>
              <c:f>'estatística'!$C$1778:$M$1778</c:f>
              <c:numCache/>
            </c:numRef>
          </c:val>
        </c:ser>
        <c:ser>
          <c:idx val="1777"/>
          <c:order val="1777"/>
          <c:tx>
            <c:strRef>
              <c:f>'estatística'!$B$1779</c:f>
            </c:strRef>
          </c:tx>
          <c:cat>
            <c:strRef>
              <c:f>'estatística'!$C$1:$M$1</c:f>
            </c:strRef>
          </c:cat>
          <c:val>
            <c:numRef>
              <c:f>'estatística'!$C$1779:$M$1779</c:f>
              <c:numCache/>
            </c:numRef>
          </c:val>
        </c:ser>
        <c:ser>
          <c:idx val="1778"/>
          <c:order val="1778"/>
          <c:tx>
            <c:strRef>
              <c:f>'estatística'!$B$1780</c:f>
            </c:strRef>
          </c:tx>
          <c:cat>
            <c:strRef>
              <c:f>'estatística'!$C$1:$M$1</c:f>
            </c:strRef>
          </c:cat>
          <c:val>
            <c:numRef>
              <c:f>'estatística'!$C$1780:$M$1780</c:f>
              <c:numCache/>
            </c:numRef>
          </c:val>
        </c:ser>
        <c:ser>
          <c:idx val="1779"/>
          <c:order val="1779"/>
          <c:tx>
            <c:strRef>
              <c:f>'estatística'!$B$1781</c:f>
            </c:strRef>
          </c:tx>
          <c:cat>
            <c:strRef>
              <c:f>'estatística'!$C$1:$M$1</c:f>
            </c:strRef>
          </c:cat>
          <c:val>
            <c:numRef>
              <c:f>'estatística'!$C$1781:$M$1781</c:f>
              <c:numCache/>
            </c:numRef>
          </c:val>
        </c:ser>
        <c:ser>
          <c:idx val="1780"/>
          <c:order val="1780"/>
          <c:tx>
            <c:strRef>
              <c:f>'estatística'!$B$1782</c:f>
            </c:strRef>
          </c:tx>
          <c:cat>
            <c:strRef>
              <c:f>'estatística'!$C$1:$M$1</c:f>
            </c:strRef>
          </c:cat>
          <c:val>
            <c:numRef>
              <c:f>'estatística'!$C$1782:$M$1782</c:f>
              <c:numCache/>
            </c:numRef>
          </c:val>
        </c:ser>
        <c:ser>
          <c:idx val="1781"/>
          <c:order val="1781"/>
          <c:tx>
            <c:strRef>
              <c:f>'estatística'!$B$1783</c:f>
            </c:strRef>
          </c:tx>
          <c:cat>
            <c:strRef>
              <c:f>'estatística'!$C$1:$M$1</c:f>
            </c:strRef>
          </c:cat>
          <c:val>
            <c:numRef>
              <c:f>'estatística'!$C$1783:$M$1783</c:f>
              <c:numCache/>
            </c:numRef>
          </c:val>
        </c:ser>
        <c:ser>
          <c:idx val="1782"/>
          <c:order val="1782"/>
          <c:tx>
            <c:strRef>
              <c:f>'estatística'!$B$1784</c:f>
            </c:strRef>
          </c:tx>
          <c:cat>
            <c:strRef>
              <c:f>'estatística'!$C$1:$M$1</c:f>
            </c:strRef>
          </c:cat>
          <c:val>
            <c:numRef>
              <c:f>'estatística'!$C$1784:$M$1784</c:f>
              <c:numCache/>
            </c:numRef>
          </c:val>
        </c:ser>
        <c:ser>
          <c:idx val="1783"/>
          <c:order val="1783"/>
          <c:tx>
            <c:strRef>
              <c:f>'estatística'!$B$1785</c:f>
            </c:strRef>
          </c:tx>
          <c:cat>
            <c:strRef>
              <c:f>'estatística'!$C$1:$M$1</c:f>
            </c:strRef>
          </c:cat>
          <c:val>
            <c:numRef>
              <c:f>'estatística'!$C$1785:$M$1785</c:f>
              <c:numCache/>
            </c:numRef>
          </c:val>
        </c:ser>
        <c:ser>
          <c:idx val="1784"/>
          <c:order val="1784"/>
          <c:tx>
            <c:strRef>
              <c:f>'estatística'!$B$1786</c:f>
            </c:strRef>
          </c:tx>
          <c:cat>
            <c:strRef>
              <c:f>'estatística'!$C$1:$M$1</c:f>
            </c:strRef>
          </c:cat>
          <c:val>
            <c:numRef>
              <c:f>'estatística'!$C$1786:$M$1786</c:f>
              <c:numCache/>
            </c:numRef>
          </c:val>
        </c:ser>
        <c:ser>
          <c:idx val="1785"/>
          <c:order val="1785"/>
          <c:tx>
            <c:strRef>
              <c:f>'estatística'!$B$1787</c:f>
            </c:strRef>
          </c:tx>
          <c:cat>
            <c:strRef>
              <c:f>'estatística'!$C$1:$M$1</c:f>
            </c:strRef>
          </c:cat>
          <c:val>
            <c:numRef>
              <c:f>'estatística'!$C$1787:$M$1787</c:f>
              <c:numCache/>
            </c:numRef>
          </c:val>
        </c:ser>
        <c:ser>
          <c:idx val="1786"/>
          <c:order val="1786"/>
          <c:tx>
            <c:strRef>
              <c:f>'estatística'!$B$1788</c:f>
            </c:strRef>
          </c:tx>
          <c:cat>
            <c:strRef>
              <c:f>'estatística'!$C$1:$M$1</c:f>
            </c:strRef>
          </c:cat>
          <c:val>
            <c:numRef>
              <c:f>'estatística'!$C$1788:$M$1788</c:f>
              <c:numCache/>
            </c:numRef>
          </c:val>
        </c:ser>
        <c:ser>
          <c:idx val="1787"/>
          <c:order val="1787"/>
          <c:tx>
            <c:strRef>
              <c:f>'estatística'!$B$1789</c:f>
            </c:strRef>
          </c:tx>
          <c:cat>
            <c:strRef>
              <c:f>'estatística'!$C$1:$M$1</c:f>
            </c:strRef>
          </c:cat>
          <c:val>
            <c:numRef>
              <c:f>'estatística'!$C$1789:$M$1789</c:f>
              <c:numCache/>
            </c:numRef>
          </c:val>
        </c:ser>
        <c:ser>
          <c:idx val="1788"/>
          <c:order val="1788"/>
          <c:tx>
            <c:strRef>
              <c:f>'estatística'!$B$1790</c:f>
            </c:strRef>
          </c:tx>
          <c:cat>
            <c:strRef>
              <c:f>'estatística'!$C$1:$M$1</c:f>
            </c:strRef>
          </c:cat>
          <c:val>
            <c:numRef>
              <c:f>'estatística'!$C$1790:$M$1790</c:f>
              <c:numCache/>
            </c:numRef>
          </c:val>
        </c:ser>
        <c:ser>
          <c:idx val="1789"/>
          <c:order val="1789"/>
          <c:tx>
            <c:strRef>
              <c:f>'estatística'!$B$1791</c:f>
            </c:strRef>
          </c:tx>
          <c:cat>
            <c:strRef>
              <c:f>'estatística'!$C$1:$M$1</c:f>
            </c:strRef>
          </c:cat>
          <c:val>
            <c:numRef>
              <c:f>'estatística'!$C$1791:$M$1791</c:f>
              <c:numCache/>
            </c:numRef>
          </c:val>
        </c:ser>
        <c:ser>
          <c:idx val="1790"/>
          <c:order val="1790"/>
          <c:tx>
            <c:strRef>
              <c:f>'estatística'!$B$1792</c:f>
            </c:strRef>
          </c:tx>
          <c:cat>
            <c:strRef>
              <c:f>'estatística'!$C$1:$M$1</c:f>
            </c:strRef>
          </c:cat>
          <c:val>
            <c:numRef>
              <c:f>'estatística'!$C$1792:$M$1792</c:f>
              <c:numCache/>
            </c:numRef>
          </c:val>
        </c:ser>
        <c:ser>
          <c:idx val="1791"/>
          <c:order val="1791"/>
          <c:tx>
            <c:strRef>
              <c:f>'estatística'!$B$1793</c:f>
            </c:strRef>
          </c:tx>
          <c:cat>
            <c:strRef>
              <c:f>'estatística'!$C$1:$M$1</c:f>
            </c:strRef>
          </c:cat>
          <c:val>
            <c:numRef>
              <c:f>'estatística'!$C$1793:$M$1793</c:f>
              <c:numCache/>
            </c:numRef>
          </c:val>
        </c:ser>
        <c:ser>
          <c:idx val="1792"/>
          <c:order val="1792"/>
          <c:tx>
            <c:strRef>
              <c:f>'estatística'!$B$1794</c:f>
            </c:strRef>
          </c:tx>
          <c:cat>
            <c:strRef>
              <c:f>'estatística'!$C$1:$M$1</c:f>
            </c:strRef>
          </c:cat>
          <c:val>
            <c:numRef>
              <c:f>'estatística'!$C$1794:$M$1794</c:f>
              <c:numCache/>
            </c:numRef>
          </c:val>
        </c:ser>
        <c:ser>
          <c:idx val="1793"/>
          <c:order val="1793"/>
          <c:tx>
            <c:strRef>
              <c:f>'estatística'!$B$1795</c:f>
            </c:strRef>
          </c:tx>
          <c:cat>
            <c:strRef>
              <c:f>'estatística'!$C$1:$M$1</c:f>
            </c:strRef>
          </c:cat>
          <c:val>
            <c:numRef>
              <c:f>'estatística'!$C$1795:$M$1795</c:f>
              <c:numCache/>
            </c:numRef>
          </c:val>
        </c:ser>
        <c:ser>
          <c:idx val="1794"/>
          <c:order val="1794"/>
          <c:tx>
            <c:strRef>
              <c:f>'estatística'!$B$1796</c:f>
            </c:strRef>
          </c:tx>
          <c:cat>
            <c:strRef>
              <c:f>'estatística'!$C$1:$M$1</c:f>
            </c:strRef>
          </c:cat>
          <c:val>
            <c:numRef>
              <c:f>'estatística'!$C$1796:$M$1796</c:f>
              <c:numCache/>
            </c:numRef>
          </c:val>
        </c:ser>
        <c:ser>
          <c:idx val="1795"/>
          <c:order val="1795"/>
          <c:tx>
            <c:strRef>
              <c:f>'estatística'!$B$1797</c:f>
            </c:strRef>
          </c:tx>
          <c:cat>
            <c:strRef>
              <c:f>'estatística'!$C$1:$M$1</c:f>
            </c:strRef>
          </c:cat>
          <c:val>
            <c:numRef>
              <c:f>'estatística'!$C$1797:$M$1797</c:f>
              <c:numCache/>
            </c:numRef>
          </c:val>
        </c:ser>
        <c:ser>
          <c:idx val="1796"/>
          <c:order val="1796"/>
          <c:tx>
            <c:strRef>
              <c:f>'estatística'!$B$1798</c:f>
            </c:strRef>
          </c:tx>
          <c:cat>
            <c:strRef>
              <c:f>'estatística'!$C$1:$M$1</c:f>
            </c:strRef>
          </c:cat>
          <c:val>
            <c:numRef>
              <c:f>'estatística'!$C$1798:$M$1798</c:f>
              <c:numCache/>
            </c:numRef>
          </c:val>
        </c:ser>
        <c:ser>
          <c:idx val="1797"/>
          <c:order val="1797"/>
          <c:tx>
            <c:strRef>
              <c:f>'estatística'!$B$1799</c:f>
            </c:strRef>
          </c:tx>
          <c:cat>
            <c:strRef>
              <c:f>'estatística'!$C$1:$M$1</c:f>
            </c:strRef>
          </c:cat>
          <c:val>
            <c:numRef>
              <c:f>'estatística'!$C$1799:$M$1799</c:f>
              <c:numCache/>
            </c:numRef>
          </c:val>
        </c:ser>
        <c:ser>
          <c:idx val="1798"/>
          <c:order val="1798"/>
          <c:tx>
            <c:strRef>
              <c:f>'estatística'!$B$1800</c:f>
            </c:strRef>
          </c:tx>
          <c:cat>
            <c:strRef>
              <c:f>'estatística'!$C$1:$M$1</c:f>
            </c:strRef>
          </c:cat>
          <c:val>
            <c:numRef>
              <c:f>'estatística'!$C$1800:$M$1800</c:f>
              <c:numCache/>
            </c:numRef>
          </c:val>
        </c:ser>
        <c:ser>
          <c:idx val="1799"/>
          <c:order val="1799"/>
          <c:tx>
            <c:strRef>
              <c:f>'estatística'!$B$1801</c:f>
            </c:strRef>
          </c:tx>
          <c:cat>
            <c:strRef>
              <c:f>'estatística'!$C$1:$M$1</c:f>
            </c:strRef>
          </c:cat>
          <c:val>
            <c:numRef>
              <c:f>'estatística'!$C$1801:$M$1801</c:f>
              <c:numCache/>
            </c:numRef>
          </c:val>
        </c:ser>
        <c:ser>
          <c:idx val="1800"/>
          <c:order val="1800"/>
          <c:tx>
            <c:strRef>
              <c:f>'estatística'!$B$1802</c:f>
            </c:strRef>
          </c:tx>
          <c:cat>
            <c:strRef>
              <c:f>'estatística'!$C$1:$M$1</c:f>
            </c:strRef>
          </c:cat>
          <c:val>
            <c:numRef>
              <c:f>'estatística'!$C$1802:$M$1802</c:f>
              <c:numCache/>
            </c:numRef>
          </c:val>
        </c:ser>
        <c:ser>
          <c:idx val="1801"/>
          <c:order val="1801"/>
          <c:tx>
            <c:strRef>
              <c:f>'estatística'!$B$1803</c:f>
            </c:strRef>
          </c:tx>
          <c:cat>
            <c:strRef>
              <c:f>'estatística'!$C$1:$M$1</c:f>
            </c:strRef>
          </c:cat>
          <c:val>
            <c:numRef>
              <c:f>'estatística'!$C$1803:$M$1803</c:f>
              <c:numCache/>
            </c:numRef>
          </c:val>
        </c:ser>
        <c:ser>
          <c:idx val="1802"/>
          <c:order val="1802"/>
          <c:tx>
            <c:strRef>
              <c:f>'estatística'!$B$1804</c:f>
            </c:strRef>
          </c:tx>
          <c:cat>
            <c:strRef>
              <c:f>'estatística'!$C$1:$M$1</c:f>
            </c:strRef>
          </c:cat>
          <c:val>
            <c:numRef>
              <c:f>'estatística'!$C$1804:$M$1804</c:f>
              <c:numCache/>
            </c:numRef>
          </c:val>
        </c:ser>
        <c:ser>
          <c:idx val="1803"/>
          <c:order val="1803"/>
          <c:tx>
            <c:strRef>
              <c:f>'estatística'!$B$1805</c:f>
            </c:strRef>
          </c:tx>
          <c:cat>
            <c:strRef>
              <c:f>'estatística'!$C$1:$M$1</c:f>
            </c:strRef>
          </c:cat>
          <c:val>
            <c:numRef>
              <c:f>'estatística'!$C$1805:$M$1805</c:f>
              <c:numCache/>
            </c:numRef>
          </c:val>
        </c:ser>
        <c:ser>
          <c:idx val="1804"/>
          <c:order val="1804"/>
          <c:tx>
            <c:strRef>
              <c:f>'estatística'!$B$1806</c:f>
            </c:strRef>
          </c:tx>
          <c:cat>
            <c:strRef>
              <c:f>'estatística'!$C$1:$M$1</c:f>
            </c:strRef>
          </c:cat>
          <c:val>
            <c:numRef>
              <c:f>'estatística'!$C$1806:$M$1806</c:f>
              <c:numCache/>
            </c:numRef>
          </c:val>
        </c:ser>
        <c:ser>
          <c:idx val="1805"/>
          <c:order val="1805"/>
          <c:tx>
            <c:strRef>
              <c:f>'estatística'!$B$1807</c:f>
            </c:strRef>
          </c:tx>
          <c:cat>
            <c:strRef>
              <c:f>'estatística'!$C$1:$M$1</c:f>
            </c:strRef>
          </c:cat>
          <c:val>
            <c:numRef>
              <c:f>'estatística'!$C$1807:$M$1807</c:f>
              <c:numCache/>
            </c:numRef>
          </c:val>
        </c:ser>
        <c:ser>
          <c:idx val="1806"/>
          <c:order val="1806"/>
          <c:tx>
            <c:strRef>
              <c:f>'estatística'!$B$1808</c:f>
            </c:strRef>
          </c:tx>
          <c:cat>
            <c:strRef>
              <c:f>'estatística'!$C$1:$M$1</c:f>
            </c:strRef>
          </c:cat>
          <c:val>
            <c:numRef>
              <c:f>'estatística'!$C$1808:$M$1808</c:f>
              <c:numCache/>
            </c:numRef>
          </c:val>
        </c:ser>
        <c:ser>
          <c:idx val="1807"/>
          <c:order val="1807"/>
          <c:tx>
            <c:strRef>
              <c:f>'estatística'!$B$1809</c:f>
            </c:strRef>
          </c:tx>
          <c:cat>
            <c:strRef>
              <c:f>'estatística'!$C$1:$M$1</c:f>
            </c:strRef>
          </c:cat>
          <c:val>
            <c:numRef>
              <c:f>'estatística'!$C$1809:$M$1809</c:f>
              <c:numCache/>
            </c:numRef>
          </c:val>
        </c:ser>
        <c:ser>
          <c:idx val="1808"/>
          <c:order val="1808"/>
          <c:tx>
            <c:strRef>
              <c:f>'estatística'!$B$1810</c:f>
            </c:strRef>
          </c:tx>
          <c:cat>
            <c:strRef>
              <c:f>'estatística'!$C$1:$M$1</c:f>
            </c:strRef>
          </c:cat>
          <c:val>
            <c:numRef>
              <c:f>'estatística'!$C$1810:$M$1810</c:f>
              <c:numCache/>
            </c:numRef>
          </c:val>
        </c:ser>
        <c:ser>
          <c:idx val="1809"/>
          <c:order val="1809"/>
          <c:tx>
            <c:strRef>
              <c:f>'estatística'!$B$1811</c:f>
            </c:strRef>
          </c:tx>
          <c:cat>
            <c:strRef>
              <c:f>'estatística'!$C$1:$M$1</c:f>
            </c:strRef>
          </c:cat>
          <c:val>
            <c:numRef>
              <c:f>'estatística'!$C$1811:$M$1811</c:f>
              <c:numCache/>
            </c:numRef>
          </c:val>
        </c:ser>
        <c:ser>
          <c:idx val="1810"/>
          <c:order val="1810"/>
          <c:tx>
            <c:strRef>
              <c:f>'estatística'!$B$1812</c:f>
            </c:strRef>
          </c:tx>
          <c:cat>
            <c:strRef>
              <c:f>'estatística'!$C$1:$M$1</c:f>
            </c:strRef>
          </c:cat>
          <c:val>
            <c:numRef>
              <c:f>'estatística'!$C$1812:$M$1812</c:f>
              <c:numCache/>
            </c:numRef>
          </c:val>
        </c:ser>
        <c:ser>
          <c:idx val="1811"/>
          <c:order val="1811"/>
          <c:tx>
            <c:strRef>
              <c:f>'estatística'!$B$1813</c:f>
            </c:strRef>
          </c:tx>
          <c:cat>
            <c:strRef>
              <c:f>'estatística'!$C$1:$M$1</c:f>
            </c:strRef>
          </c:cat>
          <c:val>
            <c:numRef>
              <c:f>'estatística'!$C$1813:$M$1813</c:f>
              <c:numCache/>
            </c:numRef>
          </c:val>
        </c:ser>
        <c:ser>
          <c:idx val="1812"/>
          <c:order val="1812"/>
          <c:tx>
            <c:strRef>
              <c:f>'estatística'!$B$1814</c:f>
            </c:strRef>
          </c:tx>
          <c:cat>
            <c:strRef>
              <c:f>'estatística'!$C$1:$M$1</c:f>
            </c:strRef>
          </c:cat>
          <c:val>
            <c:numRef>
              <c:f>'estatística'!$C$1814:$M$1814</c:f>
              <c:numCache/>
            </c:numRef>
          </c:val>
        </c:ser>
        <c:ser>
          <c:idx val="1813"/>
          <c:order val="1813"/>
          <c:tx>
            <c:strRef>
              <c:f>'estatística'!$B$1815</c:f>
            </c:strRef>
          </c:tx>
          <c:cat>
            <c:strRef>
              <c:f>'estatística'!$C$1:$M$1</c:f>
            </c:strRef>
          </c:cat>
          <c:val>
            <c:numRef>
              <c:f>'estatística'!$C$1815:$M$1815</c:f>
              <c:numCache/>
            </c:numRef>
          </c:val>
        </c:ser>
        <c:ser>
          <c:idx val="1814"/>
          <c:order val="1814"/>
          <c:tx>
            <c:strRef>
              <c:f>'estatística'!$B$1816</c:f>
            </c:strRef>
          </c:tx>
          <c:cat>
            <c:strRef>
              <c:f>'estatística'!$C$1:$M$1</c:f>
            </c:strRef>
          </c:cat>
          <c:val>
            <c:numRef>
              <c:f>'estatística'!$C$1816:$M$1816</c:f>
              <c:numCache/>
            </c:numRef>
          </c:val>
        </c:ser>
        <c:ser>
          <c:idx val="1815"/>
          <c:order val="1815"/>
          <c:tx>
            <c:strRef>
              <c:f>'estatística'!$B$1817</c:f>
            </c:strRef>
          </c:tx>
          <c:cat>
            <c:strRef>
              <c:f>'estatística'!$C$1:$M$1</c:f>
            </c:strRef>
          </c:cat>
          <c:val>
            <c:numRef>
              <c:f>'estatística'!$C$1817:$M$1817</c:f>
              <c:numCache/>
            </c:numRef>
          </c:val>
        </c:ser>
        <c:ser>
          <c:idx val="1816"/>
          <c:order val="1816"/>
          <c:tx>
            <c:strRef>
              <c:f>'estatística'!$B$1818</c:f>
            </c:strRef>
          </c:tx>
          <c:cat>
            <c:strRef>
              <c:f>'estatística'!$C$1:$M$1</c:f>
            </c:strRef>
          </c:cat>
          <c:val>
            <c:numRef>
              <c:f>'estatística'!$C$1818:$M$1818</c:f>
              <c:numCache/>
            </c:numRef>
          </c:val>
        </c:ser>
        <c:ser>
          <c:idx val="1817"/>
          <c:order val="1817"/>
          <c:tx>
            <c:strRef>
              <c:f>'estatística'!$B$1819</c:f>
            </c:strRef>
          </c:tx>
          <c:cat>
            <c:strRef>
              <c:f>'estatística'!$C$1:$M$1</c:f>
            </c:strRef>
          </c:cat>
          <c:val>
            <c:numRef>
              <c:f>'estatística'!$C$1819:$M$1819</c:f>
              <c:numCache/>
            </c:numRef>
          </c:val>
        </c:ser>
        <c:ser>
          <c:idx val="1818"/>
          <c:order val="1818"/>
          <c:tx>
            <c:strRef>
              <c:f>'estatística'!$B$1820</c:f>
            </c:strRef>
          </c:tx>
          <c:cat>
            <c:strRef>
              <c:f>'estatística'!$C$1:$M$1</c:f>
            </c:strRef>
          </c:cat>
          <c:val>
            <c:numRef>
              <c:f>'estatística'!$C$1820:$M$1820</c:f>
              <c:numCache/>
            </c:numRef>
          </c:val>
        </c:ser>
        <c:ser>
          <c:idx val="1819"/>
          <c:order val="1819"/>
          <c:tx>
            <c:strRef>
              <c:f>'estatística'!$B$1821</c:f>
            </c:strRef>
          </c:tx>
          <c:cat>
            <c:strRef>
              <c:f>'estatística'!$C$1:$M$1</c:f>
            </c:strRef>
          </c:cat>
          <c:val>
            <c:numRef>
              <c:f>'estatística'!$C$1821:$M$1821</c:f>
              <c:numCache/>
            </c:numRef>
          </c:val>
        </c:ser>
        <c:ser>
          <c:idx val="1820"/>
          <c:order val="1820"/>
          <c:tx>
            <c:strRef>
              <c:f>'estatística'!$B$1822</c:f>
            </c:strRef>
          </c:tx>
          <c:cat>
            <c:strRef>
              <c:f>'estatística'!$C$1:$M$1</c:f>
            </c:strRef>
          </c:cat>
          <c:val>
            <c:numRef>
              <c:f>'estatística'!$C$1822:$M$1822</c:f>
              <c:numCache/>
            </c:numRef>
          </c:val>
        </c:ser>
        <c:ser>
          <c:idx val="1821"/>
          <c:order val="1821"/>
          <c:tx>
            <c:strRef>
              <c:f>'estatística'!$B$1823</c:f>
            </c:strRef>
          </c:tx>
          <c:cat>
            <c:strRef>
              <c:f>'estatística'!$C$1:$M$1</c:f>
            </c:strRef>
          </c:cat>
          <c:val>
            <c:numRef>
              <c:f>'estatística'!$C$1823:$M$1823</c:f>
              <c:numCache/>
            </c:numRef>
          </c:val>
        </c:ser>
        <c:ser>
          <c:idx val="1822"/>
          <c:order val="1822"/>
          <c:tx>
            <c:strRef>
              <c:f>'estatística'!$B$1824</c:f>
            </c:strRef>
          </c:tx>
          <c:cat>
            <c:strRef>
              <c:f>'estatística'!$C$1:$M$1</c:f>
            </c:strRef>
          </c:cat>
          <c:val>
            <c:numRef>
              <c:f>'estatística'!$C$1824:$M$1824</c:f>
              <c:numCache/>
            </c:numRef>
          </c:val>
        </c:ser>
        <c:ser>
          <c:idx val="1823"/>
          <c:order val="1823"/>
          <c:tx>
            <c:strRef>
              <c:f>'estatística'!$B$1825</c:f>
            </c:strRef>
          </c:tx>
          <c:cat>
            <c:strRef>
              <c:f>'estatística'!$C$1:$M$1</c:f>
            </c:strRef>
          </c:cat>
          <c:val>
            <c:numRef>
              <c:f>'estatística'!$C$1825:$M$1825</c:f>
              <c:numCache/>
            </c:numRef>
          </c:val>
        </c:ser>
        <c:ser>
          <c:idx val="1824"/>
          <c:order val="1824"/>
          <c:tx>
            <c:strRef>
              <c:f>'estatística'!$B$1826</c:f>
            </c:strRef>
          </c:tx>
          <c:cat>
            <c:strRef>
              <c:f>'estatística'!$C$1:$M$1</c:f>
            </c:strRef>
          </c:cat>
          <c:val>
            <c:numRef>
              <c:f>'estatística'!$C$1826:$M$1826</c:f>
              <c:numCache/>
            </c:numRef>
          </c:val>
        </c:ser>
        <c:ser>
          <c:idx val="1825"/>
          <c:order val="1825"/>
          <c:tx>
            <c:strRef>
              <c:f>'estatística'!$B$1827</c:f>
            </c:strRef>
          </c:tx>
          <c:cat>
            <c:strRef>
              <c:f>'estatística'!$C$1:$M$1</c:f>
            </c:strRef>
          </c:cat>
          <c:val>
            <c:numRef>
              <c:f>'estatística'!$C$1827:$M$1827</c:f>
              <c:numCache/>
            </c:numRef>
          </c:val>
        </c:ser>
        <c:ser>
          <c:idx val="1826"/>
          <c:order val="1826"/>
          <c:tx>
            <c:strRef>
              <c:f>'estatística'!$B$1828</c:f>
            </c:strRef>
          </c:tx>
          <c:cat>
            <c:strRef>
              <c:f>'estatística'!$C$1:$M$1</c:f>
            </c:strRef>
          </c:cat>
          <c:val>
            <c:numRef>
              <c:f>'estatística'!$C$1828:$M$1828</c:f>
              <c:numCache/>
            </c:numRef>
          </c:val>
        </c:ser>
        <c:ser>
          <c:idx val="1827"/>
          <c:order val="1827"/>
          <c:tx>
            <c:strRef>
              <c:f>'estatística'!$B$1829</c:f>
            </c:strRef>
          </c:tx>
          <c:cat>
            <c:strRef>
              <c:f>'estatística'!$C$1:$M$1</c:f>
            </c:strRef>
          </c:cat>
          <c:val>
            <c:numRef>
              <c:f>'estatística'!$C$1829:$M$1829</c:f>
              <c:numCache/>
            </c:numRef>
          </c:val>
        </c:ser>
        <c:ser>
          <c:idx val="1828"/>
          <c:order val="1828"/>
          <c:tx>
            <c:strRef>
              <c:f>'estatística'!$B$1830</c:f>
            </c:strRef>
          </c:tx>
          <c:cat>
            <c:strRef>
              <c:f>'estatística'!$C$1:$M$1</c:f>
            </c:strRef>
          </c:cat>
          <c:val>
            <c:numRef>
              <c:f>'estatística'!$C$1830:$M$1830</c:f>
              <c:numCache/>
            </c:numRef>
          </c:val>
        </c:ser>
        <c:ser>
          <c:idx val="1829"/>
          <c:order val="1829"/>
          <c:tx>
            <c:strRef>
              <c:f>'estatística'!$B$1831</c:f>
            </c:strRef>
          </c:tx>
          <c:cat>
            <c:strRef>
              <c:f>'estatística'!$C$1:$M$1</c:f>
            </c:strRef>
          </c:cat>
          <c:val>
            <c:numRef>
              <c:f>'estatística'!$C$1831:$M$1831</c:f>
              <c:numCache/>
            </c:numRef>
          </c:val>
        </c:ser>
        <c:ser>
          <c:idx val="1830"/>
          <c:order val="1830"/>
          <c:tx>
            <c:strRef>
              <c:f>'estatística'!$B$1832</c:f>
            </c:strRef>
          </c:tx>
          <c:cat>
            <c:strRef>
              <c:f>'estatística'!$C$1:$M$1</c:f>
            </c:strRef>
          </c:cat>
          <c:val>
            <c:numRef>
              <c:f>'estatística'!$C$1832:$M$1832</c:f>
              <c:numCache/>
            </c:numRef>
          </c:val>
        </c:ser>
        <c:ser>
          <c:idx val="1831"/>
          <c:order val="1831"/>
          <c:tx>
            <c:strRef>
              <c:f>'estatística'!$B$1833</c:f>
            </c:strRef>
          </c:tx>
          <c:cat>
            <c:strRef>
              <c:f>'estatística'!$C$1:$M$1</c:f>
            </c:strRef>
          </c:cat>
          <c:val>
            <c:numRef>
              <c:f>'estatística'!$C$1833:$M$1833</c:f>
              <c:numCache/>
            </c:numRef>
          </c:val>
        </c:ser>
        <c:ser>
          <c:idx val="1832"/>
          <c:order val="1832"/>
          <c:tx>
            <c:strRef>
              <c:f>'estatística'!$B$1834</c:f>
            </c:strRef>
          </c:tx>
          <c:cat>
            <c:strRef>
              <c:f>'estatística'!$C$1:$M$1</c:f>
            </c:strRef>
          </c:cat>
          <c:val>
            <c:numRef>
              <c:f>'estatística'!$C$1834:$M$1834</c:f>
              <c:numCache/>
            </c:numRef>
          </c:val>
        </c:ser>
        <c:ser>
          <c:idx val="1833"/>
          <c:order val="1833"/>
          <c:tx>
            <c:strRef>
              <c:f>'estatística'!$B$1835</c:f>
            </c:strRef>
          </c:tx>
          <c:cat>
            <c:strRef>
              <c:f>'estatística'!$C$1:$M$1</c:f>
            </c:strRef>
          </c:cat>
          <c:val>
            <c:numRef>
              <c:f>'estatística'!$C$1835:$M$1835</c:f>
              <c:numCache/>
            </c:numRef>
          </c:val>
        </c:ser>
        <c:ser>
          <c:idx val="1834"/>
          <c:order val="1834"/>
          <c:tx>
            <c:strRef>
              <c:f>'estatística'!$B$1836</c:f>
            </c:strRef>
          </c:tx>
          <c:cat>
            <c:strRef>
              <c:f>'estatística'!$C$1:$M$1</c:f>
            </c:strRef>
          </c:cat>
          <c:val>
            <c:numRef>
              <c:f>'estatística'!$C$1836:$M$1836</c:f>
              <c:numCache/>
            </c:numRef>
          </c:val>
        </c:ser>
        <c:ser>
          <c:idx val="1835"/>
          <c:order val="1835"/>
          <c:tx>
            <c:strRef>
              <c:f>'estatística'!$B$1837</c:f>
            </c:strRef>
          </c:tx>
          <c:cat>
            <c:strRef>
              <c:f>'estatística'!$C$1:$M$1</c:f>
            </c:strRef>
          </c:cat>
          <c:val>
            <c:numRef>
              <c:f>'estatística'!$C$1837:$M$1837</c:f>
              <c:numCache/>
            </c:numRef>
          </c:val>
        </c:ser>
        <c:ser>
          <c:idx val="1836"/>
          <c:order val="1836"/>
          <c:tx>
            <c:strRef>
              <c:f>'estatística'!$B$1838</c:f>
            </c:strRef>
          </c:tx>
          <c:cat>
            <c:strRef>
              <c:f>'estatística'!$C$1:$M$1</c:f>
            </c:strRef>
          </c:cat>
          <c:val>
            <c:numRef>
              <c:f>'estatística'!$C$1838:$M$1838</c:f>
              <c:numCache/>
            </c:numRef>
          </c:val>
        </c:ser>
        <c:ser>
          <c:idx val="1837"/>
          <c:order val="1837"/>
          <c:tx>
            <c:strRef>
              <c:f>'estatística'!$B$1839</c:f>
            </c:strRef>
          </c:tx>
          <c:cat>
            <c:strRef>
              <c:f>'estatística'!$C$1:$M$1</c:f>
            </c:strRef>
          </c:cat>
          <c:val>
            <c:numRef>
              <c:f>'estatística'!$C$1839:$M$1839</c:f>
              <c:numCache/>
            </c:numRef>
          </c:val>
        </c:ser>
        <c:ser>
          <c:idx val="1838"/>
          <c:order val="1838"/>
          <c:tx>
            <c:strRef>
              <c:f>'estatística'!$B$1840</c:f>
            </c:strRef>
          </c:tx>
          <c:cat>
            <c:strRef>
              <c:f>'estatística'!$C$1:$M$1</c:f>
            </c:strRef>
          </c:cat>
          <c:val>
            <c:numRef>
              <c:f>'estatística'!$C$1840:$M$1840</c:f>
              <c:numCache/>
            </c:numRef>
          </c:val>
        </c:ser>
        <c:ser>
          <c:idx val="1839"/>
          <c:order val="1839"/>
          <c:tx>
            <c:strRef>
              <c:f>'estatística'!$B$1841</c:f>
            </c:strRef>
          </c:tx>
          <c:cat>
            <c:strRef>
              <c:f>'estatística'!$C$1:$M$1</c:f>
            </c:strRef>
          </c:cat>
          <c:val>
            <c:numRef>
              <c:f>'estatística'!$C$1841:$M$1841</c:f>
              <c:numCache/>
            </c:numRef>
          </c:val>
        </c:ser>
        <c:ser>
          <c:idx val="1840"/>
          <c:order val="1840"/>
          <c:tx>
            <c:strRef>
              <c:f>'estatística'!$B$1842</c:f>
            </c:strRef>
          </c:tx>
          <c:cat>
            <c:strRef>
              <c:f>'estatística'!$C$1:$M$1</c:f>
            </c:strRef>
          </c:cat>
          <c:val>
            <c:numRef>
              <c:f>'estatística'!$C$1842:$M$1842</c:f>
              <c:numCache/>
            </c:numRef>
          </c:val>
        </c:ser>
        <c:ser>
          <c:idx val="1841"/>
          <c:order val="1841"/>
          <c:tx>
            <c:strRef>
              <c:f>'estatística'!$B$1843</c:f>
            </c:strRef>
          </c:tx>
          <c:cat>
            <c:strRef>
              <c:f>'estatística'!$C$1:$M$1</c:f>
            </c:strRef>
          </c:cat>
          <c:val>
            <c:numRef>
              <c:f>'estatística'!$C$1843:$M$1843</c:f>
              <c:numCache/>
            </c:numRef>
          </c:val>
        </c:ser>
        <c:ser>
          <c:idx val="1842"/>
          <c:order val="1842"/>
          <c:tx>
            <c:strRef>
              <c:f>'estatística'!$B$1844</c:f>
            </c:strRef>
          </c:tx>
          <c:cat>
            <c:strRef>
              <c:f>'estatística'!$C$1:$M$1</c:f>
            </c:strRef>
          </c:cat>
          <c:val>
            <c:numRef>
              <c:f>'estatística'!$C$1844:$M$1844</c:f>
              <c:numCache/>
            </c:numRef>
          </c:val>
        </c:ser>
        <c:ser>
          <c:idx val="1843"/>
          <c:order val="1843"/>
          <c:tx>
            <c:strRef>
              <c:f>'estatística'!$B$1845</c:f>
            </c:strRef>
          </c:tx>
          <c:cat>
            <c:strRef>
              <c:f>'estatística'!$C$1:$M$1</c:f>
            </c:strRef>
          </c:cat>
          <c:val>
            <c:numRef>
              <c:f>'estatística'!$C$1845:$M$1845</c:f>
              <c:numCache/>
            </c:numRef>
          </c:val>
        </c:ser>
        <c:ser>
          <c:idx val="1844"/>
          <c:order val="1844"/>
          <c:tx>
            <c:strRef>
              <c:f>'estatística'!$B$1846</c:f>
            </c:strRef>
          </c:tx>
          <c:cat>
            <c:strRef>
              <c:f>'estatística'!$C$1:$M$1</c:f>
            </c:strRef>
          </c:cat>
          <c:val>
            <c:numRef>
              <c:f>'estatística'!$C$1846:$M$1846</c:f>
              <c:numCache/>
            </c:numRef>
          </c:val>
        </c:ser>
        <c:ser>
          <c:idx val="1845"/>
          <c:order val="1845"/>
          <c:tx>
            <c:strRef>
              <c:f>'estatística'!$B$1847</c:f>
            </c:strRef>
          </c:tx>
          <c:cat>
            <c:strRef>
              <c:f>'estatística'!$C$1:$M$1</c:f>
            </c:strRef>
          </c:cat>
          <c:val>
            <c:numRef>
              <c:f>'estatística'!$C$1847:$M$1847</c:f>
              <c:numCache/>
            </c:numRef>
          </c:val>
        </c:ser>
        <c:ser>
          <c:idx val="1846"/>
          <c:order val="1846"/>
          <c:tx>
            <c:strRef>
              <c:f>'estatística'!$B$1848</c:f>
            </c:strRef>
          </c:tx>
          <c:cat>
            <c:strRef>
              <c:f>'estatística'!$C$1:$M$1</c:f>
            </c:strRef>
          </c:cat>
          <c:val>
            <c:numRef>
              <c:f>'estatística'!$C$1848:$M$1848</c:f>
              <c:numCache/>
            </c:numRef>
          </c:val>
        </c:ser>
        <c:ser>
          <c:idx val="1847"/>
          <c:order val="1847"/>
          <c:tx>
            <c:strRef>
              <c:f>'estatística'!$B$1849</c:f>
            </c:strRef>
          </c:tx>
          <c:cat>
            <c:strRef>
              <c:f>'estatística'!$C$1:$M$1</c:f>
            </c:strRef>
          </c:cat>
          <c:val>
            <c:numRef>
              <c:f>'estatística'!$C$1849:$M$1849</c:f>
              <c:numCache/>
            </c:numRef>
          </c:val>
        </c:ser>
        <c:ser>
          <c:idx val="1848"/>
          <c:order val="1848"/>
          <c:tx>
            <c:strRef>
              <c:f>'estatística'!$B$1850</c:f>
            </c:strRef>
          </c:tx>
          <c:cat>
            <c:strRef>
              <c:f>'estatística'!$C$1:$M$1</c:f>
            </c:strRef>
          </c:cat>
          <c:val>
            <c:numRef>
              <c:f>'estatística'!$C$1850:$M$1850</c:f>
              <c:numCache/>
            </c:numRef>
          </c:val>
        </c:ser>
        <c:ser>
          <c:idx val="1849"/>
          <c:order val="1849"/>
          <c:tx>
            <c:strRef>
              <c:f>'estatística'!$B$1851</c:f>
            </c:strRef>
          </c:tx>
          <c:cat>
            <c:strRef>
              <c:f>'estatística'!$C$1:$M$1</c:f>
            </c:strRef>
          </c:cat>
          <c:val>
            <c:numRef>
              <c:f>'estatística'!$C$1851:$M$1851</c:f>
              <c:numCache/>
            </c:numRef>
          </c:val>
        </c:ser>
        <c:ser>
          <c:idx val="1850"/>
          <c:order val="1850"/>
          <c:tx>
            <c:strRef>
              <c:f>'estatística'!$B$1852</c:f>
            </c:strRef>
          </c:tx>
          <c:cat>
            <c:strRef>
              <c:f>'estatística'!$C$1:$M$1</c:f>
            </c:strRef>
          </c:cat>
          <c:val>
            <c:numRef>
              <c:f>'estatística'!$C$1852:$M$1852</c:f>
              <c:numCache/>
            </c:numRef>
          </c:val>
        </c:ser>
        <c:ser>
          <c:idx val="1851"/>
          <c:order val="1851"/>
          <c:tx>
            <c:strRef>
              <c:f>'estatística'!$B$1853</c:f>
            </c:strRef>
          </c:tx>
          <c:cat>
            <c:strRef>
              <c:f>'estatística'!$C$1:$M$1</c:f>
            </c:strRef>
          </c:cat>
          <c:val>
            <c:numRef>
              <c:f>'estatística'!$C$1853:$M$1853</c:f>
              <c:numCache/>
            </c:numRef>
          </c:val>
        </c:ser>
        <c:ser>
          <c:idx val="1852"/>
          <c:order val="1852"/>
          <c:tx>
            <c:strRef>
              <c:f>'estatística'!$B$1854</c:f>
            </c:strRef>
          </c:tx>
          <c:cat>
            <c:strRef>
              <c:f>'estatística'!$C$1:$M$1</c:f>
            </c:strRef>
          </c:cat>
          <c:val>
            <c:numRef>
              <c:f>'estatística'!$C$1854:$M$1854</c:f>
              <c:numCache/>
            </c:numRef>
          </c:val>
        </c:ser>
        <c:ser>
          <c:idx val="1853"/>
          <c:order val="1853"/>
          <c:tx>
            <c:strRef>
              <c:f>'estatística'!$B$1855</c:f>
            </c:strRef>
          </c:tx>
          <c:cat>
            <c:strRef>
              <c:f>'estatística'!$C$1:$M$1</c:f>
            </c:strRef>
          </c:cat>
          <c:val>
            <c:numRef>
              <c:f>'estatística'!$C$1855:$M$1855</c:f>
              <c:numCache/>
            </c:numRef>
          </c:val>
        </c:ser>
        <c:ser>
          <c:idx val="1854"/>
          <c:order val="1854"/>
          <c:tx>
            <c:strRef>
              <c:f>'estatística'!$B$1856</c:f>
            </c:strRef>
          </c:tx>
          <c:cat>
            <c:strRef>
              <c:f>'estatística'!$C$1:$M$1</c:f>
            </c:strRef>
          </c:cat>
          <c:val>
            <c:numRef>
              <c:f>'estatística'!$C$1856:$M$1856</c:f>
              <c:numCache/>
            </c:numRef>
          </c:val>
        </c:ser>
        <c:ser>
          <c:idx val="1855"/>
          <c:order val="1855"/>
          <c:tx>
            <c:strRef>
              <c:f>'estatística'!$B$1857</c:f>
            </c:strRef>
          </c:tx>
          <c:cat>
            <c:strRef>
              <c:f>'estatística'!$C$1:$M$1</c:f>
            </c:strRef>
          </c:cat>
          <c:val>
            <c:numRef>
              <c:f>'estatística'!$C$1857:$M$1857</c:f>
              <c:numCache/>
            </c:numRef>
          </c:val>
        </c:ser>
        <c:ser>
          <c:idx val="1856"/>
          <c:order val="1856"/>
          <c:tx>
            <c:strRef>
              <c:f>'estatística'!$B$1858</c:f>
            </c:strRef>
          </c:tx>
          <c:cat>
            <c:strRef>
              <c:f>'estatística'!$C$1:$M$1</c:f>
            </c:strRef>
          </c:cat>
          <c:val>
            <c:numRef>
              <c:f>'estatística'!$C$1858:$M$1858</c:f>
              <c:numCache/>
            </c:numRef>
          </c:val>
        </c:ser>
        <c:ser>
          <c:idx val="1857"/>
          <c:order val="1857"/>
          <c:tx>
            <c:strRef>
              <c:f>'estatística'!$B$1859</c:f>
            </c:strRef>
          </c:tx>
          <c:cat>
            <c:strRef>
              <c:f>'estatística'!$C$1:$M$1</c:f>
            </c:strRef>
          </c:cat>
          <c:val>
            <c:numRef>
              <c:f>'estatística'!$C$1859:$M$1859</c:f>
              <c:numCache/>
            </c:numRef>
          </c:val>
        </c:ser>
        <c:ser>
          <c:idx val="1858"/>
          <c:order val="1858"/>
          <c:tx>
            <c:strRef>
              <c:f>'estatística'!$B$1860</c:f>
            </c:strRef>
          </c:tx>
          <c:cat>
            <c:strRef>
              <c:f>'estatística'!$C$1:$M$1</c:f>
            </c:strRef>
          </c:cat>
          <c:val>
            <c:numRef>
              <c:f>'estatística'!$C$1860:$M$1860</c:f>
              <c:numCache/>
            </c:numRef>
          </c:val>
        </c:ser>
        <c:ser>
          <c:idx val="1859"/>
          <c:order val="1859"/>
          <c:tx>
            <c:strRef>
              <c:f>'estatística'!$B$1861</c:f>
            </c:strRef>
          </c:tx>
          <c:cat>
            <c:strRef>
              <c:f>'estatística'!$C$1:$M$1</c:f>
            </c:strRef>
          </c:cat>
          <c:val>
            <c:numRef>
              <c:f>'estatística'!$C$1861:$M$1861</c:f>
              <c:numCache/>
            </c:numRef>
          </c:val>
        </c:ser>
        <c:ser>
          <c:idx val="1860"/>
          <c:order val="1860"/>
          <c:tx>
            <c:strRef>
              <c:f>'estatística'!$B$1862</c:f>
            </c:strRef>
          </c:tx>
          <c:cat>
            <c:strRef>
              <c:f>'estatística'!$C$1:$M$1</c:f>
            </c:strRef>
          </c:cat>
          <c:val>
            <c:numRef>
              <c:f>'estatística'!$C$1862:$M$1862</c:f>
              <c:numCache/>
            </c:numRef>
          </c:val>
        </c:ser>
        <c:ser>
          <c:idx val="1861"/>
          <c:order val="1861"/>
          <c:tx>
            <c:strRef>
              <c:f>'estatística'!$B$1863</c:f>
            </c:strRef>
          </c:tx>
          <c:cat>
            <c:strRef>
              <c:f>'estatística'!$C$1:$M$1</c:f>
            </c:strRef>
          </c:cat>
          <c:val>
            <c:numRef>
              <c:f>'estatística'!$C$1863:$M$1863</c:f>
              <c:numCache/>
            </c:numRef>
          </c:val>
        </c:ser>
        <c:ser>
          <c:idx val="1862"/>
          <c:order val="1862"/>
          <c:tx>
            <c:strRef>
              <c:f>'estatística'!$B$1864</c:f>
            </c:strRef>
          </c:tx>
          <c:cat>
            <c:strRef>
              <c:f>'estatística'!$C$1:$M$1</c:f>
            </c:strRef>
          </c:cat>
          <c:val>
            <c:numRef>
              <c:f>'estatística'!$C$1864:$M$1864</c:f>
              <c:numCache/>
            </c:numRef>
          </c:val>
        </c:ser>
        <c:ser>
          <c:idx val="1863"/>
          <c:order val="1863"/>
          <c:tx>
            <c:strRef>
              <c:f>'estatística'!$B$1865</c:f>
            </c:strRef>
          </c:tx>
          <c:cat>
            <c:strRef>
              <c:f>'estatística'!$C$1:$M$1</c:f>
            </c:strRef>
          </c:cat>
          <c:val>
            <c:numRef>
              <c:f>'estatística'!$C$1865:$M$1865</c:f>
              <c:numCache/>
            </c:numRef>
          </c:val>
        </c:ser>
        <c:ser>
          <c:idx val="1864"/>
          <c:order val="1864"/>
          <c:tx>
            <c:strRef>
              <c:f>'estatística'!$B$1866</c:f>
            </c:strRef>
          </c:tx>
          <c:cat>
            <c:strRef>
              <c:f>'estatística'!$C$1:$M$1</c:f>
            </c:strRef>
          </c:cat>
          <c:val>
            <c:numRef>
              <c:f>'estatística'!$C$1866:$M$1866</c:f>
              <c:numCache/>
            </c:numRef>
          </c:val>
        </c:ser>
        <c:ser>
          <c:idx val="1865"/>
          <c:order val="1865"/>
          <c:tx>
            <c:strRef>
              <c:f>'estatística'!$B$1867</c:f>
            </c:strRef>
          </c:tx>
          <c:cat>
            <c:strRef>
              <c:f>'estatística'!$C$1:$M$1</c:f>
            </c:strRef>
          </c:cat>
          <c:val>
            <c:numRef>
              <c:f>'estatística'!$C$1867:$M$1867</c:f>
              <c:numCache/>
            </c:numRef>
          </c:val>
        </c:ser>
        <c:ser>
          <c:idx val="1866"/>
          <c:order val="1866"/>
          <c:tx>
            <c:strRef>
              <c:f>'estatística'!$B$1868</c:f>
            </c:strRef>
          </c:tx>
          <c:cat>
            <c:strRef>
              <c:f>'estatística'!$C$1:$M$1</c:f>
            </c:strRef>
          </c:cat>
          <c:val>
            <c:numRef>
              <c:f>'estatística'!$C$1868:$M$1868</c:f>
              <c:numCache/>
            </c:numRef>
          </c:val>
        </c:ser>
        <c:ser>
          <c:idx val="1867"/>
          <c:order val="1867"/>
          <c:tx>
            <c:strRef>
              <c:f>'estatística'!$B$1869</c:f>
            </c:strRef>
          </c:tx>
          <c:cat>
            <c:strRef>
              <c:f>'estatística'!$C$1:$M$1</c:f>
            </c:strRef>
          </c:cat>
          <c:val>
            <c:numRef>
              <c:f>'estatística'!$C$1869:$M$1869</c:f>
              <c:numCache/>
            </c:numRef>
          </c:val>
        </c:ser>
        <c:ser>
          <c:idx val="1868"/>
          <c:order val="1868"/>
          <c:tx>
            <c:strRef>
              <c:f>'estatística'!$B$1870</c:f>
            </c:strRef>
          </c:tx>
          <c:cat>
            <c:strRef>
              <c:f>'estatística'!$C$1:$M$1</c:f>
            </c:strRef>
          </c:cat>
          <c:val>
            <c:numRef>
              <c:f>'estatística'!$C$1870:$M$1870</c:f>
              <c:numCache/>
            </c:numRef>
          </c:val>
        </c:ser>
        <c:ser>
          <c:idx val="1869"/>
          <c:order val="1869"/>
          <c:tx>
            <c:strRef>
              <c:f>'estatística'!$B$1871</c:f>
            </c:strRef>
          </c:tx>
          <c:cat>
            <c:strRef>
              <c:f>'estatística'!$C$1:$M$1</c:f>
            </c:strRef>
          </c:cat>
          <c:val>
            <c:numRef>
              <c:f>'estatística'!$C$1871:$M$1871</c:f>
              <c:numCache/>
            </c:numRef>
          </c:val>
        </c:ser>
        <c:ser>
          <c:idx val="1870"/>
          <c:order val="1870"/>
          <c:tx>
            <c:strRef>
              <c:f>'estatística'!$B$1872</c:f>
            </c:strRef>
          </c:tx>
          <c:cat>
            <c:strRef>
              <c:f>'estatística'!$C$1:$M$1</c:f>
            </c:strRef>
          </c:cat>
          <c:val>
            <c:numRef>
              <c:f>'estatística'!$C$1872:$M$1872</c:f>
              <c:numCache/>
            </c:numRef>
          </c:val>
        </c:ser>
        <c:ser>
          <c:idx val="1871"/>
          <c:order val="1871"/>
          <c:tx>
            <c:strRef>
              <c:f>'estatística'!$B$1873</c:f>
            </c:strRef>
          </c:tx>
          <c:cat>
            <c:strRef>
              <c:f>'estatística'!$C$1:$M$1</c:f>
            </c:strRef>
          </c:cat>
          <c:val>
            <c:numRef>
              <c:f>'estatística'!$C$1873:$M$1873</c:f>
              <c:numCache/>
            </c:numRef>
          </c:val>
        </c:ser>
        <c:ser>
          <c:idx val="1872"/>
          <c:order val="1872"/>
          <c:tx>
            <c:strRef>
              <c:f>'estatística'!$B$1874</c:f>
            </c:strRef>
          </c:tx>
          <c:cat>
            <c:strRef>
              <c:f>'estatística'!$C$1:$M$1</c:f>
            </c:strRef>
          </c:cat>
          <c:val>
            <c:numRef>
              <c:f>'estatística'!$C$1874:$M$1874</c:f>
              <c:numCache/>
            </c:numRef>
          </c:val>
        </c:ser>
        <c:ser>
          <c:idx val="1873"/>
          <c:order val="1873"/>
          <c:tx>
            <c:strRef>
              <c:f>'estatística'!$B$1875</c:f>
            </c:strRef>
          </c:tx>
          <c:cat>
            <c:strRef>
              <c:f>'estatística'!$C$1:$M$1</c:f>
            </c:strRef>
          </c:cat>
          <c:val>
            <c:numRef>
              <c:f>'estatística'!$C$1875:$M$1875</c:f>
              <c:numCache/>
            </c:numRef>
          </c:val>
        </c:ser>
        <c:ser>
          <c:idx val="1874"/>
          <c:order val="1874"/>
          <c:tx>
            <c:strRef>
              <c:f>'estatística'!$B$1876</c:f>
            </c:strRef>
          </c:tx>
          <c:cat>
            <c:strRef>
              <c:f>'estatística'!$C$1:$M$1</c:f>
            </c:strRef>
          </c:cat>
          <c:val>
            <c:numRef>
              <c:f>'estatística'!$C$1876:$M$1876</c:f>
              <c:numCache/>
            </c:numRef>
          </c:val>
        </c:ser>
        <c:ser>
          <c:idx val="1875"/>
          <c:order val="1875"/>
          <c:tx>
            <c:strRef>
              <c:f>'estatística'!$B$1877</c:f>
            </c:strRef>
          </c:tx>
          <c:cat>
            <c:strRef>
              <c:f>'estatística'!$C$1:$M$1</c:f>
            </c:strRef>
          </c:cat>
          <c:val>
            <c:numRef>
              <c:f>'estatística'!$C$1877:$M$1877</c:f>
              <c:numCache/>
            </c:numRef>
          </c:val>
        </c:ser>
        <c:ser>
          <c:idx val="1876"/>
          <c:order val="1876"/>
          <c:tx>
            <c:strRef>
              <c:f>'estatística'!$B$1878</c:f>
            </c:strRef>
          </c:tx>
          <c:cat>
            <c:strRef>
              <c:f>'estatística'!$C$1:$M$1</c:f>
            </c:strRef>
          </c:cat>
          <c:val>
            <c:numRef>
              <c:f>'estatística'!$C$1878:$M$1878</c:f>
              <c:numCache/>
            </c:numRef>
          </c:val>
        </c:ser>
        <c:ser>
          <c:idx val="1877"/>
          <c:order val="1877"/>
          <c:tx>
            <c:strRef>
              <c:f>'estatística'!$B$1879</c:f>
            </c:strRef>
          </c:tx>
          <c:cat>
            <c:strRef>
              <c:f>'estatística'!$C$1:$M$1</c:f>
            </c:strRef>
          </c:cat>
          <c:val>
            <c:numRef>
              <c:f>'estatística'!$C$1879:$M$1879</c:f>
              <c:numCache/>
            </c:numRef>
          </c:val>
        </c:ser>
        <c:ser>
          <c:idx val="1878"/>
          <c:order val="1878"/>
          <c:tx>
            <c:strRef>
              <c:f>'estatística'!$B$1880</c:f>
            </c:strRef>
          </c:tx>
          <c:cat>
            <c:strRef>
              <c:f>'estatística'!$C$1:$M$1</c:f>
            </c:strRef>
          </c:cat>
          <c:val>
            <c:numRef>
              <c:f>'estatística'!$C$1880:$M$1880</c:f>
              <c:numCache/>
            </c:numRef>
          </c:val>
        </c:ser>
        <c:ser>
          <c:idx val="1879"/>
          <c:order val="1879"/>
          <c:tx>
            <c:strRef>
              <c:f>'estatística'!$B$1881</c:f>
            </c:strRef>
          </c:tx>
          <c:cat>
            <c:strRef>
              <c:f>'estatística'!$C$1:$M$1</c:f>
            </c:strRef>
          </c:cat>
          <c:val>
            <c:numRef>
              <c:f>'estatística'!$C$1881:$M$1881</c:f>
              <c:numCache/>
            </c:numRef>
          </c:val>
        </c:ser>
        <c:ser>
          <c:idx val="1880"/>
          <c:order val="1880"/>
          <c:tx>
            <c:strRef>
              <c:f>'estatística'!$B$1882</c:f>
            </c:strRef>
          </c:tx>
          <c:cat>
            <c:strRef>
              <c:f>'estatística'!$C$1:$M$1</c:f>
            </c:strRef>
          </c:cat>
          <c:val>
            <c:numRef>
              <c:f>'estatística'!$C$1882:$M$1882</c:f>
              <c:numCache/>
            </c:numRef>
          </c:val>
        </c:ser>
        <c:ser>
          <c:idx val="1881"/>
          <c:order val="1881"/>
          <c:tx>
            <c:strRef>
              <c:f>'estatística'!$B$1883</c:f>
            </c:strRef>
          </c:tx>
          <c:cat>
            <c:strRef>
              <c:f>'estatística'!$C$1:$M$1</c:f>
            </c:strRef>
          </c:cat>
          <c:val>
            <c:numRef>
              <c:f>'estatística'!$C$1883:$M$1883</c:f>
              <c:numCache/>
            </c:numRef>
          </c:val>
        </c:ser>
        <c:ser>
          <c:idx val="1882"/>
          <c:order val="1882"/>
          <c:tx>
            <c:strRef>
              <c:f>'estatística'!$B$1884</c:f>
            </c:strRef>
          </c:tx>
          <c:cat>
            <c:strRef>
              <c:f>'estatística'!$C$1:$M$1</c:f>
            </c:strRef>
          </c:cat>
          <c:val>
            <c:numRef>
              <c:f>'estatística'!$C$1884:$M$1884</c:f>
              <c:numCache/>
            </c:numRef>
          </c:val>
        </c:ser>
        <c:ser>
          <c:idx val="1883"/>
          <c:order val="1883"/>
          <c:tx>
            <c:strRef>
              <c:f>'estatística'!$B$1885</c:f>
            </c:strRef>
          </c:tx>
          <c:cat>
            <c:strRef>
              <c:f>'estatística'!$C$1:$M$1</c:f>
            </c:strRef>
          </c:cat>
          <c:val>
            <c:numRef>
              <c:f>'estatística'!$C$1885:$M$1885</c:f>
              <c:numCache/>
            </c:numRef>
          </c:val>
        </c:ser>
        <c:ser>
          <c:idx val="1884"/>
          <c:order val="1884"/>
          <c:tx>
            <c:strRef>
              <c:f>'estatística'!$B$1886</c:f>
            </c:strRef>
          </c:tx>
          <c:cat>
            <c:strRef>
              <c:f>'estatística'!$C$1:$M$1</c:f>
            </c:strRef>
          </c:cat>
          <c:val>
            <c:numRef>
              <c:f>'estatística'!$C$1886:$M$1886</c:f>
              <c:numCache/>
            </c:numRef>
          </c:val>
        </c:ser>
        <c:ser>
          <c:idx val="1885"/>
          <c:order val="1885"/>
          <c:tx>
            <c:strRef>
              <c:f>'estatística'!$B$1887</c:f>
            </c:strRef>
          </c:tx>
          <c:cat>
            <c:strRef>
              <c:f>'estatística'!$C$1:$M$1</c:f>
            </c:strRef>
          </c:cat>
          <c:val>
            <c:numRef>
              <c:f>'estatística'!$C$1887:$M$1887</c:f>
              <c:numCache/>
            </c:numRef>
          </c:val>
        </c:ser>
        <c:ser>
          <c:idx val="1886"/>
          <c:order val="1886"/>
          <c:tx>
            <c:strRef>
              <c:f>'estatística'!$B$1888</c:f>
            </c:strRef>
          </c:tx>
          <c:cat>
            <c:strRef>
              <c:f>'estatística'!$C$1:$M$1</c:f>
            </c:strRef>
          </c:cat>
          <c:val>
            <c:numRef>
              <c:f>'estatística'!$C$1888:$M$1888</c:f>
              <c:numCache/>
            </c:numRef>
          </c:val>
        </c:ser>
        <c:ser>
          <c:idx val="1887"/>
          <c:order val="1887"/>
          <c:tx>
            <c:strRef>
              <c:f>'estatística'!$B$1889</c:f>
            </c:strRef>
          </c:tx>
          <c:cat>
            <c:strRef>
              <c:f>'estatística'!$C$1:$M$1</c:f>
            </c:strRef>
          </c:cat>
          <c:val>
            <c:numRef>
              <c:f>'estatística'!$C$1889:$M$1889</c:f>
              <c:numCache/>
            </c:numRef>
          </c:val>
        </c:ser>
        <c:ser>
          <c:idx val="1888"/>
          <c:order val="1888"/>
          <c:tx>
            <c:strRef>
              <c:f>'estatística'!$B$1890</c:f>
            </c:strRef>
          </c:tx>
          <c:cat>
            <c:strRef>
              <c:f>'estatística'!$C$1:$M$1</c:f>
            </c:strRef>
          </c:cat>
          <c:val>
            <c:numRef>
              <c:f>'estatística'!$C$1890:$M$1890</c:f>
              <c:numCache/>
            </c:numRef>
          </c:val>
        </c:ser>
        <c:ser>
          <c:idx val="1889"/>
          <c:order val="1889"/>
          <c:tx>
            <c:strRef>
              <c:f>'estatística'!$B$1891</c:f>
            </c:strRef>
          </c:tx>
          <c:cat>
            <c:strRef>
              <c:f>'estatística'!$C$1:$M$1</c:f>
            </c:strRef>
          </c:cat>
          <c:val>
            <c:numRef>
              <c:f>'estatística'!$C$1891:$M$1891</c:f>
              <c:numCache/>
            </c:numRef>
          </c:val>
        </c:ser>
        <c:ser>
          <c:idx val="1890"/>
          <c:order val="1890"/>
          <c:tx>
            <c:strRef>
              <c:f>'estatística'!$B$1892</c:f>
            </c:strRef>
          </c:tx>
          <c:cat>
            <c:strRef>
              <c:f>'estatística'!$C$1:$M$1</c:f>
            </c:strRef>
          </c:cat>
          <c:val>
            <c:numRef>
              <c:f>'estatística'!$C$1892:$M$1892</c:f>
              <c:numCache/>
            </c:numRef>
          </c:val>
        </c:ser>
        <c:ser>
          <c:idx val="1891"/>
          <c:order val="1891"/>
          <c:tx>
            <c:strRef>
              <c:f>'estatística'!$B$1893</c:f>
            </c:strRef>
          </c:tx>
          <c:cat>
            <c:strRef>
              <c:f>'estatística'!$C$1:$M$1</c:f>
            </c:strRef>
          </c:cat>
          <c:val>
            <c:numRef>
              <c:f>'estatística'!$C$1893:$M$1893</c:f>
              <c:numCache/>
            </c:numRef>
          </c:val>
        </c:ser>
        <c:ser>
          <c:idx val="1892"/>
          <c:order val="1892"/>
          <c:tx>
            <c:strRef>
              <c:f>'estatística'!$B$1894</c:f>
            </c:strRef>
          </c:tx>
          <c:cat>
            <c:strRef>
              <c:f>'estatística'!$C$1:$M$1</c:f>
            </c:strRef>
          </c:cat>
          <c:val>
            <c:numRef>
              <c:f>'estatística'!$C$1894:$M$1894</c:f>
              <c:numCache/>
            </c:numRef>
          </c:val>
        </c:ser>
        <c:ser>
          <c:idx val="1893"/>
          <c:order val="1893"/>
          <c:tx>
            <c:strRef>
              <c:f>'estatística'!$B$1895</c:f>
            </c:strRef>
          </c:tx>
          <c:cat>
            <c:strRef>
              <c:f>'estatística'!$C$1:$M$1</c:f>
            </c:strRef>
          </c:cat>
          <c:val>
            <c:numRef>
              <c:f>'estatística'!$C$1895:$M$1895</c:f>
              <c:numCache/>
            </c:numRef>
          </c:val>
        </c:ser>
        <c:ser>
          <c:idx val="1894"/>
          <c:order val="1894"/>
          <c:tx>
            <c:strRef>
              <c:f>'estatística'!$B$1896</c:f>
            </c:strRef>
          </c:tx>
          <c:cat>
            <c:strRef>
              <c:f>'estatística'!$C$1:$M$1</c:f>
            </c:strRef>
          </c:cat>
          <c:val>
            <c:numRef>
              <c:f>'estatística'!$C$1896:$M$1896</c:f>
              <c:numCache/>
            </c:numRef>
          </c:val>
        </c:ser>
        <c:ser>
          <c:idx val="1895"/>
          <c:order val="1895"/>
          <c:tx>
            <c:strRef>
              <c:f>'estatística'!$B$1897</c:f>
            </c:strRef>
          </c:tx>
          <c:cat>
            <c:strRef>
              <c:f>'estatística'!$C$1:$M$1</c:f>
            </c:strRef>
          </c:cat>
          <c:val>
            <c:numRef>
              <c:f>'estatística'!$C$1897:$M$1897</c:f>
              <c:numCache/>
            </c:numRef>
          </c:val>
        </c:ser>
        <c:ser>
          <c:idx val="1896"/>
          <c:order val="1896"/>
          <c:tx>
            <c:strRef>
              <c:f>'estatística'!$B$1898</c:f>
            </c:strRef>
          </c:tx>
          <c:cat>
            <c:strRef>
              <c:f>'estatística'!$C$1:$M$1</c:f>
            </c:strRef>
          </c:cat>
          <c:val>
            <c:numRef>
              <c:f>'estatística'!$C$1898:$M$1898</c:f>
              <c:numCache/>
            </c:numRef>
          </c:val>
        </c:ser>
        <c:ser>
          <c:idx val="1897"/>
          <c:order val="1897"/>
          <c:tx>
            <c:strRef>
              <c:f>'estatística'!$B$1899</c:f>
            </c:strRef>
          </c:tx>
          <c:cat>
            <c:strRef>
              <c:f>'estatística'!$C$1:$M$1</c:f>
            </c:strRef>
          </c:cat>
          <c:val>
            <c:numRef>
              <c:f>'estatística'!$C$1899:$M$1899</c:f>
              <c:numCache/>
            </c:numRef>
          </c:val>
        </c:ser>
        <c:ser>
          <c:idx val="1898"/>
          <c:order val="1898"/>
          <c:tx>
            <c:strRef>
              <c:f>'estatística'!$B$1900</c:f>
            </c:strRef>
          </c:tx>
          <c:cat>
            <c:strRef>
              <c:f>'estatística'!$C$1:$M$1</c:f>
            </c:strRef>
          </c:cat>
          <c:val>
            <c:numRef>
              <c:f>'estatística'!$C$1900:$M$1900</c:f>
              <c:numCache/>
            </c:numRef>
          </c:val>
        </c:ser>
        <c:ser>
          <c:idx val="1899"/>
          <c:order val="1899"/>
          <c:tx>
            <c:strRef>
              <c:f>'estatística'!$B$1901</c:f>
            </c:strRef>
          </c:tx>
          <c:cat>
            <c:strRef>
              <c:f>'estatística'!$C$1:$M$1</c:f>
            </c:strRef>
          </c:cat>
          <c:val>
            <c:numRef>
              <c:f>'estatística'!$C$1901:$M$1901</c:f>
              <c:numCache/>
            </c:numRef>
          </c:val>
        </c:ser>
        <c:ser>
          <c:idx val="1900"/>
          <c:order val="1900"/>
          <c:tx>
            <c:strRef>
              <c:f>'estatística'!$B$1902</c:f>
            </c:strRef>
          </c:tx>
          <c:cat>
            <c:strRef>
              <c:f>'estatística'!$C$1:$M$1</c:f>
            </c:strRef>
          </c:cat>
          <c:val>
            <c:numRef>
              <c:f>'estatística'!$C$1902:$M$1902</c:f>
              <c:numCache/>
            </c:numRef>
          </c:val>
        </c:ser>
        <c:ser>
          <c:idx val="1901"/>
          <c:order val="1901"/>
          <c:tx>
            <c:strRef>
              <c:f>'estatística'!$B$1903</c:f>
            </c:strRef>
          </c:tx>
          <c:cat>
            <c:strRef>
              <c:f>'estatística'!$C$1:$M$1</c:f>
            </c:strRef>
          </c:cat>
          <c:val>
            <c:numRef>
              <c:f>'estatística'!$C$1903:$M$1903</c:f>
              <c:numCache/>
            </c:numRef>
          </c:val>
        </c:ser>
        <c:ser>
          <c:idx val="1902"/>
          <c:order val="1902"/>
          <c:tx>
            <c:strRef>
              <c:f>'estatística'!$B$1904</c:f>
            </c:strRef>
          </c:tx>
          <c:cat>
            <c:strRef>
              <c:f>'estatística'!$C$1:$M$1</c:f>
            </c:strRef>
          </c:cat>
          <c:val>
            <c:numRef>
              <c:f>'estatística'!$C$1904:$M$1904</c:f>
              <c:numCache/>
            </c:numRef>
          </c:val>
        </c:ser>
        <c:ser>
          <c:idx val="1903"/>
          <c:order val="1903"/>
          <c:tx>
            <c:strRef>
              <c:f>'estatística'!$B$1905</c:f>
            </c:strRef>
          </c:tx>
          <c:cat>
            <c:strRef>
              <c:f>'estatística'!$C$1:$M$1</c:f>
            </c:strRef>
          </c:cat>
          <c:val>
            <c:numRef>
              <c:f>'estatística'!$C$1905:$M$1905</c:f>
              <c:numCache/>
            </c:numRef>
          </c:val>
        </c:ser>
        <c:ser>
          <c:idx val="1904"/>
          <c:order val="1904"/>
          <c:tx>
            <c:strRef>
              <c:f>'estatística'!$B$1906</c:f>
            </c:strRef>
          </c:tx>
          <c:cat>
            <c:strRef>
              <c:f>'estatística'!$C$1:$M$1</c:f>
            </c:strRef>
          </c:cat>
          <c:val>
            <c:numRef>
              <c:f>'estatística'!$C$1906:$M$1906</c:f>
              <c:numCache/>
            </c:numRef>
          </c:val>
        </c:ser>
        <c:ser>
          <c:idx val="1905"/>
          <c:order val="1905"/>
          <c:tx>
            <c:strRef>
              <c:f>'estatística'!$B$1907</c:f>
            </c:strRef>
          </c:tx>
          <c:cat>
            <c:strRef>
              <c:f>'estatística'!$C$1:$M$1</c:f>
            </c:strRef>
          </c:cat>
          <c:val>
            <c:numRef>
              <c:f>'estatística'!$C$1907:$M$1907</c:f>
              <c:numCache/>
            </c:numRef>
          </c:val>
        </c:ser>
        <c:ser>
          <c:idx val="1906"/>
          <c:order val="1906"/>
          <c:tx>
            <c:strRef>
              <c:f>'estatística'!$B$1908</c:f>
            </c:strRef>
          </c:tx>
          <c:cat>
            <c:strRef>
              <c:f>'estatística'!$C$1:$M$1</c:f>
            </c:strRef>
          </c:cat>
          <c:val>
            <c:numRef>
              <c:f>'estatística'!$C$1908:$M$1908</c:f>
              <c:numCache/>
            </c:numRef>
          </c:val>
        </c:ser>
        <c:ser>
          <c:idx val="1907"/>
          <c:order val="1907"/>
          <c:tx>
            <c:strRef>
              <c:f>'estatística'!$B$1909</c:f>
            </c:strRef>
          </c:tx>
          <c:cat>
            <c:strRef>
              <c:f>'estatística'!$C$1:$M$1</c:f>
            </c:strRef>
          </c:cat>
          <c:val>
            <c:numRef>
              <c:f>'estatística'!$C$1909:$M$1909</c:f>
              <c:numCache/>
            </c:numRef>
          </c:val>
        </c:ser>
        <c:ser>
          <c:idx val="1908"/>
          <c:order val="1908"/>
          <c:tx>
            <c:strRef>
              <c:f>'estatística'!$B$1910</c:f>
            </c:strRef>
          </c:tx>
          <c:cat>
            <c:strRef>
              <c:f>'estatística'!$C$1:$M$1</c:f>
            </c:strRef>
          </c:cat>
          <c:val>
            <c:numRef>
              <c:f>'estatística'!$C$1910:$M$1910</c:f>
              <c:numCache/>
            </c:numRef>
          </c:val>
        </c:ser>
        <c:ser>
          <c:idx val="1909"/>
          <c:order val="1909"/>
          <c:tx>
            <c:strRef>
              <c:f>'estatística'!$B$1911</c:f>
            </c:strRef>
          </c:tx>
          <c:cat>
            <c:strRef>
              <c:f>'estatística'!$C$1:$M$1</c:f>
            </c:strRef>
          </c:cat>
          <c:val>
            <c:numRef>
              <c:f>'estatística'!$C$1911:$M$1911</c:f>
              <c:numCache/>
            </c:numRef>
          </c:val>
        </c:ser>
        <c:ser>
          <c:idx val="1910"/>
          <c:order val="1910"/>
          <c:tx>
            <c:strRef>
              <c:f>'estatística'!$B$1912</c:f>
            </c:strRef>
          </c:tx>
          <c:cat>
            <c:strRef>
              <c:f>'estatística'!$C$1:$M$1</c:f>
            </c:strRef>
          </c:cat>
          <c:val>
            <c:numRef>
              <c:f>'estatística'!$C$1912:$M$1912</c:f>
              <c:numCache/>
            </c:numRef>
          </c:val>
        </c:ser>
        <c:ser>
          <c:idx val="1911"/>
          <c:order val="1911"/>
          <c:tx>
            <c:strRef>
              <c:f>'estatística'!$B$1913</c:f>
            </c:strRef>
          </c:tx>
          <c:cat>
            <c:strRef>
              <c:f>'estatística'!$C$1:$M$1</c:f>
            </c:strRef>
          </c:cat>
          <c:val>
            <c:numRef>
              <c:f>'estatística'!$C$1913:$M$1913</c:f>
              <c:numCache/>
            </c:numRef>
          </c:val>
        </c:ser>
        <c:ser>
          <c:idx val="1912"/>
          <c:order val="1912"/>
          <c:tx>
            <c:strRef>
              <c:f>'estatística'!$B$1914</c:f>
            </c:strRef>
          </c:tx>
          <c:cat>
            <c:strRef>
              <c:f>'estatística'!$C$1:$M$1</c:f>
            </c:strRef>
          </c:cat>
          <c:val>
            <c:numRef>
              <c:f>'estatística'!$C$1914:$M$1914</c:f>
              <c:numCache/>
            </c:numRef>
          </c:val>
        </c:ser>
        <c:ser>
          <c:idx val="1913"/>
          <c:order val="1913"/>
          <c:tx>
            <c:strRef>
              <c:f>'estatística'!$B$1915</c:f>
            </c:strRef>
          </c:tx>
          <c:cat>
            <c:strRef>
              <c:f>'estatística'!$C$1:$M$1</c:f>
            </c:strRef>
          </c:cat>
          <c:val>
            <c:numRef>
              <c:f>'estatística'!$C$1915:$M$1915</c:f>
              <c:numCache/>
            </c:numRef>
          </c:val>
        </c:ser>
        <c:ser>
          <c:idx val="1914"/>
          <c:order val="1914"/>
          <c:tx>
            <c:strRef>
              <c:f>'estatística'!$B$1916</c:f>
            </c:strRef>
          </c:tx>
          <c:cat>
            <c:strRef>
              <c:f>'estatística'!$C$1:$M$1</c:f>
            </c:strRef>
          </c:cat>
          <c:val>
            <c:numRef>
              <c:f>'estatística'!$C$1916:$M$1916</c:f>
              <c:numCache/>
            </c:numRef>
          </c:val>
        </c:ser>
        <c:ser>
          <c:idx val="1915"/>
          <c:order val="1915"/>
          <c:tx>
            <c:strRef>
              <c:f>'estatística'!$B$1917</c:f>
            </c:strRef>
          </c:tx>
          <c:cat>
            <c:strRef>
              <c:f>'estatística'!$C$1:$M$1</c:f>
            </c:strRef>
          </c:cat>
          <c:val>
            <c:numRef>
              <c:f>'estatística'!$C$1917:$M$1917</c:f>
              <c:numCache/>
            </c:numRef>
          </c:val>
        </c:ser>
        <c:ser>
          <c:idx val="1916"/>
          <c:order val="1916"/>
          <c:tx>
            <c:strRef>
              <c:f>'estatística'!$B$1918</c:f>
            </c:strRef>
          </c:tx>
          <c:cat>
            <c:strRef>
              <c:f>'estatística'!$C$1:$M$1</c:f>
            </c:strRef>
          </c:cat>
          <c:val>
            <c:numRef>
              <c:f>'estatística'!$C$1918:$M$1918</c:f>
              <c:numCache/>
            </c:numRef>
          </c:val>
        </c:ser>
        <c:ser>
          <c:idx val="1917"/>
          <c:order val="1917"/>
          <c:tx>
            <c:strRef>
              <c:f>'estatística'!$B$1919</c:f>
            </c:strRef>
          </c:tx>
          <c:cat>
            <c:strRef>
              <c:f>'estatística'!$C$1:$M$1</c:f>
            </c:strRef>
          </c:cat>
          <c:val>
            <c:numRef>
              <c:f>'estatística'!$C$1919:$M$1919</c:f>
              <c:numCache/>
            </c:numRef>
          </c:val>
        </c:ser>
        <c:ser>
          <c:idx val="1918"/>
          <c:order val="1918"/>
          <c:tx>
            <c:strRef>
              <c:f>'estatística'!$B$1920</c:f>
            </c:strRef>
          </c:tx>
          <c:cat>
            <c:strRef>
              <c:f>'estatística'!$C$1:$M$1</c:f>
            </c:strRef>
          </c:cat>
          <c:val>
            <c:numRef>
              <c:f>'estatística'!$C$1920:$M$1920</c:f>
              <c:numCache/>
            </c:numRef>
          </c:val>
        </c:ser>
        <c:ser>
          <c:idx val="1919"/>
          <c:order val="1919"/>
          <c:tx>
            <c:strRef>
              <c:f>'estatística'!$B$1921</c:f>
            </c:strRef>
          </c:tx>
          <c:cat>
            <c:strRef>
              <c:f>'estatística'!$C$1:$M$1</c:f>
            </c:strRef>
          </c:cat>
          <c:val>
            <c:numRef>
              <c:f>'estatística'!$C$1921:$M$1921</c:f>
              <c:numCache/>
            </c:numRef>
          </c:val>
        </c:ser>
        <c:ser>
          <c:idx val="1920"/>
          <c:order val="1920"/>
          <c:tx>
            <c:strRef>
              <c:f>'estatística'!$B$1922</c:f>
            </c:strRef>
          </c:tx>
          <c:cat>
            <c:strRef>
              <c:f>'estatística'!$C$1:$M$1</c:f>
            </c:strRef>
          </c:cat>
          <c:val>
            <c:numRef>
              <c:f>'estatística'!$C$1922:$M$1922</c:f>
              <c:numCache/>
            </c:numRef>
          </c:val>
        </c:ser>
        <c:ser>
          <c:idx val="1921"/>
          <c:order val="1921"/>
          <c:tx>
            <c:strRef>
              <c:f>'estatística'!$B$1923</c:f>
            </c:strRef>
          </c:tx>
          <c:cat>
            <c:strRef>
              <c:f>'estatística'!$C$1:$M$1</c:f>
            </c:strRef>
          </c:cat>
          <c:val>
            <c:numRef>
              <c:f>'estatística'!$C$1923:$M$1923</c:f>
              <c:numCache/>
            </c:numRef>
          </c:val>
        </c:ser>
        <c:ser>
          <c:idx val="1922"/>
          <c:order val="1922"/>
          <c:tx>
            <c:strRef>
              <c:f>'estatística'!$B$1924</c:f>
            </c:strRef>
          </c:tx>
          <c:cat>
            <c:strRef>
              <c:f>'estatística'!$C$1:$M$1</c:f>
            </c:strRef>
          </c:cat>
          <c:val>
            <c:numRef>
              <c:f>'estatística'!$C$1924:$M$1924</c:f>
              <c:numCache/>
            </c:numRef>
          </c:val>
        </c:ser>
        <c:ser>
          <c:idx val="1923"/>
          <c:order val="1923"/>
          <c:tx>
            <c:strRef>
              <c:f>'estatística'!$B$1925</c:f>
            </c:strRef>
          </c:tx>
          <c:cat>
            <c:strRef>
              <c:f>'estatística'!$C$1:$M$1</c:f>
            </c:strRef>
          </c:cat>
          <c:val>
            <c:numRef>
              <c:f>'estatística'!$C$1925:$M$1925</c:f>
              <c:numCache/>
            </c:numRef>
          </c:val>
        </c:ser>
        <c:ser>
          <c:idx val="1924"/>
          <c:order val="1924"/>
          <c:tx>
            <c:strRef>
              <c:f>'estatística'!$B$1926</c:f>
            </c:strRef>
          </c:tx>
          <c:cat>
            <c:strRef>
              <c:f>'estatística'!$C$1:$M$1</c:f>
            </c:strRef>
          </c:cat>
          <c:val>
            <c:numRef>
              <c:f>'estatística'!$C$1926:$M$1926</c:f>
              <c:numCache/>
            </c:numRef>
          </c:val>
        </c:ser>
        <c:ser>
          <c:idx val="1925"/>
          <c:order val="1925"/>
          <c:tx>
            <c:strRef>
              <c:f>'estatística'!$B$1927</c:f>
            </c:strRef>
          </c:tx>
          <c:cat>
            <c:strRef>
              <c:f>'estatística'!$C$1:$M$1</c:f>
            </c:strRef>
          </c:cat>
          <c:val>
            <c:numRef>
              <c:f>'estatística'!$C$1927:$M$1927</c:f>
              <c:numCache/>
            </c:numRef>
          </c:val>
        </c:ser>
        <c:ser>
          <c:idx val="1926"/>
          <c:order val="1926"/>
          <c:tx>
            <c:strRef>
              <c:f>'estatística'!$B$1928</c:f>
            </c:strRef>
          </c:tx>
          <c:cat>
            <c:strRef>
              <c:f>'estatística'!$C$1:$M$1</c:f>
            </c:strRef>
          </c:cat>
          <c:val>
            <c:numRef>
              <c:f>'estatística'!$C$1928:$M$1928</c:f>
              <c:numCache/>
            </c:numRef>
          </c:val>
        </c:ser>
        <c:ser>
          <c:idx val="1927"/>
          <c:order val="1927"/>
          <c:tx>
            <c:strRef>
              <c:f>'estatística'!$B$1929</c:f>
            </c:strRef>
          </c:tx>
          <c:cat>
            <c:strRef>
              <c:f>'estatística'!$C$1:$M$1</c:f>
            </c:strRef>
          </c:cat>
          <c:val>
            <c:numRef>
              <c:f>'estatística'!$C$1929:$M$1929</c:f>
              <c:numCache/>
            </c:numRef>
          </c:val>
        </c:ser>
        <c:ser>
          <c:idx val="1928"/>
          <c:order val="1928"/>
          <c:tx>
            <c:strRef>
              <c:f>'estatística'!$B$1930</c:f>
            </c:strRef>
          </c:tx>
          <c:cat>
            <c:strRef>
              <c:f>'estatística'!$C$1:$M$1</c:f>
            </c:strRef>
          </c:cat>
          <c:val>
            <c:numRef>
              <c:f>'estatística'!$C$1930:$M$1930</c:f>
              <c:numCache/>
            </c:numRef>
          </c:val>
        </c:ser>
        <c:ser>
          <c:idx val="1929"/>
          <c:order val="1929"/>
          <c:tx>
            <c:strRef>
              <c:f>'estatística'!$B$1931</c:f>
            </c:strRef>
          </c:tx>
          <c:cat>
            <c:strRef>
              <c:f>'estatística'!$C$1:$M$1</c:f>
            </c:strRef>
          </c:cat>
          <c:val>
            <c:numRef>
              <c:f>'estatística'!$C$1931:$M$1931</c:f>
              <c:numCache/>
            </c:numRef>
          </c:val>
        </c:ser>
        <c:ser>
          <c:idx val="1930"/>
          <c:order val="1930"/>
          <c:tx>
            <c:strRef>
              <c:f>'estatística'!$B$1932</c:f>
            </c:strRef>
          </c:tx>
          <c:cat>
            <c:strRef>
              <c:f>'estatística'!$C$1:$M$1</c:f>
            </c:strRef>
          </c:cat>
          <c:val>
            <c:numRef>
              <c:f>'estatística'!$C$1932:$M$1932</c:f>
              <c:numCache/>
            </c:numRef>
          </c:val>
        </c:ser>
        <c:ser>
          <c:idx val="1931"/>
          <c:order val="1931"/>
          <c:tx>
            <c:strRef>
              <c:f>'estatística'!$B$1933</c:f>
            </c:strRef>
          </c:tx>
          <c:cat>
            <c:strRef>
              <c:f>'estatística'!$C$1:$M$1</c:f>
            </c:strRef>
          </c:cat>
          <c:val>
            <c:numRef>
              <c:f>'estatística'!$C$1933:$M$1933</c:f>
              <c:numCache/>
            </c:numRef>
          </c:val>
        </c:ser>
        <c:ser>
          <c:idx val="1932"/>
          <c:order val="1932"/>
          <c:tx>
            <c:strRef>
              <c:f>'estatística'!$B$1934</c:f>
            </c:strRef>
          </c:tx>
          <c:cat>
            <c:strRef>
              <c:f>'estatística'!$C$1:$M$1</c:f>
            </c:strRef>
          </c:cat>
          <c:val>
            <c:numRef>
              <c:f>'estatística'!$C$1934:$M$1934</c:f>
              <c:numCache/>
            </c:numRef>
          </c:val>
        </c:ser>
        <c:ser>
          <c:idx val="1933"/>
          <c:order val="1933"/>
          <c:tx>
            <c:strRef>
              <c:f>'estatística'!$B$1935</c:f>
            </c:strRef>
          </c:tx>
          <c:cat>
            <c:strRef>
              <c:f>'estatística'!$C$1:$M$1</c:f>
            </c:strRef>
          </c:cat>
          <c:val>
            <c:numRef>
              <c:f>'estatística'!$C$1935:$M$1935</c:f>
              <c:numCache/>
            </c:numRef>
          </c:val>
        </c:ser>
        <c:ser>
          <c:idx val="1934"/>
          <c:order val="1934"/>
          <c:tx>
            <c:strRef>
              <c:f>'estatística'!$B$1936</c:f>
            </c:strRef>
          </c:tx>
          <c:cat>
            <c:strRef>
              <c:f>'estatística'!$C$1:$M$1</c:f>
            </c:strRef>
          </c:cat>
          <c:val>
            <c:numRef>
              <c:f>'estatística'!$C$1936:$M$1936</c:f>
              <c:numCache/>
            </c:numRef>
          </c:val>
        </c:ser>
        <c:ser>
          <c:idx val="1935"/>
          <c:order val="1935"/>
          <c:tx>
            <c:strRef>
              <c:f>'estatística'!$B$1937</c:f>
            </c:strRef>
          </c:tx>
          <c:cat>
            <c:strRef>
              <c:f>'estatística'!$C$1:$M$1</c:f>
            </c:strRef>
          </c:cat>
          <c:val>
            <c:numRef>
              <c:f>'estatística'!$C$1937:$M$1937</c:f>
              <c:numCache/>
            </c:numRef>
          </c:val>
        </c:ser>
        <c:ser>
          <c:idx val="1936"/>
          <c:order val="1936"/>
          <c:tx>
            <c:strRef>
              <c:f>'estatística'!$B$1938</c:f>
            </c:strRef>
          </c:tx>
          <c:cat>
            <c:strRef>
              <c:f>'estatística'!$C$1:$M$1</c:f>
            </c:strRef>
          </c:cat>
          <c:val>
            <c:numRef>
              <c:f>'estatística'!$C$1938:$M$1938</c:f>
              <c:numCache/>
            </c:numRef>
          </c:val>
        </c:ser>
        <c:ser>
          <c:idx val="1937"/>
          <c:order val="1937"/>
          <c:tx>
            <c:strRef>
              <c:f>'estatística'!$B$1939</c:f>
            </c:strRef>
          </c:tx>
          <c:cat>
            <c:strRef>
              <c:f>'estatística'!$C$1:$M$1</c:f>
            </c:strRef>
          </c:cat>
          <c:val>
            <c:numRef>
              <c:f>'estatística'!$C$1939:$M$1939</c:f>
              <c:numCache/>
            </c:numRef>
          </c:val>
        </c:ser>
        <c:ser>
          <c:idx val="1938"/>
          <c:order val="1938"/>
          <c:tx>
            <c:strRef>
              <c:f>'estatística'!$B$1940</c:f>
            </c:strRef>
          </c:tx>
          <c:cat>
            <c:strRef>
              <c:f>'estatística'!$C$1:$M$1</c:f>
            </c:strRef>
          </c:cat>
          <c:val>
            <c:numRef>
              <c:f>'estatística'!$C$1940:$M$1940</c:f>
              <c:numCache/>
            </c:numRef>
          </c:val>
        </c:ser>
        <c:ser>
          <c:idx val="1939"/>
          <c:order val="1939"/>
          <c:tx>
            <c:strRef>
              <c:f>'estatística'!$B$1941</c:f>
            </c:strRef>
          </c:tx>
          <c:cat>
            <c:strRef>
              <c:f>'estatística'!$C$1:$M$1</c:f>
            </c:strRef>
          </c:cat>
          <c:val>
            <c:numRef>
              <c:f>'estatística'!$C$1941:$M$1941</c:f>
              <c:numCache/>
            </c:numRef>
          </c:val>
        </c:ser>
        <c:ser>
          <c:idx val="1940"/>
          <c:order val="1940"/>
          <c:tx>
            <c:strRef>
              <c:f>'estatística'!$B$1942</c:f>
            </c:strRef>
          </c:tx>
          <c:cat>
            <c:strRef>
              <c:f>'estatística'!$C$1:$M$1</c:f>
            </c:strRef>
          </c:cat>
          <c:val>
            <c:numRef>
              <c:f>'estatística'!$C$1942:$M$1942</c:f>
              <c:numCache/>
            </c:numRef>
          </c:val>
        </c:ser>
        <c:ser>
          <c:idx val="1941"/>
          <c:order val="1941"/>
          <c:tx>
            <c:strRef>
              <c:f>'estatística'!$B$1943</c:f>
            </c:strRef>
          </c:tx>
          <c:cat>
            <c:strRef>
              <c:f>'estatística'!$C$1:$M$1</c:f>
            </c:strRef>
          </c:cat>
          <c:val>
            <c:numRef>
              <c:f>'estatística'!$C$1943:$M$1943</c:f>
              <c:numCache/>
            </c:numRef>
          </c:val>
        </c:ser>
        <c:ser>
          <c:idx val="1942"/>
          <c:order val="1942"/>
          <c:tx>
            <c:strRef>
              <c:f>'estatística'!$B$1944</c:f>
            </c:strRef>
          </c:tx>
          <c:cat>
            <c:strRef>
              <c:f>'estatística'!$C$1:$M$1</c:f>
            </c:strRef>
          </c:cat>
          <c:val>
            <c:numRef>
              <c:f>'estatística'!$C$1944:$M$1944</c:f>
              <c:numCache/>
            </c:numRef>
          </c:val>
        </c:ser>
        <c:ser>
          <c:idx val="1943"/>
          <c:order val="1943"/>
          <c:tx>
            <c:strRef>
              <c:f>'estatística'!$B$1945</c:f>
            </c:strRef>
          </c:tx>
          <c:cat>
            <c:strRef>
              <c:f>'estatística'!$C$1:$M$1</c:f>
            </c:strRef>
          </c:cat>
          <c:val>
            <c:numRef>
              <c:f>'estatística'!$C$1945:$M$1945</c:f>
              <c:numCache/>
            </c:numRef>
          </c:val>
        </c:ser>
        <c:ser>
          <c:idx val="1944"/>
          <c:order val="1944"/>
          <c:tx>
            <c:strRef>
              <c:f>'estatística'!$B$1946</c:f>
            </c:strRef>
          </c:tx>
          <c:cat>
            <c:strRef>
              <c:f>'estatística'!$C$1:$M$1</c:f>
            </c:strRef>
          </c:cat>
          <c:val>
            <c:numRef>
              <c:f>'estatística'!$C$1946:$M$1946</c:f>
              <c:numCache/>
            </c:numRef>
          </c:val>
        </c:ser>
        <c:ser>
          <c:idx val="1945"/>
          <c:order val="1945"/>
          <c:tx>
            <c:strRef>
              <c:f>'estatística'!$B$1947</c:f>
            </c:strRef>
          </c:tx>
          <c:cat>
            <c:strRef>
              <c:f>'estatística'!$C$1:$M$1</c:f>
            </c:strRef>
          </c:cat>
          <c:val>
            <c:numRef>
              <c:f>'estatística'!$C$1947:$M$1947</c:f>
              <c:numCache/>
            </c:numRef>
          </c:val>
        </c:ser>
        <c:ser>
          <c:idx val="1946"/>
          <c:order val="1946"/>
          <c:tx>
            <c:strRef>
              <c:f>'estatística'!$B$1948</c:f>
            </c:strRef>
          </c:tx>
          <c:cat>
            <c:strRef>
              <c:f>'estatística'!$C$1:$M$1</c:f>
            </c:strRef>
          </c:cat>
          <c:val>
            <c:numRef>
              <c:f>'estatística'!$C$1948:$M$1948</c:f>
              <c:numCache/>
            </c:numRef>
          </c:val>
        </c:ser>
        <c:ser>
          <c:idx val="1947"/>
          <c:order val="1947"/>
          <c:tx>
            <c:strRef>
              <c:f>'estatística'!$B$1949</c:f>
            </c:strRef>
          </c:tx>
          <c:cat>
            <c:strRef>
              <c:f>'estatística'!$C$1:$M$1</c:f>
            </c:strRef>
          </c:cat>
          <c:val>
            <c:numRef>
              <c:f>'estatística'!$C$1949:$M$1949</c:f>
              <c:numCache/>
            </c:numRef>
          </c:val>
        </c:ser>
        <c:ser>
          <c:idx val="1948"/>
          <c:order val="1948"/>
          <c:tx>
            <c:strRef>
              <c:f>'estatística'!$B$1950</c:f>
            </c:strRef>
          </c:tx>
          <c:cat>
            <c:strRef>
              <c:f>'estatística'!$C$1:$M$1</c:f>
            </c:strRef>
          </c:cat>
          <c:val>
            <c:numRef>
              <c:f>'estatística'!$C$1950:$M$1950</c:f>
              <c:numCache/>
            </c:numRef>
          </c:val>
        </c:ser>
        <c:ser>
          <c:idx val="1949"/>
          <c:order val="1949"/>
          <c:tx>
            <c:strRef>
              <c:f>'estatística'!$B$1951</c:f>
            </c:strRef>
          </c:tx>
          <c:cat>
            <c:strRef>
              <c:f>'estatística'!$C$1:$M$1</c:f>
            </c:strRef>
          </c:cat>
          <c:val>
            <c:numRef>
              <c:f>'estatística'!$C$1951:$M$1951</c:f>
              <c:numCache/>
            </c:numRef>
          </c:val>
        </c:ser>
        <c:ser>
          <c:idx val="1950"/>
          <c:order val="1950"/>
          <c:tx>
            <c:strRef>
              <c:f>'estatística'!$B$1952</c:f>
            </c:strRef>
          </c:tx>
          <c:cat>
            <c:strRef>
              <c:f>'estatística'!$C$1:$M$1</c:f>
            </c:strRef>
          </c:cat>
          <c:val>
            <c:numRef>
              <c:f>'estatística'!$C$1952:$M$1952</c:f>
              <c:numCache/>
            </c:numRef>
          </c:val>
        </c:ser>
        <c:ser>
          <c:idx val="1951"/>
          <c:order val="1951"/>
          <c:tx>
            <c:strRef>
              <c:f>'estatística'!$B$1953</c:f>
            </c:strRef>
          </c:tx>
          <c:cat>
            <c:strRef>
              <c:f>'estatística'!$C$1:$M$1</c:f>
            </c:strRef>
          </c:cat>
          <c:val>
            <c:numRef>
              <c:f>'estatística'!$C$1953:$M$1953</c:f>
              <c:numCache/>
            </c:numRef>
          </c:val>
        </c:ser>
        <c:ser>
          <c:idx val="1952"/>
          <c:order val="1952"/>
          <c:tx>
            <c:strRef>
              <c:f>'estatística'!$B$1954</c:f>
            </c:strRef>
          </c:tx>
          <c:cat>
            <c:strRef>
              <c:f>'estatística'!$C$1:$M$1</c:f>
            </c:strRef>
          </c:cat>
          <c:val>
            <c:numRef>
              <c:f>'estatística'!$C$1954:$M$1954</c:f>
              <c:numCache/>
            </c:numRef>
          </c:val>
        </c:ser>
        <c:ser>
          <c:idx val="1953"/>
          <c:order val="1953"/>
          <c:tx>
            <c:strRef>
              <c:f>'estatística'!$B$1955</c:f>
            </c:strRef>
          </c:tx>
          <c:cat>
            <c:strRef>
              <c:f>'estatística'!$C$1:$M$1</c:f>
            </c:strRef>
          </c:cat>
          <c:val>
            <c:numRef>
              <c:f>'estatística'!$C$1955:$M$1955</c:f>
              <c:numCache/>
            </c:numRef>
          </c:val>
        </c:ser>
        <c:ser>
          <c:idx val="1954"/>
          <c:order val="1954"/>
          <c:tx>
            <c:strRef>
              <c:f>'estatística'!$B$1956</c:f>
            </c:strRef>
          </c:tx>
          <c:cat>
            <c:strRef>
              <c:f>'estatística'!$C$1:$M$1</c:f>
            </c:strRef>
          </c:cat>
          <c:val>
            <c:numRef>
              <c:f>'estatística'!$C$1956:$M$1956</c:f>
              <c:numCache/>
            </c:numRef>
          </c:val>
        </c:ser>
        <c:ser>
          <c:idx val="1955"/>
          <c:order val="1955"/>
          <c:tx>
            <c:strRef>
              <c:f>'estatística'!$B$1957</c:f>
            </c:strRef>
          </c:tx>
          <c:cat>
            <c:strRef>
              <c:f>'estatística'!$C$1:$M$1</c:f>
            </c:strRef>
          </c:cat>
          <c:val>
            <c:numRef>
              <c:f>'estatística'!$C$1957:$M$1957</c:f>
              <c:numCache/>
            </c:numRef>
          </c:val>
        </c:ser>
        <c:ser>
          <c:idx val="1956"/>
          <c:order val="1956"/>
          <c:tx>
            <c:strRef>
              <c:f>'estatística'!$B$1958</c:f>
            </c:strRef>
          </c:tx>
          <c:cat>
            <c:strRef>
              <c:f>'estatística'!$C$1:$M$1</c:f>
            </c:strRef>
          </c:cat>
          <c:val>
            <c:numRef>
              <c:f>'estatística'!$C$1958:$M$1958</c:f>
              <c:numCache/>
            </c:numRef>
          </c:val>
        </c:ser>
        <c:ser>
          <c:idx val="1957"/>
          <c:order val="1957"/>
          <c:tx>
            <c:strRef>
              <c:f>'estatística'!$B$1959</c:f>
            </c:strRef>
          </c:tx>
          <c:cat>
            <c:strRef>
              <c:f>'estatística'!$C$1:$M$1</c:f>
            </c:strRef>
          </c:cat>
          <c:val>
            <c:numRef>
              <c:f>'estatística'!$C$1959:$M$1959</c:f>
              <c:numCache/>
            </c:numRef>
          </c:val>
        </c:ser>
        <c:ser>
          <c:idx val="1958"/>
          <c:order val="1958"/>
          <c:tx>
            <c:strRef>
              <c:f>'estatística'!$B$1960</c:f>
            </c:strRef>
          </c:tx>
          <c:cat>
            <c:strRef>
              <c:f>'estatística'!$C$1:$M$1</c:f>
            </c:strRef>
          </c:cat>
          <c:val>
            <c:numRef>
              <c:f>'estatística'!$C$1960:$M$1960</c:f>
              <c:numCache/>
            </c:numRef>
          </c:val>
        </c:ser>
        <c:ser>
          <c:idx val="1959"/>
          <c:order val="1959"/>
          <c:tx>
            <c:strRef>
              <c:f>'estatística'!$B$1961</c:f>
            </c:strRef>
          </c:tx>
          <c:cat>
            <c:strRef>
              <c:f>'estatística'!$C$1:$M$1</c:f>
            </c:strRef>
          </c:cat>
          <c:val>
            <c:numRef>
              <c:f>'estatística'!$C$1961:$M$1961</c:f>
              <c:numCache/>
            </c:numRef>
          </c:val>
        </c:ser>
        <c:ser>
          <c:idx val="1960"/>
          <c:order val="1960"/>
          <c:tx>
            <c:strRef>
              <c:f>'estatística'!$B$1962</c:f>
            </c:strRef>
          </c:tx>
          <c:cat>
            <c:strRef>
              <c:f>'estatística'!$C$1:$M$1</c:f>
            </c:strRef>
          </c:cat>
          <c:val>
            <c:numRef>
              <c:f>'estatística'!$C$1962:$M$1962</c:f>
              <c:numCache/>
            </c:numRef>
          </c:val>
        </c:ser>
        <c:ser>
          <c:idx val="1961"/>
          <c:order val="1961"/>
          <c:tx>
            <c:strRef>
              <c:f>'estatística'!$B$1963</c:f>
            </c:strRef>
          </c:tx>
          <c:cat>
            <c:strRef>
              <c:f>'estatística'!$C$1:$M$1</c:f>
            </c:strRef>
          </c:cat>
          <c:val>
            <c:numRef>
              <c:f>'estatística'!$C$1963:$M$1963</c:f>
              <c:numCache/>
            </c:numRef>
          </c:val>
        </c:ser>
        <c:ser>
          <c:idx val="1962"/>
          <c:order val="1962"/>
          <c:tx>
            <c:strRef>
              <c:f>'estatística'!$B$1964</c:f>
            </c:strRef>
          </c:tx>
          <c:cat>
            <c:strRef>
              <c:f>'estatística'!$C$1:$M$1</c:f>
            </c:strRef>
          </c:cat>
          <c:val>
            <c:numRef>
              <c:f>'estatística'!$C$1964:$M$1964</c:f>
              <c:numCache/>
            </c:numRef>
          </c:val>
        </c:ser>
        <c:ser>
          <c:idx val="1963"/>
          <c:order val="1963"/>
          <c:tx>
            <c:strRef>
              <c:f>'estatística'!$B$1965</c:f>
            </c:strRef>
          </c:tx>
          <c:cat>
            <c:strRef>
              <c:f>'estatística'!$C$1:$M$1</c:f>
            </c:strRef>
          </c:cat>
          <c:val>
            <c:numRef>
              <c:f>'estatística'!$C$1965:$M$1965</c:f>
              <c:numCache/>
            </c:numRef>
          </c:val>
        </c:ser>
        <c:ser>
          <c:idx val="1964"/>
          <c:order val="1964"/>
          <c:tx>
            <c:strRef>
              <c:f>'estatística'!$B$1966</c:f>
            </c:strRef>
          </c:tx>
          <c:cat>
            <c:strRef>
              <c:f>'estatística'!$C$1:$M$1</c:f>
            </c:strRef>
          </c:cat>
          <c:val>
            <c:numRef>
              <c:f>'estatística'!$C$1966:$M$1966</c:f>
              <c:numCache/>
            </c:numRef>
          </c:val>
        </c:ser>
        <c:ser>
          <c:idx val="1965"/>
          <c:order val="1965"/>
          <c:tx>
            <c:strRef>
              <c:f>'estatística'!$B$1967</c:f>
            </c:strRef>
          </c:tx>
          <c:cat>
            <c:strRef>
              <c:f>'estatística'!$C$1:$M$1</c:f>
            </c:strRef>
          </c:cat>
          <c:val>
            <c:numRef>
              <c:f>'estatística'!$C$1967:$M$1967</c:f>
              <c:numCache/>
            </c:numRef>
          </c:val>
        </c:ser>
        <c:ser>
          <c:idx val="1966"/>
          <c:order val="1966"/>
          <c:tx>
            <c:strRef>
              <c:f>'estatística'!$B$1968</c:f>
            </c:strRef>
          </c:tx>
          <c:cat>
            <c:strRef>
              <c:f>'estatística'!$C$1:$M$1</c:f>
            </c:strRef>
          </c:cat>
          <c:val>
            <c:numRef>
              <c:f>'estatística'!$C$1968:$M$1968</c:f>
              <c:numCache/>
            </c:numRef>
          </c:val>
        </c:ser>
        <c:ser>
          <c:idx val="1967"/>
          <c:order val="1967"/>
          <c:tx>
            <c:strRef>
              <c:f>'estatística'!$B$1969</c:f>
            </c:strRef>
          </c:tx>
          <c:cat>
            <c:strRef>
              <c:f>'estatística'!$C$1:$M$1</c:f>
            </c:strRef>
          </c:cat>
          <c:val>
            <c:numRef>
              <c:f>'estatística'!$C$1969:$M$1969</c:f>
              <c:numCache/>
            </c:numRef>
          </c:val>
        </c:ser>
        <c:ser>
          <c:idx val="1968"/>
          <c:order val="1968"/>
          <c:tx>
            <c:strRef>
              <c:f>'estatística'!$B$1970</c:f>
            </c:strRef>
          </c:tx>
          <c:cat>
            <c:strRef>
              <c:f>'estatística'!$C$1:$M$1</c:f>
            </c:strRef>
          </c:cat>
          <c:val>
            <c:numRef>
              <c:f>'estatística'!$C$1970:$M$1970</c:f>
              <c:numCache/>
            </c:numRef>
          </c:val>
        </c:ser>
        <c:ser>
          <c:idx val="1969"/>
          <c:order val="1969"/>
          <c:tx>
            <c:strRef>
              <c:f>'estatística'!$B$1971</c:f>
            </c:strRef>
          </c:tx>
          <c:cat>
            <c:strRef>
              <c:f>'estatística'!$C$1:$M$1</c:f>
            </c:strRef>
          </c:cat>
          <c:val>
            <c:numRef>
              <c:f>'estatística'!$C$1971:$M$1971</c:f>
              <c:numCache/>
            </c:numRef>
          </c:val>
        </c:ser>
        <c:ser>
          <c:idx val="1970"/>
          <c:order val="1970"/>
          <c:tx>
            <c:strRef>
              <c:f>'estatística'!$B$1972</c:f>
            </c:strRef>
          </c:tx>
          <c:cat>
            <c:strRef>
              <c:f>'estatística'!$C$1:$M$1</c:f>
            </c:strRef>
          </c:cat>
          <c:val>
            <c:numRef>
              <c:f>'estatística'!$C$1972:$M$1972</c:f>
              <c:numCache/>
            </c:numRef>
          </c:val>
        </c:ser>
        <c:ser>
          <c:idx val="1971"/>
          <c:order val="1971"/>
          <c:tx>
            <c:strRef>
              <c:f>'estatística'!$B$1973</c:f>
            </c:strRef>
          </c:tx>
          <c:cat>
            <c:strRef>
              <c:f>'estatística'!$C$1:$M$1</c:f>
            </c:strRef>
          </c:cat>
          <c:val>
            <c:numRef>
              <c:f>'estatística'!$C$1973:$M$1973</c:f>
              <c:numCache/>
            </c:numRef>
          </c:val>
        </c:ser>
        <c:ser>
          <c:idx val="1972"/>
          <c:order val="1972"/>
          <c:tx>
            <c:strRef>
              <c:f>'estatística'!$B$1974</c:f>
            </c:strRef>
          </c:tx>
          <c:cat>
            <c:strRef>
              <c:f>'estatística'!$C$1:$M$1</c:f>
            </c:strRef>
          </c:cat>
          <c:val>
            <c:numRef>
              <c:f>'estatística'!$C$1974:$M$1974</c:f>
              <c:numCache/>
            </c:numRef>
          </c:val>
        </c:ser>
        <c:ser>
          <c:idx val="1973"/>
          <c:order val="1973"/>
          <c:tx>
            <c:strRef>
              <c:f>'estatística'!$B$1975</c:f>
            </c:strRef>
          </c:tx>
          <c:cat>
            <c:strRef>
              <c:f>'estatística'!$C$1:$M$1</c:f>
            </c:strRef>
          </c:cat>
          <c:val>
            <c:numRef>
              <c:f>'estatística'!$C$1975:$M$1975</c:f>
              <c:numCache/>
            </c:numRef>
          </c:val>
        </c:ser>
        <c:ser>
          <c:idx val="1974"/>
          <c:order val="1974"/>
          <c:tx>
            <c:strRef>
              <c:f>'estatística'!$B$1976</c:f>
            </c:strRef>
          </c:tx>
          <c:cat>
            <c:strRef>
              <c:f>'estatística'!$C$1:$M$1</c:f>
            </c:strRef>
          </c:cat>
          <c:val>
            <c:numRef>
              <c:f>'estatística'!$C$1976:$M$1976</c:f>
              <c:numCache/>
            </c:numRef>
          </c:val>
        </c:ser>
        <c:ser>
          <c:idx val="1975"/>
          <c:order val="1975"/>
          <c:tx>
            <c:strRef>
              <c:f>'estatística'!$B$1977</c:f>
            </c:strRef>
          </c:tx>
          <c:cat>
            <c:strRef>
              <c:f>'estatística'!$C$1:$M$1</c:f>
            </c:strRef>
          </c:cat>
          <c:val>
            <c:numRef>
              <c:f>'estatística'!$C$1977:$M$1977</c:f>
              <c:numCache/>
            </c:numRef>
          </c:val>
        </c:ser>
        <c:ser>
          <c:idx val="1976"/>
          <c:order val="1976"/>
          <c:tx>
            <c:strRef>
              <c:f>'estatística'!$B$1978</c:f>
            </c:strRef>
          </c:tx>
          <c:cat>
            <c:strRef>
              <c:f>'estatística'!$C$1:$M$1</c:f>
            </c:strRef>
          </c:cat>
          <c:val>
            <c:numRef>
              <c:f>'estatística'!$C$1978:$M$1978</c:f>
              <c:numCache/>
            </c:numRef>
          </c:val>
        </c:ser>
        <c:ser>
          <c:idx val="1977"/>
          <c:order val="1977"/>
          <c:tx>
            <c:strRef>
              <c:f>'estatística'!$B$1979</c:f>
            </c:strRef>
          </c:tx>
          <c:cat>
            <c:strRef>
              <c:f>'estatística'!$C$1:$M$1</c:f>
            </c:strRef>
          </c:cat>
          <c:val>
            <c:numRef>
              <c:f>'estatística'!$C$1979:$M$1979</c:f>
              <c:numCache/>
            </c:numRef>
          </c:val>
        </c:ser>
        <c:ser>
          <c:idx val="1978"/>
          <c:order val="1978"/>
          <c:tx>
            <c:strRef>
              <c:f>'estatística'!$B$1980</c:f>
            </c:strRef>
          </c:tx>
          <c:cat>
            <c:strRef>
              <c:f>'estatística'!$C$1:$M$1</c:f>
            </c:strRef>
          </c:cat>
          <c:val>
            <c:numRef>
              <c:f>'estatística'!$C$1980:$M$1980</c:f>
              <c:numCache/>
            </c:numRef>
          </c:val>
        </c:ser>
        <c:ser>
          <c:idx val="1979"/>
          <c:order val="1979"/>
          <c:tx>
            <c:strRef>
              <c:f>'estatística'!$B$1981</c:f>
            </c:strRef>
          </c:tx>
          <c:cat>
            <c:strRef>
              <c:f>'estatística'!$C$1:$M$1</c:f>
            </c:strRef>
          </c:cat>
          <c:val>
            <c:numRef>
              <c:f>'estatística'!$C$1981:$M$1981</c:f>
              <c:numCache/>
            </c:numRef>
          </c:val>
        </c:ser>
        <c:ser>
          <c:idx val="1980"/>
          <c:order val="1980"/>
          <c:tx>
            <c:strRef>
              <c:f>'estatística'!$B$1982</c:f>
            </c:strRef>
          </c:tx>
          <c:cat>
            <c:strRef>
              <c:f>'estatística'!$C$1:$M$1</c:f>
            </c:strRef>
          </c:cat>
          <c:val>
            <c:numRef>
              <c:f>'estatística'!$C$1982:$M$1982</c:f>
              <c:numCache/>
            </c:numRef>
          </c:val>
        </c:ser>
        <c:ser>
          <c:idx val="1981"/>
          <c:order val="1981"/>
          <c:tx>
            <c:strRef>
              <c:f>'estatística'!$B$1983</c:f>
            </c:strRef>
          </c:tx>
          <c:cat>
            <c:strRef>
              <c:f>'estatística'!$C$1:$M$1</c:f>
            </c:strRef>
          </c:cat>
          <c:val>
            <c:numRef>
              <c:f>'estatística'!$C$1983:$M$1983</c:f>
              <c:numCache/>
            </c:numRef>
          </c:val>
        </c:ser>
        <c:ser>
          <c:idx val="1982"/>
          <c:order val="1982"/>
          <c:tx>
            <c:strRef>
              <c:f>'estatística'!$B$1984</c:f>
            </c:strRef>
          </c:tx>
          <c:cat>
            <c:strRef>
              <c:f>'estatística'!$C$1:$M$1</c:f>
            </c:strRef>
          </c:cat>
          <c:val>
            <c:numRef>
              <c:f>'estatística'!$C$1984:$M$1984</c:f>
              <c:numCache/>
            </c:numRef>
          </c:val>
        </c:ser>
        <c:ser>
          <c:idx val="1983"/>
          <c:order val="1983"/>
          <c:tx>
            <c:strRef>
              <c:f>'estatística'!$B$1985</c:f>
            </c:strRef>
          </c:tx>
          <c:cat>
            <c:strRef>
              <c:f>'estatística'!$C$1:$M$1</c:f>
            </c:strRef>
          </c:cat>
          <c:val>
            <c:numRef>
              <c:f>'estatística'!$C$1985:$M$1985</c:f>
              <c:numCache/>
            </c:numRef>
          </c:val>
        </c:ser>
        <c:ser>
          <c:idx val="1984"/>
          <c:order val="1984"/>
          <c:tx>
            <c:strRef>
              <c:f>'estatística'!$B$1986</c:f>
            </c:strRef>
          </c:tx>
          <c:cat>
            <c:strRef>
              <c:f>'estatística'!$C$1:$M$1</c:f>
            </c:strRef>
          </c:cat>
          <c:val>
            <c:numRef>
              <c:f>'estatística'!$C$1986:$M$1986</c:f>
              <c:numCache/>
            </c:numRef>
          </c:val>
        </c:ser>
        <c:ser>
          <c:idx val="1985"/>
          <c:order val="1985"/>
          <c:tx>
            <c:strRef>
              <c:f>'estatística'!$B$1987</c:f>
            </c:strRef>
          </c:tx>
          <c:cat>
            <c:strRef>
              <c:f>'estatística'!$C$1:$M$1</c:f>
            </c:strRef>
          </c:cat>
          <c:val>
            <c:numRef>
              <c:f>'estatística'!$C$1987:$M$1987</c:f>
              <c:numCache/>
            </c:numRef>
          </c:val>
        </c:ser>
        <c:ser>
          <c:idx val="1986"/>
          <c:order val="1986"/>
          <c:tx>
            <c:strRef>
              <c:f>'estatística'!$B$1988</c:f>
            </c:strRef>
          </c:tx>
          <c:cat>
            <c:strRef>
              <c:f>'estatística'!$C$1:$M$1</c:f>
            </c:strRef>
          </c:cat>
          <c:val>
            <c:numRef>
              <c:f>'estatística'!$C$1988:$M$1988</c:f>
              <c:numCache/>
            </c:numRef>
          </c:val>
        </c:ser>
        <c:ser>
          <c:idx val="1987"/>
          <c:order val="1987"/>
          <c:tx>
            <c:strRef>
              <c:f>'estatística'!$B$1989</c:f>
            </c:strRef>
          </c:tx>
          <c:cat>
            <c:strRef>
              <c:f>'estatística'!$C$1:$M$1</c:f>
            </c:strRef>
          </c:cat>
          <c:val>
            <c:numRef>
              <c:f>'estatística'!$C$1989:$M$1989</c:f>
              <c:numCache/>
            </c:numRef>
          </c:val>
        </c:ser>
        <c:ser>
          <c:idx val="1988"/>
          <c:order val="1988"/>
          <c:tx>
            <c:strRef>
              <c:f>'estatística'!$B$1990</c:f>
            </c:strRef>
          </c:tx>
          <c:cat>
            <c:strRef>
              <c:f>'estatística'!$C$1:$M$1</c:f>
            </c:strRef>
          </c:cat>
          <c:val>
            <c:numRef>
              <c:f>'estatística'!$C$1990:$M$1990</c:f>
              <c:numCache/>
            </c:numRef>
          </c:val>
        </c:ser>
        <c:ser>
          <c:idx val="1989"/>
          <c:order val="1989"/>
          <c:tx>
            <c:strRef>
              <c:f>'estatística'!$B$1991</c:f>
            </c:strRef>
          </c:tx>
          <c:cat>
            <c:strRef>
              <c:f>'estatística'!$C$1:$M$1</c:f>
            </c:strRef>
          </c:cat>
          <c:val>
            <c:numRef>
              <c:f>'estatística'!$C$1991:$M$1991</c:f>
              <c:numCache/>
            </c:numRef>
          </c:val>
        </c:ser>
        <c:ser>
          <c:idx val="1990"/>
          <c:order val="1990"/>
          <c:tx>
            <c:strRef>
              <c:f>'estatística'!$B$1992</c:f>
            </c:strRef>
          </c:tx>
          <c:cat>
            <c:strRef>
              <c:f>'estatística'!$C$1:$M$1</c:f>
            </c:strRef>
          </c:cat>
          <c:val>
            <c:numRef>
              <c:f>'estatística'!$C$1992:$M$1992</c:f>
              <c:numCache/>
            </c:numRef>
          </c:val>
        </c:ser>
        <c:ser>
          <c:idx val="1991"/>
          <c:order val="1991"/>
          <c:tx>
            <c:strRef>
              <c:f>'estatística'!$B$1993</c:f>
            </c:strRef>
          </c:tx>
          <c:cat>
            <c:strRef>
              <c:f>'estatística'!$C$1:$M$1</c:f>
            </c:strRef>
          </c:cat>
          <c:val>
            <c:numRef>
              <c:f>'estatística'!$C$1993:$M$1993</c:f>
              <c:numCache/>
            </c:numRef>
          </c:val>
        </c:ser>
        <c:ser>
          <c:idx val="1992"/>
          <c:order val="1992"/>
          <c:tx>
            <c:strRef>
              <c:f>'estatística'!$B$1994</c:f>
            </c:strRef>
          </c:tx>
          <c:cat>
            <c:strRef>
              <c:f>'estatística'!$C$1:$M$1</c:f>
            </c:strRef>
          </c:cat>
          <c:val>
            <c:numRef>
              <c:f>'estatística'!$C$1994:$M$1994</c:f>
              <c:numCache/>
            </c:numRef>
          </c:val>
        </c:ser>
        <c:ser>
          <c:idx val="1993"/>
          <c:order val="1993"/>
          <c:tx>
            <c:strRef>
              <c:f>'estatística'!$B$1995</c:f>
            </c:strRef>
          </c:tx>
          <c:cat>
            <c:strRef>
              <c:f>'estatística'!$C$1:$M$1</c:f>
            </c:strRef>
          </c:cat>
          <c:val>
            <c:numRef>
              <c:f>'estatística'!$C$1995:$M$1995</c:f>
              <c:numCache/>
            </c:numRef>
          </c:val>
        </c:ser>
        <c:ser>
          <c:idx val="1994"/>
          <c:order val="1994"/>
          <c:tx>
            <c:strRef>
              <c:f>'estatística'!$B$1996</c:f>
            </c:strRef>
          </c:tx>
          <c:cat>
            <c:strRef>
              <c:f>'estatística'!$C$1:$M$1</c:f>
            </c:strRef>
          </c:cat>
          <c:val>
            <c:numRef>
              <c:f>'estatística'!$C$1996:$M$1996</c:f>
              <c:numCache/>
            </c:numRef>
          </c:val>
        </c:ser>
        <c:ser>
          <c:idx val="1995"/>
          <c:order val="1995"/>
          <c:tx>
            <c:strRef>
              <c:f>'estatística'!$B$1997</c:f>
            </c:strRef>
          </c:tx>
          <c:cat>
            <c:strRef>
              <c:f>'estatística'!$C$1:$M$1</c:f>
            </c:strRef>
          </c:cat>
          <c:val>
            <c:numRef>
              <c:f>'estatística'!$C$1997:$M$1997</c:f>
              <c:numCache/>
            </c:numRef>
          </c:val>
        </c:ser>
        <c:ser>
          <c:idx val="1996"/>
          <c:order val="1996"/>
          <c:tx>
            <c:strRef>
              <c:f>'estatística'!$B$1998</c:f>
            </c:strRef>
          </c:tx>
          <c:cat>
            <c:strRef>
              <c:f>'estatística'!$C$1:$M$1</c:f>
            </c:strRef>
          </c:cat>
          <c:val>
            <c:numRef>
              <c:f>'estatística'!$C$1998:$M$1998</c:f>
              <c:numCache/>
            </c:numRef>
          </c:val>
        </c:ser>
        <c:ser>
          <c:idx val="1997"/>
          <c:order val="1997"/>
          <c:tx>
            <c:strRef>
              <c:f>'estatística'!$B$1999</c:f>
            </c:strRef>
          </c:tx>
          <c:cat>
            <c:strRef>
              <c:f>'estatística'!$C$1:$M$1</c:f>
            </c:strRef>
          </c:cat>
          <c:val>
            <c:numRef>
              <c:f>'estatística'!$C$1999:$M$1999</c:f>
              <c:numCache/>
            </c:numRef>
          </c:val>
        </c:ser>
        <c:ser>
          <c:idx val="1998"/>
          <c:order val="1998"/>
          <c:tx>
            <c:strRef>
              <c:f>'estatística'!$B$2000</c:f>
            </c:strRef>
          </c:tx>
          <c:cat>
            <c:strRef>
              <c:f>'estatística'!$C$1:$M$1</c:f>
            </c:strRef>
          </c:cat>
          <c:val>
            <c:numRef>
              <c:f>'estatística'!$C$2000:$M$2000</c:f>
              <c:numCache/>
            </c:numRef>
          </c:val>
        </c:ser>
        <c:ser>
          <c:idx val="1999"/>
          <c:order val="1999"/>
          <c:tx>
            <c:strRef>
              <c:f>'estatística'!$B$2001</c:f>
            </c:strRef>
          </c:tx>
          <c:cat>
            <c:strRef>
              <c:f>'estatística'!$C$1:$M$1</c:f>
            </c:strRef>
          </c:cat>
          <c:val>
            <c:numRef>
              <c:f>'estatística'!$C$2001:$M$2001</c:f>
              <c:numCache/>
            </c:numRef>
          </c:val>
        </c:ser>
        <c:ser>
          <c:idx val="2000"/>
          <c:order val="2000"/>
          <c:tx>
            <c:strRef>
              <c:f>'estatística'!$B$2002</c:f>
            </c:strRef>
          </c:tx>
          <c:cat>
            <c:strRef>
              <c:f>'estatística'!$C$1:$M$1</c:f>
            </c:strRef>
          </c:cat>
          <c:val>
            <c:numRef>
              <c:f>'estatística'!$C$2002:$M$2002</c:f>
              <c:numCache/>
            </c:numRef>
          </c:val>
        </c:ser>
        <c:ser>
          <c:idx val="2001"/>
          <c:order val="2001"/>
          <c:tx>
            <c:strRef>
              <c:f>'estatística'!$B$2003</c:f>
            </c:strRef>
          </c:tx>
          <c:cat>
            <c:strRef>
              <c:f>'estatística'!$C$1:$M$1</c:f>
            </c:strRef>
          </c:cat>
          <c:val>
            <c:numRef>
              <c:f>'estatística'!$C$2003:$M$2003</c:f>
              <c:numCache/>
            </c:numRef>
          </c:val>
        </c:ser>
        <c:axId val="1801061386"/>
        <c:axId val="230134009"/>
      </c:bar3DChart>
      <c:catAx>
        <c:axId val="18010613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0134009"/>
      </c:catAx>
      <c:valAx>
        <c:axId val="2301340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106138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TendenciaAtemporal!$H$1:$H$2061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868982"/>
        <c:axId val="1522806628"/>
      </c:scatterChart>
      <c:valAx>
        <c:axId val="18498689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-1800000"/>
          <a:lstStyle/>
          <a:p>
            <a:pPr lvl="0">
              <a:defRPr b="1" sz="1000">
                <a:solidFill>
                  <a:srgbClr val="000000"/>
                </a:solidFill>
                <a:latin typeface="Arial black"/>
              </a:defRPr>
            </a:pPr>
          </a:p>
        </c:txPr>
        <c:crossAx val="1522806628"/>
      </c:valAx>
      <c:valAx>
        <c:axId val="15228066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8498689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Relationship Id="rId2" Type="http://schemas.openxmlformats.org/officeDocument/2006/relationships/image" Target="../media/Chart4.png"/><Relationship Id="rId3" Type="http://schemas.openxmlformats.org/officeDocument/2006/relationships/chart" Target="../charts/chart1.xml"/><Relationship Id="rId4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361950</xdr:colOff>
      <xdr:row>0</xdr:row>
      <xdr:rowOff>0</xdr:rowOff>
    </xdr:from>
    <xdr:ext cx="9667875" cy="5762625"/>
    <xdr:pic>
      <xdr:nvPicPr>
        <xdr:cNvPr id="488537974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9667875" cy="5762625"/>
    <xdr:pic>
      <xdr:nvPicPr>
        <xdr:cNvPr id="1657405557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34</xdr:row>
      <xdr:rowOff>180975</xdr:rowOff>
    </xdr:from>
    <xdr:ext cx="9877425" cy="3533775"/>
    <xdr:pic>
      <xdr:nvPicPr>
        <xdr:cNvPr id="1088247447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61</xdr:row>
      <xdr:rowOff>180975</xdr:rowOff>
    </xdr:from>
    <xdr:ext cx="7381875" cy="3533775"/>
    <xdr:pic>
      <xdr:nvPicPr>
        <xdr:cNvPr id="442295109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85</xdr:row>
      <xdr:rowOff>0</xdr:rowOff>
    </xdr:from>
    <xdr:ext cx="9744075" cy="6200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609600</xdr:colOff>
      <xdr:row>121</xdr:row>
      <xdr:rowOff>180975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323850</xdr:colOff>
      <xdr:row>5</xdr:row>
      <xdr:rowOff>180975</xdr:rowOff>
    </xdr:from>
    <xdr:ext cx="5715000" cy="3533775"/>
    <xdr:pic>
      <xdr:nvPicPr>
        <xdr:cNvPr id="1779126918" name="Chart7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186</xdr:row>
      <xdr:rowOff>0</xdr:rowOff>
    </xdr:from>
    <xdr:ext cx="285750" cy="1905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187</xdr:row>
      <xdr:rowOff>0</xdr:rowOff>
    </xdr:from>
    <xdr:ext cx="285750" cy="1905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188</xdr:row>
      <xdr:rowOff>0</xdr:rowOff>
    </xdr:from>
    <xdr:ext cx="285750" cy="1905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371475</xdr:colOff>
      <xdr:row>5</xdr:row>
      <xdr:rowOff>180975</xdr:rowOff>
    </xdr:from>
    <xdr:ext cx="7381875" cy="3533775"/>
    <xdr:pic>
      <xdr:nvPicPr>
        <xdr:cNvPr id="423299153" name="Chart8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609600</xdr:colOff>
      <xdr:row>5</xdr:row>
      <xdr:rowOff>180975</xdr:rowOff>
    </xdr:from>
    <xdr:ext cx="5715000" cy="35337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0</xdr:rowOff>
    </xdr:from>
    <xdr:ext cx="15039975" cy="620077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361950</xdr:colOff>
      <xdr:row>15</xdr:row>
      <xdr:rowOff>180975</xdr:rowOff>
    </xdr:from>
    <xdr:ext cx="7896225" cy="3533775"/>
    <xdr:pic>
      <xdr:nvPicPr>
        <xdr:cNvPr id="1078162559" name="Chart1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361950</xdr:colOff>
      <xdr:row>6</xdr:row>
      <xdr:rowOff>180975</xdr:rowOff>
    </xdr:from>
    <xdr:ext cx="9172575" cy="3533775"/>
    <xdr:pic>
      <xdr:nvPicPr>
        <xdr:cNvPr id="1830331633" name="Chart1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Gustavo Gomes" id="{3bc45462-eb64-4681-805a-ab505ff61c05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E4584" sheet="cliente_lucro_prejuizo"/>
  </cacheSource>
  <cacheFields>
    <cacheField name="leonardo.ferreira67@exemplo.com" numFmtId="0">
      <sharedItems containsBlank="1">
        <s v="leonardo.ferreira67@exemplo.com"/>
        <s v="isabella.ferreira95@exemplo.com"/>
        <s v="mateus.santos41@exemplo.com"/>
        <s v="rodrigo.pereira12@exemplo.com"/>
        <s v="bruno.rodrigues89@exemplo.com"/>
        <s v="ana.santos99@exemplo.com"/>
        <s v="marcos.rocha41@exemplo.com"/>
        <s v="laura.lima68@exemplo.com"/>
        <s v="giovanna.gomes22@exemplo.com"/>
        <s v="eduardo.pereira13@exemplo.com"/>
        <s v="gustavo.costa83@exemplo.com"/>
        <s v="giovanna.rocha93@exemplo.com"/>
        <s v="beatriz.silva61@exemplo.com"/>
        <s v="guilherme.ferreira50@exemplo.com"/>
        <s v="felipe.ribeiro44@exemplo.com"/>
        <s v="gabriel.machado40@exemplo.com"/>
        <s v="gabriela.costa15@exemplo.com"/>
        <s v="beatriz.ribeiro6@exemplo.com"/>
        <s v="sofia.melo10@exemplo.com"/>
        <s v="felipe.santos70@exemplo.com"/>
        <s v="camila.pereira21@exemplo.com"/>
        <s v="luiza.costa78@exemplo.com"/>
        <s v="isabella.almeida63@exemplo.com"/>
        <s v="rodrigo.lima45@exemplo.com"/>
        <s v="eduardo.silva54@exemplo.com"/>
        <s v="gabriela.melo17@exemplo.com"/>
        <s v="giovanna.carvalho88@exemplo.com"/>
        <s v="rafael.cardoso85@exemplo.com"/>
        <s v="gabriela.pereira44@exemplo.com"/>
        <s v="larissa.gomes94@exemplo.com"/>
        <s v="larissa.souza29@exemplo.com"/>
        <s v="gabriel.oliveira13@exemplo.com"/>
        <s v="gustavo.souza88@exemplo.com"/>
        <s v="lucas.ribeiro15@exemplo.com"/>
        <s v="isabella.silva63@exemplo.com"/>
        <s v="clara.pereira11@exemplo.com"/>
        <s v="rodrigo.cardoso48@exemplo.com"/>
        <s v="luiza.souza53@exemplo.com"/>
        <s v="amanda.rocha53@exemplo.com"/>
        <s v="gabriela.pereira87@exemplo.com"/>
        <s v="ana.ferreira30@exemplo.com"/>
        <s v="clara.pereira30@exemplo.com"/>
        <s v="luis.rocha1@exemplo.com"/>
        <s v="leonardo.souza93@exemplo.com"/>
        <s v="mateus.silva8@exemplo.com"/>
        <s v="pedro.silva50@exemplo.com"/>
        <s v="leonardo.ribeiro64@exemplo.com"/>
        <s v="sofia.melo78@exemplo.com"/>
        <s v="rafael.rocha93@exemplo.com"/>
        <s v="camila.rocha10@exemplo.com"/>
        <s v="camila.oliveira84@exemplo.com"/>
        <s v="lucas.costa80@exemplo.com"/>
        <s v="giovanna.pereira73@exemplo.com"/>
        <s v="gustavo.santos79@exemplo.com"/>
        <s v="amanda.santos76@exemplo.com"/>
        <s v="julia.martins14@exemplo.com"/>
        <s v="clara.pereira12@exemplo.com"/>
        <s v="rafael.oliveira88@exemplo.com"/>
        <s v="ana.oliveira96@exemplo.com"/>
        <s v="marcos.costa57@exemplo.com"/>
        <s v="alice.machado47@exemplo.com"/>
        <s v="gabriela.almeida7@exemplo.com"/>
        <s v="luis.lima28@exemplo.com"/>
        <s v="camila.souza82@exemplo.com"/>
        <s v="marcos.souza65@exemplo.com"/>
        <s v="mateus.gomes98@exemplo.com"/>
        <s v="guilherme.fonseca27@exemplo.com"/>
        <s v="sofia.melo31@exemplo.com"/>
        <s v="laura.lima25@exemplo.com"/>
        <s v="felipe.silva52@exemplo.com"/>
        <s v="mateus.gomes40@exemplo.com"/>
        <s v="bruno.melo27@exemplo.com"/>
        <s v="marcos.lima55@exemplo.com"/>
        <s v="larissa.gomes18@exemplo.com"/>
        <s v="amanda.almeida25@exemplo.com"/>
        <s v="ana.carvalho5@exemplo.com"/>
        <s v="larissa.gomes98@exemplo.com"/>
        <s v="gabriela.mendes90@exemplo.com"/>
        <s v="larissa.carvalho96@exemplo.com"/>
        <s v="beatriz.almeida66@exemplo.com"/>
        <s v="clara.costa91@exemplo.com"/>
        <s v="amanda.mendes49@exemplo.com"/>
        <s v="felipe.oliveira37@exemplo.com"/>
        <s v="gabriel.fonseca66@exemplo.com"/>
        <s v="julia.santos76@exemplo.com"/>
        <s v="guilherme.oliveira36@exemplo.com"/>
        <s v="sofia.mendes47@exemplo.com"/>
        <s v="gabriela.costa24@exemplo.com"/>
        <s v="guilherme.silva74@exemplo.com"/>
        <s v="eduardo.fonseca58@exemplo.com"/>
        <s v="rodrigo.melo22@exemplo.com"/>
        <s v="rodrigo.melo72@exemplo.com"/>
        <s v="leonardo.almeida31@exemplo.com"/>
        <s v="giovanna.gomes34@exemplo.com"/>
        <s v="camila.lima44@exemplo.com"/>
        <s v="beatriz.ribeiro50@exemplo.com"/>
        <s v="laura.rodrigues54@exemplo.com"/>
        <s v="camila.souza43@exemplo.com"/>
        <s v="pedro.lima14@exemplo.com"/>
        <s v="lucas.cardoso77@exemplo.com"/>
        <s v="Email Cliente"/>
        <m/>
      </sharedItems>
    </cacheField>
    <cacheField name="Venda" numFmtId="164">
      <sharedItems containsBlank="1">
        <s v="Venda"/>
        <s v="Compra"/>
        <s v="Operação"/>
        <m/>
      </sharedItems>
    </cacheField>
    <cacheField name="RENT3" numFmtId="0">
      <sharedItems containsBlank="1">
        <s v="VIVT3"/>
        <s v="B3SA3"/>
        <s v="CSAN3"/>
        <s v="JBSS3"/>
        <s v="ABEV3"/>
        <s v="LREN3"/>
        <s v="BHIA3"/>
        <s v="BBDC4"/>
        <s v="WEGE3"/>
        <s v="RENT3"/>
        <s v="TAEE4"/>
        <s v="ITUB4"/>
        <s v="VALE3"/>
        <s v="IGTA3"/>
        <s v="CPFE3"/>
        <s v="HAPV3"/>
        <s v="SANB11"/>
        <s v="PETR4"/>
        <s v="MGLU3"/>
        <s v="BBAS3"/>
        <s v="Stiker"/>
        <m/>
      </sharedItems>
    </cacheField>
    <cacheField name="65,02" numFmtId="49">
      <sharedItems containsBlank="1">
        <s v="37,56"/>
        <s v="10,51"/>
        <s v="18,4"/>
        <s v="15,9"/>
        <s v="13,34"/>
        <s v="16,55"/>
        <s v="8,98"/>
        <s v="16,3"/>
        <s v="42,04"/>
        <s v="68,56"/>
        <s v="8,52"/>
        <s v="13,48"/>
        <s v="11,66"/>
        <s v="15,16"/>
        <s v="18,3"/>
        <s v="15,01"/>
        <s v="8,87"/>
        <s v="13,36"/>
        <s v="24,51"/>
        <s v="69,74"/>
        <s v="11,45"/>
        <s v="10,57"/>
        <s v="33,08"/>
        <s v="36,01"/>
        <s v="10,87"/>
        <s v="34,22"/>
        <s v="38,39"/>
        <s v="21,33"/>
        <s v="3,04"/>
        <s v="35,98"/>
        <s v="4,3"/>
        <s v="17,61"/>
        <s v="39,57"/>
        <s v="47,61"/>
        <s v="12,95"/>
        <s v="63,19"/>
        <s v="38,92"/>
        <s v="14,47"/>
        <s v="28,15"/>
        <s v="20,41"/>
        <s v="21,59"/>
        <s v="38,03"/>
        <s v="19,16"/>
        <s v="39,66"/>
        <s v="14,07"/>
        <s v="25,68"/>
        <s v="13,08"/>
        <s v="38,54"/>
        <s v="60,17"/>
        <s v="32,67"/>
        <s v="18,42"/>
        <s v="58,5"/>
        <s v="28,31"/>
        <s v="20,55"/>
        <s v="34,47"/>
        <s v="28,68"/>
        <s v="75,56"/>
        <s v="27,96"/>
        <s v="10,53"/>
        <s v="78,26"/>
        <s v="26,72"/>
        <s v="6,78"/>
        <s v="61,74"/>
        <s v="8,74"/>
        <s v="3,48"/>
        <s v="29,89"/>
        <s v="2,17"/>
        <s v="39,41"/>
        <s v="32,32"/>
        <s v="30,81"/>
        <s v="27,62"/>
        <s v="18,52"/>
        <s v="3,83"/>
        <s v="14,11"/>
        <s v="10,69"/>
        <s v="13,84"/>
        <s v="10,56"/>
        <s v="16,36"/>
        <s v="30,74"/>
        <s v="31,14"/>
        <s v="13,27"/>
        <s v="4,11"/>
        <s v="17,25"/>
        <s v="32,99"/>
        <s v="11,61"/>
        <s v="69,58"/>
        <s v="65,19"/>
        <s v="38,91"/>
        <s v="21,05"/>
        <s v="32,48"/>
        <s v="20,69"/>
        <s v="4,36"/>
        <s v="55,15"/>
        <s v="33,5"/>
        <s v="10,84"/>
        <s v="16,06"/>
        <s v="3,09"/>
        <s v="15,88"/>
        <s v="10,26"/>
        <s v="2,95"/>
        <s v="18,82"/>
        <s v="20,32"/>
        <s v="24,74"/>
        <s v="33,45"/>
        <s v="56,69"/>
        <s v="37,38"/>
        <s v="31,23"/>
        <s v="36,51"/>
        <s v="27,43"/>
        <s v="72,37"/>
        <s v="26,77"/>
        <s v="44,27"/>
        <s v="44,93"/>
        <s v="19,5"/>
        <s v="1,78"/>
        <s v="69,22"/>
        <s v="10,39"/>
        <s v="76,07"/>
        <s v="39,31"/>
        <s v="37,63"/>
        <s v="37,71"/>
        <s v="75,71"/>
        <s v="2,12"/>
        <s v="8,44"/>
        <s v="3,86"/>
        <s v="36,98"/>
        <s v="37,23"/>
        <s v="32,17"/>
        <s v="39,04"/>
        <s v="24,78"/>
        <s v="62,06"/>
        <s v="21,9"/>
        <s v="3,89"/>
        <s v="38,84"/>
        <s v="25,59"/>
        <s v="15,68"/>
        <s v="63,2"/>
        <s v="30,03"/>
        <s v="12,15"/>
        <s v="11,26"/>
        <s v="26,22"/>
        <s v="2,28"/>
        <s v="49,9"/>
        <s v="28,95"/>
        <s v="13,83"/>
        <s v="16,63"/>
        <s v="11,18"/>
        <s v="15,71"/>
        <s v="10,67"/>
        <s v="62,55"/>
        <s v="11,25"/>
        <s v="16,38"/>
        <s v="25,01"/>
        <s v="15,98"/>
        <s v="22,67"/>
        <s v="65,44"/>
        <s v="10,64"/>
        <s v="11,78"/>
        <s v="10,89"/>
        <s v="3,28"/>
        <s v="13,72"/>
        <s v="12,3"/>
        <s v="14,27"/>
        <s v="5,36"/>
        <s v="35,6"/>
        <s v="15,32"/>
        <s v="10,71"/>
        <s v="29,78"/>
        <s v="41,09"/>
        <s v="55,9"/>
        <s v="16,56"/>
        <s v="11,29"/>
        <s v="11,01"/>
        <s v="2,52"/>
        <s v="52,58"/>
        <s v="23,51"/>
        <s v="22,82"/>
        <s v="26,4"/>
        <s v="13,07"/>
        <s v="4,7"/>
        <s v="2,25"/>
        <s v="12,37"/>
        <s v="26,32"/>
        <s v="34,95"/>
        <s v="16,88"/>
        <s v="19,93"/>
        <s v="44,34"/>
        <s v="48,79"/>
        <s v="40,24"/>
        <s v="63,18"/>
        <s v="14,44"/>
        <s v="14,02"/>
        <s v="19,6"/>
        <s v="26,54"/>
        <s v="34,34"/>
        <s v="53,27"/>
        <s v="32,7"/>
        <s v="14,58"/>
        <s v="38,09"/>
        <s v="3,57"/>
        <s v="40,46"/>
        <s v="46,32"/>
        <s v="12,52"/>
        <s v="13,24"/>
        <s v="4,38"/>
        <s v="31,58"/>
        <s v="23,17"/>
        <s v="18,22"/>
        <s v="1,84"/>
        <s v="2,93"/>
        <s v="20,53"/>
        <s v="12,5"/>
        <s v="15,48"/>
        <s v="37,22"/>
        <s v="43,31"/>
        <s v="14,74"/>
        <s v="29,02"/>
        <s v="11,74"/>
        <s v="30,78"/>
        <s v="26,02"/>
        <s v="60,36"/>
        <s v="22,64"/>
        <s v="36,72"/>
        <s v="12,03"/>
        <s v="46,55"/>
        <s v="14,88"/>
        <s v="4,56"/>
        <s v="41,76"/>
        <s v="10,14"/>
        <s v="34,37"/>
        <s v="51,5"/>
        <s v="56,92"/>
        <s v="48,63"/>
        <s v="25,05"/>
        <s v="27,42"/>
        <s v="55,27"/>
        <s v="29,99"/>
        <s v="31,21"/>
        <s v="40,7"/>
        <s v="48,33"/>
        <s v="40,02"/>
        <s v="10,07"/>
        <s v="64,9"/>
        <s v="37,17"/>
        <s v="56,28"/>
        <s v="10,48"/>
        <s v="4,25"/>
        <s v="3,9"/>
        <s v="64,94"/>
        <s v="21,84"/>
        <s v="34,55"/>
        <s v="1,37"/>
        <s v="10,43"/>
        <s v="29,36"/>
        <s v="11,88"/>
        <s v="12,49"/>
        <s v="28,05"/>
        <s v="10,78"/>
        <s v="66,49"/>
        <s v="48,93"/>
        <s v="44,33"/>
        <s v="30,01"/>
        <s v="75,94"/>
        <s v="1,67"/>
        <s v="25,52"/>
        <s v="42,86"/>
        <s v="16,37"/>
        <s v="49,68"/>
        <s v="57,79"/>
        <s v="14,22"/>
        <s v="29,15"/>
        <s v="12,26"/>
        <s v="26,01"/>
        <s v="14,2"/>
        <s v="56,68"/>
        <s v="32,06"/>
        <s v="21,24"/>
        <s v="16,54"/>
        <s v="58,65"/>
        <s v="10,47"/>
        <s v="18,32"/>
        <s v="17,37"/>
        <s v="27,89"/>
        <s v="18,64"/>
        <s v="14,77"/>
        <s v="29,22"/>
        <s v="15,89"/>
        <s v="3,22"/>
        <s v="65,88"/>
        <s v="12,41"/>
        <s v="11,96"/>
        <s v="12,6"/>
        <s v="37,73"/>
        <s v="12,59"/>
        <s v="55,75"/>
        <s v="2,26"/>
        <s v="11,77"/>
        <s v="13,53"/>
        <s v="31,1"/>
        <s v="32,68"/>
        <s v="5,34"/>
        <s v="42,18"/>
        <s v="62,25"/>
        <s v="14,72"/>
        <s v="17,66"/>
        <s v="15,42"/>
        <s v="72,92"/>
        <s v="19,8"/>
        <s v="76,7"/>
        <s v="43,62"/>
        <s v="11,85"/>
        <s v="14,14"/>
        <s v="76,16"/>
        <s v="9,2"/>
        <s v="50,95"/>
        <s v="2,71"/>
        <s v="3,49"/>
        <s v="40,26"/>
        <s v="34,6"/>
        <s v="56,72"/>
        <s v="29,79"/>
        <s v="68,89"/>
        <s v="24,86"/>
        <s v="76,29"/>
        <s v="2,05"/>
        <s v="17,02"/>
        <s v="14,42"/>
        <s v="26,62"/>
        <s v="14,06"/>
        <s v="36,75"/>
        <s v="18,44"/>
        <s v="71,27"/>
        <s v="38,76"/>
        <s v="34,39"/>
        <s v="53,56"/>
        <s v="11,55"/>
        <s v="12,9"/>
        <s v="50,22"/>
        <s v="12,46"/>
        <s v="32,22"/>
        <s v="38,95"/>
        <s v="10"/>
        <s v="29,94"/>
        <s v="12,97"/>
        <s v="66,92"/>
        <s v="34,32"/>
        <s v="16,09"/>
        <s v="39,28"/>
        <s v="35,35"/>
        <s v="17,52"/>
        <s v="33,87"/>
        <s v="4,12"/>
        <s v="16,33"/>
        <s v="3,75"/>
        <s v="11,63"/>
        <s v="33,94"/>
        <s v="19,53"/>
        <s v="14,79"/>
        <s v="49,07"/>
        <s v="58,94"/>
        <s v="11,86"/>
        <s v="15,77"/>
        <s v="44,01"/>
        <s v="31,54"/>
        <s v="11,91"/>
        <s v="15,23"/>
        <s v="10,63"/>
        <s v="51,47"/>
        <s v="32,26"/>
        <s v="31,3"/>
        <s v="24,7"/>
        <s v="10,19"/>
        <s v="25,9"/>
        <s v="77,05"/>
        <s v="26,21"/>
        <s v="10,83"/>
        <s v="12,4"/>
        <s v="12,23"/>
        <s v="26,58"/>
        <s v="54,2"/>
        <s v="46,82"/>
        <s v="23,67"/>
        <s v="18,31"/>
        <s v="57,38"/>
        <s v="11,75"/>
        <s v="38,8"/>
        <s v="12,21"/>
        <s v="3,79"/>
        <s v="15,11"/>
        <s v="10,18"/>
        <s v="12,7"/>
        <s v="69"/>
        <s v="1,48"/>
        <s v="51,31"/>
        <s v="46,58"/>
        <s v="8,5"/>
        <s v="23,98"/>
        <s v="31,6"/>
        <s v="57,97"/>
        <s v="14,85"/>
        <s v="25,39"/>
        <s v="38,62"/>
        <s v="20,33"/>
        <s v="17,51"/>
        <s v="10,17"/>
        <s v="39,62"/>
        <s v="39,24"/>
        <s v="12,92"/>
        <s v="11,31"/>
        <s v="11,03"/>
        <s v="31,64"/>
        <s v="64,53"/>
        <s v="55,69"/>
        <s v="2,59"/>
        <s v="30,94"/>
        <s v="2,43"/>
        <s v="31,76"/>
        <s v="13,05"/>
        <s v="4,91"/>
        <s v="19,03"/>
        <s v="12,75"/>
        <s v="69,69"/>
        <s v="30,15"/>
        <s v="31,4"/>
        <s v="41,99"/>
        <s v="11,52"/>
        <s v="15,8"/>
        <s v="38,57"/>
        <s v="39,47"/>
        <s v="13,6"/>
        <s v="4,94"/>
        <s v="2,81"/>
        <s v="39,86"/>
        <s v="48,24"/>
        <s v="10,46"/>
        <s v="10,68"/>
        <s v="4,08"/>
        <s v="11,67"/>
        <s v="24,93"/>
        <s v="14,26"/>
        <s v="23,47"/>
        <s v="27,39"/>
        <s v="12,68"/>
        <s v="27,86"/>
        <s v="16,73"/>
        <s v="25,03"/>
        <s v="19,19"/>
        <s v="11,54"/>
        <s v="41,88"/>
        <s v="10,6"/>
        <s v="16,59"/>
        <s v="41,04"/>
        <s v="11,11"/>
        <s v="15,92"/>
        <s v="31,44"/>
        <s v="36,27"/>
        <s v="31,01"/>
        <s v="5,21"/>
        <s v="59,32"/>
        <s v="14"/>
        <s v="26,5"/>
        <s v="60,34"/>
        <s v="61,1"/>
        <s v="33,66"/>
        <s v="16,2"/>
        <s v="17,03"/>
        <s v="29,06"/>
        <s v="13,74"/>
        <s v="29,3"/>
        <s v="4,27"/>
        <s v="41,63"/>
        <s v="26,57"/>
        <s v="47,73"/>
        <s v="52,25"/>
        <s v="14,96"/>
        <s v="23,19"/>
        <s v="27,82"/>
        <s v="59,43"/>
        <s v="11,7"/>
        <s v="32,05"/>
        <s v="47,12"/>
        <s v="60,68"/>
        <s v="36,47"/>
        <s v="50,9"/>
        <s v="12,31"/>
        <s v="69,47"/>
        <s v="14,43"/>
        <s v="35,79"/>
        <s v="13,97"/>
        <s v="36,13"/>
        <s v="17,49"/>
        <s v="37,15"/>
        <s v="15,51"/>
        <s v="10,76"/>
        <s v="14,13"/>
        <s v="23,9"/>
        <s v="52,9"/>
        <s v="11,79"/>
        <s v="63,09"/>
        <s v="8,9"/>
        <s v="73,99"/>
        <s v="36,28"/>
        <s v="15,25"/>
        <s v="21,44"/>
        <s v="11,56"/>
        <s v="19,74"/>
        <s v="52,15"/>
        <s v="11,9"/>
        <s v="11,84"/>
        <s v="50,7"/>
        <s v="3,96"/>
        <s v="16,92"/>
        <s v="12,07"/>
        <s v="37,75"/>
        <s v="18,28"/>
        <s v="23,03"/>
        <s v="20,65"/>
        <s v="2,04"/>
        <s v="29,04"/>
        <s v="27,47"/>
        <s v="33,89"/>
        <s v="59,58"/>
        <s v="10,35"/>
        <s v="58,19"/>
        <s v="1,76"/>
        <s v="14,95"/>
        <s v="10,81"/>
        <s v="12,29"/>
        <s v="2,61"/>
        <s v="12,61"/>
        <s v="37,14"/>
        <s v="14,66"/>
        <s v="14,15"/>
        <s v="12,09"/>
        <s v="16,8"/>
        <s v="5,14"/>
        <s v="38,14"/>
        <s v="18,35"/>
        <s v="1,49"/>
        <s v="31,51"/>
        <s v="46,4"/>
        <s v="1,3"/>
        <s v="52,01"/>
        <s v="4,33"/>
        <s v="41,45"/>
        <s v="35,08"/>
        <s v="27,02"/>
        <s v="15,54"/>
        <s v="14,71"/>
        <s v="10,55"/>
        <s v="10,3"/>
        <s v="46,74"/>
        <s v="40,18"/>
        <s v="1,7"/>
        <s v="12,06"/>
        <s v="38,86"/>
        <s v="29,61"/>
        <s v="3,33"/>
        <s v="7,16"/>
        <s v="10,16"/>
        <s v="14,8"/>
        <s v="32,56"/>
        <s v="27,78"/>
        <s v="13"/>
        <s v="27,07"/>
        <s v="14,93"/>
        <s v="67,87"/>
        <s v="14,75"/>
        <s v="17,34"/>
        <s v="3,37"/>
        <s v="39,93"/>
        <s v="4,02"/>
        <s v="35,07"/>
        <s v="19,18"/>
        <s v="11,83"/>
        <s v="32,1"/>
        <s v="46,29"/>
        <s v="3,19"/>
        <s v="65,14"/>
        <s v="26,13"/>
        <s v="34,7"/>
        <s v="11,97"/>
        <s v="11,64"/>
        <s v="41,64"/>
        <s v="17,65"/>
        <s v="16,05"/>
        <s v="30,14"/>
        <s v="25,49"/>
        <s v="11,76"/>
        <s v="23,1"/>
        <s v="23,38"/>
        <s v="20,13"/>
        <s v="15,76"/>
        <s v="29,83"/>
        <s v="21,86"/>
        <s v="28,66"/>
        <s v="37,81"/>
        <s v="5,24"/>
        <s v="15,62"/>
        <s v="16,49"/>
        <s v="21,42"/>
        <s v="38,2"/>
        <s v="18,66"/>
        <s v="30,32"/>
        <s v="25,53"/>
        <s v="47,91"/>
        <s v="14,08"/>
        <s v="10,77"/>
        <s v="4,1"/>
        <s v="38,58"/>
        <s v="4,54"/>
        <s v="27,63"/>
        <s v="28,67"/>
        <s v="20,52"/>
        <s v="53,44"/>
        <s v="22,9"/>
        <s v="10,25"/>
        <s v="36,03"/>
        <s v="20,61"/>
        <s v="10,41"/>
        <s v="56,47"/>
        <s v="32,69"/>
        <s v="10,44"/>
        <s v="36,46"/>
        <s v="12,62"/>
        <s v="22,06"/>
        <s v="39,19"/>
        <s v="48,85"/>
        <s v="34,01"/>
        <s v="76,21"/>
        <s v="18,37"/>
        <s v="4,64"/>
        <s v="57,77"/>
        <s v="3,23"/>
        <s v="1,52"/>
        <s v="24,35"/>
        <s v="3,71"/>
        <s v="19,91"/>
        <s v="9,93"/>
        <s v="13,21"/>
        <s v="13,23"/>
        <s v="73,16"/>
        <s v="11,02"/>
        <s v="13,9"/>
        <s v="68,65"/>
        <s v="20,59"/>
        <s v="41,7"/>
        <s v="14,9"/>
        <s v="15,52"/>
        <s v="47,64"/>
        <s v="27,34"/>
        <s v="16,52"/>
        <s v="30,02"/>
        <s v="39,02"/>
        <s v="3,25"/>
        <s v="68,3"/>
        <s v="47,88"/>
        <s v="12,64"/>
        <s v="58,54"/>
        <s v="32,9"/>
        <s v="29,44"/>
        <s v="69,53"/>
        <s v="3,68"/>
        <s v="13,33"/>
        <s v="10,34"/>
        <s v="26,67"/>
        <s v="14,34"/>
        <s v="47,66"/>
        <s v="18,79"/>
        <s v="33,65"/>
        <s v="12,71"/>
        <s v="62,74"/>
        <s v="50,67"/>
        <s v="12,11"/>
        <s v="14,35"/>
        <s v="59,63"/>
        <s v="3,73"/>
        <s v="10,54"/>
        <s v="16,39"/>
        <s v="43,82"/>
        <s v="72,42"/>
        <s v="30,98"/>
        <s v="14,78"/>
        <s v="46,48"/>
        <s v="5,22"/>
        <s v="30,12"/>
        <s v="13,17"/>
        <s v="40,5"/>
        <s v="21,54"/>
        <s v="18,63"/>
        <s v="4,79"/>
        <s v="12,87"/>
        <s v="2,57"/>
        <s v="16,89"/>
        <s v="31,87"/>
        <s v="11,37"/>
        <s v="35,96"/>
        <s v="32,28"/>
        <s v="19,57"/>
        <s v="5,35"/>
        <s v="12,18"/>
        <s v="12,78"/>
        <s v="30,25"/>
        <s v="23,68"/>
        <s v="2,85"/>
        <s v="32,41"/>
        <s v="29,42"/>
        <s v="2,96"/>
        <s v="3,03"/>
        <s v="3,67"/>
        <s v="25,78"/>
        <s v="7,56"/>
        <s v="28,13"/>
        <s v="41,5"/>
        <s v="28,18"/>
        <s v="19,82"/>
        <s v="24,98"/>
        <s v="17,88"/>
        <s v="10,52"/>
        <s v="2,62"/>
        <s v="30,76"/>
        <s v="3,61"/>
        <s v="21,75"/>
        <s v="12,84"/>
        <s v="13,67"/>
        <s v="32,55"/>
        <s v="12,86"/>
        <s v="5,27"/>
        <s v="13,88"/>
        <s v="30,3"/>
        <s v="32,82"/>
        <s v="54,68"/>
        <s v="8,16"/>
        <s v="64,88"/>
        <s v="33,51"/>
        <s v="4,62"/>
        <s v="34,18"/>
        <s v="10,73"/>
        <s v="33,54"/>
        <s v="37,78"/>
        <s v="69,83"/>
        <s v="14,25"/>
        <s v="31,34"/>
        <s v="13,62"/>
        <s v="30,9"/>
        <s v="30,2"/>
        <s v="19,29"/>
        <s v="2,39"/>
        <s v="75,13"/>
        <s v="5,31"/>
        <s v="54,72"/>
        <s v="2,44"/>
        <s v="36,62"/>
        <s v="10,59"/>
        <s v="15,03"/>
        <s v="37,83"/>
        <s v="22,66"/>
        <s v="36,82"/>
        <s v="60,83"/>
        <s v="13,81"/>
        <s v="51,65"/>
        <s v="38,93"/>
        <s v="46,44"/>
        <s v="2,42"/>
        <s v="14,98"/>
        <s v="40,52"/>
        <s v="14,48"/>
        <s v="29,81"/>
        <s v="32,24"/>
        <s v="24,91"/>
        <s v="13,76"/>
        <s v="44,68"/>
        <s v="29,31"/>
        <s v="10,99"/>
        <s v="2,83"/>
        <s v="35,76"/>
        <s v="16,61"/>
        <s v="25,54"/>
        <s v="70,68"/>
        <s v="20,72"/>
        <s v="29,09"/>
        <s v="23,04"/>
        <s v="3,98"/>
        <s v="27,32"/>
        <s v="3,21"/>
        <s v="37,67"/>
        <s v="22,75"/>
        <s v="12,89"/>
        <s v="3,85"/>
        <s v="36,54"/>
        <s v="24,32"/>
        <s v="28,65"/>
        <s v="15,45"/>
        <s v="13,66"/>
        <s v="2,5"/>
        <s v="10,49"/>
        <s v="19,48"/>
        <s v="34,92"/>
        <s v="30,05"/>
        <s v="14,32"/>
        <s v="14,91"/>
        <s v="49,67"/>
        <s v="66,35"/>
        <s v="14,53"/>
        <s v="12,04"/>
        <s v="14,45"/>
        <s v="41,03"/>
        <s v="14,01"/>
        <s v="12,17"/>
        <s v="59,3"/>
        <s v="63,55"/>
        <s v="27,22"/>
        <s v="26,03"/>
        <s v="51,69"/>
        <s v="31,66"/>
        <s v="3,14"/>
        <s v="7,91"/>
        <s v="26,05"/>
        <s v="11,69"/>
        <s v="12,67"/>
        <s v="26,74"/>
        <s v="17,54"/>
        <s v="18,33"/>
        <s v="16,47"/>
        <s v="13,69"/>
        <s v="34,11"/>
        <s v="48,37"/>
        <s v="35,63"/>
        <s v="14,56"/>
        <s v="15,05"/>
        <s v="7,1"/>
        <s v="10,61"/>
        <s v="31,25"/>
        <s v="21,55"/>
        <s v="10,5"/>
        <s v="10,31"/>
        <s v="21,13"/>
        <s v="33,81"/>
        <s v="29,52"/>
        <s v="56,49"/>
        <s v="58,77"/>
        <s v="1,93"/>
        <s v="2,58"/>
        <s v="10,91"/>
        <s v="3,6"/>
        <s v="15,2"/>
        <s v="3,92"/>
        <s v="11,42"/>
        <s v="38,98"/>
        <s v="11,95"/>
        <s v="3,17"/>
        <s v="57,91"/>
        <s v="17,67"/>
        <s v="22,72"/>
        <s v="51,9"/>
        <s v="61,54"/>
        <s v="11,65"/>
        <s v="2,84"/>
        <s v="12,13"/>
        <s v="40,21"/>
        <s v="56,8"/>
        <s v="28,47"/>
        <s v="43,59"/>
        <s v="3,84"/>
        <s v="34,54"/>
        <s v="2,47"/>
        <s v="14,97"/>
        <s v="40,28"/>
        <s v="11,5"/>
        <s v="15,14"/>
        <s v="26,47"/>
        <s v="32,64"/>
        <s v="12,19"/>
        <s v="49,78"/>
        <s v="34,56"/>
        <s v="21,35"/>
        <s v="25,57"/>
        <s v="15,86"/>
        <s v="18,45"/>
        <s v="68,85"/>
        <s v="21,69"/>
        <s v="35,38"/>
        <s v="18,56"/>
        <s v="80,28"/>
        <s v="67,65"/>
        <s v="32,92"/>
        <s v="77,3"/>
        <s v="15,1"/>
        <s v="47,14"/>
        <s v="36,61"/>
        <s v="16,94"/>
        <s v="20,23"/>
        <s v="64,66"/>
        <s v="10,33"/>
        <s v="12,44"/>
        <s v="28,96"/>
        <s v="39,75"/>
        <s v="46,36"/>
        <s v="10,42"/>
        <s v="60,55"/>
        <s v="65,54"/>
        <s v="50,85"/>
        <s v="17,29"/>
        <s v="13,85"/>
        <s v="53,79"/>
        <s v="17,04"/>
        <s v="18,65"/>
        <s v="22,44"/>
        <s v="79,47"/>
        <s v="52,79"/>
        <s v="53,3"/>
        <s v="69,63"/>
        <s v="47,76"/>
        <s v="20,77"/>
        <s v="2,38"/>
        <s v="3,18"/>
        <s v="74,68"/>
        <s v="42,2"/>
        <s v="41,14"/>
        <s v="35,31"/>
        <s v="10,88"/>
        <s v="74,26"/>
        <s v="4,05"/>
        <s v="11,32"/>
        <s v="18,43"/>
        <s v="22,18"/>
        <s v="34,13"/>
        <s v="10,65"/>
        <s v="12,32"/>
        <s v="65,27"/>
        <s v="16"/>
        <s v="33,33"/>
        <s v="32,79"/>
        <s v="29,75"/>
        <s v="64,4"/>
        <s v="4,06"/>
        <s v="5,41"/>
        <s v="15,58"/>
        <s v="14,36"/>
        <s v="49,32"/>
        <s v="51,91"/>
        <s v="60,53"/>
        <s v="16,26"/>
        <s v="3,26"/>
        <s v="10,74"/>
        <s v="56,57"/>
        <s v="69,01"/>
        <s v="14,65"/>
        <s v="46,9"/>
        <s v="12,57"/>
        <s v="20,45"/>
        <s v="45,16"/>
        <s v="9,29"/>
        <s v="3,41"/>
        <s v="32,47"/>
        <s v="69,3"/>
        <s v="10,72"/>
        <s v="11,92"/>
        <s v="23,22"/>
        <s v="60,6"/>
        <s v="1,71"/>
        <s v="17,07"/>
        <s v="53,37"/>
        <s v="77,94"/>
        <s v="29,29"/>
        <s v="33,88"/>
        <s v="13,87"/>
        <s v="13,25"/>
        <s v="67,79"/>
        <s v="1,55"/>
        <s v="19,7"/>
        <s v="18,36"/>
        <s v="62,16"/>
        <s v="28,59"/>
        <s v="49,97"/>
        <s v="37,03"/>
        <s v="12,05"/>
        <s v="14,17"/>
        <s v="15,74"/>
        <s v="36"/>
        <s v="16,08"/>
        <s v="27,53"/>
        <s v="30,08"/>
        <s v="27,73"/>
        <s v="75"/>
        <s v="14,87"/>
        <s v="4,44"/>
        <s v="52,71"/>
        <s v="38,72"/>
        <s v="3,54"/>
        <s v="4,75"/>
        <s v="21,37"/>
        <s v="19,69"/>
        <s v="35,57"/>
        <s v="16,07"/>
        <s v="27,19"/>
        <s v="37,35"/>
        <s v="49,31"/>
        <s v="3,38"/>
        <s v="14,83"/>
        <s v="19,64"/>
        <s v="29,46"/>
        <s v="60,74"/>
        <s v="21,46"/>
        <s v="3,06"/>
        <s v="27,87"/>
        <s v="59,82"/>
        <s v="28,55"/>
        <s v="20,35"/>
        <s v="32,6"/>
        <s v="18,89"/>
        <s v="29,23"/>
        <s v="10,32"/>
        <s v="74,48"/>
        <s v="57,22"/>
        <s v="41,96"/>
        <s v="25,27"/>
        <s v="3,45"/>
        <s v="55,73"/>
        <s v="40,48"/>
        <s v="11,8"/>
        <s v="2,55"/>
        <s v="11,98"/>
        <s v="36,14"/>
        <s v="2,49"/>
        <s v="23,8"/>
        <s v="1,43"/>
        <s v="28,87"/>
        <s v="1,97"/>
        <s v="78,94"/>
        <s v="2,16"/>
        <s v="21,83"/>
        <s v="15,15"/>
        <s v="40,66"/>
        <s v="11,73"/>
        <s v="28,85"/>
        <s v="12,55"/>
        <s v="38,19"/>
        <s v="13,63"/>
        <s v="33,48"/>
        <s v="52,94"/>
        <s v="47,36"/>
        <s v="44,79"/>
        <s v="10,24"/>
        <s v="57,2"/>
        <s v="22,05"/>
        <s v="15,41"/>
        <s v="51,2"/>
        <s v="41,27"/>
        <s v="19,68"/>
        <s v="11,19"/>
        <s v="27,17"/>
        <s v="71,8"/>
        <s v="12,54"/>
        <s v="18,69"/>
        <s v="40,89"/>
        <s v="24,87"/>
        <s v="28,17"/>
        <s v="35,34"/>
        <s v="52"/>
        <s v="25,62"/>
        <s v="2,87"/>
        <s v="30,65"/>
        <s v="10,75"/>
        <s v="21,74"/>
        <s v="31,08"/>
        <s v="19,17"/>
        <s v="35,14"/>
        <s v="14,19"/>
        <s v="33,99"/>
        <s v="54,76"/>
        <s v="4,24"/>
        <s v="13,47"/>
        <s v="33,38"/>
        <s v="15,4"/>
        <s v="26,81"/>
        <s v="31,12"/>
        <s v="11"/>
        <s v="25,79"/>
        <s v="23,29"/>
        <s v="13,41"/>
        <s v="36,42"/>
        <s v="12,35"/>
        <s v="63,81"/>
        <s v="25,1"/>
        <s v="19,1"/>
        <s v="3,58"/>
        <s v="51,7"/>
        <s v="41,41"/>
        <s v="2,68"/>
        <s v="31,46"/>
        <s v="11,81"/>
        <s v="77,01"/>
        <s v="40,39"/>
        <s v="4,83"/>
        <s v="13,4"/>
        <s v="15,73"/>
        <s v="33,83"/>
        <s v="12,81"/>
        <s v="24,73"/>
        <s v="22,97"/>
        <s v="6,85"/>
        <s v="32,37"/>
        <s v="42,79"/>
        <s v="42,19"/>
        <s v="61,61"/>
        <s v="10,62"/>
        <s v="38,67"/>
        <s v="5,38"/>
        <s v="41,3"/>
        <s v="1,91"/>
        <s v="13,78"/>
        <s v="69,19"/>
        <s v="37,49"/>
        <s v="44,95"/>
        <s v="28,41"/>
        <s v="47,04"/>
        <s v="69,52"/>
        <s v="19,72"/>
        <s v="66,8"/>
        <s v="3,66"/>
        <s v="17,77"/>
        <s v="3,32"/>
        <s v="55,74"/>
        <s v="32,38"/>
        <s v="24,99"/>
        <s v="12,93"/>
        <s v="79,64"/>
        <s v="45,26"/>
        <s v="40,71"/>
        <s v="19,23"/>
        <s v="15,72"/>
        <s v="40,58"/>
        <s v="27,29"/>
        <s v="39,37"/>
        <s v="15,08"/>
        <s v="13,95"/>
        <s v="13,59"/>
        <s v="15,66"/>
        <s v="33,32"/>
        <s v="15,24"/>
        <s v="12,2"/>
        <s v="17,96"/>
        <s v="2,32"/>
        <s v="19,26"/>
        <s v="2,33"/>
        <s v="35,24"/>
        <s v="32,54"/>
        <s v="18,72"/>
        <s v="33,86"/>
        <s v="69,62"/>
        <s v="39,42"/>
        <s v="37,5"/>
        <s v="31,67"/>
        <s v="13,44"/>
        <s v="2,31"/>
        <s v="14,49"/>
        <s v="32,12"/>
        <s v="1,39"/>
        <s v="15,87"/>
        <s v="5,4"/>
        <s v="10,21"/>
        <s v="11,59"/>
        <s v="34,61"/>
        <s v="2,45"/>
        <s v="12,24"/>
        <s v="29,28"/>
        <s v="54,34"/>
        <s v="30,89"/>
        <s v="18,07"/>
        <s v="2,34"/>
        <s v="32,71"/>
        <s v="17,14"/>
        <s v="19,22"/>
        <s v="70,04"/>
        <s v="19,84"/>
        <s v="53,87"/>
        <s v="41,8"/>
        <s v="2,19"/>
        <s v="34,23"/>
        <s v="15,91"/>
        <s v="15,07"/>
        <s v="19,36"/>
        <s v="30,41"/>
        <s v="60,88"/>
        <s v="41,61"/>
        <s v="29,2"/>
        <s v="60,02"/>
        <s v="37,57"/>
        <s v="63,78"/>
        <s v="27,37"/>
        <s v="32,65"/>
        <s v="4,31"/>
        <s v="28,81"/>
        <s v="57,49"/>
        <s v="17,05"/>
        <s v="21,57"/>
        <s v="63,3"/>
        <s v="33,16"/>
        <s v="30,84"/>
        <s v="31,5"/>
        <s v="14,24"/>
        <s v="3,39"/>
        <s v="16,51"/>
        <s v="39,29"/>
        <s v="13,15"/>
        <s v="17,24"/>
        <s v="36,32"/>
        <s v="30,64"/>
        <s v="2,4"/>
        <s v="39,01"/>
        <s v="33,17"/>
        <s v="59,17"/>
        <s v="12,72"/>
        <s v="59,4"/>
        <s v="16,32"/>
        <s v="30,42"/>
        <s v="68,76"/>
        <s v="28,23"/>
        <s v="54,36"/>
        <s v="22,59"/>
        <s v="14,41"/>
        <s v="18,97"/>
        <s v="76,14"/>
        <s v="18,8"/>
        <s v="67,05"/>
        <s v="67,93"/>
        <s v="2,54"/>
        <s v="10,93"/>
        <s v="18,53"/>
        <s v="3,7"/>
        <s v="4,59"/>
        <s v="46,23"/>
        <s v="36,81"/>
        <s v="48,46"/>
        <s v="14,52"/>
        <s v="62,35"/>
        <s v="72,29"/>
        <s v="41,67"/>
        <s v="12,63"/>
        <s v="28,14"/>
        <s v="35,77"/>
        <s v="53,66"/>
        <s v="16,46"/>
        <s v="39,1"/>
        <s v="13,55"/>
        <s v="31,24"/>
        <s v="16,25"/>
        <s v="20,58"/>
        <s v="22,1"/>
        <s v="64,95"/>
        <s v="22,92"/>
        <s v="55,97"/>
        <s v="39,8"/>
        <s v="27,94"/>
        <s v="43,53"/>
        <s v="10,27"/>
        <s v="34,16"/>
        <s v="11,71"/>
        <s v="14,12"/>
        <s v="13,02"/>
        <s v="56,44"/>
        <s v="47,57"/>
        <s v="34,73"/>
        <s v="13,26"/>
        <s v="19,73"/>
        <s v="4,8"/>
        <s v="16,77"/>
        <s v="22,33"/>
        <s v="14,21"/>
        <s v="3,05"/>
        <s v="14,81"/>
        <s v="56,13"/>
        <s v="14,68"/>
        <s v="36,17"/>
        <s v="34,48"/>
        <s v="21,01"/>
        <s v="53,45"/>
        <s v="75,41"/>
        <s v="2,94"/>
        <s v="12,73"/>
        <s v="12,28"/>
        <s v="70,26"/>
        <s v="28,38"/>
        <s v="56,81"/>
        <s v="11,48"/>
        <s v="20,16"/>
        <s v="41,57"/>
        <s v="16,43"/>
        <s v="29,87"/>
        <s v="17,69"/>
        <s v="39,88"/>
        <s v="52,77"/>
        <s v="39,74"/>
        <s v="10,12"/>
        <s v="47,9"/>
        <s v="11,89"/>
        <s v="47,93"/>
        <s v="16,85"/>
        <s v="16,45"/>
        <s v="21,96"/>
        <s v="27,27"/>
        <s v="11,23"/>
        <s v="49,73"/>
        <s v="21,04"/>
        <s v="17,42"/>
        <s v="7,97"/>
        <s v="2,99"/>
        <s v="65,39"/>
        <s v="15,12"/>
        <s v="13,79"/>
        <s v="34,8"/>
        <s v="38,41"/>
        <s v="4,18"/>
        <s v="66,64"/>
        <s v="32,44"/>
        <s v="36,84"/>
        <s v="28,6"/>
        <s v="4,14"/>
        <s v="28,75"/>
        <s v="1,54"/>
        <s v="26,42"/>
        <s v="19,38"/>
        <s v="2,74"/>
        <s v="16,21"/>
        <s v="33,53"/>
        <s v="17,08"/>
        <s v="33,62"/>
        <s v="59,5"/>
        <s v="22,41"/>
        <s v="72,01"/>
        <s v="32,27"/>
        <s v="18,01"/>
        <s v="11,94"/>
        <s v="14,92"/>
        <s v="49,41"/>
        <s v="71,1"/>
        <s v="45,32"/>
        <s v="20,29"/>
        <s v="29,55"/>
        <s v="51,07"/>
        <s v="32,09"/>
        <s v="43,63"/>
        <s v="32,03"/>
        <s v="46,98"/>
        <s v="56"/>
        <s v="14,18"/>
        <s v="40,62"/>
        <s v="42,9"/>
        <s v="33,05"/>
        <s v="45,96"/>
        <s v="25,63"/>
        <s v="46,42"/>
        <s v="1,6"/>
        <s v="62,29"/>
        <s v="21,47"/>
        <s v="14,33"/>
        <s v="70,09"/>
        <s v="40,85"/>
        <s v="1,36"/>
        <s v="5,3"/>
        <s v="76,78"/>
        <s v="64,85"/>
        <s v="30,86"/>
        <s v="13,32"/>
        <s v="31,68"/>
        <s v="56,87"/>
        <s v="74,74"/>
        <s v="35"/>
        <s v="32,39"/>
        <s v="12,48"/>
        <s v="2,2"/>
        <s v="36,95"/>
        <s v="26,99"/>
        <s v="15,13"/>
        <s v="18,14"/>
        <s v="48,16"/>
        <s v="12,98"/>
        <s v="8,27"/>
        <s v="20,97"/>
        <s v="11,62"/>
        <s v="18,67"/>
        <s v="63,88"/>
        <s v="12,91"/>
        <s v="52,31"/>
        <s v="18,08"/>
        <s v="45,04"/>
        <s v="28,48"/>
        <s v="30,18"/>
        <s v="37,94"/>
        <s v="20,7"/>
        <s v="15"/>
        <s v="2,07"/>
        <s v="22,02"/>
        <s v="54,78"/>
        <s v="13,91"/>
        <s v="9,46"/>
        <s v="31,59"/>
        <s v="13,56"/>
        <s v="7,61"/>
        <s v="23,62"/>
        <s v="11,68"/>
        <s v="28,2"/>
        <s v="12,47"/>
        <s v="51,35"/>
        <s v="39,91"/>
        <s v="36,26"/>
        <s v="14,16"/>
        <s v="2,7"/>
        <s v="33,85"/>
        <s v="37,74"/>
        <s v="34,94"/>
        <s v="39,3"/>
        <s v="14,39"/>
        <s v="32,5"/>
        <s v="37,24"/>
        <s v="16,57"/>
        <s v="3,78"/>
        <s v="78,34"/>
        <s v="40,34"/>
        <s v="29,1"/>
        <s v="68,13"/>
        <s v="12,82"/>
        <s v="57,47"/>
        <s v="16,48"/>
        <s v="68,36"/>
        <s v="21,18"/>
        <s v="40,4"/>
        <s v="15,65"/>
        <s v="29,51"/>
        <s v="41,32"/>
        <s v="9,52"/>
        <s v="10,38"/>
        <s v="33,68"/>
        <s v="15,09"/>
        <s v="16,81"/>
        <s v="46,22"/>
        <s v="53,78"/>
        <s v="10,29"/>
        <s v="15,02"/>
        <s v="1,96"/>
        <s v="12,36"/>
        <s v="14,63"/>
        <s v="71,01"/>
        <s v="15,67"/>
        <s v="61,21"/>
        <s v="53,14"/>
        <s v="31,62"/>
        <s v="42,85"/>
        <s v="15,85"/>
        <s v="61,07"/>
        <s v="3,91"/>
        <s v="56,59"/>
        <s v="4,61"/>
        <s v="13,7"/>
        <s v="22,15"/>
        <s v="38,65"/>
        <s v="39,64"/>
        <s v="27,35"/>
        <s v="25,34"/>
        <s v="41,79"/>
        <s v="31,86"/>
        <s v="36,41"/>
        <s v="35,01"/>
        <s v="12,33"/>
        <s v="29,64"/>
        <s v="19,75"/>
        <s v="36,04"/>
        <s v="18,51"/>
        <s v="17,94"/>
        <s v="19,52"/>
        <s v="43,74"/>
        <s v="35,22"/>
        <s v="26,86"/>
        <s v="61,78"/>
        <s v="1,79"/>
        <s v="13,8"/>
        <s v="78,91"/>
        <s v="37,34"/>
        <s v="14,05"/>
        <s v="54,64"/>
        <s v="24,82"/>
        <s v="40,82"/>
        <s v="55,41"/>
        <s v="36,23"/>
        <s v="27,16"/>
        <s v="37,16"/>
        <s v="54,7"/>
        <s v="47,17"/>
        <s v="35,02"/>
        <s v="9,68"/>
        <s v="13,45"/>
        <s v="14,51"/>
        <s v="5,32"/>
        <s v="31,28"/>
        <s v="4,35"/>
        <s v="11,09"/>
        <s v="33,28"/>
        <s v="12"/>
        <s v="31,15"/>
        <s v="20,18"/>
        <s v="31,2"/>
        <s v="60,44"/>
        <s v="19,04"/>
        <s v="25,43"/>
        <s v="30,09"/>
        <s v="10,9"/>
        <s v="33,96"/>
        <s v="31,99"/>
        <s v="39,58"/>
        <s v="16,95"/>
        <s v="39,54"/>
        <s v="1,94"/>
        <s v="13,3"/>
        <s v="21,53"/>
        <s v="30,19"/>
        <s v="49,11"/>
        <s v="8,93"/>
        <s v="42,34"/>
        <s v="38,48"/>
        <s v="12,1"/>
        <s v="7,47"/>
        <s v="17,39"/>
        <s v="1,41"/>
        <s v="39,52"/>
        <s v="26,12"/>
        <s v="25,38"/>
        <s v="49,05"/>
        <s v="28,01"/>
        <s v="54,18"/>
        <s v="27,74"/>
        <s v="11,93"/>
        <s v="80,04"/>
        <s v="24,07"/>
        <s v="3,35"/>
        <s v="18,62"/>
        <s v="11,16"/>
        <s v="5"/>
        <s v="34,78"/>
        <s v="17,55"/>
        <s v="17,91"/>
        <s v="73,96"/>
        <s v="19,28"/>
        <s v="15,57"/>
        <s v="12,51"/>
        <s v="3,64"/>
        <s v="23,66"/>
        <s v="29,11"/>
        <s v="17,63"/>
        <s v="26,88"/>
        <s v="35,86"/>
        <s v="34,28"/>
        <s v="43,57"/>
        <s v="3,4"/>
        <s v="52,46"/>
        <s v="34,98"/>
        <s v="3,31"/>
        <s v="24,53"/>
        <s v="43,3"/>
        <s v="20,5"/>
        <s v="40,93"/>
        <s v="36,69"/>
        <s v="20,88"/>
        <s v="13,22"/>
        <s v="Preco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D1:F2003" sheet="mercado_acoes"/>
  </cacheSource>
  <cacheFields>
    <cacheField name="Venda" numFmtId="164">
      <sharedItems containsBlank="1">
        <s v="Venda"/>
        <s v="Compra"/>
        <s v="Operação"/>
        <m/>
      </sharedItems>
    </cacheField>
    <cacheField name="RENT3" numFmtId="0">
      <sharedItems containsBlank="1">
        <s v="VIVT3"/>
        <s v="B3SA3"/>
        <s v="CSAN3"/>
        <s v="JBSS3"/>
        <s v="ABEV3"/>
        <s v="LREN3"/>
        <s v="BHIA3"/>
        <s v="BBDC4"/>
        <s v="WEGE3"/>
        <s v="RENT3"/>
        <s v="TAEE4"/>
        <s v="ITUB4"/>
        <s v="VALE3"/>
        <s v="IGTA3"/>
        <s v="CPFE3"/>
        <s v="HAPV3"/>
        <s v="SANB11"/>
        <s v="PETR4"/>
        <s v="MGLU3"/>
        <s v="BBAS3"/>
        <s v="Stiker"/>
        <m/>
      </sharedItems>
    </cacheField>
    <cacheField name="65,02" numFmtId="49">
      <sharedItems containsBlank="1">
        <s v="37,56"/>
        <s v="10,51"/>
        <s v="18,4"/>
        <s v="15,9"/>
        <s v="13,34"/>
        <s v="16,55"/>
        <s v="8,98"/>
        <s v="16,3"/>
        <s v="42,04"/>
        <s v="68,56"/>
        <s v="8,52"/>
        <s v="13,48"/>
        <s v="11,66"/>
        <s v="15,16"/>
        <s v="18,3"/>
        <s v="15,01"/>
        <s v="8,87"/>
        <s v="13,36"/>
        <s v="24,51"/>
        <s v="69,74"/>
        <s v="11,45"/>
        <s v="10,57"/>
        <s v="33,08"/>
        <s v="36,01"/>
        <s v="10,87"/>
        <s v="34,22"/>
        <s v="38,39"/>
        <s v="21,33"/>
        <s v="3,04"/>
        <s v="35,98"/>
        <s v="4,3"/>
        <s v="17,61"/>
        <s v="39,57"/>
        <s v="47,61"/>
        <s v="12,95"/>
        <s v="63,19"/>
        <s v="38,92"/>
        <s v="14,47"/>
        <s v="28,15"/>
        <s v="20,41"/>
        <s v="21,59"/>
        <s v="38,03"/>
        <s v="19,16"/>
        <s v="39,66"/>
        <s v="14,07"/>
        <s v="25,68"/>
        <s v="13,08"/>
        <s v="38,54"/>
        <s v="60,17"/>
        <s v="32,67"/>
        <s v="18,42"/>
        <s v="58,5"/>
        <s v="28,31"/>
        <s v="20,55"/>
        <s v="34,47"/>
        <s v="28,68"/>
        <s v="75,56"/>
        <s v="27,96"/>
        <s v="10,53"/>
        <s v="78,26"/>
        <s v="26,72"/>
        <s v="6,78"/>
        <s v="61,74"/>
        <s v="8,74"/>
        <s v="3,48"/>
        <s v="29,89"/>
        <s v="2,17"/>
        <s v="39,41"/>
        <s v="32,32"/>
        <s v="30,81"/>
        <s v="27,62"/>
        <s v="18,52"/>
        <s v="3,83"/>
        <s v="14,11"/>
        <s v="10,69"/>
        <s v="13,84"/>
        <s v="10,56"/>
        <s v="16,36"/>
        <s v="30,74"/>
        <s v="31,14"/>
        <s v="13,27"/>
        <s v="4,11"/>
        <s v="17,25"/>
        <s v="32,99"/>
        <s v="11,61"/>
        <s v="69,58"/>
        <s v="65,19"/>
        <s v="38,91"/>
        <s v="21,05"/>
        <s v="32,48"/>
        <s v="20,69"/>
        <s v="4,36"/>
        <s v="55,15"/>
        <s v="33,5"/>
        <s v="10,84"/>
        <s v="16,06"/>
        <s v="3,09"/>
        <s v="15,88"/>
        <s v="10,26"/>
        <s v="2,95"/>
        <s v="18,82"/>
        <s v="20,32"/>
        <s v="24,74"/>
        <s v="33,45"/>
        <s v="56,69"/>
        <s v="37,38"/>
        <s v="31,23"/>
        <s v="36,51"/>
        <s v="27,43"/>
        <s v="72,37"/>
        <s v="26,77"/>
        <s v="44,27"/>
        <s v="44,93"/>
        <s v="19,5"/>
        <s v="1,78"/>
        <s v="69,22"/>
        <s v="10,39"/>
        <s v="76,07"/>
        <s v="39,31"/>
        <s v="37,63"/>
        <s v="37,71"/>
        <s v="75,71"/>
        <s v="2,12"/>
        <s v="8,44"/>
        <s v="3,86"/>
        <s v="36,98"/>
        <s v="37,23"/>
        <s v="32,17"/>
        <s v="39,04"/>
        <s v="24,78"/>
        <s v="62,06"/>
        <s v="21,9"/>
        <s v="3,89"/>
        <s v="38,84"/>
        <s v="25,59"/>
        <s v="15,68"/>
        <s v="63,2"/>
        <s v="30,03"/>
        <s v="12,15"/>
        <s v="11,26"/>
        <s v="26,22"/>
        <s v="2,28"/>
        <s v="49,9"/>
        <s v="28,95"/>
        <s v="13,83"/>
        <s v="16,63"/>
        <s v="11,18"/>
        <s v="15,71"/>
        <s v="10,67"/>
        <s v="62,55"/>
        <s v="11,25"/>
        <s v="16,38"/>
        <s v="25,01"/>
        <s v="15,98"/>
        <s v="22,67"/>
        <s v="65,44"/>
        <s v="10,64"/>
        <s v="11,78"/>
        <s v="10,89"/>
        <s v="3,28"/>
        <s v="13,72"/>
        <s v="12,3"/>
        <s v="14,27"/>
        <s v="5,36"/>
        <s v="35,6"/>
        <s v="15,32"/>
        <s v="10,71"/>
        <s v="29,78"/>
        <s v="41,09"/>
        <s v="55,9"/>
        <s v="16,56"/>
        <s v="11,29"/>
        <s v="11,01"/>
        <s v="2,52"/>
        <s v="52,58"/>
        <s v="23,51"/>
        <s v="22,82"/>
        <s v="26,4"/>
        <s v="13,07"/>
        <s v="4,7"/>
        <s v="2,25"/>
        <s v="12,37"/>
        <s v="26,32"/>
        <s v="34,95"/>
        <s v="16,88"/>
        <s v="19,93"/>
        <s v="44,34"/>
        <s v="48,79"/>
        <s v="40,24"/>
        <s v="63,18"/>
        <s v="14,44"/>
        <s v="14,02"/>
        <s v="19,6"/>
        <s v="26,54"/>
        <s v="34,34"/>
        <s v="53,27"/>
        <s v="32,7"/>
        <s v="14,58"/>
        <s v="38,09"/>
        <s v="3,57"/>
        <s v="40,46"/>
        <s v="46,32"/>
        <s v="12,52"/>
        <s v="13,24"/>
        <s v="4,38"/>
        <s v="31,58"/>
        <s v="23,17"/>
        <s v="18,22"/>
        <s v="1,84"/>
        <s v="2,93"/>
        <s v="20,53"/>
        <s v="12,5"/>
        <s v="15,48"/>
        <s v="37,22"/>
        <s v="43,31"/>
        <s v="14,74"/>
        <s v="29,02"/>
        <s v="11,74"/>
        <s v="30,78"/>
        <s v="26,02"/>
        <s v="60,36"/>
        <s v="22,64"/>
        <s v="36,72"/>
        <s v="12,03"/>
        <s v="46,55"/>
        <s v="14,88"/>
        <s v="4,56"/>
        <s v="41,76"/>
        <s v="10,14"/>
        <s v="34,37"/>
        <s v="51,5"/>
        <s v="56,92"/>
        <s v="48,63"/>
        <s v="25,05"/>
        <s v="27,42"/>
        <s v="55,27"/>
        <s v="29,99"/>
        <s v="31,21"/>
        <s v="40,7"/>
        <s v="48,33"/>
        <s v="40,02"/>
        <s v="10,07"/>
        <s v="64,9"/>
        <s v="37,17"/>
        <s v="56,28"/>
        <s v="10,48"/>
        <s v="4,25"/>
        <s v="3,9"/>
        <s v="64,94"/>
        <s v="21,84"/>
        <s v="34,55"/>
        <s v="1,37"/>
        <s v="10,43"/>
        <s v="29,36"/>
        <s v="11,88"/>
        <s v="12,49"/>
        <s v="28,05"/>
        <s v="10,78"/>
        <s v="66,49"/>
        <s v="48,93"/>
        <s v="44,33"/>
        <s v="30,01"/>
        <s v="75,94"/>
        <s v="1,67"/>
        <s v="25,52"/>
        <s v="42,86"/>
        <s v="16,37"/>
        <s v="49,68"/>
        <s v="57,79"/>
        <s v="14,22"/>
        <s v="29,15"/>
        <s v="12,26"/>
        <s v="26,01"/>
        <s v="14,2"/>
        <s v="56,68"/>
        <s v="32,06"/>
        <s v="21,24"/>
        <s v="16,54"/>
        <s v="58,65"/>
        <s v="10,47"/>
        <s v="18,32"/>
        <s v="17,37"/>
        <s v="27,89"/>
        <s v="18,64"/>
        <s v="14,77"/>
        <s v="29,22"/>
        <s v="15,89"/>
        <s v="3,22"/>
        <s v="65,88"/>
        <s v="12,41"/>
        <s v="11,96"/>
        <s v="12,6"/>
        <s v="37,73"/>
        <s v="12,59"/>
        <s v="55,75"/>
        <s v="2,26"/>
        <s v="11,77"/>
        <s v="13,53"/>
        <s v="31,1"/>
        <s v="32,68"/>
        <s v="5,34"/>
        <s v="42,18"/>
        <s v="62,25"/>
        <s v="14,72"/>
        <s v="17,66"/>
        <s v="15,42"/>
        <s v="72,92"/>
        <s v="19,8"/>
        <s v="76,7"/>
        <s v="43,62"/>
        <s v="11,85"/>
        <s v="14,14"/>
        <s v="76,16"/>
        <s v="9,2"/>
        <s v="50,95"/>
        <s v="2,71"/>
        <s v="3,49"/>
        <s v="40,26"/>
        <s v="34,6"/>
        <s v="56,72"/>
        <s v="29,79"/>
        <s v="68,89"/>
        <s v="24,86"/>
        <s v="76,29"/>
        <s v="2,05"/>
        <s v="17,02"/>
        <s v="14,42"/>
        <s v="26,62"/>
        <s v="14,06"/>
        <s v="36,75"/>
        <s v="18,44"/>
        <s v="71,27"/>
        <s v="38,76"/>
        <s v="34,39"/>
        <s v="53,56"/>
        <s v="11,55"/>
        <s v="12,9"/>
        <s v="50,22"/>
        <s v="12,46"/>
        <s v="32,22"/>
        <s v="38,95"/>
        <s v="10"/>
        <s v="29,94"/>
        <s v="12,97"/>
        <s v="66,92"/>
        <s v="34,32"/>
        <s v="16,09"/>
        <s v="39,28"/>
        <s v="35,35"/>
        <s v="17,52"/>
        <s v="33,87"/>
        <s v="4,12"/>
        <s v="16,33"/>
        <s v="3,75"/>
        <s v="11,63"/>
        <s v="33,94"/>
        <s v="19,53"/>
        <s v="14,79"/>
        <s v="49,07"/>
        <s v="58,94"/>
        <s v="11,86"/>
        <s v="15,77"/>
        <s v="44,01"/>
        <s v="31,54"/>
        <s v="11,91"/>
        <s v="15,23"/>
        <s v="10,63"/>
        <s v="51,47"/>
        <s v="32,26"/>
        <s v="31,3"/>
        <s v="24,7"/>
        <s v="10,19"/>
        <s v="25,9"/>
        <s v="77,05"/>
        <s v="26,21"/>
        <s v="10,83"/>
        <s v="12,4"/>
        <s v="12,23"/>
        <s v="26,58"/>
        <s v="54,2"/>
        <s v="46,82"/>
        <s v="23,67"/>
        <s v="18,31"/>
        <s v="57,38"/>
        <s v="11,75"/>
        <s v="38,8"/>
        <s v="12,21"/>
        <s v="3,79"/>
        <s v="15,11"/>
        <s v="10,18"/>
        <s v="12,7"/>
        <s v="69"/>
        <s v="1,48"/>
        <s v="51,31"/>
        <s v="46,58"/>
        <s v="8,5"/>
        <s v="23,98"/>
        <s v="31,6"/>
        <s v="57,97"/>
        <s v="14,85"/>
        <s v="25,39"/>
        <s v="38,62"/>
        <s v="20,33"/>
        <s v="17,51"/>
        <s v="10,17"/>
        <s v="39,62"/>
        <s v="39,24"/>
        <s v="12,92"/>
        <s v="11,31"/>
        <s v="11,03"/>
        <s v="31,64"/>
        <s v="64,53"/>
        <s v="55,69"/>
        <s v="2,59"/>
        <s v="30,94"/>
        <s v="2,43"/>
        <s v="31,76"/>
        <s v="13,05"/>
        <s v="4,91"/>
        <s v="19,03"/>
        <s v="12,75"/>
        <s v="69,69"/>
        <s v="30,15"/>
        <s v="31,4"/>
        <s v="41,99"/>
        <s v="11,52"/>
        <s v="15,8"/>
        <s v="38,57"/>
        <s v="39,47"/>
        <s v="13,6"/>
        <s v="4,94"/>
        <s v="2,81"/>
        <s v="39,86"/>
        <s v="48,24"/>
        <s v="10,46"/>
        <s v="10,68"/>
        <s v="4,08"/>
        <s v="11,67"/>
        <s v="24,93"/>
        <s v="14,26"/>
        <s v="23,47"/>
        <s v="27,39"/>
        <s v="12,68"/>
        <s v="27,86"/>
        <s v="16,73"/>
        <s v="25,03"/>
        <s v="19,19"/>
        <s v="11,54"/>
        <s v="41,88"/>
        <s v="10,6"/>
        <s v="16,59"/>
        <s v="41,04"/>
        <s v="11,11"/>
        <s v="15,92"/>
        <s v="31,44"/>
        <s v="36,27"/>
        <s v="31,01"/>
        <s v="5,21"/>
        <s v="59,32"/>
        <s v="14"/>
        <s v="26,5"/>
        <s v="60,34"/>
        <s v="61,1"/>
        <s v="33,66"/>
        <s v="16,2"/>
        <s v="17,03"/>
        <s v="29,06"/>
        <s v="13,74"/>
        <s v="29,3"/>
        <s v="4,27"/>
        <s v="41,63"/>
        <s v="26,57"/>
        <s v="47,73"/>
        <s v="52,25"/>
        <s v="14,96"/>
        <s v="23,19"/>
        <s v="27,82"/>
        <s v="59,43"/>
        <s v="11,7"/>
        <s v="32,05"/>
        <s v="47,12"/>
        <s v="60,68"/>
        <s v="36,47"/>
        <s v="50,9"/>
        <s v="12,31"/>
        <s v="69,47"/>
        <s v="14,43"/>
        <s v="35,79"/>
        <s v="13,97"/>
        <s v="36,13"/>
        <s v="17,49"/>
        <s v="37,15"/>
        <s v="15,51"/>
        <s v="10,76"/>
        <s v="14,13"/>
        <s v="23,9"/>
        <s v="52,9"/>
        <s v="11,79"/>
        <s v="63,09"/>
        <s v="8,9"/>
        <s v="73,99"/>
        <s v="36,28"/>
        <s v="15,25"/>
        <s v="21,44"/>
        <s v="11,56"/>
        <s v="19,74"/>
        <s v="52,15"/>
        <s v="11,9"/>
        <s v="11,84"/>
        <s v="50,7"/>
        <s v="3,96"/>
        <s v="16,92"/>
        <s v="12,07"/>
        <s v="37,75"/>
        <s v="18,28"/>
        <s v="23,03"/>
        <s v="20,65"/>
        <s v="2,04"/>
        <s v="29,04"/>
        <s v="27,47"/>
        <s v="33,89"/>
        <s v="59,58"/>
        <s v="10,35"/>
        <s v="58,19"/>
        <s v="1,76"/>
        <s v="14,95"/>
        <s v="10,81"/>
        <s v="12,29"/>
        <s v="2,61"/>
        <s v="12,61"/>
        <s v="37,14"/>
        <s v="14,66"/>
        <s v="14,15"/>
        <s v="12,09"/>
        <s v="16,8"/>
        <s v="5,14"/>
        <s v="38,14"/>
        <s v="18,35"/>
        <s v="1,49"/>
        <s v="31,51"/>
        <s v="46,4"/>
        <s v="1,3"/>
        <s v="52,01"/>
        <s v="4,33"/>
        <s v="41,45"/>
        <s v="35,08"/>
        <s v="27,02"/>
        <s v="15,54"/>
        <s v="14,71"/>
        <s v="10,55"/>
        <s v="10,3"/>
        <s v="46,74"/>
        <s v="40,18"/>
        <s v="1,7"/>
        <s v="12,06"/>
        <s v="38,86"/>
        <s v="29,61"/>
        <s v="3,33"/>
        <s v="7,16"/>
        <s v="10,16"/>
        <s v="14,8"/>
        <s v="32,56"/>
        <s v="27,78"/>
        <s v="13"/>
        <s v="27,07"/>
        <s v="14,93"/>
        <s v="67,87"/>
        <s v="14,75"/>
        <s v="17,34"/>
        <s v="3,37"/>
        <s v="39,93"/>
        <s v="4,02"/>
        <s v="35,07"/>
        <s v="19,18"/>
        <s v="11,83"/>
        <s v="32,1"/>
        <s v="46,29"/>
        <s v="3,19"/>
        <s v="65,14"/>
        <s v="26,13"/>
        <s v="34,7"/>
        <s v="11,97"/>
        <s v="11,64"/>
        <s v="41,64"/>
        <s v="17,65"/>
        <s v="16,05"/>
        <s v="30,14"/>
        <s v="25,49"/>
        <s v="11,76"/>
        <s v="23,1"/>
        <s v="23,38"/>
        <s v="20,13"/>
        <s v="15,76"/>
        <s v="29,83"/>
        <s v="21,86"/>
        <s v="28,66"/>
        <s v="37,81"/>
        <s v="5,24"/>
        <s v="15,62"/>
        <s v="16,49"/>
        <s v="21,42"/>
        <s v="38,2"/>
        <s v="18,66"/>
        <s v="30,32"/>
        <s v="25,53"/>
        <s v="47,91"/>
        <s v="14,08"/>
        <s v="10,77"/>
        <s v="4,1"/>
        <s v="38,58"/>
        <s v="4,54"/>
        <s v="27,63"/>
        <s v="28,67"/>
        <s v="20,52"/>
        <s v="53,44"/>
        <s v="22,9"/>
        <s v="10,25"/>
        <s v="36,03"/>
        <s v="20,61"/>
        <s v="10,41"/>
        <s v="56,47"/>
        <s v="32,69"/>
        <s v="10,44"/>
        <s v="36,46"/>
        <s v="12,62"/>
        <s v="22,06"/>
        <s v="39,19"/>
        <s v="48,85"/>
        <s v="34,01"/>
        <s v="76,21"/>
        <s v="18,37"/>
        <s v="4,64"/>
        <s v="57,77"/>
        <s v="3,23"/>
        <s v="1,52"/>
        <s v="24,35"/>
        <s v="3,71"/>
        <s v="19,91"/>
        <s v="9,93"/>
        <s v="13,21"/>
        <s v="13,23"/>
        <s v="73,16"/>
        <s v="11,02"/>
        <s v="13,9"/>
        <s v="68,65"/>
        <s v="20,59"/>
        <s v="41,7"/>
        <s v="14,9"/>
        <s v="15,52"/>
        <s v="47,64"/>
        <s v="27,34"/>
        <s v="16,52"/>
        <s v="30,02"/>
        <s v="39,02"/>
        <s v="3,25"/>
        <s v="68,3"/>
        <s v="47,88"/>
        <s v="12,64"/>
        <s v="58,54"/>
        <s v="32,9"/>
        <s v="29,44"/>
        <s v="69,53"/>
        <s v="3,68"/>
        <s v="13,33"/>
        <s v="10,34"/>
        <s v="26,67"/>
        <s v="14,34"/>
        <s v="47,66"/>
        <s v="18,79"/>
        <s v="33,65"/>
        <s v="12,71"/>
        <s v="62,74"/>
        <s v="50,67"/>
        <s v="12,11"/>
        <s v="14,35"/>
        <s v="59,63"/>
        <s v="3,73"/>
        <s v="10,54"/>
        <s v="16,39"/>
        <s v="43,82"/>
        <s v="72,42"/>
        <s v="30,98"/>
        <s v="14,78"/>
        <s v="46,48"/>
        <s v="5,22"/>
        <s v="30,12"/>
        <s v="13,17"/>
        <s v="40,5"/>
        <s v="21,54"/>
        <s v="18,63"/>
        <s v="4,79"/>
        <s v="12,87"/>
        <s v="2,57"/>
        <s v="16,89"/>
        <s v="31,87"/>
        <s v="11,37"/>
        <s v="35,96"/>
        <s v="32,28"/>
        <s v="19,57"/>
        <s v="5,35"/>
        <s v="12,18"/>
        <s v="12,78"/>
        <s v="30,25"/>
        <s v="23,68"/>
        <s v="2,85"/>
        <s v="32,41"/>
        <s v="29,42"/>
        <s v="2,96"/>
        <s v="3,03"/>
        <s v="3,67"/>
        <s v="25,78"/>
        <s v="7,56"/>
        <s v="28,13"/>
        <s v="41,5"/>
        <s v="28,18"/>
        <s v="19,82"/>
        <s v="24,98"/>
        <s v="17,88"/>
        <s v="10,52"/>
        <s v="2,62"/>
        <s v="30,76"/>
        <s v="3,61"/>
        <s v="21,75"/>
        <s v="12,84"/>
        <s v="13,67"/>
        <s v="32,55"/>
        <s v="12,86"/>
        <s v="5,27"/>
        <s v="13,88"/>
        <s v="30,3"/>
        <s v="32,82"/>
        <s v="54,68"/>
        <s v="8,16"/>
        <s v="64,88"/>
        <s v="33,51"/>
        <s v="4,62"/>
        <s v="34,18"/>
        <s v="10,73"/>
        <s v="33,54"/>
        <s v="37,78"/>
        <s v="69,83"/>
        <s v="14,25"/>
        <s v="31,34"/>
        <s v="13,62"/>
        <s v="30,9"/>
        <s v="30,2"/>
        <s v="19,29"/>
        <s v="2,39"/>
        <s v="75,13"/>
        <s v="5,31"/>
        <s v="54,72"/>
        <s v="2,44"/>
        <s v="36,62"/>
        <s v="10,59"/>
        <s v="15,03"/>
        <s v="37,83"/>
        <s v="22,66"/>
        <s v="36,82"/>
        <s v="60,83"/>
        <s v="13,81"/>
        <s v="51,65"/>
        <s v="38,93"/>
        <s v="46,44"/>
        <s v="2,42"/>
        <s v="14,98"/>
        <s v="40,52"/>
        <s v="14,48"/>
        <s v="29,81"/>
        <s v="32,24"/>
        <s v="24,91"/>
        <s v="13,76"/>
        <s v="44,68"/>
        <s v="29,31"/>
        <s v="10,99"/>
        <s v="2,83"/>
        <s v="35,76"/>
        <s v="16,61"/>
        <s v="25,54"/>
        <s v="70,68"/>
        <s v="20,72"/>
        <s v="29,09"/>
        <s v="23,04"/>
        <s v="3,98"/>
        <s v="27,32"/>
        <s v="3,21"/>
        <s v="37,67"/>
        <s v="22,75"/>
        <s v="12,89"/>
        <s v="3,85"/>
        <s v="36,54"/>
        <s v="24,32"/>
        <s v="28,65"/>
        <s v="15,45"/>
        <s v="13,66"/>
        <s v="2,5"/>
        <s v="10,49"/>
        <s v="19,48"/>
        <s v="34,92"/>
        <s v="30,05"/>
        <s v="14,32"/>
        <s v="14,91"/>
        <s v="49,67"/>
        <s v="66,35"/>
        <s v="14,53"/>
        <s v="12,04"/>
        <s v="14,45"/>
        <s v="41,03"/>
        <s v="14,01"/>
        <s v="12,17"/>
        <s v="59,3"/>
        <s v="63,55"/>
        <s v="27,22"/>
        <s v="26,03"/>
        <s v="51,69"/>
        <s v="31,66"/>
        <s v="3,14"/>
        <s v="7,91"/>
        <s v="26,05"/>
        <s v="11,69"/>
        <s v="12,67"/>
        <s v="26,74"/>
        <s v="17,54"/>
        <s v="18,33"/>
        <s v="16,47"/>
        <s v="13,69"/>
        <s v="34,11"/>
        <s v="48,37"/>
        <s v="35,63"/>
        <s v="14,56"/>
        <s v="15,05"/>
        <s v="7,1"/>
        <s v="10,61"/>
        <s v="31,25"/>
        <s v="21,55"/>
        <s v="10,5"/>
        <s v="10,31"/>
        <s v="21,13"/>
        <s v="33,81"/>
        <s v="29,52"/>
        <s v="56,49"/>
        <s v="58,77"/>
        <s v="1,93"/>
        <s v="2,58"/>
        <s v="10,91"/>
        <s v="3,6"/>
        <s v="15,2"/>
        <s v="3,92"/>
        <s v="11,42"/>
        <s v="38,98"/>
        <s v="11,95"/>
        <s v="3,17"/>
        <s v="57,91"/>
        <s v="17,67"/>
        <s v="22,72"/>
        <s v="51,9"/>
        <s v="61,54"/>
        <s v="11,65"/>
        <s v="2,84"/>
        <s v="12,13"/>
        <s v="40,21"/>
        <s v="56,8"/>
        <s v="28,47"/>
        <s v="43,59"/>
        <s v="3,84"/>
        <s v="34,54"/>
        <s v="2,47"/>
        <s v="14,97"/>
        <s v="40,28"/>
        <s v="11,5"/>
        <s v="15,14"/>
        <s v="26,47"/>
        <s v="32,64"/>
        <s v="12,19"/>
        <s v="49,78"/>
        <s v="34,56"/>
        <s v="21,35"/>
        <s v="25,57"/>
        <s v="15,86"/>
        <s v="18,45"/>
        <s v="68,85"/>
        <s v="21,69"/>
        <s v="35,38"/>
        <s v="18,56"/>
        <s v="80,28"/>
        <s v="67,65"/>
        <s v="32,92"/>
        <s v="77,3"/>
        <s v="15,1"/>
        <s v="47,14"/>
        <s v="36,61"/>
        <s v="16,94"/>
        <s v="20,23"/>
        <s v="64,66"/>
        <s v="10,33"/>
        <s v="12,44"/>
        <s v="28,96"/>
        <s v="39,75"/>
        <s v="46,36"/>
        <s v="10,42"/>
        <s v="60,55"/>
        <s v="65,54"/>
        <s v="50,85"/>
        <s v="17,29"/>
        <s v="13,85"/>
        <s v="53,79"/>
        <s v="17,04"/>
        <s v="18,65"/>
        <s v="22,44"/>
        <s v="79,47"/>
        <s v="52,79"/>
        <s v="53,3"/>
        <s v="69,63"/>
        <s v="47,76"/>
        <s v="20,77"/>
        <s v="2,38"/>
        <s v="3,18"/>
        <s v="74,68"/>
        <s v="42,2"/>
        <s v="41,14"/>
        <s v="35,31"/>
        <s v="10,88"/>
        <s v="74,26"/>
        <s v="4,05"/>
        <s v="11,32"/>
        <s v="18,43"/>
        <s v="22,18"/>
        <s v="34,13"/>
        <s v="10,65"/>
        <s v="12,32"/>
        <s v="65,27"/>
        <s v="16"/>
        <s v="33,33"/>
        <s v="32,79"/>
        <s v="29,75"/>
        <s v="64,4"/>
        <s v="4,06"/>
        <s v="5,41"/>
        <s v="15,58"/>
        <s v="14,36"/>
        <s v="49,32"/>
        <s v="51,91"/>
        <s v="60,53"/>
        <s v="16,26"/>
        <s v="3,26"/>
        <s v="10,74"/>
        <s v="56,57"/>
        <s v="69,01"/>
        <s v="14,65"/>
        <s v="46,9"/>
        <s v="12,57"/>
        <s v="20,45"/>
        <s v="45,16"/>
        <s v="9,29"/>
        <s v="3,41"/>
        <s v="32,47"/>
        <s v="69,3"/>
        <s v="10,72"/>
        <s v="11,92"/>
        <s v="23,22"/>
        <s v="60,6"/>
        <s v="1,71"/>
        <s v="17,07"/>
        <s v="53,37"/>
        <s v="77,94"/>
        <s v="29,29"/>
        <s v="33,88"/>
        <s v="13,87"/>
        <s v="13,25"/>
        <s v="67,79"/>
        <s v="1,55"/>
        <s v="19,7"/>
        <s v="18,36"/>
        <s v="62,16"/>
        <s v="28,59"/>
        <s v="49,97"/>
        <s v="37,03"/>
        <s v="12,05"/>
        <s v="14,17"/>
        <s v="15,74"/>
        <s v="36"/>
        <s v="16,08"/>
        <s v="27,53"/>
        <s v="30,08"/>
        <s v="27,73"/>
        <s v="75"/>
        <s v="14,87"/>
        <s v="4,44"/>
        <s v="52,71"/>
        <s v="38,72"/>
        <s v="3,54"/>
        <s v="4,75"/>
        <s v="21,37"/>
        <s v="19,69"/>
        <s v="35,57"/>
        <s v="16,07"/>
        <s v="27,19"/>
        <s v="37,35"/>
        <s v="49,31"/>
        <s v="3,38"/>
        <s v="14,83"/>
        <s v="19,64"/>
        <s v="29,46"/>
        <s v="60,74"/>
        <s v="21,46"/>
        <s v="3,06"/>
        <s v="27,87"/>
        <s v="59,82"/>
        <s v="28,55"/>
        <s v="20,35"/>
        <s v="32,6"/>
        <s v="18,89"/>
        <s v="29,23"/>
        <s v="10,32"/>
        <s v="74,48"/>
        <s v="57,22"/>
        <s v="41,96"/>
        <s v="25,27"/>
        <s v="3,45"/>
        <s v="55,73"/>
        <s v="40,48"/>
        <s v="11,8"/>
        <s v="2,55"/>
        <s v="11,98"/>
        <s v="36,14"/>
        <s v="2,49"/>
        <s v="23,8"/>
        <s v="1,43"/>
        <s v="28,87"/>
        <s v="1,97"/>
        <s v="78,94"/>
        <s v="2,16"/>
        <s v="21,83"/>
        <s v="15,15"/>
        <s v="40,66"/>
        <s v="11,73"/>
        <s v="28,85"/>
        <s v="12,55"/>
        <s v="38,19"/>
        <s v="13,63"/>
        <s v="33,48"/>
        <s v="52,94"/>
        <s v="47,36"/>
        <s v="44,79"/>
        <s v="10,24"/>
        <s v="57,2"/>
        <s v="22,05"/>
        <s v="15,41"/>
        <s v="51,2"/>
        <s v="41,27"/>
        <s v="19,68"/>
        <s v="11,19"/>
        <s v="27,17"/>
        <s v="71,8"/>
        <s v="12,54"/>
        <s v="18,69"/>
        <s v="40,89"/>
        <s v="24,87"/>
        <s v="28,17"/>
        <s v="35,34"/>
        <s v="52"/>
        <s v="25,62"/>
        <s v="2,87"/>
        <s v="30,65"/>
        <s v="10,75"/>
        <s v="21,74"/>
        <s v="31,08"/>
        <s v="19,17"/>
        <s v="35,14"/>
        <s v="14,19"/>
        <s v="33,99"/>
        <s v="54,76"/>
        <s v="4,24"/>
        <s v="13,47"/>
        <s v="33,38"/>
        <s v="15,4"/>
        <s v="26,81"/>
        <s v="31,12"/>
        <s v="11"/>
        <s v="25,79"/>
        <s v="23,29"/>
        <s v="13,41"/>
        <s v="36,42"/>
        <s v="12,35"/>
        <s v="63,81"/>
        <s v="25,1"/>
        <s v="19,1"/>
        <s v="3,58"/>
        <s v="51,7"/>
        <s v="41,41"/>
        <s v="2,68"/>
        <s v="31,46"/>
        <s v="11,81"/>
        <s v="77,01"/>
        <s v="40,39"/>
        <s v="4,83"/>
        <s v="13,4"/>
        <s v="15,73"/>
        <s v="33,83"/>
        <s v="12,81"/>
        <s v="24,73"/>
        <s v="22,97"/>
        <s v="6,85"/>
        <s v="32,37"/>
        <s v="42,79"/>
        <s v="42,19"/>
        <s v="61,61"/>
        <s v="10,62"/>
        <s v="38,67"/>
        <s v="5,38"/>
        <s v="41,3"/>
        <s v="1,91"/>
        <s v="13,78"/>
        <s v="69,19"/>
        <s v="37,49"/>
        <s v="44,95"/>
        <s v="28,41"/>
        <s v="47,04"/>
        <s v="69,52"/>
        <s v="19,72"/>
        <s v="66,8"/>
        <s v="3,66"/>
        <s v="17,77"/>
        <s v="3,32"/>
        <s v="55,74"/>
        <s v="32,38"/>
        <s v="24,99"/>
        <s v="12,93"/>
        <s v="79,64"/>
        <s v="45,26"/>
        <s v="40,71"/>
        <s v="19,23"/>
        <s v="15,72"/>
        <s v="40,58"/>
        <s v="27,29"/>
        <s v="39,37"/>
        <s v="15,08"/>
        <s v="13,95"/>
        <s v="13,59"/>
        <s v="15,66"/>
        <s v="33,32"/>
        <s v="15,24"/>
        <s v="12,2"/>
        <s v="17,96"/>
        <s v="2,32"/>
        <s v="19,26"/>
        <s v="2,33"/>
        <s v="35,24"/>
        <s v="32,54"/>
        <s v="18,72"/>
        <s v="33,86"/>
        <s v="69,62"/>
        <s v="39,42"/>
        <s v="37,5"/>
        <s v="31,67"/>
        <s v="13,44"/>
        <s v="2,31"/>
        <s v="14,49"/>
        <s v="32,12"/>
        <s v="1,39"/>
        <s v="15,87"/>
        <s v="5,4"/>
        <s v="10,21"/>
        <s v="11,59"/>
        <s v="34,61"/>
        <s v="2,45"/>
        <s v="12,24"/>
        <s v="29,28"/>
        <s v="54,34"/>
        <s v="30,89"/>
        <s v="18,07"/>
        <s v="2,34"/>
        <s v="32,71"/>
        <s v="17,14"/>
        <s v="19,22"/>
        <s v="70,04"/>
        <s v="19,84"/>
        <s v="53,87"/>
        <s v="41,8"/>
        <s v="2,19"/>
        <s v="34,23"/>
        <s v="15,91"/>
        <s v="15,07"/>
        <s v="19,36"/>
        <s v="30,41"/>
        <s v="60,88"/>
        <s v="41,61"/>
        <s v="29,2"/>
        <s v="60,02"/>
        <s v="37,57"/>
        <s v="63,78"/>
        <s v="27,37"/>
        <s v="32,65"/>
        <s v="4,31"/>
        <s v="28,81"/>
        <s v="57,49"/>
        <s v="17,05"/>
        <s v="21,57"/>
        <s v="63,3"/>
        <s v="33,16"/>
        <s v="30,84"/>
        <s v="31,5"/>
        <s v="14,24"/>
        <s v="3,39"/>
        <s v="16,51"/>
        <s v="39,29"/>
        <s v="13,15"/>
        <s v="17,24"/>
        <s v="36,32"/>
        <s v="30,64"/>
        <s v="2,4"/>
        <s v="39,01"/>
        <s v="33,17"/>
        <s v="59,17"/>
        <s v="12,72"/>
        <s v="59,4"/>
        <s v="16,32"/>
        <s v="30,42"/>
        <s v="68,76"/>
        <s v="28,23"/>
        <s v="54,36"/>
        <s v="22,59"/>
        <s v="14,41"/>
        <s v="18,97"/>
        <s v="76,14"/>
        <s v="18,8"/>
        <s v="67,05"/>
        <s v="67,93"/>
        <s v="2,54"/>
        <s v="10,93"/>
        <s v="18,53"/>
        <s v="3,7"/>
        <s v="4,59"/>
        <s v="46,23"/>
        <s v="36,81"/>
        <s v="48,46"/>
        <s v="14,52"/>
        <s v="62,35"/>
        <s v="72,29"/>
        <s v="41,67"/>
        <s v="12,63"/>
        <s v="28,14"/>
        <s v="35,77"/>
        <s v="53,66"/>
        <s v="16,46"/>
        <s v="39,1"/>
        <s v="13,55"/>
        <s v="31,24"/>
        <s v="16,25"/>
        <s v="20,58"/>
        <s v="22,1"/>
        <s v="64,95"/>
        <s v="22,92"/>
        <s v="55,97"/>
        <s v="39,8"/>
        <s v="27,94"/>
        <s v="43,53"/>
        <s v="10,27"/>
        <s v="34,16"/>
        <s v="11,71"/>
        <s v="14,12"/>
        <s v="13,02"/>
        <s v="56,44"/>
        <s v="47,57"/>
        <s v="34,73"/>
        <s v="13,26"/>
        <s v="19,73"/>
        <s v="4,8"/>
        <s v="16,77"/>
        <s v="22,33"/>
        <s v="14,21"/>
        <s v="3,05"/>
        <s v="14,81"/>
        <s v="56,13"/>
        <s v="14,68"/>
        <s v="36,17"/>
        <s v="34,48"/>
        <s v="21,01"/>
        <s v="53,45"/>
        <s v="75,41"/>
        <s v="2,94"/>
        <s v="12,73"/>
        <s v="12,28"/>
        <s v="70,26"/>
        <s v="28,38"/>
        <s v="56,81"/>
        <s v="11,48"/>
        <s v="20,16"/>
        <s v="41,57"/>
        <s v="16,43"/>
        <s v="29,87"/>
        <s v="17,69"/>
        <s v="39,88"/>
        <s v="52,77"/>
        <s v="39,74"/>
        <s v="10,12"/>
        <s v="47,9"/>
        <s v="11,89"/>
        <s v="47,93"/>
        <s v="16,85"/>
        <s v="16,45"/>
        <s v="21,96"/>
        <s v="27,27"/>
        <s v="11,23"/>
        <s v="49,73"/>
        <s v="21,04"/>
        <s v="17,42"/>
        <s v="7,97"/>
        <s v="2,99"/>
        <s v="65,39"/>
        <s v="15,12"/>
        <s v="13,79"/>
        <s v="34,8"/>
        <s v="38,41"/>
        <s v="4,18"/>
        <s v="66,64"/>
        <s v="32,44"/>
        <s v="36,84"/>
        <s v="28,6"/>
        <s v="4,14"/>
        <s v="28,75"/>
        <s v="1,54"/>
        <s v="26,42"/>
        <s v="19,38"/>
        <s v="2,74"/>
        <s v="16,21"/>
        <s v="33,53"/>
        <s v="17,08"/>
        <s v="33,62"/>
        <s v="59,5"/>
        <s v="22,41"/>
        <s v="72,01"/>
        <s v="32,27"/>
        <s v="18,01"/>
        <s v="11,94"/>
        <s v="14,92"/>
        <s v="49,41"/>
        <s v="71,1"/>
        <s v="45,32"/>
        <s v="20,29"/>
        <s v="29,55"/>
        <s v="51,07"/>
        <s v="32,09"/>
        <s v="43,63"/>
        <s v="32,03"/>
        <s v="46,98"/>
        <s v="56"/>
        <s v="14,18"/>
        <s v="40,62"/>
        <s v="42,9"/>
        <s v="33,05"/>
        <s v="45,96"/>
        <s v="25,63"/>
        <s v="46,42"/>
        <s v="1,6"/>
        <s v="62,29"/>
        <s v="21,47"/>
        <s v="14,33"/>
        <s v="70,09"/>
        <s v="40,85"/>
        <s v="1,36"/>
        <s v="5,3"/>
        <s v="76,78"/>
        <s v="64,85"/>
        <s v="30,86"/>
        <s v="13,32"/>
        <s v="31,68"/>
        <s v="56,87"/>
        <s v="74,74"/>
        <s v="35"/>
        <s v="32,39"/>
        <s v="12,48"/>
        <s v="2,2"/>
        <s v="36,95"/>
        <s v="26,99"/>
        <s v="15,13"/>
        <s v="18,14"/>
        <s v="48,16"/>
        <s v="12,98"/>
        <s v="8,27"/>
        <s v="20,97"/>
        <s v="11,62"/>
        <s v="18,67"/>
        <s v="63,88"/>
        <s v="12,91"/>
        <s v="52,31"/>
        <s v="18,08"/>
        <s v="45,04"/>
        <s v="28,48"/>
        <s v="30,18"/>
        <s v="37,94"/>
        <s v="20,7"/>
        <s v="15"/>
        <s v="2,07"/>
        <s v="22,02"/>
        <s v="54,78"/>
        <s v="13,91"/>
        <s v="9,46"/>
        <s v="31,59"/>
        <s v="13,56"/>
        <s v="7,61"/>
        <s v="23,62"/>
        <s v="11,68"/>
        <s v="28,2"/>
        <s v="12,47"/>
        <s v="51,35"/>
        <s v="39,91"/>
        <s v="36,26"/>
        <s v="14,16"/>
        <s v="2,7"/>
        <s v="33,85"/>
        <s v="37,74"/>
        <s v="34,94"/>
        <s v="39,3"/>
        <s v="14,39"/>
        <s v="32,5"/>
        <s v="37,24"/>
        <s v="16,57"/>
        <s v="3,78"/>
        <s v="78,34"/>
        <s v="40,34"/>
        <s v="29,1"/>
        <s v="68,13"/>
        <s v="12,82"/>
        <s v="57,47"/>
        <s v="16,48"/>
        <s v="68,36"/>
        <s v="21,18"/>
        <s v="40,4"/>
        <s v="15,65"/>
        <s v="29,51"/>
        <s v="41,32"/>
        <s v="9,52"/>
        <s v="10,38"/>
        <s v="33,68"/>
        <s v="15,09"/>
        <s v="16,81"/>
        <s v="46,22"/>
        <s v="53,78"/>
        <s v="10,29"/>
        <s v="15,02"/>
        <s v="1,96"/>
        <s v="12,36"/>
        <s v="14,63"/>
        <s v="71,01"/>
        <s v="15,67"/>
        <s v="61,21"/>
        <s v="53,14"/>
        <s v="31,62"/>
        <s v="42,85"/>
        <s v="15,85"/>
        <s v="61,07"/>
        <s v="3,91"/>
        <s v="56,59"/>
        <s v="4,61"/>
        <s v="13,7"/>
        <s v="22,15"/>
        <s v="38,65"/>
        <s v="39,64"/>
        <s v="27,35"/>
        <s v="25,34"/>
        <s v="41,79"/>
        <s v="31,86"/>
        <s v="36,41"/>
        <s v="35,01"/>
        <s v="12,33"/>
        <s v="29,64"/>
        <s v="19,75"/>
        <s v="36,04"/>
        <s v="18,51"/>
        <s v="17,94"/>
        <s v="19,52"/>
        <s v="43,74"/>
        <s v="35,22"/>
        <s v="26,86"/>
        <s v="61,78"/>
        <s v="1,79"/>
        <s v="13,8"/>
        <s v="78,91"/>
        <s v="37,34"/>
        <s v="14,05"/>
        <s v="54,64"/>
        <s v="24,82"/>
        <s v="40,82"/>
        <s v="55,41"/>
        <s v="36,23"/>
        <s v="27,16"/>
        <s v="37,16"/>
        <s v="54,7"/>
        <s v="47,17"/>
        <s v="35,02"/>
        <s v="9,68"/>
        <s v="13,45"/>
        <s v="14,51"/>
        <s v="5,32"/>
        <s v="31,28"/>
        <s v="4,35"/>
        <s v="11,09"/>
        <s v="33,28"/>
        <s v="12"/>
        <s v="31,15"/>
        <s v="20,18"/>
        <s v="31,2"/>
        <s v="60,44"/>
        <s v="19,04"/>
        <s v="25,43"/>
        <s v="30,09"/>
        <s v="10,9"/>
        <s v="33,96"/>
        <s v="31,99"/>
        <s v="39,58"/>
        <s v="16,95"/>
        <s v="39,54"/>
        <s v="1,94"/>
        <s v="13,3"/>
        <s v="21,53"/>
        <s v="30,19"/>
        <s v="49,11"/>
        <s v="8,93"/>
        <s v="42,34"/>
        <s v="38,48"/>
        <s v="12,1"/>
        <s v="7,47"/>
        <s v="17,39"/>
        <s v="1,41"/>
        <s v="39,52"/>
        <s v="26,12"/>
        <s v="25,38"/>
        <s v="49,05"/>
        <s v="28,01"/>
        <s v="54,18"/>
        <s v="27,74"/>
        <s v="11,93"/>
        <s v="80,04"/>
        <s v="24,07"/>
        <s v="3,35"/>
        <s v="18,62"/>
        <s v="11,16"/>
        <s v="5"/>
        <s v="34,78"/>
        <s v="17,55"/>
        <s v="17,91"/>
        <s v="73,96"/>
        <s v="19,28"/>
        <s v="15,57"/>
        <s v="12,51"/>
        <s v="3,64"/>
        <s v="23,66"/>
        <s v="29,11"/>
        <s v="17,63"/>
        <s v="26,88"/>
        <s v="35,86"/>
        <s v="34,28"/>
        <s v="43,57"/>
        <s v="3,4"/>
        <s v="52,46"/>
        <s v="34,98"/>
        <s v="3,31"/>
        <s v="24,53"/>
        <s v="43,3"/>
        <s v="20,5"/>
        <s v="40,93"/>
        <s v="36,69"/>
        <s v="20,88"/>
        <s v="13,22"/>
        <s v="Preco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G2003" sheet="mercado_acoes"/>
  </cacheSource>
  <cacheFields>
    <cacheField name="Leonardo Ferreira" numFmtId="0">
      <sharedItems containsBlank="1">
        <s v="Leonardo Ferreira"/>
        <s v="Isabella Ferreira"/>
        <s v="Mateus Santos"/>
        <s v="Rodrigo Pereira"/>
        <s v="Bruno Rodrigues"/>
        <s v="Ana Santos"/>
        <s v="Marcos Rocha"/>
        <s v="Laura Lima"/>
        <s v="Giovanna Gomes"/>
        <s v="Eduardo Pereira"/>
        <s v="Gustavo Costa"/>
        <s v="Giovanna Rocha"/>
        <s v="Beatriz Silva"/>
        <s v="Guilherme Ferreira"/>
        <s v="Felipe Ribeiro"/>
        <s v="Gabriel Machado"/>
        <s v="Gabriela Costa"/>
        <s v="Beatriz Ribeiro"/>
        <s v="Sofia Melo"/>
        <s v="Felipe Santos"/>
        <s v="Camila Pereira"/>
        <s v="Luiza Costa"/>
        <s v="Isabella Almeida"/>
        <s v="Rodrigo Lima"/>
        <s v="Eduardo Silva"/>
        <s v="Gabriela Melo"/>
        <s v="Giovanna Carvalho"/>
        <s v="Rafael Cardoso"/>
        <s v="Gabriela Pereira"/>
        <s v="Larissa Gomes"/>
        <s v="Larissa Souza"/>
        <s v="Gabriel Oliveira"/>
        <s v="Gustavo Souza"/>
        <s v="Lucas Ribeiro"/>
        <s v="Isabella Silva"/>
        <s v="Clara Pereira"/>
        <s v="Rodrigo Cardoso"/>
        <s v="Luiza Souza"/>
        <s v="Amanda Rocha"/>
        <s v="Ana Ferreira"/>
        <s v="Luis Rocha"/>
        <s v="Leonardo Souza"/>
        <s v="Mateus Silva"/>
        <s v="Pedro Silva"/>
        <s v="Leonardo Ribeiro"/>
        <s v="Rafael Rocha"/>
        <s v="Camila Rocha"/>
        <s v="Camila Oliveira"/>
        <s v="Lucas Costa"/>
        <s v="Giovanna Pereira"/>
        <s v="Gustavo Santos"/>
        <s v="Amanda Santos"/>
        <s v="Julia Martins"/>
        <s v="Rafael Oliveira"/>
        <s v="Ana Oliveira"/>
        <s v="Marcos Costa"/>
        <s v="Alice Machado"/>
        <s v="Gabriela Almeida"/>
        <s v="Luis Lima"/>
        <s v="Camila Souza"/>
        <s v="Marcos Souza"/>
        <s v="Mateus Gomes"/>
        <s v="Guilherme Fonseca"/>
        <s v="Felipe Silva"/>
        <s v="Bruno Melo"/>
        <s v="Marcos Lima"/>
        <s v="Amanda Almeida"/>
        <s v="Ana Carvalho"/>
        <s v="Gabriela Mendes"/>
        <s v="Larissa Carvalho"/>
        <s v="Beatriz Almeida"/>
        <s v="Clara Costa"/>
        <s v="Amanda Mendes"/>
        <s v="Felipe Oliveira"/>
        <s v="Gabriel Fonseca"/>
        <s v="Julia Santos"/>
        <s v="Guilherme Oliveira"/>
        <s v="Sofia Mendes"/>
        <s v="Guilherme Silva"/>
        <s v="Eduardo Fonseca"/>
        <s v="Rodrigo Melo"/>
        <s v="Leonardo Almeida"/>
        <s v="Camila Lima"/>
        <s v="Laura Rodrigues"/>
        <s v="Pedro Lima"/>
        <s v="Lucas Cardoso"/>
        <s v="Nome Cliente"/>
        <m/>
      </sharedItems>
    </cacheField>
    <cacheField name="leonardo.ferreira67@exemplo.com" numFmtId="0">
      <sharedItems containsBlank="1">
        <s v="leonardo.ferreira67@exemplo.com"/>
        <s v="isabella.ferreira95@exemplo.com"/>
        <s v="mateus.santos41@exemplo.com"/>
        <s v="rodrigo.pereira12@exemplo.com"/>
        <s v="bruno.rodrigues89@exemplo.com"/>
        <s v="ana.santos99@exemplo.com"/>
        <s v="marcos.rocha41@exemplo.com"/>
        <s v="laura.lima68@exemplo.com"/>
        <s v="giovanna.gomes22@exemplo.com"/>
        <s v="eduardo.pereira13@exemplo.com"/>
        <s v="gustavo.costa83@exemplo.com"/>
        <s v="giovanna.rocha93@exemplo.com"/>
        <s v="beatriz.silva61@exemplo.com"/>
        <s v="guilherme.ferreira50@exemplo.com"/>
        <s v="felipe.ribeiro44@exemplo.com"/>
        <s v="gabriel.machado40@exemplo.com"/>
        <s v="gabriela.costa15@exemplo.com"/>
        <s v="beatriz.ribeiro6@exemplo.com"/>
        <s v="sofia.melo10@exemplo.com"/>
        <s v="felipe.santos70@exemplo.com"/>
        <s v="camila.pereira21@exemplo.com"/>
        <s v="luiza.costa78@exemplo.com"/>
        <s v="isabella.almeida63@exemplo.com"/>
        <s v="rodrigo.lima45@exemplo.com"/>
        <s v="eduardo.silva54@exemplo.com"/>
        <s v="gabriela.melo17@exemplo.com"/>
        <s v="giovanna.carvalho88@exemplo.com"/>
        <s v="rafael.cardoso85@exemplo.com"/>
        <s v="gabriela.pereira44@exemplo.com"/>
        <s v="larissa.gomes94@exemplo.com"/>
        <s v="larissa.souza29@exemplo.com"/>
        <s v="gabriel.oliveira13@exemplo.com"/>
        <s v="gustavo.souza88@exemplo.com"/>
        <s v="lucas.ribeiro15@exemplo.com"/>
        <s v="isabella.silva63@exemplo.com"/>
        <s v="clara.pereira11@exemplo.com"/>
        <s v="rodrigo.cardoso48@exemplo.com"/>
        <s v="luiza.souza53@exemplo.com"/>
        <s v="amanda.rocha53@exemplo.com"/>
        <s v="gabriela.pereira87@exemplo.com"/>
        <s v="ana.ferreira30@exemplo.com"/>
        <s v="clara.pereira30@exemplo.com"/>
        <s v="luis.rocha1@exemplo.com"/>
        <s v="leonardo.souza93@exemplo.com"/>
        <s v="mateus.silva8@exemplo.com"/>
        <s v="pedro.silva50@exemplo.com"/>
        <s v="leonardo.ribeiro64@exemplo.com"/>
        <s v="sofia.melo78@exemplo.com"/>
        <s v="rafael.rocha93@exemplo.com"/>
        <s v="camila.rocha10@exemplo.com"/>
        <s v="camila.oliveira84@exemplo.com"/>
        <s v="lucas.costa80@exemplo.com"/>
        <s v="giovanna.pereira73@exemplo.com"/>
        <s v="gustavo.santos79@exemplo.com"/>
        <s v="amanda.santos76@exemplo.com"/>
        <s v="julia.martins14@exemplo.com"/>
        <s v="clara.pereira12@exemplo.com"/>
        <s v="rafael.oliveira88@exemplo.com"/>
        <s v="ana.oliveira96@exemplo.com"/>
        <s v="marcos.costa57@exemplo.com"/>
        <s v="alice.machado47@exemplo.com"/>
        <s v="gabriela.almeida7@exemplo.com"/>
        <s v="luis.lima28@exemplo.com"/>
        <s v="camila.souza82@exemplo.com"/>
        <s v="marcos.souza65@exemplo.com"/>
        <s v="mateus.gomes98@exemplo.com"/>
        <s v="guilherme.fonseca27@exemplo.com"/>
        <s v="sofia.melo31@exemplo.com"/>
        <s v="laura.lima25@exemplo.com"/>
        <s v="felipe.silva52@exemplo.com"/>
        <s v="mateus.gomes40@exemplo.com"/>
        <s v="bruno.melo27@exemplo.com"/>
        <s v="marcos.lima55@exemplo.com"/>
        <s v="larissa.gomes18@exemplo.com"/>
        <s v="amanda.almeida25@exemplo.com"/>
        <s v="ana.carvalho5@exemplo.com"/>
        <s v="larissa.gomes98@exemplo.com"/>
        <s v="gabriela.mendes90@exemplo.com"/>
        <s v="larissa.carvalho96@exemplo.com"/>
        <s v="beatriz.almeida66@exemplo.com"/>
        <s v="clara.costa91@exemplo.com"/>
        <s v="amanda.mendes49@exemplo.com"/>
        <s v="felipe.oliveira37@exemplo.com"/>
        <s v="gabriel.fonseca66@exemplo.com"/>
        <s v="julia.santos76@exemplo.com"/>
        <s v="guilherme.oliveira36@exemplo.com"/>
        <s v="sofia.mendes47@exemplo.com"/>
        <s v="gabriela.costa24@exemplo.com"/>
        <s v="guilherme.silva74@exemplo.com"/>
        <s v="eduardo.fonseca58@exemplo.com"/>
        <s v="rodrigo.melo22@exemplo.com"/>
        <s v="rodrigo.melo72@exemplo.com"/>
        <s v="leonardo.almeida31@exemplo.com"/>
        <s v="giovanna.gomes34@exemplo.com"/>
        <s v="camila.lima44@exemplo.com"/>
        <s v="beatriz.ribeiro50@exemplo.com"/>
        <s v="laura.rodrigues54@exemplo.com"/>
        <s v="camila.souza43@exemplo.com"/>
        <s v="pedro.lima14@exemplo.com"/>
        <s v="lucas.cardoso77@exemplo.com"/>
        <s v="Email Cliente"/>
        <m/>
      </sharedItems>
    </cacheField>
    <cacheField name="Venda" numFmtId="164">
      <sharedItems containsBlank="1">
        <s v="Venda"/>
        <s v="Compra"/>
        <s v="Operação"/>
        <m/>
      </sharedItems>
    </cacheField>
    <cacheField name="RENT3" numFmtId="0">
      <sharedItems containsBlank="1">
        <s v="VIVT3"/>
        <s v="B3SA3"/>
        <s v="CSAN3"/>
        <s v="JBSS3"/>
        <s v="ABEV3"/>
        <s v="LREN3"/>
        <s v="BHIA3"/>
        <s v="BBDC4"/>
        <s v="WEGE3"/>
        <s v="RENT3"/>
        <s v="TAEE4"/>
        <s v="ITUB4"/>
        <s v="VALE3"/>
        <s v="IGTA3"/>
        <s v="CPFE3"/>
        <s v="HAPV3"/>
        <s v="SANB11"/>
        <s v="PETR4"/>
        <s v="MGLU3"/>
        <s v="BBAS3"/>
        <s v="Stiker"/>
        <m/>
      </sharedItems>
    </cacheField>
    <cacheField name="65,02" numFmtId="49">
      <sharedItems containsBlank="1">
        <s v="37,56"/>
        <s v="10,51"/>
        <s v="18,4"/>
        <s v="15,9"/>
        <s v="13,34"/>
        <s v="16,55"/>
        <s v="8,98"/>
        <s v="16,3"/>
        <s v="42,04"/>
        <s v="68,56"/>
        <s v="8,52"/>
        <s v="13,48"/>
        <s v="11,66"/>
        <s v="15,16"/>
        <s v="18,3"/>
        <s v="15,01"/>
        <s v="8,87"/>
        <s v="13,36"/>
        <s v="24,51"/>
        <s v="69,74"/>
        <s v="11,45"/>
        <s v="10,57"/>
        <s v="33,08"/>
        <s v="36,01"/>
        <s v="10,87"/>
        <s v="34,22"/>
        <s v="38,39"/>
        <s v="21,33"/>
        <s v="3,04"/>
        <s v="35,98"/>
        <s v="4,3"/>
        <s v="17,61"/>
        <s v="39,57"/>
        <s v="47,61"/>
        <s v="12,95"/>
        <s v="63,19"/>
        <s v="38,92"/>
        <s v="14,47"/>
        <s v="28,15"/>
        <s v="20,41"/>
        <s v="21,59"/>
        <s v="38,03"/>
        <s v="19,16"/>
        <s v="39,66"/>
        <s v="14,07"/>
        <s v="25,68"/>
        <s v="13,08"/>
        <s v="38,54"/>
        <s v="60,17"/>
        <s v="32,67"/>
        <s v="18,42"/>
        <s v="58,5"/>
        <s v="28,31"/>
        <s v="20,55"/>
        <s v="34,47"/>
        <s v="28,68"/>
        <s v="75,56"/>
        <s v="27,96"/>
        <s v="10,53"/>
        <s v="78,26"/>
        <s v="26,72"/>
        <s v="6,78"/>
        <s v="61,74"/>
        <s v="8,74"/>
        <s v="3,48"/>
        <s v="29,89"/>
        <s v="2,17"/>
        <s v="39,41"/>
        <s v="32,32"/>
        <s v="30,81"/>
        <s v="27,62"/>
        <s v="18,52"/>
        <s v="3,83"/>
        <s v="14,11"/>
        <s v="10,69"/>
        <s v="13,84"/>
        <s v="10,56"/>
        <s v="16,36"/>
        <s v="30,74"/>
        <s v="31,14"/>
        <s v="13,27"/>
        <s v="4,11"/>
        <s v="17,25"/>
        <s v="32,99"/>
        <s v="11,61"/>
        <s v="69,58"/>
        <s v="65,19"/>
        <s v="38,91"/>
        <s v="21,05"/>
        <s v="32,48"/>
        <s v="20,69"/>
        <s v="4,36"/>
        <s v="55,15"/>
        <s v="33,5"/>
        <s v="10,84"/>
        <s v="16,06"/>
        <s v="3,09"/>
        <s v="15,88"/>
        <s v="10,26"/>
        <s v="2,95"/>
        <s v="18,82"/>
        <s v="20,32"/>
        <s v="24,74"/>
        <s v="33,45"/>
        <s v="56,69"/>
        <s v="37,38"/>
        <s v="31,23"/>
        <s v="36,51"/>
        <s v="27,43"/>
        <s v="72,37"/>
        <s v="26,77"/>
        <s v="44,27"/>
        <s v="44,93"/>
        <s v="19,5"/>
        <s v="1,78"/>
        <s v="69,22"/>
        <s v="10,39"/>
        <s v="76,07"/>
        <s v="39,31"/>
        <s v="37,63"/>
        <s v="37,71"/>
        <s v="75,71"/>
        <s v="2,12"/>
        <s v="8,44"/>
        <s v="3,86"/>
        <s v="36,98"/>
        <s v="37,23"/>
        <s v="32,17"/>
        <s v="39,04"/>
        <s v="24,78"/>
        <s v="62,06"/>
        <s v="21,9"/>
        <s v="3,89"/>
        <s v="38,84"/>
        <s v="25,59"/>
        <s v="15,68"/>
        <s v="63,2"/>
        <s v="30,03"/>
        <s v="12,15"/>
        <s v="11,26"/>
        <s v="26,22"/>
        <s v="2,28"/>
        <s v="49,9"/>
        <s v="28,95"/>
        <s v="13,83"/>
        <s v="16,63"/>
        <s v="11,18"/>
        <s v="15,71"/>
        <s v="10,67"/>
        <s v="62,55"/>
        <s v="11,25"/>
        <s v="16,38"/>
        <s v="25,01"/>
        <s v="15,98"/>
        <s v="22,67"/>
        <s v="65,44"/>
        <s v="10,64"/>
        <s v="11,78"/>
        <s v="10,89"/>
        <s v="3,28"/>
        <s v="13,72"/>
        <s v="12,3"/>
        <s v="14,27"/>
        <s v="5,36"/>
        <s v="35,6"/>
        <s v="15,32"/>
        <s v="10,71"/>
        <s v="29,78"/>
        <s v="41,09"/>
        <s v="55,9"/>
        <s v="16,56"/>
        <s v="11,29"/>
        <s v="11,01"/>
        <s v="2,52"/>
        <s v="52,58"/>
        <s v="23,51"/>
        <s v="22,82"/>
        <s v="26,4"/>
        <s v="13,07"/>
        <s v="4,7"/>
        <s v="2,25"/>
        <s v="12,37"/>
        <s v="26,32"/>
        <s v="34,95"/>
        <s v="16,88"/>
        <s v="19,93"/>
        <s v="44,34"/>
        <s v="48,79"/>
        <s v="40,24"/>
        <s v="63,18"/>
        <s v="14,44"/>
        <s v="14,02"/>
        <s v="19,6"/>
        <s v="26,54"/>
        <s v="34,34"/>
        <s v="53,27"/>
        <s v="32,7"/>
        <s v="14,58"/>
        <s v="38,09"/>
        <s v="3,57"/>
        <s v="40,46"/>
        <s v="46,32"/>
        <s v="12,52"/>
        <s v="13,24"/>
        <s v="4,38"/>
        <s v="31,58"/>
        <s v="23,17"/>
        <s v="18,22"/>
        <s v="1,84"/>
        <s v="2,93"/>
        <s v="20,53"/>
        <s v="12,5"/>
        <s v="15,48"/>
        <s v="37,22"/>
        <s v="43,31"/>
        <s v="14,74"/>
        <s v="29,02"/>
        <s v="11,74"/>
        <s v="30,78"/>
        <s v="26,02"/>
        <s v="60,36"/>
        <s v="22,64"/>
        <s v="36,72"/>
        <s v="12,03"/>
        <s v="46,55"/>
        <s v="14,88"/>
        <s v="4,56"/>
        <s v="41,76"/>
        <s v="10,14"/>
        <s v="34,37"/>
        <s v="51,5"/>
        <s v="56,92"/>
        <s v="48,63"/>
        <s v="25,05"/>
        <s v="27,42"/>
        <s v="55,27"/>
        <s v="29,99"/>
        <s v="31,21"/>
        <s v="40,7"/>
        <s v="48,33"/>
        <s v="40,02"/>
        <s v="10,07"/>
        <s v="64,9"/>
        <s v="37,17"/>
        <s v="56,28"/>
        <s v="10,48"/>
        <s v="4,25"/>
        <s v="3,9"/>
        <s v="64,94"/>
        <s v="21,84"/>
        <s v="34,55"/>
        <s v="1,37"/>
        <s v="10,43"/>
        <s v="29,36"/>
        <s v="11,88"/>
        <s v="12,49"/>
        <s v="28,05"/>
        <s v="10,78"/>
        <s v="66,49"/>
        <s v="48,93"/>
        <s v="44,33"/>
        <s v="30,01"/>
        <s v="75,94"/>
        <s v="1,67"/>
        <s v="25,52"/>
        <s v="42,86"/>
        <s v="16,37"/>
        <s v="49,68"/>
        <s v="57,79"/>
        <s v="14,22"/>
        <s v="29,15"/>
        <s v="12,26"/>
        <s v="26,01"/>
        <s v="14,2"/>
        <s v="56,68"/>
        <s v="32,06"/>
        <s v="21,24"/>
        <s v="16,54"/>
        <s v="58,65"/>
        <s v="10,47"/>
        <s v="18,32"/>
        <s v="17,37"/>
        <s v="27,89"/>
        <s v="18,64"/>
        <s v="14,77"/>
        <s v="29,22"/>
        <s v="15,89"/>
        <s v="3,22"/>
        <s v="65,88"/>
        <s v="12,41"/>
        <s v="11,96"/>
        <s v="12,6"/>
        <s v="37,73"/>
        <s v="12,59"/>
        <s v="55,75"/>
        <s v="2,26"/>
        <s v="11,77"/>
        <s v="13,53"/>
        <s v="31,1"/>
        <s v="32,68"/>
        <s v="5,34"/>
        <s v="42,18"/>
        <s v="62,25"/>
        <s v="14,72"/>
        <s v="17,66"/>
        <s v="15,42"/>
        <s v="72,92"/>
        <s v="19,8"/>
        <s v="76,7"/>
        <s v="43,62"/>
        <s v="11,85"/>
        <s v="14,14"/>
        <s v="76,16"/>
        <s v="9,2"/>
        <s v="50,95"/>
        <s v="2,71"/>
        <s v="3,49"/>
        <s v="40,26"/>
        <s v="34,6"/>
        <s v="56,72"/>
        <s v="29,79"/>
        <s v="68,89"/>
        <s v="24,86"/>
        <s v="76,29"/>
        <s v="2,05"/>
        <s v="17,02"/>
        <s v="14,42"/>
        <s v="26,62"/>
        <s v="14,06"/>
        <s v="36,75"/>
        <s v="18,44"/>
        <s v="71,27"/>
        <s v="38,76"/>
        <s v="34,39"/>
        <s v="53,56"/>
        <s v="11,55"/>
        <s v="12,9"/>
        <s v="50,22"/>
        <s v="12,46"/>
        <s v="32,22"/>
        <s v="38,95"/>
        <s v="10"/>
        <s v="29,94"/>
        <s v="12,97"/>
        <s v="66,92"/>
        <s v="34,32"/>
        <s v="16,09"/>
        <s v="39,28"/>
        <s v="35,35"/>
        <s v="17,52"/>
        <s v="33,87"/>
        <s v="4,12"/>
        <s v="16,33"/>
        <s v="3,75"/>
        <s v="11,63"/>
        <s v="33,94"/>
        <s v="19,53"/>
        <s v="14,79"/>
        <s v="49,07"/>
        <s v="58,94"/>
        <s v="11,86"/>
        <s v="15,77"/>
        <s v="44,01"/>
        <s v="31,54"/>
        <s v="11,91"/>
        <s v="15,23"/>
        <s v="10,63"/>
        <s v="51,47"/>
        <s v="32,26"/>
        <s v="31,3"/>
        <s v="24,7"/>
        <s v="10,19"/>
        <s v="25,9"/>
        <s v="77,05"/>
        <s v="26,21"/>
        <s v="10,83"/>
        <s v="12,4"/>
        <s v="12,23"/>
        <s v="26,58"/>
        <s v="54,2"/>
        <s v="46,82"/>
        <s v="23,67"/>
        <s v="18,31"/>
        <s v="57,38"/>
        <s v="11,75"/>
        <s v="38,8"/>
        <s v="12,21"/>
        <s v="3,79"/>
        <s v="15,11"/>
        <s v="10,18"/>
        <s v="12,7"/>
        <s v="69"/>
        <s v="1,48"/>
        <s v="51,31"/>
        <s v="46,58"/>
        <s v="8,5"/>
        <s v="23,98"/>
        <s v="31,6"/>
        <s v="57,97"/>
        <s v="14,85"/>
        <s v="25,39"/>
        <s v="38,62"/>
        <s v="20,33"/>
        <s v="17,51"/>
        <s v="10,17"/>
        <s v="39,62"/>
        <s v="39,24"/>
        <s v="12,92"/>
        <s v="11,31"/>
        <s v="11,03"/>
        <s v="31,64"/>
        <s v="64,53"/>
        <s v="55,69"/>
        <s v="2,59"/>
        <s v="30,94"/>
        <s v="2,43"/>
        <s v="31,76"/>
        <s v="13,05"/>
        <s v="4,91"/>
        <s v="19,03"/>
        <s v="12,75"/>
        <s v="69,69"/>
        <s v="30,15"/>
        <s v="31,4"/>
        <s v="41,99"/>
        <s v="11,52"/>
        <s v="15,8"/>
        <s v="38,57"/>
        <s v="39,47"/>
        <s v="13,6"/>
        <s v="4,94"/>
        <s v="2,81"/>
        <s v="39,86"/>
        <s v="48,24"/>
        <s v="10,46"/>
        <s v="10,68"/>
        <s v="4,08"/>
        <s v="11,67"/>
        <s v="24,93"/>
        <s v="14,26"/>
        <s v="23,47"/>
        <s v="27,39"/>
        <s v="12,68"/>
        <s v="27,86"/>
        <s v="16,73"/>
        <s v="25,03"/>
        <s v="19,19"/>
        <s v="11,54"/>
        <s v="41,88"/>
        <s v="10,6"/>
        <s v="16,59"/>
        <s v="41,04"/>
        <s v="11,11"/>
        <s v="15,92"/>
        <s v="31,44"/>
        <s v="36,27"/>
        <s v="31,01"/>
        <s v="5,21"/>
        <s v="59,32"/>
        <s v="14"/>
        <s v="26,5"/>
        <s v="60,34"/>
        <s v="61,1"/>
        <s v="33,66"/>
        <s v="16,2"/>
        <s v="17,03"/>
        <s v="29,06"/>
        <s v="13,74"/>
        <s v="29,3"/>
        <s v="4,27"/>
        <s v="41,63"/>
        <s v="26,57"/>
        <s v="47,73"/>
        <s v="52,25"/>
        <s v="14,96"/>
        <s v="23,19"/>
        <s v="27,82"/>
        <s v="59,43"/>
        <s v="11,7"/>
        <s v="32,05"/>
        <s v="47,12"/>
        <s v="60,68"/>
        <s v="36,47"/>
        <s v="50,9"/>
        <s v="12,31"/>
        <s v="69,47"/>
        <s v="14,43"/>
        <s v="35,79"/>
        <s v="13,97"/>
        <s v="36,13"/>
        <s v="17,49"/>
        <s v="37,15"/>
        <s v="15,51"/>
        <s v="10,76"/>
        <s v="14,13"/>
        <s v="23,9"/>
        <s v="52,9"/>
        <s v="11,79"/>
        <s v="63,09"/>
        <s v="8,9"/>
        <s v="73,99"/>
        <s v="36,28"/>
        <s v="15,25"/>
        <s v="21,44"/>
        <s v="11,56"/>
        <s v="19,74"/>
        <s v="52,15"/>
        <s v="11,9"/>
        <s v="11,84"/>
        <s v="50,7"/>
        <s v="3,96"/>
        <s v="16,92"/>
        <s v="12,07"/>
        <s v="37,75"/>
        <s v="18,28"/>
        <s v="23,03"/>
        <s v="20,65"/>
        <s v="2,04"/>
        <s v="29,04"/>
        <s v="27,47"/>
        <s v="33,89"/>
        <s v="59,58"/>
        <s v="10,35"/>
        <s v="58,19"/>
        <s v="1,76"/>
        <s v="14,95"/>
        <s v="10,81"/>
        <s v="12,29"/>
        <s v="2,61"/>
        <s v="12,61"/>
        <s v="37,14"/>
        <s v="14,66"/>
        <s v="14,15"/>
        <s v="12,09"/>
        <s v="16,8"/>
        <s v="5,14"/>
        <s v="38,14"/>
        <s v="18,35"/>
        <s v="1,49"/>
        <s v="31,51"/>
        <s v="46,4"/>
        <s v="1,3"/>
        <s v="52,01"/>
        <s v="4,33"/>
        <s v="41,45"/>
        <s v="35,08"/>
        <s v="27,02"/>
        <s v="15,54"/>
        <s v="14,71"/>
        <s v="10,55"/>
        <s v="10,3"/>
        <s v="46,74"/>
        <s v="40,18"/>
        <s v="1,7"/>
        <s v="12,06"/>
        <s v="38,86"/>
        <s v="29,61"/>
        <s v="3,33"/>
        <s v="7,16"/>
        <s v="10,16"/>
        <s v="14,8"/>
        <s v="32,56"/>
        <s v="27,78"/>
        <s v="13"/>
        <s v="27,07"/>
        <s v="14,93"/>
        <s v="67,87"/>
        <s v="14,75"/>
        <s v="17,34"/>
        <s v="3,37"/>
        <s v="39,93"/>
        <s v="4,02"/>
        <s v="35,07"/>
        <s v="19,18"/>
        <s v="11,83"/>
        <s v="32,1"/>
        <s v="46,29"/>
        <s v="3,19"/>
        <s v="65,14"/>
        <s v="26,13"/>
        <s v="34,7"/>
        <s v="11,97"/>
        <s v="11,64"/>
        <s v="41,64"/>
        <s v="17,65"/>
        <s v="16,05"/>
        <s v="30,14"/>
        <s v="25,49"/>
        <s v="11,76"/>
        <s v="23,1"/>
        <s v="23,38"/>
        <s v="20,13"/>
        <s v="15,76"/>
        <s v="29,83"/>
        <s v="21,86"/>
        <s v="28,66"/>
        <s v="37,81"/>
        <s v="5,24"/>
        <s v="15,62"/>
        <s v="16,49"/>
        <s v="21,42"/>
        <s v="38,2"/>
        <s v="18,66"/>
        <s v="30,32"/>
        <s v="25,53"/>
        <s v="47,91"/>
        <s v="14,08"/>
        <s v="10,77"/>
        <s v="4,1"/>
        <s v="38,58"/>
        <s v="4,54"/>
        <s v="27,63"/>
        <s v="28,67"/>
        <s v="20,52"/>
        <s v="53,44"/>
        <s v="22,9"/>
        <s v="10,25"/>
        <s v="36,03"/>
        <s v="20,61"/>
        <s v="10,41"/>
        <s v="56,47"/>
        <s v="32,69"/>
        <s v="10,44"/>
        <s v="36,46"/>
        <s v="12,62"/>
        <s v="22,06"/>
        <s v="39,19"/>
        <s v="48,85"/>
        <s v="34,01"/>
        <s v="76,21"/>
        <s v="18,37"/>
        <s v="4,64"/>
        <s v="57,77"/>
        <s v="3,23"/>
        <s v="1,52"/>
        <s v="24,35"/>
        <s v="3,71"/>
        <s v="19,91"/>
        <s v="9,93"/>
        <s v="13,21"/>
        <s v="13,23"/>
        <s v="73,16"/>
        <s v="11,02"/>
        <s v="13,9"/>
        <s v="68,65"/>
        <s v="20,59"/>
        <s v="41,7"/>
        <s v="14,9"/>
        <s v="15,52"/>
        <s v="47,64"/>
        <s v="27,34"/>
        <s v="16,52"/>
        <s v="30,02"/>
        <s v="39,02"/>
        <s v="3,25"/>
        <s v="68,3"/>
        <s v="47,88"/>
        <s v="12,64"/>
        <s v="58,54"/>
        <s v="32,9"/>
        <s v="29,44"/>
        <s v="69,53"/>
        <s v="3,68"/>
        <s v="13,33"/>
        <s v="10,34"/>
        <s v="26,67"/>
        <s v="14,34"/>
        <s v="47,66"/>
        <s v="18,79"/>
        <s v="33,65"/>
        <s v="12,71"/>
        <s v="62,74"/>
        <s v="50,67"/>
        <s v="12,11"/>
        <s v="14,35"/>
        <s v="59,63"/>
        <s v="3,73"/>
        <s v="10,54"/>
        <s v="16,39"/>
        <s v="43,82"/>
        <s v="72,42"/>
        <s v="30,98"/>
        <s v="14,78"/>
        <s v="46,48"/>
        <s v="5,22"/>
        <s v="30,12"/>
        <s v="13,17"/>
        <s v="40,5"/>
        <s v="21,54"/>
        <s v="18,63"/>
        <s v="4,79"/>
        <s v="12,87"/>
        <s v="2,57"/>
        <s v="16,89"/>
        <s v="31,87"/>
        <s v="11,37"/>
        <s v="35,96"/>
        <s v="32,28"/>
        <s v="19,57"/>
        <s v="5,35"/>
        <s v="12,18"/>
        <s v="12,78"/>
        <s v="30,25"/>
        <s v="23,68"/>
        <s v="2,85"/>
        <s v="32,41"/>
        <s v="29,42"/>
        <s v="2,96"/>
        <s v="3,03"/>
        <s v="3,67"/>
        <s v="25,78"/>
        <s v="7,56"/>
        <s v="28,13"/>
        <s v="41,5"/>
        <s v="28,18"/>
        <s v="19,82"/>
        <s v="24,98"/>
        <s v="17,88"/>
        <s v="10,52"/>
        <s v="2,62"/>
        <s v="30,76"/>
        <s v="3,61"/>
        <s v="21,75"/>
        <s v="12,84"/>
        <s v="13,67"/>
        <s v="32,55"/>
        <s v="12,86"/>
        <s v="5,27"/>
        <s v="13,88"/>
        <s v="30,3"/>
        <s v="32,82"/>
        <s v="54,68"/>
        <s v="8,16"/>
        <s v="64,88"/>
        <s v="33,51"/>
        <s v="4,62"/>
        <s v="34,18"/>
        <s v="10,73"/>
        <s v="33,54"/>
        <s v="37,78"/>
        <s v="69,83"/>
        <s v="14,25"/>
        <s v="31,34"/>
        <s v="13,62"/>
        <s v="30,9"/>
        <s v="30,2"/>
        <s v="19,29"/>
        <s v="2,39"/>
        <s v="75,13"/>
        <s v="5,31"/>
        <s v="54,72"/>
        <s v="2,44"/>
        <s v="36,62"/>
        <s v="10,59"/>
        <s v="15,03"/>
        <s v="37,83"/>
        <s v="22,66"/>
        <s v="36,82"/>
        <s v="60,83"/>
        <s v="13,81"/>
        <s v="51,65"/>
        <s v="38,93"/>
        <s v="46,44"/>
        <s v="2,42"/>
        <s v="14,98"/>
        <s v="40,52"/>
        <s v="14,48"/>
        <s v="29,81"/>
        <s v="32,24"/>
        <s v="24,91"/>
        <s v="13,76"/>
        <s v="44,68"/>
        <s v="29,31"/>
        <s v="10,99"/>
        <s v="2,83"/>
        <s v="35,76"/>
        <s v="16,61"/>
        <s v="25,54"/>
        <s v="70,68"/>
        <s v="20,72"/>
        <s v="29,09"/>
        <s v="23,04"/>
        <s v="3,98"/>
        <s v="27,32"/>
        <s v="3,21"/>
        <s v="37,67"/>
        <s v="22,75"/>
        <s v="12,89"/>
        <s v="3,85"/>
        <s v="36,54"/>
        <s v="24,32"/>
        <s v="28,65"/>
        <s v="15,45"/>
        <s v="13,66"/>
        <s v="2,5"/>
        <s v="10,49"/>
        <s v="19,48"/>
        <s v="34,92"/>
        <s v="30,05"/>
        <s v="14,32"/>
        <s v="14,91"/>
        <s v="49,67"/>
        <s v="66,35"/>
        <s v="14,53"/>
        <s v="12,04"/>
        <s v="14,45"/>
        <s v="41,03"/>
        <s v="14,01"/>
        <s v="12,17"/>
        <s v="59,3"/>
        <s v="63,55"/>
        <s v="27,22"/>
        <s v="26,03"/>
        <s v="51,69"/>
        <s v="31,66"/>
        <s v="3,14"/>
        <s v="7,91"/>
        <s v="26,05"/>
        <s v="11,69"/>
        <s v="12,67"/>
        <s v="26,74"/>
        <s v="17,54"/>
        <s v="18,33"/>
        <s v="16,47"/>
        <s v="13,69"/>
        <s v="34,11"/>
        <s v="48,37"/>
        <s v="35,63"/>
        <s v="14,56"/>
        <s v="15,05"/>
        <s v="7,1"/>
        <s v="10,61"/>
        <s v="31,25"/>
        <s v="21,55"/>
        <s v="10,5"/>
        <s v="10,31"/>
        <s v="21,13"/>
        <s v="33,81"/>
        <s v="29,52"/>
        <s v="56,49"/>
        <s v="58,77"/>
        <s v="1,93"/>
        <s v="2,58"/>
        <s v="10,91"/>
        <s v="3,6"/>
        <s v="15,2"/>
        <s v="3,92"/>
        <s v="11,42"/>
        <s v="38,98"/>
        <s v="11,95"/>
        <s v="3,17"/>
        <s v="57,91"/>
        <s v="17,67"/>
        <s v="22,72"/>
        <s v="51,9"/>
        <s v="61,54"/>
        <s v="11,65"/>
        <s v="2,84"/>
        <s v="12,13"/>
        <s v="40,21"/>
        <s v="56,8"/>
        <s v="28,47"/>
        <s v="43,59"/>
        <s v="3,84"/>
        <s v="34,54"/>
        <s v="2,47"/>
        <s v="14,97"/>
        <s v="40,28"/>
        <s v="11,5"/>
        <s v="15,14"/>
        <s v="26,47"/>
        <s v="32,64"/>
        <s v="12,19"/>
        <s v="49,78"/>
        <s v="34,56"/>
        <s v="21,35"/>
        <s v="25,57"/>
        <s v="15,86"/>
        <s v="18,45"/>
        <s v="68,85"/>
        <s v="21,69"/>
        <s v="35,38"/>
        <s v="18,56"/>
        <s v="80,28"/>
        <s v="67,65"/>
        <s v="32,92"/>
        <s v="77,3"/>
        <s v="15,1"/>
        <s v="47,14"/>
        <s v="36,61"/>
        <s v="16,94"/>
        <s v="20,23"/>
        <s v="64,66"/>
        <s v="10,33"/>
        <s v="12,44"/>
        <s v="28,96"/>
        <s v="39,75"/>
        <s v="46,36"/>
        <s v="10,42"/>
        <s v="60,55"/>
        <s v="65,54"/>
        <s v="50,85"/>
        <s v="17,29"/>
        <s v="13,85"/>
        <s v="53,79"/>
        <s v="17,04"/>
        <s v="18,65"/>
        <s v="22,44"/>
        <s v="79,47"/>
        <s v="52,79"/>
        <s v="53,3"/>
        <s v="69,63"/>
        <s v="47,76"/>
        <s v="20,77"/>
        <s v="2,38"/>
        <s v="3,18"/>
        <s v="74,68"/>
        <s v="42,2"/>
        <s v="41,14"/>
        <s v="35,31"/>
        <s v="10,88"/>
        <s v="74,26"/>
        <s v="4,05"/>
        <s v="11,32"/>
        <s v="18,43"/>
        <s v="22,18"/>
        <s v="34,13"/>
        <s v="10,65"/>
        <s v="12,32"/>
        <s v="65,27"/>
        <s v="16"/>
        <s v="33,33"/>
        <s v="32,79"/>
        <s v="29,75"/>
        <s v="64,4"/>
        <s v="4,06"/>
        <s v="5,41"/>
        <s v="15,58"/>
        <s v="14,36"/>
        <s v="49,32"/>
        <s v="51,91"/>
        <s v="60,53"/>
        <s v="16,26"/>
        <s v="3,26"/>
        <s v="10,74"/>
        <s v="56,57"/>
        <s v="69,01"/>
        <s v="14,65"/>
        <s v="46,9"/>
        <s v="12,57"/>
        <s v="20,45"/>
        <s v="45,16"/>
        <s v="9,29"/>
        <s v="3,41"/>
        <s v="32,47"/>
        <s v="69,3"/>
        <s v="10,72"/>
        <s v="11,92"/>
        <s v="23,22"/>
        <s v="60,6"/>
        <s v="1,71"/>
        <s v="17,07"/>
        <s v="53,37"/>
        <s v="77,94"/>
        <s v="29,29"/>
        <s v="33,88"/>
        <s v="13,87"/>
        <s v="13,25"/>
        <s v="67,79"/>
        <s v="1,55"/>
        <s v="19,7"/>
        <s v="18,36"/>
        <s v="62,16"/>
        <s v="28,59"/>
        <s v="49,97"/>
        <s v="37,03"/>
        <s v="12,05"/>
        <s v="14,17"/>
        <s v="15,74"/>
        <s v="36"/>
        <s v="16,08"/>
        <s v="27,53"/>
        <s v="30,08"/>
        <s v="27,73"/>
        <s v="75"/>
        <s v="14,87"/>
        <s v="4,44"/>
        <s v="52,71"/>
        <s v="38,72"/>
        <s v="3,54"/>
        <s v="4,75"/>
        <s v="21,37"/>
        <s v="19,69"/>
        <s v="35,57"/>
        <s v="16,07"/>
        <s v="27,19"/>
        <s v="37,35"/>
        <s v="49,31"/>
        <s v="3,38"/>
        <s v="14,83"/>
        <s v="19,64"/>
        <s v="29,46"/>
        <s v="60,74"/>
        <s v="21,46"/>
        <s v="3,06"/>
        <s v="27,87"/>
        <s v="59,82"/>
        <s v="28,55"/>
        <s v="20,35"/>
        <s v="32,6"/>
        <s v="18,89"/>
        <s v="29,23"/>
        <s v="10,32"/>
        <s v="74,48"/>
        <s v="57,22"/>
        <s v="41,96"/>
        <s v="25,27"/>
        <s v="3,45"/>
        <s v="55,73"/>
        <s v="40,48"/>
        <s v="11,8"/>
        <s v="2,55"/>
        <s v="11,98"/>
        <s v="36,14"/>
        <s v="2,49"/>
        <s v="23,8"/>
        <s v="1,43"/>
        <s v="28,87"/>
        <s v="1,97"/>
        <s v="78,94"/>
        <s v="2,16"/>
        <s v="21,83"/>
        <s v="15,15"/>
        <s v="40,66"/>
        <s v="11,73"/>
        <s v="28,85"/>
        <s v="12,55"/>
        <s v="38,19"/>
        <s v="13,63"/>
        <s v="33,48"/>
        <s v="52,94"/>
        <s v="47,36"/>
        <s v="44,79"/>
        <s v="10,24"/>
        <s v="57,2"/>
        <s v="22,05"/>
        <s v="15,41"/>
        <s v="51,2"/>
        <s v="41,27"/>
        <s v="19,68"/>
        <s v="11,19"/>
        <s v="27,17"/>
        <s v="71,8"/>
        <s v="12,54"/>
        <s v="18,69"/>
        <s v="40,89"/>
        <s v="24,87"/>
        <s v="28,17"/>
        <s v="35,34"/>
        <s v="52"/>
        <s v="25,62"/>
        <s v="2,87"/>
        <s v="30,65"/>
        <s v="10,75"/>
        <s v="21,74"/>
        <s v="31,08"/>
        <s v="19,17"/>
        <s v="35,14"/>
        <s v="14,19"/>
        <s v="33,99"/>
        <s v="54,76"/>
        <s v="4,24"/>
        <s v="13,47"/>
        <s v="33,38"/>
        <s v="15,4"/>
        <s v="26,81"/>
        <s v="31,12"/>
        <s v="11"/>
        <s v="25,79"/>
        <s v="23,29"/>
        <s v="13,41"/>
        <s v="36,42"/>
        <s v="12,35"/>
        <s v="63,81"/>
        <s v="25,1"/>
        <s v="19,1"/>
        <s v="3,58"/>
        <s v="51,7"/>
        <s v="41,41"/>
        <s v="2,68"/>
        <s v="31,46"/>
        <s v="11,81"/>
        <s v="77,01"/>
        <s v="40,39"/>
        <s v="4,83"/>
        <s v="13,4"/>
        <s v="15,73"/>
        <s v="33,83"/>
        <s v="12,81"/>
        <s v="24,73"/>
        <s v="22,97"/>
        <s v="6,85"/>
        <s v="32,37"/>
        <s v="42,79"/>
        <s v="42,19"/>
        <s v="61,61"/>
        <s v="10,62"/>
        <s v="38,67"/>
        <s v="5,38"/>
        <s v="41,3"/>
        <s v="1,91"/>
        <s v="13,78"/>
        <s v="69,19"/>
        <s v="37,49"/>
        <s v="44,95"/>
        <s v="28,41"/>
        <s v="47,04"/>
        <s v="69,52"/>
        <s v="19,72"/>
        <s v="66,8"/>
        <s v="3,66"/>
        <s v="17,77"/>
        <s v="3,32"/>
        <s v="55,74"/>
        <s v="32,38"/>
        <s v="24,99"/>
        <s v="12,93"/>
        <s v="79,64"/>
        <s v="45,26"/>
        <s v="40,71"/>
        <s v="19,23"/>
        <s v="15,72"/>
        <s v="40,58"/>
        <s v="27,29"/>
        <s v="39,37"/>
        <s v="15,08"/>
        <s v="13,95"/>
        <s v="13,59"/>
        <s v="15,66"/>
        <s v="33,32"/>
        <s v="15,24"/>
        <s v="12,2"/>
        <s v="17,96"/>
        <s v="2,32"/>
        <s v="19,26"/>
        <s v="2,33"/>
        <s v="35,24"/>
        <s v="32,54"/>
        <s v="18,72"/>
        <s v="33,86"/>
        <s v="69,62"/>
        <s v="39,42"/>
        <s v="37,5"/>
        <s v="31,67"/>
        <s v="13,44"/>
        <s v="2,31"/>
        <s v="14,49"/>
        <s v="32,12"/>
        <s v="1,39"/>
        <s v="15,87"/>
        <s v="5,4"/>
        <s v="10,21"/>
        <s v="11,59"/>
        <s v="34,61"/>
        <s v="2,45"/>
        <s v="12,24"/>
        <s v="29,28"/>
        <s v="54,34"/>
        <s v="30,89"/>
        <s v="18,07"/>
        <s v="2,34"/>
        <s v="32,71"/>
        <s v="17,14"/>
        <s v="19,22"/>
        <s v="70,04"/>
        <s v="19,84"/>
        <s v="53,87"/>
        <s v="41,8"/>
        <s v="2,19"/>
        <s v="34,23"/>
        <s v="15,91"/>
        <s v="15,07"/>
        <s v="19,36"/>
        <s v="30,41"/>
        <s v="60,88"/>
        <s v="41,61"/>
        <s v="29,2"/>
        <s v="60,02"/>
        <s v="37,57"/>
        <s v="63,78"/>
        <s v="27,37"/>
        <s v="32,65"/>
        <s v="4,31"/>
        <s v="28,81"/>
        <s v="57,49"/>
        <s v="17,05"/>
        <s v="21,57"/>
        <s v="63,3"/>
        <s v="33,16"/>
        <s v="30,84"/>
        <s v="31,5"/>
        <s v="14,24"/>
        <s v="3,39"/>
        <s v="16,51"/>
        <s v="39,29"/>
        <s v="13,15"/>
        <s v="17,24"/>
        <s v="36,32"/>
        <s v="30,64"/>
        <s v="2,4"/>
        <s v="39,01"/>
        <s v="33,17"/>
        <s v="59,17"/>
        <s v="12,72"/>
        <s v="59,4"/>
        <s v="16,32"/>
        <s v="30,42"/>
        <s v="68,76"/>
        <s v="28,23"/>
        <s v="54,36"/>
        <s v="22,59"/>
        <s v="14,41"/>
        <s v="18,97"/>
        <s v="76,14"/>
        <s v="18,8"/>
        <s v="67,05"/>
        <s v="67,93"/>
        <s v="2,54"/>
        <s v="10,93"/>
        <s v="18,53"/>
        <s v="3,7"/>
        <s v="4,59"/>
        <s v="46,23"/>
        <s v="36,81"/>
        <s v="48,46"/>
        <s v="14,52"/>
        <s v="62,35"/>
        <s v="72,29"/>
        <s v="41,67"/>
        <s v="12,63"/>
        <s v="28,14"/>
        <s v="35,77"/>
        <s v="53,66"/>
        <s v="16,46"/>
        <s v="39,1"/>
        <s v="13,55"/>
        <s v="31,24"/>
        <s v="16,25"/>
        <s v="20,58"/>
        <s v="22,1"/>
        <s v="64,95"/>
        <s v="22,92"/>
        <s v="55,97"/>
        <s v="39,8"/>
        <s v="27,94"/>
        <s v="43,53"/>
        <s v="10,27"/>
        <s v="34,16"/>
        <s v="11,71"/>
        <s v="14,12"/>
        <s v="13,02"/>
        <s v="56,44"/>
        <s v="47,57"/>
        <s v="34,73"/>
        <s v="13,26"/>
        <s v="19,73"/>
        <s v="4,8"/>
        <s v="16,77"/>
        <s v="22,33"/>
        <s v="14,21"/>
        <s v="3,05"/>
        <s v="14,81"/>
        <s v="56,13"/>
        <s v="14,68"/>
        <s v="36,17"/>
        <s v="34,48"/>
        <s v="21,01"/>
        <s v="53,45"/>
        <s v="75,41"/>
        <s v="2,94"/>
        <s v="12,73"/>
        <s v="12,28"/>
        <s v="70,26"/>
        <s v="28,38"/>
        <s v="56,81"/>
        <s v="11,48"/>
        <s v="20,16"/>
        <s v="41,57"/>
        <s v="16,43"/>
        <s v="29,87"/>
        <s v="17,69"/>
        <s v="39,88"/>
        <s v="52,77"/>
        <s v="39,74"/>
        <s v="10,12"/>
        <s v="47,9"/>
        <s v="11,89"/>
        <s v="47,93"/>
        <s v="16,85"/>
        <s v="16,45"/>
        <s v="21,96"/>
        <s v="27,27"/>
        <s v="11,23"/>
        <s v="49,73"/>
        <s v="21,04"/>
        <s v="17,42"/>
        <s v="7,97"/>
        <s v="2,99"/>
        <s v="65,39"/>
        <s v="15,12"/>
        <s v="13,79"/>
        <s v="34,8"/>
        <s v="38,41"/>
        <s v="4,18"/>
        <s v="66,64"/>
        <s v="32,44"/>
        <s v="36,84"/>
        <s v="28,6"/>
        <s v="4,14"/>
        <s v="28,75"/>
        <s v="1,54"/>
        <s v="26,42"/>
        <s v="19,38"/>
        <s v="2,74"/>
        <s v="16,21"/>
        <s v="33,53"/>
        <s v="17,08"/>
        <s v="33,62"/>
        <s v="59,5"/>
        <s v="22,41"/>
        <s v="72,01"/>
        <s v="32,27"/>
        <s v="18,01"/>
        <s v="11,94"/>
        <s v="14,92"/>
        <s v="49,41"/>
        <s v="71,1"/>
        <s v="45,32"/>
        <s v="20,29"/>
        <s v="29,55"/>
        <s v="51,07"/>
        <s v="32,09"/>
        <s v="43,63"/>
        <s v="32,03"/>
        <s v="46,98"/>
        <s v="56"/>
        <s v="14,18"/>
        <s v="40,62"/>
        <s v="42,9"/>
        <s v="33,05"/>
        <s v="45,96"/>
        <s v="25,63"/>
        <s v="46,42"/>
        <s v="1,6"/>
        <s v="62,29"/>
        <s v="21,47"/>
        <s v="14,33"/>
        <s v="70,09"/>
        <s v="40,85"/>
        <s v="1,36"/>
        <s v="5,3"/>
        <s v="76,78"/>
        <s v="64,85"/>
        <s v="30,86"/>
        <s v="13,32"/>
        <s v="31,68"/>
        <s v="56,87"/>
        <s v="74,74"/>
        <s v="35"/>
        <s v="32,39"/>
        <s v="12,48"/>
        <s v="2,2"/>
        <s v="36,95"/>
        <s v="26,99"/>
        <s v="15,13"/>
        <s v="18,14"/>
        <s v="48,16"/>
        <s v="12,98"/>
        <s v="8,27"/>
        <s v="20,97"/>
        <s v="11,62"/>
        <s v="18,67"/>
        <s v="63,88"/>
        <s v="12,91"/>
        <s v="52,31"/>
        <s v="18,08"/>
        <s v="45,04"/>
        <s v="28,48"/>
        <s v="30,18"/>
        <s v="37,94"/>
        <s v="20,7"/>
        <s v="15"/>
        <s v="2,07"/>
        <s v="22,02"/>
        <s v="54,78"/>
        <s v="13,91"/>
        <s v="9,46"/>
        <s v="31,59"/>
        <s v="13,56"/>
        <s v="7,61"/>
        <s v="23,62"/>
        <s v="11,68"/>
        <s v="28,2"/>
        <s v="12,47"/>
        <s v="51,35"/>
        <s v="39,91"/>
        <s v="36,26"/>
        <s v="14,16"/>
        <s v="2,7"/>
        <s v="33,85"/>
        <s v="37,74"/>
        <s v="34,94"/>
        <s v="39,3"/>
        <s v="14,39"/>
        <s v="32,5"/>
        <s v="37,24"/>
        <s v="16,57"/>
        <s v="3,78"/>
        <s v="78,34"/>
        <s v="40,34"/>
        <s v="29,1"/>
        <s v="68,13"/>
        <s v="12,82"/>
        <s v="57,47"/>
        <s v="16,48"/>
        <s v="68,36"/>
        <s v="21,18"/>
        <s v="40,4"/>
        <s v="15,65"/>
        <s v="29,51"/>
        <s v="41,32"/>
        <s v="9,52"/>
        <s v="10,38"/>
        <s v="33,68"/>
        <s v="15,09"/>
        <s v="16,81"/>
        <s v="46,22"/>
        <s v="53,78"/>
        <s v="10,29"/>
        <s v="15,02"/>
        <s v="1,96"/>
        <s v="12,36"/>
        <s v="14,63"/>
        <s v="71,01"/>
        <s v="15,67"/>
        <s v="61,21"/>
        <s v="53,14"/>
        <s v="31,62"/>
        <s v="42,85"/>
        <s v="15,85"/>
        <s v="61,07"/>
        <s v="3,91"/>
        <s v="56,59"/>
        <s v="4,61"/>
        <s v="13,7"/>
        <s v="22,15"/>
        <s v="38,65"/>
        <s v="39,64"/>
        <s v="27,35"/>
        <s v="25,34"/>
        <s v="41,79"/>
        <s v="31,86"/>
        <s v="36,41"/>
        <s v="35,01"/>
        <s v="12,33"/>
        <s v="29,64"/>
        <s v="19,75"/>
        <s v="36,04"/>
        <s v="18,51"/>
        <s v="17,94"/>
        <s v="19,52"/>
        <s v="43,74"/>
        <s v="35,22"/>
        <s v="26,86"/>
        <s v="61,78"/>
        <s v="1,79"/>
        <s v="13,8"/>
        <s v="78,91"/>
        <s v="37,34"/>
        <s v="14,05"/>
        <s v="54,64"/>
        <s v="24,82"/>
        <s v="40,82"/>
        <s v="55,41"/>
        <s v="36,23"/>
        <s v="27,16"/>
        <s v="37,16"/>
        <s v="54,7"/>
        <s v="47,17"/>
        <s v="35,02"/>
        <s v="9,68"/>
        <s v="13,45"/>
        <s v="14,51"/>
        <s v="5,32"/>
        <s v="31,28"/>
        <s v="4,35"/>
        <s v="11,09"/>
        <s v="33,28"/>
        <s v="12"/>
        <s v="31,15"/>
        <s v="20,18"/>
        <s v="31,2"/>
        <s v="60,44"/>
        <s v="19,04"/>
        <s v="25,43"/>
        <s v="30,09"/>
        <s v="10,9"/>
        <s v="33,96"/>
        <s v="31,99"/>
        <s v="39,58"/>
        <s v="16,95"/>
        <s v="39,54"/>
        <s v="1,94"/>
        <s v="13,3"/>
        <s v="21,53"/>
        <s v="30,19"/>
        <s v="49,11"/>
        <s v="8,93"/>
        <s v="42,34"/>
        <s v="38,48"/>
        <s v="12,1"/>
        <s v="7,47"/>
        <s v="17,39"/>
        <s v="1,41"/>
        <s v="39,52"/>
        <s v="26,12"/>
        <s v="25,38"/>
        <s v="49,05"/>
        <s v="28,01"/>
        <s v="54,18"/>
        <s v="27,74"/>
        <s v="11,93"/>
        <s v="80,04"/>
        <s v="24,07"/>
        <s v="3,35"/>
        <s v="18,62"/>
        <s v="11,16"/>
        <s v="5"/>
        <s v="34,78"/>
        <s v="17,55"/>
        <s v="17,91"/>
        <s v="73,96"/>
        <s v="19,28"/>
        <s v="15,57"/>
        <s v="12,51"/>
        <s v="3,64"/>
        <s v="23,66"/>
        <s v="29,11"/>
        <s v="17,63"/>
        <s v="26,88"/>
        <s v="35,86"/>
        <s v="34,28"/>
        <s v="43,57"/>
        <s v="3,4"/>
        <s v="52,46"/>
        <s v="34,98"/>
        <s v="3,31"/>
        <s v="24,53"/>
        <s v="43,3"/>
        <s v="20,5"/>
        <s v="40,93"/>
        <s v="36,69"/>
        <s v="20,88"/>
        <s v="13,22"/>
        <s v="Preco"/>
        <m/>
      </sharedItems>
    </cacheField>
    <cacheField name="23/01/2023">
      <sharedItems containsDate="1" containsBlank="1" containsMixedTypes="1">
        <d v="2023-01-24T00:00:00Z"/>
        <d v="2023-03-01T00:00:00Z"/>
        <d v="2023-03-07T00:00:00Z"/>
        <d v="2023-03-13T00:00:00Z"/>
        <d v="2023-03-14T00:00:00Z"/>
        <d v="2023-04-19T00:00:00Z"/>
        <d v="2023-05-27T00:00:00Z"/>
        <d v="2023-05-28T00:00:00Z"/>
        <d v="2023-06-15T00:00:00Z"/>
        <d v="2023-07-17T00:00:00Z"/>
        <d v="2023-07-19T00:00:00Z"/>
        <d v="2023-08-16T00:00:00Z"/>
        <d v="2023-09-12T00:00:00Z"/>
        <d v="2023-09-25T00:00:00Z"/>
        <d v="2023-10-06T00:00:00Z"/>
        <d v="2023-10-22T00:00:00Z"/>
        <d v="2023-11-15T00:00:00Z"/>
        <d v="2023-12-21T00:00:00Z"/>
        <d v="2023-01-04T00:00:00Z"/>
        <d v="2023-01-20T00:00:00Z"/>
        <d v="2023-02-02T00:00:00Z"/>
        <d v="2023-02-13T00:00:00Z"/>
        <d v="2023-02-15T00:00:00Z"/>
        <d v="2023-02-23T00:00:00Z"/>
        <d v="2023-03-17T00:00:00Z"/>
        <d v="2023-04-22T00:00:00Z"/>
        <d v="2023-05-12T00:00:00Z"/>
        <d v="2023-06-22T00:00:00Z"/>
        <d v="2023-07-02T00:00:00Z"/>
        <d v="2023-07-07T00:00:00Z"/>
        <d v="2023-07-24T00:00:00Z"/>
        <d v="2023-07-26T00:00:00Z"/>
        <d v="2023-08-21T00:00:00Z"/>
        <d v="2023-09-10T00:00:00Z"/>
        <d v="2023-10-03T00:00:00Z"/>
        <d v="2023-11-16T00:00:00Z"/>
        <d v="2023-12-08T00:00:00Z"/>
        <d v="2023-12-10T00:00:00Z"/>
        <d v="2023-02-05T00:00:00Z"/>
        <d v="2023-02-18T00:00:00Z"/>
        <d v="2023-02-25T00:00:00Z"/>
        <d v="2023-03-04T00:00:00Z"/>
        <d v="2023-04-17T00:00:00Z"/>
        <d v="2023-05-10T00:00:00Z"/>
        <d v="2023-08-01T00:00:00Z"/>
        <d v="2023-08-12T00:00:00Z"/>
        <d v="2023-08-20T00:00:00Z"/>
        <d v="2023-09-07T00:00:00Z"/>
        <d v="2023-09-19T00:00:00Z"/>
        <d v="2023-09-27T00:00:00Z"/>
        <d v="2023-10-15T00:00:00Z"/>
        <d v="2023-11-05T00:00:00Z"/>
        <d v="2023-12-19T00:00:00Z"/>
        <d v="2023-01-08T00:00:00Z"/>
        <d v="2023-01-12T00:00:00Z"/>
        <d v="2023-02-01T00:00:00Z"/>
        <d v="2023-02-06T00:00:00Z"/>
        <d v="2023-03-10T00:00:00Z"/>
        <d v="2023-04-13T00:00:00Z"/>
        <d v="2023-04-25T00:00:00Z"/>
        <d v="2023-05-16T00:00:00Z"/>
        <d v="2023-05-18T00:00:00Z"/>
        <d v="2023-05-19T00:00:00Z"/>
        <d v="2023-05-22T00:00:00Z"/>
        <d v="2023-06-13T00:00:00Z"/>
        <d v="2023-06-21T00:00:00Z"/>
        <d v="2023-07-25T00:00:00Z"/>
        <d v="2023-08-04T00:00:00Z"/>
        <d v="2023-08-19T00:00:00Z"/>
        <d v="2023-10-09T00:00:00Z"/>
        <d v="2023-11-24T00:00:00Z"/>
        <d v="2023-01-17T00:00:00Z"/>
        <d v="2023-01-23T00:00:00Z"/>
        <d v="2023-03-09T00:00:00Z"/>
        <d v="2023-03-15T00:00:00Z"/>
        <d v="2023-04-18T00:00:00Z"/>
        <d v="2023-04-24T00:00:00Z"/>
        <d v="2023-06-02T00:00:00Z"/>
        <d v="2023-07-04T00:00:00Z"/>
        <d v="2023-07-27T00:00:00Z"/>
        <d v="2023-08-27T00:00:00Z"/>
        <d v="2023-09-15T00:00:00Z"/>
        <d v="2023-09-18T00:00:00Z"/>
        <d v="2023-11-03T00:00:00Z"/>
        <d v="2023-11-09T00:00:00Z"/>
        <d v="2023-11-11T00:00:00Z"/>
        <d v="2023-11-28T00:00:00Z"/>
        <d v="2023-12-01T00:00:00Z"/>
        <d v="2023-12-14T00:00:00Z"/>
        <d v="2023-01-21T00:00:00Z"/>
        <d v="2023-02-10T00:00:00Z"/>
        <d v="2023-02-11T00:00:00Z"/>
        <d v="2023-02-24T00:00:00Z"/>
        <d v="2023-03-16T00:00:00Z"/>
        <d v="2023-04-07T00:00:00Z"/>
        <d v="2023-04-12T00:00:00Z"/>
        <d v="2023-06-20T00:00:00Z"/>
        <d v="2023-06-23T00:00:00Z"/>
        <d v="2023-08-10T00:00:00Z"/>
        <d v="2023-08-15T00:00:00Z"/>
        <d v="2023-09-01T00:00:00Z"/>
        <d v="2023-09-09T00:00:00Z"/>
        <d v="2023-09-13T00:00:00Z"/>
        <d v="2023-09-26T00:00:00Z"/>
        <d v="2023-10-12T00:00:00Z"/>
        <d v="2023-10-19T00:00:00Z"/>
        <d v="2023-12-18T00:00:00Z"/>
        <d v="2023-12-24T00:00:00Z"/>
        <d v="2023-01-13T00:00:00Z"/>
        <d v="2023-02-21T00:00:00Z"/>
        <d v="2023-02-27T00:00:00Z"/>
        <d v="2023-03-02T00:00:00Z"/>
        <d v="2023-03-28T00:00:00Z"/>
        <d v="2023-04-03T00:00:00Z"/>
        <d v="2023-05-04T00:00:00Z"/>
        <d v="2023-10-01T00:00:00Z"/>
        <d v="2023-10-14T00:00:00Z"/>
        <d v="2023-11-27T00:00:00Z"/>
        <d v="2023-12-26T00:00:00Z"/>
        <d v="2023-01-06T00:00:00Z"/>
        <d v="2023-02-28T00:00:00Z"/>
        <d v="2023-03-23T00:00:00Z"/>
        <d v="2023-06-04T00:00:00Z"/>
        <d v="2023-06-10T00:00:00Z"/>
        <d v="2023-06-12T00:00:00Z"/>
        <d v="2023-06-24T00:00:00Z"/>
        <d v="2023-07-22T00:00:00Z"/>
        <d v="2023-08-11T00:00:00Z"/>
        <d v="2023-09-17T00:00:00Z"/>
        <d v="2023-10-24T00:00:00Z"/>
        <d v="2023-11-04T00:00:00Z"/>
        <d v="2023-11-08T00:00:00Z"/>
        <d v="2023-11-14T00:00:00Z"/>
        <d v="2023-11-19T00:00:00Z"/>
        <d v="2023-02-12T00:00:00Z"/>
        <d v="2023-02-22T00:00:00Z"/>
        <d v="2023-05-07T00:00:00Z"/>
        <d v="2023-05-23T00:00:00Z"/>
        <d v="2023-08-06T00:00:00Z"/>
        <d v="2023-08-13T00:00:00Z"/>
        <d v="2023-08-22T00:00:00Z"/>
        <d v="2023-09-14T00:00:00Z"/>
        <d v="2023-10-13T00:00:00Z"/>
        <d v="2023-11-17T00:00:00Z"/>
        <d v="2023-12-20T00:00:00Z"/>
        <d v="2023-01-14T00:00:00Z"/>
        <d v="2023-03-03T00:00:00Z"/>
        <d v="2023-03-05T00:00:00Z"/>
        <d v="2023-03-24T00:00:00Z"/>
        <d v="2023-04-20T00:00:00Z"/>
        <d v="2023-05-20T00:00:00Z"/>
        <d v="2023-06-05T00:00:00Z"/>
        <d v="2023-07-28T00:00:00Z"/>
        <d v="2023-08-14T00:00:00Z"/>
        <d v="2023-08-18T00:00:00Z"/>
        <d v="2023-08-24T00:00:00Z"/>
        <d v="2023-09-11T00:00:00Z"/>
        <d v="2023-10-07T00:00:00Z"/>
        <d v="2023-11-07T00:00:00Z"/>
        <d v="2023-12-17T00:00:00Z"/>
        <d v="2023-02-14T00:00:00Z"/>
        <d v="2023-03-18T00:00:00Z"/>
        <d v="2023-03-26T00:00:00Z"/>
        <d v="2023-05-09T00:00:00Z"/>
        <d v="2023-07-14T00:00:00Z"/>
        <d v="2023-09-16T00:00:00Z"/>
        <d v="2023-10-11T00:00:00Z"/>
        <d v="2023-10-27T00:00:00Z"/>
        <d v="2023-12-04T00:00:00Z"/>
        <d v="2023-12-23T00:00:00Z"/>
        <d v="2023-01-22T00:00:00Z"/>
        <d v="2023-04-02T00:00:00Z"/>
        <d v="2023-04-10T00:00:00Z"/>
        <d v="2023-05-03T00:00:00Z"/>
        <d v="2023-05-13T00:00:00Z"/>
        <d v="2023-05-24T00:00:00Z"/>
        <d v="2023-07-09T00:00:00Z"/>
        <d v="2023-07-15T00:00:00Z"/>
        <d v="2023-09-21T00:00:00Z"/>
        <d v="2023-11-12T00:00:00Z"/>
        <d v="2023-12-15T00:00:00Z"/>
        <d v="2023-04-04T00:00:00Z"/>
        <d v="2023-04-06T00:00:00Z"/>
        <d v="2023-05-14T00:00:00Z"/>
        <d v="2023-06-25T00:00:00Z"/>
        <d v="2023-07-12T00:00:00Z"/>
        <d v="2023-08-08T00:00:00Z"/>
        <d v="2023-08-17T00:00:00Z"/>
        <d v="2023-09-02T00:00:00Z"/>
        <d v="2023-09-05T00:00:00Z"/>
        <d v="2023-10-17T00:00:00Z"/>
        <d v="2023-11-01T00:00:00Z"/>
        <d v="2023-01-25T00:00:00Z"/>
        <d v="2023-01-27T00:00:00Z"/>
        <d v="2023-03-27T00:00:00Z"/>
        <d v="2023-05-08T00:00:00Z"/>
        <d v="2023-10-10T00:00:00Z"/>
        <d v="2023-11-23T00:00:00Z"/>
        <d v="2023-12-13T00:00:00Z"/>
        <d v="2023-01-03T00:00:00Z"/>
        <d v="2023-02-03T00:00:00Z"/>
        <d v="2023-02-09T00:00:00Z"/>
        <d v="2023-03-25T00:00:00Z"/>
        <d v="2023-05-17T00:00:00Z"/>
        <d v="2023-06-11T00:00:00Z"/>
        <d v="2023-07-16T00:00:00Z"/>
        <d v="2023-10-25T00:00:00Z"/>
        <d v="2023-01-18T00:00:00Z"/>
        <d v="2023-06-16T00:00:00Z"/>
        <d v="2023-07-06T00:00:00Z"/>
        <d v="2023-07-23T00:00:00Z"/>
        <d v="2023-10-23T00:00:00Z"/>
        <d v="2023-10-28T00:00:00Z"/>
        <d v="2023-12-05T00:00:00Z"/>
        <d v="2023-12-06T00:00:00Z"/>
        <d v="2023-12-07T00:00:00Z"/>
        <d v="2023-07-13T00:00:00Z"/>
        <d v="2023-09-20T00:00:00Z"/>
        <d v="2023-09-24T00:00:00Z"/>
        <d v="2023-12-12T00:00:00Z"/>
        <d v="2023-12-28T00:00:00Z"/>
        <d v="2023-03-06T00:00:00Z"/>
        <d v="2023-04-27T00:00:00Z"/>
        <d v="2023-08-23T00:00:00Z"/>
        <d v="2023-09-03T00:00:00Z"/>
        <d v="2023-10-05T00:00:00Z"/>
        <d v="2023-06-03T00:00:00Z"/>
        <d v="2023-11-25T00:00:00Z"/>
        <d v="2023-01-16T00:00:00Z"/>
        <d v="2023-05-26T00:00:00Z"/>
        <d v="2023-10-26T00:00:00Z"/>
        <d v="2023-11-06T00:00:00Z"/>
        <d v="2023-03-19T00:00:00Z"/>
        <d v="2023-04-16T00:00:00Z"/>
        <d v="2023-04-26T00:00:00Z"/>
        <d v="2023-06-07T00:00:00Z"/>
        <d v="2023-07-01T00:00:00Z"/>
        <d v="2023-07-05T00:00:00Z"/>
        <d v="2023-08-26T00:00:00Z"/>
        <d v="2023-12-22T00:00:00Z"/>
        <d v="2023-01-11T00:00:00Z"/>
        <d v="2023-10-20T00:00:00Z"/>
        <d v="2023-05-21T00:00:00Z"/>
        <d v="2023-06-01T00:00:00Z"/>
        <d v="2023-06-08T00:00:00Z"/>
        <d v="2023-06-17T00:00:00Z"/>
        <d v="2023-07-18T00:00:00Z"/>
        <d v="2023-12-11T00:00:00Z"/>
        <d v="2023-06-14T00:00:00Z"/>
        <d v="2023-06-28T00:00:00Z"/>
        <d v="2023-08-02T00:00:00Z"/>
        <d v="2023-01-15T00:00:00Z"/>
        <d v="2023-02-07T00:00:00Z"/>
        <d v="2023-04-05T00:00:00Z"/>
        <d v="2023-04-28T00:00:00Z"/>
        <d v="2023-10-21T00:00:00Z"/>
        <d v="2023-11-18T00:00:00Z"/>
        <d v="2023-11-22T00:00:00Z"/>
        <d v="2023-03-22T00:00:00Z"/>
        <d v="2023-08-03T00:00:00Z"/>
        <d v="2023-01-26T00:00:00Z"/>
        <d v="2023-04-14T00:00:00Z"/>
        <d v="2023-04-21T00:00:00Z"/>
        <d v="2023-05-15T00:00:00Z"/>
        <d v="2023-06-06T00:00:00Z"/>
        <d v="2023-06-27T00:00:00Z"/>
        <d v="2023-07-08T00:00:00Z"/>
        <d v="2023-05-05T00:00:00Z"/>
        <d v="2023-05-06T00:00:00Z"/>
        <d v="2023-06-09T00:00:00Z"/>
        <d v="2023-01-09T00:00:00Z"/>
        <d v="2023-04-08T00:00:00Z"/>
        <d v="2023-11-10T00:00:00Z"/>
        <d v="2023-11-21T00:00:00Z"/>
        <d v="2023-01-01T00:00:00Z"/>
        <d v="2023-01-02T00:00:00Z"/>
        <d v="2023-02-16T00:00:00Z"/>
        <d v="2023-08-09T00:00:00Z"/>
        <d v="2023-08-28T00:00:00Z"/>
        <d v="2023-09-08T00:00:00Z"/>
        <d v="2023-11-26T00:00:00Z"/>
        <d v="2023-09-23T00:00:00Z"/>
        <d v="2023-01-28T00:00:00Z"/>
        <d v="2023-12-09T00:00:00Z"/>
        <d v="2023-01-19T00:00:00Z"/>
        <d v="2023-04-09T00:00:00Z"/>
        <d v="2023-06-19T00:00:00Z"/>
        <d v="2023-10-08T00:00:00Z"/>
        <d v="2023-11-13T00:00:00Z"/>
        <d v="2023-03-08T00:00:00Z"/>
        <d v="2023-07-10T00:00:00Z"/>
        <d v="2023-01-05T00:00:00Z"/>
        <d v="2023-07-21T00:00:00Z"/>
        <d v="2023-10-02T00:00:00Z"/>
        <d v="2023-10-16T00:00:00Z"/>
        <d v="2023-06-18T00:00:00Z"/>
        <d v="2023-10-18T00:00:00Z"/>
        <d v="2023-02-20T00:00:00Z"/>
        <d v="2023-02-19T00:00:00Z"/>
        <d v="2023-03-12T00:00:00Z"/>
        <d v="2023-02-26T00:00:00Z"/>
        <d v="2023-09-22T00:00:00Z"/>
        <d v="2023-01-10T00:00:00Z"/>
        <d v="2023-12-27T00:00:00Z"/>
        <d v="2023-04-23T00:00:00Z"/>
        <d v="2023-05-01T00:00:00Z"/>
        <d v="2023-05-11T00:00:00Z"/>
        <d v="2023-11-02T00:00:00Z"/>
        <d v="2023-12-25T00:00:00Z"/>
        <d v="2023-03-20T00:00:00Z"/>
        <d v="2023-09-04T00:00:00Z"/>
        <d v="2023-05-25T00:00:00Z"/>
        <d v="2023-07-20T00:00:00Z"/>
        <d v="2023-12-02T00:00:00Z"/>
        <d v="2023-11-20T00:00:00Z"/>
        <d v="2023-02-17T00:00:00Z"/>
        <d v="2023-06-26T00:00:00Z"/>
        <d v="2023-08-25T00:00:00Z"/>
        <d v="2023-12-16T00:00:00Z"/>
        <d v="2023-12-03T00:00:00Z"/>
        <d v="2023-08-05T00:00:00Z"/>
        <d v="2023-04-11T00:00:00Z"/>
        <d v="2023-02-08T00:00:00Z"/>
        <d v="2023-08-07T00:00:00Z"/>
        <d v="2023-07-03T00:00:00Z"/>
        <d v="2023-04-15T00:00:00Z"/>
        <d v="2023-05-02T00:00:00Z"/>
        <d v="2023-10-04T00:00:00Z"/>
        <d v="2023-09-28T00:00:00Z"/>
        <d v="2023-09-06T00:00:00Z"/>
        <d v="2023-02-04T00:00:00Z"/>
        <d v="2023-01-07T00:00:00Z"/>
        <d v="2023-03-11T00:00:00Z"/>
        <d v="2023-07-11T00:00:00Z"/>
        <s v="Data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cliente_lucro_prejuizo" cacheId="0" dataCaption="" compact="0" compactData="0">
  <location ref="H4:M28" firstHeaderRow="0" firstDataRow="1" firstDataCol="1" rowPageCount="1" colPageCount="1"/>
  <pivotFields>
    <pivotField name="leonardo.ferreira67@exemplo.com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Venda" axis="axisCol" compact="0" numFmtId="164" outline="0" multipleItemSelectionAllowed="1" showAll="0" sortType="ascending">
      <items>
        <item x="3"/>
        <item x="1"/>
        <item x="2"/>
        <item x="0"/>
        <item t="default"/>
      </items>
    </pivotField>
    <pivotField name="RENT3" axis="axisRow" compact="0" outline="0" multipleItemSelectionAllowed="1" showAll="0" sortType="ascending">
      <items>
        <item x="21"/>
        <item x="4"/>
        <item x="1"/>
        <item x="19"/>
        <item x="7"/>
        <item x="6"/>
        <item x="14"/>
        <item x="2"/>
        <item x="15"/>
        <item x="13"/>
        <item x="11"/>
        <item x="3"/>
        <item x="5"/>
        <item x="18"/>
        <item x="17"/>
        <item x="9"/>
        <item x="16"/>
        <item x="20"/>
        <item x="10"/>
        <item x="12"/>
        <item x="0"/>
        <item x="8"/>
        <item t="default"/>
      </items>
    </pivotField>
    <pivotField name="65,02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t="default"/>
      </items>
    </pivotField>
  </pivotFields>
  <rowFields>
    <field x="2"/>
  </rowFields>
  <colFields>
    <field x="1"/>
  </colFields>
  <pageFields>
    <pageField fld="0"/>
  </pageFields>
  <dataFields>
    <dataField name="&quot;Buscar email/ ticker&quot;" fld="3" subtotal="count" baseField="0"/>
  </dataFields>
</pivotTableDefinition>
</file>

<file path=xl/pivotTables/pivotTable2.xml><?xml version="1.0" encoding="utf-8"?>
<pivotTableDefinition xmlns="http://schemas.openxmlformats.org/spreadsheetml/2006/main" name="Tabela dinâmica " cacheId="1" dataCaption="" compact="0" compactData="0">
  <location ref="A1:E24" firstHeaderRow="0" firstDataRow="1" firstDataCol="1"/>
  <pivotFields>
    <pivotField name="Venda" axis="axisCol" dataField="1" compact="0" numFmtId="164" outline="0" multipleItemSelectionAllowed="1" showAll="0" sortType="ascending">
      <items>
        <item h="1" x="3"/>
        <item x="1"/>
        <item x="2"/>
        <item x="0"/>
        <item t="default"/>
      </items>
    </pivotField>
    <pivotField name="RENT3" axis="axisRow" compact="0" outline="0" multipleItemSelectionAllowed="1" showAll="0" sortType="ascending">
      <items>
        <item x="21"/>
        <item x="4"/>
        <item x="1"/>
        <item x="19"/>
        <item x="7"/>
        <item x="6"/>
        <item x="14"/>
        <item x="2"/>
        <item x="15"/>
        <item x="13"/>
        <item x="11"/>
        <item x="3"/>
        <item x="5"/>
        <item x="18"/>
        <item x="17"/>
        <item x="9"/>
        <item x="16"/>
        <item x="20"/>
        <item x="10"/>
        <item x="12"/>
        <item x="0"/>
        <item x="8"/>
        <item t="default"/>
      </items>
    </pivotField>
    <pivotField name="65,02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t="default"/>
      </items>
    </pivotField>
  </pivotFields>
  <rowFields>
    <field x="1"/>
  </rowFields>
  <colFields>
    <field x="0"/>
  </colFields>
  <dataFields>
    <dataField name="COUNTA of Venda" fld="0" subtotal="count" baseField="0"/>
  </dataFields>
</pivotTableDefinition>
</file>

<file path=xl/pivotTables/pivotTable3.xml><?xml version="1.0" encoding="utf-8"?>
<pivotTableDefinition xmlns="http://schemas.openxmlformats.org/spreadsheetml/2006/main" name="CLIENTE_COMPRA_VENDA" cacheId="2" dataCaption="" compact="0" compactData="0">
  <location ref="A1:G2022" firstHeaderRow="0" firstDataRow="2" firstDataCol="1"/>
  <pivotFields>
    <pivotField name="Leonardo Ferreira" axis="axisRow" compact="0" outline="0" multipleItemSelectionAllowed="1" showAll="0" sortType="ascending">
      <items>
        <item x="87"/>
        <item x="56"/>
        <item x="66"/>
        <item x="72"/>
        <item x="38"/>
        <item x="51"/>
        <item x="67"/>
        <item x="39"/>
        <item x="54"/>
        <item x="5"/>
        <item x="70"/>
        <item x="17"/>
        <item x="12"/>
        <item x="64"/>
        <item x="4"/>
        <item x="82"/>
        <item x="47"/>
        <item x="20"/>
        <item x="46"/>
        <item x="59"/>
        <item x="71"/>
        <item x="35"/>
        <item x="79"/>
        <item x="9"/>
        <item x="24"/>
        <item x="73"/>
        <item x="14"/>
        <item x="19"/>
        <item x="63"/>
        <item x="74"/>
        <item x="15"/>
        <item x="31"/>
        <item x="57"/>
        <item x="16"/>
        <item x="25"/>
        <item x="68"/>
        <item x="28"/>
        <item x="26"/>
        <item x="8"/>
        <item x="49"/>
        <item x="11"/>
        <item x="13"/>
        <item x="62"/>
        <item x="76"/>
        <item x="78"/>
        <item x="10"/>
        <item x="50"/>
        <item x="32"/>
        <item x="22"/>
        <item x="1"/>
        <item x="34"/>
        <item x="52"/>
        <item x="75"/>
        <item x="69"/>
        <item x="29"/>
        <item x="30"/>
        <item x="7"/>
        <item x="83"/>
        <item x="81"/>
        <item x="0"/>
        <item x="44"/>
        <item x="41"/>
        <item x="85"/>
        <item x="48"/>
        <item x="33"/>
        <item x="58"/>
        <item x="40"/>
        <item x="21"/>
        <item x="37"/>
        <item x="55"/>
        <item x="65"/>
        <item x="6"/>
        <item x="60"/>
        <item x="61"/>
        <item x="2"/>
        <item x="42"/>
        <item x="86"/>
        <item x="84"/>
        <item x="43"/>
        <item x="27"/>
        <item x="53"/>
        <item x="45"/>
        <item x="36"/>
        <item x="23"/>
        <item x="80"/>
        <item x="3"/>
        <item x="18"/>
        <item x="77"/>
        <item t="default"/>
      </items>
    </pivotField>
    <pivotField name="leonardo.ferreira67@exemplo.co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Venda" axis="axisCol" compact="0" numFmtId="164" outline="0" multipleItemSelectionAllowed="1" showAll="0" sortType="ascending">
      <items>
        <item x="3"/>
        <item x="1"/>
        <item x="2"/>
        <item x="0"/>
        <item t="default"/>
      </items>
    </pivotField>
    <pivotField name="RENT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65,02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t="default"/>
      </items>
    </pivotField>
    <pivotField name="23/01/2023" axis="axisRow" compact="0" outline="0" multipleItemSelectionAllowed="1" showAll="0" sortType="ascending">
      <items>
        <item x="335"/>
        <item x="274"/>
        <item x="275"/>
        <item x="199"/>
        <item x="18"/>
        <item x="291"/>
        <item x="119"/>
        <item x="331"/>
        <item x="53"/>
        <item x="270"/>
        <item x="302"/>
        <item x="240"/>
        <item x="54"/>
        <item x="108"/>
        <item x="145"/>
        <item x="251"/>
        <item x="228"/>
        <item x="71"/>
        <item x="207"/>
        <item x="284"/>
        <item x="19"/>
        <item x="89"/>
        <item x="170"/>
        <item x="72"/>
        <item x="0"/>
        <item x="192"/>
        <item x="260"/>
        <item x="193"/>
        <item x="282"/>
        <item x="55"/>
        <item x="20"/>
        <item x="200"/>
        <item x="330"/>
        <item x="38"/>
        <item x="56"/>
        <item x="252"/>
        <item x="322"/>
        <item x="201"/>
        <item x="90"/>
        <item x="91"/>
        <item x="134"/>
        <item x="21"/>
        <item x="160"/>
        <item x="22"/>
        <item x="276"/>
        <item x="315"/>
        <item x="39"/>
        <item x="298"/>
        <item x="297"/>
        <item x="109"/>
        <item x="135"/>
        <item x="23"/>
        <item x="92"/>
        <item x="40"/>
        <item x="300"/>
        <item x="110"/>
        <item x="120"/>
        <item x="1"/>
        <item x="111"/>
        <item x="146"/>
        <item x="41"/>
        <item x="147"/>
        <item x="221"/>
        <item x="2"/>
        <item x="289"/>
        <item x="73"/>
        <item x="57"/>
        <item x="332"/>
        <item x="299"/>
        <item x="3"/>
        <item x="4"/>
        <item x="74"/>
        <item x="93"/>
        <item x="24"/>
        <item x="161"/>
        <item x="232"/>
        <item x="309"/>
        <item x="258"/>
        <item x="121"/>
        <item x="148"/>
        <item x="202"/>
        <item x="162"/>
        <item x="194"/>
        <item x="112"/>
        <item x="171"/>
        <item x="113"/>
        <item x="181"/>
        <item x="253"/>
        <item x="182"/>
        <item x="94"/>
        <item x="271"/>
        <item x="285"/>
        <item x="172"/>
        <item x="321"/>
        <item x="95"/>
        <item x="58"/>
        <item x="261"/>
        <item x="325"/>
        <item x="233"/>
        <item x="42"/>
        <item x="75"/>
        <item x="5"/>
        <item x="149"/>
        <item x="262"/>
        <item x="25"/>
        <item x="304"/>
        <item x="76"/>
        <item x="59"/>
        <item x="234"/>
        <item x="222"/>
        <item x="254"/>
        <item x="305"/>
        <item x="326"/>
        <item x="173"/>
        <item x="114"/>
        <item x="267"/>
        <item x="268"/>
        <item x="136"/>
        <item x="195"/>
        <item x="163"/>
        <item x="43"/>
        <item x="306"/>
        <item x="26"/>
        <item x="174"/>
        <item x="183"/>
        <item x="263"/>
        <item x="60"/>
        <item x="203"/>
        <item x="61"/>
        <item x="62"/>
        <item x="150"/>
        <item x="242"/>
        <item x="63"/>
        <item x="137"/>
        <item x="175"/>
        <item x="311"/>
        <item x="229"/>
        <item x="6"/>
        <item x="7"/>
        <item x="243"/>
        <item x="77"/>
        <item x="226"/>
        <item x="122"/>
        <item x="151"/>
        <item x="264"/>
        <item x="235"/>
        <item x="244"/>
        <item x="269"/>
        <item x="123"/>
        <item x="204"/>
        <item x="124"/>
        <item x="64"/>
        <item x="248"/>
        <item x="8"/>
        <item x="208"/>
        <item x="245"/>
        <item x="295"/>
        <item x="286"/>
        <item x="96"/>
        <item x="65"/>
        <item x="27"/>
        <item x="97"/>
        <item x="125"/>
        <item x="184"/>
        <item x="316"/>
        <item x="265"/>
        <item x="249"/>
        <item x="236"/>
        <item x="28"/>
        <item x="324"/>
        <item x="78"/>
        <item x="237"/>
        <item x="209"/>
        <item x="29"/>
        <item x="266"/>
        <item x="176"/>
        <item x="290"/>
        <item x="333"/>
        <item x="185"/>
        <item x="216"/>
        <item x="164"/>
        <item x="177"/>
        <item x="205"/>
        <item x="9"/>
        <item x="246"/>
        <item x="10"/>
        <item x="312"/>
        <item x="292"/>
        <item x="126"/>
        <item x="210"/>
        <item x="30"/>
        <item x="66"/>
        <item x="31"/>
        <item x="79"/>
        <item x="152"/>
        <item x="44"/>
        <item x="250"/>
        <item x="259"/>
        <item x="67"/>
        <item x="320"/>
        <item x="138"/>
        <item x="323"/>
        <item x="186"/>
        <item x="277"/>
        <item x="98"/>
        <item x="127"/>
        <item x="45"/>
        <item x="139"/>
        <item x="153"/>
        <item x="99"/>
        <item x="11"/>
        <item x="187"/>
        <item x="154"/>
        <item x="68"/>
        <item x="46"/>
        <item x="32"/>
        <item x="140"/>
        <item x="223"/>
        <item x="155"/>
        <item x="317"/>
        <item x="238"/>
        <item x="80"/>
        <item x="278"/>
        <item x="100"/>
        <item x="188"/>
        <item x="224"/>
        <item x="310"/>
        <item x="189"/>
        <item x="329"/>
        <item x="47"/>
        <item x="279"/>
        <item x="101"/>
        <item x="33"/>
        <item x="156"/>
        <item x="12"/>
        <item x="102"/>
        <item x="141"/>
        <item x="81"/>
        <item x="165"/>
        <item x="128"/>
        <item x="82"/>
        <item x="48"/>
        <item x="217"/>
        <item x="178"/>
        <item x="301"/>
        <item x="281"/>
        <item x="218"/>
        <item x="13"/>
        <item x="103"/>
        <item x="49"/>
        <item x="328"/>
        <item x="115"/>
        <item x="293"/>
        <item x="34"/>
        <item x="327"/>
        <item x="225"/>
        <item x="14"/>
        <item x="157"/>
        <item x="287"/>
        <item x="69"/>
        <item x="196"/>
        <item x="166"/>
        <item x="104"/>
        <item x="142"/>
        <item x="116"/>
        <item x="50"/>
        <item x="294"/>
        <item x="190"/>
        <item x="296"/>
        <item x="105"/>
        <item x="241"/>
        <item x="255"/>
        <item x="15"/>
        <item x="211"/>
        <item x="129"/>
        <item x="206"/>
        <item x="230"/>
        <item x="167"/>
        <item x="212"/>
        <item x="191"/>
        <item x="307"/>
        <item x="83"/>
        <item x="130"/>
        <item x="51"/>
        <item x="231"/>
        <item x="158"/>
        <item x="131"/>
        <item x="84"/>
        <item x="272"/>
        <item x="85"/>
        <item x="179"/>
        <item x="288"/>
        <item x="132"/>
        <item x="16"/>
        <item x="35"/>
        <item x="143"/>
        <item x="256"/>
        <item x="133"/>
        <item x="314"/>
        <item x="273"/>
        <item x="257"/>
        <item x="197"/>
        <item x="70"/>
        <item x="227"/>
        <item x="280"/>
        <item x="117"/>
        <item x="86"/>
        <item x="87"/>
        <item x="313"/>
        <item x="319"/>
        <item x="168"/>
        <item x="213"/>
        <item x="214"/>
        <item x="215"/>
        <item x="36"/>
        <item x="283"/>
        <item x="37"/>
        <item x="247"/>
        <item x="219"/>
        <item x="198"/>
        <item x="88"/>
        <item x="180"/>
        <item x="318"/>
        <item x="159"/>
        <item x="106"/>
        <item x="52"/>
        <item x="144"/>
        <item x="17"/>
        <item x="239"/>
        <item x="169"/>
        <item x="107"/>
        <item x="308"/>
        <item x="118"/>
        <item x="303"/>
        <item x="220"/>
        <item x="334"/>
        <item t="default"/>
      </items>
    </pivotField>
  </pivotFields>
  <rowFields>
    <field x="0"/>
    <field x="5"/>
  </rowFields>
  <colFields>
    <field x="2"/>
  </colFields>
  <dataFields>
    <dataField name="TABELA GERAL" fld="4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1" dT="2026-02-16T16:42:20.00" personId="{3bc45462-eb64-4681-805a-ab505ff61c05}" id="{d0011dd2-d8a5-43a5-9314-0fcebf95197a}" done="0">
    <x18tc:text xml:space="preserve">ultimos 12 meses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mailto:felipe.santos70@exemplo.com" TargetMode="External"/><Relationship Id="rId391" Type="http://schemas.openxmlformats.org/officeDocument/2006/relationships/hyperlink" Target="mailto:felipe.santos70@exemplo.com" TargetMode="External"/><Relationship Id="rId390" Type="http://schemas.openxmlformats.org/officeDocument/2006/relationships/hyperlink" Target="mailto:felipe.santos70@exemplo.com" TargetMode="External"/><Relationship Id="rId1" Type="http://schemas.openxmlformats.org/officeDocument/2006/relationships/pivotTable" Target="../pivotTables/pivotTable1.xml"/><Relationship Id="rId2" Type="http://schemas.openxmlformats.org/officeDocument/2006/relationships/hyperlink" Target="mailto:leonardo.ferreira67@exemplo.com" TargetMode="External"/><Relationship Id="rId3" Type="http://schemas.openxmlformats.org/officeDocument/2006/relationships/hyperlink" Target="mailto:leonardo.ferreira67@exemplo.com" TargetMode="External"/><Relationship Id="rId4" Type="http://schemas.openxmlformats.org/officeDocument/2006/relationships/hyperlink" Target="mailto:leonardo.ferreira67@exemplo.com" TargetMode="External"/><Relationship Id="rId9" Type="http://schemas.openxmlformats.org/officeDocument/2006/relationships/hyperlink" Target="mailto:leonardo.ferreira67@exemplo.com" TargetMode="External"/><Relationship Id="rId385" Type="http://schemas.openxmlformats.org/officeDocument/2006/relationships/hyperlink" Target="mailto:felipe.santos70@exemplo.com" TargetMode="External"/><Relationship Id="rId384" Type="http://schemas.openxmlformats.org/officeDocument/2006/relationships/hyperlink" Target="mailto:felipe.santos70@exemplo.com" TargetMode="External"/><Relationship Id="rId383" Type="http://schemas.openxmlformats.org/officeDocument/2006/relationships/hyperlink" Target="mailto:felipe.santos70@exemplo.com" TargetMode="External"/><Relationship Id="rId382" Type="http://schemas.openxmlformats.org/officeDocument/2006/relationships/hyperlink" Target="mailto:felipe.santos70@exemplo.com" TargetMode="External"/><Relationship Id="rId5" Type="http://schemas.openxmlformats.org/officeDocument/2006/relationships/hyperlink" Target="mailto:leonardo.ferreira67@exemplo.com" TargetMode="External"/><Relationship Id="rId389" Type="http://schemas.openxmlformats.org/officeDocument/2006/relationships/hyperlink" Target="mailto:felipe.santos70@exemplo.com" TargetMode="External"/><Relationship Id="rId6" Type="http://schemas.openxmlformats.org/officeDocument/2006/relationships/hyperlink" Target="mailto:leonardo.ferreira67@exemplo.com" TargetMode="External"/><Relationship Id="rId388" Type="http://schemas.openxmlformats.org/officeDocument/2006/relationships/hyperlink" Target="mailto:felipe.santos70@exemplo.com" TargetMode="External"/><Relationship Id="rId7" Type="http://schemas.openxmlformats.org/officeDocument/2006/relationships/hyperlink" Target="mailto:leonardo.ferreira67@exemplo.com" TargetMode="External"/><Relationship Id="rId387" Type="http://schemas.openxmlformats.org/officeDocument/2006/relationships/hyperlink" Target="mailto:felipe.santos70@exemplo.com" TargetMode="External"/><Relationship Id="rId8" Type="http://schemas.openxmlformats.org/officeDocument/2006/relationships/hyperlink" Target="mailto:leonardo.ferreira67@exemplo.com" TargetMode="External"/><Relationship Id="rId386" Type="http://schemas.openxmlformats.org/officeDocument/2006/relationships/hyperlink" Target="mailto:felipe.santos70@exemplo.com" TargetMode="External"/><Relationship Id="rId381" Type="http://schemas.openxmlformats.org/officeDocument/2006/relationships/hyperlink" Target="mailto:sofia.melo10@exemplo.com" TargetMode="External"/><Relationship Id="rId380" Type="http://schemas.openxmlformats.org/officeDocument/2006/relationships/hyperlink" Target="mailto:sofia.melo10@exemplo.com" TargetMode="External"/><Relationship Id="rId379" Type="http://schemas.openxmlformats.org/officeDocument/2006/relationships/hyperlink" Target="mailto:sofia.melo10@exemplo.com" TargetMode="External"/><Relationship Id="rId374" Type="http://schemas.openxmlformats.org/officeDocument/2006/relationships/hyperlink" Target="mailto:sofia.melo10@exemplo.com" TargetMode="External"/><Relationship Id="rId373" Type="http://schemas.openxmlformats.org/officeDocument/2006/relationships/hyperlink" Target="mailto:sofia.melo10@exemplo.com" TargetMode="External"/><Relationship Id="rId372" Type="http://schemas.openxmlformats.org/officeDocument/2006/relationships/hyperlink" Target="mailto:sofia.melo10@exemplo.com" TargetMode="External"/><Relationship Id="rId371" Type="http://schemas.openxmlformats.org/officeDocument/2006/relationships/hyperlink" Target="mailto:sofia.melo10@exemplo.com" TargetMode="External"/><Relationship Id="rId378" Type="http://schemas.openxmlformats.org/officeDocument/2006/relationships/hyperlink" Target="mailto:sofia.melo10@exemplo.com" TargetMode="External"/><Relationship Id="rId377" Type="http://schemas.openxmlformats.org/officeDocument/2006/relationships/hyperlink" Target="mailto:sofia.melo10@exemplo.com" TargetMode="External"/><Relationship Id="rId376" Type="http://schemas.openxmlformats.org/officeDocument/2006/relationships/hyperlink" Target="mailto:sofia.melo10@exemplo.com" TargetMode="External"/><Relationship Id="rId375" Type="http://schemas.openxmlformats.org/officeDocument/2006/relationships/hyperlink" Target="mailto:sofia.melo10@exemplo.com" TargetMode="External"/><Relationship Id="rId396" Type="http://schemas.openxmlformats.org/officeDocument/2006/relationships/hyperlink" Target="mailto:felipe.santos70@exemplo.com" TargetMode="External"/><Relationship Id="rId395" Type="http://schemas.openxmlformats.org/officeDocument/2006/relationships/hyperlink" Target="mailto:felipe.santos70@exemplo.com" TargetMode="External"/><Relationship Id="rId394" Type="http://schemas.openxmlformats.org/officeDocument/2006/relationships/hyperlink" Target="mailto:felipe.santos70@exemplo.com" TargetMode="External"/><Relationship Id="rId393" Type="http://schemas.openxmlformats.org/officeDocument/2006/relationships/hyperlink" Target="mailto:felipe.santos70@exemplo.com" TargetMode="External"/><Relationship Id="rId399" Type="http://schemas.openxmlformats.org/officeDocument/2006/relationships/hyperlink" Target="mailto:felipe.santos70@exemplo.com" TargetMode="External"/><Relationship Id="rId398" Type="http://schemas.openxmlformats.org/officeDocument/2006/relationships/hyperlink" Target="mailto:felipe.santos70@exemplo.com" TargetMode="External"/><Relationship Id="rId397" Type="http://schemas.openxmlformats.org/officeDocument/2006/relationships/hyperlink" Target="mailto:felipe.santos70@exemplo.com" TargetMode="External"/><Relationship Id="rId1730" Type="http://schemas.openxmlformats.org/officeDocument/2006/relationships/hyperlink" Target="mailto:sofia.mendes47@exemplo.com" TargetMode="External"/><Relationship Id="rId1731" Type="http://schemas.openxmlformats.org/officeDocument/2006/relationships/hyperlink" Target="mailto:sofia.mendes47@exemplo.com" TargetMode="External"/><Relationship Id="rId1732" Type="http://schemas.openxmlformats.org/officeDocument/2006/relationships/hyperlink" Target="mailto:sofia.mendes47@exemplo.com" TargetMode="External"/><Relationship Id="rId1733" Type="http://schemas.openxmlformats.org/officeDocument/2006/relationships/hyperlink" Target="mailto:sofia.mendes47@exemplo.com" TargetMode="External"/><Relationship Id="rId1734" Type="http://schemas.openxmlformats.org/officeDocument/2006/relationships/hyperlink" Target="mailto:sofia.mendes47@exemplo.com" TargetMode="External"/><Relationship Id="rId1735" Type="http://schemas.openxmlformats.org/officeDocument/2006/relationships/hyperlink" Target="mailto:sofia.mendes47@exemplo.com" TargetMode="External"/><Relationship Id="rId1736" Type="http://schemas.openxmlformats.org/officeDocument/2006/relationships/hyperlink" Target="mailto:sofia.mendes47@exemplo.com" TargetMode="External"/><Relationship Id="rId1737" Type="http://schemas.openxmlformats.org/officeDocument/2006/relationships/hyperlink" Target="mailto:sofia.mendes47@exemplo.com" TargetMode="External"/><Relationship Id="rId1738" Type="http://schemas.openxmlformats.org/officeDocument/2006/relationships/hyperlink" Target="mailto:sofia.mendes47@exemplo.com" TargetMode="External"/><Relationship Id="rId1739" Type="http://schemas.openxmlformats.org/officeDocument/2006/relationships/hyperlink" Target="mailto:sofia.mendes47@exemplo.com" TargetMode="External"/><Relationship Id="rId1720" Type="http://schemas.openxmlformats.org/officeDocument/2006/relationships/hyperlink" Target="mailto:guilherme.oliveira36@exemplo.com" TargetMode="External"/><Relationship Id="rId1721" Type="http://schemas.openxmlformats.org/officeDocument/2006/relationships/hyperlink" Target="mailto:guilherme.oliveira36@exemplo.com" TargetMode="External"/><Relationship Id="rId1722" Type="http://schemas.openxmlformats.org/officeDocument/2006/relationships/hyperlink" Target="mailto:sofia.mendes47@exemplo.com" TargetMode="External"/><Relationship Id="rId1723" Type="http://schemas.openxmlformats.org/officeDocument/2006/relationships/hyperlink" Target="mailto:sofia.mendes47@exemplo.com" TargetMode="External"/><Relationship Id="rId1724" Type="http://schemas.openxmlformats.org/officeDocument/2006/relationships/hyperlink" Target="mailto:sofia.mendes47@exemplo.com" TargetMode="External"/><Relationship Id="rId1725" Type="http://schemas.openxmlformats.org/officeDocument/2006/relationships/hyperlink" Target="mailto:sofia.mendes47@exemplo.com" TargetMode="External"/><Relationship Id="rId1726" Type="http://schemas.openxmlformats.org/officeDocument/2006/relationships/hyperlink" Target="mailto:sofia.mendes47@exemplo.com" TargetMode="External"/><Relationship Id="rId1727" Type="http://schemas.openxmlformats.org/officeDocument/2006/relationships/hyperlink" Target="mailto:sofia.mendes47@exemplo.com" TargetMode="External"/><Relationship Id="rId1728" Type="http://schemas.openxmlformats.org/officeDocument/2006/relationships/hyperlink" Target="mailto:sofia.mendes47@exemplo.com" TargetMode="External"/><Relationship Id="rId1729" Type="http://schemas.openxmlformats.org/officeDocument/2006/relationships/hyperlink" Target="mailto:sofia.mendes47@exemplo.com" TargetMode="External"/><Relationship Id="rId1752" Type="http://schemas.openxmlformats.org/officeDocument/2006/relationships/hyperlink" Target="mailto:gabriela.costa24@exemplo.com" TargetMode="External"/><Relationship Id="rId1753" Type="http://schemas.openxmlformats.org/officeDocument/2006/relationships/hyperlink" Target="mailto:gabriela.costa24@exemplo.com" TargetMode="External"/><Relationship Id="rId1754" Type="http://schemas.openxmlformats.org/officeDocument/2006/relationships/hyperlink" Target="mailto:gabriela.costa24@exemplo.com" TargetMode="External"/><Relationship Id="rId1755" Type="http://schemas.openxmlformats.org/officeDocument/2006/relationships/hyperlink" Target="mailto:gabriela.costa24@exemplo.com" TargetMode="External"/><Relationship Id="rId1756" Type="http://schemas.openxmlformats.org/officeDocument/2006/relationships/hyperlink" Target="mailto:gabriela.costa24@exemplo.com" TargetMode="External"/><Relationship Id="rId1757" Type="http://schemas.openxmlformats.org/officeDocument/2006/relationships/hyperlink" Target="mailto:gabriela.costa24@exemplo.com" TargetMode="External"/><Relationship Id="rId1758" Type="http://schemas.openxmlformats.org/officeDocument/2006/relationships/hyperlink" Target="mailto:gabriela.costa24@exemplo.com" TargetMode="External"/><Relationship Id="rId1759" Type="http://schemas.openxmlformats.org/officeDocument/2006/relationships/hyperlink" Target="mailto:gabriela.costa24@exemplo.com" TargetMode="External"/><Relationship Id="rId808" Type="http://schemas.openxmlformats.org/officeDocument/2006/relationships/hyperlink" Target="mailto:ana.ferreira30@exemplo.com" TargetMode="External"/><Relationship Id="rId807" Type="http://schemas.openxmlformats.org/officeDocument/2006/relationships/hyperlink" Target="mailto:ana.ferreira30@exemplo.com" TargetMode="External"/><Relationship Id="rId806" Type="http://schemas.openxmlformats.org/officeDocument/2006/relationships/hyperlink" Target="mailto:ana.ferreira30@exemplo.com" TargetMode="External"/><Relationship Id="rId805" Type="http://schemas.openxmlformats.org/officeDocument/2006/relationships/hyperlink" Target="mailto:ana.ferreira30@exemplo.com" TargetMode="External"/><Relationship Id="rId809" Type="http://schemas.openxmlformats.org/officeDocument/2006/relationships/hyperlink" Target="mailto:ana.ferreira30@exemplo.com" TargetMode="External"/><Relationship Id="rId800" Type="http://schemas.openxmlformats.org/officeDocument/2006/relationships/hyperlink" Target="mailto:gabriela.pereira87@exemplo.com" TargetMode="External"/><Relationship Id="rId804" Type="http://schemas.openxmlformats.org/officeDocument/2006/relationships/hyperlink" Target="mailto:ana.ferreira30@exemplo.com" TargetMode="External"/><Relationship Id="rId803" Type="http://schemas.openxmlformats.org/officeDocument/2006/relationships/hyperlink" Target="mailto:ana.ferreira30@exemplo.com" TargetMode="External"/><Relationship Id="rId802" Type="http://schemas.openxmlformats.org/officeDocument/2006/relationships/hyperlink" Target="mailto:ana.ferreira30@exemplo.com" TargetMode="External"/><Relationship Id="rId801" Type="http://schemas.openxmlformats.org/officeDocument/2006/relationships/hyperlink" Target="mailto:gabriela.pereira87@exemplo.com" TargetMode="External"/><Relationship Id="rId1750" Type="http://schemas.openxmlformats.org/officeDocument/2006/relationships/hyperlink" Target="mailto:gabriela.costa24@exemplo.com" TargetMode="External"/><Relationship Id="rId1751" Type="http://schemas.openxmlformats.org/officeDocument/2006/relationships/hyperlink" Target="mailto:gabriela.costa24@exemplo.com" TargetMode="External"/><Relationship Id="rId1741" Type="http://schemas.openxmlformats.org/officeDocument/2006/relationships/hyperlink" Target="mailto:sofia.mendes47@exemplo.com" TargetMode="External"/><Relationship Id="rId1742" Type="http://schemas.openxmlformats.org/officeDocument/2006/relationships/hyperlink" Target="mailto:gabriela.costa24@exemplo.com" TargetMode="External"/><Relationship Id="rId1743" Type="http://schemas.openxmlformats.org/officeDocument/2006/relationships/hyperlink" Target="mailto:gabriela.costa24@exemplo.com" TargetMode="External"/><Relationship Id="rId1744" Type="http://schemas.openxmlformats.org/officeDocument/2006/relationships/hyperlink" Target="mailto:gabriela.costa24@exemplo.com" TargetMode="External"/><Relationship Id="rId1745" Type="http://schemas.openxmlformats.org/officeDocument/2006/relationships/hyperlink" Target="mailto:gabriela.costa24@exemplo.com" TargetMode="External"/><Relationship Id="rId1746" Type="http://schemas.openxmlformats.org/officeDocument/2006/relationships/hyperlink" Target="mailto:gabriela.costa24@exemplo.com" TargetMode="External"/><Relationship Id="rId1747" Type="http://schemas.openxmlformats.org/officeDocument/2006/relationships/hyperlink" Target="mailto:gabriela.costa24@exemplo.com" TargetMode="External"/><Relationship Id="rId1748" Type="http://schemas.openxmlformats.org/officeDocument/2006/relationships/hyperlink" Target="mailto:gabriela.costa24@exemplo.com" TargetMode="External"/><Relationship Id="rId1749" Type="http://schemas.openxmlformats.org/officeDocument/2006/relationships/hyperlink" Target="mailto:gabriela.costa24@exemplo.com" TargetMode="External"/><Relationship Id="rId1740" Type="http://schemas.openxmlformats.org/officeDocument/2006/relationships/hyperlink" Target="mailto:sofia.mendes47@exemplo.com" TargetMode="External"/><Relationship Id="rId1710" Type="http://schemas.openxmlformats.org/officeDocument/2006/relationships/hyperlink" Target="mailto:guilherme.oliveira36@exemplo.com" TargetMode="External"/><Relationship Id="rId1711" Type="http://schemas.openxmlformats.org/officeDocument/2006/relationships/hyperlink" Target="mailto:guilherme.oliveira36@exemplo.com" TargetMode="External"/><Relationship Id="rId1712" Type="http://schemas.openxmlformats.org/officeDocument/2006/relationships/hyperlink" Target="mailto:guilherme.oliveira36@exemplo.com" TargetMode="External"/><Relationship Id="rId1713" Type="http://schemas.openxmlformats.org/officeDocument/2006/relationships/hyperlink" Target="mailto:guilherme.oliveira36@exemplo.com" TargetMode="External"/><Relationship Id="rId1714" Type="http://schemas.openxmlformats.org/officeDocument/2006/relationships/hyperlink" Target="mailto:guilherme.oliveira36@exemplo.com" TargetMode="External"/><Relationship Id="rId1715" Type="http://schemas.openxmlformats.org/officeDocument/2006/relationships/hyperlink" Target="mailto:guilherme.oliveira36@exemplo.com" TargetMode="External"/><Relationship Id="rId1716" Type="http://schemas.openxmlformats.org/officeDocument/2006/relationships/hyperlink" Target="mailto:guilherme.oliveira36@exemplo.com" TargetMode="External"/><Relationship Id="rId1717" Type="http://schemas.openxmlformats.org/officeDocument/2006/relationships/hyperlink" Target="mailto:guilherme.oliveira36@exemplo.com" TargetMode="External"/><Relationship Id="rId1718" Type="http://schemas.openxmlformats.org/officeDocument/2006/relationships/hyperlink" Target="mailto:guilherme.oliveira36@exemplo.com" TargetMode="External"/><Relationship Id="rId1719" Type="http://schemas.openxmlformats.org/officeDocument/2006/relationships/hyperlink" Target="mailto:guilherme.oliveira36@exemplo.com" TargetMode="External"/><Relationship Id="rId1700" Type="http://schemas.openxmlformats.org/officeDocument/2006/relationships/hyperlink" Target="mailto:julia.santos76@exemplo.com" TargetMode="External"/><Relationship Id="rId1701" Type="http://schemas.openxmlformats.org/officeDocument/2006/relationships/hyperlink" Target="mailto:julia.santos76@exemplo.com" TargetMode="External"/><Relationship Id="rId1702" Type="http://schemas.openxmlformats.org/officeDocument/2006/relationships/hyperlink" Target="mailto:guilherme.oliveira36@exemplo.com" TargetMode="External"/><Relationship Id="rId1703" Type="http://schemas.openxmlformats.org/officeDocument/2006/relationships/hyperlink" Target="mailto:guilherme.oliveira36@exemplo.com" TargetMode="External"/><Relationship Id="rId1704" Type="http://schemas.openxmlformats.org/officeDocument/2006/relationships/hyperlink" Target="mailto:guilherme.oliveira36@exemplo.com" TargetMode="External"/><Relationship Id="rId1705" Type="http://schemas.openxmlformats.org/officeDocument/2006/relationships/hyperlink" Target="mailto:guilherme.oliveira36@exemplo.com" TargetMode="External"/><Relationship Id="rId1706" Type="http://schemas.openxmlformats.org/officeDocument/2006/relationships/hyperlink" Target="mailto:guilherme.oliveira36@exemplo.com" TargetMode="External"/><Relationship Id="rId1707" Type="http://schemas.openxmlformats.org/officeDocument/2006/relationships/hyperlink" Target="mailto:guilherme.oliveira36@exemplo.com" TargetMode="External"/><Relationship Id="rId1708" Type="http://schemas.openxmlformats.org/officeDocument/2006/relationships/hyperlink" Target="mailto:guilherme.oliveira36@exemplo.com" TargetMode="External"/><Relationship Id="rId1709" Type="http://schemas.openxmlformats.org/officeDocument/2006/relationships/hyperlink" Target="mailto:guilherme.oliveira36@exemplo.com" TargetMode="External"/><Relationship Id="rId40" Type="http://schemas.openxmlformats.org/officeDocument/2006/relationships/hyperlink" Target="mailto:isabella.ferreira95@exemplo.com" TargetMode="External"/><Relationship Id="rId1334" Type="http://schemas.openxmlformats.org/officeDocument/2006/relationships/hyperlink" Target="mailto:guilherme.fonseca27@exemplo.com" TargetMode="External"/><Relationship Id="rId1335" Type="http://schemas.openxmlformats.org/officeDocument/2006/relationships/hyperlink" Target="mailto:guilherme.fonseca27@exemplo.com" TargetMode="External"/><Relationship Id="rId42" Type="http://schemas.openxmlformats.org/officeDocument/2006/relationships/hyperlink" Target="mailto:mateus.santos41@exemplo.com" TargetMode="External"/><Relationship Id="rId1336" Type="http://schemas.openxmlformats.org/officeDocument/2006/relationships/hyperlink" Target="mailto:guilherme.fonseca27@exemplo.com" TargetMode="External"/><Relationship Id="rId41" Type="http://schemas.openxmlformats.org/officeDocument/2006/relationships/hyperlink" Target="mailto:isabella.ferreira95@exemplo.com" TargetMode="External"/><Relationship Id="rId1337" Type="http://schemas.openxmlformats.org/officeDocument/2006/relationships/hyperlink" Target="mailto:guilherme.fonseca27@exemplo.com" TargetMode="External"/><Relationship Id="rId44" Type="http://schemas.openxmlformats.org/officeDocument/2006/relationships/hyperlink" Target="mailto:mateus.santos41@exemplo.com" TargetMode="External"/><Relationship Id="rId1338" Type="http://schemas.openxmlformats.org/officeDocument/2006/relationships/hyperlink" Target="mailto:guilherme.fonseca27@exemplo.com" TargetMode="External"/><Relationship Id="rId43" Type="http://schemas.openxmlformats.org/officeDocument/2006/relationships/hyperlink" Target="mailto:mateus.santos41@exemplo.com" TargetMode="External"/><Relationship Id="rId1339" Type="http://schemas.openxmlformats.org/officeDocument/2006/relationships/hyperlink" Target="mailto:guilherme.fonseca27@exemplo.com" TargetMode="External"/><Relationship Id="rId46" Type="http://schemas.openxmlformats.org/officeDocument/2006/relationships/hyperlink" Target="mailto:mateus.santos41@exemplo.com" TargetMode="External"/><Relationship Id="rId45" Type="http://schemas.openxmlformats.org/officeDocument/2006/relationships/hyperlink" Target="mailto:mateus.santos41@exemplo.com" TargetMode="External"/><Relationship Id="rId745" Type="http://schemas.openxmlformats.org/officeDocument/2006/relationships/hyperlink" Target="mailto:luiza.souza53@exemplo.com" TargetMode="External"/><Relationship Id="rId744" Type="http://schemas.openxmlformats.org/officeDocument/2006/relationships/hyperlink" Target="mailto:luiza.souza53@exemplo.com" TargetMode="External"/><Relationship Id="rId743" Type="http://schemas.openxmlformats.org/officeDocument/2006/relationships/hyperlink" Target="mailto:luiza.souza53@exemplo.com" TargetMode="External"/><Relationship Id="rId742" Type="http://schemas.openxmlformats.org/officeDocument/2006/relationships/hyperlink" Target="mailto:luiza.souza53@exemplo.com" TargetMode="External"/><Relationship Id="rId749" Type="http://schemas.openxmlformats.org/officeDocument/2006/relationships/hyperlink" Target="mailto:luiza.souza53@exemplo.com" TargetMode="External"/><Relationship Id="rId748" Type="http://schemas.openxmlformats.org/officeDocument/2006/relationships/hyperlink" Target="mailto:luiza.souza53@exemplo.com" TargetMode="External"/><Relationship Id="rId747" Type="http://schemas.openxmlformats.org/officeDocument/2006/relationships/hyperlink" Target="mailto:luiza.souza53@exemplo.com" TargetMode="External"/><Relationship Id="rId746" Type="http://schemas.openxmlformats.org/officeDocument/2006/relationships/hyperlink" Target="mailto:luiza.souza53@exemplo.com" TargetMode="External"/><Relationship Id="rId48" Type="http://schemas.openxmlformats.org/officeDocument/2006/relationships/hyperlink" Target="mailto:mateus.santos41@exemplo.com" TargetMode="External"/><Relationship Id="rId47" Type="http://schemas.openxmlformats.org/officeDocument/2006/relationships/hyperlink" Target="mailto:mateus.santos41@exemplo.com" TargetMode="External"/><Relationship Id="rId49" Type="http://schemas.openxmlformats.org/officeDocument/2006/relationships/hyperlink" Target="mailto:mateus.santos41@exemplo.com" TargetMode="External"/><Relationship Id="rId741" Type="http://schemas.openxmlformats.org/officeDocument/2006/relationships/hyperlink" Target="mailto:rodrigo.cardoso48@exemplo.com" TargetMode="External"/><Relationship Id="rId1330" Type="http://schemas.openxmlformats.org/officeDocument/2006/relationships/hyperlink" Target="mailto:guilherme.fonseca27@exemplo.com" TargetMode="External"/><Relationship Id="rId740" Type="http://schemas.openxmlformats.org/officeDocument/2006/relationships/hyperlink" Target="mailto:rodrigo.cardoso48@exemplo.com" TargetMode="External"/><Relationship Id="rId1331" Type="http://schemas.openxmlformats.org/officeDocument/2006/relationships/hyperlink" Target="mailto:guilherme.fonseca27@exemplo.com" TargetMode="External"/><Relationship Id="rId1332" Type="http://schemas.openxmlformats.org/officeDocument/2006/relationships/hyperlink" Target="mailto:guilherme.fonseca27@exemplo.com" TargetMode="External"/><Relationship Id="rId1333" Type="http://schemas.openxmlformats.org/officeDocument/2006/relationships/hyperlink" Target="mailto:guilherme.fonseca27@exemplo.com" TargetMode="External"/><Relationship Id="rId1323" Type="http://schemas.openxmlformats.org/officeDocument/2006/relationships/hyperlink" Target="mailto:guilherme.fonseca27@exemplo.com" TargetMode="External"/><Relationship Id="rId1324" Type="http://schemas.openxmlformats.org/officeDocument/2006/relationships/hyperlink" Target="mailto:guilherme.fonseca27@exemplo.com" TargetMode="External"/><Relationship Id="rId31" Type="http://schemas.openxmlformats.org/officeDocument/2006/relationships/hyperlink" Target="mailto:isabella.ferreira95@exemplo.com" TargetMode="External"/><Relationship Id="rId1325" Type="http://schemas.openxmlformats.org/officeDocument/2006/relationships/hyperlink" Target="mailto:guilherme.fonseca27@exemplo.com" TargetMode="External"/><Relationship Id="rId30" Type="http://schemas.openxmlformats.org/officeDocument/2006/relationships/hyperlink" Target="mailto:isabella.ferreira95@exemplo.com" TargetMode="External"/><Relationship Id="rId1326" Type="http://schemas.openxmlformats.org/officeDocument/2006/relationships/hyperlink" Target="mailto:guilherme.fonseca27@exemplo.com" TargetMode="External"/><Relationship Id="rId33" Type="http://schemas.openxmlformats.org/officeDocument/2006/relationships/hyperlink" Target="mailto:isabella.ferreira95@exemplo.com" TargetMode="External"/><Relationship Id="rId1327" Type="http://schemas.openxmlformats.org/officeDocument/2006/relationships/hyperlink" Target="mailto:guilherme.fonseca27@exemplo.com" TargetMode="External"/><Relationship Id="rId32" Type="http://schemas.openxmlformats.org/officeDocument/2006/relationships/hyperlink" Target="mailto:isabella.ferreira95@exemplo.com" TargetMode="External"/><Relationship Id="rId1328" Type="http://schemas.openxmlformats.org/officeDocument/2006/relationships/hyperlink" Target="mailto:guilherme.fonseca27@exemplo.com" TargetMode="External"/><Relationship Id="rId35" Type="http://schemas.openxmlformats.org/officeDocument/2006/relationships/hyperlink" Target="mailto:isabella.ferreira95@exemplo.com" TargetMode="External"/><Relationship Id="rId1329" Type="http://schemas.openxmlformats.org/officeDocument/2006/relationships/hyperlink" Target="mailto:guilherme.fonseca27@exemplo.com" TargetMode="External"/><Relationship Id="rId34" Type="http://schemas.openxmlformats.org/officeDocument/2006/relationships/hyperlink" Target="mailto:isabella.ferreira95@exemplo.com" TargetMode="External"/><Relationship Id="rId739" Type="http://schemas.openxmlformats.org/officeDocument/2006/relationships/hyperlink" Target="mailto:rodrigo.cardoso48@exemplo.com" TargetMode="External"/><Relationship Id="rId734" Type="http://schemas.openxmlformats.org/officeDocument/2006/relationships/hyperlink" Target="mailto:rodrigo.cardoso48@exemplo.com" TargetMode="External"/><Relationship Id="rId733" Type="http://schemas.openxmlformats.org/officeDocument/2006/relationships/hyperlink" Target="mailto:rodrigo.cardoso48@exemplo.com" TargetMode="External"/><Relationship Id="rId732" Type="http://schemas.openxmlformats.org/officeDocument/2006/relationships/hyperlink" Target="mailto:rodrigo.cardoso48@exemplo.com" TargetMode="External"/><Relationship Id="rId731" Type="http://schemas.openxmlformats.org/officeDocument/2006/relationships/hyperlink" Target="mailto:rodrigo.cardoso48@exemplo.com" TargetMode="External"/><Relationship Id="rId738" Type="http://schemas.openxmlformats.org/officeDocument/2006/relationships/hyperlink" Target="mailto:rodrigo.cardoso48@exemplo.com" TargetMode="External"/><Relationship Id="rId737" Type="http://schemas.openxmlformats.org/officeDocument/2006/relationships/hyperlink" Target="mailto:rodrigo.cardoso48@exemplo.com" TargetMode="External"/><Relationship Id="rId736" Type="http://schemas.openxmlformats.org/officeDocument/2006/relationships/hyperlink" Target="mailto:rodrigo.cardoso48@exemplo.com" TargetMode="External"/><Relationship Id="rId735" Type="http://schemas.openxmlformats.org/officeDocument/2006/relationships/hyperlink" Target="mailto:rodrigo.cardoso48@exemplo.com" TargetMode="External"/><Relationship Id="rId37" Type="http://schemas.openxmlformats.org/officeDocument/2006/relationships/hyperlink" Target="mailto:isabella.ferreira95@exemplo.com" TargetMode="External"/><Relationship Id="rId36" Type="http://schemas.openxmlformats.org/officeDocument/2006/relationships/hyperlink" Target="mailto:isabella.ferreira95@exemplo.com" TargetMode="External"/><Relationship Id="rId39" Type="http://schemas.openxmlformats.org/officeDocument/2006/relationships/hyperlink" Target="mailto:isabella.ferreira95@exemplo.com" TargetMode="External"/><Relationship Id="rId38" Type="http://schemas.openxmlformats.org/officeDocument/2006/relationships/hyperlink" Target="mailto:isabella.ferreira95@exemplo.com" TargetMode="External"/><Relationship Id="rId730" Type="http://schemas.openxmlformats.org/officeDocument/2006/relationships/hyperlink" Target="mailto:rodrigo.cardoso48@exemplo.com" TargetMode="External"/><Relationship Id="rId1320" Type="http://schemas.openxmlformats.org/officeDocument/2006/relationships/hyperlink" Target="mailto:mateus.gomes98@exemplo.com" TargetMode="External"/><Relationship Id="rId1321" Type="http://schemas.openxmlformats.org/officeDocument/2006/relationships/hyperlink" Target="mailto:mateus.gomes98@exemplo.com" TargetMode="External"/><Relationship Id="rId1322" Type="http://schemas.openxmlformats.org/officeDocument/2006/relationships/hyperlink" Target="mailto:guilherme.fonseca27@exemplo.com" TargetMode="External"/><Relationship Id="rId1356" Type="http://schemas.openxmlformats.org/officeDocument/2006/relationships/hyperlink" Target="mailto:sofia.melo31@exemplo.com" TargetMode="External"/><Relationship Id="rId1357" Type="http://schemas.openxmlformats.org/officeDocument/2006/relationships/hyperlink" Target="mailto:sofia.melo31@exemplo.com" TargetMode="External"/><Relationship Id="rId20" Type="http://schemas.openxmlformats.org/officeDocument/2006/relationships/hyperlink" Target="mailto:leonardo.ferreira67@exemplo.com" TargetMode="External"/><Relationship Id="rId1358" Type="http://schemas.openxmlformats.org/officeDocument/2006/relationships/hyperlink" Target="mailto:sofia.melo31@exemplo.com" TargetMode="External"/><Relationship Id="rId1359" Type="http://schemas.openxmlformats.org/officeDocument/2006/relationships/hyperlink" Target="mailto:sofia.melo31@exemplo.com" TargetMode="External"/><Relationship Id="rId22" Type="http://schemas.openxmlformats.org/officeDocument/2006/relationships/hyperlink" Target="mailto:isabella.ferreira95@exemplo.com" TargetMode="External"/><Relationship Id="rId21" Type="http://schemas.openxmlformats.org/officeDocument/2006/relationships/hyperlink" Target="mailto:leonardo.ferreira67@exemplo.com" TargetMode="External"/><Relationship Id="rId24" Type="http://schemas.openxmlformats.org/officeDocument/2006/relationships/hyperlink" Target="mailto:isabella.ferreira95@exemplo.com" TargetMode="External"/><Relationship Id="rId23" Type="http://schemas.openxmlformats.org/officeDocument/2006/relationships/hyperlink" Target="mailto:isabella.ferreira95@exemplo.com" TargetMode="External"/><Relationship Id="rId767" Type="http://schemas.openxmlformats.org/officeDocument/2006/relationships/hyperlink" Target="mailto:amanda.rocha53@exemplo.com" TargetMode="External"/><Relationship Id="rId766" Type="http://schemas.openxmlformats.org/officeDocument/2006/relationships/hyperlink" Target="mailto:amanda.rocha53@exemplo.com" TargetMode="External"/><Relationship Id="rId765" Type="http://schemas.openxmlformats.org/officeDocument/2006/relationships/hyperlink" Target="mailto:amanda.rocha53@exemplo.com" TargetMode="External"/><Relationship Id="rId764" Type="http://schemas.openxmlformats.org/officeDocument/2006/relationships/hyperlink" Target="mailto:amanda.rocha53@exemplo.com" TargetMode="External"/><Relationship Id="rId769" Type="http://schemas.openxmlformats.org/officeDocument/2006/relationships/hyperlink" Target="mailto:amanda.rocha53@exemplo.com" TargetMode="External"/><Relationship Id="rId768" Type="http://schemas.openxmlformats.org/officeDocument/2006/relationships/hyperlink" Target="mailto:amanda.rocha53@exemplo.com" TargetMode="External"/><Relationship Id="rId26" Type="http://schemas.openxmlformats.org/officeDocument/2006/relationships/hyperlink" Target="mailto:isabella.ferreira95@exemplo.com" TargetMode="External"/><Relationship Id="rId25" Type="http://schemas.openxmlformats.org/officeDocument/2006/relationships/hyperlink" Target="mailto:isabella.ferreira95@exemplo.com" TargetMode="External"/><Relationship Id="rId28" Type="http://schemas.openxmlformats.org/officeDocument/2006/relationships/hyperlink" Target="mailto:isabella.ferreira95@exemplo.com" TargetMode="External"/><Relationship Id="rId1350" Type="http://schemas.openxmlformats.org/officeDocument/2006/relationships/hyperlink" Target="mailto:sofia.melo31@exemplo.com" TargetMode="External"/><Relationship Id="rId27" Type="http://schemas.openxmlformats.org/officeDocument/2006/relationships/hyperlink" Target="mailto:isabella.ferreira95@exemplo.com" TargetMode="External"/><Relationship Id="rId1351" Type="http://schemas.openxmlformats.org/officeDocument/2006/relationships/hyperlink" Target="mailto:sofia.melo31@exemplo.com" TargetMode="External"/><Relationship Id="rId763" Type="http://schemas.openxmlformats.org/officeDocument/2006/relationships/hyperlink" Target="mailto:amanda.rocha53@exemplo.com" TargetMode="External"/><Relationship Id="rId1352" Type="http://schemas.openxmlformats.org/officeDocument/2006/relationships/hyperlink" Target="mailto:sofia.melo31@exemplo.com" TargetMode="External"/><Relationship Id="rId29" Type="http://schemas.openxmlformats.org/officeDocument/2006/relationships/hyperlink" Target="mailto:isabella.ferreira95@exemplo.com" TargetMode="External"/><Relationship Id="rId762" Type="http://schemas.openxmlformats.org/officeDocument/2006/relationships/hyperlink" Target="mailto:amanda.rocha53@exemplo.com" TargetMode="External"/><Relationship Id="rId1353" Type="http://schemas.openxmlformats.org/officeDocument/2006/relationships/hyperlink" Target="mailto:sofia.melo31@exemplo.com" TargetMode="External"/><Relationship Id="rId761" Type="http://schemas.openxmlformats.org/officeDocument/2006/relationships/hyperlink" Target="mailto:luiza.souza53@exemplo.com" TargetMode="External"/><Relationship Id="rId1354" Type="http://schemas.openxmlformats.org/officeDocument/2006/relationships/hyperlink" Target="mailto:sofia.melo31@exemplo.com" TargetMode="External"/><Relationship Id="rId760" Type="http://schemas.openxmlformats.org/officeDocument/2006/relationships/hyperlink" Target="mailto:luiza.souza53@exemplo.com" TargetMode="External"/><Relationship Id="rId1355" Type="http://schemas.openxmlformats.org/officeDocument/2006/relationships/hyperlink" Target="mailto:sofia.melo31@exemplo.com" TargetMode="External"/><Relationship Id="rId1345" Type="http://schemas.openxmlformats.org/officeDocument/2006/relationships/hyperlink" Target="mailto:sofia.melo31@exemplo.com" TargetMode="External"/><Relationship Id="rId1346" Type="http://schemas.openxmlformats.org/officeDocument/2006/relationships/hyperlink" Target="mailto:sofia.melo31@exemplo.com" TargetMode="External"/><Relationship Id="rId1347" Type="http://schemas.openxmlformats.org/officeDocument/2006/relationships/hyperlink" Target="mailto:sofia.melo31@exemplo.com" TargetMode="External"/><Relationship Id="rId1348" Type="http://schemas.openxmlformats.org/officeDocument/2006/relationships/hyperlink" Target="mailto:sofia.melo31@exemplo.com" TargetMode="External"/><Relationship Id="rId11" Type="http://schemas.openxmlformats.org/officeDocument/2006/relationships/hyperlink" Target="mailto:leonardo.ferreira67@exemplo.com" TargetMode="External"/><Relationship Id="rId1349" Type="http://schemas.openxmlformats.org/officeDocument/2006/relationships/hyperlink" Target="mailto:sofia.melo31@exemplo.com" TargetMode="External"/><Relationship Id="rId10" Type="http://schemas.openxmlformats.org/officeDocument/2006/relationships/hyperlink" Target="mailto:leonardo.ferreira67@exemplo.com" TargetMode="External"/><Relationship Id="rId13" Type="http://schemas.openxmlformats.org/officeDocument/2006/relationships/hyperlink" Target="mailto:leonardo.ferreira67@exemplo.com" TargetMode="External"/><Relationship Id="rId12" Type="http://schemas.openxmlformats.org/officeDocument/2006/relationships/hyperlink" Target="mailto:leonardo.ferreira67@exemplo.com" TargetMode="External"/><Relationship Id="rId756" Type="http://schemas.openxmlformats.org/officeDocument/2006/relationships/hyperlink" Target="mailto:luiza.souza53@exemplo.com" TargetMode="External"/><Relationship Id="rId755" Type="http://schemas.openxmlformats.org/officeDocument/2006/relationships/hyperlink" Target="mailto:luiza.souza53@exemplo.com" TargetMode="External"/><Relationship Id="rId754" Type="http://schemas.openxmlformats.org/officeDocument/2006/relationships/hyperlink" Target="mailto:luiza.souza53@exemplo.com" TargetMode="External"/><Relationship Id="rId753" Type="http://schemas.openxmlformats.org/officeDocument/2006/relationships/hyperlink" Target="mailto:luiza.souza53@exemplo.com" TargetMode="External"/><Relationship Id="rId759" Type="http://schemas.openxmlformats.org/officeDocument/2006/relationships/hyperlink" Target="mailto:luiza.souza53@exemplo.com" TargetMode="External"/><Relationship Id="rId758" Type="http://schemas.openxmlformats.org/officeDocument/2006/relationships/hyperlink" Target="mailto:luiza.souza53@exemplo.com" TargetMode="External"/><Relationship Id="rId757" Type="http://schemas.openxmlformats.org/officeDocument/2006/relationships/hyperlink" Target="mailto:luiza.souza53@exemplo.com" TargetMode="External"/><Relationship Id="rId15" Type="http://schemas.openxmlformats.org/officeDocument/2006/relationships/hyperlink" Target="mailto:leonardo.ferreira67@exemplo.com" TargetMode="External"/><Relationship Id="rId14" Type="http://schemas.openxmlformats.org/officeDocument/2006/relationships/hyperlink" Target="mailto:leonardo.ferreira67@exemplo.com" TargetMode="External"/><Relationship Id="rId17" Type="http://schemas.openxmlformats.org/officeDocument/2006/relationships/hyperlink" Target="mailto:leonardo.ferreira67@exemplo.com" TargetMode="External"/><Relationship Id="rId16" Type="http://schemas.openxmlformats.org/officeDocument/2006/relationships/hyperlink" Target="mailto:leonardo.ferreira67@exemplo.com" TargetMode="External"/><Relationship Id="rId1340" Type="http://schemas.openxmlformats.org/officeDocument/2006/relationships/hyperlink" Target="mailto:guilherme.fonseca27@exemplo.com" TargetMode="External"/><Relationship Id="rId19" Type="http://schemas.openxmlformats.org/officeDocument/2006/relationships/hyperlink" Target="mailto:leonardo.ferreira67@exemplo.com" TargetMode="External"/><Relationship Id="rId752" Type="http://schemas.openxmlformats.org/officeDocument/2006/relationships/hyperlink" Target="mailto:luiza.souza53@exemplo.com" TargetMode="External"/><Relationship Id="rId1341" Type="http://schemas.openxmlformats.org/officeDocument/2006/relationships/hyperlink" Target="mailto:guilherme.fonseca27@exemplo.com" TargetMode="External"/><Relationship Id="rId18" Type="http://schemas.openxmlformats.org/officeDocument/2006/relationships/hyperlink" Target="mailto:leonardo.ferreira67@exemplo.com" TargetMode="External"/><Relationship Id="rId751" Type="http://schemas.openxmlformats.org/officeDocument/2006/relationships/hyperlink" Target="mailto:luiza.souza53@exemplo.com" TargetMode="External"/><Relationship Id="rId1342" Type="http://schemas.openxmlformats.org/officeDocument/2006/relationships/hyperlink" Target="mailto:sofia.melo31@exemplo.com" TargetMode="External"/><Relationship Id="rId750" Type="http://schemas.openxmlformats.org/officeDocument/2006/relationships/hyperlink" Target="mailto:luiza.souza53@exemplo.com" TargetMode="External"/><Relationship Id="rId1343" Type="http://schemas.openxmlformats.org/officeDocument/2006/relationships/hyperlink" Target="mailto:sofia.melo31@exemplo.com" TargetMode="External"/><Relationship Id="rId1344" Type="http://schemas.openxmlformats.org/officeDocument/2006/relationships/hyperlink" Target="mailto:sofia.melo31@exemplo.com" TargetMode="External"/><Relationship Id="rId84" Type="http://schemas.openxmlformats.org/officeDocument/2006/relationships/hyperlink" Target="mailto:bruno.rodrigues89@exemplo.com" TargetMode="External"/><Relationship Id="rId1774" Type="http://schemas.openxmlformats.org/officeDocument/2006/relationships/hyperlink" Target="mailto:guilherme.silva74@exemplo.com" TargetMode="External"/><Relationship Id="rId83" Type="http://schemas.openxmlformats.org/officeDocument/2006/relationships/hyperlink" Target="mailto:bruno.rodrigues89@exemplo.com" TargetMode="External"/><Relationship Id="rId1775" Type="http://schemas.openxmlformats.org/officeDocument/2006/relationships/hyperlink" Target="mailto:guilherme.silva74@exemplo.com" TargetMode="External"/><Relationship Id="rId86" Type="http://schemas.openxmlformats.org/officeDocument/2006/relationships/hyperlink" Target="mailto:bruno.rodrigues89@exemplo.com" TargetMode="External"/><Relationship Id="rId1776" Type="http://schemas.openxmlformats.org/officeDocument/2006/relationships/hyperlink" Target="mailto:guilherme.silva74@exemplo.com" TargetMode="External"/><Relationship Id="rId85" Type="http://schemas.openxmlformats.org/officeDocument/2006/relationships/hyperlink" Target="mailto:bruno.rodrigues89@exemplo.com" TargetMode="External"/><Relationship Id="rId1777" Type="http://schemas.openxmlformats.org/officeDocument/2006/relationships/hyperlink" Target="mailto:guilherme.silva74@exemplo.com" TargetMode="External"/><Relationship Id="rId88" Type="http://schemas.openxmlformats.org/officeDocument/2006/relationships/hyperlink" Target="mailto:bruno.rodrigues89@exemplo.com" TargetMode="External"/><Relationship Id="rId1778" Type="http://schemas.openxmlformats.org/officeDocument/2006/relationships/hyperlink" Target="mailto:guilherme.silva74@exemplo.com" TargetMode="External"/><Relationship Id="rId87" Type="http://schemas.openxmlformats.org/officeDocument/2006/relationships/hyperlink" Target="mailto:bruno.rodrigues89@exemplo.com" TargetMode="External"/><Relationship Id="rId1779" Type="http://schemas.openxmlformats.org/officeDocument/2006/relationships/hyperlink" Target="mailto:guilherme.silva74@exemplo.com" TargetMode="External"/><Relationship Id="rId89" Type="http://schemas.openxmlformats.org/officeDocument/2006/relationships/hyperlink" Target="mailto:bruno.rodrigues89@exemplo.com" TargetMode="External"/><Relationship Id="rId709" Type="http://schemas.openxmlformats.org/officeDocument/2006/relationships/hyperlink" Target="mailto:clara.pereira11@exemplo.com" TargetMode="External"/><Relationship Id="rId708" Type="http://schemas.openxmlformats.org/officeDocument/2006/relationships/hyperlink" Target="mailto:clara.pereira11@exemplo.com" TargetMode="External"/><Relationship Id="rId707" Type="http://schemas.openxmlformats.org/officeDocument/2006/relationships/hyperlink" Target="mailto:clara.pereira11@exemplo.com" TargetMode="External"/><Relationship Id="rId706" Type="http://schemas.openxmlformats.org/officeDocument/2006/relationships/hyperlink" Target="mailto:clara.pereira11@exemplo.com" TargetMode="External"/><Relationship Id="rId80" Type="http://schemas.openxmlformats.org/officeDocument/2006/relationships/hyperlink" Target="mailto:rodrigo.pereira12@exemplo.com" TargetMode="External"/><Relationship Id="rId82" Type="http://schemas.openxmlformats.org/officeDocument/2006/relationships/hyperlink" Target="mailto:bruno.rodrigues89@exemplo.com" TargetMode="External"/><Relationship Id="rId81" Type="http://schemas.openxmlformats.org/officeDocument/2006/relationships/hyperlink" Target="mailto:rodrigo.pereira12@exemplo.com" TargetMode="External"/><Relationship Id="rId701" Type="http://schemas.openxmlformats.org/officeDocument/2006/relationships/hyperlink" Target="mailto:isabella.silva63@exemplo.com" TargetMode="External"/><Relationship Id="rId700" Type="http://schemas.openxmlformats.org/officeDocument/2006/relationships/hyperlink" Target="mailto:isabella.silva63@exemplo.com" TargetMode="External"/><Relationship Id="rId705" Type="http://schemas.openxmlformats.org/officeDocument/2006/relationships/hyperlink" Target="mailto:clara.pereira11@exemplo.com" TargetMode="External"/><Relationship Id="rId704" Type="http://schemas.openxmlformats.org/officeDocument/2006/relationships/hyperlink" Target="mailto:clara.pereira11@exemplo.com" TargetMode="External"/><Relationship Id="rId703" Type="http://schemas.openxmlformats.org/officeDocument/2006/relationships/hyperlink" Target="mailto:clara.pereira11@exemplo.com" TargetMode="External"/><Relationship Id="rId702" Type="http://schemas.openxmlformats.org/officeDocument/2006/relationships/hyperlink" Target="mailto:clara.pereira11@exemplo.com" TargetMode="External"/><Relationship Id="rId1770" Type="http://schemas.openxmlformats.org/officeDocument/2006/relationships/hyperlink" Target="mailto:guilherme.silva74@exemplo.com" TargetMode="External"/><Relationship Id="rId1771" Type="http://schemas.openxmlformats.org/officeDocument/2006/relationships/hyperlink" Target="mailto:guilherme.silva74@exemplo.com" TargetMode="External"/><Relationship Id="rId1772" Type="http://schemas.openxmlformats.org/officeDocument/2006/relationships/hyperlink" Target="mailto:guilherme.silva74@exemplo.com" TargetMode="External"/><Relationship Id="rId1773" Type="http://schemas.openxmlformats.org/officeDocument/2006/relationships/hyperlink" Target="mailto:guilherme.silva74@exemplo.com" TargetMode="External"/><Relationship Id="rId73" Type="http://schemas.openxmlformats.org/officeDocument/2006/relationships/hyperlink" Target="mailto:rodrigo.pereira12@exemplo.com" TargetMode="External"/><Relationship Id="rId1763" Type="http://schemas.openxmlformats.org/officeDocument/2006/relationships/hyperlink" Target="mailto:guilherme.silva74@exemplo.com" TargetMode="External"/><Relationship Id="rId72" Type="http://schemas.openxmlformats.org/officeDocument/2006/relationships/hyperlink" Target="mailto:rodrigo.pereira12@exemplo.com" TargetMode="External"/><Relationship Id="rId1764" Type="http://schemas.openxmlformats.org/officeDocument/2006/relationships/hyperlink" Target="mailto:guilherme.silva74@exemplo.com" TargetMode="External"/><Relationship Id="rId75" Type="http://schemas.openxmlformats.org/officeDocument/2006/relationships/hyperlink" Target="mailto:rodrigo.pereira12@exemplo.com" TargetMode="External"/><Relationship Id="rId1765" Type="http://schemas.openxmlformats.org/officeDocument/2006/relationships/hyperlink" Target="mailto:guilherme.silva74@exemplo.com" TargetMode="External"/><Relationship Id="rId74" Type="http://schemas.openxmlformats.org/officeDocument/2006/relationships/hyperlink" Target="mailto:rodrigo.pereira12@exemplo.com" TargetMode="External"/><Relationship Id="rId1766" Type="http://schemas.openxmlformats.org/officeDocument/2006/relationships/hyperlink" Target="mailto:guilherme.silva74@exemplo.com" TargetMode="External"/><Relationship Id="rId77" Type="http://schemas.openxmlformats.org/officeDocument/2006/relationships/hyperlink" Target="mailto:rodrigo.pereira12@exemplo.com" TargetMode="External"/><Relationship Id="rId1767" Type="http://schemas.openxmlformats.org/officeDocument/2006/relationships/hyperlink" Target="mailto:guilherme.silva74@exemplo.com" TargetMode="External"/><Relationship Id="rId76" Type="http://schemas.openxmlformats.org/officeDocument/2006/relationships/hyperlink" Target="mailto:rodrigo.pereira12@exemplo.com" TargetMode="External"/><Relationship Id="rId1768" Type="http://schemas.openxmlformats.org/officeDocument/2006/relationships/hyperlink" Target="mailto:guilherme.silva74@exemplo.com" TargetMode="External"/><Relationship Id="rId79" Type="http://schemas.openxmlformats.org/officeDocument/2006/relationships/hyperlink" Target="mailto:rodrigo.pereira12@exemplo.com" TargetMode="External"/><Relationship Id="rId1769" Type="http://schemas.openxmlformats.org/officeDocument/2006/relationships/hyperlink" Target="mailto:guilherme.silva74@exemplo.com" TargetMode="External"/><Relationship Id="rId78" Type="http://schemas.openxmlformats.org/officeDocument/2006/relationships/hyperlink" Target="mailto:rodrigo.pereira12@exemplo.com" TargetMode="External"/><Relationship Id="rId71" Type="http://schemas.openxmlformats.org/officeDocument/2006/relationships/hyperlink" Target="mailto:rodrigo.pereira12@exemplo.com" TargetMode="External"/><Relationship Id="rId70" Type="http://schemas.openxmlformats.org/officeDocument/2006/relationships/hyperlink" Target="mailto:rodrigo.pereira12@exemplo.com" TargetMode="External"/><Relationship Id="rId1760" Type="http://schemas.openxmlformats.org/officeDocument/2006/relationships/hyperlink" Target="mailto:gabriela.costa24@exemplo.com" TargetMode="External"/><Relationship Id="rId1761" Type="http://schemas.openxmlformats.org/officeDocument/2006/relationships/hyperlink" Target="mailto:gabriela.costa24@exemplo.com" TargetMode="External"/><Relationship Id="rId1762" Type="http://schemas.openxmlformats.org/officeDocument/2006/relationships/hyperlink" Target="mailto:guilherme.silva74@exemplo.com" TargetMode="External"/><Relationship Id="rId62" Type="http://schemas.openxmlformats.org/officeDocument/2006/relationships/hyperlink" Target="mailto:rodrigo.pereira12@exemplo.com" TargetMode="External"/><Relationship Id="rId1312" Type="http://schemas.openxmlformats.org/officeDocument/2006/relationships/hyperlink" Target="mailto:mateus.gomes98@exemplo.com" TargetMode="External"/><Relationship Id="rId1796" Type="http://schemas.openxmlformats.org/officeDocument/2006/relationships/hyperlink" Target="mailto:eduardo.fonseca58@exemplo.com" TargetMode="External"/><Relationship Id="rId61" Type="http://schemas.openxmlformats.org/officeDocument/2006/relationships/hyperlink" Target="mailto:mateus.santos41@exemplo.com" TargetMode="External"/><Relationship Id="rId1313" Type="http://schemas.openxmlformats.org/officeDocument/2006/relationships/hyperlink" Target="mailto:mateus.gomes98@exemplo.com" TargetMode="External"/><Relationship Id="rId1797" Type="http://schemas.openxmlformats.org/officeDocument/2006/relationships/hyperlink" Target="mailto:eduardo.fonseca58@exemplo.com" TargetMode="External"/><Relationship Id="rId64" Type="http://schemas.openxmlformats.org/officeDocument/2006/relationships/hyperlink" Target="mailto:rodrigo.pereira12@exemplo.com" TargetMode="External"/><Relationship Id="rId1314" Type="http://schemas.openxmlformats.org/officeDocument/2006/relationships/hyperlink" Target="mailto:mateus.gomes98@exemplo.com" TargetMode="External"/><Relationship Id="rId1798" Type="http://schemas.openxmlformats.org/officeDocument/2006/relationships/hyperlink" Target="mailto:eduardo.fonseca58@exemplo.com" TargetMode="External"/><Relationship Id="rId63" Type="http://schemas.openxmlformats.org/officeDocument/2006/relationships/hyperlink" Target="mailto:rodrigo.pereira12@exemplo.com" TargetMode="External"/><Relationship Id="rId1315" Type="http://schemas.openxmlformats.org/officeDocument/2006/relationships/hyperlink" Target="mailto:mateus.gomes98@exemplo.com" TargetMode="External"/><Relationship Id="rId1799" Type="http://schemas.openxmlformats.org/officeDocument/2006/relationships/hyperlink" Target="mailto:eduardo.fonseca58@exemplo.com" TargetMode="External"/><Relationship Id="rId66" Type="http://schemas.openxmlformats.org/officeDocument/2006/relationships/hyperlink" Target="mailto:rodrigo.pereira12@exemplo.com" TargetMode="External"/><Relationship Id="rId1316" Type="http://schemas.openxmlformats.org/officeDocument/2006/relationships/hyperlink" Target="mailto:mateus.gomes98@exemplo.com" TargetMode="External"/><Relationship Id="rId65" Type="http://schemas.openxmlformats.org/officeDocument/2006/relationships/hyperlink" Target="mailto:rodrigo.pereira12@exemplo.com" TargetMode="External"/><Relationship Id="rId1317" Type="http://schemas.openxmlformats.org/officeDocument/2006/relationships/hyperlink" Target="mailto:mateus.gomes98@exemplo.com" TargetMode="External"/><Relationship Id="rId68" Type="http://schemas.openxmlformats.org/officeDocument/2006/relationships/hyperlink" Target="mailto:rodrigo.pereira12@exemplo.com" TargetMode="External"/><Relationship Id="rId1318" Type="http://schemas.openxmlformats.org/officeDocument/2006/relationships/hyperlink" Target="mailto:mateus.gomes98@exemplo.com" TargetMode="External"/><Relationship Id="rId67" Type="http://schemas.openxmlformats.org/officeDocument/2006/relationships/hyperlink" Target="mailto:rodrigo.pereira12@exemplo.com" TargetMode="External"/><Relationship Id="rId1319" Type="http://schemas.openxmlformats.org/officeDocument/2006/relationships/hyperlink" Target="mailto:mateus.gomes98@exemplo.com" TargetMode="External"/><Relationship Id="rId729" Type="http://schemas.openxmlformats.org/officeDocument/2006/relationships/hyperlink" Target="mailto:rodrigo.cardoso48@exemplo.com" TargetMode="External"/><Relationship Id="rId728" Type="http://schemas.openxmlformats.org/officeDocument/2006/relationships/hyperlink" Target="mailto:rodrigo.cardoso48@exemplo.com" TargetMode="External"/><Relationship Id="rId60" Type="http://schemas.openxmlformats.org/officeDocument/2006/relationships/hyperlink" Target="mailto:mateus.santos41@exemplo.com" TargetMode="External"/><Relationship Id="rId723" Type="http://schemas.openxmlformats.org/officeDocument/2006/relationships/hyperlink" Target="mailto:rodrigo.cardoso48@exemplo.com" TargetMode="External"/><Relationship Id="rId722" Type="http://schemas.openxmlformats.org/officeDocument/2006/relationships/hyperlink" Target="mailto:rodrigo.cardoso48@exemplo.com" TargetMode="External"/><Relationship Id="rId721" Type="http://schemas.openxmlformats.org/officeDocument/2006/relationships/hyperlink" Target="mailto:clara.pereira11@exemplo.com" TargetMode="External"/><Relationship Id="rId720" Type="http://schemas.openxmlformats.org/officeDocument/2006/relationships/hyperlink" Target="mailto:clara.pereira11@exemplo.com" TargetMode="External"/><Relationship Id="rId727" Type="http://schemas.openxmlformats.org/officeDocument/2006/relationships/hyperlink" Target="mailto:rodrigo.cardoso48@exemplo.com" TargetMode="External"/><Relationship Id="rId726" Type="http://schemas.openxmlformats.org/officeDocument/2006/relationships/hyperlink" Target="mailto:rodrigo.cardoso48@exemplo.com" TargetMode="External"/><Relationship Id="rId725" Type="http://schemas.openxmlformats.org/officeDocument/2006/relationships/hyperlink" Target="mailto:rodrigo.cardoso48@exemplo.com" TargetMode="External"/><Relationship Id="rId724" Type="http://schemas.openxmlformats.org/officeDocument/2006/relationships/hyperlink" Target="mailto:rodrigo.cardoso48@exemplo.com" TargetMode="External"/><Relationship Id="rId69" Type="http://schemas.openxmlformats.org/officeDocument/2006/relationships/hyperlink" Target="mailto:rodrigo.pereira12@exemplo.com" TargetMode="External"/><Relationship Id="rId1790" Type="http://schemas.openxmlformats.org/officeDocument/2006/relationships/hyperlink" Target="mailto:eduardo.fonseca58@exemplo.com" TargetMode="External"/><Relationship Id="rId1791" Type="http://schemas.openxmlformats.org/officeDocument/2006/relationships/hyperlink" Target="mailto:eduardo.fonseca58@exemplo.com" TargetMode="External"/><Relationship Id="rId1792" Type="http://schemas.openxmlformats.org/officeDocument/2006/relationships/hyperlink" Target="mailto:eduardo.fonseca58@exemplo.com" TargetMode="External"/><Relationship Id="rId1793" Type="http://schemas.openxmlformats.org/officeDocument/2006/relationships/hyperlink" Target="mailto:eduardo.fonseca58@exemplo.com" TargetMode="External"/><Relationship Id="rId1310" Type="http://schemas.openxmlformats.org/officeDocument/2006/relationships/hyperlink" Target="mailto:mateus.gomes98@exemplo.com" TargetMode="External"/><Relationship Id="rId1794" Type="http://schemas.openxmlformats.org/officeDocument/2006/relationships/hyperlink" Target="mailto:eduardo.fonseca58@exemplo.com" TargetMode="External"/><Relationship Id="rId1311" Type="http://schemas.openxmlformats.org/officeDocument/2006/relationships/hyperlink" Target="mailto:mateus.gomes98@exemplo.com" TargetMode="External"/><Relationship Id="rId1795" Type="http://schemas.openxmlformats.org/officeDocument/2006/relationships/hyperlink" Target="mailto:eduardo.fonseca58@exemplo.com" TargetMode="External"/><Relationship Id="rId51" Type="http://schemas.openxmlformats.org/officeDocument/2006/relationships/hyperlink" Target="mailto:mateus.santos41@exemplo.com" TargetMode="External"/><Relationship Id="rId1301" Type="http://schemas.openxmlformats.org/officeDocument/2006/relationships/hyperlink" Target="mailto:marcos.souza65@exemplo.com" TargetMode="External"/><Relationship Id="rId1785" Type="http://schemas.openxmlformats.org/officeDocument/2006/relationships/hyperlink" Target="mailto:eduardo.fonseca58@exemplo.com" TargetMode="External"/><Relationship Id="rId50" Type="http://schemas.openxmlformats.org/officeDocument/2006/relationships/hyperlink" Target="mailto:mateus.santos41@exemplo.com" TargetMode="External"/><Relationship Id="rId1302" Type="http://schemas.openxmlformats.org/officeDocument/2006/relationships/hyperlink" Target="mailto:mateus.gomes98@exemplo.com" TargetMode="External"/><Relationship Id="rId1786" Type="http://schemas.openxmlformats.org/officeDocument/2006/relationships/hyperlink" Target="mailto:eduardo.fonseca58@exemplo.com" TargetMode="External"/><Relationship Id="rId53" Type="http://schemas.openxmlformats.org/officeDocument/2006/relationships/hyperlink" Target="mailto:mateus.santos41@exemplo.com" TargetMode="External"/><Relationship Id="rId1303" Type="http://schemas.openxmlformats.org/officeDocument/2006/relationships/hyperlink" Target="mailto:mateus.gomes98@exemplo.com" TargetMode="External"/><Relationship Id="rId1787" Type="http://schemas.openxmlformats.org/officeDocument/2006/relationships/hyperlink" Target="mailto:eduardo.fonseca58@exemplo.com" TargetMode="External"/><Relationship Id="rId52" Type="http://schemas.openxmlformats.org/officeDocument/2006/relationships/hyperlink" Target="mailto:mateus.santos41@exemplo.com" TargetMode="External"/><Relationship Id="rId1304" Type="http://schemas.openxmlformats.org/officeDocument/2006/relationships/hyperlink" Target="mailto:mateus.gomes98@exemplo.com" TargetMode="External"/><Relationship Id="rId1788" Type="http://schemas.openxmlformats.org/officeDocument/2006/relationships/hyperlink" Target="mailto:eduardo.fonseca58@exemplo.com" TargetMode="External"/><Relationship Id="rId55" Type="http://schemas.openxmlformats.org/officeDocument/2006/relationships/hyperlink" Target="mailto:mateus.santos41@exemplo.com" TargetMode="External"/><Relationship Id="rId1305" Type="http://schemas.openxmlformats.org/officeDocument/2006/relationships/hyperlink" Target="mailto:mateus.gomes98@exemplo.com" TargetMode="External"/><Relationship Id="rId1789" Type="http://schemas.openxmlformats.org/officeDocument/2006/relationships/hyperlink" Target="mailto:eduardo.fonseca58@exemplo.com" TargetMode="External"/><Relationship Id="rId54" Type="http://schemas.openxmlformats.org/officeDocument/2006/relationships/hyperlink" Target="mailto:mateus.santos41@exemplo.com" TargetMode="External"/><Relationship Id="rId1306" Type="http://schemas.openxmlformats.org/officeDocument/2006/relationships/hyperlink" Target="mailto:mateus.gomes98@exemplo.com" TargetMode="External"/><Relationship Id="rId57" Type="http://schemas.openxmlformats.org/officeDocument/2006/relationships/hyperlink" Target="mailto:mateus.santos41@exemplo.com" TargetMode="External"/><Relationship Id="rId1307" Type="http://schemas.openxmlformats.org/officeDocument/2006/relationships/hyperlink" Target="mailto:mateus.gomes98@exemplo.com" TargetMode="External"/><Relationship Id="rId56" Type="http://schemas.openxmlformats.org/officeDocument/2006/relationships/hyperlink" Target="mailto:mateus.santos41@exemplo.com" TargetMode="External"/><Relationship Id="rId1308" Type="http://schemas.openxmlformats.org/officeDocument/2006/relationships/hyperlink" Target="mailto:mateus.gomes98@exemplo.com" TargetMode="External"/><Relationship Id="rId1309" Type="http://schemas.openxmlformats.org/officeDocument/2006/relationships/hyperlink" Target="mailto:mateus.gomes98@exemplo.com" TargetMode="External"/><Relationship Id="rId719" Type="http://schemas.openxmlformats.org/officeDocument/2006/relationships/hyperlink" Target="mailto:clara.pereira11@exemplo.com" TargetMode="External"/><Relationship Id="rId718" Type="http://schemas.openxmlformats.org/officeDocument/2006/relationships/hyperlink" Target="mailto:clara.pereira11@exemplo.com" TargetMode="External"/><Relationship Id="rId717" Type="http://schemas.openxmlformats.org/officeDocument/2006/relationships/hyperlink" Target="mailto:clara.pereira11@exemplo.com" TargetMode="External"/><Relationship Id="rId712" Type="http://schemas.openxmlformats.org/officeDocument/2006/relationships/hyperlink" Target="mailto:clara.pereira11@exemplo.com" TargetMode="External"/><Relationship Id="rId711" Type="http://schemas.openxmlformats.org/officeDocument/2006/relationships/hyperlink" Target="mailto:clara.pereira11@exemplo.com" TargetMode="External"/><Relationship Id="rId710" Type="http://schemas.openxmlformats.org/officeDocument/2006/relationships/hyperlink" Target="mailto:clara.pereira11@exemplo.com" TargetMode="External"/><Relationship Id="rId716" Type="http://schemas.openxmlformats.org/officeDocument/2006/relationships/hyperlink" Target="mailto:clara.pereira11@exemplo.com" TargetMode="External"/><Relationship Id="rId715" Type="http://schemas.openxmlformats.org/officeDocument/2006/relationships/hyperlink" Target="mailto:clara.pereira11@exemplo.com" TargetMode="External"/><Relationship Id="rId714" Type="http://schemas.openxmlformats.org/officeDocument/2006/relationships/hyperlink" Target="mailto:clara.pereira11@exemplo.com" TargetMode="External"/><Relationship Id="rId713" Type="http://schemas.openxmlformats.org/officeDocument/2006/relationships/hyperlink" Target="mailto:clara.pereira11@exemplo.com" TargetMode="External"/><Relationship Id="rId59" Type="http://schemas.openxmlformats.org/officeDocument/2006/relationships/hyperlink" Target="mailto:mateus.santos41@exemplo.com" TargetMode="External"/><Relationship Id="rId58" Type="http://schemas.openxmlformats.org/officeDocument/2006/relationships/hyperlink" Target="mailto:mateus.santos41@exemplo.com" TargetMode="External"/><Relationship Id="rId1780" Type="http://schemas.openxmlformats.org/officeDocument/2006/relationships/hyperlink" Target="mailto:guilherme.silva74@exemplo.com" TargetMode="External"/><Relationship Id="rId1781" Type="http://schemas.openxmlformats.org/officeDocument/2006/relationships/hyperlink" Target="mailto:guilherme.silva74@exemplo.com" TargetMode="External"/><Relationship Id="rId1782" Type="http://schemas.openxmlformats.org/officeDocument/2006/relationships/hyperlink" Target="mailto:eduardo.fonseca58@exemplo.com" TargetMode="External"/><Relationship Id="rId1783" Type="http://schemas.openxmlformats.org/officeDocument/2006/relationships/hyperlink" Target="mailto:eduardo.fonseca58@exemplo.com" TargetMode="External"/><Relationship Id="rId1300" Type="http://schemas.openxmlformats.org/officeDocument/2006/relationships/hyperlink" Target="mailto:marcos.souza65@exemplo.com" TargetMode="External"/><Relationship Id="rId1784" Type="http://schemas.openxmlformats.org/officeDocument/2006/relationships/hyperlink" Target="mailto:eduardo.fonseca58@exemplo.com" TargetMode="External"/><Relationship Id="rId349" Type="http://schemas.openxmlformats.org/officeDocument/2006/relationships/hyperlink" Target="mailto:beatriz.ribeiro6@exemplo.com" TargetMode="External"/><Relationship Id="rId348" Type="http://schemas.openxmlformats.org/officeDocument/2006/relationships/hyperlink" Target="mailto:beatriz.ribeiro6@exemplo.com" TargetMode="External"/><Relationship Id="rId347" Type="http://schemas.openxmlformats.org/officeDocument/2006/relationships/hyperlink" Target="mailto:beatriz.ribeiro6@exemplo.com" TargetMode="External"/><Relationship Id="rId346" Type="http://schemas.openxmlformats.org/officeDocument/2006/relationships/hyperlink" Target="mailto:beatriz.ribeiro6@exemplo.com" TargetMode="External"/><Relationship Id="rId341" Type="http://schemas.openxmlformats.org/officeDocument/2006/relationships/hyperlink" Target="mailto:gabriela.costa15@exemplo.com" TargetMode="External"/><Relationship Id="rId340" Type="http://schemas.openxmlformats.org/officeDocument/2006/relationships/hyperlink" Target="mailto:gabriela.costa15@exemplo.com" TargetMode="External"/><Relationship Id="rId345" Type="http://schemas.openxmlformats.org/officeDocument/2006/relationships/hyperlink" Target="mailto:beatriz.ribeiro6@exemplo.com" TargetMode="External"/><Relationship Id="rId344" Type="http://schemas.openxmlformats.org/officeDocument/2006/relationships/hyperlink" Target="mailto:beatriz.ribeiro6@exemplo.com" TargetMode="External"/><Relationship Id="rId343" Type="http://schemas.openxmlformats.org/officeDocument/2006/relationships/hyperlink" Target="mailto:beatriz.ribeiro6@exemplo.com" TargetMode="External"/><Relationship Id="rId342" Type="http://schemas.openxmlformats.org/officeDocument/2006/relationships/hyperlink" Target="mailto:beatriz.ribeiro6@exemplo.com" TargetMode="External"/><Relationship Id="rId338" Type="http://schemas.openxmlformats.org/officeDocument/2006/relationships/hyperlink" Target="mailto:gabriela.costa15@exemplo.com" TargetMode="External"/><Relationship Id="rId337" Type="http://schemas.openxmlformats.org/officeDocument/2006/relationships/hyperlink" Target="mailto:gabriela.costa15@exemplo.com" TargetMode="External"/><Relationship Id="rId336" Type="http://schemas.openxmlformats.org/officeDocument/2006/relationships/hyperlink" Target="mailto:gabriela.costa15@exemplo.com" TargetMode="External"/><Relationship Id="rId335" Type="http://schemas.openxmlformats.org/officeDocument/2006/relationships/hyperlink" Target="mailto:gabriela.costa15@exemplo.com" TargetMode="External"/><Relationship Id="rId339" Type="http://schemas.openxmlformats.org/officeDocument/2006/relationships/hyperlink" Target="mailto:gabriela.costa15@exemplo.com" TargetMode="External"/><Relationship Id="rId330" Type="http://schemas.openxmlformats.org/officeDocument/2006/relationships/hyperlink" Target="mailto:gabriela.costa15@exemplo.com" TargetMode="External"/><Relationship Id="rId334" Type="http://schemas.openxmlformats.org/officeDocument/2006/relationships/hyperlink" Target="mailto:gabriela.costa15@exemplo.com" TargetMode="External"/><Relationship Id="rId333" Type="http://schemas.openxmlformats.org/officeDocument/2006/relationships/hyperlink" Target="mailto:gabriela.costa15@exemplo.com" TargetMode="External"/><Relationship Id="rId332" Type="http://schemas.openxmlformats.org/officeDocument/2006/relationships/hyperlink" Target="mailto:gabriela.costa15@exemplo.com" TargetMode="External"/><Relationship Id="rId331" Type="http://schemas.openxmlformats.org/officeDocument/2006/relationships/hyperlink" Target="mailto:gabriela.costa15@exemplo.com" TargetMode="External"/><Relationship Id="rId370" Type="http://schemas.openxmlformats.org/officeDocument/2006/relationships/hyperlink" Target="mailto:sofia.melo10@exemplo.com" TargetMode="External"/><Relationship Id="rId369" Type="http://schemas.openxmlformats.org/officeDocument/2006/relationships/hyperlink" Target="mailto:sofia.melo10@exemplo.com" TargetMode="External"/><Relationship Id="rId368" Type="http://schemas.openxmlformats.org/officeDocument/2006/relationships/hyperlink" Target="mailto:sofia.melo10@exemplo.com" TargetMode="External"/><Relationship Id="rId363" Type="http://schemas.openxmlformats.org/officeDocument/2006/relationships/hyperlink" Target="mailto:sofia.melo10@exemplo.com" TargetMode="External"/><Relationship Id="rId362" Type="http://schemas.openxmlformats.org/officeDocument/2006/relationships/hyperlink" Target="mailto:sofia.melo10@exemplo.com" TargetMode="External"/><Relationship Id="rId361" Type="http://schemas.openxmlformats.org/officeDocument/2006/relationships/hyperlink" Target="mailto:beatriz.ribeiro6@exemplo.com" TargetMode="External"/><Relationship Id="rId360" Type="http://schemas.openxmlformats.org/officeDocument/2006/relationships/hyperlink" Target="mailto:beatriz.ribeiro6@exemplo.com" TargetMode="External"/><Relationship Id="rId367" Type="http://schemas.openxmlformats.org/officeDocument/2006/relationships/hyperlink" Target="mailto:sofia.melo10@exemplo.com" TargetMode="External"/><Relationship Id="rId366" Type="http://schemas.openxmlformats.org/officeDocument/2006/relationships/hyperlink" Target="mailto:sofia.melo10@exemplo.com" TargetMode="External"/><Relationship Id="rId365" Type="http://schemas.openxmlformats.org/officeDocument/2006/relationships/hyperlink" Target="mailto:sofia.melo10@exemplo.com" TargetMode="External"/><Relationship Id="rId364" Type="http://schemas.openxmlformats.org/officeDocument/2006/relationships/hyperlink" Target="mailto:sofia.melo10@exemplo.com" TargetMode="External"/><Relationship Id="rId95" Type="http://schemas.openxmlformats.org/officeDocument/2006/relationships/hyperlink" Target="mailto:bruno.rodrigues89@exemplo.com" TargetMode="External"/><Relationship Id="rId94" Type="http://schemas.openxmlformats.org/officeDocument/2006/relationships/hyperlink" Target="mailto:bruno.rodrigues89@exemplo.com" TargetMode="External"/><Relationship Id="rId97" Type="http://schemas.openxmlformats.org/officeDocument/2006/relationships/hyperlink" Target="mailto:bruno.rodrigues89@exemplo.com" TargetMode="External"/><Relationship Id="rId96" Type="http://schemas.openxmlformats.org/officeDocument/2006/relationships/hyperlink" Target="mailto:bruno.rodrigues89@exemplo.com" TargetMode="External"/><Relationship Id="rId99" Type="http://schemas.openxmlformats.org/officeDocument/2006/relationships/hyperlink" Target="mailto:bruno.rodrigues89@exemplo.com" TargetMode="External"/><Relationship Id="rId98" Type="http://schemas.openxmlformats.org/officeDocument/2006/relationships/hyperlink" Target="mailto:bruno.rodrigues89@exemplo.com" TargetMode="External"/><Relationship Id="rId91" Type="http://schemas.openxmlformats.org/officeDocument/2006/relationships/hyperlink" Target="mailto:bruno.rodrigues89@exemplo.com" TargetMode="External"/><Relationship Id="rId90" Type="http://schemas.openxmlformats.org/officeDocument/2006/relationships/hyperlink" Target="mailto:bruno.rodrigues89@exemplo.com" TargetMode="External"/><Relationship Id="rId93" Type="http://schemas.openxmlformats.org/officeDocument/2006/relationships/hyperlink" Target="mailto:bruno.rodrigues89@exemplo.com" TargetMode="External"/><Relationship Id="rId92" Type="http://schemas.openxmlformats.org/officeDocument/2006/relationships/hyperlink" Target="mailto:bruno.rodrigues89@exemplo.com" TargetMode="External"/><Relationship Id="rId359" Type="http://schemas.openxmlformats.org/officeDocument/2006/relationships/hyperlink" Target="mailto:beatriz.ribeiro6@exemplo.com" TargetMode="External"/><Relationship Id="rId358" Type="http://schemas.openxmlformats.org/officeDocument/2006/relationships/hyperlink" Target="mailto:beatriz.ribeiro6@exemplo.com" TargetMode="External"/><Relationship Id="rId357" Type="http://schemas.openxmlformats.org/officeDocument/2006/relationships/hyperlink" Target="mailto:beatriz.ribeiro6@exemplo.com" TargetMode="External"/><Relationship Id="rId352" Type="http://schemas.openxmlformats.org/officeDocument/2006/relationships/hyperlink" Target="mailto:beatriz.ribeiro6@exemplo.com" TargetMode="External"/><Relationship Id="rId351" Type="http://schemas.openxmlformats.org/officeDocument/2006/relationships/hyperlink" Target="mailto:beatriz.ribeiro6@exemplo.com" TargetMode="External"/><Relationship Id="rId350" Type="http://schemas.openxmlformats.org/officeDocument/2006/relationships/hyperlink" Target="mailto:beatriz.ribeiro6@exemplo.com" TargetMode="External"/><Relationship Id="rId356" Type="http://schemas.openxmlformats.org/officeDocument/2006/relationships/hyperlink" Target="mailto:beatriz.ribeiro6@exemplo.com" TargetMode="External"/><Relationship Id="rId355" Type="http://schemas.openxmlformats.org/officeDocument/2006/relationships/hyperlink" Target="mailto:beatriz.ribeiro6@exemplo.com" TargetMode="External"/><Relationship Id="rId354" Type="http://schemas.openxmlformats.org/officeDocument/2006/relationships/hyperlink" Target="mailto:beatriz.ribeiro6@exemplo.com" TargetMode="External"/><Relationship Id="rId353" Type="http://schemas.openxmlformats.org/officeDocument/2006/relationships/hyperlink" Target="mailto:beatriz.ribeiro6@exemplo.com" TargetMode="External"/><Relationship Id="rId1378" Type="http://schemas.openxmlformats.org/officeDocument/2006/relationships/hyperlink" Target="mailto:laura.lima25@exemplo.com" TargetMode="External"/><Relationship Id="rId1379" Type="http://schemas.openxmlformats.org/officeDocument/2006/relationships/hyperlink" Target="mailto:laura.lima25@exemplo.com" TargetMode="External"/><Relationship Id="rId305" Type="http://schemas.openxmlformats.org/officeDocument/2006/relationships/hyperlink" Target="mailto:gabriel.machado40@exemplo.com" TargetMode="External"/><Relationship Id="rId789" Type="http://schemas.openxmlformats.org/officeDocument/2006/relationships/hyperlink" Target="mailto:gabriela.pereira87@exemplo.com" TargetMode="External"/><Relationship Id="rId304" Type="http://schemas.openxmlformats.org/officeDocument/2006/relationships/hyperlink" Target="mailto:gabriel.machado40@exemplo.com" TargetMode="External"/><Relationship Id="rId788" Type="http://schemas.openxmlformats.org/officeDocument/2006/relationships/hyperlink" Target="mailto:gabriela.pereira87@exemplo.com" TargetMode="External"/><Relationship Id="rId303" Type="http://schemas.openxmlformats.org/officeDocument/2006/relationships/hyperlink" Target="mailto:gabriel.machado40@exemplo.com" TargetMode="External"/><Relationship Id="rId787" Type="http://schemas.openxmlformats.org/officeDocument/2006/relationships/hyperlink" Target="mailto:gabriela.pereira87@exemplo.com" TargetMode="External"/><Relationship Id="rId302" Type="http://schemas.openxmlformats.org/officeDocument/2006/relationships/hyperlink" Target="mailto:gabriel.machado40@exemplo.com" TargetMode="External"/><Relationship Id="rId786" Type="http://schemas.openxmlformats.org/officeDocument/2006/relationships/hyperlink" Target="mailto:gabriela.pereira87@exemplo.com" TargetMode="External"/><Relationship Id="rId309" Type="http://schemas.openxmlformats.org/officeDocument/2006/relationships/hyperlink" Target="mailto:gabriel.machado40@exemplo.com" TargetMode="External"/><Relationship Id="rId308" Type="http://schemas.openxmlformats.org/officeDocument/2006/relationships/hyperlink" Target="mailto:gabriel.machado40@exemplo.com" TargetMode="External"/><Relationship Id="rId307" Type="http://schemas.openxmlformats.org/officeDocument/2006/relationships/hyperlink" Target="mailto:gabriel.machado40@exemplo.com" TargetMode="External"/><Relationship Id="rId306" Type="http://schemas.openxmlformats.org/officeDocument/2006/relationships/hyperlink" Target="mailto:gabriel.machado40@exemplo.com" TargetMode="External"/><Relationship Id="rId781" Type="http://schemas.openxmlformats.org/officeDocument/2006/relationships/hyperlink" Target="mailto:amanda.rocha53@exemplo.com" TargetMode="External"/><Relationship Id="rId1370" Type="http://schemas.openxmlformats.org/officeDocument/2006/relationships/hyperlink" Target="mailto:laura.lima25@exemplo.com" TargetMode="External"/><Relationship Id="rId780" Type="http://schemas.openxmlformats.org/officeDocument/2006/relationships/hyperlink" Target="mailto:amanda.rocha53@exemplo.com" TargetMode="External"/><Relationship Id="rId1371" Type="http://schemas.openxmlformats.org/officeDocument/2006/relationships/hyperlink" Target="mailto:laura.lima25@exemplo.com" TargetMode="External"/><Relationship Id="rId1372" Type="http://schemas.openxmlformats.org/officeDocument/2006/relationships/hyperlink" Target="mailto:laura.lima25@exemplo.com" TargetMode="External"/><Relationship Id="rId1373" Type="http://schemas.openxmlformats.org/officeDocument/2006/relationships/hyperlink" Target="mailto:laura.lima25@exemplo.com" TargetMode="External"/><Relationship Id="rId301" Type="http://schemas.openxmlformats.org/officeDocument/2006/relationships/hyperlink" Target="mailto:felipe.ribeiro44@exemplo.com" TargetMode="External"/><Relationship Id="rId785" Type="http://schemas.openxmlformats.org/officeDocument/2006/relationships/hyperlink" Target="mailto:gabriela.pereira87@exemplo.com" TargetMode="External"/><Relationship Id="rId1374" Type="http://schemas.openxmlformats.org/officeDocument/2006/relationships/hyperlink" Target="mailto:laura.lima25@exemplo.com" TargetMode="External"/><Relationship Id="rId300" Type="http://schemas.openxmlformats.org/officeDocument/2006/relationships/hyperlink" Target="mailto:felipe.ribeiro44@exemplo.com" TargetMode="External"/><Relationship Id="rId784" Type="http://schemas.openxmlformats.org/officeDocument/2006/relationships/hyperlink" Target="mailto:gabriela.pereira87@exemplo.com" TargetMode="External"/><Relationship Id="rId1375" Type="http://schemas.openxmlformats.org/officeDocument/2006/relationships/hyperlink" Target="mailto:laura.lima25@exemplo.com" TargetMode="External"/><Relationship Id="rId783" Type="http://schemas.openxmlformats.org/officeDocument/2006/relationships/hyperlink" Target="mailto:gabriela.pereira87@exemplo.com" TargetMode="External"/><Relationship Id="rId1376" Type="http://schemas.openxmlformats.org/officeDocument/2006/relationships/hyperlink" Target="mailto:laura.lima25@exemplo.com" TargetMode="External"/><Relationship Id="rId782" Type="http://schemas.openxmlformats.org/officeDocument/2006/relationships/hyperlink" Target="mailto:gabriela.pereira87@exemplo.com" TargetMode="External"/><Relationship Id="rId1377" Type="http://schemas.openxmlformats.org/officeDocument/2006/relationships/hyperlink" Target="mailto:laura.lima25@exemplo.com" TargetMode="External"/><Relationship Id="rId1367" Type="http://schemas.openxmlformats.org/officeDocument/2006/relationships/hyperlink" Target="mailto:laura.lima25@exemplo.com" TargetMode="External"/><Relationship Id="rId1368" Type="http://schemas.openxmlformats.org/officeDocument/2006/relationships/hyperlink" Target="mailto:laura.lima25@exemplo.com" TargetMode="External"/><Relationship Id="rId1369" Type="http://schemas.openxmlformats.org/officeDocument/2006/relationships/hyperlink" Target="mailto:laura.lima25@exemplo.com" TargetMode="External"/><Relationship Id="rId778" Type="http://schemas.openxmlformats.org/officeDocument/2006/relationships/hyperlink" Target="mailto:amanda.rocha53@exemplo.com" TargetMode="External"/><Relationship Id="rId777" Type="http://schemas.openxmlformats.org/officeDocument/2006/relationships/hyperlink" Target="mailto:amanda.rocha53@exemplo.com" TargetMode="External"/><Relationship Id="rId776" Type="http://schemas.openxmlformats.org/officeDocument/2006/relationships/hyperlink" Target="mailto:amanda.rocha53@exemplo.com" TargetMode="External"/><Relationship Id="rId775" Type="http://schemas.openxmlformats.org/officeDocument/2006/relationships/hyperlink" Target="mailto:amanda.rocha53@exemplo.com" TargetMode="External"/><Relationship Id="rId779" Type="http://schemas.openxmlformats.org/officeDocument/2006/relationships/hyperlink" Target="mailto:amanda.rocha53@exemplo.com" TargetMode="External"/><Relationship Id="rId770" Type="http://schemas.openxmlformats.org/officeDocument/2006/relationships/hyperlink" Target="mailto:amanda.rocha53@exemplo.com" TargetMode="External"/><Relationship Id="rId1360" Type="http://schemas.openxmlformats.org/officeDocument/2006/relationships/hyperlink" Target="mailto:sofia.melo31@exemplo.com" TargetMode="External"/><Relationship Id="rId1361" Type="http://schemas.openxmlformats.org/officeDocument/2006/relationships/hyperlink" Target="mailto:sofia.melo31@exemplo.com" TargetMode="External"/><Relationship Id="rId1362" Type="http://schemas.openxmlformats.org/officeDocument/2006/relationships/hyperlink" Target="mailto:laura.lima25@exemplo.com" TargetMode="External"/><Relationship Id="rId774" Type="http://schemas.openxmlformats.org/officeDocument/2006/relationships/hyperlink" Target="mailto:amanda.rocha53@exemplo.com" TargetMode="External"/><Relationship Id="rId1363" Type="http://schemas.openxmlformats.org/officeDocument/2006/relationships/hyperlink" Target="mailto:laura.lima25@exemplo.com" TargetMode="External"/><Relationship Id="rId773" Type="http://schemas.openxmlformats.org/officeDocument/2006/relationships/hyperlink" Target="mailto:amanda.rocha53@exemplo.com" TargetMode="External"/><Relationship Id="rId1364" Type="http://schemas.openxmlformats.org/officeDocument/2006/relationships/hyperlink" Target="mailto:laura.lima25@exemplo.com" TargetMode="External"/><Relationship Id="rId772" Type="http://schemas.openxmlformats.org/officeDocument/2006/relationships/hyperlink" Target="mailto:amanda.rocha53@exemplo.com" TargetMode="External"/><Relationship Id="rId1365" Type="http://schemas.openxmlformats.org/officeDocument/2006/relationships/hyperlink" Target="mailto:laura.lima25@exemplo.com" TargetMode="External"/><Relationship Id="rId771" Type="http://schemas.openxmlformats.org/officeDocument/2006/relationships/hyperlink" Target="mailto:amanda.rocha53@exemplo.com" TargetMode="External"/><Relationship Id="rId1366" Type="http://schemas.openxmlformats.org/officeDocument/2006/relationships/hyperlink" Target="mailto:laura.lima25@exemplo.com" TargetMode="External"/><Relationship Id="rId327" Type="http://schemas.openxmlformats.org/officeDocument/2006/relationships/hyperlink" Target="mailto:gabriela.costa15@exemplo.com" TargetMode="External"/><Relationship Id="rId326" Type="http://schemas.openxmlformats.org/officeDocument/2006/relationships/hyperlink" Target="mailto:gabriela.costa15@exemplo.com" TargetMode="External"/><Relationship Id="rId325" Type="http://schemas.openxmlformats.org/officeDocument/2006/relationships/hyperlink" Target="mailto:gabriela.costa15@exemplo.com" TargetMode="External"/><Relationship Id="rId324" Type="http://schemas.openxmlformats.org/officeDocument/2006/relationships/hyperlink" Target="mailto:gabriela.costa15@exemplo.com" TargetMode="External"/><Relationship Id="rId329" Type="http://schemas.openxmlformats.org/officeDocument/2006/relationships/hyperlink" Target="mailto:gabriela.costa15@exemplo.com" TargetMode="External"/><Relationship Id="rId1390" Type="http://schemas.openxmlformats.org/officeDocument/2006/relationships/hyperlink" Target="mailto:felipe.silva52@exemplo.com" TargetMode="External"/><Relationship Id="rId328" Type="http://schemas.openxmlformats.org/officeDocument/2006/relationships/hyperlink" Target="mailto:gabriela.costa15@exemplo.com" TargetMode="External"/><Relationship Id="rId1391" Type="http://schemas.openxmlformats.org/officeDocument/2006/relationships/hyperlink" Target="mailto:felipe.silva52@exemplo.com" TargetMode="External"/><Relationship Id="rId1392" Type="http://schemas.openxmlformats.org/officeDocument/2006/relationships/hyperlink" Target="mailto:felipe.silva52@exemplo.com" TargetMode="External"/><Relationship Id="rId1393" Type="http://schemas.openxmlformats.org/officeDocument/2006/relationships/hyperlink" Target="mailto:felipe.silva52@exemplo.com" TargetMode="External"/><Relationship Id="rId1394" Type="http://schemas.openxmlformats.org/officeDocument/2006/relationships/hyperlink" Target="mailto:felipe.silva52@exemplo.com" TargetMode="External"/><Relationship Id="rId1395" Type="http://schemas.openxmlformats.org/officeDocument/2006/relationships/hyperlink" Target="mailto:felipe.silva52@exemplo.com" TargetMode="External"/><Relationship Id="rId323" Type="http://schemas.openxmlformats.org/officeDocument/2006/relationships/hyperlink" Target="mailto:gabriela.costa15@exemplo.com" TargetMode="External"/><Relationship Id="rId1396" Type="http://schemas.openxmlformats.org/officeDocument/2006/relationships/hyperlink" Target="mailto:felipe.silva52@exemplo.com" TargetMode="External"/><Relationship Id="rId322" Type="http://schemas.openxmlformats.org/officeDocument/2006/relationships/hyperlink" Target="mailto:gabriela.costa15@exemplo.com" TargetMode="External"/><Relationship Id="rId1397" Type="http://schemas.openxmlformats.org/officeDocument/2006/relationships/hyperlink" Target="mailto:felipe.silva52@exemplo.com" TargetMode="External"/><Relationship Id="rId321" Type="http://schemas.openxmlformats.org/officeDocument/2006/relationships/hyperlink" Target="mailto:gabriel.machado40@exemplo.com" TargetMode="External"/><Relationship Id="rId1398" Type="http://schemas.openxmlformats.org/officeDocument/2006/relationships/hyperlink" Target="mailto:felipe.silva52@exemplo.com" TargetMode="External"/><Relationship Id="rId320" Type="http://schemas.openxmlformats.org/officeDocument/2006/relationships/hyperlink" Target="mailto:gabriel.machado40@exemplo.com" TargetMode="External"/><Relationship Id="rId1399" Type="http://schemas.openxmlformats.org/officeDocument/2006/relationships/hyperlink" Target="mailto:felipe.silva52@exemplo.com" TargetMode="External"/><Relationship Id="rId1389" Type="http://schemas.openxmlformats.org/officeDocument/2006/relationships/hyperlink" Target="mailto:felipe.silva52@exemplo.com" TargetMode="External"/><Relationship Id="rId316" Type="http://schemas.openxmlformats.org/officeDocument/2006/relationships/hyperlink" Target="mailto:gabriel.machado40@exemplo.com" TargetMode="External"/><Relationship Id="rId315" Type="http://schemas.openxmlformats.org/officeDocument/2006/relationships/hyperlink" Target="mailto:gabriel.machado40@exemplo.com" TargetMode="External"/><Relationship Id="rId799" Type="http://schemas.openxmlformats.org/officeDocument/2006/relationships/hyperlink" Target="mailto:gabriela.pereira87@exemplo.com" TargetMode="External"/><Relationship Id="rId314" Type="http://schemas.openxmlformats.org/officeDocument/2006/relationships/hyperlink" Target="mailto:gabriel.machado40@exemplo.com" TargetMode="External"/><Relationship Id="rId798" Type="http://schemas.openxmlformats.org/officeDocument/2006/relationships/hyperlink" Target="mailto:gabriela.pereira87@exemplo.com" TargetMode="External"/><Relationship Id="rId313" Type="http://schemas.openxmlformats.org/officeDocument/2006/relationships/hyperlink" Target="mailto:gabriel.machado40@exemplo.com" TargetMode="External"/><Relationship Id="rId797" Type="http://schemas.openxmlformats.org/officeDocument/2006/relationships/hyperlink" Target="mailto:gabriela.pereira87@exemplo.com" TargetMode="External"/><Relationship Id="rId319" Type="http://schemas.openxmlformats.org/officeDocument/2006/relationships/hyperlink" Target="mailto:gabriel.machado40@exemplo.com" TargetMode="External"/><Relationship Id="rId318" Type="http://schemas.openxmlformats.org/officeDocument/2006/relationships/hyperlink" Target="mailto:gabriel.machado40@exemplo.com" TargetMode="External"/><Relationship Id="rId317" Type="http://schemas.openxmlformats.org/officeDocument/2006/relationships/hyperlink" Target="mailto:gabriel.machado40@exemplo.com" TargetMode="External"/><Relationship Id="rId1380" Type="http://schemas.openxmlformats.org/officeDocument/2006/relationships/hyperlink" Target="mailto:laura.lima25@exemplo.com" TargetMode="External"/><Relationship Id="rId792" Type="http://schemas.openxmlformats.org/officeDocument/2006/relationships/hyperlink" Target="mailto:gabriela.pereira87@exemplo.com" TargetMode="External"/><Relationship Id="rId1381" Type="http://schemas.openxmlformats.org/officeDocument/2006/relationships/hyperlink" Target="mailto:laura.lima25@exemplo.com" TargetMode="External"/><Relationship Id="rId791" Type="http://schemas.openxmlformats.org/officeDocument/2006/relationships/hyperlink" Target="mailto:gabriela.pereira87@exemplo.com" TargetMode="External"/><Relationship Id="rId1382" Type="http://schemas.openxmlformats.org/officeDocument/2006/relationships/hyperlink" Target="mailto:felipe.silva52@exemplo.com" TargetMode="External"/><Relationship Id="rId790" Type="http://schemas.openxmlformats.org/officeDocument/2006/relationships/hyperlink" Target="mailto:gabriela.pereira87@exemplo.com" TargetMode="External"/><Relationship Id="rId1383" Type="http://schemas.openxmlformats.org/officeDocument/2006/relationships/hyperlink" Target="mailto:felipe.silva52@exemplo.com" TargetMode="External"/><Relationship Id="rId1384" Type="http://schemas.openxmlformats.org/officeDocument/2006/relationships/hyperlink" Target="mailto:felipe.silva52@exemplo.com" TargetMode="External"/><Relationship Id="rId312" Type="http://schemas.openxmlformats.org/officeDocument/2006/relationships/hyperlink" Target="mailto:gabriel.machado40@exemplo.com" TargetMode="External"/><Relationship Id="rId796" Type="http://schemas.openxmlformats.org/officeDocument/2006/relationships/hyperlink" Target="mailto:gabriela.pereira87@exemplo.com" TargetMode="External"/><Relationship Id="rId1385" Type="http://schemas.openxmlformats.org/officeDocument/2006/relationships/hyperlink" Target="mailto:felipe.silva52@exemplo.com" TargetMode="External"/><Relationship Id="rId311" Type="http://schemas.openxmlformats.org/officeDocument/2006/relationships/hyperlink" Target="mailto:gabriel.machado40@exemplo.com" TargetMode="External"/><Relationship Id="rId795" Type="http://schemas.openxmlformats.org/officeDocument/2006/relationships/hyperlink" Target="mailto:gabriela.pereira87@exemplo.com" TargetMode="External"/><Relationship Id="rId1386" Type="http://schemas.openxmlformats.org/officeDocument/2006/relationships/hyperlink" Target="mailto:felipe.silva52@exemplo.com" TargetMode="External"/><Relationship Id="rId310" Type="http://schemas.openxmlformats.org/officeDocument/2006/relationships/hyperlink" Target="mailto:gabriel.machado40@exemplo.com" TargetMode="External"/><Relationship Id="rId794" Type="http://schemas.openxmlformats.org/officeDocument/2006/relationships/hyperlink" Target="mailto:gabriela.pereira87@exemplo.com" TargetMode="External"/><Relationship Id="rId1387" Type="http://schemas.openxmlformats.org/officeDocument/2006/relationships/hyperlink" Target="mailto:felipe.silva52@exemplo.com" TargetMode="External"/><Relationship Id="rId793" Type="http://schemas.openxmlformats.org/officeDocument/2006/relationships/hyperlink" Target="mailto:gabriela.pereira87@exemplo.com" TargetMode="External"/><Relationship Id="rId1388" Type="http://schemas.openxmlformats.org/officeDocument/2006/relationships/hyperlink" Target="mailto:felipe.silva52@exemplo.com" TargetMode="External"/><Relationship Id="rId297" Type="http://schemas.openxmlformats.org/officeDocument/2006/relationships/hyperlink" Target="mailto:felipe.ribeiro44@exemplo.com" TargetMode="External"/><Relationship Id="rId296" Type="http://schemas.openxmlformats.org/officeDocument/2006/relationships/hyperlink" Target="mailto:felipe.ribeiro44@exemplo.com" TargetMode="External"/><Relationship Id="rId295" Type="http://schemas.openxmlformats.org/officeDocument/2006/relationships/hyperlink" Target="mailto:felipe.ribeiro44@exemplo.com" TargetMode="External"/><Relationship Id="rId294" Type="http://schemas.openxmlformats.org/officeDocument/2006/relationships/hyperlink" Target="mailto:felipe.ribeiro44@exemplo.com" TargetMode="External"/><Relationship Id="rId299" Type="http://schemas.openxmlformats.org/officeDocument/2006/relationships/hyperlink" Target="mailto:felipe.ribeiro44@exemplo.com" TargetMode="External"/><Relationship Id="rId298" Type="http://schemas.openxmlformats.org/officeDocument/2006/relationships/hyperlink" Target="mailto:felipe.ribeiro44@exemplo.com" TargetMode="External"/><Relationship Id="rId271" Type="http://schemas.openxmlformats.org/officeDocument/2006/relationships/hyperlink" Target="mailto:guilherme.ferreira50@exemplo.com" TargetMode="External"/><Relationship Id="rId270" Type="http://schemas.openxmlformats.org/officeDocument/2006/relationships/hyperlink" Target="mailto:guilherme.ferreira50@exemplo.com" TargetMode="External"/><Relationship Id="rId269" Type="http://schemas.openxmlformats.org/officeDocument/2006/relationships/hyperlink" Target="mailto:guilherme.ferreira50@exemplo.com" TargetMode="External"/><Relationship Id="rId264" Type="http://schemas.openxmlformats.org/officeDocument/2006/relationships/hyperlink" Target="mailto:guilherme.ferreira50@exemplo.com" TargetMode="External"/><Relationship Id="rId263" Type="http://schemas.openxmlformats.org/officeDocument/2006/relationships/hyperlink" Target="mailto:guilherme.ferreira50@exemplo.com" TargetMode="External"/><Relationship Id="rId262" Type="http://schemas.openxmlformats.org/officeDocument/2006/relationships/hyperlink" Target="mailto:guilherme.ferreira50@exemplo.com" TargetMode="External"/><Relationship Id="rId261" Type="http://schemas.openxmlformats.org/officeDocument/2006/relationships/hyperlink" Target="mailto:beatriz.silva61@exemplo.com" TargetMode="External"/><Relationship Id="rId268" Type="http://schemas.openxmlformats.org/officeDocument/2006/relationships/hyperlink" Target="mailto:guilherme.ferreira50@exemplo.com" TargetMode="External"/><Relationship Id="rId267" Type="http://schemas.openxmlformats.org/officeDocument/2006/relationships/hyperlink" Target="mailto:guilherme.ferreira50@exemplo.com" TargetMode="External"/><Relationship Id="rId266" Type="http://schemas.openxmlformats.org/officeDocument/2006/relationships/hyperlink" Target="mailto:guilherme.ferreira50@exemplo.com" TargetMode="External"/><Relationship Id="rId265" Type="http://schemas.openxmlformats.org/officeDocument/2006/relationships/hyperlink" Target="mailto:guilherme.ferreira50@exemplo.com" TargetMode="External"/><Relationship Id="rId260" Type="http://schemas.openxmlformats.org/officeDocument/2006/relationships/hyperlink" Target="mailto:beatriz.silva61@exemplo.com" TargetMode="External"/><Relationship Id="rId259" Type="http://schemas.openxmlformats.org/officeDocument/2006/relationships/hyperlink" Target="mailto:beatriz.silva61@exemplo.com" TargetMode="External"/><Relationship Id="rId258" Type="http://schemas.openxmlformats.org/officeDocument/2006/relationships/hyperlink" Target="mailto:beatriz.silva61@exemplo.com" TargetMode="External"/><Relationship Id="rId253" Type="http://schemas.openxmlformats.org/officeDocument/2006/relationships/hyperlink" Target="mailto:beatriz.silva61@exemplo.com" TargetMode="External"/><Relationship Id="rId252" Type="http://schemas.openxmlformats.org/officeDocument/2006/relationships/hyperlink" Target="mailto:beatriz.silva61@exemplo.com" TargetMode="External"/><Relationship Id="rId251" Type="http://schemas.openxmlformats.org/officeDocument/2006/relationships/hyperlink" Target="mailto:beatriz.silva61@exemplo.com" TargetMode="External"/><Relationship Id="rId250" Type="http://schemas.openxmlformats.org/officeDocument/2006/relationships/hyperlink" Target="mailto:beatriz.silva61@exemplo.com" TargetMode="External"/><Relationship Id="rId257" Type="http://schemas.openxmlformats.org/officeDocument/2006/relationships/hyperlink" Target="mailto:beatriz.silva61@exemplo.com" TargetMode="External"/><Relationship Id="rId256" Type="http://schemas.openxmlformats.org/officeDocument/2006/relationships/hyperlink" Target="mailto:beatriz.silva61@exemplo.com" TargetMode="External"/><Relationship Id="rId255" Type="http://schemas.openxmlformats.org/officeDocument/2006/relationships/hyperlink" Target="mailto:beatriz.silva61@exemplo.com" TargetMode="External"/><Relationship Id="rId254" Type="http://schemas.openxmlformats.org/officeDocument/2006/relationships/hyperlink" Target="mailto:beatriz.silva61@exemplo.com" TargetMode="External"/><Relationship Id="rId293" Type="http://schemas.openxmlformats.org/officeDocument/2006/relationships/hyperlink" Target="mailto:felipe.ribeiro44@exemplo.com" TargetMode="External"/><Relationship Id="rId292" Type="http://schemas.openxmlformats.org/officeDocument/2006/relationships/hyperlink" Target="mailto:felipe.ribeiro44@exemplo.com" TargetMode="External"/><Relationship Id="rId291" Type="http://schemas.openxmlformats.org/officeDocument/2006/relationships/hyperlink" Target="mailto:felipe.ribeiro44@exemplo.com" TargetMode="External"/><Relationship Id="rId290" Type="http://schemas.openxmlformats.org/officeDocument/2006/relationships/hyperlink" Target="mailto:felipe.ribeiro44@exemplo.com" TargetMode="External"/><Relationship Id="rId286" Type="http://schemas.openxmlformats.org/officeDocument/2006/relationships/hyperlink" Target="mailto:felipe.ribeiro44@exemplo.com" TargetMode="External"/><Relationship Id="rId285" Type="http://schemas.openxmlformats.org/officeDocument/2006/relationships/hyperlink" Target="mailto:felipe.ribeiro44@exemplo.com" TargetMode="External"/><Relationship Id="rId284" Type="http://schemas.openxmlformats.org/officeDocument/2006/relationships/hyperlink" Target="mailto:felipe.ribeiro44@exemplo.com" TargetMode="External"/><Relationship Id="rId283" Type="http://schemas.openxmlformats.org/officeDocument/2006/relationships/hyperlink" Target="mailto:felipe.ribeiro44@exemplo.com" TargetMode="External"/><Relationship Id="rId289" Type="http://schemas.openxmlformats.org/officeDocument/2006/relationships/hyperlink" Target="mailto:felipe.ribeiro44@exemplo.com" TargetMode="External"/><Relationship Id="rId288" Type="http://schemas.openxmlformats.org/officeDocument/2006/relationships/hyperlink" Target="mailto:felipe.ribeiro44@exemplo.com" TargetMode="External"/><Relationship Id="rId287" Type="http://schemas.openxmlformats.org/officeDocument/2006/relationships/hyperlink" Target="mailto:felipe.ribeiro44@exemplo.com" TargetMode="External"/><Relationship Id="rId282" Type="http://schemas.openxmlformats.org/officeDocument/2006/relationships/hyperlink" Target="mailto:felipe.ribeiro44@exemplo.com" TargetMode="External"/><Relationship Id="rId281" Type="http://schemas.openxmlformats.org/officeDocument/2006/relationships/hyperlink" Target="mailto:guilherme.ferreira50@exemplo.com" TargetMode="External"/><Relationship Id="rId280" Type="http://schemas.openxmlformats.org/officeDocument/2006/relationships/hyperlink" Target="mailto:guilherme.ferreira50@exemplo.com" TargetMode="External"/><Relationship Id="rId275" Type="http://schemas.openxmlformats.org/officeDocument/2006/relationships/hyperlink" Target="mailto:guilherme.ferreira50@exemplo.com" TargetMode="External"/><Relationship Id="rId274" Type="http://schemas.openxmlformats.org/officeDocument/2006/relationships/hyperlink" Target="mailto:guilherme.ferreira50@exemplo.com" TargetMode="External"/><Relationship Id="rId273" Type="http://schemas.openxmlformats.org/officeDocument/2006/relationships/hyperlink" Target="mailto:guilherme.ferreira50@exemplo.com" TargetMode="External"/><Relationship Id="rId272" Type="http://schemas.openxmlformats.org/officeDocument/2006/relationships/hyperlink" Target="mailto:guilherme.ferreira50@exemplo.com" TargetMode="External"/><Relationship Id="rId279" Type="http://schemas.openxmlformats.org/officeDocument/2006/relationships/hyperlink" Target="mailto:guilherme.ferreira50@exemplo.com" TargetMode="External"/><Relationship Id="rId278" Type="http://schemas.openxmlformats.org/officeDocument/2006/relationships/hyperlink" Target="mailto:guilherme.ferreira50@exemplo.com" TargetMode="External"/><Relationship Id="rId277" Type="http://schemas.openxmlformats.org/officeDocument/2006/relationships/hyperlink" Target="mailto:guilherme.ferreira50@exemplo.com" TargetMode="External"/><Relationship Id="rId276" Type="http://schemas.openxmlformats.org/officeDocument/2006/relationships/hyperlink" Target="mailto:guilherme.ferreira50@exemplo.com" TargetMode="External"/><Relationship Id="rId1851" Type="http://schemas.openxmlformats.org/officeDocument/2006/relationships/hyperlink" Target="mailto:leonardo.almeida31@exemplo.com" TargetMode="External"/><Relationship Id="rId1852" Type="http://schemas.openxmlformats.org/officeDocument/2006/relationships/hyperlink" Target="mailto:leonardo.almeida31@exemplo.com" TargetMode="External"/><Relationship Id="rId1853" Type="http://schemas.openxmlformats.org/officeDocument/2006/relationships/hyperlink" Target="mailto:leonardo.almeida31@exemplo.com" TargetMode="External"/><Relationship Id="rId1854" Type="http://schemas.openxmlformats.org/officeDocument/2006/relationships/hyperlink" Target="mailto:leonardo.almeida31@exemplo.com" TargetMode="External"/><Relationship Id="rId1855" Type="http://schemas.openxmlformats.org/officeDocument/2006/relationships/hyperlink" Target="mailto:leonardo.almeida31@exemplo.com" TargetMode="External"/><Relationship Id="rId1856" Type="http://schemas.openxmlformats.org/officeDocument/2006/relationships/hyperlink" Target="mailto:leonardo.almeida31@exemplo.com" TargetMode="External"/><Relationship Id="rId1857" Type="http://schemas.openxmlformats.org/officeDocument/2006/relationships/hyperlink" Target="mailto:leonardo.almeida31@exemplo.com" TargetMode="External"/><Relationship Id="rId1858" Type="http://schemas.openxmlformats.org/officeDocument/2006/relationships/hyperlink" Target="mailto:leonardo.almeida31@exemplo.com" TargetMode="External"/><Relationship Id="rId1859" Type="http://schemas.openxmlformats.org/officeDocument/2006/relationships/hyperlink" Target="mailto:leonardo.almeida31@exemplo.com" TargetMode="External"/><Relationship Id="rId1850" Type="http://schemas.openxmlformats.org/officeDocument/2006/relationships/hyperlink" Target="mailto:leonardo.almeida31@exemplo.com" TargetMode="External"/><Relationship Id="rId1840" Type="http://schemas.openxmlformats.org/officeDocument/2006/relationships/hyperlink" Target="mailto:rodrigo.melo72@exemplo.com" TargetMode="External"/><Relationship Id="rId1841" Type="http://schemas.openxmlformats.org/officeDocument/2006/relationships/hyperlink" Target="mailto:rodrigo.melo72@exemplo.com" TargetMode="External"/><Relationship Id="rId1842" Type="http://schemas.openxmlformats.org/officeDocument/2006/relationships/hyperlink" Target="mailto:leonardo.almeida31@exemplo.com" TargetMode="External"/><Relationship Id="rId1843" Type="http://schemas.openxmlformats.org/officeDocument/2006/relationships/hyperlink" Target="mailto:leonardo.almeida31@exemplo.com" TargetMode="External"/><Relationship Id="rId1844" Type="http://schemas.openxmlformats.org/officeDocument/2006/relationships/hyperlink" Target="mailto:leonardo.almeida31@exemplo.com" TargetMode="External"/><Relationship Id="rId1845" Type="http://schemas.openxmlformats.org/officeDocument/2006/relationships/hyperlink" Target="mailto:leonardo.almeida31@exemplo.com" TargetMode="External"/><Relationship Id="rId1846" Type="http://schemas.openxmlformats.org/officeDocument/2006/relationships/hyperlink" Target="mailto:leonardo.almeida31@exemplo.com" TargetMode="External"/><Relationship Id="rId1847" Type="http://schemas.openxmlformats.org/officeDocument/2006/relationships/hyperlink" Target="mailto:leonardo.almeida31@exemplo.com" TargetMode="External"/><Relationship Id="rId1848" Type="http://schemas.openxmlformats.org/officeDocument/2006/relationships/hyperlink" Target="mailto:leonardo.almeida31@exemplo.com" TargetMode="External"/><Relationship Id="rId1849" Type="http://schemas.openxmlformats.org/officeDocument/2006/relationships/hyperlink" Target="mailto:leonardo.almeida31@exemplo.com" TargetMode="External"/><Relationship Id="rId1873" Type="http://schemas.openxmlformats.org/officeDocument/2006/relationships/hyperlink" Target="mailto:giovanna.gomes34@exemplo.com" TargetMode="External"/><Relationship Id="rId1874" Type="http://schemas.openxmlformats.org/officeDocument/2006/relationships/hyperlink" Target="mailto:giovanna.gomes34@exemplo.com" TargetMode="External"/><Relationship Id="rId1875" Type="http://schemas.openxmlformats.org/officeDocument/2006/relationships/hyperlink" Target="mailto:giovanna.gomes34@exemplo.com" TargetMode="External"/><Relationship Id="rId1876" Type="http://schemas.openxmlformats.org/officeDocument/2006/relationships/hyperlink" Target="mailto:giovanna.gomes34@exemplo.com" TargetMode="External"/><Relationship Id="rId1877" Type="http://schemas.openxmlformats.org/officeDocument/2006/relationships/hyperlink" Target="mailto:giovanna.gomes34@exemplo.com" TargetMode="External"/><Relationship Id="rId1878" Type="http://schemas.openxmlformats.org/officeDocument/2006/relationships/hyperlink" Target="mailto:giovanna.gomes34@exemplo.com" TargetMode="External"/><Relationship Id="rId1879" Type="http://schemas.openxmlformats.org/officeDocument/2006/relationships/hyperlink" Target="mailto:giovanna.gomes34@exemplo.com" TargetMode="External"/><Relationship Id="rId1870" Type="http://schemas.openxmlformats.org/officeDocument/2006/relationships/hyperlink" Target="mailto:giovanna.gomes34@exemplo.com" TargetMode="External"/><Relationship Id="rId1871" Type="http://schemas.openxmlformats.org/officeDocument/2006/relationships/hyperlink" Target="mailto:giovanna.gomes34@exemplo.com" TargetMode="External"/><Relationship Id="rId1872" Type="http://schemas.openxmlformats.org/officeDocument/2006/relationships/hyperlink" Target="mailto:giovanna.gomes34@exemplo.com" TargetMode="External"/><Relationship Id="rId1862" Type="http://schemas.openxmlformats.org/officeDocument/2006/relationships/hyperlink" Target="mailto:giovanna.gomes34@exemplo.com" TargetMode="External"/><Relationship Id="rId1863" Type="http://schemas.openxmlformats.org/officeDocument/2006/relationships/hyperlink" Target="mailto:giovanna.gomes34@exemplo.com" TargetMode="External"/><Relationship Id="rId1864" Type="http://schemas.openxmlformats.org/officeDocument/2006/relationships/hyperlink" Target="mailto:giovanna.gomes34@exemplo.com" TargetMode="External"/><Relationship Id="rId1865" Type="http://schemas.openxmlformats.org/officeDocument/2006/relationships/hyperlink" Target="mailto:giovanna.gomes34@exemplo.com" TargetMode="External"/><Relationship Id="rId1866" Type="http://schemas.openxmlformats.org/officeDocument/2006/relationships/hyperlink" Target="mailto:giovanna.gomes34@exemplo.com" TargetMode="External"/><Relationship Id="rId1867" Type="http://schemas.openxmlformats.org/officeDocument/2006/relationships/hyperlink" Target="mailto:giovanna.gomes34@exemplo.com" TargetMode="External"/><Relationship Id="rId1868" Type="http://schemas.openxmlformats.org/officeDocument/2006/relationships/hyperlink" Target="mailto:giovanna.gomes34@exemplo.com" TargetMode="External"/><Relationship Id="rId1869" Type="http://schemas.openxmlformats.org/officeDocument/2006/relationships/hyperlink" Target="mailto:giovanna.gomes34@exemplo.com" TargetMode="External"/><Relationship Id="rId1860" Type="http://schemas.openxmlformats.org/officeDocument/2006/relationships/hyperlink" Target="mailto:leonardo.almeida31@exemplo.com" TargetMode="External"/><Relationship Id="rId1861" Type="http://schemas.openxmlformats.org/officeDocument/2006/relationships/hyperlink" Target="mailto:leonardo.almeida31@exemplo.com" TargetMode="External"/><Relationship Id="rId1810" Type="http://schemas.openxmlformats.org/officeDocument/2006/relationships/hyperlink" Target="mailto:rodrigo.melo22@exemplo.com" TargetMode="External"/><Relationship Id="rId1811" Type="http://schemas.openxmlformats.org/officeDocument/2006/relationships/hyperlink" Target="mailto:rodrigo.melo22@exemplo.com" TargetMode="External"/><Relationship Id="rId1812" Type="http://schemas.openxmlformats.org/officeDocument/2006/relationships/hyperlink" Target="mailto:rodrigo.melo22@exemplo.com" TargetMode="External"/><Relationship Id="rId1813" Type="http://schemas.openxmlformats.org/officeDocument/2006/relationships/hyperlink" Target="mailto:rodrigo.melo22@exemplo.com" TargetMode="External"/><Relationship Id="rId1814" Type="http://schemas.openxmlformats.org/officeDocument/2006/relationships/hyperlink" Target="mailto:rodrigo.melo22@exemplo.com" TargetMode="External"/><Relationship Id="rId1815" Type="http://schemas.openxmlformats.org/officeDocument/2006/relationships/hyperlink" Target="mailto:rodrigo.melo22@exemplo.com" TargetMode="External"/><Relationship Id="rId1816" Type="http://schemas.openxmlformats.org/officeDocument/2006/relationships/hyperlink" Target="mailto:rodrigo.melo22@exemplo.com" TargetMode="External"/><Relationship Id="rId1817" Type="http://schemas.openxmlformats.org/officeDocument/2006/relationships/hyperlink" Target="mailto:rodrigo.melo22@exemplo.com" TargetMode="External"/><Relationship Id="rId1818" Type="http://schemas.openxmlformats.org/officeDocument/2006/relationships/hyperlink" Target="mailto:rodrigo.melo22@exemplo.com" TargetMode="External"/><Relationship Id="rId1819" Type="http://schemas.openxmlformats.org/officeDocument/2006/relationships/hyperlink" Target="mailto:rodrigo.melo22@exemplo.com" TargetMode="External"/><Relationship Id="rId1800" Type="http://schemas.openxmlformats.org/officeDocument/2006/relationships/hyperlink" Target="mailto:eduardo.fonseca58@exemplo.com" TargetMode="External"/><Relationship Id="rId1801" Type="http://schemas.openxmlformats.org/officeDocument/2006/relationships/hyperlink" Target="mailto:eduardo.fonseca58@exemplo.com" TargetMode="External"/><Relationship Id="rId1802" Type="http://schemas.openxmlformats.org/officeDocument/2006/relationships/hyperlink" Target="mailto:rodrigo.melo22@exemplo.com" TargetMode="External"/><Relationship Id="rId1803" Type="http://schemas.openxmlformats.org/officeDocument/2006/relationships/hyperlink" Target="mailto:rodrigo.melo22@exemplo.com" TargetMode="External"/><Relationship Id="rId1804" Type="http://schemas.openxmlformats.org/officeDocument/2006/relationships/hyperlink" Target="mailto:rodrigo.melo22@exemplo.com" TargetMode="External"/><Relationship Id="rId1805" Type="http://schemas.openxmlformats.org/officeDocument/2006/relationships/hyperlink" Target="mailto:rodrigo.melo22@exemplo.com" TargetMode="External"/><Relationship Id="rId1806" Type="http://schemas.openxmlformats.org/officeDocument/2006/relationships/hyperlink" Target="mailto:rodrigo.melo22@exemplo.com" TargetMode="External"/><Relationship Id="rId1807" Type="http://schemas.openxmlformats.org/officeDocument/2006/relationships/hyperlink" Target="mailto:rodrigo.melo22@exemplo.com" TargetMode="External"/><Relationship Id="rId1808" Type="http://schemas.openxmlformats.org/officeDocument/2006/relationships/hyperlink" Target="mailto:rodrigo.melo22@exemplo.com" TargetMode="External"/><Relationship Id="rId1809" Type="http://schemas.openxmlformats.org/officeDocument/2006/relationships/hyperlink" Target="mailto:rodrigo.melo22@exemplo.com" TargetMode="External"/><Relationship Id="rId1830" Type="http://schemas.openxmlformats.org/officeDocument/2006/relationships/hyperlink" Target="mailto:rodrigo.melo72@exemplo.com" TargetMode="External"/><Relationship Id="rId1831" Type="http://schemas.openxmlformats.org/officeDocument/2006/relationships/hyperlink" Target="mailto:rodrigo.melo72@exemplo.com" TargetMode="External"/><Relationship Id="rId1832" Type="http://schemas.openxmlformats.org/officeDocument/2006/relationships/hyperlink" Target="mailto:rodrigo.melo72@exemplo.com" TargetMode="External"/><Relationship Id="rId1833" Type="http://schemas.openxmlformats.org/officeDocument/2006/relationships/hyperlink" Target="mailto:rodrigo.melo72@exemplo.com" TargetMode="External"/><Relationship Id="rId1834" Type="http://schemas.openxmlformats.org/officeDocument/2006/relationships/hyperlink" Target="mailto:rodrigo.melo72@exemplo.com" TargetMode="External"/><Relationship Id="rId1835" Type="http://schemas.openxmlformats.org/officeDocument/2006/relationships/hyperlink" Target="mailto:rodrigo.melo72@exemplo.com" TargetMode="External"/><Relationship Id="rId1836" Type="http://schemas.openxmlformats.org/officeDocument/2006/relationships/hyperlink" Target="mailto:rodrigo.melo72@exemplo.com" TargetMode="External"/><Relationship Id="rId1837" Type="http://schemas.openxmlformats.org/officeDocument/2006/relationships/hyperlink" Target="mailto:rodrigo.melo72@exemplo.com" TargetMode="External"/><Relationship Id="rId1838" Type="http://schemas.openxmlformats.org/officeDocument/2006/relationships/hyperlink" Target="mailto:rodrigo.melo72@exemplo.com" TargetMode="External"/><Relationship Id="rId1839" Type="http://schemas.openxmlformats.org/officeDocument/2006/relationships/hyperlink" Target="mailto:rodrigo.melo72@exemplo.com" TargetMode="External"/><Relationship Id="rId1820" Type="http://schemas.openxmlformats.org/officeDocument/2006/relationships/hyperlink" Target="mailto:rodrigo.melo22@exemplo.com" TargetMode="External"/><Relationship Id="rId1821" Type="http://schemas.openxmlformats.org/officeDocument/2006/relationships/hyperlink" Target="mailto:rodrigo.melo22@exemplo.com" TargetMode="External"/><Relationship Id="rId1822" Type="http://schemas.openxmlformats.org/officeDocument/2006/relationships/hyperlink" Target="mailto:rodrigo.melo72@exemplo.com" TargetMode="External"/><Relationship Id="rId1823" Type="http://schemas.openxmlformats.org/officeDocument/2006/relationships/hyperlink" Target="mailto:rodrigo.melo72@exemplo.com" TargetMode="External"/><Relationship Id="rId1824" Type="http://schemas.openxmlformats.org/officeDocument/2006/relationships/hyperlink" Target="mailto:rodrigo.melo72@exemplo.com" TargetMode="External"/><Relationship Id="rId1825" Type="http://schemas.openxmlformats.org/officeDocument/2006/relationships/hyperlink" Target="mailto:rodrigo.melo72@exemplo.com" TargetMode="External"/><Relationship Id="rId1826" Type="http://schemas.openxmlformats.org/officeDocument/2006/relationships/hyperlink" Target="mailto:rodrigo.melo72@exemplo.com" TargetMode="External"/><Relationship Id="rId1827" Type="http://schemas.openxmlformats.org/officeDocument/2006/relationships/hyperlink" Target="mailto:rodrigo.melo72@exemplo.com" TargetMode="External"/><Relationship Id="rId1828" Type="http://schemas.openxmlformats.org/officeDocument/2006/relationships/hyperlink" Target="mailto:rodrigo.melo72@exemplo.com" TargetMode="External"/><Relationship Id="rId1829" Type="http://schemas.openxmlformats.org/officeDocument/2006/relationships/hyperlink" Target="mailto:rodrigo.melo72@exemplo.com" TargetMode="External"/><Relationship Id="rId1455" Type="http://schemas.openxmlformats.org/officeDocument/2006/relationships/hyperlink" Target="mailto:marcos.lima55@exemplo.com" TargetMode="External"/><Relationship Id="rId1456" Type="http://schemas.openxmlformats.org/officeDocument/2006/relationships/hyperlink" Target="mailto:marcos.lima55@exemplo.com" TargetMode="External"/><Relationship Id="rId1457" Type="http://schemas.openxmlformats.org/officeDocument/2006/relationships/hyperlink" Target="mailto:marcos.lima55@exemplo.com" TargetMode="External"/><Relationship Id="rId1458" Type="http://schemas.openxmlformats.org/officeDocument/2006/relationships/hyperlink" Target="mailto:marcos.lima55@exemplo.com" TargetMode="External"/><Relationship Id="rId1459" Type="http://schemas.openxmlformats.org/officeDocument/2006/relationships/hyperlink" Target="mailto:marcos.lima55@exemplo.com" TargetMode="External"/><Relationship Id="rId629" Type="http://schemas.openxmlformats.org/officeDocument/2006/relationships/hyperlink" Target="mailto:gabriel.oliveira13@exemplo.com" TargetMode="External"/><Relationship Id="rId624" Type="http://schemas.openxmlformats.org/officeDocument/2006/relationships/hyperlink" Target="mailto:gabriel.oliveira13@exemplo.com" TargetMode="External"/><Relationship Id="rId623" Type="http://schemas.openxmlformats.org/officeDocument/2006/relationships/hyperlink" Target="mailto:gabriel.oliveira13@exemplo.com" TargetMode="External"/><Relationship Id="rId622" Type="http://schemas.openxmlformats.org/officeDocument/2006/relationships/hyperlink" Target="mailto:gabriel.oliveira13@exemplo.com" TargetMode="External"/><Relationship Id="rId621" Type="http://schemas.openxmlformats.org/officeDocument/2006/relationships/hyperlink" Target="mailto:larissa.souza29@exemplo.com" TargetMode="External"/><Relationship Id="rId628" Type="http://schemas.openxmlformats.org/officeDocument/2006/relationships/hyperlink" Target="mailto:gabriel.oliveira13@exemplo.com" TargetMode="External"/><Relationship Id="rId627" Type="http://schemas.openxmlformats.org/officeDocument/2006/relationships/hyperlink" Target="mailto:gabriel.oliveira13@exemplo.com" TargetMode="External"/><Relationship Id="rId626" Type="http://schemas.openxmlformats.org/officeDocument/2006/relationships/hyperlink" Target="mailto:gabriel.oliveira13@exemplo.com" TargetMode="External"/><Relationship Id="rId625" Type="http://schemas.openxmlformats.org/officeDocument/2006/relationships/hyperlink" Target="mailto:gabriel.oliveira13@exemplo.com" TargetMode="External"/><Relationship Id="rId1450" Type="http://schemas.openxmlformats.org/officeDocument/2006/relationships/hyperlink" Target="mailto:marcos.lima55@exemplo.com" TargetMode="External"/><Relationship Id="rId620" Type="http://schemas.openxmlformats.org/officeDocument/2006/relationships/hyperlink" Target="mailto:larissa.souza29@exemplo.com" TargetMode="External"/><Relationship Id="rId1451" Type="http://schemas.openxmlformats.org/officeDocument/2006/relationships/hyperlink" Target="mailto:marcos.lima55@exemplo.com" TargetMode="External"/><Relationship Id="rId1452" Type="http://schemas.openxmlformats.org/officeDocument/2006/relationships/hyperlink" Target="mailto:marcos.lima55@exemplo.com" TargetMode="External"/><Relationship Id="rId1453" Type="http://schemas.openxmlformats.org/officeDocument/2006/relationships/hyperlink" Target="mailto:marcos.lima55@exemplo.com" TargetMode="External"/><Relationship Id="rId1454" Type="http://schemas.openxmlformats.org/officeDocument/2006/relationships/hyperlink" Target="mailto:marcos.lima55@exemplo.com" TargetMode="External"/><Relationship Id="rId1444" Type="http://schemas.openxmlformats.org/officeDocument/2006/relationships/hyperlink" Target="mailto:marcos.lima55@exemplo.com" TargetMode="External"/><Relationship Id="rId1445" Type="http://schemas.openxmlformats.org/officeDocument/2006/relationships/hyperlink" Target="mailto:marcos.lima55@exemplo.com" TargetMode="External"/><Relationship Id="rId1446" Type="http://schemas.openxmlformats.org/officeDocument/2006/relationships/hyperlink" Target="mailto:marcos.lima55@exemplo.com" TargetMode="External"/><Relationship Id="rId1447" Type="http://schemas.openxmlformats.org/officeDocument/2006/relationships/hyperlink" Target="mailto:marcos.lima55@exemplo.com" TargetMode="External"/><Relationship Id="rId1448" Type="http://schemas.openxmlformats.org/officeDocument/2006/relationships/hyperlink" Target="mailto:marcos.lima55@exemplo.com" TargetMode="External"/><Relationship Id="rId1449" Type="http://schemas.openxmlformats.org/officeDocument/2006/relationships/hyperlink" Target="mailto:marcos.lima55@exemplo.com" TargetMode="External"/><Relationship Id="rId619" Type="http://schemas.openxmlformats.org/officeDocument/2006/relationships/hyperlink" Target="mailto:larissa.souza29@exemplo.com" TargetMode="External"/><Relationship Id="rId618" Type="http://schemas.openxmlformats.org/officeDocument/2006/relationships/hyperlink" Target="mailto:larissa.souza29@exemplo.com" TargetMode="External"/><Relationship Id="rId613" Type="http://schemas.openxmlformats.org/officeDocument/2006/relationships/hyperlink" Target="mailto:larissa.souza29@exemplo.com" TargetMode="External"/><Relationship Id="rId612" Type="http://schemas.openxmlformats.org/officeDocument/2006/relationships/hyperlink" Target="mailto:larissa.souza29@exemplo.com" TargetMode="External"/><Relationship Id="rId611" Type="http://schemas.openxmlformats.org/officeDocument/2006/relationships/hyperlink" Target="mailto:larissa.souza29@exemplo.com" TargetMode="External"/><Relationship Id="rId610" Type="http://schemas.openxmlformats.org/officeDocument/2006/relationships/hyperlink" Target="mailto:larissa.souza29@exemplo.com" TargetMode="External"/><Relationship Id="rId617" Type="http://schemas.openxmlformats.org/officeDocument/2006/relationships/hyperlink" Target="mailto:larissa.souza29@exemplo.com" TargetMode="External"/><Relationship Id="rId616" Type="http://schemas.openxmlformats.org/officeDocument/2006/relationships/hyperlink" Target="mailto:larissa.souza29@exemplo.com" TargetMode="External"/><Relationship Id="rId615" Type="http://schemas.openxmlformats.org/officeDocument/2006/relationships/hyperlink" Target="mailto:larissa.souza29@exemplo.com" TargetMode="External"/><Relationship Id="rId614" Type="http://schemas.openxmlformats.org/officeDocument/2006/relationships/hyperlink" Target="mailto:larissa.souza29@exemplo.com" TargetMode="External"/><Relationship Id="rId1440" Type="http://schemas.openxmlformats.org/officeDocument/2006/relationships/hyperlink" Target="mailto:bruno.melo27@exemplo.com" TargetMode="External"/><Relationship Id="rId1441" Type="http://schemas.openxmlformats.org/officeDocument/2006/relationships/hyperlink" Target="mailto:bruno.melo27@exemplo.com" TargetMode="External"/><Relationship Id="rId1442" Type="http://schemas.openxmlformats.org/officeDocument/2006/relationships/hyperlink" Target="mailto:marcos.lima55@exemplo.com" TargetMode="External"/><Relationship Id="rId1443" Type="http://schemas.openxmlformats.org/officeDocument/2006/relationships/hyperlink" Target="mailto:marcos.lima55@exemplo.com" TargetMode="External"/><Relationship Id="rId1477" Type="http://schemas.openxmlformats.org/officeDocument/2006/relationships/hyperlink" Target="mailto:larissa.gomes18@exemplo.com" TargetMode="External"/><Relationship Id="rId1478" Type="http://schemas.openxmlformats.org/officeDocument/2006/relationships/hyperlink" Target="mailto:larissa.gomes18@exemplo.com" TargetMode="External"/><Relationship Id="rId1479" Type="http://schemas.openxmlformats.org/officeDocument/2006/relationships/hyperlink" Target="mailto:larissa.gomes18@exemplo.com" TargetMode="External"/><Relationship Id="rId646" Type="http://schemas.openxmlformats.org/officeDocument/2006/relationships/hyperlink" Target="mailto:gustavo.souza88@exemplo.com" TargetMode="External"/><Relationship Id="rId645" Type="http://schemas.openxmlformats.org/officeDocument/2006/relationships/hyperlink" Target="mailto:gustavo.souza88@exemplo.com" TargetMode="External"/><Relationship Id="rId644" Type="http://schemas.openxmlformats.org/officeDocument/2006/relationships/hyperlink" Target="mailto:gustavo.souza88@exemplo.com" TargetMode="External"/><Relationship Id="rId643" Type="http://schemas.openxmlformats.org/officeDocument/2006/relationships/hyperlink" Target="mailto:gustavo.souza88@exemplo.com" TargetMode="External"/><Relationship Id="rId649" Type="http://schemas.openxmlformats.org/officeDocument/2006/relationships/hyperlink" Target="mailto:gustavo.souza88@exemplo.com" TargetMode="External"/><Relationship Id="rId648" Type="http://schemas.openxmlformats.org/officeDocument/2006/relationships/hyperlink" Target="mailto:gustavo.souza88@exemplo.com" TargetMode="External"/><Relationship Id="rId647" Type="http://schemas.openxmlformats.org/officeDocument/2006/relationships/hyperlink" Target="mailto:gustavo.souza88@exemplo.com" TargetMode="External"/><Relationship Id="rId1470" Type="http://schemas.openxmlformats.org/officeDocument/2006/relationships/hyperlink" Target="mailto:larissa.gomes18@exemplo.com" TargetMode="External"/><Relationship Id="rId1471" Type="http://schemas.openxmlformats.org/officeDocument/2006/relationships/hyperlink" Target="mailto:larissa.gomes18@exemplo.com" TargetMode="External"/><Relationship Id="rId1472" Type="http://schemas.openxmlformats.org/officeDocument/2006/relationships/hyperlink" Target="mailto:larissa.gomes18@exemplo.com" TargetMode="External"/><Relationship Id="rId642" Type="http://schemas.openxmlformats.org/officeDocument/2006/relationships/hyperlink" Target="mailto:gustavo.souza88@exemplo.com" TargetMode="External"/><Relationship Id="rId1473" Type="http://schemas.openxmlformats.org/officeDocument/2006/relationships/hyperlink" Target="mailto:larissa.gomes18@exemplo.com" TargetMode="External"/><Relationship Id="rId641" Type="http://schemas.openxmlformats.org/officeDocument/2006/relationships/hyperlink" Target="mailto:gabriel.oliveira13@exemplo.com" TargetMode="External"/><Relationship Id="rId1474" Type="http://schemas.openxmlformats.org/officeDocument/2006/relationships/hyperlink" Target="mailto:larissa.gomes18@exemplo.com" TargetMode="External"/><Relationship Id="rId640" Type="http://schemas.openxmlformats.org/officeDocument/2006/relationships/hyperlink" Target="mailto:gabriel.oliveira13@exemplo.com" TargetMode="External"/><Relationship Id="rId1475" Type="http://schemas.openxmlformats.org/officeDocument/2006/relationships/hyperlink" Target="mailto:larissa.gomes18@exemplo.com" TargetMode="External"/><Relationship Id="rId1476" Type="http://schemas.openxmlformats.org/officeDocument/2006/relationships/hyperlink" Target="mailto:larissa.gomes18@exemplo.com" TargetMode="External"/><Relationship Id="rId1466" Type="http://schemas.openxmlformats.org/officeDocument/2006/relationships/hyperlink" Target="mailto:larissa.gomes18@exemplo.com" TargetMode="External"/><Relationship Id="rId1467" Type="http://schemas.openxmlformats.org/officeDocument/2006/relationships/hyperlink" Target="mailto:larissa.gomes18@exemplo.com" TargetMode="External"/><Relationship Id="rId1468" Type="http://schemas.openxmlformats.org/officeDocument/2006/relationships/hyperlink" Target="mailto:larissa.gomes18@exemplo.com" TargetMode="External"/><Relationship Id="rId1469" Type="http://schemas.openxmlformats.org/officeDocument/2006/relationships/hyperlink" Target="mailto:larissa.gomes18@exemplo.com" TargetMode="External"/><Relationship Id="rId635" Type="http://schemas.openxmlformats.org/officeDocument/2006/relationships/hyperlink" Target="mailto:gabriel.oliveira13@exemplo.com" TargetMode="External"/><Relationship Id="rId634" Type="http://schemas.openxmlformats.org/officeDocument/2006/relationships/hyperlink" Target="mailto:gabriel.oliveira13@exemplo.com" TargetMode="External"/><Relationship Id="rId633" Type="http://schemas.openxmlformats.org/officeDocument/2006/relationships/hyperlink" Target="mailto:gabriel.oliveira13@exemplo.com" TargetMode="External"/><Relationship Id="rId632" Type="http://schemas.openxmlformats.org/officeDocument/2006/relationships/hyperlink" Target="mailto:gabriel.oliveira13@exemplo.com" TargetMode="External"/><Relationship Id="rId639" Type="http://schemas.openxmlformats.org/officeDocument/2006/relationships/hyperlink" Target="mailto:gabriel.oliveira13@exemplo.com" TargetMode="External"/><Relationship Id="rId638" Type="http://schemas.openxmlformats.org/officeDocument/2006/relationships/hyperlink" Target="mailto:gabriel.oliveira13@exemplo.com" TargetMode="External"/><Relationship Id="rId637" Type="http://schemas.openxmlformats.org/officeDocument/2006/relationships/hyperlink" Target="mailto:gabriel.oliveira13@exemplo.com" TargetMode="External"/><Relationship Id="rId636" Type="http://schemas.openxmlformats.org/officeDocument/2006/relationships/hyperlink" Target="mailto:gabriel.oliveira13@exemplo.com" TargetMode="External"/><Relationship Id="rId1460" Type="http://schemas.openxmlformats.org/officeDocument/2006/relationships/hyperlink" Target="mailto:marcos.lima55@exemplo.com" TargetMode="External"/><Relationship Id="rId1461" Type="http://schemas.openxmlformats.org/officeDocument/2006/relationships/hyperlink" Target="mailto:marcos.lima55@exemplo.com" TargetMode="External"/><Relationship Id="rId631" Type="http://schemas.openxmlformats.org/officeDocument/2006/relationships/hyperlink" Target="mailto:gabriel.oliveira13@exemplo.com" TargetMode="External"/><Relationship Id="rId1462" Type="http://schemas.openxmlformats.org/officeDocument/2006/relationships/hyperlink" Target="mailto:larissa.gomes18@exemplo.com" TargetMode="External"/><Relationship Id="rId630" Type="http://schemas.openxmlformats.org/officeDocument/2006/relationships/hyperlink" Target="mailto:gabriel.oliveira13@exemplo.com" TargetMode="External"/><Relationship Id="rId1463" Type="http://schemas.openxmlformats.org/officeDocument/2006/relationships/hyperlink" Target="mailto:larissa.gomes18@exemplo.com" TargetMode="External"/><Relationship Id="rId1464" Type="http://schemas.openxmlformats.org/officeDocument/2006/relationships/hyperlink" Target="mailto:larissa.gomes18@exemplo.com" TargetMode="External"/><Relationship Id="rId1465" Type="http://schemas.openxmlformats.org/officeDocument/2006/relationships/hyperlink" Target="mailto:larissa.gomes18@exemplo.com" TargetMode="External"/><Relationship Id="rId1411" Type="http://schemas.openxmlformats.org/officeDocument/2006/relationships/hyperlink" Target="mailto:mateus.gomes40@exemplo.com" TargetMode="External"/><Relationship Id="rId1895" Type="http://schemas.openxmlformats.org/officeDocument/2006/relationships/hyperlink" Target="mailto:camila.lima44@exemplo.com" TargetMode="External"/><Relationship Id="rId1412" Type="http://schemas.openxmlformats.org/officeDocument/2006/relationships/hyperlink" Target="mailto:mateus.gomes40@exemplo.com" TargetMode="External"/><Relationship Id="rId1896" Type="http://schemas.openxmlformats.org/officeDocument/2006/relationships/hyperlink" Target="mailto:camila.lima44@exemplo.com" TargetMode="External"/><Relationship Id="rId1413" Type="http://schemas.openxmlformats.org/officeDocument/2006/relationships/hyperlink" Target="mailto:mateus.gomes40@exemplo.com" TargetMode="External"/><Relationship Id="rId1897" Type="http://schemas.openxmlformats.org/officeDocument/2006/relationships/hyperlink" Target="mailto:camila.lima44@exemplo.com" TargetMode="External"/><Relationship Id="rId1414" Type="http://schemas.openxmlformats.org/officeDocument/2006/relationships/hyperlink" Target="mailto:mateus.gomes40@exemplo.com" TargetMode="External"/><Relationship Id="rId1898" Type="http://schemas.openxmlformats.org/officeDocument/2006/relationships/hyperlink" Target="mailto:camila.lima44@exemplo.com" TargetMode="External"/><Relationship Id="rId1415" Type="http://schemas.openxmlformats.org/officeDocument/2006/relationships/hyperlink" Target="mailto:mateus.gomes40@exemplo.com" TargetMode="External"/><Relationship Id="rId1899" Type="http://schemas.openxmlformats.org/officeDocument/2006/relationships/hyperlink" Target="mailto:camila.lima44@exemplo.com" TargetMode="External"/><Relationship Id="rId1416" Type="http://schemas.openxmlformats.org/officeDocument/2006/relationships/hyperlink" Target="mailto:mateus.gomes40@exemplo.com" TargetMode="External"/><Relationship Id="rId1417" Type="http://schemas.openxmlformats.org/officeDocument/2006/relationships/hyperlink" Target="mailto:mateus.gomes40@exemplo.com" TargetMode="External"/><Relationship Id="rId1418" Type="http://schemas.openxmlformats.org/officeDocument/2006/relationships/hyperlink" Target="mailto:mateus.gomes40@exemplo.com" TargetMode="External"/><Relationship Id="rId1419" Type="http://schemas.openxmlformats.org/officeDocument/2006/relationships/hyperlink" Target="mailto:mateus.gomes40@exemplo.com" TargetMode="External"/><Relationship Id="rId1890" Type="http://schemas.openxmlformats.org/officeDocument/2006/relationships/hyperlink" Target="mailto:camila.lima44@exemplo.com" TargetMode="External"/><Relationship Id="rId1891" Type="http://schemas.openxmlformats.org/officeDocument/2006/relationships/hyperlink" Target="mailto:camila.lima44@exemplo.com" TargetMode="External"/><Relationship Id="rId1892" Type="http://schemas.openxmlformats.org/officeDocument/2006/relationships/hyperlink" Target="mailto:camila.lima44@exemplo.com" TargetMode="External"/><Relationship Id="rId1893" Type="http://schemas.openxmlformats.org/officeDocument/2006/relationships/hyperlink" Target="mailto:camila.lima44@exemplo.com" TargetMode="External"/><Relationship Id="rId1410" Type="http://schemas.openxmlformats.org/officeDocument/2006/relationships/hyperlink" Target="mailto:mateus.gomes40@exemplo.com" TargetMode="External"/><Relationship Id="rId1894" Type="http://schemas.openxmlformats.org/officeDocument/2006/relationships/hyperlink" Target="mailto:camila.lima44@exemplo.com" TargetMode="External"/><Relationship Id="rId1400" Type="http://schemas.openxmlformats.org/officeDocument/2006/relationships/hyperlink" Target="mailto:felipe.silva52@exemplo.com" TargetMode="External"/><Relationship Id="rId1884" Type="http://schemas.openxmlformats.org/officeDocument/2006/relationships/hyperlink" Target="mailto:camila.lima44@exemplo.com" TargetMode="External"/><Relationship Id="rId1401" Type="http://schemas.openxmlformats.org/officeDocument/2006/relationships/hyperlink" Target="mailto:felipe.silva52@exemplo.com" TargetMode="External"/><Relationship Id="rId1885" Type="http://schemas.openxmlformats.org/officeDocument/2006/relationships/hyperlink" Target="mailto:camila.lima44@exemplo.com" TargetMode="External"/><Relationship Id="rId1402" Type="http://schemas.openxmlformats.org/officeDocument/2006/relationships/hyperlink" Target="mailto:mateus.gomes40@exemplo.com" TargetMode="External"/><Relationship Id="rId1886" Type="http://schemas.openxmlformats.org/officeDocument/2006/relationships/hyperlink" Target="mailto:camila.lima44@exemplo.com" TargetMode="External"/><Relationship Id="rId1403" Type="http://schemas.openxmlformats.org/officeDocument/2006/relationships/hyperlink" Target="mailto:mateus.gomes40@exemplo.com" TargetMode="External"/><Relationship Id="rId1887" Type="http://schemas.openxmlformats.org/officeDocument/2006/relationships/hyperlink" Target="mailto:camila.lima44@exemplo.com" TargetMode="External"/><Relationship Id="rId1404" Type="http://schemas.openxmlformats.org/officeDocument/2006/relationships/hyperlink" Target="mailto:mateus.gomes40@exemplo.com" TargetMode="External"/><Relationship Id="rId1888" Type="http://schemas.openxmlformats.org/officeDocument/2006/relationships/hyperlink" Target="mailto:camila.lima44@exemplo.com" TargetMode="External"/><Relationship Id="rId1405" Type="http://schemas.openxmlformats.org/officeDocument/2006/relationships/hyperlink" Target="mailto:mateus.gomes40@exemplo.com" TargetMode="External"/><Relationship Id="rId1889" Type="http://schemas.openxmlformats.org/officeDocument/2006/relationships/hyperlink" Target="mailto:camila.lima44@exemplo.com" TargetMode="External"/><Relationship Id="rId1406" Type="http://schemas.openxmlformats.org/officeDocument/2006/relationships/hyperlink" Target="mailto:mateus.gomes40@exemplo.com" TargetMode="External"/><Relationship Id="rId1407" Type="http://schemas.openxmlformats.org/officeDocument/2006/relationships/hyperlink" Target="mailto:mateus.gomes40@exemplo.com" TargetMode="External"/><Relationship Id="rId1408" Type="http://schemas.openxmlformats.org/officeDocument/2006/relationships/hyperlink" Target="mailto:mateus.gomes40@exemplo.com" TargetMode="External"/><Relationship Id="rId1409" Type="http://schemas.openxmlformats.org/officeDocument/2006/relationships/hyperlink" Target="mailto:mateus.gomes40@exemplo.com" TargetMode="External"/><Relationship Id="rId1880" Type="http://schemas.openxmlformats.org/officeDocument/2006/relationships/hyperlink" Target="mailto:giovanna.gomes34@exemplo.com" TargetMode="External"/><Relationship Id="rId1881" Type="http://schemas.openxmlformats.org/officeDocument/2006/relationships/hyperlink" Target="mailto:giovanna.gomes34@exemplo.com" TargetMode="External"/><Relationship Id="rId1882" Type="http://schemas.openxmlformats.org/officeDocument/2006/relationships/hyperlink" Target="mailto:camila.lima44@exemplo.com" TargetMode="External"/><Relationship Id="rId1883" Type="http://schemas.openxmlformats.org/officeDocument/2006/relationships/hyperlink" Target="mailto:camila.lima44@exemplo.com" TargetMode="External"/><Relationship Id="rId1433" Type="http://schemas.openxmlformats.org/officeDocument/2006/relationships/hyperlink" Target="mailto:bruno.melo27@exemplo.com" TargetMode="External"/><Relationship Id="rId1434" Type="http://schemas.openxmlformats.org/officeDocument/2006/relationships/hyperlink" Target="mailto:bruno.melo27@exemplo.com" TargetMode="External"/><Relationship Id="rId1435" Type="http://schemas.openxmlformats.org/officeDocument/2006/relationships/hyperlink" Target="mailto:bruno.melo27@exemplo.com" TargetMode="External"/><Relationship Id="rId1436" Type="http://schemas.openxmlformats.org/officeDocument/2006/relationships/hyperlink" Target="mailto:bruno.melo27@exemplo.com" TargetMode="External"/><Relationship Id="rId1437" Type="http://schemas.openxmlformats.org/officeDocument/2006/relationships/hyperlink" Target="mailto:bruno.melo27@exemplo.com" TargetMode="External"/><Relationship Id="rId1438" Type="http://schemas.openxmlformats.org/officeDocument/2006/relationships/hyperlink" Target="mailto:bruno.melo27@exemplo.com" TargetMode="External"/><Relationship Id="rId1439" Type="http://schemas.openxmlformats.org/officeDocument/2006/relationships/hyperlink" Target="mailto:bruno.melo27@exemplo.com" TargetMode="External"/><Relationship Id="rId609" Type="http://schemas.openxmlformats.org/officeDocument/2006/relationships/hyperlink" Target="mailto:larissa.souza29@exemplo.com" TargetMode="External"/><Relationship Id="rId608" Type="http://schemas.openxmlformats.org/officeDocument/2006/relationships/hyperlink" Target="mailto:larissa.souza29@exemplo.com" TargetMode="External"/><Relationship Id="rId607" Type="http://schemas.openxmlformats.org/officeDocument/2006/relationships/hyperlink" Target="mailto:larissa.souza29@exemplo.com" TargetMode="External"/><Relationship Id="rId602" Type="http://schemas.openxmlformats.org/officeDocument/2006/relationships/hyperlink" Target="mailto:larissa.souza29@exemplo.com" TargetMode="External"/><Relationship Id="rId601" Type="http://schemas.openxmlformats.org/officeDocument/2006/relationships/hyperlink" Target="mailto:larissa.gomes94@exemplo.com" TargetMode="External"/><Relationship Id="rId600" Type="http://schemas.openxmlformats.org/officeDocument/2006/relationships/hyperlink" Target="mailto:larissa.gomes94@exemplo.com" TargetMode="External"/><Relationship Id="rId606" Type="http://schemas.openxmlformats.org/officeDocument/2006/relationships/hyperlink" Target="mailto:larissa.souza29@exemplo.com" TargetMode="External"/><Relationship Id="rId605" Type="http://schemas.openxmlformats.org/officeDocument/2006/relationships/hyperlink" Target="mailto:larissa.souza29@exemplo.com" TargetMode="External"/><Relationship Id="rId604" Type="http://schemas.openxmlformats.org/officeDocument/2006/relationships/hyperlink" Target="mailto:larissa.souza29@exemplo.com" TargetMode="External"/><Relationship Id="rId603" Type="http://schemas.openxmlformats.org/officeDocument/2006/relationships/hyperlink" Target="mailto:larissa.souza29@exemplo.com" TargetMode="External"/><Relationship Id="rId1430" Type="http://schemas.openxmlformats.org/officeDocument/2006/relationships/hyperlink" Target="mailto:bruno.melo27@exemplo.com" TargetMode="External"/><Relationship Id="rId1431" Type="http://schemas.openxmlformats.org/officeDocument/2006/relationships/hyperlink" Target="mailto:bruno.melo27@exemplo.com" TargetMode="External"/><Relationship Id="rId1432" Type="http://schemas.openxmlformats.org/officeDocument/2006/relationships/hyperlink" Target="mailto:bruno.melo27@exemplo.com" TargetMode="External"/><Relationship Id="rId1422" Type="http://schemas.openxmlformats.org/officeDocument/2006/relationships/hyperlink" Target="mailto:bruno.melo27@exemplo.com" TargetMode="External"/><Relationship Id="rId1423" Type="http://schemas.openxmlformats.org/officeDocument/2006/relationships/hyperlink" Target="mailto:bruno.melo27@exemplo.com" TargetMode="External"/><Relationship Id="rId1424" Type="http://schemas.openxmlformats.org/officeDocument/2006/relationships/hyperlink" Target="mailto:bruno.melo27@exemplo.com" TargetMode="External"/><Relationship Id="rId1425" Type="http://schemas.openxmlformats.org/officeDocument/2006/relationships/hyperlink" Target="mailto:bruno.melo27@exemplo.com" TargetMode="External"/><Relationship Id="rId1426" Type="http://schemas.openxmlformats.org/officeDocument/2006/relationships/hyperlink" Target="mailto:bruno.melo27@exemplo.com" TargetMode="External"/><Relationship Id="rId1427" Type="http://schemas.openxmlformats.org/officeDocument/2006/relationships/hyperlink" Target="mailto:bruno.melo27@exemplo.com" TargetMode="External"/><Relationship Id="rId1428" Type="http://schemas.openxmlformats.org/officeDocument/2006/relationships/hyperlink" Target="mailto:bruno.melo27@exemplo.com" TargetMode="External"/><Relationship Id="rId1429" Type="http://schemas.openxmlformats.org/officeDocument/2006/relationships/hyperlink" Target="mailto:bruno.melo27@exemplo.com" TargetMode="External"/><Relationship Id="rId1420" Type="http://schemas.openxmlformats.org/officeDocument/2006/relationships/hyperlink" Target="mailto:mateus.gomes40@exemplo.com" TargetMode="External"/><Relationship Id="rId1421" Type="http://schemas.openxmlformats.org/officeDocument/2006/relationships/hyperlink" Target="mailto:mateus.gomes40@exemplo.com" TargetMode="External"/><Relationship Id="rId1059" Type="http://schemas.openxmlformats.org/officeDocument/2006/relationships/hyperlink" Target="mailto:giovanna.pereira73@exemplo.com" TargetMode="External"/><Relationship Id="rId228" Type="http://schemas.openxmlformats.org/officeDocument/2006/relationships/hyperlink" Target="mailto:giovanna.rocha93@exemplo.com" TargetMode="External"/><Relationship Id="rId227" Type="http://schemas.openxmlformats.org/officeDocument/2006/relationships/hyperlink" Target="mailto:giovanna.rocha93@exemplo.com" TargetMode="External"/><Relationship Id="rId226" Type="http://schemas.openxmlformats.org/officeDocument/2006/relationships/hyperlink" Target="mailto:giovanna.rocha93@exemplo.com" TargetMode="External"/><Relationship Id="rId225" Type="http://schemas.openxmlformats.org/officeDocument/2006/relationships/hyperlink" Target="mailto:giovanna.rocha93@exemplo.com" TargetMode="External"/><Relationship Id="rId229" Type="http://schemas.openxmlformats.org/officeDocument/2006/relationships/hyperlink" Target="mailto:giovanna.rocha93@exemplo.com" TargetMode="External"/><Relationship Id="rId1050" Type="http://schemas.openxmlformats.org/officeDocument/2006/relationships/hyperlink" Target="mailto:giovanna.pereira73@exemplo.com" TargetMode="External"/><Relationship Id="rId220" Type="http://schemas.openxmlformats.org/officeDocument/2006/relationships/hyperlink" Target="mailto:gustavo.costa83@exemplo.com" TargetMode="External"/><Relationship Id="rId1051" Type="http://schemas.openxmlformats.org/officeDocument/2006/relationships/hyperlink" Target="mailto:giovanna.pereira73@exemplo.com" TargetMode="External"/><Relationship Id="rId1052" Type="http://schemas.openxmlformats.org/officeDocument/2006/relationships/hyperlink" Target="mailto:giovanna.pereira73@exemplo.com" TargetMode="External"/><Relationship Id="rId1053" Type="http://schemas.openxmlformats.org/officeDocument/2006/relationships/hyperlink" Target="mailto:giovanna.pereira73@exemplo.com" TargetMode="External"/><Relationship Id="rId1054" Type="http://schemas.openxmlformats.org/officeDocument/2006/relationships/hyperlink" Target="mailto:giovanna.pereira73@exemplo.com" TargetMode="External"/><Relationship Id="rId224" Type="http://schemas.openxmlformats.org/officeDocument/2006/relationships/hyperlink" Target="mailto:giovanna.rocha93@exemplo.com" TargetMode="External"/><Relationship Id="rId1055" Type="http://schemas.openxmlformats.org/officeDocument/2006/relationships/hyperlink" Target="mailto:giovanna.pereira73@exemplo.com" TargetMode="External"/><Relationship Id="rId223" Type="http://schemas.openxmlformats.org/officeDocument/2006/relationships/hyperlink" Target="mailto:giovanna.rocha93@exemplo.com" TargetMode="External"/><Relationship Id="rId1056" Type="http://schemas.openxmlformats.org/officeDocument/2006/relationships/hyperlink" Target="mailto:giovanna.pereira73@exemplo.com" TargetMode="External"/><Relationship Id="rId222" Type="http://schemas.openxmlformats.org/officeDocument/2006/relationships/hyperlink" Target="mailto:giovanna.rocha93@exemplo.com" TargetMode="External"/><Relationship Id="rId1057" Type="http://schemas.openxmlformats.org/officeDocument/2006/relationships/hyperlink" Target="mailto:giovanna.pereira73@exemplo.com" TargetMode="External"/><Relationship Id="rId221" Type="http://schemas.openxmlformats.org/officeDocument/2006/relationships/hyperlink" Target="mailto:gustavo.costa83@exemplo.com" TargetMode="External"/><Relationship Id="rId1058" Type="http://schemas.openxmlformats.org/officeDocument/2006/relationships/hyperlink" Target="mailto:giovanna.pereira73@exemplo.com" TargetMode="External"/><Relationship Id="rId1048" Type="http://schemas.openxmlformats.org/officeDocument/2006/relationships/hyperlink" Target="mailto:giovanna.pereira73@exemplo.com" TargetMode="External"/><Relationship Id="rId1049" Type="http://schemas.openxmlformats.org/officeDocument/2006/relationships/hyperlink" Target="mailto:giovanna.pereira73@exemplo.com" TargetMode="External"/><Relationship Id="rId217" Type="http://schemas.openxmlformats.org/officeDocument/2006/relationships/hyperlink" Target="mailto:gustavo.costa83@exemplo.com" TargetMode="External"/><Relationship Id="rId216" Type="http://schemas.openxmlformats.org/officeDocument/2006/relationships/hyperlink" Target="mailto:gustavo.costa83@exemplo.com" TargetMode="External"/><Relationship Id="rId215" Type="http://schemas.openxmlformats.org/officeDocument/2006/relationships/hyperlink" Target="mailto:gustavo.costa83@exemplo.com" TargetMode="External"/><Relationship Id="rId699" Type="http://schemas.openxmlformats.org/officeDocument/2006/relationships/hyperlink" Target="mailto:isabella.silva63@exemplo.com" TargetMode="External"/><Relationship Id="rId214" Type="http://schemas.openxmlformats.org/officeDocument/2006/relationships/hyperlink" Target="mailto:gustavo.costa83@exemplo.com" TargetMode="External"/><Relationship Id="rId698" Type="http://schemas.openxmlformats.org/officeDocument/2006/relationships/hyperlink" Target="mailto:isabella.silva63@exemplo.com" TargetMode="External"/><Relationship Id="rId219" Type="http://schemas.openxmlformats.org/officeDocument/2006/relationships/hyperlink" Target="mailto:gustavo.costa83@exemplo.com" TargetMode="External"/><Relationship Id="rId218" Type="http://schemas.openxmlformats.org/officeDocument/2006/relationships/hyperlink" Target="mailto:gustavo.costa83@exemplo.com" TargetMode="External"/><Relationship Id="rId693" Type="http://schemas.openxmlformats.org/officeDocument/2006/relationships/hyperlink" Target="mailto:isabella.silva63@exemplo.com" TargetMode="External"/><Relationship Id="rId1040" Type="http://schemas.openxmlformats.org/officeDocument/2006/relationships/hyperlink" Target="mailto:lucas.costa80@exemplo.com" TargetMode="External"/><Relationship Id="rId692" Type="http://schemas.openxmlformats.org/officeDocument/2006/relationships/hyperlink" Target="mailto:isabella.silva63@exemplo.com" TargetMode="External"/><Relationship Id="rId1041" Type="http://schemas.openxmlformats.org/officeDocument/2006/relationships/hyperlink" Target="mailto:lucas.costa80@exemplo.com" TargetMode="External"/><Relationship Id="rId691" Type="http://schemas.openxmlformats.org/officeDocument/2006/relationships/hyperlink" Target="mailto:isabella.silva63@exemplo.com" TargetMode="External"/><Relationship Id="rId1042" Type="http://schemas.openxmlformats.org/officeDocument/2006/relationships/hyperlink" Target="mailto:giovanna.pereira73@exemplo.com" TargetMode="External"/><Relationship Id="rId690" Type="http://schemas.openxmlformats.org/officeDocument/2006/relationships/hyperlink" Target="mailto:isabella.silva63@exemplo.com" TargetMode="External"/><Relationship Id="rId1043" Type="http://schemas.openxmlformats.org/officeDocument/2006/relationships/hyperlink" Target="mailto:giovanna.pereira73@exemplo.com" TargetMode="External"/><Relationship Id="rId213" Type="http://schemas.openxmlformats.org/officeDocument/2006/relationships/hyperlink" Target="mailto:gustavo.costa83@exemplo.com" TargetMode="External"/><Relationship Id="rId697" Type="http://schemas.openxmlformats.org/officeDocument/2006/relationships/hyperlink" Target="mailto:isabella.silva63@exemplo.com" TargetMode="External"/><Relationship Id="rId1044" Type="http://schemas.openxmlformats.org/officeDocument/2006/relationships/hyperlink" Target="mailto:giovanna.pereira73@exemplo.com" TargetMode="External"/><Relationship Id="rId212" Type="http://schemas.openxmlformats.org/officeDocument/2006/relationships/hyperlink" Target="mailto:gustavo.costa83@exemplo.com" TargetMode="External"/><Relationship Id="rId696" Type="http://schemas.openxmlformats.org/officeDocument/2006/relationships/hyperlink" Target="mailto:isabella.silva63@exemplo.com" TargetMode="External"/><Relationship Id="rId1045" Type="http://schemas.openxmlformats.org/officeDocument/2006/relationships/hyperlink" Target="mailto:giovanna.pereira73@exemplo.com" TargetMode="External"/><Relationship Id="rId211" Type="http://schemas.openxmlformats.org/officeDocument/2006/relationships/hyperlink" Target="mailto:gustavo.costa83@exemplo.com" TargetMode="External"/><Relationship Id="rId695" Type="http://schemas.openxmlformats.org/officeDocument/2006/relationships/hyperlink" Target="mailto:isabella.silva63@exemplo.com" TargetMode="External"/><Relationship Id="rId1046" Type="http://schemas.openxmlformats.org/officeDocument/2006/relationships/hyperlink" Target="mailto:giovanna.pereira73@exemplo.com" TargetMode="External"/><Relationship Id="rId210" Type="http://schemas.openxmlformats.org/officeDocument/2006/relationships/hyperlink" Target="mailto:gustavo.costa83@exemplo.com" TargetMode="External"/><Relationship Id="rId694" Type="http://schemas.openxmlformats.org/officeDocument/2006/relationships/hyperlink" Target="mailto:isabella.silva63@exemplo.com" TargetMode="External"/><Relationship Id="rId1047" Type="http://schemas.openxmlformats.org/officeDocument/2006/relationships/hyperlink" Target="mailto:giovanna.pereira73@exemplo.com" TargetMode="External"/><Relationship Id="rId249" Type="http://schemas.openxmlformats.org/officeDocument/2006/relationships/hyperlink" Target="mailto:beatriz.silva61@exemplo.com" TargetMode="External"/><Relationship Id="rId248" Type="http://schemas.openxmlformats.org/officeDocument/2006/relationships/hyperlink" Target="mailto:beatriz.silva61@exemplo.com" TargetMode="External"/><Relationship Id="rId247" Type="http://schemas.openxmlformats.org/officeDocument/2006/relationships/hyperlink" Target="mailto:beatriz.silva61@exemplo.com" TargetMode="External"/><Relationship Id="rId1070" Type="http://schemas.openxmlformats.org/officeDocument/2006/relationships/hyperlink" Target="mailto:gustavo.santos79@exemplo.com" TargetMode="External"/><Relationship Id="rId1071" Type="http://schemas.openxmlformats.org/officeDocument/2006/relationships/hyperlink" Target="mailto:gustavo.santos79@exemplo.com" TargetMode="External"/><Relationship Id="rId1072" Type="http://schemas.openxmlformats.org/officeDocument/2006/relationships/hyperlink" Target="mailto:gustavo.santos79@exemplo.com" TargetMode="External"/><Relationship Id="rId242" Type="http://schemas.openxmlformats.org/officeDocument/2006/relationships/hyperlink" Target="mailto:beatriz.silva61@exemplo.com" TargetMode="External"/><Relationship Id="rId1073" Type="http://schemas.openxmlformats.org/officeDocument/2006/relationships/hyperlink" Target="mailto:gustavo.santos79@exemplo.com" TargetMode="External"/><Relationship Id="rId241" Type="http://schemas.openxmlformats.org/officeDocument/2006/relationships/hyperlink" Target="mailto:giovanna.rocha93@exemplo.com" TargetMode="External"/><Relationship Id="rId1074" Type="http://schemas.openxmlformats.org/officeDocument/2006/relationships/hyperlink" Target="mailto:gustavo.santos79@exemplo.com" TargetMode="External"/><Relationship Id="rId240" Type="http://schemas.openxmlformats.org/officeDocument/2006/relationships/hyperlink" Target="mailto:giovanna.rocha93@exemplo.com" TargetMode="External"/><Relationship Id="rId1075" Type="http://schemas.openxmlformats.org/officeDocument/2006/relationships/hyperlink" Target="mailto:gustavo.santos79@exemplo.com" TargetMode="External"/><Relationship Id="rId1076" Type="http://schemas.openxmlformats.org/officeDocument/2006/relationships/hyperlink" Target="mailto:gustavo.santos79@exemplo.com" TargetMode="External"/><Relationship Id="rId246" Type="http://schemas.openxmlformats.org/officeDocument/2006/relationships/hyperlink" Target="mailto:beatriz.silva61@exemplo.com" TargetMode="External"/><Relationship Id="rId1077" Type="http://schemas.openxmlformats.org/officeDocument/2006/relationships/hyperlink" Target="mailto:gustavo.santos79@exemplo.com" TargetMode="External"/><Relationship Id="rId245" Type="http://schemas.openxmlformats.org/officeDocument/2006/relationships/hyperlink" Target="mailto:beatriz.silva61@exemplo.com" TargetMode="External"/><Relationship Id="rId1078" Type="http://schemas.openxmlformats.org/officeDocument/2006/relationships/hyperlink" Target="mailto:gustavo.santos79@exemplo.com" TargetMode="External"/><Relationship Id="rId244" Type="http://schemas.openxmlformats.org/officeDocument/2006/relationships/hyperlink" Target="mailto:beatriz.silva61@exemplo.com" TargetMode="External"/><Relationship Id="rId1079" Type="http://schemas.openxmlformats.org/officeDocument/2006/relationships/hyperlink" Target="mailto:gustavo.santos79@exemplo.com" TargetMode="External"/><Relationship Id="rId243" Type="http://schemas.openxmlformats.org/officeDocument/2006/relationships/hyperlink" Target="mailto:beatriz.silva61@exemplo.com" TargetMode="External"/><Relationship Id="rId239" Type="http://schemas.openxmlformats.org/officeDocument/2006/relationships/hyperlink" Target="mailto:giovanna.rocha93@exemplo.com" TargetMode="External"/><Relationship Id="rId238" Type="http://schemas.openxmlformats.org/officeDocument/2006/relationships/hyperlink" Target="mailto:giovanna.rocha93@exemplo.com" TargetMode="External"/><Relationship Id="rId237" Type="http://schemas.openxmlformats.org/officeDocument/2006/relationships/hyperlink" Target="mailto:giovanna.rocha93@exemplo.com" TargetMode="External"/><Relationship Id="rId236" Type="http://schemas.openxmlformats.org/officeDocument/2006/relationships/hyperlink" Target="mailto:giovanna.rocha93@exemplo.com" TargetMode="External"/><Relationship Id="rId1060" Type="http://schemas.openxmlformats.org/officeDocument/2006/relationships/hyperlink" Target="mailto:giovanna.pereira73@exemplo.com" TargetMode="External"/><Relationship Id="rId1061" Type="http://schemas.openxmlformats.org/officeDocument/2006/relationships/hyperlink" Target="mailto:giovanna.pereira73@exemplo.com" TargetMode="External"/><Relationship Id="rId231" Type="http://schemas.openxmlformats.org/officeDocument/2006/relationships/hyperlink" Target="mailto:giovanna.rocha93@exemplo.com" TargetMode="External"/><Relationship Id="rId1062" Type="http://schemas.openxmlformats.org/officeDocument/2006/relationships/hyperlink" Target="mailto:gustavo.santos79@exemplo.com" TargetMode="External"/><Relationship Id="rId230" Type="http://schemas.openxmlformats.org/officeDocument/2006/relationships/hyperlink" Target="mailto:giovanna.rocha93@exemplo.com" TargetMode="External"/><Relationship Id="rId1063" Type="http://schemas.openxmlformats.org/officeDocument/2006/relationships/hyperlink" Target="mailto:gustavo.santos79@exemplo.com" TargetMode="External"/><Relationship Id="rId1064" Type="http://schemas.openxmlformats.org/officeDocument/2006/relationships/hyperlink" Target="mailto:gustavo.santos79@exemplo.com" TargetMode="External"/><Relationship Id="rId1065" Type="http://schemas.openxmlformats.org/officeDocument/2006/relationships/hyperlink" Target="mailto:gustavo.santos79@exemplo.com" TargetMode="External"/><Relationship Id="rId235" Type="http://schemas.openxmlformats.org/officeDocument/2006/relationships/hyperlink" Target="mailto:giovanna.rocha93@exemplo.com" TargetMode="External"/><Relationship Id="rId1066" Type="http://schemas.openxmlformats.org/officeDocument/2006/relationships/hyperlink" Target="mailto:gustavo.santos79@exemplo.com" TargetMode="External"/><Relationship Id="rId234" Type="http://schemas.openxmlformats.org/officeDocument/2006/relationships/hyperlink" Target="mailto:giovanna.rocha93@exemplo.com" TargetMode="External"/><Relationship Id="rId1067" Type="http://schemas.openxmlformats.org/officeDocument/2006/relationships/hyperlink" Target="mailto:gustavo.santos79@exemplo.com" TargetMode="External"/><Relationship Id="rId233" Type="http://schemas.openxmlformats.org/officeDocument/2006/relationships/hyperlink" Target="mailto:giovanna.rocha93@exemplo.com" TargetMode="External"/><Relationship Id="rId1068" Type="http://schemas.openxmlformats.org/officeDocument/2006/relationships/hyperlink" Target="mailto:gustavo.santos79@exemplo.com" TargetMode="External"/><Relationship Id="rId232" Type="http://schemas.openxmlformats.org/officeDocument/2006/relationships/hyperlink" Target="mailto:giovanna.rocha93@exemplo.com" TargetMode="External"/><Relationship Id="rId1069" Type="http://schemas.openxmlformats.org/officeDocument/2006/relationships/hyperlink" Target="mailto:gustavo.santos79@exemplo.com" TargetMode="External"/><Relationship Id="rId1015" Type="http://schemas.openxmlformats.org/officeDocument/2006/relationships/hyperlink" Target="mailto:camila.oliveira84@exemplo.com" TargetMode="External"/><Relationship Id="rId1499" Type="http://schemas.openxmlformats.org/officeDocument/2006/relationships/hyperlink" Target="mailto:amanda.almeida25@exemplo.com" TargetMode="External"/><Relationship Id="rId1016" Type="http://schemas.openxmlformats.org/officeDocument/2006/relationships/hyperlink" Target="mailto:camila.oliveira84@exemplo.com" TargetMode="External"/><Relationship Id="rId1017" Type="http://schemas.openxmlformats.org/officeDocument/2006/relationships/hyperlink" Target="mailto:camila.oliveira84@exemplo.com" TargetMode="External"/><Relationship Id="rId1018" Type="http://schemas.openxmlformats.org/officeDocument/2006/relationships/hyperlink" Target="mailto:camila.oliveira84@exemplo.com" TargetMode="External"/><Relationship Id="rId1019" Type="http://schemas.openxmlformats.org/officeDocument/2006/relationships/hyperlink" Target="mailto:camila.oliveira84@exemplo.com" TargetMode="External"/><Relationship Id="rId668" Type="http://schemas.openxmlformats.org/officeDocument/2006/relationships/hyperlink" Target="mailto:lucas.ribeiro15@exemplo.com" TargetMode="External"/><Relationship Id="rId667" Type="http://schemas.openxmlformats.org/officeDocument/2006/relationships/hyperlink" Target="mailto:lucas.ribeiro15@exemplo.com" TargetMode="External"/><Relationship Id="rId666" Type="http://schemas.openxmlformats.org/officeDocument/2006/relationships/hyperlink" Target="mailto:lucas.ribeiro15@exemplo.com" TargetMode="External"/><Relationship Id="rId665" Type="http://schemas.openxmlformats.org/officeDocument/2006/relationships/hyperlink" Target="mailto:lucas.ribeiro15@exemplo.com" TargetMode="External"/><Relationship Id="rId669" Type="http://schemas.openxmlformats.org/officeDocument/2006/relationships/hyperlink" Target="mailto:lucas.ribeiro15@exemplo.com" TargetMode="External"/><Relationship Id="rId1490" Type="http://schemas.openxmlformats.org/officeDocument/2006/relationships/hyperlink" Target="mailto:amanda.almeida25@exemplo.com" TargetMode="External"/><Relationship Id="rId660" Type="http://schemas.openxmlformats.org/officeDocument/2006/relationships/hyperlink" Target="mailto:gustavo.souza88@exemplo.com" TargetMode="External"/><Relationship Id="rId1491" Type="http://schemas.openxmlformats.org/officeDocument/2006/relationships/hyperlink" Target="mailto:amanda.almeida25@exemplo.com" TargetMode="External"/><Relationship Id="rId1492" Type="http://schemas.openxmlformats.org/officeDocument/2006/relationships/hyperlink" Target="mailto:amanda.almeida25@exemplo.com" TargetMode="External"/><Relationship Id="rId1493" Type="http://schemas.openxmlformats.org/officeDocument/2006/relationships/hyperlink" Target="mailto:amanda.almeida25@exemplo.com" TargetMode="External"/><Relationship Id="rId1010" Type="http://schemas.openxmlformats.org/officeDocument/2006/relationships/hyperlink" Target="mailto:camila.oliveira84@exemplo.com" TargetMode="External"/><Relationship Id="rId1494" Type="http://schemas.openxmlformats.org/officeDocument/2006/relationships/hyperlink" Target="mailto:amanda.almeida25@exemplo.com" TargetMode="External"/><Relationship Id="rId664" Type="http://schemas.openxmlformats.org/officeDocument/2006/relationships/hyperlink" Target="mailto:lucas.ribeiro15@exemplo.com" TargetMode="External"/><Relationship Id="rId1011" Type="http://schemas.openxmlformats.org/officeDocument/2006/relationships/hyperlink" Target="mailto:camila.oliveira84@exemplo.com" TargetMode="External"/><Relationship Id="rId1495" Type="http://schemas.openxmlformats.org/officeDocument/2006/relationships/hyperlink" Target="mailto:amanda.almeida25@exemplo.com" TargetMode="External"/><Relationship Id="rId663" Type="http://schemas.openxmlformats.org/officeDocument/2006/relationships/hyperlink" Target="mailto:lucas.ribeiro15@exemplo.com" TargetMode="External"/><Relationship Id="rId1012" Type="http://schemas.openxmlformats.org/officeDocument/2006/relationships/hyperlink" Target="mailto:camila.oliveira84@exemplo.com" TargetMode="External"/><Relationship Id="rId1496" Type="http://schemas.openxmlformats.org/officeDocument/2006/relationships/hyperlink" Target="mailto:amanda.almeida25@exemplo.com" TargetMode="External"/><Relationship Id="rId662" Type="http://schemas.openxmlformats.org/officeDocument/2006/relationships/hyperlink" Target="mailto:lucas.ribeiro15@exemplo.com" TargetMode="External"/><Relationship Id="rId1013" Type="http://schemas.openxmlformats.org/officeDocument/2006/relationships/hyperlink" Target="mailto:camila.oliveira84@exemplo.com" TargetMode="External"/><Relationship Id="rId1497" Type="http://schemas.openxmlformats.org/officeDocument/2006/relationships/hyperlink" Target="mailto:amanda.almeida25@exemplo.com" TargetMode="External"/><Relationship Id="rId661" Type="http://schemas.openxmlformats.org/officeDocument/2006/relationships/hyperlink" Target="mailto:gustavo.souza88@exemplo.com" TargetMode="External"/><Relationship Id="rId1014" Type="http://schemas.openxmlformats.org/officeDocument/2006/relationships/hyperlink" Target="mailto:camila.oliveira84@exemplo.com" TargetMode="External"/><Relationship Id="rId1498" Type="http://schemas.openxmlformats.org/officeDocument/2006/relationships/hyperlink" Target="mailto:amanda.almeida25@exemplo.com" TargetMode="External"/><Relationship Id="rId1004" Type="http://schemas.openxmlformats.org/officeDocument/2006/relationships/hyperlink" Target="mailto:camila.oliveira84@exemplo.com" TargetMode="External"/><Relationship Id="rId1488" Type="http://schemas.openxmlformats.org/officeDocument/2006/relationships/hyperlink" Target="mailto:amanda.almeida25@exemplo.com" TargetMode="External"/><Relationship Id="rId1005" Type="http://schemas.openxmlformats.org/officeDocument/2006/relationships/hyperlink" Target="mailto:camila.oliveira84@exemplo.com" TargetMode="External"/><Relationship Id="rId1489" Type="http://schemas.openxmlformats.org/officeDocument/2006/relationships/hyperlink" Target="mailto:amanda.almeida25@exemplo.com" TargetMode="External"/><Relationship Id="rId1006" Type="http://schemas.openxmlformats.org/officeDocument/2006/relationships/hyperlink" Target="mailto:camila.oliveira84@exemplo.com" TargetMode="External"/><Relationship Id="rId1007" Type="http://schemas.openxmlformats.org/officeDocument/2006/relationships/hyperlink" Target="mailto:camila.oliveira84@exemplo.com" TargetMode="External"/><Relationship Id="rId1008" Type="http://schemas.openxmlformats.org/officeDocument/2006/relationships/hyperlink" Target="mailto:camila.oliveira84@exemplo.com" TargetMode="External"/><Relationship Id="rId1009" Type="http://schemas.openxmlformats.org/officeDocument/2006/relationships/hyperlink" Target="mailto:camila.oliveira84@exemplo.com" TargetMode="External"/><Relationship Id="rId657" Type="http://schemas.openxmlformats.org/officeDocument/2006/relationships/hyperlink" Target="mailto:gustavo.souza88@exemplo.com" TargetMode="External"/><Relationship Id="rId656" Type="http://schemas.openxmlformats.org/officeDocument/2006/relationships/hyperlink" Target="mailto:gustavo.souza88@exemplo.com" TargetMode="External"/><Relationship Id="rId655" Type="http://schemas.openxmlformats.org/officeDocument/2006/relationships/hyperlink" Target="mailto:gustavo.souza88@exemplo.com" TargetMode="External"/><Relationship Id="rId654" Type="http://schemas.openxmlformats.org/officeDocument/2006/relationships/hyperlink" Target="mailto:gustavo.souza88@exemplo.com" TargetMode="External"/><Relationship Id="rId659" Type="http://schemas.openxmlformats.org/officeDocument/2006/relationships/hyperlink" Target="mailto:gustavo.souza88@exemplo.com" TargetMode="External"/><Relationship Id="rId658" Type="http://schemas.openxmlformats.org/officeDocument/2006/relationships/hyperlink" Target="mailto:gustavo.souza88@exemplo.com" TargetMode="External"/><Relationship Id="rId1480" Type="http://schemas.openxmlformats.org/officeDocument/2006/relationships/hyperlink" Target="mailto:larissa.gomes18@exemplo.com" TargetMode="External"/><Relationship Id="rId1481" Type="http://schemas.openxmlformats.org/officeDocument/2006/relationships/hyperlink" Target="mailto:larissa.gomes18@exemplo.com" TargetMode="External"/><Relationship Id="rId1482" Type="http://schemas.openxmlformats.org/officeDocument/2006/relationships/hyperlink" Target="mailto:amanda.almeida25@exemplo.com" TargetMode="External"/><Relationship Id="rId1483" Type="http://schemas.openxmlformats.org/officeDocument/2006/relationships/hyperlink" Target="mailto:amanda.almeida25@exemplo.com" TargetMode="External"/><Relationship Id="rId653" Type="http://schemas.openxmlformats.org/officeDocument/2006/relationships/hyperlink" Target="mailto:gustavo.souza88@exemplo.com" TargetMode="External"/><Relationship Id="rId1000" Type="http://schemas.openxmlformats.org/officeDocument/2006/relationships/hyperlink" Target="mailto:camila.rocha10@exemplo.com" TargetMode="External"/><Relationship Id="rId1484" Type="http://schemas.openxmlformats.org/officeDocument/2006/relationships/hyperlink" Target="mailto:amanda.almeida25@exemplo.com" TargetMode="External"/><Relationship Id="rId652" Type="http://schemas.openxmlformats.org/officeDocument/2006/relationships/hyperlink" Target="mailto:gustavo.souza88@exemplo.com" TargetMode="External"/><Relationship Id="rId1001" Type="http://schemas.openxmlformats.org/officeDocument/2006/relationships/hyperlink" Target="mailto:camila.rocha10@exemplo.com" TargetMode="External"/><Relationship Id="rId1485" Type="http://schemas.openxmlformats.org/officeDocument/2006/relationships/hyperlink" Target="mailto:amanda.almeida25@exemplo.com" TargetMode="External"/><Relationship Id="rId651" Type="http://schemas.openxmlformats.org/officeDocument/2006/relationships/hyperlink" Target="mailto:gustavo.souza88@exemplo.com" TargetMode="External"/><Relationship Id="rId1002" Type="http://schemas.openxmlformats.org/officeDocument/2006/relationships/hyperlink" Target="mailto:camila.oliveira84@exemplo.com" TargetMode="External"/><Relationship Id="rId1486" Type="http://schemas.openxmlformats.org/officeDocument/2006/relationships/hyperlink" Target="mailto:amanda.almeida25@exemplo.com" TargetMode="External"/><Relationship Id="rId650" Type="http://schemas.openxmlformats.org/officeDocument/2006/relationships/hyperlink" Target="mailto:gustavo.souza88@exemplo.com" TargetMode="External"/><Relationship Id="rId1003" Type="http://schemas.openxmlformats.org/officeDocument/2006/relationships/hyperlink" Target="mailto:camila.oliveira84@exemplo.com" TargetMode="External"/><Relationship Id="rId1487" Type="http://schemas.openxmlformats.org/officeDocument/2006/relationships/hyperlink" Target="mailto:amanda.almeida25@exemplo.com" TargetMode="External"/><Relationship Id="rId1037" Type="http://schemas.openxmlformats.org/officeDocument/2006/relationships/hyperlink" Target="mailto:lucas.costa80@exemplo.com" TargetMode="External"/><Relationship Id="rId1038" Type="http://schemas.openxmlformats.org/officeDocument/2006/relationships/hyperlink" Target="mailto:lucas.costa80@exemplo.com" TargetMode="External"/><Relationship Id="rId1039" Type="http://schemas.openxmlformats.org/officeDocument/2006/relationships/hyperlink" Target="mailto:lucas.costa80@exemplo.com" TargetMode="External"/><Relationship Id="rId206" Type="http://schemas.openxmlformats.org/officeDocument/2006/relationships/hyperlink" Target="mailto:gustavo.costa83@exemplo.com" TargetMode="External"/><Relationship Id="rId205" Type="http://schemas.openxmlformats.org/officeDocument/2006/relationships/hyperlink" Target="mailto:gustavo.costa83@exemplo.com" TargetMode="External"/><Relationship Id="rId689" Type="http://schemas.openxmlformats.org/officeDocument/2006/relationships/hyperlink" Target="mailto:isabella.silva63@exemplo.com" TargetMode="External"/><Relationship Id="rId204" Type="http://schemas.openxmlformats.org/officeDocument/2006/relationships/hyperlink" Target="mailto:gustavo.costa83@exemplo.com" TargetMode="External"/><Relationship Id="rId688" Type="http://schemas.openxmlformats.org/officeDocument/2006/relationships/hyperlink" Target="mailto:isabella.silva63@exemplo.com" TargetMode="External"/><Relationship Id="rId203" Type="http://schemas.openxmlformats.org/officeDocument/2006/relationships/hyperlink" Target="mailto:gustavo.costa83@exemplo.com" TargetMode="External"/><Relationship Id="rId687" Type="http://schemas.openxmlformats.org/officeDocument/2006/relationships/hyperlink" Target="mailto:isabella.silva63@exemplo.com" TargetMode="External"/><Relationship Id="rId209" Type="http://schemas.openxmlformats.org/officeDocument/2006/relationships/hyperlink" Target="mailto:gustavo.costa83@exemplo.com" TargetMode="External"/><Relationship Id="rId208" Type="http://schemas.openxmlformats.org/officeDocument/2006/relationships/hyperlink" Target="mailto:gustavo.costa83@exemplo.com" TargetMode="External"/><Relationship Id="rId207" Type="http://schemas.openxmlformats.org/officeDocument/2006/relationships/hyperlink" Target="mailto:gustavo.costa83@exemplo.com" TargetMode="External"/><Relationship Id="rId682" Type="http://schemas.openxmlformats.org/officeDocument/2006/relationships/hyperlink" Target="mailto:isabella.silva63@exemplo.com" TargetMode="External"/><Relationship Id="rId681" Type="http://schemas.openxmlformats.org/officeDocument/2006/relationships/hyperlink" Target="mailto:lucas.ribeiro15@exemplo.com" TargetMode="External"/><Relationship Id="rId1030" Type="http://schemas.openxmlformats.org/officeDocument/2006/relationships/hyperlink" Target="mailto:lucas.costa80@exemplo.com" TargetMode="External"/><Relationship Id="rId680" Type="http://schemas.openxmlformats.org/officeDocument/2006/relationships/hyperlink" Target="mailto:lucas.ribeiro15@exemplo.com" TargetMode="External"/><Relationship Id="rId1031" Type="http://schemas.openxmlformats.org/officeDocument/2006/relationships/hyperlink" Target="mailto:lucas.costa80@exemplo.com" TargetMode="External"/><Relationship Id="rId1032" Type="http://schemas.openxmlformats.org/officeDocument/2006/relationships/hyperlink" Target="mailto:lucas.costa80@exemplo.com" TargetMode="External"/><Relationship Id="rId202" Type="http://schemas.openxmlformats.org/officeDocument/2006/relationships/hyperlink" Target="mailto:gustavo.costa83@exemplo.com" TargetMode="External"/><Relationship Id="rId686" Type="http://schemas.openxmlformats.org/officeDocument/2006/relationships/hyperlink" Target="mailto:isabella.silva63@exemplo.com" TargetMode="External"/><Relationship Id="rId1033" Type="http://schemas.openxmlformats.org/officeDocument/2006/relationships/hyperlink" Target="mailto:lucas.costa80@exemplo.com" TargetMode="External"/><Relationship Id="rId201" Type="http://schemas.openxmlformats.org/officeDocument/2006/relationships/hyperlink" Target="mailto:eduardo.pereira13@exemplo.com" TargetMode="External"/><Relationship Id="rId685" Type="http://schemas.openxmlformats.org/officeDocument/2006/relationships/hyperlink" Target="mailto:isabella.silva63@exemplo.com" TargetMode="External"/><Relationship Id="rId1034" Type="http://schemas.openxmlformats.org/officeDocument/2006/relationships/hyperlink" Target="mailto:lucas.costa80@exemplo.com" TargetMode="External"/><Relationship Id="rId200" Type="http://schemas.openxmlformats.org/officeDocument/2006/relationships/hyperlink" Target="mailto:eduardo.pereira13@exemplo.com" TargetMode="External"/><Relationship Id="rId684" Type="http://schemas.openxmlformats.org/officeDocument/2006/relationships/hyperlink" Target="mailto:isabella.silva63@exemplo.com" TargetMode="External"/><Relationship Id="rId1035" Type="http://schemas.openxmlformats.org/officeDocument/2006/relationships/hyperlink" Target="mailto:lucas.costa80@exemplo.com" TargetMode="External"/><Relationship Id="rId683" Type="http://schemas.openxmlformats.org/officeDocument/2006/relationships/hyperlink" Target="mailto:isabella.silva63@exemplo.com" TargetMode="External"/><Relationship Id="rId1036" Type="http://schemas.openxmlformats.org/officeDocument/2006/relationships/hyperlink" Target="mailto:lucas.costa80@exemplo.com" TargetMode="External"/><Relationship Id="rId1026" Type="http://schemas.openxmlformats.org/officeDocument/2006/relationships/hyperlink" Target="mailto:lucas.costa80@exemplo.com" TargetMode="External"/><Relationship Id="rId1027" Type="http://schemas.openxmlformats.org/officeDocument/2006/relationships/hyperlink" Target="mailto:lucas.costa80@exemplo.com" TargetMode="External"/><Relationship Id="rId1028" Type="http://schemas.openxmlformats.org/officeDocument/2006/relationships/hyperlink" Target="mailto:lucas.costa80@exemplo.com" TargetMode="External"/><Relationship Id="rId1029" Type="http://schemas.openxmlformats.org/officeDocument/2006/relationships/hyperlink" Target="mailto:lucas.costa80@exemplo.com" TargetMode="External"/><Relationship Id="rId679" Type="http://schemas.openxmlformats.org/officeDocument/2006/relationships/hyperlink" Target="mailto:lucas.ribeiro15@exemplo.com" TargetMode="External"/><Relationship Id="rId678" Type="http://schemas.openxmlformats.org/officeDocument/2006/relationships/hyperlink" Target="mailto:lucas.ribeiro15@exemplo.com" TargetMode="External"/><Relationship Id="rId677" Type="http://schemas.openxmlformats.org/officeDocument/2006/relationships/hyperlink" Target="mailto:lucas.ribeiro15@exemplo.com" TargetMode="External"/><Relationship Id="rId676" Type="http://schemas.openxmlformats.org/officeDocument/2006/relationships/hyperlink" Target="mailto:lucas.ribeiro15@exemplo.com" TargetMode="External"/><Relationship Id="rId671" Type="http://schemas.openxmlformats.org/officeDocument/2006/relationships/hyperlink" Target="mailto:lucas.ribeiro15@exemplo.com" TargetMode="External"/><Relationship Id="rId670" Type="http://schemas.openxmlformats.org/officeDocument/2006/relationships/hyperlink" Target="mailto:lucas.ribeiro15@exemplo.com" TargetMode="External"/><Relationship Id="rId1020" Type="http://schemas.openxmlformats.org/officeDocument/2006/relationships/hyperlink" Target="mailto:camila.oliveira84@exemplo.com" TargetMode="External"/><Relationship Id="rId1021" Type="http://schemas.openxmlformats.org/officeDocument/2006/relationships/hyperlink" Target="mailto:camila.oliveira84@exemplo.com" TargetMode="External"/><Relationship Id="rId675" Type="http://schemas.openxmlformats.org/officeDocument/2006/relationships/hyperlink" Target="mailto:lucas.ribeiro15@exemplo.com" TargetMode="External"/><Relationship Id="rId1022" Type="http://schemas.openxmlformats.org/officeDocument/2006/relationships/hyperlink" Target="mailto:lucas.costa80@exemplo.com" TargetMode="External"/><Relationship Id="rId674" Type="http://schemas.openxmlformats.org/officeDocument/2006/relationships/hyperlink" Target="mailto:lucas.ribeiro15@exemplo.com" TargetMode="External"/><Relationship Id="rId1023" Type="http://schemas.openxmlformats.org/officeDocument/2006/relationships/hyperlink" Target="mailto:lucas.costa80@exemplo.com" TargetMode="External"/><Relationship Id="rId673" Type="http://schemas.openxmlformats.org/officeDocument/2006/relationships/hyperlink" Target="mailto:lucas.ribeiro15@exemplo.com" TargetMode="External"/><Relationship Id="rId1024" Type="http://schemas.openxmlformats.org/officeDocument/2006/relationships/hyperlink" Target="mailto:lucas.costa80@exemplo.com" TargetMode="External"/><Relationship Id="rId672" Type="http://schemas.openxmlformats.org/officeDocument/2006/relationships/hyperlink" Target="mailto:lucas.ribeiro15@exemplo.com" TargetMode="External"/><Relationship Id="rId1025" Type="http://schemas.openxmlformats.org/officeDocument/2006/relationships/hyperlink" Target="mailto:lucas.costa80@exemplo.com" TargetMode="External"/><Relationship Id="rId190" Type="http://schemas.openxmlformats.org/officeDocument/2006/relationships/hyperlink" Target="mailto:eduardo.pereira13@exemplo.com" TargetMode="External"/><Relationship Id="rId194" Type="http://schemas.openxmlformats.org/officeDocument/2006/relationships/hyperlink" Target="mailto:eduardo.pereira13@exemplo.com" TargetMode="External"/><Relationship Id="rId193" Type="http://schemas.openxmlformats.org/officeDocument/2006/relationships/hyperlink" Target="mailto:eduardo.pereira13@exemplo.com" TargetMode="External"/><Relationship Id="rId192" Type="http://schemas.openxmlformats.org/officeDocument/2006/relationships/hyperlink" Target="mailto:eduardo.pereira13@exemplo.com" TargetMode="External"/><Relationship Id="rId191" Type="http://schemas.openxmlformats.org/officeDocument/2006/relationships/hyperlink" Target="mailto:eduardo.pereira13@exemplo.com" TargetMode="External"/><Relationship Id="rId187" Type="http://schemas.openxmlformats.org/officeDocument/2006/relationships/hyperlink" Target="mailto:eduardo.pereira13@exemplo.com" TargetMode="External"/><Relationship Id="rId186" Type="http://schemas.openxmlformats.org/officeDocument/2006/relationships/hyperlink" Target="mailto:eduardo.pereira13@exemplo.com" TargetMode="External"/><Relationship Id="rId185" Type="http://schemas.openxmlformats.org/officeDocument/2006/relationships/hyperlink" Target="mailto:eduardo.pereira13@exemplo.com" TargetMode="External"/><Relationship Id="rId184" Type="http://schemas.openxmlformats.org/officeDocument/2006/relationships/hyperlink" Target="mailto:eduardo.pereira13@exemplo.com" TargetMode="External"/><Relationship Id="rId189" Type="http://schemas.openxmlformats.org/officeDocument/2006/relationships/hyperlink" Target="mailto:eduardo.pereira13@exemplo.com" TargetMode="External"/><Relationship Id="rId188" Type="http://schemas.openxmlformats.org/officeDocument/2006/relationships/hyperlink" Target="mailto:eduardo.pereira13@exemplo.com" TargetMode="External"/><Relationship Id="rId183" Type="http://schemas.openxmlformats.org/officeDocument/2006/relationships/hyperlink" Target="mailto:eduardo.pereira13@exemplo.com" TargetMode="External"/><Relationship Id="rId182" Type="http://schemas.openxmlformats.org/officeDocument/2006/relationships/hyperlink" Target="mailto:eduardo.pereira13@exemplo.com" TargetMode="External"/><Relationship Id="rId181" Type="http://schemas.openxmlformats.org/officeDocument/2006/relationships/hyperlink" Target="mailto:giovanna.gomes22@exemplo.com" TargetMode="External"/><Relationship Id="rId180" Type="http://schemas.openxmlformats.org/officeDocument/2006/relationships/hyperlink" Target="mailto:giovanna.gomes22@exemplo.com" TargetMode="External"/><Relationship Id="rId176" Type="http://schemas.openxmlformats.org/officeDocument/2006/relationships/hyperlink" Target="mailto:giovanna.gomes22@exemplo.com" TargetMode="External"/><Relationship Id="rId175" Type="http://schemas.openxmlformats.org/officeDocument/2006/relationships/hyperlink" Target="mailto:giovanna.gomes22@exemplo.com" TargetMode="External"/><Relationship Id="rId174" Type="http://schemas.openxmlformats.org/officeDocument/2006/relationships/hyperlink" Target="mailto:giovanna.gomes22@exemplo.com" TargetMode="External"/><Relationship Id="rId173" Type="http://schemas.openxmlformats.org/officeDocument/2006/relationships/hyperlink" Target="mailto:giovanna.gomes22@exemplo.com" TargetMode="External"/><Relationship Id="rId179" Type="http://schemas.openxmlformats.org/officeDocument/2006/relationships/hyperlink" Target="mailto:giovanna.gomes22@exemplo.com" TargetMode="External"/><Relationship Id="rId178" Type="http://schemas.openxmlformats.org/officeDocument/2006/relationships/hyperlink" Target="mailto:giovanna.gomes22@exemplo.com" TargetMode="External"/><Relationship Id="rId177" Type="http://schemas.openxmlformats.org/officeDocument/2006/relationships/hyperlink" Target="mailto:giovanna.gomes22@exemplo.com" TargetMode="External"/><Relationship Id="rId1910" Type="http://schemas.openxmlformats.org/officeDocument/2006/relationships/hyperlink" Target="mailto:beatriz.ribeiro50@exemplo.com" TargetMode="External"/><Relationship Id="rId1911" Type="http://schemas.openxmlformats.org/officeDocument/2006/relationships/hyperlink" Target="mailto:beatriz.ribeiro50@exemplo.com" TargetMode="External"/><Relationship Id="rId1912" Type="http://schemas.openxmlformats.org/officeDocument/2006/relationships/hyperlink" Target="mailto:beatriz.ribeiro50@exemplo.com" TargetMode="External"/><Relationship Id="rId1913" Type="http://schemas.openxmlformats.org/officeDocument/2006/relationships/hyperlink" Target="mailto:beatriz.ribeiro50@exemplo.com" TargetMode="External"/><Relationship Id="rId1914" Type="http://schemas.openxmlformats.org/officeDocument/2006/relationships/hyperlink" Target="mailto:beatriz.ribeiro50@exemplo.com" TargetMode="External"/><Relationship Id="rId1915" Type="http://schemas.openxmlformats.org/officeDocument/2006/relationships/hyperlink" Target="mailto:beatriz.ribeiro50@exemplo.com" TargetMode="External"/><Relationship Id="rId1916" Type="http://schemas.openxmlformats.org/officeDocument/2006/relationships/hyperlink" Target="mailto:beatriz.ribeiro50@exemplo.com" TargetMode="External"/><Relationship Id="rId1917" Type="http://schemas.openxmlformats.org/officeDocument/2006/relationships/hyperlink" Target="mailto:beatriz.ribeiro50@exemplo.com" TargetMode="External"/><Relationship Id="rId1918" Type="http://schemas.openxmlformats.org/officeDocument/2006/relationships/hyperlink" Target="mailto:beatriz.ribeiro50@exemplo.com" TargetMode="External"/><Relationship Id="rId1919" Type="http://schemas.openxmlformats.org/officeDocument/2006/relationships/hyperlink" Target="mailto:beatriz.ribeiro50@exemplo.com" TargetMode="External"/><Relationship Id="rId1900" Type="http://schemas.openxmlformats.org/officeDocument/2006/relationships/hyperlink" Target="mailto:camila.lima44@exemplo.com" TargetMode="External"/><Relationship Id="rId1901" Type="http://schemas.openxmlformats.org/officeDocument/2006/relationships/hyperlink" Target="mailto:camila.lima44@exemplo.com" TargetMode="External"/><Relationship Id="rId1902" Type="http://schemas.openxmlformats.org/officeDocument/2006/relationships/hyperlink" Target="mailto:beatriz.ribeiro50@exemplo.com" TargetMode="External"/><Relationship Id="rId1903" Type="http://schemas.openxmlformats.org/officeDocument/2006/relationships/hyperlink" Target="mailto:beatriz.ribeiro50@exemplo.com" TargetMode="External"/><Relationship Id="rId1904" Type="http://schemas.openxmlformats.org/officeDocument/2006/relationships/hyperlink" Target="mailto:beatriz.ribeiro50@exemplo.com" TargetMode="External"/><Relationship Id="rId1905" Type="http://schemas.openxmlformats.org/officeDocument/2006/relationships/hyperlink" Target="mailto:beatriz.ribeiro50@exemplo.com" TargetMode="External"/><Relationship Id="rId1906" Type="http://schemas.openxmlformats.org/officeDocument/2006/relationships/hyperlink" Target="mailto:beatriz.ribeiro50@exemplo.com" TargetMode="External"/><Relationship Id="rId1907" Type="http://schemas.openxmlformats.org/officeDocument/2006/relationships/hyperlink" Target="mailto:beatriz.ribeiro50@exemplo.com" TargetMode="External"/><Relationship Id="rId1908" Type="http://schemas.openxmlformats.org/officeDocument/2006/relationships/hyperlink" Target="mailto:beatriz.ribeiro50@exemplo.com" TargetMode="External"/><Relationship Id="rId1909" Type="http://schemas.openxmlformats.org/officeDocument/2006/relationships/hyperlink" Target="mailto:beatriz.ribeiro50@exemplo.com" TargetMode="External"/><Relationship Id="rId198" Type="http://schemas.openxmlformats.org/officeDocument/2006/relationships/hyperlink" Target="mailto:eduardo.pereira13@exemplo.com" TargetMode="External"/><Relationship Id="rId197" Type="http://schemas.openxmlformats.org/officeDocument/2006/relationships/hyperlink" Target="mailto:eduardo.pereira13@exemplo.com" TargetMode="External"/><Relationship Id="rId196" Type="http://schemas.openxmlformats.org/officeDocument/2006/relationships/hyperlink" Target="mailto:eduardo.pereira13@exemplo.com" TargetMode="External"/><Relationship Id="rId195" Type="http://schemas.openxmlformats.org/officeDocument/2006/relationships/hyperlink" Target="mailto:eduardo.pereira13@exemplo.com" TargetMode="External"/><Relationship Id="rId199" Type="http://schemas.openxmlformats.org/officeDocument/2006/relationships/hyperlink" Target="mailto:eduardo.pereira13@exemplo.com" TargetMode="External"/><Relationship Id="rId150" Type="http://schemas.openxmlformats.org/officeDocument/2006/relationships/hyperlink" Target="mailto:laura.lima68@exemplo.com" TargetMode="External"/><Relationship Id="rId149" Type="http://schemas.openxmlformats.org/officeDocument/2006/relationships/hyperlink" Target="mailto:laura.lima68@exemplo.com" TargetMode="External"/><Relationship Id="rId148" Type="http://schemas.openxmlformats.org/officeDocument/2006/relationships/hyperlink" Target="mailto:laura.lima68@exemplo.com" TargetMode="External"/><Relationship Id="rId1090" Type="http://schemas.openxmlformats.org/officeDocument/2006/relationships/hyperlink" Target="mailto:amanda.santos76@exemplo.com" TargetMode="External"/><Relationship Id="rId1091" Type="http://schemas.openxmlformats.org/officeDocument/2006/relationships/hyperlink" Target="mailto:amanda.santos76@exemplo.com" TargetMode="External"/><Relationship Id="rId1092" Type="http://schemas.openxmlformats.org/officeDocument/2006/relationships/hyperlink" Target="mailto:amanda.santos76@exemplo.com" TargetMode="External"/><Relationship Id="rId1093" Type="http://schemas.openxmlformats.org/officeDocument/2006/relationships/hyperlink" Target="mailto:amanda.santos76@exemplo.com" TargetMode="External"/><Relationship Id="rId1094" Type="http://schemas.openxmlformats.org/officeDocument/2006/relationships/hyperlink" Target="mailto:amanda.santos76@exemplo.com" TargetMode="External"/><Relationship Id="rId143" Type="http://schemas.openxmlformats.org/officeDocument/2006/relationships/hyperlink" Target="mailto:laura.lima68@exemplo.com" TargetMode="External"/><Relationship Id="rId1095" Type="http://schemas.openxmlformats.org/officeDocument/2006/relationships/hyperlink" Target="mailto:amanda.santos76@exemplo.com" TargetMode="External"/><Relationship Id="rId142" Type="http://schemas.openxmlformats.org/officeDocument/2006/relationships/hyperlink" Target="mailto:laura.lima68@exemplo.com" TargetMode="External"/><Relationship Id="rId1096" Type="http://schemas.openxmlformats.org/officeDocument/2006/relationships/hyperlink" Target="mailto:amanda.santos76@exemplo.com" TargetMode="External"/><Relationship Id="rId141" Type="http://schemas.openxmlformats.org/officeDocument/2006/relationships/hyperlink" Target="mailto:marcos.rocha41@exemplo.com" TargetMode="External"/><Relationship Id="rId1097" Type="http://schemas.openxmlformats.org/officeDocument/2006/relationships/hyperlink" Target="mailto:amanda.santos76@exemplo.com" TargetMode="External"/><Relationship Id="rId140" Type="http://schemas.openxmlformats.org/officeDocument/2006/relationships/hyperlink" Target="mailto:marcos.rocha41@exemplo.com" TargetMode="External"/><Relationship Id="rId1098" Type="http://schemas.openxmlformats.org/officeDocument/2006/relationships/hyperlink" Target="mailto:amanda.santos76@exemplo.com" TargetMode="External"/><Relationship Id="rId147" Type="http://schemas.openxmlformats.org/officeDocument/2006/relationships/hyperlink" Target="mailto:laura.lima68@exemplo.com" TargetMode="External"/><Relationship Id="rId1099" Type="http://schemas.openxmlformats.org/officeDocument/2006/relationships/hyperlink" Target="mailto:amanda.santos76@exemplo.com" TargetMode="External"/><Relationship Id="rId146" Type="http://schemas.openxmlformats.org/officeDocument/2006/relationships/hyperlink" Target="mailto:laura.lima68@exemplo.com" TargetMode="External"/><Relationship Id="rId145" Type="http://schemas.openxmlformats.org/officeDocument/2006/relationships/hyperlink" Target="mailto:laura.lima68@exemplo.com" TargetMode="External"/><Relationship Id="rId144" Type="http://schemas.openxmlformats.org/officeDocument/2006/relationships/hyperlink" Target="mailto:laura.lima68@exemplo.com" TargetMode="External"/><Relationship Id="rId139" Type="http://schemas.openxmlformats.org/officeDocument/2006/relationships/hyperlink" Target="mailto:marcos.rocha41@exemplo.com" TargetMode="External"/><Relationship Id="rId138" Type="http://schemas.openxmlformats.org/officeDocument/2006/relationships/hyperlink" Target="mailto:marcos.rocha41@exemplo.com" TargetMode="External"/><Relationship Id="rId137" Type="http://schemas.openxmlformats.org/officeDocument/2006/relationships/hyperlink" Target="mailto:marcos.rocha41@exemplo.com" TargetMode="External"/><Relationship Id="rId1080" Type="http://schemas.openxmlformats.org/officeDocument/2006/relationships/hyperlink" Target="mailto:gustavo.santos79@exemplo.com" TargetMode="External"/><Relationship Id="rId1081" Type="http://schemas.openxmlformats.org/officeDocument/2006/relationships/hyperlink" Target="mailto:gustavo.santos79@exemplo.com" TargetMode="External"/><Relationship Id="rId1082" Type="http://schemas.openxmlformats.org/officeDocument/2006/relationships/hyperlink" Target="mailto:amanda.santos76@exemplo.com" TargetMode="External"/><Relationship Id="rId1083" Type="http://schemas.openxmlformats.org/officeDocument/2006/relationships/hyperlink" Target="mailto:amanda.santos76@exemplo.com" TargetMode="External"/><Relationship Id="rId132" Type="http://schemas.openxmlformats.org/officeDocument/2006/relationships/hyperlink" Target="mailto:marcos.rocha41@exemplo.com" TargetMode="External"/><Relationship Id="rId1084" Type="http://schemas.openxmlformats.org/officeDocument/2006/relationships/hyperlink" Target="mailto:amanda.santos76@exemplo.com" TargetMode="External"/><Relationship Id="rId131" Type="http://schemas.openxmlformats.org/officeDocument/2006/relationships/hyperlink" Target="mailto:marcos.rocha41@exemplo.com" TargetMode="External"/><Relationship Id="rId1085" Type="http://schemas.openxmlformats.org/officeDocument/2006/relationships/hyperlink" Target="mailto:amanda.santos76@exemplo.com" TargetMode="External"/><Relationship Id="rId130" Type="http://schemas.openxmlformats.org/officeDocument/2006/relationships/hyperlink" Target="mailto:marcos.rocha41@exemplo.com" TargetMode="External"/><Relationship Id="rId1086" Type="http://schemas.openxmlformats.org/officeDocument/2006/relationships/hyperlink" Target="mailto:amanda.santos76@exemplo.com" TargetMode="External"/><Relationship Id="rId1087" Type="http://schemas.openxmlformats.org/officeDocument/2006/relationships/hyperlink" Target="mailto:amanda.santos76@exemplo.com" TargetMode="External"/><Relationship Id="rId136" Type="http://schemas.openxmlformats.org/officeDocument/2006/relationships/hyperlink" Target="mailto:marcos.rocha41@exemplo.com" TargetMode="External"/><Relationship Id="rId1088" Type="http://schemas.openxmlformats.org/officeDocument/2006/relationships/hyperlink" Target="mailto:amanda.santos76@exemplo.com" TargetMode="External"/><Relationship Id="rId135" Type="http://schemas.openxmlformats.org/officeDocument/2006/relationships/hyperlink" Target="mailto:marcos.rocha41@exemplo.com" TargetMode="External"/><Relationship Id="rId1089" Type="http://schemas.openxmlformats.org/officeDocument/2006/relationships/hyperlink" Target="mailto:amanda.santos76@exemplo.com" TargetMode="External"/><Relationship Id="rId134" Type="http://schemas.openxmlformats.org/officeDocument/2006/relationships/hyperlink" Target="mailto:marcos.rocha41@exemplo.com" TargetMode="External"/><Relationship Id="rId133" Type="http://schemas.openxmlformats.org/officeDocument/2006/relationships/hyperlink" Target="mailto:marcos.rocha41@exemplo.com" TargetMode="External"/><Relationship Id="rId172" Type="http://schemas.openxmlformats.org/officeDocument/2006/relationships/hyperlink" Target="mailto:giovanna.gomes22@exemplo.com" TargetMode="External"/><Relationship Id="rId171" Type="http://schemas.openxmlformats.org/officeDocument/2006/relationships/hyperlink" Target="mailto:giovanna.gomes22@exemplo.com" TargetMode="External"/><Relationship Id="rId170" Type="http://schemas.openxmlformats.org/officeDocument/2006/relationships/hyperlink" Target="mailto:giovanna.gomes22@exemplo.com" TargetMode="External"/><Relationship Id="rId165" Type="http://schemas.openxmlformats.org/officeDocument/2006/relationships/hyperlink" Target="mailto:giovanna.gomes22@exemplo.com" TargetMode="External"/><Relationship Id="rId164" Type="http://schemas.openxmlformats.org/officeDocument/2006/relationships/hyperlink" Target="mailto:giovanna.gomes22@exemplo.com" TargetMode="External"/><Relationship Id="rId163" Type="http://schemas.openxmlformats.org/officeDocument/2006/relationships/hyperlink" Target="mailto:giovanna.gomes22@exemplo.com" TargetMode="External"/><Relationship Id="rId162" Type="http://schemas.openxmlformats.org/officeDocument/2006/relationships/hyperlink" Target="mailto:giovanna.gomes22@exemplo.com" TargetMode="External"/><Relationship Id="rId169" Type="http://schemas.openxmlformats.org/officeDocument/2006/relationships/hyperlink" Target="mailto:giovanna.gomes22@exemplo.com" TargetMode="External"/><Relationship Id="rId168" Type="http://schemas.openxmlformats.org/officeDocument/2006/relationships/hyperlink" Target="mailto:giovanna.gomes22@exemplo.com" TargetMode="External"/><Relationship Id="rId167" Type="http://schemas.openxmlformats.org/officeDocument/2006/relationships/hyperlink" Target="mailto:giovanna.gomes22@exemplo.com" TargetMode="External"/><Relationship Id="rId166" Type="http://schemas.openxmlformats.org/officeDocument/2006/relationships/hyperlink" Target="mailto:giovanna.gomes22@exemplo.com" TargetMode="External"/><Relationship Id="rId161" Type="http://schemas.openxmlformats.org/officeDocument/2006/relationships/hyperlink" Target="mailto:laura.lima68@exemplo.com" TargetMode="External"/><Relationship Id="rId160" Type="http://schemas.openxmlformats.org/officeDocument/2006/relationships/hyperlink" Target="mailto:laura.lima68@exemplo.com" TargetMode="External"/><Relationship Id="rId159" Type="http://schemas.openxmlformats.org/officeDocument/2006/relationships/hyperlink" Target="mailto:laura.lima68@exemplo.com" TargetMode="External"/><Relationship Id="rId154" Type="http://schemas.openxmlformats.org/officeDocument/2006/relationships/hyperlink" Target="mailto:laura.lima68@exemplo.com" TargetMode="External"/><Relationship Id="rId153" Type="http://schemas.openxmlformats.org/officeDocument/2006/relationships/hyperlink" Target="mailto:laura.lima68@exemplo.com" TargetMode="External"/><Relationship Id="rId152" Type="http://schemas.openxmlformats.org/officeDocument/2006/relationships/hyperlink" Target="mailto:laura.lima68@exemplo.com" TargetMode="External"/><Relationship Id="rId151" Type="http://schemas.openxmlformats.org/officeDocument/2006/relationships/hyperlink" Target="mailto:laura.lima68@exemplo.com" TargetMode="External"/><Relationship Id="rId158" Type="http://schemas.openxmlformats.org/officeDocument/2006/relationships/hyperlink" Target="mailto:laura.lima68@exemplo.com" TargetMode="External"/><Relationship Id="rId157" Type="http://schemas.openxmlformats.org/officeDocument/2006/relationships/hyperlink" Target="mailto:laura.lima68@exemplo.com" TargetMode="External"/><Relationship Id="rId156" Type="http://schemas.openxmlformats.org/officeDocument/2006/relationships/hyperlink" Target="mailto:laura.lima68@exemplo.com" TargetMode="External"/><Relationship Id="rId155" Type="http://schemas.openxmlformats.org/officeDocument/2006/relationships/hyperlink" Target="mailto:laura.lima68@exemplo.com" TargetMode="External"/><Relationship Id="rId1972" Type="http://schemas.openxmlformats.org/officeDocument/2006/relationships/hyperlink" Target="mailto:pedro.lima14@exemplo.com" TargetMode="External"/><Relationship Id="rId1973" Type="http://schemas.openxmlformats.org/officeDocument/2006/relationships/hyperlink" Target="mailto:pedro.lima14@exemplo.com" TargetMode="External"/><Relationship Id="rId1974" Type="http://schemas.openxmlformats.org/officeDocument/2006/relationships/hyperlink" Target="mailto:pedro.lima14@exemplo.com" TargetMode="External"/><Relationship Id="rId1975" Type="http://schemas.openxmlformats.org/officeDocument/2006/relationships/hyperlink" Target="mailto:pedro.lima14@exemplo.com" TargetMode="External"/><Relationship Id="rId1976" Type="http://schemas.openxmlformats.org/officeDocument/2006/relationships/hyperlink" Target="mailto:pedro.lima14@exemplo.com" TargetMode="External"/><Relationship Id="rId1977" Type="http://schemas.openxmlformats.org/officeDocument/2006/relationships/hyperlink" Target="mailto:pedro.lima14@exemplo.com" TargetMode="External"/><Relationship Id="rId1978" Type="http://schemas.openxmlformats.org/officeDocument/2006/relationships/hyperlink" Target="mailto:pedro.lima14@exemplo.com" TargetMode="External"/><Relationship Id="rId1979" Type="http://schemas.openxmlformats.org/officeDocument/2006/relationships/hyperlink" Target="mailto:pedro.lima14@exemplo.com" TargetMode="External"/><Relationship Id="rId1970" Type="http://schemas.openxmlformats.org/officeDocument/2006/relationships/hyperlink" Target="mailto:pedro.lima14@exemplo.com" TargetMode="External"/><Relationship Id="rId1971" Type="http://schemas.openxmlformats.org/officeDocument/2006/relationships/hyperlink" Target="mailto:pedro.lima14@exemplo.com" TargetMode="External"/><Relationship Id="rId1961" Type="http://schemas.openxmlformats.org/officeDocument/2006/relationships/hyperlink" Target="mailto:camila.souza43@exemplo.com" TargetMode="External"/><Relationship Id="rId1962" Type="http://schemas.openxmlformats.org/officeDocument/2006/relationships/hyperlink" Target="mailto:pedro.lima14@exemplo.com" TargetMode="External"/><Relationship Id="rId1963" Type="http://schemas.openxmlformats.org/officeDocument/2006/relationships/hyperlink" Target="mailto:pedro.lima14@exemplo.com" TargetMode="External"/><Relationship Id="rId1964" Type="http://schemas.openxmlformats.org/officeDocument/2006/relationships/hyperlink" Target="mailto:pedro.lima14@exemplo.com" TargetMode="External"/><Relationship Id="rId1965" Type="http://schemas.openxmlformats.org/officeDocument/2006/relationships/hyperlink" Target="mailto:pedro.lima14@exemplo.com" TargetMode="External"/><Relationship Id="rId1966" Type="http://schemas.openxmlformats.org/officeDocument/2006/relationships/hyperlink" Target="mailto:pedro.lima14@exemplo.com" TargetMode="External"/><Relationship Id="rId1967" Type="http://schemas.openxmlformats.org/officeDocument/2006/relationships/hyperlink" Target="mailto:pedro.lima14@exemplo.com" TargetMode="External"/><Relationship Id="rId1968" Type="http://schemas.openxmlformats.org/officeDocument/2006/relationships/hyperlink" Target="mailto:pedro.lima14@exemplo.com" TargetMode="External"/><Relationship Id="rId1969" Type="http://schemas.openxmlformats.org/officeDocument/2006/relationships/hyperlink" Target="mailto:pedro.lima14@exemplo.com" TargetMode="External"/><Relationship Id="rId1960" Type="http://schemas.openxmlformats.org/officeDocument/2006/relationships/hyperlink" Target="mailto:camila.souza43@exemplo.com" TargetMode="External"/><Relationship Id="rId1510" Type="http://schemas.openxmlformats.org/officeDocument/2006/relationships/hyperlink" Target="mailto:ana.carvalho5@exemplo.com" TargetMode="External"/><Relationship Id="rId1994" Type="http://schemas.openxmlformats.org/officeDocument/2006/relationships/hyperlink" Target="mailto:lucas.cardoso77@exemplo.com" TargetMode="External"/><Relationship Id="rId1511" Type="http://schemas.openxmlformats.org/officeDocument/2006/relationships/hyperlink" Target="mailto:ana.carvalho5@exemplo.com" TargetMode="External"/><Relationship Id="rId1995" Type="http://schemas.openxmlformats.org/officeDocument/2006/relationships/hyperlink" Target="mailto:lucas.cardoso77@exemplo.com" TargetMode="External"/><Relationship Id="rId1512" Type="http://schemas.openxmlformats.org/officeDocument/2006/relationships/hyperlink" Target="mailto:ana.carvalho5@exemplo.com" TargetMode="External"/><Relationship Id="rId1996" Type="http://schemas.openxmlformats.org/officeDocument/2006/relationships/hyperlink" Target="mailto:lucas.cardoso77@exemplo.com" TargetMode="External"/><Relationship Id="rId1513" Type="http://schemas.openxmlformats.org/officeDocument/2006/relationships/hyperlink" Target="mailto:ana.carvalho5@exemplo.com" TargetMode="External"/><Relationship Id="rId1997" Type="http://schemas.openxmlformats.org/officeDocument/2006/relationships/hyperlink" Target="mailto:lucas.cardoso77@exemplo.com" TargetMode="External"/><Relationship Id="rId1514" Type="http://schemas.openxmlformats.org/officeDocument/2006/relationships/hyperlink" Target="mailto:ana.carvalho5@exemplo.com" TargetMode="External"/><Relationship Id="rId1998" Type="http://schemas.openxmlformats.org/officeDocument/2006/relationships/hyperlink" Target="mailto:lucas.cardoso77@exemplo.com" TargetMode="External"/><Relationship Id="rId1515" Type="http://schemas.openxmlformats.org/officeDocument/2006/relationships/hyperlink" Target="mailto:ana.carvalho5@exemplo.com" TargetMode="External"/><Relationship Id="rId1999" Type="http://schemas.openxmlformats.org/officeDocument/2006/relationships/hyperlink" Target="mailto:lucas.cardoso77@exemplo.com" TargetMode="External"/><Relationship Id="rId1516" Type="http://schemas.openxmlformats.org/officeDocument/2006/relationships/hyperlink" Target="mailto:ana.carvalho5@exemplo.com" TargetMode="External"/><Relationship Id="rId1517" Type="http://schemas.openxmlformats.org/officeDocument/2006/relationships/hyperlink" Target="mailto:ana.carvalho5@exemplo.com" TargetMode="External"/><Relationship Id="rId1518" Type="http://schemas.openxmlformats.org/officeDocument/2006/relationships/hyperlink" Target="mailto:ana.carvalho5@exemplo.com" TargetMode="External"/><Relationship Id="rId1519" Type="http://schemas.openxmlformats.org/officeDocument/2006/relationships/hyperlink" Target="mailto:ana.carvalho5@exemplo.com" TargetMode="External"/><Relationship Id="rId1990" Type="http://schemas.openxmlformats.org/officeDocument/2006/relationships/hyperlink" Target="mailto:lucas.cardoso77@exemplo.com" TargetMode="External"/><Relationship Id="rId1991" Type="http://schemas.openxmlformats.org/officeDocument/2006/relationships/hyperlink" Target="mailto:lucas.cardoso77@exemplo.com" TargetMode="External"/><Relationship Id="rId1992" Type="http://schemas.openxmlformats.org/officeDocument/2006/relationships/hyperlink" Target="mailto:lucas.cardoso77@exemplo.com" TargetMode="External"/><Relationship Id="rId1993" Type="http://schemas.openxmlformats.org/officeDocument/2006/relationships/hyperlink" Target="mailto:lucas.cardoso77@exemplo.com" TargetMode="External"/><Relationship Id="rId1983" Type="http://schemas.openxmlformats.org/officeDocument/2006/relationships/hyperlink" Target="mailto:lucas.cardoso77@exemplo.com" TargetMode="External"/><Relationship Id="rId1500" Type="http://schemas.openxmlformats.org/officeDocument/2006/relationships/hyperlink" Target="mailto:amanda.almeida25@exemplo.com" TargetMode="External"/><Relationship Id="rId1984" Type="http://schemas.openxmlformats.org/officeDocument/2006/relationships/hyperlink" Target="mailto:lucas.cardoso77@exemplo.com" TargetMode="External"/><Relationship Id="rId1501" Type="http://schemas.openxmlformats.org/officeDocument/2006/relationships/hyperlink" Target="mailto:amanda.almeida25@exemplo.com" TargetMode="External"/><Relationship Id="rId1985" Type="http://schemas.openxmlformats.org/officeDocument/2006/relationships/hyperlink" Target="mailto:lucas.cardoso77@exemplo.com" TargetMode="External"/><Relationship Id="rId1502" Type="http://schemas.openxmlformats.org/officeDocument/2006/relationships/hyperlink" Target="mailto:ana.carvalho5@exemplo.com" TargetMode="External"/><Relationship Id="rId1986" Type="http://schemas.openxmlformats.org/officeDocument/2006/relationships/hyperlink" Target="mailto:lucas.cardoso77@exemplo.com" TargetMode="External"/><Relationship Id="rId1503" Type="http://schemas.openxmlformats.org/officeDocument/2006/relationships/hyperlink" Target="mailto:ana.carvalho5@exemplo.com" TargetMode="External"/><Relationship Id="rId1987" Type="http://schemas.openxmlformats.org/officeDocument/2006/relationships/hyperlink" Target="mailto:lucas.cardoso77@exemplo.com" TargetMode="External"/><Relationship Id="rId1504" Type="http://schemas.openxmlformats.org/officeDocument/2006/relationships/hyperlink" Target="mailto:ana.carvalho5@exemplo.com" TargetMode="External"/><Relationship Id="rId1988" Type="http://schemas.openxmlformats.org/officeDocument/2006/relationships/hyperlink" Target="mailto:lucas.cardoso77@exemplo.com" TargetMode="External"/><Relationship Id="rId1505" Type="http://schemas.openxmlformats.org/officeDocument/2006/relationships/hyperlink" Target="mailto:ana.carvalho5@exemplo.com" TargetMode="External"/><Relationship Id="rId1989" Type="http://schemas.openxmlformats.org/officeDocument/2006/relationships/hyperlink" Target="mailto:lucas.cardoso77@exemplo.com" TargetMode="External"/><Relationship Id="rId1506" Type="http://schemas.openxmlformats.org/officeDocument/2006/relationships/hyperlink" Target="mailto:ana.carvalho5@exemplo.com" TargetMode="External"/><Relationship Id="rId1507" Type="http://schemas.openxmlformats.org/officeDocument/2006/relationships/hyperlink" Target="mailto:ana.carvalho5@exemplo.com" TargetMode="External"/><Relationship Id="rId1508" Type="http://schemas.openxmlformats.org/officeDocument/2006/relationships/hyperlink" Target="mailto:ana.carvalho5@exemplo.com" TargetMode="External"/><Relationship Id="rId1509" Type="http://schemas.openxmlformats.org/officeDocument/2006/relationships/hyperlink" Target="mailto:ana.carvalho5@exemplo.com" TargetMode="External"/><Relationship Id="rId1980" Type="http://schemas.openxmlformats.org/officeDocument/2006/relationships/hyperlink" Target="mailto:pedro.lima14@exemplo.com" TargetMode="External"/><Relationship Id="rId1981" Type="http://schemas.openxmlformats.org/officeDocument/2006/relationships/hyperlink" Target="mailto:pedro.lima14@exemplo.com" TargetMode="External"/><Relationship Id="rId1982" Type="http://schemas.openxmlformats.org/officeDocument/2006/relationships/hyperlink" Target="mailto:lucas.cardoso77@exemplo.com" TargetMode="External"/><Relationship Id="rId1930" Type="http://schemas.openxmlformats.org/officeDocument/2006/relationships/hyperlink" Target="mailto:laura.rodrigues54@exemplo.com" TargetMode="External"/><Relationship Id="rId1931" Type="http://schemas.openxmlformats.org/officeDocument/2006/relationships/hyperlink" Target="mailto:laura.rodrigues54@exemplo.com" TargetMode="External"/><Relationship Id="rId1932" Type="http://schemas.openxmlformats.org/officeDocument/2006/relationships/hyperlink" Target="mailto:laura.rodrigues54@exemplo.com" TargetMode="External"/><Relationship Id="rId1933" Type="http://schemas.openxmlformats.org/officeDocument/2006/relationships/hyperlink" Target="mailto:laura.rodrigues54@exemplo.com" TargetMode="External"/><Relationship Id="rId1934" Type="http://schemas.openxmlformats.org/officeDocument/2006/relationships/hyperlink" Target="mailto:laura.rodrigues54@exemplo.com" TargetMode="External"/><Relationship Id="rId1935" Type="http://schemas.openxmlformats.org/officeDocument/2006/relationships/hyperlink" Target="mailto:laura.rodrigues54@exemplo.com" TargetMode="External"/><Relationship Id="rId1936" Type="http://schemas.openxmlformats.org/officeDocument/2006/relationships/hyperlink" Target="mailto:laura.rodrigues54@exemplo.com" TargetMode="External"/><Relationship Id="rId1937" Type="http://schemas.openxmlformats.org/officeDocument/2006/relationships/hyperlink" Target="mailto:laura.rodrigues54@exemplo.com" TargetMode="External"/><Relationship Id="rId1938" Type="http://schemas.openxmlformats.org/officeDocument/2006/relationships/hyperlink" Target="mailto:laura.rodrigues54@exemplo.com" TargetMode="External"/><Relationship Id="rId1939" Type="http://schemas.openxmlformats.org/officeDocument/2006/relationships/hyperlink" Target="mailto:laura.rodrigues54@exemplo.com" TargetMode="External"/><Relationship Id="rId1920" Type="http://schemas.openxmlformats.org/officeDocument/2006/relationships/hyperlink" Target="mailto:beatriz.ribeiro50@exemplo.com" TargetMode="External"/><Relationship Id="rId1921" Type="http://schemas.openxmlformats.org/officeDocument/2006/relationships/hyperlink" Target="mailto:beatriz.ribeiro50@exemplo.com" TargetMode="External"/><Relationship Id="rId1922" Type="http://schemas.openxmlformats.org/officeDocument/2006/relationships/hyperlink" Target="mailto:laura.rodrigues54@exemplo.com" TargetMode="External"/><Relationship Id="rId1923" Type="http://schemas.openxmlformats.org/officeDocument/2006/relationships/hyperlink" Target="mailto:laura.rodrigues54@exemplo.com" TargetMode="External"/><Relationship Id="rId1924" Type="http://schemas.openxmlformats.org/officeDocument/2006/relationships/hyperlink" Target="mailto:laura.rodrigues54@exemplo.com" TargetMode="External"/><Relationship Id="rId1925" Type="http://schemas.openxmlformats.org/officeDocument/2006/relationships/hyperlink" Target="mailto:laura.rodrigues54@exemplo.com" TargetMode="External"/><Relationship Id="rId1926" Type="http://schemas.openxmlformats.org/officeDocument/2006/relationships/hyperlink" Target="mailto:laura.rodrigues54@exemplo.com" TargetMode="External"/><Relationship Id="rId1927" Type="http://schemas.openxmlformats.org/officeDocument/2006/relationships/hyperlink" Target="mailto:laura.rodrigues54@exemplo.com" TargetMode="External"/><Relationship Id="rId1928" Type="http://schemas.openxmlformats.org/officeDocument/2006/relationships/hyperlink" Target="mailto:laura.rodrigues54@exemplo.com" TargetMode="External"/><Relationship Id="rId1929" Type="http://schemas.openxmlformats.org/officeDocument/2006/relationships/hyperlink" Target="mailto:laura.rodrigues54@exemplo.com" TargetMode="External"/><Relationship Id="rId1950" Type="http://schemas.openxmlformats.org/officeDocument/2006/relationships/hyperlink" Target="mailto:camila.souza43@exemplo.com" TargetMode="External"/><Relationship Id="rId1951" Type="http://schemas.openxmlformats.org/officeDocument/2006/relationships/hyperlink" Target="mailto:camila.souza43@exemplo.com" TargetMode="External"/><Relationship Id="rId1952" Type="http://schemas.openxmlformats.org/officeDocument/2006/relationships/hyperlink" Target="mailto:camila.souza43@exemplo.com" TargetMode="External"/><Relationship Id="rId1953" Type="http://schemas.openxmlformats.org/officeDocument/2006/relationships/hyperlink" Target="mailto:camila.souza43@exemplo.com" TargetMode="External"/><Relationship Id="rId1954" Type="http://schemas.openxmlformats.org/officeDocument/2006/relationships/hyperlink" Target="mailto:camila.souza43@exemplo.com" TargetMode="External"/><Relationship Id="rId1955" Type="http://schemas.openxmlformats.org/officeDocument/2006/relationships/hyperlink" Target="mailto:camila.souza43@exemplo.com" TargetMode="External"/><Relationship Id="rId1956" Type="http://schemas.openxmlformats.org/officeDocument/2006/relationships/hyperlink" Target="mailto:camila.souza43@exemplo.com" TargetMode="External"/><Relationship Id="rId1957" Type="http://schemas.openxmlformats.org/officeDocument/2006/relationships/hyperlink" Target="mailto:camila.souza43@exemplo.com" TargetMode="External"/><Relationship Id="rId1958" Type="http://schemas.openxmlformats.org/officeDocument/2006/relationships/hyperlink" Target="mailto:camila.souza43@exemplo.com" TargetMode="External"/><Relationship Id="rId1959" Type="http://schemas.openxmlformats.org/officeDocument/2006/relationships/hyperlink" Target="mailto:camila.souza43@exemplo.com" TargetMode="External"/><Relationship Id="rId1940" Type="http://schemas.openxmlformats.org/officeDocument/2006/relationships/hyperlink" Target="mailto:laura.rodrigues54@exemplo.com" TargetMode="External"/><Relationship Id="rId1941" Type="http://schemas.openxmlformats.org/officeDocument/2006/relationships/hyperlink" Target="mailto:laura.rodrigues54@exemplo.com" TargetMode="External"/><Relationship Id="rId1942" Type="http://schemas.openxmlformats.org/officeDocument/2006/relationships/hyperlink" Target="mailto:camila.souza43@exemplo.com" TargetMode="External"/><Relationship Id="rId1943" Type="http://schemas.openxmlformats.org/officeDocument/2006/relationships/hyperlink" Target="mailto:camila.souza43@exemplo.com" TargetMode="External"/><Relationship Id="rId1944" Type="http://schemas.openxmlformats.org/officeDocument/2006/relationships/hyperlink" Target="mailto:camila.souza43@exemplo.com" TargetMode="External"/><Relationship Id="rId1945" Type="http://schemas.openxmlformats.org/officeDocument/2006/relationships/hyperlink" Target="mailto:camila.souza43@exemplo.com" TargetMode="External"/><Relationship Id="rId1946" Type="http://schemas.openxmlformats.org/officeDocument/2006/relationships/hyperlink" Target="mailto:camila.souza43@exemplo.com" TargetMode="External"/><Relationship Id="rId1947" Type="http://schemas.openxmlformats.org/officeDocument/2006/relationships/hyperlink" Target="mailto:camila.souza43@exemplo.com" TargetMode="External"/><Relationship Id="rId1948" Type="http://schemas.openxmlformats.org/officeDocument/2006/relationships/hyperlink" Target="mailto:camila.souza43@exemplo.com" TargetMode="External"/><Relationship Id="rId1949" Type="http://schemas.openxmlformats.org/officeDocument/2006/relationships/hyperlink" Target="mailto:camila.souza43@exemplo.com" TargetMode="External"/><Relationship Id="rId1576" Type="http://schemas.openxmlformats.org/officeDocument/2006/relationships/hyperlink" Target="mailto:larissa.carvalho96@exemplo.com" TargetMode="External"/><Relationship Id="rId1577" Type="http://schemas.openxmlformats.org/officeDocument/2006/relationships/hyperlink" Target="mailto:larissa.carvalho96@exemplo.com" TargetMode="External"/><Relationship Id="rId1578" Type="http://schemas.openxmlformats.org/officeDocument/2006/relationships/hyperlink" Target="mailto:larissa.carvalho96@exemplo.com" TargetMode="External"/><Relationship Id="rId1579" Type="http://schemas.openxmlformats.org/officeDocument/2006/relationships/hyperlink" Target="mailto:larissa.carvalho96@exemplo.com" TargetMode="External"/><Relationship Id="rId509" Type="http://schemas.openxmlformats.org/officeDocument/2006/relationships/hyperlink" Target="mailto:gabriela.melo17@exemplo.com" TargetMode="External"/><Relationship Id="rId508" Type="http://schemas.openxmlformats.org/officeDocument/2006/relationships/hyperlink" Target="mailto:gabriela.melo17@exemplo.com" TargetMode="External"/><Relationship Id="rId503" Type="http://schemas.openxmlformats.org/officeDocument/2006/relationships/hyperlink" Target="mailto:gabriela.melo17@exemplo.com" TargetMode="External"/><Relationship Id="rId987" Type="http://schemas.openxmlformats.org/officeDocument/2006/relationships/hyperlink" Target="mailto:camila.rocha10@exemplo.com" TargetMode="External"/><Relationship Id="rId502" Type="http://schemas.openxmlformats.org/officeDocument/2006/relationships/hyperlink" Target="mailto:gabriela.melo17@exemplo.com" TargetMode="External"/><Relationship Id="rId986" Type="http://schemas.openxmlformats.org/officeDocument/2006/relationships/hyperlink" Target="mailto:camila.rocha10@exemplo.com" TargetMode="External"/><Relationship Id="rId501" Type="http://schemas.openxmlformats.org/officeDocument/2006/relationships/hyperlink" Target="mailto:eduardo.silva54@exemplo.com" TargetMode="External"/><Relationship Id="rId985" Type="http://schemas.openxmlformats.org/officeDocument/2006/relationships/hyperlink" Target="mailto:camila.rocha10@exemplo.com" TargetMode="External"/><Relationship Id="rId500" Type="http://schemas.openxmlformats.org/officeDocument/2006/relationships/hyperlink" Target="mailto:eduardo.silva54@exemplo.com" TargetMode="External"/><Relationship Id="rId984" Type="http://schemas.openxmlformats.org/officeDocument/2006/relationships/hyperlink" Target="mailto:camila.rocha10@exemplo.com" TargetMode="External"/><Relationship Id="rId507" Type="http://schemas.openxmlformats.org/officeDocument/2006/relationships/hyperlink" Target="mailto:gabriela.melo17@exemplo.com" TargetMode="External"/><Relationship Id="rId506" Type="http://schemas.openxmlformats.org/officeDocument/2006/relationships/hyperlink" Target="mailto:gabriela.melo17@exemplo.com" TargetMode="External"/><Relationship Id="rId505" Type="http://schemas.openxmlformats.org/officeDocument/2006/relationships/hyperlink" Target="mailto:gabriela.melo17@exemplo.com" TargetMode="External"/><Relationship Id="rId989" Type="http://schemas.openxmlformats.org/officeDocument/2006/relationships/hyperlink" Target="mailto:camila.rocha10@exemplo.com" TargetMode="External"/><Relationship Id="rId504" Type="http://schemas.openxmlformats.org/officeDocument/2006/relationships/hyperlink" Target="mailto:gabriela.melo17@exemplo.com" TargetMode="External"/><Relationship Id="rId988" Type="http://schemas.openxmlformats.org/officeDocument/2006/relationships/hyperlink" Target="mailto:camila.rocha10@exemplo.com" TargetMode="External"/><Relationship Id="rId1570" Type="http://schemas.openxmlformats.org/officeDocument/2006/relationships/hyperlink" Target="mailto:larissa.carvalho96@exemplo.com" TargetMode="External"/><Relationship Id="rId1571" Type="http://schemas.openxmlformats.org/officeDocument/2006/relationships/hyperlink" Target="mailto:larissa.carvalho96@exemplo.com" TargetMode="External"/><Relationship Id="rId983" Type="http://schemas.openxmlformats.org/officeDocument/2006/relationships/hyperlink" Target="mailto:camila.rocha10@exemplo.com" TargetMode="External"/><Relationship Id="rId1572" Type="http://schemas.openxmlformats.org/officeDocument/2006/relationships/hyperlink" Target="mailto:larissa.carvalho96@exemplo.com" TargetMode="External"/><Relationship Id="rId982" Type="http://schemas.openxmlformats.org/officeDocument/2006/relationships/hyperlink" Target="mailto:camila.rocha10@exemplo.com" TargetMode="External"/><Relationship Id="rId1573" Type="http://schemas.openxmlformats.org/officeDocument/2006/relationships/hyperlink" Target="mailto:larissa.carvalho96@exemplo.com" TargetMode="External"/><Relationship Id="rId981" Type="http://schemas.openxmlformats.org/officeDocument/2006/relationships/hyperlink" Target="mailto:rafael.rocha93@exemplo.com" TargetMode="External"/><Relationship Id="rId1574" Type="http://schemas.openxmlformats.org/officeDocument/2006/relationships/hyperlink" Target="mailto:larissa.carvalho96@exemplo.com" TargetMode="External"/><Relationship Id="rId980" Type="http://schemas.openxmlformats.org/officeDocument/2006/relationships/hyperlink" Target="mailto:rafael.rocha93@exemplo.com" TargetMode="External"/><Relationship Id="rId1575" Type="http://schemas.openxmlformats.org/officeDocument/2006/relationships/hyperlink" Target="mailto:larissa.carvalho96@exemplo.com" TargetMode="External"/><Relationship Id="rId1565" Type="http://schemas.openxmlformats.org/officeDocument/2006/relationships/hyperlink" Target="mailto:larissa.carvalho96@exemplo.com" TargetMode="External"/><Relationship Id="rId1566" Type="http://schemas.openxmlformats.org/officeDocument/2006/relationships/hyperlink" Target="mailto:larissa.carvalho96@exemplo.com" TargetMode="External"/><Relationship Id="rId1567" Type="http://schemas.openxmlformats.org/officeDocument/2006/relationships/hyperlink" Target="mailto:larissa.carvalho96@exemplo.com" TargetMode="External"/><Relationship Id="rId1568" Type="http://schemas.openxmlformats.org/officeDocument/2006/relationships/hyperlink" Target="mailto:larissa.carvalho96@exemplo.com" TargetMode="External"/><Relationship Id="rId1569" Type="http://schemas.openxmlformats.org/officeDocument/2006/relationships/hyperlink" Target="mailto:larissa.carvalho96@exemplo.com" TargetMode="External"/><Relationship Id="rId976" Type="http://schemas.openxmlformats.org/officeDocument/2006/relationships/hyperlink" Target="mailto:rafael.rocha93@exemplo.com" TargetMode="External"/><Relationship Id="rId975" Type="http://schemas.openxmlformats.org/officeDocument/2006/relationships/hyperlink" Target="mailto:rafael.rocha93@exemplo.com" TargetMode="External"/><Relationship Id="rId974" Type="http://schemas.openxmlformats.org/officeDocument/2006/relationships/hyperlink" Target="mailto:rafael.rocha93@exemplo.com" TargetMode="External"/><Relationship Id="rId973" Type="http://schemas.openxmlformats.org/officeDocument/2006/relationships/hyperlink" Target="mailto:rafael.rocha93@exemplo.com" TargetMode="External"/><Relationship Id="rId979" Type="http://schemas.openxmlformats.org/officeDocument/2006/relationships/hyperlink" Target="mailto:rafael.rocha93@exemplo.com" TargetMode="External"/><Relationship Id="rId978" Type="http://schemas.openxmlformats.org/officeDocument/2006/relationships/hyperlink" Target="mailto:rafael.rocha93@exemplo.com" TargetMode="External"/><Relationship Id="rId977" Type="http://schemas.openxmlformats.org/officeDocument/2006/relationships/hyperlink" Target="mailto:rafael.rocha93@exemplo.com" TargetMode="External"/><Relationship Id="rId1560" Type="http://schemas.openxmlformats.org/officeDocument/2006/relationships/hyperlink" Target="mailto:gabriela.mendes90@exemplo.com" TargetMode="External"/><Relationship Id="rId972" Type="http://schemas.openxmlformats.org/officeDocument/2006/relationships/hyperlink" Target="mailto:rafael.rocha93@exemplo.com" TargetMode="External"/><Relationship Id="rId1561" Type="http://schemas.openxmlformats.org/officeDocument/2006/relationships/hyperlink" Target="mailto:gabriela.mendes90@exemplo.com" TargetMode="External"/><Relationship Id="rId971" Type="http://schemas.openxmlformats.org/officeDocument/2006/relationships/hyperlink" Target="mailto:rafael.rocha93@exemplo.com" TargetMode="External"/><Relationship Id="rId1562" Type="http://schemas.openxmlformats.org/officeDocument/2006/relationships/hyperlink" Target="mailto:larissa.carvalho96@exemplo.com" TargetMode="External"/><Relationship Id="rId970" Type="http://schemas.openxmlformats.org/officeDocument/2006/relationships/hyperlink" Target="mailto:rafael.rocha93@exemplo.com" TargetMode="External"/><Relationship Id="rId1563" Type="http://schemas.openxmlformats.org/officeDocument/2006/relationships/hyperlink" Target="mailto:larissa.carvalho96@exemplo.com" TargetMode="External"/><Relationship Id="rId1564" Type="http://schemas.openxmlformats.org/officeDocument/2006/relationships/hyperlink" Target="mailto:larissa.carvalho96@exemplo.com" TargetMode="External"/><Relationship Id="rId1114" Type="http://schemas.openxmlformats.org/officeDocument/2006/relationships/hyperlink" Target="mailto:julia.martins14@exemplo.com" TargetMode="External"/><Relationship Id="rId1598" Type="http://schemas.openxmlformats.org/officeDocument/2006/relationships/hyperlink" Target="mailto:beatriz.almeida66@exemplo.com" TargetMode="External"/><Relationship Id="rId1115" Type="http://schemas.openxmlformats.org/officeDocument/2006/relationships/hyperlink" Target="mailto:julia.martins14@exemplo.com" TargetMode="External"/><Relationship Id="rId1599" Type="http://schemas.openxmlformats.org/officeDocument/2006/relationships/hyperlink" Target="mailto:beatriz.almeida66@exemplo.com" TargetMode="External"/><Relationship Id="rId1116" Type="http://schemas.openxmlformats.org/officeDocument/2006/relationships/hyperlink" Target="mailto:julia.martins14@exemplo.com" TargetMode="External"/><Relationship Id="rId1117" Type="http://schemas.openxmlformats.org/officeDocument/2006/relationships/hyperlink" Target="mailto:julia.martins14@exemplo.com" TargetMode="External"/><Relationship Id="rId1118" Type="http://schemas.openxmlformats.org/officeDocument/2006/relationships/hyperlink" Target="mailto:julia.martins14@exemplo.com" TargetMode="External"/><Relationship Id="rId1119" Type="http://schemas.openxmlformats.org/officeDocument/2006/relationships/hyperlink" Target="mailto:julia.martins14@exemplo.com" TargetMode="External"/><Relationship Id="rId525" Type="http://schemas.openxmlformats.org/officeDocument/2006/relationships/hyperlink" Target="mailto:giovanna.carvalho88@exemplo.com" TargetMode="External"/><Relationship Id="rId524" Type="http://schemas.openxmlformats.org/officeDocument/2006/relationships/hyperlink" Target="mailto:giovanna.carvalho88@exemplo.com" TargetMode="External"/><Relationship Id="rId523" Type="http://schemas.openxmlformats.org/officeDocument/2006/relationships/hyperlink" Target="mailto:giovanna.carvalho88@exemplo.com" TargetMode="External"/><Relationship Id="rId522" Type="http://schemas.openxmlformats.org/officeDocument/2006/relationships/hyperlink" Target="mailto:giovanna.carvalho88@exemplo.com" TargetMode="External"/><Relationship Id="rId529" Type="http://schemas.openxmlformats.org/officeDocument/2006/relationships/hyperlink" Target="mailto:giovanna.carvalho88@exemplo.com" TargetMode="External"/><Relationship Id="rId528" Type="http://schemas.openxmlformats.org/officeDocument/2006/relationships/hyperlink" Target="mailto:giovanna.carvalho88@exemplo.com" TargetMode="External"/><Relationship Id="rId527" Type="http://schemas.openxmlformats.org/officeDocument/2006/relationships/hyperlink" Target="mailto:giovanna.carvalho88@exemplo.com" TargetMode="External"/><Relationship Id="rId526" Type="http://schemas.openxmlformats.org/officeDocument/2006/relationships/hyperlink" Target="mailto:giovanna.carvalho88@exemplo.com" TargetMode="External"/><Relationship Id="rId1590" Type="http://schemas.openxmlformats.org/officeDocument/2006/relationships/hyperlink" Target="mailto:beatriz.almeida66@exemplo.com" TargetMode="External"/><Relationship Id="rId1591" Type="http://schemas.openxmlformats.org/officeDocument/2006/relationships/hyperlink" Target="mailto:beatriz.almeida66@exemplo.com" TargetMode="External"/><Relationship Id="rId1592" Type="http://schemas.openxmlformats.org/officeDocument/2006/relationships/hyperlink" Target="mailto:beatriz.almeida66@exemplo.com" TargetMode="External"/><Relationship Id="rId1593" Type="http://schemas.openxmlformats.org/officeDocument/2006/relationships/hyperlink" Target="mailto:beatriz.almeida66@exemplo.com" TargetMode="External"/><Relationship Id="rId521" Type="http://schemas.openxmlformats.org/officeDocument/2006/relationships/hyperlink" Target="mailto:gabriela.melo17@exemplo.com" TargetMode="External"/><Relationship Id="rId1110" Type="http://schemas.openxmlformats.org/officeDocument/2006/relationships/hyperlink" Target="mailto:julia.martins14@exemplo.com" TargetMode="External"/><Relationship Id="rId1594" Type="http://schemas.openxmlformats.org/officeDocument/2006/relationships/hyperlink" Target="mailto:beatriz.almeida66@exemplo.com" TargetMode="External"/><Relationship Id="rId520" Type="http://schemas.openxmlformats.org/officeDocument/2006/relationships/hyperlink" Target="mailto:gabriela.melo17@exemplo.com" TargetMode="External"/><Relationship Id="rId1111" Type="http://schemas.openxmlformats.org/officeDocument/2006/relationships/hyperlink" Target="mailto:julia.martins14@exemplo.com" TargetMode="External"/><Relationship Id="rId1595" Type="http://schemas.openxmlformats.org/officeDocument/2006/relationships/hyperlink" Target="mailto:beatriz.almeida66@exemplo.com" TargetMode="External"/><Relationship Id="rId1112" Type="http://schemas.openxmlformats.org/officeDocument/2006/relationships/hyperlink" Target="mailto:julia.martins14@exemplo.com" TargetMode="External"/><Relationship Id="rId1596" Type="http://schemas.openxmlformats.org/officeDocument/2006/relationships/hyperlink" Target="mailto:beatriz.almeida66@exemplo.com" TargetMode="External"/><Relationship Id="rId1113" Type="http://schemas.openxmlformats.org/officeDocument/2006/relationships/hyperlink" Target="mailto:julia.martins14@exemplo.com" TargetMode="External"/><Relationship Id="rId1597" Type="http://schemas.openxmlformats.org/officeDocument/2006/relationships/hyperlink" Target="mailto:beatriz.almeida66@exemplo.com" TargetMode="External"/><Relationship Id="rId1103" Type="http://schemas.openxmlformats.org/officeDocument/2006/relationships/hyperlink" Target="mailto:julia.martins14@exemplo.com" TargetMode="External"/><Relationship Id="rId1587" Type="http://schemas.openxmlformats.org/officeDocument/2006/relationships/hyperlink" Target="mailto:beatriz.almeida66@exemplo.com" TargetMode="External"/><Relationship Id="rId1104" Type="http://schemas.openxmlformats.org/officeDocument/2006/relationships/hyperlink" Target="mailto:julia.martins14@exemplo.com" TargetMode="External"/><Relationship Id="rId1588" Type="http://schemas.openxmlformats.org/officeDocument/2006/relationships/hyperlink" Target="mailto:beatriz.almeida66@exemplo.com" TargetMode="External"/><Relationship Id="rId1105" Type="http://schemas.openxmlformats.org/officeDocument/2006/relationships/hyperlink" Target="mailto:julia.martins14@exemplo.com" TargetMode="External"/><Relationship Id="rId1589" Type="http://schemas.openxmlformats.org/officeDocument/2006/relationships/hyperlink" Target="mailto:beatriz.almeida66@exemplo.com" TargetMode="External"/><Relationship Id="rId1106" Type="http://schemas.openxmlformats.org/officeDocument/2006/relationships/hyperlink" Target="mailto:julia.martins14@exemplo.com" TargetMode="External"/><Relationship Id="rId1107" Type="http://schemas.openxmlformats.org/officeDocument/2006/relationships/hyperlink" Target="mailto:julia.martins14@exemplo.com" TargetMode="External"/><Relationship Id="rId1108" Type="http://schemas.openxmlformats.org/officeDocument/2006/relationships/hyperlink" Target="mailto:julia.martins14@exemplo.com" TargetMode="External"/><Relationship Id="rId1109" Type="http://schemas.openxmlformats.org/officeDocument/2006/relationships/hyperlink" Target="mailto:julia.martins14@exemplo.com" TargetMode="External"/><Relationship Id="rId519" Type="http://schemas.openxmlformats.org/officeDocument/2006/relationships/hyperlink" Target="mailto:gabriela.melo17@exemplo.com" TargetMode="External"/><Relationship Id="rId514" Type="http://schemas.openxmlformats.org/officeDocument/2006/relationships/hyperlink" Target="mailto:gabriela.melo17@exemplo.com" TargetMode="External"/><Relationship Id="rId998" Type="http://schemas.openxmlformats.org/officeDocument/2006/relationships/hyperlink" Target="mailto:camila.rocha10@exemplo.com" TargetMode="External"/><Relationship Id="rId513" Type="http://schemas.openxmlformats.org/officeDocument/2006/relationships/hyperlink" Target="mailto:gabriela.melo17@exemplo.com" TargetMode="External"/><Relationship Id="rId997" Type="http://schemas.openxmlformats.org/officeDocument/2006/relationships/hyperlink" Target="mailto:camila.rocha10@exemplo.com" TargetMode="External"/><Relationship Id="rId512" Type="http://schemas.openxmlformats.org/officeDocument/2006/relationships/hyperlink" Target="mailto:gabriela.melo17@exemplo.com" TargetMode="External"/><Relationship Id="rId996" Type="http://schemas.openxmlformats.org/officeDocument/2006/relationships/hyperlink" Target="mailto:camila.rocha10@exemplo.com" TargetMode="External"/><Relationship Id="rId511" Type="http://schemas.openxmlformats.org/officeDocument/2006/relationships/hyperlink" Target="mailto:gabriela.melo17@exemplo.com" TargetMode="External"/><Relationship Id="rId995" Type="http://schemas.openxmlformats.org/officeDocument/2006/relationships/hyperlink" Target="mailto:camila.rocha10@exemplo.com" TargetMode="External"/><Relationship Id="rId518" Type="http://schemas.openxmlformats.org/officeDocument/2006/relationships/hyperlink" Target="mailto:gabriela.melo17@exemplo.com" TargetMode="External"/><Relationship Id="rId517" Type="http://schemas.openxmlformats.org/officeDocument/2006/relationships/hyperlink" Target="mailto:gabriela.melo17@exemplo.com" TargetMode="External"/><Relationship Id="rId516" Type="http://schemas.openxmlformats.org/officeDocument/2006/relationships/hyperlink" Target="mailto:gabriela.melo17@exemplo.com" TargetMode="External"/><Relationship Id="rId515" Type="http://schemas.openxmlformats.org/officeDocument/2006/relationships/hyperlink" Target="mailto:gabriela.melo17@exemplo.com" TargetMode="External"/><Relationship Id="rId999" Type="http://schemas.openxmlformats.org/officeDocument/2006/relationships/hyperlink" Target="mailto:camila.rocha10@exemplo.com" TargetMode="External"/><Relationship Id="rId990" Type="http://schemas.openxmlformats.org/officeDocument/2006/relationships/hyperlink" Target="mailto:camila.rocha10@exemplo.com" TargetMode="External"/><Relationship Id="rId1580" Type="http://schemas.openxmlformats.org/officeDocument/2006/relationships/hyperlink" Target="mailto:larissa.carvalho96@exemplo.com" TargetMode="External"/><Relationship Id="rId1581" Type="http://schemas.openxmlformats.org/officeDocument/2006/relationships/hyperlink" Target="mailto:larissa.carvalho96@exemplo.com" TargetMode="External"/><Relationship Id="rId1582" Type="http://schemas.openxmlformats.org/officeDocument/2006/relationships/hyperlink" Target="mailto:beatriz.almeida66@exemplo.com" TargetMode="External"/><Relationship Id="rId510" Type="http://schemas.openxmlformats.org/officeDocument/2006/relationships/hyperlink" Target="mailto:gabriela.melo17@exemplo.com" TargetMode="External"/><Relationship Id="rId994" Type="http://schemas.openxmlformats.org/officeDocument/2006/relationships/hyperlink" Target="mailto:camila.rocha10@exemplo.com" TargetMode="External"/><Relationship Id="rId1583" Type="http://schemas.openxmlformats.org/officeDocument/2006/relationships/hyperlink" Target="mailto:beatriz.almeida66@exemplo.com" TargetMode="External"/><Relationship Id="rId993" Type="http://schemas.openxmlformats.org/officeDocument/2006/relationships/hyperlink" Target="mailto:camila.rocha10@exemplo.com" TargetMode="External"/><Relationship Id="rId1100" Type="http://schemas.openxmlformats.org/officeDocument/2006/relationships/hyperlink" Target="mailto:amanda.santos76@exemplo.com" TargetMode="External"/><Relationship Id="rId1584" Type="http://schemas.openxmlformats.org/officeDocument/2006/relationships/hyperlink" Target="mailto:beatriz.almeida66@exemplo.com" TargetMode="External"/><Relationship Id="rId992" Type="http://schemas.openxmlformats.org/officeDocument/2006/relationships/hyperlink" Target="mailto:camila.rocha10@exemplo.com" TargetMode="External"/><Relationship Id="rId1101" Type="http://schemas.openxmlformats.org/officeDocument/2006/relationships/hyperlink" Target="mailto:amanda.santos76@exemplo.com" TargetMode="External"/><Relationship Id="rId1585" Type="http://schemas.openxmlformats.org/officeDocument/2006/relationships/hyperlink" Target="mailto:beatriz.almeida66@exemplo.com" TargetMode="External"/><Relationship Id="rId991" Type="http://schemas.openxmlformats.org/officeDocument/2006/relationships/hyperlink" Target="mailto:camila.rocha10@exemplo.com" TargetMode="External"/><Relationship Id="rId1102" Type="http://schemas.openxmlformats.org/officeDocument/2006/relationships/hyperlink" Target="mailto:julia.martins14@exemplo.com" TargetMode="External"/><Relationship Id="rId1586" Type="http://schemas.openxmlformats.org/officeDocument/2006/relationships/hyperlink" Target="mailto:beatriz.almeida66@exemplo.com" TargetMode="External"/><Relationship Id="rId1532" Type="http://schemas.openxmlformats.org/officeDocument/2006/relationships/hyperlink" Target="mailto:larissa.gomes98@exemplo.com" TargetMode="External"/><Relationship Id="rId1533" Type="http://schemas.openxmlformats.org/officeDocument/2006/relationships/hyperlink" Target="mailto:larissa.gomes98@exemplo.com" TargetMode="External"/><Relationship Id="rId1534" Type="http://schemas.openxmlformats.org/officeDocument/2006/relationships/hyperlink" Target="mailto:larissa.gomes98@exemplo.com" TargetMode="External"/><Relationship Id="rId1535" Type="http://schemas.openxmlformats.org/officeDocument/2006/relationships/hyperlink" Target="mailto:larissa.gomes98@exemplo.com" TargetMode="External"/><Relationship Id="rId1536" Type="http://schemas.openxmlformats.org/officeDocument/2006/relationships/hyperlink" Target="mailto:larissa.gomes98@exemplo.com" TargetMode="External"/><Relationship Id="rId1537" Type="http://schemas.openxmlformats.org/officeDocument/2006/relationships/hyperlink" Target="mailto:larissa.gomes98@exemplo.com" TargetMode="External"/><Relationship Id="rId1538" Type="http://schemas.openxmlformats.org/officeDocument/2006/relationships/hyperlink" Target="mailto:larissa.gomes98@exemplo.com" TargetMode="External"/><Relationship Id="rId1539" Type="http://schemas.openxmlformats.org/officeDocument/2006/relationships/hyperlink" Target="mailto:larissa.gomes98@exemplo.com" TargetMode="External"/><Relationship Id="rId949" Type="http://schemas.openxmlformats.org/officeDocument/2006/relationships/hyperlink" Target="mailto:sofia.melo78@exemplo.com" TargetMode="External"/><Relationship Id="rId948" Type="http://schemas.openxmlformats.org/officeDocument/2006/relationships/hyperlink" Target="mailto:sofia.melo78@exemplo.com" TargetMode="External"/><Relationship Id="rId943" Type="http://schemas.openxmlformats.org/officeDocument/2006/relationships/hyperlink" Target="mailto:sofia.melo78@exemplo.com" TargetMode="External"/><Relationship Id="rId942" Type="http://schemas.openxmlformats.org/officeDocument/2006/relationships/hyperlink" Target="mailto:sofia.melo78@exemplo.com" TargetMode="External"/><Relationship Id="rId941" Type="http://schemas.openxmlformats.org/officeDocument/2006/relationships/hyperlink" Target="mailto:leonardo.ribeiro64@exemplo.com" TargetMode="External"/><Relationship Id="rId940" Type="http://schemas.openxmlformats.org/officeDocument/2006/relationships/hyperlink" Target="mailto:leonardo.ribeiro64@exemplo.com" TargetMode="External"/><Relationship Id="rId947" Type="http://schemas.openxmlformats.org/officeDocument/2006/relationships/hyperlink" Target="mailto:sofia.melo78@exemplo.com" TargetMode="External"/><Relationship Id="rId946" Type="http://schemas.openxmlformats.org/officeDocument/2006/relationships/hyperlink" Target="mailto:sofia.melo78@exemplo.com" TargetMode="External"/><Relationship Id="rId945" Type="http://schemas.openxmlformats.org/officeDocument/2006/relationships/hyperlink" Target="mailto:sofia.melo78@exemplo.com" TargetMode="External"/><Relationship Id="rId944" Type="http://schemas.openxmlformats.org/officeDocument/2006/relationships/hyperlink" Target="mailto:sofia.melo78@exemplo.com" TargetMode="External"/><Relationship Id="rId1530" Type="http://schemas.openxmlformats.org/officeDocument/2006/relationships/hyperlink" Target="mailto:larissa.gomes98@exemplo.com" TargetMode="External"/><Relationship Id="rId1531" Type="http://schemas.openxmlformats.org/officeDocument/2006/relationships/hyperlink" Target="mailto:larissa.gomes98@exemplo.com" TargetMode="External"/><Relationship Id="rId1521" Type="http://schemas.openxmlformats.org/officeDocument/2006/relationships/hyperlink" Target="mailto:ana.carvalho5@exemplo.com" TargetMode="External"/><Relationship Id="rId1522" Type="http://schemas.openxmlformats.org/officeDocument/2006/relationships/hyperlink" Target="mailto:larissa.gomes98@exemplo.com" TargetMode="External"/><Relationship Id="rId1523" Type="http://schemas.openxmlformats.org/officeDocument/2006/relationships/hyperlink" Target="mailto:larissa.gomes98@exemplo.com" TargetMode="External"/><Relationship Id="rId1524" Type="http://schemas.openxmlformats.org/officeDocument/2006/relationships/hyperlink" Target="mailto:larissa.gomes98@exemplo.com" TargetMode="External"/><Relationship Id="rId1525" Type="http://schemas.openxmlformats.org/officeDocument/2006/relationships/hyperlink" Target="mailto:larissa.gomes98@exemplo.com" TargetMode="External"/><Relationship Id="rId1526" Type="http://schemas.openxmlformats.org/officeDocument/2006/relationships/hyperlink" Target="mailto:larissa.gomes98@exemplo.com" TargetMode="External"/><Relationship Id="rId1527" Type="http://schemas.openxmlformats.org/officeDocument/2006/relationships/hyperlink" Target="mailto:larissa.gomes98@exemplo.com" TargetMode="External"/><Relationship Id="rId1528" Type="http://schemas.openxmlformats.org/officeDocument/2006/relationships/hyperlink" Target="mailto:larissa.gomes98@exemplo.com" TargetMode="External"/><Relationship Id="rId1529" Type="http://schemas.openxmlformats.org/officeDocument/2006/relationships/hyperlink" Target="mailto:larissa.gomes98@exemplo.com" TargetMode="External"/><Relationship Id="rId939" Type="http://schemas.openxmlformats.org/officeDocument/2006/relationships/hyperlink" Target="mailto:leonardo.ribeiro64@exemplo.com" TargetMode="External"/><Relationship Id="rId938" Type="http://schemas.openxmlformats.org/officeDocument/2006/relationships/hyperlink" Target="mailto:leonardo.ribeiro64@exemplo.com" TargetMode="External"/><Relationship Id="rId937" Type="http://schemas.openxmlformats.org/officeDocument/2006/relationships/hyperlink" Target="mailto:leonardo.ribeiro64@exemplo.com" TargetMode="External"/><Relationship Id="rId932" Type="http://schemas.openxmlformats.org/officeDocument/2006/relationships/hyperlink" Target="mailto:leonardo.ribeiro64@exemplo.com" TargetMode="External"/><Relationship Id="rId931" Type="http://schemas.openxmlformats.org/officeDocument/2006/relationships/hyperlink" Target="mailto:leonardo.ribeiro64@exemplo.com" TargetMode="External"/><Relationship Id="rId930" Type="http://schemas.openxmlformats.org/officeDocument/2006/relationships/hyperlink" Target="mailto:leonardo.ribeiro64@exemplo.com" TargetMode="External"/><Relationship Id="rId936" Type="http://schemas.openxmlformats.org/officeDocument/2006/relationships/hyperlink" Target="mailto:leonardo.ribeiro64@exemplo.com" TargetMode="External"/><Relationship Id="rId935" Type="http://schemas.openxmlformats.org/officeDocument/2006/relationships/hyperlink" Target="mailto:leonardo.ribeiro64@exemplo.com" TargetMode="External"/><Relationship Id="rId934" Type="http://schemas.openxmlformats.org/officeDocument/2006/relationships/hyperlink" Target="mailto:leonardo.ribeiro64@exemplo.com" TargetMode="External"/><Relationship Id="rId933" Type="http://schemas.openxmlformats.org/officeDocument/2006/relationships/hyperlink" Target="mailto:leonardo.ribeiro64@exemplo.com" TargetMode="External"/><Relationship Id="rId1520" Type="http://schemas.openxmlformats.org/officeDocument/2006/relationships/hyperlink" Target="mailto:ana.carvalho5@exemplo.com" TargetMode="External"/><Relationship Id="rId1554" Type="http://schemas.openxmlformats.org/officeDocument/2006/relationships/hyperlink" Target="mailto:gabriela.mendes90@exemplo.com" TargetMode="External"/><Relationship Id="rId1555" Type="http://schemas.openxmlformats.org/officeDocument/2006/relationships/hyperlink" Target="mailto:gabriela.mendes90@exemplo.com" TargetMode="External"/><Relationship Id="rId1556" Type="http://schemas.openxmlformats.org/officeDocument/2006/relationships/hyperlink" Target="mailto:gabriela.mendes90@exemplo.com" TargetMode="External"/><Relationship Id="rId1557" Type="http://schemas.openxmlformats.org/officeDocument/2006/relationships/hyperlink" Target="mailto:gabriela.mendes90@exemplo.com" TargetMode="External"/><Relationship Id="rId1558" Type="http://schemas.openxmlformats.org/officeDocument/2006/relationships/hyperlink" Target="mailto:gabriela.mendes90@exemplo.com" TargetMode="External"/><Relationship Id="rId1559" Type="http://schemas.openxmlformats.org/officeDocument/2006/relationships/hyperlink" Target="mailto:gabriela.mendes90@exemplo.com" TargetMode="External"/><Relationship Id="rId965" Type="http://schemas.openxmlformats.org/officeDocument/2006/relationships/hyperlink" Target="mailto:rafael.rocha93@exemplo.com" TargetMode="External"/><Relationship Id="rId964" Type="http://schemas.openxmlformats.org/officeDocument/2006/relationships/hyperlink" Target="mailto:rafael.rocha93@exemplo.com" TargetMode="External"/><Relationship Id="rId963" Type="http://schemas.openxmlformats.org/officeDocument/2006/relationships/hyperlink" Target="mailto:rafael.rocha93@exemplo.com" TargetMode="External"/><Relationship Id="rId962" Type="http://schemas.openxmlformats.org/officeDocument/2006/relationships/hyperlink" Target="mailto:rafael.rocha93@exemplo.com" TargetMode="External"/><Relationship Id="rId969" Type="http://schemas.openxmlformats.org/officeDocument/2006/relationships/hyperlink" Target="mailto:rafael.rocha93@exemplo.com" TargetMode="External"/><Relationship Id="rId968" Type="http://schemas.openxmlformats.org/officeDocument/2006/relationships/hyperlink" Target="mailto:rafael.rocha93@exemplo.com" TargetMode="External"/><Relationship Id="rId967" Type="http://schemas.openxmlformats.org/officeDocument/2006/relationships/hyperlink" Target="mailto:rafael.rocha93@exemplo.com" TargetMode="External"/><Relationship Id="rId966" Type="http://schemas.openxmlformats.org/officeDocument/2006/relationships/hyperlink" Target="mailto:rafael.rocha93@exemplo.com" TargetMode="External"/><Relationship Id="rId961" Type="http://schemas.openxmlformats.org/officeDocument/2006/relationships/hyperlink" Target="mailto:sofia.melo78@exemplo.com" TargetMode="External"/><Relationship Id="rId1550" Type="http://schemas.openxmlformats.org/officeDocument/2006/relationships/hyperlink" Target="mailto:gabriela.mendes90@exemplo.com" TargetMode="External"/><Relationship Id="rId960" Type="http://schemas.openxmlformats.org/officeDocument/2006/relationships/hyperlink" Target="mailto:sofia.melo78@exemplo.com" TargetMode="External"/><Relationship Id="rId1551" Type="http://schemas.openxmlformats.org/officeDocument/2006/relationships/hyperlink" Target="mailto:gabriela.mendes90@exemplo.com" TargetMode="External"/><Relationship Id="rId1552" Type="http://schemas.openxmlformats.org/officeDocument/2006/relationships/hyperlink" Target="mailto:gabriela.mendes90@exemplo.com" TargetMode="External"/><Relationship Id="rId1553" Type="http://schemas.openxmlformats.org/officeDocument/2006/relationships/hyperlink" Target="mailto:gabriela.mendes90@exemplo.com" TargetMode="External"/><Relationship Id="rId1543" Type="http://schemas.openxmlformats.org/officeDocument/2006/relationships/hyperlink" Target="mailto:gabriela.mendes90@exemplo.com" TargetMode="External"/><Relationship Id="rId1544" Type="http://schemas.openxmlformats.org/officeDocument/2006/relationships/hyperlink" Target="mailto:gabriela.mendes90@exemplo.com" TargetMode="External"/><Relationship Id="rId1545" Type="http://schemas.openxmlformats.org/officeDocument/2006/relationships/hyperlink" Target="mailto:gabriela.mendes90@exemplo.com" TargetMode="External"/><Relationship Id="rId1546" Type="http://schemas.openxmlformats.org/officeDocument/2006/relationships/hyperlink" Target="mailto:gabriela.mendes90@exemplo.com" TargetMode="External"/><Relationship Id="rId1547" Type="http://schemas.openxmlformats.org/officeDocument/2006/relationships/hyperlink" Target="mailto:gabriela.mendes90@exemplo.com" TargetMode="External"/><Relationship Id="rId1548" Type="http://schemas.openxmlformats.org/officeDocument/2006/relationships/hyperlink" Target="mailto:gabriela.mendes90@exemplo.com" TargetMode="External"/><Relationship Id="rId1549" Type="http://schemas.openxmlformats.org/officeDocument/2006/relationships/hyperlink" Target="mailto:gabriela.mendes90@exemplo.com" TargetMode="External"/><Relationship Id="rId959" Type="http://schemas.openxmlformats.org/officeDocument/2006/relationships/hyperlink" Target="mailto:sofia.melo78@exemplo.com" TargetMode="External"/><Relationship Id="rId954" Type="http://schemas.openxmlformats.org/officeDocument/2006/relationships/hyperlink" Target="mailto:sofia.melo78@exemplo.com" TargetMode="External"/><Relationship Id="rId953" Type="http://schemas.openxmlformats.org/officeDocument/2006/relationships/hyperlink" Target="mailto:sofia.melo78@exemplo.com" TargetMode="External"/><Relationship Id="rId952" Type="http://schemas.openxmlformats.org/officeDocument/2006/relationships/hyperlink" Target="mailto:sofia.melo78@exemplo.com" TargetMode="External"/><Relationship Id="rId951" Type="http://schemas.openxmlformats.org/officeDocument/2006/relationships/hyperlink" Target="mailto:sofia.melo78@exemplo.com" TargetMode="External"/><Relationship Id="rId958" Type="http://schemas.openxmlformats.org/officeDocument/2006/relationships/hyperlink" Target="mailto:sofia.melo78@exemplo.com" TargetMode="External"/><Relationship Id="rId957" Type="http://schemas.openxmlformats.org/officeDocument/2006/relationships/hyperlink" Target="mailto:sofia.melo78@exemplo.com" TargetMode="External"/><Relationship Id="rId956" Type="http://schemas.openxmlformats.org/officeDocument/2006/relationships/hyperlink" Target="mailto:sofia.melo78@exemplo.com" TargetMode="External"/><Relationship Id="rId955" Type="http://schemas.openxmlformats.org/officeDocument/2006/relationships/hyperlink" Target="mailto:sofia.melo78@exemplo.com" TargetMode="External"/><Relationship Id="rId950" Type="http://schemas.openxmlformats.org/officeDocument/2006/relationships/hyperlink" Target="mailto:sofia.melo78@exemplo.com" TargetMode="External"/><Relationship Id="rId1540" Type="http://schemas.openxmlformats.org/officeDocument/2006/relationships/hyperlink" Target="mailto:larissa.gomes98@exemplo.com" TargetMode="External"/><Relationship Id="rId1541" Type="http://schemas.openxmlformats.org/officeDocument/2006/relationships/hyperlink" Target="mailto:larissa.gomes98@exemplo.com" TargetMode="External"/><Relationship Id="rId1542" Type="http://schemas.openxmlformats.org/officeDocument/2006/relationships/hyperlink" Target="mailto:gabriela.mendes90@exemplo.com" TargetMode="External"/><Relationship Id="rId590" Type="http://schemas.openxmlformats.org/officeDocument/2006/relationships/hyperlink" Target="mailto:larissa.gomes94@exemplo.com" TargetMode="External"/><Relationship Id="rId107" Type="http://schemas.openxmlformats.org/officeDocument/2006/relationships/hyperlink" Target="mailto:ana.santos99@exemplo.com" TargetMode="External"/><Relationship Id="rId106" Type="http://schemas.openxmlformats.org/officeDocument/2006/relationships/hyperlink" Target="mailto:ana.santos99@exemplo.com" TargetMode="External"/><Relationship Id="rId105" Type="http://schemas.openxmlformats.org/officeDocument/2006/relationships/hyperlink" Target="mailto:ana.santos99@exemplo.com" TargetMode="External"/><Relationship Id="rId589" Type="http://schemas.openxmlformats.org/officeDocument/2006/relationships/hyperlink" Target="mailto:larissa.gomes94@exemplo.com" TargetMode="External"/><Relationship Id="rId104" Type="http://schemas.openxmlformats.org/officeDocument/2006/relationships/hyperlink" Target="mailto:ana.santos99@exemplo.com" TargetMode="External"/><Relationship Id="rId588" Type="http://schemas.openxmlformats.org/officeDocument/2006/relationships/hyperlink" Target="mailto:larissa.gomes94@exemplo.com" TargetMode="External"/><Relationship Id="rId109" Type="http://schemas.openxmlformats.org/officeDocument/2006/relationships/hyperlink" Target="mailto:ana.santos99@exemplo.com" TargetMode="External"/><Relationship Id="rId1170" Type="http://schemas.openxmlformats.org/officeDocument/2006/relationships/hyperlink" Target="mailto:ana.oliveira96@exemplo.com" TargetMode="External"/><Relationship Id="rId108" Type="http://schemas.openxmlformats.org/officeDocument/2006/relationships/hyperlink" Target="mailto:ana.santos99@exemplo.com" TargetMode="External"/><Relationship Id="rId1171" Type="http://schemas.openxmlformats.org/officeDocument/2006/relationships/hyperlink" Target="mailto:ana.oliveira96@exemplo.com" TargetMode="External"/><Relationship Id="rId583" Type="http://schemas.openxmlformats.org/officeDocument/2006/relationships/hyperlink" Target="mailto:larissa.gomes94@exemplo.com" TargetMode="External"/><Relationship Id="rId1172" Type="http://schemas.openxmlformats.org/officeDocument/2006/relationships/hyperlink" Target="mailto:ana.oliveira96@exemplo.com" TargetMode="External"/><Relationship Id="rId582" Type="http://schemas.openxmlformats.org/officeDocument/2006/relationships/hyperlink" Target="mailto:larissa.gomes94@exemplo.com" TargetMode="External"/><Relationship Id="rId1173" Type="http://schemas.openxmlformats.org/officeDocument/2006/relationships/hyperlink" Target="mailto:ana.oliveira96@exemplo.com" TargetMode="External"/><Relationship Id="rId581" Type="http://schemas.openxmlformats.org/officeDocument/2006/relationships/hyperlink" Target="mailto:gabriela.pereira44@exemplo.com" TargetMode="External"/><Relationship Id="rId1174" Type="http://schemas.openxmlformats.org/officeDocument/2006/relationships/hyperlink" Target="mailto:ana.oliveira96@exemplo.com" TargetMode="External"/><Relationship Id="rId580" Type="http://schemas.openxmlformats.org/officeDocument/2006/relationships/hyperlink" Target="mailto:gabriela.pereira44@exemplo.com" TargetMode="External"/><Relationship Id="rId1175" Type="http://schemas.openxmlformats.org/officeDocument/2006/relationships/hyperlink" Target="mailto:ana.oliveira96@exemplo.com" TargetMode="External"/><Relationship Id="rId103" Type="http://schemas.openxmlformats.org/officeDocument/2006/relationships/hyperlink" Target="mailto:ana.santos99@exemplo.com" TargetMode="External"/><Relationship Id="rId587" Type="http://schemas.openxmlformats.org/officeDocument/2006/relationships/hyperlink" Target="mailto:larissa.gomes94@exemplo.com" TargetMode="External"/><Relationship Id="rId1176" Type="http://schemas.openxmlformats.org/officeDocument/2006/relationships/hyperlink" Target="mailto:ana.oliveira96@exemplo.com" TargetMode="External"/><Relationship Id="rId102" Type="http://schemas.openxmlformats.org/officeDocument/2006/relationships/hyperlink" Target="mailto:ana.santos99@exemplo.com" TargetMode="External"/><Relationship Id="rId586" Type="http://schemas.openxmlformats.org/officeDocument/2006/relationships/hyperlink" Target="mailto:larissa.gomes94@exemplo.com" TargetMode="External"/><Relationship Id="rId1177" Type="http://schemas.openxmlformats.org/officeDocument/2006/relationships/hyperlink" Target="mailto:ana.oliveira96@exemplo.com" TargetMode="External"/><Relationship Id="rId101" Type="http://schemas.openxmlformats.org/officeDocument/2006/relationships/hyperlink" Target="mailto:bruno.rodrigues89@exemplo.com" TargetMode="External"/><Relationship Id="rId585" Type="http://schemas.openxmlformats.org/officeDocument/2006/relationships/hyperlink" Target="mailto:larissa.gomes94@exemplo.com" TargetMode="External"/><Relationship Id="rId1178" Type="http://schemas.openxmlformats.org/officeDocument/2006/relationships/hyperlink" Target="mailto:ana.oliveira96@exemplo.com" TargetMode="External"/><Relationship Id="rId100" Type="http://schemas.openxmlformats.org/officeDocument/2006/relationships/hyperlink" Target="mailto:bruno.rodrigues89@exemplo.com" TargetMode="External"/><Relationship Id="rId584" Type="http://schemas.openxmlformats.org/officeDocument/2006/relationships/hyperlink" Target="mailto:larissa.gomes94@exemplo.com" TargetMode="External"/><Relationship Id="rId1179" Type="http://schemas.openxmlformats.org/officeDocument/2006/relationships/hyperlink" Target="mailto:ana.oliveira96@exemplo.com" TargetMode="External"/><Relationship Id="rId1169" Type="http://schemas.openxmlformats.org/officeDocument/2006/relationships/hyperlink" Target="mailto:ana.oliveira96@exemplo.com" TargetMode="External"/><Relationship Id="rId579" Type="http://schemas.openxmlformats.org/officeDocument/2006/relationships/hyperlink" Target="mailto:gabriela.pereira44@exemplo.com" TargetMode="External"/><Relationship Id="rId578" Type="http://schemas.openxmlformats.org/officeDocument/2006/relationships/hyperlink" Target="mailto:gabriela.pereira44@exemplo.com" TargetMode="External"/><Relationship Id="rId577" Type="http://schemas.openxmlformats.org/officeDocument/2006/relationships/hyperlink" Target="mailto:gabriela.pereira44@exemplo.com" TargetMode="External"/><Relationship Id="rId1160" Type="http://schemas.openxmlformats.org/officeDocument/2006/relationships/hyperlink" Target="mailto:rafael.oliveira88@exemplo.com" TargetMode="External"/><Relationship Id="rId572" Type="http://schemas.openxmlformats.org/officeDocument/2006/relationships/hyperlink" Target="mailto:gabriela.pereira44@exemplo.com" TargetMode="External"/><Relationship Id="rId1161" Type="http://schemas.openxmlformats.org/officeDocument/2006/relationships/hyperlink" Target="mailto:rafael.oliveira88@exemplo.com" TargetMode="External"/><Relationship Id="rId571" Type="http://schemas.openxmlformats.org/officeDocument/2006/relationships/hyperlink" Target="mailto:gabriela.pereira44@exemplo.com" TargetMode="External"/><Relationship Id="rId1162" Type="http://schemas.openxmlformats.org/officeDocument/2006/relationships/hyperlink" Target="mailto:ana.oliveira96@exemplo.com" TargetMode="External"/><Relationship Id="rId570" Type="http://schemas.openxmlformats.org/officeDocument/2006/relationships/hyperlink" Target="mailto:gabriela.pereira44@exemplo.com" TargetMode="External"/><Relationship Id="rId1163" Type="http://schemas.openxmlformats.org/officeDocument/2006/relationships/hyperlink" Target="mailto:ana.oliveira96@exemplo.com" TargetMode="External"/><Relationship Id="rId1164" Type="http://schemas.openxmlformats.org/officeDocument/2006/relationships/hyperlink" Target="mailto:ana.oliveira96@exemplo.com" TargetMode="External"/><Relationship Id="rId576" Type="http://schemas.openxmlformats.org/officeDocument/2006/relationships/hyperlink" Target="mailto:gabriela.pereira44@exemplo.com" TargetMode="External"/><Relationship Id="rId1165" Type="http://schemas.openxmlformats.org/officeDocument/2006/relationships/hyperlink" Target="mailto:ana.oliveira96@exemplo.com" TargetMode="External"/><Relationship Id="rId575" Type="http://schemas.openxmlformats.org/officeDocument/2006/relationships/hyperlink" Target="mailto:gabriela.pereira44@exemplo.com" TargetMode="External"/><Relationship Id="rId1166" Type="http://schemas.openxmlformats.org/officeDocument/2006/relationships/hyperlink" Target="mailto:ana.oliveira96@exemplo.com" TargetMode="External"/><Relationship Id="rId574" Type="http://schemas.openxmlformats.org/officeDocument/2006/relationships/hyperlink" Target="mailto:gabriela.pereira44@exemplo.com" TargetMode="External"/><Relationship Id="rId1167" Type="http://schemas.openxmlformats.org/officeDocument/2006/relationships/hyperlink" Target="mailto:ana.oliveira96@exemplo.com" TargetMode="External"/><Relationship Id="rId573" Type="http://schemas.openxmlformats.org/officeDocument/2006/relationships/hyperlink" Target="mailto:gabriela.pereira44@exemplo.com" TargetMode="External"/><Relationship Id="rId1168" Type="http://schemas.openxmlformats.org/officeDocument/2006/relationships/hyperlink" Target="mailto:ana.oliveira96@exemplo.com" TargetMode="External"/><Relationship Id="rId129" Type="http://schemas.openxmlformats.org/officeDocument/2006/relationships/hyperlink" Target="mailto:marcos.rocha41@exemplo.com" TargetMode="External"/><Relationship Id="rId128" Type="http://schemas.openxmlformats.org/officeDocument/2006/relationships/hyperlink" Target="mailto:marcos.rocha41@exemplo.com" TargetMode="External"/><Relationship Id="rId127" Type="http://schemas.openxmlformats.org/officeDocument/2006/relationships/hyperlink" Target="mailto:marcos.rocha41@exemplo.com" TargetMode="External"/><Relationship Id="rId126" Type="http://schemas.openxmlformats.org/officeDocument/2006/relationships/hyperlink" Target="mailto:marcos.rocha41@exemplo.com" TargetMode="External"/><Relationship Id="rId1190" Type="http://schemas.openxmlformats.org/officeDocument/2006/relationships/hyperlink" Target="mailto:marcos.costa57@exemplo.com" TargetMode="External"/><Relationship Id="rId1191" Type="http://schemas.openxmlformats.org/officeDocument/2006/relationships/hyperlink" Target="mailto:marcos.costa57@exemplo.com" TargetMode="External"/><Relationship Id="rId1192" Type="http://schemas.openxmlformats.org/officeDocument/2006/relationships/hyperlink" Target="mailto:marcos.costa57@exemplo.com" TargetMode="External"/><Relationship Id="rId1193" Type="http://schemas.openxmlformats.org/officeDocument/2006/relationships/hyperlink" Target="mailto:marcos.costa57@exemplo.com" TargetMode="External"/><Relationship Id="rId121" Type="http://schemas.openxmlformats.org/officeDocument/2006/relationships/hyperlink" Target="mailto:ana.santos99@exemplo.com" TargetMode="External"/><Relationship Id="rId1194" Type="http://schemas.openxmlformats.org/officeDocument/2006/relationships/hyperlink" Target="mailto:marcos.costa57@exemplo.com" TargetMode="External"/><Relationship Id="rId120" Type="http://schemas.openxmlformats.org/officeDocument/2006/relationships/hyperlink" Target="mailto:ana.santos99@exemplo.com" TargetMode="External"/><Relationship Id="rId1195" Type="http://schemas.openxmlformats.org/officeDocument/2006/relationships/hyperlink" Target="mailto:marcos.costa57@exemplo.com" TargetMode="External"/><Relationship Id="rId1196" Type="http://schemas.openxmlformats.org/officeDocument/2006/relationships/hyperlink" Target="mailto:marcos.costa57@exemplo.com" TargetMode="External"/><Relationship Id="rId1197" Type="http://schemas.openxmlformats.org/officeDocument/2006/relationships/hyperlink" Target="mailto:marcos.costa57@exemplo.com" TargetMode="External"/><Relationship Id="rId125" Type="http://schemas.openxmlformats.org/officeDocument/2006/relationships/hyperlink" Target="mailto:marcos.rocha41@exemplo.com" TargetMode="External"/><Relationship Id="rId1198" Type="http://schemas.openxmlformats.org/officeDocument/2006/relationships/hyperlink" Target="mailto:marcos.costa57@exemplo.com" TargetMode="External"/><Relationship Id="rId124" Type="http://schemas.openxmlformats.org/officeDocument/2006/relationships/hyperlink" Target="mailto:marcos.rocha41@exemplo.com" TargetMode="External"/><Relationship Id="rId1199" Type="http://schemas.openxmlformats.org/officeDocument/2006/relationships/hyperlink" Target="mailto:marcos.costa57@exemplo.com" TargetMode="External"/><Relationship Id="rId123" Type="http://schemas.openxmlformats.org/officeDocument/2006/relationships/hyperlink" Target="mailto:marcos.rocha41@exemplo.com" TargetMode="External"/><Relationship Id="rId122" Type="http://schemas.openxmlformats.org/officeDocument/2006/relationships/hyperlink" Target="mailto:marcos.rocha41@exemplo.com" TargetMode="External"/><Relationship Id="rId118" Type="http://schemas.openxmlformats.org/officeDocument/2006/relationships/hyperlink" Target="mailto:ana.santos99@exemplo.com" TargetMode="External"/><Relationship Id="rId117" Type="http://schemas.openxmlformats.org/officeDocument/2006/relationships/hyperlink" Target="mailto:ana.santos99@exemplo.com" TargetMode="External"/><Relationship Id="rId116" Type="http://schemas.openxmlformats.org/officeDocument/2006/relationships/hyperlink" Target="mailto:ana.santos99@exemplo.com" TargetMode="External"/><Relationship Id="rId115" Type="http://schemas.openxmlformats.org/officeDocument/2006/relationships/hyperlink" Target="mailto:ana.santos99@exemplo.com" TargetMode="External"/><Relationship Id="rId599" Type="http://schemas.openxmlformats.org/officeDocument/2006/relationships/hyperlink" Target="mailto:larissa.gomes94@exemplo.com" TargetMode="External"/><Relationship Id="rId1180" Type="http://schemas.openxmlformats.org/officeDocument/2006/relationships/hyperlink" Target="mailto:ana.oliveira96@exemplo.com" TargetMode="External"/><Relationship Id="rId1181" Type="http://schemas.openxmlformats.org/officeDocument/2006/relationships/hyperlink" Target="mailto:ana.oliveira96@exemplo.com" TargetMode="External"/><Relationship Id="rId119" Type="http://schemas.openxmlformats.org/officeDocument/2006/relationships/hyperlink" Target="mailto:ana.santos99@exemplo.com" TargetMode="External"/><Relationship Id="rId1182" Type="http://schemas.openxmlformats.org/officeDocument/2006/relationships/hyperlink" Target="mailto:marcos.costa57@exemplo.com" TargetMode="External"/><Relationship Id="rId110" Type="http://schemas.openxmlformats.org/officeDocument/2006/relationships/hyperlink" Target="mailto:ana.santos99@exemplo.com" TargetMode="External"/><Relationship Id="rId594" Type="http://schemas.openxmlformats.org/officeDocument/2006/relationships/hyperlink" Target="mailto:larissa.gomes94@exemplo.com" TargetMode="External"/><Relationship Id="rId1183" Type="http://schemas.openxmlformats.org/officeDocument/2006/relationships/hyperlink" Target="mailto:marcos.costa57@exemplo.com" TargetMode="External"/><Relationship Id="rId593" Type="http://schemas.openxmlformats.org/officeDocument/2006/relationships/hyperlink" Target="mailto:larissa.gomes94@exemplo.com" TargetMode="External"/><Relationship Id="rId1184" Type="http://schemas.openxmlformats.org/officeDocument/2006/relationships/hyperlink" Target="mailto:marcos.costa57@exemplo.com" TargetMode="External"/><Relationship Id="rId592" Type="http://schemas.openxmlformats.org/officeDocument/2006/relationships/hyperlink" Target="mailto:larissa.gomes94@exemplo.com" TargetMode="External"/><Relationship Id="rId1185" Type="http://schemas.openxmlformats.org/officeDocument/2006/relationships/hyperlink" Target="mailto:marcos.costa57@exemplo.com" TargetMode="External"/><Relationship Id="rId591" Type="http://schemas.openxmlformats.org/officeDocument/2006/relationships/hyperlink" Target="mailto:larissa.gomes94@exemplo.com" TargetMode="External"/><Relationship Id="rId1186" Type="http://schemas.openxmlformats.org/officeDocument/2006/relationships/hyperlink" Target="mailto:marcos.costa57@exemplo.com" TargetMode="External"/><Relationship Id="rId114" Type="http://schemas.openxmlformats.org/officeDocument/2006/relationships/hyperlink" Target="mailto:ana.santos99@exemplo.com" TargetMode="External"/><Relationship Id="rId598" Type="http://schemas.openxmlformats.org/officeDocument/2006/relationships/hyperlink" Target="mailto:larissa.gomes94@exemplo.com" TargetMode="External"/><Relationship Id="rId1187" Type="http://schemas.openxmlformats.org/officeDocument/2006/relationships/hyperlink" Target="mailto:marcos.costa57@exemplo.com" TargetMode="External"/><Relationship Id="rId113" Type="http://schemas.openxmlformats.org/officeDocument/2006/relationships/hyperlink" Target="mailto:ana.santos99@exemplo.com" TargetMode="External"/><Relationship Id="rId597" Type="http://schemas.openxmlformats.org/officeDocument/2006/relationships/hyperlink" Target="mailto:larissa.gomes94@exemplo.com" TargetMode="External"/><Relationship Id="rId1188" Type="http://schemas.openxmlformats.org/officeDocument/2006/relationships/hyperlink" Target="mailto:marcos.costa57@exemplo.com" TargetMode="External"/><Relationship Id="rId112" Type="http://schemas.openxmlformats.org/officeDocument/2006/relationships/hyperlink" Target="mailto:ana.santos99@exemplo.com" TargetMode="External"/><Relationship Id="rId596" Type="http://schemas.openxmlformats.org/officeDocument/2006/relationships/hyperlink" Target="mailto:larissa.gomes94@exemplo.com" TargetMode="External"/><Relationship Id="rId1189" Type="http://schemas.openxmlformats.org/officeDocument/2006/relationships/hyperlink" Target="mailto:marcos.costa57@exemplo.com" TargetMode="External"/><Relationship Id="rId111" Type="http://schemas.openxmlformats.org/officeDocument/2006/relationships/hyperlink" Target="mailto:ana.santos99@exemplo.com" TargetMode="External"/><Relationship Id="rId595" Type="http://schemas.openxmlformats.org/officeDocument/2006/relationships/hyperlink" Target="mailto:larissa.gomes94@exemplo.com" TargetMode="External"/><Relationship Id="rId1136" Type="http://schemas.openxmlformats.org/officeDocument/2006/relationships/hyperlink" Target="mailto:clara.pereira12@exemplo.com" TargetMode="External"/><Relationship Id="rId1137" Type="http://schemas.openxmlformats.org/officeDocument/2006/relationships/hyperlink" Target="mailto:clara.pereira12@exemplo.com" TargetMode="External"/><Relationship Id="rId1138" Type="http://schemas.openxmlformats.org/officeDocument/2006/relationships/hyperlink" Target="mailto:clara.pereira12@exemplo.com" TargetMode="External"/><Relationship Id="rId1139" Type="http://schemas.openxmlformats.org/officeDocument/2006/relationships/hyperlink" Target="mailto:clara.pereira12@exemplo.com" TargetMode="External"/><Relationship Id="rId547" Type="http://schemas.openxmlformats.org/officeDocument/2006/relationships/hyperlink" Target="mailto:rafael.cardoso85@exemplo.com" TargetMode="External"/><Relationship Id="rId546" Type="http://schemas.openxmlformats.org/officeDocument/2006/relationships/hyperlink" Target="mailto:rafael.cardoso85@exemplo.com" TargetMode="External"/><Relationship Id="rId545" Type="http://schemas.openxmlformats.org/officeDocument/2006/relationships/hyperlink" Target="mailto:rafael.cardoso85@exemplo.com" TargetMode="External"/><Relationship Id="rId544" Type="http://schemas.openxmlformats.org/officeDocument/2006/relationships/hyperlink" Target="mailto:rafael.cardoso85@exemplo.com" TargetMode="External"/><Relationship Id="rId549" Type="http://schemas.openxmlformats.org/officeDocument/2006/relationships/hyperlink" Target="mailto:rafael.cardoso85@exemplo.com" TargetMode="External"/><Relationship Id="rId548" Type="http://schemas.openxmlformats.org/officeDocument/2006/relationships/hyperlink" Target="mailto:rafael.cardoso85@exemplo.com" TargetMode="External"/><Relationship Id="rId1130" Type="http://schemas.openxmlformats.org/officeDocument/2006/relationships/hyperlink" Target="mailto:clara.pereira12@exemplo.com" TargetMode="External"/><Relationship Id="rId1131" Type="http://schemas.openxmlformats.org/officeDocument/2006/relationships/hyperlink" Target="mailto:clara.pereira12@exemplo.com" TargetMode="External"/><Relationship Id="rId543" Type="http://schemas.openxmlformats.org/officeDocument/2006/relationships/hyperlink" Target="mailto:rafael.cardoso85@exemplo.com" TargetMode="External"/><Relationship Id="rId1132" Type="http://schemas.openxmlformats.org/officeDocument/2006/relationships/hyperlink" Target="mailto:clara.pereira12@exemplo.com" TargetMode="External"/><Relationship Id="rId542" Type="http://schemas.openxmlformats.org/officeDocument/2006/relationships/hyperlink" Target="mailto:rafael.cardoso85@exemplo.com" TargetMode="External"/><Relationship Id="rId1133" Type="http://schemas.openxmlformats.org/officeDocument/2006/relationships/hyperlink" Target="mailto:clara.pereira12@exemplo.com" TargetMode="External"/><Relationship Id="rId541" Type="http://schemas.openxmlformats.org/officeDocument/2006/relationships/hyperlink" Target="mailto:giovanna.carvalho88@exemplo.com" TargetMode="External"/><Relationship Id="rId1134" Type="http://schemas.openxmlformats.org/officeDocument/2006/relationships/hyperlink" Target="mailto:clara.pereira12@exemplo.com" TargetMode="External"/><Relationship Id="rId540" Type="http://schemas.openxmlformats.org/officeDocument/2006/relationships/hyperlink" Target="mailto:giovanna.carvalho88@exemplo.com" TargetMode="External"/><Relationship Id="rId1135" Type="http://schemas.openxmlformats.org/officeDocument/2006/relationships/hyperlink" Target="mailto:clara.pereira12@exemplo.com" TargetMode="External"/><Relationship Id="rId1125" Type="http://schemas.openxmlformats.org/officeDocument/2006/relationships/hyperlink" Target="mailto:clara.pereira12@exemplo.com" TargetMode="External"/><Relationship Id="rId1126" Type="http://schemas.openxmlformats.org/officeDocument/2006/relationships/hyperlink" Target="mailto:clara.pereira12@exemplo.com" TargetMode="External"/><Relationship Id="rId1127" Type="http://schemas.openxmlformats.org/officeDocument/2006/relationships/hyperlink" Target="mailto:clara.pereira12@exemplo.com" TargetMode="External"/><Relationship Id="rId1128" Type="http://schemas.openxmlformats.org/officeDocument/2006/relationships/hyperlink" Target="mailto:clara.pereira12@exemplo.com" TargetMode="External"/><Relationship Id="rId1129" Type="http://schemas.openxmlformats.org/officeDocument/2006/relationships/hyperlink" Target="mailto:clara.pereira12@exemplo.com" TargetMode="External"/><Relationship Id="rId536" Type="http://schemas.openxmlformats.org/officeDocument/2006/relationships/hyperlink" Target="mailto:giovanna.carvalho88@exemplo.com" TargetMode="External"/><Relationship Id="rId535" Type="http://schemas.openxmlformats.org/officeDocument/2006/relationships/hyperlink" Target="mailto:giovanna.carvalho88@exemplo.com" TargetMode="External"/><Relationship Id="rId534" Type="http://schemas.openxmlformats.org/officeDocument/2006/relationships/hyperlink" Target="mailto:giovanna.carvalho88@exemplo.com" TargetMode="External"/><Relationship Id="rId533" Type="http://schemas.openxmlformats.org/officeDocument/2006/relationships/hyperlink" Target="mailto:giovanna.carvalho88@exemplo.com" TargetMode="External"/><Relationship Id="rId539" Type="http://schemas.openxmlformats.org/officeDocument/2006/relationships/hyperlink" Target="mailto:giovanna.carvalho88@exemplo.com" TargetMode="External"/><Relationship Id="rId538" Type="http://schemas.openxmlformats.org/officeDocument/2006/relationships/hyperlink" Target="mailto:giovanna.carvalho88@exemplo.com" TargetMode="External"/><Relationship Id="rId537" Type="http://schemas.openxmlformats.org/officeDocument/2006/relationships/hyperlink" Target="mailto:giovanna.carvalho88@exemplo.com" TargetMode="External"/><Relationship Id="rId1120" Type="http://schemas.openxmlformats.org/officeDocument/2006/relationships/hyperlink" Target="mailto:julia.martins14@exemplo.com" TargetMode="External"/><Relationship Id="rId532" Type="http://schemas.openxmlformats.org/officeDocument/2006/relationships/hyperlink" Target="mailto:giovanna.carvalho88@exemplo.com" TargetMode="External"/><Relationship Id="rId1121" Type="http://schemas.openxmlformats.org/officeDocument/2006/relationships/hyperlink" Target="mailto:julia.martins14@exemplo.com" TargetMode="External"/><Relationship Id="rId531" Type="http://schemas.openxmlformats.org/officeDocument/2006/relationships/hyperlink" Target="mailto:giovanna.carvalho88@exemplo.com" TargetMode="External"/><Relationship Id="rId1122" Type="http://schemas.openxmlformats.org/officeDocument/2006/relationships/hyperlink" Target="mailto:clara.pereira12@exemplo.com" TargetMode="External"/><Relationship Id="rId530" Type="http://schemas.openxmlformats.org/officeDocument/2006/relationships/hyperlink" Target="mailto:giovanna.carvalho88@exemplo.com" TargetMode="External"/><Relationship Id="rId1123" Type="http://schemas.openxmlformats.org/officeDocument/2006/relationships/hyperlink" Target="mailto:clara.pereira12@exemplo.com" TargetMode="External"/><Relationship Id="rId1124" Type="http://schemas.openxmlformats.org/officeDocument/2006/relationships/hyperlink" Target="mailto:clara.pereira12@exemplo.com" TargetMode="External"/><Relationship Id="rId1158" Type="http://schemas.openxmlformats.org/officeDocument/2006/relationships/hyperlink" Target="mailto:rafael.oliveira88@exemplo.com" TargetMode="External"/><Relationship Id="rId1159" Type="http://schemas.openxmlformats.org/officeDocument/2006/relationships/hyperlink" Target="mailto:rafael.oliveira88@exemplo.com" TargetMode="External"/><Relationship Id="rId569" Type="http://schemas.openxmlformats.org/officeDocument/2006/relationships/hyperlink" Target="mailto:gabriela.pereira44@exemplo.com" TargetMode="External"/><Relationship Id="rId568" Type="http://schemas.openxmlformats.org/officeDocument/2006/relationships/hyperlink" Target="mailto:gabriela.pereira44@exemplo.com" TargetMode="External"/><Relationship Id="rId567" Type="http://schemas.openxmlformats.org/officeDocument/2006/relationships/hyperlink" Target="mailto:gabriela.pereira44@exemplo.com" TargetMode="External"/><Relationship Id="rId566" Type="http://schemas.openxmlformats.org/officeDocument/2006/relationships/hyperlink" Target="mailto:gabriela.pereira44@exemplo.com" TargetMode="External"/><Relationship Id="rId561" Type="http://schemas.openxmlformats.org/officeDocument/2006/relationships/hyperlink" Target="mailto:rafael.cardoso85@exemplo.com" TargetMode="External"/><Relationship Id="rId1150" Type="http://schemas.openxmlformats.org/officeDocument/2006/relationships/hyperlink" Target="mailto:rafael.oliveira88@exemplo.com" TargetMode="External"/><Relationship Id="rId560" Type="http://schemas.openxmlformats.org/officeDocument/2006/relationships/hyperlink" Target="mailto:rafael.cardoso85@exemplo.com" TargetMode="External"/><Relationship Id="rId1151" Type="http://schemas.openxmlformats.org/officeDocument/2006/relationships/hyperlink" Target="mailto:rafael.oliveira88@exemplo.com" TargetMode="External"/><Relationship Id="rId1152" Type="http://schemas.openxmlformats.org/officeDocument/2006/relationships/hyperlink" Target="mailto:rafael.oliveira88@exemplo.com" TargetMode="External"/><Relationship Id="rId1153" Type="http://schemas.openxmlformats.org/officeDocument/2006/relationships/hyperlink" Target="mailto:rafael.oliveira88@exemplo.com" TargetMode="External"/><Relationship Id="rId2000" Type="http://schemas.openxmlformats.org/officeDocument/2006/relationships/hyperlink" Target="mailto:lucas.cardoso77@exemplo.com" TargetMode="External"/><Relationship Id="rId565" Type="http://schemas.openxmlformats.org/officeDocument/2006/relationships/hyperlink" Target="mailto:gabriela.pereira44@exemplo.com" TargetMode="External"/><Relationship Id="rId1154" Type="http://schemas.openxmlformats.org/officeDocument/2006/relationships/hyperlink" Target="mailto:rafael.oliveira88@exemplo.com" TargetMode="External"/><Relationship Id="rId2001" Type="http://schemas.openxmlformats.org/officeDocument/2006/relationships/hyperlink" Target="mailto:lucas.cardoso77@exemplo.com" TargetMode="External"/><Relationship Id="rId564" Type="http://schemas.openxmlformats.org/officeDocument/2006/relationships/hyperlink" Target="mailto:gabriela.pereira44@exemplo.com" TargetMode="External"/><Relationship Id="rId1155" Type="http://schemas.openxmlformats.org/officeDocument/2006/relationships/hyperlink" Target="mailto:rafael.oliveira88@exemplo.com" TargetMode="External"/><Relationship Id="rId2002" Type="http://schemas.openxmlformats.org/officeDocument/2006/relationships/drawing" Target="../drawings/drawing3.xml"/><Relationship Id="rId563" Type="http://schemas.openxmlformats.org/officeDocument/2006/relationships/hyperlink" Target="mailto:gabriela.pereira44@exemplo.com" TargetMode="External"/><Relationship Id="rId1156" Type="http://schemas.openxmlformats.org/officeDocument/2006/relationships/hyperlink" Target="mailto:rafael.oliveira88@exemplo.com" TargetMode="External"/><Relationship Id="rId562" Type="http://schemas.openxmlformats.org/officeDocument/2006/relationships/hyperlink" Target="mailto:gabriela.pereira44@exemplo.com" TargetMode="External"/><Relationship Id="rId1157" Type="http://schemas.openxmlformats.org/officeDocument/2006/relationships/hyperlink" Target="mailto:rafael.oliveira88@exemplo.com" TargetMode="External"/><Relationship Id="rId1147" Type="http://schemas.openxmlformats.org/officeDocument/2006/relationships/hyperlink" Target="mailto:rafael.oliveira88@exemplo.com" TargetMode="External"/><Relationship Id="rId1148" Type="http://schemas.openxmlformats.org/officeDocument/2006/relationships/hyperlink" Target="mailto:rafael.oliveira88@exemplo.com" TargetMode="External"/><Relationship Id="rId1149" Type="http://schemas.openxmlformats.org/officeDocument/2006/relationships/hyperlink" Target="mailto:rafael.oliveira88@exemplo.com" TargetMode="External"/><Relationship Id="rId558" Type="http://schemas.openxmlformats.org/officeDocument/2006/relationships/hyperlink" Target="mailto:rafael.cardoso85@exemplo.com" TargetMode="External"/><Relationship Id="rId557" Type="http://schemas.openxmlformats.org/officeDocument/2006/relationships/hyperlink" Target="mailto:rafael.cardoso85@exemplo.com" TargetMode="External"/><Relationship Id="rId556" Type="http://schemas.openxmlformats.org/officeDocument/2006/relationships/hyperlink" Target="mailto:rafael.cardoso85@exemplo.com" TargetMode="External"/><Relationship Id="rId555" Type="http://schemas.openxmlformats.org/officeDocument/2006/relationships/hyperlink" Target="mailto:rafael.cardoso85@exemplo.com" TargetMode="External"/><Relationship Id="rId559" Type="http://schemas.openxmlformats.org/officeDocument/2006/relationships/hyperlink" Target="mailto:rafael.cardoso85@exemplo.com" TargetMode="External"/><Relationship Id="rId550" Type="http://schemas.openxmlformats.org/officeDocument/2006/relationships/hyperlink" Target="mailto:rafael.cardoso85@exemplo.com" TargetMode="External"/><Relationship Id="rId1140" Type="http://schemas.openxmlformats.org/officeDocument/2006/relationships/hyperlink" Target="mailto:clara.pereira12@exemplo.com" TargetMode="External"/><Relationship Id="rId1141" Type="http://schemas.openxmlformats.org/officeDocument/2006/relationships/hyperlink" Target="mailto:clara.pereira12@exemplo.com" TargetMode="External"/><Relationship Id="rId1142" Type="http://schemas.openxmlformats.org/officeDocument/2006/relationships/hyperlink" Target="mailto:rafael.oliveira88@exemplo.com" TargetMode="External"/><Relationship Id="rId554" Type="http://schemas.openxmlformats.org/officeDocument/2006/relationships/hyperlink" Target="mailto:rafael.cardoso85@exemplo.com" TargetMode="External"/><Relationship Id="rId1143" Type="http://schemas.openxmlformats.org/officeDocument/2006/relationships/hyperlink" Target="mailto:rafael.oliveira88@exemplo.com" TargetMode="External"/><Relationship Id="rId553" Type="http://schemas.openxmlformats.org/officeDocument/2006/relationships/hyperlink" Target="mailto:rafael.cardoso85@exemplo.com" TargetMode="External"/><Relationship Id="rId1144" Type="http://schemas.openxmlformats.org/officeDocument/2006/relationships/hyperlink" Target="mailto:rafael.oliveira88@exemplo.com" TargetMode="External"/><Relationship Id="rId552" Type="http://schemas.openxmlformats.org/officeDocument/2006/relationships/hyperlink" Target="mailto:rafael.cardoso85@exemplo.com" TargetMode="External"/><Relationship Id="rId1145" Type="http://schemas.openxmlformats.org/officeDocument/2006/relationships/hyperlink" Target="mailto:rafael.oliveira88@exemplo.com" TargetMode="External"/><Relationship Id="rId551" Type="http://schemas.openxmlformats.org/officeDocument/2006/relationships/hyperlink" Target="mailto:rafael.cardoso85@exemplo.com" TargetMode="External"/><Relationship Id="rId1146" Type="http://schemas.openxmlformats.org/officeDocument/2006/relationships/hyperlink" Target="mailto:rafael.oliveira88@exemplo.com" TargetMode="External"/><Relationship Id="rId495" Type="http://schemas.openxmlformats.org/officeDocument/2006/relationships/hyperlink" Target="mailto:eduardo.silva54@exemplo.com" TargetMode="External"/><Relationship Id="rId494" Type="http://schemas.openxmlformats.org/officeDocument/2006/relationships/hyperlink" Target="mailto:eduardo.silva54@exemplo.com" TargetMode="External"/><Relationship Id="rId493" Type="http://schemas.openxmlformats.org/officeDocument/2006/relationships/hyperlink" Target="mailto:eduardo.silva54@exemplo.com" TargetMode="External"/><Relationship Id="rId492" Type="http://schemas.openxmlformats.org/officeDocument/2006/relationships/hyperlink" Target="mailto:eduardo.silva54@exemplo.com" TargetMode="External"/><Relationship Id="rId499" Type="http://schemas.openxmlformats.org/officeDocument/2006/relationships/hyperlink" Target="mailto:eduardo.silva54@exemplo.com" TargetMode="External"/><Relationship Id="rId498" Type="http://schemas.openxmlformats.org/officeDocument/2006/relationships/hyperlink" Target="mailto:eduardo.silva54@exemplo.com" TargetMode="External"/><Relationship Id="rId497" Type="http://schemas.openxmlformats.org/officeDocument/2006/relationships/hyperlink" Target="mailto:eduardo.silva54@exemplo.com" TargetMode="External"/><Relationship Id="rId496" Type="http://schemas.openxmlformats.org/officeDocument/2006/relationships/hyperlink" Target="mailto:eduardo.silva54@exemplo.com" TargetMode="External"/><Relationship Id="rId1610" Type="http://schemas.openxmlformats.org/officeDocument/2006/relationships/hyperlink" Target="mailto:clara.costa91@exemplo.com" TargetMode="External"/><Relationship Id="rId1611" Type="http://schemas.openxmlformats.org/officeDocument/2006/relationships/hyperlink" Target="mailto:clara.costa91@exemplo.com" TargetMode="External"/><Relationship Id="rId1612" Type="http://schemas.openxmlformats.org/officeDocument/2006/relationships/hyperlink" Target="mailto:clara.costa91@exemplo.com" TargetMode="External"/><Relationship Id="rId1613" Type="http://schemas.openxmlformats.org/officeDocument/2006/relationships/hyperlink" Target="mailto:clara.costa91@exemplo.com" TargetMode="External"/><Relationship Id="rId1614" Type="http://schemas.openxmlformats.org/officeDocument/2006/relationships/hyperlink" Target="mailto:clara.costa91@exemplo.com" TargetMode="External"/><Relationship Id="rId1615" Type="http://schemas.openxmlformats.org/officeDocument/2006/relationships/hyperlink" Target="mailto:clara.costa91@exemplo.com" TargetMode="External"/><Relationship Id="rId1616" Type="http://schemas.openxmlformats.org/officeDocument/2006/relationships/hyperlink" Target="mailto:clara.costa91@exemplo.com" TargetMode="External"/><Relationship Id="rId907" Type="http://schemas.openxmlformats.org/officeDocument/2006/relationships/hyperlink" Target="mailto:pedro.silva50@exemplo.com" TargetMode="External"/><Relationship Id="rId1617" Type="http://schemas.openxmlformats.org/officeDocument/2006/relationships/hyperlink" Target="mailto:clara.costa91@exemplo.com" TargetMode="External"/><Relationship Id="rId906" Type="http://schemas.openxmlformats.org/officeDocument/2006/relationships/hyperlink" Target="mailto:pedro.silva50@exemplo.com" TargetMode="External"/><Relationship Id="rId1618" Type="http://schemas.openxmlformats.org/officeDocument/2006/relationships/hyperlink" Target="mailto:clara.costa91@exemplo.com" TargetMode="External"/><Relationship Id="rId905" Type="http://schemas.openxmlformats.org/officeDocument/2006/relationships/hyperlink" Target="mailto:pedro.silva50@exemplo.com" TargetMode="External"/><Relationship Id="rId1619" Type="http://schemas.openxmlformats.org/officeDocument/2006/relationships/hyperlink" Target="mailto:clara.costa91@exemplo.com" TargetMode="External"/><Relationship Id="rId904" Type="http://schemas.openxmlformats.org/officeDocument/2006/relationships/hyperlink" Target="mailto:pedro.silva50@exemplo.com" TargetMode="External"/><Relationship Id="rId909" Type="http://schemas.openxmlformats.org/officeDocument/2006/relationships/hyperlink" Target="mailto:pedro.silva50@exemplo.com" TargetMode="External"/><Relationship Id="rId908" Type="http://schemas.openxmlformats.org/officeDocument/2006/relationships/hyperlink" Target="mailto:pedro.silva50@exemplo.com" TargetMode="External"/><Relationship Id="rId903" Type="http://schemas.openxmlformats.org/officeDocument/2006/relationships/hyperlink" Target="mailto:pedro.silva50@exemplo.com" TargetMode="External"/><Relationship Id="rId902" Type="http://schemas.openxmlformats.org/officeDocument/2006/relationships/hyperlink" Target="mailto:pedro.silva50@exemplo.com" TargetMode="External"/><Relationship Id="rId901" Type="http://schemas.openxmlformats.org/officeDocument/2006/relationships/hyperlink" Target="mailto:mateus.silva8@exemplo.com" TargetMode="External"/><Relationship Id="rId900" Type="http://schemas.openxmlformats.org/officeDocument/2006/relationships/hyperlink" Target="mailto:mateus.silva8@exemplo.com" TargetMode="External"/><Relationship Id="rId1600" Type="http://schemas.openxmlformats.org/officeDocument/2006/relationships/hyperlink" Target="mailto:beatriz.almeida66@exemplo.com" TargetMode="External"/><Relationship Id="rId1601" Type="http://schemas.openxmlformats.org/officeDocument/2006/relationships/hyperlink" Target="mailto:beatriz.almeida66@exemplo.com" TargetMode="External"/><Relationship Id="rId1602" Type="http://schemas.openxmlformats.org/officeDocument/2006/relationships/hyperlink" Target="mailto:clara.costa91@exemplo.com" TargetMode="External"/><Relationship Id="rId1603" Type="http://schemas.openxmlformats.org/officeDocument/2006/relationships/hyperlink" Target="mailto:clara.costa91@exemplo.com" TargetMode="External"/><Relationship Id="rId1604" Type="http://schemas.openxmlformats.org/officeDocument/2006/relationships/hyperlink" Target="mailto:clara.costa91@exemplo.com" TargetMode="External"/><Relationship Id="rId1605" Type="http://schemas.openxmlformats.org/officeDocument/2006/relationships/hyperlink" Target="mailto:clara.costa91@exemplo.com" TargetMode="External"/><Relationship Id="rId1606" Type="http://schemas.openxmlformats.org/officeDocument/2006/relationships/hyperlink" Target="mailto:clara.costa91@exemplo.com" TargetMode="External"/><Relationship Id="rId1607" Type="http://schemas.openxmlformats.org/officeDocument/2006/relationships/hyperlink" Target="mailto:clara.costa91@exemplo.com" TargetMode="External"/><Relationship Id="rId1608" Type="http://schemas.openxmlformats.org/officeDocument/2006/relationships/hyperlink" Target="mailto:clara.costa91@exemplo.com" TargetMode="External"/><Relationship Id="rId1609" Type="http://schemas.openxmlformats.org/officeDocument/2006/relationships/hyperlink" Target="mailto:clara.costa91@exemplo.com" TargetMode="External"/><Relationship Id="rId1631" Type="http://schemas.openxmlformats.org/officeDocument/2006/relationships/hyperlink" Target="mailto:amanda.mendes49@exemplo.com" TargetMode="External"/><Relationship Id="rId1632" Type="http://schemas.openxmlformats.org/officeDocument/2006/relationships/hyperlink" Target="mailto:amanda.mendes49@exemplo.com" TargetMode="External"/><Relationship Id="rId1633" Type="http://schemas.openxmlformats.org/officeDocument/2006/relationships/hyperlink" Target="mailto:amanda.mendes49@exemplo.com" TargetMode="External"/><Relationship Id="rId1634" Type="http://schemas.openxmlformats.org/officeDocument/2006/relationships/hyperlink" Target="mailto:amanda.mendes49@exemplo.com" TargetMode="External"/><Relationship Id="rId1635" Type="http://schemas.openxmlformats.org/officeDocument/2006/relationships/hyperlink" Target="mailto:amanda.mendes49@exemplo.com" TargetMode="External"/><Relationship Id="rId1636" Type="http://schemas.openxmlformats.org/officeDocument/2006/relationships/hyperlink" Target="mailto:amanda.mendes49@exemplo.com" TargetMode="External"/><Relationship Id="rId1637" Type="http://schemas.openxmlformats.org/officeDocument/2006/relationships/hyperlink" Target="mailto:amanda.mendes49@exemplo.com" TargetMode="External"/><Relationship Id="rId1638" Type="http://schemas.openxmlformats.org/officeDocument/2006/relationships/hyperlink" Target="mailto:amanda.mendes49@exemplo.com" TargetMode="External"/><Relationship Id="rId929" Type="http://schemas.openxmlformats.org/officeDocument/2006/relationships/hyperlink" Target="mailto:leonardo.ribeiro64@exemplo.com" TargetMode="External"/><Relationship Id="rId1639" Type="http://schemas.openxmlformats.org/officeDocument/2006/relationships/hyperlink" Target="mailto:amanda.mendes49@exemplo.com" TargetMode="External"/><Relationship Id="rId928" Type="http://schemas.openxmlformats.org/officeDocument/2006/relationships/hyperlink" Target="mailto:leonardo.ribeiro64@exemplo.com" TargetMode="External"/><Relationship Id="rId927" Type="http://schemas.openxmlformats.org/officeDocument/2006/relationships/hyperlink" Target="mailto:leonardo.ribeiro64@exemplo.com" TargetMode="External"/><Relationship Id="rId926" Type="http://schemas.openxmlformats.org/officeDocument/2006/relationships/hyperlink" Target="mailto:leonardo.ribeiro64@exemplo.com" TargetMode="External"/><Relationship Id="rId921" Type="http://schemas.openxmlformats.org/officeDocument/2006/relationships/hyperlink" Target="mailto:pedro.silva50@exemplo.com" TargetMode="External"/><Relationship Id="rId920" Type="http://schemas.openxmlformats.org/officeDocument/2006/relationships/hyperlink" Target="mailto:pedro.silva50@exemplo.com" TargetMode="External"/><Relationship Id="rId925" Type="http://schemas.openxmlformats.org/officeDocument/2006/relationships/hyperlink" Target="mailto:leonardo.ribeiro64@exemplo.com" TargetMode="External"/><Relationship Id="rId924" Type="http://schemas.openxmlformats.org/officeDocument/2006/relationships/hyperlink" Target="mailto:leonardo.ribeiro64@exemplo.com" TargetMode="External"/><Relationship Id="rId923" Type="http://schemas.openxmlformats.org/officeDocument/2006/relationships/hyperlink" Target="mailto:leonardo.ribeiro64@exemplo.com" TargetMode="External"/><Relationship Id="rId922" Type="http://schemas.openxmlformats.org/officeDocument/2006/relationships/hyperlink" Target="mailto:leonardo.ribeiro64@exemplo.com" TargetMode="External"/><Relationship Id="rId1630" Type="http://schemas.openxmlformats.org/officeDocument/2006/relationships/hyperlink" Target="mailto:amanda.mendes49@exemplo.com" TargetMode="External"/><Relationship Id="rId1620" Type="http://schemas.openxmlformats.org/officeDocument/2006/relationships/hyperlink" Target="mailto:clara.costa91@exemplo.com" TargetMode="External"/><Relationship Id="rId1621" Type="http://schemas.openxmlformats.org/officeDocument/2006/relationships/hyperlink" Target="mailto:clara.costa91@exemplo.com" TargetMode="External"/><Relationship Id="rId1622" Type="http://schemas.openxmlformats.org/officeDocument/2006/relationships/hyperlink" Target="mailto:amanda.mendes49@exemplo.com" TargetMode="External"/><Relationship Id="rId1623" Type="http://schemas.openxmlformats.org/officeDocument/2006/relationships/hyperlink" Target="mailto:amanda.mendes49@exemplo.com" TargetMode="External"/><Relationship Id="rId1624" Type="http://schemas.openxmlformats.org/officeDocument/2006/relationships/hyperlink" Target="mailto:amanda.mendes49@exemplo.com" TargetMode="External"/><Relationship Id="rId1625" Type="http://schemas.openxmlformats.org/officeDocument/2006/relationships/hyperlink" Target="mailto:amanda.mendes49@exemplo.com" TargetMode="External"/><Relationship Id="rId1626" Type="http://schemas.openxmlformats.org/officeDocument/2006/relationships/hyperlink" Target="mailto:amanda.mendes49@exemplo.com" TargetMode="External"/><Relationship Id="rId1627" Type="http://schemas.openxmlformats.org/officeDocument/2006/relationships/hyperlink" Target="mailto:amanda.mendes49@exemplo.com" TargetMode="External"/><Relationship Id="rId918" Type="http://schemas.openxmlformats.org/officeDocument/2006/relationships/hyperlink" Target="mailto:pedro.silva50@exemplo.com" TargetMode="External"/><Relationship Id="rId1628" Type="http://schemas.openxmlformats.org/officeDocument/2006/relationships/hyperlink" Target="mailto:amanda.mendes49@exemplo.com" TargetMode="External"/><Relationship Id="rId917" Type="http://schemas.openxmlformats.org/officeDocument/2006/relationships/hyperlink" Target="mailto:pedro.silva50@exemplo.com" TargetMode="External"/><Relationship Id="rId1629" Type="http://schemas.openxmlformats.org/officeDocument/2006/relationships/hyperlink" Target="mailto:amanda.mendes49@exemplo.com" TargetMode="External"/><Relationship Id="rId916" Type="http://schemas.openxmlformats.org/officeDocument/2006/relationships/hyperlink" Target="mailto:pedro.silva50@exemplo.com" TargetMode="External"/><Relationship Id="rId915" Type="http://schemas.openxmlformats.org/officeDocument/2006/relationships/hyperlink" Target="mailto:pedro.silva50@exemplo.com" TargetMode="External"/><Relationship Id="rId919" Type="http://schemas.openxmlformats.org/officeDocument/2006/relationships/hyperlink" Target="mailto:pedro.silva50@exemplo.com" TargetMode="External"/><Relationship Id="rId910" Type="http://schemas.openxmlformats.org/officeDocument/2006/relationships/hyperlink" Target="mailto:pedro.silva50@exemplo.com" TargetMode="External"/><Relationship Id="rId914" Type="http://schemas.openxmlformats.org/officeDocument/2006/relationships/hyperlink" Target="mailto:pedro.silva50@exemplo.com" TargetMode="External"/><Relationship Id="rId913" Type="http://schemas.openxmlformats.org/officeDocument/2006/relationships/hyperlink" Target="mailto:pedro.silva50@exemplo.com" TargetMode="External"/><Relationship Id="rId912" Type="http://schemas.openxmlformats.org/officeDocument/2006/relationships/hyperlink" Target="mailto:pedro.silva50@exemplo.com" TargetMode="External"/><Relationship Id="rId911" Type="http://schemas.openxmlformats.org/officeDocument/2006/relationships/hyperlink" Target="mailto:pedro.silva50@exemplo.com" TargetMode="External"/><Relationship Id="rId1213" Type="http://schemas.openxmlformats.org/officeDocument/2006/relationships/hyperlink" Target="mailto:alice.machado47@exemplo.com" TargetMode="External"/><Relationship Id="rId1697" Type="http://schemas.openxmlformats.org/officeDocument/2006/relationships/hyperlink" Target="mailto:julia.santos76@exemplo.com" TargetMode="External"/><Relationship Id="rId1214" Type="http://schemas.openxmlformats.org/officeDocument/2006/relationships/hyperlink" Target="mailto:alice.machado47@exemplo.com" TargetMode="External"/><Relationship Id="rId1698" Type="http://schemas.openxmlformats.org/officeDocument/2006/relationships/hyperlink" Target="mailto:julia.santos76@exemplo.com" TargetMode="External"/><Relationship Id="rId1215" Type="http://schemas.openxmlformats.org/officeDocument/2006/relationships/hyperlink" Target="mailto:alice.machado47@exemplo.com" TargetMode="External"/><Relationship Id="rId1699" Type="http://schemas.openxmlformats.org/officeDocument/2006/relationships/hyperlink" Target="mailto:julia.santos76@exemplo.com" TargetMode="External"/><Relationship Id="rId1216" Type="http://schemas.openxmlformats.org/officeDocument/2006/relationships/hyperlink" Target="mailto:alice.machado47@exemplo.com" TargetMode="External"/><Relationship Id="rId1217" Type="http://schemas.openxmlformats.org/officeDocument/2006/relationships/hyperlink" Target="mailto:alice.machado47@exemplo.com" TargetMode="External"/><Relationship Id="rId1218" Type="http://schemas.openxmlformats.org/officeDocument/2006/relationships/hyperlink" Target="mailto:alice.machado47@exemplo.com" TargetMode="External"/><Relationship Id="rId1219" Type="http://schemas.openxmlformats.org/officeDocument/2006/relationships/hyperlink" Target="mailto:alice.machado47@exemplo.com" TargetMode="External"/><Relationship Id="rId866" Type="http://schemas.openxmlformats.org/officeDocument/2006/relationships/hyperlink" Target="mailto:leonardo.souza93@exemplo.com" TargetMode="External"/><Relationship Id="rId865" Type="http://schemas.openxmlformats.org/officeDocument/2006/relationships/hyperlink" Target="mailto:leonardo.souza93@exemplo.com" TargetMode="External"/><Relationship Id="rId864" Type="http://schemas.openxmlformats.org/officeDocument/2006/relationships/hyperlink" Target="mailto:leonardo.souza93@exemplo.com" TargetMode="External"/><Relationship Id="rId863" Type="http://schemas.openxmlformats.org/officeDocument/2006/relationships/hyperlink" Target="mailto:leonardo.souza93@exemplo.com" TargetMode="External"/><Relationship Id="rId869" Type="http://schemas.openxmlformats.org/officeDocument/2006/relationships/hyperlink" Target="mailto:leonardo.souza93@exemplo.com" TargetMode="External"/><Relationship Id="rId868" Type="http://schemas.openxmlformats.org/officeDocument/2006/relationships/hyperlink" Target="mailto:leonardo.souza93@exemplo.com" TargetMode="External"/><Relationship Id="rId867" Type="http://schemas.openxmlformats.org/officeDocument/2006/relationships/hyperlink" Target="mailto:leonardo.souza93@exemplo.com" TargetMode="External"/><Relationship Id="rId1690" Type="http://schemas.openxmlformats.org/officeDocument/2006/relationships/hyperlink" Target="mailto:julia.santos76@exemplo.com" TargetMode="External"/><Relationship Id="rId1691" Type="http://schemas.openxmlformats.org/officeDocument/2006/relationships/hyperlink" Target="mailto:julia.santos76@exemplo.com" TargetMode="External"/><Relationship Id="rId1692" Type="http://schemas.openxmlformats.org/officeDocument/2006/relationships/hyperlink" Target="mailto:julia.santos76@exemplo.com" TargetMode="External"/><Relationship Id="rId862" Type="http://schemas.openxmlformats.org/officeDocument/2006/relationships/hyperlink" Target="mailto:leonardo.souza93@exemplo.com" TargetMode="External"/><Relationship Id="rId1693" Type="http://schemas.openxmlformats.org/officeDocument/2006/relationships/hyperlink" Target="mailto:julia.santos76@exemplo.com" TargetMode="External"/><Relationship Id="rId861" Type="http://schemas.openxmlformats.org/officeDocument/2006/relationships/hyperlink" Target="mailto:luis.rocha1@exemplo.com" TargetMode="External"/><Relationship Id="rId1210" Type="http://schemas.openxmlformats.org/officeDocument/2006/relationships/hyperlink" Target="mailto:alice.machado47@exemplo.com" TargetMode="External"/><Relationship Id="rId1694" Type="http://schemas.openxmlformats.org/officeDocument/2006/relationships/hyperlink" Target="mailto:julia.santos76@exemplo.com" TargetMode="External"/><Relationship Id="rId860" Type="http://schemas.openxmlformats.org/officeDocument/2006/relationships/hyperlink" Target="mailto:luis.rocha1@exemplo.com" TargetMode="External"/><Relationship Id="rId1211" Type="http://schemas.openxmlformats.org/officeDocument/2006/relationships/hyperlink" Target="mailto:alice.machado47@exemplo.com" TargetMode="External"/><Relationship Id="rId1695" Type="http://schemas.openxmlformats.org/officeDocument/2006/relationships/hyperlink" Target="mailto:julia.santos76@exemplo.com" TargetMode="External"/><Relationship Id="rId1212" Type="http://schemas.openxmlformats.org/officeDocument/2006/relationships/hyperlink" Target="mailto:alice.machado47@exemplo.com" TargetMode="External"/><Relationship Id="rId1696" Type="http://schemas.openxmlformats.org/officeDocument/2006/relationships/hyperlink" Target="mailto:julia.santos76@exemplo.com" TargetMode="External"/><Relationship Id="rId1202" Type="http://schemas.openxmlformats.org/officeDocument/2006/relationships/hyperlink" Target="mailto:alice.machado47@exemplo.com" TargetMode="External"/><Relationship Id="rId1686" Type="http://schemas.openxmlformats.org/officeDocument/2006/relationships/hyperlink" Target="mailto:julia.santos76@exemplo.com" TargetMode="External"/><Relationship Id="rId1203" Type="http://schemas.openxmlformats.org/officeDocument/2006/relationships/hyperlink" Target="mailto:alice.machado47@exemplo.com" TargetMode="External"/><Relationship Id="rId1687" Type="http://schemas.openxmlformats.org/officeDocument/2006/relationships/hyperlink" Target="mailto:julia.santos76@exemplo.com" TargetMode="External"/><Relationship Id="rId1204" Type="http://schemas.openxmlformats.org/officeDocument/2006/relationships/hyperlink" Target="mailto:alice.machado47@exemplo.com" TargetMode="External"/><Relationship Id="rId1688" Type="http://schemas.openxmlformats.org/officeDocument/2006/relationships/hyperlink" Target="mailto:julia.santos76@exemplo.com" TargetMode="External"/><Relationship Id="rId1205" Type="http://schemas.openxmlformats.org/officeDocument/2006/relationships/hyperlink" Target="mailto:alice.machado47@exemplo.com" TargetMode="External"/><Relationship Id="rId1689" Type="http://schemas.openxmlformats.org/officeDocument/2006/relationships/hyperlink" Target="mailto:julia.santos76@exemplo.com" TargetMode="External"/><Relationship Id="rId1206" Type="http://schemas.openxmlformats.org/officeDocument/2006/relationships/hyperlink" Target="mailto:alice.machado47@exemplo.com" TargetMode="External"/><Relationship Id="rId1207" Type="http://schemas.openxmlformats.org/officeDocument/2006/relationships/hyperlink" Target="mailto:alice.machado47@exemplo.com" TargetMode="External"/><Relationship Id="rId1208" Type="http://schemas.openxmlformats.org/officeDocument/2006/relationships/hyperlink" Target="mailto:alice.machado47@exemplo.com" TargetMode="External"/><Relationship Id="rId1209" Type="http://schemas.openxmlformats.org/officeDocument/2006/relationships/hyperlink" Target="mailto:alice.machado47@exemplo.com" TargetMode="External"/><Relationship Id="rId855" Type="http://schemas.openxmlformats.org/officeDocument/2006/relationships/hyperlink" Target="mailto:luis.rocha1@exemplo.com" TargetMode="External"/><Relationship Id="rId854" Type="http://schemas.openxmlformats.org/officeDocument/2006/relationships/hyperlink" Target="mailto:luis.rocha1@exemplo.com" TargetMode="External"/><Relationship Id="rId853" Type="http://schemas.openxmlformats.org/officeDocument/2006/relationships/hyperlink" Target="mailto:luis.rocha1@exemplo.com" TargetMode="External"/><Relationship Id="rId852" Type="http://schemas.openxmlformats.org/officeDocument/2006/relationships/hyperlink" Target="mailto:luis.rocha1@exemplo.com" TargetMode="External"/><Relationship Id="rId859" Type="http://schemas.openxmlformats.org/officeDocument/2006/relationships/hyperlink" Target="mailto:luis.rocha1@exemplo.com" TargetMode="External"/><Relationship Id="rId858" Type="http://schemas.openxmlformats.org/officeDocument/2006/relationships/hyperlink" Target="mailto:luis.rocha1@exemplo.com" TargetMode="External"/><Relationship Id="rId857" Type="http://schemas.openxmlformats.org/officeDocument/2006/relationships/hyperlink" Target="mailto:luis.rocha1@exemplo.com" TargetMode="External"/><Relationship Id="rId856" Type="http://schemas.openxmlformats.org/officeDocument/2006/relationships/hyperlink" Target="mailto:luis.rocha1@exemplo.com" TargetMode="External"/><Relationship Id="rId1680" Type="http://schemas.openxmlformats.org/officeDocument/2006/relationships/hyperlink" Target="mailto:gabriel.fonseca66@exemplo.com" TargetMode="External"/><Relationship Id="rId1681" Type="http://schemas.openxmlformats.org/officeDocument/2006/relationships/hyperlink" Target="mailto:gabriel.fonseca66@exemplo.com" TargetMode="External"/><Relationship Id="rId851" Type="http://schemas.openxmlformats.org/officeDocument/2006/relationships/hyperlink" Target="mailto:luis.rocha1@exemplo.com" TargetMode="External"/><Relationship Id="rId1682" Type="http://schemas.openxmlformats.org/officeDocument/2006/relationships/hyperlink" Target="mailto:julia.santos76@exemplo.com" TargetMode="External"/><Relationship Id="rId850" Type="http://schemas.openxmlformats.org/officeDocument/2006/relationships/hyperlink" Target="mailto:luis.rocha1@exemplo.com" TargetMode="External"/><Relationship Id="rId1683" Type="http://schemas.openxmlformats.org/officeDocument/2006/relationships/hyperlink" Target="mailto:julia.santos76@exemplo.com" TargetMode="External"/><Relationship Id="rId1200" Type="http://schemas.openxmlformats.org/officeDocument/2006/relationships/hyperlink" Target="mailto:marcos.costa57@exemplo.com" TargetMode="External"/><Relationship Id="rId1684" Type="http://schemas.openxmlformats.org/officeDocument/2006/relationships/hyperlink" Target="mailto:julia.santos76@exemplo.com" TargetMode="External"/><Relationship Id="rId1201" Type="http://schemas.openxmlformats.org/officeDocument/2006/relationships/hyperlink" Target="mailto:marcos.costa57@exemplo.com" TargetMode="External"/><Relationship Id="rId1685" Type="http://schemas.openxmlformats.org/officeDocument/2006/relationships/hyperlink" Target="mailto:julia.santos76@exemplo.com" TargetMode="External"/><Relationship Id="rId1235" Type="http://schemas.openxmlformats.org/officeDocument/2006/relationships/hyperlink" Target="mailto:gabriela.almeida7@exemplo.com" TargetMode="External"/><Relationship Id="rId1236" Type="http://schemas.openxmlformats.org/officeDocument/2006/relationships/hyperlink" Target="mailto:gabriela.almeida7@exemplo.com" TargetMode="External"/><Relationship Id="rId1237" Type="http://schemas.openxmlformats.org/officeDocument/2006/relationships/hyperlink" Target="mailto:gabriela.almeida7@exemplo.com" TargetMode="External"/><Relationship Id="rId1238" Type="http://schemas.openxmlformats.org/officeDocument/2006/relationships/hyperlink" Target="mailto:gabriela.almeida7@exemplo.com" TargetMode="External"/><Relationship Id="rId1239" Type="http://schemas.openxmlformats.org/officeDocument/2006/relationships/hyperlink" Target="mailto:gabriela.almeida7@exemplo.com" TargetMode="External"/><Relationship Id="rId409" Type="http://schemas.openxmlformats.org/officeDocument/2006/relationships/hyperlink" Target="mailto:camila.pereira21@exemplo.com" TargetMode="External"/><Relationship Id="rId404" Type="http://schemas.openxmlformats.org/officeDocument/2006/relationships/hyperlink" Target="mailto:camila.pereira21@exemplo.com" TargetMode="External"/><Relationship Id="rId888" Type="http://schemas.openxmlformats.org/officeDocument/2006/relationships/hyperlink" Target="mailto:mateus.silva8@exemplo.com" TargetMode="External"/><Relationship Id="rId403" Type="http://schemas.openxmlformats.org/officeDocument/2006/relationships/hyperlink" Target="mailto:camila.pereira21@exemplo.com" TargetMode="External"/><Relationship Id="rId887" Type="http://schemas.openxmlformats.org/officeDocument/2006/relationships/hyperlink" Target="mailto:mateus.silva8@exemplo.com" TargetMode="External"/><Relationship Id="rId402" Type="http://schemas.openxmlformats.org/officeDocument/2006/relationships/hyperlink" Target="mailto:camila.pereira21@exemplo.com" TargetMode="External"/><Relationship Id="rId886" Type="http://schemas.openxmlformats.org/officeDocument/2006/relationships/hyperlink" Target="mailto:mateus.silva8@exemplo.com" TargetMode="External"/><Relationship Id="rId401" Type="http://schemas.openxmlformats.org/officeDocument/2006/relationships/hyperlink" Target="mailto:felipe.santos70@exemplo.com" TargetMode="External"/><Relationship Id="rId885" Type="http://schemas.openxmlformats.org/officeDocument/2006/relationships/hyperlink" Target="mailto:mateus.silva8@exemplo.com" TargetMode="External"/><Relationship Id="rId408" Type="http://schemas.openxmlformats.org/officeDocument/2006/relationships/hyperlink" Target="mailto:camila.pereira21@exemplo.com" TargetMode="External"/><Relationship Id="rId407" Type="http://schemas.openxmlformats.org/officeDocument/2006/relationships/hyperlink" Target="mailto:camila.pereira21@exemplo.com" TargetMode="External"/><Relationship Id="rId406" Type="http://schemas.openxmlformats.org/officeDocument/2006/relationships/hyperlink" Target="mailto:camila.pereira21@exemplo.com" TargetMode="External"/><Relationship Id="rId405" Type="http://schemas.openxmlformats.org/officeDocument/2006/relationships/hyperlink" Target="mailto:camila.pereira21@exemplo.com" TargetMode="External"/><Relationship Id="rId889" Type="http://schemas.openxmlformats.org/officeDocument/2006/relationships/hyperlink" Target="mailto:mateus.silva8@exemplo.com" TargetMode="External"/><Relationship Id="rId880" Type="http://schemas.openxmlformats.org/officeDocument/2006/relationships/hyperlink" Target="mailto:leonardo.souza93@exemplo.com" TargetMode="External"/><Relationship Id="rId1230" Type="http://schemas.openxmlformats.org/officeDocument/2006/relationships/hyperlink" Target="mailto:gabriela.almeida7@exemplo.com" TargetMode="External"/><Relationship Id="rId400" Type="http://schemas.openxmlformats.org/officeDocument/2006/relationships/hyperlink" Target="mailto:felipe.santos70@exemplo.com" TargetMode="External"/><Relationship Id="rId884" Type="http://schemas.openxmlformats.org/officeDocument/2006/relationships/hyperlink" Target="mailto:mateus.silva8@exemplo.com" TargetMode="External"/><Relationship Id="rId1231" Type="http://schemas.openxmlformats.org/officeDocument/2006/relationships/hyperlink" Target="mailto:gabriela.almeida7@exemplo.com" TargetMode="External"/><Relationship Id="rId883" Type="http://schemas.openxmlformats.org/officeDocument/2006/relationships/hyperlink" Target="mailto:mateus.silva8@exemplo.com" TargetMode="External"/><Relationship Id="rId1232" Type="http://schemas.openxmlformats.org/officeDocument/2006/relationships/hyperlink" Target="mailto:gabriela.almeida7@exemplo.com" TargetMode="External"/><Relationship Id="rId882" Type="http://schemas.openxmlformats.org/officeDocument/2006/relationships/hyperlink" Target="mailto:mateus.silva8@exemplo.com" TargetMode="External"/><Relationship Id="rId1233" Type="http://schemas.openxmlformats.org/officeDocument/2006/relationships/hyperlink" Target="mailto:gabriela.almeida7@exemplo.com" TargetMode="External"/><Relationship Id="rId881" Type="http://schemas.openxmlformats.org/officeDocument/2006/relationships/hyperlink" Target="mailto:leonardo.souza93@exemplo.com" TargetMode="External"/><Relationship Id="rId1234" Type="http://schemas.openxmlformats.org/officeDocument/2006/relationships/hyperlink" Target="mailto:gabriela.almeida7@exemplo.com" TargetMode="External"/><Relationship Id="rId1224" Type="http://schemas.openxmlformats.org/officeDocument/2006/relationships/hyperlink" Target="mailto:gabriela.almeida7@exemplo.com" TargetMode="External"/><Relationship Id="rId1225" Type="http://schemas.openxmlformats.org/officeDocument/2006/relationships/hyperlink" Target="mailto:gabriela.almeida7@exemplo.com" TargetMode="External"/><Relationship Id="rId1226" Type="http://schemas.openxmlformats.org/officeDocument/2006/relationships/hyperlink" Target="mailto:gabriela.almeida7@exemplo.com" TargetMode="External"/><Relationship Id="rId1227" Type="http://schemas.openxmlformats.org/officeDocument/2006/relationships/hyperlink" Target="mailto:gabriela.almeida7@exemplo.com" TargetMode="External"/><Relationship Id="rId1228" Type="http://schemas.openxmlformats.org/officeDocument/2006/relationships/hyperlink" Target="mailto:gabriela.almeida7@exemplo.com" TargetMode="External"/><Relationship Id="rId1229" Type="http://schemas.openxmlformats.org/officeDocument/2006/relationships/hyperlink" Target="mailto:gabriela.almeida7@exemplo.com" TargetMode="External"/><Relationship Id="rId877" Type="http://schemas.openxmlformats.org/officeDocument/2006/relationships/hyperlink" Target="mailto:leonardo.souza93@exemplo.com" TargetMode="External"/><Relationship Id="rId876" Type="http://schemas.openxmlformats.org/officeDocument/2006/relationships/hyperlink" Target="mailto:leonardo.souza93@exemplo.com" TargetMode="External"/><Relationship Id="rId875" Type="http://schemas.openxmlformats.org/officeDocument/2006/relationships/hyperlink" Target="mailto:leonardo.souza93@exemplo.com" TargetMode="External"/><Relationship Id="rId874" Type="http://schemas.openxmlformats.org/officeDocument/2006/relationships/hyperlink" Target="mailto:leonardo.souza93@exemplo.com" TargetMode="External"/><Relationship Id="rId879" Type="http://schemas.openxmlformats.org/officeDocument/2006/relationships/hyperlink" Target="mailto:leonardo.souza93@exemplo.com" TargetMode="External"/><Relationship Id="rId878" Type="http://schemas.openxmlformats.org/officeDocument/2006/relationships/hyperlink" Target="mailto:leonardo.souza93@exemplo.com" TargetMode="External"/><Relationship Id="rId873" Type="http://schemas.openxmlformats.org/officeDocument/2006/relationships/hyperlink" Target="mailto:leonardo.souza93@exemplo.com" TargetMode="External"/><Relationship Id="rId1220" Type="http://schemas.openxmlformats.org/officeDocument/2006/relationships/hyperlink" Target="mailto:alice.machado47@exemplo.com" TargetMode="External"/><Relationship Id="rId872" Type="http://schemas.openxmlformats.org/officeDocument/2006/relationships/hyperlink" Target="mailto:leonardo.souza93@exemplo.com" TargetMode="External"/><Relationship Id="rId1221" Type="http://schemas.openxmlformats.org/officeDocument/2006/relationships/hyperlink" Target="mailto:alice.machado47@exemplo.com" TargetMode="External"/><Relationship Id="rId871" Type="http://schemas.openxmlformats.org/officeDocument/2006/relationships/hyperlink" Target="mailto:leonardo.souza93@exemplo.com" TargetMode="External"/><Relationship Id="rId1222" Type="http://schemas.openxmlformats.org/officeDocument/2006/relationships/hyperlink" Target="mailto:gabriela.almeida7@exemplo.com" TargetMode="External"/><Relationship Id="rId870" Type="http://schemas.openxmlformats.org/officeDocument/2006/relationships/hyperlink" Target="mailto:leonardo.souza93@exemplo.com" TargetMode="External"/><Relationship Id="rId1223" Type="http://schemas.openxmlformats.org/officeDocument/2006/relationships/hyperlink" Target="mailto:gabriela.almeida7@exemplo.com" TargetMode="External"/><Relationship Id="rId1653" Type="http://schemas.openxmlformats.org/officeDocument/2006/relationships/hyperlink" Target="mailto:felipe.oliveira37@exemplo.com" TargetMode="External"/><Relationship Id="rId1654" Type="http://schemas.openxmlformats.org/officeDocument/2006/relationships/hyperlink" Target="mailto:felipe.oliveira37@exemplo.com" TargetMode="External"/><Relationship Id="rId1655" Type="http://schemas.openxmlformats.org/officeDocument/2006/relationships/hyperlink" Target="mailto:felipe.oliveira37@exemplo.com" TargetMode="External"/><Relationship Id="rId1656" Type="http://schemas.openxmlformats.org/officeDocument/2006/relationships/hyperlink" Target="mailto:felipe.oliveira37@exemplo.com" TargetMode="External"/><Relationship Id="rId1657" Type="http://schemas.openxmlformats.org/officeDocument/2006/relationships/hyperlink" Target="mailto:felipe.oliveira37@exemplo.com" TargetMode="External"/><Relationship Id="rId1658" Type="http://schemas.openxmlformats.org/officeDocument/2006/relationships/hyperlink" Target="mailto:felipe.oliveira37@exemplo.com" TargetMode="External"/><Relationship Id="rId1659" Type="http://schemas.openxmlformats.org/officeDocument/2006/relationships/hyperlink" Target="mailto:felipe.oliveira37@exemplo.com" TargetMode="External"/><Relationship Id="rId829" Type="http://schemas.openxmlformats.org/officeDocument/2006/relationships/hyperlink" Target="mailto:clara.pereira30@exemplo.com" TargetMode="External"/><Relationship Id="rId828" Type="http://schemas.openxmlformats.org/officeDocument/2006/relationships/hyperlink" Target="mailto:clara.pereira30@exemplo.com" TargetMode="External"/><Relationship Id="rId827" Type="http://schemas.openxmlformats.org/officeDocument/2006/relationships/hyperlink" Target="mailto:clara.pereira30@exemplo.com" TargetMode="External"/><Relationship Id="rId822" Type="http://schemas.openxmlformats.org/officeDocument/2006/relationships/hyperlink" Target="mailto:clara.pereira30@exemplo.com" TargetMode="External"/><Relationship Id="rId821" Type="http://schemas.openxmlformats.org/officeDocument/2006/relationships/hyperlink" Target="mailto:ana.ferreira30@exemplo.com" TargetMode="External"/><Relationship Id="rId820" Type="http://schemas.openxmlformats.org/officeDocument/2006/relationships/hyperlink" Target="mailto:ana.ferreira30@exemplo.com" TargetMode="External"/><Relationship Id="rId826" Type="http://schemas.openxmlformats.org/officeDocument/2006/relationships/hyperlink" Target="mailto:clara.pereira30@exemplo.com" TargetMode="External"/><Relationship Id="rId825" Type="http://schemas.openxmlformats.org/officeDocument/2006/relationships/hyperlink" Target="mailto:clara.pereira30@exemplo.com" TargetMode="External"/><Relationship Id="rId824" Type="http://schemas.openxmlformats.org/officeDocument/2006/relationships/hyperlink" Target="mailto:clara.pereira30@exemplo.com" TargetMode="External"/><Relationship Id="rId823" Type="http://schemas.openxmlformats.org/officeDocument/2006/relationships/hyperlink" Target="mailto:clara.pereira30@exemplo.com" TargetMode="External"/><Relationship Id="rId1650" Type="http://schemas.openxmlformats.org/officeDocument/2006/relationships/hyperlink" Target="mailto:felipe.oliveira37@exemplo.com" TargetMode="External"/><Relationship Id="rId1651" Type="http://schemas.openxmlformats.org/officeDocument/2006/relationships/hyperlink" Target="mailto:felipe.oliveira37@exemplo.com" TargetMode="External"/><Relationship Id="rId1652" Type="http://schemas.openxmlformats.org/officeDocument/2006/relationships/hyperlink" Target="mailto:felipe.oliveira37@exemplo.com" TargetMode="External"/><Relationship Id="rId1642" Type="http://schemas.openxmlformats.org/officeDocument/2006/relationships/hyperlink" Target="mailto:felipe.oliveira37@exemplo.com" TargetMode="External"/><Relationship Id="rId1643" Type="http://schemas.openxmlformats.org/officeDocument/2006/relationships/hyperlink" Target="mailto:felipe.oliveira37@exemplo.com" TargetMode="External"/><Relationship Id="rId1644" Type="http://schemas.openxmlformats.org/officeDocument/2006/relationships/hyperlink" Target="mailto:felipe.oliveira37@exemplo.com" TargetMode="External"/><Relationship Id="rId1645" Type="http://schemas.openxmlformats.org/officeDocument/2006/relationships/hyperlink" Target="mailto:felipe.oliveira37@exemplo.com" TargetMode="External"/><Relationship Id="rId1646" Type="http://schemas.openxmlformats.org/officeDocument/2006/relationships/hyperlink" Target="mailto:felipe.oliveira37@exemplo.com" TargetMode="External"/><Relationship Id="rId1647" Type="http://schemas.openxmlformats.org/officeDocument/2006/relationships/hyperlink" Target="mailto:felipe.oliveira37@exemplo.com" TargetMode="External"/><Relationship Id="rId1648" Type="http://schemas.openxmlformats.org/officeDocument/2006/relationships/hyperlink" Target="mailto:felipe.oliveira37@exemplo.com" TargetMode="External"/><Relationship Id="rId1649" Type="http://schemas.openxmlformats.org/officeDocument/2006/relationships/hyperlink" Target="mailto:felipe.oliveira37@exemplo.com" TargetMode="External"/><Relationship Id="rId819" Type="http://schemas.openxmlformats.org/officeDocument/2006/relationships/hyperlink" Target="mailto:ana.ferreira30@exemplo.com" TargetMode="External"/><Relationship Id="rId818" Type="http://schemas.openxmlformats.org/officeDocument/2006/relationships/hyperlink" Target="mailto:ana.ferreira30@exemplo.com" TargetMode="External"/><Relationship Id="rId817" Type="http://schemas.openxmlformats.org/officeDocument/2006/relationships/hyperlink" Target="mailto:ana.ferreira30@exemplo.com" TargetMode="External"/><Relationship Id="rId816" Type="http://schemas.openxmlformats.org/officeDocument/2006/relationships/hyperlink" Target="mailto:ana.ferreira30@exemplo.com" TargetMode="External"/><Relationship Id="rId811" Type="http://schemas.openxmlformats.org/officeDocument/2006/relationships/hyperlink" Target="mailto:ana.ferreira30@exemplo.com" TargetMode="External"/><Relationship Id="rId810" Type="http://schemas.openxmlformats.org/officeDocument/2006/relationships/hyperlink" Target="mailto:ana.ferreira30@exemplo.com" TargetMode="External"/><Relationship Id="rId815" Type="http://schemas.openxmlformats.org/officeDocument/2006/relationships/hyperlink" Target="mailto:ana.ferreira30@exemplo.com" TargetMode="External"/><Relationship Id="rId814" Type="http://schemas.openxmlformats.org/officeDocument/2006/relationships/hyperlink" Target="mailto:ana.ferreira30@exemplo.com" TargetMode="External"/><Relationship Id="rId813" Type="http://schemas.openxmlformats.org/officeDocument/2006/relationships/hyperlink" Target="mailto:ana.ferreira30@exemplo.com" TargetMode="External"/><Relationship Id="rId812" Type="http://schemas.openxmlformats.org/officeDocument/2006/relationships/hyperlink" Target="mailto:ana.ferreira30@exemplo.com" TargetMode="External"/><Relationship Id="rId1640" Type="http://schemas.openxmlformats.org/officeDocument/2006/relationships/hyperlink" Target="mailto:amanda.mendes49@exemplo.com" TargetMode="External"/><Relationship Id="rId1641" Type="http://schemas.openxmlformats.org/officeDocument/2006/relationships/hyperlink" Target="mailto:amanda.mendes49@exemplo.com" TargetMode="External"/><Relationship Id="rId1675" Type="http://schemas.openxmlformats.org/officeDocument/2006/relationships/hyperlink" Target="mailto:gabriel.fonseca66@exemplo.com" TargetMode="External"/><Relationship Id="rId1676" Type="http://schemas.openxmlformats.org/officeDocument/2006/relationships/hyperlink" Target="mailto:gabriel.fonseca66@exemplo.com" TargetMode="External"/><Relationship Id="rId1677" Type="http://schemas.openxmlformats.org/officeDocument/2006/relationships/hyperlink" Target="mailto:gabriel.fonseca66@exemplo.com" TargetMode="External"/><Relationship Id="rId1678" Type="http://schemas.openxmlformats.org/officeDocument/2006/relationships/hyperlink" Target="mailto:gabriel.fonseca66@exemplo.com" TargetMode="External"/><Relationship Id="rId1679" Type="http://schemas.openxmlformats.org/officeDocument/2006/relationships/hyperlink" Target="mailto:gabriel.fonseca66@exemplo.com" TargetMode="External"/><Relationship Id="rId849" Type="http://schemas.openxmlformats.org/officeDocument/2006/relationships/hyperlink" Target="mailto:luis.rocha1@exemplo.com" TargetMode="External"/><Relationship Id="rId844" Type="http://schemas.openxmlformats.org/officeDocument/2006/relationships/hyperlink" Target="mailto:luis.rocha1@exemplo.com" TargetMode="External"/><Relationship Id="rId843" Type="http://schemas.openxmlformats.org/officeDocument/2006/relationships/hyperlink" Target="mailto:luis.rocha1@exemplo.com" TargetMode="External"/><Relationship Id="rId842" Type="http://schemas.openxmlformats.org/officeDocument/2006/relationships/hyperlink" Target="mailto:luis.rocha1@exemplo.com" TargetMode="External"/><Relationship Id="rId841" Type="http://schemas.openxmlformats.org/officeDocument/2006/relationships/hyperlink" Target="mailto:clara.pereira30@exemplo.com" TargetMode="External"/><Relationship Id="rId848" Type="http://schemas.openxmlformats.org/officeDocument/2006/relationships/hyperlink" Target="mailto:luis.rocha1@exemplo.com" TargetMode="External"/><Relationship Id="rId847" Type="http://schemas.openxmlformats.org/officeDocument/2006/relationships/hyperlink" Target="mailto:luis.rocha1@exemplo.com" TargetMode="External"/><Relationship Id="rId846" Type="http://schemas.openxmlformats.org/officeDocument/2006/relationships/hyperlink" Target="mailto:luis.rocha1@exemplo.com" TargetMode="External"/><Relationship Id="rId845" Type="http://schemas.openxmlformats.org/officeDocument/2006/relationships/hyperlink" Target="mailto:luis.rocha1@exemplo.com" TargetMode="External"/><Relationship Id="rId1670" Type="http://schemas.openxmlformats.org/officeDocument/2006/relationships/hyperlink" Target="mailto:gabriel.fonseca66@exemplo.com" TargetMode="External"/><Relationship Id="rId840" Type="http://schemas.openxmlformats.org/officeDocument/2006/relationships/hyperlink" Target="mailto:clara.pereira30@exemplo.com" TargetMode="External"/><Relationship Id="rId1671" Type="http://schemas.openxmlformats.org/officeDocument/2006/relationships/hyperlink" Target="mailto:gabriel.fonseca66@exemplo.com" TargetMode="External"/><Relationship Id="rId1672" Type="http://schemas.openxmlformats.org/officeDocument/2006/relationships/hyperlink" Target="mailto:gabriel.fonseca66@exemplo.com" TargetMode="External"/><Relationship Id="rId1673" Type="http://schemas.openxmlformats.org/officeDocument/2006/relationships/hyperlink" Target="mailto:gabriel.fonseca66@exemplo.com" TargetMode="External"/><Relationship Id="rId1674" Type="http://schemas.openxmlformats.org/officeDocument/2006/relationships/hyperlink" Target="mailto:gabriel.fonseca66@exemplo.com" TargetMode="External"/><Relationship Id="rId1664" Type="http://schemas.openxmlformats.org/officeDocument/2006/relationships/hyperlink" Target="mailto:gabriel.fonseca66@exemplo.com" TargetMode="External"/><Relationship Id="rId1665" Type="http://schemas.openxmlformats.org/officeDocument/2006/relationships/hyperlink" Target="mailto:gabriel.fonseca66@exemplo.com" TargetMode="External"/><Relationship Id="rId1666" Type="http://schemas.openxmlformats.org/officeDocument/2006/relationships/hyperlink" Target="mailto:gabriel.fonseca66@exemplo.com" TargetMode="External"/><Relationship Id="rId1667" Type="http://schemas.openxmlformats.org/officeDocument/2006/relationships/hyperlink" Target="mailto:gabriel.fonseca66@exemplo.com" TargetMode="External"/><Relationship Id="rId1668" Type="http://schemas.openxmlformats.org/officeDocument/2006/relationships/hyperlink" Target="mailto:gabriel.fonseca66@exemplo.com" TargetMode="External"/><Relationship Id="rId1669" Type="http://schemas.openxmlformats.org/officeDocument/2006/relationships/hyperlink" Target="mailto:gabriel.fonseca66@exemplo.com" TargetMode="External"/><Relationship Id="rId839" Type="http://schemas.openxmlformats.org/officeDocument/2006/relationships/hyperlink" Target="mailto:clara.pereira30@exemplo.com" TargetMode="External"/><Relationship Id="rId838" Type="http://schemas.openxmlformats.org/officeDocument/2006/relationships/hyperlink" Target="mailto:clara.pereira30@exemplo.com" TargetMode="External"/><Relationship Id="rId833" Type="http://schemas.openxmlformats.org/officeDocument/2006/relationships/hyperlink" Target="mailto:clara.pereira30@exemplo.com" TargetMode="External"/><Relationship Id="rId832" Type="http://schemas.openxmlformats.org/officeDocument/2006/relationships/hyperlink" Target="mailto:clara.pereira30@exemplo.com" TargetMode="External"/><Relationship Id="rId831" Type="http://schemas.openxmlformats.org/officeDocument/2006/relationships/hyperlink" Target="mailto:clara.pereira30@exemplo.com" TargetMode="External"/><Relationship Id="rId830" Type="http://schemas.openxmlformats.org/officeDocument/2006/relationships/hyperlink" Target="mailto:clara.pereira30@exemplo.com" TargetMode="External"/><Relationship Id="rId837" Type="http://schemas.openxmlformats.org/officeDocument/2006/relationships/hyperlink" Target="mailto:clara.pereira30@exemplo.com" TargetMode="External"/><Relationship Id="rId836" Type="http://schemas.openxmlformats.org/officeDocument/2006/relationships/hyperlink" Target="mailto:clara.pereira30@exemplo.com" TargetMode="External"/><Relationship Id="rId835" Type="http://schemas.openxmlformats.org/officeDocument/2006/relationships/hyperlink" Target="mailto:clara.pereira30@exemplo.com" TargetMode="External"/><Relationship Id="rId834" Type="http://schemas.openxmlformats.org/officeDocument/2006/relationships/hyperlink" Target="mailto:clara.pereira30@exemplo.com" TargetMode="External"/><Relationship Id="rId1660" Type="http://schemas.openxmlformats.org/officeDocument/2006/relationships/hyperlink" Target="mailto:felipe.oliveira37@exemplo.com" TargetMode="External"/><Relationship Id="rId1661" Type="http://schemas.openxmlformats.org/officeDocument/2006/relationships/hyperlink" Target="mailto:felipe.oliveira37@exemplo.com" TargetMode="External"/><Relationship Id="rId1662" Type="http://schemas.openxmlformats.org/officeDocument/2006/relationships/hyperlink" Target="mailto:gabriel.fonseca66@exemplo.com" TargetMode="External"/><Relationship Id="rId1663" Type="http://schemas.openxmlformats.org/officeDocument/2006/relationships/hyperlink" Target="mailto:gabriel.fonseca66@exemplo.com" TargetMode="External"/><Relationship Id="rId469" Type="http://schemas.openxmlformats.org/officeDocument/2006/relationships/hyperlink" Target="mailto:rodrigo.lima45@exemplo.com" TargetMode="External"/><Relationship Id="rId468" Type="http://schemas.openxmlformats.org/officeDocument/2006/relationships/hyperlink" Target="mailto:rodrigo.lima45@exemplo.com" TargetMode="External"/><Relationship Id="rId467" Type="http://schemas.openxmlformats.org/officeDocument/2006/relationships/hyperlink" Target="mailto:rodrigo.lima45@exemplo.com" TargetMode="External"/><Relationship Id="rId1290" Type="http://schemas.openxmlformats.org/officeDocument/2006/relationships/hyperlink" Target="mailto:marcos.souza65@exemplo.com" TargetMode="External"/><Relationship Id="rId1291" Type="http://schemas.openxmlformats.org/officeDocument/2006/relationships/hyperlink" Target="mailto:marcos.souza65@exemplo.com" TargetMode="External"/><Relationship Id="rId1292" Type="http://schemas.openxmlformats.org/officeDocument/2006/relationships/hyperlink" Target="mailto:marcos.souza65@exemplo.com" TargetMode="External"/><Relationship Id="rId462" Type="http://schemas.openxmlformats.org/officeDocument/2006/relationships/hyperlink" Target="mailto:rodrigo.lima45@exemplo.com" TargetMode="External"/><Relationship Id="rId1293" Type="http://schemas.openxmlformats.org/officeDocument/2006/relationships/hyperlink" Target="mailto:marcos.souza65@exemplo.com" TargetMode="External"/><Relationship Id="rId461" Type="http://schemas.openxmlformats.org/officeDocument/2006/relationships/hyperlink" Target="mailto:isabella.almeida63@exemplo.com" TargetMode="External"/><Relationship Id="rId1294" Type="http://schemas.openxmlformats.org/officeDocument/2006/relationships/hyperlink" Target="mailto:marcos.souza65@exemplo.com" TargetMode="External"/><Relationship Id="rId460" Type="http://schemas.openxmlformats.org/officeDocument/2006/relationships/hyperlink" Target="mailto:isabella.almeida63@exemplo.com" TargetMode="External"/><Relationship Id="rId1295" Type="http://schemas.openxmlformats.org/officeDocument/2006/relationships/hyperlink" Target="mailto:marcos.souza65@exemplo.com" TargetMode="External"/><Relationship Id="rId1296" Type="http://schemas.openxmlformats.org/officeDocument/2006/relationships/hyperlink" Target="mailto:marcos.souza65@exemplo.com" TargetMode="External"/><Relationship Id="rId466" Type="http://schemas.openxmlformats.org/officeDocument/2006/relationships/hyperlink" Target="mailto:rodrigo.lima45@exemplo.com" TargetMode="External"/><Relationship Id="rId1297" Type="http://schemas.openxmlformats.org/officeDocument/2006/relationships/hyperlink" Target="mailto:marcos.souza65@exemplo.com" TargetMode="External"/><Relationship Id="rId465" Type="http://schemas.openxmlformats.org/officeDocument/2006/relationships/hyperlink" Target="mailto:rodrigo.lima45@exemplo.com" TargetMode="External"/><Relationship Id="rId1298" Type="http://schemas.openxmlformats.org/officeDocument/2006/relationships/hyperlink" Target="mailto:marcos.souza65@exemplo.com" TargetMode="External"/><Relationship Id="rId464" Type="http://schemas.openxmlformats.org/officeDocument/2006/relationships/hyperlink" Target="mailto:rodrigo.lima45@exemplo.com" TargetMode="External"/><Relationship Id="rId1299" Type="http://schemas.openxmlformats.org/officeDocument/2006/relationships/hyperlink" Target="mailto:marcos.souza65@exemplo.com" TargetMode="External"/><Relationship Id="rId463" Type="http://schemas.openxmlformats.org/officeDocument/2006/relationships/hyperlink" Target="mailto:rodrigo.lima45@exemplo.com" TargetMode="External"/><Relationship Id="rId459" Type="http://schemas.openxmlformats.org/officeDocument/2006/relationships/hyperlink" Target="mailto:isabella.almeida63@exemplo.com" TargetMode="External"/><Relationship Id="rId458" Type="http://schemas.openxmlformats.org/officeDocument/2006/relationships/hyperlink" Target="mailto:isabella.almeida63@exemplo.com" TargetMode="External"/><Relationship Id="rId457" Type="http://schemas.openxmlformats.org/officeDocument/2006/relationships/hyperlink" Target="mailto:isabella.almeida63@exemplo.com" TargetMode="External"/><Relationship Id="rId456" Type="http://schemas.openxmlformats.org/officeDocument/2006/relationships/hyperlink" Target="mailto:isabella.almeida63@exemplo.com" TargetMode="External"/><Relationship Id="rId1280" Type="http://schemas.openxmlformats.org/officeDocument/2006/relationships/hyperlink" Target="mailto:camila.souza82@exemplo.com" TargetMode="External"/><Relationship Id="rId1281" Type="http://schemas.openxmlformats.org/officeDocument/2006/relationships/hyperlink" Target="mailto:camila.souza82@exemplo.com" TargetMode="External"/><Relationship Id="rId451" Type="http://schemas.openxmlformats.org/officeDocument/2006/relationships/hyperlink" Target="mailto:isabella.almeida63@exemplo.com" TargetMode="External"/><Relationship Id="rId1282" Type="http://schemas.openxmlformats.org/officeDocument/2006/relationships/hyperlink" Target="mailto:marcos.souza65@exemplo.com" TargetMode="External"/><Relationship Id="rId450" Type="http://schemas.openxmlformats.org/officeDocument/2006/relationships/hyperlink" Target="mailto:isabella.almeida63@exemplo.com" TargetMode="External"/><Relationship Id="rId1283" Type="http://schemas.openxmlformats.org/officeDocument/2006/relationships/hyperlink" Target="mailto:marcos.souza65@exemplo.com" TargetMode="External"/><Relationship Id="rId1284" Type="http://schemas.openxmlformats.org/officeDocument/2006/relationships/hyperlink" Target="mailto:marcos.souza65@exemplo.com" TargetMode="External"/><Relationship Id="rId1285" Type="http://schemas.openxmlformats.org/officeDocument/2006/relationships/hyperlink" Target="mailto:marcos.souza65@exemplo.com" TargetMode="External"/><Relationship Id="rId455" Type="http://schemas.openxmlformats.org/officeDocument/2006/relationships/hyperlink" Target="mailto:isabella.almeida63@exemplo.com" TargetMode="External"/><Relationship Id="rId1286" Type="http://schemas.openxmlformats.org/officeDocument/2006/relationships/hyperlink" Target="mailto:marcos.souza65@exemplo.com" TargetMode="External"/><Relationship Id="rId454" Type="http://schemas.openxmlformats.org/officeDocument/2006/relationships/hyperlink" Target="mailto:isabella.almeida63@exemplo.com" TargetMode="External"/><Relationship Id="rId1287" Type="http://schemas.openxmlformats.org/officeDocument/2006/relationships/hyperlink" Target="mailto:marcos.souza65@exemplo.com" TargetMode="External"/><Relationship Id="rId453" Type="http://schemas.openxmlformats.org/officeDocument/2006/relationships/hyperlink" Target="mailto:isabella.almeida63@exemplo.com" TargetMode="External"/><Relationship Id="rId1288" Type="http://schemas.openxmlformats.org/officeDocument/2006/relationships/hyperlink" Target="mailto:marcos.souza65@exemplo.com" TargetMode="External"/><Relationship Id="rId452" Type="http://schemas.openxmlformats.org/officeDocument/2006/relationships/hyperlink" Target="mailto:isabella.almeida63@exemplo.com" TargetMode="External"/><Relationship Id="rId1289" Type="http://schemas.openxmlformats.org/officeDocument/2006/relationships/hyperlink" Target="mailto:marcos.souza65@exemplo.com" TargetMode="External"/><Relationship Id="rId491" Type="http://schemas.openxmlformats.org/officeDocument/2006/relationships/hyperlink" Target="mailto:eduardo.silva54@exemplo.com" TargetMode="External"/><Relationship Id="rId490" Type="http://schemas.openxmlformats.org/officeDocument/2006/relationships/hyperlink" Target="mailto:eduardo.silva54@exemplo.com" TargetMode="External"/><Relationship Id="rId489" Type="http://schemas.openxmlformats.org/officeDocument/2006/relationships/hyperlink" Target="mailto:eduardo.silva54@exemplo.com" TargetMode="External"/><Relationship Id="rId484" Type="http://schemas.openxmlformats.org/officeDocument/2006/relationships/hyperlink" Target="mailto:eduardo.silva54@exemplo.com" TargetMode="External"/><Relationship Id="rId483" Type="http://schemas.openxmlformats.org/officeDocument/2006/relationships/hyperlink" Target="mailto:eduardo.silva54@exemplo.com" TargetMode="External"/><Relationship Id="rId482" Type="http://schemas.openxmlformats.org/officeDocument/2006/relationships/hyperlink" Target="mailto:eduardo.silva54@exemplo.com" TargetMode="External"/><Relationship Id="rId481" Type="http://schemas.openxmlformats.org/officeDocument/2006/relationships/hyperlink" Target="mailto:rodrigo.lima45@exemplo.com" TargetMode="External"/><Relationship Id="rId488" Type="http://schemas.openxmlformats.org/officeDocument/2006/relationships/hyperlink" Target="mailto:eduardo.silva54@exemplo.com" TargetMode="External"/><Relationship Id="rId487" Type="http://schemas.openxmlformats.org/officeDocument/2006/relationships/hyperlink" Target="mailto:eduardo.silva54@exemplo.com" TargetMode="External"/><Relationship Id="rId486" Type="http://schemas.openxmlformats.org/officeDocument/2006/relationships/hyperlink" Target="mailto:eduardo.silva54@exemplo.com" TargetMode="External"/><Relationship Id="rId485" Type="http://schemas.openxmlformats.org/officeDocument/2006/relationships/hyperlink" Target="mailto:eduardo.silva54@exemplo.com" TargetMode="External"/><Relationship Id="rId480" Type="http://schemas.openxmlformats.org/officeDocument/2006/relationships/hyperlink" Target="mailto:rodrigo.lima45@exemplo.com" TargetMode="External"/><Relationship Id="rId479" Type="http://schemas.openxmlformats.org/officeDocument/2006/relationships/hyperlink" Target="mailto:rodrigo.lima45@exemplo.com" TargetMode="External"/><Relationship Id="rId478" Type="http://schemas.openxmlformats.org/officeDocument/2006/relationships/hyperlink" Target="mailto:rodrigo.lima45@exemplo.com" TargetMode="External"/><Relationship Id="rId473" Type="http://schemas.openxmlformats.org/officeDocument/2006/relationships/hyperlink" Target="mailto:rodrigo.lima45@exemplo.com" TargetMode="External"/><Relationship Id="rId472" Type="http://schemas.openxmlformats.org/officeDocument/2006/relationships/hyperlink" Target="mailto:rodrigo.lima45@exemplo.com" TargetMode="External"/><Relationship Id="rId471" Type="http://schemas.openxmlformats.org/officeDocument/2006/relationships/hyperlink" Target="mailto:rodrigo.lima45@exemplo.com" TargetMode="External"/><Relationship Id="rId470" Type="http://schemas.openxmlformats.org/officeDocument/2006/relationships/hyperlink" Target="mailto:rodrigo.lima45@exemplo.com" TargetMode="External"/><Relationship Id="rId477" Type="http://schemas.openxmlformats.org/officeDocument/2006/relationships/hyperlink" Target="mailto:rodrigo.lima45@exemplo.com" TargetMode="External"/><Relationship Id="rId476" Type="http://schemas.openxmlformats.org/officeDocument/2006/relationships/hyperlink" Target="mailto:rodrigo.lima45@exemplo.com" TargetMode="External"/><Relationship Id="rId475" Type="http://schemas.openxmlformats.org/officeDocument/2006/relationships/hyperlink" Target="mailto:rodrigo.lima45@exemplo.com" TargetMode="External"/><Relationship Id="rId474" Type="http://schemas.openxmlformats.org/officeDocument/2006/relationships/hyperlink" Target="mailto:rodrigo.lima45@exemplo.com" TargetMode="External"/><Relationship Id="rId1257" Type="http://schemas.openxmlformats.org/officeDocument/2006/relationships/hyperlink" Target="mailto:luis.lima28@exemplo.com" TargetMode="External"/><Relationship Id="rId1258" Type="http://schemas.openxmlformats.org/officeDocument/2006/relationships/hyperlink" Target="mailto:luis.lima28@exemplo.com" TargetMode="External"/><Relationship Id="rId1259" Type="http://schemas.openxmlformats.org/officeDocument/2006/relationships/hyperlink" Target="mailto:luis.lima28@exemplo.com" TargetMode="External"/><Relationship Id="rId426" Type="http://schemas.openxmlformats.org/officeDocument/2006/relationships/hyperlink" Target="mailto:luiza.costa78@exemplo.com" TargetMode="External"/><Relationship Id="rId425" Type="http://schemas.openxmlformats.org/officeDocument/2006/relationships/hyperlink" Target="mailto:luiza.costa78@exemplo.com" TargetMode="External"/><Relationship Id="rId424" Type="http://schemas.openxmlformats.org/officeDocument/2006/relationships/hyperlink" Target="mailto:luiza.costa78@exemplo.com" TargetMode="External"/><Relationship Id="rId423" Type="http://schemas.openxmlformats.org/officeDocument/2006/relationships/hyperlink" Target="mailto:luiza.costa78@exemplo.com" TargetMode="External"/><Relationship Id="rId429" Type="http://schemas.openxmlformats.org/officeDocument/2006/relationships/hyperlink" Target="mailto:luiza.costa78@exemplo.com" TargetMode="External"/><Relationship Id="rId428" Type="http://schemas.openxmlformats.org/officeDocument/2006/relationships/hyperlink" Target="mailto:luiza.costa78@exemplo.com" TargetMode="External"/><Relationship Id="rId427" Type="http://schemas.openxmlformats.org/officeDocument/2006/relationships/hyperlink" Target="mailto:luiza.costa78@exemplo.com" TargetMode="External"/><Relationship Id="rId1250" Type="http://schemas.openxmlformats.org/officeDocument/2006/relationships/hyperlink" Target="mailto:luis.lima28@exemplo.com" TargetMode="External"/><Relationship Id="rId1251" Type="http://schemas.openxmlformats.org/officeDocument/2006/relationships/hyperlink" Target="mailto:luis.lima28@exemplo.com" TargetMode="External"/><Relationship Id="rId1252" Type="http://schemas.openxmlformats.org/officeDocument/2006/relationships/hyperlink" Target="mailto:luis.lima28@exemplo.com" TargetMode="External"/><Relationship Id="rId422" Type="http://schemas.openxmlformats.org/officeDocument/2006/relationships/hyperlink" Target="mailto:luiza.costa78@exemplo.com" TargetMode="External"/><Relationship Id="rId1253" Type="http://schemas.openxmlformats.org/officeDocument/2006/relationships/hyperlink" Target="mailto:luis.lima28@exemplo.com" TargetMode="External"/><Relationship Id="rId421" Type="http://schemas.openxmlformats.org/officeDocument/2006/relationships/hyperlink" Target="mailto:camila.pereira21@exemplo.com" TargetMode="External"/><Relationship Id="rId1254" Type="http://schemas.openxmlformats.org/officeDocument/2006/relationships/hyperlink" Target="mailto:luis.lima28@exemplo.com" TargetMode="External"/><Relationship Id="rId420" Type="http://schemas.openxmlformats.org/officeDocument/2006/relationships/hyperlink" Target="mailto:camila.pereira21@exemplo.com" TargetMode="External"/><Relationship Id="rId1255" Type="http://schemas.openxmlformats.org/officeDocument/2006/relationships/hyperlink" Target="mailto:luis.lima28@exemplo.com" TargetMode="External"/><Relationship Id="rId1256" Type="http://schemas.openxmlformats.org/officeDocument/2006/relationships/hyperlink" Target="mailto:luis.lima28@exemplo.com" TargetMode="External"/><Relationship Id="rId1246" Type="http://schemas.openxmlformats.org/officeDocument/2006/relationships/hyperlink" Target="mailto:luis.lima28@exemplo.com" TargetMode="External"/><Relationship Id="rId1247" Type="http://schemas.openxmlformats.org/officeDocument/2006/relationships/hyperlink" Target="mailto:luis.lima28@exemplo.com" TargetMode="External"/><Relationship Id="rId1248" Type="http://schemas.openxmlformats.org/officeDocument/2006/relationships/hyperlink" Target="mailto:luis.lima28@exemplo.com" TargetMode="External"/><Relationship Id="rId1249" Type="http://schemas.openxmlformats.org/officeDocument/2006/relationships/hyperlink" Target="mailto:luis.lima28@exemplo.com" TargetMode="External"/><Relationship Id="rId415" Type="http://schemas.openxmlformats.org/officeDocument/2006/relationships/hyperlink" Target="mailto:camila.pereira21@exemplo.com" TargetMode="External"/><Relationship Id="rId899" Type="http://schemas.openxmlformats.org/officeDocument/2006/relationships/hyperlink" Target="mailto:mateus.silva8@exemplo.com" TargetMode="External"/><Relationship Id="rId414" Type="http://schemas.openxmlformats.org/officeDocument/2006/relationships/hyperlink" Target="mailto:camila.pereira21@exemplo.com" TargetMode="External"/><Relationship Id="rId898" Type="http://schemas.openxmlformats.org/officeDocument/2006/relationships/hyperlink" Target="mailto:mateus.silva8@exemplo.com" TargetMode="External"/><Relationship Id="rId413" Type="http://schemas.openxmlformats.org/officeDocument/2006/relationships/hyperlink" Target="mailto:camila.pereira21@exemplo.com" TargetMode="External"/><Relationship Id="rId897" Type="http://schemas.openxmlformats.org/officeDocument/2006/relationships/hyperlink" Target="mailto:mateus.silva8@exemplo.com" TargetMode="External"/><Relationship Id="rId412" Type="http://schemas.openxmlformats.org/officeDocument/2006/relationships/hyperlink" Target="mailto:camila.pereira21@exemplo.com" TargetMode="External"/><Relationship Id="rId896" Type="http://schemas.openxmlformats.org/officeDocument/2006/relationships/hyperlink" Target="mailto:mateus.silva8@exemplo.com" TargetMode="External"/><Relationship Id="rId419" Type="http://schemas.openxmlformats.org/officeDocument/2006/relationships/hyperlink" Target="mailto:camila.pereira21@exemplo.com" TargetMode="External"/><Relationship Id="rId418" Type="http://schemas.openxmlformats.org/officeDocument/2006/relationships/hyperlink" Target="mailto:camila.pereira21@exemplo.com" TargetMode="External"/><Relationship Id="rId417" Type="http://schemas.openxmlformats.org/officeDocument/2006/relationships/hyperlink" Target="mailto:camila.pereira21@exemplo.com" TargetMode="External"/><Relationship Id="rId416" Type="http://schemas.openxmlformats.org/officeDocument/2006/relationships/hyperlink" Target="mailto:camila.pereira21@exemplo.com" TargetMode="External"/><Relationship Id="rId891" Type="http://schemas.openxmlformats.org/officeDocument/2006/relationships/hyperlink" Target="mailto:mateus.silva8@exemplo.com" TargetMode="External"/><Relationship Id="rId890" Type="http://schemas.openxmlformats.org/officeDocument/2006/relationships/hyperlink" Target="mailto:mateus.silva8@exemplo.com" TargetMode="External"/><Relationship Id="rId1240" Type="http://schemas.openxmlformats.org/officeDocument/2006/relationships/hyperlink" Target="mailto:gabriela.almeida7@exemplo.com" TargetMode="External"/><Relationship Id="rId1241" Type="http://schemas.openxmlformats.org/officeDocument/2006/relationships/hyperlink" Target="mailto:gabriela.almeida7@exemplo.com" TargetMode="External"/><Relationship Id="rId411" Type="http://schemas.openxmlformats.org/officeDocument/2006/relationships/hyperlink" Target="mailto:camila.pereira21@exemplo.com" TargetMode="External"/><Relationship Id="rId895" Type="http://schemas.openxmlformats.org/officeDocument/2006/relationships/hyperlink" Target="mailto:mateus.silva8@exemplo.com" TargetMode="External"/><Relationship Id="rId1242" Type="http://schemas.openxmlformats.org/officeDocument/2006/relationships/hyperlink" Target="mailto:luis.lima28@exemplo.com" TargetMode="External"/><Relationship Id="rId410" Type="http://schemas.openxmlformats.org/officeDocument/2006/relationships/hyperlink" Target="mailto:camila.pereira21@exemplo.com" TargetMode="External"/><Relationship Id="rId894" Type="http://schemas.openxmlformats.org/officeDocument/2006/relationships/hyperlink" Target="mailto:mateus.silva8@exemplo.com" TargetMode="External"/><Relationship Id="rId1243" Type="http://schemas.openxmlformats.org/officeDocument/2006/relationships/hyperlink" Target="mailto:luis.lima28@exemplo.com" TargetMode="External"/><Relationship Id="rId893" Type="http://schemas.openxmlformats.org/officeDocument/2006/relationships/hyperlink" Target="mailto:mateus.silva8@exemplo.com" TargetMode="External"/><Relationship Id="rId1244" Type="http://schemas.openxmlformats.org/officeDocument/2006/relationships/hyperlink" Target="mailto:luis.lima28@exemplo.com" TargetMode="External"/><Relationship Id="rId892" Type="http://schemas.openxmlformats.org/officeDocument/2006/relationships/hyperlink" Target="mailto:mateus.silva8@exemplo.com" TargetMode="External"/><Relationship Id="rId1245" Type="http://schemas.openxmlformats.org/officeDocument/2006/relationships/hyperlink" Target="mailto:luis.lima28@exemplo.com" TargetMode="External"/><Relationship Id="rId1279" Type="http://schemas.openxmlformats.org/officeDocument/2006/relationships/hyperlink" Target="mailto:camila.souza82@exemplo.com" TargetMode="External"/><Relationship Id="rId448" Type="http://schemas.openxmlformats.org/officeDocument/2006/relationships/hyperlink" Target="mailto:isabella.almeida63@exemplo.com" TargetMode="External"/><Relationship Id="rId447" Type="http://schemas.openxmlformats.org/officeDocument/2006/relationships/hyperlink" Target="mailto:isabella.almeida63@exemplo.com" TargetMode="External"/><Relationship Id="rId446" Type="http://schemas.openxmlformats.org/officeDocument/2006/relationships/hyperlink" Target="mailto:isabella.almeida63@exemplo.com" TargetMode="External"/><Relationship Id="rId445" Type="http://schemas.openxmlformats.org/officeDocument/2006/relationships/hyperlink" Target="mailto:isabella.almeida63@exemplo.com" TargetMode="External"/><Relationship Id="rId449" Type="http://schemas.openxmlformats.org/officeDocument/2006/relationships/hyperlink" Target="mailto:isabella.almeida63@exemplo.com" TargetMode="External"/><Relationship Id="rId1270" Type="http://schemas.openxmlformats.org/officeDocument/2006/relationships/hyperlink" Target="mailto:camila.souza82@exemplo.com" TargetMode="External"/><Relationship Id="rId440" Type="http://schemas.openxmlformats.org/officeDocument/2006/relationships/hyperlink" Target="mailto:luiza.costa78@exemplo.com" TargetMode="External"/><Relationship Id="rId1271" Type="http://schemas.openxmlformats.org/officeDocument/2006/relationships/hyperlink" Target="mailto:camila.souza82@exemplo.com" TargetMode="External"/><Relationship Id="rId1272" Type="http://schemas.openxmlformats.org/officeDocument/2006/relationships/hyperlink" Target="mailto:camila.souza82@exemplo.com" TargetMode="External"/><Relationship Id="rId1273" Type="http://schemas.openxmlformats.org/officeDocument/2006/relationships/hyperlink" Target="mailto:camila.souza82@exemplo.com" TargetMode="External"/><Relationship Id="rId1274" Type="http://schemas.openxmlformats.org/officeDocument/2006/relationships/hyperlink" Target="mailto:camila.souza82@exemplo.com" TargetMode="External"/><Relationship Id="rId444" Type="http://schemas.openxmlformats.org/officeDocument/2006/relationships/hyperlink" Target="mailto:isabella.almeida63@exemplo.com" TargetMode="External"/><Relationship Id="rId1275" Type="http://schemas.openxmlformats.org/officeDocument/2006/relationships/hyperlink" Target="mailto:camila.souza82@exemplo.com" TargetMode="External"/><Relationship Id="rId443" Type="http://schemas.openxmlformats.org/officeDocument/2006/relationships/hyperlink" Target="mailto:isabella.almeida63@exemplo.com" TargetMode="External"/><Relationship Id="rId1276" Type="http://schemas.openxmlformats.org/officeDocument/2006/relationships/hyperlink" Target="mailto:camila.souza82@exemplo.com" TargetMode="External"/><Relationship Id="rId442" Type="http://schemas.openxmlformats.org/officeDocument/2006/relationships/hyperlink" Target="mailto:isabella.almeida63@exemplo.com" TargetMode="External"/><Relationship Id="rId1277" Type="http://schemas.openxmlformats.org/officeDocument/2006/relationships/hyperlink" Target="mailto:camila.souza82@exemplo.com" TargetMode="External"/><Relationship Id="rId441" Type="http://schemas.openxmlformats.org/officeDocument/2006/relationships/hyperlink" Target="mailto:luiza.costa78@exemplo.com" TargetMode="External"/><Relationship Id="rId1278" Type="http://schemas.openxmlformats.org/officeDocument/2006/relationships/hyperlink" Target="mailto:camila.souza82@exemplo.com" TargetMode="External"/><Relationship Id="rId1268" Type="http://schemas.openxmlformats.org/officeDocument/2006/relationships/hyperlink" Target="mailto:camila.souza82@exemplo.com" TargetMode="External"/><Relationship Id="rId1269" Type="http://schemas.openxmlformats.org/officeDocument/2006/relationships/hyperlink" Target="mailto:camila.souza82@exemplo.com" TargetMode="External"/><Relationship Id="rId437" Type="http://schemas.openxmlformats.org/officeDocument/2006/relationships/hyperlink" Target="mailto:luiza.costa78@exemplo.com" TargetMode="External"/><Relationship Id="rId436" Type="http://schemas.openxmlformats.org/officeDocument/2006/relationships/hyperlink" Target="mailto:luiza.costa78@exemplo.com" TargetMode="External"/><Relationship Id="rId435" Type="http://schemas.openxmlformats.org/officeDocument/2006/relationships/hyperlink" Target="mailto:luiza.costa78@exemplo.com" TargetMode="External"/><Relationship Id="rId434" Type="http://schemas.openxmlformats.org/officeDocument/2006/relationships/hyperlink" Target="mailto:luiza.costa78@exemplo.com" TargetMode="External"/><Relationship Id="rId439" Type="http://schemas.openxmlformats.org/officeDocument/2006/relationships/hyperlink" Target="mailto:luiza.costa78@exemplo.com" TargetMode="External"/><Relationship Id="rId438" Type="http://schemas.openxmlformats.org/officeDocument/2006/relationships/hyperlink" Target="mailto:luiza.costa78@exemplo.com" TargetMode="External"/><Relationship Id="rId1260" Type="http://schemas.openxmlformats.org/officeDocument/2006/relationships/hyperlink" Target="mailto:luis.lima28@exemplo.com" TargetMode="External"/><Relationship Id="rId1261" Type="http://schemas.openxmlformats.org/officeDocument/2006/relationships/hyperlink" Target="mailto:luis.lima28@exemplo.com" TargetMode="External"/><Relationship Id="rId1262" Type="http://schemas.openxmlformats.org/officeDocument/2006/relationships/hyperlink" Target="mailto:camila.souza82@exemplo.com" TargetMode="External"/><Relationship Id="rId1263" Type="http://schemas.openxmlformats.org/officeDocument/2006/relationships/hyperlink" Target="mailto:camila.souza82@exemplo.com" TargetMode="External"/><Relationship Id="rId433" Type="http://schemas.openxmlformats.org/officeDocument/2006/relationships/hyperlink" Target="mailto:luiza.costa78@exemplo.com" TargetMode="External"/><Relationship Id="rId1264" Type="http://schemas.openxmlformats.org/officeDocument/2006/relationships/hyperlink" Target="mailto:camila.souza82@exemplo.com" TargetMode="External"/><Relationship Id="rId432" Type="http://schemas.openxmlformats.org/officeDocument/2006/relationships/hyperlink" Target="mailto:luiza.costa78@exemplo.com" TargetMode="External"/><Relationship Id="rId1265" Type="http://schemas.openxmlformats.org/officeDocument/2006/relationships/hyperlink" Target="mailto:camila.souza82@exemplo.com" TargetMode="External"/><Relationship Id="rId431" Type="http://schemas.openxmlformats.org/officeDocument/2006/relationships/hyperlink" Target="mailto:luiza.costa78@exemplo.com" TargetMode="External"/><Relationship Id="rId1266" Type="http://schemas.openxmlformats.org/officeDocument/2006/relationships/hyperlink" Target="mailto:camila.souza82@exemplo.com" TargetMode="External"/><Relationship Id="rId430" Type="http://schemas.openxmlformats.org/officeDocument/2006/relationships/hyperlink" Target="mailto:luiza.costa78@exemplo.com" TargetMode="External"/><Relationship Id="rId1267" Type="http://schemas.openxmlformats.org/officeDocument/2006/relationships/hyperlink" Target="mailto:camila.souza82@exemplo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>
        <v>44949.0</v>
      </c>
      <c r="H1" s="8">
        <f t="shared" ref="H1:H2000" si="1">DAY(G1)</f>
        <v>23</v>
      </c>
      <c r="I1" s="9">
        <f t="shared" ref="I1:I2000" si="2">MONTH(G1
)</f>
        <v>1</v>
      </c>
      <c r="J1" s="9">
        <f t="shared" ref="J1:J2000" si="3">YEAR(G1)</f>
        <v>2023</v>
      </c>
    </row>
    <row r="2" ht="15.75" customHeight="1">
      <c r="A2" s="5">
        <v>1.0</v>
      </c>
      <c r="B2" s="10" t="s">
        <v>1</v>
      </c>
      <c r="C2" s="3" t="s">
        <v>2</v>
      </c>
      <c r="D2" s="4" t="s">
        <v>3</v>
      </c>
      <c r="E2" s="5" t="s">
        <v>6</v>
      </c>
      <c r="F2" s="6" t="s">
        <v>7</v>
      </c>
      <c r="G2" s="7">
        <v>44950.0</v>
      </c>
      <c r="H2" s="8">
        <f t="shared" si="1"/>
        <v>24</v>
      </c>
      <c r="I2" s="9">
        <f t="shared" si="2"/>
        <v>1</v>
      </c>
      <c r="J2" s="9">
        <f t="shared" si="3"/>
        <v>2023</v>
      </c>
    </row>
    <row r="3" ht="15.75" customHeight="1">
      <c r="A3" s="5">
        <v>1.0</v>
      </c>
      <c r="B3" s="10" t="s">
        <v>1</v>
      </c>
      <c r="C3" s="3" t="s">
        <v>2</v>
      </c>
      <c r="D3" s="4" t="s">
        <v>8</v>
      </c>
      <c r="E3" s="5" t="s">
        <v>9</v>
      </c>
      <c r="F3" s="6" t="s">
        <v>10</v>
      </c>
      <c r="G3" s="7">
        <v>44986.0</v>
      </c>
      <c r="H3" s="8">
        <f t="shared" si="1"/>
        <v>1</v>
      </c>
      <c r="I3" s="9">
        <f t="shared" si="2"/>
        <v>3</v>
      </c>
      <c r="J3" s="9">
        <f t="shared" si="3"/>
        <v>2023</v>
      </c>
    </row>
    <row r="4" ht="15.75" customHeight="1">
      <c r="A4" s="5">
        <v>1.0</v>
      </c>
      <c r="B4" s="10" t="s">
        <v>1</v>
      </c>
      <c r="C4" s="3" t="s">
        <v>2</v>
      </c>
      <c r="D4" s="4" t="s">
        <v>8</v>
      </c>
      <c r="E4" s="5" t="s">
        <v>11</v>
      </c>
      <c r="F4" s="6" t="s">
        <v>12</v>
      </c>
      <c r="G4" s="7">
        <v>44992.0</v>
      </c>
      <c r="H4" s="8">
        <f t="shared" si="1"/>
        <v>7</v>
      </c>
      <c r="I4" s="9">
        <f t="shared" si="2"/>
        <v>3</v>
      </c>
      <c r="J4" s="9">
        <f t="shared" si="3"/>
        <v>2023</v>
      </c>
    </row>
    <row r="5" ht="15.75" customHeight="1">
      <c r="A5" s="5">
        <v>1.0</v>
      </c>
      <c r="B5" s="10" t="s">
        <v>1</v>
      </c>
      <c r="C5" s="3" t="s">
        <v>2</v>
      </c>
      <c r="D5" s="4" t="s">
        <v>8</v>
      </c>
      <c r="E5" s="5" t="s">
        <v>13</v>
      </c>
      <c r="F5" s="6" t="s">
        <v>14</v>
      </c>
      <c r="G5" s="7">
        <v>44998.0</v>
      </c>
      <c r="H5" s="8">
        <f t="shared" si="1"/>
        <v>13</v>
      </c>
      <c r="I5" s="9">
        <f t="shared" si="2"/>
        <v>3</v>
      </c>
      <c r="J5" s="9">
        <f t="shared" si="3"/>
        <v>2023</v>
      </c>
    </row>
    <row r="6" ht="15.75" customHeight="1">
      <c r="A6" s="5">
        <v>1.0</v>
      </c>
      <c r="B6" s="10" t="s">
        <v>1</v>
      </c>
      <c r="C6" s="3" t="s">
        <v>2</v>
      </c>
      <c r="D6" s="4" t="s">
        <v>8</v>
      </c>
      <c r="E6" s="5" t="s">
        <v>15</v>
      </c>
      <c r="F6" s="6" t="s">
        <v>16</v>
      </c>
      <c r="G6" s="7">
        <v>44999.0</v>
      </c>
      <c r="H6" s="8">
        <f t="shared" si="1"/>
        <v>14</v>
      </c>
      <c r="I6" s="9">
        <f t="shared" si="2"/>
        <v>3</v>
      </c>
      <c r="J6" s="9">
        <f t="shared" si="3"/>
        <v>2023</v>
      </c>
    </row>
    <row r="7" ht="15.75" customHeight="1">
      <c r="A7" s="5">
        <v>1.0</v>
      </c>
      <c r="B7" s="10" t="s">
        <v>1</v>
      </c>
      <c r="C7" s="3" t="s">
        <v>2</v>
      </c>
      <c r="D7" s="4" t="s">
        <v>8</v>
      </c>
      <c r="E7" s="5" t="s">
        <v>17</v>
      </c>
      <c r="F7" s="6" t="s">
        <v>18</v>
      </c>
      <c r="G7" s="7">
        <v>45035.0</v>
      </c>
      <c r="H7" s="8">
        <f t="shared" si="1"/>
        <v>19</v>
      </c>
      <c r="I7" s="9">
        <f t="shared" si="2"/>
        <v>4</v>
      </c>
      <c r="J7" s="9">
        <f t="shared" si="3"/>
        <v>2023</v>
      </c>
    </row>
    <row r="8" ht="15.75" customHeight="1">
      <c r="A8" s="5">
        <v>1.0</v>
      </c>
      <c r="B8" s="10" t="s">
        <v>1</v>
      </c>
      <c r="C8" s="3" t="s">
        <v>2</v>
      </c>
      <c r="D8" s="4" t="s">
        <v>8</v>
      </c>
      <c r="E8" s="5" t="s">
        <v>19</v>
      </c>
      <c r="F8" s="6" t="s">
        <v>20</v>
      </c>
      <c r="G8" s="7">
        <v>45073.0</v>
      </c>
      <c r="H8" s="8">
        <f t="shared" si="1"/>
        <v>27</v>
      </c>
      <c r="I8" s="9">
        <f t="shared" si="2"/>
        <v>5</v>
      </c>
      <c r="J8" s="9">
        <f t="shared" si="3"/>
        <v>2023</v>
      </c>
    </row>
    <row r="9" ht="15.75" customHeight="1">
      <c r="A9" s="5">
        <v>1.0</v>
      </c>
      <c r="B9" s="10" t="s">
        <v>1</v>
      </c>
      <c r="C9" s="3" t="s">
        <v>2</v>
      </c>
      <c r="D9" s="4" t="s">
        <v>3</v>
      </c>
      <c r="E9" s="5" t="s">
        <v>21</v>
      </c>
      <c r="F9" s="6" t="s">
        <v>22</v>
      </c>
      <c r="G9" s="7">
        <v>45074.0</v>
      </c>
      <c r="H9" s="8">
        <f t="shared" si="1"/>
        <v>28</v>
      </c>
      <c r="I9" s="9">
        <f t="shared" si="2"/>
        <v>5</v>
      </c>
      <c r="J9" s="9">
        <f t="shared" si="3"/>
        <v>2023</v>
      </c>
    </row>
    <row r="10" ht="15.75" customHeight="1">
      <c r="A10" s="5">
        <v>1.0</v>
      </c>
      <c r="B10" s="10" t="s">
        <v>1</v>
      </c>
      <c r="C10" s="3" t="s">
        <v>2</v>
      </c>
      <c r="D10" s="4" t="s">
        <v>8</v>
      </c>
      <c r="E10" s="5" t="s">
        <v>23</v>
      </c>
      <c r="F10" s="6" t="s">
        <v>24</v>
      </c>
      <c r="G10" s="7">
        <v>45092.0</v>
      </c>
      <c r="H10" s="8">
        <f t="shared" si="1"/>
        <v>15</v>
      </c>
      <c r="I10" s="9">
        <f t="shared" si="2"/>
        <v>6</v>
      </c>
      <c r="J10" s="9">
        <f t="shared" si="3"/>
        <v>2023</v>
      </c>
    </row>
    <row r="11" ht="15.75" customHeight="1">
      <c r="A11" s="5">
        <v>1.0</v>
      </c>
      <c r="B11" s="10" t="s">
        <v>1</v>
      </c>
      <c r="C11" s="3" t="s">
        <v>2</v>
      </c>
      <c r="D11" s="4" t="s">
        <v>8</v>
      </c>
      <c r="E11" s="5" t="s">
        <v>4</v>
      </c>
      <c r="F11" s="6" t="s">
        <v>25</v>
      </c>
      <c r="G11" s="7">
        <v>45124.0</v>
      </c>
      <c r="H11" s="8">
        <f t="shared" si="1"/>
        <v>17</v>
      </c>
      <c r="I11" s="9">
        <f t="shared" si="2"/>
        <v>7</v>
      </c>
      <c r="J11" s="9">
        <f t="shared" si="3"/>
        <v>2023</v>
      </c>
    </row>
    <row r="12" ht="15.75" customHeight="1">
      <c r="A12" s="5">
        <v>1.0</v>
      </c>
      <c r="B12" s="10" t="s">
        <v>1</v>
      </c>
      <c r="C12" s="3" t="s">
        <v>2</v>
      </c>
      <c r="D12" s="4" t="s">
        <v>8</v>
      </c>
      <c r="E12" s="5" t="s">
        <v>19</v>
      </c>
      <c r="F12" s="6" t="s">
        <v>26</v>
      </c>
      <c r="G12" s="7">
        <v>45126.0</v>
      </c>
      <c r="H12" s="8">
        <f t="shared" si="1"/>
        <v>19</v>
      </c>
      <c r="I12" s="9">
        <f t="shared" si="2"/>
        <v>7</v>
      </c>
      <c r="J12" s="9">
        <f t="shared" si="3"/>
        <v>2023</v>
      </c>
    </row>
    <row r="13" ht="15.75" customHeight="1">
      <c r="A13" s="5">
        <v>1.0</v>
      </c>
      <c r="B13" s="10" t="s">
        <v>1</v>
      </c>
      <c r="C13" s="3" t="s">
        <v>2</v>
      </c>
      <c r="D13" s="4" t="s">
        <v>8</v>
      </c>
      <c r="E13" s="5" t="s">
        <v>21</v>
      </c>
      <c r="F13" s="6" t="s">
        <v>27</v>
      </c>
      <c r="G13" s="7">
        <v>45154.0</v>
      </c>
      <c r="H13" s="8">
        <f t="shared" si="1"/>
        <v>16</v>
      </c>
      <c r="I13" s="9">
        <f t="shared" si="2"/>
        <v>8</v>
      </c>
      <c r="J13" s="9">
        <f t="shared" si="3"/>
        <v>2023</v>
      </c>
    </row>
    <row r="14" ht="15.75" customHeight="1">
      <c r="A14" s="5">
        <v>1.0</v>
      </c>
      <c r="B14" s="10" t="s">
        <v>1</v>
      </c>
      <c r="C14" s="3" t="s">
        <v>2</v>
      </c>
      <c r="D14" s="4" t="s">
        <v>3</v>
      </c>
      <c r="E14" s="5" t="s">
        <v>28</v>
      </c>
      <c r="F14" s="6" t="s">
        <v>29</v>
      </c>
      <c r="G14" s="7">
        <v>45181.0</v>
      </c>
      <c r="H14" s="8">
        <f t="shared" si="1"/>
        <v>12</v>
      </c>
      <c r="I14" s="9">
        <f t="shared" si="2"/>
        <v>9</v>
      </c>
      <c r="J14" s="9">
        <f t="shared" si="3"/>
        <v>2023</v>
      </c>
    </row>
    <row r="15" ht="15.75" customHeight="1">
      <c r="A15" s="5">
        <v>1.0</v>
      </c>
      <c r="B15" s="10" t="s">
        <v>1</v>
      </c>
      <c r="C15" s="3" t="s">
        <v>2</v>
      </c>
      <c r="D15" s="4" t="s">
        <v>3</v>
      </c>
      <c r="E15" s="5" t="s">
        <v>9</v>
      </c>
      <c r="F15" s="6" t="s">
        <v>30</v>
      </c>
      <c r="G15" s="7">
        <v>45194.0</v>
      </c>
      <c r="H15" s="8">
        <f t="shared" si="1"/>
        <v>25</v>
      </c>
      <c r="I15" s="9">
        <f t="shared" si="2"/>
        <v>9</v>
      </c>
      <c r="J15" s="9">
        <f t="shared" si="3"/>
        <v>2023</v>
      </c>
    </row>
    <row r="16" ht="15.75" customHeight="1">
      <c r="A16" s="5">
        <v>1.0</v>
      </c>
      <c r="B16" s="10" t="s">
        <v>1</v>
      </c>
      <c r="C16" s="3" t="s">
        <v>2</v>
      </c>
      <c r="D16" s="4" t="s">
        <v>3</v>
      </c>
      <c r="E16" s="5" t="s">
        <v>11</v>
      </c>
      <c r="F16" s="6" t="s">
        <v>31</v>
      </c>
      <c r="G16" s="7">
        <v>45194.0</v>
      </c>
      <c r="H16" s="8">
        <f t="shared" si="1"/>
        <v>25</v>
      </c>
      <c r="I16" s="9">
        <f t="shared" si="2"/>
        <v>9</v>
      </c>
      <c r="J16" s="9">
        <f t="shared" si="3"/>
        <v>2023</v>
      </c>
    </row>
    <row r="17" ht="15.75" customHeight="1">
      <c r="A17" s="5">
        <v>1.0</v>
      </c>
      <c r="B17" s="10" t="s">
        <v>1</v>
      </c>
      <c r="C17" s="3" t="s">
        <v>2</v>
      </c>
      <c r="D17" s="4" t="s">
        <v>3</v>
      </c>
      <c r="E17" s="5" t="s">
        <v>9</v>
      </c>
      <c r="F17" s="6" t="s">
        <v>32</v>
      </c>
      <c r="G17" s="7">
        <v>45205.0</v>
      </c>
      <c r="H17" s="8">
        <f t="shared" si="1"/>
        <v>6</v>
      </c>
      <c r="I17" s="9">
        <f t="shared" si="2"/>
        <v>10</v>
      </c>
      <c r="J17" s="9">
        <f t="shared" si="3"/>
        <v>2023</v>
      </c>
    </row>
    <row r="18" ht="15.75" customHeight="1">
      <c r="A18" s="5">
        <v>1.0</v>
      </c>
      <c r="B18" s="10" t="s">
        <v>1</v>
      </c>
      <c r="C18" s="3" t="s">
        <v>2</v>
      </c>
      <c r="D18" s="4" t="s">
        <v>8</v>
      </c>
      <c r="E18" s="5" t="s">
        <v>19</v>
      </c>
      <c r="F18" s="6" t="s">
        <v>33</v>
      </c>
      <c r="G18" s="7">
        <v>45221.0</v>
      </c>
      <c r="H18" s="8">
        <f t="shared" si="1"/>
        <v>22</v>
      </c>
      <c r="I18" s="9">
        <f t="shared" si="2"/>
        <v>10</v>
      </c>
      <c r="J18" s="9">
        <f t="shared" si="3"/>
        <v>2023</v>
      </c>
    </row>
    <row r="19" ht="15.75" customHeight="1">
      <c r="A19" s="5">
        <v>1.0</v>
      </c>
      <c r="B19" s="10" t="s">
        <v>1</v>
      </c>
      <c r="C19" s="3" t="s">
        <v>2</v>
      </c>
      <c r="D19" s="4" t="s">
        <v>3</v>
      </c>
      <c r="E19" s="5" t="s">
        <v>11</v>
      </c>
      <c r="F19" s="6" t="s">
        <v>34</v>
      </c>
      <c r="G19" s="7">
        <v>45245.0</v>
      </c>
      <c r="H19" s="8">
        <f t="shared" si="1"/>
        <v>15</v>
      </c>
      <c r="I19" s="9">
        <f t="shared" si="2"/>
        <v>11</v>
      </c>
      <c r="J19" s="9">
        <f t="shared" si="3"/>
        <v>2023</v>
      </c>
    </row>
    <row r="20" ht="15.75" customHeight="1">
      <c r="A20" s="5">
        <v>1.0</v>
      </c>
      <c r="B20" s="10" t="s">
        <v>1</v>
      </c>
      <c r="C20" s="3" t="s">
        <v>2</v>
      </c>
      <c r="D20" s="4" t="s">
        <v>3</v>
      </c>
      <c r="E20" s="5" t="s">
        <v>35</v>
      </c>
      <c r="F20" s="6" t="s">
        <v>36</v>
      </c>
      <c r="G20" s="7">
        <v>45281.0</v>
      </c>
      <c r="H20" s="8">
        <f t="shared" si="1"/>
        <v>21</v>
      </c>
      <c r="I20" s="9">
        <f t="shared" si="2"/>
        <v>12</v>
      </c>
      <c r="J20" s="9">
        <f t="shared" si="3"/>
        <v>2023</v>
      </c>
    </row>
    <row r="21" ht="15.75" customHeight="1">
      <c r="A21" s="5">
        <v>2.0</v>
      </c>
      <c r="B21" s="10" t="s">
        <v>37</v>
      </c>
      <c r="C21" s="3" t="s">
        <v>38</v>
      </c>
      <c r="D21" s="4" t="s">
        <v>8</v>
      </c>
      <c r="E21" s="5" t="s">
        <v>39</v>
      </c>
      <c r="F21" s="6" t="s">
        <v>40</v>
      </c>
      <c r="G21" s="7">
        <v>44930.0</v>
      </c>
      <c r="H21" s="8">
        <f t="shared" si="1"/>
        <v>4</v>
      </c>
      <c r="I21" s="9">
        <f t="shared" si="2"/>
        <v>1</v>
      </c>
      <c r="J21" s="9">
        <f t="shared" si="3"/>
        <v>2023</v>
      </c>
    </row>
    <row r="22" ht="15.75" customHeight="1">
      <c r="A22" s="5">
        <v>2.0</v>
      </c>
      <c r="B22" s="10" t="s">
        <v>37</v>
      </c>
      <c r="C22" s="3" t="s">
        <v>38</v>
      </c>
      <c r="D22" s="4" t="s">
        <v>8</v>
      </c>
      <c r="E22" s="5" t="s">
        <v>9</v>
      </c>
      <c r="F22" s="6" t="s">
        <v>41</v>
      </c>
      <c r="G22" s="7">
        <v>44946.0</v>
      </c>
      <c r="H22" s="8">
        <f t="shared" si="1"/>
        <v>20</v>
      </c>
      <c r="I22" s="9">
        <f t="shared" si="2"/>
        <v>1</v>
      </c>
      <c r="J22" s="9">
        <f t="shared" si="3"/>
        <v>2023</v>
      </c>
    </row>
    <row r="23" ht="15.75" customHeight="1">
      <c r="A23" s="5">
        <v>2.0</v>
      </c>
      <c r="B23" s="10" t="s">
        <v>37</v>
      </c>
      <c r="C23" s="3" t="s">
        <v>38</v>
      </c>
      <c r="D23" s="4" t="s">
        <v>8</v>
      </c>
      <c r="E23" s="5" t="s">
        <v>42</v>
      </c>
      <c r="F23" s="6" t="s">
        <v>43</v>
      </c>
      <c r="G23" s="7">
        <v>44959.0</v>
      </c>
      <c r="H23" s="8">
        <f t="shared" si="1"/>
        <v>2</v>
      </c>
      <c r="I23" s="9">
        <f t="shared" si="2"/>
        <v>2</v>
      </c>
      <c r="J23" s="9">
        <f t="shared" si="3"/>
        <v>2023</v>
      </c>
    </row>
    <row r="24" ht="15.75" customHeight="1">
      <c r="A24" s="5">
        <v>2.0</v>
      </c>
      <c r="B24" s="10" t="s">
        <v>37</v>
      </c>
      <c r="C24" s="3" t="s">
        <v>38</v>
      </c>
      <c r="D24" s="4" t="s">
        <v>3</v>
      </c>
      <c r="E24" s="5" t="s">
        <v>35</v>
      </c>
      <c r="F24" s="6" t="s">
        <v>44</v>
      </c>
      <c r="G24" s="7">
        <v>44970.0</v>
      </c>
      <c r="H24" s="8">
        <f t="shared" si="1"/>
        <v>13</v>
      </c>
      <c r="I24" s="9">
        <f t="shared" si="2"/>
        <v>2</v>
      </c>
      <c r="J24" s="9">
        <f t="shared" si="3"/>
        <v>2023</v>
      </c>
    </row>
    <row r="25" ht="15.75" customHeight="1">
      <c r="A25" s="5">
        <v>2.0</v>
      </c>
      <c r="B25" s="10" t="s">
        <v>37</v>
      </c>
      <c r="C25" s="3" t="s">
        <v>38</v>
      </c>
      <c r="D25" s="4" t="s">
        <v>8</v>
      </c>
      <c r="E25" s="5" t="s">
        <v>45</v>
      </c>
      <c r="F25" s="6" t="s">
        <v>46</v>
      </c>
      <c r="G25" s="7">
        <v>44972.0</v>
      </c>
      <c r="H25" s="8">
        <f t="shared" si="1"/>
        <v>15</v>
      </c>
      <c r="I25" s="9">
        <f t="shared" si="2"/>
        <v>2</v>
      </c>
      <c r="J25" s="9">
        <f t="shared" si="3"/>
        <v>2023</v>
      </c>
    </row>
    <row r="26" ht="15.75" customHeight="1">
      <c r="A26" s="5">
        <v>2.0</v>
      </c>
      <c r="B26" s="10" t="s">
        <v>37</v>
      </c>
      <c r="C26" s="3" t="s">
        <v>38</v>
      </c>
      <c r="D26" s="4" t="s">
        <v>8</v>
      </c>
      <c r="E26" s="5" t="s">
        <v>42</v>
      </c>
      <c r="F26" s="6" t="s">
        <v>47</v>
      </c>
      <c r="G26" s="7">
        <v>44980.0</v>
      </c>
      <c r="H26" s="8">
        <f t="shared" si="1"/>
        <v>23</v>
      </c>
      <c r="I26" s="9">
        <f t="shared" si="2"/>
        <v>2</v>
      </c>
      <c r="J26" s="9">
        <f t="shared" si="3"/>
        <v>2023</v>
      </c>
    </row>
    <row r="27" ht="15.75" customHeight="1">
      <c r="A27" s="5">
        <v>2.0</v>
      </c>
      <c r="B27" s="10" t="s">
        <v>37</v>
      </c>
      <c r="C27" s="3" t="s">
        <v>38</v>
      </c>
      <c r="D27" s="4" t="s">
        <v>8</v>
      </c>
      <c r="E27" s="5" t="s">
        <v>23</v>
      </c>
      <c r="F27" s="6" t="s">
        <v>48</v>
      </c>
      <c r="G27" s="7">
        <v>45002.0</v>
      </c>
      <c r="H27" s="8">
        <f t="shared" si="1"/>
        <v>17</v>
      </c>
      <c r="I27" s="9">
        <f t="shared" si="2"/>
        <v>3</v>
      </c>
      <c r="J27" s="9">
        <f t="shared" si="3"/>
        <v>2023</v>
      </c>
    </row>
    <row r="28" ht="15.75" customHeight="1">
      <c r="A28" s="5">
        <v>2.0</v>
      </c>
      <c r="B28" s="10" t="s">
        <v>37</v>
      </c>
      <c r="C28" s="3" t="s">
        <v>38</v>
      </c>
      <c r="D28" s="4" t="s">
        <v>3</v>
      </c>
      <c r="E28" s="5" t="s">
        <v>6</v>
      </c>
      <c r="F28" s="6" t="s">
        <v>49</v>
      </c>
      <c r="G28" s="7">
        <v>45038.0</v>
      </c>
      <c r="H28" s="8">
        <f t="shared" si="1"/>
        <v>22</v>
      </c>
      <c r="I28" s="9">
        <f t="shared" si="2"/>
        <v>4</v>
      </c>
      <c r="J28" s="9">
        <f t="shared" si="3"/>
        <v>2023</v>
      </c>
    </row>
    <row r="29" ht="15.75" customHeight="1">
      <c r="A29" s="5">
        <v>2.0</v>
      </c>
      <c r="B29" s="10" t="s">
        <v>37</v>
      </c>
      <c r="C29" s="3" t="s">
        <v>38</v>
      </c>
      <c r="D29" s="4" t="s">
        <v>3</v>
      </c>
      <c r="E29" s="5" t="s">
        <v>35</v>
      </c>
      <c r="F29" s="6" t="s">
        <v>50</v>
      </c>
      <c r="G29" s="7">
        <v>45058.0</v>
      </c>
      <c r="H29" s="8">
        <f t="shared" si="1"/>
        <v>12</v>
      </c>
      <c r="I29" s="9">
        <f t="shared" si="2"/>
        <v>5</v>
      </c>
      <c r="J29" s="9">
        <f t="shared" si="3"/>
        <v>2023</v>
      </c>
    </row>
    <row r="30" ht="15.75" customHeight="1">
      <c r="A30" s="5">
        <v>2.0</v>
      </c>
      <c r="B30" s="10" t="s">
        <v>37</v>
      </c>
      <c r="C30" s="3" t="s">
        <v>38</v>
      </c>
      <c r="D30" s="4" t="s">
        <v>3</v>
      </c>
      <c r="E30" s="5" t="s">
        <v>51</v>
      </c>
      <c r="F30" s="6" t="s">
        <v>52</v>
      </c>
      <c r="G30" s="7">
        <v>45099.0</v>
      </c>
      <c r="H30" s="8">
        <f t="shared" si="1"/>
        <v>22</v>
      </c>
      <c r="I30" s="9">
        <f t="shared" si="2"/>
        <v>6</v>
      </c>
      <c r="J30" s="9">
        <f t="shared" si="3"/>
        <v>2023</v>
      </c>
    </row>
    <row r="31" ht="15.75" customHeight="1">
      <c r="A31" s="5">
        <v>2.0</v>
      </c>
      <c r="B31" s="10" t="s">
        <v>37</v>
      </c>
      <c r="C31" s="3" t="s">
        <v>38</v>
      </c>
      <c r="D31" s="4" t="s">
        <v>3</v>
      </c>
      <c r="E31" s="5" t="s">
        <v>45</v>
      </c>
      <c r="F31" s="6" t="s">
        <v>53</v>
      </c>
      <c r="G31" s="7">
        <v>45109.0</v>
      </c>
      <c r="H31" s="8">
        <f t="shared" si="1"/>
        <v>2</v>
      </c>
      <c r="I31" s="9">
        <f t="shared" si="2"/>
        <v>7</v>
      </c>
      <c r="J31" s="9">
        <f t="shared" si="3"/>
        <v>2023</v>
      </c>
    </row>
    <row r="32" ht="15.75" customHeight="1">
      <c r="A32" s="5">
        <v>2.0</v>
      </c>
      <c r="B32" s="10" t="s">
        <v>37</v>
      </c>
      <c r="C32" s="3" t="s">
        <v>38</v>
      </c>
      <c r="D32" s="4" t="s">
        <v>3</v>
      </c>
      <c r="E32" s="5" t="s">
        <v>51</v>
      </c>
      <c r="F32" s="6" t="s">
        <v>54</v>
      </c>
      <c r="G32" s="7">
        <v>45114.0</v>
      </c>
      <c r="H32" s="8">
        <f t="shared" si="1"/>
        <v>7</v>
      </c>
      <c r="I32" s="9">
        <f t="shared" si="2"/>
        <v>7</v>
      </c>
      <c r="J32" s="9">
        <f t="shared" si="3"/>
        <v>2023</v>
      </c>
    </row>
    <row r="33" ht="15.75" customHeight="1">
      <c r="A33" s="5">
        <v>2.0</v>
      </c>
      <c r="B33" s="10" t="s">
        <v>37</v>
      </c>
      <c r="C33" s="3" t="s">
        <v>38</v>
      </c>
      <c r="D33" s="4" t="s">
        <v>3</v>
      </c>
      <c r="E33" s="5" t="s">
        <v>11</v>
      </c>
      <c r="F33" s="6" t="s">
        <v>55</v>
      </c>
      <c r="G33" s="7">
        <v>45131.0</v>
      </c>
      <c r="H33" s="8">
        <f t="shared" si="1"/>
        <v>24</v>
      </c>
      <c r="I33" s="9">
        <f t="shared" si="2"/>
        <v>7</v>
      </c>
      <c r="J33" s="9">
        <f t="shared" si="3"/>
        <v>2023</v>
      </c>
    </row>
    <row r="34" ht="15.75" customHeight="1">
      <c r="A34" s="5">
        <v>2.0</v>
      </c>
      <c r="B34" s="10" t="s">
        <v>37</v>
      </c>
      <c r="C34" s="3" t="s">
        <v>38</v>
      </c>
      <c r="D34" s="4" t="s">
        <v>8</v>
      </c>
      <c r="E34" s="5" t="s">
        <v>23</v>
      </c>
      <c r="F34" s="6" t="s">
        <v>56</v>
      </c>
      <c r="G34" s="7">
        <v>45133.0</v>
      </c>
      <c r="H34" s="8">
        <f t="shared" si="1"/>
        <v>26</v>
      </c>
      <c r="I34" s="9">
        <f t="shared" si="2"/>
        <v>7</v>
      </c>
      <c r="J34" s="9">
        <f t="shared" si="3"/>
        <v>2023</v>
      </c>
    </row>
    <row r="35" ht="15.75" customHeight="1">
      <c r="A35" s="5">
        <v>2.0</v>
      </c>
      <c r="B35" s="10" t="s">
        <v>37</v>
      </c>
      <c r="C35" s="3" t="s">
        <v>38</v>
      </c>
      <c r="D35" s="4" t="s">
        <v>3</v>
      </c>
      <c r="E35" s="5" t="s">
        <v>4</v>
      </c>
      <c r="F35" s="6" t="s">
        <v>57</v>
      </c>
      <c r="G35" s="7">
        <v>45159.0</v>
      </c>
      <c r="H35" s="8">
        <f t="shared" si="1"/>
        <v>21</v>
      </c>
      <c r="I35" s="9">
        <f t="shared" si="2"/>
        <v>8</v>
      </c>
      <c r="J35" s="9">
        <f t="shared" si="3"/>
        <v>2023</v>
      </c>
    </row>
    <row r="36" ht="15.75" customHeight="1">
      <c r="A36" s="5">
        <v>2.0</v>
      </c>
      <c r="B36" s="10" t="s">
        <v>37</v>
      </c>
      <c r="C36" s="3" t="s">
        <v>38</v>
      </c>
      <c r="D36" s="4" t="s">
        <v>8</v>
      </c>
      <c r="E36" s="5" t="s">
        <v>15</v>
      </c>
      <c r="F36" s="6" t="s">
        <v>58</v>
      </c>
      <c r="G36" s="7">
        <v>45179.0</v>
      </c>
      <c r="H36" s="8">
        <f t="shared" si="1"/>
        <v>10</v>
      </c>
      <c r="I36" s="9">
        <f t="shared" si="2"/>
        <v>9</v>
      </c>
      <c r="J36" s="9">
        <f t="shared" si="3"/>
        <v>2023</v>
      </c>
    </row>
    <row r="37" ht="15.75" customHeight="1">
      <c r="A37" s="5">
        <v>2.0</v>
      </c>
      <c r="B37" s="10" t="s">
        <v>37</v>
      </c>
      <c r="C37" s="3" t="s">
        <v>38</v>
      </c>
      <c r="D37" s="4" t="s">
        <v>8</v>
      </c>
      <c r="E37" s="5" t="s">
        <v>39</v>
      </c>
      <c r="F37" s="6" t="s">
        <v>59</v>
      </c>
      <c r="G37" s="7">
        <v>45202.0</v>
      </c>
      <c r="H37" s="8">
        <f t="shared" si="1"/>
        <v>3</v>
      </c>
      <c r="I37" s="9">
        <f t="shared" si="2"/>
        <v>10</v>
      </c>
      <c r="J37" s="9">
        <f t="shared" si="3"/>
        <v>2023</v>
      </c>
    </row>
    <row r="38" ht="15.75" customHeight="1">
      <c r="A38" s="5">
        <v>2.0</v>
      </c>
      <c r="B38" s="10" t="s">
        <v>37</v>
      </c>
      <c r="C38" s="3" t="s">
        <v>38</v>
      </c>
      <c r="D38" s="4" t="s">
        <v>8</v>
      </c>
      <c r="E38" s="5" t="s">
        <v>45</v>
      </c>
      <c r="F38" s="6" t="s">
        <v>60</v>
      </c>
      <c r="G38" s="7">
        <v>45246.0</v>
      </c>
      <c r="H38" s="8">
        <f t="shared" si="1"/>
        <v>16</v>
      </c>
      <c r="I38" s="9">
        <f t="shared" si="2"/>
        <v>11</v>
      </c>
      <c r="J38" s="9">
        <f t="shared" si="3"/>
        <v>2023</v>
      </c>
    </row>
    <row r="39" ht="15.75" customHeight="1">
      <c r="A39" s="5">
        <v>2.0</v>
      </c>
      <c r="B39" s="10" t="s">
        <v>37</v>
      </c>
      <c r="C39" s="3" t="s">
        <v>38</v>
      </c>
      <c r="D39" s="4" t="s">
        <v>8</v>
      </c>
      <c r="E39" s="5" t="s">
        <v>21</v>
      </c>
      <c r="F39" s="6" t="s">
        <v>61</v>
      </c>
      <c r="G39" s="7">
        <v>45268.0</v>
      </c>
      <c r="H39" s="8">
        <f t="shared" si="1"/>
        <v>8</v>
      </c>
      <c r="I39" s="9">
        <f t="shared" si="2"/>
        <v>12</v>
      </c>
      <c r="J39" s="9">
        <f t="shared" si="3"/>
        <v>2023</v>
      </c>
    </row>
    <row r="40" ht="15.75" customHeight="1">
      <c r="A40" s="5">
        <v>2.0</v>
      </c>
      <c r="B40" s="10" t="s">
        <v>37</v>
      </c>
      <c r="C40" s="3" t="s">
        <v>38</v>
      </c>
      <c r="D40" s="4" t="s">
        <v>3</v>
      </c>
      <c r="E40" s="5" t="s">
        <v>35</v>
      </c>
      <c r="F40" s="6" t="s">
        <v>62</v>
      </c>
      <c r="G40" s="7">
        <v>45270.0</v>
      </c>
      <c r="H40" s="8">
        <f t="shared" si="1"/>
        <v>10</v>
      </c>
      <c r="I40" s="9">
        <f t="shared" si="2"/>
        <v>12</v>
      </c>
      <c r="J40" s="9">
        <f t="shared" si="3"/>
        <v>2023</v>
      </c>
    </row>
    <row r="41" ht="15.75" customHeight="1">
      <c r="A41" s="5">
        <v>3.0</v>
      </c>
      <c r="B41" s="10" t="s">
        <v>63</v>
      </c>
      <c r="C41" s="3" t="s">
        <v>64</v>
      </c>
      <c r="D41" s="4" t="s">
        <v>8</v>
      </c>
      <c r="E41" s="5" t="s">
        <v>17</v>
      </c>
      <c r="F41" s="6" t="s">
        <v>65</v>
      </c>
      <c r="G41" s="7">
        <v>44930.0</v>
      </c>
      <c r="H41" s="8">
        <f t="shared" si="1"/>
        <v>4</v>
      </c>
      <c r="I41" s="9">
        <f t="shared" si="2"/>
        <v>1</v>
      </c>
      <c r="J41" s="9">
        <f t="shared" si="3"/>
        <v>2023</v>
      </c>
    </row>
    <row r="42" ht="15.75" customHeight="1">
      <c r="A42" s="5">
        <v>3.0</v>
      </c>
      <c r="B42" s="10" t="s">
        <v>63</v>
      </c>
      <c r="C42" s="3" t="s">
        <v>64</v>
      </c>
      <c r="D42" s="4" t="s">
        <v>3</v>
      </c>
      <c r="E42" s="5" t="s">
        <v>13</v>
      </c>
      <c r="F42" s="6" t="s">
        <v>66</v>
      </c>
      <c r="G42" s="7">
        <v>44946.0</v>
      </c>
      <c r="H42" s="8">
        <f t="shared" si="1"/>
        <v>20</v>
      </c>
      <c r="I42" s="9">
        <f t="shared" si="2"/>
        <v>1</v>
      </c>
      <c r="J42" s="9">
        <f t="shared" si="3"/>
        <v>2023</v>
      </c>
    </row>
    <row r="43" ht="15.75" customHeight="1">
      <c r="A43" s="5">
        <v>3.0</v>
      </c>
      <c r="B43" s="10" t="s">
        <v>63</v>
      </c>
      <c r="C43" s="3" t="s">
        <v>64</v>
      </c>
      <c r="D43" s="4" t="s">
        <v>3</v>
      </c>
      <c r="E43" s="5" t="s">
        <v>23</v>
      </c>
      <c r="F43" s="6" t="s">
        <v>67</v>
      </c>
      <c r="G43" s="7">
        <v>44962.0</v>
      </c>
      <c r="H43" s="8">
        <f t="shared" si="1"/>
        <v>5</v>
      </c>
      <c r="I43" s="9">
        <f t="shared" si="2"/>
        <v>2</v>
      </c>
      <c r="J43" s="9">
        <f t="shared" si="3"/>
        <v>2023</v>
      </c>
    </row>
    <row r="44" ht="15.75" customHeight="1">
      <c r="A44" s="5">
        <v>3.0</v>
      </c>
      <c r="B44" s="10" t="s">
        <v>63</v>
      </c>
      <c r="C44" s="3" t="s">
        <v>64</v>
      </c>
      <c r="D44" s="4" t="s">
        <v>8</v>
      </c>
      <c r="E44" s="5" t="s">
        <v>19</v>
      </c>
      <c r="F44" s="6" t="s">
        <v>68</v>
      </c>
      <c r="G44" s="7">
        <v>44970.0</v>
      </c>
      <c r="H44" s="8">
        <f t="shared" si="1"/>
        <v>13</v>
      </c>
      <c r="I44" s="9">
        <f t="shared" si="2"/>
        <v>2</v>
      </c>
      <c r="J44" s="9">
        <f t="shared" si="3"/>
        <v>2023</v>
      </c>
    </row>
    <row r="45" ht="15.75" customHeight="1">
      <c r="A45" s="5">
        <v>3.0</v>
      </c>
      <c r="B45" s="10" t="s">
        <v>63</v>
      </c>
      <c r="C45" s="3" t="s">
        <v>64</v>
      </c>
      <c r="D45" s="4" t="s">
        <v>8</v>
      </c>
      <c r="E45" s="5" t="s">
        <v>23</v>
      </c>
      <c r="F45" s="6" t="s">
        <v>69</v>
      </c>
      <c r="G45" s="7">
        <v>44975.0</v>
      </c>
      <c r="H45" s="8">
        <f t="shared" si="1"/>
        <v>18</v>
      </c>
      <c r="I45" s="9">
        <f t="shared" si="2"/>
        <v>2</v>
      </c>
      <c r="J45" s="9">
        <f t="shared" si="3"/>
        <v>2023</v>
      </c>
    </row>
    <row r="46" ht="15.75" customHeight="1">
      <c r="A46" s="5">
        <v>3.0</v>
      </c>
      <c r="B46" s="10" t="s">
        <v>63</v>
      </c>
      <c r="C46" s="3" t="s">
        <v>64</v>
      </c>
      <c r="D46" s="4" t="s">
        <v>8</v>
      </c>
      <c r="E46" s="5" t="s">
        <v>9</v>
      </c>
      <c r="F46" s="6" t="s">
        <v>70</v>
      </c>
      <c r="G46" s="7">
        <v>44982.0</v>
      </c>
      <c r="H46" s="8">
        <f t="shared" si="1"/>
        <v>25</v>
      </c>
      <c r="I46" s="9">
        <f t="shared" si="2"/>
        <v>2</v>
      </c>
      <c r="J46" s="9">
        <f t="shared" si="3"/>
        <v>2023</v>
      </c>
    </row>
    <row r="47" ht="15.75" customHeight="1">
      <c r="A47" s="5">
        <v>3.0</v>
      </c>
      <c r="B47" s="10" t="s">
        <v>63</v>
      </c>
      <c r="C47" s="3" t="s">
        <v>64</v>
      </c>
      <c r="D47" s="4" t="s">
        <v>8</v>
      </c>
      <c r="E47" s="5" t="s">
        <v>71</v>
      </c>
      <c r="F47" s="6" t="s">
        <v>72</v>
      </c>
      <c r="G47" s="7">
        <v>44989.0</v>
      </c>
      <c r="H47" s="8">
        <f t="shared" si="1"/>
        <v>4</v>
      </c>
      <c r="I47" s="9">
        <f t="shared" si="2"/>
        <v>3</v>
      </c>
      <c r="J47" s="9">
        <f t="shared" si="3"/>
        <v>2023</v>
      </c>
    </row>
    <row r="48" ht="15.75" customHeight="1">
      <c r="A48" s="5">
        <v>3.0</v>
      </c>
      <c r="B48" s="10" t="s">
        <v>63</v>
      </c>
      <c r="C48" s="3" t="s">
        <v>64</v>
      </c>
      <c r="D48" s="4" t="s">
        <v>8</v>
      </c>
      <c r="E48" s="5" t="s">
        <v>19</v>
      </c>
      <c r="F48" s="6" t="s">
        <v>73</v>
      </c>
      <c r="G48" s="7">
        <v>44999.0</v>
      </c>
      <c r="H48" s="8">
        <f t="shared" si="1"/>
        <v>14</v>
      </c>
      <c r="I48" s="9">
        <f t="shared" si="2"/>
        <v>3</v>
      </c>
      <c r="J48" s="9">
        <f t="shared" si="3"/>
        <v>2023</v>
      </c>
    </row>
    <row r="49" ht="15.75" customHeight="1">
      <c r="A49" s="5">
        <v>3.0</v>
      </c>
      <c r="B49" s="10" t="s">
        <v>63</v>
      </c>
      <c r="C49" s="3" t="s">
        <v>64</v>
      </c>
      <c r="D49" s="4" t="s">
        <v>3</v>
      </c>
      <c r="E49" s="5" t="s">
        <v>23</v>
      </c>
      <c r="F49" s="6" t="s">
        <v>74</v>
      </c>
      <c r="G49" s="7">
        <v>45033.0</v>
      </c>
      <c r="H49" s="8">
        <f t="shared" si="1"/>
        <v>17</v>
      </c>
      <c r="I49" s="9">
        <f t="shared" si="2"/>
        <v>4</v>
      </c>
      <c r="J49" s="9">
        <f t="shared" si="3"/>
        <v>2023</v>
      </c>
    </row>
    <row r="50" ht="15.75" customHeight="1">
      <c r="A50" s="5">
        <v>3.0</v>
      </c>
      <c r="B50" s="10" t="s">
        <v>63</v>
      </c>
      <c r="C50" s="3" t="s">
        <v>64</v>
      </c>
      <c r="D50" s="4" t="s">
        <v>3</v>
      </c>
      <c r="E50" s="5" t="s">
        <v>4</v>
      </c>
      <c r="F50" s="6" t="s">
        <v>75</v>
      </c>
      <c r="G50" s="7">
        <v>45033.0</v>
      </c>
      <c r="H50" s="8">
        <f t="shared" si="1"/>
        <v>17</v>
      </c>
      <c r="I50" s="9">
        <f t="shared" si="2"/>
        <v>4</v>
      </c>
      <c r="J50" s="9">
        <f t="shared" si="3"/>
        <v>2023</v>
      </c>
    </row>
    <row r="51" ht="15.75" customHeight="1">
      <c r="A51" s="5">
        <v>3.0</v>
      </c>
      <c r="B51" s="10" t="s">
        <v>63</v>
      </c>
      <c r="C51" s="3" t="s">
        <v>64</v>
      </c>
      <c r="D51" s="4" t="s">
        <v>8</v>
      </c>
      <c r="E51" s="5" t="s">
        <v>76</v>
      </c>
      <c r="F51" s="6" t="s">
        <v>77</v>
      </c>
      <c r="G51" s="7">
        <v>45056.0</v>
      </c>
      <c r="H51" s="8">
        <f t="shared" si="1"/>
        <v>10</v>
      </c>
      <c r="I51" s="9">
        <f t="shared" si="2"/>
        <v>5</v>
      </c>
      <c r="J51" s="9">
        <f t="shared" si="3"/>
        <v>2023</v>
      </c>
    </row>
    <row r="52" ht="15.75" customHeight="1">
      <c r="A52" s="5">
        <v>3.0</v>
      </c>
      <c r="B52" s="10" t="s">
        <v>63</v>
      </c>
      <c r="C52" s="3" t="s">
        <v>64</v>
      </c>
      <c r="D52" s="4" t="s">
        <v>8</v>
      </c>
      <c r="E52" s="5" t="s">
        <v>11</v>
      </c>
      <c r="F52" s="6" t="s">
        <v>78</v>
      </c>
      <c r="G52" s="7">
        <v>45139.0</v>
      </c>
      <c r="H52" s="8">
        <f t="shared" si="1"/>
        <v>1</v>
      </c>
      <c r="I52" s="9">
        <f t="shared" si="2"/>
        <v>8</v>
      </c>
      <c r="J52" s="9">
        <f t="shared" si="3"/>
        <v>2023</v>
      </c>
    </row>
    <row r="53" ht="15.75" customHeight="1">
      <c r="A53" s="5">
        <v>3.0</v>
      </c>
      <c r="B53" s="10" t="s">
        <v>63</v>
      </c>
      <c r="C53" s="3" t="s">
        <v>64</v>
      </c>
      <c r="D53" s="4" t="s">
        <v>3</v>
      </c>
      <c r="E53" s="5" t="s">
        <v>4</v>
      </c>
      <c r="F53" s="6" t="s">
        <v>79</v>
      </c>
      <c r="G53" s="7">
        <v>45150.0</v>
      </c>
      <c r="H53" s="8">
        <f t="shared" si="1"/>
        <v>12</v>
      </c>
      <c r="I53" s="9">
        <f t="shared" si="2"/>
        <v>8</v>
      </c>
      <c r="J53" s="9">
        <f t="shared" si="3"/>
        <v>2023</v>
      </c>
    </row>
    <row r="54" ht="15.75" customHeight="1">
      <c r="A54" s="5">
        <v>3.0</v>
      </c>
      <c r="B54" s="10" t="s">
        <v>63</v>
      </c>
      <c r="C54" s="3" t="s">
        <v>64</v>
      </c>
      <c r="D54" s="4" t="s">
        <v>3</v>
      </c>
      <c r="E54" s="5" t="s">
        <v>35</v>
      </c>
      <c r="F54" s="6" t="s">
        <v>80</v>
      </c>
      <c r="G54" s="7">
        <v>45158.0</v>
      </c>
      <c r="H54" s="8">
        <f t="shared" si="1"/>
        <v>20</v>
      </c>
      <c r="I54" s="9">
        <f t="shared" si="2"/>
        <v>8</v>
      </c>
      <c r="J54" s="9">
        <f t="shared" si="3"/>
        <v>2023</v>
      </c>
    </row>
    <row r="55" ht="15.75" customHeight="1">
      <c r="A55" s="5">
        <v>3.0</v>
      </c>
      <c r="B55" s="10" t="s">
        <v>63</v>
      </c>
      <c r="C55" s="3" t="s">
        <v>64</v>
      </c>
      <c r="D55" s="4" t="s">
        <v>8</v>
      </c>
      <c r="E55" s="5" t="s">
        <v>11</v>
      </c>
      <c r="F55" s="6" t="s">
        <v>81</v>
      </c>
      <c r="G55" s="7">
        <v>45176.0</v>
      </c>
      <c r="H55" s="8">
        <f t="shared" si="1"/>
        <v>7</v>
      </c>
      <c r="I55" s="9">
        <f t="shared" si="2"/>
        <v>9</v>
      </c>
      <c r="J55" s="9">
        <f t="shared" si="3"/>
        <v>2023</v>
      </c>
    </row>
    <row r="56" ht="15.75" customHeight="1">
      <c r="A56" s="5">
        <v>3.0</v>
      </c>
      <c r="B56" s="10" t="s">
        <v>63</v>
      </c>
      <c r="C56" s="3" t="s">
        <v>64</v>
      </c>
      <c r="D56" s="4" t="s">
        <v>3</v>
      </c>
      <c r="E56" s="5" t="s">
        <v>23</v>
      </c>
      <c r="F56" s="6" t="s">
        <v>82</v>
      </c>
      <c r="G56" s="7">
        <v>45188.0</v>
      </c>
      <c r="H56" s="8">
        <f t="shared" si="1"/>
        <v>19</v>
      </c>
      <c r="I56" s="9">
        <f t="shared" si="2"/>
        <v>9</v>
      </c>
      <c r="J56" s="9">
        <f t="shared" si="3"/>
        <v>2023</v>
      </c>
    </row>
    <row r="57" ht="15.75" customHeight="1">
      <c r="A57" s="5">
        <v>3.0</v>
      </c>
      <c r="B57" s="10" t="s">
        <v>63</v>
      </c>
      <c r="C57" s="3" t="s">
        <v>64</v>
      </c>
      <c r="D57" s="4" t="s">
        <v>3</v>
      </c>
      <c r="E57" s="5" t="s">
        <v>35</v>
      </c>
      <c r="F57" s="6" t="s">
        <v>83</v>
      </c>
      <c r="G57" s="7">
        <v>45196.0</v>
      </c>
      <c r="H57" s="8">
        <f t="shared" si="1"/>
        <v>27</v>
      </c>
      <c r="I57" s="9">
        <f t="shared" si="2"/>
        <v>9</v>
      </c>
      <c r="J57" s="9">
        <f t="shared" si="3"/>
        <v>2023</v>
      </c>
    </row>
    <row r="58" ht="15.75" customHeight="1">
      <c r="A58" s="5">
        <v>3.0</v>
      </c>
      <c r="B58" s="10" t="s">
        <v>63</v>
      </c>
      <c r="C58" s="3" t="s">
        <v>64</v>
      </c>
      <c r="D58" s="4" t="s">
        <v>3</v>
      </c>
      <c r="E58" s="5" t="s">
        <v>39</v>
      </c>
      <c r="F58" s="6" t="s">
        <v>84</v>
      </c>
      <c r="G58" s="7">
        <v>45214.0</v>
      </c>
      <c r="H58" s="8">
        <f t="shared" si="1"/>
        <v>15</v>
      </c>
      <c r="I58" s="9">
        <f t="shared" si="2"/>
        <v>10</v>
      </c>
      <c r="J58" s="9">
        <f t="shared" si="3"/>
        <v>2023</v>
      </c>
    </row>
    <row r="59" ht="15.75" customHeight="1">
      <c r="A59" s="5">
        <v>3.0</v>
      </c>
      <c r="B59" s="10" t="s">
        <v>63</v>
      </c>
      <c r="C59" s="3" t="s">
        <v>64</v>
      </c>
      <c r="D59" s="4" t="s">
        <v>3</v>
      </c>
      <c r="E59" s="5" t="s">
        <v>71</v>
      </c>
      <c r="F59" s="6" t="s">
        <v>85</v>
      </c>
      <c r="G59" s="7">
        <v>45235.0</v>
      </c>
      <c r="H59" s="8">
        <f t="shared" si="1"/>
        <v>5</v>
      </c>
      <c r="I59" s="9">
        <f t="shared" si="2"/>
        <v>11</v>
      </c>
      <c r="J59" s="9">
        <f t="shared" si="3"/>
        <v>2023</v>
      </c>
    </row>
    <row r="60" ht="15.75" customHeight="1">
      <c r="A60" s="5">
        <v>3.0</v>
      </c>
      <c r="B60" s="10" t="s">
        <v>63</v>
      </c>
      <c r="C60" s="3" t="s">
        <v>64</v>
      </c>
      <c r="D60" s="4" t="s">
        <v>8</v>
      </c>
      <c r="E60" s="5" t="s">
        <v>9</v>
      </c>
      <c r="F60" s="6" t="s">
        <v>86</v>
      </c>
      <c r="G60" s="7">
        <v>45279.0</v>
      </c>
      <c r="H60" s="8">
        <f t="shared" si="1"/>
        <v>19</v>
      </c>
      <c r="I60" s="9">
        <f t="shared" si="2"/>
        <v>12</v>
      </c>
      <c r="J60" s="9">
        <f t="shared" si="3"/>
        <v>2023</v>
      </c>
    </row>
    <row r="61" ht="15.75" customHeight="1">
      <c r="A61" s="5">
        <v>4.0</v>
      </c>
      <c r="B61" s="10" t="s">
        <v>87</v>
      </c>
      <c r="C61" s="3" t="s">
        <v>88</v>
      </c>
      <c r="D61" s="4" t="s">
        <v>8</v>
      </c>
      <c r="E61" s="5" t="s">
        <v>39</v>
      </c>
      <c r="F61" s="6" t="s">
        <v>89</v>
      </c>
      <c r="G61" s="7">
        <v>44934.0</v>
      </c>
      <c r="H61" s="8">
        <f t="shared" si="1"/>
        <v>8</v>
      </c>
      <c r="I61" s="9">
        <f t="shared" si="2"/>
        <v>1</v>
      </c>
      <c r="J61" s="9">
        <f t="shared" si="3"/>
        <v>2023</v>
      </c>
    </row>
    <row r="62" ht="15.75" customHeight="1">
      <c r="A62" s="5">
        <v>4.0</v>
      </c>
      <c r="B62" s="10" t="s">
        <v>87</v>
      </c>
      <c r="C62" s="3" t="s">
        <v>88</v>
      </c>
      <c r="D62" s="4" t="s">
        <v>8</v>
      </c>
      <c r="E62" s="5" t="s">
        <v>35</v>
      </c>
      <c r="F62" s="6" t="s">
        <v>90</v>
      </c>
      <c r="G62" s="7">
        <v>44938.0</v>
      </c>
      <c r="H62" s="8">
        <f t="shared" si="1"/>
        <v>12</v>
      </c>
      <c r="I62" s="9">
        <f t="shared" si="2"/>
        <v>1</v>
      </c>
      <c r="J62" s="9">
        <f t="shared" si="3"/>
        <v>2023</v>
      </c>
    </row>
    <row r="63" ht="15.75" customHeight="1">
      <c r="A63" s="5">
        <v>4.0</v>
      </c>
      <c r="B63" s="10" t="s">
        <v>87</v>
      </c>
      <c r="C63" s="3" t="s">
        <v>88</v>
      </c>
      <c r="D63" s="4" t="s">
        <v>8</v>
      </c>
      <c r="E63" s="5" t="s">
        <v>19</v>
      </c>
      <c r="F63" s="6" t="s">
        <v>91</v>
      </c>
      <c r="G63" s="7">
        <v>44958.0</v>
      </c>
      <c r="H63" s="8">
        <f t="shared" si="1"/>
        <v>1</v>
      </c>
      <c r="I63" s="9">
        <f t="shared" si="2"/>
        <v>2</v>
      </c>
      <c r="J63" s="9">
        <f t="shared" si="3"/>
        <v>2023</v>
      </c>
    </row>
    <row r="64" ht="15.75" customHeight="1">
      <c r="A64" s="5">
        <v>4.0</v>
      </c>
      <c r="B64" s="10" t="s">
        <v>87</v>
      </c>
      <c r="C64" s="3" t="s">
        <v>88</v>
      </c>
      <c r="D64" s="4" t="s">
        <v>8</v>
      </c>
      <c r="E64" s="5" t="s">
        <v>4</v>
      </c>
      <c r="F64" s="6" t="s">
        <v>92</v>
      </c>
      <c r="G64" s="7">
        <v>44963.0</v>
      </c>
      <c r="H64" s="8">
        <f t="shared" si="1"/>
        <v>6</v>
      </c>
      <c r="I64" s="9">
        <f t="shared" si="2"/>
        <v>2</v>
      </c>
      <c r="J64" s="9">
        <f t="shared" si="3"/>
        <v>2023</v>
      </c>
    </row>
    <row r="65" ht="15.75" customHeight="1">
      <c r="A65" s="5">
        <v>4.0</v>
      </c>
      <c r="B65" s="10" t="s">
        <v>87</v>
      </c>
      <c r="C65" s="3" t="s">
        <v>88</v>
      </c>
      <c r="D65" s="4" t="s">
        <v>3</v>
      </c>
      <c r="E65" s="5" t="s">
        <v>19</v>
      </c>
      <c r="F65" s="6" t="s">
        <v>93</v>
      </c>
      <c r="G65" s="7">
        <v>44995.0</v>
      </c>
      <c r="H65" s="8">
        <f t="shared" si="1"/>
        <v>10</v>
      </c>
      <c r="I65" s="9">
        <f t="shared" si="2"/>
        <v>3</v>
      </c>
      <c r="J65" s="9">
        <f t="shared" si="3"/>
        <v>2023</v>
      </c>
    </row>
    <row r="66" ht="15.75" customHeight="1">
      <c r="A66" s="5">
        <v>4.0</v>
      </c>
      <c r="B66" s="10" t="s">
        <v>87</v>
      </c>
      <c r="C66" s="3" t="s">
        <v>88</v>
      </c>
      <c r="D66" s="4" t="s">
        <v>3</v>
      </c>
      <c r="E66" s="5" t="s">
        <v>51</v>
      </c>
      <c r="F66" s="6" t="s">
        <v>94</v>
      </c>
      <c r="G66" s="7">
        <v>45029.0</v>
      </c>
      <c r="H66" s="8">
        <f t="shared" si="1"/>
        <v>13</v>
      </c>
      <c r="I66" s="9">
        <f t="shared" si="2"/>
        <v>4</v>
      </c>
      <c r="J66" s="9">
        <f t="shared" si="3"/>
        <v>2023</v>
      </c>
    </row>
    <row r="67" ht="15.75" customHeight="1">
      <c r="A67" s="5">
        <v>4.0</v>
      </c>
      <c r="B67" s="10" t="s">
        <v>87</v>
      </c>
      <c r="C67" s="3" t="s">
        <v>88</v>
      </c>
      <c r="D67" s="4" t="s">
        <v>8</v>
      </c>
      <c r="E67" s="5" t="s">
        <v>35</v>
      </c>
      <c r="F67" s="6" t="s">
        <v>95</v>
      </c>
      <c r="G67" s="7">
        <v>45041.0</v>
      </c>
      <c r="H67" s="8">
        <f t="shared" si="1"/>
        <v>25</v>
      </c>
      <c r="I67" s="9">
        <f t="shared" si="2"/>
        <v>4</v>
      </c>
      <c r="J67" s="9">
        <f t="shared" si="3"/>
        <v>2023</v>
      </c>
    </row>
    <row r="68" ht="15.75" customHeight="1">
      <c r="A68" s="5">
        <v>4.0</v>
      </c>
      <c r="B68" s="10" t="s">
        <v>87</v>
      </c>
      <c r="C68" s="3" t="s">
        <v>88</v>
      </c>
      <c r="D68" s="4" t="s">
        <v>3</v>
      </c>
      <c r="E68" s="5" t="s">
        <v>96</v>
      </c>
      <c r="F68" s="6" t="s">
        <v>97</v>
      </c>
      <c r="G68" s="7">
        <v>45062.0</v>
      </c>
      <c r="H68" s="8">
        <f t="shared" si="1"/>
        <v>16</v>
      </c>
      <c r="I68" s="9">
        <f t="shared" si="2"/>
        <v>5</v>
      </c>
      <c r="J68" s="9">
        <f t="shared" si="3"/>
        <v>2023</v>
      </c>
    </row>
    <row r="69" ht="15.75" customHeight="1">
      <c r="A69" s="5">
        <v>4.0</v>
      </c>
      <c r="B69" s="10" t="s">
        <v>87</v>
      </c>
      <c r="C69" s="3" t="s">
        <v>88</v>
      </c>
      <c r="D69" s="4" t="s">
        <v>8</v>
      </c>
      <c r="E69" s="5" t="s">
        <v>76</v>
      </c>
      <c r="F69" s="6" t="s">
        <v>98</v>
      </c>
      <c r="G69" s="7">
        <v>45064.0</v>
      </c>
      <c r="H69" s="8">
        <f t="shared" si="1"/>
        <v>18</v>
      </c>
      <c r="I69" s="9">
        <f t="shared" si="2"/>
        <v>5</v>
      </c>
      <c r="J69" s="9">
        <f t="shared" si="3"/>
        <v>2023</v>
      </c>
    </row>
    <row r="70" ht="15.75" customHeight="1">
      <c r="A70" s="5">
        <v>4.0</v>
      </c>
      <c r="B70" s="10" t="s">
        <v>87</v>
      </c>
      <c r="C70" s="3" t="s">
        <v>88</v>
      </c>
      <c r="D70" s="4" t="s">
        <v>3</v>
      </c>
      <c r="E70" s="5" t="s">
        <v>23</v>
      </c>
      <c r="F70" s="6" t="s">
        <v>99</v>
      </c>
      <c r="G70" s="7">
        <v>45065.0</v>
      </c>
      <c r="H70" s="8">
        <f t="shared" si="1"/>
        <v>19</v>
      </c>
      <c r="I70" s="9">
        <f t="shared" si="2"/>
        <v>5</v>
      </c>
      <c r="J70" s="9">
        <f t="shared" si="3"/>
        <v>2023</v>
      </c>
    </row>
    <row r="71" ht="15.75" customHeight="1">
      <c r="A71" s="5">
        <v>4.0</v>
      </c>
      <c r="B71" s="10" t="s">
        <v>87</v>
      </c>
      <c r="C71" s="3" t="s">
        <v>88</v>
      </c>
      <c r="D71" s="4" t="s">
        <v>8</v>
      </c>
      <c r="E71" s="5" t="s">
        <v>71</v>
      </c>
      <c r="F71" s="6" t="s">
        <v>100</v>
      </c>
      <c r="G71" s="7">
        <v>45068.0</v>
      </c>
      <c r="H71" s="8">
        <f t="shared" si="1"/>
        <v>22</v>
      </c>
      <c r="I71" s="9">
        <f t="shared" si="2"/>
        <v>5</v>
      </c>
      <c r="J71" s="9">
        <f t="shared" si="3"/>
        <v>2023</v>
      </c>
    </row>
    <row r="72" ht="15.75" customHeight="1">
      <c r="A72" s="5">
        <v>4.0</v>
      </c>
      <c r="B72" s="10" t="s">
        <v>87</v>
      </c>
      <c r="C72" s="3" t="s">
        <v>88</v>
      </c>
      <c r="D72" s="4" t="s">
        <v>3</v>
      </c>
      <c r="E72" s="5" t="s">
        <v>76</v>
      </c>
      <c r="F72" s="6" t="s">
        <v>101</v>
      </c>
      <c r="G72" s="7">
        <v>45074.0</v>
      </c>
      <c r="H72" s="8">
        <f t="shared" si="1"/>
        <v>28</v>
      </c>
      <c r="I72" s="9">
        <f t="shared" si="2"/>
        <v>5</v>
      </c>
      <c r="J72" s="9">
        <f t="shared" si="3"/>
        <v>2023</v>
      </c>
    </row>
    <row r="73" ht="15.75" customHeight="1">
      <c r="A73" s="5">
        <v>4.0</v>
      </c>
      <c r="B73" s="10" t="s">
        <v>87</v>
      </c>
      <c r="C73" s="3" t="s">
        <v>88</v>
      </c>
      <c r="D73" s="4" t="s">
        <v>8</v>
      </c>
      <c r="E73" s="5" t="s">
        <v>11</v>
      </c>
      <c r="F73" s="6" t="s">
        <v>102</v>
      </c>
      <c r="G73" s="7">
        <v>45090.0</v>
      </c>
      <c r="H73" s="8">
        <f t="shared" si="1"/>
        <v>13</v>
      </c>
      <c r="I73" s="9">
        <f t="shared" si="2"/>
        <v>6</v>
      </c>
      <c r="J73" s="9">
        <f t="shared" si="3"/>
        <v>2023</v>
      </c>
    </row>
    <row r="74" ht="15.75" customHeight="1">
      <c r="A74" s="5">
        <v>4.0</v>
      </c>
      <c r="B74" s="10" t="s">
        <v>87</v>
      </c>
      <c r="C74" s="3" t="s">
        <v>88</v>
      </c>
      <c r="D74" s="4" t="s">
        <v>3</v>
      </c>
      <c r="E74" s="5" t="s">
        <v>51</v>
      </c>
      <c r="F74" s="6" t="s">
        <v>103</v>
      </c>
      <c r="G74" s="7">
        <v>45098.0</v>
      </c>
      <c r="H74" s="8">
        <f t="shared" si="1"/>
        <v>21</v>
      </c>
      <c r="I74" s="9">
        <f t="shared" si="2"/>
        <v>6</v>
      </c>
      <c r="J74" s="9">
        <f t="shared" si="3"/>
        <v>2023</v>
      </c>
    </row>
    <row r="75" ht="15.75" customHeight="1">
      <c r="A75" s="5">
        <v>4.0</v>
      </c>
      <c r="B75" s="10" t="s">
        <v>87</v>
      </c>
      <c r="C75" s="3" t="s">
        <v>88</v>
      </c>
      <c r="D75" s="4" t="s">
        <v>3</v>
      </c>
      <c r="E75" s="5" t="s">
        <v>17</v>
      </c>
      <c r="F75" s="6" t="s">
        <v>104</v>
      </c>
      <c r="G75" s="7">
        <v>45132.0</v>
      </c>
      <c r="H75" s="8">
        <f t="shared" si="1"/>
        <v>25</v>
      </c>
      <c r="I75" s="9">
        <f t="shared" si="2"/>
        <v>7</v>
      </c>
      <c r="J75" s="9">
        <f t="shared" si="3"/>
        <v>2023</v>
      </c>
    </row>
    <row r="76" ht="15.75" customHeight="1">
      <c r="A76" s="5">
        <v>4.0</v>
      </c>
      <c r="B76" s="10" t="s">
        <v>87</v>
      </c>
      <c r="C76" s="3" t="s">
        <v>88</v>
      </c>
      <c r="D76" s="4" t="s">
        <v>8</v>
      </c>
      <c r="E76" s="5" t="s">
        <v>42</v>
      </c>
      <c r="F76" s="6" t="s">
        <v>105</v>
      </c>
      <c r="G76" s="7">
        <v>45142.0</v>
      </c>
      <c r="H76" s="8">
        <f t="shared" si="1"/>
        <v>4</v>
      </c>
      <c r="I76" s="9">
        <f t="shared" si="2"/>
        <v>8</v>
      </c>
      <c r="J76" s="9">
        <f t="shared" si="3"/>
        <v>2023</v>
      </c>
    </row>
    <row r="77" ht="15.75" customHeight="1">
      <c r="A77" s="5">
        <v>4.0</v>
      </c>
      <c r="B77" s="10" t="s">
        <v>87</v>
      </c>
      <c r="C77" s="3" t="s">
        <v>88</v>
      </c>
      <c r="D77" s="4" t="s">
        <v>3</v>
      </c>
      <c r="E77" s="5" t="s">
        <v>15</v>
      </c>
      <c r="F77" s="6" t="s">
        <v>106</v>
      </c>
      <c r="G77" s="7">
        <v>45157.0</v>
      </c>
      <c r="H77" s="8">
        <f t="shared" si="1"/>
        <v>19</v>
      </c>
      <c r="I77" s="9">
        <f t="shared" si="2"/>
        <v>8</v>
      </c>
      <c r="J77" s="9">
        <f t="shared" si="3"/>
        <v>2023</v>
      </c>
    </row>
    <row r="78" ht="15.75" customHeight="1">
      <c r="A78" s="5">
        <v>4.0</v>
      </c>
      <c r="B78" s="10" t="s">
        <v>87</v>
      </c>
      <c r="C78" s="3" t="s">
        <v>88</v>
      </c>
      <c r="D78" s="4" t="s">
        <v>8</v>
      </c>
      <c r="E78" s="5" t="s">
        <v>9</v>
      </c>
      <c r="F78" s="6" t="s">
        <v>107</v>
      </c>
      <c r="G78" s="7">
        <v>45208.0</v>
      </c>
      <c r="H78" s="8">
        <f t="shared" si="1"/>
        <v>9</v>
      </c>
      <c r="I78" s="9">
        <f t="shared" si="2"/>
        <v>10</v>
      </c>
      <c r="J78" s="9">
        <f t="shared" si="3"/>
        <v>2023</v>
      </c>
    </row>
    <row r="79" ht="15.75" customHeight="1">
      <c r="A79" s="5">
        <v>4.0</v>
      </c>
      <c r="B79" s="10" t="s">
        <v>87</v>
      </c>
      <c r="C79" s="3" t="s">
        <v>88</v>
      </c>
      <c r="D79" s="4" t="s">
        <v>3</v>
      </c>
      <c r="E79" s="5" t="s">
        <v>21</v>
      </c>
      <c r="F79" s="6" t="s">
        <v>108</v>
      </c>
      <c r="G79" s="7">
        <v>45245.0</v>
      </c>
      <c r="H79" s="8">
        <f t="shared" si="1"/>
        <v>15</v>
      </c>
      <c r="I79" s="9">
        <f t="shared" si="2"/>
        <v>11</v>
      </c>
      <c r="J79" s="9">
        <f t="shared" si="3"/>
        <v>2023</v>
      </c>
    </row>
    <row r="80" ht="15.75" customHeight="1">
      <c r="A80" s="5">
        <v>4.0</v>
      </c>
      <c r="B80" s="10" t="s">
        <v>87</v>
      </c>
      <c r="C80" s="3" t="s">
        <v>88</v>
      </c>
      <c r="D80" s="4" t="s">
        <v>3</v>
      </c>
      <c r="E80" s="5" t="s">
        <v>71</v>
      </c>
      <c r="F80" s="6" t="s">
        <v>109</v>
      </c>
      <c r="G80" s="7">
        <v>45254.0</v>
      </c>
      <c r="H80" s="8">
        <f t="shared" si="1"/>
        <v>24</v>
      </c>
      <c r="I80" s="9">
        <f t="shared" si="2"/>
        <v>11</v>
      </c>
      <c r="J80" s="9">
        <f t="shared" si="3"/>
        <v>2023</v>
      </c>
    </row>
    <row r="81" ht="15.75" customHeight="1">
      <c r="A81" s="5">
        <v>5.0</v>
      </c>
      <c r="B81" s="10" t="s">
        <v>110</v>
      </c>
      <c r="C81" s="3" t="s">
        <v>111</v>
      </c>
      <c r="D81" s="4" t="s">
        <v>8</v>
      </c>
      <c r="E81" s="5" t="s">
        <v>45</v>
      </c>
      <c r="F81" s="6" t="s">
        <v>112</v>
      </c>
      <c r="G81" s="7">
        <v>44943.0</v>
      </c>
      <c r="H81" s="8">
        <f t="shared" si="1"/>
        <v>17</v>
      </c>
      <c r="I81" s="9">
        <f t="shared" si="2"/>
        <v>1</v>
      </c>
      <c r="J81" s="9">
        <f t="shared" si="3"/>
        <v>2023</v>
      </c>
    </row>
    <row r="82" ht="15.75" customHeight="1">
      <c r="A82" s="5">
        <v>5.0</v>
      </c>
      <c r="B82" s="10" t="s">
        <v>110</v>
      </c>
      <c r="C82" s="3" t="s">
        <v>111</v>
      </c>
      <c r="D82" s="4" t="s">
        <v>8</v>
      </c>
      <c r="E82" s="5" t="s">
        <v>9</v>
      </c>
      <c r="F82" s="6" t="s">
        <v>113</v>
      </c>
      <c r="G82" s="7">
        <v>44949.0</v>
      </c>
      <c r="H82" s="8">
        <f t="shared" si="1"/>
        <v>23</v>
      </c>
      <c r="I82" s="9">
        <f t="shared" si="2"/>
        <v>1</v>
      </c>
      <c r="J82" s="9">
        <f t="shared" si="3"/>
        <v>2023</v>
      </c>
    </row>
    <row r="83" ht="15.75" customHeight="1">
      <c r="A83" s="5">
        <v>5.0</v>
      </c>
      <c r="B83" s="10" t="s">
        <v>110</v>
      </c>
      <c r="C83" s="3" t="s">
        <v>111</v>
      </c>
      <c r="D83" s="4" t="s">
        <v>8</v>
      </c>
      <c r="E83" s="5" t="s">
        <v>51</v>
      </c>
      <c r="F83" s="6" t="s">
        <v>114</v>
      </c>
      <c r="G83" s="7">
        <v>44962.0</v>
      </c>
      <c r="H83" s="8">
        <f t="shared" si="1"/>
        <v>5</v>
      </c>
      <c r="I83" s="9">
        <f t="shared" si="2"/>
        <v>2</v>
      </c>
      <c r="J83" s="9">
        <f t="shared" si="3"/>
        <v>2023</v>
      </c>
    </row>
    <row r="84" ht="15.75" customHeight="1">
      <c r="A84" s="5">
        <v>5.0</v>
      </c>
      <c r="B84" s="10" t="s">
        <v>110</v>
      </c>
      <c r="C84" s="3" t="s">
        <v>111</v>
      </c>
      <c r="D84" s="4" t="s">
        <v>3</v>
      </c>
      <c r="E84" s="5" t="s">
        <v>11</v>
      </c>
      <c r="F84" s="6" t="s">
        <v>115</v>
      </c>
      <c r="G84" s="7">
        <v>44994.0</v>
      </c>
      <c r="H84" s="8">
        <f t="shared" si="1"/>
        <v>9</v>
      </c>
      <c r="I84" s="9">
        <f t="shared" si="2"/>
        <v>3</v>
      </c>
      <c r="J84" s="9">
        <f t="shared" si="3"/>
        <v>2023</v>
      </c>
    </row>
    <row r="85" ht="15.75" customHeight="1">
      <c r="A85" s="5">
        <v>5.0</v>
      </c>
      <c r="B85" s="10" t="s">
        <v>110</v>
      </c>
      <c r="C85" s="3" t="s">
        <v>111</v>
      </c>
      <c r="D85" s="4" t="s">
        <v>8</v>
      </c>
      <c r="E85" s="5" t="s">
        <v>23</v>
      </c>
      <c r="F85" s="6" t="s">
        <v>116</v>
      </c>
      <c r="G85" s="7">
        <v>45000.0</v>
      </c>
      <c r="H85" s="8">
        <f t="shared" si="1"/>
        <v>15</v>
      </c>
      <c r="I85" s="9">
        <f t="shared" si="2"/>
        <v>3</v>
      </c>
      <c r="J85" s="9">
        <f t="shared" si="3"/>
        <v>2023</v>
      </c>
    </row>
    <row r="86" ht="15.75" customHeight="1">
      <c r="A86" s="5">
        <v>5.0</v>
      </c>
      <c r="B86" s="10" t="s">
        <v>110</v>
      </c>
      <c r="C86" s="3" t="s">
        <v>111</v>
      </c>
      <c r="D86" s="4" t="s">
        <v>8</v>
      </c>
      <c r="E86" s="5" t="s">
        <v>9</v>
      </c>
      <c r="F86" s="6" t="s">
        <v>117</v>
      </c>
      <c r="G86" s="7">
        <v>45034.0</v>
      </c>
      <c r="H86" s="8">
        <f t="shared" si="1"/>
        <v>18</v>
      </c>
      <c r="I86" s="9">
        <f t="shared" si="2"/>
        <v>4</v>
      </c>
      <c r="J86" s="9">
        <f t="shared" si="3"/>
        <v>2023</v>
      </c>
    </row>
    <row r="87" ht="15.75" customHeight="1">
      <c r="A87" s="5">
        <v>5.0</v>
      </c>
      <c r="B87" s="10" t="s">
        <v>110</v>
      </c>
      <c r="C87" s="3" t="s">
        <v>111</v>
      </c>
      <c r="D87" s="4" t="s">
        <v>8</v>
      </c>
      <c r="E87" s="5" t="s">
        <v>39</v>
      </c>
      <c r="F87" s="6" t="s">
        <v>118</v>
      </c>
      <c r="G87" s="7">
        <v>45040.0</v>
      </c>
      <c r="H87" s="8">
        <f t="shared" si="1"/>
        <v>24</v>
      </c>
      <c r="I87" s="9">
        <f t="shared" si="2"/>
        <v>4</v>
      </c>
      <c r="J87" s="9">
        <f t="shared" si="3"/>
        <v>2023</v>
      </c>
    </row>
    <row r="88" ht="15.75" customHeight="1">
      <c r="A88" s="5">
        <v>5.0</v>
      </c>
      <c r="B88" s="10" t="s">
        <v>110</v>
      </c>
      <c r="C88" s="3" t="s">
        <v>111</v>
      </c>
      <c r="D88" s="4" t="s">
        <v>8</v>
      </c>
      <c r="E88" s="5" t="s">
        <v>39</v>
      </c>
      <c r="F88" s="6" t="s">
        <v>119</v>
      </c>
      <c r="G88" s="7">
        <v>45074.0</v>
      </c>
      <c r="H88" s="8">
        <f t="shared" si="1"/>
        <v>28</v>
      </c>
      <c r="I88" s="9">
        <f t="shared" si="2"/>
        <v>5</v>
      </c>
      <c r="J88" s="9">
        <f t="shared" si="3"/>
        <v>2023</v>
      </c>
    </row>
    <row r="89" ht="15.75" customHeight="1">
      <c r="A89" s="5">
        <v>5.0</v>
      </c>
      <c r="B89" s="10" t="s">
        <v>110</v>
      </c>
      <c r="C89" s="3" t="s">
        <v>111</v>
      </c>
      <c r="D89" s="4" t="s">
        <v>3</v>
      </c>
      <c r="E89" s="5" t="s">
        <v>120</v>
      </c>
      <c r="F89" s="6" t="s">
        <v>121</v>
      </c>
      <c r="G89" s="7">
        <v>45079.0</v>
      </c>
      <c r="H89" s="8">
        <f t="shared" si="1"/>
        <v>2</v>
      </c>
      <c r="I89" s="9">
        <f t="shared" si="2"/>
        <v>6</v>
      </c>
      <c r="J89" s="9">
        <f t="shared" si="3"/>
        <v>2023</v>
      </c>
    </row>
    <row r="90" ht="15.75" customHeight="1">
      <c r="A90" s="5">
        <v>5.0</v>
      </c>
      <c r="B90" s="10" t="s">
        <v>110</v>
      </c>
      <c r="C90" s="3" t="s">
        <v>111</v>
      </c>
      <c r="D90" s="4" t="s">
        <v>8</v>
      </c>
      <c r="E90" s="5" t="s">
        <v>13</v>
      </c>
      <c r="F90" s="6" t="s">
        <v>122</v>
      </c>
      <c r="G90" s="7">
        <v>45111.0</v>
      </c>
      <c r="H90" s="8">
        <f t="shared" si="1"/>
        <v>4</v>
      </c>
      <c r="I90" s="9">
        <f t="shared" si="2"/>
        <v>7</v>
      </c>
      <c r="J90" s="9">
        <f t="shared" si="3"/>
        <v>2023</v>
      </c>
    </row>
    <row r="91" ht="15.75" customHeight="1">
      <c r="A91" s="5">
        <v>5.0</v>
      </c>
      <c r="B91" s="10" t="s">
        <v>110</v>
      </c>
      <c r="C91" s="3" t="s">
        <v>111</v>
      </c>
      <c r="D91" s="4" t="s">
        <v>8</v>
      </c>
      <c r="E91" s="5" t="s">
        <v>71</v>
      </c>
      <c r="F91" s="6" t="s">
        <v>123</v>
      </c>
      <c r="G91" s="7">
        <v>45134.0</v>
      </c>
      <c r="H91" s="8">
        <f t="shared" si="1"/>
        <v>27</v>
      </c>
      <c r="I91" s="9">
        <f t="shared" si="2"/>
        <v>7</v>
      </c>
      <c r="J91" s="9">
        <f t="shared" si="3"/>
        <v>2023</v>
      </c>
    </row>
    <row r="92" ht="15.75" customHeight="1">
      <c r="A92" s="5">
        <v>5.0</v>
      </c>
      <c r="B92" s="10" t="s">
        <v>110</v>
      </c>
      <c r="C92" s="3" t="s">
        <v>111</v>
      </c>
      <c r="D92" s="4" t="s">
        <v>3</v>
      </c>
      <c r="E92" s="5" t="s">
        <v>13</v>
      </c>
      <c r="F92" s="6" t="s">
        <v>124</v>
      </c>
      <c r="G92" s="7">
        <v>45165.0</v>
      </c>
      <c r="H92" s="8">
        <f t="shared" si="1"/>
        <v>27</v>
      </c>
      <c r="I92" s="9">
        <f t="shared" si="2"/>
        <v>8</v>
      </c>
      <c r="J92" s="9">
        <f t="shared" si="3"/>
        <v>2023</v>
      </c>
    </row>
    <row r="93" ht="15.75" customHeight="1">
      <c r="A93" s="5">
        <v>5.0</v>
      </c>
      <c r="B93" s="10" t="s">
        <v>110</v>
      </c>
      <c r="C93" s="3" t="s">
        <v>111</v>
      </c>
      <c r="D93" s="4" t="s">
        <v>3</v>
      </c>
      <c r="E93" s="5" t="s">
        <v>96</v>
      </c>
      <c r="F93" s="6" t="s">
        <v>125</v>
      </c>
      <c r="G93" s="7">
        <v>45184.0</v>
      </c>
      <c r="H93" s="8">
        <f t="shared" si="1"/>
        <v>15</v>
      </c>
      <c r="I93" s="9">
        <f t="shared" si="2"/>
        <v>9</v>
      </c>
      <c r="J93" s="9">
        <f t="shared" si="3"/>
        <v>2023</v>
      </c>
    </row>
    <row r="94" ht="15.75" customHeight="1">
      <c r="A94" s="5">
        <v>5.0</v>
      </c>
      <c r="B94" s="10" t="s">
        <v>110</v>
      </c>
      <c r="C94" s="3" t="s">
        <v>111</v>
      </c>
      <c r="D94" s="4" t="s">
        <v>3</v>
      </c>
      <c r="E94" s="5" t="s">
        <v>6</v>
      </c>
      <c r="F94" s="6" t="s">
        <v>126</v>
      </c>
      <c r="G94" s="7">
        <v>45187.0</v>
      </c>
      <c r="H94" s="8">
        <f t="shared" si="1"/>
        <v>18</v>
      </c>
      <c r="I94" s="9">
        <f t="shared" si="2"/>
        <v>9</v>
      </c>
      <c r="J94" s="9">
        <f t="shared" si="3"/>
        <v>2023</v>
      </c>
    </row>
    <row r="95" ht="15.75" customHeight="1">
      <c r="A95" s="5">
        <v>5.0</v>
      </c>
      <c r="B95" s="10" t="s">
        <v>110</v>
      </c>
      <c r="C95" s="3" t="s">
        <v>111</v>
      </c>
      <c r="D95" s="4" t="s">
        <v>8</v>
      </c>
      <c r="E95" s="5" t="s">
        <v>76</v>
      </c>
      <c r="F95" s="6" t="s">
        <v>127</v>
      </c>
      <c r="G95" s="7">
        <v>45233.0</v>
      </c>
      <c r="H95" s="8">
        <f t="shared" si="1"/>
        <v>3</v>
      </c>
      <c r="I95" s="9">
        <f t="shared" si="2"/>
        <v>11</v>
      </c>
      <c r="J95" s="9">
        <f t="shared" si="3"/>
        <v>2023</v>
      </c>
    </row>
    <row r="96" ht="15.75" customHeight="1">
      <c r="A96" s="5">
        <v>5.0</v>
      </c>
      <c r="B96" s="10" t="s">
        <v>110</v>
      </c>
      <c r="C96" s="3" t="s">
        <v>111</v>
      </c>
      <c r="D96" s="4" t="s">
        <v>3</v>
      </c>
      <c r="E96" s="5" t="s">
        <v>28</v>
      </c>
      <c r="F96" s="6" t="s">
        <v>128</v>
      </c>
      <c r="G96" s="7">
        <v>45239.0</v>
      </c>
      <c r="H96" s="8">
        <f t="shared" si="1"/>
        <v>9</v>
      </c>
      <c r="I96" s="9">
        <f t="shared" si="2"/>
        <v>11</v>
      </c>
      <c r="J96" s="9">
        <f t="shared" si="3"/>
        <v>2023</v>
      </c>
    </row>
    <row r="97" ht="15.75" customHeight="1">
      <c r="A97" s="5">
        <v>5.0</v>
      </c>
      <c r="B97" s="10" t="s">
        <v>110</v>
      </c>
      <c r="C97" s="3" t="s">
        <v>111</v>
      </c>
      <c r="D97" s="4" t="s">
        <v>3</v>
      </c>
      <c r="E97" s="5" t="s">
        <v>11</v>
      </c>
      <c r="F97" s="6" t="s">
        <v>129</v>
      </c>
      <c r="G97" s="7">
        <v>45241.0</v>
      </c>
      <c r="H97" s="8">
        <f t="shared" si="1"/>
        <v>11</v>
      </c>
      <c r="I97" s="9">
        <f t="shared" si="2"/>
        <v>11</v>
      </c>
      <c r="J97" s="9">
        <f t="shared" si="3"/>
        <v>2023</v>
      </c>
    </row>
    <row r="98" ht="15.75" customHeight="1">
      <c r="A98" s="5">
        <v>5.0</v>
      </c>
      <c r="B98" s="10" t="s">
        <v>110</v>
      </c>
      <c r="C98" s="3" t="s">
        <v>111</v>
      </c>
      <c r="D98" s="4" t="s">
        <v>8</v>
      </c>
      <c r="E98" s="5" t="s">
        <v>96</v>
      </c>
      <c r="F98" s="6" t="s">
        <v>130</v>
      </c>
      <c r="G98" s="7">
        <v>45258.0</v>
      </c>
      <c r="H98" s="8">
        <f t="shared" si="1"/>
        <v>28</v>
      </c>
      <c r="I98" s="9">
        <f t="shared" si="2"/>
        <v>11</v>
      </c>
      <c r="J98" s="9">
        <f t="shared" si="3"/>
        <v>2023</v>
      </c>
    </row>
    <row r="99" ht="15.75" customHeight="1">
      <c r="A99" s="5">
        <v>5.0</v>
      </c>
      <c r="B99" s="10" t="s">
        <v>110</v>
      </c>
      <c r="C99" s="3" t="s">
        <v>111</v>
      </c>
      <c r="D99" s="4" t="s">
        <v>3</v>
      </c>
      <c r="E99" s="5" t="s">
        <v>21</v>
      </c>
      <c r="F99" s="6" t="s">
        <v>131</v>
      </c>
      <c r="G99" s="7">
        <v>45261.0</v>
      </c>
      <c r="H99" s="8">
        <f t="shared" si="1"/>
        <v>1</v>
      </c>
      <c r="I99" s="9">
        <f t="shared" si="2"/>
        <v>12</v>
      </c>
      <c r="J99" s="9">
        <f t="shared" si="3"/>
        <v>2023</v>
      </c>
    </row>
    <row r="100" ht="15.75" customHeight="1">
      <c r="A100" s="5">
        <v>5.0</v>
      </c>
      <c r="B100" s="10" t="s">
        <v>110</v>
      </c>
      <c r="C100" s="3" t="s">
        <v>111</v>
      </c>
      <c r="D100" s="4" t="s">
        <v>8</v>
      </c>
      <c r="E100" s="5" t="s">
        <v>42</v>
      </c>
      <c r="F100" s="6" t="s">
        <v>132</v>
      </c>
      <c r="G100" s="7">
        <v>45274.0</v>
      </c>
      <c r="H100" s="8">
        <f t="shared" si="1"/>
        <v>14</v>
      </c>
      <c r="I100" s="9">
        <f t="shared" si="2"/>
        <v>12</v>
      </c>
      <c r="J100" s="9">
        <f t="shared" si="3"/>
        <v>2023</v>
      </c>
    </row>
    <row r="101" ht="15.75" customHeight="1">
      <c r="A101" s="5">
        <v>6.0</v>
      </c>
      <c r="B101" s="10" t="s">
        <v>133</v>
      </c>
      <c r="C101" s="3" t="s">
        <v>134</v>
      </c>
      <c r="D101" s="4" t="s">
        <v>3</v>
      </c>
      <c r="E101" s="5" t="s">
        <v>96</v>
      </c>
      <c r="F101" s="6" t="s">
        <v>135</v>
      </c>
      <c r="G101" s="7">
        <v>44947.0</v>
      </c>
      <c r="H101" s="8">
        <f t="shared" si="1"/>
        <v>21</v>
      </c>
      <c r="I101" s="9">
        <f t="shared" si="2"/>
        <v>1</v>
      </c>
      <c r="J101" s="9">
        <f t="shared" si="3"/>
        <v>2023</v>
      </c>
    </row>
    <row r="102" ht="15.75" customHeight="1">
      <c r="A102" s="5">
        <v>6.0</v>
      </c>
      <c r="B102" s="10" t="s">
        <v>133</v>
      </c>
      <c r="C102" s="3" t="s">
        <v>134</v>
      </c>
      <c r="D102" s="4" t="s">
        <v>3</v>
      </c>
      <c r="E102" s="5" t="s">
        <v>13</v>
      </c>
      <c r="F102" s="6" t="s">
        <v>136</v>
      </c>
      <c r="G102" s="7">
        <v>44967.0</v>
      </c>
      <c r="H102" s="8">
        <f t="shared" si="1"/>
        <v>10</v>
      </c>
      <c r="I102" s="9">
        <f t="shared" si="2"/>
        <v>2</v>
      </c>
      <c r="J102" s="9">
        <f t="shared" si="3"/>
        <v>2023</v>
      </c>
    </row>
    <row r="103" ht="15.75" customHeight="1">
      <c r="A103" s="5">
        <v>6.0</v>
      </c>
      <c r="B103" s="10" t="s">
        <v>133</v>
      </c>
      <c r="C103" s="3" t="s">
        <v>134</v>
      </c>
      <c r="D103" s="4" t="s">
        <v>3</v>
      </c>
      <c r="E103" s="5" t="s">
        <v>11</v>
      </c>
      <c r="F103" s="6" t="s">
        <v>137</v>
      </c>
      <c r="G103" s="7">
        <v>44968.0</v>
      </c>
      <c r="H103" s="8">
        <f t="shared" si="1"/>
        <v>11</v>
      </c>
      <c r="I103" s="9">
        <f t="shared" si="2"/>
        <v>2</v>
      </c>
      <c r="J103" s="9">
        <f t="shared" si="3"/>
        <v>2023</v>
      </c>
    </row>
    <row r="104" ht="15.75" customHeight="1">
      <c r="A104" s="5">
        <v>6.0</v>
      </c>
      <c r="B104" s="10" t="s">
        <v>133</v>
      </c>
      <c r="C104" s="3" t="s">
        <v>134</v>
      </c>
      <c r="D104" s="4" t="s">
        <v>8</v>
      </c>
      <c r="E104" s="5" t="s">
        <v>35</v>
      </c>
      <c r="F104" s="6" t="s">
        <v>138</v>
      </c>
      <c r="G104" s="7">
        <v>44981.0</v>
      </c>
      <c r="H104" s="8">
        <f t="shared" si="1"/>
        <v>24</v>
      </c>
      <c r="I104" s="9">
        <f t="shared" si="2"/>
        <v>2</v>
      </c>
      <c r="J104" s="9">
        <f t="shared" si="3"/>
        <v>2023</v>
      </c>
    </row>
    <row r="105" ht="15.75" customHeight="1">
      <c r="A105" s="5">
        <v>6.0</v>
      </c>
      <c r="B105" s="10" t="s">
        <v>133</v>
      </c>
      <c r="C105" s="3" t="s">
        <v>134</v>
      </c>
      <c r="D105" s="4" t="s">
        <v>3</v>
      </c>
      <c r="E105" s="5" t="s">
        <v>23</v>
      </c>
      <c r="F105" s="6" t="s">
        <v>139</v>
      </c>
      <c r="G105" s="7">
        <v>45001.0</v>
      </c>
      <c r="H105" s="8">
        <f t="shared" si="1"/>
        <v>16</v>
      </c>
      <c r="I105" s="9">
        <f t="shared" si="2"/>
        <v>3</v>
      </c>
      <c r="J105" s="9">
        <f t="shared" si="3"/>
        <v>2023</v>
      </c>
    </row>
    <row r="106" ht="15.75" customHeight="1">
      <c r="A106" s="5">
        <v>6.0</v>
      </c>
      <c r="B106" s="10" t="s">
        <v>133</v>
      </c>
      <c r="C106" s="3" t="s">
        <v>134</v>
      </c>
      <c r="D106" s="4" t="s">
        <v>3</v>
      </c>
      <c r="E106" s="5" t="s">
        <v>120</v>
      </c>
      <c r="F106" s="6" t="s">
        <v>140</v>
      </c>
      <c r="G106" s="7">
        <v>45023.0</v>
      </c>
      <c r="H106" s="8">
        <f t="shared" si="1"/>
        <v>7</v>
      </c>
      <c r="I106" s="9">
        <f t="shared" si="2"/>
        <v>4</v>
      </c>
      <c r="J106" s="9">
        <f t="shared" si="3"/>
        <v>2023</v>
      </c>
    </row>
    <row r="107" ht="15.75" customHeight="1">
      <c r="A107" s="5">
        <v>6.0</v>
      </c>
      <c r="B107" s="10" t="s">
        <v>133</v>
      </c>
      <c r="C107" s="3" t="s">
        <v>134</v>
      </c>
      <c r="D107" s="4" t="s">
        <v>8</v>
      </c>
      <c r="E107" s="5" t="s">
        <v>23</v>
      </c>
      <c r="F107" s="6" t="s">
        <v>141</v>
      </c>
      <c r="G107" s="7">
        <v>45028.0</v>
      </c>
      <c r="H107" s="8">
        <f t="shared" si="1"/>
        <v>12</v>
      </c>
      <c r="I107" s="9">
        <f t="shared" si="2"/>
        <v>4</v>
      </c>
      <c r="J107" s="9">
        <f t="shared" si="3"/>
        <v>2023</v>
      </c>
    </row>
    <row r="108" ht="15.75" customHeight="1">
      <c r="A108" s="5">
        <v>6.0</v>
      </c>
      <c r="B108" s="10" t="s">
        <v>133</v>
      </c>
      <c r="C108" s="3" t="s">
        <v>134</v>
      </c>
      <c r="D108" s="4" t="s">
        <v>8</v>
      </c>
      <c r="E108" s="5" t="s">
        <v>45</v>
      </c>
      <c r="F108" s="6" t="s">
        <v>142</v>
      </c>
      <c r="G108" s="7">
        <v>45097.0</v>
      </c>
      <c r="H108" s="8">
        <f t="shared" si="1"/>
        <v>20</v>
      </c>
      <c r="I108" s="9">
        <f t="shared" si="2"/>
        <v>6</v>
      </c>
      <c r="J108" s="9">
        <f t="shared" si="3"/>
        <v>2023</v>
      </c>
    </row>
    <row r="109" ht="15.75" customHeight="1">
      <c r="A109" s="5">
        <v>6.0</v>
      </c>
      <c r="B109" s="10" t="s">
        <v>133</v>
      </c>
      <c r="C109" s="3" t="s">
        <v>134</v>
      </c>
      <c r="D109" s="4" t="s">
        <v>8</v>
      </c>
      <c r="E109" s="5" t="s">
        <v>120</v>
      </c>
      <c r="F109" s="6" t="s">
        <v>143</v>
      </c>
      <c r="G109" s="7">
        <v>45100.0</v>
      </c>
      <c r="H109" s="8">
        <f t="shared" si="1"/>
        <v>23</v>
      </c>
      <c r="I109" s="9">
        <f t="shared" si="2"/>
        <v>6</v>
      </c>
      <c r="J109" s="9">
        <f t="shared" si="3"/>
        <v>2023</v>
      </c>
    </row>
    <row r="110" ht="15.75" customHeight="1">
      <c r="A110" s="5">
        <v>6.0</v>
      </c>
      <c r="B110" s="10" t="s">
        <v>133</v>
      </c>
      <c r="C110" s="3" t="s">
        <v>134</v>
      </c>
      <c r="D110" s="4" t="s">
        <v>3</v>
      </c>
      <c r="E110" s="5" t="s">
        <v>71</v>
      </c>
      <c r="F110" s="6" t="s">
        <v>144</v>
      </c>
      <c r="G110" s="7">
        <v>45148.0</v>
      </c>
      <c r="H110" s="8">
        <f t="shared" si="1"/>
        <v>10</v>
      </c>
      <c r="I110" s="9">
        <f t="shared" si="2"/>
        <v>8</v>
      </c>
      <c r="J110" s="9">
        <f t="shared" si="3"/>
        <v>2023</v>
      </c>
    </row>
    <row r="111" ht="15.75" customHeight="1">
      <c r="A111" s="5">
        <v>6.0</v>
      </c>
      <c r="B111" s="10" t="s">
        <v>133</v>
      </c>
      <c r="C111" s="3" t="s">
        <v>134</v>
      </c>
      <c r="D111" s="4" t="s">
        <v>8</v>
      </c>
      <c r="E111" s="5" t="s">
        <v>39</v>
      </c>
      <c r="F111" s="6" t="s">
        <v>145</v>
      </c>
      <c r="G111" s="7">
        <v>45153.0</v>
      </c>
      <c r="H111" s="8">
        <f t="shared" si="1"/>
        <v>15</v>
      </c>
      <c r="I111" s="9">
        <f t="shared" si="2"/>
        <v>8</v>
      </c>
      <c r="J111" s="9">
        <f t="shared" si="3"/>
        <v>2023</v>
      </c>
    </row>
    <row r="112" ht="15.75" customHeight="1">
      <c r="A112" s="5">
        <v>6.0</v>
      </c>
      <c r="B112" s="10" t="s">
        <v>133</v>
      </c>
      <c r="C112" s="3" t="s">
        <v>134</v>
      </c>
      <c r="D112" s="4" t="s">
        <v>8</v>
      </c>
      <c r="E112" s="5" t="s">
        <v>35</v>
      </c>
      <c r="F112" s="6" t="s">
        <v>146</v>
      </c>
      <c r="G112" s="7">
        <v>45157.0</v>
      </c>
      <c r="H112" s="8">
        <f t="shared" si="1"/>
        <v>19</v>
      </c>
      <c r="I112" s="9">
        <f t="shared" si="2"/>
        <v>8</v>
      </c>
      <c r="J112" s="9">
        <f t="shared" si="3"/>
        <v>2023</v>
      </c>
    </row>
    <row r="113" ht="15.75" customHeight="1">
      <c r="A113" s="5">
        <v>6.0</v>
      </c>
      <c r="B113" s="10" t="s">
        <v>133</v>
      </c>
      <c r="C113" s="3" t="s">
        <v>134</v>
      </c>
      <c r="D113" s="4" t="s">
        <v>8</v>
      </c>
      <c r="E113" s="5" t="s">
        <v>6</v>
      </c>
      <c r="F113" s="6" t="s">
        <v>147</v>
      </c>
      <c r="G113" s="7">
        <v>45170.0</v>
      </c>
      <c r="H113" s="8">
        <f t="shared" si="1"/>
        <v>1</v>
      </c>
      <c r="I113" s="9">
        <f t="shared" si="2"/>
        <v>9</v>
      </c>
      <c r="J113" s="9">
        <f t="shared" si="3"/>
        <v>2023</v>
      </c>
    </row>
    <row r="114" ht="15.75" customHeight="1">
      <c r="A114" s="5">
        <v>6.0</v>
      </c>
      <c r="B114" s="10" t="s">
        <v>133</v>
      </c>
      <c r="C114" s="3" t="s">
        <v>134</v>
      </c>
      <c r="D114" s="4" t="s">
        <v>8</v>
      </c>
      <c r="E114" s="5" t="s">
        <v>120</v>
      </c>
      <c r="F114" s="6" t="s">
        <v>148</v>
      </c>
      <c r="G114" s="7">
        <v>45178.0</v>
      </c>
      <c r="H114" s="8">
        <f t="shared" si="1"/>
        <v>9</v>
      </c>
      <c r="I114" s="9">
        <f t="shared" si="2"/>
        <v>9</v>
      </c>
      <c r="J114" s="9">
        <f t="shared" si="3"/>
        <v>2023</v>
      </c>
    </row>
    <row r="115" ht="15.75" customHeight="1">
      <c r="A115" s="5">
        <v>6.0</v>
      </c>
      <c r="B115" s="10" t="s">
        <v>133</v>
      </c>
      <c r="C115" s="3" t="s">
        <v>134</v>
      </c>
      <c r="D115" s="4" t="s">
        <v>8</v>
      </c>
      <c r="E115" s="5" t="s">
        <v>13</v>
      </c>
      <c r="F115" s="6" t="s">
        <v>149</v>
      </c>
      <c r="G115" s="7">
        <v>45182.0</v>
      </c>
      <c r="H115" s="8">
        <f t="shared" si="1"/>
        <v>13</v>
      </c>
      <c r="I115" s="9">
        <f t="shared" si="2"/>
        <v>9</v>
      </c>
      <c r="J115" s="9">
        <f t="shared" si="3"/>
        <v>2023</v>
      </c>
    </row>
    <row r="116" ht="15.75" customHeight="1">
      <c r="A116" s="5">
        <v>6.0</v>
      </c>
      <c r="B116" s="10" t="s">
        <v>133</v>
      </c>
      <c r="C116" s="3" t="s">
        <v>134</v>
      </c>
      <c r="D116" s="4" t="s">
        <v>8</v>
      </c>
      <c r="E116" s="5" t="s">
        <v>96</v>
      </c>
      <c r="F116" s="6" t="s">
        <v>150</v>
      </c>
      <c r="G116" s="7">
        <v>45195.0</v>
      </c>
      <c r="H116" s="8">
        <f t="shared" si="1"/>
        <v>26</v>
      </c>
      <c r="I116" s="9">
        <f t="shared" si="2"/>
        <v>9</v>
      </c>
      <c r="J116" s="9">
        <f t="shared" si="3"/>
        <v>2023</v>
      </c>
    </row>
    <row r="117" ht="15.75" customHeight="1">
      <c r="A117" s="5">
        <v>6.0</v>
      </c>
      <c r="B117" s="10" t="s">
        <v>133</v>
      </c>
      <c r="C117" s="3" t="s">
        <v>134</v>
      </c>
      <c r="D117" s="4" t="s">
        <v>8</v>
      </c>
      <c r="E117" s="5" t="s">
        <v>39</v>
      </c>
      <c r="F117" s="6" t="s">
        <v>151</v>
      </c>
      <c r="G117" s="7">
        <v>45211.0</v>
      </c>
      <c r="H117" s="8">
        <f t="shared" si="1"/>
        <v>12</v>
      </c>
      <c r="I117" s="9">
        <f t="shared" si="2"/>
        <v>10</v>
      </c>
      <c r="J117" s="9">
        <f t="shared" si="3"/>
        <v>2023</v>
      </c>
    </row>
    <row r="118" ht="15.75" customHeight="1">
      <c r="A118" s="5">
        <v>6.0</v>
      </c>
      <c r="B118" s="10" t="s">
        <v>133</v>
      </c>
      <c r="C118" s="3" t="s">
        <v>134</v>
      </c>
      <c r="D118" s="4" t="s">
        <v>3</v>
      </c>
      <c r="E118" s="5" t="s">
        <v>42</v>
      </c>
      <c r="F118" s="6" t="s">
        <v>152</v>
      </c>
      <c r="G118" s="7">
        <v>45218.0</v>
      </c>
      <c r="H118" s="8">
        <f t="shared" si="1"/>
        <v>19</v>
      </c>
      <c r="I118" s="9">
        <f t="shared" si="2"/>
        <v>10</v>
      </c>
      <c r="J118" s="9">
        <f t="shared" si="3"/>
        <v>2023</v>
      </c>
    </row>
    <row r="119" ht="15.75" customHeight="1">
      <c r="A119" s="5">
        <v>6.0</v>
      </c>
      <c r="B119" s="10" t="s">
        <v>133</v>
      </c>
      <c r="C119" s="3" t="s">
        <v>134</v>
      </c>
      <c r="D119" s="4" t="s">
        <v>3</v>
      </c>
      <c r="E119" s="5" t="s">
        <v>39</v>
      </c>
      <c r="F119" s="6" t="s">
        <v>153</v>
      </c>
      <c r="G119" s="7">
        <v>45278.0</v>
      </c>
      <c r="H119" s="8">
        <f t="shared" si="1"/>
        <v>18</v>
      </c>
      <c r="I119" s="9">
        <f t="shared" si="2"/>
        <v>12</v>
      </c>
      <c r="J119" s="9">
        <f t="shared" si="3"/>
        <v>2023</v>
      </c>
    </row>
    <row r="120" ht="15.75" customHeight="1">
      <c r="A120" s="5">
        <v>6.0</v>
      </c>
      <c r="B120" s="10" t="s">
        <v>133</v>
      </c>
      <c r="C120" s="3" t="s">
        <v>134</v>
      </c>
      <c r="D120" s="4" t="s">
        <v>3</v>
      </c>
      <c r="E120" s="5" t="s">
        <v>76</v>
      </c>
      <c r="F120" s="6" t="s">
        <v>154</v>
      </c>
      <c r="G120" s="7">
        <v>45284.0</v>
      </c>
      <c r="H120" s="8">
        <f t="shared" si="1"/>
        <v>24</v>
      </c>
      <c r="I120" s="9">
        <f t="shared" si="2"/>
        <v>12</v>
      </c>
      <c r="J120" s="9">
        <f t="shared" si="3"/>
        <v>2023</v>
      </c>
    </row>
    <row r="121" ht="15.75" customHeight="1">
      <c r="A121" s="5">
        <v>7.0</v>
      </c>
      <c r="B121" s="10" t="s">
        <v>155</v>
      </c>
      <c r="C121" s="3" t="s">
        <v>156</v>
      </c>
      <c r="D121" s="4" t="s">
        <v>3</v>
      </c>
      <c r="E121" s="5" t="s">
        <v>23</v>
      </c>
      <c r="F121" s="6" t="s">
        <v>157</v>
      </c>
      <c r="G121" s="7">
        <v>44934.0</v>
      </c>
      <c r="H121" s="8">
        <f t="shared" si="1"/>
        <v>8</v>
      </c>
      <c r="I121" s="9">
        <f t="shared" si="2"/>
        <v>1</v>
      </c>
      <c r="J121" s="9">
        <f t="shared" si="3"/>
        <v>2023</v>
      </c>
    </row>
    <row r="122" ht="15.75" customHeight="1">
      <c r="A122" s="5">
        <v>7.0</v>
      </c>
      <c r="B122" s="10" t="s">
        <v>155</v>
      </c>
      <c r="C122" s="3" t="s">
        <v>156</v>
      </c>
      <c r="D122" s="4" t="s">
        <v>8</v>
      </c>
      <c r="E122" s="5" t="s">
        <v>76</v>
      </c>
      <c r="F122" s="6" t="s">
        <v>158</v>
      </c>
      <c r="G122" s="7">
        <v>44939.0</v>
      </c>
      <c r="H122" s="8">
        <f t="shared" si="1"/>
        <v>13</v>
      </c>
      <c r="I122" s="9">
        <f t="shared" si="2"/>
        <v>1</v>
      </c>
      <c r="J122" s="9">
        <f t="shared" si="3"/>
        <v>2023</v>
      </c>
    </row>
    <row r="123" ht="15.75" customHeight="1">
      <c r="A123" s="5">
        <v>7.0</v>
      </c>
      <c r="B123" s="10" t="s">
        <v>155</v>
      </c>
      <c r="C123" s="3" t="s">
        <v>156</v>
      </c>
      <c r="D123" s="4" t="s">
        <v>8</v>
      </c>
      <c r="E123" s="5" t="s">
        <v>39</v>
      </c>
      <c r="F123" s="6" t="s">
        <v>159</v>
      </c>
      <c r="G123" s="7">
        <v>44978.0</v>
      </c>
      <c r="H123" s="8">
        <f t="shared" si="1"/>
        <v>21</v>
      </c>
      <c r="I123" s="9">
        <f t="shared" si="2"/>
        <v>2</v>
      </c>
      <c r="J123" s="9">
        <f t="shared" si="3"/>
        <v>2023</v>
      </c>
    </row>
    <row r="124" ht="15.75" customHeight="1">
      <c r="A124" s="5">
        <v>7.0</v>
      </c>
      <c r="B124" s="10" t="s">
        <v>155</v>
      </c>
      <c r="C124" s="3" t="s">
        <v>156</v>
      </c>
      <c r="D124" s="4" t="s">
        <v>3</v>
      </c>
      <c r="E124" s="5" t="s">
        <v>96</v>
      </c>
      <c r="F124" s="6" t="s">
        <v>160</v>
      </c>
      <c r="G124" s="7">
        <v>44984.0</v>
      </c>
      <c r="H124" s="8">
        <f t="shared" si="1"/>
        <v>27</v>
      </c>
      <c r="I124" s="9">
        <f t="shared" si="2"/>
        <v>2</v>
      </c>
      <c r="J124" s="9">
        <f t="shared" si="3"/>
        <v>2023</v>
      </c>
    </row>
    <row r="125" ht="15.75" customHeight="1">
      <c r="A125" s="5">
        <v>7.0</v>
      </c>
      <c r="B125" s="10" t="s">
        <v>155</v>
      </c>
      <c r="C125" s="3" t="s">
        <v>156</v>
      </c>
      <c r="D125" s="4" t="s">
        <v>8</v>
      </c>
      <c r="E125" s="5" t="s">
        <v>19</v>
      </c>
      <c r="F125" s="6" t="s">
        <v>161</v>
      </c>
      <c r="G125" s="7">
        <v>44987.0</v>
      </c>
      <c r="H125" s="8">
        <f t="shared" si="1"/>
        <v>2</v>
      </c>
      <c r="I125" s="9">
        <f t="shared" si="2"/>
        <v>3</v>
      </c>
      <c r="J125" s="9">
        <f t="shared" si="3"/>
        <v>2023</v>
      </c>
    </row>
    <row r="126" ht="15.75" customHeight="1">
      <c r="A126" s="5">
        <v>7.0</v>
      </c>
      <c r="B126" s="10" t="s">
        <v>155</v>
      </c>
      <c r="C126" s="3" t="s">
        <v>156</v>
      </c>
      <c r="D126" s="4" t="s">
        <v>8</v>
      </c>
      <c r="E126" s="5" t="s">
        <v>51</v>
      </c>
      <c r="F126" s="6" t="s">
        <v>162</v>
      </c>
      <c r="G126" s="7">
        <v>45013.0</v>
      </c>
      <c r="H126" s="8">
        <f t="shared" si="1"/>
        <v>28</v>
      </c>
      <c r="I126" s="9">
        <f t="shared" si="2"/>
        <v>3</v>
      </c>
      <c r="J126" s="9">
        <f t="shared" si="3"/>
        <v>2023</v>
      </c>
    </row>
    <row r="127" ht="15.75" customHeight="1">
      <c r="A127" s="5">
        <v>7.0</v>
      </c>
      <c r="B127" s="10" t="s">
        <v>155</v>
      </c>
      <c r="C127" s="3" t="s">
        <v>156</v>
      </c>
      <c r="D127" s="4" t="s">
        <v>8</v>
      </c>
      <c r="E127" s="5" t="s">
        <v>45</v>
      </c>
      <c r="F127" s="6" t="s">
        <v>163</v>
      </c>
      <c r="G127" s="7">
        <v>45019.0</v>
      </c>
      <c r="H127" s="8">
        <f t="shared" si="1"/>
        <v>3</v>
      </c>
      <c r="I127" s="9">
        <f t="shared" si="2"/>
        <v>4</v>
      </c>
      <c r="J127" s="9">
        <f t="shared" si="3"/>
        <v>2023</v>
      </c>
    </row>
    <row r="128" ht="15.75" customHeight="1">
      <c r="A128" s="5">
        <v>7.0</v>
      </c>
      <c r="B128" s="10" t="s">
        <v>155</v>
      </c>
      <c r="C128" s="3" t="s">
        <v>156</v>
      </c>
      <c r="D128" s="4" t="s">
        <v>8</v>
      </c>
      <c r="E128" s="5" t="s">
        <v>23</v>
      </c>
      <c r="F128" s="6" t="s">
        <v>164</v>
      </c>
      <c r="G128" s="7">
        <v>45035.0</v>
      </c>
      <c r="H128" s="8">
        <f t="shared" si="1"/>
        <v>19</v>
      </c>
      <c r="I128" s="9">
        <f t="shared" si="2"/>
        <v>4</v>
      </c>
      <c r="J128" s="9">
        <f t="shared" si="3"/>
        <v>2023</v>
      </c>
    </row>
    <row r="129" ht="15.75" customHeight="1">
      <c r="A129" s="5">
        <v>7.0</v>
      </c>
      <c r="B129" s="10" t="s">
        <v>155</v>
      </c>
      <c r="C129" s="3" t="s">
        <v>156</v>
      </c>
      <c r="D129" s="4" t="s">
        <v>3</v>
      </c>
      <c r="E129" s="5" t="s">
        <v>71</v>
      </c>
      <c r="F129" s="6" t="s">
        <v>165</v>
      </c>
      <c r="G129" s="7">
        <v>45050.0</v>
      </c>
      <c r="H129" s="8">
        <f t="shared" si="1"/>
        <v>4</v>
      </c>
      <c r="I129" s="9">
        <f t="shared" si="2"/>
        <v>5</v>
      </c>
      <c r="J129" s="9">
        <f t="shared" si="3"/>
        <v>2023</v>
      </c>
    </row>
    <row r="130" ht="15.75" customHeight="1">
      <c r="A130" s="5">
        <v>7.0</v>
      </c>
      <c r="B130" s="10" t="s">
        <v>155</v>
      </c>
      <c r="C130" s="3" t="s">
        <v>156</v>
      </c>
      <c r="D130" s="4" t="s">
        <v>8</v>
      </c>
      <c r="E130" s="5" t="s">
        <v>23</v>
      </c>
      <c r="F130" s="6" t="s">
        <v>166</v>
      </c>
      <c r="G130" s="7">
        <v>45058.0</v>
      </c>
      <c r="H130" s="8">
        <f t="shared" si="1"/>
        <v>12</v>
      </c>
      <c r="I130" s="9">
        <f t="shared" si="2"/>
        <v>5</v>
      </c>
      <c r="J130" s="9">
        <f t="shared" si="3"/>
        <v>2023</v>
      </c>
    </row>
    <row r="131" ht="15.75" customHeight="1">
      <c r="A131" s="5">
        <v>7.0</v>
      </c>
      <c r="B131" s="10" t="s">
        <v>155</v>
      </c>
      <c r="C131" s="3" t="s">
        <v>156</v>
      </c>
      <c r="D131" s="4" t="s">
        <v>8</v>
      </c>
      <c r="E131" s="5" t="s">
        <v>13</v>
      </c>
      <c r="F131" s="6" t="s">
        <v>167</v>
      </c>
      <c r="G131" s="7">
        <v>45074.0</v>
      </c>
      <c r="H131" s="8">
        <f t="shared" si="1"/>
        <v>28</v>
      </c>
      <c r="I131" s="9">
        <f t="shared" si="2"/>
        <v>5</v>
      </c>
      <c r="J131" s="9">
        <f t="shared" si="3"/>
        <v>2023</v>
      </c>
    </row>
    <row r="132" ht="15.75" customHeight="1">
      <c r="A132" s="5">
        <v>7.0</v>
      </c>
      <c r="B132" s="10" t="s">
        <v>155</v>
      </c>
      <c r="C132" s="3" t="s">
        <v>156</v>
      </c>
      <c r="D132" s="4" t="s">
        <v>8</v>
      </c>
      <c r="E132" s="5" t="s">
        <v>4</v>
      </c>
      <c r="F132" s="6" t="s">
        <v>168</v>
      </c>
      <c r="G132" s="7">
        <v>45100.0</v>
      </c>
      <c r="H132" s="8">
        <f t="shared" si="1"/>
        <v>23</v>
      </c>
      <c r="I132" s="9">
        <f t="shared" si="2"/>
        <v>6</v>
      </c>
      <c r="J132" s="9">
        <f t="shared" si="3"/>
        <v>2023</v>
      </c>
    </row>
    <row r="133" ht="15.75" customHeight="1">
      <c r="A133" s="5">
        <v>7.0</v>
      </c>
      <c r="B133" s="10" t="s">
        <v>155</v>
      </c>
      <c r="C133" s="3" t="s">
        <v>156</v>
      </c>
      <c r="D133" s="4" t="s">
        <v>3</v>
      </c>
      <c r="E133" s="5" t="s">
        <v>76</v>
      </c>
      <c r="F133" s="6" t="s">
        <v>169</v>
      </c>
      <c r="G133" s="7">
        <v>45188.0</v>
      </c>
      <c r="H133" s="8">
        <f t="shared" si="1"/>
        <v>19</v>
      </c>
      <c r="I133" s="9">
        <f t="shared" si="2"/>
        <v>9</v>
      </c>
      <c r="J133" s="9">
        <f t="shared" si="3"/>
        <v>2023</v>
      </c>
    </row>
    <row r="134" ht="15.75" customHeight="1">
      <c r="A134" s="5">
        <v>7.0</v>
      </c>
      <c r="B134" s="10" t="s">
        <v>155</v>
      </c>
      <c r="C134" s="3" t="s">
        <v>156</v>
      </c>
      <c r="D134" s="4" t="s">
        <v>3</v>
      </c>
      <c r="E134" s="5" t="s">
        <v>96</v>
      </c>
      <c r="F134" s="6" t="s">
        <v>170</v>
      </c>
      <c r="G134" s="7">
        <v>45200.0</v>
      </c>
      <c r="H134" s="8">
        <f t="shared" si="1"/>
        <v>1</v>
      </c>
      <c r="I134" s="9">
        <f t="shared" si="2"/>
        <v>10</v>
      </c>
      <c r="J134" s="9">
        <f t="shared" si="3"/>
        <v>2023</v>
      </c>
    </row>
    <row r="135" ht="15.75" customHeight="1">
      <c r="A135" s="5">
        <v>7.0</v>
      </c>
      <c r="B135" s="10" t="s">
        <v>155</v>
      </c>
      <c r="C135" s="3" t="s">
        <v>156</v>
      </c>
      <c r="D135" s="4" t="s">
        <v>8</v>
      </c>
      <c r="E135" s="5" t="s">
        <v>23</v>
      </c>
      <c r="F135" s="6" t="s">
        <v>171</v>
      </c>
      <c r="G135" s="7">
        <v>45200.0</v>
      </c>
      <c r="H135" s="8">
        <f t="shared" si="1"/>
        <v>1</v>
      </c>
      <c r="I135" s="9">
        <f t="shared" si="2"/>
        <v>10</v>
      </c>
      <c r="J135" s="9">
        <f t="shared" si="3"/>
        <v>2023</v>
      </c>
    </row>
    <row r="136" ht="15.75" customHeight="1">
      <c r="A136" s="5">
        <v>7.0</v>
      </c>
      <c r="B136" s="10" t="s">
        <v>155</v>
      </c>
      <c r="C136" s="3" t="s">
        <v>156</v>
      </c>
      <c r="D136" s="4" t="s">
        <v>8</v>
      </c>
      <c r="E136" s="5" t="s">
        <v>71</v>
      </c>
      <c r="F136" s="6" t="s">
        <v>172</v>
      </c>
      <c r="G136" s="7">
        <v>45213.0</v>
      </c>
      <c r="H136" s="8">
        <f t="shared" si="1"/>
        <v>14</v>
      </c>
      <c r="I136" s="9">
        <f t="shared" si="2"/>
        <v>10</v>
      </c>
      <c r="J136" s="9">
        <f t="shared" si="3"/>
        <v>2023</v>
      </c>
    </row>
    <row r="137" ht="15.75" customHeight="1">
      <c r="A137" s="5">
        <v>7.0</v>
      </c>
      <c r="B137" s="10" t="s">
        <v>155</v>
      </c>
      <c r="C137" s="3" t="s">
        <v>156</v>
      </c>
      <c r="D137" s="4" t="s">
        <v>3</v>
      </c>
      <c r="E137" s="5" t="s">
        <v>21</v>
      </c>
      <c r="F137" s="6" t="s">
        <v>173</v>
      </c>
      <c r="G137" s="7">
        <v>45246.0</v>
      </c>
      <c r="H137" s="8">
        <f t="shared" si="1"/>
        <v>16</v>
      </c>
      <c r="I137" s="9">
        <f t="shared" si="2"/>
        <v>11</v>
      </c>
      <c r="J137" s="9">
        <f t="shared" si="3"/>
        <v>2023</v>
      </c>
    </row>
    <row r="138" ht="15.75" customHeight="1">
      <c r="A138" s="5">
        <v>7.0</v>
      </c>
      <c r="B138" s="10" t="s">
        <v>155</v>
      </c>
      <c r="C138" s="3" t="s">
        <v>156</v>
      </c>
      <c r="D138" s="4" t="s">
        <v>8</v>
      </c>
      <c r="E138" s="5" t="s">
        <v>39</v>
      </c>
      <c r="F138" s="6" t="s">
        <v>174</v>
      </c>
      <c r="G138" s="7">
        <v>45257.0</v>
      </c>
      <c r="H138" s="8">
        <f t="shared" si="1"/>
        <v>27</v>
      </c>
      <c r="I138" s="9">
        <f t="shared" si="2"/>
        <v>11</v>
      </c>
      <c r="J138" s="9">
        <f t="shared" si="3"/>
        <v>2023</v>
      </c>
    </row>
    <row r="139" ht="15.75" customHeight="1">
      <c r="A139" s="5">
        <v>7.0</v>
      </c>
      <c r="B139" s="10" t="s">
        <v>155</v>
      </c>
      <c r="C139" s="3" t="s">
        <v>156</v>
      </c>
      <c r="D139" s="4" t="s">
        <v>8</v>
      </c>
      <c r="E139" s="5" t="s">
        <v>76</v>
      </c>
      <c r="F139" s="6" t="s">
        <v>175</v>
      </c>
      <c r="G139" s="7">
        <v>45261.0</v>
      </c>
      <c r="H139" s="8">
        <f t="shared" si="1"/>
        <v>1</v>
      </c>
      <c r="I139" s="9">
        <f t="shared" si="2"/>
        <v>12</v>
      </c>
      <c r="J139" s="9">
        <f t="shared" si="3"/>
        <v>2023</v>
      </c>
    </row>
    <row r="140" ht="15.75" customHeight="1">
      <c r="A140" s="5">
        <v>7.0</v>
      </c>
      <c r="B140" s="10" t="s">
        <v>155</v>
      </c>
      <c r="C140" s="3" t="s">
        <v>156</v>
      </c>
      <c r="D140" s="4" t="s">
        <v>8</v>
      </c>
      <c r="E140" s="5" t="s">
        <v>28</v>
      </c>
      <c r="F140" s="6" t="s">
        <v>176</v>
      </c>
      <c r="G140" s="7">
        <v>45286.0</v>
      </c>
      <c r="H140" s="8">
        <f t="shared" si="1"/>
        <v>26</v>
      </c>
      <c r="I140" s="9">
        <f t="shared" si="2"/>
        <v>12</v>
      </c>
      <c r="J140" s="9">
        <f t="shared" si="3"/>
        <v>2023</v>
      </c>
    </row>
    <row r="141" ht="15.75" customHeight="1">
      <c r="A141" s="5">
        <v>8.0</v>
      </c>
      <c r="B141" s="10" t="s">
        <v>177</v>
      </c>
      <c r="C141" s="3" t="s">
        <v>178</v>
      </c>
      <c r="D141" s="4" t="s">
        <v>8</v>
      </c>
      <c r="E141" s="5" t="s">
        <v>28</v>
      </c>
      <c r="F141" s="6" t="s">
        <v>179</v>
      </c>
      <c r="G141" s="7">
        <v>44932.0</v>
      </c>
      <c r="H141" s="8">
        <f t="shared" si="1"/>
        <v>6</v>
      </c>
      <c r="I141" s="9">
        <f t="shared" si="2"/>
        <v>1</v>
      </c>
      <c r="J141" s="9">
        <f t="shared" si="3"/>
        <v>2023</v>
      </c>
    </row>
    <row r="142" ht="15.75" customHeight="1">
      <c r="A142" s="5">
        <v>8.0</v>
      </c>
      <c r="B142" s="10" t="s">
        <v>177</v>
      </c>
      <c r="C142" s="3" t="s">
        <v>178</v>
      </c>
      <c r="D142" s="4" t="s">
        <v>3</v>
      </c>
      <c r="E142" s="5" t="s">
        <v>35</v>
      </c>
      <c r="F142" s="6" t="s">
        <v>180</v>
      </c>
      <c r="G142" s="7">
        <v>44982.0</v>
      </c>
      <c r="H142" s="8">
        <f t="shared" si="1"/>
        <v>25</v>
      </c>
      <c r="I142" s="9">
        <f t="shared" si="2"/>
        <v>2</v>
      </c>
      <c r="J142" s="9">
        <f t="shared" si="3"/>
        <v>2023</v>
      </c>
    </row>
    <row r="143" ht="15.75" customHeight="1">
      <c r="A143" s="5">
        <v>8.0</v>
      </c>
      <c r="B143" s="10" t="s">
        <v>177</v>
      </c>
      <c r="C143" s="3" t="s">
        <v>178</v>
      </c>
      <c r="D143" s="4" t="s">
        <v>3</v>
      </c>
      <c r="E143" s="5" t="s">
        <v>51</v>
      </c>
      <c r="F143" s="6" t="s">
        <v>181</v>
      </c>
      <c r="G143" s="7">
        <v>44985.0</v>
      </c>
      <c r="H143" s="8">
        <f t="shared" si="1"/>
        <v>28</v>
      </c>
      <c r="I143" s="9">
        <f t="shared" si="2"/>
        <v>2</v>
      </c>
      <c r="J143" s="9">
        <f t="shared" si="3"/>
        <v>2023</v>
      </c>
    </row>
    <row r="144" ht="15.75" customHeight="1">
      <c r="A144" s="5">
        <v>8.0</v>
      </c>
      <c r="B144" s="10" t="s">
        <v>177</v>
      </c>
      <c r="C144" s="3" t="s">
        <v>178</v>
      </c>
      <c r="D144" s="4" t="s">
        <v>3</v>
      </c>
      <c r="E144" s="5" t="s">
        <v>4</v>
      </c>
      <c r="F144" s="6" t="s">
        <v>182</v>
      </c>
      <c r="G144" s="7">
        <v>44985.0</v>
      </c>
      <c r="H144" s="8">
        <f t="shared" si="1"/>
        <v>28</v>
      </c>
      <c r="I144" s="9">
        <f t="shared" si="2"/>
        <v>2</v>
      </c>
      <c r="J144" s="9">
        <f t="shared" si="3"/>
        <v>2023</v>
      </c>
    </row>
    <row r="145" ht="15.75" customHeight="1">
      <c r="A145" s="5">
        <v>8.0</v>
      </c>
      <c r="B145" s="10" t="s">
        <v>177</v>
      </c>
      <c r="C145" s="3" t="s">
        <v>178</v>
      </c>
      <c r="D145" s="4" t="s">
        <v>3</v>
      </c>
      <c r="E145" s="5" t="s">
        <v>45</v>
      </c>
      <c r="F145" s="6" t="s">
        <v>183</v>
      </c>
      <c r="G145" s="7">
        <v>45008.0</v>
      </c>
      <c r="H145" s="8">
        <f t="shared" si="1"/>
        <v>23</v>
      </c>
      <c r="I145" s="9">
        <f t="shared" si="2"/>
        <v>3</v>
      </c>
      <c r="J145" s="9">
        <f t="shared" si="3"/>
        <v>2023</v>
      </c>
    </row>
    <row r="146" ht="15.75" customHeight="1">
      <c r="A146" s="5">
        <v>8.0</v>
      </c>
      <c r="B146" s="10" t="s">
        <v>177</v>
      </c>
      <c r="C146" s="3" t="s">
        <v>178</v>
      </c>
      <c r="D146" s="4" t="s">
        <v>8</v>
      </c>
      <c r="E146" s="5" t="s">
        <v>9</v>
      </c>
      <c r="F146" s="6" t="s">
        <v>184</v>
      </c>
      <c r="G146" s="7">
        <v>45081.0</v>
      </c>
      <c r="H146" s="8">
        <f t="shared" si="1"/>
        <v>4</v>
      </c>
      <c r="I146" s="9">
        <f t="shared" si="2"/>
        <v>6</v>
      </c>
      <c r="J146" s="9">
        <f t="shared" si="3"/>
        <v>2023</v>
      </c>
    </row>
    <row r="147" ht="15.75" customHeight="1">
      <c r="A147" s="5">
        <v>8.0</v>
      </c>
      <c r="B147" s="10" t="s">
        <v>177</v>
      </c>
      <c r="C147" s="3" t="s">
        <v>178</v>
      </c>
      <c r="D147" s="4" t="s">
        <v>8</v>
      </c>
      <c r="E147" s="5" t="s">
        <v>11</v>
      </c>
      <c r="F147" s="6" t="s">
        <v>185</v>
      </c>
      <c r="G147" s="7">
        <v>45087.0</v>
      </c>
      <c r="H147" s="8">
        <f t="shared" si="1"/>
        <v>10</v>
      </c>
      <c r="I147" s="9">
        <f t="shared" si="2"/>
        <v>6</v>
      </c>
      <c r="J147" s="9">
        <f t="shared" si="3"/>
        <v>2023</v>
      </c>
    </row>
    <row r="148" ht="15.75" customHeight="1">
      <c r="A148" s="5">
        <v>8.0</v>
      </c>
      <c r="B148" s="10" t="s">
        <v>177</v>
      </c>
      <c r="C148" s="3" t="s">
        <v>178</v>
      </c>
      <c r="D148" s="4" t="s">
        <v>8</v>
      </c>
      <c r="E148" s="5" t="s">
        <v>28</v>
      </c>
      <c r="F148" s="6" t="s">
        <v>186</v>
      </c>
      <c r="G148" s="7">
        <v>45089.0</v>
      </c>
      <c r="H148" s="8">
        <f t="shared" si="1"/>
        <v>12</v>
      </c>
      <c r="I148" s="9">
        <f t="shared" si="2"/>
        <v>6</v>
      </c>
      <c r="J148" s="9">
        <f t="shared" si="3"/>
        <v>2023</v>
      </c>
    </row>
    <row r="149" ht="15.75" customHeight="1">
      <c r="A149" s="5">
        <v>8.0</v>
      </c>
      <c r="B149" s="10" t="s">
        <v>177</v>
      </c>
      <c r="C149" s="3" t="s">
        <v>178</v>
      </c>
      <c r="D149" s="4" t="s">
        <v>8</v>
      </c>
      <c r="E149" s="5" t="s">
        <v>21</v>
      </c>
      <c r="F149" s="6" t="s">
        <v>187</v>
      </c>
      <c r="G149" s="7">
        <v>45101.0</v>
      </c>
      <c r="H149" s="8">
        <f t="shared" si="1"/>
        <v>24</v>
      </c>
      <c r="I149" s="9">
        <f t="shared" si="2"/>
        <v>6</v>
      </c>
      <c r="J149" s="9">
        <f t="shared" si="3"/>
        <v>2023</v>
      </c>
    </row>
    <row r="150" ht="15.75" customHeight="1">
      <c r="A150" s="5">
        <v>8.0</v>
      </c>
      <c r="B150" s="10" t="s">
        <v>177</v>
      </c>
      <c r="C150" s="3" t="s">
        <v>178</v>
      </c>
      <c r="D150" s="4" t="s">
        <v>3</v>
      </c>
      <c r="E150" s="5" t="s">
        <v>42</v>
      </c>
      <c r="F150" s="6" t="s">
        <v>188</v>
      </c>
      <c r="G150" s="7">
        <v>45111.0</v>
      </c>
      <c r="H150" s="8">
        <f t="shared" si="1"/>
        <v>4</v>
      </c>
      <c r="I150" s="9">
        <f t="shared" si="2"/>
        <v>7</v>
      </c>
      <c r="J150" s="9">
        <f t="shared" si="3"/>
        <v>2023</v>
      </c>
    </row>
    <row r="151" ht="15.75" customHeight="1">
      <c r="A151" s="5">
        <v>8.0</v>
      </c>
      <c r="B151" s="10" t="s">
        <v>177</v>
      </c>
      <c r="C151" s="3" t="s">
        <v>178</v>
      </c>
      <c r="D151" s="4" t="s">
        <v>3</v>
      </c>
      <c r="E151" s="5" t="s">
        <v>39</v>
      </c>
      <c r="F151" s="6" t="s">
        <v>189</v>
      </c>
      <c r="G151" s="7">
        <v>45129.0</v>
      </c>
      <c r="H151" s="8">
        <f t="shared" si="1"/>
        <v>22</v>
      </c>
      <c r="I151" s="9">
        <f t="shared" si="2"/>
        <v>7</v>
      </c>
      <c r="J151" s="9">
        <f t="shared" si="3"/>
        <v>2023</v>
      </c>
    </row>
    <row r="152" ht="15.75" customHeight="1">
      <c r="A152" s="5">
        <v>8.0</v>
      </c>
      <c r="B152" s="10" t="s">
        <v>177</v>
      </c>
      <c r="C152" s="3" t="s">
        <v>178</v>
      </c>
      <c r="D152" s="4" t="s">
        <v>3</v>
      </c>
      <c r="E152" s="5" t="s">
        <v>9</v>
      </c>
      <c r="F152" s="6" t="s">
        <v>190</v>
      </c>
      <c r="G152" s="7">
        <v>45149.0</v>
      </c>
      <c r="H152" s="8">
        <f t="shared" si="1"/>
        <v>11</v>
      </c>
      <c r="I152" s="9">
        <f t="shared" si="2"/>
        <v>8</v>
      </c>
      <c r="J152" s="9">
        <f t="shared" si="3"/>
        <v>2023</v>
      </c>
    </row>
    <row r="153" ht="15.75" customHeight="1">
      <c r="A153" s="5">
        <v>8.0</v>
      </c>
      <c r="B153" s="10" t="s">
        <v>177</v>
      </c>
      <c r="C153" s="3" t="s">
        <v>178</v>
      </c>
      <c r="D153" s="4" t="s">
        <v>3</v>
      </c>
      <c r="E153" s="5" t="s">
        <v>17</v>
      </c>
      <c r="F153" s="6" t="s">
        <v>191</v>
      </c>
      <c r="G153" s="7">
        <v>45186.0</v>
      </c>
      <c r="H153" s="8">
        <f t="shared" si="1"/>
        <v>17</v>
      </c>
      <c r="I153" s="9">
        <f t="shared" si="2"/>
        <v>9</v>
      </c>
      <c r="J153" s="9">
        <f t="shared" si="3"/>
        <v>2023</v>
      </c>
    </row>
    <row r="154" ht="15.75" customHeight="1">
      <c r="A154" s="5">
        <v>8.0</v>
      </c>
      <c r="B154" s="10" t="s">
        <v>177</v>
      </c>
      <c r="C154" s="3" t="s">
        <v>178</v>
      </c>
      <c r="D154" s="4" t="s">
        <v>8</v>
      </c>
      <c r="E154" s="5" t="s">
        <v>76</v>
      </c>
      <c r="F154" s="6" t="s">
        <v>192</v>
      </c>
      <c r="G154" s="7">
        <v>45205.0</v>
      </c>
      <c r="H154" s="8">
        <f t="shared" si="1"/>
        <v>6</v>
      </c>
      <c r="I154" s="9">
        <f t="shared" si="2"/>
        <v>10</v>
      </c>
      <c r="J154" s="9">
        <f t="shared" si="3"/>
        <v>2023</v>
      </c>
    </row>
    <row r="155" ht="15.75" customHeight="1">
      <c r="A155" s="5">
        <v>8.0</v>
      </c>
      <c r="B155" s="10" t="s">
        <v>177</v>
      </c>
      <c r="C155" s="3" t="s">
        <v>178</v>
      </c>
      <c r="D155" s="4" t="s">
        <v>8</v>
      </c>
      <c r="E155" s="5" t="s">
        <v>21</v>
      </c>
      <c r="F155" s="6" t="s">
        <v>193</v>
      </c>
      <c r="G155" s="7">
        <v>45205.0</v>
      </c>
      <c r="H155" s="8">
        <f t="shared" si="1"/>
        <v>6</v>
      </c>
      <c r="I155" s="9">
        <f t="shared" si="2"/>
        <v>10</v>
      </c>
      <c r="J155" s="9">
        <f t="shared" si="3"/>
        <v>2023</v>
      </c>
    </row>
    <row r="156" ht="15.75" customHeight="1">
      <c r="A156" s="5">
        <v>8.0</v>
      </c>
      <c r="B156" s="10" t="s">
        <v>177</v>
      </c>
      <c r="C156" s="3" t="s">
        <v>178</v>
      </c>
      <c r="D156" s="4" t="s">
        <v>3</v>
      </c>
      <c r="E156" s="5" t="s">
        <v>76</v>
      </c>
      <c r="F156" s="6" t="s">
        <v>194</v>
      </c>
      <c r="G156" s="7">
        <v>45223.0</v>
      </c>
      <c r="H156" s="8">
        <f t="shared" si="1"/>
        <v>24</v>
      </c>
      <c r="I156" s="9">
        <f t="shared" si="2"/>
        <v>10</v>
      </c>
      <c r="J156" s="9">
        <f t="shared" si="3"/>
        <v>2023</v>
      </c>
    </row>
    <row r="157" ht="15.75" customHeight="1">
      <c r="A157" s="5">
        <v>8.0</v>
      </c>
      <c r="B157" s="10" t="s">
        <v>177</v>
      </c>
      <c r="C157" s="3" t="s">
        <v>178</v>
      </c>
      <c r="D157" s="4" t="s">
        <v>8</v>
      </c>
      <c r="E157" s="5" t="s">
        <v>4</v>
      </c>
      <c r="F157" s="6" t="s">
        <v>195</v>
      </c>
      <c r="G157" s="7">
        <v>45234.0</v>
      </c>
      <c r="H157" s="8">
        <f t="shared" si="1"/>
        <v>4</v>
      </c>
      <c r="I157" s="9">
        <f t="shared" si="2"/>
        <v>11</v>
      </c>
      <c r="J157" s="9">
        <f t="shared" si="3"/>
        <v>2023</v>
      </c>
    </row>
    <row r="158" ht="15.75" customHeight="1">
      <c r="A158" s="5">
        <v>8.0</v>
      </c>
      <c r="B158" s="10" t="s">
        <v>177</v>
      </c>
      <c r="C158" s="3" t="s">
        <v>178</v>
      </c>
      <c r="D158" s="4" t="s">
        <v>8</v>
      </c>
      <c r="E158" s="5" t="s">
        <v>42</v>
      </c>
      <c r="F158" s="6" t="s">
        <v>196</v>
      </c>
      <c r="G158" s="7">
        <v>45238.0</v>
      </c>
      <c r="H158" s="8">
        <f t="shared" si="1"/>
        <v>8</v>
      </c>
      <c r="I158" s="9">
        <f t="shared" si="2"/>
        <v>11</v>
      </c>
      <c r="J158" s="9">
        <f t="shared" si="3"/>
        <v>2023</v>
      </c>
    </row>
    <row r="159" ht="15.75" customHeight="1">
      <c r="A159" s="5">
        <v>8.0</v>
      </c>
      <c r="B159" s="10" t="s">
        <v>177</v>
      </c>
      <c r="C159" s="3" t="s">
        <v>178</v>
      </c>
      <c r="D159" s="4" t="s">
        <v>8</v>
      </c>
      <c r="E159" s="5" t="s">
        <v>9</v>
      </c>
      <c r="F159" s="6" t="s">
        <v>197</v>
      </c>
      <c r="G159" s="7">
        <v>45244.0</v>
      </c>
      <c r="H159" s="8">
        <f t="shared" si="1"/>
        <v>14</v>
      </c>
      <c r="I159" s="9">
        <f t="shared" si="2"/>
        <v>11</v>
      </c>
      <c r="J159" s="9">
        <f t="shared" si="3"/>
        <v>2023</v>
      </c>
    </row>
    <row r="160" ht="15.75" customHeight="1">
      <c r="A160" s="5">
        <v>8.0</v>
      </c>
      <c r="B160" s="10" t="s">
        <v>177</v>
      </c>
      <c r="C160" s="3" t="s">
        <v>178</v>
      </c>
      <c r="D160" s="4" t="s">
        <v>8</v>
      </c>
      <c r="E160" s="5" t="s">
        <v>28</v>
      </c>
      <c r="F160" s="6" t="s">
        <v>198</v>
      </c>
      <c r="G160" s="7">
        <v>45249.0</v>
      </c>
      <c r="H160" s="8">
        <f t="shared" si="1"/>
        <v>19</v>
      </c>
      <c r="I160" s="9">
        <f t="shared" si="2"/>
        <v>11</v>
      </c>
      <c r="J160" s="9">
        <f t="shared" si="3"/>
        <v>2023</v>
      </c>
    </row>
    <row r="161" ht="15.75" customHeight="1">
      <c r="A161" s="5">
        <v>9.0</v>
      </c>
      <c r="B161" s="10" t="s">
        <v>199</v>
      </c>
      <c r="C161" s="3" t="s">
        <v>200</v>
      </c>
      <c r="D161" s="4" t="s">
        <v>3</v>
      </c>
      <c r="E161" s="5" t="s">
        <v>96</v>
      </c>
      <c r="F161" s="6" t="s">
        <v>201</v>
      </c>
      <c r="G161" s="7">
        <v>44959.0</v>
      </c>
      <c r="H161" s="8">
        <f t="shared" si="1"/>
        <v>2</v>
      </c>
      <c r="I161" s="9">
        <f t="shared" si="2"/>
        <v>2</v>
      </c>
      <c r="J161" s="9">
        <f t="shared" si="3"/>
        <v>2023</v>
      </c>
    </row>
    <row r="162" ht="15.75" customHeight="1">
      <c r="A162" s="5">
        <v>9.0</v>
      </c>
      <c r="B162" s="10" t="s">
        <v>199</v>
      </c>
      <c r="C162" s="3" t="s">
        <v>200</v>
      </c>
      <c r="D162" s="4" t="s">
        <v>8</v>
      </c>
      <c r="E162" s="5" t="s">
        <v>15</v>
      </c>
      <c r="F162" s="6" t="s">
        <v>202</v>
      </c>
      <c r="G162" s="7">
        <v>44969.0</v>
      </c>
      <c r="H162" s="8">
        <f t="shared" si="1"/>
        <v>12</v>
      </c>
      <c r="I162" s="9">
        <f t="shared" si="2"/>
        <v>2</v>
      </c>
      <c r="J162" s="9">
        <f t="shared" si="3"/>
        <v>2023</v>
      </c>
    </row>
    <row r="163" ht="15.75" customHeight="1">
      <c r="A163" s="5">
        <v>9.0</v>
      </c>
      <c r="B163" s="10" t="s">
        <v>199</v>
      </c>
      <c r="C163" s="3" t="s">
        <v>200</v>
      </c>
      <c r="D163" s="4" t="s">
        <v>8</v>
      </c>
      <c r="E163" s="5" t="s">
        <v>28</v>
      </c>
      <c r="F163" s="6" t="s">
        <v>203</v>
      </c>
      <c r="G163" s="7">
        <v>44979.0</v>
      </c>
      <c r="H163" s="8">
        <f t="shared" si="1"/>
        <v>22</v>
      </c>
      <c r="I163" s="9">
        <f t="shared" si="2"/>
        <v>2</v>
      </c>
      <c r="J163" s="9">
        <f t="shared" si="3"/>
        <v>2023</v>
      </c>
    </row>
    <row r="164" ht="15.75" customHeight="1">
      <c r="A164" s="5">
        <v>9.0</v>
      </c>
      <c r="B164" s="10" t="s">
        <v>199</v>
      </c>
      <c r="C164" s="3" t="s">
        <v>200</v>
      </c>
      <c r="D164" s="4" t="s">
        <v>3</v>
      </c>
      <c r="E164" s="5" t="s">
        <v>15</v>
      </c>
      <c r="F164" s="6" t="s">
        <v>204</v>
      </c>
      <c r="G164" s="7">
        <v>44984.0</v>
      </c>
      <c r="H164" s="8">
        <f t="shared" si="1"/>
        <v>27</v>
      </c>
      <c r="I164" s="9">
        <f t="shared" si="2"/>
        <v>2</v>
      </c>
      <c r="J164" s="9">
        <f t="shared" si="3"/>
        <v>2023</v>
      </c>
    </row>
    <row r="165" ht="15.75" customHeight="1">
      <c r="A165" s="5">
        <v>9.0</v>
      </c>
      <c r="B165" s="10" t="s">
        <v>199</v>
      </c>
      <c r="C165" s="3" t="s">
        <v>200</v>
      </c>
      <c r="D165" s="4" t="s">
        <v>3</v>
      </c>
      <c r="E165" s="5" t="s">
        <v>51</v>
      </c>
      <c r="F165" s="6" t="s">
        <v>205</v>
      </c>
      <c r="G165" s="7">
        <v>45001.0</v>
      </c>
      <c r="H165" s="8">
        <f t="shared" si="1"/>
        <v>16</v>
      </c>
      <c r="I165" s="9">
        <f t="shared" si="2"/>
        <v>3</v>
      </c>
      <c r="J165" s="9">
        <f t="shared" si="3"/>
        <v>2023</v>
      </c>
    </row>
    <row r="166" ht="15.75" customHeight="1">
      <c r="A166" s="5">
        <v>9.0</v>
      </c>
      <c r="B166" s="10" t="s">
        <v>199</v>
      </c>
      <c r="C166" s="3" t="s">
        <v>200</v>
      </c>
      <c r="D166" s="4" t="s">
        <v>8</v>
      </c>
      <c r="E166" s="5" t="s">
        <v>45</v>
      </c>
      <c r="F166" s="6" t="s">
        <v>206</v>
      </c>
      <c r="G166" s="7">
        <v>45050.0</v>
      </c>
      <c r="H166" s="8">
        <f t="shared" si="1"/>
        <v>4</v>
      </c>
      <c r="I166" s="9">
        <f t="shared" si="2"/>
        <v>5</v>
      </c>
      <c r="J166" s="9">
        <f t="shared" si="3"/>
        <v>2023</v>
      </c>
    </row>
    <row r="167" ht="15.75" customHeight="1">
      <c r="A167" s="5">
        <v>9.0</v>
      </c>
      <c r="B167" s="10" t="s">
        <v>199</v>
      </c>
      <c r="C167" s="3" t="s">
        <v>200</v>
      </c>
      <c r="D167" s="4" t="s">
        <v>3</v>
      </c>
      <c r="E167" s="5" t="s">
        <v>13</v>
      </c>
      <c r="F167" s="6" t="s">
        <v>207</v>
      </c>
      <c r="G167" s="7">
        <v>45053.0</v>
      </c>
      <c r="H167" s="8">
        <f t="shared" si="1"/>
        <v>7</v>
      </c>
      <c r="I167" s="9">
        <f t="shared" si="2"/>
        <v>5</v>
      </c>
      <c r="J167" s="9">
        <f t="shared" si="3"/>
        <v>2023</v>
      </c>
    </row>
    <row r="168" ht="15.75" customHeight="1">
      <c r="A168" s="5">
        <v>9.0</v>
      </c>
      <c r="B168" s="10" t="s">
        <v>199</v>
      </c>
      <c r="C168" s="3" t="s">
        <v>200</v>
      </c>
      <c r="D168" s="4" t="s">
        <v>8</v>
      </c>
      <c r="E168" s="5" t="s">
        <v>42</v>
      </c>
      <c r="F168" s="6" t="s">
        <v>208</v>
      </c>
      <c r="G168" s="7">
        <v>45058.0</v>
      </c>
      <c r="H168" s="8">
        <f t="shared" si="1"/>
        <v>12</v>
      </c>
      <c r="I168" s="9">
        <f t="shared" si="2"/>
        <v>5</v>
      </c>
      <c r="J168" s="9">
        <f t="shared" si="3"/>
        <v>2023</v>
      </c>
    </row>
    <row r="169" ht="15.75" customHeight="1">
      <c r="A169" s="5">
        <v>9.0</v>
      </c>
      <c r="B169" s="10" t="s">
        <v>199</v>
      </c>
      <c r="C169" s="3" t="s">
        <v>200</v>
      </c>
      <c r="D169" s="4" t="s">
        <v>8</v>
      </c>
      <c r="E169" s="5" t="s">
        <v>76</v>
      </c>
      <c r="F169" s="6" t="s">
        <v>209</v>
      </c>
      <c r="G169" s="7">
        <v>45069.0</v>
      </c>
      <c r="H169" s="8">
        <f t="shared" si="1"/>
        <v>23</v>
      </c>
      <c r="I169" s="9">
        <f t="shared" si="2"/>
        <v>5</v>
      </c>
      <c r="J169" s="9">
        <f t="shared" si="3"/>
        <v>2023</v>
      </c>
    </row>
    <row r="170" ht="15.75" customHeight="1">
      <c r="A170" s="5">
        <v>9.0</v>
      </c>
      <c r="B170" s="10" t="s">
        <v>199</v>
      </c>
      <c r="C170" s="3" t="s">
        <v>200</v>
      </c>
      <c r="D170" s="4" t="s">
        <v>3</v>
      </c>
      <c r="E170" s="5" t="s">
        <v>23</v>
      </c>
      <c r="F170" s="6" t="s">
        <v>210</v>
      </c>
      <c r="G170" s="7">
        <v>45131.0</v>
      </c>
      <c r="H170" s="8">
        <f t="shared" si="1"/>
        <v>24</v>
      </c>
      <c r="I170" s="9">
        <f t="shared" si="2"/>
        <v>7</v>
      </c>
      <c r="J170" s="9">
        <f t="shared" si="3"/>
        <v>2023</v>
      </c>
    </row>
    <row r="171" ht="15.75" customHeight="1">
      <c r="A171" s="5">
        <v>9.0</v>
      </c>
      <c r="B171" s="10" t="s">
        <v>199</v>
      </c>
      <c r="C171" s="3" t="s">
        <v>200</v>
      </c>
      <c r="D171" s="4" t="s">
        <v>8</v>
      </c>
      <c r="E171" s="5" t="s">
        <v>4</v>
      </c>
      <c r="F171" s="6" t="s">
        <v>211</v>
      </c>
      <c r="G171" s="7">
        <v>45144.0</v>
      </c>
      <c r="H171" s="8">
        <f t="shared" si="1"/>
        <v>6</v>
      </c>
      <c r="I171" s="9">
        <f t="shared" si="2"/>
        <v>8</v>
      </c>
      <c r="J171" s="9">
        <f t="shared" si="3"/>
        <v>2023</v>
      </c>
    </row>
    <row r="172" ht="15.75" customHeight="1">
      <c r="A172" s="5">
        <v>9.0</v>
      </c>
      <c r="B172" s="10" t="s">
        <v>199</v>
      </c>
      <c r="C172" s="3" t="s">
        <v>200</v>
      </c>
      <c r="D172" s="4" t="s">
        <v>3</v>
      </c>
      <c r="E172" s="5" t="s">
        <v>21</v>
      </c>
      <c r="F172" s="6" t="s">
        <v>212</v>
      </c>
      <c r="G172" s="7">
        <v>45151.0</v>
      </c>
      <c r="H172" s="8">
        <f t="shared" si="1"/>
        <v>13</v>
      </c>
      <c r="I172" s="9">
        <f t="shared" si="2"/>
        <v>8</v>
      </c>
      <c r="J172" s="9">
        <f t="shared" si="3"/>
        <v>2023</v>
      </c>
    </row>
    <row r="173" ht="15.75" customHeight="1">
      <c r="A173" s="5">
        <v>9.0</v>
      </c>
      <c r="B173" s="10" t="s">
        <v>199</v>
      </c>
      <c r="C173" s="3" t="s">
        <v>200</v>
      </c>
      <c r="D173" s="4" t="s">
        <v>8</v>
      </c>
      <c r="E173" s="5" t="s">
        <v>28</v>
      </c>
      <c r="F173" s="6" t="s">
        <v>213</v>
      </c>
      <c r="G173" s="7">
        <v>45160.0</v>
      </c>
      <c r="H173" s="8">
        <f t="shared" si="1"/>
        <v>22</v>
      </c>
      <c r="I173" s="9">
        <f t="shared" si="2"/>
        <v>8</v>
      </c>
      <c r="J173" s="9">
        <f t="shared" si="3"/>
        <v>2023</v>
      </c>
    </row>
    <row r="174" ht="15.75" customHeight="1">
      <c r="A174" s="5">
        <v>9.0</v>
      </c>
      <c r="B174" s="10" t="s">
        <v>199</v>
      </c>
      <c r="C174" s="3" t="s">
        <v>200</v>
      </c>
      <c r="D174" s="4" t="s">
        <v>3</v>
      </c>
      <c r="E174" s="5" t="s">
        <v>28</v>
      </c>
      <c r="F174" s="6" t="s">
        <v>214</v>
      </c>
      <c r="G174" s="7">
        <v>45183.0</v>
      </c>
      <c r="H174" s="8">
        <f t="shared" si="1"/>
        <v>14</v>
      </c>
      <c r="I174" s="9">
        <f t="shared" si="2"/>
        <v>9</v>
      </c>
      <c r="J174" s="9">
        <f t="shared" si="3"/>
        <v>2023</v>
      </c>
    </row>
    <row r="175" ht="15.75" customHeight="1">
      <c r="A175" s="5">
        <v>9.0</v>
      </c>
      <c r="B175" s="10" t="s">
        <v>199</v>
      </c>
      <c r="C175" s="3" t="s">
        <v>200</v>
      </c>
      <c r="D175" s="4" t="s">
        <v>8</v>
      </c>
      <c r="E175" s="5" t="s">
        <v>51</v>
      </c>
      <c r="F175" s="6" t="s">
        <v>215</v>
      </c>
      <c r="G175" s="7">
        <v>45212.0</v>
      </c>
      <c r="H175" s="8">
        <f t="shared" si="1"/>
        <v>13</v>
      </c>
      <c r="I175" s="9">
        <f t="shared" si="2"/>
        <v>10</v>
      </c>
      <c r="J175" s="9">
        <f t="shared" si="3"/>
        <v>2023</v>
      </c>
    </row>
    <row r="176" ht="15.75" customHeight="1">
      <c r="A176" s="5">
        <v>9.0</v>
      </c>
      <c r="B176" s="10" t="s">
        <v>199</v>
      </c>
      <c r="C176" s="3" t="s">
        <v>200</v>
      </c>
      <c r="D176" s="4" t="s">
        <v>8</v>
      </c>
      <c r="E176" s="5" t="s">
        <v>4</v>
      </c>
      <c r="F176" s="6" t="s">
        <v>216</v>
      </c>
      <c r="G176" s="7">
        <v>45247.0</v>
      </c>
      <c r="H176" s="8">
        <f t="shared" si="1"/>
        <v>17</v>
      </c>
      <c r="I176" s="9">
        <f t="shared" si="2"/>
        <v>11</v>
      </c>
      <c r="J176" s="9">
        <f t="shared" si="3"/>
        <v>2023</v>
      </c>
    </row>
    <row r="177" ht="15.75" customHeight="1">
      <c r="A177" s="5">
        <v>9.0</v>
      </c>
      <c r="B177" s="10" t="s">
        <v>199</v>
      </c>
      <c r="C177" s="3" t="s">
        <v>200</v>
      </c>
      <c r="D177" s="4" t="s">
        <v>3</v>
      </c>
      <c r="E177" s="5" t="s">
        <v>35</v>
      </c>
      <c r="F177" s="6" t="s">
        <v>217</v>
      </c>
      <c r="G177" s="7">
        <v>45258.0</v>
      </c>
      <c r="H177" s="8">
        <f t="shared" si="1"/>
        <v>28</v>
      </c>
      <c r="I177" s="9">
        <f t="shared" si="2"/>
        <v>11</v>
      </c>
      <c r="J177" s="9">
        <f t="shared" si="3"/>
        <v>2023</v>
      </c>
    </row>
    <row r="178" ht="15.75" customHeight="1">
      <c r="A178" s="5">
        <v>9.0</v>
      </c>
      <c r="B178" s="10" t="s">
        <v>199</v>
      </c>
      <c r="C178" s="3" t="s">
        <v>200</v>
      </c>
      <c r="D178" s="4" t="s">
        <v>8</v>
      </c>
      <c r="E178" s="5" t="s">
        <v>13</v>
      </c>
      <c r="F178" s="6" t="s">
        <v>218</v>
      </c>
      <c r="G178" s="7">
        <v>45278.0</v>
      </c>
      <c r="H178" s="8">
        <f t="shared" si="1"/>
        <v>18</v>
      </c>
      <c r="I178" s="9">
        <f t="shared" si="2"/>
        <v>12</v>
      </c>
      <c r="J178" s="9">
        <f t="shared" si="3"/>
        <v>2023</v>
      </c>
    </row>
    <row r="179" ht="15.75" customHeight="1">
      <c r="A179" s="5">
        <v>9.0</v>
      </c>
      <c r="B179" s="10" t="s">
        <v>199</v>
      </c>
      <c r="C179" s="3" t="s">
        <v>200</v>
      </c>
      <c r="D179" s="4" t="s">
        <v>3</v>
      </c>
      <c r="E179" s="5" t="s">
        <v>35</v>
      </c>
      <c r="F179" s="6" t="s">
        <v>219</v>
      </c>
      <c r="G179" s="7">
        <v>45278.0</v>
      </c>
      <c r="H179" s="8">
        <f t="shared" si="1"/>
        <v>18</v>
      </c>
      <c r="I179" s="9">
        <f t="shared" si="2"/>
        <v>12</v>
      </c>
      <c r="J179" s="9">
        <f t="shared" si="3"/>
        <v>2023</v>
      </c>
    </row>
    <row r="180" ht="15.75" customHeight="1">
      <c r="A180" s="5">
        <v>9.0</v>
      </c>
      <c r="B180" s="10" t="s">
        <v>199</v>
      </c>
      <c r="C180" s="3" t="s">
        <v>200</v>
      </c>
      <c r="D180" s="4" t="s">
        <v>3</v>
      </c>
      <c r="E180" s="5" t="s">
        <v>9</v>
      </c>
      <c r="F180" s="6" t="s">
        <v>220</v>
      </c>
      <c r="G180" s="7">
        <v>45280.0</v>
      </c>
      <c r="H180" s="8">
        <f t="shared" si="1"/>
        <v>20</v>
      </c>
      <c r="I180" s="9">
        <f t="shared" si="2"/>
        <v>12</v>
      </c>
      <c r="J180" s="9">
        <f t="shared" si="3"/>
        <v>2023</v>
      </c>
    </row>
    <row r="181" ht="15.75" customHeight="1">
      <c r="A181" s="5">
        <v>10.0</v>
      </c>
      <c r="B181" s="10" t="s">
        <v>221</v>
      </c>
      <c r="C181" s="3" t="s">
        <v>222</v>
      </c>
      <c r="D181" s="4" t="s">
        <v>8</v>
      </c>
      <c r="E181" s="5" t="s">
        <v>51</v>
      </c>
      <c r="F181" s="6" t="s">
        <v>223</v>
      </c>
      <c r="G181" s="7">
        <v>44940.0</v>
      </c>
      <c r="H181" s="8">
        <f t="shared" si="1"/>
        <v>14</v>
      </c>
      <c r="I181" s="9">
        <f t="shared" si="2"/>
        <v>1</v>
      </c>
      <c r="J181" s="9">
        <f t="shared" si="3"/>
        <v>2023</v>
      </c>
    </row>
    <row r="182" ht="15.75" customHeight="1">
      <c r="A182" s="5">
        <v>10.0</v>
      </c>
      <c r="B182" s="10" t="s">
        <v>221</v>
      </c>
      <c r="C182" s="3" t="s">
        <v>222</v>
      </c>
      <c r="D182" s="4" t="s">
        <v>8</v>
      </c>
      <c r="E182" s="5" t="s">
        <v>96</v>
      </c>
      <c r="F182" s="6" t="s">
        <v>224</v>
      </c>
      <c r="G182" s="7">
        <v>44979.0</v>
      </c>
      <c r="H182" s="8">
        <f t="shared" si="1"/>
        <v>22</v>
      </c>
      <c r="I182" s="9">
        <f t="shared" si="2"/>
        <v>2</v>
      </c>
      <c r="J182" s="9">
        <f t="shared" si="3"/>
        <v>2023</v>
      </c>
    </row>
    <row r="183" ht="15.75" customHeight="1">
      <c r="A183" s="5">
        <v>10.0</v>
      </c>
      <c r="B183" s="10" t="s">
        <v>221</v>
      </c>
      <c r="C183" s="3" t="s">
        <v>222</v>
      </c>
      <c r="D183" s="4" t="s">
        <v>3</v>
      </c>
      <c r="E183" s="5" t="s">
        <v>15</v>
      </c>
      <c r="F183" s="6" t="s">
        <v>225</v>
      </c>
      <c r="G183" s="7">
        <v>44979.0</v>
      </c>
      <c r="H183" s="8">
        <f t="shared" si="1"/>
        <v>22</v>
      </c>
      <c r="I183" s="9">
        <f t="shared" si="2"/>
        <v>2</v>
      </c>
      <c r="J183" s="9">
        <f t="shared" si="3"/>
        <v>2023</v>
      </c>
    </row>
    <row r="184" ht="15.75" customHeight="1">
      <c r="A184" s="5">
        <v>10.0</v>
      </c>
      <c r="B184" s="10" t="s">
        <v>221</v>
      </c>
      <c r="C184" s="3" t="s">
        <v>222</v>
      </c>
      <c r="D184" s="4" t="s">
        <v>3</v>
      </c>
      <c r="E184" s="5" t="s">
        <v>71</v>
      </c>
      <c r="F184" s="6" t="s">
        <v>226</v>
      </c>
      <c r="G184" s="7">
        <v>44981.0</v>
      </c>
      <c r="H184" s="8">
        <f t="shared" si="1"/>
        <v>24</v>
      </c>
      <c r="I184" s="9">
        <f t="shared" si="2"/>
        <v>2</v>
      </c>
      <c r="J184" s="9">
        <f t="shared" si="3"/>
        <v>2023</v>
      </c>
    </row>
    <row r="185" ht="15.75" customHeight="1">
      <c r="A185" s="5">
        <v>10.0</v>
      </c>
      <c r="B185" s="10" t="s">
        <v>221</v>
      </c>
      <c r="C185" s="3" t="s">
        <v>222</v>
      </c>
      <c r="D185" s="4" t="s">
        <v>8</v>
      </c>
      <c r="E185" s="5" t="s">
        <v>120</v>
      </c>
      <c r="F185" s="6" t="s">
        <v>227</v>
      </c>
      <c r="G185" s="7">
        <v>44988.0</v>
      </c>
      <c r="H185" s="8">
        <f t="shared" si="1"/>
        <v>3</v>
      </c>
      <c r="I185" s="9">
        <f t="shared" si="2"/>
        <v>3</v>
      </c>
      <c r="J185" s="9">
        <f t="shared" si="3"/>
        <v>2023</v>
      </c>
    </row>
    <row r="186" ht="15.75" customHeight="1">
      <c r="A186" s="5">
        <v>10.0</v>
      </c>
      <c r="B186" s="10" t="s">
        <v>221</v>
      </c>
      <c r="C186" s="3" t="s">
        <v>222</v>
      </c>
      <c r="D186" s="4" t="s">
        <v>8</v>
      </c>
      <c r="E186" s="5" t="s">
        <v>17</v>
      </c>
      <c r="F186" s="6" t="s">
        <v>228</v>
      </c>
      <c r="G186" s="7">
        <v>44990.0</v>
      </c>
      <c r="H186" s="8">
        <f t="shared" si="1"/>
        <v>5</v>
      </c>
      <c r="I186" s="9">
        <f t="shared" si="2"/>
        <v>3</v>
      </c>
      <c r="J186" s="9">
        <f t="shared" si="3"/>
        <v>2023</v>
      </c>
    </row>
    <row r="187" ht="15.75" customHeight="1">
      <c r="A187" s="5">
        <v>10.0</v>
      </c>
      <c r="B187" s="10" t="s">
        <v>221</v>
      </c>
      <c r="C187" s="3" t="s">
        <v>222</v>
      </c>
      <c r="D187" s="4" t="s">
        <v>8</v>
      </c>
      <c r="E187" s="5" t="s">
        <v>19</v>
      </c>
      <c r="F187" s="6" t="s">
        <v>229</v>
      </c>
      <c r="G187" s="7">
        <v>45009.0</v>
      </c>
      <c r="H187" s="8">
        <f t="shared" si="1"/>
        <v>24</v>
      </c>
      <c r="I187" s="9">
        <f t="shared" si="2"/>
        <v>3</v>
      </c>
      <c r="J187" s="9">
        <f t="shared" si="3"/>
        <v>2023</v>
      </c>
    </row>
    <row r="188" ht="15.75" customHeight="1">
      <c r="A188" s="5">
        <v>10.0</v>
      </c>
      <c r="B188" s="10" t="s">
        <v>221</v>
      </c>
      <c r="C188" s="3" t="s">
        <v>222</v>
      </c>
      <c r="D188" s="4" t="s">
        <v>8</v>
      </c>
      <c r="E188" s="5" t="s">
        <v>4</v>
      </c>
      <c r="F188" s="6" t="s">
        <v>140</v>
      </c>
      <c r="G188" s="7">
        <v>45036.0</v>
      </c>
      <c r="H188" s="8">
        <f t="shared" si="1"/>
        <v>20</v>
      </c>
      <c r="I188" s="9">
        <f t="shared" si="2"/>
        <v>4</v>
      </c>
      <c r="J188" s="9">
        <f t="shared" si="3"/>
        <v>2023</v>
      </c>
    </row>
    <row r="189" ht="15.75" customHeight="1">
      <c r="A189" s="5">
        <v>10.0</v>
      </c>
      <c r="B189" s="10" t="s">
        <v>221</v>
      </c>
      <c r="C189" s="3" t="s">
        <v>222</v>
      </c>
      <c r="D189" s="4" t="s">
        <v>8</v>
      </c>
      <c r="E189" s="5" t="s">
        <v>120</v>
      </c>
      <c r="F189" s="6" t="s">
        <v>230</v>
      </c>
      <c r="G189" s="7">
        <v>45066.0</v>
      </c>
      <c r="H189" s="8">
        <f t="shared" si="1"/>
        <v>20</v>
      </c>
      <c r="I189" s="9">
        <f t="shared" si="2"/>
        <v>5</v>
      </c>
      <c r="J189" s="9">
        <f t="shared" si="3"/>
        <v>2023</v>
      </c>
    </row>
    <row r="190" ht="15.75" customHeight="1">
      <c r="A190" s="5">
        <v>10.0</v>
      </c>
      <c r="B190" s="10" t="s">
        <v>221</v>
      </c>
      <c r="C190" s="3" t="s">
        <v>222</v>
      </c>
      <c r="D190" s="4" t="s">
        <v>8</v>
      </c>
      <c r="E190" s="5" t="s">
        <v>4</v>
      </c>
      <c r="F190" s="6" t="s">
        <v>231</v>
      </c>
      <c r="G190" s="7">
        <v>45082.0</v>
      </c>
      <c r="H190" s="8">
        <f t="shared" si="1"/>
        <v>5</v>
      </c>
      <c r="I190" s="9">
        <f t="shared" si="2"/>
        <v>6</v>
      </c>
      <c r="J190" s="9">
        <f t="shared" si="3"/>
        <v>2023</v>
      </c>
    </row>
    <row r="191" ht="15.75" customHeight="1">
      <c r="A191" s="5">
        <v>10.0</v>
      </c>
      <c r="B191" s="10" t="s">
        <v>221</v>
      </c>
      <c r="C191" s="3" t="s">
        <v>222</v>
      </c>
      <c r="D191" s="4" t="s">
        <v>3</v>
      </c>
      <c r="E191" s="5" t="s">
        <v>76</v>
      </c>
      <c r="F191" s="6" t="s">
        <v>232</v>
      </c>
      <c r="G191" s="7">
        <v>45135.0</v>
      </c>
      <c r="H191" s="8">
        <f t="shared" si="1"/>
        <v>28</v>
      </c>
      <c r="I191" s="9">
        <f t="shared" si="2"/>
        <v>7</v>
      </c>
      <c r="J191" s="9">
        <f t="shared" si="3"/>
        <v>2023</v>
      </c>
    </row>
    <row r="192" ht="15.75" customHeight="1">
      <c r="A192" s="5">
        <v>10.0</v>
      </c>
      <c r="B192" s="10" t="s">
        <v>221</v>
      </c>
      <c r="C192" s="3" t="s">
        <v>222</v>
      </c>
      <c r="D192" s="4" t="s">
        <v>3</v>
      </c>
      <c r="E192" s="5" t="s">
        <v>39</v>
      </c>
      <c r="F192" s="6" t="s">
        <v>233</v>
      </c>
      <c r="G192" s="7">
        <v>45152.0</v>
      </c>
      <c r="H192" s="8">
        <f t="shared" si="1"/>
        <v>14</v>
      </c>
      <c r="I192" s="9">
        <f t="shared" si="2"/>
        <v>8</v>
      </c>
      <c r="J192" s="9">
        <f t="shared" si="3"/>
        <v>2023</v>
      </c>
    </row>
    <row r="193" ht="15.75" customHeight="1">
      <c r="A193" s="5">
        <v>10.0</v>
      </c>
      <c r="B193" s="10" t="s">
        <v>221</v>
      </c>
      <c r="C193" s="3" t="s">
        <v>222</v>
      </c>
      <c r="D193" s="4" t="s">
        <v>3</v>
      </c>
      <c r="E193" s="5" t="s">
        <v>21</v>
      </c>
      <c r="F193" s="6" t="s">
        <v>234</v>
      </c>
      <c r="G193" s="7">
        <v>45156.0</v>
      </c>
      <c r="H193" s="8">
        <f t="shared" si="1"/>
        <v>18</v>
      </c>
      <c r="I193" s="9">
        <f t="shared" si="2"/>
        <v>8</v>
      </c>
      <c r="J193" s="9">
        <f t="shared" si="3"/>
        <v>2023</v>
      </c>
    </row>
    <row r="194" ht="15.75" customHeight="1">
      <c r="A194" s="5">
        <v>10.0</v>
      </c>
      <c r="B194" s="10" t="s">
        <v>221</v>
      </c>
      <c r="C194" s="3" t="s">
        <v>222</v>
      </c>
      <c r="D194" s="4" t="s">
        <v>3</v>
      </c>
      <c r="E194" s="5" t="s">
        <v>15</v>
      </c>
      <c r="F194" s="6" t="s">
        <v>235</v>
      </c>
      <c r="G194" s="7">
        <v>45162.0</v>
      </c>
      <c r="H194" s="8">
        <f t="shared" si="1"/>
        <v>24</v>
      </c>
      <c r="I194" s="9">
        <f t="shared" si="2"/>
        <v>8</v>
      </c>
      <c r="J194" s="9">
        <f t="shared" si="3"/>
        <v>2023</v>
      </c>
    </row>
    <row r="195" ht="15.75" customHeight="1">
      <c r="A195" s="5">
        <v>10.0</v>
      </c>
      <c r="B195" s="10" t="s">
        <v>221</v>
      </c>
      <c r="C195" s="3" t="s">
        <v>222</v>
      </c>
      <c r="D195" s="4" t="s">
        <v>8</v>
      </c>
      <c r="E195" s="5" t="s">
        <v>76</v>
      </c>
      <c r="F195" s="6" t="s">
        <v>236</v>
      </c>
      <c r="G195" s="7">
        <v>45180.0</v>
      </c>
      <c r="H195" s="8">
        <f t="shared" si="1"/>
        <v>11</v>
      </c>
      <c r="I195" s="9">
        <f t="shared" si="2"/>
        <v>9</v>
      </c>
      <c r="J195" s="9">
        <f t="shared" si="3"/>
        <v>2023</v>
      </c>
    </row>
    <row r="196" ht="15.75" customHeight="1">
      <c r="A196" s="5">
        <v>10.0</v>
      </c>
      <c r="B196" s="10" t="s">
        <v>221</v>
      </c>
      <c r="C196" s="3" t="s">
        <v>222</v>
      </c>
      <c r="D196" s="4" t="s">
        <v>8</v>
      </c>
      <c r="E196" s="5" t="s">
        <v>71</v>
      </c>
      <c r="F196" s="6" t="s">
        <v>237</v>
      </c>
      <c r="G196" s="7">
        <v>45206.0</v>
      </c>
      <c r="H196" s="8">
        <f t="shared" si="1"/>
        <v>7</v>
      </c>
      <c r="I196" s="9">
        <f t="shared" si="2"/>
        <v>10</v>
      </c>
      <c r="J196" s="9">
        <f t="shared" si="3"/>
        <v>2023</v>
      </c>
    </row>
    <row r="197" ht="15.75" customHeight="1">
      <c r="A197" s="5">
        <v>10.0</v>
      </c>
      <c r="B197" s="10" t="s">
        <v>221</v>
      </c>
      <c r="C197" s="3" t="s">
        <v>222</v>
      </c>
      <c r="D197" s="4" t="s">
        <v>8</v>
      </c>
      <c r="E197" s="5" t="s">
        <v>23</v>
      </c>
      <c r="F197" s="6" t="s">
        <v>238</v>
      </c>
      <c r="G197" s="7">
        <v>45213.0</v>
      </c>
      <c r="H197" s="8">
        <f t="shared" si="1"/>
        <v>14</v>
      </c>
      <c r="I197" s="9">
        <f t="shared" si="2"/>
        <v>10</v>
      </c>
      <c r="J197" s="9">
        <f t="shared" si="3"/>
        <v>2023</v>
      </c>
    </row>
    <row r="198" ht="15.75" customHeight="1">
      <c r="A198" s="5">
        <v>10.0</v>
      </c>
      <c r="B198" s="10" t="s">
        <v>221</v>
      </c>
      <c r="C198" s="3" t="s">
        <v>222</v>
      </c>
      <c r="D198" s="4" t="s">
        <v>8</v>
      </c>
      <c r="E198" s="5" t="s">
        <v>120</v>
      </c>
      <c r="F198" s="6" t="s">
        <v>239</v>
      </c>
      <c r="G198" s="7">
        <v>45237.0</v>
      </c>
      <c r="H198" s="8">
        <f t="shared" si="1"/>
        <v>7</v>
      </c>
      <c r="I198" s="9">
        <f t="shared" si="2"/>
        <v>11</v>
      </c>
      <c r="J198" s="9">
        <f t="shared" si="3"/>
        <v>2023</v>
      </c>
    </row>
    <row r="199" ht="15.75" customHeight="1">
      <c r="A199" s="5">
        <v>10.0</v>
      </c>
      <c r="B199" s="10" t="s">
        <v>221</v>
      </c>
      <c r="C199" s="3" t="s">
        <v>222</v>
      </c>
      <c r="D199" s="4" t="s">
        <v>3</v>
      </c>
      <c r="E199" s="5" t="s">
        <v>23</v>
      </c>
      <c r="F199" s="6" t="s">
        <v>240</v>
      </c>
      <c r="G199" s="7">
        <v>45277.0</v>
      </c>
      <c r="H199" s="8">
        <f t="shared" si="1"/>
        <v>17</v>
      </c>
      <c r="I199" s="9">
        <f t="shared" si="2"/>
        <v>12</v>
      </c>
      <c r="J199" s="9">
        <f t="shared" si="3"/>
        <v>2023</v>
      </c>
    </row>
    <row r="200" ht="15.75" customHeight="1">
      <c r="A200" s="5">
        <v>10.0</v>
      </c>
      <c r="B200" s="10" t="s">
        <v>221</v>
      </c>
      <c r="C200" s="3" t="s">
        <v>222</v>
      </c>
      <c r="D200" s="4" t="s">
        <v>8</v>
      </c>
      <c r="E200" s="5" t="s">
        <v>9</v>
      </c>
      <c r="F200" s="6" t="s">
        <v>241</v>
      </c>
      <c r="G200" s="7">
        <v>45281.0</v>
      </c>
      <c r="H200" s="8">
        <f t="shared" si="1"/>
        <v>21</v>
      </c>
      <c r="I200" s="9">
        <f t="shared" si="2"/>
        <v>12</v>
      </c>
      <c r="J200" s="9">
        <f t="shared" si="3"/>
        <v>2023</v>
      </c>
    </row>
    <row r="201" ht="15.75" customHeight="1">
      <c r="A201" s="5">
        <v>11.0</v>
      </c>
      <c r="B201" s="10" t="s">
        <v>242</v>
      </c>
      <c r="C201" s="3" t="s">
        <v>243</v>
      </c>
      <c r="D201" s="4" t="s">
        <v>8</v>
      </c>
      <c r="E201" s="5" t="s">
        <v>45</v>
      </c>
      <c r="F201" s="6" t="s">
        <v>244</v>
      </c>
      <c r="G201" s="7">
        <v>44971.0</v>
      </c>
      <c r="H201" s="8">
        <f t="shared" si="1"/>
        <v>14</v>
      </c>
      <c r="I201" s="9">
        <f t="shared" si="2"/>
        <v>2</v>
      </c>
      <c r="J201" s="9">
        <f t="shared" si="3"/>
        <v>2023</v>
      </c>
    </row>
    <row r="202" ht="15.75" customHeight="1">
      <c r="A202" s="5">
        <v>11.0</v>
      </c>
      <c r="B202" s="10" t="s">
        <v>242</v>
      </c>
      <c r="C202" s="3" t="s">
        <v>243</v>
      </c>
      <c r="D202" s="4" t="s">
        <v>3</v>
      </c>
      <c r="E202" s="5" t="s">
        <v>96</v>
      </c>
      <c r="F202" s="6" t="s">
        <v>245</v>
      </c>
      <c r="G202" s="7">
        <v>45003.0</v>
      </c>
      <c r="H202" s="8">
        <f t="shared" si="1"/>
        <v>18</v>
      </c>
      <c r="I202" s="9">
        <f t="shared" si="2"/>
        <v>3</v>
      </c>
      <c r="J202" s="9">
        <f t="shared" si="3"/>
        <v>2023</v>
      </c>
    </row>
    <row r="203" ht="15.75" customHeight="1">
      <c r="A203" s="5">
        <v>11.0</v>
      </c>
      <c r="B203" s="10" t="s">
        <v>242</v>
      </c>
      <c r="C203" s="3" t="s">
        <v>243</v>
      </c>
      <c r="D203" s="4" t="s">
        <v>3</v>
      </c>
      <c r="E203" s="5" t="s">
        <v>23</v>
      </c>
      <c r="F203" s="6" t="s">
        <v>246</v>
      </c>
      <c r="G203" s="7">
        <v>45011.0</v>
      </c>
      <c r="H203" s="8">
        <f t="shared" si="1"/>
        <v>26</v>
      </c>
      <c r="I203" s="9">
        <f t="shared" si="2"/>
        <v>3</v>
      </c>
      <c r="J203" s="9">
        <f t="shared" si="3"/>
        <v>2023</v>
      </c>
    </row>
    <row r="204" ht="15.75" customHeight="1">
      <c r="A204" s="5">
        <v>11.0</v>
      </c>
      <c r="B204" s="10" t="s">
        <v>242</v>
      </c>
      <c r="C204" s="3" t="s">
        <v>243</v>
      </c>
      <c r="D204" s="4" t="s">
        <v>8</v>
      </c>
      <c r="E204" s="5" t="s">
        <v>120</v>
      </c>
      <c r="F204" s="6" t="s">
        <v>247</v>
      </c>
      <c r="G204" s="7">
        <v>45055.0</v>
      </c>
      <c r="H204" s="8">
        <f t="shared" si="1"/>
        <v>9</v>
      </c>
      <c r="I204" s="9">
        <f t="shared" si="2"/>
        <v>5</v>
      </c>
      <c r="J204" s="9">
        <f t="shared" si="3"/>
        <v>2023</v>
      </c>
    </row>
    <row r="205" ht="15.75" customHeight="1">
      <c r="A205" s="5">
        <v>11.0</v>
      </c>
      <c r="B205" s="10" t="s">
        <v>242</v>
      </c>
      <c r="C205" s="3" t="s">
        <v>243</v>
      </c>
      <c r="D205" s="4" t="s">
        <v>3</v>
      </c>
      <c r="E205" s="5" t="s">
        <v>21</v>
      </c>
      <c r="F205" s="6" t="s">
        <v>248</v>
      </c>
      <c r="G205" s="7">
        <v>45089.0</v>
      </c>
      <c r="H205" s="8">
        <f t="shared" si="1"/>
        <v>12</v>
      </c>
      <c r="I205" s="9">
        <f t="shared" si="2"/>
        <v>6</v>
      </c>
      <c r="J205" s="9">
        <f t="shared" si="3"/>
        <v>2023</v>
      </c>
    </row>
    <row r="206" ht="15.75" customHeight="1">
      <c r="A206" s="5">
        <v>11.0</v>
      </c>
      <c r="B206" s="10" t="s">
        <v>242</v>
      </c>
      <c r="C206" s="3" t="s">
        <v>243</v>
      </c>
      <c r="D206" s="4" t="s">
        <v>8</v>
      </c>
      <c r="E206" s="5" t="s">
        <v>15</v>
      </c>
      <c r="F206" s="6" t="s">
        <v>249</v>
      </c>
      <c r="G206" s="7">
        <v>45121.0</v>
      </c>
      <c r="H206" s="8">
        <f t="shared" si="1"/>
        <v>14</v>
      </c>
      <c r="I206" s="9">
        <f t="shared" si="2"/>
        <v>7</v>
      </c>
      <c r="J206" s="9">
        <f t="shared" si="3"/>
        <v>2023</v>
      </c>
    </row>
    <row r="207" ht="15.75" customHeight="1">
      <c r="A207" s="5">
        <v>11.0</v>
      </c>
      <c r="B207" s="10" t="s">
        <v>242</v>
      </c>
      <c r="C207" s="3" t="s">
        <v>243</v>
      </c>
      <c r="D207" s="4" t="s">
        <v>8</v>
      </c>
      <c r="E207" s="5" t="s">
        <v>17</v>
      </c>
      <c r="F207" s="6" t="s">
        <v>248</v>
      </c>
      <c r="G207" s="7">
        <v>45121.0</v>
      </c>
      <c r="H207" s="8">
        <f t="shared" si="1"/>
        <v>14</v>
      </c>
      <c r="I207" s="9">
        <f t="shared" si="2"/>
        <v>7</v>
      </c>
      <c r="J207" s="9">
        <f t="shared" si="3"/>
        <v>2023</v>
      </c>
    </row>
    <row r="208" ht="15.75" customHeight="1">
      <c r="A208" s="5">
        <v>11.0</v>
      </c>
      <c r="B208" s="10" t="s">
        <v>242</v>
      </c>
      <c r="C208" s="3" t="s">
        <v>243</v>
      </c>
      <c r="D208" s="4" t="s">
        <v>3</v>
      </c>
      <c r="E208" s="5" t="s">
        <v>96</v>
      </c>
      <c r="F208" s="6" t="s">
        <v>250</v>
      </c>
      <c r="G208" s="7">
        <v>45148.0</v>
      </c>
      <c r="H208" s="8">
        <f t="shared" si="1"/>
        <v>10</v>
      </c>
      <c r="I208" s="9">
        <f t="shared" si="2"/>
        <v>8</v>
      </c>
      <c r="J208" s="9">
        <f t="shared" si="3"/>
        <v>2023</v>
      </c>
    </row>
    <row r="209" ht="15.75" customHeight="1">
      <c r="A209" s="5">
        <v>11.0</v>
      </c>
      <c r="B209" s="10" t="s">
        <v>242</v>
      </c>
      <c r="C209" s="3" t="s">
        <v>243</v>
      </c>
      <c r="D209" s="4" t="s">
        <v>8</v>
      </c>
      <c r="E209" s="5" t="s">
        <v>23</v>
      </c>
      <c r="F209" s="6" t="s">
        <v>251</v>
      </c>
      <c r="G209" s="7">
        <v>45185.0</v>
      </c>
      <c r="H209" s="8">
        <f t="shared" si="1"/>
        <v>16</v>
      </c>
      <c r="I209" s="9">
        <f t="shared" si="2"/>
        <v>9</v>
      </c>
      <c r="J209" s="9">
        <f t="shared" si="3"/>
        <v>2023</v>
      </c>
    </row>
    <row r="210" ht="15.75" customHeight="1">
      <c r="A210" s="5">
        <v>11.0</v>
      </c>
      <c r="B210" s="10" t="s">
        <v>242</v>
      </c>
      <c r="C210" s="3" t="s">
        <v>243</v>
      </c>
      <c r="D210" s="4" t="s">
        <v>3</v>
      </c>
      <c r="E210" s="5" t="s">
        <v>35</v>
      </c>
      <c r="F210" s="6" t="s">
        <v>252</v>
      </c>
      <c r="G210" s="7">
        <v>45187.0</v>
      </c>
      <c r="H210" s="8">
        <f t="shared" si="1"/>
        <v>18</v>
      </c>
      <c r="I210" s="9">
        <f t="shared" si="2"/>
        <v>9</v>
      </c>
      <c r="J210" s="9">
        <f t="shared" si="3"/>
        <v>2023</v>
      </c>
    </row>
    <row r="211" ht="15.75" customHeight="1">
      <c r="A211" s="5">
        <v>11.0</v>
      </c>
      <c r="B211" s="10" t="s">
        <v>242</v>
      </c>
      <c r="C211" s="3" t="s">
        <v>243</v>
      </c>
      <c r="D211" s="4" t="s">
        <v>8</v>
      </c>
      <c r="E211" s="5" t="s">
        <v>76</v>
      </c>
      <c r="F211" s="6" t="s">
        <v>253</v>
      </c>
      <c r="G211" s="7">
        <v>45210.0</v>
      </c>
      <c r="H211" s="8">
        <f t="shared" si="1"/>
        <v>11</v>
      </c>
      <c r="I211" s="9">
        <f t="shared" si="2"/>
        <v>10</v>
      </c>
      <c r="J211" s="9">
        <f t="shared" si="3"/>
        <v>2023</v>
      </c>
    </row>
    <row r="212" ht="15.75" customHeight="1">
      <c r="A212" s="5">
        <v>11.0</v>
      </c>
      <c r="B212" s="10" t="s">
        <v>242</v>
      </c>
      <c r="C212" s="3" t="s">
        <v>243</v>
      </c>
      <c r="D212" s="4" t="s">
        <v>3</v>
      </c>
      <c r="E212" s="5" t="s">
        <v>96</v>
      </c>
      <c r="F212" s="6" t="s">
        <v>254</v>
      </c>
      <c r="G212" s="7">
        <v>45211.0</v>
      </c>
      <c r="H212" s="8">
        <f t="shared" si="1"/>
        <v>12</v>
      </c>
      <c r="I212" s="9">
        <f t="shared" si="2"/>
        <v>10</v>
      </c>
      <c r="J212" s="9">
        <f t="shared" si="3"/>
        <v>2023</v>
      </c>
    </row>
    <row r="213" ht="15.75" customHeight="1">
      <c r="A213" s="5">
        <v>11.0</v>
      </c>
      <c r="B213" s="10" t="s">
        <v>242</v>
      </c>
      <c r="C213" s="3" t="s">
        <v>243</v>
      </c>
      <c r="D213" s="4" t="s">
        <v>8</v>
      </c>
      <c r="E213" s="5" t="s">
        <v>96</v>
      </c>
      <c r="F213" s="6" t="s">
        <v>255</v>
      </c>
      <c r="G213" s="7">
        <v>45226.0</v>
      </c>
      <c r="H213" s="8">
        <f t="shared" si="1"/>
        <v>27</v>
      </c>
      <c r="I213" s="9">
        <f t="shared" si="2"/>
        <v>10</v>
      </c>
      <c r="J213" s="9">
        <f t="shared" si="3"/>
        <v>2023</v>
      </c>
    </row>
    <row r="214" ht="15.75" customHeight="1">
      <c r="A214" s="5">
        <v>11.0</v>
      </c>
      <c r="B214" s="10" t="s">
        <v>242</v>
      </c>
      <c r="C214" s="3" t="s">
        <v>243</v>
      </c>
      <c r="D214" s="4" t="s">
        <v>3</v>
      </c>
      <c r="E214" s="5" t="s">
        <v>17</v>
      </c>
      <c r="F214" s="6" t="s">
        <v>256</v>
      </c>
      <c r="G214" s="7">
        <v>45233.0</v>
      </c>
      <c r="H214" s="8">
        <f t="shared" si="1"/>
        <v>3</v>
      </c>
      <c r="I214" s="9">
        <f t="shared" si="2"/>
        <v>11</v>
      </c>
      <c r="J214" s="9">
        <f t="shared" si="3"/>
        <v>2023</v>
      </c>
    </row>
    <row r="215" ht="15.75" customHeight="1">
      <c r="A215" s="5">
        <v>11.0</v>
      </c>
      <c r="B215" s="10" t="s">
        <v>242</v>
      </c>
      <c r="C215" s="3" t="s">
        <v>243</v>
      </c>
      <c r="D215" s="4" t="s">
        <v>3</v>
      </c>
      <c r="E215" s="5" t="s">
        <v>17</v>
      </c>
      <c r="F215" s="6" t="s">
        <v>257</v>
      </c>
      <c r="G215" s="7">
        <v>45239.0</v>
      </c>
      <c r="H215" s="8">
        <f t="shared" si="1"/>
        <v>9</v>
      </c>
      <c r="I215" s="9">
        <f t="shared" si="2"/>
        <v>11</v>
      </c>
      <c r="J215" s="9">
        <f t="shared" si="3"/>
        <v>2023</v>
      </c>
    </row>
    <row r="216" ht="15.75" customHeight="1">
      <c r="A216" s="5">
        <v>11.0</v>
      </c>
      <c r="B216" s="10" t="s">
        <v>242</v>
      </c>
      <c r="C216" s="3" t="s">
        <v>243</v>
      </c>
      <c r="D216" s="4" t="s">
        <v>8</v>
      </c>
      <c r="E216" s="5" t="s">
        <v>13</v>
      </c>
      <c r="F216" s="6" t="s">
        <v>258</v>
      </c>
      <c r="G216" s="7">
        <v>45245.0</v>
      </c>
      <c r="H216" s="8">
        <f t="shared" si="1"/>
        <v>15</v>
      </c>
      <c r="I216" s="9">
        <f t="shared" si="2"/>
        <v>11</v>
      </c>
      <c r="J216" s="9">
        <f t="shared" si="3"/>
        <v>2023</v>
      </c>
    </row>
    <row r="217" ht="15.75" customHeight="1">
      <c r="A217" s="5">
        <v>11.0</v>
      </c>
      <c r="B217" s="10" t="s">
        <v>242</v>
      </c>
      <c r="C217" s="3" t="s">
        <v>243</v>
      </c>
      <c r="D217" s="4" t="s">
        <v>8</v>
      </c>
      <c r="E217" s="5" t="s">
        <v>120</v>
      </c>
      <c r="F217" s="6" t="s">
        <v>259</v>
      </c>
      <c r="G217" s="7">
        <v>45264.0</v>
      </c>
      <c r="H217" s="8">
        <f t="shared" si="1"/>
        <v>4</v>
      </c>
      <c r="I217" s="9">
        <f t="shared" si="2"/>
        <v>12</v>
      </c>
      <c r="J217" s="9">
        <f t="shared" si="3"/>
        <v>2023</v>
      </c>
    </row>
    <row r="218" ht="15.75" customHeight="1">
      <c r="A218" s="5">
        <v>11.0</v>
      </c>
      <c r="B218" s="10" t="s">
        <v>242</v>
      </c>
      <c r="C218" s="3" t="s">
        <v>243</v>
      </c>
      <c r="D218" s="4" t="s">
        <v>8</v>
      </c>
      <c r="E218" s="5" t="s">
        <v>120</v>
      </c>
      <c r="F218" s="6" t="s">
        <v>260</v>
      </c>
      <c r="G218" s="7">
        <v>45280.0</v>
      </c>
      <c r="H218" s="8">
        <f t="shared" si="1"/>
        <v>20</v>
      </c>
      <c r="I218" s="9">
        <f t="shared" si="2"/>
        <v>12</v>
      </c>
      <c r="J218" s="9">
        <f t="shared" si="3"/>
        <v>2023</v>
      </c>
    </row>
    <row r="219" ht="15.75" customHeight="1">
      <c r="A219" s="5">
        <v>11.0</v>
      </c>
      <c r="B219" s="10" t="s">
        <v>242</v>
      </c>
      <c r="C219" s="3" t="s">
        <v>243</v>
      </c>
      <c r="D219" s="4" t="s">
        <v>8</v>
      </c>
      <c r="E219" s="5" t="s">
        <v>17</v>
      </c>
      <c r="F219" s="6" t="s">
        <v>261</v>
      </c>
      <c r="G219" s="7">
        <v>45283.0</v>
      </c>
      <c r="H219" s="8">
        <f t="shared" si="1"/>
        <v>23</v>
      </c>
      <c r="I219" s="9">
        <f t="shared" si="2"/>
        <v>12</v>
      </c>
      <c r="J219" s="9">
        <f t="shared" si="3"/>
        <v>2023</v>
      </c>
    </row>
    <row r="220" ht="15.75" customHeight="1">
      <c r="A220" s="5">
        <v>11.0</v>
      </c>
      <c r="B220" s="10" t="s">
        <v>242</v>
      </c>
      <c r="C220" s="3" t="s">
        <v>243</v>
      </c>
      <c r="D220" s="4" t="s">
        <v>3</v>
      </c>
      <c r="E220" s="5" t="s">
        <v>45</v>
      </c>
      <c r="F220" s="6" t="s">
        <v>262</v>
      </c>
      <c r="G220" s="7">
        <v>45286.0</v>
      </c>
      <c r="H220" s="8">
        <f t="shared" si="1"/>
        <v>26</v>
      </c>
      <c r="I220" s="9">
        <f t="shared" si="2"/>
        <v>12</v>
      </c>
      <c r="J220" s="9">
        <f t="shared" si="3"/>
        <v>2023</v>
      </c>
    </row>
    <row r="221" ht="15.75" customHeight="1">
      <c r="A221" s="5">
        <v>12.0</v>
      </c>
      <c r="B221" s="10" t="s">
        <v>263</v>
      </c>
      <c r="C221" s="3" t="s">
        <v>264</v>
      </c>
      <c r="D221" s="4" t="s">
        <v>8</v>
      </c>
      <c r="E221" s="5" t="s">
        <v>28</v>
      </c>
      <c r="F221" s="6" t="s">
        <v>265</v>
      </c>
      <c r="G221" s="7">
        <v>44948.0</v>
      </c>
      <c r="H221" s="8">
        <f t="shared" si="1"/>
        <v>22</v>
      </c>
      <c r="I221" s="9">
        <f t="shared" si="2"/>
        <v>1</v>
      </c>
      <c r="J221" s="9">
        <f t="shared" si="3"/>
        <v>2023</v>
      </c>
    </row>
    <row r="222" ht="15.75" customHeight="1">
      <c r="A222" s="5">
        <v>12.0</v>
      </c>
      <c r="B222" s="10" t="s">
        <v>263</v>
      </c>
      <c r="C222" s="3" t="s">
        <v>264</v>
      </c>
      <c r="D222" s="4" t="s">
        <v>8</v>
      </c>
      <c r="E222" s="5" t="s">
        <v>71</v>
      </c>
      <c r="F222" s="6" t="s">
        <v>266</v>
      </c>
      <c r="G222" s="7">
        <v>44992.0</v>
      </c>
      <c r="H222" s="8">
        <f t="shared" si="1"/>
        <v>7</v>
      </c>
      <c r="I222" s="9">
        <f t="shared" si="2"/>
        <v>3</v>
      </c>
      <c r="J222" s="9">
        <f t="shared" si="3"/>
        <v>2023</v>
      </c>
    </row>
    <row r="223" ht="15.75" customHeight="1">
      <c r="A223" s="5">
        <v>12.0</v>
      </c>
      <c r="B223" s="10" t="s">
        <v>263</v>
      </c>
      <c r="C223" s="3" t="s">
        <v>264</v>
      </c>
      <c r="D223" s="4" t="s">
        <v>3</v>
      </c>
      <c r="E223" s="5" t="s">
        <v>35</v>
      </c>
      <c r="F223" s="6" t="s">
        <v>267</v>
      </c>
      <c r="G223" s="7">
        <v>45018.0</v>
      </c>
      <c r="H223" s="8">
        <f t="shared" si="1"/>
        <v>2</v>
      </c>
      <c r="I223" s="9">
        <f t="shared" si="2"/>
        <v>4</v>
      </c>
      <c r="J223" s="9">
        <f t="shared" si="3"/>
        <v>2023</v>
      </c>
    </row>
    <row r="224" ht="15.75" customHeight="1">
      <c r="A224" s="5">
        <v>12.0</v>
      </c>
      <c r="B224" s="10" t="s">
        <v>263</v>
      </c>
      <c r="C224" s="3" t="s">
        <v>264</v>
      </c>
      <c r="D224" s="4" t="s">
        <v>8</v>
      </c>
      <c r="E224" s="5" t="s">
        <v>4</v>
      </c>
      <c r="F224" s="6" t="s">
        <v>268</v>
      </c>
      <c r="G224" s="7">
        <v>45019.0</v>
      </c>
      <c r="H224" s="8">
        <f t="shared" si="1"/>
        <v>3</v>
      </c>
      <c r="I224" s="9">
        <f t="shared" si="2"/>
        <v>4</v>
      </c>
      <c r="J224" s="9">
        <f t="shared" si="3"/>
        <v>2023</v>
      </c>
    </row>
    <row r="225" ht="15.75" customHeight="1">
      <c r="A225" s="5">
        <v>12.0</v>
      </c>
      <c r="B225" s="10" t="s">
        <v>263</v>
      </c>
      <c r="C225" s="3" t="s">
        <v>264</v>
      </c>
      <c r="D225" s="4" t="s">
        <v>8</v>
      </c>
      <c r="E225" s="5" t="s">
        <v>35</v>
      </c>
      <c r="F225" s="6" t="s">
        <v>269</v>
      </c>
      <c r="G225" s="7">
        <v>45026.0</v>
      </c>
      <c r="H225" s="8">
        <f t="shared" si="1"/>
        <v>10</v>
      </c>
      <c r="I225" s="9">
        <f t="shared" si="2"/>
        <v>4</v>
      </c>
      <c r="J225" s="9">
        <f t="shared" si="3"/>
        <v>2023</v>
      </c>
    </row>
    <row r="226" ht="15.75" customHeight="1">
      <c r="A226" s="5">
        <v>12.0</v>
      </c>
      <c r="B226" s="10" t="s">
        <v>263</v>
      </c>
      <c r="C226" s="3" t="s">
        <v>264</v>
      </c>
      <c r="D226" s="4" t="s">
        <v>3</v>
      </c>
      <c r="E226" s="5" t="s">
        <v>76</v>
      </c>
      <c r="F226" s="6" t="s">
        <v>270</v>
      </c>
      <c r="G226" s="7">
        <v>45041.0</v>
      </c>
      <c r="H226" s="8">
        <f t="shared" si="1"/>
        <v>25</v>
      </c>
      <c r="I226" s="9">
        <f t="shared" si="2"/>
        <v>4</v>
      </c>
      <c r="J226" s="9">
        <f t="shared" si="3"/>
        <v>2023</v>
      </c>
    </row>
    <row r="227" ht="15.75" customHeight="1">
      <c r="A227" s="5">
        <v>12.0</v>
      </c>
      <c r="B227" s="10" t="s">
        <v>263</v>
      </c>
      <c r="C227" s="3" t="s">
        <v>264</v>
      </c>
      <c r="D227" s="4" t="s">
        <v>8</v>
      </c>
      <c r="E227" s="5" t="s">
        <v>9</v>
      </c>
      <c r="F227" s="6" t="s">
        <v>179</v>
      </c>
      <c r="G227" s="7">
        <v>45049.0</v>
      </c>
      <c r="H227" s="8">
        <f t="shared" si="1"/>
        <v>3</v>
      </c>
      <c r="I227" s="9">
        <f t="shared" si="2"/>
        <v>5</v>
      </c>
      <c r="J227" s="9">
        <f t="shared" si="3"/>
        <v>2023</v>
      </c>
    </row>
    <row r="228" ht="15.75" customHeight="1">
      <c r="A228" s="5">
        <v>12.0</v>
      </c>
      <c r="B228" s="10" t="s">
        <v>263</v>
      </c>
      <c r="C228" s="3" t="s">
        <v>264</v>
      </c>
      <c r="D228" s="4" t="s">
        <v>8</v>
      </c>
      <c r="E228" s="5" t="s">
        <v>19</v>
      </c>
      <c r="F228" s="6" t="s">
        <v>271</v>
      </c>
      <c r="G228" s="7">
        <v>45059.0</v>
      </c>
      <c r="H228" s="8">
        <f t="shared" si="1"/>
        <v>13</v>
      </c>
      <c r="I228" s="9">
        <f t="shared" si="2"/>
        <v>5</v>
      </c>
      <c r="J228" s="9">
        <f t="shared" si="3"/>
        <v>2023</v>
      </c>
    </row>
    <row r="229" ht="15.75" customHeight="1">
      <c r="A229" s="5">
        <v>12.0</v>
      </c>
      <c r="B229" s="10" t="s">
        <v>263</v>
      </c>
      <c r="C229" s="3" t="s">
        <v>264</v>
      </c>
      <c r="D229" s="4" t="s">
        <v>8</v>
      </c>
      <c r="E229" s="5" t="s">
        <v>6</v>
      </c>
      <c r="F229" s="6" t="s">
        <v>272</v>
      </c>
      <c r="G229" s="7">
        <v>45070.0</v>
      </c>
      <c r="H229" s="8">
        <f t="shared" si="1"/>
        <v>24</v>
      </c>
      <c r="I229" s="9">
        <f t="shared" si="2"/>
        <v>5</v>
      </c>
      <c r="J229" s="9">
        <f t="shared" si="3"/>
        <v>2023</v>
      </c>
    </row>
    <row r="230" ht="15.75" customHeight="1">
      <c r="A230" s="5">
        <v>12.0</v>
      </c>
      <c r="B230" s="10" t="s">
        <v>263</v>
      </c>
      <c r="C230" s="3" t="s">
        <v>264</v>
      </c>
      <c r="D230" s="4" t="s">
        <v>8</v>
      </c>
      <c r="E230" s="5" t="s">
        <v>9</v>
      </c>
      <c r="F230" s="6" t="s">
        <v>273</v>
      </c>
      <c r="G230" s="7">
        <v>45092.0</v>
      </c>
      <c r="H230" s="8">
        <f t="shared" si="1"/>
        <v>15</v>
      </c>
      <c r="I230" s="9">
        <f t="shared" si="2"/>
        <v>6</v>
      </c>
      <c r="J230" s="9">
        <f t="shared" si="3"/>
        <v>2023</v>
      </c>
    </row>
    <row r="231" ht="15.75" customHeight="1">
      <c r="A231" s="5">
        <v>12.0</v>
      </c>
      <c r="B231" s="10" t="s">
        <v>263</v>
      </c>
      <c r="C231" s="3" t="s">
        <v>264</v>
      </c>
      <c r="D231" s="4" t="s">
        <v>3</v>
      </c>
      <c r="E231" s="5" t="s">
        <v>51</v>
      </c>
      <c r="F231" s="6" t="s">
        <v>274</v>
      </c>
      <c r="G231" s="7">
        <v>45116.0</v>
      </c>
      <c r="H231" s="8">
        <f t="shared" si="1"/>
        <v>9</v>
      </c>
      <c r="I231" s="9">
        <f t="shared" si="2"/>
        <v>7</v>
      </c>
      <c r="J231" s="9">
        <f t="shared" si="3"/>
        <v>2023</v>
      </c>
    </row>
    <row r="232" ht="15.75" customHeight="1">
      <c r="A232" s="5">
        <v>12.0</v>
      </c>
      <c r="B232" s="10" t="s">
        <v>263</v>
      </c>
      <c r="C232" s="3" t="s">
        <v>264</v>
      </c>
      <c r="D232" s="4" t="s">
        <v>3</v>
      </c>
      <c r="E232" s="5" t="s">
        <v>76</v>
      </c>
      <c r="F232" s="6" t="s">
        <v>275</v>
      </c>
      <c r="G232" s="7">
        <v>45122.0</v>
      </c>
      <c r="H232" s="8">
        <f t="shared" si="1"/>
        <v>15</v>
      </c>
      <c r="I232" s="9">
        <f t="shared" si="2"/>
        <v>7</v>
      </c>
      <c r="J232" s="9">
        <f t="shared" si="3"/>
        <v>2023</v>
      </c>
    </row>
    <row r="233" ht="15.75" customHeight="1">
      <c r="A233" s="5">
        <v>12.0</v>
      </c>
      <c r="B233" s="10" t="s">
        <v>263</v>
      </c>
      <c r="C233" s="3" t="s">
        <v>264</v>
      </c>
      <c r="D233" s="4" t="s">
        <v>3</v>
      </c>
      <c r="E233" s="5" t="s">
        <v>42</v>
      </c>
      <c r="F233" s="6" t="s">
        <v>276</v>
      </c>
      <c r="G233" s="7">
        <v>45148.0</v>
      </c>
      <c r="H233" s="8">
        <f t="shared" si="1"/>
        <v>10</v>
      </c>
      <c r="I233" s="9">
        <f t="shared" si="2"/>
        <v>8</v>
      </c>
      <c r="J233" s="9">
        <f t="shared" si="3"/>
        <v>2023</v>
      </c>
    </row>
    <row r="234" ht="15.75" customHeight="1">
      <c r="A234" s="5">
        <v>12.0</v>
      </c>
      <c r="B234" s="10" t="s">
        <v>263</v>
      </c>
      <c r="C234" s="3" t="s">
        <v>264</v>
      </c>
      <c r="D234" s="4" t="s">
        <v>8</v>
      </c>
      <c r="E234" s="5" t="s">
        <v>45</v>
      </c>
      <c r="F234" s="6" t="s">
        <v>277</v>
      </c>
      <c r="G234" s="7">
        <v>45151.0</v>
      </c>
      <c r="H234" s="8">
        <f t="shared" si="1"/>
        <v>13</v>
      </c>
      <c r="I234" s="9">
        <f t="shared" si="2"/>
        <v>8</v>
      </c>
      <c r="J234" s="9">
        <f t="shared" si="3"/>
        <v>2023</v>
      </c>
    </row>
    <row r="235" ht="15.75" customHeight="1">
      <c r="A235" s="5">
        <v>12.0</v>
      </c>
      <c r="B235" s="10" t="s">
        <v>263</v>
      </c>
      <c r="C235" s="3" t="s">
        <v>264</v>
      </c>
      <c r="D235" s="4" t="s">
        <v>8</v>
      </c>
      <c r="E235" s="5" t="s">
        <v>4</v>
      </c>
      <c r="F235" s="6" t="s">
        <v>278</v>
      </c>
      <c r="G235" s="7">
        <v>45184.0</v>
      </c>
      <c r="H235" s="8">
        <f t="shared" si="1"/>
        <v>15</v>
      </c>
      <c r="I235" s="9">
        <f t="shared" si="2"/>
        <v>9</v>
      </c>
      <c r="J235" s="9">
        <f t="shared" si="3"/>
        <v>2023</v>
      </c>
    </row>
    <row r="236" ht="15.75" customHeight="1">
      <c r="A236" s="5">
        <v>12.0</v>
      </c>
      <c r="B236" s="10" t="s">
        <v>263</v>
      </c>
      <c r="C236" s="3" t="s">
        <v>264</v>
      </c>
      <c r="D236" s="4" t="s">
        <v>8</v>
      </c>
      <c r="E236" s="5" t="s">
        <v>120</v>
      </c>
      <c r="F236" s="6" t="s">
        <v>279</v>
      </c>
      <c r="G236" s="7">
        <v>45190.0</v>
      </c>
      <c r="H236" s="8">
        <f t="shared" si="1"/>
        <v>21</v>
      </c>
      <c r="I236" s="9">
        <f t="shared" si="2"/>
        <v>9</v>
      </c>
      <c r="J236" s="9">
        <f t="shared" si="3"/>
        <v>2023</v>
      </c>
    </row>
    <row r="237" ht="15.75" customHeight="1">
      <c r="A237" s="5">
        <v>12.0</v>
      </c>
      <c r="B237" s="10" t="s">
        <v>263</v>
      </c>
      <c r="C237" s="3" t="s">
        <v>264</v>
      </c>
      <c r="D237" s="4" t="s">
        <v>8</v>
      </c>
      <c r="E237" s="5" t="s">
        <v>120</v>
      </c>
      <c r="F237" s="6" t="s">
        <v>280</v>
      </c>
      <c r="G237" s="7">
        <v>45223.0</v>
      </c>
      <c r="H237" s="8">
        <f t="shared" si="1"/>
        <v>24</v>
      </c>
      <c r="I237" s="9">
        <f t="shared" si="2"/>
        <v>10</v>
      </c>
      <c r="J237" s="9">
        <f t="shared" si="3"/>
        <v>2023</v>
      </c>
    </row>
    <row r="238" ht="15.75" customHeight="1">
      <c r="A238" s="5">
        <v>12.0</v>
      </c>
      <c r="B238" s="10" t="s">
        <v>263</v>
      </c>
      <c r="C238" s="3" t="s">
        <v>264</v>
      </c>
      <c r="D238" s="4" t="s">
        <v>8</v>
      </c>
      <c r="E238" s="5" t="s">
        <v>13</v>
      </c>
      <c r="F238" s="6" t="s">
        <v>281</v>
      </c>
      <c r="G238" s="7">
        <v>45242.0</v>
      </c>
      <c r="H238" s="8">
        <f t="shared" si="1"/>
        <v>12</v>
      </c>
      <c r="I238" s="9">
        <f t="shared" si="2"/>
        <v>11</v>
      </c>
      <c r="J238" s="9">
        <f t="shared" si="3"/>
        <v>2023</v>
      </c>
    </row>
    <row r="239" ht="15.75" customHeight="1">
      <c r="A239" s="5">
        <v>12.0</v>
      </c>
      <c r="B239" s="10" t="s">
        <v>263</v>
      </c>
      <c r="C239" s="3" t="s">
        <v>264</v>
      </c>
      <c r="D239" s="4" t="s">
        <v>3</v>
      </c>
      <c r="E239" s="5" t="s">
        <v>35</v>
      </c>
      <c r="F239" s="6" t="s">
        <v>282</v>
      </c>
      <c r="G239" s="7">
        <v>45275.0</v>
      </c>
      <c r="H239" s="8">
        <f t="shared" si="1"/>
        <v>15</v>
      </c>
      <c r="I239" s="9">
        <f t="shared" si="2"/>
        <v>12</v>
      </c>
      <c r="J239" s="9">
        <f t="shared" si="3"/>
        <v>2023</v>
      </c>
    </row>
    <row r="240" ht="15.75" customHeight="1">
      <c r="A240" s="5">
        <v>12.0</v>
      </c>
      <c r="B240" s="10" t="s">
        <v>263</v>
      </c>
      <c r="C240" s="3" t="s">
        <v>264</v>
      </c>
      <c r="D240" s="4" t="s">
        <v>3</v>
      </c>
      <c r="E240" s="5" t="s">
        <v>19</v>
      </c>
      <c r="F240" s="6" t="s">
        <v>91</v>
      </c>
      <c r="G240" s="7">
        <v>45279.0</v>
      </c>
      <c r="H240" s="8">
        <f t="shared" si="1"/>
        <v>19</v>
      </c>
      <c r="I240" s="9">
        <f t="shared" si="2"/>
        <v>12</v>
      </c>
      <c r="J240" s="9">
        <f t="shared" si="3"/>
        <v>2023</v>
      </c>
    </row>
    <row r="241" ht="15.75" customHeight="1">
      <c r="A241" s="5">
        <v>13.0</v>
      </c>
      <c r="B241" s="10" t="s">
        <v>283</v>
      </c>
      <c r="C241" s="3" t="s">
        <v>284</v>
      </c>
      <c r="D241" s="4" t="s">
        <v>3</v>
      </c>
      <c r="E241" s="5" t="s">
        <v>120</v>
      </c>
      <c r="F241" s="6" t="s">
        <v>285</v>
      </c>
      <c r="G241" s="7">
        <v>44938.0</v>
      </c>
      <c r="H241" s="8">
        <f t="shared" si="1"/>
        <v>12</v>
      </c>
      <c r="I241" s="9">
        <f t="shared" si="2"/>
        <v>1</v>
      </c>
      <c r="J241" s="9">
        <f t="shared" si="3"/>
        <v>2023</v>
      </c>
    </row>
    <row r="242" ht="15.75" customHeight="1">
      <c r="A242" s="5">
        <v>13.0</v>
      </c>
      <c r="B242" s="10" t="s">
        <v>283</v>
      </c>
      <c r="C242" s="3" t="s">
        <v>284</v>
      </c>
      <c r="D242" s="4" t="s">
        <v>3</v>
      </c>
      <c r="E242" s="5" t="s">
        <v>71</v>
      </c>
      <c r="F242" s="6" t="s">
        <v>286</v>
      </c>
      <c r="G242" s="7">
        <v>44988.0</v>
      </c>
      <c r="H242" s="8">
        <f t="shared" si="1"/>
        <v>3</v>
      </c>
      <c r="I242" s="9">
        <f t="shared" si="2"/>
        <v>3</v>
      </c>
      <c r="J242" s="9">
        <f t="shared" si="3"/>
        <v>2023</v>
      </c>
    </row>
    <row r="243" ht="15.75" customHeight="1">
      <c r="A243" s="5">
        <v>13.0</v>
      </c>
      <c r="B243" s="10" t="s">
        <v>283</v>
      </c>
      <c r="C243" s="3" t="s">
        <v>284</v>
      </c>
      <c r="D243" s="4" t="s">
        <v>8</v>
      </c>
      <c r="E243" s="5" t="s">
        <v>35</v>
      </c>
      <c r="F243" s="6" t="s">
        <v>287</v>
      </c>
      <c r="G243" s="7">
        <v>45013.0</v>
      </c>
      <c r="H243" s="8">
        <f t="shared" si="1"/>
        <v>28</v>
      </c>
      <c r="I243" s="9">
        <f t="shared" si="2"/>
        <v>3</v>
      </c>
      <c r="J243" s="9">
        <f t="shared" si="3"/>
        <v>2023</v>
      </c>
    </row>
    <row r="244" ht="15.75" customHeight="1">
      <c r="A244" s="5">
        <v>13.0</v>
      </c>
      <c r="B244" s="10" t="s">
        <v>283</v>
      </c>
      <c r="C244" s="3" t="s">
        <v>284</v>
      </c>
      <c r="D244" s="4" t="s">
        <v>8</v>
      </c>
      <c r="E244" s="5" t="s">
        <v>6</v>
      </c>
      <c r="F244" s="6" t="s">
        <v>288</v>
      </c>
      <c r="G244" s="7">
        <v>45018.0</v>
      </c>
      <c r="H244" s="8">
        <f t="shared" si="1"/>
        <v>2</v>
      </c>
      <c r="I244" s="9">
        <f t="shared" si="2"/>
        <v>4</v>
      </c>
      <c r="J244" s="9">
        <f t="shared" si="3"/>
        <v>2023</v>
      </c>
    </row>
    <row r="245" ht="15.75" customHeight="1">
      <c r="A245" s="5">
        <v>13.0</v>
      </c>
      <c r="B245" s="10" t="s">
        <v>283</v>
      </c>
      <c r="C245" s="3" t="s">
        <v>284</v>
      </c>
      <c r="D245" s="4" t="s">
        <v>8</v>
      </c>
      <c r="E245" s="5" t="s">
        <v>6</v>
      </c>
      <c r="F245" s="6" t="s">
        <v>289</v>
      </c>
      <c r="G245" s="7">
        <v>45020.0</v>
      </c>
      <c r="H245" s="8">
        <f t="shared" si="1"/>
        <v>4</v>
      </c>
      <c r="I245" s="9">
        <f t="shared" si="2"/>
        <v>4</v>
      </c>
      <c r="J245" s="9">
        <f t="shared" si="3"/>
        <v>2023</v>
      </c>
    </row>
    <row r="246" ht="15.75" customHeight="1">
      <c r="A246" s="5">
        <v>13.0</v>
      </c>
      <c r="B246" s="10" t="s">
        <v>283</v>
      </c>
      <c r="C246" s="3" t="s">
        <v>284</v>
      </c>
      <c r="D246" s="4" t="s">
        <v>8</v>
      </c>
      <c r="E246" s="5" t="s">
        <v>76</v>
      </c>
      <c r="F246" s="6" t="s">
        <v>290</v>
      </c>
      <c r="G246" s="7">
        <v>45022.0</v>
      </c>
      <c r="H246" s="8">
        <f t="shared" si="1"/>
        <v>6</v>
      </c>
      <c r="I246" s="9">
        <f t="shared" si="2"/>
        <v>4</v>
      </c>
      <c r="J246" s="9">
        <f t="shared" si="3"/>
        <v>2023</v>
      </c>
    </row>
    <row r="247" ht="15.75" customHeight="1">
      <c r="A247" s="5">
        <v>13.0</v>
      </c>
      <c r="B247" s="10" t="s">
        <v>283</v>
      </c>
      <c r="C247" s="3" t="s">
        <v>284</v>
      </c>
      <c r="D247" s="4" t="s">
        <v>3</v>
      </c>
      <c r="E247" s="5" t="s">
        <v>9</v>
      </c>
      <c r="F247" s="6" t="s">
        <v>291</v>
      </c>
      <c r="G247" s="7">
        <v>45036.0</v>
      </c>
      <c r="H247" s="8">
        <f t="shared" si="1"/>
        <v>20</v>
      </c>
      <c r="I247" s="9">
        <f t="shared" si="2"/>
        <v>4</v>
      </c>
      <c r="J247" s="9">
        <f t="shared" si="3"/>
        <v>2023</v>
      </c>
    </row>
    <row r="248" ht="15.75" customHeight="1">
      <c r="A248" s="5">
        <v>13.0</v>
      </c>
      <c r="B248" s="10" t="s">
        <v>283</v>
      </c>
      <c r="C248" s="3" t="s">
        <v>284</v>
      </c>
      <c r="D248" s="4" t="s">
        <v>3</v>
      </c>
      <c r="E248" s="5" t="s">
        <v>4</v>
      </c>
      <c r="F248" s="6" t="s">
        <v>292</v>
      </c>
      <c r="G248" s="7">
        <v>45060.0</v>
      </c>
      <c r="H248" s="8">
        <f t="shared" si="1"/>
        <v>14</v>
      </c>
      <c r="I248" s="9">
        <f t="shared" si="2"/>
        <v>5</v>
      </c>
      <c r="J248" s="9">
        <f t="shared" si="3"/>
        <v>2023</v>
      </c>
    </row>
    <row r="249" ht="15.75" customHeight="1">
      <c r="A249" s="5">
        <v>13.0</v>
      </c>
      <c r="B249" s="10" t="s">
        <v>283</v>
      </c>
      <c r="C249" s="3" t="s">
        <v>284</v>
      </c>
      <c r="D249" s="4" t="s">
        <v>3</v>
      </c>
      <c r="E249" s="5" t="s">
        <v>23</v>
      </c>
      <c r="F249" s="6" t="s">
        <v>293</v>
      </c>
      <c r="G249" s="7">
        <v>45062.0</v>
      </c>
      <c r="H249" s="8">
        <f t="shared" si="1"/>
        <v>16</v>
      </c>
      <c r="I249" s="9">
        <f t="shared" si="2"/>
        <v>5</v>
      </c>
      <c r="J249" s="9">
        <f t="shared" si="3"/>
        <v>2023</v>
      </c>
    </row>
    <row r="250" ht="15.75" customHeight="1">
      <c r="A250" s="5">
        <v>13.0</v>
      </c>
      <c r="B250" s="10" t="s">
        <v>283</v>
      </c>
      <c r="C250" s="3" t="s">
        <v>284</v>
      </c>
      <c r="D250" s="4" t="s">
        <v>3</v>
      </c>
      <c r="E250" s="5" t="s">
        <v>4</v>
      </c>
      <c r="F250" s="6" t="s">
        <v>294</v>
      </c>
      <c r="G250" s="7">
        <v>45087.0</v>
      </c>
      <c r="H250" s="8">
        <f t="shared" si="1"/>
        <v>10</v>
      </c>
      <c r="I250" s="9">
        <f t="shared" si="2"/>
        <v>6</v>
      </c>
      <c r="J250" s="9">
        <f t="shared" si="3"/>
        <v>2023</v>
      </c>
    </row>
    <row r="251" ht="15.75" customHeight="1">
      <c r="A251" s="5">
        <v>13.0</v>
      </c>
      <c r="B251" s="10" t="s">
        <v>283</v>
      </c>
      <c r="C251" s="3" t="s">
        <v>284</v>
      </c>
      <c r="D251" s="4" t="s">
        <v>3</v>
      </c>
      <c r="E251" s="5" t="s">
        <v>42</v>
      </c>
      <c r="F251" s="6" t="s">
        <v>295</v>
      </c>
      <c r="G251" s="7">
        <v>45102.0</v>
      </c>
      <c r="H251" s="8">
        <f t="shared" si="1"/>
        <v>25</v>
      </c>
      <c r="I251" s="9">
        <f t="shared" si="2"/>
        <v>6</v>
      </c>
      <c r="J251" s="9">
        <f t="shared" si="3"/>
        <v>2023</v>
      </c>
    </row>
    <row r="252" ht="15.75" customHeight="1">
      <c r="A252" s="5">
        <v>13.0</v>
      </c>
      <c r="B252" s="10" t="s">
        <v>283</v>
      </c>
      <c r="C252" s="3" t="s">
        <v>284</v>
      </c>
      <c r="D252" s="4" t="s">
        <v>3</v>
      </c>
      <c r="E252" s="5" t="s">
        <v>96</v>
      </c>
      <c r="F252" s="6" t="s">
        <v>296</v>
      </c>
      <c r="G252" s="7">
        <v>45119.0</v>
      </c>
      <c r="H252" s="8">
        <f t="shared" si="1"/>
        <v>12</v>
      </c>
      <c r="I252" s="9">
        <f t="shared" si="2"/>
        <v>7</v>
      </c>
      <c r="J252" s="9">
        <f t="shared" si="3"/>
        <v>2023</v>
      </c>
    </row>
    <row r="253" ht="15.75" customHeight="1">
      <c r="A253" s="5">
        <v>13.0</v>
      </c>
      <c r="B253" s="10" t="s">
        <v>283</v>
      </c>
      <c r="C253" s="3" t="s">
        <v>284</v>
      </c>
      <c r="D253" s="4" t="s">
        <v>8</v>
      </c>
      <c r="E253" s="5" t="s">
        <v>96</v>
      </c>
      <c r="F253" s="6" t="s">
        <v>297</v>
      </c>
      <c r="G253" s="7">
        <v>45122.0</v>
      </c>
      <c r="H253" s="8">
        <f t="shared" si="1"/>
        <v>15</v>
      </c>
      <c r="I253" s="9">
        <f t="shared" si="2"/>
        <v>7</v>
      </c>
      <c r="J253" s="9">
        <f t="shared" si="3"/>
        <v>2023</v>
      </c>
    </row>
    <row r="254" ht="15.75" customHeight="1">
      <c r="A254" s="5">
        <v>13.0</v>
      </c>
      <c r="B254" s="10" t="s">
        <v>283</v>
      </c>
      <c r="C254" s="3" t="s">
        <v>284</v>
      </c>
      <c r="D254" s="4" t="s">
        <v>8</v>
      </c>
      <c r="E254" s="5" t="s">
        <v>39</v>
      </c>
      <c r="F254" s="6" t="s">
        <v>298</v>
      </c>
      <c r="G254" s="7">
        <v>45146.0</v>
      </c>
      <c r="H254" s="8">
        <f t="shared" si="1"/>
        <v>8</v>
      </c>
      <c r="I254" s="9">
        <f t="shared" si="2"/>
        <v>8</v>
      </c>
      <c r="J254" s="9">
        <f t="shared" si="3"/>
        <v>2023</v>
      </c>
    </row>
    <row r="255" ht="15.75" customHeight="1">
      <c r="A255" s="5">
        <v>13.0</v>
      </c>
      <c r="B255" s="10" t="s">
        <v>283</v>
      </c>
      <c r="C255" s="3" t="s">
        <v>284</v>
      </c>
      <c r="D255" s="4" t="s">
        <v>3</v>
      </c>
      <c r="E255" s="5" t="s">
        <v>17</v>
      </c>
      <c r="F255" s="6" t="s">
        <v>299</v>
      </c>
      <c r="G255" s="7">
        <v>45155.0</v>
      </c>
      <c r="H255" s="8">
        <f t="shared" si="1"/>
        <v>17</v>
      </c>
      <c r="I255" s="9">
        <f t="shared" si="2"/>
        <v>8</v>
      </c>
      <c r="J255" s="9">
        <f t="shared" si="3"/>
        <v>2023</v>
      </c>
    </row>
    <row r="256" ht="15.75" customHeight="1">
      <c r="A256" s="5">
        <v>13.0</v>
      </c>
      <c r="B256" s="10" t="s">
        <v>283</v>
      </c>
      <c r="C256" s="3" t="s">
        <v>284</v>
      </c>
      <c r="D256" s="4" t="s">
        <v>8</v>
      </c>
      <c r="E256" s="5" t="s">
        <v>120</v>
      </c>
      <c r="F256" s="6" t="s">
        <v>300</v>
      </c>
      <c r="G256" s="7">
        <v>45158.0</v>
      </c>
      <c r="H256" s="8">
        <f t="shared" si="1"/>
        <v>20</v>
      </c>
      <c r="I256" s="9">
        <f t="shared" si="2"/>
        <v>8</v>
      </c>
      <c r="J256" s="9">
        <f t="shared" si="3"/>
        <v>2023</v>
      </c>
    </row>
    <row r="257" ht="15.75" customHeight="1">
      <c r="A257" s="5">
        <v>13.0</v>
      </c>
      <c r="B257" s="10" t="s">
        <v>283</v>
      </c>
      <c r="C257" s="3" t="s">
        <v>284</v>
      </c>
      <c r="D257" s="4" t="s">
        <v>8</v>
      </c>
      <c r="E257" s="5" t="s">
        <v>96</v>
      </c>
      <c r="F257" s="6" t="s">
        <v>301</v>
      </c>
      <c r="G257" s="7">
        <v>45171.0</v>
      </c>
      <c r="H257" s="8">
        <f t="shared" si="1"/>
        <v>2</v>
      </c>
      <c r="I257" s="9">
        <f t="shared" si="2"/>
        <v>9</v>
      </c>
      <c r="J257" s="9">
        <f t="shared" si="3"/>
        <v>2023</v>
      </c>
    </row>
    <row r="258" ht="15.75" customHeight="1">
      <c r="A258" s="5">
        <v>13.0</v>
      </c>
      <c r="B258" s="10" t="s">
        <v>283</v>
      </c>
      <c r="C258" s="3" t="s">
        <v>284</v>
      </c>
      <c r="D258" s="4" t="s">
        <v>3</v>
      </c>
      <c r="E258" s="5" t="s">
        <v>120</v>
      </c>
      <c r="F258" s="6" t="s">
        <v>147</v>
      </c>
      <c r="G258" s="7">
        <v>45174.0</v>
      </c>
      <c r="H258" s="8">
        <f t="shared" si="1"/>
        <v>5</v>
      </c>
      <c r="I258" s="9">
        <f t="shared" si="2"/>
        <v>9</v>
      </c>
      <c r="J258" s="9">
        <f t="shared" si="3"/>
        <v>2023</v>
      </c>
    </row>
    <row r="259" ht="15.75" customHeight="1">
      <c r="A259" s="5">
        <v>13.0</v>
      </c>
      <c r="B259" s="10" t="s">
        <v>283</v>
      </c>
      <c r="C259" s="3" t="s">
        <v>284</v>
      </c>
      <c r="D259" s="4" t="s">
        <v>8</v>
      </c>
      <c r="E259" s="5" t="s">
        <v>42</v>
      </c>
      <c r="F259" s="6" t="s">
        <v>302</v>
      </c>
      <c r="G259" s="7">
        <v>45216.0</v>
      </c>
      <c r="H259" s="8">
        <f t="shared" si="1"/>
        <v>17</v>
      </c>
      <c r="I259" s="9">
        <f t="shared" si="2"/>
        <v>10</v>
      </c>
      <c r="J259" s="9">
        <f t="shared" si="3"/>
        <v>2023</v>
      </c>
    </row>
    <row r="260" ht="15.75" customHeight="1">
      <c r="A260" s="5">
        <v>13.0</v>
      </c>
      <c r="B260" s="10" t="s">
        <v>283</v>
      </c>
      <c r="C260" s="3" t="s">
        <v>284</v>
      </c>
      <c r="D260" s="4" t="s">
        <v>3</v>
      </c>
      <c r="E260" s="5" t="s">
        <v>35</v>
      </c>
      <c r="F260" s="6" t="s">
        <v>303</v>
      </c>
      <c r="G260" s="7">
        <v>45231.0</v>
      </c>
      <c r="H260" s="8">
        <f t="shared" si="1"/>
        <v>1</v>
      </c>
      <c r="I260" s="9">
        <f t="shared" si="2"/>
        <v>11</v>
      </c>
      <c r="J260" s="9">
        <f t="shared" si="3"/>
        <v>2023</v>
      </c>
    </row>
    <row r="261" ht="15.75" customHeight="1">
      <c r="A261" s="5">
        <v>14.0</v>
      </c>
      <c r="B261" s="10" t="s">
        <v>304</v>
      </c>
      <c r="C261" s="3" t="s">
        <v>305</v>
      </c>
      <c r="D261" s="4" t="s">
        <v>8</v>
      </c>
      <c r="E261" s="5" t="s">
        <v>21</v>
      </c>
      <c r="F261" s="6" t="s">
        <v>306</v>
      </c>
      <c r="G261" s="7">
        <v>44943.0</v>
      </c>
      <c r="H261" s="8">
        <f t="shared" si="1"/>
        <v>17</v>
      </c>
      <c r="I261" s="9">
        <f t="shared" si="2"/>
        <v>1</v>
      </c>
      <c r="J261" s="9">
        <f t="shared" si="3"/>
        <v>2023</v>
      </c>
    </row>
    <row r="262" ht="15.75" customHeight="1">
      <c r="A262" s="5">
        <v>14.0</v>
      </c>
      <c r="B262" s="10" t="s">
        <v>304</v>
      </c>
      <c r="C262" s="3" t="s">
        <v>305</v>
      </c>
      <c r="D262" s="4" t="s">
        <v>8</v>
      </c>
      <c r="E262" s="5" t="s">
        <v>15</v>
      </c>
      <c r="F262" s="6" t="s">
        <v>307</v>
      </c>
      <c r="G262" s="7">
        <v>44951.0</v>
      </c>
      <c r="H262" s="8">
        <f t="shared" si="1"/>
        <v>25</v>
      </c>
      <c r="I262" s="9">
        <f t="shared" si="2"/>
        <v>1</v>
      </c>
      <c r="J262" s="9">
        <f t="shared" si="3"/>
        <v>2023</v>
      </c>
    </row>
    <row r="263" ht="15.75" customHeight="1">
      <c r="A263" s="5">
        <v>14.0</v>
      </c>
      <c r="B263" s="10" t="s">
        <v>304</v>
      </c>
      <c r="C263" s="3" t="s">
        <v>305</v>
      </c>
      <c r="D263" s="4" t="s">
        <v>8</v>
      </c>
      <c r="E263" s="5" t="s">
        <v>71</v>
      </c>
      <c r="F263" s="6" t="s">
        <v>308</v>
      </c>
      <c r="G263" s="7">
        <v>44953.0</v>
      </c>
      <c r="H263" s="8">
        <f t="shared" si="1"/>
        <v>27</v>
      </c>
      <c r="I263" s="9">
        <f t="shared" si="2"/>
        <v>1</v>
      </c>
      <c r="J263" s="9">
        <f t="shared" si="3"/>
        <v>2023</v>
      </c>
    </row>
    <row r="264" ht="15.75" customHeight="1">
      <c r="A264" s="5">
        <v>14.0</v>
      </c>
      <c r="B264" s="10" t="s">
        <v>304</v>
      </c>
      <c r="C264" s="3" t="s">
        <v>305</v>
      </c>
      <c r="D264" s="4" t="s">
        <v>8</v>
      </c>
      <c r="E264" s="5" t="s">
        <v>42</v>
      </c>
      <c r="F264" s="6" t="s">
        <v>309</v>
      </c>
      <c r="G264" s="7">
        <v>44978.0</v>
      </c>
      <c r="H264" s="8">
        <f t="shared" si="1"/>
        <v>21</v>
      </c>
      <c r="I264" s="9">
        <f t="shared" si="2"/>
        <v>2</v>
      </c>
      <c r="J264" s="9">
        <f t="shared" si="3"/>
        <v>2023</v>
      </c>
    </row>
    <row r="265" ht="15.75" customHeight="1">
      <c r="A265" s="5">
        <v>14.0</v>
      </c>
      <c r="B265" s="10" t="s">
        <v>304</v>
      </c>
      <c r="C265" s="3" t="s">
        <v>305</v>
      </c>
      <c r="D265" s="4" t="s">
        <v>8</v>
      </c>
      <c r="E265" s="5" t="s">
        <v>39</v>
      </c>
      <c r="F265" s="6" t="s">
        <v>310</v>
      </c>
      <c r="G265" s="7">
        <v>44999.0</v>
      </c>
      <c r="H265" s="8">
        <f t="shared" si="1"/>
        <v>14</v>
      </c>
      <c r="I265" s="9">
        <f t="shared" si="2"/>
        <v>3</v>
      </c>
      <c r="J265" s="9">
        <f t="shared" si="3"/>
        <v>2023</v>
      </c>
    </row>
    <row r="266" ht="15.75" customHeight="1">
      <c r="A266" s="5">
        <v>14.0</v>
      </c>
      <c r="B266" s="10" t="s">
        <v>304</v>
      </c>
      <c r="C266" s="3" t="s">
        <v>305</v>
      </c>
      <c r="D266" s="4" t="s">
        <v>3</v>
      </c>
      <c r="E266" s="5" t="s">
        <v>4</v>
      </c>
      <c r="F266" s="6" t="s">
        <v>311</v>
      </c>
      <c r="G266" s="7">
        <v>45012.0</v>
      </c>
      <c r="H266" s="8">
        <f t="shared" si="1"/>
        <v>27</v>
      </c>
      <c r="I266" s="9">
        <f t="shared" si="2"/>
        <v>3</v>
      </c>
      <c r="J266" s="9">
        <f t="shared" si="3"/>
        <v>2023</v>
      </c>
    </row>
    <row r="267" ht="15.75" customHeight="1">
      <c r="A267" s="5">
        <v>14.0</v>
      </c>
      <c r="B267" s="10" t="s">
        <v>304</v>
      </c>
      <c r="C267" s="3" t="s">
        <v>305</v>
      </c>
      <c r="D267" s="4" t="s">
        <v>3</v>
      </c>
      <c r="E267" s="5" t="s">
        <v>6</v>
      </c>
      <c r="F267" s="6" t="s">
        <v>312</v>
      </c>
      <c r="G267" s="7">
        <v>45019.0</v>
      </c>
      <c r="H267" s="8">
        <f t="shared" si="1"/>
        <v>3</v>
      </c>
      <c r="I267" s="9">
        <f t="shared" si="2"/>
        <v>4</v>
      </c>
      <c r="J267" s="9">
        <f t="shared" si="3"/>
        <v>2023</v>
      </c>
    </row>
    <row r="268" ht="15.75" customHeight="1">
      <c r="A268" s="5">
        <v>14.0</v>
      </c>
      <c r="B268" s="10" t="s">
        <v>304</v>
      </c>
      <c r="C268" s="3" t="s">
        <v>305</v>
      </c>
      <c r="D268" s="4" t="s">
        <v>3</v>
      </c>
      <c r="E268" s="5" t="s">
        <v>35</v>
      </c>
      <c r="F268" s="6" t="s">
        <v>313</v>
      </c>
      <c r="G268" s="7">
        <v>45033.0</v>
      </c>
      <c r="H268" s="8">
        <f t="shared" si="1"/>
        <v>17</v>
      </c>
      <c r="I268" s="9">
        <f t="shared" si="2"/>
        <v>4</v>
      </c>
      <c r="J268" s="9">
        <f t="shared" si="3"/>
        <v>2023</v>
      </c>
    </row>
    <row r="269" ht="15.75" customHeight="1">
      <c r="A269" s="5">
        <v>14.0</v>
      </c>
      <c r="B269" s="10" t="s">
        <v>304</v>
      </c>
      <c r="C269" s="3" t="s">
        <v>305</v>
      </c>
      <c r="D269" s="4" t="s">
        <v>8</v>
      </c>
      <c r="E269" s="5" t="s">
        <v>39</v>
      </c>
      <c r="F269" s="6" t="s">
        <v>314</v>
      </c>
      <c r="G269" s="7">
        <v>45054.0</v>
      </c>
      <c r="H269" s="8">
        <f t="shared" si="1"/>
        <v>8</v>
      </c>
      <c r="I269" s="9">
        <f t="shared" si="2"/>
        <v>5</v>
      </c>
      <c r="J269" s="9">
        <f t="shared" si="3"/>
        <v>2023</v>
      </c>
    </row>
    <row r="270" ht="15.75" customHeight="1">
      <c r="A270" s="5">
        <v>14.0</v>
      </c>
      <c r="B270" s="10" t="s">
        <v>304</v>
      </c>
      <c r="C270" s="3" t="s">
        <v>305</v>
      </c>
      <c r="D270" s="4" t="s">
        <v>8</v>
      </c>
      <c r="E270" s="5" t="s">
        <v>96</v>
      </c>
      <c r="F270" s="6" t="s">
        <v>315</v>
      </c>
      <c r="G270" s="7">
        <v>45122.0</v>
      </c>
      <c r="H270" s="8">
        <f t="shared" si="1"/>
        <v>15</v>
      </c>
      <c r="I270" s="9">
        <f t="shared" si="2"/>
        <v>7</v>
      </c>
      <c r="J270" s="9">
        <f t="shared" si="3"/>
        <v>2023</v>
      </c>
    </row>
    <row r="271" ht="15.75" customHeight="1">
      <c r="A271" s="5">
        <v>14.0</v>
      </c>
      <c r="B271" s="10" t="s">
        <v>304</v>
      </c>
      <c r="C271" s="3" t="s">
        <v>305</v>
      </c>
      <c r="D271" s="4" t="s">
        <v>8</v>
      </c>
      <c r="E271" s="5" t="s">
        <v>71</v>
      </c>
      <c r="F271" s="6" t="s">
        <v>316</v>
      </c>
      <c r="G271" s="7">
        <v>45157.0</v>
      </c>
      <c r="H271" s="8">
        <f t="shared" si="1"/>
        <v>19</v>
      </c>
      <c r="I271" s="9">
        <f t="shared" si="2"/>
        <v>8</v>
      </c>
      <c r="J271" s="9">
        <f t="shared" si="3"/>
        <v>2023</v>
      </c>
    </row>
    <row r="272" ht="15.75" customHeight="1">
      <c r="A272" s="5">
        <v>14.0</v>
      </c>
      <c r="B272" s="10" t="s">
        <v>304</v>
      </c>
      <c r="C272" s="3" t="s">
        <v>305</v>
      </c>
      <c r="D272" s="4" t="s">
        <v>8</v>
      </c>
      <c r="E272" s="5" t="s">
        <v>76</v>
      </c>
      <c r="F272" s="6" t="s">
        <v>317</v>
      </c>
      <c r="G272" s="7">
        <v>45186.0</v>
      </c>
      <c r="H272" s="8">
        <f t="shared" si="1"/>
        <v>17</v>
      </c>
      <c r="I272" s="9">
        <f t="shared" si="2"/>
        <v>9</v>
      </c>
      <c r="J272" s="9">
        <f t="shared" si="3"/>
        <v>2023</v>
      </c>
    </row>
    <row r="273" ht="15.75" customHeight="1">
      <c r="A273" s="5">
        <v>14.0</v>
      </c>
      <c r="B273" s="10" t="s">
        <v>304</v>
      </c>
      <c r="C273" s="3" t="s">
        <v>305</v>
      </c>
      <c r="D273" s="4" t="s">
        <v>3</v>
      </c>
      <c r="E273" s="5" t="s">
        <v>21</v>
      </c>
      <c r="F273" s="6" t="s">
        <v>318</v>
      </c>
      <c r="G273" s="7">
        <v>45209.0</v>
      </c>
      <c r="H273" s="8">
        <f t="shared" si="1"/>
        <v>10</v>
      </c>
      <c r="I273" s="9">
        <f t="shared" si="2"/>
        <v>10</v>
      </c>
      <c r="J273" s="9">
        <f t="shared" si="3"/>
        <v>2023</v>
      </c>
    </row>
    <row r="274" ht="15.75" customHeight="1">
      <c r="A274" s="5">
        <v>14.0</v>
      </c>
      <c r="B274" s="10" t="s">
        <v>304</v>
      </c>
      <c r="C274" s="3" t="s">
        <v>305</v>
      </c>
      <c r="D274" s="4" t="s">
        <v>8</v>
      </c>
      <c r="E274" s="5" t="s">
        <v>4</v>
      </c>
      <c r="F274" s="6" t="s">
        <v>319</v>
      </c>
      <c r="G274" s="7">
        <v>45216.0</v>
      </c>
      <c r="H274" s="8">
        <f t="shared" si="1"/>
        <v>17</v>
      </c>
      <c r="I274" s="9">
        <f t="shared" si="2"/>
        <v>10</v>
      </c>
      <c r="J274" s="9">
        <f t="shared" si="3"/>
        <v>2023</v>
      </c>
    </row>
    <row r="275" ht="15.75" customHeight="1">
      <c r="A275" s="5">
        <v>14.0</v>
      </c>
      <c r="B275" s="10" t="s">
        <v>304</v>
      </c>
      <c r="C275" s="3" t="s">
        <v>305</v>
      </c>
      <c r="D275" s="4" t="s">
        <v>8</v>
      </c>
      <c r="E275" s="5" t="s">
        <v>4</v>
      </c>
      <c r="F275" s="6" t="s">
        <v>320</v>
      </c>
      <c r="G275" s="7">
        <v>45231.0</v>
      </c>
      <c r="H275" s="8">
        <f t="shared" si="1"/>
        <v>1</v>
      </c>
      <c r="I275" s="9">
        <f t="shared" si="2"/>
        <v>11</v>
      </c>
      <c r="J275" s="9">
        <f t="shared" si="3"/>
        <v>2023</v>
      </c>
    </row>
    <row r="276" ht="15.75" customHeight="1">
      <c r="A276" s="5">
        <v>14.0</v>
      </c>
      <c r="B276" s="10" t="s">
        <v>304</v>
      </c>
      <c r="C276" s="3" t="s">
        <v>305</v>
      </c>
      <c r="D276" s="4" t="s">
        <v>8</v>
      </c>
      <c r="E276" s="5" t="s">
        <v>15</v>
      </c>
      <c r="F276" s="6" t="s">
        <v>321</v>
      </c>
      <c r="G276" s="7">
        <v>45242.0</v>
      </c>
      <c r="H276" s="8">
        <f t="shared" si="1"/>
        <v>12</v>
      </c>
      <c r="I276" s="9">
        <f t="shared" si="2"/>
        <v>11</v>
      </c>
      <c r="J276" s="9">
        <f t="shared" si="3"/>
        <v>2023</v>
      </c>
    </row>
    <row r="277" ht="15.75" customHeight="1">
      <c r="A277" s="5">
        <v>14.0</v>
      </c>
      <c r="B277" s="10" t="s">
        <v>304</v>
      </c>
      <c r="C277" s="3" t="s">
        <v>305</v>
      </c>
      <c r="D277" s="4" t="s">
        <v>3</v>
      </c>
      <c r="E277" s="5" t="s">
        <v>45</v>
      </c>
      <c r="F277" s="6" t="s">
        <v>322</v>
      </c>
      <c r="G277" s="7">
        <v>45253.0</v>
      </c>
      <c r="H277" s="8">
        <f t="shared" si="1"/>
        <v>23</v>
      </c>
      <c r="I277" s="9">
        <f t="shared" si="2"/>
        <v>11</v>
      </c>
      <c r="J277" s="9">
        <f t="shared" si="3"/>
        <v>2023</v>
      </c>
    </row>
    <row r="278" ht="15.75" customHeight="1">
      <c r="A278" s="5">
        <v>14.0</v>
      </c>
      <c r="B278" s="10" t="s">
        <v>304</v>
      </c>
      <c r="C278" s="3" t="s">
        <v>305</v>
      </c>
      <c r="D278" s="4" t="s">
        <v>3</v>
      </c>
      <c r="E278" s="5" t="s">
        <v>9</v>
      </c>
      <c r="F278" s="6" t="s">
        <v>323</v>
      </c>
      <c r="G278" s="7">
        <v>45273.0</v>
      </c>
      <c r="H278" s="8">
        <f t="shared" si="1"/>
        <v>13</v>
      </c>
      <c r="I278" s="9">
        <f t="shared" si="2"/>
        <v>12</v>
      </c>
      <c r="J278" s="9">
        <f t="shared" si="3"/>
        <v>2023</v>
      </c>
    </row>
    <row r="279" ht="15.75" customHeight="1">
      <c r="A279" s="5">
        <v>14.0</v>
      </c>
      <c r="B279" s="10" t="s">
        <v>304</v>
      </c>
      <c r="C279" s="3" t="s">
        <v>305</v>
      </c>
      <c r="D279" s="4" t="s">
        <v>8</v>
      </c>
      <c r="E279" s="5" t="s">
        <v>71</v>
      </c>
      <c r="F279" s="6" t="s">
        <v>324</v>
      </c>
      <c r="G279" s="7">
        <v>45273.0</v>
      </c>
      <c r="H279" s="8">
        <f t="shared" si="1"/>
        <v>13</v>
      </c>
      <c r="I279" s="9">
        <f t="shared" si="2"/>
        <v>12</v>
      </c>
      <c r="J279" s="9">
        <f t="shared" si="3"/>
        <v>2023</v>
      </c>
    </row>
    <row r="280" ht="15.75" customHeight="1">
      <c r="A280" s="5">
        <v>14.0</v>
      </c>
      <c r="B280" s="10" t="s">
        <v>304</v>
      </c>
      <c r="C280" s="3" t="s">
        <v>305</v>
      </c>
      <c r="D280" s="4" t="s">
        <v>3</v>
      </c>
      <c r="E280" s="5" t="s">
        <v>15</v>
      </c>
      <c r="F280" s="6" t="s">
        <v>325</v>
      </c>
      <c r="G280" s="7">
        <v>45281.0</v>
      </c>
      <c r="H280" s="8">
        <f t="shared" si="1"/>
        <v>21</v>
      </c>
      <c r="I280" s="9">
        <f t="shared" si="2"/>
        <v>12</v>
      </c>
      <c r="J280" s="9">
        <f t="shared" si="3"/>
        <v>2023</v>
      </c>
    </row>
    <row r="281" ht="15.75" customHeight="1">
      <c r="A281" s="5">
        <v>15.0</v>
      </c>
      <c r="B281" s="10" t="s">
        <v>326</v>
      </c>
      <c r="C281" s="3" t="s">
        <v>327</v>
      </c>
      <c r="D281" s="4" t="s">
        <v>3</v>
      </c>
      <c r="E281" s="5" t="s">
        <v>120</v>
      </c>
      <c r="F281" s="6" t="s">
        <v>328</v>
      </c>
      <c r="G281" s="7">
        <v>44929.0</v>
      </c>
      <c r="H281" s="8">
        <f t="shared" si="1"/>
        <v>3</v>
      </c>
      <c r="I281" s="9">
        <f t="shared" si="2"/>
        <v>1</v>
      </c>
      <c r="J281" s="9">
        <f t="shared" si="3"/>
        <v>2023</v>
      </c>
    </row>
    <row r="282" ht="15.75" customHeight="1">
      <c r="A282" s="5">
        <v>15.0</v>
      </c>
      <c r="B282" s="10" t="s">
        <v>326</v>
      </c>
      <c r="C282" s="3" t="s">
        <v>327</v>
      </c>
      <c r="D282" s="4" t="s">
        <v>3</v>
      </c>
      <c r="E282" s="5" t="s">
        <v>23</v>
      </c>
      <c r="F282" s="6" t="s">
        <v>329</v>
      </c>
      <c r="G282" s="7">
        <v>44949.0</v>
      </c>
      <c r="H282" s="8">
        <f t="shared" si="1"/>
        <v>23</v>
      </c>
      <c r="I282" s="9">
        <f t="shared" si="2"/>
        <v>1</v>
      </c>
      <c r="J282" s="9">
        <f t="shared" si="3"/>
        <v>2023</v>
      </c>
    </row>
    <row r="283" ht="15.75" customHeight="1">
      <c r="A283" s="5">
        <v>15.0</v>
      </c>
      <c r="B283" s="10" t="s">
        <v>326</v>
      </c>
      <c r="C283" s="3" t="s">
        <v>327</v>
      </c>
      <c r="D283" s="4" t="s">
        <v>8</v>
      </c>
      <c r="E283" s="5" t="s">
        <v>13</v>
      </c>
      <c r="F283" s="6" t="s">
        <v>330</v>
      </c>
      <c r="G283" s="7">
        <v>44960.0</v>
      </c>
      <c r="H283" s="8">
        <f t="shared" si="1"/>
        <v>3</v>
      </c>
      <c r="I283" s="9">
        <f t="shared" si="2"/>
        <v>2</v>
      </c>
      <c r="J283" s="9">
        <f t="shared" si="3"/>
        <v>2023</v>
      </c>
    </row>
    <row r="284" ht="15.75" customHeight="1">
      <c r="A284" s="5">
        <v>15.0</v>
      </c>
      <c r="B284" s="10" t="s">
        <v>326</v>
      </c>
      <c r="C284" s="3" t="s">
        <v>327</v>
      </c>
      <c r="D284" s="4" t="s">
        <v>3</v>
      </c>
      <c r="E284" s="5" t="s">
        <v>11</v>
      </c>
      <c r="F284" s="6" t="s">
        <v>331</v>
      </c>
      <c r="G284" s="7">
        <v>44966.0</v>
      </c>
      <c r="H284" s="8">
        <f t="shared" si="1"/>
        <v>9</v>
      </c>
      <c r="I284" s="9">
        <f t="shared" si="2"/>
        <v>2</v>
      </c>
      <c r="J284" s="9">
        <f t="shared" si="3"/>
        <v>2023</v>
      </c>
    </row>
    <row r="285" ht="15.75" customHeight="1">
      <c r="A285" s="5">
        <v>15.0</v>
      </c>
      <c r="B285" s="10" t="s">
        <v>326</v>
      </c>
      <c r="C285" s="3" t="s">
        <v>327</v>
      </c>
      <c r="D285" s="4" t="s">
        <v>3</v>
      </c>
      <c r="E285" s="5" t="s">
        <v>120</v>
      </c>
      <c r="F285" s="6" t="s">
        <v>332</v>
      </c>
      <c r="G285" s="7">
        <v>44985.0</v>
      </c>
      <c r="H285" s="8">
        <f t="shared" si="1"/>
        <v>28</v>
      </c>
      <c r="I285" s="9">
        <f t="shared" si="2"/>
        <v>2</v>
      </c>
      <c r="J285" s="9">
        <f t="shared" si="3"/>
        <v>2023</v>
      </c>
    </row>
    <row r="286" ht="15.75" customHeight="1">
      <c r="A286" s="5">
        <v>15.0</v>
      </c>
      <c r="B286" s="10" t="s">
        <v>326</v>
      </c>
      <c r="C286" s="3" t="s">
        <v>327</v>
      </c>
      <c r="D286" s="4" t="s">
        <v>8</v>
      </c>
      <c r="E286" s="5" t="s">
        <v>35</v>
      </c>
      <c r="F286" s="6" t="s">
        <v>237</v>
      </c>
      <c r="G286" s="7">
        <v>45010.0</v>
      </c>
      <c r="H286" s="8">
        <f t="shared" si="1"/>
        <v>25</v>
      </c>
      <c r="I286" s="9">
        <f t="shared" si="2"/>
        <v>3</v>
      </c>
      <c r="J286" s="9">
        <f t="shared" si="3"/>
        <v>2023</v>
      </c>
    </row>
    <row r="287" ht="15.75" customHeight="1">
      <c r="A287" s="5">
        <v>15.0</v>
      </c>
      <c r="B287" s="10" t="s">
        <v>326</v>
      </c>
      <c r="C287" s="3" t="s">
        <v>327</v>
      </c>
      <c r="D287" s="4" t="s">
        <v>8</v>
      </c>
      <c r="E287" s="5" t="s">
        <v>42</v>
      </c>
      <c r="F287" s="6" t="s">
        <v>333</v>
      </c>
      <c r="G287" s="7">
        <v>45028.0</v>
      </c>
      <c r="H287" s="8">
        <f t="shared" si="1"/>
        <v>12</v>
      </c>
      <c r="I287" s="9">
        <f t="shared" si="2"/>
        <v>4</v>
      </c>
      <c r="J287" s="9">
        <f t="shared" si="3"/>
        <v>2023</v>
      </c>
    </row>
    <row r="288" ht="15.75" customHeight="1">
      <c r="A288" s="5">
        <v>15.0</v>
      </c>
      <c r="B288" s="10" t="s">
        <v>326</v>
      </c>
      <c r="C288" s="3" t="s">
        <v>327</v>
      </c>
      <c r="D288" s="4" t="s">
        <v>8</v>
      </c>
      <c r="E288" s="5" t="s">
        <v>11</v>
      </c>
      <c r="F288" s="6" t="s">
        <v>334</v>
      </c>
      <c r="G288" s="7">
        <v>45040.0</v>
      </c>
      <c r="H288" s="8">
        <f t="shared" si="1"/>
        <v>24</v>
      </c>
      <c r="I288" s="9">
        <f t="shared" si="2"/>
        <v>4</v>
      </c>
      <c r="J288" s="9">
        <f t="shared" si="3"/>
        <v>2023</v>
      </c>
    </row>
    <row r="289" ht="15.75" customHeight="1">
      <c r="A289" s="5">
        <v>15.0</v>
      </c>
      <c r="B289" s="10" t="s">
        <v>326</v>
      </c>
      <c r="C289" s="3" t="s">
        <v>327</v>
      </c>
      <c r="D289" s="4" t="s">
        <v>8</v>
      </c>
      <c r="E289" s="5" t="s">
        <v>11</v>
      </c>
      <c r="F289" s="6" t="s">
        <v>335</v>
      </c>
      <c r="G289" s="7">
        <v>45063.0</v>
      </c>
      <c r="H289" s="8">
        <f t="shared" si="1"/>
        <v>17</v>
      </c>
      <c r="I289" s="9">
        <f t="shared" si="2"/>
        <v>5</v>
      </c>
      <c r="J289" s="9">
        <f t="shared" si="3"/>
        <v>2023</v>
      </c>
    </row>
    <row r="290" ht="15.75" customHeight="1">
      <c r="A290" s="5">
        <v>15.0</v>
      </c>
      <c r="B290" s="10" t="s">
        <v>326</v>
      </c>
      <c r="C290" s="3" t="s">
        <v>327</v>
      </c>
      <c r="D290" s="4" t="s">
        <v>8</v>
      </c>
      <c r="E290" s="5" t="s">
        <v>45</v>
      </c>
      <c r="F290" s="6" t="s">
        <v>336</v>
      </c>
      <c r="G290" s="7">
        <v>45079.0</v>
      </c>
      <c r="H290" s="8">
        <f t="shared" si="1"/>
        <v>2</v>
      </c>
      <c r="I290" s="9">
        <f t="shared" si="2"/>
        <v>6</v>
      </c>
      <c r="J290" s="9">
        <f t="shared" si="3"/>
        <v>2023</v>
      </c>
    </row>
    <row r="291" ht="15.75" customHeight="1">
      <c r="A291" s="5">
        <v>15.0</v>
      </c>
      <c r="B291" s="10" t="s">
        <v>326</v>
      </c>
      <c r="C291" s="3" t="s">
        <v>327</v>
      </c>
      <c r="D291" s="4" t="s">
        <v>3</v>
      </c>
      <c r="E291" s="5" t="s">
        <v>11</v>
      </c>
      <c r="F291" s="6" t="s">
        <v>337</v>
      </c>
      <c r="G291" s="7">
        <v>45087.0</v>
      </c>
      <c r="H291" s="8">
        <f t="shared" si="1"/>
        <v>10</v>
      </c>
      <c r="I291" s="9">
        <f t="shared" si="2"/>
        <v>6</v>
      </c>
      <c r="J291" s="9">
        <f t="shared" si="3"/>
        <v>2023</v>
      </c>
    </row>
    <row r="292" ht="15.75" customHeight="1">
      <c r="A292" s="5">
        <v>15.0</v>
      </c>
      <c r="B292" s="10" t="s">
        <v>326</v>
      </c>
      <c r="C292" s="3" t="s">
        <v>327</v>
      </c>
      <c r="D292" s="4" t="s">
        <v>8</v>
      </c>
      <c r="E292" s="5" t="s">
        <v>17</v>
      </c>
      <c r="F292" s="6" t="s">
        <v>338</v>
      </c>
      <c r="G292" s="7">
        <v>45088.0</v>
      </c>
      <c r="H292" s="8">
        <f t="shared" si="1"/>
        <v>11</v>
      </c>
      <c r="I292" s="9">
        <f t="shared" si="2"/>
        <v>6</v>
      </c>
      <c r="J292" s="9">
        <f t="shared" si="3"/>
        <v>2023</v>
      </c>
    </row>
    <row r="293" ht="15.75" customHeight="1">
      <c r="A293" s="5">
        <v>15.0</v>
      </c>
      <c r="B293" s="10" t="s">
        <v>326</v>
      </c>
      <c r="C293" s="3" t="s">
        <v>327</v>
      </c>
      <c r="D293" s="4" t="s">
        <v>8</v>
      </c>
      <c r="E293" s="5" t="s">
        <v>76</v>
      </c>
      <c r="F293" s="6" t="s">
        <v>339</v>
      </c>
      <c r="G293" s="7">
        <v>45101.0</v>
      </c>
      <c r="H293" s="8">
        <f t="shared" si="1"/>
        <v>24</v>
      </c>
      <c r="I293" s="9">
        <f t="shared" si="2"/>
        <v>6</v>
      </c>
      <c r="J293" s="9">
        <f t="shared" si="3"/>
        <v>2023</v>
      </c>
    </row>
    <row r="294" ht="15.75" customHeight="1">
      <c r="A294" s="5">
        <v>15.0</v>
      </c>
      <c r="B294" s="10" t="s">
        <v>326</v>
      </c>
      <c r="C294" s="3" t="s">
        <v>327</v>
      </c>
      <c r="D294" s="4" t="s">
        <v>3</v>
      </c>
      <c r="E294" s="5" t="s">
        <v>21</v>
      </c>
      <c r="F294" s="6" t="s">
        <v>340</v>
      </c>
      <c r="G294" s="7">
        <v>45123.0</v>
      </c>
      <c r="H294" s="8">
        <f t="shared" si="1"/>
        <v>16</v>
      </c>
      <c r="I294" s="9">
        <f t="shared" si="2"/>
        <v>7</v>
      </c>
      <c r="J294" s="9">
        <f t="shared" si="3"/>
        <v>2023</v>
      </c>
    </row>
    <row r="295" ht="15.75" customHeight="1">
      <c r="A295" s="5">
        <v>15.0</v>
      </c>
      <c r="B295" s="10" t="s">
        <v>326</v>
      </c>
      <c r="C295" s="3" t="s">
        <v>327</v>
      </c>
      <c r="D295" s="4" t="s">
        <v>3</v>
      </c>
      <c r="E295" s="5" t="s">
        <v>51</v>
      </c>
      <c r="F295" s="6" t="s">
        <v>341</v>
      </c>
      <c r="G295" s="7">
        <v>45156.0</v>
      </c>
      <c r="H295" s="8">
        <f t="shared" si="1"/>
        <v>18</v>
      </c>
      <c r="I295" s="9">
        <f t="shared" si="2"/>
        <v>8</v>
      </c>
      <c r="J295" s="9">
        <f t="shared" si="3"/>
        <v>2023</v>
      </c>
    </row>
    <row r="296" ht="15.75" customHeight="1">
      <c r="A296" s="5">
        <v>15.0</v>
      </c>
      <c r="B296" s="10" t="s">
        <v>326</v>
      </c>
      <c r="C296" s="3" t="s">
        <v>327</v>
      </c>
      <c r="D296" s="4" t="s">
        <v>8</v>
      </c>
      <c r="E296" s="5" t="s">
        <v>42</v>
      </c>
      <c r="F296" s="6" t="s">
        <v>302</v>
      </c>
      <c r="G296" s="7">
        <v>45160.0</v>
      </c>
      <c r="H296" s="8">
        <f t="shared" si="1"/>
        <v>22</v>
      </c>
      <c r="I296" s="9">
        <f t="shared" si="2"/>
        <v>8</v>
      </c>
      <c r="J296" s="9">
        <f t="shared" si="3"/>
        <v>2023</v>
      </c>
    </row>
    <row r="297" ht="15.75" customHeight="1">
      <c r="A297" s="5">
        <v>15.0</v>
      </c>
      <c r="B297" s="10" t="s">
        <v>326</v>
      </c>
      <c r="C297" s="3" t="s">
        <v>327</v>
      </c>
      <c r="D297" s="4" t="s">
        <v>3</v>
      </c>
      <c r="E297" s="5" t="s">
        <v>4</v>
      </c>
      <c r="F297" s="6" t="s">
        <v>342</v>
      </c>
      <c r="G297" s="7">
        <v>45224.0</v>
      </c>
      <c r="H297" s="8">
        <f t="shared" si="1"/>
        <v>25</v>
      </c>
      <c r="I297" s="9">
        <f t="shared" si="2"/>
        <v>10</v>
      </c>
      <c r="J297" s="9">
        <f t="shared" si="3"/>
        <v>2023</v>
      </c>
    </row>
    <row r="298" ht="15.75" customHeight="1">
      <c r="A298" s="5">
        <v>15.0</v>
      </c>
      <c r="B298" s="10" t="s">
        <v>326</v>
      </c>
      <c r="C298" s="3" t="s">
        <v>327</v>
      </c>
      <c r="D298" s="4" t="s">
        <v>3</v>
      </c>
      <c r="E298" s="5" t="s">
        <v>15</v>
      </c>
      <c r="F298" s="6" t="s">
        <v>343</v>
      </c>
      <c r="G298" s="7">
        <v>45233.0</v>
      </c>
      <c r="H298" s="8">
        <f t="shared" si="1"/>
        <v>3</v>
      </c>
      <c r="I298" s="9">
        <f t="shared" si="2"/>
        <v>11</v>
      </c>
      <c r="J298" s="9">
        <f t="shared" si="3"/>
        <v>2023</v>
      </c>
    </row>
    <row r="299" ht="15.75" customHeight="1">
      <c r="A299" s="5">
        <v>15.0</v>
      </c>
      <c r="B299" s="10" t="s">
        <v>326</v>
      </c>
      <c r="C299" s="3" t="s">
        <v>327</v>
      </c>
      <c r="D299" s="4" t="s">
        <v>8</v>
      </c>
      <c r="E299" s="5" t="s">
        <v>28</v>
      </c>
      <c r="F299" s="6" t="s">
        <v>344</v>
      </c>
      <c r="G299" s="7">
        <v>45247.0</v>
      </c>
      <c r="H299" s="8">
        <f t="shared" si="1"/>
        <v>17</v>
      </c>
      <c r="I299" s="9">
        <f t="shared" si="2"/>
        <v>11</v>
      </c>
      <c r="J299" s="9">
        <f t="shared" si="3"/>
        <v>2023</v>
      </c>
    </row>
    <row r="300" ht="15.75" customHeight="1">
      <c r="A300" s="5">
        <v>15.0</v>
      </c>
      <c r="B300" s="10" t="s">
        <v>326</v>
      </c>
      <c r="C300" s="3" t="s">
        <v>327</v>
      </c>
      <c r="D300" s="4" t="s">
        <v>3</v>
      </c>
      <c r="E300" s="5" t="s">
        <v>28</v>
      </c>
      <c r="F300" s="6" t="s">
        <v>345</v>
      </c>
      <c r="G300" s="7">
        <v>45264.0</v>
      </c>
      <c r="H300" s="8">
        <f t="shared" si="1"/>
        <v>4</v>
      </c>
      <c r="I300" s="9">
        <f t="shared" si="2"/>
        <v>12</v>
      </c>
      <c r="J300" s="9">
        <f t="shared" si="3"/>
        <v>2023</v>
      </c>
    </row>
    <row r="301" ht="15.75" customHeight="1">
      <c r="A301" s="5">
        <v>16.0</v>
      </c>
      <c r="B301" s="10" t="s">
        <v>346</v>
      </c>
      <c r="C301" s="3" t="s">
        <v>347</v>
      </c>
      <c r="D301" s="4" t="s">
        <v>8</v>
      </c>
      <c r="E301" s="5" t="s">
        <v>23</v>
      </c>
      <c r="F301" s="6" t="s">
        <v>348</v>
      </c>
      <c r="G301" s="7">
        <v>44944.0</v>
      </c>
      <c r="H301" s="8">
        <f t="shared" si="1"/>
        <v>18</v>
      </c>
      <c r="I301" s="9">
        <f t="shared" si="2"/>
        <v>1</v>
      </c>
      <c r="J301" s="9">
        <f t="shared" si="3"/>
        <v>2023</v>
      </c>
    </row>
    <row r="302" ht="15.75" customHeight="1">
      <c r="A302" s="5">
        <v>16.0</v>
      </c>
      <c r="B302" s="10" t="s">
        <v>346</v>
      </c>
      <c r="C302" s="3" t="s">
        <v>347</v>
      </c>
      <c r="D302" s="4" t="s">
        <v>8</v>
      </c>
      <c r="E302" s="5" t="s">
        <v>28</v>
      </c>
      <c r="F302" s="6" t="s">
        <v>349</v>
      </c>
      <c r="G302" s="7">
        <v>44946.0</v>
      </c>
      <c r="H302" s="8">
        <f t="shared" si="1"/>
        <v>20</v>
      </c>
      <c r="I302" s="9">
        <f t="shared" si="2"/>
        <v>1</v>
      </c>
      <c r="J302" s="9">
        <f t="shared" si="3"/>
        <v>2023</v>
      </c>
    </row>
    <row r="303" ht="15.75" customHeight="1">
      <c r="A303" s="5">
        <v>16.0</v>
      </c>
      <c r="B303" s="10" t="s">
        <v>346</v>
      </c>
      <c r="C303" s="3" t="s">
        <v>347</v>
      </c>
      <c r="D303" s="4" t="s">
        <v>3</v>
      </c>
      <c r="E303" s="5" t="s">
        <v>6</v>
      </c>
      <c r="F303" s="6" t="s">
        <v>350</v>
      </c>
      <c r="G303" s="7">
        <v>44948.0</v>
      </c>
      <c r="H303" s="8">
        <f t="shared" si="1"/>
        <v>22</v>
      </c>
      <c r="I303" s="9">
        <f t="shared" si="2"/>
        <v>1</v>
      </c>
      <c r="J303" s="9">
        <f t="shared" si="3"/>
        <v>2023</v>
      </c>
    </row>
    <row r="304" ht="15.75" customHeight="1">
      <c r="A304" s="5">
        <v>16.0</v>
      </c>
      <c r="B304" s="10" t="s">
        <v>346</v>
      </c>
      <c r="C304" s="3" t="s">
        <v>347</v>
      </c>
      <c r="D304" s="4" t="s">
        <v>3</v>
      </c>
      <c r="E304" s="5" t="s">
        <v>51</v>
      </c>
      <c r="F304" s="6" t="s">
        <v>351</v>
      </c>
      <c r="G304" s="7">
        <v>44988.0</v>
      </c>
      <c r="H304" s="8">
        <f t="shared" si="1"/>
        <v>3</v>
      </c>
      <c r="I304" s="9">
        <f t="shared" si="2"/>
        <v>3</v>
      </c>
      <c r="J304" s="9">
        <f t="shared" si="3"/>
        <v>2023</v>
      </c>
    </row>
    <row r="305" ht="15.75" customHeight="1">
      <c r="A305" s="5">
        <v>16.0</v>
      </c>
      <c r="B305" s="10" t="s">
        <v>346</v>
      </c>
      <c r="C305" s="3" t="s">
        <v>347</v>
      </c>
      <c r="D305" s="4" t="s">
        <v>8</v>
      </c>
      <c r="E305" s="5" t="s">
        <v>21</v>
      </c>
      <c r="F305" s="6" t="s">
        <v>352</v>
      </c>
      <c r="G305" s="7">
        <v>45093.0</v>
      </c>
      <c r="H305" s="8">
        <f t="shared" si="1"/>
        <v>16</v>
      </c>
      <c r="I305" s="9">
        <f t="shared" si="2"/>
        <v>6</v>
      </c>
      <c r="J305" s="9">
        <f t="shared" si="3"/>
        <v>2023</v>
      </c>
    </row>
    <row r="306" ht="15.75" customHeight="1">
      <c r="A306" s="5">
        <v>16.0</v>
      </c>
      <c r="B306" s="10" t="s">
        <v>346</v>
      </c>
      <c r="C306" s="3" t="s">
        <v>347</v>
      </c>
      <c r="D306" s="4" t="s">
        <v>3</v>
      </c>
      <c r="E306" s="5" t="s">
        <v>15</v>
      </c>
      <c r="F306" s="6" t="s">
        <v>353</v>
      </c>
      <c r="G306" s="7">
        <v>45113.0</v>
      </c>
      <c r="H306" s="8">
        <f t="shared" si="1"/>
        <v>6</v>
      </c>
      <c r="I306" s="9">
        <f t="shared" si="2"/>
        <v>7</v>
      </c>
      <c r="J306" s="9">
        <f t="shared" si="3"/>
        <v>2023</v>
      </c>
    </row>
    <row r="307" ht="15.75" customHeight="1">
      <c r="A307" s="5">
        <v>16.0</v>
      </c>
      <c r="B307" s="10" t="s">
        <v>346</v>
      </c>
      <c r="C307" s="3" t="s">
        <v>347</v>
      </c>
      <c r="D307" s="4" t="s">
        <v>8</v>
      </c>
      <c r="E307" s="5" t="s">
        <v>45</v>
      </c>
      <c r="F307" s="6" t="s">
        <v>354</v>
      </c>
      <c r="G307" s="7">
        <v>45113.0</v>
      </c>
      <c r="H307" s="8">
        <f t="shared" si="1"/>
        <v>6</v>
      </c>
      <c r="I307" s="9">
        <f t="shared" si="2"/>
        <v>7</v>
      </c>
      <c r="J307" s="9">
        <f t="shared" si="3"/>
        <v>2023</v>
      </c>
    </row>
    <row r="308" ht="15.75" customHeight="1">
      <c r="A308" s="5">
        <v>16.0</v>
      </c>
      <c r="B308" s="10" t="s">
        <v>346</v>
      </c>
      <c r="C308" s="3" t="s">
        <v>347</v>
      </c>
      <c r="D308" s="4" t="s">
        <v>8</v>
      </c>
      <c r="E308" s="5" t="s">
        <v>71</v>
      </c>
      <c r="F308" s="6" t="s">
        <v>329</v>
      </c>
      <c r="G308" s="7">
        <v>45121.0</v>
      </c>
      <c r="H308" s="8">
        <f t="shared" si="1"/>
        <v>14</v>
      </c>
      <c r="I308" s="9">
        <f t="shared" si="2"/>
        <v>7</v>
      </c>
      <c r="J308" s="9">
        <f t="shared" si="3"/>
        <v>2023</v>
      </c>
    </row>
    <row r="309" ht="15.75" customHeight="1">
      <c r="A309" s="5">
        <v>16.0</v>
      </c>
      <c r="B309" s="10" t="s">
        <v>346</v>
      </c>
      <c r="C309" s="3" t="s">
        <v>347</v>
      </c>
      <c r="D309" s="4" t="s">
        <v>8</v>
      </c>
      <c r="E309" s="5" t="s">
        <v>45</v>
      </c>
      <c r="F309" s="6" t="s">
        <v>355</v>
      </c>
      <c r="G309" s="7">
        <v>45130.0</v>
      </c>
      <c r="H309" s="8">
        <f t="shared" si="1"/>
        <v>23</v>
      </c>
      <c r="I309" s="9">
        <f t="shared" si="2"/>
        <v>7</v>
      </c>
      <c r="J309" s="9">
        <f t="shared" si="3"/>
        <v>2023</v>
      </c>
    </row>
    <row r="310" ht="15.75" customHeight="1">
      <c r="A310" s="5">
        <v>16.0</v>
      </c>
      <c r="B310" s="10" t="s">
        <v>346</v>
      </c>
      <c r="C310" s="3" t="s">
        <v>347</v>
      </c>
      <c r="D310" s="4" t="s">
        <v>3</v>
      </c>
      <c r="E310" s="5" t="s">
        <v>51</v>
      </c>
      <c r="F310" s="6" t="s">
        <v>356</v>
      </c>
      <c r="G310" s="7">
        <v>45146.0</v>
      </c>
      <c r="H310" s="8">
        <f t="shared" si="1"/>
        <v>8</v>
      </c>
      <c r="I310" s="9">
        <f t="shared" si="2"/>
        <v>8</v>
      </c>
      <c r="J310" s="9">
        <f t="shared" si="3"/>
        <v>2023</v>
      </c>
    </row>
    <row r="311" ht="15.75" customHeight="1">
      <c r="A311" s="5">
        <v>16.0</v>
      </c>
      <c r="B311" s="10" t="s">
        <v>346</v>
      </c>
      <c r="C311" s="3" t="s">
        <v>347</v>
      </c>
      <c r="D311" s="4" t="s">
        <v>3</v>
      </c>
      <c r="E311" s="5" t="s">
        <v>23</v>
      </c>
      <c r="F311" s="6" t="s">
        <v>357</v>
      </c>
      <c r="G311" s="7">
        <v>45150.0</v>
      </c>
      <c r="H311" s="8">
        <f t="shared" si="1"/>
        <v>12</v>
      </c>
      <c r="I311" s="9">
        <f t="shared" si="2"/>
        <v>8</v>
      </c>
      <c r="J311" s="9">
        <f t="shared" si="3"/>
        <v>2023</v>
      </c>
    </row>
    <row r="312" ht="15.75" customHeight="1">
      <c r="A312" s="5">
        <v>16.0</v>
      </c>
      <c r="B312" s="10" t="s">
        <v>346</v>
      </c>
      <c r="C312" s="3" t="s">
        <v>347</v>
      </c>
      <c r="D312" s="4" t="s">
        <v>3</v>
      </c>
      <c r="E312" s="5" t="s">
        <v>4</v>
      </c>
      <c r="F312" s="6" t="s">
        <v>358</v>
      </c>
      <c r="G312" s="7">
        <v>45159.0</v>
      </c>
      <c r="H312" s="8">
        <f t="shared" si="1"/>
        <v>21</v>
      </c>
      <c r="I312" s="9">
        <f t="shared" si="2"/>
        <v>8</v>
      </c>
      <c r="J312" s="9">
        <f t="shared" si="3"/>
        <v>2023</v>
      </c>
    </row>
    <row r="313" ht="15.75" customHeight="1">
      <c r="A313" s="5">
        <v>16.0</v>
      </c>
      <c r="B313" s="10" t="s">
        <v>346</v>
      </c>
      <c r="C313" s="3" t="s">
        <v>347</v>
      </c>
      <c r="D313" s="4" t="s">
        <v>3</v>
      </c>
      <c r="E313" s="5" t="s">
        <v>9</v>
      </c>
      <c r="F313" s="6" t="s">
        <v>359</v>
      </c>
      <c r="G313" s="7">
        <v>45190.0</v>
      </c>
      <c r="H313" s="8">
        <f t="shared" si="1"/>
        <v>21</v>
      </c>
      <c r="I313" s="9">
        <f t="shared" si="2"/>
        <v>9</v>
      </c>
      <c r="J313" s="9">
        <f t="shared" si="3"/>
        <v>2023</v>
      </c>
    </row>
    <row r="314" ht="15.75" customHeight="1">
      <c r="A314" s="5">
        <v>16.0</v>
      </c>
      <c r="B314" s="10" t="s">
        <v>346</v>
      </c>
      <c r="C314" s="3" t="s">
        <v>347</v>
      </c>
      <c r="D314" s="4" t="s">
        <v>3</v>
      </c>
      <c r="E314" s="5" t="s">
        <v>13</v>
      </c>
      <c r="F314" s="6" t="s">
        <v>360</v>
      </c>
      <c r="G314" s="7">
        <v>45222.0</v>
      </c>
      <c r="H314" s="8">
        <f t="shared" si="1"/>
        <v>23</v>
      </c>
      <c r="I314" s="9">
        <f t="shared" si="2"/>
        <v>10</v>
      </c>
      <c r="J314" s="9">
        <f t="shared" si="3"/>
        <v>2023</v>
      </c>
    </row>
    <row r="315" ht="15.75" customHeight="1">
      <c r="A315" s="5">
        <v>16.0</v>
      </c>
      <c r="B315" s="10" t="s">
        <v>346</v>
      </c>
      <c r="C315" s="3" t="s">
        <v>347</v>
      </c>
      <c r="D315" s="4" t="s">
        <v>3</v>
      </c>
      <c r="E315" s="5" t="s">
        <v>17</v>
      </c>
      <c r="F315" s="6" t="s">
        <v>361</v>
      </c>
      <c r="G315" s="7">
        <v>45227.0</v>
      </c>
      <c r="H315" s="8">
        <f t="shared" si="1"/>
        <v>28</v>
      </c>
      <c r="I315" s="9">
        <f t="shared" si="2"/>
        <v>10</v>
      </c>
      <c r="J315" s="9">
        <f t="shared" si="3"/>
        <v>2023</v>
      </c>
    </row>
    <row r="316" ht="15.75" customHeight="1">
      <c r="A316" s="5">
        <v>16.0</v>
      </c>
      <c r="B316" s="10" t="s">
        <v>346</v>
      </c>
      <c r="C316" s="3" t="s">
        <v>347</v>
      </c>
      <c r="D316" s="4" t="s">
        <v>8</v>
      </c>
      <c r="E316" s="5" t="s">
        <v>39</v>
      </c>
      <c r="F316" s="6" t="s">
        <v>362</v>
      </c>
      <c r="G316" s="7">
        <v>45253.0</v>
      </c>
      <c r="H316" s="8">
        <f t="shared" si="1"/>
        <v>23</v>
      </c>
      <c r="I316" s="9">
        <f t="shared" si="2"/>
        <v>11</v>
      </c>
      <c r="J316" s="9">
        <f t="shared" si="3"/>
        <v>2023</v>
      </c>
    </row>
    <row r="317" ht="15.75" customHeight="1">
      <c r="A317" s="5">
        <v>16.0</v>
      </c>
      <c r="B317" s="10" t="s">
        <v>346</v>
      </c>
      <c r="C317" s="3" t="s">
        <v>347</v>
      </c>
      <c r="D317" s="4" t="s">
        <v>3</v>
      </c>
      <c r="E317" s="5" t="s">
        <v>11</v>
      </c>
      <c r="F317" s="6" t="s">
        <v>363</v>
      </c>
      <c r="G317" s="7">
        <v>45258.0</v>
      </c>
      <c r="H317" s="8">
        <f t="shared" si="1"/>
        <v>28</v>
      </c>
      <c r="I317" s="9">
        <f t="shared" si="2"/>
        <v>11</v>
      </c>
      <c r="J317" s="9">
        <f t="shared" si="3"/>
        <v>2023</v>
      </c>
    </row>
    <row r="318" ht="15.75" customHeight="1">
      <c r="A318" s="5">
        <v>16.0</v>
      </c>
      <c r="B318" s="10" t="s">
        <v>346</v>
      </c>
      <c r="C318" s="3" t="s">
        <v>347</v>
      </c>
      <c r="D318" s="4" t="s">
        <v>3</v>
      </c>
      <c r="E318" s="5" t="s">
        <v>39</v>
      </c>
      <c r="F318" s="6" t="s">
        <v>364</v>
      </c>
      <c r="G318" s="7">
        <v>45265.0</v>
      </c>
      <c r="H318" s="8">
        <f t="shared" si="1"/>
        <v>5</v>
      </c>
      <c r="I318" s="9">
        <f t="shared" si="2"/>
        <v>12</v>
      </c>
      <c r="J318" s="9">
        <f t="shared" si="3"/>
        <v>2023</v>
      </c>
    </row>
    <row r="319" ht="15.75" customHeight="1">
      <c r="A319" s="5">
        <v>16.0</v>
      </c>
      <c r="B319" s="10" t="s">
        <v>346</v>
      </c>
      <c r="C319" s="3" t="s">
        <v>347</v>
      </c>
      <c r="D319" s="4" t="s">
        <v>8</v>
      </c>
      <c r="E319" s="5" t="s">
        <v>6</v>
      </c>
      <c r="F319" s="6" t="s">
        <v>365</v>
      </c>
      <c r="G319" s="7">
        <v>45266.0</v>
      </c>
      <c r="H319" s="8">
        <f t="shared" si="1"/>
        <v>6</v>
      </c>
      <c r="I319" s="9">
        <f t="shared" si="2"/>
        <v>12</v>
      </c>
      <c r="J319" s="9">
        <f t="shared" si="3"/>
        <v>2023</v>
      </c>
    </row>
    <row r="320" ht="15.75" customHeight="1">
      <c r="A320" s="5">
        <v>16.0</v>
      </c>
      <c r="B320" s="10" t="s">
        <v>346</v>
      </c>
      <c r="C320" s="3" t="s">
        <v>347</v>
      </c>
      <c r="D320" s="4" t="s">
        <v>3</v>
      </c>
      <c r="E320" s="5" t="s">
        <v>15</v>
      </c>
      <c r="F320" s="6" t="s">
        <v>366</v>
      </c>
      <c r="G320" s="7">
        <v>45267.0</v>
      </c>
      <c r="H320" s="8">
        <f t="shared" si="1"/>
        <v>7</v>
      </c>
      <c r="I320" s="9">
        <f t="shared" si="2"/>
        <v>12</v>
      </c>
      <c r="J320" s="9">
        <f t="shared" si="3"/>
        <v>2023</v>
      </c>
    </row>
    <row r="321" ht="15.75" customHeight="1">
      <c r="A321" s="5">
        <v>17.0</v>
      </c>
      <c r="B321" s="10" t="s">
        <v>367</v>
      </c>
      <c r="C321" s="3" t="s">
        <v>368</v>
      </c>
      <c r="D321" s="4" t="s">
        <v>8</v>
      </c>
      <c r="E321" s="5" t="s">
        <v>15</v>
      </c>
      <c r="F321" s="6" t="s">
        <v>369</v>
      </c>
      <c r="G321" s="7">
        <v>44953.0</v>
      </c>
      <c r="H321" s="8">
        <f t="shared" si="1"/>
        <v>27</v>
      </c>
      <c r="I321" s="9">
        <f t="shared" si="2"/>
        <v>1</v>
      </c>
      <c r="J321" s="9">
        <f t="shared" si="3"/>
        <v>2023</v>
      </c>
    </row>
    <row r="322" ht="15.75" customHeight="1">
      <c r="A322" s="5">
        <v>17.0</v>
      </c>
      <c r="B322" s="10" t="s">
        <v>367</v>
      </c>
      <c r="C322" s="3" t="s">
        <v>368</v>
      </c>
      <c r="D322" s="4" t="s">
        <v>3</v>
      </c>
      <c r="E322" s="5" t="s">
        <v>39</v>
      </c>
      <c r="F322" s="6" t="s">
        <v>370</v>
      </c>
      <c r="G322" s="7">
        <v>44971.0</v>
      </c>
      <c r="H322" s="8">
        <f t="shared" si="1"/>
        <v>14</v>
      </c>
      <c r="I322" s="9">
        <f t="shared" si="2"/>
        <v>2</v>
      </c>
      <c r="J322" s="9">
        <f t="shared" si="3"/>
        <v>2023</v>
      </c>
    </row>
    <row r="323" ht="15.75" customHeight="1">
      <c r="A323" s="5">
        <v>17.0</v>
      </c>
      <c r="B323" s="10" t="s">
        <v>367</v>
      </c>
      <c r="C323" s="3" t="s">
        <v>368</v>
      </c>
      <c r="D323" s="4" t="s">
        <v>3</v>
      </c>
      <c r="E323" s="5" t="s">
        <v>19</v>
      </c>
      <c r="F323" s="6" t="s">
        <v>371</v>
      </c>
      <c r="G323" s="7">
        <v>44975.0</v>
      </c>
      <c r="H323" s="8">
        <f t="shared" si="1"/>
        <v>18</v>
      </c>
      <c r="I323" s="9">
        <f t="shared" si="2"/>
        <v>2</v>
      </c>
      <c r="J323" s="9">
        <f t="shared" si="3"/>
        <v>2023</v>
      </c>
    </row>
    <row r="324" ht="15.75" customHeight="1">
      <c r="A324" s="5">
        <v>17.0</v>
      </c>
      <c r="B324" s="10" t="s">
        <v>367</v>
      </c>
      <c r="C324" s="3" t="s">
        <v>368</v>
      </c>
      <c r="D324" s="4" t="s">
        <v>8</v>
      </c>
      <c r="E324" s="5" t="s">
        <v>6</v>
      </c>
      <c r="F324" s="6" t="s">
        <v>372</v>
      </c>
      <c r="G324" s="7">
        <v>45065.0</v>
      </c>
      <c r="H324" s="8">
        <f t="shared" si="1"/>
        <v>19</v>
      </c>
      <c r="I324" s="9">
        <f t="shared" si="2"/>
        <v>5</v>
      </c>
      <c r="J324" s="9">
        <f t="shared" si="3"/>
        <v>2023</v>
      </c>
    </row>
    <row r="325" ht="15.75" customHeight="1">
      <c r="A325" s="5">
        <v>17.0</v>
      </c>
      <c r="B325" s="10" t="s">
        <v>367</v>
      </c>
      <c r="C325" s="3" t="s">
        <v>368</v>
      </c>
      <c r="D325" s="4" t="s">
        <v>8</v>
      </c>
      <c r="E325" s="5" t="s">
        <v>51</v>
      </c>
      <c r="F325" s="6" t="s">
        <v>373</v>
      </c>
      <c r="G325" s="7">
        <v>45082.0</v>
      </c>
      <c r="H325" s="8">
        <f t="shared" si="1"/>
        <v>5</v>
      </c>
      <c r="I325" s="9">
        <f t="shared" si="2"/>
        <v>6</v>
      </c>
      <c r="J325" s="9">
        <f t="shared" si="3"/>
        <v>2023</v>
      </c>
    </row>
    <row r="326" ht="15.75" customHeight="1">
      <c r="A326" s="5">
        <v>17.0</v>
      </c>
      <c r="B326" s="10" t="s">
        <v>367</v>
      </c>
      <c r="C326" s="3" t="s">
        <v>368</v>
      </c>
      <c r="D326" s="4" t="s">
        <v>3</v>
      </c>
      <c r="E326" s="5" t="s">
        <v>51</v>
      </c>
      <c r="F326" s="6" t="s">
        <v>374</v>
      </c>
      <c r="G326" s="7">
        <v>45088.0</v>
      </c>
      <c r="H326" s="8">
        <f t="shared" si="1"/>
        <v>11</v>
      </c>
      <c r="I326" s="9">
        <f t="shared" si="2"/>
        <v>6</v>
      </c>
      <c r="J326" s="9">
        <f t="shared" si="3"/>
        <v>2023</v>
      </c>
    </row>
    <row r="327" ht="15.75" customHeight="1">
      <c r="A327" s="5">
        <v>17.0</v>
      </c>
      <c r="B327" s="10" t="s">
        <v>367</v>
      </c>
      <c r="C327" s="3" t="s">
        <v>368</v>
      </c>
      <c r="D327" s="4" t="s">
        <v>3</v>
      </c>
      <c r="E327" s="5" t="s">
        <v>6</v>
      </c>
      <c r="F327" s="6" t="s">
        <v>375</v>
      </c>
      <c r="G327" s="7">
        <v>45092.0</v>
      </c>
      <c r="H327" s="8">
        <f t="shared" si="1"/>
        <v>15</v>
      </c>
      <c r="I327" s="9">
        <f t="shared" si="2"/>
        <v>6</v>
      </c>
      <c r="J327" s="9">
        <f t="shared" si="3"/>
        <v>2023</v>
      </c>
    </row>
    <row r="328" ht="15.75" customHeight="1">
      <c r="A328" s="5">
        <v>17.0</v>
      </c>
      <c r="B328" s="10" t="s">
        <v>367</v>
      </c>
      <c r="C328" s="3" t="s">
        <v>368</v>
      </c>
      <c r="D328" s="4" t="s">
        <v>3</v>
      </c>
      <c r="E328" s="5" t="s">
        <v>45</v>
      </c>
      <c r="F328" s="6" t="s">
        <v>376</v>
      </c>
      <c r="G328" s="7">
        <v>45120.0</v>
      </c>
      <c r="H328" s="8">
        <f t="shared" si="1"/>
        <v>13</v>
      </c>
      <c r="I328" s="9">
        <f t="shared" si="2"/>
        <v>7</v>
      </c>
      <c r="J328" s="9">
        <f t="shared" si="3"/>
        <v>2023</v>
      </c>
    </row>
    <row r="329" ht="15.75" customHeight="1">
      <c r="A329" s="5">
        <v>17.0</v>
      </c>
      <c r="B329" s="10" t="s">
        <v>367</v>
      </c>
      <c r="C329" s="3" t="s">
        <v>368</v>
      </c>
      <c r="D329" s="4" t="s">
        <v>3</v>
      </c>
      <c r="E329" s="5" t="s">
        <v>120</v>
      </c>
      <c r="F329" s="6" t="s">
        <v>377</v>
      </c>
      <c r="G329" s="7">
        <v>45126.0</v>
      </c>
      <c r="H329" s="8">
        <f t="shared" si="1"/>
        <v>19</v>
      </c>
      <c r="I329" s="9">
        <f t="shared" si="2"/>
        <v>7</v>
      </c>
      <c r="J329" s="9">
        <f t="shared" si="3"/>
        <v>2023</v>
      </c>
    </row>
    <row r="330" ht="15.75" customHeight="1">
      <c r="A330" s="5">
        <v>17.0</v>
      </c>
      <c r="B330" s="10" t="s">
        <v>367</v>
      </c>
      <c r="C330" s="3" t="s">
        <v>368</v>
      </c>
      <c r="D330" s="4" t="s">
        <v>3</v>
      </c>
      <c r="E330" s="5" t="s">
        <v>71</v>
      </c>
      <c r="F330" s="6" t="s">
        <v>378</v>
      </c>
      <c r="G330" s="7">
        <v>45153.0</v>
      </c>
      <c r="H330" s="8">
        <f t="shared" si="1"/>
        <v>15</v>
      </c>
      <c r="I330" s="9">
        <f t="shared" si="2"/>
        <v>8</v>
      </c>
      <c r="J330" s="9">
        <f t="shared" si="3"/>
        <v>2023</v>
      </c>
    </row>
    <row r="331" ht="15.75" customHeight="1">
      <c r="A331" s="5">
        <v>17.0</v>
      </c>
      <c r="B331" s="10" t="s">
        <v>367</v>
      </c>
      <c r="C331" s="3" t="s">
        <v>368</v>
      </c>
      <c r="D331" s="4" t="s">
        <v>3</v>
      </c>
      <c r="E331" s="5" t="s">
        <v>4</v>
      </c>
      <c r="F331" s="6" t="s">
        <v>379</v>
      </c>
      <c r="G331" s="7">
        <v>45165.0</v>
      </c>
      <c r="H331" s="8">
        <f t="shared" si="1"/>
        <v>27</v>
      </c>
      <c r="I331" s="9">
        <f t="shared" si="2"/>
        <v>8</v>
      </c>
      <c r="J331" s="9">
        <f t="shared" si="3"/>
        <v>2023</v>
      </c>
    </row>
    <row r="332" ht="15.75" customHeight="1">
      <c r="A332" s="5">
        <v>17.0</v>
      </c>
      <c r="B332" s="10" t="s">
        <v>367</v>
      </c>
      <c r="C332" s="3" t="s">
        <v>368</v>
      </c>
      <c r="D332" s="4" t="s">
        <v>8</v>
      </c>
      <c r="E332" s="5" t="s">
        <v>13</v>
      </c>
      <c r="F332" s="6" t="s">
        <v>380</v>
      </c>
      <c r="G332" s="7">
        <v>45180.0</v>
      </c>
      <c r="H332" s="8">
        <f t="shared" si="1"/>
        <v>11</v>
      </c>
      <c r="I332" s="9">
        <f t="shared" si="2"/>
        <v>9</v>
      </c>
      <c r="J332" s="9">
        <f t="shared" si="3"/>
        <v>2023</v>
      </c>
    </row>
    <row r="333" ht="15.75" customHeight="1">
      <c r="A333" s="5">
        <v>17.0</v>
      </c>
      <c r="B333" s="10" t="s">
        <v>367</v>
      </c>
      <c r="C333" s="3" t="s">
        <v>368</v>
      </c>
      <c r="D333" s="4" t="s">
        <v>8</v>
      </c>
      <c r="E333" s="5" t="s">
        <v>39</v>
      </c>
      <c r="F333" s="6" t="s">
        <v>381</v>
      </c>
      <c r="G333" s="7">
        <v>45189.0</v>
      </c>
      <c r="H333" s="8">
        <f t="shared" si="1"/>
        <v>20</v>
      </c>
      <c r="I333" s="9">
        <f t="shared" si="2"/>
        <v>9</v>
      </c>
      <c r="J333" s="9">
        <f t="shared" si="3"/>
        <v>2023</v>
      </c>
    </row>
    <row r="334" ht="15.75" customHeight="1">
      <c r="A334" s="5">
        <v>17.0</v>
      </c>
      <c r="B334" s="10" t="s">
        <v>367</v>
      </c>
      <c r="C334" s="3" t="s">
        <v>368</v>
      </c>
      <c r="D334" s="4" t="s">
        <v>8</v>
      </c>
      <c r="E334" s="5" t="s">
        <v>51</v>
      </c>
      <c r="F334" s="6" t="s">
        <v>382</v>
      </c>
      <c r="G334" s="7">
        <v>45193.0</v>
      </c>
      <c r="H334" s="8">
        <f t="shared" si="1"/>
        <v>24</v>
      </c>
      <c r="I334" s="9">
        <f t="shared" si="2"/>
        <v>9</v>
      </c>
      <c r="J334" s="9">
        <f t="shared" si="3"/>
        <v>2023</v>
      </c>
    </row>
    <row r="335" ht="15.75" customHeight="1">
      <c r="A335" s="5">
        <v>17.0</v>
      </c>
      <c r="B335" s="10" t="s">
        <v>367</v>
      </c>
      <c r="C335" s="3" t="s">
        <v>368</v>
      </c>
      <c r="D335" s="4" t="s">
        <v>3</v>
      </c>
      <c r="E335" s="5" t="s">
        <v>21</v>
      </c>
      <c r="F335" s="6" t="s">
        <v>383</v>
      </c>
      <c r="G335" s="7">
        <v>45241.0</v>
      </c>
      <c r="H335" s="8">
        <f t="shared" si="1"/>
        <v>11</v>
      </c>
      <c r="I335" s="9">
        <f t="shared" si="2"/>
        <v>11</v>
      </c>
      <c r="J335" s="9">
        <f t="shared" si="3"/>
        <v>2023</v>
      </c>
    </row>
    <row r="336" ht="15.75" customHeight="1">
      <c r="A336" s="5">
        <v>17.0</v>
      </c>
      <c r="B336" s="10" t="s">
        <v>367</v>
      </c>
      <c r="C336" s="3" t="s">
        <v>368</v>
      </c>
      <c r="D336" s="4" t="s">
        <v>3</v>
      </c>
      <c r="E336" s="5" t="s">
        <v>21</v>
      </c>
      <c r="F336" s="6" t="s">
        <v>384</v>
      </c>
      <c r="G336" s="7">
        <v>45270.0</v>
      </c>
      <c r="H336" s="8">
        <f t="shared" si="1"/>
        <v>10</v>
      </c>
      <c r="I336" s="9">
        <f t="shared" si="2"/>
        <v>12</v>
      </c>
      <c r="J336" s="9">
        <f t="shared" si="3"/>
        <v>2023</v>
      </c>
    </row>
    <row r="337" ht="15.75" customHeight="1">
      <c r="A337" s="5">
        <v>17.0</v>
      </c>
      <c r="B337" s="10" t="s">
        <v>367</v>
      </c>
      <c r="C337" s="3" t="s">
        <v>368</v>
      </c>
      <c r="D337" s="4" t="s">
        <v>8</v>
      </c>
      <c r="E337" s="5" t="s">
        <v>45</v>
      </c>
      <c r="F337" s="6" t="s">
        <v>385</v>
      </c>
      <c r="G337" s="7">
        <v>45272.0</v>
      </c>
      <c r="H337" s="8">
        <f t="shared" si="1"/>
        <v>12</v>
      </c>
      <c r="I337" s="9">
        <f t="shared" si="2"/>
        <v>12</v>
      </c>
      <c r="J337" s="9">
        <f t="shared" si="3"/>
        <v>2023</v>
      </c>
    </row>
    <row r="338" ht="15.75" customHeight="1">
      <c r="A338" s="5">
        <v>17.0</v>
      </c>
      <c r="B338" s="10" t="s">
        <v>367</v>
      </c>
      <c r="C338" s="3" t="s">
        <v>368</v>
      </c>
      <c r="D338" s="4" t="s">
        <v>8</v>
      </c>
      <c r="E338" s="5" t="s">
        <v>9</v>
      </c>
      <c r="F338" s="6" t="s">
        <v>386</v>
      </c>
      <c r="G338" s="7">
        <v>45277.0</v>
      </c>
      <c r="H338" s="8">
        <f t="shared" si="1"/>
        <v>17</v>
      </c>
      <c r="I338" s="9">
        <f t="shared" si="2"/>
        <v>12</v>
      </c>
      <c r="J338" s="9">
        <f t="shared" si="3"/>
        <v>2023</v>
      </c>
    </row>
    <row r="339" ht="15.75" customHeight="1">
      <c r="A339" s="5">
        <v>17.0</v>
      </c>
      <c r="B339" s="10" t="s">
        <v>367</v>
      </c>
      <c r="C339" s="3" t="s">
        <v>368</v>
      </c>
      <c r="D339" s="4" t="s">
        <v>3</v>
      </c>
      <c r="E339" s="5" t="s">
        <v>23</v>
      </c>
      <c r="F339" s="6" t="s">
        <v>387</v>
      </c>
      <c r="G339" s="7">
        <v>45286.0</v>
      </c>
      <c r="H339" s="8">
        <f t="shared" si="1"/>
        <v>26</v>
      </c>
      <c r="I339" s="9">
        <f t="shared" si="2"/>
        <v>12</v>
      </c>
      <c r="J339" s="9">
        <f t="shared" si="3"/>
        <v>2023</v>
      </c>
    </row>
    <row r="340" ht="15.75" customHeight="1">
      <c r="A340" s="5">
        <v>17.0</v>
      </c>
      <c r="B340" s="10" t="s">
        <v>367</v>
      </c>
      <c r="C340" s="3" t="s">
        <v>368</v>
      </c>
      <c r="D340" s="4" t="s">
        <v>3</v>
      </c>
      <c r="E340" s="5" t="s">
        <v>11</v>
      </c>
      <c r="F340" s="6" t="s">
        <v>388</v>
      </c>
      <c r="G340" s="7">
        <v>45288.0</v>
      </c>
      <c r="H340" s="8">
        <f t="shared" si="1"/>
        <v>28</v>
      </c>
      <c r="I340" s="9">
        <f t="shared" si="2"/>
        <v>12</v>
      </c>
      <c r="J340" s="9">
        <f t="shared" si="3"/>
        <v>2023</v>
      </c>
    </row>
    <row r="341" ht="15.75" customHeight="1">
      <c r="A341" s="5">
        <v>18.0</v>
      </c>
      <c r="B341" s="10" t="s">
        <v>389</v>
      </c>
      <c r="C341" s="3" t="s">
        <v>390</v>
      </c>
      <c r="D341" s="4" t="s">
        <v>3</v>
      </c>
      <c r="E341" s="5" t="s">
        <v>45</v>
      </c>
      <c r="F341" s="6" t="s">
        <v>293</v>
      </c>
      <c r="G341" s="7">
        <v>44982.0</v>
      </c>
      <c r="H341" s="8">
        <f t="shared" si="1"/>
        <v>25</v>
      </c>
      <c r="I341" s="9">
        <f t="shared" si="2"/>
        <v>2</v>
      </c>
      <c r="J341" s="9">
        <f t="shared" si="3"/>
        <v>2023</v>
      </c>
    </row>
    <row r="342" ht="15.75" customHeight="1">
      <c r="A342" s="5">
        <v>18.0</v>
      </c>
      <c r="B342" s="10" t="s">
        <v>389</v>
      </c>
      <c r="C342" s="3" t="s">
        <v>390</v>
      </c>
      <c r="D342" s="4" t="s">
        <v>8</v>
      </c>
      <c r="E342" s="5" t="s">
        <v>39</v>
      </c>
      <c r="F342" s="6" t="s">
        <v>391</v>
      </c>
      <c r="G342" s="7">
        <v>44989.0</v>
      </c>
      <c r="H342" s="8">
        <f t="shared" si="1"/>
        <v>4</v>
      </c>
      <c r="I342" s="9">
        <f t="shared" si="2"/>
        <v>3</v>
      </c>
      <c r="J342" s="9">
        <f t="shared" si="3"/>
        <v>2023</v>
      </c>
    </row>
    <row r="343" ht="15.75" customHeight="1">
      <c r="A343" s="5">
        <v>18.0</v>
      </c>
      <c r="B343" s="10" t="s">
        <v>389</v>
      </c>
      <c r="C343" s="3" t="s">
        <v>390</v>
      </c>
      <c r="D343" s="4" t="s">
        <v>3</v>
      </c>
      <c r="E343" s="5" t="s">
        <v>45</v>
      </c>
      <c r="F343" s="6" t="s">
        <v>392</v>
      </c>
      <c r="G343" s="7">
        <v>44991.0</v>
      </c>
      <c r="H343" s="8">
        <f t="shared" si="1"/>
        <v>6</v>
      </c>
      <c r="I343" s="9">
        <f t="shared" si="2"/>
        <v>3</v>
      </c>
      <c r="J343" s="9">
        <f t="shared" si="3"/>
        <v>2023</v>
      </c>
    </row>
    <row r="344" ht="15.75" customHeight="1">
      <c r="A344" s="5">
        <v>18.0</v>
      </c>
      <c r="B344" s="10" t="s">
        <v>389</v>
      </c>
      <c r="C344" s="3" t="s">
        <v>390</v>
      </c>
      <c r="D344" s="4" t="s">
        <v>3</v>
      </c>
      <c r="E344" s="5" t="s">
        <v>76</v>
      </c>
      <c r="F344" s="6" t="s">
        <v>393</v>
      </c>
      <c r="G344" s="7">
        <v>44999.0</v>
      </c>
      <c r="H344" s="8">
        <f t="shared" si="1"/>
        <v>14</v>
      </c>
      <c r="I344" s="9">
        <f t="shared" si="2"/>
        <v>3</v>
      </c>
      <c r="J344" s="9">
        <f t="shared" si="3"/>
        <v>2023</v>
      </c>
    </row>
    <row r="345" ht="15.75" customHeight="1">
      <c r="A345" s="5">
        <v>18.0</v>
      </c>
      <c r="B345" s="10" t="s">
        <v>389</v>
      </c>
      <c r="C345" s="3" t="s">
        <v>390</v>
      </c>
      <c r="D345" s="4" t="s">
        <v>8</v>
      </c>
      <c r="E345" s="5" t="s">
        <v>6</v>
      </c>
      <c r="F345" s="6" t="s">
        <v>394</v>
      </c>
      <c r="G345" s="7">
        <v>45043.0</v>
      </c>
      <c r="H345" s="8">
        <f t="shared" si="1"/>
        <v>27</v>
      </c>
      <c r="I345" s="9">
        <f t="shared" si="2"/>
        <v>4</v>
      </c>
      <c r="J345" s="9">
        <f t="shared" si="3"/>
        <v>2023</v>
      </c>
    </row>
    <row r="346" ht="15.75" customHeight="1">
      <c r="A346" s="5">
        <v>18.0</v>
      </c>
      <c r="B346" s="10" t="s">
        <v>389</v>
      </c>
      <c r="C346" s="3" t="s">
        <v>390</v>
      </c>
      <c r="D346" s="4" t="s">
        <v>3</v>
      </c>
      <c r="E346" s="5" t="s">
        <v>9</v>
      </c>
      <c r="F346" s="6" t="s">
        <v>395</v>
      </c>
      <c r="G346" s="7">
        <v>45055.0</v>
      </c>
      <c r="H346" s="8">
        <f t="shared" si="1"/>
        <v>9</v>
      </c>
      <c r="I346" s="9">
        <f t="shared" si="2"/>
        <v>5</v>
      </c>
      <c r="J346" s="9">
        <f t="shared" si="3"/>
        <v>2023</v>
      </c>
    </row>
    <row r="347" ht="15.75" customHeight="1">
      <c r="A347" s="5">
        <v>18.0</v>
      </c>
      <c r="B347" s="10" t="s">
        <v>389</v>
      </c>
      <c r="C347" s="3" t="s">
        <v>390</v>
      </c>
      <c r="D347" s="4" t="s">
        <v>3</v>
      </c>
      <c r="E347" s="5" t="s">
        <v>21</v>
      </c>
      <c r="F347" s="6" t="s">
        <v>396</v>
      </c>
      <c r="G347" s="7">
        <v>45059.0</v>
      </c>
      <c r="H347" s="8">
        <f t="shared" si="1"/>
        <v>13</v>
      </c>
      <c r="I347" s="9">
        <f t="shared" si="2"/>
        <v>5</v>
      </c>
      <c r="J347" s="9">
        <f t="shared" si="3"/>
        <v>2023</v>
      </c>
    </row>
    <row r="348" ht="15.75" customHeight="1">
      <c r="A348" s="5">
        <v>18.0</v>
      </c>
      <c r="B348" s="10" t="s">
        <v>389</v>
      </c>
      <c r="C348" s="3" t="s">
        <v>390</v>
      </c>
      <c r="D348" s="4" t="s">
        <v>8</v>
      </c>
      <c r="E348" s="5" t="s">
        <v>120</v>
      </c>
      <c r="F348" s="6" t="s">
        <v>397</v>
      </c>
      <c r="G348" s="7">
        <v>45066.0</v>
      </c>
      <c r="H348" s="8">
        <f t="shared" si="1"/>
        <v>20</v>
      </c>
      <c r="I348" s="9">
        <f t="shared" si="2"/>
        <v>5</v>
      </c>
      <c r="J348" s="9">
        <f t="shared" si="3"/>
        <v>2023</v>
      </c>
    </row>
    <row r="349" ht="15.75" customHeight="1">
      <c r="A349" s="5">
        <v>18.0</v>
      </c>
      <c r="B349" s="10" t="s">
        <v>389</v>
      </c>
      <c r="C349" s="3" t="s">
        <v>390</v>
      </c>
      <c r="D349" s="4" t="s">
        <v>8</v>
      </c>
      <c r="E349" s="5" t="s">
        <v>28</v>
      </c>
      <c r="F349" s="6" t="s">
        <v>398</v>
      </c>
      <c r="G349" s="7">
        <v>45100.0</v>
      </c>
      <c r="H349" s="8">
        <f t="shared" si="1"/>
        <v>23</v>
      </c>
      <c r="I349" s="9">
        <f t="shared" si="2"/>
        <v>6</v>
      </c>
      <c r="J349" s="9">
        <f t="shared" si="3"/>
        <v>2023</v>
      </c>
    </row>
    <row r="350" ht="15.75" customHeight="1">
      <c r="A350" s="5">
        <v>18.0</v>
      </c>
      <c r="B350" s="10" t="s">
        <v>389</v>
      </c>
      <c r="C350" s="3" t="s">
        <v>390</v>
      </c>
      <c r="D350" s="4" t="s">
        <v>8</v>
      </c>
      <c r="E350" s="5" t="s">
        <v>35</v>
      </c>
      <c r="F350" s="6" t="s">
        <v>399</v>
      </c>
      <c r="G350" s="7">
        <v>45101.0</v>
      </c>
      <c r="H350" s="8">
        <f t="shared" si="1"/>
        <v>24</v>
      </c>
      <c r="I350" s="9">
        <f t="shared" si="2"/>
        <v>6</v>
      </c>
      <c r="J350" s="9">
        <f t="shared" si="3"/>
        <v>2023</v>
      </c>
    </row>
    <row r="351" ht="15.75" customHeight="1">
      <c r="A351" s="5">
        <v>18.0</v>
      </c>
      <c r="B351" s="10" t="s">
        <v>389</v>
      </c>
      <c r="C351" s="3" t="s">
        <v>390</v>
      </c>
      <c r="D351" s="4" t="s">
        <v>3</v>
      </c>
      <c r="E351" s="5" t="s">
        <v>45</v>
      </c>
      <c r="F351" s="6" t="s">
        <v>400</v>
      </c>
      <c r="G351" s="7">
        <v>45116.0</v>
      </c>
      <c r="H351" s="8">
        <f t="shared" si="1"/>
        <v>9</v>
      </c>
      <c r="I351" s="9">
        <f t="shared" si="2"/>
        <v>7</v>
      </c>
      <c r="J351" s="9">
        <f t="shared" si="3"/>
        <v>2023</v>
      </c>
    </row>
    <row r="352" ht="15.75" customHeight="1">
      <c r="A352" s="5">
        <v>18.0</v>
      </c>
      <c r="B352" s="10" t="s">
        <v>389</v>
      </c>
      <c r="C352" s="3" t="s">
        <v>390</v>
      </c>
      <c r="D352" s="4" t="s">
        <v>8</v>
      </c>
      <c r="E352" s="5" t="s">
        <v>19</v>
      </c>
      <c r="F352" s="6" t="s">
        <v>401</v>
      </c>
      <c r="G352" s="7">
        <v>45161.0</v>
      </c>
      <c r="H352" s="8">
        <f t="shared" si="1"/>
        <v>23</v>
      </c>
      <c r="I352" s="9">
        <f t="shared" si="2"/>
        <v>8</v>
      </c>
      <c r="J352" s="9">
        <f t="shared" si="3"/>
        <v>2023</v>
      </c>
    </row>
    <row r="353" ht="15.75" customHeight="1">
      <c r="A353" s="5">
        <v>18.0</v>
      </c>
      <c r="B353" s="10" t="s">
        <v>389</v>
      </c>
      <c r="C353" s="3" t="s">
        <v>390</v>
      </c>
      <c r="D353" s="4" t="s">
        <v>3</v>
      </c>
      <c r="E353" s="5" t="s">
        <v>9</v>
      </c>
      <c r="F353" s="6" t="s">
        <v>179</v>
      </c>
      <c r="G353" s="7">
        <v>45162.0</v>
      </c>
      <c r="H353" s="8">
        <f t="shared" si="1"/>
        <v>24</v>
      </c>
      <c r="I353" s="9">
        <f t="shared" si="2"/>
        <v>8</v>
      </c>
      <c r="J353" s="9">
        <f t="shared" si="3"/>
        <v>2023</v>
      </c>
    </row>
    <row r="354" ht="15.75" customHeight="1">
      <c r="A354" s="5">
        <v>18.0</v>
      </c>
      <c r="B354" s="10" t="s">
        <v>389</v>
      </c>
      <c r="C354" s="3" t="s">
        <v>390</v>
      </c>
      <c r="D354" s="4" t="s">
        <v>8</v>
      </c>
      <c r="E354" s="5" t="s">
        <v>35</v>
      </c>
      <c r="F354" s="6" t="s">
        <v>402</v>
      </c>
      <c r="G354" s="7">
        <v>45165.0</v>
      </c>
      <c r="H354" s="8">
        <f t="shared" si="1"/>
        <v>27</v>
      </c>
      <c r="I354" s="9">
        <f t="shared" si="2"/>
        <v>8</v>
      </c>
      <c r="J354" s="9">
        <f t="shared" si="3"/>
        <v>2023</v>
      </c>
    </row>
    <row r="355" ht="15.75" customHeight="1">
      <c r="A355" s="5">
        <v>18.0</v>
      </c>
      <c r="B355" s="10" t="s">
        <v>389</v>
      </c>
      <c r="C355" s="3" t="s">
        <v>390</v>
      </c>
      <c r="D355" s="4" t="s">
        <v>8</v>
      </c>
      <c r="E355" s="5" t="s">
        <v>9</v>
      </c>
      <c r="F355" s="6" t="s">
        <v>276</v>
      </c>
      <c r="G355" s="7">
        <v>45172.0</v>
      </c>
      <c r="H355" s="8">
        <f t="shared" si="1"/>
        <v>3</v>
      </c>
      <c r="I355" s="9">
        <f t="shared" si="2"/>
        <v>9</v>
      </c>
      <c r="J355" s="9">
        <f t="shared" si="3"/>
        <v>2023</v>
      </c>
    </row>
    <row r="356" ht="15.75" customHeight="1">
      <c r="A356" s="5">
        <v>18.0</v>
      </c>
      <c r="B356" s="10" t="s">
        <v>389</v>
      </c>
      <c r="C356" s="3" t="s">
        <v>390</v>
      </c>
      <c r="D356" s="4" t="s">
        <v>8</v>
      </c>
      <c r="E356" s="5" t="s">
        <v>9</v>
      </c>
      <c r="F356" s="6" t="s">
        <v>403</v>
      </c>
      <c r="G356" s="7">
        <v>45204.0</v>
      </c>
      <c r="H356" s="8">
        <f t="shared" si="1"/>
        <v>5</v>
      </c>
      <c r="I356" s="9">
        <f t="shared" si="2"/>
        <v>10</v>
      </c>
      <c r="J356" s="9">
        <f t="shared" si="3"/>
        <v>2023</v>
      </c>
    </row>
    <row r="357" ht="15.75" customHeight="1">
      <c r="A357" s="5">
        <v>18.0</v>
      </c>
      <c r="B357" s="10" t="s">
        <v>389</v>
      </c>
      <c r="C357" s="3" t="s">
        <v>390</v>
      </c>
      <c r="D357" s="4" t="s">
        <v>3</v>
      </c>
      <c r="E357" s="5" t="s">
        <v>4</v>
      </c>
      <c r="F357" s="6" t="s">
        <v>404</v>
      </c>
      <c r="G357" s="7">
        <v>45212.0</v>
      </c>
      <c r="H357" s="8">
        <f t="shared" si="1"/>
        <v>13</v>
      </c>
      <c r="I357" s="9">
        <f t="shared" si="2"/>
        <v>10</v>
      </c>
      <c r="J357" s="9">
        <f t="shared" si="3"/>
        <v>2023</v>
      </c>
    </row>
    <row r="358" ht="15.75" customHeight="1">
      <c r="A358" s="5">
        <v>18.0</v>
      </c>
      <c r="B358" s="10" t="s">
        <v>389</v>
      </c>
      <c r="C358" s="3" t="s">
        <v>390</v>
      </c>
      <c r="D358" s="4" t="s">
        <v>3</v>
      </c>
      <c r="E358" s="5" t="s">
        <v>45</v>
      </c>
      <c r="F358" s="6" t="s">
        <v>405</v>
      </c>
      <c r="G358" s="7">
        <v>45233.0</v>
      </c>
      <c r="H358" s="8">
        <f t="shared" si="1"/>
        <v>3</v>
      </c>
      <c r="I358" s="9">
        <f t="shared" si="2"/>
        <v>11</v>
      </c>
      <c r="J358" s="9">
        <f t="shared" si="3"/>
        <v>2023</v>
      </c>
    </row>
    <row r="359" ht="15.75" customHeight="1">
      <c r="A359" s="5">
        <v>18.0</v>
      </c>
      <c r="B359" s="10" t="s">
        <v>389</v>
      </c>
      <c r="C359" s="3" t="s">
        <v>390</v>
      </c>
      <c r="D359" s="4" t="s">
        <v>3</v>
      </c>
      <c r="E359" s="5" t="s">
        <v>21</v>
      </c>
      <c r="F359" s="6" t="s">
        <v>406</v>
      </c>
      <c r="G359" s="7">
        <v>45246.0</v>
      </c>
      <c r="H359" s="8">
        <f t="shared" si="1"/>
        <v>16</v>
      </c>
      <c r="I359" s="9">
        <f t="shared" si="2"/>
        <v>11</v>
      </c>
      <c r="J359" s="9">
        <f t="shared" si="3"/>
        <v>2023</v>
      </c>
    </row>
    <row r="360" ht="15.75" customHeight="1">
      <c r="A360" s="5">
        <v>18.0</v>
      </c>
      <c r="B360" s="10" t="s">
        <v>389</v>
      </c>
      <c r="C360" s="3" t="s">
        <v>390</v>
      </c>
      <c r="D360" s="4" t="s">
        <v>8</v>
      </c>
      <c r="E360" s="5" t="s">
        <v>23</v>
      </c>
      <c r="F360" s="6" t="s">
        <v>407</v>
      </c>
      <c r="G360" s="7">
        <v>45249.0</v>
      </c>
      <c r="H360" s="8">
        <f t="shared" si="1"/>
        <v>19</v>
      </c>
      <c r="I360" s="9">
        <f t="shared" si="2"/>
        <v>11</v>
      </c>
      <c r="J360" s="9">
        <f t="shared" si="3"/>
        <v>2023</v>
      </c>
    </row>
    <row r="361" ht="15.75" customHeight="1">
      <c r="A361" s="5">
        <v>19.0</v>
      </c>
      <c r="B361" s="10" t="s">
        <v>408</v>
      </c>
      <c r="C361" s="3" t="s">
        <v>409</v>
      </c>
      <c r="D361" s="4" t="s">
        <v>8</v>
      </c>
      <c r="E361" s="5" t="s">
        <v>45</v>
      </c>
      <c r="F361" s="6" t="s">
        <v>410</v>
      </c>
      <c r="G361" s="7">
        <v>44949.0</v>
      </c>
      <c r="H361" s="8">
        <f t="shared" si="1"/>
        <v>23</v>
      </c>
      <c r="I361" s="9">
        <f t="shared" si="2"/>
        <v>1</v>
      </c>
      <c r="J361" s="9">
        <f t="shared" si="3"/>
        <v>2023</v>
      </c>
    </row>
    <row r="362" ht="15.75" customHeight="1">
      <c r="A362" s="5">
        <v>19.0</v>
      </c>
      <c r="B362" s="10" t="s">
        <v>408</v>
      </c>
      <c r="C362" s="3" t="s">
        <v>409</v>
      </c>
      <c r="D362" s="4" t="s">
        <v>3</v>
      </c>
      <c r="E362" s="5" t="s">
        <v>11</v>
      </c>
      <c r="F362" s="6" t="s">
        <v>411</v>
      </c>
      <c r="G362" s="7">
        <v>45035.0</v>
      </c>
      <c r="H362" s="8">
        <f t="shared" si="1"/>
        <v>19</v>
      </c>
      <c r="I362" s="9">
        <f t="shared" si="2"/>
        <v>4</v>
      </c>
      <c r="J362" s="9">
        <f t="shared" si="3"/>
        <v>2023</v>
      </c>
    </row>
    <row r="363" ht="15.75" customHeight="1">
      <c r="A363" s="5">
        <v>19.0</v>
      </c>
      <c r="B363" s="10" t="s">
        <v>408</v>
      </c>
      <c r="C363" s="3" t="s">
        <v>409</v>
      </c>
      <c r="D363" s="4" t="s">
        <v>8</v>
      </c>
      <c r="E363" s="5" t="s">
        <v>23</v>
      </c>
      <c r="F363" s="6" t="s">
        <v>412</v>
      </c>
      <c r="G363" s="7">
        <v>45058.0</v>
      </c>
      <c r="H363" s="8">
        <f t="shared" si="1"/>
        <v>12</v>
      </c>
      <c r="I363" s="9">
        <f t="shared" si="2"/>
        <v>5</v>
      </c>
      <c r="J363" s="9">
        <f t="shared" si="3"/>
        <v>2023</v>
      </c>
    </row>
    <row r="364" ht="15.75" customHeight="1">
      <c r="A364" s="5">
        <v>19.0</v>
      </c>
      <c r="B364" s="10" t="s">
        <v>408</v>
      </c>
      <c r="C364" s="3" t="s">
        <v>409</v>
      </c>
      <c r="D364" s="4" t="s">
        <v>3</v>
      </c>
      <c r="E364" s="5" t="s">
        <v>51</v>
      </c>
      <c r="F364" s="6" t="s">
        <v>413</v>
      </c>
      <c r="G364" s="7">
        <v>45065.0</v>
      </c>
      <c r="H364" s="8">
        <f t="shared" si="1"/>
        <v>19</v>
      </c>
      <c r="I364" s="9">
        <f t="shared" si="2"/>
        <v>5</v>
      </c>
      <c r="J364" s="9">
        <f t="shared" si="3"/>
        <v>2023</v>
      </c>
    </row>
    <row r="365" ht="15.75" customHeight="1">
      <c r="A365" s="5">
        <v>19.0</v>
      </c>
      <c r="B365" s="10" t="s">
        <v>408</v>
      </c>
      <c r="C365" s="3" t="s">
        <v>409</v>
      </c>
      <c r="D365" s="4" t="s">
        <v>8</v>
      </c>
      <c r="E365" s="5" t="s">
        <v>11</v>
      </c>
      <c r="F365" s="6" t="s">
        <v>414</v>
      </c>
      <c r="G365" s="7">
        <v>45079.0</v>
      </c>
      <c r="H365" s="8">
        <f t="shared" si="1"/>
        <v>2</v>
      </c>
      <c r="I365" s="9">
        <f t="shared" si="2"/>
        <v>6</v>
      </c>
      <c r="J365" s="9">
        <f t="shared" si="3"/>
        <v>2023</v>
      </c>
    </row>
    <row r="366" ht="15.75" customHeight="1">
      <c r="A366" s="5">
        <v>19.0</v>
      </c>
      <c r="B366" s="10" t="s">
        <v>408</v>
      </c>
      <c r="C366" s="3" t="s">
        <v>409</v>
      </c>
      <c r="D366" s="4" t="s">
        <v>3</v>
      </c>
      <c r="E366" s="5" t="s">
        <v>96</v>
      </c>
      <c r="F366" s="6" t="s">
        <v>415</v>
      </c>
      <c r="G366" s="7">
        <v>45080.0</v>
      </c>
      <c r="H366" s="8">
        <f t="shared" si="1"/>
        <v>3</v>
      </c>
      <c r="I366" s="9">
        <f t="shared" si="2"/>
        <v>6</v>
      </c>
      <c r="J366" s="9">
        <f t="shared" si="3"/>
        <v>2023</v>
      </c>
    </row>
    <row r="367" ht="15.75" customHeight="1">
      <c r="A367" s="5">
        <v>19.0</v>
      </c>
      <c r="B367" s="10" t="s">
        <v>408</v>
      </c>
      <c r="C367" s="3" t="s">
        <v>409</v>
      </c>
      <c r="D367" s="4" t="s">
        <v>8</v>
      </c>
      <c r="E367" s="5" t="s">
        <v>28</v>
      </c>
      <c r="F367" s="6" t="s">
        <v>416</v>
      </c>
      <c r="G367" s="7">
        <v>45090.0</v>
      </c>
      <c r="H367" s="8">
        <f t="shared" si="1"/>
        <v>13</v>
      </c>
      <c r="I367" s="9">
        <f t="shared" si="2"/>
        <v>6</v>
      </c>
      <c r="J367" s="9">
        <f t="shared" si="3"/>
        <v>2023</v>
      </c>
    </row>
    <row r="368" ht="15.75" customHeight="1">
      <c r="A368" s="5">
        <v>19.0</v>
      </c>
      <c r="B368" s="10" t="s">
        <v>408</v>
      </c>
      <c r="C368" s="3" t="s">
        <v>409</v>
      </c>
      <c r="D368" s="4" t="s">
        <v>8</v>
      </c>
      <c r="E368" s="5" t="s">
        <v>45</v>
      </c>
      <c r="F368" s="6" t="s">
        <v>417</v>
      </c>
      <c r="G368" s="7">
        <v>45133.0</v>
      </c>
      <c r="H368" s="8">
        <f t="shared" si="1"/>
        <v>26</v>
      </c>
      <c r="I368" s="9">
        <f t="shared" si="2"/>
        <v>7</v>
      </c>
      <c r="J368" s="9">
        <f t="shared" si="3"/>
        <v>2023</v>
      </c>
    </row>
    <row r="369" ht="15.75" customHeight="1">
      <c r="A369" s="5">
        <v>19.0</v>
      </c>
      <c r="B369" s="10" t="s">
        <v>408</v>
      </c>
      <c r="C369" s="3" t="s">
        <v>409</v>
      </c>
      <c r="D369" s="4" t="s">
        <v>3</v>
      </c>
      <c r="E369" s="5" t="s">
        <v>19</v>
      </c>
      <c r="F369" s="6" t="s">
        <v>418</v>
      </c>
      <c r="G369" s="7">
        <v>45155.0</v>
      </c>
      <c r="H369" s="8">
        <f t="shared" si="1"/>
        <v>17</v>
      </c>
      <c r="I369" s="9">
        <f t="shared" si="2"/>
        <v>8</v>
      </c>
      <c r="J369" s="9">
        <f t="shared" si="3"/>
        <v>2023</v>
      </c>
    </row>
    <row r="370" ht="15.75" customHeight="1">
      <c r="A370" s="5">
        <v>19.0</v>
      </c>
      <c r="B370" s="10" t="s">
        <v>408</v>
      </c>
      <c r="C370" s="3" t="s">
        <v>409</v>
      </c>
      <c r="D370" s="4" t="s">
        <v>3</v>
      </c>
      <c r="E370" s="5" t="s">
        <v>11</v>
      </c>
      <c r="F370" s="6" t="s">
        <v>419</v>
      </c>
      <c r="G370" s="7">
        <v>45157.0</v>
      </c>
      <c r="H370" s="8">
        <f t="shared" si="1"/>
        <v>19</v>
      </c>
      <c r="I370" s="9">
        <f t="shared" si="2"/>
        <v>8</v>
      </c>
      <c r="J370" s="9">
        <f t="shared" si="3"/>
        <v>2023</v>
      </c>
    </row>
    <row r="371" ht="15.75" customHeight="1">
      <c r="A371" s="5">
        <v>19.0</v>
      </c>
      <c r="B371" s="10" t="s">
        <v>408</v>
      </c>
      <c r="C371" s="3" t="s">
        <v>409</v>
      </c>
      <c r="D371" s="4" t="s">
        <v>3</v>
      </c>
      <c r="E371" s="5" t="s">
        <v>6</v>
      </c>
      <c r="F371" s="6" t="s">
        <v>420</v>
      </c>
      <c r="G371" s="7">
        <v>45182.0</v>
      </c>
      <c r="H371" s="8">
        <f t="shared" si="1"/>
        <v>13</v>
      </c>
      <c r="I371" s="9">
        <f t="shared" si="2"/>
        <v>9</v>
      </c>
      <c r="J371" s="9">
        <f t="shared" si="3"/>
        <v>2023</v>
      </c>
    </row>
    <row r="372" ht="15.75" customHeight="1">
      <c r="A372" s="5">
        <v>19.0</v>
      </c>
      <c r="B372" s="10" t="s">
        <v>408</v>
      </c>
      <c r="C372" s="3" t="s">
        <v>409</v>
      </c>
      <c r="D372" s="4" t="s">
        <v>3</v>
      </c>
      <c r="E372" s="5" t="s">
        <v>4</v>
      </c>
      <c r="F372" s="6" t="s">
        <v>421</v>
      </c>
      <c r="G372" s="7">
        <v>45208.0</v>
      </c>
      <c r="H372" s="8">
        <f t="shared" si="1"/>
        <v>9</v>
      </c>
      <c r="I372" s="9">
        <f t="shared" si="2"/>
        <v>10</v>
      </c>
      <c r="J372" s="9">
        <f t="shared" si="3"/>
        <v>2023</v>
      </c>
    </row>
    <row r="373" ht="15.75" customHeight="1">
      <c r="A373" s="5">
        <v>19.0</v>
      </c>
      <c r="B373" s="10" t="s">
        <v>408</v>
      </c>
      <c r="C373" s="3" t="s">
        <v>409</v>
      </c>
      <c r="D373" s="4" t="s">
        <v>8</v>
      </c>
      <c r="E373" s="5" t="s">
        <v>21</v>
      </c>
      <c r="F373" s="6" t="s">
        <v>422</v>
      </c>
      <c r="G373" s="7">
        <v>45221.0</v>
      </c>
      <c r="H373" s="8">
        <f t="shared" si="1"/>
        <v>22</v>
      </c>
      <c r="I373" s="9">
        <f t="shared" si="2"/>
        <v>10</v>
      </c>
      <c r="J373" s="9">
        <f t="shared" si="3"/>
        <v>2023</v>
      </c>
    </row>
    <row r="374" ht="15.75" customHeight="1">
      <c r="A374" s="5">
        <v>19.0</v>
      </c>
      <c r="B374" s="10" t="s">
        <v>408</v>
      </c>
      <c r="C374" s="3" t="s">
        <v>409</v>
      </c>
      <c r="D374" s="4" t="s">
        <v>8</v>
      </c>
      <c r="E374" s="5" t="s">
        <v>17</v>
      </c>
      <c r="F374" s="6" t="s">
        <v>423</v>
      </c>
      <c r="G374" s="7">
        <v>45223.0</v>
      </c>
      <c r="H374" s="8">
        <f t="shared" si="1"/>
        <v>24</v>
      </c>
      <c r="I374" s="9">
        <f t="shared" si="2"/>
        <v>10</v>
      </c>
      <c r="J374" s="9">
        <f t="shared" si="3"/>
        <v>2023</v>
      </c>
    </row>
    <row r="375" ht="15.75" customHeight="1">
      <c r="A375" s="5">
        <v>19.0</v>
      </c>
      <c r="B375" s="10" t="s">
        <v>408</v>
      </c>
      <c r="C375" s="3" t="s">
        <v>409</v>
      </c>
      <c r="D375" s="4" t="s">
        <v>8</v>
      </c>
      <c r="E375" s="5" t="s">
        <v>120</v>
      </c>
      <c r="F375" s="6" t="s">
        <v>424</v>
      </c>
      <c r="G375" s="7">
        <v>45242.0</v>
      </c>
      <c r="H375" s="8">
        <f t="shared" si="1"/>
        <v>12</v>
      </c>
      <c r="I375" s="9">
        <f t="shared" si="2"/>
        <v>11</v>
      </c>
      <c r="J375" s="9">
        <f t="shared" si="3"/>
        <v>2023</v>
      </c>
    </row>
    <row r="376" ht="15.75" customHeight="1">
      <c r="A376" s="5">
        <v>19.0</v>
      </c>
      <c r="B376" s="10" t="s">
        <v>408</v>
      </c>
      <c r="C376" s="3" t="s">
        <v>409</v>
      </c>
      <c r="D376" s="4" t="s">
        <v>8</v>
      </c>
      <c r="E376" s="5" t="s">
        <v>71</v>
      </c>
      <c r="F376" s="6" t="s">
        <v>425</v>
      </c>
      <c r="G376" s="7">
        <v>45244.0</v>
      </c>
      <c r="H376" s="8">
        <f t="shared" si="1"/>
        <v>14</v>
      </c>
      <c r="I376" s="9">
        <f t="shared" si="2"/>
        <v>11</v>
      </c>
      <c r="J376" s="9">
        <f t="shared" si="3"/>
        <v>2023</v>
      </c>
    </row>
    <row r="377" ht="15.75" customHeight="1">
      <c r="A377" s="5">
        <v>19.0</v>
      </c>
      <c r="B377" s="10" t="s">
        <v>408</v>
      </c>
      <c r="C377" s="3" t="s">
        <v>409</v>
      </c>
      <c r="D377" s="4" t="s">
        <v>8</v>
      </c>
      <c r="E377" s="5" t="s">
        <v>21</v>
      </c>
      <c r="F377" s="6" t="s">
        <v>426</v>
      </c>
      <c r="G377" s="7">
        <v>45255.0</v>
      </c>
      <c r="H377" s="8">
        <f t="shared" si="1"/>
        <v>25</v>
      </c>
      <c r="I377" s="9">
        <f t="shared" si="2"/>
        <v>11</v>
      </c>
      <c r="J377" s="9">
        <f t="shared" si="3"/>
        <v>2023</v>
      </c>
    </row>
    <row r="378" ht="15.75" customHeight="1">
      <c r="A378" s="5">
        <v>19.0</v>
      </c>
      <c r="B378" s="10" t="s">
        <v>408</v>
      </c>
      <c r="C378" s="3" t="s">
        <v>409</v>
      </c>
      <c r="D378" s="4" t="s">
        <v>8</v>
      </c>
      <c r="E378" s="5" t="s">
        <v>21</v>
      </c>
      <c r="F378" s="6" t="s">
        <v>427</v>
      </c>
      <c r="G378" s="7">
        <v>45267.0</v>
      </c>
      <c r="H378" s="8">
        <f t="shared" si="1"/>
        <v>7</v>
      </c>
      <c r="I378" s="9">
        <f t="shared" si="2"/>
        <v>12</v>
      </c>
      <c r="J378" s="9">
        <f t="shared" si="3"/>
        <v>2023</v>
      </c>
    </row>
    <row r="379" ht="15.75" customHeight="1">
      <c r="A379" s="5">
        <v>19.0</v>
      </c>
      <c r="B379" s="10" t="s">
        <v>408</v>
      </c>
      <c r="C379" s="3" t="s">
        <v>409</v>
      </c>
      <c r="D379" s="4" t="s">
        <v>3</v>
      </c>
      <c r="E379" s="5" t="s">
        <v>42</v>
      </c>
      <c r="F379" s="6" t="s">
        <v>428</v>
      </c>
      <c r="G379" s="7">
        <v>45278.0</v>
      </c>
      <c r="H379" s="8">
        <f t="shared" si="1"/>
        <v>18</v>
      </c>
      <c r="I379" s="9">
        <f t="shared" si="2"/>
        <v>12</v>
      </c>
      <c r="J379" s="9">
        <f t="shared" si="3"/>
        <v>2023</v>
      </c>
    </row>
    <row r="380" ht="15.75" customHeight="1">
      <c r="A380" s="5">
        <v>19.0</v>
      </c>
      <c r="B380" s="10" t="s">
        <v>408</v>
      </c>
      <c r="C380" s="3" t="s">
        <v>409</v>
      </c>
      <c r="D380" s="4" t="s">
        <v>3</v>
      </c>
      <c r="E380" s="5" t="s">
        <v>51</v>
      </c>
      <c r="F380" s="6" t="s">
        <v>255</v>
      </c>
      <c r="G380" s="7">
        <v>45279.0</v>
      </c>
      <c r="H380" s="8">
        <f t="shared" si="1"/>
        <v>19</v>
      </c>
      <c r="I380" s="9">
        <f t="shared" si="2"/>
        <v>12</v>
      </c>
      <c r="J380" s="9">
        <f t="shared" si="3"/>
        <v>2023</v>
      </c>
    </row>
    <row r="381" ht="15.75" customHeight="1">
      <c r="A381" s="5">
        <v>20.0</v>
      </c>
      <c r="B381" s="10" t="s">
        <v>429</v>
      </c>
      <c r="C381" s="3" t="s">
        <v>430</v>
      </c>
      <c r="D381" s="4" t="s">
        <v>8</v>
      </c>
      <c r="E381" s="5" t="s">
        <v>6</v>
      </c>
      <c r="F381" s="6" t="s">
        <v>431</v>
      </c>
      <c r="G381" s="7">
        <v>44942.0</v>
      </c>
      <c r="H381" s="8">
        <f t="shared" si="1"/>
        <v>16</v>
      </c>
      <c r="I381" s="9">
        <f t="shared" si="2"/>
        <v>1</v>
      </c>
      <c r="J381" s="9">
        <f t="shared" si="3"/>
        <v>2023</v>
      </c>
    </row>
    <row r="382" ht="15.75" customHeight="1">
      <c r="A382" s="5">
        <v>20.0</v>
      </c>
      <c r="B382" s="10" t="s">
        <v>429</v>
      </c>
      <c r="C382" s="3" t="s">
        <v>430</v>
      </c>
      <c r="D382" s="4" t="s">
        <v>3</v>
      </c>
      <c r="E382" s="5" t="s">
        <v>35</v>
      </c>
      <c r="F382" s="6" t="s">
        <v>432</v>
      </c>
      <c r="G382" s="7">
        <v>44943.0</v>
      </c>
      <c r="H382" s="8">
        <f t="shared" si="1"/>
        <v>17</v>
      </c>
      <c r="I382" s="9">
        <f t="shared" si="2"/>
        <v>1</v>
      </c>
      <c r="J382" s="9">
        <f t="shared" si="3"/>
        <v>2023</v>
      </c>
    </row>
    <row r="383" ht="15.75" customHeight="1">
      <c r="A383" s="5">
        <v>20.0</v>
      </c>
      <c r="B383" s="10" t="s">
        <v>429</v>
      </c>
      <c r="C383" s="3" t="s">
        <v>430</v>
      </c>
      <c r="D383" s="4" t="s">
        <v>8</v>
      </c>
      <c r="E383" s="5" t="s">
        <v>71</v>
      </c>
      <c r="F383" s="6" t="s">
        <v>433</v>
      </c>
      <c r="G383" s="7">
        <v>44959.0</v>
      </c>
      <c r="H383" s="8">
        <f t="shared" si="1"/>
        <v>2</v>
      </c>
      <c r="I383" s="9">
        <f t="shared" si="2"/>
        <v>2</v>
      </c>
      <c r="J383" s="9">
        <f t="shared" si="3"/>
        <v>2023</v>
      </c>
    </row>
    <row r="384" ht="15.75" customHeight="1">
      <c r="A384" s="5">
        <v>20.0</v>
      </c>
      <c r="B384" s="10" t="s">
        <v>429</v>
      </c>
      <c r="C384" s="3" t="s">
        <v>430</v>
      </c>
      <c r="D384" s="4" t="s">
        <v>8</v>
      </c>
      <c r="E384" s="5" t="s">
        <v>35</v>
      </c>
      <c r="F384" s="6" t="s">
        <v>434</v>
      </c>
      <c r="G384" s="7">
        <v>44969.0</v>
      </c>
      <c r="H384" s="8">
        <f t="shared" si="1"/>
        <v>12</v>
      </c>
      <c r="I384" s="9">
        <f t="shared" si="2"/>
        <v>2</v>
      </c>
      <c r="J384" s="9">
        <f t="shared" si="3"/>
        <v>2023</v>
      </c>
    </row>
    <row r="385" ht="15.75" customHeight="1">
      <c r="A385" s="5">
        <v>20.0</v>
      </c>
      <c r="B385" s="10" t="s">
        <v>429</v>
      </c>
      <c r="C385" s="3" t="s">
        <v>430</v>
      </c>
      <c r="D385" s="4" t="s">
        <v>8</v>
      </c>
      <c r="E385" s="5" t="s">
        <v>42</v>
      </c>
      <c r="F385" s="6" t="s">
        <v>208</v>
      </c>
      <c r="G385" s="7">
        <v>44972.0</v>
      </c>
      <c r="H385" s="8">
        <f t="shared" si="1"/>
        <v>15</v>
      </c>
      <c r="I385" s="9">
        <f t="shared" si="2"/>
        <v>2</v>
      </c>
      <c r="J385" s="9">
        <f t="shared" si="3"/>
        <v>2023</v>
      </c>
    </row>
    <row r="386" ht="15.75" customHeight="1">
      <c r="A386" s="5">
        <v>20.0</v>
      </c>
      <c r="B386" s="10" t="s">
        <v>429</v>
      </c>
      <c r="C386" s="3" t="s">
        <v>430</v>
      </c>
      <c r="D386" s="4" t="s">
        <v>3</v>
      </c>
      <c r="E386" s="5" t="s">
        <v>42</v>
      </c>
      <c r="F386" s="6" t="s">
        <v>435</v>
      </c>
      <c r="G386" s="7">
        <v>44991.0</v>
      </c>
      <c r="H386" s="8">
        <f t="shared" si="1"/>
        <v>6</v>
      </c>
      <c r="I386" s="9">
        <f t="shared" si="2"/>
        <v>3</v>
      </c>
      <c r="J386" s="9">
        <f t="shared" si="3"/>
        <v>2023</v>
      </c>
    </row>
    <row r="387" ht="15.75" customHeight="1">
      <c r="A387" s="5">
        <v>20.0</v>
      </c>
      <c r="B387" s="10" t="s">
        <v>429</v>
      </c>
      <c r="C387" s="3" t="s">
        <v>430</v>
      </c>
      <c r="D387" s="4" t="s">
        <v>8</v>
      </c>
      <c r="E387" s="5" t="s">
        <v>76</v>
      </c>
      <c r="F387" s="6" t="s">
        <v>436</v>
      </c>
      <c r="G387" s="7">
        <v>45041.0</v>
      </c>
      <c r="H387" s="8">
        <f t="shared" si="1"/>
        <v>25</v>
      </c>
      <c r="I387" s="9">
        <f t="shared" si="2"/>
        <v>4</v>
      </c>
      <c r="J387" s="9">
        <f t="shared" si="3"/>
        <v>2023</v>
      </c>
    </row>
    <row r="388" ht="15.75" customHeight="1">
      <c r="A388" s="5">
        <v>20.0</v>
      </c>
      <c r="B388" s="10" t="s">
        <v>429</v>
      </c>
      <c r="C388" s="3" t="s">
        <v>430</v>
      </c>
      <c r="D388" s="4" t="s">
        <v>3</v>
      </c>
      <c r="E388" s="5" t="s">
        <v>39</v>
      </c>
      <c r="F388" s="6" t="s">
        <v>437</v>
      </c>
      <c r="G388" s="7">
        <v>45070.0</v>
      </c>
      <c r="H388" s="8">
        <f t="shared" si="1"/>
        <v>24</v>
      </c>
      <c r="I388" s="9">
        <f t="shared" si="2"/>
        <v>5</v>
      </c>
      <c r="J388" s="9">
        <f t="shared" si="3"/>
        <v>2023</v>
      </c>
    </row>
    <row r="389" ht="15.75" customHeight="1">
      <c r="A389" s="5">
        <v>20.0</v>
      </c>
      <c r="B389" s="10" t="s">
        <v>429</v>
      </c>
      <c r="C389" s="3" t="s">
        <v>430</v>
      </c>
      <c r="D389" s="4" t="s">
        <v>8</v>
      </c>
      <c r="E389" s="5" t="s">
        <v>71</v>
      </c>
      <c r="F389" s="6" t="s">
        <v>438</v>
      </c>
      <c r="G389" s="7">
        <v>45072.0</v>
      </c>
      <c r="H389" s="8">
        <f t="shared" si="1"/>
        <v>26</v>
      </c>
      <c r="I389" s="9">
        <f t="shared" si="2"/>
        <v>5</v>
      </c>
      <c r="J389" s="9">
        <f t="shared" si="3"/>
        <v>2023</v>
      </c>
    </row>
    <row r="390" ht="15.75" customHeight="1">
      <c r="A390" s="5">
        <v>20.0</v>
      </c>
      <c r="B390" s="10" t="s">
        <v>429</v>
      </c>
      <c r="C390" s="3" t="s">
        <v>430</v>
      </c>
      <c r="D390" s="4" t="s">
        <v>3</v>
      </c>
      <c r="E390" s="5" t="s">
        <v>42</v>
      </c>
      <c r="F390" s="6" t="s">
        <v>439</v>
      </c>
      <c r="G390" s="7">
        <v>45079.0</v>
      </c>
      <c r="H390" s="8">
        <f t="shared" si="1"/>
        <v>2</v>
      </c>
      <c r="I390" s="9">
        <f t="shared" si="2"/>
        <v>6</v>
      </c>
      <c r="J390" s="9">
        <f t="shared" si="3"/>
        <v>2023</v>
      </c>
    </row>
    <row r="391" ht="15.75" customHeight="1">
      <c r="A391" s="5">
        <v>20.0</v>
      </c>
      <c r="B391" s="10" t="s">
        <v>429</v>
      </c>
      <c r="C391" s="3" t="s">
        <v>430</v>
      </c>
      <c r="D391" s="4" t="s">
        <v>3</v>
      </c>
      <c r="E391" s="5" t="s">
        <v>28</v>
      </c>
      <c r="F391" s="6" t="s">
        <v>440</v>
      </c>
      <c r="G391" s="7">
        <v>45119.0</v>
      </c>
      <c r="H391" s="8">
        <f t="shared" si="1"/>
        <v>12</v>
      </c>
      <c r="I391" s="9">
        <f t="shared" si="2"/>
        <v>7</v>
      </c>
      <c r="J391" s="9">
        <f t="shared" si="3"/>
        <v>2023</v>
      </c>
    </row>
    <row r="392" ht="15.75" customHeight="1">
      <c r="A392" s="5">
        <v>20.0</v>
      </c>
      <c r="B392" s="10" t="s">
        <v>429</v>
      </c>
      <c r="C392" s="3" t="s">
        <v>430</v>
      </c>
      <c r="D392" s="4" t="s">
        <v>3</v>
      </c>
      <c r="E392" s="5" t="s">
        <v>21</v>
      </c>
      <c r="F392" s="6" t="s">
        <v>441</v>
      </c>
      <c r="G392" s="7">
        <v>45124.0</v>
      </c>
      <c r="H392" s="8">
        <f t="shared" si="1"/>
        <v>17</v>
      </c>
      <c r="I392" s="9">
        <f t="shared" si="2"/>
        <v>7</v>
      </c>
      <c r="J392" s="9">
        <f t="shared" si="3"/>
        <v>2023</v>
      </c>
    </row>
    <row r="393" ht="15.75" customHeight="1">
      <c r="A393" s="5">
        <v>20.0</v>
      </c>
      <c r="B393" s="10" t="s">
        <v>429</v>
      </c>
      <c r="C393" s="3" t="s">
        <v>430</v>
      </c>
      <c r="D393" s="4" t="s">
        <v>8</v>
      </c>
      <c r="E393" s="5" t="s">
        <v>45</v>
      </c>
      <c r="F393" s="6" t="s">
        <v>442</v>
      </c>
      <c r="G393" s="7">
        <v>45148.0</v>
      </c>
      <c r="H393" s="8">
        <f t="shared" si="1"/>
        <v>10</v>
      </c>
      <c r="I393" s="9">
        <f t="shared" si="2"/>
        <v>8</v>
      </c>
      <c r="J393" s="9">
        <f t="shared" si="3"/>
        <v>2023</v>
      </c>
    </row>
    <row r="394" ht="15.75" customHeight="1">
      <c r="A394" s="5">
        <v>20.0</v>
      </c>
      <c r="B394" s="10" t="s">
        <v>429</v>
      </c>
      <c r="C394" s="3" t="s">
        <v>430</v>
      </c>
      <c r="D394" s="4" t="s">
        <v>3</v>
      </c>
      <c r="E394" s="5" t="s">
        <v>120</v>
      </c>
      <c r="F394" s="6" t="s">
        <v>443</v>
      </c>
      <c r="G394" s="7">
        <v>45170.0</v>
      </c>
      <c r="H394" s="8">
        <f t="shared" si="1"/>
        <v>1</v>
      </c>
      <c r="I394" s="9">
        <f t="shared" si="2"/>
        <v>9</v>
      </c>
      <c r="J394" s="9">
        <f t="shared" si="3"/>
        <v>2023</v>
      </c>
    </row>
    <row r="395" ht="15.75" customHeight="1">
      <c r="A395" s="5">
        <v>20.0</v>
      </c>
      <c r="B395" s="10" t="s">
        <v>429</v>
      </c>
      <c r="C395" s="3" t="s">
        <v>430</v>
      </c>
      <c r="D395" s="4" t="s">
        <v>3</v>
      </c>
      <c r="E395" s="5" t="s">
        <v>120</v>
      </c>
      <c r="F395" s="6" t="s">
        <v>444</v>
      </c>
      <c r="G395" s="7">
        <v>45182.0</v>
      </c>
      <c r="H395" s="8">
        <f t="shared" si="1"/>
        <v>13</v>
      </c>
      <c r="I395" s="9">
        <f t="shared" si="2"/>
        <v>9</v>
      </c>
      <c r="J395" s="9">
        <f t="shared" si="3"/>
        <v>2023</v>
      </c>
    </row>
    <row r="396" ht="15.75" customHeight="1">
      <c r="A396" s="5">
        <v>20.0</v>
      </c>
      <c r="B396" s="10" t="s">
        <v>429</v>
      </c>
      <c r="C396" s="3" t="s">
        <v>430</v>
      </c>
      <c r="D396" s="4" t="s">
        <v>3</v>
      </c>
      <c r="E396" s="5" t="s">
        <v>13</v>
      </c>
      <c r="F396" s="6" t="s">
        <v>445</v>
      </c>
      <c r="G396" s="7">
        <v>45225.0</v>
      </c>
      <c r="H396" s="8">
        <f t="shared" si="1"/>
        <v>26</v>
      </c>
      <c r="I396" s="9">
        <f t="shared" si="2"/>
        <v>10</v>
      </c>
      <c r="J396" s="9">
        <f t="shared" si="3"/>
        <v>2023</v>
      </c>
    </row>
    <row r="397" ht="15.75" customHeight="1">
      <c r="A397" s="5">
        <v>20.0</v>
      </c>
      <c r="B397" s="10" t="s">
        <v>429</v>
      </c>
      <c r="C397" s="3" t="s">
        <v>430</v>
      </c>
      <c r="D397" s="4" t="s">
        <v>8</v>
      </c>
      <c r="E397" s="5" t="s">
        <v>11</v>
      </c>
      <c r="F397" s="6" t="s">
        <v>446</v>
      </c>
      <c r="G397" s="7">
        <v>45236.0</v>
      </c>
      <c r="H397" s="8">
        <f t="shared" si="1"/>
        <v>6</v>
      </c>
      <c r="I397" s="9">
        <f t="shared" si="2"/>
        <v>11</v>
      </c>
      <c r="J397" s="9">
        <f t="shared" si="3"/>
        <v>2023</v>
      </c>
    </row>
    <row r="398" ht="15.75" customHeight="1">
      <c r="A398" s="5">
        <v>20.0</v>
      </c>
      <c r="B398" s="10" t="s">
        <v>429</v>
      </c>
      <c r="C398" s="3" t="s">
        <v>430</v>
      </c>
      <c r="D398" s="4" t="s">
        <v>8</v>
      </c>
      <c r="E398" s="5" t="s">
        <v>120</v>
      </c>
      <c r="F398" s="6" t="s">
        <v>447</v>
      </c>
      <c r="G398" s="7">
        <v>45238.0</v>
      </c>
      <c r="H398" s="8">
        <f t="shared" si="1"/>
        <v>8</v>
      </c>
      <c r="I398" s="9">
        <f t="shared" si="2"/>
        <v>11</v>
      </c>
      <c r="J398" s="9">
        <f t="shared" si="3"/>
        <v>2023</v>
      </c>
    </row>
    <row r="399" ht="15.75" customHeight="1">
      <c r="A399" s="5">
        <v>20.0</v>
      </c>
      <c r="B399" s="10" t="s">
        <v>429</v>
      </c>
      <c r="C399" s="3" t="s">
        <v>430</v>
      </c>
      <c r="D399" s="4" t="s">
        <v>3</v>
      </c>
      <c r="E399" s="5" t="s">
        <v>28</v>
      </c>
      <c r="F399" s="6" t="s">
        <v>448</v>
      </c>
      <c r="G399" s="7">
        <v>45242.0</v>
      </c>
      <c r="H399" s="8">
        <f t="shared" si="1"/>
        <v>12</v>
      </c>
      <c r="I399" s="9">
        <f t="shared" si="2"/>
        <v>11</v>
      </c>
      <c r="J399" s="9">
        <f t="shared" si="3"/>
        <v>2023</v>
      </c>
    </row>
    <row r="400" ht="15.75" customHeight="1">
      <c r="A400" s="5">
        <v>20.0</v>
      </c>
      <c r="B400" s="10" t="s">
        <v>429</v>
      </c>
      <c r="C400" s="3" t="s">
        <v>430</v>
      </c>
      <c r="D400" s="4" t="s">
        <v>3</v>
      </c>
      <c r="E400" s="5" t="s">
        <v>23</v>
      </c>
      <c r="F400" s="6" t="s">
        <v>449</v>
      </c>
      <c r="G400" s="7">
        <v>45245.0</v>
      </c>
      <c r="H400" s="8">
        <f t="shared" si="1"/>
        <v>15</v>
      </c>
      <c r="I400" s="9">
        <f t="shared" si="2"/>
        <v>11</v>
      </c>
      <c r="J400" s="9">
        <f t="shared" si="3"/>
        <v>2023</v>
      </c>
    </row>
    <row r="401" ht="15.75" customHeight="1">
      <c r="A401" s="5">
        <v>21.0</v>
      </c>
      <c r="B401" s="10" t="s">
        <v>450</v>
      </c>
      <c r="C401" s="3" t="s">
        <v>451</v>
      </c>
      <c r="D401" s="4" t="s">
        <v>3</v>
      </c>
      <c r="E401" s="5" t="s">
        <v>15</v>
      </c>
      <c r="F401" s="6" t="s">
        <v>452</v>
      </c>
      <c r="G401" s="7">
        <v>44948.0</v>
      </c>
      <c r="H401" s="8">
        <f t="shared" si="1"/>
        <v>22</v>
      </c>
      <c r="I401" s="9">
        <f t="shared" si="2"/>
        <v>1</v>
      </c>
      <c r="J401" s="9">
        <f t="shared" si="3"/>
        <v>2023</v>
      </c>
    </row>
    <row r="402" ht="15.75" customHeight="1">
      <c r="A402" s="5">
        <v>21.0</v>
      </c>
      <c r="B402" s="10" t="s">
        <v>450</v>
      </c>
      <c r="C402" s="3" t="s">
        <v>451</v>
      </c>
      <c r="D402" s="4" t="s">
        <v>3</v>
      </c>
      <c r="E402" s="5" t="s">
        <v>96</v>
      </c>
      <c r="F402" s="6" t="s">
        <v>453</v>
      </c>
      <c r="G402" s="7">
        <v>44960.0</v>
      </c>
      <c r="H402" s="8">
        <f t="shared" si="1"/>
        <v>3</v>
      </c>
      <c r="I402" s="9">
        <f t="shared" si="2"/>
        <v>2</v>
      </c>
      <c r="J402" s="9">
        <f t="shared" si="3"/>
        <v>2023</v>
      </c>
    </row>
    <row r="403" ht="15.75" customHeight="1">
      <c r="A403" s="5">
        <v>21.0</v>
      </c>
      <c r="B403" s="10" t="s">
        <v>450</v>
      </c>
      <c r="C403" s="3" t="s">
        <v>451</v>
      </c>
      <c r="D403" s="4" t="s">
        <v>3</v>
      </c>
      <c r="E403" s="5" t="s">
        <v>17</v>
      </c>
      <c r="F403" s="6" t="s">
        <v>454</v>
      </c>
      <c r="G403" s="7">
        <v>44960.0</v>
      </c>
      <c r="H403" s="8">
        <f t="shared" si="1"/>
        <v>3</v>
      </c>
      <c r="I403" s="9">
        <f t="shared" si="2"/>
        <v>2</v>
      </c>
      <c r="J403" s="9">
        <f t="shared" si="3"/>
        <v>2023</v>
      </c>
    </row>
    <row r="404" ht="15.75" customHeight="1">
      <c r="A404" s="5">
        <v>21.0</v>
      </c>
      <c r="B404" s="10" t="s">
        <v>450</v>
      </c>
      <c r="C404" s="3" t="s">
        <v>451</v>
      </c>
      <c r="D404" s="4" t="s">
        <v>3</v>
      </c>
      <c r="E404" s="5" t="s">
        <v>42</v>
      </c>
      <c r="F404" s="6" t="s">
        <v>455</v>
      </c>
      <c r="G404" s="7">
        <v>44986.0</v>
      </c>
      <c r="H404" s="8">
        <f t="shared" si="1"/>
        <v>1</v>
      </c>
      <c r="I404" s="9">
        <f t="shared" si="2"/>
        <v>3</v>
      </c>
      <c r="J404" s="9">
        <f t="shared" si="3"/>
        <v>2023</v>
      </c>
    </row>
    <row r="405" ht="15.75" customHeight="1">
      <c r="A405" s="5">
        <v>21.0</v>
      </c>
      <c r="B405" s="10" t="s">
        <v>450</v>
      </c>
      <c r="C405" s="3" t="s">
        <v>451</v>
      </c>
      <c r="D405" s="4" t="s">
        <v>3</v>
      </c>
      <c r="E405" s="5" t="s">
        <v>21</v>
      </c>
      <c r="F405" s="6" t="s">
        <v>456</v>
      </c>
      <c r="G405" s="7">
        <v>45004.0</v>
      </c>
      <c r="H405" s="8">
        <f t="shared" si="1"/>
        <v>19</v>
      </c>
      <c r="I405" s="9">
        <f t="shared" si="2"/>
        <v>3</v>
      </c>
      <c r="J405" s="9">
        <f t="shared" si="3"/>
        <v>2023</v>
      </c>
    </row>
    <row r="406" ht="15.75" customHeight="1">
      <c r="A406" s="5">
        <v>21.0</v>
      </c>
      <c r="B406" s="10" t="s">
        <v>450</v>
      </c>
      <c r="C406" s="3" t="s">
        <v>451</v>
      </c>
      <c r="D406" s="4" t="s">
        <v>3</v>
      </c>
      <c r="E406" s="5" t="s">
        <v>4</v>
      </c>
      <c r="F406" s="6" t="s">
        <v>457</v>
      </c>
      <c r="G406" s="7">
        <v>45032.0</v>
      </c>
      <c r="H406" s="8">
        <f t="shared" si="1"/>
        <v>16</v>
      </c>
      <c r="I406" s="9">
        <f t="shared" si="2"/>
        <v>4</v>
      </c>
      <c r="J406" s="9">
        <f t="shared" si="3"/>
        <v>2023</v>
      </c>
    </row>
    <row r="407" ht="15.75" customHeight="1">
      <c r="A407" s="5">
        <v>21.0</v>
      </c>
      <c r="B407" s="10" t="s">
        <v>450</v>
      </c>
      <c r="C407" s="3" t="s">
        <v>451</v>
      </c>
      <c r="D407" s="4" t="s">
        <v>3</v>
      </c>
      <c r="E407" s="5" t="s">
        <v>96</v>
      </c>
      <c r="F407" s="6" t="s">
        <v>458</v>
      </c>
      <c r="G407" s="7">
        <v>45042.0</v>
      </c>
      <c r="H407" s="8">
        <f t="shared" si="1"/>
        <v>26</v>
      </c>
      <c r="I407" s="9">
        <f t="shared" si="2"/>
        <v>4</v>
      </c>
      <c r="J407" s="9">
        <f t="shared" si="3"/>
        <v>2023</v>
      </c>
    </row>
    <row r="408" ht="15.75" customHeight="1">
      <c r="A408" s="5">
        <v>21.0</v>
      </c>
      <c r="B408" s="10" t="s">
        <v>450</v>
      </c>
      <c r="C408" s="3" t="s">
        <v>451</v>
      </c>
      <c r="D408" s="4" t="s">
        <v>8</v>
      </c>
      <c r="E408" s="5" t="s">
        <v>120</v>
      </c>
      <c r="F408" s="6" t="s">
        <v>459</v>
      </c>
      <c r="G408" s="7">
        <v>45056.0</v>
      </c>
      <c r="H408" s="8">
        <f t="shared" si="1"/>
        <v>10</v>
      </c>
      <c r="I408" s="9">
        <f t="shared" si="2"/>
        <v>5</v>
      </c>
      <c r="J408" s="9">
        <f t="shared" si="3"/>
        <v>2023</v>
      </c>
    </row>
    <row r="409" ht="15.75" customHeight="1">
      <c r="A409" s="5">
        <v>21.0</v>
      </c>
      <c r="B409" s="10" t="s">
        <v>450</v>
      </c>
      <c r="C409" s="3" t="s">
        <v>451</v>
      </c>
      <c r="D409" s="4" t="s">
        <v>3</v>
      </c>
      <c r="E409" s="5" t="s">
        <v>4</v>
      </c>
      <c r="F409" s="6" t="s">
        <v>460</v>
      </c>
      <c r="G409" s="7">
        <v>45064.0</v>
      </c>
      <c r="H409" s="8">
        <f t="shared" si="1"/>
        <v>18</v>
      </c>
      <c r="I409" s="9">
        <f t="shared" si="2"/>
        <v>5</v>
      </c>
      <c r="J409" s="9">
        <f t="shared" si="3"/>
        <v>2023</v>
      </c>
    </row>
    <row r="410" ht="15.75" customHeight="1">
      <c r="A410" s="5">
        <v>21.0</v>
      </c>
      <c r="B410" s="10" t="s">
        <v>450</v>
      </c>
      <c r="C410" s="3" t="s">
        <v>451</v>
      </c>
      <c r="D410" s="4" t="s">
        <v>3</v>
      </c>
      <c r="E410" s="5" t="s">
        <v>15</v>
      </c>
      <c r="F410" s="6" t="s">
        <v>257</v>
      </c>
      <c r="G410" s="7">
        <v>45084.0</v>
      </c>
      <c r="H410" s="8">
        <f t="shared" si="1"/>
        <v>7</v>
      </c>
      <c r="I410" s="9">
        <f t="shared" si="2"/>
        <v>6</v>
      </c>
      <c r="J410" s="9">
        <f t="shared" si="3"/>
        <v>2023</v>
      </c>
    </row>
    <row r="411" ht="15.75" customHeight="1">
      <c r="A411" s="5">
        <v>21.0</v>
      </c>
      <c r="B411" s="10" t="s">
        <v>450</v>
      </c>
      <c r="C411" s="3" t="s">
        <v>451</v>
      </c>
      <c r="D411" s="4" t="s">
        <v>8</v>
      </c>
      <c r="E411" s="5" t="s">
        <v>19</v>
      </c>
      <c r="F411" s="6" t="s">
        <v>461</v>
      </c>
      <c r="G411" s="7">
        <v>45108.0</v>
      </c>
      <c r="H411" s="8">
        <f t="shared" si="1"/>
        <v>1</v>
      </c>
      <c r="I411" s="9">
        <f t="shared" si="2"/>
        <v>7</v>
      </c>
      <c r="J411" s="9">
        <f t="shared" si="3"/>
        <v>2023</v>
      </c>
    </row>
    <row r="412" ht="15.75" customHeight="1">
      <c r="A412" s="5">
        <v>21.0</v>
      </c>
      <c r="B412" s="10" t="s">
        <v>450</v>
      </c>
      <c r="C412" s="3" t="s">
        <v>451</v>
      </c>
      <c r="D412" s="4" t="s">
        <v>3</v>
      </c>
      <c r="E412" s="5" t="s">
        <v>13</v>
      </c>
      <c r="F412" s="6" t="s">
        <v>462</v>
      </c>
      <c r="G412" s="7">
        <v>45112.0</v>
      </c>
      <c r="H412" s="8">
        <f t="shared" si="1"/>
        <v>5</v>
      </c>
      <c r="I412" s="9">
        <f t="shared" si="2"/>
        <v>7</v>
      </c>
      <c r="J412" s="9">
        <f t="shared" si="3"/>
        <v>2023</v>
      </c>
    </row>
    <row r="413" ht="15.75" customHeight="1">
      <c r="A413" s="5">
        <v>21.0</v>
      </c>
      <c r="B413" s="10" t="s">
        <v>450</v>
      </c>
      <c r="C413" s="3" t="s">
        <v>451</v>
      </c>
      <c r="D413" s="4" t="s">
        <v>8</v>
      </c>
      <c r="E413" s="5" t="s">
        <v>45</v>
      </c>
      <c r="F413" s="6" t="s">
        <v>463</v>
      </c>
      <c r="G413" s="7">
        <v>45160.0</v>
      </c>
      <c r="H413" s="8">
        <f t="shared" si="1"/>
        <v>22</v>
      </c>
      <c r="I413" s="9">
        <f t="shared" si="2"/>
        <v>8</v>
      </c>
      <c r="J413" s="9">
        <f t="shared" si="3"/>
        <v>2023</v>
      </c>
    </row>
    <row r="414" ht="15.75" customHeight="1">
      <c r="A414" s="5">
        <v>21.0</v>
      </c>
      <c r="B414" s="10" t="s">
        <v>450</v>
      </c>
      <c r="C414" s="3" t="s">
        <v>451</v>
      </c>
      <c r="D414" s="4" t="s">
        <v>8</v>
      </c>
      <c r="E414" s="5" t="s">
        <v>4</v>
      </c>
      <c r="F414" s="6" t="s">
        <v>464</v>
      </c>
      <c r="G414" s="7">
        <v>45162.0</v>
      </c>
      <c r="H414" s="8">
        <f t="shared" si="1"/>
        <v>24</v>
      </c>
      <c r="I414" s="9">
        <f t="shared" si="2"/>
        <v>8</v>
      </c>
      <c r="J414" s="9">
        <f t="shared" si="3"/>
        <v>2023</v>
      </c>
    </row>
    <row r="415" ht="15.75" customHeight="1">
      <c r="A415" s="5">
        <v>21.0</v>
      </c>
      <c r="B415" s="10" t="s">
        <v>450</v>
      </c>
      <c r="C415" s="3" t="s">
        <v>451</v>
      </c>
      <c r="D415" s="4" t="s">
        <v>3</v>
      </c>
      <c r="E415" s="5" t="s">
        <v>51</v>
      </c>
      <c r="F415" s="6" t="s">
        <v>97</v>
      </c>
      <c r="G415" s="7">
        <v>45164.0</v>
      </c>
      <c r="H415" s="8">
        <f t="shared" si="1"/>
        <v>26</v>
      </c>
      <c r="I415" s="9">
        <f t="shared" si="2"/>
        <v>8</v>
      </c>
      <c r="J415" s="9">
        <f t="shared" si="3"/>
        <v>2023</v>
      </c>
    </row>
    <row r="416" ht="15.75" customHeight="1">
      <c r="A416" s="5">
        <v>21.0</v>
      </c>
      <c r="B416" s="10" t="s">
        <v>450</v>
      </c>
      <c r="C416" s="3" t="s">
        <v>451</v>
      </c>
      <c r="D416" s="4" t="s">
        <v>3</v>
      </c>
      <c r="E416" s="5" t="s">
        <v>11</v>
      </c>
      <c r="F416" s="6" t="s">
        <v>465</v>
      </c>
      <c r="G416" s="7">
        <v>45170.0</v>
      </c>
      <c r="H416" s="8">
        <f t="shared" si="1"/>
        <v>1</v>
      </c>
      <c r="I416" s="9">
        <f t="shared" si="2"/>
        <v>9</v>
      </c>
      <c r="J416" s="9">
        <f t="shared" si="3"/>
        <v>2023</v>
      </c>
    </row>
    <row r="417" ht="15.75" customHeight="1">
      <c r="A417" s="5">
        <v>21.0</v>
      </c>
      <c r="B417" s="10" t="s">
        <v>450</v>
      </c>
      <c r="C417" s="3" t="s">
        <v>451</v>
      </c>
      <c r="D417" s="4" t="s">
        <v>3</v>
      </c>
      <c r="E417" s="5" t="s">
        <v>35</v>
      </c>
      <c r="F417" s="6" t="s">
        <v>466</v>
      </c>
      <c r="G417" s="7">
        <v>45182.0</v>
      </c>
      <c r="H417" s="8">
        <f t="shared" si="1"/>
        <v>13</v>
      </c>
      <c r="I417" s="9">
        <f t="shared" si="2"/>
        <v>9</v>
      </c>
      <c r="J417" s="9">
        <f t="shared" si="3"/>
        <v>2023</v>
      </c>
    </row>
    <row r="418" ht="15.75" customHeight="1">
      <c r="A418" s="5">
        <v>21.0</v>
      </c>
      <c r="B418" s="10" t="s">
        <v>450</v>
      </c>
      <c r="C418" s="3" t="s">
        <v>451</v>
      </c>
      <c r="D418" s="4" t="s">
        <v>8</v>
      </c>
      <c r="E418" s="5" t="s">
        <v>23</v>
      </c>
      <c r="F418" s="6" t="s">
        <v>467</v>
      </c>
      <c r="G418" s="7">
        <v>45235.0</v>
      </c>
      <c r="H418" s="8">
        <f t="shared" si="1"/>
        <v>5</v>
      </c>
      <c r="I418" s="9">
        <f t="shared" si="2"/>
        <v>11</v>
      </c>
      <c r="J418" s="9">
        <f t="shared" si="3"/>
        <v>2023</v>
      </c>
    </row>
    <row r="419" ht="15.75" customHeight="1">
      <c r="A419" s="5">
        <v>21.0</v>
      </c>
      <c r="B419" s="10" t="s">
        <v>450</v>
      </c>
      <c r="C419" s="3" t="s">
        <v>451</v>
      </c>
      <c r="D419" s="4" t="s">
        <v>8</v>
      </c>
      <c r="E419" s="5" t="s">
        <v>11</v>
      </c>
      <c r="F419" s="6" t="s">
        <v>468</v>
      </c>
      <c r="G419" s="7">
        <v>45255.0</v>
      </c>
      <c r="H419" s="8">
        <f t="shared" si="1"/>
        <v>25</v>
      </c>
      <c r="I419" s="9">
        <f t="shared" si="2"/>
        <v>11</v>
      </c>
      <c r="J419" s="9">
        <f t="shared" si="3"/>
        <v>2023</v>
      </c>
    </row>
    <row r="420" ht="15.75" customHeight="1">
      <c r="A420" s="5">
        <v>21.0</v>
      </c>
      <c r="B420" s="10" t="s">
        <v>450</v>
      </c>
      <c r="C420" s="3" t="s">
        <v>451</v>
      </c>
      <c r="D420" s="4" t="s">
        <v>3</v>
      </c>
      <c r="E420" s="5" t="s">
        <v>13</v>
      </c>
      <c r="F420" s="6" t="s">
        <v>469</v>
      </c>
      <c r="G420" s="7">
        <v>45282.0</v>
      </c>
      <c r="H420" s="8">
        <f t="shared" si="1"/>
        <v>22</v>
      </c>
      <c r="I420" s="9">
        <f t="shared" si="2"/>
        <v>12</v>
      </c>
      <c r="J420" s="9">
        <f t="shared" si="3"/>
        <v>2023</v>
      </c>
    </row>
    <row r="421" ht="15.75" customHeight="1">
      <c r="A421" s="5">
        <v>22.0</v>
      </c>
      <c r="B421" s="10" t="s">
        <v>470</v>
      </c>
      <c r="C421" s="3" t="s">
        <v>471</v>
      </c>
      <c r="D421" s="4" t="s">
        <v>3</v>
      </c>
      <c r="E421" s="5" t="s">
        <v>42</v>
      </c>
      <c r="F421" s="6" t="s">
        <v>472</v>
      </c>
      <c r="G421" s="7">
        <v>44937.0</v>
      </c>
      <c r="H421" s="8">
        <f t="shared" si="1"/>
        <v>11</v>
      </c>
      <c r="I421" s="9">
        <f t="shared" si="2"/>
        <v>1</v>
      </c>
      <c r="J421" s="9">
        <f t="shared" si="3"/>
        <v>2023</v>
      </c>
    </row>
    <row r="422" ht="15.75" customHeight="1">
      <c r="A422" s="5">
        <v>22.0</v>
      </c>
      <c r="B422" s="10" t="s">
        <v>470</v>
      </c>
      <c r="C422" s="3" t="s">
        <v>471</v>
      </c>
      <c r="D422" s="4" t="s">
        <v>3</v>
      </c>
      <c r="E422" s="5" t="s">
        <v>6</v>
      </c>
      <c r="F422" s="6" t="s">
        <v>473</v>
      </c>
      <c r="G422" s="7">
        <v>44998.0</v>
      </c>
      <c r="H422" s="8">
        <f t="shared" si="1"/>
        <v>13</v>
      </c>
      <c r="I422" s="9">
        <f t="shared" si="2"/>
        <v>3</v>
      </c>
      <c r="J422" s="9">
        <f t="shared" si="3"/>
        <v>2023</v>
      </c>
    </row>
    <row r="423" ht="15.75" customHeight="1">
      <c r="A423" s="5">
        <v>22.0</v>
      </c>
      <c r="B423" s="10" t="s">
        <v>470</v>
      </c>
      <c r="C423" s="3" t="s">
        <v>471</v>
      </c>
      <c r="D423" s="4" t="s">
        <v>3</v>
      </c>
      <c r="E423" s="5" t="s">
        <v>76</v>
      </c>
      <c r="F423" s="6" t="s">
        <v>474</v>
      </c>
      <c r="G423" s="7">
        <v>45010.0</v>
      </c>
      <c r="H423" s="8">
        <f t="shared" si="1"/>
        <v>25</v>
      </c>
      <c r="I423" s="9">
        <f t="shared" si="2"/>
        <v>3</v>
      </c>
      <c r="J423" s="9">
        <f t="shared" si="3"/>
        <v>2023</v>
      </c>
    </row>
    <row r="424" ht="15.75" customHeight="1">
      <c r="A424" s="5">
        <v>22.0</v>
      </c>
      <c r="B424" s="10" t="s">
        <v>470</v>
      </c>
      <c r="C424" s="3" t="s">
        <v>471</v>
      </c>
      <c r="D424" s="4" t="s">
        <v>8</v>
      </c>
      <c r="E424" s="5" t="s">
        <v>15</v>
      </c>
      <c r="F424" s="6" t="s">
        <v>475</v>
      </c>
      <c r="G424" s="7">
        <v>45049.0</v>
      </c>
      <c r="H424" s="8">
        <f t="shared" si="1"/>
        <v>3</v>
      </c>
      <c r="I424" s="9">
        <f t="shared" si="2"/>
        <v>5</v>
      </c>
      <c r="J424" s="9">
        <f t="shared" si="3"/>
        <v>2023</v>
      </c>
    </row>
    <row r="425" ht="15.75" customHeight="1">
      <c r="A425" s="5">
        <v>22.0</v>
      </c>
      <c r="B425" s="10" t="s">
        <v>470</v>
      </c>
      <c r="C425" s="3" t="s">
        <v>471</v>
      </c>
      <c r="D425" s="4" t="s">
        <v>3</v>
      </c>
      <c r="E425" s="5" t="s">
        <v>28</v>
      </c>
      <c r="F425" s="6" t="s">
        <v>476</v>
      </c>
      <c r="G425" s="7">
        <v>45111.0</v>
      </c>
      <c r="H425" s="8">
        <f t="shared" si="1"/>
        <v>4</v>
      </c>
      <c r="I425" s="9">
        <f t="shared" si="2"/>
        <v>7</v>
      </c>
      <c r="J425" s="9">
        <f t="shared" si="3"/>
        <v>2023</v>
      </c>
    </row>
    <row r="426" ht="15.75" customHeight="1">
      <c r="A426" s="5">
        <v>22.0</v>
      </c>
      <c r="B426" s="10" t="s">
        <v>470</v>
      </c>
      <c r="C426" s="3" t="s">
        <v>471</v>
      </c>
      <c r="D426" s="4" t="s">
        <v>3</v>
      </c>
      <c r="E426" s="5" t="s">
        <v>28</v>
      </c>
      <c r="F426" s="6" t="s">
        <v>477</v>
      </c>
      <c r="G426" s="7">
        <v>45129.0</v>
      </c>
      <c r="H426" s="8">
        <f t="shared" si="1"/>
        <v>22</v>
      </c>
      <c r="I426" s="9">
        <f t="shared" si="2"/>
        <v>7</v>
      </c>
      <c r="J426" s="9">
        <f t="shared" si="3"/>
        <v>2023</v>
      </c>
    </row>
    <row r="427" ht="15.75" customHeight="1">
      <c r="A427" s="5">
        <v>22.0</v>
      </c>
      <c r="B427" s="10" t="s">
        <v>470</v>
      </c>
      <c r="C427" s="3" t="s">
        <v>471</v>
      </c>
      <c r="D427" s="4" t="s">
        <v>3</v>
      </c>
      <c r="E427" s="5" t="s">
        <v>45</v>
      </c>
      <c r="F427" s="6" t="s">
        <v>478</v>
      </c>
      <c r="G427" s="7">
        <v>45133.0</v>
      </c>
      <c r="H427" s="8">
        <f t="shared" si="1"/>
        <v>26</v>
      </c>
      <c r="I427" s="9">
        <f t="shared" si="2"/>
        <v>7</v>
      </c>
      <c r="J427" s="9">
        <f t="shared" si="3"/>
        <v>2023</v>
      </c>
    </row>
    <row r="428" ht="15.75" customHeight="1">
      <c r="A428" s="5">
        <v>22.0</v>
      </c>
      <c r="B428" s="10" t="s">
        <v>470</v>
      </c>
      <c r="C428" s="3" t="s">
        <v>471</v>
      </c>
      <c r="D428" s="4" t="s">
        <v>3</v>
      </c>
      <c r="E428" s="5" t="s">
        <v>39</v>
      </c>
      <c r="F428" s="6" t="s">
        <v>479</v>
      </c>
      <c r="G428" s="7">
        <v>45179.0</v>
      </c>
      <c r="H428" s="8">
        <f t="shared" si="1"/>
        <v>10</v>
      </c>
      <c r="I428" s="9">
        <f t="shared" si="2"/>
        <v>9</v>
      </c>
      <c r="J428" s="9">
        <f t="shared" si="3"/>
        <v>2023</v>
      </c>
    </row>
    <row r="429" ht="15.75" customHeight="1">
      <c r="A429" s="5">
        <v>22.0</v>
      </c>
      <c r="B429" s="10" t="s">
        <v>470</v>
      </c>
      <c r="C429" s="3" t="s">
        <v>471</v>
      </c>
      <c r="D429" s="4" t="s">
        <v>3</v>
      </c>
      <c r="E429" s="5" t="s">
        <v>6</v>
      </c>
      <c r="F429" s="6" t="s">
        <v>480</v>
      </c>
      <c r="G429" s="7">
        <v>45181.0</v>
      </c>
      <c r="H429" s="8">
        <f t="shared" si="1"/>
        <v>12</v>
      </c>
      <c r="I429" s="9">
        <f t="shared" si="2"/>
        <v>9</v>
      </c>
      <c r="J429" s="9">
        <f t="shared" si="3"/>
        <v>2023</v>
      </c>
    </row>
    <row r="430" ht="15.75" customHeight="1">
      <c r="A430" s="5">
        <v>22.0</v>
      </c>
      <c r="B430" s="10" t="s">
        <v>470</v>
      </c>
      <c r="C430" s="3" t="s">
        <v>471</v>
      </c>
      <c r="D430" s="4" t="s">
        <v>8</v>
      </c>
      <c r="E430" s="5" t="s">
        <v>51</v>
      </c>
      <c r="F430" s="6" t="s">
        <v>481</v>
      </c>
      <c r="G430" s="7">
        <v>45183.0</v>
      </c>
      <c r="H430" s="8">
        <f t="shared" si="1"/>
        <v>14</v>
      </c>
      <c r="I430" s="9">
        <f t="shared" si="2"/>
        <v>9</v>
      </c>
      <c r="J430" s="9">
        <f t="shared" si="3"/>
        <v>2023</v>
      </c>
    </row>
    <row r="431" ht="15.75" customHeight="1">
      <c r="A431" s="5">
        <v>22.0</v>
      </c>
      <c r="B431" s="10" t="s">
        <v>470</v>
      </c>
      <c r="C431" s="3" t="s">
        <v>471</v>
      </c>
      <c r="D431" s="4" t="s">
        <v>3</v>
      </c>
      <c r="E431" s="5" t="s">
        <v>45</v>
      </c>
      <c r="F431" s="6" t="s">
        <v>482</v>
      </c>
      <c r="G431" s="7">
        <v>45195.0</v>
      </c>
      <c r="H431" s="8">
        <f t="shared" si="1"/>
        <v>26</v>
      </c>
      <c r="I431" s="9">
        <f t="shared" si="2"/>
        <v>9</v>
      </c>
      <c r="J431" s="9">
        <f t="shared" si="3"/>
        <v>2023</v>
      </c>
    </row>
    <row r="432" ht="15.75" customHeight="1">
      <c r="A432" s="5">
        <v>22.0</v>
      </c>
      <c r="B432" s="10" t="s">
        <v>470</v>
      </c>
      <c r="C432" s="3" t="s">
        <v>471</v>
      </c>
      <c r="D432" s="4" t="s">
        <v>8</v>
      </c>
      <c r="E432" s="5" t="s">
        <v>51</v>
      </c>
      <c r="F432" s="6" t="s">
        <v>483</v>
      </c>
      <c r="G432" s="7">
        <v>45204.0</v>
      </c>
      <c r="H432" s="8">
        <f t="shared" si="1"/>
        <v>5</v>
      </c>
      <c r="I432" s="9">
        <f t="shared" si="2"/>
        <v>10</v>
      </c>
      <c r="J432" s="9">
        <f t="shared" si="3"/>
        <v>2023</v>
      </c>
    </row>
    <row r="433" ht="15.75" customHeight="1">
      <c r="A433" s="5">
        <v>22.0</v>
      </c>
      <c r="B433" s="10" t="s">
        <v>470</v>
      </c>
      <c r="C433" s="3" t="s">
        <v>471</v>
      </c>
      <c r="D433" s="4" t="s">
        <v>8</v>
      </c>
      <c r="E433" s="5" t="s">
        <v>71</v>
      </c>
      <c r="F433" s="6" t="s">
        <v>484</v>
      </c>
      <c r="G433" s="7">
        <v>45216.0</v>
      </c>
      <c r="H433" s="8">
        <f t="shared" si="1"/>
        <v>17</v>
      </c>
      <c r="I433" s="9">
        <f t="shared" si="2"/>
        <v>10</v>
      </c>
      <c r="J433" s="9">
        <f t="shared" si="3"/>
        <v>2023</v>
      </c>
    </row>
    <row r="434" ht="15.75" customHeight="1">
      <c r="A434" s="5">
        <v>22.0</v>
      </c>
      <c r="B434" s="10" t="s">
        <v>470</v>
      </c>
      <c r="C434" s="3" t="s">
        <v>471</v>
      </c>
      <c r="D434" s="4" t="s">
        <v>8</v>
      </c>
      <c r="E434" s="5" t="s">
        <v>9</v>
      </c>
      <c r="F434" s="6" t="s">
        <v>485</v>
      </c>
      <c r="G434" s="7">
        <v>45219.0</v>
      </c>
      <c r="H434" s="8">
        <f t="shared" si="1"/>
        <v>20</v>
      </c>
      <c r="I434" s="9">
        <f t="shared" si="2"/>
        <v>10</v>
      </c>
      <c r="J434" s="9">
        <f t="shared" si="3"/>
        <v>2023</v>
      </c>
    </row>
    <row r="435" ht="15.75" customHeight="1">
      <c r="A435" s="5">
        <v>22.0</v>
      </c>
      <c r="B435" s="10" t="s">
        <v>470</v>
      </c>
      <c r="C435" s="3" t="s">
        <v>471</v>
      </c>
      <c r="D435" s="4" t="s">
        <v>8</v>
      </c>
      <c r="E435" s="5" t="s">
        <v>17</v>
      </c>
      <c r="F435" s="6" t="s">
        <v>330</v>
      </c>
      <c r="G435" s="7">
        <v>45231.0</v>
      </c>
      <c r="H435" s="8">
        <f t="shared" si="1"/>
        <v>1</v>
      </c>
      <c r="I435" s="9">
        <f t="shared" si="2"/>
        <v>11</v>
      </c>
      <c r="J435" s="9">
        <f t="shared" si="3"/>
        <v>2023</v>
      </c>
    </row>
    <row r="436" ht="15.75" customHeight="1">
      <c r="A436" s="5">
        <v>22.0</v>
      </c>
      <c r="B436" s="10" t="s">
        <v>470</v>
      </c>
      <c r="C436" s="3" t="s">
        <v>471</v>
      </c>
      <c r="D436" s="4" t="s">
        <v>3</v>
      </c>
      <c r="E436" s="5" t="s">
        <v>51</v>
      </c>
      <c r="F436" s="6" t="s">
        <v>486</v>
      </c>
      <c r="G436" s="7">
        <v>45254.0</v>
      </c>
      <c r="H436" s="8">
        <f t="shared" si="1"/>
        <v>24</v>
      </c>
      <c r="I436" s="9">
        <f t="shared" si="2"/>
        <v>11</v>
      </c>
      <c r="J436" s="9">
        <f t="shared" si="3"/>
        <v>2023</v>
      </c>
    </row>
    <row r="437" ht="15.75" customHeight="1">
      <c r="A437" s="5">
        <v>22.0</v>
      </c>
      <c r="B437" s="10" t="s">
        <v>470</v>
      </c>
      <c r="C437" s="3" t="s">
        <v>471</v>
      </c>
      <c r="D437" s="4" t="s">
        <v>3</v>
      </c>
      <c r="E437" s="5" t="s">
        <v>76</v>
      </c>
      <c r="F437" s="6" t="s">
        <v>487</v>
      </c>
      <c r="G437" s="7">
        <v>45255.0</v>
      </c>
      <c r="H437" s="8">
        <f t="shared" si="1"/>
        <v>25</v>
      </c>
      <c r="I437" s="9">
        <f t="shared" si="2"/>
        <v>11</v>
      </c>
      <c r="J437" s="9">
        <f t="shared" si="3"/>
        <v>2023</v>
      </c>
    </row>
    <row r="438" ht="15.75" customHeight="1">
      <c r="A438" s="5">
        <v>22.0</v>
      </c>
      <c r="B438" s="10" t="s">
        <v>470</v>
      </c>
      <c r="C438" s="3" t="s">
        <v>471</v>
      </c>
      <c r="D438" s="4" t="s">
        <v>8</v>
      </c>
      <c r="E438" s="5" t="s">
        <v>17</v>
      </c>
      <c r="F438" s="6" t="s">
        <v>488</v>
      </c>
      <c r="G438" s="7">
        <v>45280.0</v>
      </c>
      <c r="H438" s="8">
        <f t="shared" si="1"/>
        <v>20</v>
      </c>
      <c r="I438" s="9">
        <f t="shared" si="2"/>
        <v>12</v>
      </c>
      <c r="J438" s="9">
        <f t="shared" si="3"/>
        <v>2023</v>
      </c>
    </row>
    <row r="439" ht="15.75" customHeight="1">
      <c r="A439" s="5">
        <v>22.0</v>
      </c>
      <c r="B439" s="10" t="s">
        <v>470</v>
      </c>
      <c r="C439" s="3" t="s">
        <v>471</v>
      </c>
      <c r="D439" s="4" t="s">
        <v>3</v>
      </c>
      <c r="E439" s="5" t="s">
        <v>120</v>
      </c>
      <c r="F439" s="6" t="s">
        <v>231</v>
      </c>
      <c r="G439" s="7">
        <v>45281.0</v>
      </c>
      <c r="H439" s="8">
        <f t="shared" si="1"/>
        <v>21</v>
      </c>
      <c r="I439" s="9">
        <f t="shared" si="2"/>
        <v>12</v>
      </c>
      <c r="J439" s="9">
        <f t="shared" si="3"/>
        <v>2023</v>
      </c>
    </row>
    <row r="440" ht="15.75" customHeight="1">
      <c r="A440" s="5">
        <v>22.0</v>
      </c>
      <c r="B440" s="10" t="s">
        <v>470</v>
      </c>
      <c r="C440" s="3" t="s">
        <v>471</v>
      </c>
      <c r="D440" s="4" t="s">
        <v>8</v>
      </c>
      <c r="E440" s="5" t="s">
        <v>39</v>
      </c>
      <c r="F440" s="6" t="s">
        <v>489</v>
      </c>
      <c r="G440" s="7">
        <v>45281.0</v>
      </c>
      <c r="H440" s="8">
        <f t="shared" si="1"/>
        <v>21</v>
      </c>
      <c r="I440" s="9">
        <f t="shared" si="2"/>
        <v>12</v>
      </c>
      <c r="J440" s="9">
        <f t="shared" si="3"/>
        <v>2023</v>
      </c>
    </row>
    <row r="441" ht="15.75" customHeight="1">
      <c r="A441" s="5">
        <v>23.0</v>
      </c>
      <c r="B441" s="10" t="s">
        <v>490</v>
      </c>
      <c r="C441" s="3" t="s">
        <v>491</v>
      </c>
      <c r="D441" s="4" t="s">
        <v>8</v>
      </c>
      <c r="E441" s="5" t="s">
        <v>35</v>
      </c>
      <c r="F441" s="6" t="s">
        <v>492</v>
      </c>
      <c r="G441" s="7">
        <v>44979.0</v>
      </c>
      <c r="H441" s="8">
        <f t="shared" si="1"/>
        <v>22</v>
      </c>
      <c r="I441" s="9">
        <f t="shared" si="2"/>
        <v>2</v>
      </c>
      <c r="J441" s="9">
        <f t="shared" si="3"/>
        <v>2023</v>
      </c>
    </row>
    <row r="442" ht="15.75" customHeight="1">
      <c r="A442" s="5">
        <v>23.0</v>
      </c>
      <c r="B442" s="10" t="s">
        <v>490</v>
      </c>
      <c r="C442" s="3" t="s">
        <v>491</v>
      </c>
      <c r="D442" s="4" t="s">
        <v>3</v>
      </c>
      <c r="E442" s="5" t="s">
        <v>71</v>
      </c>
      <c r="F442" s="6" t="s">
        <v>493</v>
      </c>
      <c r="G442" s="7">
        <v>44981.0</v>
      </c>
      <c r="H442" s="8">
        <f t="shared" si="1"/>
        <v>24</v>
      </c>
      <c r="I442" s="9">
        <f t="shared" si="2"/>
        <v>2</v>
      </c>
      <c r="J442" s="9">
        <f t="shared" si="3"/>
        <v>2023</v>
      </c>
    </row>
    <row r="443" ht="15.75" customHeight="1">
      <c r="A443" s="5">
        <v>23.0</v>
      </c>
      <c r="B443" s="10" t="s">
        <v>490</v>
      </c>
      <c r="C443" s="3" t="s">
        <v>491</v>
      </c>
      <c r="D443" s="4" t="s">
        <v>8</v>
      </c>
      <c r="E443" s="5" t="s">
        <v>23</v>
      </c>
      <c r="F443" s="6" t="s">
        <v>494</v>
      </c>
      <c r="G443" s="7">
        <v>44990.0</v>
      </c>
      <c r="H443" s="8">
        <f t="shared" si="1"/>
        <v>5</v>
      </c>
      <c r="I443" s="9">
        <f t="shared" si="2"/>
        <v>3</v>
      </c>
      <c r="J443" s="9">
        <f t="shared" si="3"/>
        <v>2023</v>
      </c>
    </row>
    <row r="444" ht="15.75" customHeight="1">
      <c r="A444" s="5">
        <v>23.0</v>
      </c>
      <c r="B444" s="10" t="s">
        <v>490</v>
      </c>
      <c r="C444" s="3" t="s">
        <v>491</v>
      </c>
      <c r="D444" s="4" t="s">
        <v>8</v>
      </c>
      <c r="E444" s="5" t="s">
        <v>28</v>
      </c>
      <c r="F444" s="6" t="s">
        <v>495</v>
      </c>
      <c r="G444" s="7">
        <v>45026.0</v>
      </c>
      <c r="H444" s="8">
        <f t="shared" si="1"/>
        <v>10</v>
      </c>
      <c r="I444" s="9">
        <f t="shared" si="2"/>
        <v>4</v>
      </c>
      <c r="J444" s="9">
        <f t="shared" si="3"/>
        <v>2023</v>
      </c>
    </row>
    <row r="445" ht="15.75" customHeight="1">
      <c r="A445" s="5">
        <v>23.0</v>
      </c>
      <c r="B445" s="10" t="s">
        <v>490</v>
      </c>
      <c r="C445" s="3" t="s">
        <v>491</v>
      </c>
      <c r="D445" s="4" t="s">
        <v>8</v>
      </c>
      <c r="E445" s="5" t="s">
        <v>13</v>
      </c>
      <c r="F445" s="6" t="s">
        <v>496</v>
      </c>
      <c r="G445" s="7">
        <v>45066.0</v>
      </c>
      <c r="H445" s="8">
        <f t="shared" si="1"/>
        <v>20</v>
      </c>
      <c r="I445" s="9">
        <f t="shared" si="2"/>
        <v>5</v>
      </c>
      <c r="J445" s="9">
        <f t="shared" si="3"/>
        <v>2023</v>
      </c>
    </row>
    <row r="446" ht="15.75" customHeight="1">
      <c r="A446" s="5">
        <v>23.0</v>
      </c>
      <c r="B446" s="10" t="s">
        <v>490</v>
      </c>
      <c r="C446" s="3" t="s">
        <v>491</v>
      </c>
      <c r="D446" s="4" t="s">
        <v>3</v>
      </c>
      <c r="E446" s="5" t="s">
        <v>120</v>
      </c>
      <c r="F446" s="6" t="s">
        <v>497</v>
      </c>
      <c r="G446" s="7">
        <v>45067.0</v>
      </c>
      <c r="H446" s="8">
        <f t="shared" si="1"/>
        <v>21</v>
      </c>
      <c r="I446" s="9">
        <f t="shared" si="2"/>
        <v>5</v>
      </c>
      <c r="J446" s="9">
        <f t="shared" si="3"/>
        <v>2023</v>
      </c>
    </row>
    <row r="447" ht="15.75" customHeight="1">
      <c r="A447" s="5">
        <v>23.0</v>
      </c>
      <c r="B447" s="10" t="s">
        <v>490</v>
      </c>
      <c r="C447" s="3" t="s">
        <v>491</v>
      </c>
      <c r="D447" s="4" t="s">
        <v>3</v>
      </c>
      <c r="E447" s="5" t="s">
        <v>23</v>
      </c>
      <c r="F447" s="6" t="s">
        <v>498</v>
      </c>
      <c r="G447" s="7">
        <v>45078.0</v>
      </c>
      <c r="H447" s="8">
        <f t="shared" si="1"/>
        <v>1</v>
      </c>
      <c r="I447" s="9">
        <f t="shared" si="2"/>
        <v>6</v>
      </c>
      <c r="J447" s="9">
        <f t="shared" si="3"/>
        <v>2023</v>
      </c>
    </row>
    <row r="448" ht="15.75" customHeight="1">
      <c r="A448" s="5">
        <v>23.0</v>
      </c>
      <c r="B448" s="10" t="s">
        <v>490</v>
      </c>
      <c r="C448" s="3" t="s">
        <v>491</v>
      </c>
      <c r="D448" s="4" t="s">
        <v>3</v>
      </c>
      <c r="E448" s="5" t="s">
        <v>15</v>
      </c>
      <c r="F448" s="6" t="s">
        <v>499</v>
      </c>
      <c r="G448" s="7">
        <v>45085.0</v>
      </c>
      <c r="H448" s="8">
        <f t="shared" si="1"/>
        <v>8</v>
      </c>
      <c r="I448" s="9">
        <f t="shared" si="2"/>
        <v>6</v>
      </c>
      <c r="J448" s="9">
        <f t="shared" si="3"/>
        <v>2023</v>
      </c>
    </row>
    <row r="449" ht="15.75" customHeight="1">
      <c r="A449" s="5">
        <v>23.0</v>
      </c>
      <c r="B449" s="10" t="s">
        <v>490</v>
      </c>
      <c r="C449" s="3" t="s">
        <v>491</v>
      </c>
      <c r="D449" s="4" t="s">
        <v>8</v>
      </c>
      <c r="E449" s="5" t="s">
        <v>51</v>
      </c>
      <c r="F449" s="6" t="s">
        <v>500</v>
      </c>
      <c r="G449" s="7">
        <v>45094.0</v>
      </c>
      <c r="H449" s="8">
        <f t="shared" si="1"/>
        <v>17</v>
      </c>
      <c r="I449" s="9">
        <f t="shared" si="2"/>
        <v>6</v>
      </c>
      <c r="J449" s="9">
        <f t="shared" si="3"/>
        <v>2023</v>
      </c>
    </row>
    <row r="450" ht="15.75" customHeight="1">
      <c r="A450" s="5">
        <v>23.0</v>
      </c>
      <c r="B450" s="10" t="s">
        <v>490</v>
      </c>
      <c r="C450" s="3" t="s">
        <v>491</v>
      </c>
      <c r="D450" s="4" t="s">
        <v>3</v>
      </c>
      <c r="E450" s="5" t="s">
        <v>96</v>
      </c>
      <c r="F450" s="6" t="s">
        <v>501</v>
      </c>
      <c r="G450" s="7">
        <v>45125.0</v>
      </c>
      <c r="H450" s="8">
        <f t="shared" si="1"/>
        <v>18</v>
      </c>
      <c r="I450" s="9">
        <f t="shared" si="2"/>
        <v>7</v>
      </c>
      <c r="J450" s="9">
        <f t="shared" si="3"/>
        <v>2023</v>
      </c>
    </row>
    <row r="451" ht="15.75" customHeight="1">
      <c r="A451" s="5">
        <v>23.0</v>
      </c>
      <c r="B451" s="10" t="s">
        <v>490</v>
      </c>
      <c r="C451" s="3" t="s">
        <v>491</v>
      </c>
      <c r="D451" s="4" t="s">
        <v>3</v>
      </c>
      <c r="E451" s="5" t="s">
        <v>23</v>
      </c>
      <c r="F451" s="6" t="s">
        <v>502</v>
      </c>
      <c r="G451" s="7">
        <v>45156.0</v>
      </c>
      <c r="H451" s="8">
        <f t="shared" si="1"/>
        <v>18</v>
      </c>
      <c r="I451" s="9">
        <f t="shared" si="2"/>
        <v>8</v>
      </c>
      <c r="J451" s="9">
        <f t="shared" si="3"/>
        <v>2023</v>
      </c>
    </row>
    <row r="452" ht="15.75" customHeight="1">
      <c r="A452" s="5">
        <v>23.0</v>
      </c>
      <c r="B452" s="10" t="s">
        <v>490</v>
      </c>
      <c r="C452" s="3" t="s">
        <v>491</v>
      </c>
      <c r="D452" s="4" t="s">
        <v>3</v>
      </c>
      <c r="E452" s="5" t="s">
        <v>120</v>
      </c>
      <c r="F452" s="6" t="s">
        <v>503</v>
      </c>
      <c r="G452" s="7">
        <v>45157.0</v>
      </c>
      <c r="H452" s="8">
        <f t="shared" si="1"/>
        <v>19</v>
      </c>
      <c r="I452" s="9">
        <f t="shared" si="2"/>
        <v>8</v>
      </c>
      <c r="J452" s="9">
        <f t="shared" si="3"/>
        <v>2023</v>
      </c>
    </row>
    <row r="453" ht="15.75" customHeight="1">
      <c r="A453" s="5">
        <v>23.0</v>
      </c>
      <c r="B453" s="10" t="s">
        <v>490</v>
      </c>
      <c r="C453" s="3" t="s">
        <v>491</v>
      </c>
      <c r="D453" s="4" t="s">
        <v>3</v>
      </c>
      <c r="E453" s="5" t="s">
        <v>42</v>
      </c>
      <c r="F453" s="6" t="s">
        <v>504</v>
      </c>
      <c r="G453" s="7">
        <v>45159.0</v>
      </c>
      <c r="H453" s="8">
        <f t="shared" si="1"/>
        <v>21</v>
      </c>
      <c r="I453" s="9">
        <f t="shared" si="2"/>
        <v>8</v>
      </c>
      <c r="J453" s="9">
        <f t="shared" si="3"/>
        <v>2023</v>
      </c>
    </row>
    <row r="454" ht="15.75" customHeight="1">
      <c r="A454" s="5">
        <v>23.0</v>
      </c>
      <c r="B454" s="10" t="s">
        <v>490</v>
      </c>
      <c r="C454" s="3" t="s">
        <v>491</v>
      </c>
      <c r="D454" s="4" t="s">
        <v>3</v>
      </c>
      <c r="E454" s="5" t="s">
        <v>9</v>
      </c>
      <c r="F454" s="6" t="s">
        <v>505</v>
      </c>
      <c r="G454" s="7">
        <v>45185.0</v>
      </c>
      <c r="H454" s="8">
        <f t="shared" si="1"/>
        <v>16</v>
      </c>
      <c r="I454" s="9">
        <f t="shared" si="2"/>
        <v>9</v>
      </c>
      <c r="J454" s="9">
        <f t="shared" si="3"/>
        <v>2023</v>
      </c>
    </row>
    <row r="455" ht="15.75" customHeight="1">
      <c r="A455" s="5">
        <v>23.0</v>
      </c>
      <c r="B455" s="10" t="s">
        <v>490</v>
      </c>
      <c r="C455" s="3" t="s">
        <v>491</v>
      </c>
      <c r="D455" s="4" t="s">
        <v>3</v>
      </c>
      <c r="E455" s="5" t="s">
        <v>42</v>
      </c>
      <c r="F455" s="6" t="s">
        <v>107</v>
      </c>
      <c r="G455" s="7">
        <v>45186.0</v>
      </c>
      <c r="H455" s="8">
        <f t="shared" si="1"/>
        <v>17</v>
      </c>
      <c r="I455" s="9">
        <f t="shared" si="2"/>
        <v>9</v>
      </c>
      <c r="J455" s="9">
        <f t="shared" si="3"/>
        <v>2023</v>
      </c>
    </row>
    <row r="456" ht="15.75" customHeight="1">
      <c r="A456" s="5">
        <v>23.0</v>
      </c>
      <c r="B456" s="10" t="s">
        <v>490</v>
      </c>
      <c r="C456" s="3" t="s">
        <v>491</v>
      </c>
      <c r="D456" s="4" t="s">
        <v>3</v>
      </c>
      <c r="E456" s="5" t="s">
        <v>51</v>
      </c>
      <c r="F456" s="6" t="s">
        <v>506</v>
      </c>
      <c r="G456" s="7">
        <v>45219.0</v>
      </c>
      <c r="H456" s="8">
        <f t="shared" si="1"/>
        <v>20</v>
      </c>
      <c r="I456" s="9">
        <f t="shared" si="2"/>
        <v>10</v>
      </c>
      <c r="J456" s="9">
        <f t="shared" si="3"/>
        <v>2023</v>
      </c>
    </row>
    <row r="457" ht="15.75" customHeight="1">
      <c r="A457" s="5">
        <v>23.0</v>
      </c>
      <c r="B457" s="10" t="s">
        <v>490</v>
      </c>
      <c r="C457" s="3" t="s">
        <v>491</v>
      </c>
      <c r="D457" s="4" t="s">
        <v>8</v>
      </c>
      <c r="E457" s="5" t="s">
        <v>9</v>
      </c>
      <c r="F457" s="6" t="s">
        <v>507</v>
      </c>
      <c r="G457" s="7">
        <v>45235.0</v>
      </c>
      <c r="H457" s="8">
        <f t="shared" si="1"/>
        <v>5</v>
      </c>
      <c r="I457" s="9">
        <f t="shared" si="2"/>
        <v>11</v>
      </c>
      <c r="J457" s="9">
        <f t="shared" si="3"/>
        <v>2023</v>
      </c>
    </row>
    <row r="458" ht="15.75" customHeight="1">
      <c r="A458" s="5">
        <v>23.0</v>
      </c>
      <c r="B458" s="10" t="s">
        <v>490</v>
      </c>
      <c r="C458" s="3" t="s">
        <v>491</v>
      </c>
      <c r="D458" s="4" t="s">
        <v>3</v>
      </c>
      <c r="E458" s="5" t="s">
        <v>13</v>
      </c>
      <c r="F458" s="6" t="s">
        <v>508</v>
      </c>
      <c r="G458" s="7">
        <v>45271.0</v>
      </c>
      <c r="H458" s="8">
        <f t="shared" si="1"/>
        <v>11</v>
      </c>
      <c r="I458" s="9">
        <f t="shared" si="2"/>
        <v>12</v>
      </c>
      <c r="J458" s="9">
        <f t="shared" si="3"/>
        <v>2023</v>
      </c>
    </row>
    <row r="459" ht="15.75" customHeight="1">
      <c r="A459" s="5">
        <v>23.0</v>
      </c>
      <c r="B459" s="10" t="s">
        <v>490</v>
      </c>
      <c r="C459" s="3" t="s">
        <v>491</v>
      </c>
      <c r="D459" s="4" t="s">
        <v>3</v>
      </c>
      <c r="E459" s="5" t="s">
        <v>21</v>
      </c>
      <c r="F459" s="6" t="s">
        <v>509</v>
      </c>
      <c r="G459" s="7">
        <v>45272.0</v>
      </c>
      <c r="H459" s="8">
        <f t="shared" si="1"/>
        <v>12</v>
      </c>
      <c r="I459" s="9">
        <f t="shared" si="2"/>
        <v>12</v>
      </c>
      <c r="J459" s="9">
        <f t="shared" si="3"/>
        <v>2023</v>
      </c>
    </row>
    <row r="460" ht="15.75" customHeight="1">
      <c r="A460" s="5">
        <v>23.0</v>
      </c>
      <c r="B460" s="10" t="s">
        <v>490</v>
      </c>
      <c r="C460" s="3" t="s">
        <v>491</v>
      </c>
      <c r="D460" s="4" t="s">
        <v>8</v>
      </c>
      <c r="E460" s="5" t="s">
        <v>35</v>
      </c>
      <c r="F460" s="6" t="s">
        <v>510</v>
      </c>
      <c r="G460" s="7">
        <v>45279.0</v>
      </c>
      <c r="H460" s="8">
        <f t="shared" si="1"/>
        <v>19</v>
      </c>
      <c r="I460" s="9">
        <f t="shared" si="2"/>
        <v>12</v>
      </c>
      <c r="J460" s="9">
        <f t="shared" si="3"/>
        <v>2023</v>
      </c>
    </row>
    <row r="461" ht="15.75" customHeight="1">
      <c r="A461" s="5">
        <v>24.0</v>
      </c>
      <c r="B461" s="10" t="s">
        <v>511</v>
      </c>
      <c r="C461" s="3" t="s">
        <v>512</v>
      </c>
      <c r="D461" s="4" t="s">
        <v>3</v>
      </c>
      <c r="E461" s="5" t="s">
        <v>35</v>
      </c>
      <c r="F461" s="6" t="s">
        <v>513</v>
      </c>
      <c r="G461" s="7">
        <v>44938.0</v>
      </c>
      <c r="H461" s="8">
        <f t="shared" si="1"/>
        <v>12</v>
      </c>
      <c r="I461" s="9">
        <f t="shared" si="2"/>
        <v>1</v>
      </c>
      <c r="J461" s="9">
        <f t="shared" si="3"/>
        <v>2023</v>
      </c>
    </row>
    <row r="462" ht="15.75" customHeight="1">
      <c r="A462" s="5">
        <v>24.0</v>
      </c>
      <c r="B462" s="10" t="s">
        <v>511</v>
      </c>
      <c r="C462" s="3" t="s">
        <v>512</v>
      </c>
      <c r="D462" s="4" t="s">
        <v>8</v>
      </c>
      <c r="E462" s="5" t="s">
        <v>17</v>
      </c>
      <c r="F462" s="6" t="s">
        <v>514</v>
      </c>
      <c r="G462" s="7">
        <v>44948.0</v>
      </c>
      <c r="H462" s="8">
        <f t="shared" si="1"/>
        <v>22</v>
      </c>
      <c r="I462" s="9">
        <f t="shared" si="2"/>
        <v>1</v>
      </c>
      <c r="J462" s="9">
        <f t="shared" si="3"/>
        <v>2023</v>
      </c>
    </row>
    <row r="463" ht="15.75" customHeight="1">
      <c r="A463" s="5">
        <v>24.0</v>
      </c>
      <c r="B463" s="10" t="s">
        <v>511</v>
      </c>
      <c r="C463" s="3" t="s">
        <v>512</v>
      </c>
      <c r="D463" s="4" t="s">
        <v>3</v>
      </c>
      <c r="E463" s="5" t="s">
        <v>71</v>
      </c>
      <c r="F463" s="6" t="s">
        <v>515</v>
      </c>
      <c r="G463" s="7">
        <v>44971.0</v>
      </c>
      <c r="H463" s="8">
        <f t="shared" si="1"/>
        <v>14</v>
      </c>
      <c r="I463" s="9">
        <f t="shared" si="2"/>
        <v>2</v>
      </c>
      <c r="J463" s="9">
        <f t="shared" si="3"/>
        <v>2023</v>
      </c>
    </row>
    <row r="464" ht="15.75" customHeight="1">
      <c r="A464" s="5">
        <v>24.0</v>
      </c>
      <c r="B464" s="10" t="s">
        <v>511</v>
      </c>
      <c r="C464" s="3" t="s">
        <v>512</v>
      </c>
      <c r="D464" s="4" t="s">
        <v>8</v>
      </c>
      <c r="E464" s="5" t="s">
        <v>21</v>
      </c>
      <c r="F464" s="6" t="s">
        <v>516</v>
      </c>
      <c r="G464" s="7">
        <v>44975.0</v>
      </c>
      <c r="H464" s="8">
        <f t="shared" si="1"/>
        <v>18</v>
      </c>
      <c r="I464" s="9">
        <f t="shared" si="2"/>
        <v>2</v>
      </c>
      <c r="J464" s="9">
        <f t="shared" si="3"/>
        <v>2023</v>
      </c>
    </row>
    <row r="465" ht="15.75" customHeight="1">
      <c r="A465" s="5">
        <v>24.0</v>
      </c>
      <c r="B465" s="10" t="s">
        <v>511</v>
      </c>
      <c r="C465" s="3" t="s">
        <v>512</v>
      </c>
      <c r="D465" s="4" t="s">
        <v>8</v>
      </c>
      <c r="E465" s="5" t="s">
        <v>35</v>
      </c>
      <c r="F465" s="6" t="s">
        <v>517</v>
      </c>
      <c r="G465" s="7">
        <v>44988.0</v>
      </c>
      <c r="H465" s="8">
        <f t="shared" si="1"/>
        <v>3</v>
      </c>
      <c r="I465" s="9">
        <f t="shared" si="2"/>
        <v>3</v>
      </c>
      <c r="J465" s="9">
        <f t="shared" si="3"/>
        <v>2023</v>
      </c>
    </row>
    <row r="466" ht="15.75" customHeight="1">
      <c r="A466" s="5">
        <v>24.0</v>
      </c>
      <c r="B466" s="10" t="s">
        <v>511</v>
      </c>
      <c r="C466" s="3" t="s">
        <v>512</v>
      </c>
      <c r="D466" s="4" t="s">
        <v>8</v>
      </c>
      <c r="E466" s="5" t="s">
        <v>11</v>
      </c>
      <c r="F466" s="6" t="s">
        <v>518</v>
      </c>
      <c r="G466" s="7">
        <v>44992.0</v>
      </c>
      <c r="H466" s="8">
        <f t="shared" si="1"/>
        <v>7</v>
      </c>
      <c r="I466" s="9">
        <f t="shared" si="2"/>
        <v>3</v>
      </c>
      <c r="J466" s="9">
        <f t="shared" si="3"/>
        <v>2023</v>
      </c>
    </row>
    <row r="467" ht="15.75" customHeight="1">
      <c r="A467" s="5">
        <v>24.0</v>
      </c>
      <c r="B467" s="10" t="s">
        <v>511</v>
      </c>
      <c r="C467" s="3" t="s">
        <v>512</v>
      </c>
      <c r="D467" s="4" t="s">
        <v>8</v>
      </c>
      <c r="E467" s="5" t="s">
        <v>28</v>
      </c>
      <c r="F467" s="6" t="s">
        <v>519</v>
      </c>
      <c r="G467" s="7">
        <v>45023.0</v>
      </c>
      <c r="H467" s="8">
        <f t="shared" si="1"/>
        <v>7</v>
      </c>
      <c r="I467" s="9">
        <f t="shared" si="2"/>
        <v>4</v>
      </c>
      <c r="J467" s="9">
        <f t="shared" si="3"/>
        <v>2023</v>
      </c>
    </row>
    <row r="468" ht="15.75" customHeight="1">
      <c r="A468" s="5">
        <v>24.0</v>
      </c>
      <c r="B468" s="10" t="s">
        <v>511</v>
      </c>
      <c r="C468" s="3" t="s">
        <v>512</v>
      </c>
      <c r="D468" s="4" t="s">
        <v>8</v>
      </c>
      <c r="E468" s="5" t="s">
        <v>23</v>
      </c>
      <c r="F468" s="6" t="s">
        <v>520</v>
      </c>
      <c r="G468" s="7">
        <v>45091.0</v>
      </c>
      <c r="H468" s="8">
        <f t="shared" si="1"/>
        <v>14</v>
      </c>
      <c r="I468" s="9">
        <f t="shared" si="2"/>
        <v>6</v>
      </c>
      <c r="J468" s="9">
        <f t="shared" si="3"/>
        <v>2023</v>
      </c>
    </row>
    <row r="469" ht="15.75" customHeight="1">
      <c r="A469" s="5">
        <v>24.0</v>
      </c>
      <c r="B469" s="10" t="s">
        <v>511</v>
      </c>
      <c r="C469" s="3" t="s">
        <v>512</v>
      </c>
      <c r="D469" s="4" t="s">
        <v>3</v>
      </c>
      <c r="E469" s="5" t="s">
        <v>42</v>
      </c>
      <c r="F469" s="6" t="s">
        <v>521</v>
      </c>
      <c r="G469" s="7">
        <v>45105.0</v>
      </c>
      <c r="H469" s="8">
        <f t="shared" si="1"/>
        <v>28</v>
      </c>
      <c r="I469" s="9">
        <f t="shared" si="2"/>
        <v>6</v>
      </c>
      <c r="J469" s="9">
        <f t="shared" si="3"/>
        <v>2023</v>
      </c>
    </row>
    <row r="470" ht="15.75" customHeight="1">
      <c r="A470" s="5">
        <v>24.0</v>
      </c>
      <c r="B470" s="10" t="s">
        <v>511</v>
      </c>
      <c r="C470" s="3" t="s">
        <v>512</v>
      </c>
      <c r="D470" s="4" t="s">
        <v>8</v>
      </c>
      <c r="E470" s="5" t="s">
        <v>19</v>
      </c>
      <c r="F470" s="6" t="s">
        <v>522</v>
      </c>
      <c r="G470" s="7">
        <v>45125.0</v>
      </c>
      <c r="H470" s="8">
        <f t="shared" si="1"/>
        <v>18</v>
      </c>
      <c r="I470" s="9">
        <f t="shared" si="2"/>
        <v>7</v>
      </c>
      <c r="J470" s="9">
        <f t="shared" si="3"/>
        <v>2023</v>
      </c>
    </row>
    <row r="471" ht="15.75" customHeight="1">
      <c r="A471" s="5">
        <v>24.0</v>
      </c>
      <c r="B471" s="10" t="s">
        <v>511</v>
      </c>
      <c r="C471" s="3" t="s">
        <v>512</v>
      </c>
      <c r="D471" s="4" t="s">
        <v>8</v>
      </c>
      <c r="E471" s="5" t="s">
        <v>23</v>
      </c>
      <c r="F471" s="6" t="s">
        <v>523</v>
      </c>
      <c r="G471" s="7">
        <v>45140.0</v>
      </c>
      <c r="H471" s="8">
        <f t="shared" si="1"/>
        <v>2</v>
      </c>
      <c r="I471" s="9">
        <f t="shared" si="2"/>
        <v>8</v>
      </c>
      <c r="J471" s="9">
        <f t="shared" si="3"/>
        <v>2023</v>
      </c>
    </row>
    <row r="472" ht="15.75" customHeight="1">
      <c r="A472" s="5">
        <v>24.0</v>
      </c>
      <c r="B472" s="10" t="s">
        <v>511</v>
      </c>
      <c r="C472" s="3" t="s">
        <v>512</v>
      </c>
      <c r="D472" s="4" t="s">
        <v>3</v>
      </c>
      <c r="E472" s="5" t="s">
        <v>19</v>
      </c>
      <c r="F472" s="6" t="s">
        <v>524</v>
      </c>
      <c r="G472" s="7">
        <v>45157.0</v>
      </c>
      <c r="H472" s="8">
        <f t="shared" si="1"/>
        <v>19</v>
      </c>
      <c r="I472" s="9">
        <f t="shared" si="2"/>
        <v>8</v>
      </c>
      <c r="J472" s="9">
        <f t="shared" si="3"/>
        <v>2023</v>
      </c>
    </row>
    <row r="473" ht="15.75" customHeight="1">
      <c r="A473" s="5">
        <v>24.0</v>
      </c>
      <c r="B473" s="10" t="s">
        <v>511</v>
      </c>
      <c r="C473" s="3" t="s">
        <v>512</v>
      </c>
      <c r="D473" s="4" t="s">
        <v>8</v>
      </c>
      <c r="E473" s="5" t="s">
        <v>11</v>
      </c>
      <c r="F473" s="6" t="s">
        <v>525</v>
      </c>
      <c r="G473" s="7">
        <v>45160.0</v>
      </c>
      <c r="H473" s="8">
        <f t="shared" si="1"/>
        <v>22</v>
      </c>
      <c r="I473" s="9">
        <f t="shared" si="2"/>
        <v>8</v>
      </c>
      <c r="J473" s="9">
        <f t="shared" si="3"/>
        <v>2023</v>
      </c>
    </row>
    <row r="474" ht="15.75" customHeight="1">
      <c r="A474" s="5">
        <v>24.0</v>
      </c>
      <c r="B474" s="10" t="s">
        <v>511</v>
      </c>
      <c r="C474" s="3" t="s">
        <v>512</v>
      </c>
      <c r="D474" s="4" t="s">
        <v>8</v>
      </c>
      <c r="E474" s="5" t="s">
        <v>76</v>
      </c>
      <c r="F474" s="6" t="s">
        <v>526</v>
      </c>
      <c r="G474" s="7">
        <v>45164.0</v>
      </c>
      <c r="H474" s="8">
        <f t="shared" si="1"/>
        <v>26</v>
      </c>
      <c r="I474" s="9">
        <f t="shared" si="2"/>
        <v>8</v>
      </c>
      <c r="J474" s="9">
        <f t="shared" si="3"/>
        <v>2023</v>
      </c>
    </row>
    <row r="475" ht="15.75" customHeight="1">
      <c r="A475" s="5">
        <v>24.0</v>
      </c>
      <c r="B475" s="10" t="s">
        <v>511</v>
      </c>
      <c r="C475" s="3" t="s">
        <v>512</v>
      </c>
      <c r="D475" s="4" t="s">
        <v>3</v>
      </c>
      <c r="E475" s="5" t="s">
        <v>45</v>
      </c>
      <c r="F475" s="6" t="s">
        <v>527</v>
      </c>
      <c r="G475" s="7">
        <v>45216.0</v>
      </c>
      <c r="H475" s="8">
        <f t="shared" si="1"/>
        <v>17</v>
      </c>
      <c r="I475" s="9">
        <f t="shared" si="2"/>
        <v>10</v>
      </c>
      <c r="J475" s="9">
        <f t="shared" si="3"/>
        <v>2023</v>
      </c>
    </row>
    <row r="476" ht="15.75" customHeight="1">
      <c r="A476" s="5">
        <v>24.0</v>
      </c>
      <c r="B476" s="10" t="s">
        <v>511</v>
      </c>
      <c r="C476" s="3" t="s">
        <v>512</v>
      </c>
      <c r="D476" s="4" t="s">
        <v>8</v>
      </c>
      <c r="E476" s="5" t="s">
        <v>45</v>
      </c>
      <c r="F476" s="6" t="s">
        <v>528</v>
      </c>
      <c r="G476" s="7">
        <v>45226.0</v>
      </c>
      <c r="H476" s="8">
        <f t="shared" si="1"/>
        <v>27</v>
      </c>
      <c r="I476" s="9">
        <f t="shared" si="2"/>
        <v>10</v>
      </c>
      <c r="J476" s="9">
        <f t="shared" si="3"/>
        <v>2023</v>
      </c>
    </row>
    <row r="477" ht="15.75" customHeight="1">
      <c r="A477" s="5">
        <v>24.0</v>
      </c>
      <c r="B477" s="10" t="s">
        <v>511</v>
      </c>
      <c r="C477" s="3" t="s">
        <v>512</v>
      </c>
      <c r="D477" s="4" t="s">
        <v>3</v>
      </c>
      <c r="E477" s="5" t="s">
        <v>51</v>
      </c>
      <c r="F477" s="6" t="s">
        <v>529</v>
      </c>
      <c r="G477" s="7">
        <v>45257.0</v>
      </c>
      <c r="H477" s="8">
        <f t="shared" si="1"/>
        <v>27</v>
      </c>
      <c r="I477" s="9">
        <f t="shared" si="2"/>
        <v>11</v>
      </c>
      <c r="J477" s="9">
        <f t="shared" si="3"/>
        <v>2023</v>
      </c>
    </row>
    <row r="478" ht="15.75" customHeight="1">
      <c r="A478" s="5">
        <v>24.0</v>
      </c>
      <c r="B478" s="10" t="s">
        <v>511</v>
      </c>
      <c r="C478" s="3" t="s">
        <v>512</v>
      </c>
      <c r="D478" s="4" t="s">
        <v>8</v>
      </c>
      <c r="E478" s="5" t="s">
        <v>39</v>
      </c>
      <c r="F478" s="6" t="s">
        <v>530</v>
      </c>
      <c r="G478" s="7">
        <v>45271.0</v>
      </c>
      <c r="H478" s="8">
        <f t="shared" si="1"/>
        <v>11</v>
      </c>
      <c r="I478" s="9">
        <f t="shared" si="2"/>
        <v>12</v>
      </c>
      <c r="J478" s="9">
        <f t="shared" si="3"/>
        <v>2023</v>
      </c>
    </row>
    <row r="479" ht="15.75" customHeight="1">
      <c r="A479" s="5">
        <v>24.0</v>
      </c>
      <c r="B479" s="10" t="s">
        <v>511</v>
      </c>
      <c r="C479" s="3" t="s">
        <v>512</v>
      </c>
      <c r="D479" s="4" t="s">
        <v>3</v>
      </c>
      <c r="E479" s="5" t="s">
        <v>21</v>
      </c>
      <c r="F479" s="6" t="s">
        <v>531</v>
      </c>
      <c r="G479" s="7">
        <v>45271.0</v>
      </c>
      <c r="H479" s="8">
        <f t="shared" si="1"/>
        <v>11</v>
      </c>
      <c r="I479" s="9">
        <f t="shared" si="2"/>
        <v>12</v>
      </c>
      <c r="J479" s="9">
        <f t="shared" si="3"/>
        <v>2023</v>
      </c>
    </row>
    <row r="480" ht="15.75" customHeight="1">
      <c r="A480" s="5">
        <v>24.0</v>
      </c>
      <c r="B480" s="10" t="s">
        <v>511</v>
      </c>
      <c r="C480" s="3" t="s">
        <v>512</v>
      </c>
      <c r="D480" s="4" t="s">
        <v>3</v>
      </c>
      <c r="E480" s="5" t="s">
        <v>76</v>
      </c>
      <c r="F480" s="6" t="s">
        <v>532</v>
      </c>
      <c r="G480" s="7">
        <v>45277.0</v>
      </c>
      <c r="H480" s="8">
        <f t="shared" si="1"/>
        <v>17</v>
      </c>
      <c r="I480" s="9">
        <f t="shared" si="2"/>
        <v>12</v>
      </c>
      <c r="J480" s="9">
        <f t="shared" si="3"/>
        <v>2023</v>
      </c>
    </row>
    <row r="481" ht="15.75" customHeight="1">
      <c r="A481" s="5">
        <v>25.0</v>
      </c>
      <c r="B481" s="10" t="s">
        <v>533</v>
      </c>
      <c r="C481" s="3" t="s">
        <v>534</v>
      </c>
      <c r="D481" s="4" t="s">
        <v>3</v>
      </c>
      <c r="E481" s="5" t="s">
        <v>39</v>
      </c>
      <c r="F481" s="6" t="s">
        <v>535</v>
      </c>
      <c r="G481" s="7">
        <v>44941.0</v>
      </c>
      <c r="H481" s="8">
        <f t="shared" si="1"/>
        <v>15</v>
      </c>
      <c r="I481" s="9">
        <f t="shared" si="2"/>
        <v>1</v>
      </c>
      <c r="J481" s="9">
        <f t="shared" si="3"/>
        <v>2023</v>
      </c>
    </row>
    <row r="482" ht="15.75" customHeight="1">
      <c r="A482" s="5">
        <v>25.0</v>
      </c>
      <c r="B482" s="10" t="s">
        <v>533</v>
      </c>
      <c r="C482" s="3" t="s">
        <v>534</v>
      </c>
      <c r="D482" s="4" t="s">
        <v>3</v>
      </c>
      <c r="E482" s="5" t="s">
        <v>39</v>
      </c>
      <c r="F482" s="6" t="s">
        <v>536</v>
      </c>
      <c r="G482" s="7">
        <v>44953.0</v>
      </c>
      <c r="H482" s="8">
        <f t="shared" si="1"/>
        <v>27</v>
      </c>
      <c r="I482" s="9">
        <f t="shared" si="2"/>
        <v>1</v>
      </c>
      <c r="J482" s="9">
        <f t="shared" si="3"/>
        <v>2023</v>
      </c>
    </row>
    <row r="483" ht="15.75" customHeight="1">
      <c r="A483" s="5">
        <v>25.0</v>
      </c>
      <c r="B483" s="10" t="s">
        <v>533</v>
      </c>
      <c r="C483" s="3" t="s">
        <v>534</v>
      </c>
      <c r="D483" s="4" t="s">
        <v>3</v>
      </c>
      <c r="E483" s="5" t="s">
        <v>35</v>
      </c>
      <c r="F483" s="6" t="s">
        <v>537</v>
      </c>
      <c r="G483" s="7">
        <v>44953.0</v>
      </c>
      <c r="H483" s="8">
        <f t="shared" si="1"/>
        <v>27</v>
      </c>
      <c r="I483" s="9">
        <f t="shared" si="2"/>
        <v>1</v>
      </c>
      <c r="J483" s="9">
        <f t="shared" si="3"/>
        <v>2023</v>
      </c>
    </row>
    <row r="484" ht="15.75" customHeight="1">
      <c r="A484" s="5">
        <v>25.0</v>
      </c>
      <c r="B484" s="10" t="s">
        <v>533</v>
      </c>
      <c r="C484" s="3" t="s">
        <v>534</v>
      </c>
      <c r="D484" s="4" t="s">
        <v>8</v>
      </c>
      <c r="E484" s="5" t="s">
        <v>21</v>
      </c>
      <c r="F484" s="6" t="s">
        <v>538</v>
      </c>
      <c r="G484" s="7">
        <v>44964.0</v>
      </c>
      <c r="H484" s="8">
        <f t="shared" si="1"/>
        <v>7</v>
      </c>
      <c r="I484" s="9">
        <f t="shared" si="2"/>
        <v>2</v>
      </c>
      <c r="J484" s="9">
        <f t="shared" si="3"/>
        <v>2023</v>
      </c>
    </row>
    <row r="485" ht="15.75" customHeight="1">
      <c r="A485" s="5">
        <v>25.0</v>
      </c>
      <c r="B485" s="10" t="s">
        <v>533</v>
      </c>
      <c r="C485" s="3" t="s">
        <v>534</v>
      </c>
      <c r="D485" s="4" t="s">
        <v>3</v>
      </c>
      <c r="E485" s="5" t="s">
        <v>21</v>
      </c>
      <c r="F485" s="6" t="s">
        <v>539</v>
      </c>
      <c r="G485" s="7">
        <v>44988.0</v>
      </c>
      <c r="H485" s="8">
        <f t="shared" si="1"/>
        <v>3</v>
      </c>
      <c r="I485" s="9">
        <f t="shared" si="2"/>
        <v>3</v>
      </c>
      <c r="J485" s="9">
        <f t="shared" si="3"/>
        <v>2023</v>
      </c>
    </row>
    <row r="486" ht="15.75" customHeight="1">
      <c r="A486" s="5">
        <v>25.0</v>
      </c>
      <c r="B486" s="10" t="s">
        <v>533</v>
      </c>
      <c r="C486" s="3" t="s">
        <v>534</v>
      </c>
      <c r="D486" s="4" t="s">
        <v>3</v>
      </c>
      <c r="E486" s="5" t="s">
        <v>71</v>
      </c>
      <c r="F486" s="6" t="s">
        <v>540</v>
      </c>
      <c r="G486" s="7">
        <v>45021.0</v>
      </c>
      <c r="H486" s="8">
        <f t="shared" si="1"/>
        <v>5</v>
      </c>
      <c r="I486" s="9">
        <f t="shared" si="2"/>
        <v>4</v>
      </c>
      <c r="J486" s="9">
        <f t="shared" si="3"/>
        <v>2023</v>
      </c>
    </row>
    <row r="487" ht="15.75" customHeight="1">
      <c r="A487" s="5">
        <v>25.0</v>
      </c>
      <c r="B487" s="10" t="s">
        <v>533</v>
      </c>
      <c r="C487" s="3" t="s">
        <v>534</v>
      </c>
      <c r="D487" s="4" t="s">
        <v>3</v>
      </c>
      <c r="E487" s="5" t="s">
        <v>21</v>
      </c>
      <c r="F487" s="6" t="s">
        <v>541</v>
      </c>
      <c r="G487" s="7">
        <v>45021.0</v>
      </c>
      <c r="H487" s="8">
        <f t="shared" si="1"/>
        <v>5</v>
      </c>
      <c r="I487" s="9">
        <f t="shared" si="2"/>
        <v>4</v>
      </c>
      <c r="J487" s="9">
        <f t="shared" si="3"/>
        <v>2023</v>
      </c>
    </row>
    <row r="488" ht="15.75" customHeight="1">
      <c r="A488" s="5">
        <v>25.0</v>
      </c>
      <c r="B488" s="10" t="s">
        <v>533</v>
      </c>
      <c r="C488" s="3" t="s">
        <v>534</v>
      </c>
      <c r="D488" s="4" t="s">
        <v>8</v>
      </c>
      <c r="E488" s="5" t="s">
        <v>71</v>
      </c>
      <c r="F488" s="6" t="s">
        <v>542</v>
      </c>
      <c r="G488" s="7">
        <v>45022.0</v>
      </c>
      <c r="H488" s="8">
        <f t="shared" si="1"/>
        <v>6</v>
      </c>
      <c r="I488" s="9">
        <f t="shared" si="2"/>
        <v>4</v>
      </c>
      <c r="J488" s="9">
        <f t="shared" si="3"/>
        <v>2023</v>
      </c>
    </row>
    <row r="489" ht="15.75" customHeight="1">
      <c r="A489" s="5">
        <v>25.0</v>
      </c>
      <c r="B489" s="10" t="s">
        <v>533</v>
      </c>
      <c r="C489" s="3" t="s">
        <v>534</v>
      </c>
      <c r="D489" s="4" t="s">
        <v>3</v>
      </c>
      <c r="E489" s="5" t="s">
        <v>96</v>
      </c>
      <c r="F489" s="6" t="s">
        <v>543</v>
      </c>
      <c r="G489" s="7">
        <v>45044.0</v>
      </c>
      <c r="H489" s="8">
        <f t="shared" si="1"/>
        <v>28</v>
      </c>
      <c r="I489" s="9">
        <f t="shared" si="2"/>
        <v>4</v>
      </c>
      <c r="J489" s="9">
        <f t="shared" si="3"/>
        <v>2023</v>
      </c>
    </row>
    <row r="490" ht="15.75" customHeight="1">
      <c r="A490" s="5">
        <v>25.0</v>
      </c>
      <c r="B490" s="10" t="s">
        <v>533</v>
      </c>
      <c r="C490" s="3" t="s">
        <v>534</v>
      </c>
      <c r="D490" s="4" t="s">
        <v>8</v>
      </c>
      <c r="E490" s="5" t="s">
        <v>23</v>
      </c>
      <c r="F490" s="6" t="s">
        <v>544</v>
      </c>
      <c r="G490" s="7">
        <v>45055.0</v>
      </c>
      <c r="H490" s="8">
        <f t="shared" si="1"/>
        <v>9</v>
      </c>
      <c r="I490" s="9">
        <f t="shared" si="2"/>
        <v>5</v>
      </c>
      <c r="J490" s="9">
        <f t="shared" si="3"/>
        <v>2023</v>
      </c>
    </row>
    <row r="491" ht="15.75" customHeight="1">
      <c r="A491" s="5">
        <v>25.0</v>
      </c>
      <c r="B491" s="10" t="s">
        <v>533</v>
      </c>
      <c r="C491" s="3" t="s">
        <v>534</v>
      </c>
      <c r="D491" s="4" t="s">
        <v>3</v>
      </c>
      <c r="E491" s="5" t="s">
        <v>71</v>
      </c>
      <c r="F491" s="6" t="s">
        <v>545</v>
      </c>
      <c r="G491" s="7">
        <v>45063.0</v>
      </c>
      <c r="H491" s="8">
        <f t="shared" si="1"/>
        <v>17</v>
      </c>
      <c r="I491" s="9">
        <f t="shared" si="2"/>
        <v>5</v>
      </c>
      <c r="J491" s="9">
        <f t="shared" si="3"/>
        <v>2023</v>
      </c>
    </row>
    <row r="492" ht="15.75" customHeight="1">
      <c r="A492" s="5">
        <v>25.0</v>
      </c>
      <c r="B492" s="10" t="s">
        <v>533</v>
      </c>
      <c r="C492" s="3" t="s">
        <v>534</v>
      </c>
      <c r="D492" s="4" t="s">
        <v>3</v>
      </c>
      <c r="E492" s="5" t="s">
        <v>6</v>
      </c>
      <c r="F492" s="6" t="s">
        <v>546</v>
      </c>
      <c r="G492" s="7">
        <v>45084.0</v>
      </c>
      <c r="H492" s="8">
        <f t="shared" si="1"/>
        <v>7</v>
      </c>
      <c r="I492" s="9">
        <f t="shared" si="2"/>
        <v>6</v>
      </c>
      <c r="J492" s="9">
        <f t="shared" si="3"/>
        <v>2023</v>
      </c>
    </row>
    <row r="493" ht="15.75" customHeight="1">
      <c r="A493" s="5">
        <v>25.0</v>
      </c>
      <c r="B493" s="10" t="s">
        <v>533</v>
      </c>
      <c r="C493" s="3" t="s">
        <v>534</v>
      </c>
      <c r="D493" s="4" t="s">
        <v>3</v>
      </c>
      <c r="E493" s="5" t="s">
        <v>6</v>
      </c>
      <c r="F493" s="6" t="s">
        <v>547</v>
      </c>
      <c r="G493" s="7">
        <v>45125.0</v>
      </c>
      <c r="H493" s="8">
        <f t="shared" si="1"/>
        <v>18</v>
      </c>
      <c r="I493" s="9">
        <f t="shared" si="2"/>
        <v>7</v>
      </c>
      <c r="J493" s="9">
        <f t="shared" si="3"/>
        <v>2023</v>
      </c>
    </row>
    <row r="494" ht="15.75" customHeight="1">
      <c r="A494" s="5">
        <v>25.0</v>
      </c>
      <c r="B494" s="10" t="s">
        <v>533</v>
      </c>
      <c r="C494" s="3" t="s">
        <v>534</v>
      </c>
      <c r="D494" s="4" t="s">
        <v>3</v>
      </c>
      <c r="E494" s="5" t="s">
        <v>15</v>
      </c>
      <c r="F494" s="6" t="s">
        <v>548</v>
      </c>
      <c r="G494" s="7">
        <v>45129.0</v>
      </c>
      <c r="H494" s="8">
        <f t="shared" si="1"/>
        <v>22</v>
      </c>
      <c r="I494" s="9">
        <f t="shared" si="2"/>
        <v>7</v>
      </c>
      <c r="J494" s="9">
        <f t="shared" si="3"/>
        <v>2023</v>
      </c>
    </row>
    <row r="495" ht="15.75" customHeight="1">
      <c r="A495" s="5">
        <v>25.0</v>
      </c>
      <c r="B495" s="10" t="s">
        <v>533</v>
      </c>
      <c r="C495" s="3" t="s">
        <v>534</v>
      </c>
      <c r="D495" s="4" t="s">
        <v>3</v>
      </c>
      <c r="E495" s="5" t="s">
        <v>35</v>
      </c>
      <c r="F495" s="6" t="s">
        <v>549</v>
      </c>
      <c r="G495" s="7">
        <v>45144.0</v>
      </c>
      <c r="H495" s="8">
        <f t="shared" si="1"/>
        <v>6</v>
      </c>
      <c r="I495" s="9">
        <f t="shared" si="2"/>
        <v>8</v>
      </c>
      <c r="J495" s="9">
        <f t="shared" si="3"/>
        <v>2023</v>
      </c>
    </row>
    <row r="496" ht="15.75" customHeight="1">
      <c r="A496" s="5">
        <v>25.0</v>
      </c>
      <c r="B496" s="10" t="s">
        <v>533</v>
      </c>
      <c r="C496" s="3" t="s">
        <v>534</v>
      </c>
      <c r="D496" s="4" t="s">
        <v>8</v>
      </c>
      <c r="E496" s="5" t="s">
        <v>35</v>
      </c>
      <c r="F496" s="6" t="s">
        <v>550</v>
      </c>
      <c r="G496" s="7">
        <v>45158.0</v>
      </c>
      <c r="H496" s="8">
        <f t="shared" si="1"/>
        <v>20</v>
      </c>
      <c r="I496" s="9">
        <f t="shared" si="2"/>
        <v>8</v>
      </c>
      <c r="J496" s="9">
        <f t="shared" si="3"/>
        <v>2023</v>
      </c>
    </row>
    <row r="497" ht="15.75" customHeight="1">
      <c r="A497" s="5">
        <v>25.0</v>
      </c>
      <c r="B497" s="10" t="s">
        <v>533</v>
      </c>
      <c r="C497" s="3" t="s">
        <v>534</v>
      </c>
      <c r="D497" s="4" t="s">
        <v>3</v>
      </c>
      <c r="E497" s="5" t="s">
        <v>4</v>
      </c>
      <c r="F497" s="6" t="s">
        <v>551</v>
      </c>
      <c r="G497" s="7">
        <v>45218.0</v>
      </c>
      <c r="H497" s="8">
        <f t="shared" si="1"/>
        <v>19</v>
      </c>
      <c r="I497" s="9">
        <f t="shared" si="2"/>
        <v>10</v>
      </c>
      <c r="J497" s="9">
        <f t="shared" si="3"/>
        <v>2023</v>
      </c>
    </row>
    <row r="498" ht="15.75" customHeight="1">
      <c r="A498" s="5">
        <v>25.0</v>
      </c>
      <c r="B498" s="10" t="s">
        <v>533</v>
      </c>
      <c r="C498" s="3" t="s">
        <v>534</v>
      </c>
      <c r="D498" s="4" t="s">
        <v>8</v>
      </c>
      <c r="E498" s="5" t="s">
        <v>28</v>
      </c>
      <c r="F498" s="6" t="s">
        <v>552</v>
      </c>
      <c r="G498" s="7">
        <v>45220.0</v>
      </c>
      <c r="H498" s="8">
        <f t="shared" si="1"/>
        <v>21</v>
      </c>
      <c r="I498" s="9">
        <f t="shared" si="2"/>
        <v>10</v>
      </c>
      <c r="J498" s="9">
        <f t="shared" si="3"/>
        <v>2023</v>
      </c>
    </row>
    <row r="499" ht="15.75" customHeight="1">
      <c r="A499" s="5">
        <v>25.0</v>
      </c>
      <c r="B499" s="10" t="s">
        <v>533</v>
      </c>
      <c r="C499" s="3" t="s">
        <v>534</v>
      </c>
      <c r="D499" s="4" t="s">
        <v>8</v>
      </c>
      <c r="E499" s="5" t="s">
        <v>45</v>
      </c>
      <c r="F499" s="6" t="s">
        <v>553</v>
      </c>
      <c r="G499" s="7">
        <v>45248.0</v>
      </c>
      <c r="H499" s="8">
        <f t="shared" si="1"/>
        <v>18</v>
      </c>
      <c r="I499" s="9">
        <f t="shared" si="2"/>
        <v>11</v>
      </c>
      <c r="J499" s="9">
        <f t="shared" si="3"/>
        <v>2023</v>
      </c>
    </row>
    <row r="500" ht="15.75" customHeight="1">
      <c r="A500" s="5">
        <v>25.0</v>
      </c>
      <c r="B500" s="10" t="s">
        <v>533</v>
      </c>
      <c r="C500" s="3" t="s">
        <v>534</v>
      </c>
      <c r="D500" s="4" t="s">
        <v>8</v>
      </c>
      <c r="E500" s="5" t="s">
        <v>120</v>
      </c>
      <c r="F500" s="6" t="s">
        <v>554</v>
      </c>
      <c r="G500" s="7">
        <v>45252.0</v>
      </c>
      <c r="H500" s="8">
        <f t="shared" si="1"/>
        <v>22</v>
      </c>
      <c r="I500" s="9">
        <f t="shared" si="2"/>
        <v>11</v>
      </c>
      <c r="J500" s="9">
        <f t="shared" si="3"/>
        <v>2023</v>
      </c>
    </row>
    <row r="501" ht="15.75" customHeight="1">
      <c r="A501" s="5">
        <v>26.0</v>
      </c>
      <c r="B501" s="10" t="s">
        <v>555</v>
      </c>
      <c r="C501" s="3" t="s">
        <v>556</v>
      </c>
      <c r="D501" s="4" t="s">
        <v>3</v>
      </c>
      <c r="E501" s="5" t="s">
        <v>4</v>
      </c>
      <c r="F501" s="6" t="s">
        <v>557</v>
      </c>
      <c r="G501" s="7">
        <v>44960.0</v>
      </c>
      <c r="H501" s="8">
        <f t="shared" si="1"/>
        <v>3</v>
      </c>
      <c r="I501" s="9">
        <f t="shared" si="2"/>
        <v>2</v>
      </c>
      <c r="J501" s="9">
        <f t="shared" si="3"/>
        <v>2023</v>
      </c>
    </row>
    <row r="502" ht="15.75" customHeight="1">
      <c r="A502" s="5">
        <v>26.0</v>
      </c>
      <c r="B502" s="10" t="s">
        <v>555</v>
      </c>
      <c r="C502" s="3" t="s">
        <v>556</v>
      </c>
      <c r="D502" s="4" t="s">
        <v>8</v>
      </c>
      <c r="E502" s="5" t="s">
        <v>6</v>
      </c>
      <c r="F502" s="6" t="s">
        <v>558</v>
      </c>
      <c r="G502" s="7">
        <v>44980.0</v>
      </c>
      <c r="H502" s="8">
        <f t="shared" si="1"/>
        <v>23</v>
      </c>
      <c r="I502" s="9">
        <f t="shared" si="2"/>
        <v>2</v>
      </c>
      <c r="J502" s="9">
        <f t="shared" si="3"/>
        <v>2023</v>
      </c>
    </row>
    <row r="503" ht="15.75" customHeight="1">
      <c r="A503" s="5">
        <v>26.0</v>
      </c>
      <c r="B503" s="10" t="s">
        <v>555</v>
      </c>
      <c r="C503" s="3" t="s">
        <v>556</v>
      </c>
      <c r="D503" s="4" t="s">
        <v>8</v>
      </c>
      <c r="E503" s="5" t="s">
        <v>6</v>
      </c>
      <c r="F503" s="6" t="s">
        <v>559</v>
      </c>
      <c r="G503" s="7">
        <v>45007.0</v>
      </c>
      <c r="H503" s="8">
        <f t="shared" si="1"/>
        <v>22</v>
      </c>
      <c r="I503" s="9">
        <f t="shared" si="2"/>
        <v>3</v>
      </c>
      <c r="J503" s="9">
        <f t="shared" si="3"/>
        <v>2023</v>
      </c>
    </row>
    <row r="504" ht="15.75" customHeight="1">
      <c r="A504" s="5">
        <v>26.0</v>
      </c>
      <c r="B504" s="10" t="s">
        <v>555</v>
      </c>
      <c r="C504" s="3" t="s">
        <v>556</v>
      </c>
      <c r="D504" s="4" t="s">
        <v>8</v>
      </c>
      <c r="E504" s="5" t="s">
        <v>15</v>
      </c>
      <c r="F504" s="6" t="s">
        <v>560</v>
      </c>
      <c r="G504" s="7">
        <v>45018.0</v>
      </c>
      <c r="H504" s="8">
        <f t="shared" si="1"/>
        <v>2</v>
      </c>
      <c r="I504" s="9">
        <f t="shared" si="2"/>
        <v>4</v>
      </c>
      <c r="J504" s="9">
        <f t="shared" si="3"/>
        <v>2023</v>
      </c>
    </row>
    <row r="505" ht="15.75" customHeight="1">
      <c r="A505" s="5">
        <v>26.0</v>
      </c>
      <c r="B505" s="10" t="s">
        <v>555</v>
      </c>
      <c r="C505" s="3" t="s">
        <v>556</v>
      </c>
      <c r="D505" s="4" t="s">
        <v>8</v>
      </c>
      <c r="E505" s="5" t="s">
        <v>39</v>
      </c>
      <c r="F505" s="6" t="s">
        <v>561</v>
      </c>
      <c r="G505" s="7">
        <v>45023.0</v>
      </c>
      <c r="H505" s="8">
        <f t="shared" si="1"/>
        <v>7</v>
      </c>
      <c r="I505" s="9">
        <f t="shared" si="2"/>
        <v>4</v>
      </c>
      <c r="J505" s="9">
        <f t="shared" si="3"/>
        <v>2023</v>
      </c>
    </row>
    <row r="506" ht="15.75" customHeight="1">
      <c r="A506" s="5">
        <v>26.0</v>
      </c>
      <c r="B506" s="10" t="s">
        <v>555</v>
      </c>
      <c r="C506" s="3" t="s">
        <v>556</v>
      </c>
      <c r="D506" s="4" t="s">
        <v>3</v>
      </c>
      <c r="E506" s="5" t="s">
        <v>17</v>
      </c>
      <c r="F506" s="6" t="s">
        <v>562</v>
      </c>
      <c r="G506" s="7">
        <v>45054.0</v>
      </c>
      <c r="H506" s="8">
        <f t="shared" si="1"/>
        <v>8</v>
      </c>
      <c r="I506" s="9">
        <f t="shared" si="2"/>
        <v>5</v>
      </c>
      <c r="J506" s="9">
        <f t="shared" si="3"/>
        <v>2023</v>
      </c>
    </row>
    <row r="507" ht="15.75" customHeight="1">
      <c r="A507" s="5">
        <v>26.0</v>
      </c>
      <c r="B507" s="10" t="s">
        <v>555</v>
      </c>
      <c r="C507" s="3" t="s">
        <v>556</v>
      </c>
      <c r="D507" s="4" t="s">
        <v>8</v>
      </c>
      <c r="E507" s="5" t="s">
        <v>9</v>
      </c>
      <c r="F507" s="6" t="s">
        <v>548</v>
      </c>
      <c r="G507" s="7">
        <v>45059.0</v>
      </c>
      <c r="H507" s="8">
        <f t="shared" si="1"/>
        <v>13</v>
      </c>
      <c r="I507" s="9">
        <f t="shared" si="2"/>
        <v>5</v>
      </c>
      <c r="J507" s="9">
        <f t="shared" si="3"/>
        <v>2023</v>
      </c>
    </row>
    <row r="508" ht="15.75" customHeight="1">
      <c r="A508" s="5">
        <v>26.0</v>
      </c>
      <c r="B508" s="10" t="s">
        <v>555</v>
      </c>
      <c r="C508" s="3" t="s">
        <v>556</v>
      </c>
      <c r="D508" s="4" t="s">
        <v>8</v>
      </c>
      <c r="E508" s="5" t="s">
        <v>23</v>
      </c>
      <c r="F508" s="6" t="s">
        <v>563</v>
      </c>
      <c r="G508" s="7">
        <v>45098.0</v>
      </c>
      <c r="H508" s="8">
        <f t="shared" si="1"/>
        <v>21</v>
      </c>
      <c r="I508" s="9">
        <f t="shared" si="2"/>
        <v>6</v>
      </c>
      <c r="J508" s="9">
        <f t="shared" si="3"/>
        <v>2023</v>
      </c>
    </row>
    <row r="509" ht="15.75" customHeight="1">
      <c r="A509" s="5">
        <v>26.0</v>
      </c>
      <c r="B509" s="10" t="s">
        <v>555</v>
      </c>
      <c r="C509" s="3" t="s">
        <v>556</v>
      </c>
      <c r="D509" s="4" t="s">
        <v>3</v>
      </c>
      <c r="E509" s="5" t="s">
        <v>11</v>
      </c>
      <c r="F509" s="6" t="s">
        <v>564</v>
      </c>
      <c r="G509" s="7">
        <v>45113.0</v>
      </c>
      <c r="H509" s="8">
        <f t="shared" si="1"/>
        <v>6</v>
      </c>
      <c r="I509" s="9">
        <f t="shared" si="2"/>
        <v>7</v>
      </c>
      <c r="J509" s="9">
        <f t="shared" si="3"/>
        <v>2023</v>
      </c>
    </row>
    <row r="510" ht="15.75" customHeight="1">
      <c r="A510" s="5">
        <v>26.0</v>
      </c>
      <c r="B510" s="10" t="s">
        <v>555</v>
      </c>
      <c r="C510" s="3" t="s">
        <v>556</v>
      </c>
      <c r="D510" s="4" t="s">
        <v>3</v>
      </c>
      <c r="E510" s="5" t="s">
        <v>23</v>
      </c>
      <c r="F510" s="6" t="s">
        <v>565</v>
      </c>
      <c r="G510" s="7">
        <v>45123.0</v>
      </c>
      <c r="H510" s="8">
        <f t="shared" si="1"/>
        <v>16</v>
      </c>
      <c r="I510" s="9">
        <f t="shared" si="2"/>
        <v>7</v>
      </c>
      <c r="J510" s="9">
        <f t="shared" si="3"/>
        <v>2023</v>
      </c>
    </row>
    <row r="511" ht="15.75" customHeight="1">
      <c r="A511" s="5">
        <v>26.0</v>
      </c>
      <c r="B511" s="10" t="s">
        <v>555</v>
      </c>
      <c r="C511" s="3" t="s">
        <v>556</v>
      </c>
      <c r="D511" s="4" t="s">
        <v>3</v>
      </c>
      <c r="E511" s="5" t="s">
        <v>76</v>
      </c>
      <c r="F511" s="6" t="s">
        <v>566</v>
      </c>
      <c r="G511" s="7">
        <v>45141.0</v>
      </c>
      <c r="H511" s="8">
        <f t="shared" si="1"/>
        <v>3</v>
      </c>
      <c r="I511" s="9">
        <f t="shared" si="2"/>
        <v>8</v>
      </c>
      <c r="J511" s="9">
        <f t="shared" si="3"/>
        <v>2023</v>
      </c>
    </row>
    <row r="512" ht="15.75" customHeight="1">
      <c r="A512" s="5">
        <v>26.0</v>
      </c>
      <c r="B512" s="10" t="s">
        <v>555</v>
      </c>
      <c r="C512" s="3" t="s">
        <v>556</v>
      </c>
      <c r="D512" s="4" t="s">
        <v>8</v>
      </c>
      <c r="E512" s="5" t="s">
        <v>45</v>
      </c>
      <c r="F512" s="6" t="s">
        <v>567</v>
      </c>
      <c r="G512" s="7">
        <v>45144.0</v>
      </c>
      <c r="H512" s="8">
        <f t="shared" si="1"/>
        <v>6</v>
      </c>
      <c r="I512" s="9">
        <f t="shared" si="2"/>
        <v>8</v>
      </c>
      <c r="J512" s="9">
        <f t="shared" si="3"/>
        <v>2023</v>
      </c>
    </row>
    <row r="513" ht="15.75" customHeight="1">
      <c r="A513" s="5">
        <v>26.0</v>
      </c>
      <c r="B513" s="10" t="s">
        <v>555</v>
      </c>
      <c r="C513" s="3" t="s">
        <v>556</v>
      </c>
      <c r="D513" s="4" t="s">
        <v>8</v>
      </c>
      <c r="E513" s="5" t="s">
        <v>17</v>
      </c>
      <c r="F513" s="6" t="s">
        <v>568</v>
      </c>
      <c r="G513" s="7">
        <v>45149.0</v>
      </c>
      <c r="H513" s="8">
        <f t="shared" si="1"/>
        <v>11</v>
      </c>
      <c r="I513" s="9">
        <f t="shared" si="2"/>
        <v>8</v>
      </c>
      <c r="J513" s="9">
        <f t="shared" si="3"/>
        <v>2023</v>
      </c>
    </row>
    <row r="514" ht="15.75" customHeight="1">
      <c r="A514" s="5">
        <v>26.0</v>
      </c>
      <c r="B514" s="10" t="s">
        <v>555</v>
      </c>
      <c r="C514" s="3" t="s">
        <v>556</v>
      </c>
      <c r="D514" s="4" t="s">
        <v>3</v>
      </c>
      <c r="E514" s="5" t="s">
        <v>42</v>
      </c>
      <c r="F514" s="6" t="s">
        <v>569</v>
      </c>
      <c r="G514" s="7">
        <v>45172.0</v>
      </c>
      <c r="H514" s="8">
        <f t="shared" si="1"/>
        <v>3</v>
      </c>
      <c r="I514" s="9">
        <f t="shared" si="2"/>
        <v>9</v>
      </c>
      <c r="J514" s="9">
        <f t="shared" si="3"/>
        <v>2023</v>
      </c>
    </row>
    <row r="515" ht="15.75" customHeight="1">
      <c r="A515" s="5">
        <v>26.0</v>
      </c>
      <c r="B515" s="10" t="s">
        <v>555</v>
      </c>
      <c r="C515" s="3" t="s">
        <v>556</v>
      </c>
      <c r="D515" s="4" t="s">
        <v>3</v>
      </c>
      <c r="E515" s="5" t="s">
        <v>15</v>
      </c>
      <c r="F515" s="6" t="s">
        <v>570</v>
      </c>
      <c r="G515" s="7">
        <v>45209.0</v>
      </c>
      <c r="H515" s="8">
        <f t="shared" si="1"/>
        <v>10</v>
      </c>
      <c r="I515" s="9">
        <f t="shared" si="2"/>
        <v>10</v>
      </c>
      <c r="J515" s="9">
        <f t="shared" si="3"/>
        <v>2023</v>
      </c>
    </row>
    <row r="516" ht="15.75" customHeight="1">
      <c r="A516" s="5">
        <v>26.0</v>
      </c>
      <c r="B516" s="10" t="s">
        <v>555</v>
      </c>
      <c r="C516" s="3" t="s">
        <v>556</v>
      </c>
      <c r="D516" s="4" t="s">
        <v>3</v>
      </c>
      <c r="E516" s="5" t="s">
        <v>13</v>
      </c>
      <c r="F516" s="6" t="s">
        <v>571</v>
      </c>
      <c r="G516" s="7">
        <v>45216.0</v>
      </c>
      <c r="H516" s="8">
        <f t="shared" si="1"/>
        <v>17</v>
      </c>
      <c r="I516" s="9">
        <f t="shared" si="2"/>
        <v>10</v>
      </c>
      <c r="J516" s="9">
        <f t="shared" si="3"/>
        <v>2023</v>
      </c>
    </row>
    <row r="517" ht="15.75" customHeight="1">
      <c r="A517" s="5">
        <v>26.0</v>
      </c>
      <c r="B517" s="10" t="s">
        <v>555</v>
      </c>
      <c r="C517" s="3" t="s">
        <v>556</v>
      </c>
      <c r="D517" s="4" t="s">
        <v>3</v>
      </c>
      <c r="E517" s="5" t="s">
        <v>6</v>
      </c>
      <c r="F517" s="6" t="s">
        <v>572</v>
      </c>
      <c r="G517" s="7">
        <v>45225.0</v>
      </c>
      <c r="H517" s="8">
        <f t="shared" si="1"/>
        <v>26</v>
      </c>
      <c r="I517" s="9">
        <f t="shared" si="2"/>
        <v>10</v>
      </c>
      <c r="J517" s="9">
        <f t="shared" si="3"/>
        <v>2023</v>
      </c>
    </row>
    <row r="518" ht="15.75" customHeight="1">
      <c r="A518" s="5">
        <v>26.0</v>
      </c>
      <c r="B518" s="10" t="s">
        <v>555</v>
      </c>
      <c r="C518" s="3" t="s">
        <v>556</v>
      </c>
      <c r="D518" s="4" t="s">
        <v>8</v>
      </c>
      <c r="E518" s="5" t="s">
        <v>15</v>
      </c>
      <c r="F518" s="6" t="s">
        <v>225</v>
      </c>
      <c r="G518" s="7">
        <v>45246.0</v>
      </c>
      <c r="H518" s="8">
        <f t="shared" si="1"/>
        <v>16</v>
      </c>
      <c r="I518" s="9">
        <f t="shared" si="2"/>
        <v>11</v>
      </c>
      <c r="J518" s="9">
        <f t="shared" si="3"/>
        <v>2023</v>
      </c>
    </row>
    <row r="519" ht="15.75" customHeight="1">
      <c r="A519" s="5">
        <v>26.0</v>
      </c>
      <c r="B519" s="10" t="s">
        <v>555</v>
      </c>
      <c r="C519" s="3" t="s">
        <v>556</v>
      </c>
      <c r="D519" s="4" t="s">
        <v>8</v>
      </c>
      <c r="E519" s="5" t="s">
        <v>15</v>
      </c>
      <c r="F519" s="6" t="s">
        <v>573</v>
      </c>
      <c r="G519" s="7">
        <v>45247.0</v>
      </c>
      <c r="H519" s="8">
        <f t="shared" si="1"/>
        <v>17</v>
      </c>
      <c r="I519" s="9">
        <f t="shared" si="2"/>
        <v>11</v>
      </c>
      <c r="J519" s="9">
        <f t="shared" si="3"/>
        <v>2023</v>
      </c>
    </row>
    <row r="520" ht="15.75" customHeight="1">
      <c r="A520" s="5">
        <v>26.0</v>
      </c>
      <c r="B520" s="10" t="s">
        <v>555</v>
      </c>
      <c r="C520" s="3" t="s">
        <v>556</v>
      </c>
      <c r="D520" s="4" t="s">
        <v>3</v>
      </c>
      <c r="E520" s="5" t="s">
        <v>39</v>
      </c>
      <c r="F520" s="6" t="s">
        <v>574</v>
      </c>
      <c r="G520" s="7">
        <v>45286.0</v>
      </c>
      <c r="H520" s="8">
        <f t="shared" si="1"/>
        <v>26</v>
      </c>
      <c r="I520" s="9">
        <f t="shared" si="2"/>
        <v>12</v>
      </c>
      <c r="J520" s="9">
        <f t="shared" si="3"/>
        <v>2023</v>
      </c>
    </row>
    <row r="521" ht="15.75" customHeight="1">
      <c r="A521" s="5">
        <v>27.0</v>
      </c>
      <c r="B521" s="10" t="s">
        <v>575</v>
      </c>
      <c r="C521" s="3" t="s">
        <v>576</v>
      </c>
      <c r="D521" s="4" t="s">
        <v>3</v>
      </c>
      <c r="E521" s="5" t="s">
        <v>19</v>
      </c>
      <c r="F521" s="6" t="s">
        <v>577</v>
      </c>
      <c r="G521" s="7">
        <v>44944.0</v>
      </c>
      <c r="H521" s="8">
        <f t="shared" si="1"/>
        <v>18</v>
      </c>
      <c r="I521" s="9">
        <f t="shared" si="2"/>
        <v>1</v>
      </c>
      <c r="J521" s="9">
        <f t="shared" si="3"/>
        <v>2023</v>
      </c>
    </row>
    <row r="522" ht="15.75" customHeight="1">
      <c r="A522" s="5">
        <v>27.0</v>
      </c>
      <c r="B522" s="10" t="s">
        <v>575</v>
      </c>
      <c r="C522" s="3" t="s">
        <v>576</v>
      </c>
      <c r="D522" s="4" t="s">
        <v>8</v>
      </c>
      <c r="E522" s="5" t="s">
        <v>39</v>
      </c>
      <c r="F522" s="6" t="s">
        <v>578</v>
      </c>
      <c r="G522" s="7">
        <v>44952.0</v>
      </c>
      <c r="H522" s="8">
        <f t="shared" si="1"/>
        <v>26</v>
      </c>
      <c r="I522" s="9">
        <f t="shared" si="2"/>
        <v>1</v>
      </c>
      <c r="J522" s="9">
        <f t="shared" si="3"/>
        <v>2023</v>
      </c>
    </row>
    <row r="523" ht="15.75" customHeight="1">
      <c r="A523" s="5">
        <v>27.0</v>
      </c>
      <c r="B523" s="10" t="s">
        <v>575</v>
      </c>
      <c r="C523" s="3" t="s">
        <v>576</v>
      </c>
      <c r="D523" s="4" t="s">
        <v>3</v>
      </c>
      <c r="E523" s="5" t="s">
        <v>23</v>
      </c>
      <c r="F523" s="6" t="s">
        <v>579</v>
      </c>
      <c r="G523" s="7">
        <v>44969.0</v>
      </c>
      <c r="H523" s="8">
        <f t="shared" si="1"/>
        <v>12</v>
      </c>
      <c r="I523" s="9">
        <f t="shared" si="2"/>
        <v>2</v>
      </c>
      <c r="J523" s="9">
        <f t="shared" si="3"/>
        <v>2023</v>
      </c>
    </row>
    <row r="524" ht="15.75" customHeight="1">
      <c r="A524" s="5">
        <v>27.0</v>
      </c>
      <c r="B524" s="10" t="s">
        <v>575</v>
      </c>
      <c r="C524" s="3" t="s">
        <v>576</v>
      </c>
      <c r="D524" s="4" t="s">
        <v>8</v>
      </c>
      <c r="E524" s="5" t="s">
        <v>21</v>
      </c>
      <c r="F524" s="6" t="s">
        <v>580</v>
      </c>
      <c r="G524" s="7">
        <v>44979.0</v>
      </c>
      <c r="H524" s="8">
        <f t="shared" si="1"/>
        <v>22</v>
      </c>
      <c r="I524" s="9">
        <f t="shared" si="2"/>
        <v>2</v>
      </c>
      <c r="J524" s="9">
        <f t="shared" si="3"/>
        <v>2023</v>
      </c>
    </row>
    <row r="525" ht="15.75" customHeight="1">
      <c r="A525" s="5">
        <v>27.0</v>
      </c>
      <c r="B525" s="10" t="s">
        <v>575</v>
      </c>
      <c r="C525" s="3" t="s">
        <v>576</v>
      </c>
      <c r="D525" s="4" t="s">
        <v>8</v>
      </c>
      <c r="E525" s="5" t="s">
        <v>13</v>
      </c>
      <c r="F525" s="6" t="s">
        <v>518</v>
      </c>
      <c r="G525" s="7">
        <v>45008.0</v>
      </c>
      <c r="H525" s="8">
        <f t="shared" si="1"/>
        <v>23</v>
      </c>
      <c r="I525" s="9">
        <f t="shared" si="2"/>
        <v>3</v>
      </c>
      <c r="J525" s="9">
        <f t="shared" si="3"/>
        <v>2023</v>
      </c>
    </row>
    <row r="526" ht="15.75" customHeight="1">
      <c r="A526" s="5">
        <v>27.0</v>
      </c>
      <c r="B526" s="10" t="s">
        <v>575</v>
      </c>
      <c r="C526" s="3" t="s">
        <v>576</v>
      </c>
      <c r="D526" s="4" t="s">
        <v>8</v>
      </c>
      <c r="E526" s="5" t="s">
        <v>76</v>
      </c>
      <c r="F526" s="6" t="s">
        <v>581</v>
      </c>
      <c r="G526" s="7">
        <v>45018.0</v>
      </c>
      <c r="H526" s="8">
        <f t="shared" si="1"/>
        <v>2</v>
      </c>
      <c r="I526" s="9">
        <f t="shared" si="2"/>
        <v>4</v>
      </c>
      <c r="J526" s="9">
        <f t="shared" si="3"/>
        <v>2023</v>
      </c>
    </row>
    <row r="527" ht="15.75" customHeight="1">
      <c r="A527" s="5">
        <v>27.0</v>
      </c>
      <c r="B527" s="10" t="s">
        <v>575</v>
      </c>
      <c r="C527" s="3" t="s">
        <v>576</v>
      </c>
      <c r="D527" s="4" t="s">
        <v>8</v>
      </c>
      <c r="E527" s="5" t="s">
        <v>9</v>
      </c>
      <c r="F527" s="6" t="s">
        <v>582</v>
      </c>
      <c r="G527" s="7">
        <v>45023.0</v>
      </c>
      <c r="H527" s="8">
        <f t="shared" si="1"/>
        <v>7</v>
      </c>
      <c r="I527" s="9">
        <f t="shared" si="2"/>
        <v>4</v>
      </c>
      <c r="J527" s="9">
        <f t="shared" si="3"/>
        <v>2023</v>
      </c>
    </row>
    <row r="528" ht="15.75" customHeight="1">
      <c r="A528" s="5">
        <v>27.0</v>
      </c>
      <c r="B528" s="10" t="s">
        <v>575</v>
      </c>
      <c r="C528" s="3" t="s">
        <v>576</v>
      </c>
      <c r="D528" s="4" t="s">
        <v>8</v>
      </c>
      <c r="E528" s="5" t="s">
        <v>11</v>
      </c>
      <c r="F528" s="6" t="s">
        <v>583</v>
      </c>
      <c r="G528" s="7">
        <v>45030.0</v>
      </c>
      <c r="H528" s="8">
        <f t="shared" si="1"/>
        <v>14</v>
      </c>
      <c r="I528" s="9">
        <f t="shared" si="2"/>
        <v>4</v>
      </c>
      <c r="J528" s="9">
        <f t="shared" si="3"/>
        <v>2023</v>
      </c>
    </row>
    <row r="529" ht="15.75" customHeight="1">
      <c r="A529" s="5">
        <v>27.0</v>
      </c>
      <c r="B529" s="10" t="s">
        <v>575</v>
      </c>
      <c r="C529" s="3" t="s">
        <v>576</v>
      </c>
      <c r="D529" s="4" t="s">
        <v>8</v>
      </c>
      <c r="E529" s="5" t="s">
        <v>9</v>
      </c>
      <c r="F529" s="6" t="s">
        <v>43</v>
      </c>
      <c r="G529" s="7">
        <v>45037.0</v>
      </c>
      <c r="H529" s="8">
        <f t="shared" si="1"/>
        <v>21</v>
      </c>
      <c r="I529" s="9">
        <f t="shared" si="2"/>
        <v>4</v>
      </c>
      <c r="J529" s="9">
        <f t="shared" si="3"/>
        <v>2023</v>
      </c>
    </row>
    <row r="530" ht="15.75" customHeight="1">
      <c r="A530" s="5">
        <v>27.0</v>
      </c>
      <c r="B530" s="10" t="s">
        <v>575</v>
      </c>
      <c r="C530" s="3" t="s">
        <v>576</v>
      </c>
      <c r="D530" s="4" t="s">
        <v>8</v>
      </c>
      <c r="E530" s="5" t="s">
        <v>6</v>
      </c>
      <c r="F530" s="6" t="s">
        <v>584</v>
      </c>
      <c r="G530" s="7">
        <v>45061.0</v>
      </c>
      <c r="H530" s="8">
        <f t="shared" si="1"/>
        <v>15</v>
      </c>
      <c r="I530" s="9">
        <f t="shared" si="2"/>
        <v>5</v>
      </c>
      <c r="J530" s="9">
        <f t="shared" si="3"/>
        <v>2023</v>
      </c>
    </row>
    <row r="531" ht="15.75" customHeight="1">
      <c r="A531" s="5">
        <v>27.0</v>
      </c>
      <c r="B531" s="10" t="s">
        <v>575</v>
      </c>
      <c r="C531" s="3" t="s">
        <v>576</v>
      </c>
      <c r="D531" s="4" t="s">
        <v>3</v>
      </c>
      <c r="E531" s="5" t="s">
        <v>9</v>
      </c>
      <c r="F531" s="6" t="s">
        <v>585</v>
      </c>
      <c r="G531" s="7">
        <v>45072.0</v>
      </c>
      <c r="H531" s="8">
        <f t="shared" si="1"/>
        <v>26</v>
      </c>
      <c r="I531" s="9">
        <f t="shared" si="2"/>
        <v>5</v>
      </c>
      <c r="J531" s="9">
        <f t="shared" si="3"/>
        <v>2023</v>
      </c>
    </row>
    <row r="532" ht="15.75" customHeight="1">
      <c r="A532" s="5">
        <v>27.0</v>
      </c>
      <c r="B532" s="10" t="s">
        <v>575</v>
      </c>
      <c r="C532" s="3" t="s">
        <v>576</v>
      </c>
      <c r="D532" s="4" t="s">
        <v>3</v>
      </c>
      <c r="E532" s="5" t="s">
        <v>76</v>
      </c>
      <c r="F532" s="6" t="s">
        <v>337</v>
      </c>
      <c r="G532" s="7">
        <v>45083.0</v>
      </c>
      <c r="H532" s="8">
        <f t="shared" si="1"/>
        <v>6</v>
      </c>
      <c r="I532" s="9">
        <f t="shared" si="2"/>
        <v>6</v>
      </c>
      <c r="J532" s="9">
        <f t="shared" si="3"/>
        <v>2023</v>
      </c>
    </row>
    <row r="533" ht="15.75" customHeight="1">
      <c r="A533" s="5">
        <v>27.0</v>
      </c>
      <c r="B533" s="10" t="s">
        <v>575</v>
      </c>
      <c r="C533" s="3" t="s">
        <v>576</v>
      </c>
      <c r="D533" s="4" t="s">
        <v>8</v>
      </c>
      <c r="E533" s="5" t="s">
        <v>28</v>
      </c>
      <c r="F533" s="6" t="s">
        <v>586</v>
      </c>
      <c r="G533" s="7">
        <v>45094.0</v>
      </c>
      <c r="H533" s="8">
        <f t="shared" si="1"/>
        <v>17</v>
      </c>
      <c r="I533" s="9">
        <f t="shared" si="2"/>
        <v>6</v>
      </c>
      <c r="J533" s="9">
        <f t="shared" si="3"/>
        <v>2023</v>
      </c>
    </row>
    <row r="534" ht="15.75" customHeight="1">
      <c r="A534" s="5">
        <v>27.0</v>
      </c>
      <c r="B534" s="10" t="s">
        <v>575</v>
      </c>
      <c r="C534" s="3" t="s">
        <v>576</v>
      </c>
      <c r="D534" s="4" t="s">
        <v>8</v>
      </c>
      <c r="E534" s="5" t="s">
        <v>6</v>
      </c>
      <c r="F534" s="6" t="s">
        <v>587</v>
      </c>
      <c r="G534" s="7">
        <v>45101.0</v>
      </c>
      <c r="H534" s="8">
        <f t="shared" si="1"/>
        <v>24</v>
      </c>
      <c r="I534" s="9">
        <f t="shared" si="2"/>
        <v>6</v>
      </c>
      <c r="J534" s="9">
        <f t="shared" si="3"/>
        <v>2023</v>
      </c>
    </row>
    <row r="535" ht="15.75" customHeight="1">
      <c r="A535" s="5">
        <v>27.0</v>
      </c>
      <c r="B535" s="10" t="s">
        <v>575</v>
      </c>
      <c r="C535" s="3" t="s">
        <v>576</v>
      </c>
      <c r="D535" s="4" t="s">
        <v>3</v>
      </c>
      <c r="E535" s="5" t="s">
        <v>51</v>
      </c>
      <c r="F535" s="6" t="s">
        <v>588</v>
      </c>
      <c r="G535" s="7">
        <v>45104.0</v>
      </c>
      <c r="H535" s="8">
        <f t="shared" si="1"/>
        <v>27</v>
      </c>
      <c r="I535" s="9">
        <f t="shared" si="2"/>
        <v>6</v>
      </c>
      <c r="J535" s="9">
        <f t="shared" si="3"/>
        <v>2023</v>
      </c>
    </row>
    <row r="536" ht="15.75" customHeight="1">
      <c r="A536" s="5">
        <v>27.0</v>
      </c>
      <c r="B536" s="10" t="s">
        <v>575</v>
      </c>
      <c r="C536" s="3" t="s">
        <v>576</v>
      </c>
      <c r="D536" s="4" t="s">
        <v>8</v>
      </c>
      <c r="E536" s="5" t="s">
        <v>17</v>
      </c>
      <c r="F536" s="6" t="s">
        <v>589</v>
      </c>
      <c r="G536" s="7">
        <v>45115.0</v>
      </c>
      <c r="H536" s="8">
        <f t="shared" si="1"/>
        <v>8</v>
      </c>
      <c r="I536" s="9">
        <f t="shared" si="2"/>
        <v>7</v>
      </c>
      <c r="J536" s="9">
        <f t="shared" si="3"/>
        <v>2023</v>
      </c>
    </row>
    <row r="537" ht="15.75" customHeight="1">
      <c r="A537" s="5">
        <v>27.0</v>
      </c>
      <c r="B537" s="10" t="s">
        <v>575</v>
      </c>
      <c r="C537" s="3" t="s">
        <v>576</v>
      </c>
      <c r="D537" s="4" t="s">
        <v>8</v>
      </c>
      <c r="E537" s="5" t="s">
        <v>9</v>
      </c>
      <c r="F537" s="6" t="s">
        <v>590</v>
      </c>
      <c r="G537" s="7">
        <v>45154.0</v>
      </c>
      <c r="H537" s="8">
        <f t="shared" si="1"/>
        <v>16</v>
      </c>
      <c r="I537" s="9">
        <f t="shared" si="2"/>
        <v>8</v>
      </c>
      <c r="J537" s="9">
        <f t="shared" si="3"/>
        <v>2023</v>
      </c>
    </row>
    <row r="538" ht="15.75" customHeight="1">
      <c r="A538" s="5">
        <v>27.0</v>
      </c>
      <c r="B538" s="10" t="s">
        <v>575</v>
      </c>
      <c r="C538" s="3" t="s">
        <v>576</v>
      </c>
      <c r="D538" s="4" t="s">
        <v>8</v>
      </c>
      <c r="E538" s="5" t="s">
        <v>45</v>
      </c>
      <c r="F538" s="6" t="s">
        <v>591</v>
      </c>
      <c r="G538" s="7">
        <v>45219.0</v>
      </c>
      <c r="H538" s="8">
        <f t="shared" si="1"/>
        <v>20</v>
      </c>
      <c r="I538" s="9">
        <f t="shared" si="2"/>
        <v>10</v>
      </c>
      <c r="J538" s="9">
        <f t="shared" si="3"/>
        <v>2023</v>
      </c>
    </row>
    <row r="539" ht="15.75" customHeight="1">
      <c r="A539" s="5">
        <v>27.0</v>
      </c>
      <c r="B539" s="10" t="s">
        <v>575</v>
      </c>
      <c r="C539" s="3" t="s">
        <v>576</v>
      </c>
      <c r="D539" s="4" t="s">
        <v>3</v>
      </c>
      <c r="E539" s="5" t="s">
        <v>13</v>
      </c>
      <c r="F539" s="6" t="s">
        <v>592</v>
      </c>
      <c r="G539" s="7">
        <v>45226.0</v>
      </c>
      <c r="H539" s="8">
        <f t="shared" si="1"/>
        <v>27</v>
      </c>
      <c r="I539" s="9">
        <f t="shared" si="2"/>
        <v>10</v>
      </c>
      <c r="J539" s="9">
        <f t="shared" si="3"/>
        <v>2023</v>
      </c>
    </row>
    <row r="540" ht="15.75" customHeight="1">
      <c r="A540" s="5">
        <v>27.0</v>
      </c>
      <c r="B540" s="10" t="s">
        <v>575</v>
      </c>
      <c r="C540" s="3" t="s">
        <v>576</v>
      </c>
      <c r="D540" s="4" t="s">
        <v>8</v>
      </c>
      <c r="E540" s="5" t="s">
        <v>23</v>
      </c>
      <c r="F540" s="6" t="s">
        <v>77</v>
      </c>
      <c r="G540" s="7">
        <v>45270.0</v>
      </c>
      <c r="H540" s="8">
        <f t="shared" si="1"/>
        <v>10</v>
      </c>
      <c r="I540" s="9">
        <f t="shared" si="2"/>
        <v>12</v>
      </c>
      <c r="J540" s="9">
        <f t="shared" si="3"/>
        <v>2023</v>
      </c>
    </row>
    <row r="541" ht="15.75" customHeight="1">
      <c r="A541" s="5">
        <v>28.0</v>
      </c>
      <c r="B541" s="10" t="s">
        <v>593</v>
      </c>
      <c r="C541" s="3" t="s">
        <v>594</v>
      </c>
      <c r="D541" s="4" t="s">
        <v>8</v>
      </c>
      <c r="E541" s="5" t="s">
        <v>35</v>
      </c>
      <c r="F541" s="6" t="s">
        <v>595</v>
      </c>
      <c r="G541" s="7">
        <v>44930.0</v>
      </c>
      <c r="H541" s="8">
        <f t="shared" si="1"/>
        <v>4</v>
      </c>
      <c r="I541" s="9">
        <f t="shared" si="2"/>
        <v>1</v>
      </c>
      <c r="J541" s="9">
        <f t="shared" si="3"/>
        <v>2023</v>
      </c>
    </row>
    <row r="542" ht="15.75" customHeight="1">
      <c r="A542" s="5">
        <v>28.0</v>
      </c>
      <c r="B542" s="10" t="s">
        <v>593</v>
      </c>
      <c r="C542" s="3" t="s">
        <v>594</v>
      </c>
      <c r="D542" s="4" t="s">
        <v>8</v>
      </c>
      <c r="E542" s="5" t="s">
        <v>17</v>
      </c>
      <c r="F542" s="6" t="s">
        <v>596</v>
      </c>
      <c r="G542" s="7">
        <v>44958.0</v>
      </c>
      <c r="H542" s="8">
        <f t="shared" si="1"/>
        <v>1</v>
      </c>
      <c r="I542" s="9">
        <f t="shared" si="2"/>
        <v>2</v>
      </c>
      <c r="J542" s="9">
        <f t="shared" si="3"/>
        <v>2023</v>
      </c>
    </row>
    <row r="543" ht="15.75" customHeight="1">
      <c r="A543" s="5">
        <v>28.0</v>
      </c>
      <c r="B543" s="10" t="s">
        <v>593</v>
      </c>
      <c r="C543" s="3" t="s">
        <v>594</v>
      </c>
      <c r="D543" s="4" t="s">
        <v>8</v>
      </c>
      <c r="E543" s="5" t="s">
        <v>96</v>
      </c>
      <c r="F543" s="6" t="s">
        <v>597</v>
      </c>
      <c r="G543" s="7">
        <v>44980.0</v>
      </c>
      <c r="H543" s="8">
        <f t="shared" si="1"/>
        <v>23</v>
      </c>
      <c r="I543" s="9">
        <f t="shared" si="2"/>
        <v>2</v>
      </c>
      <c r="J543" s="9">
        <f t="shared" si="3"/>
        <v>2023</v>
      </c>
    </row>
    <row r="544" ht="15.75" customHeight="1">
      <c r="A544" s="5">
        <v>28.0</v>
      </c>
      <c r="B544" s="10" t="s">
        <v>593</v>
      </c>
      <c r="C544" s="3" t="s">
        <v>594</v>
      </c>
      <c r="D544" s="4" t="s">
        <v>8</v>
      </c>
      <c r="E544" s="5" t="s">
        <v>21</v>
      </c>
      <c r="F544" s="6" t="s">
        <v>343</v>
      </c>
      <c r="G544" s="7">
        <v>44995.0</v>
      </c>
      <c r="H544" s="8">
        <f t="shared" si="1"/>
        <v>10</v>
      </c>
      <c r="I544" s="9">
        <f t="shared" si="2"/>
        <v>3</v>
      </c>
      <c r="J544" s="9">
        <f t="shared" si="3"/>
        <v>2023</v>
      </c>
    </row>
    <row r="545" ht="15.75" customHeight="1">
      <c r="A545" s="5">
        <v>28.0</v>
      </c>
      <c r="B545" s="10" t="s">
        <v>593</v>
      </c>
      <c r="C545" s="3" t="s">
        <v>594</v>
      </c>
      <c r="D545" s="4" t="s">
        <v>8</v>
      </c>
      <c r="E545" s="5" t="s">
        <v>71</v>
      </c>
      <c r="F545" s="6" t="s">
        <v>598</v>
      </c>
      <c r="G545" s="7">
        <v>45008.0</v>
      </c>
      <c r="H545" s="8">
        <f t="shared" si="1"/>
        <v>23</v>
      </c>
      <c r="I545" s="9">
        <f t="shared" si="2"/>
        <v>3</v>
      </c>
      <c r="J545" s="9">
        <f t="shared" si="3"/>
        <v>2023</v>
      </c>
    </row>
    <row r="546" ht="15.75" customHeight="1">
      <c r="A546" s="5">
        <v>28.0</v>
      </c>
      <c r="B546" s="10" t="s">
        <v>593</v>
      </c>
      <c r="C546" s="3" t="s">
        <v>594</v>
      </c>
      <c r="D546" s="4" t="s">
        <v>3</v>
      </c>
      <c r="E546" s="5" t="s">
        <v>71</v>
      </c>
      <c r="F546" s="6" t="s">
        <v>599</v>
      </c>
      <c r="G546" s="7">
        <v>45022.0</v>
      </c>
      <c r="H546" s="8">
        <f t="shared" si="1"/>
        <v>6</v>
      </c>
      <c r="I546" s="9">
        <f t="shared" si="2"/>
        <v>4</v>
      </c>
      <c r="J546" s="9">
        <f t="shared" si="3"/>
        <v>2023</v>
      </c>
    </row>
    <row r="547" ht="15.75" customHeight="1">
      <c r="A547" s="5">
        <v>28.0</v>
      </c>
      <c r="B547" s="10" t="s">
        <v>593</v>
      </c>
      <c r="C547" s="3" t="s">
        <v>594</v>
      </c>
      <c r="D547" s="4" t="s">
        <v>3</v>
      </c>
      <c r="E547" s="5" t="s">
        <v>35</v>
      </c>
      <c r="F547" s="6" t="s">
        <v>600</v>
      </c>
      <c r="G547" s="7">
        <v>45026.0</v>
      </c>
      <c r="H547" s="8">
        <f t="shared" si="1"/>
        <v>10</v>
      </c>
      <c r="I547" s="9">
        <f t="shared" si="2"/>
        <v>4</v>
      </c>
      <c r="J547" s="9">
        <f t="shared" si="3"/>
        <v>2023</v>
      </c>
    </row>
    <row r="548" ht="15.75" customHeight="1">
      <c r="A548" s="5">
        <v>28.0</v>
      </c>
      <c r="B548" s="10" t="s">
        <v>593</v>
      </c>
      <c r="C548" s="3" t="s">
        <v>594</v>
      </c>
      <c r="D548" s="4" t="s">
        <v>3</v>
      </c>
      <c r="E548" s="5" t="s">
        <v>39</v>
      </c>
      <c r="F548" s="6" t="s">
        <v>601</v>
      </c>
      <c r="G548" s="7">
        <v>45033.0</v>
      </c>
      <c r="H548" s="8">
        <f t="shared" si="1"/>
        <v>17</v>
      </c>
      <c r="I548" s="9">
        <f t="shared" si="2"/>
        <v>4</v>
      </c>
      <c r="J548" s="9">
        <f t="shared" si="3"/>
        <v>2023</v>
      </c>
    </row>
    <row r="549" ht="15.75" customHeight="1">
      <c r="A549" s="5">
        <v>28.0</v>
      </c>
      <c r="B549" s="10" t="s">
        <v>593</v>
      </c>
      <c r="C549" s="3" t="s">
        <v>594</v>
      </c>
      <c r="D549" s="4" t="s">
        <v>3</v>
      </c>
      <c r="E549" s="5" t="s">
        <v>42</v>
      </c>
      <c r="F549" s="6" t="s">
        <v>602</v>
      </c>
      <c r="G549" s="7">
        <v>45051.0</v>
      </c>
      <c r="H549" s="8">
        <f t="shared" si="1"/>
        <v>5</v>
      </c>
      <c r="I549" s="9">
        <f t="shared" si="2"/>
        <v>5</v>
      </c>
      <c r="J549" s="9">
        <f t="shared" si="3"/>
        <v>2023</v>
      </c>
    </row>
    <row r="550" ht="15.75" customHeight="1">
      <c r="A550" s="5">
        <v>28.0</v>
      </c>
      <c r="B550" s="10" t="s">
        <v>593</v>
      </c>
      <c r="C550" s="3" t="s">
        <v>594</v>
      </c>
      <c r="D550" s="4" t="s">
        <v>8</v>
      </c>
      <c r="E550" s="5" t="s">
        <v>120</v>
      </c>
      <c r="F550" s="6" t="s">
        <v>603</v>
      </c>
      <c r="G550" s="7">
        <v>45052.0</v>
      </c>
      <c r="H550" s="8">
        <f t="shared" si="1"/>
        <v>6</v>
      </c>
      <c r="I550" s="9">
        <f t="shared" si="2"/>
        <v>5</v>
      </c>
      <c r="J550" s="9">
        <f t="shared" si="3"/>
        <v>2023</v>
      </c>
    </row>
    <row r="551" ht="15.75" customHeight="1">
      <c r="A551" s="5">
        <v>28.0</v>
      </c>
      <c r="B551" s="10" t="s">
        <v>593</v>
      </c>
      <c r="C551" s="3" t="s">
        <v>594</v>
      </c>
      <c r="D551" s="4" t="s">
        <v>3</v>
      </c>
      <c r="E551" s="5" t="s">
        <v>96</v>
      </c>
      <c r="F551" s="6" t="s">
        <v>604</v>
      </c>
      <c r="G551" s="7">
        <v>45081.0</v>
      </c>
      <c r="H551" s="8">
        <f t="shared" si="1"/>
        <v>4</v>
      </c>
      <c r="I551" s="9">
        <f t="shared" si="2"/>
        <v>6</v>
      </c>
      <c r="J551" s="9">
        <f t="shared" si="3"/>
        <v>2023</v>
      </c>
    </row>
    <row r="552" ht="15.75" customHeight="1">
      <c r="A552" s="5">
        <v>28.0</v>
      </c>
      <c r="B552" s="10" t="s">
        <v>593</v>
      </c>
      <c r="C552" s="3" t="s">
        <v>594</v>
      </c>
      <c r="D552" s="4" t="s">
        <v>3</v>
      </c>
      <c r="E552" s="5" t="s">
        <v>13</v>
      </c>
      <c r="F552" s="6" t="s">
        <v>605</v>
      </c>
      <c r="G552" s="7">
        <v>45086.0</v>
      </c>
      <c r="H552" s="8">
        <f t="shared" si="1"/>
        <v>9</v>
      </c>
      <c r="I552" s="9">
        <f t="shared" si="2"/>
        <v>6</v>
      </c>
      <c r="J552" s="9">
        <f t="shared" si="3"/>
        <v>2023</v>
      </c>
    </row>
    <row r="553" ht="15.75" customHeight="1">
      <c r="A553" s="5">
        <v>28.0</v>
      </c>
      <c r="B553" s="10" t="s">
        <v>593</v>
      </c>
      <c r="C553" s="3" t="s">
        <v>594</v>
      </c>
      <c r="D553" s="4" t="s">
        <v>8</v>
      </c>
      <c r="E553" s="5" t="s">
        <v>42</v>
      </c>
      <c r="F553" s="6" t="s">
        <v>606</v>
      </c>
      <c r="G553" s="7">
        <v>45130.0</v>
      </c>
      <c r="H553" s="8">
        <f t="shared" si="1"/>
        <v>23</v>
      </c>
      <c r="I553" s="9">
        <f t="shared" si="2"/>
        <v>7</v>
      </c>
      <c r="J553" s="9">
        <f t="shared" si="3"/>
        <v>2023</v>
      </c>
    </row>
    <row r="554" ht="15.75" customHeight="1">
      <c r="A554" s="5">
        <v>28.0</v>
      </c>
      <c r="B554" s="10" t="s">
        <v>593</v>
      </c>
      <c r="C554" s="3" t="s">
        <v>594</v>
      </c>
      <c r="D554" s="4" t="s">
        <v>3</v>
      </c>
      <c r="E554" s="5" t="s">
        <v>9</v>
      </c>
      <c r="F554" s="6" t="s">
        <v>607</v>
      </c>
      <c r="G554" s="7">
        <v>45154.0</v>
      </c>
      <c r="H554" s="8">
        <f t="shared" si="1"/>
        <v>16</v>
      </c>
      <c r="I554" s="9">
        <f t="shared" si="2"/>
        <v>8</v>
      </c>
      <c r="J554" s="9">
        <f t="shared" si="3"/>
        <v>2023</v>
      </c>
    </row>
    <row r="555" ht="15.75" customHeight="1">
      <c r="A555" s="5">
        <v>28.0</v>
      </c>
      <c r="B555" s="10" t="s">
        <v>593</v>
      </c>
      <c r="C555" s="3" t="s">
        <v>594</v>
      </c>
      <c r="D555" s="4" t="s">
        <v>3</v>
      </c>
      <c r="E555" s="5" t="s">
        <v>51</v>
      </c>
      <c r="F555" s="6" t="s">
        <v>608</v>
      </c>
      <c r="G555" s="7">
        <v>45159.0</v>
      </c>
      <c r="H555" s="8">
        <f t="shared" si="1"/>
        <v>21</v>
      </c>
      <c r="I555" s="9">
        <f t="shared" si="2"/>
        <v>8</v>
      </c>
      <c r="J555" s="9">
        <f t="shared" si="3"/>
        <v>2023</v>
      </c>
    </row>
    <row r="556" ht="15.75" customHeight="1">
      <c r="A556" s="5">
        <v>28.0</v>
      </c>
      <c r="B556" s="10" t="s">
        <v>593</v>
      </c>
      <c r="C556" s="3" t="s">
        <v>594</v>
      </c>
      <c r="D556" s="4" t="s">
        <v>3</v>
      </c>
      <c r="E556" s="5" t="s">
        <v>15</v>
      </c>
      <c r="F556" s="6" t="s">
        <v>609</v>
      </c>
      <c r="G556" s="7">
        <v>45161.0</v>
      </c>
      <c r="H556" s="8">
        <f t="shared" si="1"/>
        <v>23</v>
      </c>
      <c r="I556" s="9">
        <f t="shared" si="2"/>
        <v>8</v>
      </c>
      <c r="J556" s="9">
        <f t="shared" si="3"/>
        <v>2023</v>
      </c>
    </row>
    <row r="557" ht="15.75" customHeight="1">
      <c r="A557" s="5">
        <v>28.0</v>
      </c>
      <c r="B557" s="10" t="s">
        <v>593</v>
      </c>
      <c r="C557" s="3" t="s">
        <v>594</v>
      </c>
      <c r="D557" s="4" t="s">
        <v>8</v>
      </c>
      <c r="E557" s="5" t="s">
        <v>23</v>
      </c>
      <c r="F557" s="6" t="s">
        <v>610</v>
      </c>
      <c r="G557" s="7">
        <v>45184.0</v>
      </c>
      <c r="H557" s="8">
        <f t="shared" si="1"/>
        <v>15</v>
      </c>
      <c r="I557" s="9">
        <f t="shared" si="2"/>
        <v>9</v>
      </c>
      <c r="J557" s="9">
        <f t="shared" si="3"/>
        <v>2023</v>
      </c>
    </row>
    <row r="558" ht="15.75" customHeight="1">
      <c r="A558" s="5">
        <v>28.0</v>
      </c>
      <c r="B558" s="10" t="s">
        <v>593</v>
      </c>
      <c r="C558" s="3" t="s">
        <v>594</v>
      </c>
      <c r="D558" s="4" t="s">
        <v>3</v>
      </c>
      <c r="E558" s="5" t="s">
        <v>15</v>
      </c>
      <c r="F558" s="6" t="s">
        <v>611</v>
      </c>
      <c r="G558" s="7">
        <v>45239.0</v>
      </c>
      <c r="H558" s="8">
        <f t="shared" si="1"/>
        <v>9</v>
      </c>
      <c r="I558" s="9">
        <f t="shared" si="2"/>
        <v>11</v>
      </c>
      <c r="J558" s="9">
        <f t="shared" si="3"/>
        <v>2023</v>
      </c>
    </row>
    <row r="559" ht="15.75" customHeight="1">
      <c r="A559" s="5">
        <v>28.0</v>
      </c>
      <c r="B559" s="10" t="s">
        <v>593</v>
      </c>
      <c r="C559" s="3" t="s">
        <v>594</v>
      </c>
      <c r="D559" s="4" t="s">
        <v>8</v>
      </c>
      <c r="E559" s="5" t="s">
        <v>21</v>
      </c>
      <c r="F559" s="6" t="s">
        <v>612</v>
      </c>
      <c r="G559" s="7">
        <v>45255.0</v>
      </c>
      <c r="H559" s="8">
        <f t="shared" si="1"/>
        <v>25</v>
      </c>
      <c r="I559" s="9">
        <f t="shared" si="2"/>
        <v>11</v>
      </c>
      <c r="J559" s="9">
        <f t="shared" si="3"/>
        <v>2023</v>
      </c>
    </row>
    <row r="560" ht="15.75" customHeight="1">
      <c r="A560" s="5">
        <v>28.0</v>
      </c>
      <c r="B560" s="10" t="s">
        <v>593</v>
      </c>
      <c r="C560" s="3" t="s">
        <v>594</v>
      </c>
      <c r="D560" s="4" t="s">
        <v>8</v>
      </c>
      <c r="E560" s="5" t="s">
        <v>51</v>
      </c>
      <c r="F560" s="6" t="s">
        <v>181</v>
      </c>
      <c r="G560" s="7">
        <v>45265.0</v>
      </c>
      <c r="H560" s="8">
        <f t="shared" si="1"/>
        <v>5</v>
      </c>
      <c r="I560" s="9">
        <f t="shared" si="2"/>
        <v>12</v>
      </c>
      <c r="J560" s="9">
        <f t="shared" si="3"/>
        <v>2023</v>
      </c>
    </row>
    <row r="561" ht="15.75" customHeight="1">
      <c r="A561" s="5">
        <v>29.0</v>
      </c>
      <c r="B561" s="10" t="s">
        <v>613</v>
      </c>
      <c r="C561" s="3" t="s">
        <v>614</v>
      </c>
      <c r="D561" s="4" t="s">
        <v>8</v>
      </c>
      <c r="E561" s="5" t="s">
        <v>19</v>
      </c>
      <c r="F561" s="6" t="s">
        <v>615</v>
      </c>
      <c r="G561" s="7">
        <v>44935.0</v>
      </c>
      <c r="H561" s="8">
        <f t="shared" si="1"/>
        <v>9</v>
      </c>
      <c r="I561" s="9">
        <f t="shared" si="2"/>
        <v>1</v>
      </c>
      <c r="J561" s="9">
        <f t="shared" si="3"/>
        <v>2023</v>
      </c>
    </row>
    <row r="562" ht="15.75" customHeight="1">
      <c r="A562" s="5">
        <v>29.0</v>
      </c>
      <c r="B562" s="10" t="s">
        <v>613</v>
      </c>
      <c r="C562" s="3" t="s">
        <v>614</v>
      </c>
      <c r="D562" s="4" t="s">
        <v>8</v>
      </c>
      <c r="E562" s="5" t="s">
        <v>13</v>
      </c>
      <c r="F562" s="6" t="s">
        <v>616</v>
      </c>
      <c r="G562" s="7">
        <v>44940.0</v>
      </c>
      <c r="H562" s="8">
        <f t="shared" si="1"/>
        <v>14</v>
      </c>
      <c r="I562" s="9">
        <f t="shared" si="2"/>
        <v>1</v>
      </c>
      <c r="J562" s="9">
        <f t="shared" si="3"/>
        <v>2023</v>
      </c>
    </row>
    <row r="563" ht="15.75" customHeight="1">
      <c r="A563" s="5">
        <v>29.0</v>
      </c>
      <c r="B563" s="10" t="s">
        <v>613</v>
      </c>
      <c r="C563" s="3" t="s">
        <v>614</v>
      </c>
      <c r="D563" s="4" t="s">
        <v>8</v>
      </c>
      <c r="E563" s="5" t="s">
        <v>51</v>
      </c>
      <c r="F563" s="6" t="s">
        <v>617</v>
      </c>
      <c r="G563" s="7">
        <v>44989.0</v>
      </c>
      <c r="H563" s="8">
        <f t="shared" si="1"/>
        <v>4</v>
      </c>
      <c r="I563" s="9">
        <f t="shared" si="2"/>
        <v>3</v>
      </c>
      <c r="J563" s="9">
        <f t="shared" si="3"/>
        <v>2023</v>
      </c>
    </row>
    <row r="564" ht="15.75" customHeight="1">
      <c r="A564" s="5">
        <v>29.0</v>
      </c>
      <c r="B564" s="10" t="s">
        <v>613</v>
      </c>
      <c r="C564" s="3" t="s">
        <v>614</v>
      </c>
      <c r="D564" s="4" t="s">
        <v>8</v>
      </c>
      <c r="E564" s="5" t="s">
        <v>23</v>
      </c>
      <c r="F564" s="6" t="s">
        <v>618</v>
      </c>
      <c r="G564" s="7">
        <v>44992.0</v>
      </c>
      <c r="H564" s="8">
        <f t="shared" si="1"/>
        <v>7</v>
      </c>
      <c r="I564" s="9">
        <f t="shared" si="2"/>
        <v>3</v>
      </c>
      <c r="J564" s="9">
        <f t="shared" si="3"/>
        <v>2023</v>
      </c>
    </row>
    <row r="565" ht="15.75" customHeight="1">
      <c r="A565" s="5">
        <v>29.0</v>
      </c>
      <c r="B565" s="10" t="s">
        <v>613</v>
      </c>
      <c r="C565" s="3" t="s">
        <v>614</v>
      </c>
      <c r="D565" s="4" t="s">
        <v>3</v>
      </c>
      <c r="E565" s="5" t="s">
        <v>11</v>
      </c>
      <c r="F565" s="6" t="s">
        <v>619</v>
      </c>
      <c r="G565" s="7">
        <v>45000.0</v>
      </c>
      <c r="H565" s="8">
        <f t="shared" si="1"/>
        <v>15</v>
      </c>
      <c r="I565" s="9">
        <f t="shared" si="2"/>
        <v>3</v>
      </c>
      <c r="J565" s="9">
        <f t="shared" si="3"/>
        <v>2023</v>
      </c>
    </row>
    <row r="566" ht="15.75" customHeight="1">
      <c r="A566" s="5">
        <v>29.0</v>
      </c>
      <c r="B566" s="10" t="s">
        <v>613</v>
      </c>
      <c r="C566" s="3" t="s">
        <v>614</v>
      </c>
      <c r="D566" s="4" t="s">
        <v>3</v>
      </c>
      <c r="E566" s="5" t="s">
        <v>96</v>
      </c>
      <c r="F566" s="6" t="s">
        <v>620</v>
      </c>
      <c r="G566" s="7">
        <v>45024.0</v>
      </c>
      <c r="H566" s="8">
        <f t="shared" si="1"/>
        <v>8</v>
      </c>
      <c r="I566" s="9">
        <f t="shared" si="2"/>
        <v>4</v>
      </c>
      <c r="J566" s="9">
        <f t="shared" si="3"/>
        <v>2023</v>
      </c>
    </row>
    <row r="567" ht="15.75" customHeight="1">
      <c r="A567" s="5">
        <v>29.0</v>
      </c>
      <c r="B567" s="10" t="s">
        <v>613</v>
      </c>
      <c r="C567" s="3" t="s">
        <v>614</v>
      </c>
      <c r="D567" s="4" t="s">
        <v>8</v>
      </c>
      <c r="E567" s="5" t="s">
        <v>15</v>
      </c>
      <c r="F567" s="6" t="s">
        <v>384</v>
      </c>
      <c r="G567" s="7">
        <v>45030.0</v>
      </c>
      <c r="H567" s="8">
        <f t="shared" si="1"/>
        <v>14</v>
      </c>
      <c r="I567" s="9">
        <f t="shared" si="2"/>
        <v>4</v>
      </c>
      <c r="J567" s="9">
        <f t="shared" si="3"/>
        <v>2023</v>
      </c>
    </row>
    <row r="568" ht="15.75" customHeight="1">
      <c r="A568" s="5">
        <v>29.0</v>
      </c>
      <c r="B568" s="10" t="s">
        <v>613</v>
      </c>
      <c r="C568" s="3" t="s">
        <v>614</v>
      </c>
      <c r="D568" s="4" t="s">
        <v>8</v>
      </c>
      <c r="E568" s="5" t="s">
        <v>71</v>
      </c>
      <c r="F568" s="6" t="s">
        <v>621</v>
      </c>
      <c r="G568" s="7">
        <v>45034.0</v>
      </c>
      <c r="H568" s="8">
        <f t="shared" si="1"/>
        <v>18</v>
      </c>
      <c r="I568" s="9">
        <f t="shared" si="2"/>
        <v>4</v>
      </c>
      <c r="J568" s="9">
        <f t="shared" si="3"/>
        <v>2023</v>
      </c>
    </row>
    <row r="569" ht="15.75" customHeight="1">
      <c r="A569" s="5">
        <v>29.0</v>
      </c>
      <c r="B569" s="10" t="s">
        <v>613</v>
      </c>
      <c r="C569" s="3" t="s">
        <v>614</v>
      </c>
      <c r="D569" s="4" t="s">
        <v>3</v>
      </c>
      <c r="E569" s="5" t="s">
        <v>120</v>
      </c>
      <c r="F569" s="6" t="s">
        <v>622</v>
      </c>
      <c r="G569" s="7">
        <v>45059.0</v>
      </c>
      <c r="H569" s="8">
        <f t="shared" si="1"/>
        <v>13</v>
      </c>
      <c r="I569" s="9">
        <f t="shared" si="2"/>
        <v>5</v>
      </c>
      <c r="J569" s="9">
        <f t="shared" si="3"/>
        <v>2023</v>
      </c>
    </row>
    <row r="570" ht="15.75" customHeight="1">
      <c r="A570" s="5">
        <v>29.0</v>
      </c>
      <c r="B570" s="10" t="s">
        <v>613</v>
      </c>
      <c r="C570" s="3" t="s">
        <v>614</v>
      </c>
      <c r="D570" s="4" t="s">
        <v>3</v>
      </c>
      <c r="E570" s="5" t="s">
        <v>21</v>
      </c>
      <c r="F570" s="6" t="s">
        <v>568</v>
      </c>
      <c r="G570" s="7">
        <v>45083.0</v>
      </c>
      <c r="H570" s="8">
        <f t="shared" si="1"/>
        <v>6</v>
      </c>
      <c r="I570" s="9">
        <f t="shared" si="2"/>
        <v>6</v>
      </c>
      <c r="J570" s="9">
        <f t="shared" si="3"/>
        <v>2023</v>
      </c>
    </row>
    <row r="571" ht="15.75" customHeight="1">
      <c r="A571" s="5">
        <v>29.0</v>
      </c>
      <c r="B571" s="10" t="s">
        <v>613</v>
      </c>
      <c r="C571" s="3" t="s">
        <v>614</v>
      </c>
      <c r="D571" s="4" t="s">
        <v>8</v>
      </c>
      <c r="E571" s="5" t="s">
        <v>96</v>
      </c>
      <c r="F571" s="6" t="s">
        <v>623</v>
      </c>
      <c r="G571" s="7">
        <v>45113.0</v>
      </c>
      <c r="H571" s="8">
        <f t="shared" si="1"/>
        <v>6</v>
      </c>
      <c r="I571" s="9">
        <f t="shared" si="2"/>
        <v>7</v>
      </c>
      <c r="J571" s="9">
        <f t="shared" si="3"/>
        <v>2023</v>
      </c>
    </row>
    <row r="572" ht="15.75" customHeight="1">
      <c r="A572" s="5">
        <v>29.0</v>
      </c>
      <c r="B572" s="10" t="s">
        <v>613</v>
      </c>
      <c r="C572" s="3" t="s">
        <v>614</v>
      </c>
      <c r="D572" s="4" t="s">
        <v>8</v>
      </c>
      <c r="E572" s="5" t="s">
        <v>6</v>
      </c>
      <c r="F572" s="6" t="s">
        <v>624</v>
      </c>
      <c r="G572" s="7">
        <v>45165.0</v>
      </c>
      <c r="H572" s="8">
        <f t="shared" si="1"/>
        <v>27</v>
      </c>
      <c r="I572" s="9">
        <f t="shared" si="2"/>
        <v>8</v>
      </c>
      <c r="J572" s="9">
        <f t="shared" si="3"/>
        <v>2023</v>
      </c>
    </row>
    <row r="573" ht="15.75" customHeight="1">
      <c r="A573" s="5">
        <v>29.0</v>
      </c>
      <c r="B573" s="10" t="s">
        <v>613</v>
      </c>
      <c r="C573" s="3" t="s">
        <v>614</v>
      </c>
      <c r="D573" s="4" t="s">
        <v>8</v>
      </c>
      <c r="E573" s="5" t="s">
        <v>51</v>
      </c>
      <c r="F573" s="6" t="s">
        <v>625</v>
      </c>
      <c r="G573" s="7">
        <v>45181.0</v>
      </c>
      <c r="H573" s="8">
        <f t="shared" si="1"/>
        <v>12</v>
      </c>
      <c r="I573" s="9">
        <f t="shared" si="2"/>
        <v>9</v>
      </c>
      <c r="J573" s="9">
        <f t="shared" si="3"/>
        <v>2023</v>
      </c>
    </row>
    <row r="574" ht="15.75" customHeight="1">
      <c r="A574" s="5">
        <v>29.0</v>
      </c>
      <c r="B574" s="10" t="s">
        <v>613</v>
      </c>
      <c r="C574" s="3" t="s">
        <v>614</v>
      </c>
      <c r="D574" s="4" t="s">
        <v>8</v>
      </c>
      <c r="E574" s="5" t="s">
        <v>76</v>
      </c>
      <c r="F574" s="6" t="s">
        <v>626</v>
      </c>
      <c r="G574" s="7">
        <v>45189.0</v>
      </c>
      <c r="H574" s="8">
        <f t="shared" si="1"/>
        <v>20</v>
      </c>
      <c r="I574" s="9">
        <f t="shared" si="2"/>
        <v>9</v>
      </c>
      <c r="J574" s="9">
        <f t="shared" si="3"/>
        <v>2023</v>
      </c>
    </row>
    <row r="575" ht="15.75" customHeight="1">
      <c r="A575" s="5">
        <v>29.0</v>
      </c>
      <c r="B575" s="10" t="s">
        <v>613</v>
      </c>
      <c r="C575" s="3" t="s">
        <v>614</v>
      </c>
      <c r="D575" s="4" t="s">
        <v>8</v>
      </c>
      <c r="E575" s="5" t="s">
        <v>15</v>
      </c>
      <c r="F575" s="6" t="s">
        <v>353</v>
      </c>
      <c r="G575" s="7">
        <v>45227.0</v>
      </c>
      <c r="H575" s="8">
        <f t="shared" si="1"/>
        <v>28</v>
      </c>
      <c r="I575" s="9">
        <f t="shared" si="2"/>
        <v>10</v>
      </c>
      <c r="J575" s="9">
        <f t="shared" si="3"/>
        <v>2023</v>
      </c>
    </row>
    <row r="576" ht="15.75" customHeight="1">
      <c r="A576" s="5">
        <v>29.0</v>
      </c>
      <c r="B576" s="10" t="s">
        <v>613</v>
      </c>
      <c r="C576" s="3" t="s">
        <v>614</v>
      </c>
      <c r="D576" s="4" t="s">
        <v>3</v>
      </c>
      <c r="E576" s="5" t="s">
        <v>76</v>
      </c>
      <c r="F576" s="6" t="s">
        <v>627</v>
      </c>
      <c r="G576" s="7">
        <v>45240.0</v>
      </c>
      <c r="H576" s="8">
        <f t="shared" si="1"/>
        <v>10</v>
      </c>
      <c r="I576" s="9">
        <f t="shared" si="2"/>
        <v>11</v>
      </c>
      <c r="J576" s="9">
        <f t="shared" si="3"/>
        <v>2023</v>
      </c>
    </row>
    <row r="577" ht="15.75" customHeight="1">
      <c r="A577" s="5">
        <v>29.0</v>
      </c>
      <c r="B577" s="10" t="s">
        <v>613</v>
      </c>
      <c r="C577" s="3" t="s">
        <v>614</v>
      </c>
      <c r="D577" s="4" t="s">
        <v>3</v>
      </c>
      <c r="E577" s="5" t="s">
        <v>35</v>
      </c>
      <c r="F577" s="6" t="s">
        <v>628</v>
      </c>
      <c r="G577" s="7">
        <v>45246.0</v>
      </c>
      <c r="H577" s="8">
        <f t="shared" si="1"/>
        <v>16</v>
      </c>
      <c r="I577" s="9">
        <f t="shared" si="2"/>
        <v>11</v>
      </c>
      <c r="J577" s="9">
        <f t="shared" si="3"/>
        <v>2023</v>
      </c>
    </row>
    <row r="578" ht="15.75" customHeight="1">
      <c r="A578" s="5">
        <v>29.0</v>
      </c>
      <c r="B578" s="10" t="s">
        <v>613</v>
      </c>
      <c r="C578" s="3" t="s">
        <v>614</v>
      </c>
      <c r="D578" s="4" t="s">
        <v>8</v>
      </c>
      <c r="E578" s="5" t="s">
        <v>21</v>
      </c>
      <c r="F578" s="6" t="s">
        <v>629</v>
      </c>
      <c r="G578" s="7">
        <v>45251.0</v>
      </c>
      <c r="H578" s="8">
        <f t="shared" si="1"/>
        <v>21</v>
      </c>
      <c r="I578" s="9">
        <f t="shared" si="2"/>
        <v>11</v>
      </c>
      <c r="J578" s="9">
        <f t="shared" si="3"/>
        <v>2023</v>
      </c>
    </row>
    <row r="579" ht="15.75" customHeight="1">
      <c r="A579" s="5">
        <v>29.0</v>
      </c>
      <c r="B579" s="10" t="s">
        <v>613</v>
      </c>
      <c r="C579" s="3" t="s">
        <v>614</v>
      </c>
      <c r="D579" s="4" t="s">
        <v>3</v>
      </c>
      <c r="E579" s="5" t="s">
        <v>19</v>
      </c>
      <c r="F579" s="6" t="s">
        <v>630</v>
      </c>
      <c r="G579" s="7">
        <v>45272.0</v>
      </c>
      <c r="H579" s="8">
        <f t="shared" si="1"/>
        <v>12</v>
      </c>
      <c r="I579" s="9">
        <f t="shared" si="2"/>
        <v>12</v>
      </c>
      <c r="J579" s="9">
        <f t="shared" si="3"/>
        <v>2023</v>
      </c>
    </row>
    <row r="580" ht="15.75" customHeight="1">
      <c r="A580" s="5">
        <v>29.0</v>
      </c>
      <c r="B580" s="10" t="s">
        <v>613</v>
      </c>
      <c r="C580" s="3" t="s">
        <v>614</v>
      </c>
      <c r="D580" s="4" t="s">
        <v>8</v>
      </c>
      <c r="E580" s="5" t="s">
        <v>42</v>
      </c>
      <c r="F580" s="6" t="s">
        <v>631</v>
      </c>
      <c r="G580" s="7">
        <v>45280.0</v>
      </c>
      <c r="H580" s="8">
        <f t="shared" si="1"/>
        <v>20</v>
      </c>
      <c r="I580" s="9">
        <f t="shared" si="2"/>
        <v>12</v>
      </c>
      <c r="J580" s="9">
        <f t="shared" si="3"/>
        <v>2023</v>
      </c>
    </row>
    <row r="581" ht="15.75" customHeight="1">
      <c r="A581" s="5">
        <v>30.0</v>
      </c>
      <c r="B581" s="10" t="s">
        <v>632</v>
      </c>
      <c r="C581" s="3" t="s">
        <v>633</v>
      </c>
      <c r="D581" s="4" t="s">
        <v>8</v>
      </c>
      <c r="E581" s="5" t="s">
        <v>42</v>
      </c>
      <c r="F581" s="6" t="s">
        <v>634</v>
      </c>
      <c r="G581" s="7">
        <v>44927.0</v>
      </c>
      <c r="H581" s="8">
        <f t="shared" si="1"/>
        <v>1</v>
      </c>
      <c r="I581" s="9">
        <f t="shared" si="2"/>
        <v>1</v>
      </c>
      <c r="J581" s="9">
        <f t="shared" si="3"/>
        <v>2023</v>
      </c>
    </row>
    <row r="582" ht="15.75" customHeight="1">
      <c r="A582" s="5">
        <v>30.0</v>
      </c>
      <c r="B582" s="10" t="s">
        <v>632</v>
      </c>
      <c r="C582" s="3" t="s">
        <v>633</v>
      </c>
      <c r="D582" s="4" t="s">
        <v>8</v>
      </c>
      <c r="E582" s="5" t="s">
        <v>4</v>
      </c>
      <c r="F582" s="6" t="s">
        <v>635</v>
      </c>
      <c r="G582" s="7">
        <v>44928.0</v>
      </c>
      <c r="H582" s="8">
        <f t="shared" si="1"/>
        <v>2</v>
      </c>
      <c r="I582" s="9">
        <f t="shared" si="2"/>
        <v>1</v>
      </c>
      <c r="J582" s="9">
        <f t="shared" si="3"/>
        <v>2023</v>
      </c>
    </row>
    <row r="583" ht="15.75" customHeight="1">
      <c r="A583" s="5">
        <v>30.0</v>
      </c>
      <c r="B583" s="10" t="s">
        <v>632</v>
      </c>
      <c r="C583" s="3" t="s">
        <v>633</v>
      </c>
      <c r="D583" s="4" t="s">
        <v>8</v>
      </c>
      <c r="E583" s="5" t="s">
        <v>120</v>
      </c>
      <c r="F583" s="6" t="s">
        <v>636</v>
      </c>
      <c r="G583" s="7">
        <v>44932.0</v>
      </c>
      <c r="H583" s="8">
        <f t="shared" si="1"/>
        <v>6</v>
      </c>
      <c r="I583" s="9">
        <f t="shared" si="2"/>
        <v>1</v>
      </c>
      <c r="J583" s="9">
        <f t="shared" si="3"/>
        <v>2023</v>
      </c>
    </row>
    <row r="584" ht="15.75" customHeight="1">
      <c r="A584" s="5">
        <v>30.0</v>
      </c>
      <c r="B584" s="10" t="s">
        <v>632</v>
      </c>
      <c r="C584" s="3" t="s">
        <v>633</v>
      </c>
      <c r="D584" s="4" t="s">
        <v>8</v>
      </c>
      <c r="E584" s="5" t="s">
        <v>17</v>
      </c>
      <c r="F584" s="6" t="s">
        <v>29</v>
      </c>
      <c r="G584" s="7">
        <v>44967.0</v>
      </c>
      <c r="H584" s="8">
        <f t="shared" si="1"/>
        <v>10</v>
      </c>
      <c r="I584" s="9">
        <f t="shared" si="2"/>
        <v>2</v>
      </c>
      <c r="J584" s="9">
        <f t="shared" si="3"/>
        <v>2023</v>
      </c>
    </row>
    <row r="585" ht="15.75" customHeight="1">
      <c r="A585" s="5">
        <v>30.0</v>
      </c>
      <c r="B585" s="10" t="s">
        <v>632</v>
      </c>
      <c r="C585" s="3" t="s">
        <v>633</v>
      </c>
      <c r="D585" s="4" t="s">
        <v>8</v>
      </c>
      <c r="E585" s="5" t="s">
        <v>96</v>
      </c>
      <c r="F585" s="6" t="s">
        <v>637</v>
      </c>
      <c r="G585" s="7">
        <v>44973.0</v>
      </c>
      <c r="H585" s="8">
        <f t="shared" si="1"/>
        <v>16</v>
      </c>
      <c r="I585" s="9">
        <f t="shared" si="2"/>
        <v>2</v>
      </c>
      <c r="J585" s="9">
        <f t="shared" si="3"/>
        <v>2023</v>
      </c>
    </row>
    <row r="586" ht="15.75" customHeight="1">
      <c r="A586" s="5">
        <v>30.0</v>
      </c>
      <c r="B586" s="10" t="s">
        <v>632</v>
      </c>
      <c r="C586" s="3" t="s">
        <v>633</v>
      </c>
      <c r="D586" s="4" t="s">
        <v>8</v>
      </c>
      <c r="E586" s="5" t="s">
        <v>28</v>
      </c>
      <c r="F586" s="6" t="s">
        <v>638</v>
      </c>
      <c r="G586" s="7">
        <v>45000.0</v>
      </c>
      <c r="H586" s="8">
        <f t="shared" si="1"/>
        <v>15</v>
      </c>
      <c r="I586" s="9">
        <f t="shared" si="2"/>
        <v>3</v>
      </c>
      <c r="J586" s="9">
        <f t="shared" si="3"/>
        <v>2023</v>
      </c>
    </row>
    <row r="587" ht="15.75" customHeight="1">
      <c r="A587" s="5">
        <v>30.0</v>
      </c>
      <c r="B587" s="10" t="s">
        <v>632</v>
      </c>
      <c r="C587" s="3" t="s">
        <v>633</v>
      </c>
      <c r="D587" s="4" t="s">
        <v>3</v>
      </c>
      <c r="E587" s="5" t="s">
        <v>76</v>
      </c>
      <c r="F587" s="6" t="s">
        <v>639</v>
      </c>
      <c r="G587" s="7">
        <v>45062.0</v>
      </c>
      <c r="H587" s="8">
        <f t="shared" si="1"/>
        <v>16</v>
      </c>
      <c r="I587" s="9">
        <f t="shared" si="2"/>
        <v>5</v>
      </c>
      <c r="J587" s="9">
        <f t="shared" si="3"/>
        <v>2023</v>
      </c>
    </row>
    <row r="588" ht="15.75" customHeight="1">
      <c r="A588" s="5">
        <v>30.0</v>
      </c>
      <c r="B588" s="10" t="s">
        <v>632</v>
      </c>
      <c r="C588" s="3" t="s">
        <v>633</v>
      </c>
      <c r="D588" s="4" t="s">
        <v>8</v>
      </c>
      <c r="E588" s="5" t="s">
        <v>19</v>
      </c>
      <c r="F588" s="6" t="s">
        <v>41</v>
      </c>
      <c r="G588" s="7">
        <v>45068.0</v>
      </c>
      <c r="H588" s="8">
        <f t="shared" si="1"/>
        <v>22</v>
      </c>
      <c r="I588" s="9">
        <f t="shared" si="2"/>
        <v>5</v>
      </c>
      <c r="J588" s="9">
        <f t="shared" si="3"/>
        <v>2023</v>
      </c>
    </row>
    <row r="589" ht="15.75" customHeight="1">
      <c r="A589" s="5">
        <v>30.0</v>
      </c>
      <c r="B589" s="10" t="s">
        <v>632</v>
      </c>
      <c r="C589" s="3" t="s">
        <v>633</v>
      </c>
      <c r="D589" s="4" t="s">
        <v>8</v>
      </c>
      <c r="E589" s="5" t="s">
        <v>45</v>
      </c>
      <c r="F589" s="6" t="s">
        <v>640</v>
      </c>
      <c r="G589" s="7">
        <v>45081.0</v>
      </c>
      <c r="H589" s="8">
        <f t="shared" si="1"/>
        <v>4</v>
      </c>
      <c r="I589" s="9">
        <f t="shared" si="2"/>
        <v>6</v>
      </c>
      <c r="J589" s="9">
        <f t="shared" si="3"/>
        <v>2023</v>
      </c>
    </row>
    <row r="590" ht="15.75" customHeight="1">
      <c r="A590" s="5">
        <v>30.0</v>
      </c>
      <c r="B590" s="10" t="s">
        <v>632</v>
      </c>
      <c r="C590" s="3" t="s">
        <v>633</v>
      </c>
      <c r="D590" s="4" t="s">
        <v>8</v>
      </c>
      <c r="E590" s="5" t="s">
        <v>96</v>
      </c>
      <c r="F590" s="6" t="s">
        <v>641</v>
      </c>
      <c r="G590" s="7">
        <v>45086.0</v>
      </c>
      <c r="H590" s="8">
        <f t="shared" si="1"/>
        <v>9</v>
      </c>
      <c r="I590" s="9">
        <f t="shared" si="2"/>
        <v>6</v>
      </c>
      <c r="J590" s="9">
        <f t="shared" si="3"/>
        <v>2023</v>
      </c>
    </row>
    <row r="591" ht="15.75" customHeight="1">
      <c r="A591" s="5">
        <v>30.0</v>
      </c>
      <c r="B591" s="10" t="s">
        <v>632</v>
      </c>
      <c r="C591" s="3" t="s">
        <v>633</v>
      </c>
      <c r="D591" s="4" t="s">
        <v>8</v>
      </c>
      <c r="E591" s="5" t="s">
        <v>19</v>
      </c>
      <c r="F591" s="6" t="s">
        <v>642</v>
      </c>
      <c r="G591" s="7">
        <v>45134.0</v>
      </c>
      <c r="H591" s="8">
        <f t="shared" si="1"/>
        <v>27</v>
      </c>
      <c r="I591" s="9">
        <f t="shared" si="2"/>
        <v>7</v>
      </c>
      <c r="J591" s="9">
        <f t="shared" si="3"/>
        <v>2023</v>
      </c>
    </row>
    <row r="592" ht="15.75" customHeight="1">
      <c r="A592" s="5">
        <v>30.0</v>
      </c>
      <c r="B592" s="10" t="s">
        <v>632</v>
      </c>
      <c r="C592" s="3" t="s">
        <v>633</v>
      </c>
      <c r="D592" s="4" t="s">
        <v>3</v>
      </c>
      <c r="E592" s="5" t="s">
        <v>42</v>
      </c>
      <c r="F592" s="6" t="s">
        <v>643</v>
      </c>
      <c r="G592" s="7">
        <v>45146.0</v>
      </c>
      <c r="H592" s="8">
        <f t="shared" si="1"/>
        <v>8</v>
      </c>
      <c r="I592" s="9">
        <f t="shared" si="2"/>
        <v>8</v>
      </c>
      <c r="J592" s="9">
        <f t="shared" si="3"/>
        <v>2023</v>
      </c>
    </row>
    <row r="593" ht="15.75" customHeight="1">
      <c r="A593" s="5">
        <v>30.0</v>
      </c>
      <c r="B593" s="10" t="s">
        <v>632</v>
      </c>
      <c r="C593" s="3" t="s">
        <v>633</v>
      </c>
      <c r="D593" s="4" t="s">
        <v>8</v>
      </c>
      <c r="E593" s="5" t="s">
        <v>9</v>
      </c>
      <c r="F593" s="6" t="s">
        <v>644</v>
      </c>
      <c r="G593" s="7">
        <v>45147.0</v>
      </c>
      <c r="H593" s="8">
        <f t="shared" si="1"/>
        <v>9</v>
      </c>
      <c r="I593" s="9">
        <f t="shared" si="2"/>
        <v>8</v>
      </c>
      <c r="J593" s="9">
        <f t="shared" si="3"/>
        <v>2023</v>
      </c>
    </row>
    <row r="594" ht="15.75" customHeight="1">
      <c r="A594" s="5">
        <v>30.0</v>
      </c>
      <c r="B594" s="10" t="s">
        <v>632</v>
      </c>
      <c r="C594" s="3" t="s">
        <v>633</v>
      </c>
      <c r="D594" s="4" t="s">
        <v>3</v>
      </c>
      <c r="E594" s="5" t="s">
        <v>76</v>
      </c>
      <c r="F594" s="6" t="s">
        <v>645</v>
      </c>
      <c r="G594" s="7">
        <v>45166.0</v>
      </c>
      <c r="H594" s="8">
        <f t="shared" si="1"/>
        <v>28</v>
      </c>
      <c r="I594" s="9">
        <f t="shared" si="2"/>
        <v>8</v>
      </c>
      <c r="J594" s="9">
        <f t="shared" si="3"/>
        <v>2023</v>
      </c>
    </row>
    <row r="595" ht="15.75" customHeight="1">
      <c r="A595" s="5">
        <v>30.0</v>
      </c>
      <c r="B595" s="10" t="s">
        <v>632</v>
      </c>
      <c r="C595" s="3" t="s">
        <v>633</v>
      </c>
      <c r="D595" s="4" t="s">
        <v>3</v>
      </c>
      <c r="E595" s="5" t="s">
        <v>71</v>
      </c>
      <c r="F595" s="6" t="s">
        <v>646</v>
      </c>
      <c r="G595" s="7">
        <v>45177.0</v>
      </c>
      <c r="H595" s="8">
        <f t="shared" si="1"/>
        <v>8</v>
      </c>
      <c r="I595" s="9">
        <f t="shared" si="2"/>
        <v>9</v>
      </c>
      <c r="J595" s="9">
        <f t="shared" si="3"/>
        <v>2023</v>
      </c>
    </row>
    <row r="596" ht="15.75" customHeight="1">
      <c r="A596" s="5">
        <v>30.0</v>
      </c>
      <c r="B596" s="10" t="s">
        <v>632</v>
      </c>
      <c r="C596" s="3" t="s">
        <v>633</v>
      </c>
      <c r="D596" s="4" t="s">
        <v>3</v>
      </c>
      <c r="E596" s="5" t="s">
        <v>9</v>
      </c>
      <c r="F596" s="6" t="s">
        <v>647</v>
      </c>
      <c r="G596" s="7">
        <v>45183.0</v>
      </c>
      <c r="H596" s="8">
        <f t="shared" si="1"/>
        <v>14</v>
      </c>
      <c r="I596" s="9">
        <f t="shared" si="2"/>
        <v>9</v>
      </c>
      <c r="J596" s="9">
        <f t="shared" si="3"/>
        <v>2023</v>
      </c>
    </row>
    <row r="597" ht="15.75" customHeight="1">
      <c r="A597" s="5">
        <v>30.0</v>
      </c>
      <c r="B597" s="10" t="s">
        <v>632</v>
      </c>
      <c r="C597" s="3" t="s">
        <v>633</v>
      </c>
      <c r="D597" s="4" t="s">
        <v>3</v>
      </c>
      <c r="E597" s="5" t="s">
        <v>42</v>
      </c>
      <c r="F597" s="6" t="s">
        <v>455</v>
      </c>
      <c r="G597" s="7">
        <v>45224.0</v>
      </c>
      <c r="H597" s="8">
        <f t="shared" si="1"/>
        <v>25</v>
      </c>
      <c r="I597" s="9">
        <f t="shared" si="2"/>
        <v>10</v>
      </c>
      <c r="J597" s="9">
        <f t="shared" si="3"/>
        <v>2023</v>
      </c>
    </row>
    <row r="598" ht="15.75" customHeight="1">
      <c r="A598" s="5">
        <v>30.0</v>
      </c>
      <c r="B598" s="10" t="s">
        <v>632</v>
      </c>
      <c r="C598" s="3" t="s">
        <v>633</v>
      </c>
      <c r="D598" s="4" t="s">
        <v>8</v>
      </c>
      <c r="E598" s="5" t="s">
        <v>71</v>
      </c>
      <c r="F598" s="6" t="s">
        <v>648</v>
      </c>
      <c r="G598" s="7">
        <v>45240.0</v>
      </c>
      <c r="H598" s="8">
        <f t="shared" si="1"/>
        <v>10</v>
      </c>
      <c r="I598" s="9">
        <f t="shared" si="2"/>
        <v>11</v>
      </c>
      <c r="J598" s="9">
        <f t="shared" si="3"/>
        <v>2023</v>
      </c>
    </row>
    <row r="599" ht="15.75" customHeight="1">
      <c r="A599" s="5">
        <v>30.0</v>
      </c>
      <c r="B599" s="10" t="s">
        <v>632</v>
      </c>
      <c r="C599" s="3" t="s">
        <v>633</v>
      </c>
      <c r="D599" s="4" t="s">
        <v>8</v>
      </c>
      <c r="E599" s="5" t="s">
        <v>15</v>
      </c>
      <c r="F599" s="6" t="s">
        <v>649</v>
      </c>
      <c r="G599" s="7">
        <v>45241.0</v>
      </c>
      <c r="H599" s="8">
        <f t="shared" si="1"/>
        <v>11</v>
      </c>
      <c r="I599" s="9">
        <f t="shared" si="2"/>
        <v>11</v>
      </c>
      <c r="J599" s="9">
        <f t="shared" si="3"/>
        <v>2023</v>
      </c>
    </row>
    <row r="600" ht="15.75" customHeight="1">
      <c r="A600" s="5">
        <v>30.0</v>
      </c>
      <c r="B600" s="10" t="s">
        <v>632</v>
      </c>
      <c r="C600" s="3" t="s">
        <v>633</v>
      </c>
      <c r="D600" s="4" t="s">
        <v>8</v>
      </c>
      <c r="E600" s="5" t="s">
        <v>39</v>
      </c>
      <c r="F600" s="6" t="s">
        <v>650</v>
      </c>
      <c r="G600" s="7">
        <v>45248.0</v>
      </c>
      <c r="H600" s="8">
        <f t="shared" si="1"/>
        <v>18</v>
      </c>
      <c r="I600" s="9">
        <f t="shared" si="2"/>
        <v>11</v>
      </c>
      <c r="J600" s="9">
        <f t="shared" si="3"/>
        <v>2023</v>
      </c>
    </row>
    <row r="601" ht="15.75" customHeight="1">
      <c r="A601" s="5">
        <v>31.0</v>
      </c>
      <c r="B601" s="10" t="s">
        <v>651</v>
      </c>
      <c r="C601" s="3" t="s">
        <v>652</v>
      </c>
      <c r="D601" s="4" t="s">
        <v>8</v>
      </c>
      <c r="E601" s="5" t="s">
        <v>15</v>
      </c>
      <c r="F601" s="6" t="s">
        <v>653</v>
      </c>
      <c r="G601" s="7">
        <v>44972.0</v>
      </c>
      <c r="H601" s="8">
        <f t="shared" si="1"/>
        <v>15</v>
      </c>
      <c r="I601" s="9">
        <f t="shared" si="2"/>
        <v>2</v>
      </c>
      <c r="J601" s="9">
        <f t="shared" si="3"/>
        <v>2023</v>
      </c>
    </row>
    <row r="602" ht="15.75" customHeight="1">
      <c r="A602" s="5">
        <v>31.0</v>
      </c>
      <c r="B602" s="10" t="s">
        <v>651</v>
      </c>
      <c r="C602" s="3" t="s">
        <v>652</v>
      </c>
      <c r="D602" s="4" t="s">
        <v>3</v>
      </c>
      <c r="E602" s="5" t="s">
        <v>11</v>
      </c>
      <c r="F602" s="6" t="s">
        <v>654</v>
      </c>
      <c r="G602" s="7">
        <v>44975.0</v>
      </c>
      <c r="H602" s="8">
        <f t="shared" si="1"/>
        <v>18</v>
      </c>
      <c r="I602" s="9">
        <f t="shared" si="2"/>
        <v>2</v>
      </c>
      <c r="J602" s="9">
        <f t="shared" si="3"/>
        <v>2023</v>
      </c>
    </row>
    <row r="603" ht="15.75" customHeight="1">
      <c r="A603" s="5">
        <v>31.0</v>
      </c>
      <c r="B603" s="10" t="s">
        <v>651</v>
      </c>
      <c r="C603" s="3" t="s">
        <v>652</v>
      </c>
      <c r="D603" s="4" t="s">
        <v>3</v>
      </c>
      <c r="E603" s="5" t="s">
        <v>96</v>
      </c>
      <c r="F603" s="6" t="s">
        <v>655</v>
      </c>
      <c r="G603" s="7">
        <v>44979.0</v>
      </c>
      <c r="H603" s="8">
        <f t="shared" si="1"/>
        <v>22</v>
      </c>
      <c r="I603" s="9">
        <f t="shared" si="2"/>
        <v>2</v>
      </c>
      <c r="J603" s="9">
        <f t="shared" si="3"/>
        <v>2023</v>
      </c>
    </row>
    <row r="604" ht="15.75" customHeight="1">
      <c r="A604" s="5">
        <v>31.0</v>
      </c>
      <c r="B604" s="10" t="s">
        <v>651</v>
      </c>
      <c r="C604" s="3" t="s">
        <v>652</v>
      </c>
      <c r="D604" s="4" t="s">
        <v>3</v>
      </c>
      <c r="E604" s="5" t="s">
        <v>23</v>
      </c>
      <c r="F604" s="6" t="s">
        <v>656</v>
      </c>
      <c r="G604" s="7">
        <v>45008.0</v>
      </c>
      <c r="H604" s="8">
        <f t="shared" si="1"/>
        <v>23</v>
      </c>
      <c r="I604" s="9">
        <f t="shared" si="2"/>
        <v>3</v>
      </c>
      <c r="J604" s="9">
        <f t="shared" si="3"/>
        <v>2023</v>
      </c>
    </row>
    <row r="605" ht="15.75" customHeight="1">
      <c r="A605" s="5">
        <v>31.0</v>
      </c>
      <c r="B605" s="10" t="s">
        <v>651</v>
      </c>
      <c r="C605" s="3" t="s">
        <v>652</v>
      </c>
      <c r="D605" s="4" t="s">
        <v>3</v>
      </c>
      <c r="E605" s="5" t="s">
        <v>96</v>
      </c>
      <c r="F605" s="6" t="s">
        <v>657</v>
      </c>
      <c r="G605" s="7">
        <v>45034.0</v>
      </c>
      <c r="H605" s="8">
        <f t="shared" si="1"/>
        <v>18</v>
      </c>
      <c r="I605" s="9">
        <f t="shared" si="2"/>
        <v>4</v>
      </c>
      <c r="J605" s="9">
        <f t="shared" si="3"/>
        <v>2023</v>
      </c>
    </row>
    <row r="606" ht="15.75" customHeight="1">
      <c r="A606" s="5">
        <v>31.0</v>
      </c>
      <c r="B606" s="10" t="s">
        <v>651</v>
      </c>
      <c r="C606" s="3" t="s">
        <v>652</v>
      </c>
      <c r="D606" s="4" t="s">
        <v>8</v>
      </c>
      <c r="E606" s="5" t="s">
        <v>45</v>
      </c>
      <c r="F606" s="6" t="s">
        <v>658</v>
      </c>
      <c r="G606" s="7">
        <v>45038.0</v>
      </c>
      <c r="H606" s="8">
        <f t="shared" si="1"/>
        <v>22</v>
      </c>
      <c r="I606" s="9">
        <f t="shared" si="2"/>
        <v>4</v>
      </c>
      <c r="J606" s="9">
        <f t="shared" si="3"/>
        <v>2023</v>
      </c>
    </row>
    <row r="607" ht="15.75" customHeight="1">
      <c r="A607" s="5">
        <v>31.0</v>
      </c>
      <c r="B607" s="10" t="s">
        <v>651</v>
      </c>
      <c r="C607" s="3" t="s">
        <v>652</v>
      </c>
      <c r="D607" s="4" t="s">
        <v>8</v>
      </c>
      <c r="E607" s="5" t="s">
        <v>13</v>
      </c>
      <c r="F607" s="6" t="s">
        <v>659</v>
      </c>
      <c r="G607" s="7">
        <v>45049.0</v>
      </c>
      <c r="H607" s="8">
        <f t="shared" si="1"/>
        <v>3</v>
      </c>
      <c r="I607" s="9">
        <f t="shared" si="2"/>
        <v>5</v>
      </c>
      <c r="J607" s="9">
        <f t="shared" si="3"/>
        <v>2023</v>
      </c>
    </row>
    <row r="608" ht="15.75" customHeight="1">
      <c r="A608" s="5">
        <v>31.0</v>
      </c>
      <c r="B608" s="10" t="s">
        <v>651</v>
      </c>
      <c r="C608" s="3" t="s">
        <v>652</v>
      </c>
      <c r="D608" s="4" t="s">
        <v>3</v>
      </c>
      <c r="E608" s="5" t="s">
        <v>15</v>
      </c>
      <c r="F608" s="6" t="s">
        <v>660</v>
      </c>
      <c r="G608" s="7">
        <v>45058.0</v>
      </c>
      <c r="H608" s="8">
        <f t="shared" si="1"/>
        <v>12</v>
      </c>
      <c r="I608" s="9">
        <f t="shared" si="2"/>
        <v>5</v>
      </c>
      <c r="J608" s="9">
        <f t="shared" si="3"/>
        <v>2023</v>
      </c>
    </row>
    <row r="609" ht="15.75" customHeight="1">
      <c r="A609" s="5">
        <v>31.0</v>
      </c>
      <c r="B609" s="10" t="s">
        <v>651</v>
      </c>
      <c r="C609" s="3" t="s">
        <v>652</v>
      </c>
      <c r="D609" s="4" t="s">
        <v>8</v>
      </c>
      <c r="E609" s="5" t="s">
        <v>35</v>
      </c>
      <c r="F609" s="6" t="s">
        <v>661</v>
      </c>
      <c r="G609" s="7">
        <v>45074.0</v>
      </c>
      <c r="H609" s="8">
        <f t="shared" si="1"/>
        <v>28</v>
      </c>
      <c r="I609" s="9">
        <f t="shared" si="2"/>
        <v>5</v>
      </c>
      <c r="J609" s="9">
        <f t="shared" si="3"/>
        <v>2023</v>
      </c>
    </row>
    <row r="610" ht="15.75" customHeight="1">
      <c r="A610" s="5">
        <v>31.0</v>
      </c>
      <c r="B610" s="10" t="s">
        <v>651</v>
      </c>
      <c r="C610" s="3" t="s">
        <v>652</v>
      </c>
      <c r="D610" s="4" t="s">
        <v>3</v>
      </c>
      <c r="E610" s="5" t="s">
        <v>120</v>
      </c>
      <c r="F610" s="6" t="s">
        <v>662</v>
      </c>
      <c r="G610" s="7">
        <v>45149.0</v>
      </c>
      <c r="H610" s="8">
        <f t="shared" si="1"/>
        <v>11</v>
      </c>
      <c r="I610" s="9">
        <f t="shared" si="2"/>
        <v>8</v>
      </c>
      <c r="J610" s="9">
        <f t="shared" si="3"/>
        <v>2023</v>
      </c>
    </row>
    <row r="611" ht="15.75" customHeight="1">
      <c r="A611" s="5">
        <v>31.0</v>
      </c>
      <c r="B611" s="10" t="s">
        <v>651</v>
      </c>
      <c r="C611" s="3" t="s">
        <v>652</v>
      </c>
      <c r="D611" s="4" t="s">
        <v>3</v>
      </c>
      <c r="E611" s="5" t="s">
        <v>96</v>
      </c>
      <c r="F611" s="6" t="s">
        <v>663</v>
      </c>
      <c r="G611" s="7">
        <v>45150.0</v>
      </c>
      <c r="H611" s="8">
        <f t="shared" si="1"/>
        <v>12</v>
      </c>
      <c r="I611" s="9">
        <f t="shared" si="2"/>
        <v>8</v>
      </c>
      <c r="J611" s="9">
        <f t="shared" si="3"/>
        <v>2023</v>
      </c>
    </row>
    <row r="612" ht="15.75" customHeight="1">
      <c r="A612" s="5">
        <v>31.0</v>
      </c>
      <c r="B612" s="10" t="s">
        <v>651</v>
      </c>
      <c r="C612" s="3" t="s">
        <v>652</v>
      </c>
      <c r="D612" s="4" t="s">
        <v>3</v>
      </c>
      <c r="E612" s="5" t="s">
        <v>39</v>
      </c>
      <c r="F612" s="6" t="s">
        <v>664</v>
      </c>
      <c r="G612" s="7">
        <v>45160.0</v>
      </c>
      <c r="H612" s="8">
        <f t="shared" si="1"/>
        <v>22</v>
      </c>
      <c r="I612" s="9">
        <f t="shared" si="2"/>
        <v>8</v>
      </c>
      <c r="J612" s="9">
        <f t="shared" si="3"/>
        <v>2023</v>
      </c>
    </row>
    <row r="613" ht="15.75" customHeight="1">
      <c r="A613" s="5">
        <v>31.0</v>
      </c>
      <c r="B613" s="10" t="s">
        <v>651</v>
      </c>
      <c r="C613" s="3" t="s">
        <v>652</v>
      </c>
      <c r="D613" s="4" t="s">
        <v>3</v>
      </c>
      <c r="E613" s="5" t="s">
        <v>96</v>
      </c>
      <c r="F613" s="6" t="s">
        <v>351</v>
      </c>
      <c r="G613" s="7">
        <v>45162.0</v>
      </c>
      <c r="H613" s="8">
        <f t="shared" si="1"/>
        <v>24</v>
      </c>
      <c r="I613" s="9">
        <f t="shared" si="2"/>
        <v>8</v>
      </c>
      <c r="J613" s="9">
        <f t="shared" si="3"/>
        <v>2023</v>
      </c>
    </row>
    <row r="614" ht="15.75" customHeight="1">
      <c r="A614" s="5">
        <v>31.0</v>
      </c>
      <c r="B614" s="10" t="s">
        <v>651</v>
      </c>
      <c r="C614" s="3" t="s">
        <v>652</v>
      </c>
      <c r="D614" s="4" t="s">
        <v>8</v>
      </c>
      <c r="E614" s="5" t="s">
        <v>35</v>
      </c>
      <c r="F614" s="6" t="s">
        <v>665</v>
      </c>
      <c r="G614" s="7">
        <v>45164.0</v>
      </c>
      <c r="H614" s="8">
        <f t="shared" si="1"/>
        <v>26</v>
      </c>
      <c r="I614" s="9">
        <f t="shared" si="2"/>
        <v>8</v>
      </c>
      <c r="J614" s="9">
        <f t="shared" si="3"/>
        <v>2023</v>
      </c>
    </row>
    <row r="615" ht="15.75" customHeight="1">
      <c r="A615" s="5">
        <v>31.0</v>
      </c>
      <c r="B615" s="10" t="s">
        <v>651</v>
      </c>
      <c r="C615" s="3" t="s">
        <v>652</v>
      </c>
      <c r="D615" s="4" t="s">
        <v>3</v>
      </c>
      <c r="E615" s="5" t="s">
        <v>4</v>
      </c>
      <c r="F615" s="6" t="s">
        <v>546</v>
      </c>
      <c r="G615" s="7">
        <v>45188.0</v>
      </c>
      <c r="H615" s="8">
        <f t="shared" si="1"/>
        <v>19</v>
      </c>
      <c r="I615" s="9">
        <f t="shared" si="2"/>
        <v>9</v>
      </c>
      <c r="J615" s="9">
        <f t="shared" si="3"/>
        <v>2023</v>
      </c>
    </row>
    <row r="616" ht="15.75" customHeight="1">
      <c r="A616" s="5">
        <v>31.0</v>
      </c>
      <c r="B616" s="10" t="s">
        <v>651</v>
      </c>
      <c r="C616" s="3" t="s">
        <v>652</v>
      </c>
      <c r="D616" s="4" t="s">
        <v>8</v>
      </c>
      <c r="E616" s="5" t="s">
        <v>23</v>
      </c>
      <c r="F616" s="6" t="s">
        <v>666</v>
      </c>
      <c r="G616" s="7">
        <v>45205.0</v>
      </c>
      <c r="H616" s="8">
        <f t="shared" si="1"/>
        <v>6</v>
      </c>
      <c r="I616" s="9">
        <f t="shared" si="2"/>
        <v>10</v>
      </c>
      <c r="J616" s="9">
        <f t="shared" si="3"/>
        <v>2023</v>
      </c>
    </row>
    <row r="617" ht="15.75" customHeight="1">
      <c r="A617" s="5">
        <v>31.0</v>
      </c>
      <c r="B617" s="10" t="s">
        <v>651</v>
      </c>
      <c r="C617" s="3" t="s">
        <v>652</v>
      </c>
      <c r="D617" s="4" t="s">
        <v>8</v>
      </c>
      <c r="E617" s="5" t="s">
        <v>28</v>
      </c>
      <c r="F617" s="6" t="s">
        <v>667</v>
      </c>
      <c r="G617" s="7">
        <v>45249.0</v>
      </c>
      <c r="H617" s="8">
        <f t="shared" si="1"/>
        <v>19</v>
      </c>
      <c r="I617" s="9">
        <f t="shared" si="2"/>
        <v>11</v>
      </c>
      <c r="J617" s="9">
        <f t="shared" si="3"/>
        <v>2023</v>
      </c>
    </row>
    <row r="618" ht="15.75" customHeight="1">
      <c r="A618" s="5">
        <v>31.0</v>
      </c>
      <c r="B618" s="10" t="s">
        <v>651</v>
      </c>
      <c r="C618" s="3" t="s">
        <v>652</v>
      </c>
      <c r="D618" s="4" t="s">
        <v>3</v>
      </c>
      <c r="E618" s="5" t="s">
        <v>19</v>
      </c>
      <c r="F618" s="6" t="s">
        <v>521</v>
      </c>
      <c r="G618" s="7">
        <v>45256.0</v>
      </c>
      <c r="H618" s="8">
        <f t="shared" si="1"/>
        <v>26</v>
      </c>
      <c r="I618" s="9">
        <f t="shared" si="2"/>
        <v>11</v>
      </c>
      <c r="J618" s="9">
        <f t="shared" si="3"/>
        <v>2023</v>
      </c>
    </row>
    <row r="619" ht="15.75" customHeight="1">
      <c r="A619" s="5">
        <v>31.0</v>
      </c>
      <c r="B619" s="10" t="s">
        <v>651</v>
      </c>
      <c r="C619" s="3" t="s">
        <v>652</v>
      </c>
      <c r="D619" s="4" t="s">
        <v>8</v>
      </c>
      <c r="E619" s="5" t="s">
        <v>28</v>
      </c>
      <c r="F619" s="6" t="s">
        <v>668</v>
      </c>
      <c r="G619" s="7">
        <v>45275.0</v>
      </c>
      <c r="H619" s="8">
        <f t="shared" si="1"/>
        <v>15</v>
      </c>
      <c r="I619" s="9">
        <f t="shared" si="2"/>
        <v>12</v>
      </c>
      <c r="J619" s="9">
        <f t="shared" si="3"/>
        <v>2023</v>
      </c>
    </row>
    <row r="620" ht="15.75" customHeight="1">
      <c r="A620" s="5">
        <v>31.0</v>
      </c>
      <c r="B620" s="10" t="s">
        <v>651</v>
      </c>
      <c r="C620" s="3" t="s">
        <v>652</v>
      </c>
      <c r="D620" s="4" t="s">
        <v>3</v>
      </c>
      <c r="E620" s="5" t="s">
        <v>96</v>
      </c>
      <c r="F620" s="6" t="s">
        <v>54</v>
      </c>
      <c r="G620" s="7">
        <v>45280.0</v>
      </c>
      <c r="H620" s="8">
        <f t="shared" si="1"/>
        <v>20</v>
      </c>
      <c r="I620" s="9">
        <f t="shared" si="2"/>
        <v>12</v>
      </c>
      <c r="J620" s="9">
        <f t="shared" si="3"/>
        <v>2023</v>
      </c>
    </row>
    <row r="621" ht="15.75" customHeight="1">
      <c r="A621" s="5">
        <v>32.0</v>
      </c>
      <c r="B621" s="10" t="s">
        <v>669</v>
      </c>
      <c r="C621" s="3" t="s">
        <v>670</v>
      </c>
      <c r="D621" s="4" t="s">
        <v>3</v>
      </c>
      <c r="E621" s="5" t="s">
        <v>120</v>
      </c>
      <c r="F621" s="6" t="s">
        <v>671</v>
      </c>
      <c r="G621" s="7">
        <v>44940.0</v>
      </c>
      <c r="H621" s="8">
        <f t="shared" si="1"/>
        <v>14</v>
      </c>
      <c r="I621" s="9">
        <f t="shared" si="2"/>
        <v>1</v>
      </c>
      <c r="J621" s="9">
        <f t="shared" si="3"/>
        <v>2023</v>
      </c>
    </row>
    <row r="622" ht="15.75" customHeight="1">
      <c r="A622" s="5">
        <v>32.0</v>
      </c>
      <c r="B622" s="10" t="s">
        <v>669</v>
      </c>
      <c r="C622" s="3" t="s">
        <v>670</v>
      </c>
      <c r="D622" s="4" t="s">
        <v>3</v>
      </c>
      <c r="E622" s="5" t="s">
        <v>11</v>
      </c>
      <c r="F622" s="6" t="s">
        <v>672</v>
      </c>
      <c r="G622" s="7">
        <v>44963.0</v>
      </c>
      <c r="H622" s="8">
        <f t="shared" si="1"/>
        <v>6</v>
      </c>
      <c r="I622" s="9">
        <f t="shared" si="2"/>
        <v>2</v>
      </c>
      <c r="J622" s="9">
        <f t="shared" si="3"/>
        <v>2023</v>
      </c>
    </row>
    <row r="623" ht="15.75" customHeight="1">
      <c r="A623" s="5">
        <v>32.0</v>
      </c>
      <c r="B623" s="10" t="s">
        <v>669</v>
      </c>
      <c r="C623" s="3" t="s">
        <v>670</v>
      </c>
      <c r="D623" s="4" t="s">
        <v>8</v>
      </c>
      <c r="E623" s="5" t="s">
        <v>13</v>
      </c>
      <c r="F623" s="6" t="s">
        <v>673</v>
      </c>
      <c r="G623" s="7">
        <v>44968.0</v>
      </c>
      <c r="H623" s="8">
        <f t="shared" si="1"/>
        <v>11</v>
      </c>
      <c r="I623" s="9">
        <f t="shared" si="2"/>
        <v>2</v>
      </c>
      <c r="J623" s="9">
        <f t="shared" si="3"/>
        <v>2023</v>
      </c>
    </row>
    <row r="624" ht="15.75" customHeight="1">
      <c r="A624" s="5">
        <v>32.0</v>
      </c>
      <c r="B624" s="10" t="s">
        <v>669</v>
      </c>
      <c r="C624" s="3" t="s">
        <v>670</v>
      </c>
      <c r="D624" s="4" t="s">
        <v>8</v>
      </c>
      <c r="E624" s="5" t="s">
        <v>71</v>
      </c>
      <c r="F624" s="6" t="s">
        <v>674</v>
      </c>
      <c r="G624" s="7">
        <v>44973.0</v>
      </c>
      <c r="H624" s="8">
        <f t="shared" si="1"/>
        <v>16</v>
      </c>
      <c r="I624" s="9">
        <f t="shared" si="2"/>
        <v>2</v>
      </c>
      <c r="J624" s="9">
        <f t="shared" si="3"/>
        <v>2023</v>
      </c>
    </row>
    <row r="625" ht="15.75" customHeight="1">
      <c r="A625" s="5">
        <v>32.0</v>
      </c>
      <c r="B625" s="10" t="s">
        <v>669</v>
      </c>
      <c r="C625" s="3" t="s">
        <v>670</v>
      </c>
      <c r="D625" s="4" t="s">
        <v>3</v>
      </c>
      <c r="E625" s="5" t="s">
        <v>76</v>
      </c>
      <c r="F625" s="6" t="s">
        <v>675</v>
      </c>
      <c r="G625" s="7">
        <v>44978.0</v>
      </c>
      <c r="H625" s="8">
        <f t="shared" si="1"/>
        <v>21</v>
      </c>
      <c r="I625" s="9">
        <f t="shared" si="2"/>
        <v>2</v>
      </c>
      <c r="J625" s="9">
        <f t="shared" si="3"/>
        <v>2023</v>
      </c>
    </row>
    <row r="626" ht="15.75" customHeight="1">
      <c r="A626" s="5">
        <v>32.0</v>
      </c>
      <c r="B626" s="10" t="s">
        <v>669</v>
      </c>
      <c r="C626" s="3" t="s">
        <v>670</v>
      </c>
      <c r="D626" s="4" t="s">
        <v>3</v>
      </c>
      <c r="E626" s="5" t="s">
        <v>28</v>
      </c>
      <c r="F626" s="6" t="s">
        <v>676</v>
      </c>
      <c r="G626" s="7">
        <v>44995.0</v>
      </c>
      <c r="H626" s="8">
        <f t="shared" si="1"/>
        <v>10</v>
      </c>
      <c r="I626" s="9">
        <f t="shared" si="2"/>
        <v>3</v>
      </c>
      <c r="J626" s="9">
        <f t="shared" si="3"/>
        <v>2023</v>
      </c>
    </row>
    <row r="627" ht="15.75" customHeight="1">
      <c r="A627" s="5">
        <v>32.0</v>
      </c>
      <c r="B627" s="10" t="s">
        <v>669</v>
      </c>
      <c r="C627" s="3" t="s">
        <v>670</v>
      </c>
      <c r="D627" s="4" t="s">
        <v>3</v>
      </c>
      <c r="E627" s="5" t="s">
        <v>35</v>
      </c>
      <c r="F627" s="6" t="s">
        <v>677</v>
      </c>
      <c r="G627" s="7">
        <v>45011.0</v>
      </c>
      <c r="H627" s="8">
        <f t="shared" si="1"/>
        <v>26</v>
      </c>
      <c r="I627" s="9">
        <f t="shared" si="2"/>
        <v>3</v>
      </c>
      <c r="J627" s="9">
        <f t="shared" si="3"/>
        <v>2023</v>
      </c>
    </row>
    <row r="628" ht="15.75" customHeight="1">
      <c r="A628" s="5">
        <v>32.0</v>
      </c>
      <c r="B628" s="10" t="s">
        <v>669</v>
      </c>
      <c r="C628" s="3" t="s">
        <v>670</v>
      </c>
      <c r="D628" s="4" t="s">
        <v>3</v>
      </c>
      <c r="E628" s="5" t="s">
        <v>28</v>
      </c>
      <c r="F628" s="6" t="s">
        <v>203</v>
      </c>
      <c r="G628" s="7">
        <v>45028.0</v>
      </c>
      <c r="H628" s="8">
        <f t="shared" si="1"/>
        <v>12</v>
      </c>
      <c r="I628" s="9">
        <f t="shared" si="2"/>
        <v>4</v>
      </c>
      <c r="J628" s="9">
        <f t="shared" si="3"/>
        <v>2023</v>
      </c>
    </row>
    <row r="629" ht="15.75" customHeight="1">
      <c r="A629" s="5">
        <v>32.0</v>
      </c>
      <c r="B629" s="10" t="s">
        <v>669</v>
      </c>
      <c r="C629" s="3" t="s">
        <v>670</v>
      </c>
      <c r="D629" s="4" t="s">
        <v>8</v>
      </c>
      <c r="E629" s="5" t="s">
        <v>13</v>
      </c>
      <c r="F629" s="6" t="s">
        <v>678</v>
      </c>
      <c r="G629" s="7">
        <v>45060.0</v>
      </c>
      <c r="H629" s="8">
        <f t="shared" si="1"/>
        <v>14</v>
      </c>
      <c r="I629" s="9">
        <f t="shared" si="2"/>
        <v>5</v>
      </c>
      <c r="J629" s="9">
        <f t="shared" si="3"/>
        <v>2023</v>
      </c>
    </row>
    <row r="630" ht="15.75" customHeight="1">
      <c r="A630" s="5">
        <v>32.0</v>
      </c>
      <c r="B630" s="10" t="s">
        <v>669</v>
      </c>
      <c r="C630" s="3" t="s">
        <v>670</v>
      </c>
      <c r="D630" s="4" t="s">
        <v>3</v>
      </c>
      <c r="E630" s="5" t="s">
        <v>11</v>
      </c>
      <c r="F630" s="6" t="s">
        <v>679</v>
      </c>
      <c r="G630" s="7">
        <v>45087.0</v>
      </c>
      <c r="H630" s="8">
        <f t="shared" si="1"/>
        <v>10</v>
      </c>
      <c r="I630" s="9">
        <f t="shared" si="2"/>
        <v>6</v>
      </c>
      <c r="J630" s="9">
        <f t="shared" si="3"/>
        <v>2023</v>
      </c>
    </row>
    <row r="631" ht="15.75" customHeight="1">
      <c r="A631" s="5">
        <v>32.0</v>
      </c>
      <c r="B631" s="10" t="s">
        <v>669</v>
      </c>
      <c r="C631" s="3" t="s">
        <v>670</v>
      </c>
      <c r="D631" s="4" t="s">
        <v>8</v>
      </c>
      <c r="E631" s="5" t="s">
        <v>17</v>
      </c>
      <c r="F631" s="6" t="s">
        <v>680</v>
      </c>
      <c r="G631" s="7">
        <v>45142.0</v>
      </c>
      <c r="H631" s="8">
        <f t="shared" si="1"/>
        <v>4</v>
      </c>
      <c r="I631" s="9">
        <f t="shared" si="2"/>
        <v>8</v>
      </c>
      <c r="J631" s="9">
        <f t="shared" si="3"/>
        <v>2023</v>
      </c>
    </row>
    <row r="632" ht="15.75" customHeight="1">
      <c r="A632" s="5">
        <v>32.0</v>
      </c>
      <c r="B632" s="10" t="s">
        <v>669</v>
      </c>
      <c r="C632" s="3" t="s">
        <v>670</v>
      </c>
      <c r="D632" s="4" t="s">
        <v>8</v>
      </c>
      <c r="E632" s="5" t="s">
        <v>71</v>
      </c>
      <c r="F632" s="6" t="s">
        <v>681</v>
      </c>
      <c r="G632" s="7">
        <v>45146.0</v>
      </c>
      <c r="H632" s="8">
        <f t="shared" si="1"/>
        <v>8</v>
      </c>
      <c r="I632" s="9">
        <f t="shared" si="2"/>
        <v>8</v>
      </c>
      <c r="J632" s="9">
        <f t="shared" si="3"/>
        <v>2023</v>
      </c>
    </row>
    <row r="633" ht="15.75" customHeight="1">
      <c r="A633" s="5">
        <v>32.0</v>
      </c>
      <c r="B633" s="10" t="s">
        <v>669</v>
      </c>
      <c r="C633" s="3" t="s">
        <v>670</v>
      </c>
      <c r="D633" s="4" t="s">
        <v>8</v>
      </c>
      <c r="E633" s="5" t="s">
        <v>35</v>
      </c>
      <c r="F633" s="6" t="s">
        <v>682</v>
      </c>
      <c r="G633" s="7">
        <v>45150.0</v>
      </c>
      <c r="H633" s="8">
        <f t="shared" si="1"/>
        <v>12</v>
      </c>
      <c r="I633" s="9">
        <f t="shared" si="2"/>
        <v>8</v>
      </c>
      <c r="J633" s="9">
        <f t="shared" si="3"/>
        <v>2023</v>
      </c>
    </row>
    <row r="634" ht="15.75" customHeight="1">
      <c r="A634" s="5">
        <v>32.0</v>
      </c>
      <c r="B634" s="10" t="s">
        <v>669</v>
      </c>
      <c r="C634" s="3" t="s">
        <v>670</v>
      </c>
      <c r="D634" s="4" t="s">
        <v>8</v>
      </c>
      <c r="E634" s="5" t="s">
        <v>17</v>
      </c>
      <c r="F634" s="6" t="s">
        <v>131</v>
      </c>
      <c r="G634" s="7">
        <v>45153.0</v>
      </c>
      <c r="H634" s="8">
        <f t="shared" si="1"/>
        <v>15</v>
      </c>
      <c r="I634" s="9">
        <f t="shared" si="2"/>
        <v>8</v>
      </c>
      <c r="J634" s="9">
        <f t="shared" si="3"/>
        <v>2023</v>
      </c>
    </row>
    <row r="635" ht="15.75" customHeight="1">
      <c r="A635" s="5">
        <v>32.0</v>
      </c>
      <c r="B635" s="10" t="s">
        <v>669</v>
      </c>
      <c r="C635" s="3" t="s">
        <v>670</v>
      </c>
      <c r="D635" s="4" t="s">
        <v>3</v>
      </c>
      <c r="E635" s="5" t="s">
        <v>71</v>
      </c>
      <c r="F635" s="6" t="s">
        <v>683</v>
      </c>
      <c r="G635" s="7">
        <v>45166.0</v>
      </c>
      <c r="H635" s="8">
        <f t="shared" si="1"/>
        <v>28</v>
      </c>
      <c r="I635" s="9">
        <f t="shared" si="2"/>
        <v>8</v>
      </c>
      <c r="J635" s="9">
        <f t="shared" si="3"/>
        <v>2023</v>
      </c>
    </row>
    <row r="636" ht="15.75" customHeight="1">
      <c r="A636" s="5">
        <v>32.0</v>
      </c>
      <c r="B636" s="10" t="s">
        <v>669</v>
      </c>
      <c r="C636" s="3" t="s">
        <v>670</v>
      </c>
      <c r="D636" s="4" t="s">
        <v>3</v>
      </c>
      <c r="E636" s="5" t="s">
        <v>23</v>
      </c>
      <c r="F636" s="6" t="s">
        <v>684</v>
      </c>
      <c r="G636" s="7">
        <v>45170.0</v>
      </c>
      <c r="H636" s="8">
        <f t="shared" si="1"/>
        <v>1</v>
      </c>
      <c r="I636" s="9">
        <f t="shared" si="2"/>
        <v>9</v>
      </c>
      <c r="J636" s="9">
        <f t="shared" si="3"/>
        <v>2023</v>
      </c>
    </row>
    <row r="637" ht="15.75" customHeight="1">
      <c r="A637" s="5">
        <v>32.0</v>
      </c>
      <c r="B637" s="10" t="s">
        <v>669</v>
      </c>
      <c r="C637" s="3" t="s">
        <v>670</v>
      </c>
      <c r="D637" s="4" t="s">
        <v>8</v>
      </c>
      <c r="E637" s="5" t="s">
        <v>51</v>
      </c>
      <c r="F637" s="6" t="s">
        <v>685</v>
      </c>
      <c r="G637" s="7">
        <v>45179.0</v>
      </c>
      <c r="H637" s="8">
        <f t="shared" si="1"/>
        <v>10</v>
      </c>
      <c r="I637" s="9">
        <f t="shared" si="2"/>
        <v>9</v>
      </c>
      <c r="J637" s="9">
        <f t="shared" si="3"/>
        <v>2023</v>
      </c>
    </row>
    <row r="638" ht="15.75" customHeight="1">
      <c r="A638" s="5">
        <v>32.0</v>
      </c>
      <c r="B638" s="10" t="s">
        <v>669</v>
      </c>
      <c r="C638" s="3" t="s">
        <v>670</v>
      </c>
      <c r="D638" s="4" t="s">
        <v>8</v>
      </c>
      <c r="E638" s="5" t="s">
        <v>42</v>
      </c>
      <c r="F638" s="6" t="s">
        <v>643</v>
      </c>
      <c r="G638" s="7">
        <v>45183.0</v>
      </c>
      <c r="H638" s="8">
        <f t="shared" si="1"/>
        <v>14</v>
      </c>
      <c r="I638" s="9">
        <f t="shared" si="2"/>
        <v>9</v>
      </c>
      <c r="J638" s="9">
        <f t="shared" si="3"/>
        <v>2023</v>
      </c>
    </row>
    <row r="639" ht="15.75" customHeight="1">
      <c r="A639" s="5">
        <v>32.0</v>
      </c>
      <c r="B639" s="10" t="s">
        <v>669</v>
      </c>
      <c r="C639" s="3" t="s">
        <v>670</v>
      </c>
      <c r="D639" s="4" t="s">
        <v>3</v>
      </c>
      <c r="E639" s="5" t="s">
        <v>11</v>
      </c>
      <c r="F639" s="6" t="s">
        <v>686</v>
      </c>
      <c r="G639" s="7">
        <v>45187.0</v>
      </c>
      <c r="H639" s="8">
        <f t="shared" si="1"/>
        <v>18</v>
      </c>
      <c r="I639" s="9">
        <f t="shared" si="2"/>
        <v>9</v>
      </c>
      <c r="J639" s="9">
        <f t="shared" si="3"/>
        <v>2023</v>
      </c>
    </row>
    <row r="640" ht="15.75" customHeight="1">
      <c r="A640" s="5">
        <v>32.0</v>
      </c>
      <c r="B640" s="10" t="s">
        <v>669</v>
      </c>
      <c r="C640" s="3" t="s">
        <v>670</v>
      </c>
      <c r="D640" s="4" t="s">
        <v>8</v>
      </c>
      <c r="E640" s="5" t="s">
        <v>19</v>
      </c>
      <c r="F640" s="6" t="s">
        <v>687</v>
      </c>
      <c r="G640" s="7">
        <v>45192.0</v>
      </c>
      <c r="H640" s="8">
        <f t="shared" si="1"/>
        <v>23</v>
      </c>
      <c r="I640" s="9">
        <f t="shared" si="2"/>
        <v>9</v>
      </c>
      <c r="J640" s="9">
        <f t="shared" si="3"/>
        <v>2023</v>
      </c>
    </row>
    <row r="641" ht="15.75" customHeight="1">
      <c r="A641" s="5">
        <v>33.0</v>
      </c>
      <c r="B641" s="10" t="s">
        <v>688</v>
      </c>
      <c r="C641" s="3" t="s">
        <v>689</v>
      </c>
      <c r="D641" s="4" t="s">
        <v>3</v>
      </c>
      <c r="E641" s="5" t="s">
        <v>35</v>
      </c>
      <c r="F641" s="6" t="s">
        <v>690</v>
      </c>
      <c r="G641" s="7">
        <v>44949.0</v>
      </c>
      <c r="H641" s="8">
        <f t="shared" si="1"/>
        <v>23</v>
      </c>
      <c r="I641" s="9">
        <f t="shared" si="2"/>
        <v>1</v>
      </c>
      <c r="J641" s="9">
        <f t="shared" si="3"/>
        <v>2023</v>
      </c>
    </row>
    <row r="642" ht="15.75" customHeight="1">
      <c r="A642" s="5">
        <v>33.0</v>
      </c>
      <c r="B642" s="10" t="s">
        <v>688</v>
      </c>
      <c r="C642" s="3" t="s">
        <v>689</v>
      </c>
      <c r="D642" s="4" t="s">
        <v>8</v>
      </c>
      <c r="E642" s="5" t="s">
        <v>23</v>
      </c>
      <c r="F642" s="6" t="s">
        <v>691</v>
      </c>
      <c r="G642" s="7">
        <v>44952.0</v>
      </c>
      <c r="H642" s="8">
        <f t="shared" si="1"/>
        <v>26</v>
      </c>
      <c r="I642" s="9">
        <f t="shared" si="2"/>
        <v>1</v>
      </c>
      <c r="J642" s="9">
        <f t="shared" si="3"/>
        <v>2023</v>
      </c>
    </row>
    <row r="643" ht="15.75" customHeight="1">
      <c r="A643" s="5">
        <v>33.0</v>
      </c>
      <c r="B643" s="10" t="s">
        <v>688</v>
      </c>
      <c r="C643" s="3" t="s">
        <v>689</v>
      </c>
      <c r="D643" s="4" t="s">
        <v>3</v>
      </c>
      <c r="E643" s="5" t="s">
        <v>11</v>
      </c>
      <c r="F643" s="6" t="s">
        <v>692</v>
      </c>
      <c r="G643" s="7">
        <v>44954.0</v>
      </c>
      <c r="H643" s="8">
        <f t="shared" si="1"/>
        <v>28</v>
      </c>
      <c r="I643" s="9">
        <f t="shared" si="2"/>
        <v>1</v>
      </c>
      <c r="J643" s="9">
        <f t="shared" si="3"/>
        <v>2023</v>
      </c>
    </row>
    <row r="644" ht="15.75" customHeight="1">
      <c r="A644" s="5">
        <v>33.0</v>
      </c>
      <c r="B644" s="10" t="s">
        <v>688</v>
      </c>
      <c r="C644" s="3" t="s">
        <v>689</v>
      </c>
      <c r="D644" s="4" t="s">
        <v>8</v>
      </c>
      <c r="E644" s="5" t="s">
        <v>35</v>
      </c>
      <c r="F644" s="6" t="s">
        <v>693</v>
      </c>
      <c r="G644" s="7">
        <v>44960.0</v>
      </c>
      <c r="H644" s="8">
        <f t="shared" si="1"/>
        <v>3</v>
      </c>
      <c r="I644" s="9">
        <f t="shared" si="2"/>
        <v>2</v>
      </c>
      <c r="J644" s="9">
        <f t="shared" si="3"/>
        <v>2023</v>
      </c>
    </row>
    <row r="645" ht="15.75" customHeight="1">
      <c r="A645" s="5">
        <v>33.0</v>
      </c>
      <c r="B645" s="10" t="s">
        <v>688</v>
      </c>
      <c r="C645" s="3" t="s">
        <v>689</v>
      </c>
      <c r="D645" s="4" t="s">
        <v>8</v>
      </c>
      <c r="E645" s="5" t="s">
        <v>76</v>
      </c>
      <c r="F645" s="6" t="s">
        <v>694</v>
      </c>
      <c r="G645" s="7">
        <v>44968.0</v>
      </c>
      <c r="H645" s="8">
        <f t="shared" si="1"/>
        <v>11</v>
      </c>
      <c r="I645" s="9">
        <f t="shared" si="2"/>
        <v>2</v>
      </c>
      <c r="J645" s="9">
        <f t="shared" si="3"/>
        <v>2023</v>
      </c>
    </row>
    <row r="646" ht="15.75" customHeight="1">
      <c r="A646" s="5">
        <v>33.0</v>
      </c>
      <c r="B646" s="10" t="s">
        <v>688</v>
      </c>
      <c r="C646" s="3" t="s">
        <v>689</v>
      </c>
      <c r="D646" s="4" t="s">
        <v>3</v>
      </c>
      <c r="E646" s="5" t="s">
        <v>9</v>
      </c>
      <c r="F646" s="6" t="s">
        <v>495</v>
      </c>
      <c r="G646" s="7">
        <v>44988.0</v>
      </c>
      <c r="H646" s="8">
        <f t="shared" si="1"/>
        <v>3</v>
      </c>
      <c r="I646" s="9">
        <f t="shared" si="2"/>
        <v>3</v>
      </c>
      <c r="J646" s="9">
        <f t="shared" si="3"/>
        <v>2023</v>
      </c>
    </row>
    <row r="647" ht="15.75" customHeight="1">
      <c r="A647" s="5">
        <v>33.0</v>
      </c>
      <c r="B647" s="10" t="s">
        <v>688</v>
      </c>
      <c r="C647" s="3" t="s">
        <v>689</v>
      </c>
      <c r="D647" s="4" t="s">
        <v>8</v>
      </c>
      <c r="E647" s="5" t="s">
        <v>21</v>
      </c>
      <c r="F647" s="6" t="s">
        <v>14</v>
      </c>
      <c r="G647" s="7">
        <v>45011.0</v>
      </c>
      <c r="H647" s="8">
        <f t="shared" si="1"/>
        <v>26</v>
      </c>
      <c r="I647" s="9">
        <f t="shared" si="2"/>
        <v>3</v>
      </c>
      <c r="J647" s="9">
        <f t="shared" si="3"/>
        <v>2023</v>
      </c>
    </row>
    <row r="648" ht="15.75" customHeight="1">
      <c r="A648" s="5">
        <v>33.0</v>
      </c>
      <c r="B648" s="10" t="s">
        <v>688</v>
      </c>
      <c r="C648" s="3" t="s">
        <v>689</v>
      </c>
      <c r="D648" s="4" t="s">
        <v>3</v>
      </c>
      <c r="E648" s="5" t="s">
        <v>42</v>
      </c>
      <c r="F648" s="6" t="s">
        <v>569</v>
      </c>
      <c r="G648" s="7">
        <v>45011.0</v>
      </c>
      <c r="H648" s="8">
        <f t="shared" si="1"/>
        <v>26</v>
      </c>
      <c r="I648" s="9">
        <f t="shared" si="2"/>
        <v>3</v>
      </c>
      <c r="J648" s="9">
        <f t="shared" si="3"/>
        <v>2023</v>
      </c>
    </row>
    <row r="649" ht="15.75" customHeight="1">
      <c r="A649" s="5">
        <v>33.0</v>
      </c>
      <c r="B649" s="10" t="s">
        <v>688</v>
      </c>
      <c r="C649" s="3" t="s">
        <v>689</v>
      </c>
      <c r="D649" s="4" t="s">
        <v>8</v>
      </c>
      <c r="E649" s="5" t="s">
        <v>6</v>
      </c>
      <c r="F649" s="6" t="s">
        <v>695</v>
      </c>
      <c r="G649" s="7">
        <v>45044.0</v>
      </c>
      <c r="H649" s="8">
        <f t="shared" si="1"/>
        <v>28</v>
      </c>
      <c r="I649" s="9">
        <f t="shared" si="2"/>
        <v>4</v>
      </c>
      <c r="J649" s="9">
        <f t="shared" si="3"/>
        <v>2023</v>
      </c>
    </row>
    <row r="650" ht="15.75" customHeight="1">
      <c r="A650" s="5">
        <v>33.0</v>
      </c>
      <c r="B650" s="10" t="s">
        <v>688</v>
      </c>
      <c r="C650" s="3" t="s">
        <v>689</v>
      </c>
      <c r="D650" s="4" t="s">
        <v>3</v>
      </c>
      <c r="E650" s="5" t="s">
        <v>15</v>
      </c>
      <c r="F650" s="6" t="s">
        <v>696</v>
      </c>
      <c r="G650" s="7">
        <v>45051.0</v>
      </c>
      <c r="H650" s="8">
        <f t="shared" si="1"/>
        <v>5</v>
      </c>
      <c r="I650" s="9">
        <f t="shared" si="2"/>
        <v>5</v>
      </c>
      <c r="J650" s="9">
        <f t="shared" si="3"/>
        <v>2023</v>
      </c>
    </row>
    <row r="651" ht="15.75" customHeight="1">
      <c r="A651" s="5">
        <v>33.0</v>
      </c>
      <c r="B651" s="10" t="s">
        <v>688</v>
      </c>
      <c r="C651" s="3" t="s">
        <v>689</v>
      </c>
      <c r="D651" s="4" t="s">
        <v>3</v>
      </c>
      <c r="E651" s="5" t="s">
        <v>9</v>
      </c>
      <c r="F651" s="6" t="s">
        <v>343</v>
      </c>
      <c r="G651" s="7">
        <v>45055.0</v>
      </c>
      <c r="H651" s="8">
        <f t="shared" si="1"/>
        <v>9</v>
      </c>
      <c r="I651" s="9">
        <f t="shared" si="2"/>
        <v>5</v>
      </c>
      <c r="J651" s="9">
        <f t="shared" si="3"/>
        <v>2023</v>
      </c>
    </row>
    <row r="652" ht="15.75" customHeight="1">
      <c r="A652" s="5">
        <v>33.0</v>
      </c>
      <c r="B652" s="10" t="s">
        <v>688</v>
      </c>
      <c r="C652" s="3" t="s">
        <v>689</v>
      </c>
      <c r="D652" s="4" t="s">
        <v>3</v>
      </c>
      <c r="E652" s="5" t="s">
        <v>9</v>
      </c>
      <c r="F652" s="6" t="s">
        <v>697</v>
      </c>
      <c r="G652" s="7">
        <v>45056.0</v>
      </c>
      <c r="H652" s="8">
        <f t="shared" si="1"/>
        <v>10</v>
      </c>
      <c r="I652" s="9">
        <f t="shared" si="2"/>
        <v>5</v>
      </c>
      <c r="J652" s="9">
        <f t="shared" si="3"/>
        <v>2023</v>
      </c>
    </row>
    <row r="653" ht="15.75" customHeight="1">
      <c r="A653" s="5">
        <v>33.0</v>
      </c>
      <c r="B653" s="10" t="s">
        <v>688</v>
      </c>
      <c r="C653" s="3" t="s">
        <v>689</v>
      </c>
      <c r="D653" s="4" t="s">
        <v>8</v>
      </c>
      <c r="E653" s="5" t="s">
        <v>51</v>
      </c>
      <c r="F653" s="6" t="s">
        <v>698</v>
      </c>
      <c r="G653" s="7">
        <v>45056.0</v>
      </c>
      <c r="H653" s="8">
        <f t="shared" si="1"/>
        <v>10</v>
      </c>
      <c r="I653" s="9">
        <f t="shared" si="2"/>
        <v>5</v>
      </c>
      <c r="J653" s="9">
        <f t="shared" si="3"/>
        <v>2023</v>
      </c>
    </row>
    <row r="654" ht="15.75" customHeight="1">
      <c r="A654" s="5">
        <v>33.0</v>
      </c>
      <c r="B654" s="10" t="s">
        <v>688</v>
      </c>
      <c r="C654" s="3" t="s">
        <v>689</v>
      </c>
      <c r="D654" s="4" t="s">
        <v>8</v>
      </c>
      <c r="E654" s="5" t="s">
        <v>45</v>
      </c>
      <c r="F654" s="6" t="s">
        <v>699</v>
      </c>
      <c r="G654" s="7">
        <v>45124.0</v>
      </c>
      <c r="H654" s="8">
        <f t="shared" si="1"/>
        <v>17</v>
      </c>
      <c r="I654" s="9">
        <f t="shared" si="2"/>
        <v>7</v>
      </c>
      <c r="J654" s="9">
        <f t="shared" si="3"/>
        <v>2023</v>
      </c>
    </row>
    <row r="655" ht="15.75" customHeight="1">
      <c r="A655" s="5">
        <v>33.0</v>
      </c>
      <c r="B655" s="10" t="s">
        <v>688</v>
      </c>
      <c r="C655" s="3" t="s">
        <v>689</v>
      </c>
      <c r="D655" s="4" t="s">
        <v>8</v>
      </c>
      <c r="E655" s="5" t="s">
        <v>51</v>
      </c>
      <c r="F655" s="6" t="s">
        <v>700</v>
      </c>
      <c r="G655" s="7">
        <v>45186.0</v>
      </c>
      <c r="H655" s="8">
        <f t="shared" si="1"/>
        <v>17</v>
      </c>
      <c r="I655" s="9">
        <f t="shared" si="2"/>
        <v>9</v>
      </c>
      <c r="J655" s="9">
        <f t="shared" si="3"/>
        <v>2023</v>
      </c>
    </row>
    <row r="656" ht="15.75" customHeight="1">
      <c r="A656" s="5">
        <v>33.0</v>
      </c>
      <c r="B656" s="10" t="s">
        <v>688</v>
      </c>
      <c r="C656" s="3" t="s">
        <v>689</v>
      </c>
      <c r="D656" s="4" t="s">
        <v>8</v>
      </c>
      <c r="E656" s="5" t="s">
        <v>76</v>
      </c>
      <c r="F656" s="6" t="s">
        <v>701</v>
      </c>
      <c r="G656" s="7">
        <v>45269.0</v>
      </c>
      <c r="H656" s="8">
        <f t="shared" si="1"/>
        <v>9</v>
      </c>
      <c r="I656" s="9">
        <f t="shared" si="2"/>
        <v>12</v>
      </c>
      <c r="J656" s="9">
        <f t="shared" si="3"/>
        <v>2023</v>
      </c>
    </row>
    <row r="657" ht="15.75" customHeight="1">
      <c r="A657" s="5">
        <v>33.0</v>
      </c>
      <c r="B657" s="10" t="s">
        <v>688</v>
      </c>
      <c r="C657" s="3" t="s">
        <v>689</v>
      </c>
      <c r="D657" s="4" t="s">
        <v>8</v>
      </c>
      <c r="E657" s="5" t="s">
        <v>71</v>
      </c>
      <c r="F657" s="6" t="s">
        <v>209</v>
      </c>
      <c r="G657" s="7">
        <v>45275.0</v>
      </c>
      <c r="H657" s="8">
        <f t="shared" si="1"/>
        <v>15</v>
      </c>
      <c r="I657" s="9">
        <f t="shared" si="2"/>
        <v>12</v>
      </c>
      <c r="J657" s="9">
        <f t="shared" si="3"/>
        <v>2023</v>
      </c>
    </row>
    <row r="658" ht="15.75" customHeight="1">
      <c r="A658" s="5">
        <v>33.0</v>
      </c>
      <c r="B658" s="10" t="s">
        <v>688</v>
      </c>
      <c r="C658" s="3" t="s">
        <v>689</v>
      </c>
      <c r="D658" s="4" t="s">
        <v>3</v>
      </c>
      <c r="E658" s="5" t="s">
        <v>28</v>
      </c>
      <c r="F658" s="6" t="s">
        <v>41</v>
      </c>
      <c r="G658" s="7">
        <v>45275.0</v>
      </c>
      <c r="H658" s="8">
        <f t="shared" si="1"/>
        <v>15</v>
      </c>
      <c r="I658" s="9">
        <f t="shared" si="2"/>
        <v>12</v>
      </c>
      <c r="J658" s="9">
        <f t="shared" si="3"/>
        <v>2023</v>
      </c>
    </row>
    <row r="659" ht="15.75" customHeight="1">
      <c r="A659" s="5">
        <v>33.0</v>
      </c>
      <c r="B659" s="10" t="s">
        <v>688</v>
      </c>
      <c r="C659" s="3" t="s">
        <v>689</v>
      </c>
      <c r="D659" s="4" t="s">
        <v>8</v>
      </c>
      <c r="E659" s="5" t="s">
        <v>71</v>
      </c>
      <c r="F659" s="6" t="s">
        <v>702</v>
      </c>
      <c r="G659" s="7">
        <v>45282.0</v>
      </c>
      <c r="H659" s="8">
        <f t="shared" si="1"/>
        <v>22</v>
      </c>
      <c r="I659" s="9">
        <f t="shared" si="2"/>
        <v>12</v>
      </c>
      <c r="J659" s="9">
        <f t="shared" si="3"/>
        <v>2023</v>
      </c>
    </row>
    <row r="660" ht="15.75" customHeight="1">
      <c r="A660" s="5">
        <v>33.0</v>
      </c>
      <c r="B660" s="10" t="s">
        <v>688</v>
      </c>
      <c r="C660" s="3" t="s">
        <v>689</v>
      </c>
      <c r="D660" s="4" t="s">
        <v>8</v>
      </c>
      <c r="E660" s="5" t="s">
        <v>17</v>
      </c>
      <c r="F660" s="6" t="s">
        <v>703</v>
      </c>
      <c r="G660" s="7">
        <v>45288.0</v>
      </c>
      <c r="H660" s="8">
        <f t="shared" si="1"/>
        <v>28</v>
      </c>
      <c r="I660" s="9">
        <f t="shared" si="2"/>
        <v>12</v>
      </c>
      <c r="J660" s="9">
        <f t="shared" si="3"/>
        <v>2023</v>
      </c>
    </row>
    <row r="661" ht="15.75" customHeight="1">
      <c r="A661" s="5">
        <v>34.0</v>
      </c>
      <c r="B661" s="10" t="s">
        <v>704</v>
      </c>
      <c r="C661" s="3" t="s">
        <v>705</v>
      </c>
      <c r="D661" s="4" t="s">
        <v>8</v>
      </c>
      <c r="E661" s="5" t="s">
        <v>6</v>
      </c>
      <c r="F661" s="6" t="s">
        <v>706</v>
      </c>
      <c r="G661" s="7">
        <v>44945.0</v>
      </c>
      <c r="H661" s="8">
        <f t="shared" si="1"/>
        <v>19</v>
      </c>
      <c r="I661" s="9">
        <f t="shared" si="2"/>
        <v>1</v>
      </c>
      <c r="J661" s="9">
        <f t="shared" si="3"/>
        <v>2023</v>
      </c>
    </row>
    <row r="662" ht="15.75" customHeight="1">
      <c r="A662" s="5">
        <v>34.0</v>
      </c>
      <c r="B662" s="10" t="s">
        <v>704</v>
      </c>
      <c r="C662" s="3" t="s">
        <v>705</v>
      </c>
      <c r="D662" s="4" t="s">
        <v>3</v>
      </c>
      <c r="E662" s="5" t="s">
        <v>13</v>
      </c>
      <c r="F662" s="6" t="s">
        <v>707</v>
      </c>
      <c r="G662" s="7">
        <v>44959.0</v>
      </c>
      <c r="H662" s="8">
        <f t="shared" si="1"/>
        <v>2</v>
      </c>
      <c r="I662" s="9">
        <f t="shared" si="2"/>
        <v>2</v>
      </c>
      <c r="J662" s="9">
        <f t="shared" si="3"/>
        <v>2023</v>
      </c>
    </row>
    <row r="663" ht="15.75" customHeight="1">
      <c r="A663" s="5">
        <v>34.0</v>
      </c>
      <c r="B663" s="10" t="s">
        <v>704</v>
      </c>
      <c r="C663" s="3" t="s">
        <v>705</v>
      </c>
      <c r="D663" s="4" t="s">
        <v>3</v>
      </c>
      <c r="E663" s="5" t="s">
        <v>42</v>
      </c>
      <c r="F663" s="6" t="s">
        <v>708</v>
      </c>
      <c r="G663" s="7">
        <v>44964.0</v>
      </c>
      <c r="H663" s="8">
        <f t="shared" si="1"/>
        <v>7</v>
      </c>
      <c r="I663" s="9">
        <f t="shared" si="2"/>
        <v>2</v>
      </c>
      <c r="J663" s="9">
        <f t="shared" si="3"/>
        <v>2023</v>
      </c>
    </row>
    <row r="664" ht="15.75" customHeight="1">
      <c r="A664" s="5">
        <v>34.0</v>
      </c>
      <c r="B664" s="10" t="s">
        <v>704</v>
      </c>
      <c r="C664" s="3" t="s">
        <v>705</v>
      </c>
      <c r="D664" s="4" t="s">
        <v>8</v>
      </c>
      <c r="E664" s="5" t="s">
        <v>76</v>
      </c>
      <c r="F664" s="6" t="s">
        <v>709</v>
      </c>
      <c r="G664" s="7">
        <v>44975.0</v>
      </c>
      <c r="H664" s="8">
        <f t="shared" si="1"/>
        <v>18</v>
      </c>
      <c r="I664" s="9">
        <f t="shared" si="2"/>
        <v>2</v>
      </c>
      <c r="J664" s="9">
        <f t="shared" si="3"/>
        <v>2023</v>
      </c>
    </row>
    <row r="665" ht="15.75" customHeight="1">
      <c r="A665" s="5">
        <v>34.0</v>
      </c>
      <c r="B665" s="10" t="s">
        <v>704</v>
      </c>
      <c r="C665" s="3" t="s">
        <v>705</v>
      </c>
      <c r="D665" s="4" t="s">
        <v>8</v>
      </c>
      <c r="E665" s="5" t="s">
        <v>11</v>
      </c>
      <c r="F665" s="6" t="s">
        <v>710</v>
      </c>
      <c r="G665" s="7">
        <v>45003.0</v>
      </c>
      <c r="H665" s="8">
        <f t="shared" si="1"/>
        <v>18</v>
      </c>
      <c r="I665" s="9">
        <f t="shared" si="2"/>
        <v>3</v>
      </c>
      <c r="J665" s="9">
        <f t="shared" si="3"/>
        <v>2023</v>
      </c>
    </row>
    <row r="666" ht="15.75" customHeight="1">
      <c r="A666" s="5">
        <v>34.0</v>
      </c>
      <c r="B666" s="10" t="s">
        <v>704</v>
      </c>
      <c r="C666" s="3" t="s">
        <v>705</v>
      </c>
      <c r="D666" s="4" t="s">
        <v>8</v>
      </c>
      <c r="E666" s="5" t="s">
        <v>19</v>
      </c>
      <c r="F666" s="6" t="s">
        <v>711</v>
      </c>
      <c r="G666" s="7">
        <v>45025.0</v>
      </c>
      <c r="H666" s="8">
        <f t="shared" si="1"/>
        <v>9</v>
      </c>
      <c r="I666" s="9">
        <f t="shared" si="2"/>
        <v>4</v>
      </c>
      <c r="J666" s="9">
        <f t="shared" si="3"/>
        <v>2023</v>
      </c>
    </row>
    <row r="667" ht="15.75" customHeight="1">
      <c r="A667" s="5">
        <v>34.0</v>
      </c>
      <c r="B667" s="10" t="s">
        <v>704</v>
      </c>
      <c r="C667" s="3" t="s">
        <v>705</v>
      </c>
      <c r="D667" s="4" t="s">
        <v>3</v>
      </c>
      <c r="E667" s="5" t="s">
        <v>6</v>
      </c>
      <c r="F667" s="6" t="s">
        <v>712</v>
      </c>
      <c r="G667" s="7">
        <v>45040.0</v>
      </c>
      <c r="H667" s="8">
        <f t="shared" si="1"/>
        <v>24</v>
      </c>
      <c r="I667" s="9">
        <f t="shared" si="2"/>
        <v>4</v>
      </c>
      <c r="J667" s="9">
        <f t="shared" si="3"/>
        <v>2023</v>
      </c>
    </row>
    <row r="668" ht="15.75" customHeight="1">
      <c r="A668" s="5">
        <v>34.0</v>
      </c>
      <c r="B668" s="10" t="s">
        <v>704</v>
      </c>
      <c r="C668" s="3" t="s">
        <v>705</v>
      </c>
      <c r="D668" s="4" t="s">
        <v>3</v>
      </c>
      <c r="E668" s="5" t="s">
        <v>13</v>
      </c>
      <c r="F668" s="6" t="s">
        <v>571</v>
      </c>
      <c r="G668" s="7">
        <v>45056.0</v>
      </c>
      <c r="H668" s="8">
        <f t="shared" si="1"/>
        <v>10</v>
      </c>
      <c r="I668" s="9">
        <f t="shared" si="2"/>
        <v>5</v>
      </c>
      <c r="J668" s="9">
        <f t="shared" si="3"/>
        <v>2023</v>
      </c>
    </row>
    <row r="669" ht="15.75" customHeight="1">
      <c r="A669" s="5">
        <v>34.0</v>
      </c>
      <c r="B669" s="10" t="s">
        <v>704</v>
      </c>
      <c r="C669" s="3" t="s">
        <v>705</v>
      </c>
      <c r="D669" s="4" t="s">
        <v>3</v>
      </c>
      <c r="E669" s="5" t="s">
        <v>35</v>
      </c>
      <c r="F669" s="6" t="s">
        <v>713</v>
      </c>
      <c r="G669" s="7">
        <v>45069.0</v>
      </c>
      <c r="H669" s="8">
        <f t="shared" si="1"/>
        <v>23</v>
      </c>
      <c r="I669" s="9">
        <f t="shared" si="2"/>
        <v>5</v>
      </c>
      <c r="J669" s="9">
        <f t="shared" si="3"/>
        <v>2023</v>
      </c>
    </row>
    <row r="670" ht="15.75" customHeight="1">
      <c r="A670" s="5">
        <v>34.0</v>
      </c>
      <c r="B670" s="10" t="s">
        <v>704</v>
      </c>
      <c r="C670" s="3" t="s">
        <v>705</v>
      </c>
      <c r="D670" s="4" t="s">
        <v>8</v>
      </c>
      <c r="E670" s="5" t="s">
        <v>42</v>
      </c>
      <c r="F670" s="6" t="s">
        <v>714</v>
      </c>
      <c r="G670" s="7">
        <v>45096.0</v>
      </c>
      <c r="H670" s="8">
        <f t="shared" si="1"/>
        <v>19</v>
      </c>
      <c r="I670" s="9">
        <f t="shared" si="2"/>
        <v>6</v>
      </c>
      <c r="J670" s="9">
        <f t="shared" si="3"/>
        <v>2023</v>
      </c>
    </row>
    <row r="671" ht="15.75" customHeight="1">
      <c r="A671" s="5">
        <v>34.0</v>
      </c>
      <c r="B671" s="10" t="s">
        <v>704</v>
      </c>
      <c r="C671" s="3" t="s">
        <v>705</v>
      </c>
      <c r="D671" s="4" t="s">
        <v>8</v>
      </c>
      <c r="E671" s="5" t="s">
        <v>6</v>
      </c>
      <c r="F671" s="6" t="s">
        <v>715</v>
      </c>
      <c r="G671" s="7">
        <v>45147.0</v>
      </c>
      <c r="H671" s="8">
        <f t="shared" si="1"/>
        <v>9</v>
      </c>
      <c r="I671" s="9">
        <f t="shared" si="2"/>
        <v>8</v>
      </c>
      <c r="J671" s="9">
        <f t="shared" si="3"/>
        <v>2023</v>
      </c>
    </row>
    <row r="672" ht="15.75" customHeight="1">
      <c r="A672" s="5">
        <v>34.0</v>
      </c>
      <c r="B672" s="10" t="s">
        <v>704</v>
      </c>
      <c r="C672" s="3" t="s">
        <v>705</v>
      </c>
      <c r="D672" s="4" t="s">
        <v>8</v>
      </c>
      <c r="E672" s="5" t="s">
        <v>15</v>
      </c>
      <c r="F672" s="6" t="s">
        <v>716</v>
      </c>
      <c r="G672" s="7">
        <v>45174.0</v>
      </c>
      <c r="H672" s="8">
        <f t="shared" si="1"/>
        <v>5</v>
      </c>
      <c r="I672" s="9">
        <f t="shared" si="2"/>
        <v>9</v>
      </c>
      <c r="J672" s="9">
        <f t="shared" si="3"/>
        <v>2023</v>
      </c>
    </row>
    <row r="673" ht="15.75" customHeight="1">
      <c r="A673" s="5">
        <v>34.0</v>
      </c>
      <c r="B673" s="10" t="s">
        <v>704</v>
      </c>
      <c r="C673" s="3" t="s">
        <v>705</v>
      </c>
      <c r="D673" s="4" t="s">
        <v>3</v>
      </c>
      <c r="E673" s="5" t="s">
        <v>35</v>
      </c>
      <c r="F673" s="6" t="s">
        <v>717</v>
      </c>
      <c r="G673" s="7">
        <v>45186.0</v>
      </c>
      <c r="H673" s="8">
        <f t="shared" si="1"/>
        <v>17</v>
      </c>
      <c r="I673" s="9">
        <f t="shared" si="2"/>
        <v>9</v>
      </c>
      <c r="J673" s="9">
        <f t="shared" si="3"/>
        <v>2023</v>
      </c>
    </row>
    <row r="674" ht="15.75" customHeight="1">
      <c r="A674" s="5">
        <v>34.0</v>
      </c>
      <c r="B674" s="10" t="s">
        <v>704</v>
      </c>
      <c r="C674" s="3" t="s">
        <v>705</v>
      </c>
      <c r="D674" s="4" t="s">
        <v>3</v>
      </c>
      <c r="E674" s="5" t="s">
        <v>76</v>
      </c>
      <c r="F674" s="6" t="s">
        <v>718</v>
      </c>
      <c r="G674" s="7">
        <v>45187.0</v>
      </c>
      <c r="H674" s="8">
        <f t="shared" si="1"/>
        <v>18</v>
      </c>
      <c r="I674" s="9">
        <f t="shared" si="2"/>
        <v>9</v>
      </c>
      <c r="J674" s="9">
        <f t="shared" si="3"/>
        <v>2023</v>
      </c>
    </row>
    <row r="675" ht="15.75" customHeight="1">
      <c r="A675" s="5">
        <v>34.0</v>
      </c>
      <c r="B675" s="10" t="s">
        <v>704</v>
      </c>
      <c r="C675" s="3" t="s">
        <v>705</v>
      </c>
      <c r="D675" s="4" t="s">
        <v>8</v>
      </c>
      <c r="E675" s="5" t="s">
        <v>6</v>
      </c>
      <c r="F675" s="6" t="s">
        <v>719</v>
      </c>
      <c r="G675" s="7">
        <v>45207.0</v>
      </c>
      <c r="H675" s="8">
        <f t="shared" si="1"/>
        <v>8</v>
      </c>
      <c r="I675" s="9">
        <f t="shared" si="2"/>
        <v>10</v>
      </c>
      <c r="J675" s="9">
        <f t="shared" si="3"/>
        <v>2023</v>
      </c>
    </row>
    <row r="676" ht="15.75" customHeight="1">
      <c r="A676" s="5">
        <v>34.0</v>
      </c>
      <c r="B676" s="10" t="s">
        <v>704</v>
      </c>
      <c r="C676" s="3" t="s">
        <v>705</v>
      </c>
      <c r="D676" s="4" t="s">
        <v>8</v>
      </c>
      <c r="E676" s="5" t="s">
        <v>39</v>
      </c>
      <c r="F676" s="6" t="s">
        <v>362</v>
      </c>
      <c r="G676" s="7">
        <v>45226.0</v>
      </c>
      <c r="H676" s="8">
        <f t="shared" si="1"/>
        <v>27</v>
      </c>
      <c r="I676" s="9">
        <f t="shared" si="2"/>
        <v>10</v>
      </c>
      <c r="J676" s="9">
        <f t="shared" si="3"/>
        <v>2023</v>
      </c>
    </row>
    <row r="677" ht="15.75" customHeight="1">
      <c r="A677" s="5">
        <v>34.0</v>
      </c>
      <c r="B677" s="10" t="s">
        <v>704</v>
      </c>
      <c r="C677" s="3" t="s">
        <v>705</v>
      </c>
      <c r="D677" s="4" t="s">
        <v>3</v>
      </c>
      <c r="E677" s="5" t="s">
        <v>120</v>
      </c>
      <c r="F677" s="6" t="s">
        <v>720</v>
      </c>
      <c r="G677" s="7">
        <v>45243.0</v>
      </c>
      <c r="H677" s="8">
        <f t="shared" si="1"/>
        <v>13</v>
      </c>
      <c r="I677" s="9">
        <f t="shared" si="2"/>
        <v>11</v>
      </c>
      <c r="J677" s="9">
        <f t="shared" si="3"/>
        <v>2023</v>
      </c>
    </row>
    <row r="678" ht="15.75" customHeight="1">
      <c r="A678" s="5">
        <v>34.0</v>
      </c>
      <c r="B678" s="10" t="s">
        <v>704</v>
      </c>
      <c r="C678" s="3" t="s">
        <v>705</v>
      </c>
      <c r="D678" s="4" t="s">
        <v>8</v>
      </c>
      <c r="E678" s="5" t="s">
        <v>11</v>
      </c>
      <c r="F678" s="6" t="s">
        <v>234</v>
      </c>
      <c r="G678" s="7">
        <v>45252.0</v>
      </c>
      <c r="H678" s="8">
        <f t="shared" si="1"/>
        <v>22</v>
      </c>
      <c r="I678" s="9">
        <f t="shared" si="2"/>
        <v>11</v>
      </c>
      <c r="J678" s="9">
        <f t="shared" si="3"/>
        <v>2023</v>
      </c>
    </row>
    <row r="679" ht="15.75" customHeight="1">
      <c r="A679" s="5">
        <v>34.0</v>
      </c>
      <c r="B679" s="10" t="s">
        <v>704</v>
      </c>
      <c r="C679" s="3" t="s">
        <v>705</v>
      </c>
      <c r="D679" s="4" t="s">
        <v>8</v>
      </c>
      <c r="E679" s="5" t="s">
        <v>39</v>
      </c>
      <c r="F679" s="6" t="s">
        <v>721</v>
      </c>
      <c r="G679" s="7">
        <v>45253.0</v>
      </c>
      <c r="H679" s="8">
        <f t="shared" si="1"/>
        <v>23</v>
      </c>
      <c r="I679" s="9">
        <f t="shared" si="2"/>
        <v>11</v>
      </c>
      <c r="J679" s="9">
        <f t="shared" si="3"/>
        <v>2023</v>
      </c>
    </row>
    <row r="680" ht="15.75" customHeight="1">
      <c r="A680" s="5">
        <v>34.0</v>
      </c>
      <c r="B680" s="10" t="s">
        <v>704</v>
      </c>
      <c r="C680" s="3" t="s">
        <v>705</v>
      </c>
      <c r="D680" s="4" t="s">
        <v>8</v>
      </c>
      <c r="E680" s="5" t="s">
        <v>11</v>
      </c>
      <c r="F680" s="6" t="s">
        <v>722</v>
      </c>
      <c r="G680" s="7">
        <v>45283.0</v>
      </c>
      <c r="H680" s="8">
        <f t="shared" si="1"/>
        <v>23</v>
      </c>
      <c r="I680" s="9">
        <f t="shared" si="2"/>
        <v>12</v>
      </c>
      <c r="J680" s="9">
        <f t="shared" si="3"/>
        <v>2023</v>
      </c>
    </row>
    <row r="681" ht="15.75" customHeight="1">
      <c r="A681" s="5">
        <v>35.0</v>
      </c>
      <c r="B681" s="10" t="s">
        <v>723</v>
      </c>
      <c r="C681" s="3" t="s">
        <v>724</v>
      </c>
      <c r="D681" s="4" t="s">
        <v>3</v>
      </c>
      <c r="E681" s="5" t="s">
        <v>28</v>
      </c>
      <c r="F681" s="6" t="s">
        <v>428</v>
      </c>
      <c r="G681" s="7">
        <v>44937.0</v>
      </c>
      <c r="H681" s="8">
        <f t="shared" si="1"/>
        <v>11</v>
      </c>
      <c r="I681" s="9">
        <f t="shared" si="2"/>
        <v>1</v>
      </c>
      <c r="J681" s="9">
        <f t="shared" si="3"/>
        <v>2023</v>
      </c>
    </row>
    <row r="682" ht="15.75" customHeight="1">
      <c r="A682" s="5">
        <v>35.0</v>
      </c>
      <c r="B682" s="10" t="s">
        <v>723</v>
      </c>
      <c r="C682" s="3" t="s">
        <v>724</v>
      </c>
      <c r="D682" s="4" t="s">
        <v>3</v>
      </c>
      <c r="E682" s="5" t="s">
        <v>28</v>
      </c>
      <c r="F682" s="6" t="s">
        <v>615</v>
      </c>
      <c r="G682" s="7">
        <v>44968.0</v>
      </c>
      <c r="H682" s="8">
        <f t="shared" si="1"/>
        <v>11</v>
      </c>
      <c r="I682" s="9">
        <f t="shared" si="2"/>
        <v>2</v>
      </c>
      <c r="J682" s="9">
        <f t="shared" si="3"/>
        <v>2023</v>
      </c>
    </row>
    <row r="683" ht="15.75" customHeight="1">
      <c r="A683" s="5">
        <v>35.0</v>
      </c>
      <c r="B683" s="10" t="s">
        <v>723</v>
      </c>
      <c r="C683" s="3" t="s">
        <v>724</v>
      </c>
      <c r="D683" s="4" t="s">
        <v>8</v>
      </c>
      <c r="E683" s="5" t="s">
        <v>51</v>
      </c>
      <c r="F683" s="6" t="s">
        <v>725</v>
      </c>
      <c r="G683" s="7">
        <v>44981.0</v>
      </c>
      <c r="H683" s="8">
        <f t="shared" si="1"/>
        <v>24</v>
      </c>
      <c r="I683" s="9">
        <f t="shared" si="2"/>
        <v>2</v>
      </c>
      <c r="J683" s="9">
        <f t="shared" si="3"/>
        <v>2023</v>
      </c>
    </row>
    <row r="684" ht="15.75" customHeight="1">
      <c r="A684" s="5">
        <v>35.0</v>
      </c>
      <c r="B684" s="10" t="s">
        <v>723</v>
      </c>
      <c r="C684" s="3" t="s">
        <v>724</v>
      </c>
      <c r="D684" s="4" t="s">
        <v>8</v>
      </c>
      <c r="E684" s="5" t="s">
        <v>4</v>
      </c>
      <c r="F684" s="6" t="s">
        <v>726</v>
      </c>
      <c r="G684" s="7">
        <v>44993.0</v>
      </c>
      <c r="H684" s="8">
        <f t="shared" si="1"/>
        <v>8</v>
      </c>
      <c r="I684" s="9">
        <f t="shared" si="2"/>
        <v>3</v>
      </c>
      <c r="J684" s="9">
        <f t="shared" si="3"/>
        <v>2023</v>
      </c>
    </row>
    <row r="685" ht="15.75" customHeight="1">
      <c r="A685" s="5">
        <v>35.0</v>
      </c>
      <c r="B685" s="10" t="s">
        <v>723</v>
      </c>
      <c r="C685" s="3" t="s">
        <v>724</v>
      </c>
      <c r="D685" s="4" t="s">
        <v>8</v>
      </c>
      <c r="E685" s="5" t="s">
        <v>17</v>
      </c>
      <c r="F685" s="6" t="s">
        <v>330</v>
      </c>
      <c r="G685" s="7">
        <v>45037.0</v>
      </c>
      <c r="H685" s="8">
        <f t="shared" si="1"/>
        <v>21</v>
      </c>
      <c r="I685" s="9">
        <f t="shared" si="2"/>
        <v>4</v>
      </c>
      <c r="J685" s="9">
        <f t="shared" si="3"/>
        <v>2023</v>
      </c>
    </row>
    <row r="686" ht="15.75" customHeight="1">
      <c r="A686" s="5">
        <v>35.0</v>
      </c>
      <c r="B686" s="10" t="s">
        <v>723</v>
      </c>
      <c r="C686" s="3" t="s">
        <v>724</v>
      </c>
      <c r="D686" s="4" t="s">
        <v>8</v>
      </c>
      <c r="E686" s="5" t="s">
        <v>51</v>
      </c>
      <c r="F686" s="6" t="s">
        <v>727</v>
      </c>
      <c r="G686" s="7">
        <v>45060.0</v>
      </c>
      <c r="H686" s="8">
        <f t="shared" si="1"/>
        <v>14</v>
      </c>
      <c r="I686" s="9">
        <f t="shared" si="2"/>
        <v>5</v>
      </c>
      <c r="J686" s="9">
        <f t="shared" si="3"/>
        <v>2023</v>
      </c>
    </row>
    <row r="687" ht="15.75" customHeight="1">
      <c r="A687" s="5">
        <v>35.0</v>
      </c>
      <c r="B687" s="10" t="s">
        <v>723</v>
      </c>
      <c r="C687" s="3" t="s">
        <v>724</v>
      </c>
      <c r="D687" s="4" t="s">
        <v>8</v>
      </c>
      <c r="E687" s="5" t="s">
        <v>96</v>
      </c>
      <c r="F687" s="6" t="s">
        <v>728</v>
      </c>
      <c r="G687" s="7">
        <v>45062.0</v>
      </c>
      <c r="H687" s="8">
        <f t="shared" si="1"/>
        <v>16</v>
      </c>
      <c r="I687" s="9">
        <f t="shared" si="2"/>
        <v>5</v>
      </c>
      <c r="J687" s="9">
        <f t="shared" si="3"/>
        <v>2023</v>
      </c>
    </row>
    <row r="688" ht="15.75" customHeight="1">
      <c r="A688" s="5">
        <v>35.0</v>
      </c>
      <c r="B688" s="10" t="s">
        <v>723</v>
      </c>
      <c r="C688" s="3" t="s">
        <v>724</v>
      </c>
      <c r="D688" s="4" t="s">
        <v>8</v>
      </c>
      <c r="E688" s="5" t="s">
        <v>76</v>
      </c>
      <c r="F688" s="6" t="s">
        <v>729</v>
      </c>
      <c r="G688" s="7">
        <v>45063.0</v>
      </c>
      <c r="H688" s="8">
        <f t="shared" si="1"/>
        <v>17</v>
      </c>
      <c r="I688" s="9">
        <f t="shared" si="2"/>
        <v>5</v>
      </c>
      <c r="J688" s="9">
        <f t="shared" si="3"/>
        <v>2023</v>
      </c>
    </row>
    <row r="689" ht="15.75" customHeight="1">
      <c r="A689" s="5">
        <v>35.0</v>
      </c>
      <c r="B689" s="10" t="s">
        <v>723</v>
      </c>
      <c r="C689" s="3" t="s">
        <v>724</v>
      </c>
      <c r="D689" s="4" t="s">
        <v>3</v>
      </c>
      <c r="E689" s="5" t="s">
        <v>96</v>
      </c>
      <c r="F689" s="6" t="s">
        <v>730</v>
      </c>
      <c r="G689" s="7">
        <v>45085.0</v>
      </c>
      <c r="H689" s="8">
        <f t="shared" si="1"/>
        <v>8</v>
      </c>
      <c r="I689" s="9">
        <f t="shared" si="2"/>
        <v>6</v>
      </c>
      <c r="J689" s="9">
        <f t="shared" si="3"/>
        <v>2023</v>
      </c>
    </row>
    <row r="690" ht="15.75" customHeight="1">
      <c r="A690" s="5">
        <v>35.0</v>
      </c>
      <c r="B690" s="10" t="s">
        <v>723</v>
      </c>
      <c r="C690" s="3" t="s">
        <v>724</v>
      </c>
      <c r="D690" s="4" t="s">
        <v>8</v>
      </c>
      <c r="E690" s="5" t="s">
        <v>11</v>
      </c>
      <c r="F690" s="6" t="s">
        <v>731</v>
      </c>
      <c r="G690" s="7">
        <v>45087.0</v>
      </c>
      <c r="H690" s="8">
        <f t="shared" si="1"/>
        <v>10</v>
      </c>
      <c r="I690" s="9">
        <f t="shared" si="2"/>
        <v>6</v>
      </c>
      <c r="J690" s="9">
        <f t="shared" si="3"/>
        <v>2023</v>
      </c>
    </row>
    <row r="691" ht="15.75" customHeight="1">
      <c r="A691" s="5">
        <v>35.0</v>
      </c>
      <c r="B691" s="10" t="s">
        <v>723</v>
      </c>
      <c r="C691" s="3" t="s">
        <v>724</v>
      </c>
      <c r="D691" s="4" t="s">
        <v>3</v>
      </c>
      <c r="E691" s="5" t="s">
        <v>19</v>
      </c>
      <c r="F691" s="6" t="s">
        <v>732</v>
      </c>
      <c r="G691" s="7">
        <v>45093.0</v>
      </c>
      <c r="H691" s="8">
        <f t="shared" si="1"/>
        <v>16</v>
      </c>
      <c r="I691" s="9">
        <f t="shared" si="2"/>
        <v>6</v>
      </c>
      <c r="J691" s="9">
        <f t="shared" si="3"/>
        <v>2023</v>
      </c>
    </row>
    <row r="692" ht="15.75" customHeight="1">
      <c r="A692" s="5">
        <v>35.0</v>
      </c>
      <c r="B692" s="10" t="s">
        <v>723</v>
      </c>
      <c r="C692" s="3" t="s">
        <v>724</v>
      </c>
      <c r="D692" s="4" t="s">
        <v>8</v>
      </c>
      <c r="E692" s="5" t="s">
        <v>21</v>
      </c>
      <c r="F692" s="6" t="s">
        <v>733</v>
      </c>
      <c r="G692" s="7">
        <v>45098.0</v>
      </c>
      <c r="H692" s="8">
        <f t="shared" si="1"/>
        <v>21</v>
      </c>
      <c r="I692" s="9">
        <f t="shared" si="2"/>
        <v>6</v>
      </c>
      <c r="J692" s="9">
        <f t="shared" si="3"/>
        <v>2023</v>
      </c>
    </row>
    <row r="693" ht="15.75" customHeight="1">
      <c r="A693" s="5">
        <v>35.0</v>
      </c>
      <c r="B693" s="10" t="s">
        <v>723</v>
      </c>
      <c r="C693" s="3" t="s">
        <v>724</v>
      </c>
      <c r="D693" s="4" t="s">
        <v>3</v>
      </c>
      <c r="E693" s="5" t="s">
        <v>9</v>
      </c>
      <c r="F693" s="6" t="s">
        <v>132</v>
      </c>
      <c r="G693" s="7">
        <v>45117.0</v>
      </c>
      <c r="H693" s="8">
        <f t="shared" si="1"/>
        <v>10</v>
      </c>
      <c r="I693" s="9">
        <f t="shared" si="2"/>
        <v>7</v>
      </c>
      <c r="J693" s="9">
        <f t="shared" si="3"/>
        <v>2023</v>
      </c>
    </row>
    <row r="694" ht="15.75" customHeight="1">
      <c r="A694" s="5">
        <v>35.0</v>
      </c>
      <c r="B694" s="10" t="s">
        <v>723</v>
      </c>
      <c r="C694" s="3" t="s">
        <v>724</v>
      </c>
      <c r="D694" s="4" t="s">
        <v>8</v>
      </c>
      <c r="E694" s="5" t="s">
        <v>17</v>
      </c>
      <c r="F694" s="6" t="s">
        <v>734</v>
      </c>
      <c r="G694" s="7">
        <v>45150.0</v>
      </c>
      <c r="H694" s="8">
        <f t="shared" si="1"/>
        <v>12</v>
      </c>
      <c r="I694" s="9">
        <f t="shared" si="2"/>
        <v>8</v>
      </c>
      <c r="J694" s="9">
        <f t="shared" si="3"/>
        <v>2023</v>
      </c>
    </row>
    <row r="695" ht="15.75" customHeight="1">
      <c r="A695" s="5">
        <v>35.0</v>
      </c>
      <c r="B695" s="10" t="s">
        <v>723</v>
      </c>
      <c r="C695" s="3" t="s">
        <v>724</v>
      </c>
      <c r="D695" s="4" t="s">
        <v>8</v>
      </c>
      <c r="E695" s="5" t="s">
        <v>39</v>
      </c>
      <c r="F695" s="6" t="s">
        <v>735</v>
      </c>
      <c r="G695" s="7">
        <v>45195.0</v>
      </c>
      <c r="H695" s="8">
        <f t="shared" si="1"/>
        <v>26</v>
      </c>
      <c r="I695" s="9">
        <f t="shared" si="2"/>
        <v>9</v>
      </c>
      <c r="J695" s="9">
        <f t="shared" si="3"/>
        <v>2023</v>
      </c>
    </row>
    <row r="696" ht="15.75" customHeight="1">
      <c r="A696" s="5">
        <v>35.0</v>
      </c>
      <c r="B696" s="10" t="s">
        <v>723</v>
      </c>
      <c r="C696" s="3" t="s">
        <v>724</v>
      </c>
      <c r="D696" s="4" t="s">
        <v>3</v>
      </c>
      <c r="E696" s="5" t="s">
        <v>9</v>
      </c>
      <c r="F696" s="6" t="s">
        <v>736</v>
      </c>
      <c r="G696" s="7">
        <v>45222.0</v>
      </c>
      <c r="H696" s="8">
        <f t="shared" si="1"/>
        <v>23</v>
      </c>
      <c r="I696" s="9">
        <f t="shared" si="2"/>
        <v>10</v>
      </c>
      <c r="J696" s="9">
        <f t="shared" si="3"/>
        <v>2023</v>
      </c>
    </row>
    <row r="697" ht="15.75" customHeight="1">
      <c r="A697" s="5">
        <v>35.0</v>
      </c>
      <c r="B697" s="10" t="s">
        <v>723</v>
      </c>
      <c r="C697" s="3" t="s">
        <v>724</v>
      </c>
      <c r="D697" s="4" t="s">
        <v>3</v>
      </c>
      <c r="E697" s="5" t="s">
        <v>15</v>
      </c>
      <c r="F697" s="6" t="s">
        <v>737</v>
      </c>
      <c r="G697" s="7">
        <v>45223.0</v>
      </c>
      <c r="H697" s="8">
        <f t="shared" si="1"/>
        <v>24</v>
      </c>
      <c r="I697" s="9">
        <f t="shared" si="2"/>
        <v>10</v>
      </c>
      <c r="J697" s="9">
        <f t="shared" si="3"/>
        <v>2023</v>
      </c>
    </row>
    <row r="698" ht="15.75" customHeight="1">
      <c r="A698" s="5">
        <v>35.0</v>
      </c>
      <c r="B698" s="10" t="s">
        <v>723</v>
      </c>
      <c r="C698" s="3" t="s">
        <v>724</v>
      </c>
      <c r="D698" s="4" t="s">
        <v>3</v>
      </c>
      <c r="E698" s="5" t="s">
        <v>4</v>
      </c>
      <c r="F698" s="6" t="s">
        <v>738</v>
      </c>
      <c r="G698" s="7">
        <v>45245.0</v>
      </c>
      <c r="H698" s="8">
        <f t="shared" si="1"/>
        <v>15</v>
      </c>
      <c r="I698" s="9">
        <f t="shared" si="2"/>
        <v>11</v>
      </c>
      <c r="J698" s="9">
        <f t="shared" si="3"/>
        <v>2023</v>
      </c>
    </row>
    <row r="699" ht="15.75" customHeight="1">
      <c r="A699" s="5">
        <v>35.0</v>
      </c>
      <c r="B699" s="10" t="s">
        <v>723</v>
      </c>
      <c r="C699" s="3" t="s">
        <v>724</v>
      </c>
      <c r="D699" s="4" t="s">
        <v>8</v>
      </c>
      <c r="E699" s="5" t="s">
        <v>17</v>
      </c>
      <c r="F699" s="6" t="s">
        <v>739</v>
      </c>
      <c r="G699" s="7">
        <v>45265.0</v>
      </c>
      <c r="H699" s="8">
        <f t="shared" si="1"/>
        <v>5</v>
      </c>
      <c r="I699" s="9">
        <f t="shared" si="2"/>
        <v>12</v>
      </c>
      <c r="J699" s="9">
        <f t="shared" si="3"/>
        <v>2023</v>
      </c>
    </row>
    <row r="700" ht="15.75" customHeight="1">
      <c r="A700" s="5">
        <v>35.0</v>
      </c>
      <c r="B700" s="10" t="s">
        <v>723</v>
      </c>
      <c r="C700" s="3" t="s">
        <v>724</v>
      </c>
      <c r="D700" s="4" t="s">
        <v>3</v>
      </c>
      <c r="E700" s="5" t="s">
        <v>23</v>
      </c>
      <c r="F700" s="6" t="s">
        <v>740</v>
      </c>
      <c r="G700" s="7">
        <v>45288.0</v>
      </c>
      <c r="H700" s="8">
        <f t="shared" si="1"/>
        <v>28</v>
      </c>
      <c r="I700" s="9">
        <f t="shared" si="2"/>
        <v>12</v>
      </c>
      <c r="J700" s="9">
        <f t="shared" si="3"/>
        <v>2023</v>
      </c>
    </row>
    <row r="701" ht="15.75" customHeight="1">
      <c r="A701" s="5">
        <v>36.0</v>
      </c>
      <c r="B701" s="10" t="s">
        <v>741</v>
      </c>
      <c r="C701" s="3" t="s">
        <v>742</v>
      </c>
      <c r="D701" s="4" t="s">
        <v>3</v>
      </c>
      <c r="E701" s="5" t="s">
        <v>28</v>
      </c>
      <c r="F701" s="6" t="s">
        <v>257</v>
      </c>
      <c r="G701" s="7">
        <v>44931.0</v>
      </c>
      <c r="H701" s="8">
        <f t="shared" si="1"/>
        <v>5</v>
      </c>
      <c r="I701" s="9">
        <f t="shared" si="2"/>
        <v>1</v>
      </c>
      <c r="J701" s="9">
        <f t="shared" si="3"/>
        <v>2023</v>
      </c>
    </row>
    <row r="702" ht="15.75" customHeight="1">
      <c r="A702" s="5">
        <v>36.0</v>
      </c>
      <c r="B702" s="10" t="s">
        <v>741</v>
      </c>
      <c r="C702" s="3" t="s">
        <v>742</v>
      </c>
      <c r="D702" s="4" t="s">
        <v>3</v>
      </c>
      <c r="E702" s="5" t="s">
        <v>21</v>
      </c>
      <c r="F702" s="6" t="s">
        <v>241</v>
      </c>
      <c r="G702" s="7">
        <v>44946.0</v>
      </c>
      <c r="H702" s="8">
        <f t="shared" si="1"/>
        <v>20</v>
      </c>
      <c r="I702" s="9">
        <f t="shared" si="2"/>
        <v>1</v>
      </c>
      <c r="J702" s="9">
        <f t="shared" si="3"/>
        <v>2023</v>
      </c>
    </row>
    <row r="703" ht="15.75" customHeight="1">
      <c r="A703" s="5">
        <v>36.0</v>
      </c>
      <c r="B703" s="10" t="s">
        <v>741</v>
      </c>
      <c r="C703" s="3" t="s">
        <v>742</v>
      </c>
      <c r="D703" s="4" t="s">
        <v>3</v>
      </c>
      <c r="E703" s="5" t="s">
        <v>11</v>
      </c>
      <c r="F703" s="6" t="s">
        <v>743</v>
      </c>
      <c r="G703" s="7">
        <v>44960.0</v>
      </c>
      <c r="H703" s="8">
        <f t="shared" si="1"/>
        <v>3</v>
      </c>
      <c r="I703" s="9">
        <f t="shared" si="2"/>
        <v>2</v>
      </c>
      <c r="J703" s="9">
        <f t="shared" si="3"/>
        <v>2023</v>
      </c>
    </row>
    <row r="704" ht="15.75" customHeight="1">
      <c r="A704" s="5">
        <v>36.0</v>
      </c>
      <c r="B704" s="10" t="s">
        <v>741</v>
      </c>
      <c r="C704" s="3" t="s">
        <v>742</v>
      </c>
      <c r="D704" s="4" t="s">
        <v>8</v>
      </c>
      <c r="E704" s="5" t="s">
        <v>19</v>
      </c>
      <c r="F704" s="6" t="s">
        <v>744</v>
      </c>
      <c r="G704" s="7">
        <v>44970.0</v>
      </c>
      <c r="H704" s="8">
        <f t="shared" si="1"/>
        <v>13</v>
      </c>
      <c r="I704" s="9">
        <f t="shared" si="2"/>
        <v>2</v>
      </c>
      <c r="J704" s="9">
        <f t="shared" si="3"/>
        <v>2023</v>
      </c>
    </row>
    <row r="705" ht="15.75" customHeight="1">
      <c r="A705" s="5">
        <v>36.0</v>
      </c>
      <c r="B705" s="10" t="s">
        <v>741</v>
      </c>
      <c r="C705" s="3" t="s">
        <v>742</v>
      </c>
      <c r="D705" s="4" t="s">
        <v>3</v>
      </c>
      <c r="E705" s="5" t="s">
        <v>4</v>
      </c>
      <c r="F705" s="6" t="s">
        <v>745</v>
      </c>
      <c r="G705" s="7">
        <v>44993.0</v>
      </c>
      <c r="H705" s="8">
        <f t="shared" si="1"/>
        <v>8</v>
      </c>
      <c r="I705" s="9">
        <f t="shared" si="2"/>
        <v>3</v>
      </c>
      <c r="J705" s="9">
        <f t="shared" si="3"/>
        <v>2023</v>
      </c>
    </row>
    <row r="706" ht="15.75" customHeight="1">
      <c r="A706" s="5">
        <v>36.0</v>
      </c>
      <c r="B706" s="10" t="s">
        <v>741</v>
      </c>
      <c r="C706" s="3" t="s">
        <v>742</v>
      </c>
      <c r="D706" s="4" t="s">
        <v>8</v>
      </c>
      <c r="E706" s="5" t="s">
        <v>45</v>
      </c>
      <c r="F706" s="6" t="s">
        <v>684</v>
      </c>
      <c r="G706" s="7">
        <v>45004.0</v>
      </c>
      <c r="H706" s="8">
        <f t="shared" si="1"/>
        <v>19</v>
      </c>
      <c r="I706" s="9">
        <f t="shared" si="2"/>
        <v>3</v>
      </c>
      <c r="J706" s="9">
        <f t="shared" si="3"/>
        <v>2023</v>
      </c>
    </row>
    <row r="707" ht="15.75" customHeight="1">
      <c r="A707" s="5">
        <v>36.0</v>
      </c>
      <c r="B707" s="10" t="s">
        <v>741</v>
      </c>
      <c r="C707" s="3" t="s">
        <v>742</v>
      </c>
      <c r="D707" s="4" t="s">
        <v>8</v>
      </c>
      <c r="E707" s="5" t="s">
        <v>71</v>
      </c>
      <c r="F707" s="6" t="s">
        <v>746</v>
      </c>
      <c r="G707" s="7">
        <v>45068.0</v>
      </c>
      <c r="H707" s="8">
        <f t="shared" si="1"/>
        <v>22</v>
      </c>
      <c r="I707" s="9">
        <f t="shared" si="2"/>
        <v>5</v>
      </c>
      <c r="J707" s="9">
        <f t="shared" si="3"/>
        <v>2023</v>
      </c>
    </row>
    <row r="708" ht="15.75" customHeight="1">
      <c r="A708" s="5">
        <v>36.0</v>
      </c>
      <c r="B708" s="10" t="s">
        <v>741</v>
      </c>
      <c r="C708" s="3" t="s">
        <v>742</v>
      </c>
      <c r="D708" s="4" t="s">
        <v>8</v>
      </c>
      <c r="E708" s="5" t="s">
        <v>11</v>
      </c>
      <c r="F708" s="6" t="s">
        <v>747</v>
      </c>
      <c r="G708" s="7">
        <v>45088.0</v>
      </c>
      <c r="H708" s="8">
        <f t="shared" si="1"/>
        <v>11</v>
      </c>
      <c r="I708" s="9">
        <f t="shared" si="2"/>
        <v>6</v>
      </c>
      <c r="J708" s="9">
        <f t="shared" si="3"/>
        <v>2023</v>
      </c>
    </row>
    <row r="709" ht="15.75" customHeight="1">
      <c r="A709" s="5">
        <v>36.0</v>
      </c>
      <c r="B709" s="10" t="s">
        <v>741</v>
      </c>
      <c r="C709" s="3" t="s">
        <v>742</v>
      </c>
      <c r="D709" s="4" t="s">
        <v>3</v>
      </c>
      <c r="E709" s="5" t="s">
        <v>35</v>
      </c>
      <c r="F709" s="6" t="s">
        <v>748</v>
      </c>
      <c r="G709" s="7">
        <v>45128.0</v>
      </c>
      <c r="H709" s="8">
        <f t="shared" si="1"/>
        <v>21</v>
      </c>
      <c r="I709" s="9">
        <f t="shared" si="2"/>
        <v>7</v>
      </c>
      <c r="J709" s="9">
        <f t="shared" si="3"/>
        <v>2023</v>
      </c>
    </row>
    <row r="710" ht="15.75" customHeight="1">
      <c r="A710" s="5">
        <v>36.0</v>
      </c>
      <c r="B710" s="10" t="s">
        <v>741</v>
      </c>
      <c r="C710" s="3" t="s">
        <v>742</v>
      </c>
      <c r="D710" s="4" t="s">
        <v>3</v>
      </c>
      <c r="E710" s="5" t="s">
        <v>23</v>
      </c>
      <c r="F710" s="6" t="s">
        <v>749</v>
      </c>
      <c r="G710" s="7">
        <v>45131.0</v>
      </c>
      <c r="H710" s="8">
        <f t="shared" si="1"/>
        <v>24</v>
      </c>
      <c r="I710" s="9">
        <f t="shared" si="2"/>
        <v>7</v>
      </c>
      <c r="J710" s="9">
        <f t="shared" si="3"/>
        <v>2023</v>
      </c>
    </row>
    <row r="711" ht="15.75" customHeight="1">
      <c r="A711" s="5">
        <v>36.0</v>
      </c>
      <c r="B711" s="10" t="s">
        <v>741</v>
      </c>
      <c r="C711" s="3" t="s">
        <v>742</v>
      </c>
      <c r="D711" s="4" t="s">
        <v>8</v>
      </c>
      <c r="E711" s="5" t="s">
        <v>96</v>
      </c>
      <c r="F711" s="6" t="s">
        <v>750</v>
      </c>
      <c r="G711" s="7">
        <v>45142.0</v>
      </c>
      <c r="H711" s="8">
        <f t="shared" si="1"/>
        <v>4</v>
      </c>
      <c r="I711" s="9">
        <f t="shared" si="2"/>
        <v>8</v>
      </c>
      <c r="J711" s="9">
        <f t="shared" si="3"/>
        <v>2023</v>
      </c>
    </row>
    <row r="712" ht="15.75" customHeight="1">
      <c r="A712" s="5">
        <v>36.0</v>
      </c>
      <c r="B712" s="10" t="s">
        <v>741</v>
      </c>
      <c r="C712" s="3" t="s">
        <v>742</v>
      </c>
      <c r="D712" s="4" t="s">
        <v>8</v>
      </c>
      <c r="E712" s="5" t="s">
        <v>4</v>
      </c>
      <c r="F712" s="6" t="s">
        <v>751</v>
      </c>
      <c r="G712" s="7">
        <v>45148.0</v>
      </c>
      <c r="H712" s="8">
        <f t="shared" si="1"/>
        <v>10</v>
      </c>
      <c r="I712" s="9">
        <f t="shared" si="2"/>
        <v>8</v>
      </c>
      <c r="J712" s="9">
        <f t="shared" si="3"/>
        <v>2023</v>
      </c>
    </row>
    <row r="713" ht="15.75" customHeight="1">
      <c r="A713" s="5">
        <v>36.0</v>
      </c>
      <c r="B713" s="10" t="s">
        <v>741</v>
      </c>
      <c r="C713" s="3" t="s">
        <v>742</v>
      </c>
      <c r="D713" s="4" t="s">
        <v>8</v>
      </c>
      <c r="E713" s="5" t="s">
        <v>4</v>
      </c>
      <c r="F713" s="6" t="s">
        <v>752</v>
      </c>
      <c r="G713" s="7">
        <v>45151.0</v>
      </c>
      <c r="H713" s="8">
        <f t="shared" si="1"/>
        <v>13</v>
      </c>
      <c r="I713" s="9">
        <f t="shared" si="2"/>
        <v>8</v>
      </c>
      <c r="J713" s="9">
        <f t="shared" si="3"/>
        <v>2023</v>
      </c>
    </row>
    <row r="714" ht="15.75" customHeight="1">
      <c r="A714" s="5">
        <v>36.0</v>
      </c>
      <c r="B714" s="10" t="s">
        <v>741</v>
      </c>
      <c r="C714" s="3" t="s">
        <v>742</v>
      </c>
      <c r="D714" s="4" t="s">
        <v>8</v>
      </c>
      <c r="E714" s="5" t="s">
        <v>9</v>
      </c>
      <c r="F714" s="6" t="s">
        <v>753</v>
      </c>
      <c r="G714" s="7">
        <v>45164.0</v>
      </c>
      <c r="H714" s="8">
        <f t="shared" si="1"/>
        <v>26</v>
      </c>
      <c r="I714" s="9">
        <f t="shared" si="2"/>
        <v>8</v>
      </c>
      <c r="J714" s="9">
        <f t="shared" si="3"/>
        <v>2023</v>
      </c>
    </row>
    <row r="715" ht="15.75" customHeight="1">
      <c r="A715" s="5">
        <v>36.0</v>
      </c>
      <c r="B715" s="10" t="s">
        <v>741</v>
      </c>
      <c r="C715" s="3" t="s">
        <v>742</v>
      </c>
      <c r="D715" s="4" t="s">
        <v>3</v>
      </c>
      <c r="E715" s="5" t="s">
        <v>120</v>
      </c>
      <c r="F715" s="6" t="s">
        <v>754</v>
      </c>
      <c r="G715" s="7">
        <v>45184.0</v>
      </c>
      <c r="H715" s="8">
        <f t="shared" si="1"/>
        <v>15</v>
      </c>
      <c r="I715" s="9">
        <f t="shared" si="2"/>
        <v>9</v>
      </c>
      <c r="J715" s="9">
        <f t="shared" si="3"/>
        <v>2023</v>
      </c>
    </row>
    <row r="716" ht="15.75" customHeight="1">
      <c r="A716" s="5">
        <v>36.0</v>
      </c>
      <c r="B716" s="10" t="s">
        <v>741</v>
      </c>
      <c r="C716" s="3" t="s">
        <v>742</v>
      </c>
      <c r="D716" s="4" t="s">
        <v>8</v>
      </c>
      <c r="E716" s="5" t="s">
        <v>76</v>
      </c>
      <c r="F716" s="6" t="s">
        <v>755</v>
      </c>
      <c r="G716" s="7">
        <v>45200.0</v>
      </c>
      <c r="H716" s="8">
        <f t="shared" si="1"/>
        <v>1</v>
      </c>
      <c r="I716" s="9">
        <f t="shared" si="2"/>
        <v>10</v>
      </c>
      <c r="J716" s="9">
        <f t="shared" si="3"/>
        <v>2023</v>
      </c>
    </row>
    <row r="717" ht="15.75" customHeight="1">
      <c r="A717" s="5">
        <v>36.0</v>
      </c>
      <c r="B717" s="10" t="s">
        <v>741</v>
      </c>
      <c r="C717" s="3" t="s">
        <v>742</v>
      </c>
      <c r="D717" s="4" t="s">
        <v>3</v>
      </c>
      <c r="E717" s="5" t="s">
        <v>71</v>
      </c>
      <c r="F717" s="6" t="s">
        <v>756</v>
      </c>
      <c r="G717" s="7">
        <v>45201.0</v>
      </c>
      <c r="H717" s="8">
        <f t="shared" si="1"/>
        <v>2</v>
      </c>
      <c r="I717" s="9">
        <f t="shared" si="2"/>
        <v>10</v>
      </c>
      <c r="J717" s="9">
        <f t="shared" si="3"/>
        <v>2023</v>
      </c>
    </row>
    <row r="718" ht="15.75" customHeight="1">
      <c r="A718" s="5">
        <v>36.0</v>
      </c>
      <c r="B718" s="10" t="s">
        <v>741</v>
      </c>
      <c r="C718" s="3" t="s">
        <v>742</v>
      </c>
      <c r="D718" s="4" t="s">
        <v>3</v>
      </c>
      <c r="E718" s="5" t="s">
        <v>13</v>
      </c>
      <c r="F718" s="6" t="s">
        <v>568</v>
      </c>
      <c r="G718" s="7">
        <v>45215.0</v>
      </c>
      <c r="H718" s="8">
        <f t="shared" si="1"/>
        <v>16</v>
      </c>
      <c r="I718" s="9">
        <f t="shared" si="2"/>
        <v>10</v>
      </c>
      <c r="J718" s="9">
        <f t="shared" si="3"/>
        <v>2023</v>
      </c>
    </row>
    <row r="719" ht="15.75" customHeight="1">
      <c r="A719" s="5">
        <v>36.0</v>
      </c>
      <c r="B719" s="10" t="s">
        <v>741</v>
      </c>
      <c r="C719" s="3" t="s">
        <v>742</v>
      </c>
      <c r="D719" s="4" t="s">
        <v>8</v>
      </c>
      <c r="E719" s="5" t="s">
        <v>39</v>
      </c>
      <c r="F719" s="6" t="s">
        <v>757</v>
      </c>
      <c r="G719" s="7">
        <v>45225.0</v>
      </c>
      <c r="H719" s="8">
        <f t="shared" si="1"/>
        <v>26</v>
      </c>
      <c r="I719" s="9">
        <f t="shared" si="2"/>
        <v>10</v>
      </c>
      <c r="J719" s="9">
        <f t="shared" si="3"/>
        <v>2023</v>
      </c>
    </row>
    <row r="720" ht="15.75" customHeight="1">
      <c r="A720" s="5">
        <v>36.0</v>
      </c>
      <c r="B720" s="10" t="s">
        <v>741</v>
      </c>
      <c r="C720" s="3" t="s">
        <v>742</v>
      </c>
      <c r="D720" s="4" t="s">
        <v>3</v>
      </c>
      <c r="E720" s="5" t="s">
        <v>96</v>
      </c>
      <c r="F720" s="6" t="s">
        <v>758</v>
      </c>
      <c r="G720" s="7">
        <v>45253.0</v>
      </c>
      <c r="H720" s="8">
        <f t="shared" si="1"/>
        <v>23</v>
      </c>
      <c r="I720" s="9">
        <f t="shared" si="2"/>
        <v>11</v>
      </c>
      <c r="J720" s="9">
        <f t="shared" si="3"/>
        <v>2023</v>
      </c>
    </row>
    <row r="721" ht="15.75" customHeight="1">
      <c r="A721" s="5">
        <v>37.0</v>
      </c>
      <c r="B721" s="10" t="s">
        <v>759</v>
      </c>
      <c r="C721" s="3" t="s">
        <v>760</v>
      </c>
      <c r="D721" s="4" t="s">
        <v>8</v>
      </c>
      <c r="E721" s="5" t="s">
        <v>35</v>
      </c>
      <c r="F721" s="6" t="s">
        <v>138</v>
      </c>
      <c r="G721" s="7">
        <v>44998.0</v>
      </c>
      <c r="H721" s="8">
        <f t="shared" si="1"/>
        <v>13</v>
      </c>
      <c r="I721" s="9">
        <f t="shared" si="2"/>
        <v>3</v>
      </c>
      <c r="J721" s="9">
        <f t="shared" si="3"/>
        <v>2023</v>
      </c>
    </row>
    <row r="722" ht="15.75" customHeight="1">
      <c r="A722" s="5">
        <v>37.0</v>
      </c>
      <c r="B722" s="10" t="s">
        <v>759</v>
      </c>
      <c r="C722" s="3" t="s">
        <v>760</v>
      </c>
      <c r="D722" s="4" t="s">
        <v>3</v>
      </c>
      <c r="E722" s="5" t="s">
        <v>23</v>
      </c>
      <c r="F722" s="6" t="s">
        <v>523</v>
      </c>
      <c r="G722" s="7">
        <v>45008.0</v>
      </c>
      <c r="H722" s="8">
        <f t="shared" si="1"/>
        <v>23</v>
      </c>
      <c r="I722" s="9">
        <f t="shared" si="2"/>
        <v>3</v>
      </c>
      <c r="J722" s="9">
        <f t="shared" si="3"/>
        <v>2023</v>
      </c>
    </row>
    <row r="723" ht="15.75" customHeight="1">
      <c r="A723" s="5">
        <v>37.0</v>
      </c>
      <c r="B723" s="10" t="s">
        <v>759</v>
      </c>
      <c r="C723" s="3" t="s">
        <v>760</v>
      </c>
      <c r="D723" s="4" t="s">
        <v>3</v>
      </c>
      <c r="E723" s="5" t="s">
        <v>15</v>
      </c>
      <c r="F723" s="6" t="s">
        <v>761</v>
      </c>
      <c r="G723" s="7">
        <v>45023.0</v>
      </c>
      <c r="H723" s="8">
        <f t="shared" si="1"/>
        <v>7</v>
      </c>
      <c r="I723" s="9">
        <f t="shared" si="2"/>
        <v>4</v>
      </c>
      <c r="J723" s="9">
        <f t="shared" si="3"/>
        <v>2023</v>
      </c>
    </row>
    <row r="724" ht="15.75" customHeight="1">
      <c r="A724" s="5">
        <v>37.0</v>
      </c>
      <c r="B724" s="10" t="s">
        <v>759</v>
      </c>
      <c r="C724" s="3" t="s">
        <v>760</v>
      </c>
      <c r="D724" s="4" t="s">
        <v>3</v>
      </c>
      <c r="E724" s="5" t="s">
        <v>42</v>
      </c>
      <c r="F724" s="6" t="s">
        <v>762</v>
      </c>
      <c r="G724" s="7">
        <v>45029.0</v>
      </c>
      <c r="H724" s="8">
        <f t="shared" si="1"/>
        <v>13</v>
      </c>
      <c r="I724" s="9">
        <f t="shared" si="2"/>
        <v>4</v>
      </c>
      <c r="J724" s="9">
        <f t="shared" si="3"/>
        <v>2023</v>
      </c>
    </row>
    <row r="725" ht="15.75" customHeight="1">
      <c r="A725" s="5">
        <v>37.0</v>
      </c>
      <c r="B725" s="10" t="s">
        <v>759</v>
      </c>
      <c r="C725" s="3" t="s">
        <v>760</v>
      </c>
      <c r="D725" s="4" t="s">
        <v>3</v>
      </c>
      <c r="E725" s="5" t="s">
        <v>45</v>
      </c>
      <c r="F725" s="6" t="s">
        <v>763</v>
      </c>
      <c r="G725" s="7">
        <v>45033.0</v>
      </c>
      <c r="H725" s="8">
        <f t="shared" si="1"/>
        <v>17</v>
      </c>
      <c r="I725" s="9">
        <f t="shared" si="2"/>
        <v>4</v>
      </c>
      <c r="J725" s="9">
        <f t="shared" si="3"/>
        <v>2023</v>
      </c>
    </row>
    <row r="726" ht="15.75" customHeight="1">
      <c r="A726" s="5">
        <v>37.0</v>
      </c>
      <c r="B726" s="10" t="s">
        <v>759</v>
      </c>
      <c r="C726" s="3" t="s">
        <v>760</v>
      </c>
      <c r="D726" s="4" t="s">
        <v>3</v>
      </c>
      <c r="E726" s="5" t="s">
        <v>9</v>
      </c>
      <c r="F726" s="6" t="s">
        <v>764</v>
      </c>
      <c r="G726" s="7">
        <v>45042.0</v>
      </c>
      <c r="H726" s="8">
        <f t="shared" si="1"/>
        <v>26</v>
      </c>
      <c r="I726" s="9">
        <f t="shared" si="2"/>
        <v>4</v>
      </c>
      <c r="J726" s="9">
        <f t="shared" si="3"/>
        <v>2023</v>
      </c>
    </row>
    <row r="727" ht="15.75" customHeight="1">
      <c r="A727" s="5">
        <v>37.0</v>
      </c>
      <c r="B727" s="10" t="s">
        <v>759</v>
      </c>
      <c r="C727" s="3" t="s">
        <v>760</v>
      </c>
      <c r="D727" s="4" t="s">
        <v>8</v>
      </c>
      <c r="E727" s="5" t="s">
        <v>6</v>
      </c>
      <c r="F727" s="6" t="s">
        <v>765</v>
      </c>
      <c r="G727" s="7">
        <v>45049.0</v>
      </c>
      <c r="H727" s="8">
        <f t="shared" si="1"/>
        <v>3</v>
      </c>
      <c r="I727" s="9">
        <f t="shared" si="2"/>
        <v>5</v>
      </c>
      <c r="J727" s="9">
        <f t="shared" si="3"/>
        <v>2023</v>
      </c>
    </row>
    <row r="728" ht="15.75" customHeight="1">
      <c r="A728" s="5">
        <v>37.0</v>
      </c>
      <c r="B728" s="10" t="s">
        <v>759</v>
      </c>
      <c r="C728" s="3" t="s">
        <v>760</v>
      </c>
      <c r="D728" s="4" t="s">
        <v>8</v>
      </c>
      <c r="E728" s="5" t="s">
        <v>17</v>
      </c>
      <c r="F728" s="6" t="s">
        <v>766</v>
      </c>
      <c r="G728" s="7">
        <v>45062.0</v>
      </c>
      <c r="H728" s="8">
        <f t="shared" si="1"/>
        <v>16</v>
      </c>
      <c r="I728" s="9">
        <f t="shared" si="2"/>
        <v>5</v>
      </c>
      <c r="J728" s="9">
        <f t="shared" si="3"/>
        <v>2023</v>
      </c>
    </row>
    <row r="729" ht="15.75" customHeight="1">
      <c r="A729" s="5">
        <v>37.0</v>
      </c>
      <c r="B729" s="10" t="s">
        <v>759</v>
      </c>
      <c r="C729" s="3" t="s">
        <v>760</v>
      </c>
      <c r="D729" s="4" t="s">
        <v>3</v>
      </c>
      <c r="E729" s="5" t="s">
        <v>35</v>
      </c>
      <c r="F729" s="6" t="s">
        <v>767</v>
      </c>
      <c r="G729" s="7">
        <v>45069.0</v>
      </c>
      <c r="H729" s="8">
        <f t="shared" si="1"/>
        <v>23</v>
      </c>
      <c r="I729" s="9">
        <f t="shared" si="2"/>
        <v>5</v>
      </c>
      <c r="J729" s="9">
        <f t="shared" si="3"/>
        <v>2023</v>
      </c>
    </row>
    <row r="730" ht="15.75" customHeight="1">
      <c r="A730" s="5">
        <v>37.0</v>
      </c>
      <c r="B730" s="10" t="s">
        <v>759</v>
      </c>
      <c r="C730" s="3" t="s">
        <v>760</v>
      </c>
      <c r="D730" s="4" t="s">
        <v>3</v>
      </c>
      <c r="E730" s="5" t="s">
        <v>9</v>
      </c>
      <c r="F730" s="6" t="s">
        <v>768</v>
      </c>
      <c r="G730" s="7">
        <v>45081.0</v>
      </c>
      <c r="H730" s="8">
        <f t="shared" si="1"/>
        <v>4</v>
      </c>
      <c r="I730" s="9">
        <f t="shared" si="2"/>
        <v>6</v>
      </c>
      <c r="J730" s="9">
        <f t="shared" si="3"/>
        <v>2023</v>
      </c>
    </row>
    <row r="731" ht="15.75" customHeight="1">
      <c r="A731" s="5">
        <v>37.0</v>
      </c>
      <c r="B731" s="10" t="s">
        <v>759</v>
      </c>
      <c r="C731" s="3" t="s">
        <v>760</v>
      </c>
      <c r="D731" s="4" t="s">
        <v>3</v>
      </c>
      <c r="E731" s="5" t="s">
        <v>39</v>
      </c>
      <c r="F731" s="6" t="s">
        <v>769</v>
      </c>
      <c r="G731" s="7">
        <v>45088.0</v>
      </c>
      <c r="H731" s="8">
        <f t="shared" si="1"/>
        <v>11</v>
      </c>
      <c r="I731" s="9">
        <f t="shared" si="2"/>
        <v>6</v>
      </c>
      <c r="J731" s="9">
        <f t="shared" si="3"/>
        <v>2023</v>
      </c>
    </row>
    <row r="732" ht="15.75" customHeight="1">
      <c r="A732" s="5">
        <v>37.0</v>
      </c>
      <c r="B732" s="10" t="s">
        <v>759</v>
      </c>
      <c r="C732" s="3" t="s">
        <v>760</v>
      </c>
      <c r="D732" s="4" t="s">
        <v>3</v>
      </c>
      <c r="E732" s="5" t="s">
        <v>13</v>
      </c>
      <c r="F732" s="6" t="s">
        <v>672</v>
      </c>
      <c r="G732" s="7">
        <v>45095.0</v>
      </c>
      <c r="H732" s="8">
        <f t="shared" si="1"/>
        <v>18</v>
      </c>
      <c r="I732" s="9">
        <f t="shared" si="2"/>
        <v>6</v>
      </c>
      <c r="J732" s="9">
        <f t="shared" si="3"/>
        <v>2023</v>
      </c>
    </row>
    <row r="733" ht="15.75" customHeight="1">
      <c r="A733" s="5">
        <v>37.0</v>
      </c>
      <c r="B733" s="10" t="s">
        <v>759</v>
      </c>
      <c r="C733" s="3" t="s">
        <v>760</v>
      </c>
      <c r="D733" s="4" t="s">
        <v>8</v>
      </c>
      <c r="E733" s="5" t="s">
        <v>6</v>
      </c>
      <c r="F733" s="6" t="s">
        <v>770</v>
      </c>
      <c r="G733" s="7">
        <v>45154.0</v>
      </c>
      <c r="H733" s="8">
        <f t="shared" si="1"/>
        <v>16</v>
      </c>
      <c r="I733" s="9">
        <f t="shared" si="2"/>
        <v>8</v>
      </c>
      <c r="J733" s="9">
        <f t="shared" si="3"/>
        <v>2023</v>
      </c>
    </row>
    <row r="734" ht="15.75" customHeight="1">
      <c r="A734" s="5">
        <v>37.0</v>
      </c>
      <c r="B734" s="10" t="s">
        <v>759</v>
      </c>
      <c r="C734" s="3" t="s">
        <v>760</v>
      </c>
      <c r="D734" s="4" t="s">
        <v>8</v>
      </c>
      <c r="E734" s="5" t="s">
        <v>9</v>
      </c>
      <c r="F734" s="6" t="s">
        <v>771</v>
      </c>
      <c r="G734" s="7">
        <v>45172.0</v>
      </c>
      <c r="H734" s="8">
        <f t="shared" si="1"/>
        <v>3</v>
      </c>
      <c r="I734" s="9">
        <f t="shared" si="2"/>
        <v>9</v>
      </c>
      <c r="J734" s="9">
        <f t="shared" si="3"/>
        <v>2023</v>
      </c>
    </row>
    <row r="735" ht="15.75" customHeight="1">
      <c r="A735" s="5">
        <v>37.0</v>
      </c>
      <c r="B735" s="10" t="s">
        <v>759</v>
      </c>
      <c r="C735" s="3" t="s">
        <v>760</v>
      </c>
      <c r="D735" s="4" t="s">
        <v>8</v>
      </c>
      <c r="E735" s="5" t="s">
        <v>21</v>
      </c>
      <c r="F735" s="6" t="s">
        <v>772</v>
      </c>
      <c r="G735" s="7">
        <v>45177.0</v>
      </c>
      <c r="H735" s="8">
        <f t="shared" si="1"/>
        <v>8</v>
      </c>
      <c r="I735" s="9">
        <f t="shared" si="2"/>
        <v>9</v>
      </c>
      <c r="J735" s="9">
        <f t="shared" si="3"/>
        <v>2023</v>
      </c>
    </row>
    <row r="736" ht="15.75" customHeight="1">
      <c r="A736" s="5">
        <v>37.0</v>
      </c>
      <c r="B736" s="10" t="s">
        <v>759</v>
      </c>
      <c r="C736" s="3" t="s">
        <v>760</v>
      </c>
      <c r="D736" s="4" t="s">
        <v>8</v>
      </c>
      <c r="E736" s="5" t="s">
        <v>4</v>
      </c>
      <c r="F736" s="6" t="s">
        <v>773</v>
      </c>
      <c r="G736" s="7">
        <v>45180.0</v>
      </c>
      <c r="H736" s="8">
        <f t="shared" si="1"/>
        <v>11</v>
      </c>
      <c r="I736" s="9">
        <f t="shared" si="2"/>
        <v>9</v>
      </c>
      <c r="J736" s="9">
        <f t="shared" si="3"/>
        <v>2023</v>
      </c>
    </row>
    <row r="737" ht="15.75" customHeight="1">
      <c r="A737" s="5">
        <v>37.0</v>
      </c>
      <c r="B737" s="10" t="s">
        <v>759</v>
      </c>
      <c r="C737" s="3" t="s">
        <v>760</v>
      </c>
      <c r="D737" s="4" t="s">
        <v>3</v>
      </c>
      <c r="E737" s="5" t="s">
        <v>51</v>
      </c>
      <c r="F737" s="6" t="s">
        <v>774</v>
      </c>
      <c r="G737" s="7">
        <v>45217.0</v>
      </c>
      <c r="H737" s="8">
        <f t="shared" si="1"/>
        <v>18</v>
      </c>
      <c r="I737" s="9">
        <f t="shared" si="2"/>
        <v>10</v>
      </c>
      <c r="J737" s="9">
        <f t="shared" si="3"/>
        <v>2023</v>
      </c>
    </row>
    <row r="738" ht="15.75" customHeight="1">
      <c r="A738" s="5">
        <v>37.0</v>
      </c>
      <c r="B738" s="10" t="s">
        <v>759</v>
      </c>
      <c r="C738" s="3" t="s">
        <v>760</v>
      </c>
      <c r="D738" s="4" t="s">
        <v>8</v>
      </c>
      <c r="E738" s="5" t="s">
        <v>9</v>
      </c>
      <c r="F738" s="6" t="s">
        <v>775</v>
      </c>
      <c r="G738" s="7">
        <v>45255.0</v>
      </c>
      <c r="H738" s="8">
        <f t="shared" si="1"/>
        <v>25</v>
      </c>
      <c r="I738" s="9">
        <f t="shared" si="2"/>
        <v>11</v>
      </c>
      <c r="J738" s="9">
        <f t="shared" si="3"/>
        <v>2023</v>
      </c>
    </row>
    <row r="739" ht="15.75" customHeight="1">
      <c r="A739" s="5">
        <v>37.0</v>
      </c>
      <c r="B739" s="10" t="s">
        <v>759</v>
      </c>
      <c r="C739" s="3" t="s">
        <v>760</v>
      </c>
      <c r="D739" s="4" t="s">
        <v>3</v>
      </c>
      <c r="E739" s="5" t="s">
        <v>13</v>
      </c>
      <c r="F739" s="6" t="s">
        <v>776</v>
      </c>
      <c r="G739" s="7">
        <v>45265.0</v>
      </c>
      <c r="H739" s="8">
        <f t="shared" si="1"/>
        <v>5</v>
      </c>
      <c r="I739" s="9">
        <f t="shared" si="2"/>
        <v>12</v>
      </c>
      <c r="J739" s="9">
        <f t="shared" si="3"/>
        <v>2023</v>
      </c>
    </row>
    <row r="740" ht="15.75" customHeight="1">
      <c r="A740" s="5">
        <v>37.0</v>
      </c>
      <c r="B740" s="10" t="s">
        <v>759</v>
      </c>
      <c r="C740" s="3" t="s">
        <v>760</v>
      </c>
      <c r="D740" s="4" t="s">
        <v>3</v>
      </c>
      <c r="E740" s="5" t="s">
        <v>6</v>
      </c>
      <c r="F740" s="6" t="s">
        <v>777</v>
      </c>
      <c r="G740" s="7">
        <v>45284.0</v>
      </c>
      <c r="H740" s="8">
        <f t="shared" si="1"/>
        <v>24</v>
      </c>
      <c r="I740" s="9">
        <f t="shared" si="2"/>
        <v>12</v>
      </c>
      <c r="J740" s="9">
        <f t="shared" si="3"/>
        <v>2023</v>
      </c>
    </row>
    <row r="741" ht="15.75" customHeight="1">
      <c r="A741" s="5">
        <v>38.0</v>
      </c>
      <c r="B741" s="10" t="s">
        <v>778</v>
      </c>
      <c r="C741" s="3" t="s">
        <v>779</v>
      </c>
      <c r="D741" s="4" t="s">
        <v>3</v>
      </c>
      <c r="E741" s="5" t="s">
        <v>39</v>
      </c>
      <c r="F741" s="6" t="s">
        <v>780</v>
      </c>
      <c r="G741" s="7">
        <v>44934.0</v>
      </c>
      <c r="H741" s="8">
        <f t="shared" si="1"/>
        <v>8</v>
      </c>
      <c r="I741" s="9">
        <f t="shared" si="2"/>
        <v>1</v>
      </c>
      <c r="J741" s="9">
        <f t="shared" si="3"/>
        <v>2023</v>
      </c>
    </row>
    <row r="742" ht="15.75" customHeight="1">
      <c r="A742" s="5">
        <v>38.0</v>
      </c>
      <c r="B742" s="10" t="s">
        <v>778</v>
      </c>
      <c r="C742" s="3" t="s">
        <v>779</v>
      </c>
      <c r="D742" s="4" t="s">
        <v>8</v>
      </c>
      <c r="E742" s="5" t="s">
        <v>11</v>
      </c>
      <c r="F742" s="6" t="s">
        <v>212</v>
      </c>
      <c r="G742" s="7">
        <v>44950.0</v>
      </c>
      <c r="H742" s="8">
        <f t="shared" si="1"/>
        <v>24</v>
      </c>
      <c r="I742" s="9">
        <f t="shared" si="2"/>
        <v>1</v>
      </c>
      <c r="J742" s="9">
        <f t="shared" si="3"/>
        <v>2023</v>
      </c>
    </row>
    <row r="743" ht="15.75" customHeight="1">
      <c r="A743" s="5">
        <v>38.0</v>
      </c>
      <c r="B743" s="10" t="s">
        <v>778</v>
      </c>
      <c r="C743" s="3" t="s">
        <v>779</v>
      </c>
      <c r="D743" s="4" t="s">
        <v>8</v>
      </c>
      <c r="E743" s="5" t="s">
        <v>71</v>
      </c>
      <c r="F743" s="6" t="s">
        <v>781</v>
      </c>
      <c r="G743" s="7">
        <v>44959.0</v>
      </c>
      <c r="H743" s="8">
        <f t="shared" si="1"/>
        <v>2</v>
      </c>
      <c r="I743" s="9">
        <f t="shared" si="2"/>
        <v>2</v>
      </c>
      <c r="J743" s="9">
        <f t="shared" si="3"/>
        <v>2023</v>
      </c>
    </row>
    <row r="744" ht="15.75" customHeight="1">
      <c r="A744" s="5">
        <v>38.0</v>
      </c>
      <c r="B744" s="10" t="s">
        <v>778</v>
      </c>
      <c r="C744" s="3" t="s">
        <v>779</v>
      </c>
      <c r="D744" s="4" t="s">
        <v>8</v>
      </c>
      <c r="E744" s="5" t="s">
        <v>11</v>
      </c>
      <c r="F744" s="6" t="s">
        <v>782</v>
      </c>
      <c r="G744" s="7">
        <v>44969.0</v>
      </c>
      <c r="H744" s="8">
        <f t="shared" si="1"/>
        <v>12</v>
      </c>
      <c r="I744" s="9">
        <f t="shared" si="2"/>
        <v>2</v>
      </c>
      <c r="J744" s="9">
        <f t="shared" si="3"/>
        <v>2023</v>
      </c>
    </row>
    <row r="745" ht="15.75" customHeight="1">
      <c r="A745" s="5">
        <v>38.0</v>
      </c>
      <c r="B745" s="10" t="s">
        <v>778</v>
      </c>
      <c r="C745" s="3" t="s">
        <v>779</v>
      </c>
      <c r="D745" s="4" t="s">
        <v>8</v>
      </c>
      <c r="E745" s="5" t="s">
        <v>6</v>
      </c>
      <c r="F745" s="6" t="s">
        <v>783</v>
      </c>
      <c r="G745" s="7">
        <v>44971.0</v>
      </c>
      <c r="H745" s="8">
        <f t="shared" si="1"/>
        <v>14</v>
      </c>
      <c r="I745" s="9">
        <f t="shared" si="2"/>
        <v>2</v>
      </c>
      <c r="J745" s="9">
        <f t="shared" si="3"/>
        <v>2023</v>
      </c>
    </row>
    <row r="746" ht="15.75" customHeight="1">
      <c r="A746" s="5">
        <v>38.0</v>
      </c>
      <c r="B746" s="10" t="s">
        <v>778</v>
      </c>
      <c r="C746" s="3" t="s">
        <v>779</v>
      </c>
      <c r="D746" s="4" t="s">
        <v>8</v>
      </c>
      <c r="E746" s="5" t="s">
        <v>51</v>
      </c>
      <c r="F746" s="6" t="s">
        <v>784</v>
      </c>
      <c r="G746" s="7">
        <v>44977.0</v>
      </c>
      <c r="H746" s="8">
        <f t="shared" si="1"/>
        <v>20</v>
      </c>
      <c r="I746" s="9">
        <f t="shared" si="2"/>
        <v>2</v>
      </c>
      <c r="J746" s="9">
        <f t="shared" si="3"/>
        <v>2023</v>
      </c>
    </row>
    <row r="747" ht="15.75" customHeight="1">
      <c r="A747" s="5">
        <v>38.0</v>
      </c>
      <c r="B747" s="10" t="s">
        <v>778</v>
      </c>
      <c r="C747" s="3" t="s">
        <v>779</v>
      </c>
      <c r="D747" s="4" t="s">
        <v>3</v>
      </c>
      <c r="E747" s="5" t="s">
        <v>71</v>
      </c>
      <c r="F747" s="6" t="s">
        <v>785</v>
      </c>
      <c r="G747" s="7">
        <v>45009.0</v>
      </c>
      <c r="H747" s="8">
        <f t="shared" si="1"/>
        <v>24</v>
      </c>
      <c r="I747" s="9">
        <f t="shared" si="2"/>
        <v>3</v>
      </c>
      <c r="J747" s="9">
        <f t="shared" si="3"/>
        <v>2023</v>
      </c>
    </row>
    <row r="748" ht="15.75" customHeight="1">
      <c r="A748" s="5">
        <v>38.0</v>
      </c>
      <c r="B748" s="10" t="s">
        <v>778</v>
      </c>
      <c r="C748" s="3" t="s">
        <v>779</v>
      </c>
      <c r="D748" s="4" t="s">
        <v>8</v>
      </c>
      <c r="E748" s="5" t="s">
        <v>15</v>
      </c>
      <c r="F748" s="6" t="s">
        <v>786</v>
      </c>
      <c r="G748" s="7">
        <v>45029.0</v>
      </c>
      <c r="H748" s="8">
        <f t="shared" si="1"/>
        <v>13</v>
      </c>
      <c r="I748" s="9">
        <f t="shared" si="2"/>
        <v>4</v>
      </c>
      <c r="J748" s="9">
        <f t="shared" si="3"/>
        <v>2023</v>
      </c>
    </row>
    <row r="749" ht="15.75" customHeight="1">
      <c r="A749" s="5">
        <v>38.0</v>
      </c>
      <c r="B749" s="10" t="s">
        <v>778</v>
      </c>
      <c r="C749" s="3" t="s">
        <v>779</v>
      </c>
      <c r="D749" s="4" t="s">
        <v>3</v>
      </c>
      <c r="E749" s="5" t="s">
        <v>23</v>
      </c>
      <c r="F749" s="6" t="s">
        <v>787</v>
      </c>
      <c r="G749" s="7">
        <v>45086.0</v>
      </c>
      <c r="H749" s="8">
        <f t="shared" si="1"/>
        <v>9</v>
      </c>
      <c r="I749" s="9">
        <f t="shared" si="2"/>
        <v>6</v>
      </c>
      <c r="J749" s="9">
        <f t="shared" si="3"/>
        <v>2023</v>
      </c>
    </row>
    <row r="750" ht="15.75" customHeight="1">
      <c r="A750" s="5">
        <v>38.0</v>
      </c>
      <c r="B750" s="10" t="s">
        <v>778</v>
      </c>
      <c r="C750" s="3" t="s">
        <v>779</v>
      </c>
      <c r="D750" s="4" t="s">
        <v>8</v>
      </c>
      <c r="E750" s="5" t="s">
        <v>13</v>
      </c>
      <c r="F750" s="6" t="s">
        <v>788</v>
      </c>
      <c r="G750" s="7">
        <v>45108.0</v>
      </c>
      <c r="H750" s="8">
        <f t="shared" si="1"/>
        <v>1</v>
      </c>
      <c r="I750" s="9">
        <f t="shared" si="2"/>
        <v>7</v>
      </c>
      <c r="J750" s="9">
        <f t="shared" si="3"/>
        <v>2023</v>
      </c>
    </row>
    <row r="751" ht="15.75" customHeight="1">
      <c r="A751" s="5">
        <v>38.0</v>
      </c>
      <c r="B751" s="10" t="s">
        <v>778</v>
      </c>
      <c r="C751" s="3" t="s">
        <v>779</v>
      </c>
      <c r="D751" s="4" t="s">
        <v>3</v>
      </c>
      <c r="E751" s="5" t="s">
        <v>17</v>
      </c>
      <c r="F751" s="6" t="s">
        <v>789</v>
      </c>
      <c r="G751" s="7">
        <v>45115.0</v>
      </c>
      <c r="H751" s="8">
        <f t="shared" si="1"/>
        <v>8</v>
      </c>
      <c r="I751" s="9">
        <f t="shared" si="2"/>
        <v>7</v>
      </c>
      <c r="J751" s="9">
        <f t="shared" si="3"/>
        <v>2023</v>
      </c>
    </row>
    <row r="752" ht="15.75" customHeight="1">
      <c r="A752" s="5">
        <v>38.0</v>
      </c>
      <c r="B752" s="10" t="s">
        <v>778</v>
      </c>
      <c r="C752" s="3" t="s">
        <v>779</v>
      </c>
      <c r="D752" s="4" t="s">
        <v>8</v>
      </c>
      <c r="E752" s="5" t="s">
        <v>51</v>
      </c>
      <c r="F752" s="6" t="s">
        <v>790</v>
      </c>
      <c r="G752" s="7">
        <v>45119.0</v>
      </c>
      <c r="H752" s="8">
        <f t="shared" si="1"/>
        <v>12</v>
      </c>
      <c r="I752" s="9">
        <f t="shared" si="2"/>
        <v>7</v>
      </c>
      <c r="J752" s="9">
        <f t="shared" si="3"/>
        <v>2023</v>
      </c>
    </row>
    <row r="753" ht="15.75" customHeight="1">
      <c r="A753" s="5">
        <v>38.0</v>
      </c>
      <c r="B753" s="10" t="s">
        <v>778</v>
      </c>
      <c r="C753" s="3" t="s">
        <v>779</v>
      </c>
      <c r="D753" s="4" t="s">
        <v>3</v>
      </c>
      <c r="E753" s="5" t="s">
        <v>23</v>
      </c>
      <c r="F753" s="6" t="s">
        <v>392</v>
      </c>
      <c r="G753" s="7">
        <v>45140.0</v>
      </c>
      <c r="H753" s="8">
        <f t="shared" si="1"/>
        <v>2</v>
      </c>
      <c r="I753" s="9">
        <f t="shared" si="2"/>
        <v>8</v>
      </c>
      <c r="J753" s="9">
        <f t="shared" si="3"/>
        <v>2023</v>
      </c>
    </row>
    <row r="754" ht="15.75" customHeight="1">
      <c r="A754" s="5">
        <v>38.0</v>
      </c>
      <c r="B754" s="10" t="s">
        <v>778</v>
      </c>
      <c r="C754" s="3" t="s">
        <v>779</v>
      </c>
      <c r="D754" s="4" t="s">
        <v>3</v>
      </c>
      <c r="E754" s="5" t="s">
        <v>15</v>
      </c>
      <c r="F754" s="6" t="s">
        <v>791</v>
      </c>
      <c r="G754" s="7">
        <v>45144.0</v>
      </c>
      <c r="H754" s="8">
        <f t="shared" si="1"/>
        <v>6</v>
      </c>
      <c r="I754" s="9">
        <f t="shared" si="2"/>
        <v>8</v>
      </c>
      <c r="J754" s="9">
        <f t="shared" si="3"/>
        <v>2023</v>
      </c>
    </row>
    <row r="755" ht="15.75" customHeight="1">
      <c r="A755" s="5">
        <v>38.0</v>
      </c>
      <c r="B755" s="10" t="s">
        <v>778</v>
      </c>
      <c r="C755" s="3" t="s">
        <v>779</v>
      </c>
      <c r="D755" s="4" t="s">
        <v>3</v>
      </c>
      <c r="E755" s="5" t="s">
        <v>76</v>
      </c>
      <c r="F755" s="6" t="s">
        <v>102</v>
      </c>
      <c r="G755" s="7">
        <v>45182.0</v>
      </c>
      <c r="H755" s="8">
        <f t="shared" si="1"/>
        <v>13</v>
      </c>
      <c r="I755" s="9">
        <f t="shared" si="2"/>
        <v>9</v>
      </c>
      <c r="J755" s="9">
        <f t="shared" si="3"/>
        <v>2023</v>
      </c>
    </row>
    <row r="756" ht="15.75" customHeight="1">
      <c r="A756" s="5">
        <v>38.0</v>
      </c>
      <c r="B756" s="10" t="s">
        <v>778</v>
      </c>
      <c r="C756" s="3" t="s">
        <v>779</v>
      </c>
      <c r="D756" s="4" t="s">
        <v>8</v>
      </c>
      <c r="E756" s="5" t="s">
        <v>13</v>
      </c>
      <c r="F756" s="6" t="s">
        <v>414</v>
      </c>
      <c r="G756" s="7">
        <v>45204.0</v>
      </c>
      <c r="H756" s="8">
        <f t="shared" si="1"/>
        <v>5</v>
      </c>
      <c r="I756" s="9">
        <f t="shared" si="2"/>
        <v>10</v>
      </c>
      <c r="J756" s="9">
        <f t="shared" si="3"/>
        <v>2023</v>
      </c>
    </row>
    <row r="757" ht="15.75" customHeight="1">
      <c r="A757" s="5">
        <v>38.0</v>
      </c>
      <c r="B757" s="10" t="s">
        <v>778</v>
      </c>
      <c r="C757" s="3" t="s">
        <v>779</v>
      </c>
      <c r="D757" s="4" t="s">
        <v>8</v>
      </c>
      <c r="E757" s="5" t="s">
        <v>96</v>
      </c>
      <c r="F757" s="6" t="s">
        <v>792</v>
      </c>
      <c r="G757" s="7">
        <v>45211.0</v>
      </c>
      <c r="H757" s="8">
        <f t="shared" si="1"/>
        <v>12</v>
      </c>
      <c r="I757" s="9">
        <f t="shared" si="2"/>
        <v>10</v>
      </c>
      <c r="J757" s="9">
        <f t="shared" si="3"/>
        <v>2023</v>
      </c>
    </row>
    <row r="758" ht="15.75" customHeight="1">
      <c r="A758" s="5">
        <v>38.0</v>
      </c>
      <c r="B758" s="10" t="s">
        <v>778</v>
      </c>
      <c r="C758" s="3" t="s">
        <v>779</v>
      </c>
      <c r="D758" s="4" t="s">
        <v>3</v>
      </c>
      <c r="E758" s="5" t="s">
        <v>11</v>
      </c>
      <c r="F758" s="6" t="s">
        <v>793</v>
      </c>
      <c r="G758" s="7">
        <v>45245.0</v>
      </c>
      <c r="H758" s="8">
        <f t="shared" si="1"/>
        <v>15</v>
      </c>
      <c r="I758" s="9">
        <f t="shared" si="2"/>
        <v>11</v>
      </c>
      <c r="J758" s="9">
        <f t="shared" si="3"/>
        <v>2023</v>
      </c>
    </row>
    <row r="759" ht="15.75" customHeight="1">
      <c r="A759" s="5">
        <v>38.0</v>
      </c>
      <c r="B759" s="10" t="s">
        <v>778</v>
      </c>
      <c r="C759" s="3" t="s">
        <v>779</v>
      </c>
      <c r="D759" s="4" t="s">
        <v>3</v>
      </c>
      <c r="E759" s="5" t="s">
        <v>76</v>
      </c>
      <c r="F759" s="6" t="s">
        <v>794</v>
      </c>
      <c r="G759" s="7">
        <v>45254.0</v>
      </c>
      <c r="H759" s="8">
        <f t="shared" si="1"/>
        <v>24</v>
      </c>
      <c r="I759" s="9">
        <f t="shared" si="2"/>
        <v>11</v>
      </c>
      <c r="J759" s="9">
        <f t="shared" si="3"/>
        <v>2023</v>
      </c>
    </row>
    <row r="760" ht="15.75" customHeight="1">
      <c r="A760" s="5">
        <v>38.0</v>
      </c>
      <c r="B760" s="10" t="s">
        <v>778</v>
      </c>
      <c r="C760" s="3" t="s">
        <v>779</v>
      </c>
      <c r="D760" s="4" t="s">
        <v>8</v>
      </c>
      <c r="E760" s="5" t="s">
        <v>28</v>
      </c>
      <c r="F760" s="6" t="s">
        <v>795</v>
      </c>
      <c r="G760" s="7">
        <v>45284.0</v>
      </c>
      <c r="H760" s="8">
        <f t="shared" si="1"/>
        <v>24</v>
      </c>
      <c r="I760" s="9">
        <f t="shared" si="2"/>
        <v>12</v>
      </c>
      <c r="J760" s="9">
        <f t="shared" si="3"/>
        <v>2023</v>
      </c>
    </row>
    <row r="761" ht="15.75" customHeight="1">
      <c r="A761" s="5">
        <v>39.0</v>
      </c>
      <c r="B761" s="10" t="s">
        <v>796</v>
      </c>
      <c r="C761" s="3" t="s">
        <v>797</v>
      </c>
      <c r="D761" s="4" t="s">
        <v>3</v>
      </c>
      <c r="E761" s="5" t="s">
        <v>6</v>
      </c>
      <c r="F761" s="6" t="s">
        <v>798</v>
      </c>
      <c r="G761" s="7">
        <v>44931.0</v>
      </c>
      <c r="H761" s="8">
        <f t="shared" si="1"/>
        <v>5</v>
      </c>
      <c r="I761" s="9">
        <f t="shared" si="2"/>
        <v>1</v>
      </c>
      <c r="J761" s="9">
        <f t="shared" si="3"/>
        <v>2023</v>
      </c>
    </row>
    <row r="762" ht="15.75" customHeight="1">
      <c r="A762" s="5">
        <v>39.0</v>
      </c>
      <c r="B762" s="10" t="s">
        <v>796</v>
      </c>
      <c r="C762" s="3" t="s">
        <v>797</v>
      </c>
      <c r="D762" s="4" t="s">
        <v>3</v>
      </c>
      <c r="E762" s="5" t="s">
        <v>35</v>
      </c>
      <c r="F762" s="6" t="s">
        <v>799</v>
      </c>
      <c r="G762" s="7">
        <v>44931.0</v>
      </c>
      <c r="H762" s="8">
        <f t="shared" si="1"/>
        <v>5</v>
      </c>
      <c r="I762" s="9">
        <f t="shared" si="2"/>
        <v>1</v>
      </c>
      <c r="J762" s="9">
        <f t="shared" si="3"/>
        <v>2023</v>
      </c>
    </row>
    <row r="763" ht="15.75" customHeight="1">
      <c r="A763" s="5">
        <v>39.0</v>
      </c>
      <c r="B763" s="10" t="s">
        <v>796</v>
      </c>
      <c r="C763" s="3" t="s">
        <v>797</v>
      </c>
      <c r="D763" s="4" t="s">
        <v>8</v>
      </c>
      <c r="E763" s="5" t="s">
        <v>19</v>
      </c>
      <c r="F763" s="6" t="s">
        <v>800</v>
      </c>
      <c r="G763" s="7">
        <v>44953.0</v>
      </c>
      <c r="H763" s="8">
        <f t="shared" si="1"/>
        <v>27</v>
      </c>
      <c r="I763" s="9">
        <f t="shared" si="2"/>
        <v>1</v>
      </c>
      <c r="J763" s="9">
        <f t="shared" si="3"/>
        <v>2023</v>
      </c>
    </row>
    <row r="764" ht="15.75" customHeight="1">
      <c r="A764" s="5">
        <v>39.0</v>
      </c>
      <c r="B764" s="10" t="s">
        <v>796</v>
      </c>
      <c r="C764" s="3" t="s">
        <v>797</v>
      </c>
      <c r="D764" s="4" t="s">
        <v>8</v>
      </c>
      <c r="E764" s="5" t="s">
        <v>51</v>
      </c>
      <c r="F764" s="6" t="s">
        <v>801</v>
      </c>
      <c r="G764" s="7">
        <v>44963.0</v>
      </c>
      <c r="H764" s="8">
        <f t="shared" si="1"/>
        <v>6</v>
      </c>
      <c r="I764" s="9">
        <f t="shared" si="2"/>
        <v>2</v>
      </c>
      <c r="J764" s="9">
        <f t="shared" si="3"/>
        <v>2023</v>
      </c>
    </row>
    <row r="765" ht="15.75" customHeight="1">
      <c r="A765" s="5">
        <v>39.0</v>
      </c>
      <c r="B765" s="10" t="s">
        <v>796</v>
      </c>
      <c r="C765" s="3" t="s">
        <v>797</v>
      </c>
      <c r="D765" s="4" t="s">
        <v>3</v>
      </c>
      <c r="E765" s="5" t="s">
        <v>28</v>
      </c>
      <c r="F765" s="6" t="s">
        <v>190</v>
      </c>
      <c r="G765" s="7">
        <v>44976.0</v>
      </c>
      <c r="H765" s="8">
        <f t="shared" si="1"/>
        <v>19</v>
      </c>
      <c r="I765" s="9">
        <f t="shared" si="2"/>
        <v>2</v>
      </c>
      <c r="J765" s="9">
        <f t="shared" si="3"/>
        <v>2023</v>
      </c>
    </row>
    <row r="766" ht="15.75" customHeight="1">
      <c r="A766" s="5">
        <v>39.0</v>
      </c>
      <c r="B766" s="10" t="s">
        <v>796</v>
      </c>
      <c r="C766" s="3" t="s">
        <v>797</v>
      </c>
      <c r="D766" s="4" t="s">
        <v>8</v>
      </c>
      <c r="E766" s="5" t="s">
        <v>23</v>
      </c>
      <c r="F766" s="6" t="s">
        <v>77</v>
      </c>
      <c r="G766" s="7">
        <v>44986.0</v>
      </c>
      <c r="H766" s="8">
        <f t="shared" si="1"/>
        <v>1</v>
      </c>
      <c r="I766" s="9">
        <f t="shared" si="2"/>
        <v>3</v>
      </c>
      <c r="J766" s="9">
        <f t="shared" si="3"/>
        <v>2023</v>
      </c>
    </row>
    <row r="767" ht="15.75" customHeight="1">
      <c r="A767" s="5">
        <v>39.0</v>
      </c>
      <c r="B767" s="10" t="s">
        <v>796</v>
      </c>
      <c r="C767" s="3" t="s">
        <v>797</v>
      </c>
      <c r="D767" s="4" t="s">
        <v>3</v>
      </c>
      <c r="E767" s="5" t="s">
        <v>19</v>
      </c>
      <c r="F767" s="6" t="s">
        <v>802</v>
      </c>
      <c r="G767" s="7">
        <v>44997.0</v>
      </c>
      <c r="H767" s="8">
        <f t="shared" si="1"/>
        <v>12</v>
      </c>
      <c r="I767" s="9">
        <f t="shared" si="2"/>
        <v>3</v>
      </c>
      <c r="J767" s="9">
        <f t="shared" si="3"/>
        <v>2023</v>
      </c>
    </row>
    <row r="768" ht="15.75" customHeight="1">
      <c r="A768" s="5">
        <v>39.0</v>
      </c>
      <c r="B768" s="10" t="s">
        <v>796</v>
      </c>
      <c r="C768" s="3" t="s">
        <v>797</v>
      </c>
      <c r="D768" s="4" t="s">
        <v>3</v>
      </c>
      <c r="E768" s="5" t="s">
        <v>21</v>
      </c>
      <c r="F768" s="6" t="s">
        <v>803</v>
      </c>
      <c r="G768" s="7">
        <v>45002.0</v>
      </c>
      <c r="H768" s="8">
        <f t="shared" si="1"/>
        <v>17</v>
      </c>
      <c r="I768" s="9">
        <f t="shared" si="2"/>
        <v>3</v>
      </c>
      <c r="J768" s="9">
        <f t="shared" si="3"/>
        <v>2023</v>
      </c>
    </row>
    <row r="769" ht="15.75" customHeight="1">
      <c r="A769" s="5">
        <v>39.0</v>
      </c>
      <c r="B769" s="10" t="s">
        <v>796</v>
      </c>
      <c r="C769" s="3" t="s">
        <v>797</v>
      </c>
      <c r="D769" s="4" t="s">
        <v>3</v>
      </c>
      <c r="E769" s="5" t="s">
        <v>45</v>
      </c>
      <c r="F769" s="6" t="s">
        <v>804</v>
      </c>
      <c r="G769" s="7">
        <v>45062.0</v>
      </c>
      <c r="H769" s="8">
        <f t="shared" si="1"/>
        <v>16</v>
      </c>
      <c r="I769" s="9">
        <f t="shared" si="2"/>
        <v>5</v>
      </c>
      <c r="J769" s="9">
        <f t="shared" si="3"/>
        <v>2023</v>
      </c>
    </row>
    <row r="770" ht="15.75" customHeight="1">
      <c r="A770" s="5">
        <v>39.0</v>
      </c>
      <c r="B770" s="10" t="s">
        <v>796</v>
      </c>
      <c r="C770" s="3" t="s">
        <v>797</v>
      </c>
      <c r="D770" s="4" t="s">
        <v>3</v>
      </c>
      <c r="E770" s="5" t="s">
        <v>76</v>
      </c>
      <c r="F770" s="6" t="s">
        <v>805</v>
      </c>
      <c r="G770" s="7">
        <v>45064.0</v>
      </c>
      <c r="H770" s="8">
        <f t="shared" si="1"/>
        <v>18</v>
      </c>
      <c r="I770" s="9">
        <f t="shared" si="2"/>
        <v>5</v>
      </c>
      <c r="J770" s="9">
        <f t="shared" si="3"/>
        <v>2023</v>
      </c>
    </row>
    <row r="771" ht="15.75" customHeight="1">
      <c r="A771" s="5">
        <v>39.0</v>
      </c>
      <c r="B771" s="10" t="s">
        <v>796</v>
      </c>
      <c r="C771" s="3" t="s">
        <v>797</v>
      </c>
      <c r="D771" s="4" t="s">
        <v>8</v>
      </c>
      <c r="E771" s="5" t="s">
        <v>96</v>
      </c>
      <c r="F771" s="6" t="s">
        <v>806</v>
      </c>
      <c r="G771" s="7">
        <v>45084.0</v>
      </c>
      <c r="H771" s="8">
        <f t="shared" si="1"/>
        <v>7</v>
      </c>
      <c r="I771" s="9">
        <f t="shared" si="2"/>
        <v>6</v>
      </c>
      <c r="J771" s="9">
        <f t="shared" si="3"/>
        <v>2023</v>
      </c>
    </row>
    <row r="772" ht="15.75" customHeight="1">
      <c r="A772" s="5">
        <v>39.0</v>
      </c>
      <c r="B772" s="10" t="s">
        <v>796</v>
      </c>
      <c r="C772" s="3" t="s">
        <v>797</v>
      </c>
      <c r="D772" s="4" t="s">
        <v>8</v>
      </c>
      <c r="E772" s="5" t="s">
        <v>76</v>
      </c>
      <c r="F772" s="6" t="s">
        <v>807</v>
      </c>
      <c r="G772" s="7">
        <v>45098.0</v>
      </c>
      <c r="H772" s="8">
        <f t="shared" si="1"/>
        <v>21</v>
      </c>
      <c r="I772" s="9">
        <f t="shared" si="2"/>
        <v>6</v>
      </c>
      <c r="J772" s="9">
        <f t="shared" si="3"/>
        <v>2023</v>
      </c>
    </row>
    <row r="773" ht="15.75" customHeight="1">
      <c r="A773" s="5">
        <v>39.0</v>
      </c>
      <c r="B773" s="10" t="s">
        <v>796</v>
      </c>
      <c r="C773" s="3" t="s">
        <v>797</v>
      </c>
      <c r="D773" s="4" t="s">
        <v>3</v>
      </c>
      <c r="E773" s="5" t="s">
        <v>42</v>
      </c>
      <c r="F773" s="6" t="s">
        <v>435</v>
      </c>
      <c r="G773" s="7">
        <v>45120.0</v>
      </c>
      <c r="H773" s="8">
        <f t="shared" si="1"/>
        <v>13</v>
      </c>
      <c r="I773" s="9">
        <f t="shared" si="2"/>
        <v>7</v>
      </c>
      <c r="J773" s="9">
        <f t="shared" si="3"/>
        <v>2023</v>
      </c>
    </row>
    <row r="774" ht="15.75" customHeight="1">
      <c r="A774" s="5">
        <v>39.0</v>
      </c>
      <c r="B774" s="10" t="s">
        <v>796</v>
      </c>
      <c r="C774" s="3" t="s">
        <v>797</v>
      </c>
      <c r="D774" s="4" t="s">
        <v>3</v>
      </c>
      <c r="E774" s="5" t="s">
        <v>28</v>
      </c>
      <c r="F774" s="6" t="s">
        <v>323</v>
      </c>
      <c r="G774" s="7">
        <v>45122.0</v>
      </c>
      <c r="H774" s="8">
        <f t="shared" si="1"/>
        <v>15</v>
      </c>
      <c r="I774" s="9">
        <f t="shared" si="2"/>
        <v>7</v>
      </c>
      <c r="J774" s="9">
        <f t="shared" si="3"/>
        <v>2023</v>
      </c>
    </row>
    <row r="775" ht="15.75" customHeight="1">
      <c r="A775" s="5">
        <v>39.0</v>
      </c>
      <c r="B775" s="10" t="s">
        <v>796</v>
      </c>
      <c r="C775" s="3" t="s">
        <v>797</v>
      </c>
      <c r="D775" s="4" t="s">
        <v>3</v>
      </c>
      <c r="E775" s="5" t="s">
        <v>71</v>
      </c>
      <c r="F775" s="6" t="s">
        <v>808</v>
      </c>
      <c r="G775" s="7">
        <v>45154.0</v>
      </c>
      <c r="H775" s="8">
        <f t="shared" si="1"/>
        <v>16</v>
      </c>
      <c r="I775" s="9">
        <f t="shared" si="2"/>
        <v>8</v>
      </c>
      <c r="J775" s="9">
        <f t="shared" si="3"/>
        <v>2023</v>
      </c>
    </row>
    <row r="776" ht="15.75" customHeight="1">
      <c r="A776" s="5">
        <v>39.0</v>
      </c>
      <c r="B776" s="10" t="s">
        <v>796</v>
      </c>
      <c r="C776" s="3" t="s">
        <v>797</v>
      </c>
      <c r="D776" s="4" t="s">
        <v>3</v>
      </c>
      <c r="E776" s="5" t="s">
        <v>96</v>
      </c>
      <c r="F776" s="6" t="s">
        <v>809</v>
      </c>
      <c r="G776" s="7">
        <v>45162.0</v>
      </c>
      <c r="H776" s="8">
        <f t="shared" si="1"/>
        <v>24</v>
      </c>
      <c r="I776" s="9">
        <f t="shared" si="2"/>
        <v>8</v>
      </c>
      <c r="J776" s="9">
        <f t="shared" si="3"/>
        <v>2023</v>
      </c>
    </row>
    <row r="777" ht="15.75" customHeight="1">
      <c r="A777" s="5">
        <v>39.0</v>
      </c>
      <c r="B777" s="10" t="s">
        <v>796</v>
      </c>
      <c r="C777" s="3" t="s">
        <v>797</v>
      </c>
      <c r="D777" s="4" t="s">
        <v>3</v>
      </c>
      <c r="E777" s="5" t="s">
        <v>51</v>
      </c>
      <c r="F777" s="6" t="s">
        <v>810</v>
      </c>
      <c r="G777" s="7">
        <v>45213.0</v>
      </c>
      <c r="H777" s="8">
        <f t="shared" si="1"/>
        <v>14</v>
      </c>
      <c r="I777" s="9">
        <f t="shared" si="2"/>
        <v>10</v>
      </c>
      <c r="J777" s="9">
        <f t="shared" si="3"/>
        <v>2023</v>
      </c>
    </row>
    <row r="778" ht="15.75" customHeight="1">
      <c r="A778" s="5">
        <v>39.0</v>
      </c>
      <c r="B778" s="10" t="s">
        <v>796</v>
      </c>
      <c r="C778" s="3" t="s">
        <v>797</v>
      </c>
      <c r="D778" s="4" t="s">
        <v>8</v>
      </c>
      <c r="E778" s="5" t="s">
        <v>51</v>
      </c>
      <c r="F778" s="6" t="s">
        <v>811</v>
      </c>
      <c r="G778" s="7">
        <v>45246.0</v>
      </c>
      <c r="H778" s="8">
        <f t="shared" si="1"/>
        <v>16</v>
      </c>
      <c r="I778" s="9">
        <f t="shared" si="2"/>
        <v>11</v>
      </c>
      <c r="J778" s="9">
        <f t="shared" si="3"/>
        <v>2023</v>
      </c>
    </row>
    <row r="779" ht="15.75" customHeight="1">
      <c r="A779" s="5">
        <v>39.0</v>
      </c>
      <c r="B779" s="10" t="s">
        <v>796</v>
      </c>
      <c r="C779" s="3" t="s">
        <v>797</v>
      </c>
      <c r="D779" s="4" t="s">
        <v>8</v>
      </c>
      <c r="E779" s="5" t="s">
        <v>71</v>
      </c>
      <c r="F779" s="6" t="s">
        <v>812</v>
      </c>
      <c r="G779" s="7">
        <v>45267.0</v>
      </c>
      <c r="H779" s="8">
        <f t="shared" si="1"/>
        <v>7</v>
      </c>
      <c r="I779" s="9">
        <f t="shared" si="2"/>
        <v>12</v>
      </c>
      <c r="J779" s="9">
        <f t="shared" si="3"/>
        <v>2023</v>
      </c>
    </row>
    <row r="780" ht="15.75" customHeight="1">
      <c r="A780" s="5">
        <v>39.0</v>
      </c>
      <c r="B780" s="10" t="s">
        <v>796</v>
      </c>
      <c r="C780" s="3" t="s">
        <v>797</v>
      </c>
      <c r="D780" s="4" t="s">
        <v>8</v>
      </c>
      <c r="E780" s="5" t="s">
        <v>11</v>
      </c>
      <c r="F780" s="6" t="s">
        <v>363</v>
      </c>
      <c r="G780" s="7">
        <v>45279.0</v>
      </c>
      <c r="H780" s="8">
        <f t="shared" si="1"/>
        <v>19</v>
      </c>
      <c r="I780" s="9">
        <f t="shared" si="2"/>
        <v>12</v>
      </c>
      <c r="J780" s="9">
        <f t="shared" si="3"/>
        <v>2023</v>
      </c>
    </row>
    <row r="781" ht="15.75" customHeight="1">
      <c r="A781" s="5">
        <v>40.0</v>
      </c>
      <c r="B781" s="10" t="s">
        <v>613</v>
      </c>
      <c r="C781" s="3" t="s">
        <v>813</v>
      </c>
      <c r="D781" s="4" t="s">
        <v>3</v>
      </c>
      <c r="E781" s="5" t="s">
        <v>19</v>
      </c>
      <c r="F781" s="6" t="s">
        <v>814</v>
      </c>
      <c r="G781" s="7">
        <v>44947.0</v>
      </c>
      <c r="H781" s="8">
        <f t="shared" si="1"/>
        <v>21</v>
      </c>
      <c r="I781" s="9">
        <f t="shared" si="2"/>
        <v>1</v>
      </c>
      <c r="J781" s="9">
        <f t="shared" si="3"/>
        <v>2023</v>
      </c>
    </row>
    <row r="782" ht="15.75" customHeight="1">
      <c r="A782" s="5">
        <v>40.0</v>
      </c>
      <c r="B782" s="10" t="s">
        <v>613</v>
      </c>
      <c r="C782" s="3" t="s">
        <v>813</v>
      </c>
      <c r="D782" s="4" t="s">
        <v>3</v>
      </c>
      <c r="E782" s="5" t="s">
        <v>71</v>
      </c>
      <c r="F782" s="6" t="s">
        <v>815</v>
      </c>
      <c r="G782" s="7">
        <v>44962.0</v>
      </c>
      <c r="H782" s="8">
        <f t="shared" si="1"/>
        <v>5</v>
      </c>
      <c r="I782" s="9">
        <f t="shared" si="2"/>
        <v>2</v>
      </c>
      <c r="J782" s="9">
        <f t="shared" si="3"/>
        <v>2023</v>
      </c>
    </row>
    <row r="783" ht="15.75" customHeight="1">
      <c r="A783" s="5">
        <v>40.0</v>
      </c>
      <c r="B783" s="10" t="s">
        <v>613</v>
      </c>
      <c r="C783" s="3" t="s">
        <v>813</v>
      </c>
      <c r="D783" s="4" t="s">
        <v>3</v>
      </c>
      <c r="E783" s="5" t="s">
        <v>76</v>
      </c>
      <c r="F783" s="6" t="s">
        <v>816</v>
      </c>
      <c r="G783" s="7">
        <v>44967.0</v>
      </c>
      <c r="H783" s="8">
        <f t="shared" si="1"/>
        <v>10</v>
      </c>
      <c r="I783" s="9">
        <f t="shared" si="2"/>
        <v>2</v>
      </c>
      <c r="J783" s="9">
        <f t="shared" si="3"/>
        <v>2023</v>
      </c>
    </row>
    <row r="784" ht="15.75" customHeight="1">
      <c r="A784" s="5">
        <v>40.0</v>
      </c>
      <c r="B784" s="10" t="s">
        <v>613</v>
      </c>
      <c r="C784" s="3" t="s">
        <v>813</v>
      </c>
      <c r="D784" s="4" t="s">
        <v>3</v>
      </c>
      <c r="E784" s="5" t="s">
        <v>35</v>
      </c>
      <c r="F784" s="6" t="s">
        <v>817</v>
      </c>
      <c r="G784" s="7">
        <v>44989.0</v>
      </c>
      <c r="H784" s="8">
        <f t="shared" si="1"/>
        <v>4</v>
      </c>
      <c r="I784" s="9">
        <f t="shared" si="2"/>
        <v>3</v>
      </c>
      <c r="J784" s="9">
        <f t="shared" si="3"/>
        <v>2023</v>
      </c>
    </row>
    <row r="785" ht="15.75" customHeight="1">
      <c r="A785" s="5">
        <v>40.0</v>
      </c>
      <c r="B785" s="10" t="s">
        <v>613</v>
      </c>
      <c r="C785" s="3" t="s">
        <v>813</v>
      </c>
      <c r="D785" s="4" t="s">
        <v>3</v>
      </c>
      <c r="E785" s="5" t="s">
        <v>11</v>
      </c>
      <c r="F785" s="6" t="s">
        <v>818</v>
      </c>
      <c r="G785" s="7">
        <v>45100.0</v>
      </c>
      <c r="H785" s="8">
        <f t="shared" si="1"/>
        <v>23</v>
      </c>
      <c r="I785" s="9">
        <f t="shared" si="2"/>
        <v>6</v>
      </c>
      <c r="J785" s="9">
        <f t="shared" si="3"/>
        <v>2023</v>
      </c>
    </row>
    <row r="786" ht="15.75" customHeight="1">
      <c r="A786" s="5">
        <v>40.0</v>
      </c>
      <c r="B786" s="10" t="s">
        <v>613</v>
      </c>
      <c r="C786" s="3" t="s">
        <v>813</v>
      </c>
      <c r="D786" s="4" t="s">
        <v>8</v>
      </c>
      <c r="E786" s="5" t="s">
        <v>76</v>
      </c>
      <c r="F786" s="6" t="s">
        <v>819</v>
      </c>
      <c r="G786" s="7">
        <v>45131.0</v>
      </c>
      <c r="H786" s="8">
        <f t="shared" si="1"/>
        <v>24</v>
      </c>
      <c r="I786" s="9">
        <f t="shared" si="2"/>
        <v>7</v>
      </c>
      <c r="J786" s="9">
        <f t="shared" si="3"/>
        <v>2023</v>
      </c>
    </row>
    <row r="787" ht="15.75" customHeight="1">
      <c r="A787" s="5">
        <v>40.0</v>
      </c>
      <c r="B787" s="10" t="s">
        <v>613</v>
      </c>
      <c r="C787" s="3" t="s">
        <v>813</v>
      </c>
      <c r="D787" s="4" t="s">
        <v>3</v>
      </c>
      <c r="E787" s="5" t="s">
        <v>13</v>
      </c>
      <c r="F787" s="6" t="s">
        <v>820</v>
      </c>
      <c r="G787" s="7">
        <v>45135.0</v>
      </c>
      <c r="H787" s="8">
        <f t="shared" si="1"/>
        <v>28</v>
      </c>
      <c r="I787" s="9">
        <f t="shared" si="2"/>
        <v>7</v>
      </c>
      <c r="J787" s="9">
        <f t="shared" si="3"/>
        <v>2023</v>
      </c>
    </row>
    <row r="788" ht="15.75" customHeight="1">
      <c r="A788" s="5">
        <v>40.0</v>
      </c>
      <c r="B788" s="10" t="s">
        <v>613</v>
      </c>
      <c r="C788" s="3" t="s">
        <v>813</v>
      </c>
      <c r="D788" s="4" t="s">
        <v>8</v>
      </c>
      <c r="E788" s="5" t="s">
        <v>42</v>
      </c>
      <c r="F788" s="6" t="s">
        <v>821</v>
      </c>
      <c r="G788" s="7">
        <v>45135.0</v>
      </c>
      <c r="H788" s="8">
        <f t="shared" si="1"/>
        <v>28</v>
      </c>
      <c r="I788" s="9">
        <f t="shared" si="2"/>
        <v>7</v>
      </c>
      <c r="J788" s="9">
        <f t="shared" si="3"/>
        <v>2023</v>
      </c>
    </row>
    <row r="789" ht="15.75" customHeight="1">
      <c r="A789" s="5">
        <v>40.0</v>
      </c>
      <c r="B789" s="10" t="s">
        <v>613</v>
      </c>
      <c r="C789" s="3" t="s">
        <v>813</v>
      </c>
      <c r="D789" s="4" t="s">
        <v>3</v>
      </c>
      <c r="E789" s="5" t="s">
        <v>96</v>
      </c>
      <c r="F789" s="6" t="s">
        <v>822</v>
      </c>
      <c r="G789" s="7">
        <v>45142.0</v>
      </c>
      <c r="H789" s="8">
        <f t="shared" si="1"/>
        <v>4</v>
      </c>
      <c r="I789" s="9">
        <f t="shared" si="2"/>
        <v>8</v>
      </c>
      <c r="J789" s="9">
        <f t="shared" si="3"/>
        <v>2023</v>
      </c>
    </row>
    <row r="790" ht="15.75" customHeight="1">
      <c r="A790" s="5">
        <v>40.0</v>
      </c>
      <c r="B790" s="10" t="s">
        <v>613</v>
      </c>
      <c r="C790" s="3" t="s">
        <v>813</v>
      </c>
      <c r="D790" s="4" t="s">
        <v>8</v>
      </c>
      <c r="E790" s="5" t="s">
        <v>71</v>
      </c>
      <c r="F790" s="6" t="s">
        <v>823</v>
      </c>
      <c r="G790" s="7">
        <v>45146.0</v>
      </c>
      <c r="H790" s="8">
        <f t="shared" si="1"/>
        <v>8</v>
      </c>
      <c r="I790" s="9">
        <f t="shared" si="2"/>
        <v>8</v>
      </c>
      <c r="J790" s="9">
        <f t="shared" si="3"/>
        <v>2023</v>
      </c>
    </row>
    <row r="791" ht="15.75" customHeight="1">
      <c r="A791" s="5">
        <v>40.0</v>
      </c>
      <c r="B791" s="10" t="s">
        <v>613</v>
      </c>
      <c r="C791" s="3" t="s">
        <v>813</v>
      </c>
      <c r="D791" s="4" t="s">
        <v>8</v>
      </c>
      <c r="E791" s="5" t="s">
        <v>51</v>
      </c>
      <c r="F791" s="6" t="s">
        <v>824</v>
      </c>
      <c r="G791" s="7">
        <v>45153.0</v>
      </c>
      <c r="H791" s="8">
        <f t="shared" si="1"/>
        <v>15</v>
      </c>
      <c r="I791" s="9">
        <f t="shared" si="2"/>
        <v>8</v>
      </c>
      <c r="J791" s="9">
        <f t="shared" si="3"/>
        <v>2023</v>
      </c>
    </row>
    <row r="792" ht="15.75" customHeight="1">
      <c r="A792" s="5">
        <v>40.0</v>
      </c>
      <c r="B792" s="10" t="s">
        <v>613</v>
      </c>
      <c r="C792" s="3" t="s">
        <v>813</v>
      </c>
      <c r="D792" s="4" t="s">
        <v>8</v>
      </c>
      <c r="E792" s="5" t="s">
        <v>13</v>
      </c>
      <c r="F792" s="6" t="s">
        <v>825</v>
      </c>
      <c r="G792" s="7">
        <v>45155.0</v>
      </c>
      <c r="H792" s="8">
        <f t="shared" si="1"/>
        <v>17</v>
      </c>
      <c r="I792" s="9">
        <f t="shared" si="2"/>
        <v>8</v>
      </c>
      <c r="J792" s="9">
        <f t="shared" si="3"/>
        <v>2023</v>
      </c>
    </row>
    <row r="793" ht="15.75" customHeight="1">
      <c r="A793" s="5">
        <v>40.0</v>
      </c>
      <c r="B793" s="10" t="s">
        <v>613</v>
      </c>
      <c r="C793" s="3" t="s">
        <v>813</v>
      </c>
      <c r="D793" s="4" t="s">
        <v>3</v>
      </c>
      <c r="E793" s="5" t="s">
        <v>9</v>
      </c>
      <c r="F793" s="6" t="s">
        <v>826</v>
      </c>
      <c r="G793" s="7">
        <v>45184.0</v>
      </c>
      <c r="H793" s="8">
        <f t="shared" si="1"/>
        <v>15</v>
      </c>
      <c r="I793" s="9">
        <f t="shared" si="2"/>
        <v>9</v>
      </c>
      <c r="J793" s="9">
        <f t="shared" si="3"/>
        <v>2023</v>
      </c>
    </row>
    <row r="794" ht="15.75" customHeight="1">
      <c r="A794" s="5">
        <v>40.0</v>
      </c>
      <c r="B794" s="10" t="s">
        <v>613</v>
      </c>
      <c r="C794" s="3" t="s">
        <v>813</v>
      </c>
      <c r="D794" s="4" t="s">
        <v>3</v>
      </c>
      <c r="E794" s="5" t="s">
        <v>21</v>
      </c>
      <c r="F794" s="6" t="s">
        <v>827</v>
      </c>
      <c r="G794" s="7">
        <v>45193.0</v>
      </c>
      <c r="H794" s="8">
        <f t="shared" si="1"/>
        <v>24</v>
      </c>
      <c r="I794" s="9">
        <f t="shared" si="2"/>
        <v>9</v>
      </c>
      <c r="J794" s="9">
        <f t="shared" si="3"/>
        <v>2023</v>
      </c>
    </row>
    <row r="795" ht="15.75" customHeight="1">
      <c r="A795" s="5">
        <v>40.0</v>
      </c>
      <c r="B795" s="10" t="s">
        <v>613</v>
      </c>
      <c r="C795" s="3" t="s">
        <v>813</v>
      </c>
      <c r="D795" s="4" t="s">
        <v>8</v>
      </c>
      <c r="E795" s="5" t="s">
        <v>35</v>
      </c>
      <c r="F795" s="6" t="s">
        <v>828</v>
      </c>
      <c r="G795" s="7">
        <v>45213.0</v>
      </c>
      <c r="H795" s="8">
        <f t="shared" si="1"/>
        <v>14</v>
      </c>
      <c r="I795" s="9">
        <f t="shared" si="2"/>
        <v>10</v>
      </c>
      <c r="J795" s="9">
        <f t="shared" si="3"/>
        <v>2023</v>
      </c>
    </row>
    <row r="796" ht="15.75" customHeight="1">
      <c r="A796" s="5">
        <v>40.0</v>
      </c>
      <c r="B796" s="10" t="s">
        <v>613</v>
      </c>
      <c r="C796" s="3" t="s">
        <v>813</v>
      </c>
      <c r="D796" s="4" t="s">
        <v>8</v>
      </c>
      <c r="E796" s="5" t="s">
        <v>21</v>
      </c>
      <c r="F796" s="6" t="s">
        <v>829</v>
      </c>
      <c r="G796" s="7">
        <v>45218.0</v>
      </c>
      <c r="H796" s="8">
        <f t="shared" si="1"/>
        <v>19</v>
      </c>
      <c r="I796" s="9">
        <f t="shared" si="2"/>
        <v>10</v>
      </c>
      <c r="J796" s="9">
        <f t="shared" si="3"/>
        <v>2023</v>
      </c>
    </row>
    <row r="797" ht="15.75" customHeight="1">
      <c r="A797" s="5">
        <v>40.0</v>
      </c>
      <c r="B797" s="10" t="s">
        <v>613</v>
      </c>
      <c r="C797" s="3" t="s">
        <v>813</v>
      </c>
      <c r="D797" s="4" t="s">
        <v>8</v>
      </c>
      <c r="E797" s="5" t="s">
        <v>96</v>
      </c>
      <c r="F797" s="6" t="s">
        <v>181</v>
      </c>
      <c r="G797" s="7">
        <v>45231.0</v>
      </c>
      <c r="H797" s="8">
        <f t="shared" si="1"/>
        <v>1</v>
      </c>
      <c r="I797" s="9">
        <f t="shared" si="2"/>
        <v>11</v>
      </c>
      <c r="J797" s="9">
        <f t="shared" si="3"/>
        <v>2023</v>
      </c>
    </row>
    <row r="798" ht="15.75" customHeight="1">
      <c r="A798" s="5">
        <v>40.0</v>
      </c>
      <c r="B798" s="10" t="s">
        <v>613</v>
      </c>
      <c r="C798" s="3" t="s">
        <v>813</v>
      </c>
      <c r="D798" s="4" t="s">
        <v>8</v>
      </c>
      <c r="E798" s="5" t="s">
        <v>15</v>
      </c>
      <c r="F798" s="6" t="s">
        <v>248</v>
      </c>
      <c r="G798" s="7">
        <v>45253.0</v>
      </c>
      <c r="H798" s="8">
        <f t="shared" si="1"/>
        <v>23</v>
      </c>
      <c r="I798" s="9">
        <f t="shared" si="2"/>
        <v>11</v>
      </c>
      <c r="J798" s="9">
        <f t="shared" si="3"/>
        <v>2023</v>
      </c>
    </row>
    <row r="799" ht="15.75" customHeight="1">
      <c r="A799" s="5">
        <v>40.0</v>
      </c>
      <c r="B799" s="10" t="s">
        <v>613</v>
      </c>
      <c r="C799" s="3" t="s">
        <v>813</v>
      </c>
      <c r="D799" s="4" t="s">
        <v>3</v>
      </c>
      <c r="E799" s="5" t="s">
        <v>51</v>
      </c>
      <c r="F799" s="6" t="s">
        <v>830</v>
      </c>
      <c r="G799" s="7">
        <v>45280.0</v>
      </c>
      <c r="H799" s="8">
        <f t="shared" si="1"/>
        <v>20</v>
      </c>
      <c r="I799" s="9">
        <f t="shared" si="2"/>
        <v>12</v>
      </c>
      <c r="J799" s="9">
        <f t="shared" si="3"/>
        <v>2023</v>
      </c>
    </row>
    <row r="800" ht="15.75" customHeight="1">
      <c r="A800" s="5">
        <v>40.0</v>
      </c>
      <c r="B800" s="10" t="s">
        <v>613</v>
      </c>
      <c r="C800" s="3" t="s">
        <v>813</v>
      </c>
      <c r="D800" s="4" t="s">
        <v>3</v>
      </c>
      <c r="E800" s="5" t="s">
        <v>21</v>
      </c>
      <c r="F800" s="6" t="s">
        <v>831</v>
      </c>
      <c r="G800" s="7">
        <v>45280.0</v>
      </c>
      <c r="H800" s="8">
        <f t="shared" si="1"/>
        <v>20</v>
      </c>
      <c r="I800" s="9">
        <f t="shared" si="2"/>
        <v>12</v>
      </c>
      <c r="J800" s="9">
        <f t="shared" si="3"/>
        <v>2023</v>
      </c>
    </row>
    <row r="801" ht="15.75" customHeight="1">
      <c r="A801" s="5">
        <v>41.0</v>
      </c>
      <c r="B801" s="10" t="s">
        <v>832</v>
      </c>
      <c r="C801" s="3" t="s">
        <v>833</v>
      </c>
      <c r="D801" s="4" t="s">
        <v>8</v>
      </c>
      <c r="E801" s="5" t="s">
        <v>51</v>
      </c>
      <c r="F801" s="6" t="s">
        <v>657</v>
      </c>
      <c r="G801" s="7">
        <v>44966.0</v>
      </c>
      <c r="H801" s="8">
        <f t="shared" si="1"/>
        <v>9</v>
      </c>
      <c r="I801" s="9">
        <f t="shared" si="2"/>
        <v>2</v>
      </c>
      <c r="J801" s="9">
        <f t="shared" si="3"/>
        <v>2023</v>
      </c>
    </row>
    <row r="802" ht="15.75" customHeight="1">
      <c r="A802" s="5">
        <v>41.0</v>
      </c>
      <c r="B802" s="10" t="s">
        <v>832</v>
      </c>
      <c r="C802" s="3" t="s">
        <v>833</v>
      </c>
      <c r="D802" s="4" t="s">
        <v>3</v>
      </c>
      <c r="E802" s="5" t="s">
        <v>96</v>
      </c>
      <c r="F802" s="6" t="s">
        <v>94</v>
      </c>
      <c r="G802" s="7">
        <v>44983.0</v>
      </c>
      <c r="H802" s="8">
        <f t="shared" si="1"/>
        <v>26</v>
      </c>
      <c r="I802" s="9">
        <f t="shared" si="2"/>
        <v>2</v>
      </c>
      <c r="J802" s="9">
        <f t="shared" si="3"/>
        <v>2023</v>
      </c>
    </row>
    <row r="803" ht="15.75" customHeight="1">
      <c r="A803" s="5">
        <v>41.0</v>
      </c>
      <c r="B803" s="10" t="s">
        <v>832</v>
      </c>
      <c r="C803" s="3" t="s">
        <v>833</v>
      </c>
      <c r="D803" s="4" t="s">
        <v>8</v>
      </c>
      <c r="E803" s="5" t="s">
        <v>71</v>
      </c>
      <c r="F803" s="6" t="s">
        <v>834</v>
      </c>
      <c r="G803" s="7">
        <v>44987.0</v>
      </c>
      <c r="H803" s="8">
        <f t="shared" si="1"/>
        <v>2</v>
      </c>
      <c r="I803" s="9">
        <f t="shared" si="2"/>
        <v>3</v>
      </c>
      <c r="J803" s="9">
        <f t="shared" si="3"/>
        <v>2023</v>
      </c>
    </row>
    <row r="804" ht="15.75" customHeight="1">
      <c r="A804" s="5">
        <v>41.0</v>
      </c>
      <c r="B804" s="10" t="s">
        <v>832</v>
      </c>
      <c r="C804" s="3" t="s">
        <v>833</v>
      </c>
      <c r="D804" s="4" t="s">
        <v>3</v>
      </c>
      <c r="E804" s="5" t="s">
        <v>13</v>
      </c>
      <c r="F804" s="6" t="s">
        <v>619</v>
      </c>
      <c r="G804" s="7">
        <v>44989.0</v>
      </c>
      <c r="H804" s="8">
        <f t="shared" si="1"/>
        <v>4</v>
      </c>
      <c r="I804" s="9">
        <f t="shared" si="2"/>
        <v>3</v>
      </c>
      <c r="J804" s="9">
        <f t="shared" si="3"/>
        <v>2023</v>
      </c>
    </row>
    <row r="805" ht="15.75" customHeight="1">
      <c r="A805" s="5">
        <v>41.0</v>
      </c>
      <c r="B805" s="10" t="s">
        <v>832</v>
      </c>
      <c r="C805" s="3" t="s">
        <v>833</v>
      </c>
      <c r="D805" s="4" t="s">
        <v>8</v>
      </c>
      <c r="E805" s="5" t="s">
        <v>76</v>
      </c>
      <c r="F805" s="6" t="s">
        <v>835</v>
      </c>
      <c r="G805" s="7">
        <v>45011.0</v>
      </c>
      <c r="H805" s="8">
        <f t="shared" si="1"/>
        <v>26</v>
      </c>
      <c r="I805" s="9">
        <f t="shared" si="2"/>
        <v>3</v>
      </c>
      <c r="J805" s="9">
        <f t="shared" si="3"/>
        <v>2023</v>
      </c>
    </row>
    <row r="806" ht="15.75" customHeight="1">
      <c r="A806" s="5">
        <v>41.0</v>
      </c>
      <c r="B806" s="10" t="s">
        <v>832</v>
      </c>
      <c r="C806" s="3" t="s">
        <v>833</v>
      </c>
      <c r="D806" s="4" t="s">
        <v>8</v>
      </c>
      <c r="E806" s="5" t="s">
        <v>4</v>
      </c>
      <c r="F806" s="6" t="s">
        <v>836</v>
      </c>
      <c r="G806" s="7">
        <v>45033.0</v>
      </c>
      <c r="H806" s="8">
        <f t="shared" si="1"/>
        <v>17</v>
      </c>
      <c r="I806" s="9">
        <f t="shared" si="2"/>
        <v>4</v>
      </c>
      <c r="J806" s="9">
        <f t="shared" si="3"/>
        <v>2023</v>
      </c>
    </row>
    <row r="807" ht="15.75" customHeight="1">
      <c r="A807" s="5">
        <v>41.0</v>
      </c>
      <c r="B807" s="10" t="s">
        <v>832</v>
      </c>
      <c r="C807" s="3" t="s">
        <v>833</v>
      </c>
      <c r="D807" s="4" t="s">
        <v>3</v>
      </c>
      <c r="E807" s="5" t="s">
        <v>19</v>
      </c>
      <c r="F807" s="6" t="s">
        <v>837</v>
      </c>
      <c r="G807" s="7">
        <v>45052.0</v>
      </c>
      <c r="H807" s="8">
        <f t="shared" si="1"/>
        <v>6</v>
      </c>
      <c r="I807" s="9">
        <f t="shared" si="2"/>
        <v>5</v>
      </c>
      <c r="J807" s="9">
        <f t="shared" si="3"/>
        <v>2023</v>
      </c>
    </row>
    <row r="808" ht="15.75" customHeight="1">
      <c r="A808" s="5">
        <v>41.0</v>
      </c>
      <c r="B808" s="10" t="s">
        <v>832</v>
      </c>
      <c r="C808" s="3" t="s">
        <v>833</v>
      </c>
      <c r="D808" s="4" t="s">
        <v>3</v>
      </c>
      <c r="E808" s="5" t="s">
        <v>4</v>
      </c>
      <c r="F808" s="6" t="s">
        <v>838</v>
      </c>
      <c r="G808" s="7">
        <v>45059.0</v>
      </c>
      <c r="H808" s="8">
        <f t="shared" si="1"/>
        <v>13</v>
      </c>
      <c r="I808" s="9">
        <f t="shared" si="2"/>
        <v>5</v>
      </c>
      <c r="J808" s="9">
        <f t="shared" si="3"/>
        <v>2023</v>
      </c>
    </row>
    <row r="809" ht="15.75" customHeight="1">
      <c r="A809" s="5">
        <v>41.0</v>
      </c>
      <c r="B809" s="10" t="s">
        <v>832</v>
      </c>
      <c r="C809" s="3" t="s">
        <v>833</v>
      </c>
      <c r="D809" s="4" t="s">
        <v>3</v>
      </c>
      <c r="E809" s="5" t="s">
        <v>35</v>
      </c>
      <c r="F809" s="6" t="s">
        <v>839</v>
      </c>
      <c r="G809" s="7">
        <v>45120.0</v>
      </c>
      <c r="H809" s="8">
        <f t="shared" si="1"/>
        <v>13</v>
      </c>
      <c r="I809" s="9">
        <f t="shared" si="2"/>
        <v>7</v>
      </c>
      <c r="J809" s="9">
        <f t="shared" si="3"/>
        <v>2023</v>
      </c>
    </row>
    <row r="810" ht="15.75" customHeight="1">
      <c r="A810" s="5">
        <v>41.0</v>
      </c>
      <c r="B810" s="10" t="s">
        <v>832</v>
      </c>
      <c r="C810" s="3" t="s">
        <v>833</v>
      </c>
      <c r="D810" s="4" t="s">
        <v>3</v>
      </c>
      <c r="E810" s="5" t="s">
        <v>51</v>
      </c>
      <c r="F810" s="6" t="s">
        <v>840</v>
      </c>
      <c r="G810" s="7">
        <v>45133.0</v>
      </c>
      <c r="H810" s="8">
        <f t="shared" si="1"/>
        <v>26</v>
      </c>
      <c r="I810" s="9">
        <f t="shared" si="2"/>
        <v>7</v>
      </c>
      <c r="J810" s="9">
        <f t="shared" si="3"/>
        <v>2023</v>
      </c>
    </row>
    <row r="811" ht="15.75" customHeight="1">
      <c r="A811" s="5">
        <v>41.0</v>
      </c>
      <c r="B811" s="10" t="s">
        <v>832</v>
      </c>
      <c r="C811" s="3" t="s">
        <v>833</v>
      </c>
      <c r="D811" s="4" t="s">
        <v>3</v>
      </c>
      <c r="E811" s="5" t="s">
        <v>76</v>
      </c>
      <c r="F811" s="6" t="s">
        <v>841</v>
      </c>
      <c r="G811" s="7">
        <v>45135.0</v>
      </c>
      <c r="H811" s="8">
        <f t="shared" si="1"/>
        <v>28</v>
      </c>
      <c r="I811" s="9">
        <f t="shared" si="2"/>
        <v>7</v>
      </c>
      <c r="J811" s="9">
        <f t="shared" si="3"/>
        <v>2023</v>
      </c>
    </row>
    <row r="812" ht="15.75" customHeight="1">
      <c r="A812" s="5">
        <v>41.0</v>
      </c>
      <c r="B812" s="10" t="s">
        <v>832</v>
      </c>
      <c r="C812" s="3" t="s">
        <v>833</v>
      </c>
      <c r="D812" s="4" t="s">
        <v>8</v>
      </c>
      <c r="E812" s="5" t="s">
        <v>42</v>
      </c>
      <c r="F812" s="6" t="s">
        <v>842</v>
      </c>
      <c r="G812" s="7">
        <v>45140.0</v>
      </c>
      <c r="H812" s="8">
        <f t="shared" si="1"/>
        <v>2</v>
      </c>
      <c r="I812" s="9">
        <f t="shared" si="2"/>
        <v>8</v>
      </c>
      <c r="J812" s="9">
        <f t="shared" si="3"/>
        <v>2023</v>
      </c>
    </row>
    <row r="813" ht="15.75" customHeight="1">
      <c r="A813" s="5">
        <v>41.0</v>
      </c>
      <c r="B813" s="10" t="s">
        <v>832</v>
      </c>
      <c r="C813" s="3" t="s">
        <v>833</v>
      </c>
      <c r="D813" s="4" t="s">
        <v>3</v>
      </c>
      <c r="E813" s="5" t="s">
        <v>23</v>
      </c>
      <c r="F813" s="6" t="s">
        <v>843</v>
      </c>
      <c r="G813" s="7">
        <v>45192.0</v>
      </c>
      <c r="H813" s="8">
        <f t="shared" si="1"/>
        <v>23</v>
      </c>
      <c r="I813" s="9">
        <f t="shared" si="2"/>
        <v>9</v>
      </c>
      <c r="J813" s="9">
        <f t="shared" si="3"/>
        <v>2023</v>
      </c>
    </row>
    <row r="814" ht="15.75" customHeight="1">
      <c r="A814" s="5">
        <v>41.0</v>
      </c>
      <c r="B814" s="10" t="s">
        <v>832</v>
      </c>
      <c r="C814" s="3" t="s">
        <v>833</v>
      </c>
      <c r="D814" s="4" t="s">
        <v>8</v>
      </c>
      <c r="E814" s="5" t="s">
        <v>23</v>
      </c>
      <c r="F814" s="6" t="s">
        <v>844</v>
      </c>
      <c r="G814" s="7">
        <v>45222.0</v>
      </c>
      <c r="H814" s="8">
        <f t="shared" si="1"/>
        <v>23</v>
      </c>
      <c r="I814" s="9">
        <f t="shared" si="2"/>
        <v>10</v>
      </c>
      <c r="J814" s="9">
        <f t="shared" si="3"/>
        <v>2023</v>
      </c>
    </row>
    <row r="815" ht="15.75" customHeight="1">
      <c r="A815" s="5">
        <v>41.0</v>
      </c>
      <c r="B815" s="10" t="s">
        <v>832</v>
      </c>
      <c r="C815" s="3" t="s">
        <v>833</v>
      </c>
      <c r="D815" s="4" t="s">
        <v>8</v>
      </c>
      <c r="E815" s="5" t="s">
        <v>71</v>
      </c>
      <c r="F815" s="6" t="s">
        <v>493</v>
      </c>
      <c r="G815" s="7">
        <v>45241.0</v>
      </c>
      <c r="H815" s="8">
        <f t="shared" si="1"/>
        <v>11</v>
      </c>
      <c r="I815" s="9">
        <f t="shared" si="2"/>
        <v>11</v>
      </c>
      <c r="J815" s="9">
        <f t="shared" si="3"/>
        <v>2023</v>
      </c>
    </row>
    <row r="816" ht="15.75" customHeight="1">
      <c r="A816" s="5">
        <v>41.0</v>
      </c>
      <c r="B816" s="10" t="s">
        <v>832</v>
      </c>
      <c r="C816" s="3" t="s">
        <v>833</v>
      </c>
      <c r="D816" s="4" t="s">
        <v>3</v>
      </c>
      <c r="E816" s="5" t="s">
        <v>4</v>
      </c>
      <c r="F816" s="6" t="s">
        <v>845</v>
      </c>
      <c r="G816" s="7">
        <v>45252.0</v>
      </c>
      <c r="H816" s="8">
        <f t="shared" si="1"/>
        <v>22</v>
      </c>
      <c r="I816" s="9">
        <f t="shared" si="2"/>
        <v>11</v>
      </c>
      <c r="J816" s="9">
        <f t="shared" si="3"/>
        <v>2023</v>
      </c>
    </row>
    <row r="817" ht="15.75" customHeight="1">
      <c r="A817" s="5">
        <v>41.0</v>
      </c>
      <c r="B817" s="10" t="s">
        <v>832</v>
      </c>
      <c r="C817" s="3" t="s">
        <v>833</v>
      </c>
      <c r="D817" s="4" t="s">
        <v>8</v>
      </c>
      <c r="E817" s="5" t="s">
        <v>21</v>
      </c>
      <c r="F817" s="6" t="s">
        <v>846</v>
      </c>
      <c r="G817" s="7">
        <v>45252.0</v>
      </c>
      <c r="H817" s="8">
        <f t="shared" si="1"/>
        <v>22</v>
      </c>
      <c r="I817" s="9">
        <f t="shared" si="2"/>
        <v>11</v>
      </c>
      <c r="J817" s="9">
        <f t="shared" si="3"/>
        <v>2023</v>
      </c>
    </row>
    <row r="818" ht="15.75" customHeight="1">
      <c r="A818" s="5">
        <v>41.0</v>
      </c>
      <c r="B818" s="10" t="s">
        <v>832</v>
      </c>
      <c r="C818" s="3" t="s">
        <v>833</v>
      </c>
      <c r="D818" s="4" t="s">
        <v>8</v>
      </c>
      <c r="E818" s="5" t="s">
        <v>35</v>
      </c>
      <c r="F818" s="6" t="s">
        <v>847</v>
      </c>
      <c r="G818" s="7">
        <v>45264.0</v>
      </c>
      <c r="H818" s="8">
        <f t="shared" si="1"/>
        <v>4</v>
      </c>
      <c r="I818" s="9">
        <f t="shared" si="2"/>
        <v>12</v>
      </c>
      <c r="J818" s="9">
        <f t="shared" si="3"/>
        <v>2023</v>
      </c>
    </row>
    <row r="819" ht="15.75" customHeight="1">
      <c r="A819" s="5">
        <v>41.0</v>
      </c>
      <c r="B819" s="10" t="s">
        <v>832</v>
      </c>
      <c r="C819" s="3" t="s">
        <v>833</v>
      </c>
      <c r="D819" s="4" t="s">
        <v>3</v>
      </c>
      <c r="E819" s="5" t="s">
        <v>21</v>
      </c>
      <c r="F819" s="6" t="s">
        <v>848</v>
      </c>
      <c r="G819" s="7">
        <v>45279.0</v>
      </c>
      <c r="H819" s="8">
        <f t="shared" si="1"/>
        <v>19</v>
      </c>
      <c r="I819" s="9">
        <f t="shared" si="2"/>
        <v>12</v>
      </c>
      <c r="J819" s="9">
        <f t="shared" si="3"/>
        <v>2023</v>
      </c>
    </row>
    <row r="820" ht="15.75" customHeight="1">
      <c r="A820" s="5">
        <v>41.0</v>
      </c>
      <c r="B820" s="10" t="s">
        <v>832</v>
      </c>
      <c r="C820" s="3" t="s">
        <v>833</v>
      </c>
      <c r="D820" s="4" t="s">
        <v>3</v>
      </c>
      <c r="E820" s="5" t="s">
        <v>71</v>
      </c>
      <c r="F820" s="6" t="s">
        <v>849</v>
      </c>
      <c r="G820" s="7">
        <v>45280.0</v>
      </c>
      <c r="H820" s="8">
        <f t="shared" si="1"/>
        <v>20</v>
      </c>
      <c r="I820" s="9">
        <f t="shared" si="2"/>
        <v>12</v>
      </c>
      <c r="J820" s="9">
        <f t="shared" si="3"/>
        <v>2023</v>
      </c>
    </row>
    <row r="821" ht="15.75" customHeight="1">
      <c r="A821" s="5">
        <v>42.0</v>
      </c>
      <c r="B821" s="10" t="s">
        <v>741</v>
      </c>
      <c r="C821" s="3" t="s">
        <v>850</v>
      </c>
      <c r="D821" s="4" t="s">
        <v>3</v>
      </c>
      <c r="E821" s="5" t="s">
        <v>28</v>
      </c>
      <c r="F821" s="6" t="s">
        <v>352</v>
      </c>
      <c r="G821" s="7">
        <v>44943.0</v>
      </c>
      <c r="H821" s="8">
        <f t="shared" si="1"/>
        <v>17</v>
      </c>
      <c r="I821" s="9">
        <f t="shared" si="2"/>
        <v>1</v>
      </c>
      <c r="J821" s="9">
        <f t="shared" si="3"/>
        <v>2023</v>
      </c>
    </row>
    <row r="822" ht="15.75" customHeight="1">
      <c r="A822" s="5">
        <v>42.0</v>
      </c>
      <c r="B822" s="10" t="s">
        <v>741</v>
      </c>
      <c r="C822" s="3" t="s">
        <v>850</v>
      </c>
      <c r="D822" s="4" t="s">
        <v>3</v>
      </c>
      <c r="E822" s="5" t="s">
        <v>71</v>
      </c>
      <c r="F822" s="6" t="s">
        <v>851</v>
      </c>
      <c r="G822" s="7">
        <v>44944.0</v>
      </c>
      <c r="H822" s="8">
        <f t="shared" si="1"/>
        <v>18</v>
      </c>
      <c r="I822" s="9">
        <f t="shared" si="2"/>
        <v>1</v>
      </c>
      <c r="J822" s="9">
        <f t="shared" si="3"/>
        <v>2023</v>
      </c>
    </row>
    <row r="823" ht="15.75" customHeight="1">
      <c r="A823" s="5">
        <v>42.0</v>
      </c>
      <c r="B823" s="10" t="s">
        <v>741</v>
      </c>
      <c r="C823" s="3" t="s">
        <v>850</v>
      </c>
      <c r="D823" s="4" t="s">
        <v>3</v>
      </c>
      <c r="E823" s="5" t="s">
        <v>11</v>
      </c>
      <c r="F823" s="6" t="s">
        <v>852</v>
      </c>
      <c r="G823" s="7">
        <v>44973.0</v>
      </c>
      <c r="H823" s="8">
        <f t="shared" si="1"/>
        <v>16</v>
      </c>
      <c r="I823" s="9">
        <f t="shared" si="2"/>
        <v>2</v>
      </c>
      <c r="J823" s="9">
        <f t="shared" si="3"/>
        <v>2023</v>
      </c>
    </row>
    <row r="824" ht="15.75" customHeight="1">
      <c r="A824" s="5">
        <v>42.0</v>
      </c>
      <c r="B824" s="10" t="s">
        <v>741</v>
      </c>
      <c r="C824" s="3" t="s">
        <v>850</v>
      </c>
      <c r="D824" s="4" t="s">
        <v>3</v>
      </c>
      <c r="E824" s="5" t="s">
        <v>51</v>
      </c>
      <c r="F824" s="6" t="s">
        <v>853</v>
      </c>
      <c r="G824" s="7">
        <v>44985.0</v>
      </c>
      <c r="H824" s="8">
        <f t="shared" si="1"/>
        <v>28</v>
      </c>
      <c r="I824" s="9">
        <f t="shared" si="2"/>
        <v>2</v>
      </c>
      <c r="J824" s="9">
        <f t="shared" si="3"/>
        <v>2023</v>
      </c>
    </row>
    <row r="825" ht="15.75" customHeight="1">
      <c r="A825" s="5">
        <v>42.0</v>
      </c>
      <c r="B825" s="10" t="s">
        <v>741</v>
      </c>
      <c r="C825" s="3" t="s">
        <v>850</v>
      </c>
      <c r="D825" s="4" t="s">
        <v>8</v>
      </c>
      <c r="E825" s="5" t="s">
        <v>17</v>
      </c>
      <c r="F825" s="6" t="s">
        <v>541</v>
      </c>
      <c r="G825" s="7">
        <v>44997.0</v>
      </c>
      <c r="H825" s="8">
        <f t="shared" si="1"/>
        <v>12</v>
      </c>
      <c r="I825" s="9">
        <f t="shared" si="2"/>
        <v>3</v>
      </c>
      <c r="J825" s="9">
        <f t="shared" si="3"/>
        <v>2023</v>
      </c>
    </row>
    <row r="826" ht="15.75" customHeight="1">
      <c r="A826" s="5">
        <v>42.0</v>
      </c>
      <c r="B826" s="10" t="s">
        <v>741</v>
      </c>
      <c r="C826" s="3" t="s">
        <v>850</v>
      </c>
      <c r="D826" s="4" t="s">
        <v>8</v>
      </c>
      <c r="E826" s="5" t="s">
        <v>39</v>
      </c>
      <c r="F826" s="6" t="s">
        <v>854</v>
      </c>
      <c r="G826" s="7">
        <v>45010.0</v>
      </c>
      <c r="H826" s="8">
        <f t="shared" si="1"/>
        <v>25</v>
      </c>
      <c r="I826" s="9">
        <f t="shared" si="2"/>
        <v>3</v>
      </c>
      <c r="J826" s="9">
        <f t="shared" si="3"/>
        <v>2023</v>
      </c>
    </row>
    <row r="827" ht="15.75" customHeight="1">
      <c r="A827" s="5">
        <v>42.0</v>
      </c>
      <c r="B827" s="10" t="s">
        <v>741</v>
      </c>
      <c r="C827" s="3" t="s">
        <v>850</v>
      </c>
      <c r="D827" s="4" t="s">
        <v>8</v>
      </c>
      <c r="E827" s="5" t="s">
        <v>51</v>
      </c>
      <c r="F827" s="6" t="s">
        <v>855</v>
      </c>
      <c r="G827" s="7">
        <v>45024.0</v>
      </c>
      <c r="H827" s="8">
        <f t="shared" si="1"/>
        <v>8</v>
      </c>
      <c r="I827" s="9">
        <f t="shared" si="2"/>
        <v>4</v>
      </c>
      <c r="J827" s="9">
        <f t="shared" si="3"/>
        <v>2023</v>
      </c>
    </row>
    <row r="828" ht="15.75" customHeight="1">
      <c r="A828" s="5">
        <v>42.0</v>
      </c>
      <c r="B828" s="10" t="s">
        <v>741</v>
      </c>
      <c r="C828" s="3" t="s">
        <v>850</v>
      </c>
      <c r="D828" s="4" t="s">
        <v>3</v>
      </c>
      <c r="E828" s="5" t="s">
        <v>120</v>
      </c>
      <c r="F828" s="6" t="s">
        <v>856</v>
      </c>
      <c r="G828" s="7">
        <v>45053.0</v>
      </c>
      <c r="H828" s="8">
        <f t="shared" si="1"/>
        <v>7</v>
      </c>
      <c r="I828" s="9">
        <f t="shared" si="2"/>
        <v>5</v>
      </c>
      <c r="J828" s="9">
        <f t="shared" si="3"/>
        <v>2023</v>
      </c>
    </row>
    <row r="829" ht="15.75" customHeight="1">
      <c r="A829" s="5">
        <v>42.0</v>
      </c>
      <c r="B829" s="10" t="s">
        <v>741</v>
      </c>
      <c r="C829" s="3" t="s">
        <v>850</v>
      </c>
      <c r="D829" s="4" t="s">
        <v>8</v>
      </c>
      <c r="E829" s="5" t="s">
        <v>96</v>
      </c>
      <c r="F829" s="6" t="s">
        <v>857</v>
      </c>
      <c r="G829" s="7">
        <v>45067.0</v>
      </c>
      <c r="H829" s="8">
        <f t="shared" si="1"/>
        <v>21</v>
      </c>
      <c r="I829" s="9">
        <f t="shared" si="2"/>
        <v>5</v>
      </c>
      <c r="J829" s="9">
        <f t="shared" si="3"/>
        <v>2023</v>
      </c>
    </row>
    <row r="830" ht="15.75" customHeight="1">
      <c r="A830" s="5">
        <v>42.0</v>
      </c>
      <c r="B830" s="10" t="s">
        <v>741</v>
      </c>
      <c r="C830" s="3" t="s">
        <v>850</v>
      </c>
      <c r="D830" s="4" t="s">
        <v>3</v>
      </c>
      <c r="E830" s="5" t="s">
        <v>45</v>
      </c>
      <c r="F830" s="6" t="s">
        <v>858</v>
      </c>
      <c r="G830" s="7">
        <v>45080.0</v>
      </c>
      <c r="H830" s="8">
        <f t="shared" si="1"/>
        <v>3</v>
      </c>
      <c r="I830" s="9">
        <f t="shared" si="2"/>
        <v>6</v>
      </c>
      <c r="J830" s="9">
        <f t="shared" si="3"/>
        <v>2023</v>
      </c>
    </row>
    <row r="831" ht="15.75" customHeight="1">
      <c r="A831" s="5">
        <v>42.0</v>
      </c>
      <c r="B831" s="10" t="s">
        <v>741</v>
      </c>
      <c r="C831" s="3" t="s">
        <v>850</v>
      </c>
      <c r="D831" s="4" t="s">
        <v>3</v>
      </c>
      <c r="E831" s="5" t="s">
        <v>42</v>
      </c>
      <c r="F831" s="6" t="s">
        <v>859</v>
      </c>
      <c r="G831" s="7">
        <v>45082.0</v>
      </c>
      <c r="H831" s="8">
        <f t="shared" si="1"/>
        <v>5</v>
      </c>
      <c r="I831" s="9">
        <f t="shared" si="2"/>
        <v>6</v>
      </c>
      <c r="J831" s="9">
        <f t="shared" si="3"/>
        <v>2023</v>
      </c>
    </row>
    <row r="832" ht="15.75" customHeight="1">
      <c r="A832" s="5">
        <v>42.0</v>
      </c>
      <c r="B832" s="10" t="s">
        <v>741</v>
      </c>
      <c r="C832" s="3" t="s">
        <v>850</v>
      </c>
      <c r="D832" s="4" t="s">
        <v>3</v>
      </c>
      <c r="E832" s="5" t="s">
        <v>9</v>
      </c>
      <c r="F832" s="6" t="s">
        <v>860</v>
      </c>
      <c r="G832" s="7">
        <v>45094.0</v>
      </c>
      <c r="H832" s="8">
        <f t="shared" si="1"/>
        <v>17</v>
      </c>
      <c r="I832" s="9">
        <f t="shared" si="2"/>
        <v>6</v>
      </c>
      <c r="J832" s="9">
        <f t="shared" si="3"/>
        <v>2023</v>
      </c>
    </row>
    <row r="833" ht="15.75" customHeight="1">
      <c r="A833" s="5">
        <v>42.0</v>
      </c>
      <c r="B833" s="10" t="s">
        <v>741</v>
      </c>
      <c r="C833" s="3" t="s">
        <v>850</v>
      </c>
      <c r="D833" s="4" t="s">
        <v>8</v>
      </c>
      <c r="E833" s="5" t="s">
        <v>42</v>
      </c>
      <c r="F833" s="6" t="s">
        <v>455</v>
      </c>
      <c r="G833" s="7">
        <v>45097.0</v>
      </c>
      <c r="H833" s="8">
        <f t="shared" si="1"/>
        <v>20</v>
      </c>
      <c r="I833" s="9">
        <f t="shared" si="2"/>
        <v>6</v>
      </c>
      <c r="J833" s="9">
        <f t="shared" si="3"/>
        <v>2023</v>
      </c>
    </row>
    <row r="834" ht="15.75" customHeight="1">
      <c r="A834" s="5">
        <v>42.0</v>
      </c>
      <c r="B834" s="10" t="s">
        <v>741</v>
      </c>
      <c r="C834" s="3" t="s">
        <v>850</v>
      </c>
      <c r="D834" s="4" t="s">
        <v>3</v>
      </c>
      <c r="E834" s="5" t="s">
        <v>6</v>
      </c>
      <c r="F834" s="6" t="s">
        <v>861</v>
      </c>
      <c r="G834" s="7">
        <v>45097.0</v>
      </c>
      <c r="H834" s="8">
        <f t="shared" si="1"/>
        <v>20</v>
      </c>
      <c r="I834" s="9">
        <f t="shared" si="2"/>
        <v>6</v>
      </c>
      <c r="J834" s="9">
        <f t="shared" si="3"/>
        <v>2023</v>
      </c>
    </row>
    <row r="835" ht="15.75" customHeight="1">
      <c r="A835" s="5">
        <v>42.0</v>
      </c>
      <c r="B835" s="10" t="s">
        <v>741</v>
      </c>
      <c r="C835" s="3" t="s">
        <v>850</v>
      </c>
      <c r="D835" s="4" t="s">
        <v>3</v>
      </c>
      <c r="E835" s="5" t="s">
        <v>35</v>
      </c>
      <c r="F835" s="6" t="s">
        <v>862</v>
      </c>
      <c r="G835" s="7">
        <v>45123.0</v>
      </c>
      <c r="H835" s="8">
        <f t="shared" si="1"/>
        <v>16</v>
      </c>
      <c r="I835" s="9">
        <f t="shared" si="2"/>
        <v>7</v>
      </c>
      <c r="J835" s="9">
        <f t="shared" si="3"/>
        <v>2023</v>
      </c>
    </row>
    <row r="836" ht="15.75" customHeight="1">
      <c r="A836" s="5">
        <v>42.0</v>
      </c>
      <c r="B836" s="10" t="s">
        <v>741</v>
      </c>
      <c r="C836" s="3" t="s">
        <v>850</v>
      </c>
      <c r="D836" s="4" t="s">
        <v>8</v>
      </c>
      <c r="E836" s="5" t="s">
        <v>28</v>
      </c>
      <c r="F836" s="6" t="s">
        <v>560</v>
      </c>
      <c r="G836" s="7">
        <v>45183.0</v>
      </c>
      <c r="H836" s="8">
        <f t="shared" si="1"/>
        <v>14</v>
      </c>
      <c r="I836" s="9">
        <f t="shared" si="2"/>
        <v>9</v>
      </c>
      <c r="J836" s="9">
        <f t="shared" si="3"/>
        <v>2023</v>
      </c>
    </row>
    <row r="837" ht="15.75" customHeight="1">
      <c r="A837" s="5">
        <v>42.0</v>
      </c>
      <c r="B837" s="10" t="s">
        <v>741</v>
      </c>
      <c r="C837" s="3" t="s">
        <v>850</v>
      </c>
      <c r="D837" s="4" t="s">
        <v>3</v>
      </c>
      <c r="E837" s="5" t="s">
        <v>23</v>
      </c>
      <c r="F837" s="6" t="s">
        <v>863</v>
      </c>
      <c r="G837" s="7">
        <v>45191.0</v>
      </c>
      <c r="H837" s="8">
        <f t="shared" si="1"/>
        <v>22</v>
      </c>
      <c r="I837" s="9">
        <f t="shared" si="2"/>
        <v>9</v>
      </c>
      <c r="J837" s="9">
        <f t="shared" si="3"/>
        <v>2023</v>
      </c>
    </row>
    <row r="838" ht="15.75" customHeight="1">
      <c r="A838" s="5">
        <v>42.0</v>
      </c>
      <c r="B838" s="10" t="s">
        <v>741</v>
      </c>
      <c r="C838" s="3" t="s">
        <v>850</v>
      </c>
      <c r="D838" s="4" t="s">
        <v>8</v>
      </c>
      <c r="E838" s="5" t="s">
        <v>39</v>
      </c>
      <c r="F838" s="6" t="s">
        <v>864</v>
      </c>
      <c r="G838" s="7">
        <v>45202.0</v>
      </c>
      <c r="H838" s="8">
        <f t="shared" si="1"/>
        <v>3</v>
      </c>
      <c r="I838" s="9">
        <f t="shared" si="2"/>
        <v>10</v>
      </c>
      <c r="J838" s="9">
        <f t="shared" si="3"/>
        <v>2023</v>
      </c>
    </row>
    <row r="839" ht="15.75" customHeight="1">
      <c r="A839" s="5">
        <v>42.0</v>
      </c>
      <c r="B839" s="10" t="s">
        <v>741</v>
      </c>
      <c r="C839" s="3" t="s">
        <v>850</v>
      </c>
      <c r="D839" s="4" t="s">
        <v>3</v>
      </c>
      <c r="E839" s="5" t="s">
        <v>11</v>
      </c>
      <c r="F839" s="6" t="s">
        <v>865</v>
      </c>
      <c r="G839" s="7">
        <v>45219.0</v>
      </c>
      <c r="H839" s="8">
        <f t="shared" si="1"/>
        <v>20</v>
      </c>
      <c r="I839" s="9">
        <f t="shared" si="2"/>
        <v>10</v>
      </c>
      <c r="J839" s="9">
        <f t="shared" si="3"/>
        <v>2023</v>
      </c>
    </row>
    <row r="840" ht="15.75" customHeight="1">
      <c r="A840" s="5">
        <v>42.0</v>
      </c>
      <c r="B840" s="10" t="s">
        <v>741</v>
      </c>
      <c r="C840" s="3" t="s">
        <v>850</v>
      </c>
      <c r="D840" s="4" t="s">
        <v>8</v>
      </c>
      <c r="E840" s="5" t="s">
        <v>120</v>
      </c>
      <c r="F840" s="6" t="s">
        <v>866</v>
      </c>
      <c r="G840" s="7">
        <v>45249.0</v>
      </c>
      <c r="H840" s="8">
        <f t="shared" si="1"/>
        <v>19</v>
      </c>
      <c r="I840" s="9">
        <f t="shared" si="2"/>
        <v>11</v>
      </c>
      <c r="J840" s="9">
        <f t="shared" si="3"/>
        <v>2023</v>
      </c>
    </row>
    <row r="841" ht="15.75" customHeight="1">
      <c r="A841" s="5">
        <v>43.0</v>
      </c>
      <c r="B841" s="10" t="s">
        <v>867</v>
      </c>
      <c r="C841" s="3" t="s">
        <v>868</v>
      </c>
      <c r="D841" s="4" t="s">
        <v>8</v>
      </c>
      <c r="E841" s="5" t="s">
        <v>45</v>
      </c>
      <c r="F841" s="6" t="s">
        <v>869</v>
      </c>
      <c r="G841" s="7">
        <v>44931.0</v>
      </c>
      <c r="H841" s="8">
        <f t="shared" si="1"/>
        <v>5</v>
      </c>
      <c r="I841" s="9">
        <f t="shared" si="2"/>
        <v>1</v>
      </c>
      <c r="J841" s="9">
        <f t="shared" si="3"/>
        <v>2023</v>
      </c>
    </row>
    <row r="842" ht="15.75" customHeight="1">
      <c r="A842" s="5">
        <v>43.0</v>
      </c>
      <c r="B842" s="10" t="s">
        <v>867</v>
      </c>
      <c r="C842" s="3" t="s">
        <v>868</v>
      </c>
      <c r="D842" s="4" t="s">
        <v>3</v>
      </c>
      <c r="E842" s="5" t="s">
        <v>4</v>
      </c>
      <c r="F842" s="6" t="s">
        <v>870</v>
      </c>
      <c r="G842" s="7">
        <v>44936.0</v>
      </c>
      <c r="H842" s="8">
        <f t="shared" si="1"/>
        <v>10</v>
      </c>
      <c r="I842" s="9">
        <f t="shared" si="2"/>
        <v>1</v>
      </c>
      <c r="J842" s="9">
        <f t="shared" si="3"/>
        <v>2023</v>
      </c>
    </row>
    <row r="843" ht="15.75" customHeight="1">
      <c r="A843" s="5">
        <v>43.0</v>
      </c>
      <c r="B843" s="10" t="s">
        <v>867</v>
      </c>
      <c r="C843" s="3" t="s">
        <v>868</v>
      </c>
      <c r="D843" s="4" t="s">
        <v>8</v>
      </c>
      <c r="E843" s="5" t="s">
        <v>51</v>
      </c>
      <c r="F843" s="6" t="s">
        <v>871</v>
      </c>
      <c r="G843" s="7">
        <v>44950.0</v>
      </c>
      <c r="H843" s="8">
        <f t="shared" si="1"/>
        <v>24</v>
      </c>
      <c r="I843" s="9">
        <f t="shared" si="2"/>
        <v>1</v>
      </c>
      <c r="J843" s="9">
        <f t="shared" si="3"/>
        <v>2023</v>
      </c>
    </row>
    <row r="844" ht="15.75" customHeight="1">
      <c r="A844" s="5">
        <v>43.0</v>
      </c>
      <c r="B844" s="10" t="s">
        <v>867</v>
      </c>
      <c r="C844" s="3" t="s">
        <v>868</v>
      </c>
      <c r="D844" s="4" t="s">
        <v>3</v>
      </c>
      <c r="E844" s="5" t="s">
        <v>17</v>
      </c>
      <c r="F844" s="6" t="s">
        <v>872</v>
      </c>
      <c r="G844" s="7">
        <v>44951.0</v>
      </c>
      <c r="H844" s="8">
        <f t="shared" si="1"/>
        <v>25</v>
      </c>
      <c r="I844" s="9">
        <f t="shared" si="2"/>
        <v>1</v>
      </c>
      <c r="J844" s="9">
        <f t="shared" si="3"/>
        <v>2023</v>
      </c>
    </row>
    <row r="845" ht="15.75" customHeight="1">
      <c r="A845" s="5">
        <v>43.0</v>
      </c>
      <c r="B845" s="10" t="s">
        <v>867</v>
      </c>
      <c r="C845" s="3" t="s">
        <v>868</v>
      </c>
      <c r="D845" s="4" t="s">
        <v>8</v>
      </c>
      <c r="E845" s="5" t="s">
        <v>23</v>
      </c>
      <c r="F845" s="6" t="s">
        <v>873</v>
      </c>
      <c r="G845" s="7">
        <v>44963.0</v>
      </c>
      <c r="H845" s="8">
        <f t="shared" si="1"/>
        <v>6</v>
      </c>
      <c r="I845" s="9">
        <f t="shared" si="2"/>
        <v>2</v>
      </c>
      <c r="J845" s="9">
        <f t="shared" si="3"/>
        <v>2023</v>
      </c>
    </row>
    <row r="846" ht="15.75" customHeight="1">
      <c r="A846" s="5">
        <v>43.0</v>
      </c>
      <c r="B846" s="10" t="s">
        <v>867</v>
      </c>
      <c r="C846" s="3" t="s">
        <v>868</v>
      </c>
      <c r="D846" s="4" t="s">
        <v>3</v>
      </c>
      <c r="E846" s="5" t="s">
        <v>21</v>
      </c>
      <c r="F846" s="6" t="s">
        <v>874</v>
      </c>
      <c r="G846" s="7">
        <v>44970.0</v>
      </c>
      <c r="H846" s="8">
        <f t="shared" si="1"/>
        <v>13</v>
      </c>
      <c r="I846" s="9">
        <f t="shared" si="2"/>
        <v>2</v>
      </c>
      <c r="J846" s="9">
        <f t="shared" si="3"/>
        <v>2023</v>
      </c>
    </row>
    <row r="847" ht="15.75" customHeight="1">
      <c r="A847" s="5">
        <v>43.0</v>
      </c>
      <c r="B847" s="10" t="s">
        <v>867</v>
      </c>
      <c r="C847" s="3" t="s">
        <v>868</v>
      </c>
      <c r="D847" s="4" t="s">
        <v>8</v>
      </c>
      <c r="E847" s="5" t="s">
        <v>35</v>
      </c>
      <c r="F847" s="6" t="s">
        <v>875</v>
      </c>
      <c r="G847" s="7">
        <v>44995.0</v>
      </c>
      <c r="H847" s="8">
        <f t="shared" si="1"/>
        <v>10</v>
      </c>
      <c r="I847" s="9">
        <f t="shared" si="2"/>
        <v>3</v>
      </c>
      <c r="J847" s="9">
        <f t="shared" si="3"/>
        <v>2023</v>
      </c>
    </row>
    <row r="848" ht="15.75" customHeight="1">
      <c r="A848" s="5">
        <v>43.0</v>
      </c>
      <c r="B848" s="10" t="s">
        <v>867</v>
      </c>
      <c r="C848" s="3" t="s">
        <v>868</v>
      </c>
      <c r="D848" s="4" t="s">
        <v>8</v>
      </c>
      <c r="E848" s="5" t="s">
        <v>71</v>
      </c>
      <c r="F848" s="6" t="s">
        <v>876</v>
      </c>
      <c r="G848" s="7">
        <v>45011.0</v>
      </c>
      <c r="H848" s="8">
        <f t="shared" si="1"/>
        <v>26</v>
      </c>
      <c r="I848" s="9">
        <f t="shared" si="2"/>
        <v>3</v>
      </c>
      <c r="J848" s="9">
        <f t="shared" si="3"/>
        <v>2023</v>
      </c>
    </row>
    <row r="849" ht="15.75" customHeight="1">
      <c r="A849" s="5">
        <v>43.0</v>
      </c>
      <c r="B849" s="10" t="s">
        <v>867</v>
      </c>
      <c r="C849" s="3" t="s">
        <v>868</v>
      </c>
      <c r="D849" s="4" t="s">
        <v>3</v>
      </c>
      <c r="E849" s="5" t="s">
        <v>35</v>
      </c>
      <c r="F849" s="6" t="s">
        <v>877</v>
      </c>
      <c r="G849" s="7">
        <v>45038.0</v>
      </c>
      <c r="H849" s="8">
        <f t="shared" si="1"/>
        <v>22</v>
      </c>
      <c r="I849" s="9">
        <f t="shared" si="2"/>
        <v>4</v>
      </c>
      <c r="J849" s="9">
        <f t="shared" si="3"/>
        <v>2023</v>
      </c>
    </row>
    <row r="850" ht="15.75" customHeight="1">
      <c r="A850" s="5">
        <v>43.0</v>
      </c>
      <c r="B850" s="10" t="s">
        <v>867</v>
      </c>
      <c r="C850" s="3" t="s">
        <v>868</v>
      </c>
      <c r="D850" s="4" t="s">
        <v>3</v>
      </c>
      <c r="E850" s="5" t="s">
        <v>11</v>
      </c>
      <c r="F850" s="6" t="s">
        <v>878</v>
      </c>
      <c r="G850" s="7">
        <v>45049.0</v>
      </c>
      <c r="H850" s="8">
        <f t="shared" si="1"/>
        <v>3</v>
      </c>
      <c r="I850" s="9">
        <f t="shared" si="2"/>
        <v>5</v>
      </c>
      <c r="J850" s="9">
        <f t="shared" si="3"/>
        <v>2023</v>
      </c>
    </row>
    <row r="851" ht="15.75" customHeight="1">
      <c r="A851" s="5">
        <v>43.0</v>
      </c>
      <c r="B851" s="10" t="s">
        <v>867</v>
      </c>
      <c r="C851" s="3" t="s">
        <v>868</v>
      </c>
      <c r="D851" s="4" t="s">
        <v>8</v>
      </c>
      <c r="E851" s="5" t="s">
        <v>6</v>
      </c>
      <c r="F851" s="6" t="s">
        <v>879</v>
      </c>
      <c r="G851" s="7">
        <v>45081.0</v>
      </c>
      <c r="H851" s="8">
        <f t="shared" si="1"/>
        <v>4</v>
      </c>
      <c r="I851" s="9">
        <f t="shared" si="2"/>
        <v>6</v>
      </c>
      <c r="J851" s="9">
        <f t="shared" si="3"/>
        <v>2023</v>
      </c>
    </row>
    <row r="852" ht="15.75" customHeight="1">
      <c r="A852" s="5">
        <v>43.0</v>
      </c>
      <c r="B852" s="10" t="s">
        <v>867</v>
      </c>
      <c r="C852" s="3" t="s">
        <v>868</v>
      </c>
      <c r="D852" s="4" t="s">
        <v>3</v>
      </c>
      <c r="E852" s="5" t="s">
        <v>35</v>
      </c>
      <c r="F852" s="6" t="s">
        <v>880</v>
      </c>
      <c r="G852" s="7">
        <v>45114.0</v>
      </c>
      <c r="H852" s="8">
        <f t="shared" si="1"/>
        <v>7</v>
      </c>
      <c r="I852" s="9">
        <f t="shared" si="2"/>
        <v>7</v>
      </c>
      <c r="J852" s="9">
        <f t="shared" si="3"/>
        <v>2023</v>
      </c>
    </row>
    <row r="853" ht="15.75" customHeight="1">
      <c r="A853" s="5">
        <v>43.0</v>
      </c>
      <c r="B853" s="10" t="s">
        <v>867</v>
      </c>
      <c r="C853" s="3" t="s">
        <v>868</v>
      </c>
      <c r="D853" s="4" t="s">
        <v>3</v>
      </c>
      <c r="E853" s="5" t="s">
        <v>28</v>
      </c>
      <c r="F853" s="6" t="s">
        <v>881</v>
      </c>
      <c r="G853" s="7">
        <v>45123.0</v>
      </c>
      <c r="H853" s="8">
        <f t="shared" si="1"/>
        <v>16</v>
      </c>
      <c r="I853" s="9">
        <f t="shared" si="2"/>
        <v>7</v>
      </c>
      <c r="J853" s="9">
        <f t="shared" si="3"/>
        <v>2023</v>
      </c>
    </row>
    <row r="854" ht="15.75" customHeight="1">
      <c r="A854" s="5">
        <v>43.0</v>
      </c>
      <c r="B854" s="10" t="s">
        <v>867</v>
      </c>
      <c r="C854" s="3" t="s">
        <v>868</v>
      </c>
      <c r="D854" s="4" t="s">
        <v>8</v>
      </c>
      <c r="E854" s="5" t="s">
        <v>42</v>
      </c>
      <c r="F854" s="6" t="s">
        <v>428</v>
      </c>
      <c r="G854" s="7">
        <v>45182.0</v>
      </c>
      <c r="H854" s="8">
        <f t="shared" si="1"/>
        <v>13</v>
      </c>
      <c r="I854" s="9">
        <f t="shared" si="2"/>
        <v>9</v>
      </c>
      <c r="J854" s="9">
        <f t="shared" si="3"/>
        <v>2023</v>
      </c>
    </row>
    <row r="855" ht="15.75" customHeight="1">
      <c r="A855" s="5">
        <v>43.0</v>
      </c>
      <c r="B855" s="10" t="s">
        <v>867</v>
      </c>
      <c r="C855" s="3" t="s">
        <v>868</v>
      </c>
      <c r="D855" s="4" t="s">
        <v>8</v>
      </c>
      <c r="E855" s="5" t="s">
        <v>51</v>
      </c>
      <c r="F855" s="6" t="s">
        <v>882</v>
      </c>
      <c r="G855" s="7">
        <v>45188.0</v>
      </c>
      <c r="H855" s="8">
        <f t="shared" si="1"/>
        <v>19</v>
      </c>
      <c r="I855" s="9">
        <f t="shared" si="2"/>
        <v>9</v>
      </c>
      <c r="J855" s="9">
        <f t="shared" si="3"/>
        <v>2023</v>
      </c>
    </row>
    <row r="856" ht="15.75" customHeight="1">
      <c r="A856" s="5">
        <v>43.0</v>
      </c>
      <c r="B856" s="10" t="s">
        <v>867</v>
      </c>
      <c r="C856" s="3" t="s">
        <v>868</v>
      </c>
      <c r="D856" s="4" t="s">
        <v>3</v>
      </c>
      <c r="E856" s="5" t="s">
        <v>76</v>
      </c>
      <c r="F856" s="6" t="s">
        <v>883</v>
      </c>
      <c r="G856" s="7">
        <v>45224.0</v>
      </c>
      <c r="H856" s="8">
        <f t="shared" si="1"/>
        <v>25</v>
      </c>
      <c r="I856" s="9">
        <f t="shared" si="2"/>
        <v>10</v>
      </c>
      <c r="J856" s="9">
        <f t="shared" si="3"/>
        <v>2023</v>
      </c>
    </row>
    <row r="857" ht="15.75" customHeight="1">
      <c r="A857" s="5">
        <v>43.0</v>
      </c>
      <c r="B857" s="10" t="s">
        <v>867</v>
      </c>
      <c r="C857" s="3" t="s">
        <v>868</v>
      </c>
      <c r="D857" s="4" t="s">
        <v>8</v>
      </c>
      <c r="E857" s="5" t="s">
        <v>51</v>
      </c>
      <c r="F857" s="6" t="s">
        <v>205</v>
      </c>
      <c r="G857" s="7">
        <v>45272.0</v>
      </c>
      <c r="H857" s="8">
        <f t="shared" si="1"/>
        <v>12</v>
      </c>
      <c r="I857" s="9">
        <f t="shared" si="2"/>
        <v>12</v>
      </c>
      <c r="J857" s="9">
        <f t="shared" si="3"/>
        <v>2023</v>
      </c>
    </row>
    <row r="858" ht="15.75" customHeight="1">
      <c r="A858" s="5">
        <v>43.0</v>
      </c>
      <c r="B858" s="10" t="s">
        <v>867</v>
      </c>
      <c r="C858" s="3" t="s">
        <v>868</v>
      </c>
      <c r="D858" s="4" t="s">
        <v>3</v>
      </c>
      <c r="E858" s="5" t="s">
        <v>21</v>
      </c>
      <c r="F858" s="6" t="s">
        <v>884</v>
      </c>
      <c r="G858" s="7">
        <v>45281.0</v>
      </c>
      <c r="H858" s="8">
        <f t="shared" si="1"/>
        <v>21</v>
      </c>
      <c r="I858" s="9">
        <f t="shared" si="2"/>
        <v>12</v>
      </c>
      <c r="J858" s="9">
        <f t="shared" si="3"/>
        <v>2023</v>
      </c>
    </row>
    <row r="859" ht="15.75" customHeight="1">
      <c r="A859" s="5">
        <v>43.0</v>
      </c>
      <c r="B859" s="10" t="s">
        <v>867</v>
      </c>
      <c r="C859" s="3" t="s">
        <v>868</v>
      </c>
      <c r="D859" s="4" t="s">
        <v>8</v>
      </c>
      <c r="E859" s="5" t="s">
        <v>71</v>
      </c>
      <c r="F859" s="6" t="s">
        <v>885</v>
      </c>
      <c r="G859" s="7">
        <v>45286.0</v>
      </c>
      <c r="H859" s="8">
        <f t="shared" si="1"/>
        <v>26</v>
      </c>
      <c r="I859" s="9">
        <f t="shared" si="2"/>
        <v>12</v>
      </c>
      <c r="J859" s="9">
        <f t="shared" si="3"/>
        <v>2023</v>
      </c>
    </row>
    <row r="860" ht="15.75" customHeight="1">
      <c r="A860" s="5">
        <v>43.0</v>
      </c>
      <c r="B860" s="10" t="s">
        <v>867</v>
      </c>
      <c r="C860" s="3" t="s">
        <v>868</v>
      </c>
      <c r="D860" s="4" t="s">
        <v>8</v>
      </c>
      <c r="E860" s="5" t="s">
        <v>39</v>
      </c>
      <c r="F860" s="6" t="s">
        <v>886</v>
      </c>
      <c r="G860" s="7">
        <v>45287.0</v>
      </c>
      <c r="H860" s="8">
        <f t="shared" si="1"/>
        <v>27</v>
      </c>
      <c r="I860" s="9">
        <f t="shared" si="2"/>
        <v>12</v>
      </c>
      <c r="J860" s="9">
        <f t="shared" si="3"/>
        <v>2023</v>
      </c>
    </row>
    <row r="861" ht="15.75" customHeight="1">
      <c r="A861" s="5">
        <v>44.0</v>
      </c>
      <c r="B861" s="10" t="s">
        <v>887</v>
      </c>
      <c r="C861" s="3" t="s">
        <v>888</v>
      </c>
      <c r="D861" s="4" t="s">
        <v>8</v>
      </c>
      <c r="E861" s="5" t="s">
        <v>76</v>
      </c>
      <c r="F861" s="6" t="s">
        <v>889</v>
      </c>
      <c r="G861" s="7">
        <v>44963.0</v>
      </c>
      <c r="H861" s="8">
        <f t="shared" si="1"/>
        <v>6</v>
      </c>
      <c r="I861" s="9">
        <f t="shared" si="2"/>
        <v>2</v>
      </c>
      <c r="J861" s="9">
        <f t="shared" si="3"/>
        <v>2023</v>
      </c>
    </row>
    <row r="862" ht="15.75" customHeight="1">
      <c r="A862" s="5">
        <v>44.0</v>
      </c>
      <c r="B862" s="10" t="s">
        <v>887</v>
      </c>
      <c r="C862" s="3" t="s">
        <v>888</v>
      </c>
      <c r="D862" s="4" t="s">
        <v>8</v>
      </c>
      <c r="E862" s="5" t="s">
        <v>71</v>
      </c>
      <c r="F862" s="6" t="s">
        <v>890</v>
      </c>
      <c r="G862" s="7">
        <v>44977.0</v>
      </c>
      <c r="H862" s="8">
        <f t="shared" si="1"/>
        <v>20</v>
      </c>
      <c r="I862" s="9">
        <f t="shared" si="2"/>
        <v>2</v>
      </c>
      <c r="J862" s="9">
        <f t="shared" si="3"/>
        <v>2023</v>
      </c>
    </row>
    <row r="863" ht="15.75" customHeight="1">
      <c r="A863" s="5">
        <v>44.0</v>
      </c>
      <c r="B863" s="10" t="s">
        <v>887</v>
      </c>
      <c r="C863" s="3" t="s">
        <v>888</v>
      </c>
      <c r="D863" s="4" t="s">
        <v>3</v>
      </c>
      <c r="E863" s="5" t="s">
        <v>35</v>
      </c>
      <c r="F863" s="6" t="s">
        <v>891</v>
      </c>
      <c r="G863" s="7">
        <v>44986.0</v>
      </c>
      <c r="H863" s="8">
        <f t="shared" si="1"/>
        <v>1</v>
      </c>
      <c r="I863" s="9">
        <f t="shared" si="2"/>
        <v>3</v>
      </c>
      <c r="J863" s="9">
        <f t="shared" si="3"/>
        <v>2023</v>
      </c>
    </row>
    <row r="864" ht="15.75" customHeight="1">
      <c r="A864" s="5">
        <v>44.0</v>
      </c>
      <c r="B864" s="10" t="s">
        <v>887</v>
      </c>
      <c r="C864" s="3" t="s">
        <v>888</v>
      </c>
      <c r="D864" s="4" t="s">
        <v>3</v>
      </c>
      <c r="E864" s="5" t="s">
        <v>96</v>
      </c>
      <c r="F864" s="6" t="s">
        <v>892</v>
      </c>
      <c r="G864" s="7">
        <v>45007.0</v>
      </c>
      <c r="H864" s="8">
        <f t="shared" si="1"/>
        <v>22</v>
      </c>
      <c r="I864" s="9">
        <f t="shared" si="2"/>
        <v>3</v>
      </c>
      <c r="J864" s="9">
        <f t="shared" si="3"/>
        <v>2023</v>
      </c>
    </row>
    <row r="865" ht="15.75" customHeight="1">
      <c r="A865" s="5">
        <v>44.0</v>
      </c>
      <c r="B865" s="10" t="s">
        <v>887</v>
      </c>
      <c r="C865" s="3" t="s">
        <v>888</v>
      </c>
      <c r="D865" s="4" t="s">
        <v>3</v>
      </c>
      <c r="E865" s="5" t="s">
        <v>35</v>
      </c>
      <c r="F865" s="6" t="s">
        <v>893</v>
      </c>
      <c r="G865" s="7">
        <v>45029.0</v>
      </c>
      <c r="H865" s="8">
        <f t="shared" si="1"/>
        <v>13</v>
      </c>
      <c r="I865" s="9">
        <f t="shared" si="2"/>
        <v>4</v>
      </c>
      <c r="J865" s="9">
        <f t="shared" si="3"/>
        <v>2023</v>
      </c>
    </row>
    <row r="866" ht="15.75" customHeight="1">
      <c r="A866" s="5">
        <v>44.0</v>
      </c>
      <c r="B866" s="10" t="s">
        <v>887</v>
      </c>
      <c r="C866" s="3" t="s">
        <v>888</v>
      </c>
      <c r="D866" s="4" t="s">
        <v>8</v>
      </c>
      <c r="E866" s="5" t="s">
        <v>51</v>
      </c>
      <c r="F866" s="6" t="s">
        <v>894</v>
      </c>
      <c r="G866" s="7">
        <v>45039.0</v>
      </c>
      <c r="H866" s="8">
        <f t="shared" si="1"/>
        <v>23</v>
      </c>
      <c r="I866" s="9">
        <f t="shared" si="2"/>
        <v>4</v>
      </c>
      <c r="J866" s="9">
        <f t="shared" si="3"/>
        <v>2023</v>
      </c>
    </row>
    <row r="867" ht="15.75" customHeight="1">
      <c r="A867" s="5">
        <v>44.0</v>
      </c>
      <c r="B867" s="10" t="s">
        <v>887</v>
      </c>
      <c r="C867" s="3" t="s">
        <v>888</v>
      </c>
      <c r="D867" s="4" t="s">
        <v>3</v>
      </c>
      <c r="E867" s="5" t="s">
        <v>6</v>
      </c>
      <c r="F867" s="6" t="s">
        <v>895</v>
      </c>
      <c r="G867" s="7">
        <v>45047.0</v>
      </c>
      <c r="H867" s="8">
        <f t="shared" si="1"/>
        <v>1</v>
      </c>
      <c r="I867" s="9">
        <f t="shared" si="2"/>
        <v>5</v>
      </c>
      <c r="J867" s="9">
        <f t="shared" si="3"/>
        <v>2023</v>
      </c>
    </row>
    <row r="868" ht="15.75" customHeight="1">
      <c r="A868" s="5">
        <v>44.0</v>
      </c>
      <c r="B868" s="10" t="s">
        <v>887</v>
      </c>
      <c r="C868" s="3" t="s">
        <v>888</v>
      </c>
      <c r="D868" s="4" t="s">
        <v>8</v>
      </c>
      <c r="E868" s="5" t="s">
        <v>35</v>
      </c>
      <c r="F868" s="6" t="s">
        <v>896</v>
      </c>
      <c r="G868" s="7">
        <v>45057.0</v>
      </c>
      <c r="H868" s="8">
        <f t="shared" si="1"/>
        <v>11</v>
      </c>
      <c r="I868" s="9">
        <f t="shared" si="2"/>
        <v>5</v>
      </c>
      <c r="J868" s="9">
        <f t="shared" si="3"/>
        <v>2023</v>
      </c>
    </row>
    <row r="869" ht="15.75" customHeight="1">
      <c r="A869" s="5">
        <v>44.0</v>
      </c>
      <c r="B869" s="10" t="s">
        <v>887</v>
      </c>
      <c r="C869" s="3" t="s">
        <v>888</v>
      </c>
      <c r="D869" s="4" t="s">
        <v>3</v>
      </c>
      <c r="E869" s="5" t="s">
        <v>9</v>
      </c>
      <c r="F869" s="6" t="s">
        <v>609</v>
      </c>
      <c r="G869" s="7">
        <v>45060.0</v>
      </c>
      <c r="H869" s="8">
        <f t="shared" si="1"/>
        <v>14</v>
      </c>
      <c r="I869" s="9">
        <f t="shared" si="2"/>
        <v>5</v>
      </c>
      <c r="J869" s="9">
        <f t="shared" si="3"/>
        <v>2023</v>
      </c>
    </row>
    <row r="870" ht="15.75" customHeight="1">
      <c r="A870" s="5">
        <v>44.0</v>
      </c>
      <c r="B870" s="10" t="s">
        <v>887</v>
      </c>
      <c r="C870" s="3" t="s">
        <v>888</v>
      </c>
      <c r="D870" s="4" t="s">
        <v>3</v>
      </c>
      <c r="E870" s="5" t="s">
        <v>17</v>
      </c>
      <c r="F870" s="6" t="s">
        <v>897</v>
      </c>
      <c r="G870" s="7">
        <v>45062.0</v>
      </c>
      <c r="H870" s="8">
        <f t="shared" si="1"/>
        <v>16</v>
      </c>
      <c r="I870" s="9">
        <f t="shared" si="2"/>
        <v>5</v>
      </c>
      <c r="J870" s="9">
        <f t="shared" si="3"/>
        <v>2023</v>
      </c>
    </row>
    <row r="871" ht="15.75" customHeight="1">
      <c r="A871" s="5">
        <v>44.0</v>
      </c>
      <c r="B871" s="10" t="s">
        <v>887</v>
      </c>
      <c r="C871" s="3" t="s">
        <v>888</v>
      </c>
      <c r="D871" s="4" t="s">
        <v>3</v>
      </c>
      <c r="E871" s="5" t="s">
        <v>51</v>
      </c>
      <c r="F871" s="6" t="s">
        <v>898</v>
      </c>
      <c r="G871" s="7">
        <v>45104.0</v>
      </c>
      <c r="H871" s="8">
        <f t="shared" si="1"/>
        <v>27</v>
      </c>
      <c r="I871" s="9">
        <f t="shared" si="2"/>
        <v>6</v>
      </c>
      <c r="J871" s="9">
        <f t="shared" si="3"/>
        <v>2023</v>
      </c>
    </row>
    <row r="872" ht="15.75" customHeight="1">
      <c r="A872" s="5">
        <v>44.0</v>
      </c>
      <c r="B872" s="10" t="s">
        <v>887</v>
      </c>
      <c r="C872" s="3" t="s">
        <v>888</v>
      </c>
      <c r="D872" s="4" t="s">
        <v>3</v>
      </c>
      <c r="E872" s="5" t="s">
        <v>45</v>
      </c>
      <c r="F872" s="6" t="s">
        <v>899</v>
      </c>
      <c r="G872" s="7">
        <v>45130.0</v>
      </c>
      <c r="H872" s="8">
        <f t="shared" si="1"/>
        <v>23</v>
      </c>
      <c r="I872" s="9">
        <f t="shared" si="2"/>
        <v>7</v>
      </c>
      <c r="J872" s="9">
        <f t="shared" si="3"/>
        <v>2023</v>
      </c>
    </row>
    <row r="873" ht="15.75" customHeight="1">
      <c r="A873" s="5">
        <v>44.0</v>
      </c>
      <c r="B873" s="10" t="s">
        <v>887</v>
      </c>
      <c r="C873" s="3" t="s">
        <v>888</v>
      </c>
      <c r="D873" s="4" t="s">
        <v>8</v>
      </c>
      <c r="E873" s="5" t="s">
        <v>13</v>
      </c>
      <c r="F873" s="6" t="s">
        <v>900</v>
      </c>
      <c r="G873" s="7">
        <v>45165.0</v>
      </c>
      <c r="H873" s="8">
        <f t="shared" si="1"/>
        <v>27</v>
      </c>
      <c r="I873" s="9">
        <f t="shared" si="2"/>
        <v>8</v>
      </c>
      <c r="J873" s="9">
        <f t="shared" si="3"/>
        <v>2023</v>
      </c>
    </row>
    <row r="874" ht="15.75" customHeight="1">
      <c r="A874" s="5">
        <v>44.0</v>
      </c>
      <c r="B874" s="10" t="s">
        <v>887</v>
      </c>
      <c r="C874" s="3" t="s">
        <v>888</v>
      </c>
      <c r="D874" s="4" t="s">
        <v>8</v>
      </c>
      <c r="E874" s="5" t="s">
        <v>35</v>
      </c>
      <c r="F874" s="6" t="s">
        <v>901</v>
      </c>
      <c r="G874" s="7">
        <v>45174.0</v>
      </c>
      <c r="H874" s="8">
        <f t="shared" si="1"/>
        <v>5</v>
      </c>
      <c r="I874" s="9">
        <f t="shared" si="2"/>
        <v>9</v>
      </c>
      <c r="J874" s="9">
        <f t="shared" si="3"/>
        <v>2023</v>
      </c>
    </row>
    <row r="875" ht="15.75" customHeight="1">
      <c r="A875" s="5">
        <v>44.0</v>
      </c>
      <c r="B875" s="10" t="s">
        <v>887</v>
      </c>
      <c r="C875" s="3" t="s">
        <v>888</v>
      </c>
      <c r="D875" s="4" t="s">
        <v>8</v>
      </c>
      <c r="E875" s="5" t="s">
        <v>17</v>
      </c>
      <c r="F875" s="6" t="s">
        <v>902</v>
      </c>
      <c r="G875" s="7">
        <v>45176.0</v>
      </c>
      <c r="H875" s="8">
        <f t="shared" si="1"/>
        <v>7</v>
      </c>
      <c r="I875" s="9">
        <f t="shared" si="2"/>
        <v>9</v>
      </c>
      <c r="J875" s="9">
        <f t="shared" si="3"/>
        <v>2023</v>
      </c>
    </row>
    <row r="876" ht="15.75" customHeight="1">
      <c r="A876" s="5">
        <v>44.0</v>
      </c>
      <c r="B876" s="10" t="s">
        <v>887</v>
      </c>
      <c r="C876" s="3" t="s">
        <v>888</v>
      </c>
      <c r="D876" s="4" t="s">
        <v>3</v>
      </c>
      <c r="E876" s="5" t="s">
        <v>21</v>
      </c>
      <c r="F876" s="6" t="s">
        <v>903</v>
      </c>
      <c r="G876" s="7">
        <v>45185.0</v>
      </c>
      <c r="H876" s="8">
        <f t="shared" si="1"/>
        <v>16</v>
      </c>
      <c r="I876" s="9">
        <f t="shared" si="2"/>
        <v>9</v>
      </c>
      <c r="J876" s="9">
        <f t="shared" si="3"/>
        <v>2023</v>
      </c>
    </row>
    <row r="877" ht="15.75" customHeight="1">
      <c r="A877" s="5">
        <v>44.0</v>
      </c>
      <c r="B877" s="10" t="s">
        <v>887</v>
      </c>
      <c r="C877" s="3" t="s">
        <v>888</v>
      </c>
      <c r="D877" s="4" t="s">
        <v>3</v>
      </c>
      <c r="E877" s="5" t="s">
        <v>51</v>
      </c>
      <c r="F877" s="6" t="s">
        <v>904</v>
      </c>
      <c r="G877" s="7">
        <v>45232.0</v>
      </c>
      <c r="H877" s="8">
        <f t="shared" si="1"/>
        <v>2</v>
      </c>
      <c r="I877" s="9">
        <f t="shared" si="2"/>
        <v>11</v>
      </c>
      <c r="J877" s="9">
        <f t="shared" si="3"/>
        <v>2023</v>
      </c>
    </row>
    <row r="878" ht="15.75" customHeight="1">
      <c r="A878" s="5">
        <v>44.0</v>
      </c>
      <c r="B878" s="10" t="s">
        <v>887</v>
      </c>
      <c r="C878" s="3" t="s">
        <v>888</v>
      </c>
      <c r="D878" s="4" t="s">
        <v>3</v>
      </c>
      <c r="E878" s="5" t="s">
        <v>19</v>
      </c>
      <c r="F878" s="6" t="s">
        <v>905</v>
      </c>
      <c r="G878" s="7">
        <v>45251.0</v>
      </c>
      <c r="H878" s="8">
        <f t="shared" si="1"/>
        <v>21</v>
      </c>
      <c r="I878" s="9">
        <f t="shared" si="2"/>
        <v>11</v>
      </c>
      <c r="J878" s="9">
        <f t="shared" si="3"/>
        <v>2023</v>
      </c>
    </row>
    <row r="879" ht="15.75" customHeight="1">
      <c r="A879" s="5">
        <v>44.0</v>
      </c>
      <c r="B879" s="10" t="s">
        <v>887</v>
      </c>
      <c r="C879" s="3" t="s">
        <v>888</v>
      </c>
      <c r="D879" s="4" t="s">
        <v>8</v>
      </c>
      <c r="E879" s="5" t="s">
        <v>17</v>
      </c>
      <c r="F879" s="6" t="s">
        <v>906</v>
      </c>
      <c r="G879" s="7">
        <v>45254.0</v>
      </c>
      <c r="H879" s="8">
        <f t="shared" si="1"/>
        <v>24</v>
      </c>
      <c r="I879" s="9">
        <f t="shared" si="2"/>
        <v>11</v>
      </c>
      <c r="J879" s="9">
        <f t="shared" si="3"/>
        <v>2023</v>
      </c>
    </row>
    <row r="880" ht="15.75" customHeight="1">
      <c r="A880" s="5">
        <v>44.0</v>
      </c>
      <c r="B880" s="10" t="s">
        <v>887</v>
      </c>
      <c r="C880" s="3" t="s">
        <v>888</v>
      </c>
      <c r="D880" s="4" t="s">
        <v>8</v>
      </c>
      <c r="E880" s="5" t="s">
        <v>76</v>
      </c>
      <c r="F880" s="6" t="s">
        <v>907</v>
      </c>
      <c r="G880" s="7">
        <v>45285.0</v>
      </c>
      <c r="H880" s="8">
        <f t="shared" si="1"/>
        <v>25</v>
      </c>
      <c r="I880" s="9">
        <f t="shared" si="2"/>
        <v>12</v>
      </c>
      <c r="J880" s="9">
        <f t="shared" si="3"/>
        <v>2023</v>
      </c>
    </row>
    <row r="881" ht="15.75" customHeight="1">
      <c r="A881" s="5">
        <v>45.0</v>
      </c>
      <c r="B881" s="10" t="s">
        <v>908</v>
      </c>
      <c r="C881" s="3" t="s">
        <v>909</v>
      </c>
      <c r="D881" s="4" t="s">
        <v>3</v>
      </c>
      <c r="E881" s="5" t="s">
        <v>19</v>
      </c>
      <c r="F881" s="6" t="s">
        <v>369</v>
      </c>
      <c r="G881" s="7">
        <v>44968.0</v>
      </c>
      <c r="H881" s="8">
        <f t="shared" si="1"/>
        <v>11</v>
      </c>
      <c r="I881" s="9">
        <f t="shared" si="2"/>
        <v>2</v>
      </c>
      <c r="J881" s="9">
        <f t="shared" si="3"/>
        <v>2023</v>
      </c>
    </row>
    <row r="882" ht="15.75" customHeight="1">
      <c r="A882" s="5">
        <v>45.0</v>
      </c>
      <c r="B882" s="10" t="s">
        <v>908</v>
      </c>
      <c r="C882" s="3" t="s">
        <v>909</v>
      </c>
      <c r="D882" s="4" t="s">
        <v>3</v>
      </c>
      <c r="E882" s="5" t="s">
        <v>76</v>
      </c>
      <c r="F882" s="6" t="s">
        <v>910</v>
      </c>
      <c r="G882" s="7">
        <v>44976.0</v>
      </c>
      <c r="H882" s="8">
        <f t="shared" si="1"/>
        <v>19</v>
      </c>
      <c r="I882" s="9">
        <f t="shared" si="2"/>
        <v>2</v>
      </c>
      <c r="J882" s="9">
        <f t="shared" si="3"/>
        <v>2023</v>
      </c>
    </row>
    <row r="883" ht="15.75" customHeight="1">
      <c r="A883" s="5">
        <v>45.0</v>
      </c>
      <c r="B883" s="10" t="s">
        <v>908</v>
      </c>
      <c r="C883" s="3" t="s">
        <v>909</v>
      </c>
      <c r="D883" s="4" t="s">
        <v>8</v>
      </c>
      <c r="E883" s="5" t="s">
        <v>13</v>
      </c>
      <c r="F883" s="6" t="s">
        <v>911</v>
      </c>
      <c r="G883" s="7">
        <v>44980.0</v>
      </c>
      <c r="H883" s="8">
        <f t="shared" si="1"/>
        <v>23</v>
      </c>
      <c r="I883" s="9">
        <f t="shared" si="2"/>
        <v>2</v>
      </c>
      <c r="J883" s="9">
        <f t="shared" si="3"/>
        <v>2023</v>
      </c>
    </row>
    <row r="884" ht="15.75" customHeight="1">
      <c r="A884" s="5">
        <v>45.0</v>
      </c>
      <c r="B884" s="10" t="s">
        <v>908</v>
      </c>
      <c r="C884" s="3" t="s">
        <v>909</v>
      </c>
      <c r="D884" s="4" t="s">
        <v>3</v>
      </c>
      <c r="E884" s="5" t="s">
        <v>11</v>
      </c>
      <c r="F884" s="6" t="s">
        <v>912</v>
      </c>
      <c r="G884" s="7">
        <v>45005.0</v>
      </c>
      <c r="H884" s="8">
        <f t="shared" si="1"/>
        <v>20</v>
      </c>
      <c r="I884" s="9">
        <f t="shared" si="2"/>
        <v>3</v>
      </c>
      <c r="J884" s="9">
        <f t="shared" si="3"/>
        <v>2023</v>
      </c>
    </row>
    <row r="885" ht="15.75" customHeight="1">
      <c r="A885" s="5">
        <v>45.0</v>
      </c>
      <c r="B885" s="10" t="s">
        <v>908</v>
      </c>
      <c r="C885" s="3" t="s">
        <v>909</v>
      </c>
      <c r="D885" s="4" t="s">
        <v>3</v>
      </c>
      <c r="E885" s="5" t="s">
        <v>120</v>
      </c>
      <c r="F885" s="6" t="s">
        <v>913</v>
      </c>
      <c r="G885" s="7">
        <v>45034.0</v>
      </c>
      <c r="H885" s="8">
        <f t="shared" si="1"/>
        <v>18</v>
      </c>
      <c r="I885" s="9">
        <f t="shared" si="2"/>
        <v>4</v>
      </c>
      <c r="J885" s="9">
        <f t="shared" si="3"/>
        <v>2023</v>
      </c>
    </row>
    <row r="886" ht="15.75" customHeight="1">
      <c r="A886" s="5">
        <v>45.0</v>
      </c>
      <c r="B886" s="10" t="s">
        <v>908</v>
      </c>
      <c r="C886" s="3" t="s">
        <v>909</v>
      </c>
      <c r="D886" s="4" t="s">
        <v>8</v>
      </c>
      <c r="E886" s="5" t="s">
        <v>39</v>
      </c>
      <c r="F886" s="6" t="s">
        <v>914</v>
      </c>
      <c r="G886" s="7">
        <v>45041.0</v>
      </c>
      <c r="H886" s="8">
        <f t="shared" si="1"/>
        <v>25</v>
      </c>
      <c r="I886" s="9">
        <f t="shared" si="2"/>
        <v>4</v>
      </c>
      <c r="J886" s="9">
        <f t="shared" si="3"/>
        <v>2023</v>
      </c>
    </row>
    <row r="887" ht="15.75" customHeight="1">
      <c r="A887" s="5">
        <v>45.0</v>
      </c>
      <c r="B887" s="10" t="s">
        <v>908</v>
      </c>
      <c r="C887" s="3" t="s">
        <v>909</v>
      </c>
      <c r="D887" s="4" t="s">
        <v>8</v>
      </c>
      <c r="E887" s="5" t="s">
        <v>15</v>
      </c>
      <c r="F887" s="6" t="s">
        <v>915</v>
      </c>
      <c r="G887" s="7">
        <v>45044.0</v>
      </c>
      <c r="H887" s="8">
        <f t="shared" si="1"/>
        <v>28</v>
      </c>
      <c r="I887" s="9">
        <f t="shared" si="2"/>
        <v>4</v>
      </c>
      <c r="J887" s="9">
        <f t="shared" si="3"/>
        <v>2023</v>
      </c>
    </row>
    <row r="888" ht="15.75" customHeight="1">
      <c r="A888" s="5">
        <v>45.0</v>
      </c>
      <c r="B888" s="10" t="s">
        <v>908</v>
      </c>
      <c r="C888" s="3" t="s">
        <v>909</v>
      </c>
      <c r="D888" s="4" t="s">
        <v>8</v>
      </c>
      <c r="E888" s="5" t="s">
        <v>19</v>
      </c>
      <c r="F888" s="6" t="s">
        <v>916</v>
      </c>
      <c r="G888" s="7">
        <v>45044.0</v>
      </c>
      <c r="H888" s="8">
        <f t="shared" si="1"/>
        <v>28</v>
      </c>
      <c r="I888" s="9">
        <f t="shared" si="2"/>
        <v>4</v>
      </c>
      <c r="J888" s="9">
        <f t="shared" si="3"/>
        <v>2023</v>
      </c>
    </row>
    <row r="889" ht="15.75" customHeight="1">
      <c r="A889" s="5">
        <v>45.0</v>
      </c>
      <c r="B889" s="10" t="s">
        <v>908</v>
      </c>
      <c r="C889" s="3" t="s">
        <v>909</v>
      </c>
      <c r="D889" s="4" t="s">
        <v>3</v>
      </c>
      <c r="E889" s="5" t="s">
        <v>19</v>
      </c>
      <c r="F889" s="6" t="s">
        <v>917</v>
      </c>
      <c r="G889" s="7">
        <v>45051.0</v>
      </c>
      <c r="H889" s="8">
        <f t="shared" si="1"/>
        <v>5</v>
      </c>
      <c r="I889" s="9">
        <f t="shared" si="2"/>
        <v>5</v>
      </c>
      <c r="J889" s="9">
        <f t="shared" si="3"/>
        <v>2023</v>
      </c>
    </row>
    <row r="890" ht="15.75" customHeight="1">
      <c r="A890" s="5">
        <v>45.0</v>
      </c>
      <c r="B890" s="10" t="s">
        <v>908</v>
      </c>
      <c r="C890" s="3" t="s">
        <v>909</v>
      </c>
      <c r="D890" s="4" t="s">
        <v>8</v>
      </c>
      <c r="E890" s="5" t="s">
        <v>23</v>
      </c>
      <c r="F890" s="6" t="s">
        <v>918</v>
      </c>
      <c r="G890" s="7">
        <v>45055.0</v>
      </c>
      <c r="H890" s="8">
        <f t="shared" si="1"/>
        <v>9</v>
      </c>
      <c r="I890" s="9">
        <f t="shared" si="2"/>
        <v>5</v>
      </c>
      <c r="J890" s="9">
        <f t="shared" si="3"/>
        <v>2023</v>
      </c>
    </row>
    <row r="891" ht="15.75" customHeight="1">
      <c r="A891" s="5">
        <v>45.0</v>
      </c>
      <c r="B891" s="10" t="s">
        <v>908</v>
      </c>
      <c r="C891" s="3" t="s">
        <v>909</v>
      </c>
      <c r="D891" s="4" t="s">
        <v>3</v>
      </c>
      <c r="E891" s="5" t="s">
        <v>19</v>
      </c>
      <c r="F891" s="6" t="s">
        <v>732</v>
      </c>
      <c r="G891" s="7">
        <v>45060.0</v>
      </c>
      <c r="H891" s="8">
        <f t="shared" si="1"/>
        <v>14</v>
      </c>
      <c r="I891" s="9">
        <f t="shared" si="2"/>
        <v>5</v>
      </c>
      <c r="J891" s="9">
        <f t="shared" si="3"/>
        <v>2023</v>
      </c>
    </row>
    <row r="892" ht="15.75" customHeight="1">
      <c r="A892" s="5">
        <v>45.0</v>
      </c>
      <c r="B892" s="10" t="s">
        <v>908</v>
      </c>
      <c r="C892" s="3" t="s">
        <v>909</v>
      </c>
      <c r="D892" s="4" t="s">
        <v>8</v>
      </c>
      <c r="E892" s="5" t="s">
        <v>15</v>
      </c>
      <c r="F892" s="6" t="s">
        <v>919</v>
      </c>
      <c r="G892" s="7">
        <v>45080.0</v>
      </c>
      <c r="H892" s="8">
        <f t="shared" si="1"/>
        <v>3</v>
      </c>
      <c r="I892" s="9">
        <f t="shared" si="2"/>
        <v>6</v>
      </c>
      <c r="J892" s="9">
        <f t="shared" si="3"/>
        <v>2023</v>
      </c>
    </row>
    <row r="893" ht="15.75" customHeight="1">
      <c r="A893" s="5">
        <v>45.0</v>
      </c>
      <c r="B893" s="10" t="s">
        <v>908</v>
      </c>
      <c r="C893" s="3" t="s">
        <v>909</v>
      </c>
      <c r="D893" s="4" t="s">
        <v>3</v>
      </c>
      <c r="E893" s="5" t="s">
        <v>28</v>
      </c>
      <c r="F893" s="6" t="s">
        <v>920</v>
      </c>
      <c r="G893" s="7">
        <v>45098.0</v>
      </c>
      <c r="H893" s="8">
        <f t="shared" si="1"/>
        <v>21</v>
      </c>
      <c r="I893" s="9">
        <f t="shared" si="2"/>
        <v>6</v>
      </c>
      <c r="J893" s="9">
        <f t="shared" si="3"/>
        <v>2023</v>
      </c>
    </row>
    <row r="894" ht="15.75" customHeight="1">
      <c r="A894" s="5">
        <v>45.0</v>
      </c>
      <c r="B894" s="10" t="s">
        <v>908</v>
      </c>
      <c r="C894" s="3" t="s">
        <v>909</v>
      </c>
      <c r="D894" s="4" t="s">
        <v>8</v>
      </c>
      <c r="E894" s="5" t="s">
        <v>4</v>
      </c>
      <c r="F894" s="6" t="s">
        <v>921</v>
      </c>
      <c r="G894" s="7">
        <v>45111.0</v>
      </c>
      <c r="H894" s="8">
        <f t="shared" si="1"/>
        <v>4</v>
      </c>
      <c r="I894" s="9">
        <f t="shared" si="2"/>
        <v>7</v>
      </c>
      <c r="J894" s="9">
        <f t="shared" si="3"/>
        <v>2023</v>
      </c>
    </row>
    <row r="895" ht="15.75" customHeight="1">
      <c r="A895" s="5">
        <v>45.0</v>
      </c>
      <c r="B895" s="10" t="s">
        <v>908</v>
      </c>
      <c r="C895" s="3" t="s">
        <v>909</v>
      </c>
      <c r="D895" s="4" t="s">
        <v>3</v>
      </c>
      <c r="E895" s="5" t="s">
        <v>4</v>
      </c>
      <c r="F895" s="6" t="s">
        <v>922</v>
      </c>
      <c r="G895" s="7">
        <v>45124.0</v>
      </c>
      <c r="H895" s="8">
        <f t="shared" si="1"/>
        <v>17</v>
      </c>
      <c r="I895" s="9">
        <f t="shared" si="2"/>
        <v>7</v>
      </c>
      <c r="J895" s="9">
        <f t="shared" si="3"/>
        <v>2023</v>
      </c>
    </row>
    <row r="896" ht="15.75" customHeight="1">
      <c r="A896" s="5">
        <v>45.0</v>
      </c>
      <c r="B896" s="10" t="s">
        <v>908</v>
      </c>
      <c r="C896" s="3" t="s">
        <v>909</v>
      </c>
      <c r="D896" s="4" t="s">
        <v>3</v>
      </c>
      <c r="E896" s="5" t="s">
        <v>71</v>
      </c>
      <c r="F896" s="6" t="s">
        <v>923</v>
      </c>
      <c r="G896" s="7">
        <v>45164.0</v>
      </c>
      <c r="H896" s="8">
        <f t="shared" si="1"/>
        <v>26</v>
      </c>
      <c r="I896" s="9">
        <f t="shared" si="2"/>
        <v>8</v>
      </c>
      <c r="J896" s="9">
        <f t="shared" si="3"/>
        <v>2023</v>
      </c>
    </row>
    <row r="897" ht="15.75" customHeight="1">
      <c r="A897" s="5">
        <v>45.0</v>
      </c>
      <c r="B897" s="10" t="s">
        <v>908</v>
      </c>
      <c r="C897" s="3" t="s">
        <v>909</v>
      </c>
      <c r="D897" s="4" t="s">
        <v>8</v>
      </c>
      <c r="E897" s="5" t="s">
        <v>71</v>
      </c>
      <c r="F897" s="6" t="s">
        <v>924</v>
      </c>
      <c r="G897" s="7">
        <v>45173.0</v>
      </c>
      <c r="H897" s="8">
        <f t="shared" si="1"/>
        <v>4</v>
      </c>
      <c r="I897" s="9">
        <f t="shared" si="2"/>
        <v>9</v>
      </c>
      <c r="J897" s="9">
        <f t="shared" si="3"/>
        <v>2023</v>
      </c>
    </row>
    <row r="898" ht="15.75" customHeight="1">
      <c r="A898" s="5">
        <v>45.0</v>
      </c>
      <c r="B898" s="10" t="s">
        <v>908</v>
      </c>
      <c r="C898" s="3" t="s">
        <v>909</v>
      </c>
      <c r="D898" s="4" t="s">
        <v>3</v>
      </c>
      <c r="E898" s="5" t="s">
        <v>6</v>
      </c>
      <c r="F898" s="6" t="s">
        <v>925</v>
      </c>
      <c r="G898" s="7">
        <v>45180.0</v>
      </c>
      <c r="H898" s="8">
        <f t="shared" si="1"/>
        <v>11</v>
      </c>
      <c r="I898" s="9">
        <f t="shared" si="2"/>
        <v>9</v>
      </c>
      <c r="J898" s="9">
        <f t="shared" si="3"/>
        <v>2023</v>
      </c>
    </row>
    <row r="899" ht="15.75" customHeight="1">
      <c r="A899" s="5">
        <v>45.0</v>
      </c>
      <c r="B899" s="10" t="s">
        <v>908</v>
      </c>
      <c r="C899" s="3" t="s">
        <v>909</v>
      </c>
      <c r="D899" s="4" t="s">
        <v>3</v>
      </c>
      <c r="E899" s="5" t="s">
        <v>71</v>
      </c>
      <c r="F899" s="6" t="s">
        <v>926</v>
      </c>
      <c r="G899" s="7">
        <v>45220.0</v>
      </c>
      <c r="H899" s="8">
        <f t="shared" si="1"/>
        <v>21</v>
      </c>
      <c r="I899" s="9">
        <f t="shared" si="2"/>
        <v>10</v>
      </c>
      <c r="J899" s="9">
        <f t="shared" si="3"/>
        <v>2023</v>
      </c>
    </row>
    <row r="900" ht="15.75" customHeight="1">
      <c r="A900" s="5">
        <v>45.0</v>
      </c>
      <c r="B900" s="10" t="s">
        <v>908</v>
      </c>
      <c r="C900" s="3" t="s">
        <v>909</v>
      </c>
      <c r="D900" s="4" t="s">
        <v>8</v>
      </c>
      <c r="E900" s="5" t="s">
        <v>9</v>
      </c>
      <c r="F900" s="6" t="s">
        <v>881</v>
      </c>
      <c r="G900" s="7">
        <v>45272.0</v>
      </c>
      <c r="H900" s="8">
        <f t="shared" si="1"/>
        <v>12</v>
      </c>
      <c r="I900" s="9">
        <f t="shared" si="2"/>
        <v>12</v>
      </c>
      <c r="J900" s="9">
        <f t="shared" si="3"/>
        <v>2023</v>
      </c>
    </row>
    <row r="901" ht="15.75" customHeight="1">
      <c r="A901" s="5">
        <v>46.0</v>
      </c>
      <c r="B901" s="10" t="s">
        <v>927</v>
      </c>
      <c r="C901" s="3" t="s">
        <v>928</v>
      </c>
      <c r="D901" s="4" t="s">
        <v>8</v>
      </c>
      <c r="E901" s="5" t="s">
        <v>51</v>
      </c>
      <c r="F901" s="6" t="s">
        <v>929</v>
      </c>
      <c r="G901" s="7">
        <v>44939.0</v>
      </c>
      <c r="H901" s="8">
        <f t="shared" si="1"/>
        <v>13</v>
      </c>
      <c r="I901" s="9">
        <f t="shared" si="2"/>
        <v>1</v>
      </c>
      <c r="J901" s="9">
        <f t="shared" si="3"/>
        <v>2023</v>
      </c>
    </row>
    <row r="902" ht="15.75" customHeight="1">
      <c r="A902" s="5">
        <v>46.0</v>
      </c>
      <c r="B902" s="10" t="s">
        <v>927</v>
      </c>
      <c r="C902" s="3" t="s">
        <v>928</v>
      </c>
      <c r="D902" s="4" t="s">
        <v>8</v>
      </c>
      <c r="E902" s="5" t="s">
        <v>19</v>
      </c>
      <c r="F902" s="6" t="s">
        <v>930</v>
      </c>
      <c r="G902" s="7">
        <v>44940.0</v>
      </c>
      <c r="H902" s="8">
        <f t="shared" si="1"/>
        <v>14</v>
      </c>
      <c r="I902" s="9">
        <f t="shared" si="2"/>
        <v>1</v>
      </c>
      <c r="J902" s="9">
        <f t="shared" si="3"/>
        <v>2023</v>
      </c>
    </row>
    <row r="903" ht="15.75" customHeight="1">
      <c r="A903" s="5">
        <v>46.0</v>
      </c>
      <c r="B903" s="10" t="s">
        <v>927</v>
      </c>
      <c r="C903" s="3" t="s">
        <v>928</v>
      </c>
      <c r="D903" s="4" t="s">
        <v>3</v>
      </c>
      <c r="E903" s="5" t="s">
        <v>35</v>
      </c>
      <c r="F903" s="6" t="s">
        <v>931</v>
      </c>
      <c r="G903" s="7">
        <v>44967.0</v>
      </c>
      <c r="H903" s="8">
        <f t="shared" si="1"/>
        <v>10</v>
      </c>
      <c r="I903" s="9">
        <f t="shared" si="2"/>
        <v>2</v>
      </c>
      <c r="J903" s="9">
        <f t="shared" si="3"/>
        <v>2023</v>
      </c>
    </row>
    <row r="904" ht="15.75" customHeight="1">
      <c r="A904" s="5">
        <v>46.0</v>
      </c>
      <c r="B904" s="10" t="s">
        <v>927</v>
      </c>
      <c r="C904" s="3" t="s">
        <v>928</v>
      </c>
      <c r="D904" s="4" t="s">
        <v>8</v>
      </c>
      <c r="E904" s="5" t="s">
        <v>28</v>
      </c>
      <c r="F904" s="6" t="s">
        <v>932</v>
      </c>
      <c r="G904" s="7">
        <v>44967.0</v>
      </c>
      <c r="H904" s="8">
        <f t="shared" si="1"/>
        <v>10</v>
      </c>
      <c r="I904" s="9">
        <f t="shared" si="2"/>
        <v>2</v>
      </c>
      <c r="J904" s="9">
        <f t="shared" si="3"/>
        <v>2023</v>
      </c>
    </row>
    <row r="905" ht="15.75" customHeight="1">
      <c r="A905" s="5">
        <v>46.0</v>
      </c>
      <c r="B905" s="10" t="s">
        <v>927</v>
      </c>
      <c r="C905" s="3" t="s">
        <v>928</v>
      </c>
      <c r="D905" s="4" t="s">
        <v>3</v>
      </c>
      <c r="E905" s="5" t="s">
        <v>28</v>
      </c>
      <c r="F905" s="6" t="s">
        <v>933</v>
      </c>
      <c r="G905" s="7">
        <v>44976.0</v>
      </c>
      <c r="H905" s="8">
        <f t="shared" si="1"/>
        <v>19</v>
      </c>
      <c r="I905" s="9">
        <f t="shared" si="2"/>
        <v>2</v>
      </c>
      <c r="J905" s="9">
        <f t="shared" si="3"/>
        <v>2023</v>
      </c>
    </row>
    <row r="906" ht="15.75" customHeight="1">
      <c r="A906" s="5">
        <v>46.0</v>
      </c>
      <c r="B906" s="10" t="s">
        <v>927</v>
      </c>
      <c r="C906" s="3" t="s">
        <v>928</v>
      </c>
      <c r="D906" s="4" t="s">
        <v>3</v>
      </c>
      <c r="E906" s="5" t="s">
        <v>71</v>
      </c>
      <c r="F906" s="6" t="s">
        <v>934</v>
      </c>
      <c r="G906" s="7">
        <v>44999.0</v>
      </c>
      <c r="H906" s="8">
        <f t="shared" si="1"/>
        <v>14</v>
      </c>
      <c r="I906" s="9">
        <f t="shared" si="2"/>
        <v>3</v>
      </c>
      <c r="J906" s="9">
        <f t="shared" si="3"/>
        <v>2023</v>
      </c>
    </row>
    <row r="907" ht="15.75" customHeight="1">
      <c r="A907" s="5">
        <v>46.0</v>
      </c>
      <c r="B907" s="10" t="s">
        <v>927</v>
      </c>
      <c r="C907" s="3" t="s">
        <v>928</v>
      </c>
      <c r="D907" s="4" t="s">
        <v>8</v>
      </c>
      <c r="E907" s="5" t="s">
        <v>19</v>
      </c>
      <c r="F907" s="6" t="s">
        <v>935</v>
      </c>
      <c r="G907" s="7">
        <v>45023.0</v>
      </c>
      <c r="H907" s="8">
        <f t="shared" si="1"/>
        <v>7</v>
      </c>
      <c r="I907" s="9">
        <f t="shared" si="2"/>
        <v>4</v>
      </c>
      <c r="J907" s="9">
        <f t="shared" si="3"/>
        <v>2023</v>
      </c>
    </row>
    <row r="908" ht="15.75" customHeight="1">
      <c r="A908" s="5">
        <v>46.0</v>
      </c>
      <c r="B908" s="10" t="s">
        <v>927</v>
      </c>
      <c r="C908" s="3" t="s">
        <v>928</v>
      </c>
      <c r="D908" s="4" t="s">
        <v>3</v>
      </c>
      <c r="E908" s="5" t="s">
        <v>76</v>
      </c>
      <c r="F908" s="6" t="s">
        <v>936</v>
      </c>
      <c r="G908" s="7">
        <v>45049.0</v>
      </c>
      <c r="H908" s="8">
        <f t="shared" si="1"/>
        <v>3</v>
      </c>
      <c r="I908" s="9">
        <f t="shared" si="2"/>
        <v>5</v>
      </c>
      <c r="J908" s="9">
        <f t="shared" si="3"/>
        <v>2023</v>
      </c>
    </row>
    <row r="909" ht="15.75" customHeight="1">
      <c r="A909" s="5">
        <v>46.0</v>
      </c>
      <c r="B909" s="10" t="s">
        <v>927</v>
      </c>
      <c r="C909" s="3" t="s">
        <v>928</v>
      </c>
      <c r="D909" s="4" t="s">
        <v>3</v>
      </c>
      <c r="E909" s="5" t="s">
        <v>13</v>
      </c>
      <c r="F909" s="6" t="s">
        <v>30</v>
      </c>
      <c r="G909" s="7">
        <v>45049.0</v>
      </c>
      <c r="H909" s="8">
        <f t="shared" si="1"/>
        <v>3</v>
      </c>
      <c r="I909" s="9">
        <f t="shared" si="2"/>
        <v>5</v>
      </c>
      <c r="J909" s="9">
        <f t="shared" si="3"/>
        <v>2023</v>
      </c>
    </row>
    <row r="910" ht="15.75" customHeight="1">
      <c r="A910" s="5">
        <v>46.0</v>
      </c>
      <c r="B910" s="10" t="s">
        <v>927</v>
      </c>
      <c r="C910" s="3" t="s">
        <v>928</v>
      </c>
      <c r="D910" s="4" t="s">
        <v>8</v>
      </c>
      <c r="E910" s="5" t="s">
        <v>21</v>
      </c>
      <c r="F910" s="6" t="s">
        <v>937</v>
      </c>
      <c r="G910" s="7">
        <v>45069.0</v>
      </c>
      <c r="H910" s="8">
        <f t="shared" si="1"/>
        <v>23</v>
      </c>
      <c r="I910" s="9">
        <f t="shared" si="2"/>
        <v>5</v>
      </c>
      <c r="J910" s="9">
        <f t="shared" si="3"/>
        <v>2023</v>
      </c>
    </row>
    <row r="911" ht="15.75" customHeight="1">
      <c r="A911" s="5">
        <v>46.0</v>
      </c>
      <c r="B911" s="10" t="s">
        <v>927</v>
      </c>
      <c r="C911" s="3" t="s">
        <v>928</v>
      </c>
      <c r="D911" s="4" t="s">
        <v>8</v>
      </c>
      <c r="E911" s="5" t="s">
        <v>96</v>
      </c>
      <c r="F911" s="6" t="s">
        <v>904</v>
      </c>
      <c r="G911" s="7">
        <v>45071.0</v>
      </c>
      <c r="H911" s="8">
        <f t="shared" si="1"/>
        <v>25</v>
      </c>
      <c r="I911" s="9">
        <f t="shared" si="2"/>
        <v>5</v>
      </c>
      <c r="J911" s="9">
        <f t="shared" si="3"/>
        <v>2023</v>
      </c>
    </row>
    <row r="912" ht="15.75" customHeight="1">
      <c r="A912" s="5">
        <v>46.0</v>
      </c>
      <c r="B912" s="10" t="s">
        <v>927</v>
      </c>
      <c r="C912" s="3" t="s">
        <v>928</v>
      </c>
      <c r="D912" s="4" t="s">
        <v>8</v>
      </c>
      <c r="E912" s="5" t="s">
        <v>21</v>
      </c>
      <c r="F912" s="6" t="s">
        <v>938</v>
      </c>
      <c r="G912" s="7">
        <v>45097.0</v>
      </c>
      <c r="H912" s="8">
        <f t="shared" si="1"/>
        <v>20</v>
      </c>
      <c r="I912" s="9">
        <f t="shared" si="2"/>
        <v>6</v>
      </c>
      <c r="J912" s="9">
        <f t="shared" si="3"/>
        <v>2023</v>
      </c>
    </row>
    <row r="913" ht="15.75" customHeight="1">
      <c r="A913" s="5">
        <v>46.0</v>
      </c>
      <c r="B913" s="10" t="s">
        <v>927</v>
      </c>
      <c r="C913" s="3" t="s">
        <v>928</v>
      </c>
      <c r="D913" s="4" t="s">
        <v>8</v>
      </c>
      <c r="E913" s="5" t="s">
        <v>35</v>
      </c>
      <c r="F913" s="6" t="s">
        <v>939</v>
      </c>
      <c r="G913" s="7">
        <v>45115.0</v>
      </c>
      <c r="H913" s="8">
        <f t="shared" si="1"/>
        <v>8</v>
      </c>
      <c r="I913" s="9">
        <f t="shared" si="2"/>
        <v>7</v>
      </c>
      <c r="J913" s="9">
        <f t="shared" si="3"/>
        <v>2023</v>
      </c>
    </row>
    <row r="914" ht="15.75" customHeight="1">
      <c r="A914" s="5">
        <v>46.0</v>
      </c>
      <c r="B914" s="10" t="s">
        <v>927</v>
      </c>
      <c r="C914" s="3" t="s">
        <v>928</v>
      </c>
      <c r="D914" s="4" t="s">
        <v>3</v>
      </c>
      <c r="E914" s="5" t="s">
        <v>120</v>
      </c>
      <c r="F914" s="6" t="s">
        <v>940</v>
      </c>
      <c r="G914" s="7">
        <v>45127.0</v>
      </c>
      <c r="H914" s="8">
        <f t="shared" si="1"/>
        <v>20</v>
      </c>
      <c r="I914" s="9">
        <f t="shared" si="2"/>
        <v>7</v>
      </c>
      <c r="J914" s="9">
        <f t="shared" si="3"/>
        <v>2023</v>
      </c>
    </row>
    <row r="915" ht="15.75" customHeight="1">
      <c r="A915" s="5">
        <v>46.0</v>
      </c>
      <c r="B915" s="10" t="s">
        <v>927</v>
      </c>
      <c r="C915" s="3" t="s">
        <v>928</v>
      </c>
      <c r="D915" s="4" t="s">
        <v>3</v>
      </c>
      <c r="E915" s="5" t="s">
        <v>45</v>
      </c>
      <c r="F915" s="6" t="s">
        <v>941</v>
      </c>
      <c r="G915" s="7">
        <v>45132.0</v>
      </c>
      <c r="H915" s="8">
        <f t="shared" si="1"/>
        <v>25</v>
      </c>
      <c r="I915" s="9">
        <f t="shared" si="2"/>
        <v>7</v>
      </c>
      <c r="J915" s="9">
        <f t="shared" si="3"/>
        <v>2023</v>
      </c>
    </row>
    <row r="916" ht="15.75" customHeight="1">
      <c r="A916" s="5">
        <v>46.0</v>
      </c>
      <c r="B916" s="10" t="s">
        <v>927</v>
      </c>
      <c r="C916" s="3" t="s">
        <v>928</v>
      </c>
      <c r="D916" s="4" t="s">
        <v>8</v>
      </c>
      <c r="E916" s="5" t="s">
        <v>21</v>
      </c>
      <c r="F916" s="6" t="s">
        <v>942</v>
      </c>
      <c r="G916" s="7">
        <v>45147.0</v>
      </c>
      <c r="H916" s="8">
        <f t="shared" si="1"/>
        <v>9</v>
      </c>
      <c r="I916" s="9">
        <f t="shared" si="2"/>
        <v>8</v>
      </c>
      <c r="J916" s="9">
        <f t="shared" si="3"/>
        <v>2023</v>
      </c>
    </row>
    <row r="917" ht="15.75" customHeight="1">
      <c r="A917" s="5">
        <v>46.0</v>
      </c>
      <c r="B917" s="10" t="s">
        <v>927</v>
      </c>
      <c r="C917" s="3" t="s">
        <v>928</v>
      </c>
      <c r="D917" s="4" t="s">
        <v>3</v>
      </c>
      <c r="E917" s="5" t="s">
        <v>19</v>
      </c>
      <c r="F917" s="6" t="s">
        <v>943</v>
      </c>
      <c r="G917" s="7">
        <v>45150.0</v>
      </c>
      <c r="H917" s="8">
        <f t="shared" si="1"/>
        <v>12</v>
      </c>
      <c r="I917" s="9">
        <f t="shared" si="2"/>
        <v>8</v>
      </c>
      <c r="J917" s="9">
        <f t="shared" si="3"/>
        <v>2023</v>
      </c>
    </row>
    <row r="918" ht="15.75" customHeight="1">
      <c r="A918" s="5">
        <v>46.0</v>
      </c>
      <c r="B918" s="10" t="s">
        <v>927</v>
      </c>
      <c r="C918" s="3" t="s">
        <v>928</v>
      </c>
      <c r="D918" s="4" t="s">
        <v>8</v>
      </c>
      <c r="E918" s="5" t="s">
        <v>19</v>
      </c>
      <c r="F918" s="6" t="s">
        <v>944</v>
      </c>
      <c r="G918" s="7">
        <v>45166.0</v>
      </c>
      <c r="H918" s="8">
        <f t="shared" si="1"/>
        <v>28</v>
      </c>
      <c r="I918" s="9">
        <f t="shared" si="2"/>
        <v>8</v>
      </c>
      <c r="J918" s="9">
        <f t="shared" si="3"/>
        <v>2023</v>
      </c>
    </row>
    <row r="919" ht="15.75" customHeight="1">
      <c r="A919" s="5">
        <v>46.0</v>
      </c>
      <c r="B919" s="10" t="s">
        <v>927</v>
      </c>
      <c r="C919" s="3" t="s">
        <v>928</v>
      </c>
      <c r="D919" s="4" t="s">
        <v>8</v>
      </c>
      <c r="E919" s="5" t="s">
        <v>42</v>
      </c>
      <c r="F919" s="6" t="s">
        <v>945</v>
      </c>
      <c r="G919" s="7">
        <v>45248.0</v>
      </c>
      <c r="H919" s="8">
        <f t="shared" si="1"/>
        <v>18</v>
      </c>
      <c r="I919" s="9">
        <f t="shared" si="2"/>
        <v>11</v>
      </c>
      <c r="J919" s="9">
        <f t="shared" si="3"/>
        <v>2023</v>
      </c>
    </row>
    <row r="920" ht="15.75" customHeight="1">
      <c r="A920" s="5">
        <v>46.0</v>
      </c>
      <c r="B920" s="10" t="s">
        <v>927</v>
      </c>
      <c r="C920" s="3" t="s">
        <v>928</v>
      </c>
      <c r="D920" s="4" t="s">
        <v>8</v>
      </c>
      <c r="E920" s="5" t="s">
        <v>76</v>
      </c>
      <c r="F920" s="6" t="s">
        <v>946</v>
      </c>
      <c r="G920" s="7">
        <v>45262.0</v>
      </c>
      <c r="H920" s="8">
        <f t="shared" si="1"/>
        <v>2</v>
      </c>
      <c r="I920" s="9">
        <f t="shared" si="2"/>
        <v>12</v>
      </c>
      <c r="J920" s="9">
        <f t="shared" si="3"/>
        <v>2023</v>
      </c>
    </row>
    <row r="921" ht="15.75" customHeight="1">
      <c r="A921" s="5">
        <v>47.0</v>
      </c>
      <c r="B921" s="10" t="s">
        <v>947</v>
      </c>
      <c r="C921" s="3" t="s">
        <v>948</v>
      </c>
      <c r="D921" s="4" t="s">
        <v>3</v>
      </c>
      <c r="E921" s="5" t="s">
        <v>13</v>
      </c>
      <c r="F921" s="6" t="s">
        <v>949</v>
      </c>
      <c r="G921" s="7">
        <v>44934.0</v>
      </c>
      <c r="H921" s="8">
        <f t="shared" si="1"/>
        <v>8</v>
      </c>
      <c r="I921" s="9">
        <f t="shared" si="2"/>
        <v>1</v>
      </c>
      <c r="J921" s="9">
        <f t="shared" si="3"/>
        <v>2023</v>
      </c>
    </row>
    <row r="922" ht="15.75" customHeight="1">
      <c r="A922" s="5">
        <v>47.0</v>
      </c>
      <c r="B922" s="10" t="s">
        <v>947</v>
      </c>
      <c r="C922" s="3" t="s">
        <v>948</v>
      </c>
      <c r="D922" s="4" t="s">
        <v>8</v>
      </c>
      <c r="E922" s="5" t="s">
        <v>42</v>
      </c>
      <c r="F922" s="6" t="s">
        <v>950</v>
      </c>
      <c r="G922" s="7">
        <v>44967.0</v>
      </c>
      <c r="H922" s="8">
        <f t="shared" si="1"/>
        <v>10</v>
      </c>
      <c r="I922" s="9">
        <f t="shared" si="2"/>
        <v>2</v>
      </c>
      <c r="J922" s="9">
        <f t="shared" si="3"/>
        <v>2023</v>
      </c>
    </row>
    <row r="923" ht="15.75" customHeight="1">
      <c r="A923" s="5">
        <v>47.0</v>
      </c>
      <c r="B923" s="10" t="s">
        <v>947</v>
      </c>
      <c r="C923" s="3" t="s">
        <v>948</v>
      </c>
      <c r="D923" s="4" t="s">
        <v>8</v>
      </c>
      <c r="E923" s="5" t="s">
        <v>42</v>
      </c>
      <c r="F923" s="6" t="s">
        <v>951</v>
      </c>
      <c r="G923" s="7">
        <v>44969.0</v>
      </c>
      <c r="H923" s="8">
        <f t="shared" si="1"/>
        <v>12</v>
      </c>
      <c r="I923" s="9">
        <f t="shared" si="2"/>
        <v>2</v>
      </c>
      <c r="J923" s="9">
        <f t="shared" si="3"/>
        <v>2023</v>
      </c>
    </row>
    <row r="924" ht="15.75" customHeight="1">
      <c r="A924" s="5">
        <v>47.0</v>
      </c>
      <c r="B924" s="10" t="s">
        <v>947</v>
      </c>
      <c r="C924" s="3" t="s">
        <v>948</v>
      </c>
      <c r="D924" s="4" t="s">
        <v>3</v>
      </c>
      <c r="E924" s="5" t="s">
        <v>76</v>
      </c>
      <c r="F924" s="6" t="s">
        <v>952</v>
      </c>
      <c r="G924" s="7">
        <v>44981.0</v>
      </c>
      <c r="H924" s="8">
        <f t="shared" si="1"/>
        <v>24</v>
      </c>
      <c r="I924" s="9">
        <f t="shared" si="2"/>
        <v>2</v>
      </c>
      <c r="J924" s="9">
        <f t="shared" si="3"/>
        <v>2023</v>
      </c>
    </row>
    <row r="925" ht="15.75" customHeight="1">
      <c r="A925" s="5">
        <v>47.0</v>
      </c>
      <c r="B925" s="10" t="s">
        <v>947</v>
      </c>
      <c r="C925" s="3" t="s">
        <v>948</v>
      </c>
      <c r="D925" s="4" t="s">
        <v>3</v>
      </c>
      <c r="E925" s="5" t="s">
        <v>45</v>
      </c>
      <c r="F925" s="6" t="s">
        <v>953</v>
      </c>
      <c r="G925" s="7">
        <v>45009.0</v>
      </c>
      <c r="H925" s="8">
        <f t="shared" si="1"/>
        <v>24</v>
      </c>
      <c r="I925" s="9">
        <f t="shared" si="2"/>
        <v>3</v>
      </c>
      <c r="J925" s="9">
        <f t="shared" si="3"/>
        <v>2023</v>
      </c>
    </row>
    <row r="926" ht="15.75" customHeight="1">
      <c r="A926" s="5">
        <v>47.0</v>
      </c>
      <c r="B926" s="10" t="s">
        <v>947</v>
      </c>
      <c r="C926" s="3" t="s">
        <v>948</v>
      </c>
      <c r="D926" s="4" t="s">
        <v>8</v>
      </c>
      <c r="E926" s="5" t="s">
        <v>35</v>
      </c>
      <c r="F926" s="6" t="s">
        <v>954</v>
      </c>
      <c r="G926" s="7">
        <v>45066.0</v>
      </c>
      <c r="H926" s="8">
        <f t="shared" si="1"/>
        <v>20</v>
      </c>
      <c r="I926" s="9">
        <f t="shared" si="2"/>
        <v>5</v>
      </c>
      <c r="J926" s="9">
        <f t="shared" si="3"/>
        <v>2023</v>
      </c>
    </row>
    <row r="927" ht="15.75" customHeight="1">
      <c r="A927" s="5">
        <v>47.0</v>
      </c>
      <c r="B927" s="10" t="s">
        <v>947</v>
      </c>
      <c r="C927" s="3" t="s">
        <v>948</v>
      </c>
      <c r="D927" s="4" t="s">
        <v>8</v>
      </c>
      <c r="E927" s="5" t="s">
        <v>6</v>
      </c>
      <c r="F927" s="6" t="s">
        <v>955</v>
      </c>
      <c r="G927" s="7">
        <v>45109.0</v>
      </c>
      <c r="H927" s="8">
        <f t="shared" si="1"/>
        <v>2</v>
      </c>
      <c r="I927" s="9">
        <f t="shared" si="2"/>
        <v>7</v>
      </c>
      <c r="J927" s="9">
        <f t="shared" si="3"/>
        <v>2023</v>
      </c>
    </row>
    <row r="928" ht="15.75" customHeight="1">
      <c r="A928" s="5">
        <v>47.0</v>
      </c>
      <c r="B928" s="10" t="s">
        <v>947</v>
      </c>
      <c r="C928" s="3" t="s">
        <v>948</v>
      </c>
      <c r="D928" s="4" t="s">
        <v>3</v>
      </c>
      <c r="E928" s="5" t="s">
        <v>96</v>
      </c>
      <c r="F928" s="6" t="s">
        <v>103</v>
      </c>
      <c r="G928" s="7">
        <v>45122.0</v>
      </c>
      <c r="H928" s="8">
        <f t="shared" si="1"/>
        <v>15</v>
      </c>
      <c r="I928" s="9">
        <f t="shared" si="2"/>
        <v>7</v>
      </c>
      <c r="J928" s="9">
        <f t="shared" si="3"/>
        <v>2023</v>
      </c>
    </row>
    <row r="929" ht="15.75" customHeight="1">
      <c r="A929" s="5">
        <v>47.0</v>
      </c>
      <c r="B929" s="10" t="s">
        <v>947</v>
      </c>
      <c r="C929" s="3" t="s">
        <v>948</v>
      </c>
      <c r="D929" s="4" t="s">
        <v>8</v>
      </c>
      <c r="E929" s="5" t="s">
        <v>4</v>
      </c>
      <c r="F929" s="6" t="s">
        <v>956</v>
      </c>
      <c r="G929" s="7">
        <v>45126.0</v>
      </c>
      <c r="H929" s="8">
        <f t="shared" si="1"/>
        <v>19</v>
      </c>
      <c r="I929" s="9">
        <f t="shared" si="2"/>
        <v>7</v>
      </c>
      <c r="J929" s="9">
        <f t="shared" si="3"/>
        <v>2023</v>
      </c>
    </row>
    <row r="930" ht="15.75" customHeight="1">
      <c r="A930" s="5">
        <v>47.0</v>
      </c>
      <c r="B930" s="10" t="s">
        <v>947</v>
      </c>
      <c r="C930" s="3" t="s">
        <v>948</v>
      </c>
      <c r="D930" s="4" t="s">
        <v>3</v>
      </c>
      <c r="E930" s="5" t="s">
        <v>96</v>
      </c>
      <c r="F930" s="6" t="s">
        <v>957</v>
      </c>
      <c r="G930" s="7">
        <v>45133.0</v>
      </c>
      <c r="H930" s="8">
        <f t="shared" si="1"/>
        <v>26</v>
      </c>
      <c r="I930" s="9">
        <f t="shared" si="2"/>
        <v>7</v>
      </c>
      <c r="J930" s="9">
        <f t="shared" si="3"/>
        <v>2023</v>
      </c>
    </row>
    <row r="931" ht="15.75" customHeight="1">
      <c r="A931" s="5">
        <v>47.0</v>
      </c>
      <c r="B931" s="10" t="s">
        <v>947</v>
      </c>
      <c r="C931" s="3" t="s">
        <v>948</v>
      </c>
      <c r="D931" s="4" t="s">
        <v>8</v>
      </c>
      <c r="E931" s="5" t="s">
        <v>96</v>
      </c>
      <c r="F931" s="6" t="s">
        <v>958</v>
      </c>
      <c r="G931" s="7">
        <v>45133.0</v>
      </c>
      <c r="H931" s="8">
        <f t="shared" si="1"/>
        <v>26</v>
      </c>
      <c r="I931" s="9">
        <f t="shared" si="2"/>
        <v>7</v>
      </c>
      <c r="J931" s="9">
        <f t="shared" si="3"/>
        <v>2023</v>
      </c>
    </row>
    <row r="932" ht="15.75" customHeight="1">
      <c r="A932" s="5">
        <v>47.0</v>
      </c>
      <c r="B932" s="10" t="s">
        <v>947</v>
      </c>
      <c r="C932" s="3" t="s">
        <v>948</v>
      </c>
      <c r="D932" s="4" t="s">
        <v>8</v>
      </c>
      <c r="E932" s="5" t="s">
        <v>28</v>
      </c>
      <c r="F932" s="6" t="s">
        <v>959</v>
      </c>
      <c r="G932" s="7">
        <v>45174.0</v>
      </c>
      <c r="H932" s="8">
        <f t="shared" si="1"/>
        <v>5</v>
      </c>
      <c r="I932" s="9">
        <f t="shared" si="2"/>
        <v>9</v>
      </c>
      <c r="J932" s="9">
        <f t="shared" si="3"/>
        <v>2023</v>
      </c>
    </row>
    <row r="933" ht="15.75" customHeight="1">
      <c r="A933" s="5">
        <v>47.0</v>
      </c>
      <c r="B933" s="10" t="s">
        <v>947</v>
      </c>
      <c r="C933" s="3" t="s">
        <v>948</v>
      </c>
      <c r="D933" s="4" t="s">
        <v>8</v>
      </c>
      <c r="E933" s="5" t="s">
        <v>96</v>
      </c>
      <c r="F933" s="6" t="s">
        <v>960</v>
      </c>
      <c r="G933" s="7">
        <v>45187.0</v>
      </c>
      <c r="H933" s="8">
        <f t="shared" si="1"/>
        <v>18</v>
      </c>
      <c r="I933" s="9">
        <f t="shared" si="2"/>
        <v>9</v>
      </c>
      <c r="J933" s="9">
        <f t="shared" si="3"/>
        <v>2023</v>
      </c>
    </row>
    <row r="934" ht="15.75" customHeight="1">
      <c r="A934" s="5">
        <v>47.0</v>
      </c>
      <c r="B934" s="10" t="s">
        <v>947</v>
      </c>
      <c r="C934" s="3" t="s">
        <v>948</v>
      </c>
      <c r="D934" s="4" t="s">
        <v>8</v>
      </c>
      <c r="E934" s="5" t="s">
        <v>21</v>
      </c>
      <c r="F934" s="6" t="s">
        <v>961</v>
      </c>
      <c r="G934" s="7">
        <v>45211.0</v>
      </c>
      <c r="H934" s="8">
        <f t="shared" si="1"/>
        <v>12</v>
      </c>
      <c r="I934" s="9">
        <f t="shared" si="2"/>
        <v>10</v>
      </c>
      <c r="J934" s="9">
        <f t="shared" si="3"/>
        <v>2023</v>
      </c>
    </row>
    <row r="935" ht="15.75" customHeight="1">
      <c r="A935" s="5">
        <v>47.0</v>
      </c>
      <c r="B935" s="10" t="s">
        <v>947</v>
      </c>
      <c r="C935" s="3" t="s">
        <v>948</v>
      </c>
      <c r="D935" s="4" t="s">
        <v>3</v>
      </c>
      <c r="E935" s="5" t="s">
        <v>9</v>
      </c>
      <c r="F935" s="6" t="s">
        <v>198</v>
      </c>
      <c r="G935" s="7">
        <v>45226.0</v>
      </c>
      <c r="H935" s="8">
        <f t="shared" si="1"/>
        <v>27</v>
      </c>
      <c r="I935" s="9">
        <f t="shared" si="2"/>
        <v>10</v>
      </c>
      <c r="J935" s="9">
        <f t="shared" si="3"/>
        <v>2023</v>
      </c>
    </row>
    <row r="936" ht="15.75" customHeight="1">
      <c r="A936" s="5">
        <v>47.0</v>
      </c>
      <c r="B936" s="10" t="s">
        <v>947</v>
      </c>
      <c r="C936" s="3" t="s">
        <v>948</v>
      </c>
      <c r="D936" s="4" t="s">
        <v>3</v>
      </c>
      <c r="E936" s="5" t="s">
        <v>51</v>
      </c>
      <c r="F936" s="6" t="s">
        <v>962</v>
      </c>
      <c r="G936" s="7">
        <v>45240.0</v>
      </c>
      <c r="H936" s="8">
        <f t="shared" si="1"/>
        <v>10</v>
      </c>
      <c r="I936" s="9">
        <f t="shared" si="2"/>
        <v>11</v>
      </c>
      <c r="J936" s="9">
        <f t="shared" si="3"/>
        <v>2023</v>
      </c>
    </row>
    <row r="937" ht="15.75" customHeight="1">
      <c r="A937" s="5">
        <v>47.0</v>
      </c>
      <c r="B937" s="10" t="s">
        <v>947</v>
      </c>
      <c r="C937" s="3" t="s">
        <v>948</v>
      </c>
      <c r="D937" s="4" t="s">
        <v>3</v>
      </c>
      <c r="E937" s="5" t="s">
        <v>28</v>
      </c>
      <c r="F937" s="6" t="s">
        <v>963</v>
      </c>
      <c r="G937" s="7">
        <v>45248.0</v>
      </c>
      <c r="H937" s="8">
        <f t="shared" si="1"/>
        <v>18</v>
      </c>
      <c r="I937" s="9">
        <f t="shared" si="2"/>
        <v>11</v>
      </c>
      <c r="J937" s="9">
        <f t="shared" si="3"/>
        <v>2023</v>
      </c>
    </row>
    <row r="938" ht="15.75" customHeight="1">
      <c r="A938" s="5">
        <v>47.0</v>
      </c>
      <c r="B938" s="10" t="s">
        <v>947</v>
      </c>
      <c r="C938" s="3" t="s">
        <v>948</v>
      </c>
      <c r="D938" s="4" t="s">
        <v>8</v>
      </c>
      <c r="E938" s="5" t="s">
        <v>19</v>
      </c>
      <c r="F938" s="6" t="s">
        <v>642</v>
      </c>
      <c r="G938" s="7">
        <v>45250.0</v>
      </c>
      <c r="H938" s="8">
        <f t="shared" si="1"/>
        <v>20</v>
      </c>
      <c r="I938" s="9">
        <f t="shared" si="2"/>
        <v>11</v>
      </c>
      <c r="J938" s="9">
        <f t="shared" si="3"/>
        <v>2023</v>
      </c>
    </row>
    <row r="939" ht="15.75" customHeight="1">
      <c r="A939" s="5">
        <v>47.0</v>
      </c>
      <c r="B939" s="10" t="s">
        <v>947</v>
      </c>
      <c r="C939" s="3" t="s">
        <v>948</v>
      </c>
      <c r="D939" s="4" t="s">
        <v>8</v>
      </c>
      <c r="E939" s="5" t="s">
        <v>15</v>
      </c>
      <c r="F939" s="6" t="s">
        <v>782</v>
      </c>
      <c r="G939" s="7">
        <v>45272.0</v>
      </c>
      <c r="H939" s="8">
        <f t="shared" si="1"/>
        <v>12</v>
      </c>
      <c r="I939" s="9">
        <f t="shared" si="2"/>
        <v>12</v>
      </c>
      <c r="J939" s="9">
        <f t="shared" si="3"/>
        <v>2023</v>
      </c>
    </row>
    <row r="940" ht="15.75" customHeight="1">
      <c r="A940" s="5">
        <v>47.0</v>
      </c>
      <c r="B940" s="10" t="s">
        <v>947</v>
      </c>
      <c r="C940" s="3" t="s">
        <v>948</v>
      </c>
      <c r="D940" s="4" t="s">
        <v>8</v>
      </c>
      <c r="E940" s="5" t="s">
        <v>6</v>
      </c>
      <c r="F940" s="6" t="s">
        <v>964</v>
      </c>
      <c r="G940" s="7">
        <v>45284.0</v>
      </c>
      <c r="H940" s="8">
        <f t="shared" si="1"/>
        <v>24</v>
      </c>
      <c r="I940" s="9">
        <f t="shared" si="2"/>
        <v>12</v>
      </c>
      <c r="J940" s="9">
        <f t="shared" si="3"/>
        <v>2023</v>
      </c>
    </row>
    <row r="941" ht="15.75" customHeight="1">
      <c r="A941" s="5">
        <v>48.0</v>
      </c>
      <c r="B941" s="10" t="s">
        <v>408</v>
      </c>
      <c r="C941" s="3" t="s">
        <v>965</v>
      </c>
      <c r="D941" s="4" t="s">
        <v>3</v>
      </c>
      <c r="E941" s="5" t="s">
        <v>15</v>
      </c>
      <c r="F941" s="6" t="s">
        <v>966</v>
      </c>
      <c r="G941" s="7">
        <v>44928.0</v>
      </c>
      <c r="H941" s="8">
        <f t="shared" si="1"/>
        <v>2</v>
      </c>
      <c r="I941" s="9">
        <f t="shared" si="2"/>
        <v>1</v>
      </c>
      <c r="J941" s="9">
        <f t="shared" si="3"/>
        <v>2023</v>
      </c>
    </row>
    <row r="942" ht="15.75" customHeight="1">
      <c r="A942" s="5">
        <v>48.0</v>
      </c>
      <c r="B942" s="10" t="s">
        <v>408</v>
      </c>
      <c r="C942" s="3" t="s">
        <v>965</v>
      </c>
      <c r="D942" s="4" t="s">
        <v>3</v>
      </c>
      <c r="E942" s="5" t="s">
        <v>96</v>
      </c>
      <c r="F942" s="6" t="s">
        <v>967</v>
      </c>
      <c r="G942" s="7">
        <v>44934.0</v>
      </c>
      <c r="H942" s="8">
        <f t="shared" si="1"/>
        <v>8</v>
      </c>
      <c r="I942" s="9">
        <f t="shared" si="2"/>
        <v>1</v>
      </c>
      <c r="J942" s="9">
        <f t="shared" si="3"/>
        <v>2023</v>
      </c>
    </row>
    <row r="943" ht="15.75" customHeight="1">
      <c r="A943" s="5">
        <v>48.0</v>
      </c>
      <c r="B943" s="10" t="s">
        <v>408</v>
      </c>
      <c r="C943" s="3" t="s">
        <v>965</v>
      </c>
      <c r="D943" s="4" t="s">
        <v>3</v>
      </c>
      <c r="E943" s="5" t="s">
        <v>28</v>
      </c>
      <c r="F943" s="6" t="s">
        <v>248</v>
      </c>
      <c r="G943" s="7">
        <v>44938.0</v>
      </c>
      <c r="H943" s="8">
        <f t="shared" si="1"/>
        <v>12</v>
      </c>
      <c r="I943" s="9">
        <f t="shared" si="2"/>
        <v>1</v>
      </c>
      <c r="J943" s="9">
        <f t="shared" si="3"/>
        <v>2023</v>
      </c>
    </row>
    <row r="944" ht="15.75" customHeight="1">
      <c r="A944" s="5">
        <v>48.0</v>
      </c>
      <c r="B944" s="10" t="s">
        <v>408</v>
      </c>
      <c r="C944" s="3" t="s">
        <v>965</v>
      </c>
      <c r="D944" s="4" t="s">
        <v>8</v>
      </c>
      <c r="E944" s="5" t="s">
        <v>4</v>
      </c>
      <c r="F944" s="6" t="s">
        <v>968</v>
      </c>
      <c r="G944" s="7">
        <v>44966.0</v>
      </c>
      <c r="H944" s="8">
        <f t="shared" si="1"/>
        <v>9</v>
      </c>
      <c r="I944" s="9">
        <f t="shared" si="2"/>
        <v>2</v>
      </c>
      <c r="J944" s="9">
        <f t="shared" si="3"/>
        <v>2023</v>
      </c>
    </row>
    <row r="945" ht="15.75" customHeight="1">
      <c r="A945" s="5">
        <v>48.0</v>
      </c>
      <c r="B945" s="10" t="s">
        <v>408</v>
      </c>
      <c r="C945" s="3" t="s">
        <v>965</v>
      </c>
      <c r="D945" s="4" t="s">
        <v>3</v>
      </c>
      <c r="E945" s="5" t="s">
        <v>11</v>
      </c>
      <c r="F945" s="6" t="s">
        <v>969</v>
      </c>
      <c r="G945" s="7">
        <v>44974.0</v>
      </c>
      <c r="H945" s="8">
        <f t="shared" si="1"/>
        <v>17</v>
      </c>
      <c r="I945" s="9">
        <f t="shared" si="2"/>
        <v>2</v>
      </c>
      <c r="J945" s="9">
        <f t="shared" si="3"/>
        <v>2023</v>
      </c>
    </row>
    <row r="946" ht="15.75" customHeight="1">
      <c r="A946" s="5">
        <v>48.0</v>
      </c>
      <c r="B946" s="10" t="s">
        <v>408</v>
      </c>
      <c r="C946" s="3" t="s">
        <v>965</v>
      </c>
      <c r="D946" s="4" t="s">
        <v>8</v>
      </c>
      <c r="E946" s="5" t="s">
        <v>15</v>
      </c>
      <c r="F946" s="6" t="s">
        <v>452</v>
      </c>
      <c r="G946" s="7">
        <v>44977.0</v>
      </c>
      <c r="H946" s="8">
        <f t="shared" si="1"/>
        <v>20</v>
      </c>
      <c r="I946" s="9">
        <f t="shared" si="2"/>
        <v>2</v>
      </c>
      <c r="J946" s="9">
        <f t="shared" si="3"/>
        <v>2023</v>
      </c>
    </row>
    <row r="947" ht="15.75" customHeight="1">
      <c r="A947" s="5">
        <v>48.0</v>
      </c>
      <c r="B947" s="10" t="s">
        <v>408</v>
      </c>
      <c r="C947" s="3" t="s">
        <v>965</v>
      </c>
      <c r="D947" s="4" t="s">
        <v>8</v>
      </c>
      <c r="E947" s="5" t="s">
        <v>35</v>
      </c>
      <c r="F947" s="6" t="s">
        <v>970</v>
      </c>
      <c r="G947" s="7">
        <v>44999.0</v>
      </c>
      <c r="H947" s="8">
        <f t="shared" si="1"/>
        <v>14</v>
      </c>
      <c r="I947" s="9">
        <f t="shared" si="2"/>
        <v>3</v>
      </c>
      <c r="J947" s="9">
        <f t="shared" si="3"/>
        <v>2023</v>
      </c>
    </row>
    <row r="948" ht="15.75" customHeight="1">
      <c r="A948" s="5">
        <v>48.0</v>
      </c>
      <c r="B948" s="10" t="s">
        <v>408</v>
      </c>
      <c r="C948" s="3" t="s">
        <v>965</v>
      </c>
      <c r="D948" s="4" t="s">
        <v>8</v>
      </c>
      <c r="E948" s="5" t="s">
        <v>4</v>
      </c>
      <c r="F948" s="6" t="s">
        <v>971</v>
      </c>
      <c r="G948" s="7">
        <v>45029.0</v>
      </c>
      <c r="H948" s="8">
        <f t="shared" si="1"/>
        <v>13</v>
      </c>
      <c r="I948" s="9">
        <f t="shared" si="2"/>
        <v>4</v>
      </c>
      <c r="J948" s="9">
        <f t="shared" si="3"/>
        <v>2023</v>
      </c>
    </row>
    <row r="949" ht="15.75" customHeight="1">
      <c r="A949" s="5">
        <v>48.0</v>
      </c>
      <c r="B949" s="10" t="s">
        <v>408</v>
      </c>
      <c r="C949" s="3" t="s">
        <v>965</v>
      </c>
      <c r="D949" s="4" t="s">
        <v>3</v>
      </c>
      <c r="E949" s="5" t="s">
        <v>39</v>
      </c>
      <c r="F949" s="6" t="s">
        <v>972</v>
      </c>
      <c r="G949" s="7">
        <v>45032.0</v>
      </c>
      <c r="H949" s="8">
        <f t="shared" si="1"/>
        <v>16</v>
      </c>
      <c r="I949" s="9">
        <f t="shared" si="2"/>
        <v>4</v>
      </c>
      <c r="J949" s="9">
        <f t="shared" si="3"/>
        <v>2023</v>
      </c>
    </row>
    <row r="950" ht="15.75" customHeight="1">
      <c r="A950" s="5">
        <v>48.0</v>
      </c>
      <c r="B950" s="10" t="s">
        <v>408</v>
      </c>
      <c r="C950" s="3" t="s">
        <v>965</v>
      </c>
      <c r="D950" s="4" t="s">
        <v>3</v>
      </c>
      <c r="E950" s="5" t="s">
        <v>28</v>
      </c>
      <c r="F950" s="6" t="s">
        <v>973</v>
      </c>
      <c r="G950" s="7">
        <v>45078.0</v>
      </c>
      <c r="H950" s="8">
        <f t="shared" si="1"/>
        <v>1</v>
      </c>
      <c r="I950" s="9">
        <f t="shared" si="2"/>
        <v>6</v>
      </c>
      <c r="J950" s="9">
        <f t="shared" si="3"/>
        <v>2023</v>
      </c>
    </row>
    <row r="951" ht="15.75" customHeight="1">
      <c r="A951" s="5">
        <v>48.0</v>
      </c>
      <c r="B951" s="10" t="s">
        <v>408</v>
      </c>
      <c r="C951" s="3" t="s">
        <v>965</v>
      </c>
      <c r="D951" s="4" t="s">
        <v>3</v>
      </c>
      <c r="E951" s="5" t="s">
        <v>51</v>
      </c>
      <c r="F951" s="6" t="s">
        <v>974</v>
      </c>
      <c r="G951" s="7">
        <v>45139.0</v>
      </c>
      <c r="H951" s="8">
        <f t="shared" si="1"/>
        <v>1</v>
      </c>
      <c r="I951" s="9">
        <f t="shared" si="2"/>
        <v>8</v>
      </c>
      <c r="J951" s="9">
        <f t="shared" si="3"/>
        <v>2023</v>
      </c>
    </row>
    <row r="952" ht="15.75" customHeight="1">
      <c r="A952" s="5">
        <v>48.0</v>
      </c>
      <c r="B952" s="10" t="s">
        <v>408</v>
      </c>
      <c r="C952" s="3" t="s">
        <v>965</v>
      </c>
      <c r="D952" s="4" t="s">
        <v>8</v>
      </c>
      <c r="E952" s="5" t="s">
        <v>15</v>
      </c>
      <c r="F952" s="6" t="s">
        <v>975</v>
      </c>
      <c r="G952" s="7">
        <v>45195.0</v>
      </c>
      <c r="H952" s="8">
        <f t="shared" si="1"/>
        <v>26</v>
      </c>
      <c r="I952" s="9">
        <f t="shared" si="2"/>
        <v>9</v>
      </c>
      <c r="J952" s="9">
        <f t="shared" si="3"/>
        <v>2023</v>
      </c>
    </row>
    <row r="953" ht="15.75" customHeight="1">
      <c r="A953" s="5">
        <v>48.0</v>
      </c>
      <c r="B953" s="10" t="s">
        <v>408</v>
      </c>
      <c r="C953" s="3" t="s">
        <v>965</v>
      </c>
      <c r="D953" s="4" t="s">
        <v>3</v>
      </c>
      <c r="E953" s="5" t="s">
        <v>45</v>
      </c>
      <c r="F953" s="6" t="s">
        <v>839</v>
      </c>
      <c r="G953" s="7">
        <v>45200.0</v>
      </c>
      <c r="H953" s="8">
        <f t="shared" si="1"/>
        <v>1</v>
      </c>
      <c r="I953" s="9">
        <f t="shared" si="2"/>
        <v>10</v>
      </c>
      <c r="J953" s="9">
        <f t="shared" si="3"/>
        <v>2023</v>
      </c>
    </row>
    <row r="954" ht="15.75" customHeight="1">
      <c r="A954" s="5">
        <v>48.0</v>
      </c>
      <c r="B954" s="10" t="s">
        <v>408</v>
      </c>
      <c r="C954" s="3" t="s">
        <v>965</v>
      </c>
      <c r="D954" s="4" t="s">
        <v>3</v>
      </c>
      <c r="E954" s="5" t="s">
        <v>120</v>
      </c>
      <c r="F954" s="6" t="s">
        <v>976</v>
      </c>
      <c r="G954" s="7">
        <v>45200.0</v>
      </c>
      <c r="H954" s="8">
        <f t="shared" si="1"/>
        <v>1</v>
      </c>
      <c r="I954" s="9">
        <f t="shared" si="2"/>
        <v>10</v>
      </c>
      <c r="J954" s="9">
        <f t="shared" si="3"/>
        <v>2023</v>
      </c>
    </row>
    <row r="955" ht="15.75" customHeight="1">
      <c r="A955" s="5">
        <v>48.0</v>
      </c>
      <c r="B955" s="10" t="s">
        <v>408</v>
      </c>
      <c r="C955" s="3" t="s">
        <v>965</v>
      </c>
      <c r="D955" s="4" t="s">
        <v>3</v>
      </c>
      <c r="E955" s="5" t="s">
        <v>120</v>
      </c>
      <c r="F955" s="6" t="s">
        <v>977</v>
      </c>
      <c r="G955" s="7">
        <v>45201.0</v>
      </c>
      <c r="H955" s="8">
        <f t="shared" si="1"/>
        <v>2</v>
      </c>
      <c r="I955" s="9">
        <f t="shared" si="2"/>
        <v>10</v>
      </c>
      <c r="J955" s="9">
        <f t="shared" si="3"/>
        <v>2023</v>
      </c>
    </row>
    <row r="956" ht="15.75" customHeight="1">
      <c r="A956" s="5">
        <v>48.0</v>
      </c>
      <c r="B956" s="10" t="s">
        <v>408</v>
      </c>
      <c r="C956" s="3" t="s">
        <v>965</v>
      </c>
      <c r="D956" s="4" t="s">
        <v>3</v>
      </c>
      <c r="E956" s="5" t="s">
        <v>45</v>
      </c>
      <c r="F956" s="6" t="s">
        <v>978</v>
      </c>
      <c r="G956" s="7">
        <v>45233.0</v>
      </c>
      <c r="H956" s="8">
        <f t="shared" si="1"/>
        <v>3</v>
      </c>
      <c r="I956" s="9">
        <f t="shared" si="2"/>
        <v>11</v>
      </c>
      <c r="J956" s="9">
        <f t="shared" si="3"/>
        <v>2023</v>
      </c>
    </row>
    <row r="957" ht="15.75" customHeight="1">
      <c r="A957" s="5">
        <v>48.0</v>
      </c>
      <c r="B957" s="10" t="s">
        <v>408</v>
      </c>
      <c r="C957" s="3" t="s">
        <v>965</v>
      </c>
      <c r="D957" s="4" t="s">
        <v>3</v>
      </c>
      <c r="E957" s="5" t="s">
        <v>76</v>
      </c>
      <c r="F957" s="6" t="s">
        <v>702</v>
      </c>
      <c r="G957" s="7">
        <v>45240.0</v>
      </c>
      <c r="H957" s="8">
        <f t="shared" si="1"/>
        <v>10</v>
      </c>
      <c r="I957" s="9">
        <f t="shared" si="2"/>
        <v>11</v>
      </c>
      <c r="J957" s="9">
        <f t="shared" si="3"/>
        <v>2023</v>
      </c>
    </row>
    <row r="958" ht="15.75" customHeight="1">
      <c r="A958" s="5">
        <v>48.0</v>
      </c>
      <c r="B958" s="10" t="s">
        <v>408</v>
      </c>
      <c r="C958" s="3" t="s">
        <v>965</v>
      </c>
      <c r="D958" s="4" t="s">
        <v>8</v>
      </c>
      <c r="E958" s="5" t="s">
        <v>120</v>
      </c>
      <c r="F958" s="6" t="s">
        <v>979</v>
      </c>
      <c r="G958" s="7">
        <v>45243.0</v>
      </c>
      <c r="H958" s="8">
        <f t="shared" si="1"/>
        <v>13</v>
      </c>
      <c r="I958" s="9">
        <f t="shared" si="2"/>
        <v>11</v>
      </c>
      <c r="J958" s="9">
        <f t="shared" si="3"/>
        <v>2023</v>
      </c>
    </row>
    <row r="959" ht="15.75" customHeight="1">
      <c r="A959" s="5">
        <v>48.0</v>
      </c>
      <c r="B959" s="10" t="s">
        <v>408</v>
      </c>
      <c r="C959" s="3" t="s">
        <v>965</v>
      </c>
      <c r="D959" s="4" t="s">
        <v>8</v>
      </c>
      <c r="E959" s="5" t="s">
        <v>15</v>
      </c>
      <c r="F959" s="6" t="s">
        <v>241</v>
      </c>
      <c r="G959" s="7">
        <v>45255.0</v>
      </c>
      <c r="H959" s="8">
        <f t="shared" si="1"/>
        <v>25</v>
      </c>
      <c r="I959" s="9">
        <f t="shared" si="2"/>
        <v>11</v>
      </c>
      <c r="J959" s="9">
        <f t="shared" si="3"/>
        <v>2023</v>
      </c>
    </row>
    <row r="960" ht="15.75" customHeight="1">
      <c r="A960" s="5">
        <v>48.0</v>
      </c>
      <c r="B960" s="10" t="s">
        <v>408</v>
      </c>
      <c r="C960" s="3" t="s">
        <v>965</v>
      </c>
      <c r="D960" s="4" t="s">
        <v>3</v>
      </c>
      <c r="E960" s="5" t="s">
        <v>19</v>
      </c>
      <c r="F960" s="6" t="s">
        <v>203</v>
      </c>
      <c r="G960" s="7">
        <v>45286.0</v>
      </c>
      <c r="H960" s="8">
        <f t="shared" si="1"/>
        <v>26</v>
      </c>
      <c r="I960" s="9">
        <f t="shared" si="2"/>
        <v>12</v>
      </c>
      <c r="J960" s="9">
        <f t="shared" si="3"/>
        <v>2023</v>
      </c>
    </row>
    <row r="961" ht="15.75" customHeight="1">
      <c r="A961" s="5">
        <v>49.0</v>
      </c>
      <c r="B961" s="10" t="s">
        <v>980</v>
      </c>
      <c r="C961" s="3" t="s">
        <v>981</v>
      </c>
      <c r="D961" s="4" t="s">
        <v>3</v>
      </c>
      <c r="E961" s="5" t="s">
        <v>96</v>
      </c>
      <c r="F961" s="6" t="s">
        <v>982</v>
      </c>
      <c r="G961" s="7">
        <v>44945.0</v>
      </c>
      <c r="H961" s="8">
        <f t="shared" si="1"/>
        <v>19</v>
      </c>
      <c r="I961" s="9">
        <f t="shared" si="2"/>
        <v>1</v>
      </c>
      <c r="J961" s="9">
        <f t="shared" si="3"/>
        <v>2023</v>
      </c>
    </row>
    <row r="962" ht="15.75" customHeight="1">
      <c r="A962" s="5">
        <v>49.0</v>
      </c>
      <c r="B962" s="10" t="s">
        <v>980</v>
      </c>
      <c r="C962" s="3" t="s">
        <v>981</v>
      </c>
      <c r="D962" s="4" t="s">
        <v>8</v>
      </c>
      <c r="E962" s="5" t="s">
        <v>35</v>
      </c>
      <c r="F962" s="6" t="s">
        <v>983</v>
      </c>
      <c r="G962" s="7">
        <v>44974.0</v>
      </c>
      <c r="H962" s="8">
        <f t="shared" si="1"/>
        <v>17</v>
      </c>
      <c r="I962" s="9">
        <f t="shared" si="2"/>
        <v>2</v>
      </c>
      <c r="J962" s="9">
        <f t="shared" si="3"/>
        <v>2023</v>
      </c>
    </row>
    <row r="963" ht="15.75" customHeight="1">
      <c r="A963" s="5">
        <v>49.0</v>
      </c>
      <c r="B963" s="10" t="s">
        <v>980</v>
      </c>
      <c r="C963" s="3" t="s">
        <v>981</v>
      </c>
      <c r="D963" s="4" t="s">
        <v>8</v>
      </c>
      <c r="E963" s="5" t="s">
        <v>23</v>
      </c>
      <c r="F963" s="6" t="s">
        <v>417</v>
      </c>
      <c r="G963" s="7">
        <v>45024.0</v>
      </c>
      <c r="H963" s="8">
        <f t="shared" si="1"/>
        <v>8</v>
      </c>
      <c r="I963" s="9">
        <f t="shared" si="2"/>
        <v>4</v>
      </c>
      <c r="J963" s="9">
        <f t="shared" si="3"/>
        <v>2023</v>
      </c>
    </row>
    <row r="964" ht="15.75" customHeight="1">
      <c r="A964" s="5">
        <v>49.0</v>
      </c>
      <c r="B964" s="10" t="s">
        <v>980</v>
      </c>
      <c r="C964" s="3" t="s">
        <v>981</v>
      </c>
      <c r="D964" s="4" t="s">
        <v>8</v>
      </c>
      <c r="E964" s="5" t="s">
        <v>51</v>
      </c>
      <c r="F964" s="6" t="s">
        <v>297</v>
      </c>
      <c r="G964" s="7">
        <v>45058.0</v>
      </c>
      <c r="H964" s="8">
        <f t="shared" si="1"/>
        <v>12</v>
      </c>
      <c r="I964" s="9">
        <f t="shared" si="2"/>
        <v>5</v>
      </c>
      <c r="J964" s="9">
        <f t="shared" si="3"/>
        <v>2023</v>
      </c>
    </row>
    <row r="965" ht="15.75" customHeight="1">
      <c r="A965" s="5">
        <v>49.0</v>
      </c>
      <c r="B965" s="10" t="s">
        <v>980</v>
      </c>
      <c r="C965" s="3" t="s">
        <v>981</v>
      </c>
      <c r="D965" s="4" t="s">
        <v>3</v>
      </c>
      <c r="E965" s="5" t="s">
        <v>96</v>
      </c>
      <c r="F965" s="6" t="s">
        <v>984</v>
      </c>
      <c r="G965" s="7">
        <v>45070.0</v>
      </c>
      <c r="H965" s="8">
        <f t="shared" si="1"/>
        <v>24</v>
      </c>
      <c r="I965" s="9">
        <f t="shared" si="2"/>
        <v>5</v>
      </c>
      <c r="J965" s="9">
        <f t="shared" si="3"/>
        <v>2023</v>
      </c>
    </row>
    <row r="966" ht="15.75" customHeight="1">
      <c r="A966" s="5">
        <v>49.0</v>
      </c>
      <c r="B966" s="10" t="s">
        <v>980</v>
      </c>
      <c r="C966" s="3" t="s">
        <v>981</v>
      </c>
      <c r="D966" s="4" t="s">
        <v>8</v>
      </c>
      <c r="E966" s="5" t="s">
        <v>15</v>
      </c>
      <c r="F966" s="6" t="s">
        <v>985</v>
      </c>
      <c r="G966" s="7">
        <v>45103.0</v>
      </c>
      <c r="H966" s="8">
        <f t="shared" si="1"/>
        <v>26</v>
      </c>
      <c r="I966" s="9">
        <f t="shared" si="2"/>
        <v>6</v>
      </c>
      <c r="J966" s="9">
        <f t="shared" si="3"/>
        <v>2023</v>
      </c>
    </row>
    <row r="967" ht="15.75" customHeight="1">
      <c r="A967" s="5">
        <v>49.0</v>
      </c>
      <c r="B967" s="10" t="s">
        <v>980</v>
      </c>
      <c r="C967" s="3" t="s">
        <v>981</v>
      </c>
      <c r="D967" s="4" t="s">
        <v>3</v>
      </c>
      <c r="E967" s="5" t="s">
        <v>120</v>
      </c>
      <c r="F967" s="6" t="s">
        <v>986</v>
      </c>
      <c r="G967" s="7">
        <v>45116.0</v>
      </c>
      <c r="H967" s="8">
        <f t="shared" si="1"/>
        <v>9</v>
      </c>
      <c r="I967" s="9">
        <f t="shared" si="2"/>
        <v>7</v>
      </c>
      <c r="J967" s="9">
        <f t="shared" si="3"/>
        <v>2023</v>
      </c>
    </row>
    <row r="968" ht="15.75" customHeight="1">
      <c r="A968" s="5">
        <v>49.0</v>
      </c>
      <c r="B968" s="10" t="s">
        <v>980</v>
      </c>
      <c r="C968" s="3" t="s">
        <v>981</v>
      </c>
      <c r="D968" s="4" t="s">
        <v>8</v>
      </c>
      <c r="E968" s="5" t="s">
        <v>28</v>
      </c>
      <c r="F968" s="6" t="s">
        <v>987</v>
      </c>
      <c r="G968" s="7">
        <v>45121.0</v>
      </c>
      <c r="H968" s="8">
        <f t="shared" si="1"/>
        <v>14</v>
      </c>
      <c r="I968" s="9">
        <f t="shared" si="2"/>
        <v>7</v>
      </c>
      <c r="J968" s="9">
        <f t="shared" si="3"/>
        <v>2023</v>
      </c>
    </row>
    <row r="969" ht="15.75" customHeight="1">
      <c r="A969" s="5">
        <v>49.0</v>
      </c>
      <c r="B969" s="10" t="s">
        <v>980</v>
      </c>
      <c r="C969" s="3" t="s">
        <v>981</v>
      </c>
      <c r="D969" s="4" t="s">
        <v>3</v>
      </c>
      <c r="E969" s="5" t="s">
        <v>9</v>
      </c>
      <c r="F969" s="6" t="s">
        <v>988</v>
      </c>
      <c r="G969" s="7">
        <v>45142.0</v>
      </c>
      <c r="H969" s="8">
        <f t="shared" si="1"/>
        <v>4</v>
      </c>
      <c r="I969" s="9">
        <f t="shared" si="2"/>
        <v>8</v>
      </c>
      <c r="J969" s="9">
        <f t="shared" si="3"/>
        <v>2023</v>
      </c>
    </row>
    <row r="970" ht="15.75" customHeight="1">
      <c r="A970" s="5">
        <v>49.0</v>
      </c>
      <c r="B970" s="10" t="s">
        <v>980</v>
      </c>
      <c r="C970" s="3" t="s">
        <v>981</v>
      </c>
      <c r="D970" s="4" t="s">
        <v>3</v>
      </c>
      <c r="E970" s="5" t="s">
        <v>71</v>
      </c>
      <c r="F970" s="6" t="s">
        <v>989</v>
      </c>
      <c r="G970" s="7">
        <v>45151.0</v>
      </c>
      <c r="H970" s="8">
        <f t="shared" si="1"/>
        <v>13</v>
      </c>
      <c r="I970" s="9">
        <f t="shared" si="2"/>
        <v>8</v>
      </c>
      <c r="J970" s="9">
        <f t="shared" si="3"/>
        <v>2023</v>
      </c>
    </row>
    <row r="971" ht="15.75" customHeight="1">
      <c r="A971" s="5">
        <v>49.0</v>
      </c>
      <c r="B971" s="10" t="s">
        <v>980</v>
      </c>
      <c r="C971" s="3" t="s">
        <v>981</v>
      </c>
      <c r="D971" s="4" t="s">
        <v>3</v>
      </c>
      <c r="E971" s="5" t="s">
        <v>35</v>
      </c>
      <c r="F971" s="6" t="s">
        <v>990</v>
      </c>
      <c r="G971" s="7">
        <v>45158.0</v>
      </c>
      <c r="H971" s="8">
        <f t="shared" si="1"/>
        <v>20</v>
      </c>
      <c r="I971" s="9">
        <f t="shared" si="2"/>
        <v>8</v>
      </c>
      <c r="J971" s="9">
        <f t="shared" si="3"/>
        <v>2023</v>
      </c>
    </row>
    <row r="972" ht="15.75" customHeight="1">
      <c r="A972" s="5">
        <v>49.0</v>
      </c>
      <c r="B972" s="10" t="s">
        <v>980</v>
      </c>
      <c r="C972" s="3" t="s">
        <v>981</v>
      </c>
      <c r="D972" s="4" t="s">
        <v>3</v>
      </c>
      <c r="E972" s="5" t="s">
        <v>21</v>
      </c>
      <c r="F972" s="6" t="s">
        <v>991</v>
      </c>
      <c r="G972" s="7">
        <v>45163.0</v>
      </c>
      <c r="H972" s="8">
        <f t="shared" si="1"/>
        <v>25</v>
      </c>
      <c r="I972" s="9">
        <f t="shared" si="2"/>
        <v>8</v>
      </c>
      <c r="J972" s="9">
        <f t="shared" si="3"/>
        <v>2023</v>
      </c>
    </row>
    <row r="973" ht="15.75" customHeight="1">
      <c r="A973" s="5">
        <v>49.0</v>
      </c>
      <c r="B973" s="10" t="s">
        <v>980</v>
      </c>
      <c r="C973" s="3" t="s">
        <v>981</v>
      </c>
      <c r="D973" s="4" t="s">
        <v>8</v>
      </c>
      <c r="E973" s="5" t="s">
        <v>9</v>
      </c>
      <c r="F973" s="6" t="s">
        <v>448</v>
      </c>
      <c r="G973" s="7">
        <v>45216.0</v>
      </c>
      <c r="H973" s="8">
        <f t="shared" si="1"/>
        <v>17</v>
      </c>
      <c r="I973" s="9">
        <f t="shared" si="2"/>
        <v>10</v>
      </c>
      <c r="J973" s="9">
        <f t="shared" si="3"/>
        <v>2023</v>
      </c>
    </row>
    <row r="974" ht="15.75" customHeight="1">
      <c r="A974" s="5">
        <v>49.0</v>
      </c>
      <c r="B974" s="10" t="s">
        <v>980</v>
      </c>
      <c r="C974" s="3" t="s">
        <v>981</v>
      </c>
      <c r="D974" s="4" t="s">
        <v>3</v>
      </c>
      <c r="E974" s="5" t="s">
        <v>6</v>
      </c>
      <c r="F974" s="6" t="s">
        <v>992</v>
      </c>
      <c r="G974" s="7">
        <v>45227.0</v>
      </c>
      <c r="H974" s="8">
        <f t="shared" si="1"/>
        <v>28</v>
      </c>
      <c r="I974" s="9">
        <f t="shared" si="2"/>
        <v>10</v>
      </c>
      <c r="J974" s="9">
        <f t="shared" si="3"/>
        <v>2023</v>
      </c>
    </row>
    <row r="975" ht="15.75" customHeight="1">
      <c r="A975" s="5">
        <v>49.0</v>
      </c>
      <c r="B975" s="10" t="s">
        <v>980</v>
      </c>
      <c r="C975" s="3" t="s">
        <v>981</v>
      </c>
      <c r="D975" s="4" t="s">
        <v>8</v>
      </c>
      <c r="E975" s="5" t="s">
        <v>45</v>
      </c>
      <c r="F975" s="6" t="s">
        <v>993</v>
      </c>
      <c r="G975" s="7">
        <v>45234.0</v>
      </c>
      <c r="H975" s="8">
        <f t="shared" si="1"/>
        <v>4</v>
      </c>
      <c r="I975" s="9">
        <f t="shared" si="2"/>
        <v>11</v>
      </c>
      <c r="J975" s="9">
        <f t="shared" si="3"/>
        <v>2023</v>
      </c>
    </row>
    <row r="976" ht="15.75" customHeight="1">
      <c r="A976" s="5">
        <v>49.0</v>
      </c>
      <c r="B976" s="10" t="s">
        <v>980</v>
      </c>
      <c r="C976" s="3" t="s">
        <v>981</v>
      </c>
      <c r="D976" s="4" t="s">
        <v>8</v>
      </c>
      <c r="E976" s="5" t="s">
        <v>17</v>
      </c>
      <c r="F976" s="6" t="s">
        <v>994</v>
      </c>
      <c r="G976" s="7">
        <v>45249.0</v>
      </c>
      <c r="H976" s="8">
        <f t="shared" si="1"/>
        <v>19</v>
      </c>
      <c r="I976" s="9">
        <f t="shared" si="2"/>
        <v>11</v>
      </c>
      <c r="J976" s="9">
        <f t="shared" si="3"/>
        <v>2023</v>
      </c>
    </row>
    <row r="977" ht="15.75" customHeight="1">
      <c r="A977" s="5">
        <v>49.0</v>
      </c>
      <c r="B977" s="10" t="s">
        <v>980</v>
      </c>
      <c r="C977" s="3" t="s">
        <v>981</v>
      </c>
      <c r="D977" s="4" t="s">
        <v>3</v>
      </c>
      <c r="E977" s="5" t="s">
        <v>71</v>
      </c>
      <c r="F977" s="6" t="s">
        <v>995</v>
      </c>
      <c r="G977" s="7">
        <v>45252.0</v>
      </c>
      <c r="H977" s="8">
        <f t="shared" si="1"/>
        <v>22</v>
      </c>
      <c r="I977" s="9">
        <f t="shared" si="2"/>
        <v>11</v>
      </c>
      <c r="J977" s="9">
        <f t="shared" si="3"/>
        <v>2023</v>
      </c>
    </row>
    <row r="978" ht="15.75" customHeight="1">
      <c r="A978" s="5">
        <v>49.0</v>
      </c>
      <c r="B978" s="10" t="s">
        <v>980</v>
      </c>
      <c r="C978" s="3" t="s">
        <v>981</v>
      </c>
      <c r="D978" s="4" t="s">
        <v>3</v>
      </c>
      <c r="E978" s="5" t="s">
        <v>21</v>
      </c>
      <c r="F978" s="6" t="s">
        <v>996</v>
      </c>
      <c r="G978" s="7">
        <v>45253.0</v>
      </c>
      <c r="H978" s="8">
        <f t="shared" si="1"/>
        <v>23</v>
      </c>
      <c r="I978" s="9">
        <f t="shared" si="2"/>
        <v>11</v>
      </c>
      <c r="J978" s="9">
        <f t="shared" si="3"/>
        <v>2023</v>
      </c>
    </row>
    <row r="979" ht="15.75" customHeight="1">
      <c r="A979" s="5">
        <v>49.0</v>
      </c>
      <c r="B979" s="10" t="s">
        <v>980</v>
      </c>
      <c r="C979" s="3" t="s">
        <v>981</v>
      </c>
      <c r="D979" s="4" t="s">
        <v>3</v>
      </c>
      <c r="E979" s="5" t="s">
        <v>11</v>
      </c>
      <c r="F979" s="6" t="s">
        <v>997</v>
      </c>
      <c r="G979" s="7">
        <v>45257.0</v>
      </c>
      <c r="H979" s="8">
        <f t="shared" si="1"/>
        <v>27</v>
      </c>
      <c r="I979" s="9">
        <f t="shared" si="2"/>
        <v>11</v>
      </c>
      <c r="J979" s="9">
        <f t="shared" si="3"/>
        <v>2023</v>
      </c>
    </row>
    <row r="980" ht="15.75" customHeight="1">
      <c r="A980" s="5">
        <v>49.0</v>
      </c>
      <c r="B980" s="10" t="s">
        <v>980</v>
      </c>
      <c r="C980" s="3" t="s">
        <v>981</v>
      </c>
      <c r="D980" s="4" t="s">
        <v>3</v>
      </c>
      <c r="E980" s="5" t="s">
        <v>39</v>
      </c>
      <c r="F980" s="6" t="s">
        <v>998</v>
      </c>
      <c r="G980" s="7">
        <v>45270.0</v>
      </c>
      <c r="H980" s="8">
        <f t="shared" si="1"/>
        <v>10</v>
      </c>
      <c r="I980" s="9">
        <f t="shared" si="2"/>
        <v>12</v>
      </c>
      <c r="J980" s="9">
        <f t="shared" si="3"/>
        <v>2023</v>
      </c>
    </row>
    <row r="981" ht="15.75" customHeight="1">
      <c r="A981" s="5">
        <v>50.0</v>
      </c>
      <c r="B981" s="10" t="s">
        <v>999</v>
      </c>
      <c r="C981" s="3" t="s">
        <v>1000</v>
      </c>
      <c r="D981" s="4" t="s">
        <v>8</v>
      </c>
      <c r="E981" s="5" t="s">
        <v>17</v>
      </c>
      <c r="F981" s="6" t="s">
        <v>1001</v>
      </c>
      <c r="G981" s="7">
        <v>44927.0</v>
      </c>
      <c r="H981" s="8">
        <f t="shared" si="1"/>
        <v>1</v>
      </c>
      <c r="I981" s="9">
        <f t="shared" si="2"/>
        <v>1</v>
      </c>
      <c r="J981" s="9">
        <f t="shared" si="3"/>
        <v>2023</v>
      </c>
    </row>
    <row r="982" ht="15.75" customHeight="1">
      <c r="A982" s="5">
        <v>50.0</v>
      </c>
      <c r="B982" s="10" t="s">
        <v>999</v>
      </c>
      <c r="C982" s="3" t="s">
        <v>1000</v>
      </c>
      <c r="D982" s="4" t="s">
        <v>3</v>
      </c>
      <c r="E982" s="5" t="s">
        <v>23</v>
      </c>
      <c r="F982" s="6" t="s">
        <v>1002</v>
      </c>
      <c r="G982" s="7">
        <v>44940.0</v>
      </c>
      <c r="H982" s="8">
        <f t="shared" si="1"/>
        <v>14</v>
      </c>
      <c r="I982" s="9">
        <f t="shared" si="2"/>
        <v>1</v>
      </c>
      <c r="J982" s="9">
        <f t="shared" si="3"/>
        <v>2023</v>
      </c>
    </row>
    <row r="983" ht="15.75" customHeight="1">
      <c r="A983" s="5">
        <v>50.0</v>
      </c>
      <c r="B983" s="10" t="s">
        <v>999</v>
      </c>
      <c r="C983" s="3" t="s">
        <v>1000</v>
      </c>
      <c r="D983" s="4" t="s">
        <v>3</v>
      </c>
      <c r="E983" s="5" t="s">
        <v>11</v>
      </c>
      <c r="F983" s="6" t="s">
        <v>1003</v>
      </c>
      <c r="G983" s="7">
        <v>44944.0</v>
      </c>
      <c r="H983" s="8">
        <f t="shared" si="1"/>
        <v>18</v>
      </c>
      <c r="I983" s="9">
        <f t="shared" si="2"/>
        <v>1</v>
      </c>
      <c r="J983" s="9">
        <f t="shared" si="3"/>
        <v>2023</v>
      </c>
    </row>
    <row r="984" ht="15.75" customHeight="1">
      <c r="A984" s="5">
        <v>50.0</v>
      </c>
      <c r="B984" s="10" t="s">
        <v>999</v>
      </c>
      <c r="C984" s="3" t="s">
        <v>1000</v>
      </c>
      <c r="D984" s="4" t="s">
        <v>3</v>
      </c>
      <c r="E984" s="5" t="s">
        <v>96</v>
      </c>
      <c r="F984" s="6" t="s">
        <v>201</v>
      </c>
      <c r="G984" s="7">
        <v>44954.0</v>
      </c>
      <c r="H984" s="8">
        <f t="shared" si="1"/>
        <v>28</v>
      </c>
      <c r="I984" s="9">
        <f t="shared" si="2"/>
        <v>1</v>
      </c>
      <c r="J984" s="9">
        <f t="shared" si="3"/>
        <v>2023</v>
      </c>
    </row>
    <row r="985" ht="15.75" customHeight="1">
      <c r="A985" s="5">
        <v>50.0</v>
      </c>
      <c r="B985" s="10" t="s">
        <v>999</v>
      </c>
      <c r="C985" s="3" t="s">
        <v>1000</v>
      </c>
      <c r="D985" s="4" t="s">
        <v>8</v>
      </c>
      <c r="E985" s="5" t="s">
        <v>39</v>
      </c>
      <c r="F985" s="6" t="s">
        <v>1004</v>
      </c>
      <c r="G985" s="7">
        <v>44990.0</v>
      </c>
      <c r="H985" s="8">
        <f t="shared" si="1"/>
        <v>5</v>
      </c>
      <c r="I985" s="9">
        <f t="shared" si="2"/>
        <v>3</v>
      </c>
      <c r="J985" s="9">
        <f t="shared" si="3"/>
        <v>2023</v>
      </c>
    </row>
    <row r="986" ht="15.75" customHeight="1">
      <c r="A986" s="5">
        <v>50.0</v>
      </c>
      <c r="B986" s="10" t="s">
        <v>999</v>
      </c>
      <c r="C986" s="3" t="s">
        <v>1000</v>
      </c>
      <c r="D986" s="4" t="s">
        <v>3</v>
      </c>
      <c r="E986" s="5" t="s">
        <v>15</v>
      </c>
      <c r="F986" s="6" t="s">
        <v>585</v>
      </c>
      <c r="G986" s="7">
        <v>45000.0</v>
      </c>
      <c r="H986" s="8">
        <f t="shared" si="1"/>
        <v>15</v>
      </c>
      <c r="I986" s="9">
        <f t="shared" si="2"/>
        <v>3</v>
      </c>
      <c r="J986" s="9">
        <f t="shared" si="3"/>
        <v>2023</v>
      </c>
    </row>
    <row r="987" ht="15.75" customHeight="1">
      <c r="A987" s="5">
        <v>50.0</v>
      </c>
      <c r="B987" s="10" t="s">
        <v>999</v>
      </c>
      <c r="C987" s="3" t="s">
        <v>1000</v>
      </c>
      <c r="D987" s="4" t="s">
        <v>8</v>
      </c>
      <c r="E987" s="5" t="s">
        <v>35</v>
      </c>
      <c r="F987" s="6" t="s">
        <v>517</v>
      </c>
      <c r="G987" s="7">
        <v>45041.0</v>
      </c>
      <c r="H987" s="8">
        <f t="shared" si="1"/>
        <v>25</v>
      </c>
      <c r="I987" s="9">
        <f t="shared" si="2"/>
        <v>4</v>
      </c>
      <c r="J987" s="9">
        <f t="shared" si="3"/>
        <v>2023</v>
      </c>
    </row>
    <row r="988" ht="15.75" customHeight="1">
      <c r="A988" s="5">
        <v>50.0</v>
      </c>
      <c r="B988" s="10" t="s">
        <v>999</v>
      </c>
      <c r="C988" s="3" t="s">
        <v>1000</v>
      </c>
      <c r="D988" s="4" t="s">
        <v>8</v>
      </c>
      <c r="E988" s="5" t="s">
        <v>39</v>
      </c>
      <c r="F988" s="6" t="s">
        <v>1005</v>
      </c>
      <c r="G988" s="7">
        <v>45041.0</v>
      </c>
      <c r="H988" s="8">
        <f t="shared" si="1"/>
        <v>25</v>
      </c>
      <c r="I988" s="9">
        <f t="shared" si="2"/>
        <v>4</v>
      </c>
      <c r="J988" s="9">
        <f t="shared" si="3"/>
        <v>2023</v>
      </c>
    </row>
    <row r="989" ht="15.75" customHeight="1">
      <c r="A989" s="5">
        <v>50.0</v>
      </c>
      <c r="B989" s="10" t="s">
        <v>999</v>
      </c>
      <c r="C989" s="3" t="s">
        <v>1000</v>
      </c>
      <c r="D989" s="4" t="s">
        <v>3</v>
      </c>
      <c r="E989" s="5" t="s">
        <v>23</v>
      </c>
      <c r="F989" s="6" t="s">
        <v>1006</v>
      </c>
      <c r="G989" s="7">
        <v>45096.0</v>
      </c>
      <c r="H989" s="8">
        <f t="shared" si="1"/>
        <v>19</v>
      </c>
      <c r="I989" s="9">
        <f t="shared" si="2"/>
        <v>6</v>
      </c>
      <c r="J989" s="9">
        <f t="shared" si="3"/>
        <v>2023</v>
      </c>
    </row>
    <row r="990" ht="15.75" customHeight="1">
      <c r="A990" s="5">
        <v>50.0</v>
      </c>
      <c r="B990" s="10" t="s">
        <v>999</v>
      </c>
      <c r="C990" s="3" t="s">
        <v>1000</v>
      </c>
      <c r="D990" s="4" t="s">
        <v>8</v>
      </c>
      <c r="E990" s="5" t="s">
        <v>39</v>
      </c>
      <c r="F990" s="6" t="s">
        <v>1007</v>
      </c>
      <c r="G990" s="7">
        <v>45100.0</v>
      </c>
      <c r="H990" s="8">
        <f t="shared" si="1"/>
        <v>23</v>
      </c>
      <c r="I990" s="9">
        <f t="shared" si="2"/>
        <v>6</v>
      </c>
      <c r="J990" s="9">
        <f t="shared" si="3"/>
        <v>2023</v>
      </c>
    </row>
    <row r="991" ht="15.75" customHeight="1">
      <c r="A991" s="5">
        <v>50.0</v>
      </c>
      <c r="B991" s="10" t="s">
        <v>999</v>
      </c>
      <c r="C991" s="3" t="s">
        <v>1000</v>
      </c>
      <c r="D991" s="4" t="s">
        <v>3</v>
      </c>
      <c r="E991" s="5" t="s">
        <v>21</v>
      </c>
      <c r="F991" s="6" t="s">
        <v>1008</v>
      </c>
      <c r="G991" s="7">
        <v>45102.0</v>
      </c>
      <c r="H991" s="8">
        <f t="shared" si="1"/>
        <v>25</v>
      </c>
      <c r="I991" s="9">
        <f t="shared" si="2"/>
        <v>6</v>
      </c>
      <c r="J991" s="9">
        <f t="shared" si="3"/>
        <v>2023</v>
      </c>
    </row>
    <row r="992" ht="15.75" customHeight="1">
      <c r="A992" s="5">
        <v>50.0</v>
      </c>
      <c r="B992" s="10" t="s">
        <v>999</v>
      </c>
      <c r="C992" s="3" t="s">
        <v>1000</v>
      </c>
      <c r="D992" s="4" t="s">
        <v>8</v>
      </c>
      <c r="E992" s="5" t="s">
        <v>15</v>
      </c>
      <c r="F992" s="6" t="s">
        <v>235</v>
      </c>
      <c r="G992" s="7">
        <v>45150.0</v>
      </c>
      <c r="H992" s="8">
        <f t="shared" si="1"/>
        <v>12</v>
      </c>
      <c r="I992" s="9">
        <f t="shared" si="2"/>
        <v>8</v>
      </c>
      <c r="J992" s="9">
        <f t="shared" si="3"/>
        <v>2023</v>
      </c>
    </row>
    <row r="993" ht="15.75" customHeight="1">
      <c r="A993" s="5">
        <v>50.0</v>
      </c>
      <c r="B993" s="10" t="s">
        <v>999</v>
      </c>
      <c r="C993" s="3" t="s">
        <v>1000</v>
      </c>
      <c r="D993" s="4" t="s">
        <v>8</v>
      </c>
      <c r="E993" s="5" t="s">
        <v>4</v>
      </c>
      <c r="F993" s="6" t="s">
        <v>1009</v>
      </c>
      <c r="G993" s="7">
        <v>45192.0</v>
      </c>
      <c r="H993" s="8">
        <f t="shared" si="1"/>
        <v>23</v>
      </c>
      <c r="I993" s="9">
        <f t="shared" si="2"/>
        <v>9</v>
      </c>
      <c r="J993" s="9">
        <f t="shared" si="3"/>
        <v>2023</v>
      </c>
    </row>
    <row r="994" ht="15.75" customHeight="1">
      <c r="A994" s="5">
        <v>50.0</v>
      </c>
      <c r="B994" s="10" t="s">
        <v>999</v>
      </c>
      <c r="C994" s="3" t="s">
        <v>1000</v>
      </c>
      <c r="D994" s="4" t="s">
        <v>3</v>
      </c>
      <c r="E994" s="5" t="s">
        <v>23</v>
      </c>
      <c r="F994" s="6" t="s">
        <v>1010</v>
      </c>
      <c r="G994" s="7">
        <v>45208.0</v>
      </c>
      <c r="H994" s="8">
        <f t="shared" si="1"/>
        <v>9</v>
      </c>
      <c r="I994" s="9">
        <f t="shared" si="2"/>
        <v>10</v>
      </c>
      <c r="J994" s="9">
        <f t="shared" si="3"/>
        <v>2023</v>
      </c>
    </row>
    <row r="995" ht="15.75" customHeight="1">
      <c r="A995" s="5">
        <v>50.0</v>
      </c>
      <c r="B995" s="10" t="s">
        <v>999</v>
      </c>
      <c r="C995" s="3" t="s">
        <v>1000</v>
      </c>
      <c r="D995" s="4" t="s">
        <v>8</v>
      </c>
      <c r="E995" s="5" t="s">
        <v>28</v>
      </c>
      <c r="F995" s="6" t="s">
        <v>842</v>
      </c>
      <c r="G995" s="7">
        <v>45237.0</v>
      </c>
      <c r="H995" s="8">
        <f t="shared" si="1"/>
        <v>7</v>
      </c>
      <c r="I995" s="9">
        <f t="shared" si="2"/>
        <v>11</v>
      </c>
      <c r="J995" s="9">
        <f t="shared" si="3"/>
        <v>2023</v>
      </c>
    </row>
    <row r="996" ht="15.75" customHeight="1">
      <c r="A996" s="5">
        <v>50.0</v>
      </c>
      <c r="B996" s="10" t="s">
        <v>999</v>
      </c>
      <c r="C996" s="3" t="s">
        <v>1000</v>
      </c>
      <c r="D996" s="4" t="s">
        <v>3</v>
      </c>
      <c r="E996" s="5" t="s">
        <v>11</v>
      </c>
      <c r="F996" s="6" t="s">
        <v>1011</v>
      </c>
      <c r="G996" s="7">
        <v>45262.0</v>
      </c>
      <c r="H996" s="8">
        <f t="shared" si="1"/>
        <v>2</v>
      </c>
      <c r="I996" s="9">
        <f t="shared" si="2"/>
        <v>12</v>
      </c>
      <c r="J996" s="9">
        <f t="shared" si="3"/>
        <v>2023</v>
      </c>
    </row>
    <row r="997" ht="15.75" customHeight="1">
      <c r="A997" s="5">
        <v>50.0</v>
      </c>
      <c r="B997" s="10" t="s">
        <v>999</v>
      </c>
      <c r="C997" s="3" t="s">
        <v>1000</v>
      </c>
      <c r="D997" s="4" t="s">
        <v>8</v>
      </c>
      <c r="E997" s="5" t="s">
        <v>17</v>
      </c>
      <c r="F997" s="6" t="s">
        <v>236</v>
      </c>
      <c r="G997" s="7">
        <v>45267.0</v>
      </c>
      <c r="H997" s="8">
        <f t="shared" si="1"/>
        <v>7</v>
      </c>
      <c r="I997" s="9">
        <f t="shared" si="2"/>
        <v>12</v>
      </c>
      <c r="J997" s="9">
        <f t="shared" si="3"/>
        <v>2023</v>
      </c>
    </row>
    <row r="998" ht="15.75" customHeight="1">
      <c r="A998" s="5">
        <v>50.0</v>
      </c>
      <c r="B998" s="10" t="s">
        <v>999</v>
      </c>
      <c r="C998" s="3" t="s">
        <v>1000</v>
      </c>
      <c r="D998" s="4" t="s">
        <v>8</v>
      </c>
      <c r="E998" s="5" t="s">
        <v>17</v>
      </c>
      <c r="F998" s="6" t="s">
        <v>1012</v>
      </c>
      <c r="G998" s="7">
        <v>45276.0</v>
      </c>
      <c r="H998" s="8">
        <f t="shared" si="1"/>
        <v>16</v>
      </c>
      <c r="I998" s="9">
        <f t="shared" si="2"/>
        <v>12</v>
      </c>
      <c r="J998" s="9">
        <f t="shared" si="3"/>
        <v>2023</v>
      </c>
    </row>
    <row r="999" ht="15.75" customHeight="1">
      <c r="A999" s="5">
        <v>50.0</v>
      </c>
      <c r="B999" s="10" t="s">
        <v>999</v>
      </c>
      <c r="C999" s="3" t="s">
        <v>1000</v>
      </c>
      <c r="D999" s="4" t="s">
        <v>3</v>
      </c>
      <c r="E999" s="5" t="s">
        <v>39</v>
      </c>
      <c r="F999" s="6" t="s">
        <v>1013</v>
      </c>
      <c r="G999" s="7">
        <v>45286.0</v>
      </c>
      <c r="H999" s="8">
        <f t="shared" si="1"/>
        <v>26</v>
      </c>
      <c r="I999" s="9">
        <f t="shared" si="2"/>
        <v>12</v>
      </c>
      <c r="J999" s="9">
        <f t="shared" si="3"/>
        <v>2023</v>
      </c>
    </row>
    <row r="1000" ht="15.75" customHeight="1">
      <c r="A1000" s="5">
        <v>50.0</v>
      </c>
      <c r="B1000" s="10" t="s">
        <v>999</v>
      </c>
      <c r="C1000" s="3" t="s">
        <v>1000</v>
      </c>
      <c r="D1000" s="4" t="s">
        <v>3</v>
      </c>
      <c r="E1000" s="5" t="s">
        <v>42</v>
      </c>
      <c r="F1000" s="6" t="s">
        <v>1014</v>
      </c>
      <c r="G1000" s="7">
        <v>45287.0</v>
      </c>
      <c r="H1000" s="8">
        <f t="shared" si="1"/>
        <v>27</v>
      </c>
      <c r="I1000" s="9">
        <f t="shared" si="2"/>
        <v>12</v>
      </c>
      <c r="J1000" s="9">
        <f t="shared" si="3"/>
        <v>2023</v>
      </c>
    </row>
    <row r="1001" ht="15.75" customHeight="1">
      <c r="A1001" s="5">
        <v>51.0</v>
      </c>
      <c r="B1001" s="10" t="s">
        <v>1015</v>
      </c>
      <c r="C1001" s="3" t="s">
        <v>1016</v>
      </c>
      <c r="D1001" s="4" t="s">
        <v>8</v>
      </c>
      <c r="E1001" s="5" t="s">
        <v>21</v>
      </c>
      <c r="F1001" s="6" t="s">
        <v>1017</v>
      </c>
      <c r="G1001" s="7">
        <v>44976.0</v>
      </c>
      <c r="H1001" s="8">
        <f t="shared" si="1"/>
        <v>19</v>
      </c>
      <c r="I1001" s="9">
        <f t="shared" si="2"/>
        <v>2</v>
      </c>
      <c r="J1001" s="9">
        <f t="shared" si="3"/>
        <v>2023</v>
      </c>
    </row>
    <row r="1002" ht="15.75" customHeight="1">
      <c r="A1002" s="5">
        <v>51.0</v>
      </c>
      <c r="B1002" s="10" t="s">
        <v>1015</v>
      </c>
      <c r="C1002" s="3" t="s">
        <v>1016</v>
      </c>
      <c r="D1002" s="4" t="s">
        <v>8</v>
      </c>
      <c r="E1002" s="5" t="s">
        <v>76</v>
      </c>
      <c r="F1002" s="6" t="s">
        <v>1018</v>
      </c>
      <c r="G1002" s="7">
        <v>45003.0</v>
      </c>
      <c r="H1002" s="8">
        <f t="shared" si="1"/>
        <v>18</v>
      </c>
      <c r="I1002" s="9">
        <f t="shared" si="2"/>
        <v>3</v>
      </c>
      <c r="J1002" s="9">
        <f t="shared" si="3"/>
        <v>2023</v>
      </c>
    </row>
    <row r="1003" ht="15.75" customHeight="1">
      <c r="A1003" s="5">
        <v>51.0</v>
      </c>
      <c r="B1003" s="10" t="s">
        <v>1015</v>
      </c>
      <c r="C1003" s="3" t="s">
        <v>1016</v>
      </c>
      <c r="D1003" s="4" t="s">
        <v>8</v>
      </c>
      <c r="E1003" s="5" t="s">
        <v>23</v>
      </c>
      <c r="F1003" s="6" t="s">
        <v>1019</v>
      </c>
      <c r="G1003" s="7">
        <v>45009.0</v>
      </c>
      <c r="H1003" s="8">
        <f t="shared" si="1"/>
        <v>24</v>
      </c>
      <c r="I1003" s="9">
        <f t="shared" si="2"/>
        <v>3</v>
      </c>
      <c r="J1003" s="9">
        <f t="shared" si="3"/>
        <v>2023</v>
      </c>
    </row>
    <row r="1004" ht="15.75" customHeight="1">
      <c r="A1004" s="5">
        <v>51.0</v>
      </c>
      <c r="B1004" s="10" t="s">
        <v>1015</v>
      </c>
      <c r="C1004" s="3" t="s">
        <v>1016</v>
      </c>
      <c r="D1004" s="4" t="s">
        <v>3</v>
      </c>
      <c r="E1004" s="5" t="s">
        <v>51</v>
      </c>
      <c r="F1004" s="6" t="s">
        <v>415</v>
      </c>
      <c r="G1004" s="7">
        <v>45011.0</v>
      </c>
      <c r="H1004" s="8">
        <f t="shared" si="1"/>
        <v>26</v>
      </c>
      <c r="I1004" s="9">
        <f t="shared" si="2"/>
        <v>3</v>
      </c>
      <c r="J1004" s="9">
        <f t="shared" si="3"/>
        <v>2023</v>
      </c>
    </row>
    <row r="1005" ht="15.75" customHeight="1">
      <c r="A1005" s="5">
        <v>51.0</v>
      </c>
      <c r="B1005" s="10" t="s">
        <v>1015</v>
      </c>
      <c r="C1005" s="3" t="s">
        <v>1016</v>
      </c>
      <c r="D1005" s="4" t="s">
        <v>8</v>
      </c>
      <c r="E1005" s="5" t="s">
        <v>28</v>
      </c>
      <c r="F1005" s="6" t="s">
        <v>105</v>
      </c>
      <c r="G1005" s="7">
        <v>45054.0</v>
      </c>
      <c r="H1005" s="8">
        <f t="shared" si="1"/>
        <v>8</v>
      </c>
      <c r="I1005" s="9">
        <f t="shared" si="2"/>
        <v>5</v>
      </c>
      <c r="J1005" s="9">
        <f t="shared" si="3"/>
        <v>2023</v>
      </c>
    </row>
    <row r="1006" ht="15.75" customHeight="1">
      <c r="A1006" s="5">
        <v>51.0</v>
      </c>
      <c r="B1006" s="10" t="s">
        <v>1015</v>
      </c>
      <c r="C1006" s="3" t="s">
        <v>1016</v>
      </c>
      <c r="D1006" s="4" t="s">
        <v>8</v>
      </c>
      <c r="E1006" s="5" t="s">
        <v>4</v>
      </c>
      <c r="F1006" s="6" t="s">
        <v>1020</v>
      </c>
      <c r="G1006" s="7">
        <v>45060.0</v>
      </c>
      <c r="H1006" s="8">
        <f t="shared" si="1"/>
        <v>14</v>
      </c>
      <c r="I1006" s="9">
        <f t="shared" si="2"/>
        <v>5</v>
      </c>
      <c r="J1006" s="9">
        <f t="shared" si="3"/>
        <v>2023</v>
      </c>
    </row>
    <row r="1007" ht="15.75" customHeight="1">
      <c r="A1007" s="5">
        <v>51.0</v>
      </c>
      <c r="B1007" s="10" t="s">
        <v>1015</v>
      </c>
      <c r="C1007" s="3" t="s">
        <v>1016</v>
      </c>
      <c r="D1007" s="4" t="s">
        <v>8</v>
      </c>
      <c r="E1007" s="5" t="s">
        <v>42</v>
      </c>
      <c r="F1007" s="6" t="s">
        <v>1021</v>
      </c>
      <c r="G1007" s="7">
        <v>45071.0</v>
      </c>
      <c r="H1007" s="8">
        <f t="shared" si="1"/>
        <v>25</v>
      </c>
      <c r="I1007" s="9">
        <f t="shared" si="2"/>
        <v>5</v>
      </c>
      <c r="J1007" s="9">
        <f t="shared" si="3"/>
        <v>2023</v>
      </c>
    </row>
    <row r="1008" ht="15.75" customHeight="1">
      <c r="A1008" s="5">
        <v>51.0</v>
      </c>
      <c r="B1008" s="10" t="s">
        <v>1015</v>
      </c>
      <c r="C1008" s="3" t="s">
        <v>1016</v>
      </c>
      <c r="D1008" s="4" t="s">
        <v>3</v>
      </c>
      <c r="E1008" s="5" t="s">
        <v>9</v>
      </c>
      <c r="F1008" s="6" t="s">
        <v>291</v>
      </c>
      <c r="G1008" s="7">
        <v>45080.0</v>
      </c>
      <c r="H1008" s="8">
        <f t="shared" si="1"/>
        <v>3</v>
      </c>
      <c r="I1008" s="9">
        <f t="shared" si="2"/>
        <v>6</v>
      </c>
      <c r="J1008" s="9">
        <f t="shared" si="3"/>
        <v>2023</v>
      </c>
    </row>
    <row r="1009" ht="15.75" customHeight="1">
      <c r="A1009" s="5">
        <v>51.0</v>
      </c>
      <c r="B1009" s="10" t="s">
        <v>1015</v>
      </c>
      <c r="C1009" s="3" t="s">
        <v>1016</v>
      </c>
      <c r="D1009" s="4" t="s">
        <v>8</v>
      </c>
      <c r="E1009" s="5" t="s">
        <v>39</v>
      </c>
      <c r="F1009" s="6" t="s">
        <v>1022</v>
      </c>
      <c r="G1009" s="7">
        <v>45082.0</v>
      </c>
      <c r="H1009" s="8">
        <f t="shared" si="1"/>
        <v>5</v>
      </c>
      <c r="I1009" s="9">
        <f t="shared" si="2"/>
        <v>6</v>
      </c>
      <c r="J1009" s="9">
        <f t="shared" si="3"/>
        <v>2023</v>
      </c>
    </row>
    <row r="1010" ht="15.75" customHeight="1">
      <c r="A1010" s="5">
        <v>51.0</v>
      </c>
      <c r="B1010" s="10" t="s">
        <v>1015</v>
      </c>
      <c r="C1010" s="3" t="s">
        <v>1016</v>
      </c>
      <c r="D1010" s="4" t="s">
        <v>3</v>
      </c>
      <c r="E1010" s="5" t="s">
        <v>4</v>
      </c>
      <c r="F1010" s="6" t="s">
        <v>1023</v>
      </c>
      <c r="G1010" s="7">
        <v>45114.0</v>
      </c>
      <c r="H1010" s="8">
        <f t="shared" si="1"/>
        <v>7</v>
      </c>
      <c r="I1010" s="9">
        <f t="shared" si="2"/>
        <v>7</v>
      </c>
      <c r="J1010" s="9">
        <f t="shared" si="3"/>
        <v>2023</v>
      </c>
    </row>
    <row r="1011" ht="15.75" customHeight="1">
      <c r="A1011" s="5">
        <v>51.0</v>
      </c>
      <c r="B1011" s="10" t="s">
        <v>1015</v>
      </c>
      <c r="C1011" s="3" t="s">
        <v>1016</v>
      </c>
      <c r="D1011" s="4" t="s">
        <v>8</v>
      </c>
      <c r="E1011" s="5" t="s">
        <v>6</v>
      </c>
      <c r="F1011" s="6" t="s">
        <v>1024</v>
      </c>
      <c r="G1011" s="7">
        <v>45140.0</v>
      </c>
      <c r="H1011" s="8">
        <f t="shared" si="1"/>
        <v>2</v>
      </c>
      <c r="I1011" s="9">
        <f t="shared" si="2"/>
        <v>8</v>
      </c>
      <c r="J1011" s="9">
        <f t="shared" si="3"/>
        <v>2023</v>
      </c>
    </row>
    <row r="1012" ht="15.75" customHeight="1">
      <c r="A1012" s="5">
        <v>51.0</v>
      </c>
      <c r="B1012" s="10" t="s">
        <v>1015</v>
      </c>
      <c r="C1012" s="3" t="s">
        <v>1016</v>
      </c>
      <c r="D1012" s="4" t="s">
        <v>8</v>
      </c>
      <c r="E1012" s="5" t="s">
        <v>19</v>
      </c>
      <c r="F1012" s="6" t="s">
        <v>1025</v>
      </c>
      <c r="G1012" s="7">
        <v>45152.0</v>
      </c>
      <c r="H1012" s="8">
        <f t="shared" si="1"/>
        <v>14</v>
      </c>
      <c r="I1012" s="9">
        <f t="shared" si="2"/>
        <v>8</v>
      </c>
      <c r="J1012" s="9">
        <f t="shared" si="3"/>
        <v>2023</v>
      </c>
    </row>
    <row r="1013" ht="15.75" customHeight="1">
      <c r="A1013" s="5">
        <v>51.0</v>
      </c>
      <c r="B1013" s="10" t="s">
        <v>1015</v>
      </c>
      <c r="C1013" s="3" t="s">
        <v>1016</v>
      </c>
      <c r="D1013" s="4" t="s">
        <v>3</v>
      </c>
      <c r="E1013" s="5" t="s">
        <v>21</v>
      </c>
      <c r="F1013" s="6" t="s">
        <v>1026</v>
      </c>
      <c r="G1013" s="7">
        <v>45189.0</v>
      </c>
      <c r="H1013" s="8">
        <f t="shared" si="1"/>
        <v>20</v>
      </c>
      <c r="I1013" s="9">
        <f t="shared" si="2"/>
        <v>9</v>
      </c>
      <c r="J1013" s="9">
        <f t="shared" si="3"/>
        <v>2023</v>
      </c>
    </row>
    <row r="1014" ht="15.75" customHeight="1">
      <c r="A1014" s="5">
        <v>51.0</v>
      </c>
      <c r="B1014" s="10" t="s">
        <v>1015</v>
      </c>
      <c r="C1014" s="3" t="s">
        <v>1016</v>
      </c>
      <c r="D1014" s="4" t="s">
        <v>8</v>
      </c>
      <c r="E1014" s="5" t="s">
        <v>6</v>
      </c>
      <c r="F1014" s="6" t="s">
        <v>1027</v>
      </c>
      <c r="G1014" s="7">
        <v>45247.0</v>
      </c>
      <c r="H1014" s="8">
        <f t="shared" si="1"/>
        <v>17</v>
      </c>
      <c r="I1014" s="9">
        <f t="shared" si="2"/>
        <v>11</v>
      </c>
      <c r="J1014" s="9">
        <f t="shared" si="3"/>
        <v>2023</v>
      </c>
    </row>
    <row r="1015" ht="15.75" customHeight="1">
      <c r="A1015" s="5">
        <v>51.0</v>
      </c>
      <c r="B1015" s="10" t="s">
        <v>1015</v>
      </c>
      <c r="C1015" s="3" t="s">
        <v>1016</v>
      </c>
      <c r="D1015" s="4" t="s">
        <v>3</v>
      </c>
      <c r="E1015" s="5" t="s">
        <v>11</v>
      </c>
      <c r="F1015" s="6" t="s">
        <v>1028</v>
      </c>
      <c r="G1015" s="7">
        <v>45256.0</v>
      </c>
      <c r="H1015" s="8">
        <f t="shared" si="1"/>
        <v>26</v>
      </c>
      <c r="I1015" s="9">
        <f t="shared" si="2"/>
        <v>11</v>
      </c>
      <c r="J1015" s="9">
        <f t="shared" si="3"/>
        <v>2023</v>
      </c>
    </row>
    <row r="1016" ht="15.75" customHeight="1">
      <c r="A1016" s="5">
        <v>51.0</v>
      </c>
      <c r="B1016" s="10" t="s">
        <v>1015</v>
      </c>
      <c r="C1016" s="3" t="s">
        <v>1016</v>
      </c>
      <c r="D1016" s="4" t="s">
        <v>8</v>
      </c>
      <c r="E1016" s="5" t="s">
        <v>11</v>
      </c>
      <c r="F1016" s="6" t="s">
        <v>1029</v>
      </c>
      <c r="G1016" s="7">
        <v>45263.0</v>
      </c>
      <c r="H1016" s="8">
        <f t="shared" si="1"/>
        <v>3</v>
      </c>
      <c r="I1016" s="9">
        <f t="shared" si="2"/>
        <v>12</v>
      </c>
      <c r="J1016" s="9">
        <f t="shared" si="3"/>
        <v>2023</v>
      </c>
    </row>
    <row r="1017" ht="15.75" customHeight="1">
      <c r="A1017" s="5">
        <v>51.0</v>
      </c>
      <c r="B1017" s="10" t="s">
        <v>1015</v>
      </c>
      <c r="C1017" s="3" t="s">
        <v>1016</v>
      </c>
      <c r="D1017" s="4" t="s">
        <v>8</v>
      </c>
      <c r="E1017" s="5" t="s">
        <v>35</v>
      </c>
      <c r="F1017" s="6" t="s">
        <v>1030</v>
      </c>
      <c r="G1017" s="7">
        <v>45265.0</v>
      </c>
      <c r="H1017" s="8">
        <f t="shared" si="1"/>
        <v>5</v>
      </c>
      <c r="I1017" s="9">
        <f t="shared" si="2"/>
        <v>12</v>
      </c>
      <c r="J1017" s="9">
        <f t="shared" si="3"/>
        <v>2023</v>
      </c>
    </row>
    <row r="1018" ht="15.75" customHeight="1">
      <c r="A1018" s="5">
        <v>51.0</v>
      </c>
      <c r="B1018" s="10" t="s">
        <v>1015</v>
      </c>
      <c r="C1018" s="3" t="s">
        <v>1016</v>
      </c>
      <c r="D1018" s="4" t="s">
        <v>3</v>
      </c>
      <c r="E1018" s="5" t="s">
        <v>39</v>
      </c>
      <c r="F1018" s="6" t="s">
        <v>1031</v>
      </c>
      <c r="G1018" s="7">
        <v>45268.0</v>
      </c>
      <c r="H1018" s="8">
        <f t="shared" si="1"/>
        <v>8</v>
      </c>
      <c r="I1018" s="9">
        <f t="shared" si="2"/>
        <v>12</v>
      </c>
      <c r="J1018" s="9">
        <f t="shared" si="3"/>
        <v>2023</v>
      </c>
    </row>
    <row r="1019" ht="15.75" customHeight="1">
      <c r="A1019" s="5">
        <v>51.0</v>
      </c>
      <c r="B1019" s="10" t="s">
        <v>1015</v>
      </c>
      <c r="C1019" s="3" t="s">
        <v>1016</v>
      </c>
      <c r="D1019" s="4" t="s">
        <v>8</v>
      </c>
      <c r="E1019" s="5" t="s">
        <v>120</v>
      </c>
      <c r="F1019" s="6" t="s">
        <v>1032</v>
      </c>
      <c r="G1019" s="7">
        <v>45272.0</v>
      </c>
      <c r="H1019" s="8">
        <f t="shared" si="1"/>
        <v>12</v>
      </c>
      <c r="I1019" s="9">
        <f t="shared" si="2"/>
        <v>12</v>
      </c>
      <c r="J1019" s="9">
        <f t="shared" si="3"/>
        <v>2023</v>
      </c>
    </row>
    <row r="1020" ht="15.75" customHeight="1">
      <c r="A1020" s="5">
        <v>51.0</v>
      </c>
      <c r="B1020" s="10" t="s">
        <v>1015</v>
      </c>
      <c r="C1020" s="3" t="s">
        <v>1016</v>
      </c>
      <c r="D1020" s="4" t="s">
        <v>8</v>
      </c>
      <c r="E1020" s="5" t="s">
        <v>28</v>
      </c>
      <c r="F1020" s="6" t="s">
        <v>795</v>
      </c>
      <c r="G1020" s="7">
        <v>45278.0</v>
      </c>
      <c r="H1020" s="8">
        <f t="shared" si="1"/>
        <v>18</v>
      </c>
      <c r="I1020" s="9">
        <f t="shared" si="2"/>
        <v>12</v>
      </c>
      <c r="J1020" s="9">
        <f t="shared" si="3"/>
        <v>2023</v>
      </c>
    </row>
    <row r="1021" ht="15.75" customHeight="1">
      <c r="A1021" s="5">
        <v>52.0</v>
      </c>
      <c r="B1021" s="10" t="s">
        <v>1033</v>
      </c>
      <c r="C1021" s="3" t="s">
        <v>1034</v>
      </c>
      <c r="D1021" s="4" t="s">
        <v>3</v>
      </c>
      <c r="E1021" s="5" t="s">
        <v>120</v>
      </c>
      <c r="F1021" s="6" t="s">
        <v>1035</v>
      </c>
      <c r="G1021" s="7">
        <v>44946.0</v>
      </c>
      <c r="H1021" s="8">
        <f t="shared" si="1"/>
        <v>20</v>
      </c>
      <c r="I1021" s="9">
        <f t="shared" si="2"/>
        <v>1</v>
      </c>
      <c r="J1021" s="9">
        <f t="shared" si="3"/>
        <v>2023</v>
      </c>
    </row>
    <row r="1022" ht="15.75" customHeight="1">
      <c r="A1022" s="5">
        <v>52.0</v>
      </c>
      <c r="B1022" s="10" t="s">
        <v>1033</v>
      </c>
      <c r="C1022" s="3" t="s">
        <v>1034</v>
      </c>
      <c r="D1022" s="4" t="s">
        <v>8</v>
      </c>
      <c r="E1022" s="5" t="s">
        <v>4</v>
      </c>
      <c r="F1022" s="6" t="s">
        <v>1036</v>
      </c>
      <c r="G1022" s="7">
        <v>44993.0</v>
      </c>
      <c r="H1022" s="8">
        <f t="shared" si="1"/>
        <v>8</v>
      </c>
      <c r="I1022" s="9">
        <f t="shared" si="2"/>
        <v>3</v>
      </c>
      <c r="J1022" s="9">
        <f t="shared" si="3"/>
        <v>2023</v>
      </c>
    </row>
    <row r="1023" ht="15.75" customHeight="1">
      <c r="A1023" s="5">
        <v>52.0</v>
      </c>
      <c r="B1023" s="10" t="s">
        <v>1033</v>
      </c>
      <c r="C1023" s="3" t="s">
        <v>1034</v>
      </c>
      <c r="D1023" s="4" t="s">
        <v>3</v>
      </c>
      <c r="E1023" s="5" t="s">
        <v>45</v>
      </c>
      <c r="F1023" s="6" t="s">
        <v>1010</v>
      </c>
      <c r="G1023" s="7">
        <v>44998.0</v>
      </c>
      <c r="H1023" s="8">
        <f t="shared" si="1"/>
        <v>13</v>
      </c>
      <c r="I1023" s="9">
        <f t="shared" si="2"/>
        <v>3</v>
      </c>
      <c r="J1023" s="9">
        <f t="shared" si="3"/>
        <v>2023</v>
      </c>
    </row>
    <row r="1024" ht="15.75" customHeight="1">
      <c r="A1024" s="5">
        <v>52.0</v>
      </c>
      <c r="B1024" s="10" t="s">
        <v>1033</v>
      </c>
      <c r="C1024" s="3" t="s">
        <v>1034</v>
      </c>
      <c r="D1024" s="4" t="s">
        <v>3</v>
      </c>
      <c r="E1024" s="5" t="s">
        <v>6</v>
      </c>
      <c r="F1024" s="6" t="s">
        <v>1037</v>
      </c>
      <c r="G1024" s="7">
        <v>45021.0</v>
      </c>
      <c r="H1024" s="8">
        <f t="shared" si="1"/>
        <v>5</v>
      </c>
      <c r="I1024" s="9">
        <f t="shared" si="2"/>
        <v>4</v>
      </c>
      <c r="J1024" s="9">
        <f t="shared" si="3"/>
        <v>2023</v>
      </c>
    </row>
    <row r="1025" ht="15.75" customHeight="1">
      <c r="A1025" s="5">
        <v>52.0</v>
      </c>
      <c r="B1025" s="10" t="s">
        <v>1033</v>
      </c>
      <c r="C1025" s="3" t="s">
        <v>1034</v>
      </c>
      <c r="D1025" s="4" t="s">
        <v>8</v>
      </c>
      <c r="E1025" s="5" t="s">
        <v>13</v>
      </c>
      <c r="F1025" s="6" t="s">
        <v>1038</v>
      </c>
      <c r="G1025" s="7">
        <v>45102.0</v>
      </c>
      <c r="H1025" s="8">
        <f t="shared" si="1"/>
        <v>25</v>
      </c>
      <c r="I1025" s="9">
        <f t="shared" si="2"/>
        <v>6</v>
      </c>
      <c r="J1025" s="9">
        <f t="shared" si="3"/>
        <v>2023</v>
      </c>
    </row>
    <row r="1026" ht="15.75" customHeight="1">
      <c r="A1026" s="5">
        <v>52.0</v>
      </c>
      <c r="B1026" s="10" t="s">
        <v>1033</v>
      </c>
      <c r="C1026" s="3" t="s">
        <v>1034</v>
      </c>
      <c r="D1026" s="4" t="s">
        <v>3</v>
      </c>
      <c r="E1026" s="5" t="s">
        <v>51</v>
      </c>
      <c r="F1026" s="6" t="s">
        <v>1039</v>
      </c>
      <c r="G1026" s="7">
        <v>45122.0</v>
      </c>
      <c r="H1026" s="8">
        <f t="shared" si="1"/>
        <v>15</v>
      </c>
      <c r="I1026" s="9">
        <f t="shared" si="2"/>
        <v>7</v>
      </c>
      <c r="J1026" s="9">
        <f t="shared" si="3"/>
        <v>2023</v>
      </c>
    </row>
    <row r="1027" ht="15.75" customHeight="1">
      <c r="A1027" s="5">
        <v>52.0</v>
      </c>
      <c r="B1027" s="10" t="s">
        <v>1033</v>
      </c>
      <c r="C1027" s="3" t="s">
        <v>1034</v>
      </c>
      <c r="D1027" s="4" t="s">
        <v>3</v>
      </c>
      <c r="E1027" s="5" t="s">
        <v>51</v>
      </c>
      <c r="F1027" s="6" t="s">
        <v>1040</v>
      </c>
      <c r="G1027" s="7">
        <v>45143.0</v>
      </c>
      <c r="H1027" s="8">
        <f t="shared" si="1"/>
        <v>5</v>
      </c>
      <c r="I1027" s="9">
        <f t="shared" si="2"/>
        <v>8</v>
      </c>
      <c r="J1027" s="9">
        <f t="shared" si="3"/>
        <v>2023</v>
      </c>
    </row>
    <row r="1028" ht="15.75" customHeight="1">
      <c r="A1028" s="5">
        <v>52.0</v>
      </c>
      <c r="B1028" s="10" t="s">
        <v>1033</v>
      </c>
      <c r="C1028" s="3" t="s">
        <v>1034</v>
      </c>
      <c r="D1028" s="4" t="s">
        <v>8</v>
      </c>
      <c r="E1028" s="5" t="s">
        <v>35</v>
      </c>
      <c r="F1028" s="6" t="s">
        <v>112</v>
      </c>
      <c r="G1028" s="7">
        <v>45150.0</v>
      </c>
      <c r="H1028" s="8">
        <f t="shared" si="1"/>
        <v>12</v>
      </c>
      <c r="I1028" s="9">
        <f t="shared" si="2"/>
        <v>8</v>
      </c>
      <c r="J1028" s="9">
        <f t="shared" si="3"/>
        <v>2023</v>
      </c>
    </row>
    <row r="1029" ht="15.75" customHeight="1">
      <c r="A1029" s="5">
        <v>52.0</v>
      </c>
      <c r="B1029" s="10" t="s">
        <v>1033</v>
      </c>
      <c r="C1029" s="3" t="s">
        <v>1034</v>
      </c>
      <c r="D1029" s="4" t="s">
        <v>3</v>
      </c>
      <c r="E1029" s="5" t="s">
        <v>71</v>
      </c>
      <c r="F1029" s="6" t="s">
        <v>799</v>
      </c>
      <c r="G1029" s="7">
        <v>45158.0</v>
      </c>
      <c r="H1029" s="8">
        <f t="shared" si="1"/>
        <v>20</v>
      </c>
      <c r="I1029" s="9">
        <f t="shared" si="2"/>
        <v>8</v>
      </c>
      <c r="J1029" s="9">
        <f t="shared" si="3"/>
        <v>2023</v>
      </c>
    </row>
    <row r="1030" ht="15.75" customHeight="1">
      <c r="A1030" s="5">
        <v>52.0</v>
      </c>
      <c r="B1030" s="10" t="s">
        <v>1033</v>
      </c>
      <c r="C1030" s="3" t="s">
        <v>1034</v>
      </c>
      <c r="D1030" s="4" t="s">
        <v>3</v>
      </c>
      <c r="E1030" s="5" t="s">
        <v>39</v>
      </c>
      <c r="F1030" s="6" t="s">
        <v>1041</v>
      </c>
      <c r="G1030" s="7">
        <v>45159.0</v>
      </c>
      <c r="H1030" s="8">
        <f t="shared" si="1"/>
        <v>21</v>
      </c>
      <c r="I1030" s="9">
        <f t="shared" si="2"/>
        <v>8</v>
      </c>
      <c r="J1030" s="9">
        <f t="shared" si="3"/>
        <v>2023</v>
      </c>
    </row>
    <row r="1031" ht="15.75" customHeight="1">
      <c r="A1031" s="5">
        <v>52.0</v>
      </c>
      <c r="B1031" s="10" t="s">
        <v>1033</v>
      </c>
      <c r="C1031" s="3" t="s">
        <v>1034</v>
      </c>
      <c r="D1031" s="4" t="s">
        <v>8</v>
      </c>
      <c r="E1031" s="5" t="s">
        <v>76</v>
      </c>
      <c r="F1031" s="6" t="s">
        <v>1042</v>
      </c>
      <c r="G1031" s="7">
        <v>45200.0</v>
      </c>
      <c r="H1031" s="8">
        <f t="shared" si="1"/>
        <v>1</v>
      </c>
      <c r="I1031" s="9">
        <f t="shared" si="2"/>
        <v>10</v>
      </c>
      <c r="J1031" s="9">
        <f t="shared" si="3"/>
        <v>2023</v>
      </c>
    </row>
    <row r="1032" ht="15.75" customHeight="1">
      <c r="A1032" s="5">
        <v>52.0</v>
      </c>
      <c r="B1032" s="10" t="s">
        <v>1033</v>
      </c>
      <c r="C1032" s="3" t="s">
        <v>1034</v>
      </c>
      <c r="D1032" s="4" t="s">
        <v>8</v>
      </c>
      <c r="E1032" s="5" t="s">
        <v>23</v>
      </c>
      <c r="F1032" s="6" t="s">
        <v>1043</v>
      </c>
      <c r="G1032" s="7">
        <v>45212.0</v>
      </c>
      <c r="H1032" s="8">
        <f t="shared" si="1"/>
        <v>13</v>
      </c>
      <c r="I1032" s="9">
        <f t="shared" si="2"/>
        <v>10</v>
      </c>
      <c r="J1032" s="9">
        <f t="shared" si="3"/>
        <v>2023</v>
      </c>
    </row>
    <row r="1033" ht="15.75" customHeight="1">
      <c r="A1033" s="5">
        <v>52.0</v>
      </c>
      <c r="B1033" s="10" t="s">
        <v>1033</v>
      </c>
      <c r="C1033" s="3" t="s">
        <v>1034</v>
      </c>
      <c r="D1033" s="4" t="s">
        <v>3</v>
      </c>
      <c r="E1033" s="5" t="s">
        <v>76</v>
      </c>
      <c r="F1033" s="6" t="s">
        <v>1044</v>
      </c>
      <c r="G1033" s="7">
        <v>45220.0</v>
      </c>
      <c r="H1033" s="8">
        <f t="shared" si="1"/>
        <v>21</v>
      </c>
      <c r="I1033" s="9">
        <f t="shared" si="2"/>
        <v>10</v>
      </c>
      <c r="J1033" s="9">
        <f t="shared" si="3"/>
        <v>2023</v>
      </c>
    </row>
    <row r="1034" ht="15.75" customHeight="1">
      <c r="A1034" s="5">
        <v>52.0</v>
      </c>
      <c r="B1034" s="10" t="s">
        <v>1033</v>
      </c>
      <c r="C1034" s="3" t="s">
        <v>1034</v>
      </c>
      <c r="D1034" s="4" t="s">
        <v>8</v>
      </c>
      <c r="E1034" s="5" t="s">
        <v>17</v>
      </c>
      <c r="F1034" s="6" t="s">
        <v>338</v>
      </c>
      <c r="G1034" s="7">
        <v>45225.0</v>
      </c>
      <c r="H1034" s="8">
        <f t="shared" si="1"/>
        <v>26</v>
      </c>
      <c r="I1034" s="9">
        <f t="shared" si="2"/>
        <v>10</v>
      </c>
      <c r="J1034" s="9">
        <f t="shared" si="3"/>
        <v>2023</v>
      </c>
    </row>
    <row r="1035" ht="15.75" customHeight="1">
      <c r="A1035" s="5">
        <v>52.0</v>
      </c>
      <c r="B1035" s="10" t="s">
        <v>1033</v>
      </c>
      <c r="C1035" s="3" t="s">
        <v>1034</v>
      </c>
      <c r="D1035" s="4" t="s">
        <v>3</v>
      </c>
      <c r="E1035" s="5" t="s">
        <v>28</v>
      </c>
      <c r="F1035" s="6" t="s">
        <v>1045</v>
      </c>
      <c r="G1035" s="7">
        <v>45232.0</v>
      </c>
      <c r="H1035" s="8">
        <f t="shared" si="1"/>
        <v>2</v>
      </c>
      <c r="I1035" s="9">
        <f t="shared" si="2"/>
        <v>11</v>
      </c>
      <c r="J1035" s="9">
        <f t="shared" si="3"/>
        <v>2023</v>
      </c>
    </row>
    <row r="1036" ht="15.75" customHeight="1">
      <c r="A1036" s="5">
        <v>52.0</v>
      </c>
      <c r="B1036" s="10" t="s">
        <v>1033</v>
      </c>
      <c r="C1036" s="3" t="s">
        <v>1034</v>
      </c>
      <c r="D1036" s="4" t="s">
        <v>3</v>
      </c>
      <c r="E1036" s="5" t="s">
        <v>39</v>
      </c>
      <c r="F1036" s="6" t="s">
        <v>1046</v>
      </c>
      <c r="G1036" s="7">
        <v>45232.0</v>
      </c>
      <c r="H1036" s="8">
        <f t="shared" si="1"/>
        <v>2</v>
      </c>
      <c r="I1036" s="9">
        <f t="shared" si="2"/>
        <v>11</v>
      </c>
      <c r="J1036" s="9">
        <f t="shared" si="3"/>
        <v>2023</v>
      </c>
    </row>
    <row r="1037" ht="15.75" customHeight="1">
      <c r="A1037" s="5">
        <v>52.0</v>
      </c>
      <c r="B1037" s="10" t="s">
        <v>1033</v>
      </c>
      <c r="C1037" s="3" t="s">
        <v>1034</v>
      </c>
      <c r="D1037" s="4" t="s">
        <v>3</v>
      </c>
      <c r="E1037" s="5" t="s">
        <v>96</v>
      </c>
      <c r="F1037" s="6" t="s">
        <v>1047</v>
      </c>
      <c r="G1037" s="7">
        <v>45247.0</v>
      </c>
      <c r="H1037" s="8">
        <f t="shared" si="1"/>
        <v>17</v>
      </c>
      <c r="I1037" s="9">
        <f t="shared" si="2"/>
        <v>11</v>
      </c>
      <c r="J1037" s="9">
        <f t="shared" si="3"/>
        <v>2023</v>
      </c>
    </row>
    <row r="1038" ht="15.75" customHeight="1">
      <c r="A1038" s="5">
        <v>52.0</v>
      </c>
      <c r="B1038" s="10" t="s">
        <v>1033</v>
      </c>
      <c r="C1038" s="3" t="s">
        <v>1034</v>
      </c>
      <c r="D1038" s="4" t="s">
        <v>3</v>
      </c>
      <c r="E1038" s="5" t="s">
        <v>28</v>
      </c>
      <c r="F1038" s="6" t="s">
        <v>1048</v>
      </c>
      <c r="G1038" s="7">
        <v>45254.0</v>
      </c>
      <c r="H1038" s="8">
        <f t="shared" si="1"/>
        <v>24</v>
      </c>
      <c r="I1038" s="9">
        <f t="shared" si="2"/>
        <v>11</v>
      </c>
      <c r="J1038" s="9">
        <f t="shared" si="3"/>
        <v>2023</v>
      </c>
    </row>
    <row r="1039" ht="15.75" customHeight="1">
      <c r="A1039" s="5">
        <v>52.0</v>
      </c>
      <c r="B1039" s="10" t="s">
        <v>1033</v>
      </c>
      <c r="C1039" s="3" t="s">
        <v>1034</v>
      </c>
      <c r="D1039" s="4" t="s">
        <v>8</v>
      </c>
      <c r="E1039" s="5" t="s">
        <v>76</v>
      </c>
      <c r="F1039" s="6" t="s">
        <v>1049</v>
      </c>
      <c r="G1039" s="7">
        <v>45261.0</v>
      </c>
      <c r="H1039" s="8">
        <f t="shared" si="1"/>
        <v>1</v>
      </c>
      <c r="I1039" s="9">
        <f t="shared" si="2"/>
        <v>12</v>
      </c>
      <c r="J1039" s="9">
        <f t="shared" si="3"/>
        <v>2023</v>
      </c>
    </row>
    <row r="1040" ht="15.75" customHeight="1">
      <c r="A1040" s="5">
        <v>52.0</v>
      </c>
      <c r="B1040" s="10" t="s">
        <v>1033</v>
      </c>
      <c r="C1040" s="3" t="s">
        <v>1034</v>
      </c>
      <c r="D1040" s="4" t="s">
        <v>3</v>
      </c>
      <c r="E1040" s="5" t="s">
        <v>35</v>
      </c>
      <c r="F1040" s="6" t="s">
        <v>1050</v>
      </c>
      <c r="G1040" s="7">
        <v>45277.0</v>
      </c>
      <c r="H1040" s="8">
        <f t="shared" si="1"/>
        <v>17</v>
      </c>
      <c r="I1040" s="9">
        <f t="shared" si="2"/>
        <v>12</v>
      </c>
      <c r="J1040" s="9">
        <f t="shared" si="3"/>
        <v>2023</v>
      </c>
    </row>
    <row r="1041" ht="15.75" customHeight="1">
      <c r="A1041" s="5">
        <v>53.0</v>
      </c>
      <c r="B1041" s="10" t="s">
        <v>1051</v>
      </c>
      <c r="C1041" s="3" t="s">
        <v>1052</v>
      </c>
      <c r="D1041" s="4" t="s">
        <v>3</v>
      </c>
      <c r="E1041" s="5" t="s">
        <v>45</v>
      </c>
      <c r="F1041" s="6" t="s">
        <v>1053</v>
      </c>
      <c r="G1041" s="7">
        <v>44983.0</v>
      </c>
      <c r="H1041" s="8">
        <f t="shared" si="1"/>
        <v>26</v>
      </c>
      <c r="I1041" s="9">
        <f t="shared" si="2"/>
        <v>2</v>
      </c>
      <c r="J1041" s="9">
        <f t="shared" si="3"/>
        <v>2023</v>
      </c>
    </row>
    <row r="1042" ht="15.75" customHeight="1">
      <c r="A1042" s="5">
        <v>53.0</v>
      </c>
      <c r="B1042" s="10" t="s">
        <v>1051</v>
      </c>
      <c r="C1042" s="3" t="s">
        <v>1052</v>
      </c>
      <c r="D1042" s="4" t="s">
        <v>3</v>
      </c>
      <c r="E1042" s="5" t="s">
        <v>42</v>
      </c>
      <c r="F1042" s="6" t="s">
        <v>505</v>
      </c>
      <c r="G1042" s="7">
        <v>44986.0</v>
      </c>
      <c r="H1042" s="8">
        <f t="shared" si="1"/>
        <v>1</v>
      </c>
      <c r="I1042" s="9">
        <f t="shared" si="2"/>
        <v>3</v>
      </c>
      <c r="J1042" s="9">
        <f t="shared" si="3"/>
        <v>2023</v>
      </c>
    </row>
    <row r="1043" ht="15.75" customHeight="1">
      <c r="A1043" s="5">
        <v>53.0</v>
      </c>
      <c r="B1043" s="10" t="s">
        <v>1051</v>
      </c>
      <c r="C1043" s="3" t="s">
        <v>1052</v>
      </c>
      <c r="D1043" s="4" t="s">
        <v>3</v>
      </c>
      <c r="E1043" s="5" t="s">
        <v>9</v>
      </c>
      <c r="F1043" s="6" t="s">
        <v>1054</v>
      </c>
      <c r="G1043" s="7">
        <v>45027.0</v>
      </c>
      <c r="H1043" s="8">
        <f t="shared" si="1"/>
        <v>11</v>
      </c>
      <c r="I1043" s="9">
        <f t="shared" si="2"/>
        <v>4</v>
      </c>
      <c r="J1043" s="9">
        <f t="shared" si="3"/>
        <v>2023</v>
      </c>
    </row>
    <row r="1044" ht="15.75" customHeight="1">
      <c r="A1044" s="5">
        <v>53.0</v>
      </c>
      <c r="B1044" s="10" t="s">
        <v>1051</v>
      </c>
      <c r="C1044" s="3" t="s">
        <v>1052</v>
      </c>
      <c r="D1044" s="4" t="s">
        <v>8</v>
      </c>
      <c r="E1044" s="5" t="s">
        <v>21</v>
      </c>
      <c r="F1044" s="6" t="s">
        <v>1055</v>
      </c>
      <c r="G1044" s="7">
        <v>45039.0</v>
      </c>
      <c r="H1044" s="8">
        <f t="shared" si="1"/>
        <v>23</v>
      </c>
      <c r="I1044" s="9">
        <f t="shared" si="2"/>
        <v>4</v>
      </c>
      <c r="J1044" s="9">
        <f t="shared" si="3"/>
        <v>2023</v>
      </c>
    </row>
    <row r="1045" ht="15.75" customHeight="1">
      <c r="A1045" s="5">
        <v>53.0</v>
      </c>
      <c r="B1045" s="10" t="s">
        <v>1051</v>
      </c>
      <c r="C1045" s="3" t="s">
        <v>1052</v>
      </c>
      <c r="D1045" s="4" t="s">
        <v>3</v>
      </c>
      <c r="E1045" s="5" t="s">
        <v>51</v>
      </c>
      <c r="F1045" s="6" t="s">
        <v>727</v>
      </c>
      <c r="G1045" s="7">
        <v>45044.0</v>
      </c>
      <c r="H1045" s="8">
        <f t="shared" si="1"/>
        <v>28</v>
      </c>
      <c r="I1045" s="9">
        <f t="shared" si="2"/>
        <v>4</v>
      </c>
      <c r="J1045" s="9">
        <f t="shared" si="3"/>
        <v>2023</v>
      </c>
    </row>
    <row r="1046" ht="15.75" customHeight="1">
      <c r="A1046" s="5">
        <v>53.0</v>
      </c>
      <c r="B1046" s="10" t="s">
        <v>1051</v>
      </c>
      <c r="C1046" s="3" t="s">
        <v>1052</v>
      </c>
      <c r="D1046" s="4" t="s">
        <v>8</v>
      </c>
      <c r="E1046" s="5" t="s">
        <v>15</v>
      </c>
      <c r="F1046" s="6" t="s">
        <v>321</v>
      </c>
      <c r="G1046" s="7">
        <v>45058.0</v>
      </c>
      <c r="H1046" s="8">
        <f t="shared" si="1"/>
        <v>12</v>
      </c>
      <c r="I1046" s="9">
        <f t="shared" si="2"/>
        <v>5</v>
      </c>
      <c r="J1046" s="9">
        <f t="shared" si="3"/>
        <v>2023</v>
      </c>
    </row>
    <row r="1047" ht="15.75" customHeight="1">
      <c r="A1047" s="5">
        <v>53.0</v>
      </c>
      <c r="B1047" s="10" t="s">
        <v>1051</v>
      </c>
      <c r="C1047" s="3" t="s">
        <v>1052</v>
      </c>
      <c r="D1047" s="4" t="s">
        <v>3</v>
      </c>
      <c r="E1047" s="5" t="s">
        <v>4</v>
      </c>
      <c r="F1047" s="6" t="s">
        <v>1056</v>
      </c>
      <c r="G1047" s="7">
        <v>45065.0</v>
      </c>
      <c r="H1047" s="8">
        <f t="shared" si="1"/>
        <v>19</v>
      </c>
      <c r="I1047" s="9">
        <f t="shared" si="2"/>
        <v>5</v>
      </c>
      <c r="J1047" s="9">
        <f t="shared" si="3"/>
        <v>2023</v>
      </c>
    </row>
    <row r="1048" ht="15.75" customHeight="1">
      <c r="A1048" s="5">
        <v>53.0</v>
      </c>
      <c r="B1048" s="10" t="s">
        <v>1051</v>
      </c>
      <c r="C1048" s="3" t="s">
        <v>1052</v>
      </c>
      <c r="D1048" s="4" t="s">
        <v>8</v>
      </c>
      <c r="E1048" s="5" t="s">
        <v>13</v>
      </c>
      <c r="F1048" s="6" t="s">
        <v>1057</v>
      </c>
      <c r="G1048" s="7">
        <v>45081.0</v>
      </c>
      <c r="H1048" s="8">
        <f t="shared" si="1"/>
        <v>4</v>
      </c>
      <c r="I1048" s="9">
        <f t="shared" si="2"/>
        <v>6</v>
      </c>
      <c r="J1048" s="9">
        <f t="shared" si="3"/>
        <v>2023</v>
      </c>
    </row>
    <row r="1049" ht="15.75" customHeight="1">
      <c r="A1049" s="5">
        <v>53.0</v>
      </c>
      <c r="B1049" s="10" t="s">
        <v>1051</v>
      </c>
      <c r="C1049" s="3" t="s">
        <v>1052</v>
      </c>
      <c r="D1049" s="4" t="s">
        <v>8</v>
      </c>
      <c r="E1049" s="5" t="s">
        <v>76</v>
      </c>
      <c r="F1049" s="6" t="s">
        <v>1058</v>
      </c>
      <c r="G1049" s="7">
        <v>45091.0</v>
      </c>
      <c r="H1049" s="8">
        <f t="shared" si="1"/>
        <v>14</v>
      </c>
      <c r="I1049" s="9">
        <f t="shared" si="2"/>
        <v>6</v>
      </c>
      <c r="J1049" s="9">
        <f t="shared" si="3"/>
        <v>2023</v>
      </c>
    </row>
    <row r="1050" ht="15.75" customHeight="1">
      <c r="A1050" s="5">
        <v>53.0</v>
      </c>
      <c r="B1050" s="10" t="s">
        <v>1051</v>
      </c>
      <c r="C1050" s="3" t="s">
        <v>1052</v>
      </c>
      <c r="D1050" s="4" t="s">
        <v>8</v>
      </c>
      <c r="E1050" s="5" t="s">
        <v>35</v>
      </c>
      <c r="F1050" s="6" t="s">
        <v>1059</v>
      </c>
      <c r="G1050" s="7">
        <v>45133.0</v>
      </c>
      <c r="H1050" s="8">
        <f t="shared" si="1"/>
        <v>26</v>
      </c>
      <c r="I1050" s="9">
        <f t="shared" si="2"/>
        <v>7</v>
      </c>
      <c r="J1050" s="9">
        <f t="shared" si="3"/>
        <v>2023</v>
      </c>
    </row>
    <row r="1051" ht="15.75" customHeight="1">
      <c r="A1051" s="5">
        <v>53.0</v>
      </c>
      <c r="B1051" s="10" t="s">
        <v>1051</v>
      </c>
      <c r="C1051" s="3" t="s">
        <v>1052</v>
      </c>
      <c r="D1051" s="4" t="s">
        <v>8</v>
      </c>
      <c r="E1051" s="5" t="s">
        <v>17</v>
      </c>
      <c r="F1051" s="6" t="s">
        <v>366</v>
      </c>
      <c r="G1051" s="7">
        <v>45146.0</v>
      </c>
      <c r="H1051" s="8">
        <f t="shared" si="1"/>
        <v>8</v>
      </c>
      <c r="I1051" s="9">
        <f t="shared" si="2"/>
        <v>8</v>
      </c>
      <c r="J1051" s="9">
        <f t="shared" si="3"/>
        <v>2023</v>
      </c>
    </row>
    <row r="1052" ht="15.75" customHeight="1">
      <c r="A1052" s="5">
        <v>53.0</v>
      </c>
      <c r="B1052" s="10" t="s">
        <v>1051</v>
      </c>
      <c r="C1052" s="3" t="s">
        <v>1052</v>
      </c>
      <c r="D1052" s="4" t="s">
        <v>3</v>
      </c>
      <c r="E1052" s="5" t="s">
        <v>71</v>
      </c>
      <c r="F1052" s="6" t="s">
        <v>1060</v>
      </c>
      <c r="G1052" s="7">
        <v>45148.0</v>
      </c>
      <c r="H1052" s="8">
        <f t="shared" si="1"/>
        <v>10</v>
      </c>
      <c r="I1052" s="9">
        <f t="shared" si="2"/>
        <v>8</v>
      </c>
      <c r="J1052" s="9">
        <f t="shared" si="3"/>
        <v>2023</v>
      </c>
    </row>
    <row r="1053" ht="15.75" customHeight="1">
      <c r="A1053" s="5">
        <v>53.0</v>
      </c>
      <c r="B1053" s="10" t="s">
        <v>1051</v>
      </c>
      <c r="C1053" s="3" t="s">
        <v>1052</v>
      </c>
      <c r="D1053" s="4" t="s">
        <v>3</v>
      </c>
      <c r="E1053" s="5" t="s">
        <v>4</v>
      </c>
      <c r="F1053" s="6" t="s">
        <v>1061</v>
      </c>
      <c r="G1053" s="7">
        <v>45153.0</v>
      </c>
      <c r="H1053" s="8">
        <f t="shared" si="1"/>
        <v>15</v>
      </c>
      <c r="I1053" s="9">
        <f t="shared" si="2"/>
        <v>8</v>
      </c>
      <c r="J1053" s="9">
        <f t="shared" si="3"/>
        <v>2023</v>
      </c>
    </row>
    <row r="1054" ht="15.75" customHeight="1">
      <c r="A1054" s="5">
        <v>53.0</v>
      </c>
      <c r="B1054" s="10" t="s">
        <v>1051</v>
      </c>
      <c r="C1054" s="3" t="s">
        <v>1052</v>
      </c>
      <c r="D1054" s="4" t="s">
        <v>8</v>
      </c>
      <c r="E1054" s="5" t="s">
        <v>51</v>
      </c>
      <c r="F1054" s="6" t="s">
        <v>1062</v>
      </c>
      <c r="G1054" s="7">
        <v>45155.0</v>
      </c>
      <c r="H1054" s="8">
        <f t="shared" si="1"/>
        <v>17</v>
      </c>
      <c r="I1054" s="9">
        <f t="shared" si="2"/>
        <v>8</v>
      </c>
      <c r="J1054" s="9">
        <f t="shared" si="3"/>
        <v>2023</v>
      </c>
    </row>
    <row r="1055" ht="15.75" customHeight="1">
      <c r="A1055" s="5">
        <v>53.0</v>
      </c>
      <c r="B1055" s="10" t="s">
        <v>1051</v>
      </c>
      <c r="C1055" s="3" t="s">
        <v>1052</v>
      </c>
      <c r="D1055" s="4" t="s">
        <v>8</v>
      </c>
      <c r="E1055" s="5" t="s">
        <v>51</v>
      </c>
      <c r="F1055" s="6" t="s">
        <v>1063</v>
      </c>
      <c r="G1055" s="7">
        <v>45187.0</v>
      </c>
      <c r="H1055" s="8">
        <f t="shared" si="1"/>
        <v>18</v>
      </c>
      <c r="I1055" s="9">
        <f t="shared" si="2"/>
        <v>9</v>
      </c>
      <c r="J1055" s="9">
        <f t="shared" si="3"/>
        <v>2023</v>
      </c>
    </row>
    <row r="1056" ht="15.75" customHeight="1">
      <c r="A1056" s="5">
        <v>53.0</v>
      </c>
      <c r="B1056" s="10" t="s">
        <v>1051</v>
      </c>
      <c r="C1056" s="3" t="s">
        <v>1052</v>
      </c>
      <c r="D1056" s="4" t="s">
        <v>8</v>
      </c>
      <c r="E1056" s="5" t="s">
        <v>11</v>
      </c>
      <c r="F1056" s="6" t="s">
        <v>1064</v>
      </c>
      <c r="G1056" s="7">
        <v>45189.0</v>
      </c>
      <c r="H1056" s="8">
        <f t="shared" si="1"/>
        <v>20</v>
      </c>
      <c r="I1056" s="9">
        <f t="shared" si="2"/>
        <v>9</v>
      </c>
      <c r="J1056" s="9">
        <f t="shared" si="3"/>
        <v>2023</v>
      </c>
    </row>
    <row r="1057" ht="15.75" customHeight="1">
      <c r="A1057" s="5">
        <v>53.0</v>
      </c>
      <c r="B1057" s="10" t="s">
        <v>1051</v>
      </c>
      <c r="C1057" s="3" t="s">
        <v>1052</v>
      </c>
      <c r="D1057" s="4" t="s">
        <v>8</v>
      </c>
      <c r="E1057" s="5" t="s">
        <v>13</v>
      </c>
      <c r="F1057" s="6" t="s">
        <v>1065</v>
      </c>
      <c r="G1057" s="7">
        <v>45216.0</v>
      </c>
      <c r="H1057" s="8">
        <f t="shared" si="1"/>
        <v>17</v>
      </c>
      <c r="I1057" s="9">
        <f t="shared" si="2"/>
        <v>10</v>
      </c>
      <c r="J1057" s="9">
        <f t="shared" si="3"/>
        <v>2023</v>
      </c>
    </row>
    <row r="1058" ht="15.75" customHeight="1">
      <c r="A1058" s="5">
        <v>53.0</v>
      </c>
      <c r="B1058" s="10" t="s">
        <v>1051</v>
      </c>
      <c r="C1058" s="3" t="s">
        <v>1052</v>
      </c>
      <c r="D1058" s="4" t="s">
        <v>3</v>
      </c>
      <c r="E1058" s="5" t="s">
        <v>4</v>
      </c>
      <c r="F1058" s="6" t="s">
        <v>1066</v>
      </c>
      <c r="G1058" s="7">
        <v>45250.0</v>
      </c>
      <c r="H1058" s="8">
        <f t="shared" si="1"/>
        <v>20</v>
      </c>
      <c r="I1058" s="9">
        <f t="shared" si="2"/>
        <v>11</v>
      </c>
      <c r="J1058" s="9">
        <f t="shared" si="3"/>
        <v>2023</v>
      </c>
    </row>
    <row r="1059" ht="15.75" customHeight="1">
      <c r="A1059" s="5">
        <v>53.0</v>
      </c>
      <c r="B1059" s="10" t="s">
        <v>1051</v>
      </c>
      <c r="C1059" s="3" t="s">
        <v>1052</v>
      </c>
      <c r="D1059" s="4" t="s">
        <v>8</v>
      </c>
      <c r="E1059" s="5" t="s">
        <v>6</v>
      </c>
      <c r="F1059" s="6" t="s">
        <v>1067</v>
      </c>
      <c r="G1059" s="7">
        <v>45261.0</v>
      </c>
      <c r="H1059" s="8">
        <f t="shared" si="1"/>
        <v>1</v>
      </c>
      <c r="I1059" s="9">
        <f t="shared" si="2"/>
        <v>12</v>
      </c>
      <c r="J1059" s="9">
        <f t="shared" si="3"/>
        <v>2023</v>
      </c>
    </row>
    <row r="1060" ht="15.75" customHeight="1">
      <c r="A1060" s="5">
        <v>53.0</v>
      </c>
      <c r="B1060" s="10" t="s">
        <v>1051</v>
      </c>
      <c r="C1060" s="3" t="s">
        <v>1052</v>
      </c>
      <c r="D1060" s="4" t="s">
        <v>8</v>
      </c>
      <c r="E1060" s="5" t="s">
        <v>4</v>
      </c>
      <c r="F1060" s="6" t="s">
        <v>1068</v>
      </c>
      <c r="G1060" s="7">
        <v>45261.0</v>
      </c>
      <c r="H1060" s="8">
        <f t="shared" si="1"/>
        <v>1</v>
      </c>
      <c r="I1060" s="9">
        <f t="shared" si="2"/>
        <v>12</v>
      </c>
      <c r="J1060" s="9">
        <f t="shared" si="3"/>
        <v>2023</v>
      </c>
    </row>
    <row r="1061" ht="15.75" customHeight="1">
      <c r="A1061" s="5">
        <v>54.0</v>
      </c>
      <c r="B1061" s="10" t="s">
        <v>1069</v>
      </c>
      <c r="C1061" s="3" t="s">
        <v>1070</v>
      </c>
      <c r="D1061" s="4" t="s">
        <v>3</v>
      </c>
      <c r="E1061" s="5" t="s">
        <v>13</v>
      </c>
      <c r="F1061" s="6" t="s">
        <v>1071</v>
      </c>
      <c r="G1061" s="7">
        <v>44930.0</v>
      </c>
      <c r="H1061" s="8">
        <f t="shared" si="1"/>
        <v>4</v>
      </c>
      <c r="I1061" s="9">
        <f t="shared" si="2"/>
        <v>1</v>
      </c>
      <c r="J1061" s="9">
        <f t="shared" si="3"/>
        <v>2023</v>
      </c>
    </row>
    <row r="1062" ht="15.75" customHeight="1">
      <c r="A1062" s="5">
        <v>54.0</v>
      </c>
      <c r="B1062" s="10" t="s">
        <v>1069</v>
      </c>
      <c r="C1062" s="3" t="s">
        <v>1070</v>
      </c>
      <c r="D1062" s="4" t="s">
        <v>3</v>
      </c>
      <c r="E1062" s="5" t="s">
        <v>96</v>
      </c>
      <c r="F1062" s="6" t="s">
        <v>1072</v>
      </c>
      <c r="G1062" s="7">
        <v>44945.0</v>
      </c>
      <c r="H1062" s="8">
        <f t="shared" si="1"/>
        <v>19</v>
      </c>
      <c r="I1062" s="9">
        <f t="shared" si="2"/>
        <v>1</v>
      </c>
      <c r="J1062" s="9">
        <f t="shared" si="3"/>
        <v>2023</v>
      </c>
    </row>
    <row r="1063" ht="15.75" customHeight="1">
      <c r="A1063" s="5">
        <v>54.0</v>
      </c>
      <c r="B1063" s="10" t="s">
        <v>1069</v>
      </c>
      <c r="C1063" s="3" t="s">
        <v>1070</v>
      </c>
      <c r="D1063" s="4" t="s">
        <v>3</v>
      </c>
      <c r="E1063" s="5" t="s">
        <v>28</v>
      </c>
      <c r="F1063" s="6" t="s">
        <v>1073</v>
      </c>
      <c r="G1063" s="7">
        <v>44960.0</v>
      </c>
      <c r="H1063" s="8">
        <f t="shared" si="1"/>
        <v>3</v>
      </c>
      <c r="I1063" s="9">
        <f t="shared" si="2"/>
        <v>2</v>
      </c>
      <c r="J1063" s="9">
        <f t="shared" si="3"/>
        <v>2023</v>
      </c>
    </row>
    <row r="1064" ht="15.75" customHeight="1">
      <c r="A1064" s="5">
        <v>54.0</v>
      </c>
      <c r="B1064" s="10" t="s">
        <v>1069</v>
      </c>
      <c r="C1064" s="3" t="s">
        <v>1070</v>
      </c>
      <c r="D1064" s="4" t="s">
        <v>8</v>
      </c>
      <c r="E1064" s="5" t="s">
        <v>120</v>
      </c>
      <c r="F1064" s="6" t="s">
        <v>1074</v>
      </c>
      <c r="G1064" s="7">
        <v>44965.0</v>
      </c>
      <c r="H1064" s="8">
        <f t="shared" si="1"/>
        <v>8</v>
      </c>
      <c r="I1064" s="9">
        <f t="shared" si="2"/>
        <v>2</v>
      </c>
      <c r="J1064" s="9">
        <f t="shared" si="3"/>
        <v>2023</v>
      </c>
    </row>
    <row r="1065" ht="15.75" customHeight="1">
      <c r="A1065" s="5">
        <v>54.0</v>
      </c>
      <c r="B1065" s="10" t="s">
        <v>1069</v>
      </c>
      <c r="C1065" s="3" t="s">
        <v>1070</v>
      </c>
      <c r="D1065" s="4" t="s">
        <v>8</v>
      </c>
      <c r="E1065" s="5" t="s">
        <v>4</v>
      </c>
      <c r="F1065" s="6" t="s">
        <v>1075</v>
      </c>
      <c r="G1065" s="7">
        <v>44979.0</v>
      </c>
      <c r="H1065" s="8">
        <f t="shared" si="1"/>
        <v>22</v>
      </c>
      <c r="I1065" s="9">
        <f t="shared" si="2"/>
        <v>2</v>
      </c>
      <c r="J1065" s="9">
        <f t="shared" si="3"/>
        <v>2023</v>
      </c>
    </row>
    <row r="1066" ht="15.75" customHeight="1">
      <c r="A1066" s="5">
        <v>54.0</v>
      </c>
      <c r="B1066" s="10" t="s">
        <v>1069</v>
      </c>
      <c r="C1066" s="3" t="s">
        <v>1070</v>
      </c>
      <c r="D1066" s="4" t="s">
        <v>8</v>
      </c>
      <c r="E1066" s="5" t="s">
        <v>28</v>
      </c>
      <c r="F1066" s="6" t="s">
        <v>128</v>
      </c>
      <c r="G1066" s="7">
        <v>44988.0</v>
      </c>
      <c r="H1066" s="8">
        <f t="shared" si="1"/>
        <v>3</v>
      </c>
      <c r="I1066" s="9">
        <f t="shared" si="2"/>
        <v>3</v>
      </c>
      <c r="J1066" s="9">
        <f t="shared" si="3"/>
        <v>2023</v>
      </c>
    </row>
    <row r="1067" ht="15.75" customHeight="1">
      <c r="A1067" s="5">
        <v>54.0</v>
      </c>
      <c r="B1067" s="10" t="s">
        <v>1069</v>
      </c>
      <c r="C1067" s="3" t="s">
        <v>1070</v>
      </c>
      <c r="D1067" s="4" t="s">
        <v>8</v>
      </c>
      <c r="E1067" s="5" t="s">
        <v>13</v>
      </c>
      <c r="F1067" s="6" t="s">
        <v>1076</v>
      </c>
      <c r="G1067" s="7">
        <v>45005.0</v>
      </c>
      <c r="H1067" s="8">
        <f t="shared" si="1"/>
        <v>20</v>
      </c>
      <c r="I1067" s="9">
        <f t="shared" si="2"/>
        <v>3</v>
      </c>
      <c r="J1067" s="9">
        <f t="shared" si="3"/>
        <v>2023</v>
      </c>
    </row>
    <row r="1068" ht="15.75" customHeight="1">
      <c r="A1068" s="5">
        <v>54.0</v>
      </c>
      <c r="B1068" s="10" t="s">
        <v>1069</v>
      </c>
      <c r="C1068" s="3" t="s">
        <v>1070</v>
      </c>
      <c r="D1068" s="4" t="s">
        <v>8</v>
      </c>
      <c r="E1068" s="5" t="s">
        <v>42</v>
      </c>
      <c r="F1068" s="6" t="s">
        <v>1014</v>
      </c>
      <c r="G1068" s="7">
        <v>45009.0</v>
      </c>
      <c r="H1068" s="8">
        <f t="shared" si="1"/>
        <v>24</v>
      </c>
      <c r="I1068" s="9">
        <f t="shared" si="2"/>
        <v>3</v>
      </c>
      <c r="J1068" s="9">
        <f t="shared" si="3"/>
        <v>2023</v>
      </c>
    </row>
    <row r="1069" ht="15.75" customHeight="1">
      <c r="A1069" s="5">
        <v>54.0</v>
      </c>
      <c r="B1069" s="10" t="s">
        <v>1069</v>
      </c>
      <c r="C1069" s="3" t="s">
        <v>1070</v>
      </c>
      <c r="D1069" s="4" t="s">
        <v>8</v>
      </c>
      <c r="E1069" s="5" t="s">
        <v>4</v>
      </c>
      <c r="F1069" s="6" t="s">
        <v>1077</v>
      </c>
      <c r="G1069" s="7">
        <v>45051.0</v>
      </c>
      <c r="H1069" s="8">
        <f t="shared" si="1"/>
        <v>5</v>
      </c>
      <c r="I1069" s="9">
        <f t="shared" si="2"/>
        <v>5</v>
      </c>
      <c r="J1069" s="9">
        <f t="shared" si="3"/>
        <v>2023</v>
      </c>
    </row>
    <row r="1070" ht="15.75" customHeight="1">
      <c r="A1070" s="5">
        <v>54.0</v>
      </c>
      <c r="B1070" s="10" t="s">
        <v>1069</v>
      </c>
      <c r="C1070" s="3" t="s">
        <v>1070</v>
      </c>
      <c r="D1070" s="4" t="s">
        <v>3</v>
      </c>
      <c r="E1070" s="5" t="s">
        <v>17</v>
      </c>
      <c r="F1070" s="6" t="s">
        <v>1078</v>
      </c>
      <c r="G1070" s="7">
        <v>45071.0</v>
      </c>
      <c r="H1070" s="8">
        <f t="shared" si="1"/>
        <v>25</v>
      </c>
      <c r="I1070" s="9">
        <f t="shared" si="2"/>
        <v>5</v>
      </c>
      <c r="J1070" s="9">
        <f t="shared" si="3"/>
        <v>2023</v>
      </c>
    </row>
    <row r="1071" ht="15.75" customHeight="1">
      <c r="A1071" s="5">
        <v>54.0</v>
      </c>
      <c r="B1071" s="10" t="s">
        <v>1069</v>
      </c>
      <c r="C1071" s="3" t="s">
        <v>1070</v>
      </c>
      <c r="D1071" s="4" t="s">
        <v>8</v>
      </c>
      <c r="E1071" s="5" t="s">
        <v>15</v>
      </c>
      <c r="F1071" s="6" t="s">
        <v>644</v>
      </c>
      <c r="G1071" s="7">
        <v>45091.0</v>
      </c>
      <c r="H1071" s="8">
        <f t="shared" si="1"/>
        <v>14</v>
      </c>
      <c r="I1071" s="9">
        <f t="shared" si="2"/>
        <v>6</v>
      </c>
      <c r="J1071" s="9">
        <f t="shared" si="3"/>
        <v>2023</v>
      </c>
    </row>
    <row r="1072" ht="15.75" customHeight="1">
      <c r="A1072" s="5">
        <v>54.0</v>
      </c>
      <c r="B1072" s="10" t="s">
        <v>1069</v>
      </c>
      <c r="C1072" s="3" t="s">
        <v>1070</v>
      </c>
      <c r="D1072" s="4" t="s">
        <v>3</v>
      </c>
      <c r="E1072" s="5" t="s">
        <v>17</v>
      </c>
      <c r="F1072" s="6" t="s">
        <v>1079</v>
      </c>
      <c r="G1072" s="7">
        <v>45126.0</v>
      </c>
      <c r="H1072" s="8">
        <f t="shared" si="1"/>
        <v>19</v>
      </c>
      <c r="I1072" s="9">
        <f t="shared" si="2"/>
        <v>7</v>
      </c>
      <c r="J1072" s="9">
        <f t="shared" si="3"/>
        <v>2023</v>
      </c>
    </row>
    <row r="1073" ht="15.75" customHeight="1">
      <c r="A1073" s="5">
        <v>54.0</v>
      </c>
      <c r="B1073" s="10" t="s">
        <v>1069</v>
      </c>
      <c r="C1073" s="3" t="s">
        <v>1070</v>
      </c>
      <c r="D1073" s="4" t="s">
        <v>8</v>
      </c>
      <c r="E1073" s="5" t="s">
        <v>13</v>
      </c>
      <c r="F1073" s="6" t="s">
        <v>679</v>
      </c>
      <c r="G1073" s="7">
        <v>45144.0</v>
      </c>
      <c r="H1073" s="8">
        <f t="shared" si="1"/>
        <v>6</v>
      </c>
      <c r="I1073" s="9">
        <f t="shared" si="2"/>
        <v>8</v>
      </c>
      <c r="J1073" s="9">
        <f t="shared" si="3"/>
        <v>2023</v>
      </c>
    </row>
    <row r="1074" ht="15.75" customHeight="1">
      <c r="A1074" s="5">
        <v>54.0</v>
      </c>
      <c r="B1074" s="10" t="s">
        <v>1069</v>
      </c>
      <c r="C1074" s="3" t="s">
        <v>1070</v>
      </c>
      <c r="D1074" s="4" t="s">
        <v>3</v>
      </c>
      <c r="E1074" s="5" t="s">
        <v>28</v>
      </c>
      <c r="F1074" s="6" t="s">
        <v>1073</v>
      </c>
      <c r="G1074" s="7">
        <v>45145.0</v>
      </c>
      <c r="H1074" s="8">
        <f t="shared" si="1"/>
        <v>7</v>
      </c>
      <c r="I1074" s="9">
        <f t="shared" si="2"/>
        <v>8</v>
      </c>
      <c r="J1074" s="9">
        <f t="shared" si="3"/>
        <v>2023</v>
      </c>
    </row>
    <row r="1075" ht="15.75" customHeight="1">
      <c r="A1075" s="5">
        <v>54.0</v>
      </c>
      <c r="B1075" s="10" t="s">
        <v>1069</v>
      </c>
      <c r="C1075" s="3" t="s">
        <v>1070</v>
      </c>
      <c r="D1075" s="4" t="s">
        <v>3</v>
      </c>
      <c r="E1075" s="5" t="s">
        <v>6</v>
      </c>
      <c r="F1075" s="6" t="s">
        <v>1080</v>
      </c>
      <c r="G1075" s="7">
        <v>45148.0</v>
      </c>
      <c r="H1075" s="8">
        <f t="shared" si="1"/>
        <v>10</v>
      </c>
      <c r="I1075" s="9">
        <f t="shared" si="2"/>
        <v>8</v>
      </c>
      <c r="J1075" s="9">
        <f t="shared" si="3"/>
        <v>2023</v>
      </c>
    </row>
    <row r="1076" ht="15.75" customHeight="1">
      <c r="A1076" s="5">
        <v>54.0</v>
      </c>
      <c r="B1076" s="10" t="s">
        <v>1069</v>
      </c>
      <c r="C1076" s="3" t="s">
        <v>1070</v>
      </c>
      <c r="D1076" s="4" t="s">
        <v>8</v>
      </c>
      <c r="E1076" s="5" t="s">
        <v>19</v>
      </c>
      <c r="F1076" s="6" t="s">
        <v>1081</v>
      </c>
      <c r="G1076" s="7">
        <v>45184.0</v>
      </c>
      <c r="H1076" s="8">
        <f t="shared" si="1"/>
        <v>15</v>
      </c>
      <c r="I1076" s="9">
        <f t="shared" si="2"/>
        <v>9</v>
      </c>
      <c r="J1076" s="9">
        <f t="shared" si="3"/>
        <v>2023</v>
      </c>
    </row>
    <row r="1077" ht="15.75" customHeight="1">
      <c r="A1077" s="5">
        <v>54.0</v>
      </c>
      <c r="B1077" s="10" t="s">
        <v>1069</v>
      </c>
      <c r="C1077" s="3" t="s">
        <v>1070</v>
      </c>
      <c r="D1077" s="4" t="s">
        <v>3</v>
      </c>
      <c r="E1077" s="5" t="s">
        <v>19</v>
      </c>
      <c r="F1077" s="6" t="s">
        <v>234</v>
      </c>
      <c r="G1077" s="7">
        <v>45188.0</v>
      </c>
      <c r="H1077" s="8">
        <f t="shared" si="1"/>
        <v>19</v>
      </c>
      <c r="I1077" s="9">
        <f t="shared" si="2"/>
        <v>9</v>
      </c>
      <c r="J1077" s="9">
        <f t="shared" si="3"/>
        <v>2023</v>
      </c>
    </row>
    <row r="1078" ht="15.75" customHeight="1">
      <c r="A1078" s="5">
        <v>54.0</v>
      </c>
      <c r="B1078" s="10" t="s">
        <v>1069</v>
      </c>
      <c r="C1078" s="3" t="s">
        <v>1070</v>
      </c>
      <c r="D1078" s="4" t="s">
        <v>8</v>
      </c>
      <c r="E1078" s="5" t="s">
        <v>96</v>
      </c>
      <c r="F1078" s="6" t="s">
        <v>1082</v>
      </c>
      <c r="G1078" s="7">
        <v>45202.0</v>
      </c>
      <c r="H1078" s="8">
        <f t="shared" si="1"/>
        <v>3</v>
      </c>
      <c r="I1078" s="9">
        <f t="shared" si="2"/>
        <v>10</v>
      </c>
      <c r="J1078" s="9">
        <f t="shared" si="3"/>
        <v>2023</v>
      </c>
    </row>
    <row r="1079" ht="15.75" customHeight="1">
      <c r="A1079" s="5">
        <v>54.0</v>
      </c>
      <c r="B1079" s="10" t="s">
        <v>1069</v>
      </c>
      <c r="C1079" s="3" t="s">
        <v>1070</v>
      </c>
      <c r="D1079" s="4" t="s">
        <v>3</v>
      </c>
      <c r="E1079" s="5" t="s">
        <v>23</v>
      </c>
      <c r="F1079" s="6" t="s">
        <v>1083</v>
      </c>
      <c r="G1079" s="7">
        <v>45242.0</v>
      </c>
      <c r="H1079" s="8">
        <f t="shared" si="1"/>
        <v>12</v>
      </c>
      <c r="I1079" s="9">
        <f t="shared" si="2"/>
        <v>11</v>
      </c>
      <c r="J1079" s="9">
        <f t="shared" si="3"/>
        <v>2023</v>
      </c>
    </row>
    <row r="1080" ht="15.75" customHeight="1">
      <c r="A1080" s="5">
        <v>54.0</v>
      </c>
      <c r="B1080" s="10" t="s">
        <v>1069</v>
      </c>
      <c r="C1080" s="3" t="s">
        <v>1070</v>
      </c>
      <c r="D1080" s="4" t="s">
        <v>8</v>
      </c>
      <c r="E1080" s="5" t="s">
        <v>28</v>
      </c>
      <c r="F1080" s="6" t="s">
        <v>43</v>
      </c>
      <c r="G1080" s="7">
        <v>45267.0</v>
      </c>
      <c r="H1080" s="8">
        <f t="shared" si="1"/>
        <v>7</v>
      </c>
      <c r="I1080" s="9">
        <f t="shared" si="2"/>
        <v>12</v>
      </c>
      <c r="J1080" s="9">
        <f t="shared" si="3"/>
        <v>2023</v>
      </c>
    </row>
    <row r="1081" ht="15.75" customHeight="1">
      <c r="A1081" s="5">
        <v>55.0</v>
      </c>
      <c r="B1081" s="10" t="s">
        <v>1084</v>
      </c>
      <c r="C1081" s="3" t="s">
        <v>1085</v>
      </c>
      <c r="D1081" s="4" t="s">
        <v>3</v>
      </c>
      <c r="E1081" s="5" t="s">
        <v>4</v>
      </c>
      <c r="F1081" s="6" t="s">
        <v>1086</v>
      </c>
      <c r="G1081" s="7">
        <v>44953.0</v>
      </c>
      <c r="H1081" s="8">
        <f t="shared" si="1"/>
        <v>27</v>
      </c>
      <c r="I1081" s="9">
        <f t="shared" si="2"/>
        <v>1</v>
      </c>
      <c r="J1081" s="9">
        <f t="shared" si="3"/>
        <v>2023</v>
      </c>
    </row>
    <row r="1082" ht="15.75" customHeight="1">
      <c r="A1082" s="5">
        <v>55.0</v>
      </c>
      <c r="B1082" s="10" t="s">
        <v>1084</v>
      </c>
      <c r="C1082" s="3" t="s">
        <v>1085</v>
      </c>
      <c r="D1082" s="4" t="s">
        <v>3</v>
      </c>
      <c r="E1082" s="5" t="s">
        <v>15</v>
      </c>
      <c r="F1082" s="6" t="s">
        <v>488</v>
      </c>
      <c r="G1082" s="7">
        <v>44959.0</v>
      </c>
      <c r="H1082" s="8">
        <f t="shared" si="1"/>
        <v>2</v>
      </c>
      <c r="I1082" s="9">
        <f t="shared" si="2"/>
        <v>2</v>
      </c>
      <c r="J1082" s="9">
        <f t="shared" si="3"/>
        <v>2023</v>
      </c>
    </row>
    <row r="1083" ht="15.75" customHeight="1">
      <c r="A1083" s="5">
        <v>55.0</v>
      </c>
      <c r="B1083" s="10" t="s">
        <v>1084</v>
      </c>
      <c r="C1083" s="3" t="s">
        <v>1085</v>
      </c>
      <c r="D1083" s="4" t="s">
        <v>3</v>
      </c>
      <c r="E1083" s="5" t="s">
        <v>42</v>
      </c>
      <c r="F1083" s="6" t="s">
        <v>1087</v>
      </c>
      <c r="G1083" s="7">
        <v>44985.0</v>
      </c>
      <c r="H1083" s="8">
        <f t="shared" si="1"/>
        <v>28</v>
      </c>
      <c r="I1083" s="9">
        <f t="shared" si="2"/>
        <v>2</v>
      </c>
      <c r="J1083" s="9">
        <f t="shared" si="3"/>
        <v>2023</v>
      </c>
    </row>
    <row r="1084" ht="15.75" customHeight="1">
      <c r="A1084" s="5">
        <v>55.0</v>
      </c>
      <c r="B1084" s="10" t="s">
        <v>1084</v>
      </c>
      <c r="C1084" s="3" t="s">
        <v>1085</v>
      </c>
      <c r="D1084" s="4" t="s">
        <v>8</v>
      </c>
      <c r="E1084" s="5" t="s">
        <v>19</v>
      </c>
      <c r="F1084" s="6" t="s">
        <v>1088</v>
      </c>
      <c r="G1084" s="7">
        <v>45009.0</v>
      </c>
      <c r="H1084" s="8">
        <f t="shared" si="1"/>
        <v>24</v>
      </c>
      <c r="I1084" s="9">
        <f t="shared" si="2"/>
        <v>3</v>
      </c>
      <c r="J1084" s="9">
        <f t="shared" si="3"/>
        <v>2023</v>
      </c>
    </row>
    <row r="1085" ht="15.75" customHeight="1">
      <c r="A1085" s="5">
        <v>55.0</v>
      </c>
      <c r="B1085" s="10" t="s">
        <v>1084</v>
      </c>
      <c r="C1085" s="3" t="s">
        <v>1085</v>
      </c>
      <c r="D1085" s="4" t="s">
        <v>8</v>
      </c>
      <c r="E1085" s="5" t="s">
        <v>13</v>
      </c>
      <c r="F1085" s="6" t="s">
        <v>1089</v>
      </c>
      <c r="G1085" s="7">
        <v>45025.0</v>
      </c>
      <c r="H1085" s="8">
        <f t="shared" si="1"/>
        <v>9</v>
      </c>
      <c r="I1085" s="9">
        <f t="shared" si="2"/>
        <v>4</v>
      </c>
      <c r="J1085" s="9">
        <f t="shared" si="3"/>
        <v>2023</v>
      </c>
    </row>
    <row r="1086" ht="15.75" customHeight="1">
      <c r="A1086" s="5">
        <v>55.0</v>
      </c>
      <c r="B1086" s="10" t="s">
        <v>1084</v>
      </c>
      <c r="C1086" s="3" t="s">
        <v>1085</v>
      </c>
      <c r="D1086" s="4" t="s">
        <v>8</v>
      </c>
      <c r="E1086" s="5" t="s">
        <v>4</v>
      </c>
      <c r="F1086" s="6" t="s">
        <v>1090</v>
      </c>
      <c r="G1086" s="7">
        <v>45036.0</v>
      </c>
      <c r="H1086" s="8">
        <f t="shared" si="1"/>
        <v>20</v>
      </c>
      <c r="I1086" s="9">
        <f t="shared" si="2"/>
        <v>4</v>
      </c>
      <c r="J1086" s="9">
        <f t="shared" si="3"/>
        <v>2023</v>
      </c>
    </row>
    <row r="1087" ht="15.75" customHeight="1">
      <c r="A1087" s="5">
        <v>55.0</v>
      </c>
      <c r="B1087" s="10" t="s">
        <v>1084</v>
      </c>
      <c r="C1087" s="3" t="s">
        <v>1085</v>
      </c>
      <c r="D1087" s="4" t="s">
        <v>3</v>
      </c>
      <c r="E1087" s="5" t="s">
        <v>96</v>
      </c>
      <c r="F1087" s="6" t="s">
        <v>1091</v>
      </c>
      <c r="G1087" s="7">
        <v>45094.0</v>
      </c>
      <c r="H1087" s="8">
        <f t="shared" si="1"/>
        <v>17</v>
      </c>
      <c r="I1087" s="9">
        <f t="shared" si="2"/>
        <v>6</v>
      </c>
      <c r="J1087" s="9">
        <f t="shared" si="3"/>
        <v>2023</v>
      </c>
    </row>
    <row r="1088" ht="15.75" customHeight="1">
      <c r="A1088" s="5">
        <v>55.0</v>
      </c>
      <c r="B1088" s="10" t="s">
        <v>1084</v>
      </c>
      <c r="C1088" s="3" t="s">
        <v>1085</v>
      </c>
      <c r="D1088" s="4" t="s">
        <v>8</v>
      </c>
      <c r="E1088" s="5" t="s">
        <v>19</v>
      </c>
      <c r="F1088" s="6" t="s">
        <v>1092</v>
      </c>
      <c r="G1088" s="7">
        <v>45108.0</v>
      </c>
      <c r="H1088" s="8">
        <f t="shared" si="1"/>
        <v>1</v>
      </c>
      <c r="I1088" s="9">
        <f t="shared" si="2"/>
        <v>7</v>
      </c>
      <c r="J1088" s="9">
        <f t="shared" si="3"/>
        <v>2023</v>
      </c>
    </row>
    <row r="1089" ht="15.75" customHeight="1">
      <c r="A1089" s="5">
        <v>55.0</v>
      </c>
      <c r="B1089" s="10" t="s">
        <v>1084</v>
      </c>
      <c r="C1089" s="3" t="s">
        <v>1085</v>
      </c>
      <c r="D1089" s="4" t="s">
        <v>8</v>
      </c>
      <c r="E1089" s="5" t="s">
        <v>42</v>
      </c>
      <c r="F1089" s="6" t="s">
        <v>1054</v>
      </c>
      <c r="G1089" s="7">
        <v>45113.0</v>
      </c>
      <c r="H1089" s="8">
        <f t="shared" si="1"/>
        <v>6</v>
      </c>
      <c r="I1089" s="9">
        <f t="shared" si="2"/>
        <v>7</v>
      </c>
      <c r="J1089" s="9">
        <f t="shared" si="3"/>
        <v>2023</v>
      </c>
    </row>
    <row r="1090" ht="15.75" customHeight="1">
      <c r="A1090" s="5">
        <v>55.0</v>
      </c>
      <c r="B1090" s="10" t="s">
        <v>1084</v>
      </c>
      <c r="C1090" s="3" t="s">
        <v>1085</v>
      </c>
      <c r="D1090" s="4" t="s">
        <v>3</v>
      </c>
      <c r="E1090" s="5" t="s">
        <v>9</v>
      </c>
      <c r="F1090" s="6" t="s">
        <v>696</v>
      </c>
      <c r="G1090" s="7">
        <v>45123.0</v>
      </c>
      <c r="H1090" s="8">
        <f t="shared" si="1"/>
        <v>16</v>
      </c>
      <c r="I1090" s="9">
        <f t="shared" si="2"/>
        <v>7</v>
      </c>
      <c r="J1090" s="9">
        <f t="shared" si="3"/>
        <v>2023</v>
      </c>
    </row>
    <row r="1091" ht="15.75" customHeight="1">
      <c r="A1091" s="5">
        <v>55.0</v>
      </c>
      <c r="B1091" s="10" t="s">
        <v>1084</v>
      </c>
      <c r="C1091" s="3" t="s">
        <v>1085</v>
      </c>
      <c r="D1091" s="4" t="s">
        <v>3</v>
      </c>
      <c r="E1091" s="5" t="s">
        <v>17</v>
      </c>
      <c r="F1091" s="6" t="s">
        <v>1012</v>
      </c>
      <c r="G1091" s="7">
        <v>45160.0</v>
      </c>
      <c r="H1091" s="8">
        <f t="shared" si="1"/>
        <v>22</v>
      </c>
      <c r="I1091" s="9">
        <f t="shared" si="2"/>
        <v>8</v>
      </c>
      <c r="J1091" s="9">
        <f t="shared" si="3"/>
        <v>2023</v>
      </c>
    </row>
    <row r="1092" ht="15.75" customHeight="1">
      <c r="A1092" s="5">
        <v>55.0</v>
      </c>
      <c r="B1092" s="10" t="s">
        <v>1084</v>
      </c>
      <c r="C1092" s="3" t="s">
        <v>1085</v>
      </c>
      <c r="D1092" s="4" t="s">
        <v>8</v>
      </c>
      <c r="E1092" s="5" t="s">
        <v>120</v>
      </c>
      <c r="F1092" s="6" t="s">
        <v>1093</v>
      </c>
      <c r="G1092" s="7">
        <v>45177.0</v>
      </c>
      <c r="H1092" s="8">
        <f t="shared" si="1"/>
        <v>8</v>
      </c>
      <c r="I1092" s="9">
        <f t="shared" si="2"/>
        <v>9</v>
      </c>
      <c r="J1092" s="9">
        <f t="shared" si="3"/>
        <v>2023</v>
      </c>
    </row>
    <row r="1093" ht="15.75" customHeight="1">
      <c r="A1093" s="5">
        <v>55.0</v>
      </c>
      <c r="B1093" s="10" t="s">
        <v>1084</v>
      </c>
      <c r="C1093" s="3" t="s">
        <v>1085</v>
      </c>
      <c r="D1093" s="4" t="s">
        <v>8</v>
      </c>
      <c r="E1093" s="5" t="s">
        <v>28</v>
      </c>
      <c r="F1093" s="6" t="s">
        <v>345</v>
      </c>
      <c r="G1093" s="7">
        <v>45183.0</v>
      </c>
      <c r="H1093" s="8">
        <f t="shared" si="1"/>
        <v>14</v>
      </c>
      <c r="I1093" s="9">
        <f t="shared" si="2"/>
        <v>9</v>
      </c>
      <c r="J1093" s="9">
        <f t="shared" si="3"/>
        <v>2023</v>
      </c>
    </row>
    <row r="1094" ht="15.75" customHeight="1">
      <c r="A1094" s="5">
        <v>55.0</v>
      </c>
      <c r="B1094" s="10" t="s">
        <v>1084</v>
      </c>
      <c r="C1094" s="3" t="s">
        <v>1085</v>
      </c>
      <c r="D1094" s="4" t="s">
        <v>3</v>
      </c>
      <c r="E1094" s="5" t="s">
        <v>39</v>
      </c>
      <c r="F1094" s="6" t="s">
        <v>1094</v>
      </c>
      <c r="G1094" s="7">
        <v>45186.0</v>
      </c>
      <c r="H1094" s="8">
        <f t="shared" si="1"/>
        <v>17</v>
      </c>
      <c r="I1094" s="9">
        <f t="shared" si="2"/>
        <v>9</v>
      </c>
      <c r="J1094" s="9">
        <f t="shared" si="3"/>
        <v>2023</v>
      </c>
    </row>
    <row r="1095" ht="15.75" customHeight="1">
      <c r="A1095" s="5">
        <v>55.0</v>
      </c>
      <c r="B1095" s="10" t="s">
        <v>1084</v>
      </c>
      <c r="C1095" s="3" t="s">
        <v>1085</v>
      </c>
      <c r="D1095" s="4" t="s">
        <v>8</v>
      </c>
      <c r="E1095" s="5" t="s">
        <v>15</v>
      </c>
      <c r="F1095" s="6" t="s">
        <v>733</v>
      </c>
      <c r="G1095" s="7">
        <v>45202.0</v>
      </c>
      <c r="H1095" s="8">
        <f t="shared" si="1"/>
        <v>3</v>
      </c>
      <c r="I1095" s="9">
        <f t="shared" si="2"/>
        <v>10</v>
      </c>
      <c r="J1095" s="9">
        <f t="shared" si="3"/>
        <v>2023</v>
      </c>
    </row>
    <row r="1096" ht="15.75" customHeight="1">
      <c r="A1096" s="5">
        <v>55.0</v>
      </c>
      <c r="B1096" s="10" t="s">
        <v>1084</v>
      </c>
      <c r="C1096" s="3" t="s">
        <v>1085</v>
      </c>
      <c r="D1096" s="4" t="s">
        <v>8</v>
      </c>
      <c r="E1096" s="5" t="s">
        <v>35</v>
      </c>
      <c r="F1096" s="6" t="s">
        <v>1095</v>
      </c>
      <c r="G1096" s="7">
        <v>45234.0</v>
      </c>
      <c r="H1096" s="8">
        <f t="shared" si="1"/>
        <v>4</v>
      </c>
      <c r="I1096" s="9">
        <f t="shared" si="2"/>
        <v>11</v>
      </c>
      <c r="J1096" s="9">
        <f t="shared" si="3"/>
        <v>2023</v>
      </c>
    </row>
    <row r="1097" ht="15.75" customHeight="1">
      <c r="A1097" s="5">
        <v>55.0</v>
      </c>
      <c r="B1097" s="10" t="s">
        <v>1084</v>
      </c>
      <c r="C1097" s="3" t="s">
        <v>1085</v>
      </c>
      <c r="D1097" s="4" t="s">
        <v>8</v>
      </c>
      <c r="E1097" s="5" t="s">
        <v>23</v>
      </c>
      <c r="F1097" s="6" t="s">
        <v>1096</v>
      </c>
      <c r="G1097" s="7">
        <v>45235.0</v>
      </c>
      <c r="H1097" s="8">
        <f t="shared" si="1"/>
        <v>5</v>
      </c>
      <c r="I1097" s="9">
        <f t="shared" si="2"/>
        <v>11</v>
      </c>
      <c r="J1097" s="9">
        <f t="shared" si="3"/>
        <v>2023</v>
      </c>
    </row>
    <row r="1098" ht="15.75" customHeight="1">
      <c r="A1098" s="5">
        <v>55.0</v>
      </c>
      <c r="B1098" s="10" t="s">
        <v>1084</v>
      </c>
      <c r="C1098" s="3" t="s">
        <v>1085</v>
      </c>
      <c r="D1098" s="4" t="s">
        <v>8</v>
      </c>
      <c r="E1098" s="5" t="s">
        <v>15</v>
      </c>
      <c r="F1098" s="6" t="s">
        <v>1097</v>
      </c>
      <c r="G1098" s="7">
        <v>45237.0</v>
      </c>
      <c r="H1098" s="8">
        <f t="shared" si="1"/>
        <v>7</v>
      </c>
      <c r="I1098" s="9">
        <f t="shared" si="2"/>
        <v>11</v>
      </c>
      <c r="J1098" s="9">
        <f t="shared" si="3"/>
        <v>2023</v>
      </c>
    </row>
    <row r="1099" ht="15.75" customHeight="1">
      <c r="A1099" s="5">
        <v>55.0</v>
      </c>
      <c r="B1099" s="10" t="s">
        <v>1084</v>
      </c>
      <c r="C1099" s="3" t="s">
        <v>1085</v>
      </c>
      <c r="D1099" s="4" t="s">
        <v>3</v>
      </c>
      <c r="E1099" s="5" t="s">
        <v>19</v>
      </c>
      <c r="F1099" s="6" t="s">
        <v>1098</v>
      </c>
      <c r="G1099" s="7">
        <v>45240.0</v>
      </c>
      <c r="H1099" s="8">
        <f t="shared" si="1"/>
        <v>10</v>
      </c>
      <c r="I1099" s="9">
        <f t="shared" si="2"/>
        <v>11</v>
      </c>
      <c r="J1099" s="9">
        <f t="shared" si="3"/>
        <v>2023</v>
      </c>
    </row>
    <row r="1100" ht="15.75" customHeight="1">
      <c r="A1100" s="5">
        <v>55.0</v>
      </c>
      <c r="B1100" s="10" t="s">
        <v>1084</v>
      </c>
      <c r="C1100" s="3" t="s">
        <v>1085</v>
      </c>
      <c r="D1100" s="4" t="s">
        <v>8</v>
      </c>
      <c r="E1100" s="5" t="s">
        <v>4</v>
      </c>
      <c r="F1100" s="6" t="s">
        <v>1099</v>
      </c>
      <c r="G1100" s="7">
        <v>45287.0</v>
      </c>
      <c r="H1100" s="8">
        <f t="shared" si="1"/>
        <v>27</v>
      </c>
      <c r="I1100" s="9">
        <f t="shared" si="2"/>
        <v>12</v>
      </c>
      <c r="J1100" s="9">
        <f t="shared" si="3"/>
        <v>2023</v>
      </c>
    </row>
    <row r="1101" ht="15.75" customHeight="1">
      <c r="A1101" s="5">
        <v>56.0</v>
      </c>
      <c r="B1101" s="10" t="s">
        <v>1100</v>
      </c>
      <c r="C1101" s="3" t="s">
        <v>1101</v>
      </c>
      <c r="D1101" s="4" t="s">
        <v>3</v>
      </c>
      <c r="E1101" s="5" t="s">
        <v>96</v>
      </c>
      <c r="F1101" s="6" t="s">
        <v>1102</v>
      </c>
      <c r="G1101" s="7">
        <v>44937.0</v>
      </c>
      <c r="H1101" s="8">
        <f t="shared" si="1"/>
        <v>11</v>
      </c>
      <c r="I1101" s="9">
        <f t="shared" si="2"/>
        <v>1</v>
      </c>
      <c r="J1101" s="9">
        <f t="shared" si="3"/>
        <v>2023</v>
      </c>
    </row>
    <row r="1102" ht="15.75" customHeight="1">
      <c r="A1102" s="5">
        <v>56.0</v>
      </c>
      <c r="B1102" s="10" t="s">
        <v>1100</v>
      </c>
      <c r="C1102" s="3" t="s">
        <v>1101</v>
      </c>
      <c r="D1102" s="4" t="s">
        <v>3</v>
      </c>
      <c r="E1102" s="5" t="s">
        <v>13</v>
      </c>
      <c r="F1102" s="6" t="s">
        <v>1103</v>
      </c>
      <c r="G1102" s="7">
        <v>44964.0</v>
      </c>
      <c r="H1102" s="8">
        <f t="shared" si="1"/>
        <v>7</v>
      </c>
      <c r="I1102" s="9">
        <f t="shared" si="2"/>
        <v>2</v>
      </c>
      <c r="J1102" s="9">
        <f t="shared" si="3"/>
        <v>2023</v>
      </c>
    </row>
    <row r="1103" ht="15.75" customHeight="1">
      <c r="A1103" s="5">
        <v>56.0</v>
      </c>
      <c r="B1103" s="10" t="s">
        <v>1100</v>
      </c>
      <c r="C1103" s="3" t="s">
        <v>1101</v>
      </c>
      <c r="D1103" s="4" t="s">
        <v>8</v>
      </c>
      <c r="E1103" s="5" t="s">
        <v>13</v>
      </c>
      <c r="F1103" s="6" t="s">
        <v>1104</v>
      </c>
      <c r="G1103" s="7">
        <v>44989.0</v>
      </c>
      <c r="H1103" s="8">
        <f t="shared" si="1"/>
        <v>4</v>
      </c>
      <c r="I1103" s="9">
        <f t="shared" si="2"/>
        <v>3</v>
      </c>
      <c r="J1103" s="9">
        <f t="shared" si="3"/>
        <v>2023</v>
      </c>
    </row>
    <row r="1104" ht="15.75" customHeight="1">
      <c r="A1104" s="5">
        <v>56.0</v>
      </c>
      <c r="B1104" s="10" t="s">
        <v>1100</v>
      </c>
      <c r="C1104" s="3" t="s">
        <v>1101</v>
      </c>
      <c r="D1104" s="4" t="s">
        <v>3</v>
      </c>
      <c r="E1104" s="5" t="s">
        <v>4</v>
      </c>
      <c r="F1104" s="6" t="s">
        <v>1105</v>
      </c>
      <c r="G1104" s="7">
        <v>44999.0</v>
      </c>
      <c r="H1104" s="8">
        <f t="shared" si="1"/>
        <v>14</v>
      </c>
      <c r="I1104" s="9">
        <f t="shared" si="2"/>
        <v>3</v>
      </c>
      <c r="J1104" s="9">
        <f t="shared" si="3"/>
        <v>2023</v>
      </c>
    </row>
    <row r="1105" ht="15.75" customHeight="1">
      <c r="A1105" s="5">
        <v>56.0</v>
      </c>
      <c r="B1105" s="10" t="s">
        <v>1100</v>
      </c>
      <c r="C1105" s="3" t="s">
        <v>1101</v>
      </c>
      <c r="D1105" s="4" t="s">
        <v>8</v>
      </c>
      <c r="E1105" s="5" t="s">
        <v>35</v>
      </c>
      <c r="F1105" s="6" t="s">
        <v>1106</v>
      </c>
      <c r="G1105" s="7">
        <v>45038.0</v>
      </c>
      <c r="H1105" s="8">
        <f t="shared" si="1"/>
        <v>22</v>
      </c>
      <c r="I1105" s="9">
        <f t="shared" si="2"/>
        <v>4</v>
      </c>
      <c r="J1105" s="9">
        <f t="shared" si="3"/>
        <v>2023</v>
      </c>
    </row>
    <row r="1106" ht="15.75" customHeight="1">
      <c r="A1106" s="5">
        <v>56.0</v>
      </c>
      <c r="B1106" s="10" t="s">
        <v>1100</v>
      </c>
      <c r="C1106" s="3" t="s">
        <v>1101</v>
      </c>
      <c r="D1106" s="4" t="s">
        <v>3</v>
      </c>
      <c r="E1106" s="5" t="s">
        <v>120</v>
      </c>
      <c r="F1106" s="6" t="s">
        <v>1107</v>
      </c>
      <c r="G1106" s="7">
        <v>45058.0</v>
      </c>
      <c r="H1106" s="8">
        <f t="shared" si="1"/>
        <v>12</v>
      </c>
      <c r="I1106" s="9">
        <f t="shared" si="2"/>
        <v>5</v>
      </c>
      <c r="J1106" s="9">
        <f t="shared" si="3"/>
        <v>2023</v>
      </c>
    </row>
    <row r="1107" ht="15.75" customHeight="1">
      <c r="A1107" s="5">
        <v>56.0</v>
      </c>
      <c r="B1107" s="10" t="s">
        <v>1100</v>
      </c>
      <c r="C1107" s="3" t="s">
        <v>1101</v>
      </c>
      <c r="D1107" s="4" t="s">
        <v>8</v>
      </c>
      <c r="E1107" s="5" t="s">
        <v>45</v>
      </c>
      <c r="F1107" s="6" t="s">
        <v>1108</v>
      </c>
      <c r="G1107" s="7">
        <v>45073.0</v>
      </c>
      <c r="H1107" s="8">
        <f t="shared" si="1"/>
        <v>27</v>
      </c>
      <c r="I1107" s="9">
        <f t="shared" si="2"/>
        <v>5</v>
      </c>
      <c r="J1107" s="9">
        <f t="shared" si="3"/>
        <v>2023</v>
      </c>
    </row>
    <row r="1108" ht="15.75" customHeight="1">
      <c r="A1108" s="5">
        <v>56.0</v>
      </c>
      <c r="B1108" s="10" t="s">
        <v>1100</v>
      </c>
      <c r="C1108" s="3" t="s">
        <v>1101</v>
      </c>
      <c r="D1108" s="4" t="s">
        <v>8</v>
      </c>
      <c r="E1108" s="5" t="s">
        <v>15</v>
      </c>
      <c r="F1108" s="6" t="s">
        <v>1109</v>
      </c>
      <c r="G1108" s="7">
        <v>45084.0</v>
      </c>
      <c r="H1108" s="8">
        <f t="shared" si="1"/>
        <v>7</v>
      </c>
      <c r="I1108" s="9">
        <f t="shared" si="2"/>
        <v>6</v>
      </c>
      <c r="J1108" s="9">
        <f t="shared" si="3"/>
        <v>2023</v>
      </c>
    </row>
    <row r="1109" ht="15.75" customHeight="1">
      <c r="A1109" s="5">
        <v>56.0</v>
      </c>
      <c r="B1109" s="10" t="s">
        <v>1100</v>
      </c>
      <c r="C1109" s="3" t="s">
        <v>1101</v>
      </c>
      <c r="D1109" s="4" t="s">
        <v>3</v>
      </c>
      <c r="E1109" s="5" t="s">
        <v>120</v>
      </c>
      <c r="F1109" s="6" t="s">
        <v>861</v>
      </c>
      <c r="G1109" s="7">
        <v>45103.0</v>
      </c>
      <c r="H1109" s="8">
        <f t="shared" si="1"/>
        <v>26</v>
      </c>
      <c r="I1109" s="9">
        <f t="shared" si="2"/>
        <v>6</v>
      </c>
      <c r="J1109" s="9">
        <f t="shared" si="3"/>
        <v>2023</v>
      </c>
    </row>
    <row r="1110" ht="15.75" customHeight="1">
      <c r="A1110" s="5">
        <v>56.0</v>
      </c>
      <c r="B1110" s="10" t="s">
        <v>1100</v>
      </c>
      <c r="C1110" s="3" t="s">
        <v>1101</v>
      </c>
      <c r="D1110" s="4" t="s">
        <v>8</v>
      </c>
      <c r="E1110" s="5" t="s">
        <v>21</v>
      </c>
      <c r="F1110" s="6" t="s">
        <v>647</v>
      </c>
      <c r="G1110" s="7">
        <v>45110.0</v>
      </c>
      <c r="H1110" s="8">
        <f t="shared" si="1"/>
        <v>3</v>
      </c>
      <c r="I1110" s="9">
        <f t="shared" si="2"/>
        <v>7</v>
      </c>
      <c r="J1110" s="9">
        <f t="shared" si="3"/>
        <v>2023</v>
      </c>
    </row>
    <row r="1111" ht="15.75" customHeight="1">
      <c r="A1111" s="5">
        <v>56.0</v>
      </c>
      <c r="B1111" s="10" t="s">
        <v>1100</v>
      </c>
      <c r="C1111" s="3" t="s">
        <v>1101</v>
      </c>
      <c r="D1111" s="4" t="s">
        <v>8</v>
      </c>
      <c r="E1111" s="5" t="s">
        <v>21</v>
      </c>
      <c r="F1111" s="6" t="s">
        <v>1110</v>
      </c>
      <c r="G1111" s="7">
        <v>45182.0</v>
      </c>
      <c r="H1111" s="8">
        <f t="shared" si="1"/>
        <v>13</v>
      </c>
      <c r="I1111" s="9">
        <f t="shared" si="2"/>
        <v>9</v>
      </c>
      <c r="J1111" s="9">
        <f t="shared" si="3"/>
        <v>2023</v>
      </c>
    </row>
    <row r="1112" ht="15.75" customHeight="1">
      <c r="A1112" s="5">
        <v>56.0</v>
      </c>
      <c r="B1112" s="10" t="s">
        <v>1100</v>
      </c>
      <c r="C1112" s="3" t="s">
        <v>1101</v>
      </c>
      <c r="D1112" s="4" t="s">
        <v>3</v>
      </c>
      <c r="E1112" s="5" t="s">
        <v>21</v>
      </c>
      <c r="F1112" s="6" t="s">
        <v>1111</v>
      </c>
      <c r="G1112" s="7">
        <v>45212.0</v>
      </c>
      <c r="H1112" s="8">
        <f t="shared" si="1"/>
        <v>13</v>
      </c>
      <c r="I1112" s="9">
        <f t="shared" si="2"/>
        <v>10</v>
      </c>
      <c r="J1112" s="9">
        <f t="shared" si="3"/>
        <v>2023</v>
      </c>
    </row>
    <row r="1113" ht="15.75" customHeight="1">
      <c r="A1113" s="5">
        <v>56.0</v>
      </c>
      <c r="B1113" s="10" t="s">
        <v>1100</v>
      </c>
      <c r="C1113" s="3" t="s">
        <v>1101</v>
      </c>
      <c r="D1113" s="4" t="s">
        <v>8</v>
      </c>
      <c r="E1113" s="5" t="s">
        <v>9</v>
      </c>
      <c r="F1113" s="6" t="s">
        <v>768</v>
      </c>
      <c r="G1113" s="7">
        <v>45217.0</v>
      </c>
      <c r="H1113" s="8">
        <f t="shared" si="1"/>
        <v>18</v>
      </c>
      <c r="I1113" s="9">
        <f t="shared" si="2"/>
        <v>10</v>
      </c>
      <c r="J1113" s="9">
        <f t="shared" si="3"/>
        <v>2023</v>
      </c>
    </row>
    <row r="1114" ht="15.75" customHeight="1">
      <c r="A1114" s="5">
        <v>56.0</v>
      </c>
      <c r="B1114" s="10" t="s">
        <v>1100</v>
      </c>
      <c r="C1114" s="3" t="s">
        <v>1101</v>
      </c>
      <c r="D1114" s="4" t="s">
        <v>8</v>
      </c>
      <c r="E1114" s="5" t="s">
        <v>45</v>
      </c>
      <c r="F1114" s="6" t="s">
        <v>1112</v>
      </c>
      <c r="G1114" s="7">
        <v>45219.0</v>
      </c>
      <c r="H1114" s="8">
        <f t="shared" si="1"/>
        <v>20</v>
      </c>
      <c r="I1114" s="9">
        <f t="shared" si="2"/>
        <v>10</v>
      </c>
      <c r="J1114" s="9">
        <f t="shared" si="3"/>
        <v>2023</v>
      </c>
    </row>
    <row r="1115" ht="15.75" customHeight="1">
      <c r="A1115" s="5">
        <v>56.0</v>
      </c>
      <c r="B1115" s="10" t="s">
        <v>1100</v>
      </c>
      <c r="C1115" s="3" t="s">
        <v>1101</v>
      </c>
      <c r="D1115" s="4" t="s">
        <v>3</v>
      </c>
      <c r="E1115" s="5" t="s">
        <v>17</v>
      </c>
      <c r="F1115" s="6" t="s">
        <v>1113</v>
      </c>
      <c r="G1115" s="7">
        <v>45220.0</v>
      </c>
      <c r="H1115" s="8">
        <f t="shared" si="1"/>
        <v>21</v>
      </c>
      <c r="I1115" s="9">
        <f t="shared" si="2"/>
        <v>10</v>
      </c>
      <c r="J1115" s="9">
        <f t="shared" si="3"/>
        <v>2023</v>
      </c>
    </row>
    <row r="1116" ht="15.75" customHeight="1">
      <c r="A1116" s="5">
        <v>56.0</v>
      </c>
      <c r="B1116" s="10" t="s">
        <v>1100</v>
      </c>
      <c r="C1116" s="3" t="s">
        <v>1101</v>
      </c>
      <c r="D1116" s="4" t="s">
        <v>3</v>
      </c>
      <c r="E1116" s="5" t="s">
        <v>13</v>
      </c>
      <c r="F1116" s="6" t="s">
        <v>234</v>
      </c>
      <c r="G1116" s="7">
        <v>45238.0</v>
      </c>
      <c r="H1116" s="8">
        <f t="shared" si="1"/>
        <v>8</v>
      </c>
      <c r="I1116" s="9">
        <f t="shared" si="2"/>
        <v>11</v>
      </c>
      <c r="J1116" s="9">
        <f t="shared" si="3"/>
        <v>2023</v>
      </c>
    </row>
    <row r="1117" ht="15.75" customHeight="1">
      <c r="A1117" s="5">
        <v>56.0</v>
      </c>
      <c r="B1117" s="10" t="s">
        <v>1100</v>
      </c>
      <c r="C1117" s="3" t="s">
        <v>1101</v>
      </c>
      <c r="D1117" s="4" t="s">
        <v>8</v>
      </c>
      <c r="E1117" s="5" t="s">
        <v>76</v>
      </c>
      <c r="F1117" s="6" t="s">
        <v>1114</v>
      </c>
      <c r="G1117" s="7">
        <v>45257.0</v>
      </c>
      <c r="H1117" s="8">
        <f t="shared" si="1"/>
        <v>27</v>
      </c>
      <c r="I1117" s="9">
        <f t="shared" si="2"/>
        <v>11</v>
      </c>
      <c r="J1117" s="9">
        <f t="shared" si="3"/>
        <v>2023</v>
      </c>
    </row>
    <row r="1118" ht="15.75" customHeight="1">
      <c r="A1118" s="5">
        <v>56.0</v>
      </c>
      <c r="B1118" s="10" t="s">
        <v>1100</v>
      </c>
      <c r="C1118" s="3" t="s">
        <v>1101</v>
      </c>
      <c r="D1118" s="4" t="s">
        <v>8</v>
      </c>
      <c r="E1118" s="5" t="s">
        <v>39</v>
      </c>
      <c r="F1118" s="6" t="s">
        <v>1036</v>
      </c>
      <c r="G1118" s="7">
        <v>45261.0</v>
      </c>
      <c r="H1118" s="8">
        <f t="shared" si="1"/>
        <v>1</v>
      </c>
      <c r="I1118" s="9">
        <f t="shared" si="2"/>
        <v>12</v>
      </c>
      <c r="J1118" s="9">
        <f t="shared" si="3"/>
        <v>2023</v>
      </c>
    </row>
    <row r="1119" ht="15.75" customHeight="1">
      <c r="A1119" s="5">
        <v>56.0</v>
      </c>
      <c r="B1119" s="10" t="s">
        <v>1100</v>
      </c>
      <c r="C1119" s="3" t="s">
        <v>1101</v>
      </c>
      <c r="D1119" s="4" t="s">
        <v>3</v>
      </c>
      <c r="E1119" s="5" t="s">
        <v>45</v>
      </c>
      <c r="F1119" s="6" t="s">
        <v>1115</v>
      </c>
      <c r="G1119" s="7">
        <v>45281.0</v>
      </c>
      <c r="H1119" s="8">
        <f t="shared" si="1"/>
        <v>21</v>
      </c>
      <c r="I1119" s="9">
        <f t="shared" si="2"/>
        <v>12</v>
      </c>
      <c r="J1119" s="9">
        <f t="shared" si="3"/>
        <v>2023</v>
      </c>
    </row>
    <row r="1120" ht="15.75" customHeight="1">
      <c r="A1120" s="5">
        <v>56.0</v>
      </c>
      <c r="B1120" s="10" t="s">
        <v>1100</v>
      </c>
      <c r="C1120" s="3" t="s">
        <v>1101</v>
      </c>
      <c r="D1120" s="4" t="s">
        <v>3</v>
      </c>
      <c r="E1120" s="5" t="s">
        <v>76</v>
      </c>
      <c r="F1120" s="6" t="s">
        <v>1116</v>
      </c>
      <c r="G1120" s="7">
        <v>45287.0</v>
      </c>
      <c r="H1120" s="8">
        <f t="shared" si="1"/>
        <v>27</v>
      </c>
      <c r="I1120" s="9">
        <f t="shared" si="2"/>
        <v>12</v>
      </c>
      <c r="J1120" s="9">
        <f t="shared" si="3"/>
        <v>2023</v>
      </c>
    </row>
    <row r="1121" ht="15.75" customHeight="1">
      <c r="A1121" s="5">
        <v>57.0</v>
      </c>
      <c r="B1121" s="10" t="s">
        <v>741</v>
      </c>
      <c r="C1121" s="3" t="s">
        <v>1117</v>
      </c>
      <c r="D1121" s="4" t="s">
        <v>3</v>
      </c>
      <c r="E1121" s="5" t="s">
        <v>39</v>
      </c>
      <c r="F1121" s="6" t="s">
        <v>1118</v>
      </c>
      <c r="G1121" s="7">
        <v>44948.0</v>
      </c>
      <c r="H1121" s="8">
        <f t="shared" si="1"/>
        <v>22</v>
      </c>
      <c r="I1121" s="9">
        <f t="shared" si="2"/>
        <v>1</v>
      </c>
      <c r="J1121" s="9">
        <f t="shared" si="3"/>
        <v>2023</v>
      </c>
    </row>
    <row r="1122" ht="15.75" customHeight="1">
      <c r="A1122" s="5">
        <v>57.0</v>
      </c>
      <c r="B1122" s="10" t="s">
        <v>741</v>
      </c>
      <c r="C1122" s="3" t="s">
        <v>1117</v>
      </c>
      <c r="D1122" s="4" t="s">
        <v>3</v>
      </c>
      <c r="E1122" s="5" t="s">
        <v>15</v>
      </c>
      <c r="F1122" s="6" t="s">
        <v>1119</v>
      </c>
      <c r="G1122" s="7">
        <v>44971.0</v>
      </c>
      <c r="H1122" s="8">
        <f t="shared" si="1"/>
        <v>14</v>
      </c>
      <c r="I1122" s="9">
        <f t="shared" si="2"/>
        <v>2</v>
      </c>
      <c r="J1122" s="9">
        <f t="shared" si="3"/>
        <v>2023</v>
      </c>
    </row>
    <row r="1123" ht="15.75" customHeight="1">
      <c r="A1123" s="5">
        <v>57.0</v>
      </c>
      <c r="B1123" s="10" t="s">
        <v>741</v>
      </c>
      <c r="C1123" s="3" t="s">
        <v>1117</v>
      </c>
      <c r="D1123" s="4" t="s">
        <v>8</v>
      </c>
      <c r="E1123" s="5" t="s">
        <v>51</v>
      </c>
      <c r="F1123" s="6" t="s">
        <v>1120</v>
      </c>
      <c r="G1123" s="7">
        <v>44971.0</v>
      </c>
      <c r="H1123" s="8">
        <f t="shared" si="1"/>
        <v>14</v>
      </c>
      <c r="I1123" s="9">
        <f t="shared" si="2"/>
        <v>2</v>
      </c>
      <c r="J1123" s="9">
        <f t="shared" si="3"/>
        <v>2023</v>
      </c>
    </row>
    <row r="1124" ht="15.75" customHeight="1">
      <c r="A1124" s="5">
        <v>57.0</v>
      </c>
      <c r="B1124" s="10" t="s">
        <v>741</v>
      </c>
      <c r="C1124" s="3" t="s">
        <v>1117</v>
      </c>
      <c r="D1124" s="4" t="s">
        <v>3</v>
      </c>
      <c r="E1124" s="5" t="s">
        <v>42</v>
      </c>
      <c r="F1124" s="6" t="s">
        <v>504</v>
      </c>
      <c r="G1124" s="7">
        <v>44992.0</v>
      </c>
      <c r="H1124" s="8">
        <f t="shared" si="1"/>
        <v>7</v>
      </c>
      <c r="I1124" s="9">
        <f t="shared" si="2"/>
        <v>3</v>
      </c>
      <c r="J1124" s="9">
        <f t="shared" si="3"/>
        <v>2023</v>
      </c>
    </row>
    <row r="1125" ht="15.75" customHeight="1">
      <c r="A1125" s="5">
        <v>57.0</v>
      </c>
      <c r="B1125" s="10" t="s">
        <v>741</v>
      </c>
      <c r="C1125" s="3" t="s">
        <v>1117</v>
      </c>
      <c r="D1125" s="4" t="s">
        <v>3</v>
      </c>
      <c r="E1125" s="5" t="s">
        <v>15</v>
      </c>
      <c r="F1125" s="6" t="s">
        <v>499</v>
      </c>
      <c r="G1125" s="7">
        <v>45009.0</v>
      </c>
      <c r="H1125" s="8">
        <f t="shared" si="1"/>
        <v>24</v>
      </c>
      <c r="I1125" s="9">
        <f t="shared" si="2"/>
        <v>3</v>
      </c>
      <c r="J1125" s="9">
        <f t="shared" si="3"/>
        <v>2023</v>
      </c>
    </row>
    <row r="1126" ht="15.75" customHeight="1">
      <c r="A1126" s="5">
        <v>57.0</v>
      </c>
      <c r="B1126" s="10" t="s">
        <v>741</v>
      </c>
      <c r="C1126" s="3" t="s">
        <v>1117</v>
      </c>
      <c r="D1126" s="4" t="s">
        <v>8</v>
      </c>
      <c r="E1126" s="5" t="s">
        <v>11</v>
      </c>
      <c r="F1126" s="6" t="s">
        <v>70</v>
      </c>
      <c r="G1126" s="7">
        <v>45032.0</v>
      </c>
      <c r="H1126" s="8">
        <f t="shared" si="1"/>
        <v>16</v>
      </c>
      <c r="I1126" s="9">
        <f t="shared" si="2"/>
        <v>4</v>
      </c>
      <c r="J1126" s="9">
        <f t="shared" si="3"/>
        <v>2023</v>
      </c>
    </row>
    <row r="1127" ht="15.75" customHeight="1">
      <c r="A1127" s="5">
        <v>57.0</v>
      </c>
      <c r="B1127" s="10" t="s">
        <v>741</v>
      </c>
      <c r="C1127" s="3" t="s">
        <v>1117</v>
      </c>
      <c r="D1127" s="4" t="s">
        <v>8</v>
      </c>
      <c r="E1127" s="5" t="s">
        <v>4</v>
      </c>
      <c r="F1127" s="6" t="s">
        <v>1121</v>
      </c>
      <c r="G1127" s="7">
        <v>45042.0</v>
      </c>
      <c r="H1127" s="8">
        <f t="shared" si="1"/>
        <v>26</v>
      </c>
      <c r="I1127" s="9">
        <f t="shared" si="2"/>
        <v>4</v>
      </c>
      <c r="J1127" s="9">
        <f t="shared" si="3"/>
        <v>2023</v>
      </c>
    </row>
    <row r="1128" ht="15.75" customHeight="1">
      <c r="A1128" s="5">
        <v>57.0</v>
      </c>
      <c r="B1128" s="10" t="s">
        <v>741</v>
      </c>
      <c r="C1128" s="3" t="s">
        <v>1117</v>
      </c>
      <c r="D1128" s="4" t="s">
        <v>3</v>
      </c>
      <c r="E1128" s="5" t="s">
        <v>45</v>
      </c>
      <c r="F1128" s="6" t="s">
        <v>1122</v>
      </c>
      <c r="G1128" s="7">
        <v>45044.0</v>
      </c>
      <c r="H1128" s="8">
        <f t="shared" si="1"/>
        <v>28</v>
      </c>
      <c r="I1128" s="9">
        <f t="shared" si="2"/>
        <v>4</v>
      </c>
      <c r="J1128" s="9">
        <f t="shared" si="3"/>
        <v>2023</v>
      </c>
    </row>
    <row r="1129" ht="15.75" customHeight="1">
      <c r="A1129" s="5">
        <v>57.0</v>
      </c>
      <c r="B1129" s="10" t="s">
        <v>741</v>
      </c>
      <c r="C1129" s="3" t="s">
        <v>1117</v>
      </c>
      <c r="D1129" s="4" t="s">
        <v>3</v>
      </c>
      <c r="E1129" s="5" t="s">
        <v>42</v>
      </c>
      <c r="F1129" s="6" t="s">
        <v>631</v>
      </c>
      <c r="G1129" s="7">
        <v>45052.0</v>
      </c>
      <c r="H1129" s="8">
        <f t="shared" si="1"/>
        <v>6</v>
      </c>
      <c r="I1129" s="9">
        <f t="shared" si="2"/>
        <v>5</v>
      </c>
      <c r="J1129" s="9">
        <f t="shared" si="3"/>
        <v>2023</v>
      </c>
    </row>
    <row r="1130" ht="15.75" customHeight="1">
      <c r="A1130" s="5">
        <v>57.0</v>
      </c>
      <c r="B1130" s="10" t="s">
        <v>741</v>
      </c>
      <c r="C1130" s="3" t="s">
        <v>1117</v>
      </c>
      <c r="D1130" s="4" t="s">
        <v>8</v>
      </c>
      <c r="E1130" s="5" t="s">
        <v>71</v>
      </c>
      <c r="F1130" s="6" t="s">
        <v>815</v>
      </c>
      <c r="G1130" s="7">
        <v>45100.0</v>
      </c>
      <c r="H1130" s="8">
        <f t="shared" si="1"/>
        <v>23</v>
      </c>
      <c r="I1130" s="9">
        <f t="shared" si="2"/>
        <v>6</v>
      </c>
      <c r="J1130" s="9">
        <f t="shared" si="3"/>
        <v>2023</v>
      </c>
    </row>
    <row r="1131" ht="15.75" customHeight="1">
      <c r="A1131" s="5">
        <v>57.0</v>
      </c>
      <c r="B1131" s="10" t="s">
        <v>741</v>
      </c>
      <c r="C1131" s="3" t="s">
        <v>1117</v>
      </c>
      <c r="D1131" s="4" t="s">
        <v>3</v>
      </c>
      <c r="E1131" s="5" t="s">
        <v>51</v>
      </c>
      <c r="F1131" s="6" t="s">
        <v>1123</v>
      </c>
      <c r="G1131" s="7">
        <v>45115.0</v>
      </c>
      <c r="H1131" s="8">
        <f t="shared" si="1"/>
        <v>8</v>
      </c>
      <c r="I1131" s="9">
        <f t="shared" si="2"/>
        <v>7</v>
      </c>
      <c r="J1131" s="9">
        <f t="shared" si="3"/>
        <v>2023</v>
      </c>
    </row>
    <row r="1132" ht="15.75" customHeight="1">
      <c r="A1132" s="5">
        <v>57.0</v>
      </c>
      <c r="B1132" s="10" t="s">
        <v>741</v>
      </c>
      <c r="C1132" s="3" t="s">
        <v>1117</v>
      </c>
      <c r="D1132" s="4" t="s">
        <v>8</v>
      </c>
      <c r="E1132" s="5" t="s">
        <v>51</v>
      </c>
      <c r="F1132" s="6" t="s">
        <v>1124</v>
      </c>
      <c r="G1132" s="7">
        <v>45144.0</v>
      </c>
      <c r="H1132" s="8">
        <f t="shared" si="1"/>
        <v>6</v>
      </c>
      <c r="I1132" s="9">
        <f t="shared" si="2"/>
        <v>8</v>
      </c>
      <c r="J1132" s="9">
        <f t="shared" si="3"/>
        <v>2023</v>
      </c>
    </row>
    <row r="1133" ht="15.75" customHeight="1">
      <c r="A1133" s="5">
        <v>57.0</v>
      </c>
      <c r="B1133" s="10" t="s">
        <v>741</v>
      </c>
      <c r="C1133" s="3" t="s">
        <v>1117</v>
      </c>
      <c r="D1133" s="4" t="s">
        <v>8</v>
      </c>
      <c r="E1133" s="5" t="s">
        <v>17</v>
      </c>
      <c r="F1133" s="6" t="s">
        <v>1125</v>
      </c>
      <c r="G1133" s="7">
        <v>45146.0</v>
      </c>
      <c r="H1133" s="8">
        <f t="shared" si="1"/>
        <v>8</v>
      </c>
      <c r="I1133" s="9">
        <f t="shared" si="2"/>
        <v>8</v>
      </c>
      <c r="J1133" s="9">
        <f t="shared" si="3"/>
        <v>2023</v>
      </c>
    </row>
    <row r="1134" ht="15.75" customHeight="1">
      <c r="A1134" s="5">
        <v>57.0</v>
      </c>
      <c r="B1134" s="10" t="s">
        <v>741</v>
      </c>
      <c r="C1134" s="3" t="s">
        <v>1117</v>
      </c>
      <c r="D1134" s="4" t="s">
        <v>8</v>
      </c>
      <c r="E1134" s="5" t="s">
        <v>11</v>
      </c>
      <c r="F1134" s="6" t="s">
        <v>1126</v>
      </c>
      <c r="G1134" s="7">
        <v>45166.0</v>
      </c>
      <c r="H1134" s="8">
        <f t="shared" si="1"/>
        <v>28</v>
      </c>
      <c r="I1134" s="9">
        <f t="shared" si="2"/>
        <v>8</v>
      </c>
      <c r="J1134" s="9">
        <f t="shared" si="3"/>
        <v>2023</v>
      </c>
    </row>
    <row r="1135" ht="15.75" customHeight="1">
      <c r="A1135" s="5">
        <v>57.0</v>
      </c>
      <c r="B1135" s="10" t="s">
        <v>741</v>
      </c>
      <c r="C1135" s="3" t="s">
        <v>1117</v>
      </c>
      <c r="D1135" s="4" t="s">
        <v>8</v>
      </c>
      <c r="E1135" s="5" t="s">
        <v>120</v>
      </c>
      <c r="F1135" s="6" t="s">
        <v>1127</v>
      </c>
      <c r="G1135" s="7">
        <v>45181.0</v>
      </c>
      <c r="H1135" s="8">
        <f t="shared" si="1"/>
        <v>12</v>
      </c>
      <c r="I1135" s="9">
        <f t="shared" si="2"/>
        <v>9</v>
      </c>
      <c r="J1135" s="9">
        <f t="shared" si="3"/>
        <v>2023</v>
      </c>
    </row>
    <row r="1136" ht="15.75" customHeight="1">
      <c r="A1136" s="5">
        <v>57.0</v>
      </c>
      <c r="B1136" s="10" t="s">
        <v>741</v>
      </c>
      <c r="C1136" s="3" t="s">
        <v>1117</v>
      </c>
      <c r="D1136" s="4" t="s">
        <v>3</v>
      </c>
      <c r="E1136" s="5" t="s">
        <v>21</v>
      </c>
      <c r="F1136" s="6" t="s">
        <v>338</v>
      </c>
      <c r="G1136" s="7">
        <v>45221.0</v>
      </c>
      <c r="H1136" s="8">
        <f t="shared" si="1"/>
        <v>22</v>
      </c>
      <c r="I1136" s="9">
        <f t="shared" si="2"/>
        <v>10</v>
      </c>
      <c r="J1136" s="9">
        <f t="shared" si="3"/>
        <v>2023</v>
      </c>
    </row>
    <row r="1137" ht="15.75" customHeight="1">
      <c r="A1137" s="5">
        <v>57.0</v>
      </c>
      <c r="B1137" s="10" t="s">
        <v>741</v>
      </c>
      <c r="C1137" s="3" t="s">
        <v>1117</v>
      </c>
      <c r="D1137" s="4" t="s">
        <v>8</v>
      </c>
      <c r="E1137" s="5" t="s">
        <v>13</v>
      </c>
      <c r="F1137" s="6" t="s">
        <v>1128</v>
      </c>
      <c r="G1137" s="7">
        <v>45222.0</v>
      </c>
      <c r="H1137" s="8">
        <f t="shared" si="1"/>
        <v>23</v>
      </c>
      <c r="I1137" s="9">
        <f t="shared" si="2"/>
        <v>10</v>
      </c>
      <c r="J1137" s="9">
        <f t="shared" si="3"/>
        <v>2023</v>
      </c>
    </row>
    <row r="1138" ht="15.75" customHeight="1">
      <c r="A1138" s="5">
        <v>57.0</v>
      </c>
      <c r="B1138" s="10" t="s">
        <v>741</v>
      </c>
      <c r="C1138" s="3" t="s">
        <v>1117</v>
      </c>
      <c r="D1138" s="4" t="s">
        <v>8</v>
      </c>
      <c r="E1138" s="5" t="s">
        <v>19</v>
      </c>
      <c r="F1138" s="6" t="s">
        <v>902</v>
      </c>
      <c r="G1138" s="7">
        <v>45268.0</v>
      </c>
      <c r="H1138" s="8">
        <f t="shared" si="1"/>
        <v>8</v>
      </c>
      <c r="I1138" s="9">
        <f t="shared" si="2"/>
        <v>12</v>
      </c>
      <c r="J1138" s="9">
        <f t="shared" si="3"/>
        <v>2023</v>
      </c>
    </row>
    <row r="1139" ht="15.75" customHeight="1">
      <c r="A1139" s="5">
        <v>57.0</v>
      </c>
      <c r="B1139" s="10" t="s">
        <v>741</v>
      </c>
      <c r="C1139" s="3" t="s">
        <v>1117</v>
      </c>
      <c r="D1139" s="4" t="s">
        <v>3</v>
      </c>
      <c r="E1139" s="5" t="s">
        <v>71</v>
      </c>
      <c r="F1139" s="6" t="s">
        <v>1129</v>
      </c>
      <c r="G1139" s="7">
        <v>45274.0</v>
      </c>
      <c r="H1139" s="8">
        <f t="shared" si="1"/>
        <v>14</v>
      </c>
      <c r="I1139" s="9">
        <f t="shared" si="2"/>
        <v>12</v>
      </c>
      <c r="J1139" s="9">
        <f t="shared" si="3"/>
        <v>2023</v>
      </c>
    </row>
    <row r="1140" ht="15.75" customHeight="1">
      <c r="A1140" s="5">
        <v>57.0</v>
      </c>
      <c r="B1140" s="10" t="s">
        <v>741</v>
      </c>
      <c r="C1140" s="3" t="s">
        <v>1117</v>
      </c>
      <c r="D1140" s="4" t="s">
        <v>8</v>
      </c>
      <c r="E1140" s="5" t="s">
        <v>6</v>
      </c>
      <c r="F1140" s="6" t="s">
        <v>1130</v>
      </c>
      <c r="G1140" s="7">
        <v>45281.0</v>
      </c>
      <c r="H1140" s="8">
        <f t="shared" si="1"/>
        <v>21</v>
      </c>
      <c r="I1140" s="9">
        <f t="shared" si="2"/>
        <v>12</v>
      </c>
      <c r="J1140" s="9">
        <f t="shared" si="3"/>
        <v>2023</v>
      </c>
    </row>
    <row r="1141" ht="15.75" customHeight="1">
      <c r="A1141" s="5">
        <v>58.0</v>
      </c>
      <c r="B1141" s="10" t="s">
        <v>1131</v>
      </c>
      <c r="C1141" s="3" t="s">
        <v>1132</v>
      </c>
      <c r="D1141" s="4" t="s">
        <v>3</v>
      </c>
      <c r="E1141" s="5" t="s">
        <v>4</v>
      </c>
      <c r="F1141" s="6" t="s">
        <v>1133</v>
      </c>
      <c r="G1141" s="7">
        <v>44942.0</v>
      </c>
      <c r="H1141" s="8">
        <f t="shared" si="1"/>
        <v>16</v>
      </c>
      <c r="I1141" s="9">
        <f t="shared" si="2"/>
        <v>1</v>
      </c>
      <c r="J1141" s="9">
        <f t="shared" si="3"/>
        <v>2023</v>
      </c>
    </row>
    <row r="1142" ht="15.75" customHeight="1">
      <c r="A1142" s="5">
        <v>58.0</v>
      </c>
      <c r="B1142" s="10" t="s">
        <v>1131</v>
      </c>
      <c r="C1142" s="3" t="s">
        <v>1132</v>
      </c>
      <c r="D1142" s="4" t="s">
        <v>8</v>
      </c>
      <c r="E1142" s="5" t="s">
        <v>9</v>
      </c>
      <c r="F1142" s="6" t="s">
        <v>647</v>
      </c>
      <c r="G1142" s="7">
        <v>44975.0</v>
      </c>
      <c r="H1142" s="8">
        <f t="shared" si="1"/>
        <v>18</v>
      </c>
      <c r="I1142" s="9">
        <f t="shared" si="2"/>
        <v>2</v>
      </c>
      <c r="J1142" s="9">
        <f t="shared" si="3"/>
        <v>2023</v>
      </c>
    </row>
    <row r="1143" ht="15.75" customHeight="1">
      <c r="A1143" s="5">
        <v>58.0</v>
      </c>
      <c r="B1143" s="10" t="s">
        <v>1131</v>
      </c>
      <c r="C1143" s="3" t="s">
        <v>1132</v>
      </c>
      <c r="D1143" s="4" t="s">
        <v>8</v>
      </c>
      <c r="E1143" s="5" t="s">
        <v>15</v>
      </c>
      <c r="F1143" s="6" t="s">
        <v>696</v>
      </c>
      <c r="G1143" s="7">
        <v>45032.0</v>
      </c>
      <c r="H1143" s="8">
        <f t="shared" si="1"/>
        <v>16</v>
      </c>
      <c r="I1143" s="9">
        <f t="shared" si="2"/>
        <v>4</v>
      </c>
      <c r="J1143" s="9">
        <f t="shared" si="3"/>
        <v>2023</v>
      </c>
    </row>
    <row r="1144" ht="15.75" customHeight="1">
      <c r="A1144" s="5">
        <v>58.0</v>
      </c>
      <c r="B1144" s="10" t="s">
        <v>1131</v>
      </c>
      <c r="C1144" s="3" t="s">
        <v>1132</v>
      </c>
      <c r="D1144" s="4" t="s">
        <v>3</v>
      </c>
      <c r="E1144" s="5" t="s">
        <v>96</v>
      </c>
      <c r="F1144" s="6" t="s">
        <v>1134</v>
      </c>
      <c r="G1144" s="7">
        <v>45072.0</v>
      </c>
      <c r="H1144" s="8">
        <f t="shared" si="1"/>
        <v>26</v>
      </c>
      <c r="I1144" s="9">
        <f t="shared" si="2"/>
        <v>5</v>
      </c>
      <c r="J1144" s="9">
        <f t="shared" si="3"/>
        <v>2023</v>
      </c>
    </row>
    <row r="1145" ht="15.75" customHeight="1">
      <c r="A1145" s="5">
        <v>58.0</v>
      </c>
      <c r="B1145" s="10" t="s">
        <v>1131</v>
      </c>
      <c r="C1145" s="3" t="s">
        <v>1132</v>
      </c>
      <c r="D1145" s="4" t="s">
        <v>8</v>
      </c>
      <c r="E1145" s="5" t="s">
        <v>9</v>
      </c>
      <c r="F1145" s="6" t="s">
        <v>1135</v>
      </c>
      <c r="G1145" s="7">
        <v>45091.0</v>
      </c>
      <c r="H1145" s="8">
        <f t="shared" si="1"/>
        <v>14</v>
      </c>
      <c r="I1145" s="9">
        <f t="shared" si="2"/>
        <v>6</v>
      </c>
      <c r="J1145" s="9">
        <f t="shared" si="3"/>
        <v>2023</v>
      </c>
    </row>
    <row r="1146" ht="15.75" customHeight="1">
      <c r="A1146" s="5">
        <v>58.0</v>
      </c>
      <c r="B1146" s="10" t="s">
        <v>1131</v>
      </c>
      <c r="C1146" s="3" t="s">
        <v>1132</v>
      </c>
      <c r="D1146" s="4" t="s">
        <v>8</v>
      </c>
      <c r="E1146" s="5" t="s">
        <v>11</v>
      </c>
      <c r="F1146" s="6" t="s">
        <v>1136</v>
      </c>
      <c r="G1146" s="7">
        <v>45112.0</v>
      </c>
      <c r="H1146" s="8">
        <f t="shared" si="1"/>
        <v>5</v>
      </c>
      <c r="I1146" s="9">
        <f t="shared" si="2"/>
        <v>7</v>
      </c>
      <c r="J1146" s="9">
        <f t="shared" si="3"/>
        <v>2023</v>
      </c>
    </row>
    <row r="1147" ht="15.75" customHeight="1">
      <c r="A1147" s="5">
        <v>58.0</v>
      </c>
      <c r="B1147" s="10" t="s">
        <v>1131</v>
      </c>
      <c r="C1147" s="3" t="s">
        <v>1132</v>
      </c>
      <c r="D1147" s="4" t="s">
        <v>3</v>
      </c>
      <c r="E1147" s="5" t="s">
        <v>45</v>
      </c>
      <c r="F1147" s="6" t="s">
        <v>1137</v>
      </c>
      <c r="G1147" s="7">
        <v>45113.0</v>
      </c>
      <c r="H1147" s="8">
        <f t="shared" si="1"/>
        <v>6</v>
      </c>
      <c r="I1147" s="9">
        <f t="shared" si="2"/>
        <v>7</v>
      </c>
      <c r="J1147" s="9">
        <f t="shared" si="3"/>
        <v>2023</v>
      </c>
    </row>
    <row r="1148" ht="15.75" customHeight="1">
      <c r="A1148" s="5">
        <v>58.0</v>
      </c>
      <c r="B1148" s="10" t="s">
        <v>1131</v>
      </c>
      <c r="C1148" s="3" t="s">
        <v>1132</v>
      </c>
      <c r="D1148" s="4" t="s">
        <v>3</v>
      </c>
      <c r="E1148" s="5" t="s">
        <v>13</v>
      </c>
      <c r="F1148" s="6" t="s">
        <v>1030</v>
      </c>
      <c r="G1148" s="7">
        <v>45121.0</v>
      </c>
      <c r="H1148" s="8">
        <f t="shared" si="1"/>
        <v>14</v>
      </c>
      <c r="I1148" s="9">
        <f t="shared" si="2"/>
        <v>7</v>
      </c>
      <c r="J1148" s="9">
        <f t="shared" si="3"/>
        <v>2023</v>
      </c>
    </row>
    <row r="1149" ht="15.75" customHeight="1">
      <c r="A1149" s="5">
        <v>58.0</v>
      </c>
      <c r="B1149" s="10" t="s">
        <v>1131</v>
      </c>
      <c r="C1149" s="3" t="s">
        <v>1132</v>
      </c>
      <c r="D1149" s="4" t="s">
        <v>3</v>
      </c>
      <c r="E1149" s="5" t="s">
        <v>39</v>
      </c>
      <c r="F1149" s="6" t="s">
        <v>1138</v>
      </c>
      <c r="G1149" s="7">
        <v>45125.0</v>
      </c>
      <c r="H1149" s="8">
        <f t="shared" si="1"/>
        <v>18</v>
      </c>
      <c r="I1149" s="9">
        <f t="shared" si="2"/>
        <v>7</v>
      </c>
      <c r="J1149" s="9">
        <f t="shared" si="3"/>
        <v>2023</v>
      </c>
    </row>
    <row r="1150" ht="15.75" customHeight="1">
      <c r="A1150" s="5">
        <v>58.0</v>
      </c>
      <c r="B1150" s="10" t="s">
        <v>1131</v>
      </c>
      <c r="C1150" s="3" t="s">
        <v>1132</v>
      </c>
      <c r="D1150" s="4" t="s">
        <v>3</v>
      </c>
      <c r="E1150" s="5" t="s">
        <v>17</v>
      </c>
      <c r="F1150" s="6" t="s">
        <v>1139</v>
      </c>
      <c r="G1150" s="7">
        <v>45128.0</v>
      </c>
      <c r="H1150" s="8">
        <f t="shared" si="1"/>
        <v>21</v>
      </c>
      <c r="I1150" s="9">
        <f t="shared" si="2"/>
        <v>7</v>
      </c>
      <c r="J1150" s="9">
        <f t="shared" si="3"/>
        <v>2023</v>
      </c>
    </row>
    <row r="1151" ht="15.75" customHeight="1">
      <c r="A1151" s="5">
        <v>58.0</v>
      </c>
      <c r="B1151" s="10" t="s">
        <v>1131</v>
      </c>
      <c r="C1151" s="3" t="s">
        <v>1132</v>
      </c>
      <c r="D1151" s="4" t="s">
        <v>3</v>
      </c>
      <c r="E1151" s="5" t="s">
        <v>51</v>
      </c>
      <c r="F1151" s="6" t="s">
        <v>1140</v>
      </c>
      <c r="G1151" s="7">
        <v>45143.0</v>
      </c>
      <c r="H1151" s="8">
        <f t="shared" si="1"/>
        <v>5</v>
      </c>
      <c r="I1151" s="9">
        <f t="shared" si="2"/>
        <v>8</v>
      </c>
      <c r="J1151" s="9">
        <f t="shared" si="3"/>
        <v>2023</v>
      </c>
    </row>
    <row r="1152" ht="15.75" customHeight="1">
      <c r="A1152" s="5">
        <v>58.0</v>
      </c>
      <c r="B1152" s="10" t="s">
        <v>1131</v>
      </c>
      <c r="C1152" s="3" t="s">
        <v>1132</v>
      </c>
      <c r="D1152" s="4" t="s">
        <v>3</v>
      </c>
      <c r="E1152" s="5" t="s">
        <v>76</v>
      </c>
      <c r="F1152" s="6" t="s">
        <v>1141</v>
      </c>
      <c r="G1152" s="7">
        <v>45153.0</v>
      </c>
      <c r="H1152" s="8">
        <f t="shared" si="1"/>
        <v>15</v>
      </c>
      <c r="I1152" s="9">
        <f t="shared" si="2"/>
        <v>8</v>
      </c>
      <c r="J1152" s="9">
        <f t="shared" si="3"/>
        <v>2023</v>
      </c>
    </row>
    <row r="1153" ht="15.75" customHeight="1">
      <c r="A1153" s="5">
        <v>58.0</v>
      </c>
      <c r="B1153" s="10" t="s">
        <v>1131</v>
      </c>
      <c r="C1153" s="3" t="s">
        <v>1132</v>
      </c>
      <c r="D1153" s="4" t="s">
        <v>3</v>
      </c>
      <c r="E1153" s="5" t="s">
        <v>39</v>
      </c>
      <c r="F1153" s="6" t="s">
        <v>1142</v>
      </c>
      <c r="G1153" s="7">
        <v>45155.0</v>
      </c>
      <c r="H1153" s="8">
        <f t="shared" si="1"/>
        <v>17</v>
      </c>
      <c r="I1153" s="9">
        <f t="shared" si="2"/>
        <v>8</v>
      </c>
      <c r="J1153" s="9">
        <f t="shared" si="3"/>
        <v>2023</v>
      </c>
    </row>
    <row r="1154" ht="15.75" customHeight="1">
      <c r="A1154" s="5">
        <v>58.0</v>
      </c>
      <c r="B1154" s="10" t="s">
        <v>1131</v>
      </c>
      <c r="C1154" s="3" t="s">
        <v>1132</v>
      </c>
      <c r="D1154" s="4" t="s">
        <v>3</v>
      </c>
      <c r="E1154" s="5" t="s">
        <v>45</v>
      </c>
      <c r="F1154" s="6" t="s">
        <v>1143</v>
      </c>
      <c r="G1154" s="7">
        <v>45160.0</v>
      </c>
      <c r="H1154" s="8">
        <f t="shared" si="1"/>
        <v>22</v>
      </c>
      <c r="I1154" s="9">
        <f t="shared" si="2"/>
        <v>8</v>
      </c>
      <c r="J1154" s="9">
        <f t="shared" si="3"/>
        <v>2023</v>
      </c>
    </row>
    <row r="1155" ht="15.75" customHeight="1">
      <c r="A1155" s="5">
        <v>58.0</v>
      </c>
      <c r="B1155" s="10" t="s">
        <v>1131</v>
      </c>
      <c r="C1155" s="3" t="s">
        <v>1132</v>
      </c>
      <c r="D1155" s="4" t="s">
        <v>8</v>
      </c>
      <c r="E1155" s="5" t="s">
        <v>17</v>
      </c>
      <c r="F1155" s="6" t="s">
        <v>1144</v>
      </c>
      <c r="G1155" s="7">
        <v>45184.0</v>
      </c>
      <c r="H1155" s="8">
        <f t="shared" si="1"/>
        <v>15</v>
      </c>
      <c r="I1155" s="9">
        <f t="shared" si="2"/>
        <v>9</v>
      </c>
      <c r="J1155" s="9">
        <f t="shared" si="3"/>
        <v>2023</v>
      </c>
    </row>
    <row r="1156" ht="15.75" customHeight="1">
      <c r="A1156" s="5">
        <v>58.0</v>
      </c>
      <c r="B1156" s="10" t="s">
        <v>1131</v>
      </c>
      <c r="C1156" s="3" t="s">
        <v>1132</v>
      </c>
      <c r="D1156" s="4" t="s">
        <v>3</v>
      </c>
      <c r="E1156" s="5" t="s">
        <v>23</v>
      </c>
      <c r="F1156" s="6" t="s">
        <v>1145</v>
      </c>
      <c r="G1156" s="7">
        <v>45236.0</v>
      </c>
      <c r="H1156" s="8">
        <f t="shared" si="1"/>
        <v>6</v>
      </c>
      <c r="I1156" s="9">
        <f t="shared" si="2"/>
        <v>11</v>
      </c>
      <c r="J1156" s="9">
        <f t="shared" si="3"/>
        <v>2023</v>
      </c>
    </row>
    <row r="1157" ht="15.75" customHeight="1">
      <c r="A1157" s="5">
        <v>58.0</v>
      </c>
      <c r="B1157" s="10" t="s">
        <v>1131</v>
      </c>
      <c r="C1157" s="3" t="s">
        <v>1132</v>
      </c>
      <c r="D1157" s="4" t="s">
        <v>3</v>
      </c>
      <c r="E1157" s="5" t="s">
        <v>17</v>
      </c>
      <c r="F1157" s="6" t="s">
        <v>1146</v>
      </c>
      <c r="G1157" s="7">
        <v>45246.0</v>
      </c>
      <c r="H1157" s="8">
        <f t="shared" si="1"/>
        <v>16</v>
      </c>
      <c r="I1157" s="9">
        <f t="shared" si="2"/>
        <v>11</v>
      </c>
      <c r="J1157" s="9">
        <f t="shared" si="3"/>
        <v>2023</v>
      </c>
    </row>
    <row r="1158" ht="15.75" customHeight="1">
      <c r="A1158" s="5">
        <v>58.0</v>
      </c>
      <c r="B1158" s="10" t="s">
        <v>1131</v>
      </c>
      <c r="C1158" s="3" t="s">
        <v>1132</v>
      </c>
      <c r="D1158" s="4" t="s">
        <v>8</v>
      </c>
      <c r="E1158" s="5" t="s">
        <v>71</v>
      </c>
      <c r="F1158" s="6" t="s">
        <v>1147</v>
      </c>
      <c r="G1158" s="7">
        <v>45265.0</v>
      </c>
      <c r="H1158" s="8">
        <f t="shared" si="1"/>
        <v>5</v>
      </c>
      <c r="I1158" s="9">
        <f t="shared" si="2"/>
        <v>12</v>
      </c>
      <c r="J1158" s="9">
        <f t="shared" si="3"/>
        <v>2023</v>
      </c>
    </row>
    <row r="1159" ht="15.75" customHeight="1">
      <c r="A1159" s="5">
        <v>58.0</v>
      </c>
      <c r="B1159" s="10" t="s">
        <v>1131</v>
      </c>
      <c r="C1159" s="3" t="s">
        <v>1132</v>
      </c>
      <c r="D1159" s="4" t="s">
        <v>8</v>
      </c>
      <c r="E1159" s="5" t="s">
        <v>42</v>
      </c>
      <c r="F1159" s="6" t="s">
        <v>1148</v>
      </c>
      <c r="G1159" s="7">
        <v>45270.0</v>
      </c>
      <c r="H1159" s="8">
        <f t="shared" si="1"/>
        <v>10</v>
      </c>
      <c r="I1159" s="9">
        <f t="shared" si="2"/>
        <v>12</v>
      </c>
      <c r="J1159" s="9">
        <f t="shared" si="3"/>
        <v>2023</v>
      </c>
    </row>
    <row r="1160" ht="15.75" customHeight="1">
      <c r="A1160" s="5">
        <v>58.0</v>
      </c>
      <c r="B1160" s="10" t="s">
        <v>1131</v>
      </c>
      <c r="C1160" s="3" t="s">
        <v>1132</v>
      </c>
      <c r="D1160" s="4" t="s">
        <v>8</v>
      </c>
      <c r="E1160" s="5" t="s">
        <v>45</v>
      </c>
      <c r="F1160" s="6" t="s">
        <v>1137</v>
      </c>
      <c r="G1160" s="7">
        <v>45284.0</v>
      </c>
      <c r="H1160" s="8">
        <f t="shared" si="1"/>
        <v>24</v>
      </c>
      <c r="I1160" s="9">
        <f t="shared" si="2"/>
        <v>12</v>
      </c>
      <c r="J1160" s="9">
        <f t="shared" si="3"/>
        <v>2023</v>
      </c>
    </row>
    <row r="1161" ht="15.75" customHeight="1">
      <c r="A1161" s="5">
        <v>59.0</v>
      </c>
      <c r="B1161" s="10" t="s">
        <v>1149</v>
      </c>
      <c r="C1161" s="3" t="s">
        <v>1150</v>
      </c>
      <c r="D1161" s="4" t="s">
        <v>3</v>
      </c>
      <c r="E1161" s="5" t="s">
        <v>39</v>
      </c>
      <c r="F1161" s="6" t="s">
        <v>1151</v>
      </c>
      <c r="G1161" s="7">
        <v>44932.0</v>
      </c>
      <c r="H1161" s="8">
        <f t="shared" si="1"/>
        <v>6</v>
      </c>
      <c r="I1161" s="9">
        <f t="shared" si="2"/>
        <v>1</v>
      </c>
      <c r="J1161" s="9">
        <f t="shared" si="3"/>
        <v>2023</v>
      </c>
    </row>
    <row r="1162" ht="15.75" customHeight="1">
      <c r="A1162" s="5">
        <v>59.0</v>
      </c>
      <c r="B1162" s="10" t="s">
        <v>1149</v>
      </c>
      <c r="C1162" s="3" t="s">
        <v>1150</v>
      </c>
      <c r="D1162" s="4" t="s">
        <v>8</v>
      </c>
      <c r="E1162" s="5" t="s">
        <v>4</v>
      </c>
      <c r="F1162" s="6" t="s">
        <v>1152</v>
      </c>
      <c r="G1162" s="7">
        <v>44936.0</v>
      </c>
      <c r="H1162" s="8">
        <f t="shared" si="1"/>
        <v>10</v>
      </c>
      <c r="I1162" s="9">
        <f t="shared" si="2"/>
        <v>1</v>
      </c>
      <c r="J1162" s="9">
        <f t="shared" si="3"/>
        <v>2023</v>
      </c>
    </row>
    <row r="1163" ht="15.75" customHeight="1">
      <c r="A1163" s="5">
        <v>59.0</v>
      </c>
      <c r="B1163" s="10" t="s">
        <v>1149</v>
      </c>
      <c r="C1163" s="3" t="s">
        <v>1150</v>
      </c>
      <c r="D1163" s="4" t="s">
        <v>8</v>
      </c>
      <c r="E1163" s="5" t="s">
        <v>23</v>
      </c>
      <c r="F1163" s="6" t="s">
        <v>1153</v>
      </c>
      <c r="G1163" s="7">
        <v>44937.0</v>
      </c>
      <c r="H1163" s="8">
        <f t="shared" si="1"/>
        <v>11</v>
      </c>
      <c r="I1163" s="9">
        <f t="shared" si="2"/>
        <v>1</v>
      </c>
      <c r="J1163" s="9">
        <f t="shared" si="3"/>
        <v>2023</v>
      </c>
    </row>
    <row r="1164" ht="15.75" customHeight="1">
      <c r="A1164" s="5">
        <v>59.0</v>
      </c>
      <c r="B1164" s="10" t="s">
        <v>1149</v>
      </c>
      <c r="C1164" s="3" t="s">
        <v>1150</v>
      </c>
      <c r="D1164" s="4" t="s">
        <v>3</v>
      </c>
      <c r="E1164" s="5" t="s">
        <v>45</v>
      </c>
      <c r="F1164" s="6" t="s">
        <v>1127</v>
      </c>
      <c r="G1164" s="7">
        <v>44954.0</v>
      </c>
      <c r="H1164" s="8">
        <f t="shared" si="1"/>
        <v>28</v>
      </c>
      <c r="I1164" s="9">
        <f t="shared" si="2"/>
        <v>1</v>
      </c>
      <c r="J1164" s="9">
        <f t="shared" si="3"/>
        <v>2023</v>
      </c>
    </row>
    <row r="1165" ht="15.75" customHeight="1">
      <c r="A1165" s="5">
        <v>59.0</v>
      </c>
      <c r="B1165" s="10" t="s">
        <v>1149</v>
      </c>
      <c r="C1165" s="3" t="s">
        <v>1150</v>
      </c>
      <c r="D1165" s="4" t="s">
        <v>8</v>
      </c>
      <c r="E1165" s="5" t="s">
        <v>13</v>
      </c>
      <c r="F1165" s="6" t="s">
        <v>1154</v>
      </c>
      <c r="G1165" s="7">
        <v>44968.0</v>
      </c>
      <c r="H1165" s="8">
        <f t="shared" si="1"/>
        <v>11</v>
      </c>
      <c r="I1165" s="9">
        <f t="shared" si="2"/>
        <v>2</v>
      </c>
      <c r="J1165" s="9">
        <f t="shared" si="3"/>
        <v>2023</v>
      </c>
    </row>
    <row r="1166" ht="15.75" customHeight="1">
      <c r="A1166" s="5">
        <v>59.0</v>
      </c>
      <c r="B1166" s="10" t="s">
        <v>1149</v>
      </c>
      <c r="C1166" s="3" t="s">
        <v>1150</v>
      </c>
      <c r="D1166" s="4" t="s">
        <v>3</v>
      </c>
      <c r="E1166" s="5" t="s">
        <v>51</v>
      </c>
      <c r="F1166" s="6" t="s">
        <v>1155</v>
      </c>
      <c r="G1166" s="7">
        <v>44979.0</v>
      </c>
      <c r="H1166" s="8">
        <f t="shared" si="1"/>
        <v>22</v>
      </c>
      <c r="I1166" s="9">
        <f t="shared" si="2"/>
        <v>2</v>
      </c>
      <c r="J1166" s="9">
        <f t="shared" si="3"/>
        <v>2023</v>
      </c>
    </row>
    <row r="1167" ht="15.75" customHeight="1">
      <c r="A1167" s="5">
        <v>59.0</v>
      </c>
      <c r="B1167" s="10" t="s">
        <v>1149</v>
      </c>
      <c r="C1167" s="3" t="s">
        <v>1150</v>
      </c>
      <c r="D1167" s="4" t="s">
        <v>8</v>
      </c>
      <c r="E1167" s="5" t="s">
        <v>6</v>
      </c>
      <c r="F1167" s="6" t="s">
        <v>1156</v>
      </c>
      <c r="G1167" s="7">
        <v>44983.0</v>
      </c>
      <c r="H1167" s="8">
        <f t="shared" si="1"/>
        <v>26</v>
      </c>
      <c r="I1167" s="9">
        <f t="shared" si="2"/>
        <v>2</v>
      </c>
      <c r="J1167" s="9">
        <f t="shared" si="3"/>
        <v>2023</v>
      </c>
    </row>
    <row r="1168" ht="15.75" customHeight="1">
      <c r="A1168" s="5">
        <v>59.0</v>
      </c>
      <c r="B1168" s="10" t="s">
        <v>1149</v>
      </c>
      <c r="C1168" s="3" t="s">
        <v>1150</v>
      </c>
      <c r="D1168" s="4" t="s">
        <v>8</v>
      </c>
      <c r="E1168" s="5" t="s">
        <v>23</v>
      </c>
      <c r="F1168" s="6" t="s">
        <v>1157</v>
      </c>
      <c r="G1168" s="7">
        <v>45013.0</v>
      </c>
      <c r="H1168" s="8">
        <f t="shared" si="1"/>
        <v>28</v>
      </c>
      <c r="I1168" s="9">
        <f t="shared" si="2"/>
        <v>3</v>
      </c>
      <c r="J1168" s="9">
        <f t="shared" si="3"/>
        <v>2023</v>
      </c>
    </row>
    <row r="1169" ht="15.75" customHeight="1">
      <c r="A1169" s="5">
        <v>59.0</v>
      </c>
      <c r="B1169" s="10" t="s">
        <v>1149</v>
      </c>
      <c r="C1169" s="3" t="s">
        <v>1150</v>
      </c>
      <c r="D1169" s="4" t="s">
        <v>8</v>
      </c>
      <c r="E1169" s="5" t="s">
        <v>19</v>
      </c>
      <c r="F1169" s="6" t="s">
        <v>1158</v>
      </c>
      <c r="G1169" s="7">
        <v>45031.0</v>
      </c>
      <c r="H1169" s="8">
        <f t="shared" si="1"/>
        <v>15</v>
      </c>
      <c r="I1169" s="9">
        <f t="shared" si="2"/>
        <v>4</v>
      </c>
      <c r="J1169" s="9">
        <f t="shared" si="3"/>
        <v>2023</v>
      </c>
    </row>
    <row r="1170" ht="15.75" customHeight="1">
      <c r="A1170" s="5">
        <v>59.0</v>
      </c>
      <c r="B1170" s="10" t="s">
        <v>1149</v>
      </c>
      <c r="C1170" s="3" t="s">
        <v>1150</v>
      </c>
      <c r="D1170" s="4" t="s">
        <v>8</v>
      </c>
      <c r="E1170" s="5" t="s">
        <v>51</v>
      </c>
      <c r="F1170" s="6" t="s">
        <v>1159</v>
      </c>
      <c r="G1170" s="7">
        <v>45058.0</v>
      </c>
      <c r="H1170" s="8">
        <f t="shared" si="1"/>
        <v>12</v>
      </c>
      <c r="I1170" s="9">
        <f t="shared" si="2"/>
        <v>5</v>
      </c>
      <c r="J1170" s="9">
        <f t="shared" si="3"/>
        <v>2023</v>
      </c>
    </row>
    <row r="1171" ht="15.75" customHeight="1">
      <c r="A1171" s="5">
        <v>59.0</v>
      </c>
      <c r="B1171" s="10" t="s">
        <v>1149</v>
      </c>
      <c r="C1171" s="3" t="s">
        <v>1150</v>
      </c>
      <c r="D1171" s="4" t="s">
        <v>8</v>
      </c>
      <c r="E1171" s="5" t="s">
        <v>19</v>
      </c>
      <c r="F1171" s="6" t="s">
        <v>202</v>
      </c>
      <c r="G1171" s="7">
        <v>45069.0</v>
      </c>
      <c r="H1171" s="8">
        <f t="shared" si="1"/>
        <v>23</v>
      </c>
      <c r="I1171" s="9">
        <f t="shared" si="2"/>
        <v>5</v>
      </c>
      <c r="J1171" s="9">
        <f t="shared" si="3"/>
        <v>2023</v>
      </c>
    </row>
    <row r="1172" ht="15.75" customHeight="1">
      <c r="A1172" s="5">
        <v>59.0</v>
      </c>
      <c r="B1172" s="10" t="s">
        <v>1149</v>
      </c>
      <c r="C1172" s="3" t="s">
        <v>1150</v>
      </c>
      <c r="D1172" s="4" t="s">
        <v>3</v>
      </c>
      <c r="E1172" s="5" t="s">
        <v>21</v>
      </c>
      <c r="F1172" s="6" t="s">
        <v>1160</v>
      </c>
      <c r="G1172" s="7">
        <v>45081.0</v>
      </c>
      <c r="H1172" s="8">
        <f t="shared" si="1"/>
        <v>4</v>
      </c>
      <c r="I1172" s="9">
        <f t="shared" si="2"/>
        <v>6</v>
      </c>
      <c r="J1172" s="9">
        <f t="shared" si="3"/>
        <v>2023</v>
      </c>
    </row>
    <row r="1173" ht="15.75" customHeight="1">
      <c r="A1173" s="5">
        <v>59.0</v>
      </c>
      <c r="B1173" s="10" t="s">
        <v>1149</v>
      </c>
      <c r="C1173" s="3" t="s">
        <v>1150</v>
      </c>
      <c r="D1173" s="4" t="s">
        <v>8</v>
      </c>
      <c r="E1173" s="5" t="s">
        <v>6</v>
      </c>
      <c r="F1173" s="6" t="s">
        <v>1161</v>
      </c>
      <c r="G1173" s="7">
        <v>45105.0</v>
      </c>
      <c r="H1173" s="8">
        <f t="shared" si="1"/>
        <v>28</v>
      </c>
      <c r="I1173" s="9">
        <f t="shared" si="2"/>
        <v>6</v>
      </c>
      <c r="J1173" s="9">
        <f t="shared" si="3"/>
        <v>2023</v>
      </c>
    </row>
    <row r="1174" ht="15.75" customHeight="1">
      <c r="A1174" s="5">
        <v>59.0</v>
      </c>
      <c r="B1174" s="10" t="s">
        <v>1149</v>
      </c>
      <c r="C1174" s="3" t="s">
        <v>1150</v>
      </c>
      <c r="D1174" s="4" t="s">
        <v>3</v>
      </c>
      <c r="E1174" s="5" t="s">
        <v>51</v>
      </c>
      <c r="F1174" s="6" t="s">
        <v>1162</v>
      </c>
      <c r="G1174" s="7">
        <v>45123.0</v>
      </c>
      <c r="H1174" s="8">
        <f t="shared" si="1"/>
        <v>16</v>
      </c>
      <c r="I1174" s="9">
        <f t="shared" si="2"/>
        <v>7</v>
      </c>
      <c r="J1174" s="9">
        <f t="shared" si="3"/>
        <v>2023</v>
      </c>
    </row>
    <row r="1175" ht="15.75" customHeight="1">
      <c r="A1175" s="5">
        <v>59.0</v>
      </c>
      <c r="B1175" s="10" t="s">
        <v>1149</v>
      </c>
      <c r="C1175" s="3" t="s">
        <v>1150</v>
      </c>
      <c r="D1175" s="4" t="s">
        <v>3</v>
      </c>
      <c r="E1175" s="5" t="s">
        <v>11</v>
      </c>
      <c r="F1175" s="6" t="s">
        <v>108</v>
      </c>
      <c r="G1175" s="7">
        <v>45147.0</v>
      </c>
      <c r="H1175" s="8">
        <f t="shared" si="1"/>
        <v>9</v>
      </c>
      <c r="I1175" s="9">
        <f t="shared" si="2"/>
        <v>8</v>
      </c>
      <c r="J1175" s="9">
        <f t="shared" si="3"/>
        <v>2023</v>
      </c>
    </row>
    <row r="1176" ht="15.75" customHeight="1">
      <c r="A1176" s="5">
        <v>59.0</v>
      </c>
      <c r="B1176" s="10" t="s">
        <v>1149</v>
      </c>
      <c r="C1176" s="3" t="s">
        <v>1150</v>
      </c>
      <c r="D1176" s="4" t="s">
        <v>3</v>
      </c>
      <c r="E1176" s="5" t="s">
        <v>35</v>
      </c>
      <c r="F1176" s="6" t="s">
        <v>665</v>
      </c>
      <c r="G1176" s="7">
        <v>45160.0</v>
      </c>
      <c r="H1176" s="8">
        <f t="shared" si="1"/>
        <v>22</v>
      </c>
      <c r="I1176" s="9">
        <f t="shared" si="2"/>
        <v>8</v>
      </c>
      <c r="J1176" s="9">
        <f t="shared" si="3"/>
        <v>2023</v>
      </c>
    </row>
    <row r="1177" ht="15.75" customHeight="1">
      <c r="A1177" s="5">
        <v>59.0</v>
      </c>
      <c r="B1177" s="10" t="s">
        <v>1149</v>
      </c>
      <c r="C1177" s="3" t="s">
        <v>1150</v>
      </c>
      <c r="D1177" s="4" t="s">
        <v>8</v>
      </c>
      <c r="E1177" s="5" t="s">
        <v>13</v>
      </c>
      <c r="F1177" s="6" t="s">
        <v>1163</v>
      </c>
      <c r="G1177" s="7">
        <v>45165.0</v>
      </c>
      <c r="H1177" s="8">
        <f t="shared" si="1"/>
        <v>27</v>
      </c>
      <c r="I1177" s="9">
        <f t="shared" si="2"/>
        <v>8</v>
      </c>
      <c r="J1177" s="9">
        <f t="shared" si="3"/>
        <v>2023</v>
      </c>
    </row>
    <row r="1178" ht="15.75" customHeight="1">
      <c r="A1178" s="5">
        <v>59.0</v>
      </c>
      <c r="B1178" s="10" t="s">
        <v>1149</v>
      </c>
      <c r="C1178" s="3" t="s">
        <v>1150</v>
      </c>
      <c r="D1178" s="4" t="s">
        <v>3</v>
      </c>
      <c r="E1178" s="5" t="s">
        <v>96</v>
      </c>
      <c r="F1178" s="6" t="s">
        <v>1164</v>
      </c>
      <c r="G1178" s="7">
        <v>45190.0</v>
      </c>
      <c r="H1178" s="8">
        <f t="shared" si="1"/>
        <v>21</v>
      </c>
      <c r="I1178" s="9">
        <f t="shared" si="2"/>
        <v>9</v>
      </c>
      <c r="J1178" s="9">
        <f t="shared" si="3"/>
        <v>2023</v>
      </c>
    </row>
    <row r="1179" ht="15.75" customHeight="1">
      <c r="A1179" s="5">
        <v>59.0</v>
      </c>
      <c r="B1179" s="10" t="s">
        <v>1149</v>
      </c>
      <c r="C1179" s="3" t="s">
        <v>1150</v>
      </c>
      <c r="D1179" s="4" t="s">
        <v>3</v>
      </c>
      <c r="E1179" s="5" t="s">
        <v>35</v>
      </c>
      <c r="F1179" s="6" t="s">
        <v>1165</v>
      </c>
      <c r="G1179" s="7">
        <v>45201.0</v>
      </c>
      <c r="H1179" s="8">
        <f t="shared" si="1"/>
        <v>2</v>
      </c>
      <c r="I1179" s="9">
        <f t="shared" si="2"/>
        <v>10</v>
      </c>
      <c r="J1179" s="9">
        <f t="shared" si="3"/>
        <v>2023</v>
      </c>
    </row>
    <row r="1180" ht="15.75" customHeight="1">
      <c r="A1180" s="5">
        <v>59.0</v>
      </c>
      <c r="B1180" s="10" t="s">
        <v>1149</v>
      </c>
      <c r="C1180" s="3" t="s">
        <v>1150</v>
      </c>
      <c r="D1180" s="4" t="s">
        <v>8</v>
      </c>
      <c r="E1180" s="5" t="s">
        <v>51</v>
      </c>
      <c r="F1180" s="6" t="s">
        <v>1166</v>
      </c>
      <c r="G1180" s="7">
        <v>45232.0</v>
      </c>
      <c r="H1180" s="8">
        <f t="shared" si="1"/>
        <v>2</v>
      </c>
      <c r="I1180" s="9">
        <f t="shared" si="2"/>
        <v>11</v>
      </c>
      <c r="J1180" s="9">
        <f t="shared" si="3"/>
        <v>2023</v>
      </c>
    </row>
    <row r="1181" ht="15.75" customHeight="1">
      <c r="A1181" s="5">
        <v>60.0</v>
      </c>
      <c r="B1181" s="10" t="s">
        <v>1167</v>
      </c>
      <c r="C1181" s="3" t="s">
        <v>1168</v>
      </c>
      <c r="D1181" s="4" t="s">
        <v>3</v>
      </c>
      <c r="E1181" s="5" t="s">
        <v>39</v>
      </c>
      <c r="F1181" s="6" t="s">
        <v>1169</v>
      </c>
      <c r="G1181" s="7">
        <v>44929.0</v>
      </c>
      <c r="H1181" s="8">
        <f t="shared" si="1"/>
        <v>3</v>
      </c>
      <c r="I1181" s="9">
        <f t="shared" si="2"/>
        <v>1</v>
      </c>
      <c r="J1181" s="9">
        <f t="shared" si="3"/>
        <v>2023</v>
      </c>
    </row>
    <row r="1182" ht="15.75" customHeight="1">
      <c r="A1182" s="5">
        <v>60.0</v>
      </c>
      <c r="B1182" s="10" t="s">
        <v>1167</v>
      </c>
      <c r="C1182" s="3" t="s">
        <v>1168</v>
      </c>
      <c r="D1182" s="4" t="s">
        <v>3</v>
      </c>
      <c r="E1182" s="5" t="s">
        <v>19</v>
      </c>
      <c r="F1182" s="6" t="s">
        <v>161</v>
      </c>
      <c r="G1182" s="7">
        <v>44936.0</v>
      </c>
      <c r="H1182" s="8">
        <f t="shared" si="1"/>
        <v>10</v>
      </c>
      <c r="I1182" s="9">
        <f t="shared" si="2"/>
        <v>1</v>
      </c>
      <c r="J1182" s="9">
        <f t="shared" si="3"/>
        <v>2023</v>
      </c>
    </row>
    <row r="1183" ht="15.75" customHeight="1">
      <c r="A1183" s="5">
        <v>60.0</v>
      </c>
      <c r="B1183" s="10" t="s">
        <v>1167</v>
      </c>
      <c r="C1183" s="3" t="s">
        <v>1168</v>
      </c>
      <c r="D1183" s="4" t="s">
        <v>3</v>
      </c>
      <c r="E1183" s="5" t="s">
        <v>96</v>
      </c>
      <c r="F1183" s="6" t="s">
        <v>1170</v>
      </c>
      <c r="G1183" s="7">
        <v>44939.0</v>
      </c>
      <c r="H1183" s="8">
        <f t="shared" si="1"/>
        <v>13</v>
      </c>
      <c r="I1183" s="9">
        <f t="shared" si="2"/>
        <v>1</v>
      </c>
      <c r="J1183" s="9">
        <f t="shared" si="3"/>
        <v>2023</v>
      </c>
    </row>
    <row r="1184" ht="15.75" customHeight="1">
      <c r="A1184" s="5">
        <v>60.0</v>
      </c>
      <c r="B1184" s="10" t="s">
        <v>1167</v>
      </c>
      <c r="C1184" s="3" t="s">
        <v>1168</v>
      </c>
      <c r="D1184" s="4" t="s">
        <v>8</v>
      </c>
      <c r="E1184" s="5" t="s">
        <v>35</v>
      </c>
      <c r="F1184" s="6" t="s">
        <v>1171</v>
      </c>
      <c r="G1184" s="7">
        <v>44960.0</v>
      </c>
      <c r="H1184" s="8">
        <f t="shared" si="1"/>
        <v>3</v>
      </c>
      <c r="I1184" s="9">
        <f t="shared" si="2"/>
        <v>2</v>
      </c>
      <c r="J1184" s="9">
        <f t="shared" si="3"/>
        <v>2023</v>
      </c>
    </row>
    <row r="1185" ht="15.75" customHeight="1">
      <c r="A1185" s="5">
        <v>60.0</v>
      </c>
      <c r="B1185" s="10" t="s">
        <v>1167</v>
      </c>
      <c r="C1185" s="3" t="s">
        <v>1168</v>
      </c>
      <c r="D1185" s="4" t="s">
        <v>3</v>
      </c>
      <c r="E1185" s="5" t="s">
        <v>13</v>
      </c>
      <c r="F1185" s="6" t="s">
        <v>1089</v>
      </c>
      <c r="G1185" s="7">
        <v>45019.0</v>
      </c>
      <c r="H1185" s="8">
        <f t="shared" si="1"/>
        <v>3</v>
      </c>
      <c r="I1185" s="9">
        <f t="shared" si="2"/>
        <v>4</v>
      </c>
      <c r="J1185" s="9">
        <f t="shared" si="3"/>
        <v>2023</v>
      </c>
    </row>
    <row r="1186" ht="15.75" customHeight="1">
      <c r="A1186" s="5">
        <v>60.0</v>
      </c>
      <c r="B1186" s="10" t="s">
        <v>1167</v>
      </c>
      <c r="C1186" s="3" t="s">
        <v>1168</v>
      </c>
      <c r="D1186" s="4" t="s">
        <v>3</v>
      </c>
      <c r="E1186" s="5" t="s">
        <v>13</v>
      </c>
      <c r="F1186" s="6" t="s">
        <v>1172</v>
      </c>
      <c r="G1186" s="7">
        <v>45037.0</v>
      </c>
      <c r="H1186" s="8">
        <f t="shared" si="1"/>
        <v>21</v>
      </c>
      <c r="I1186" s="9">
        <f t="shared" si="2"/>
        <v>4</v>
      </c>
      <c r="J1186" s="9">
        <f t="shared" si="3"/>
        <v>2023</v>
      </c>
    </row>
    <row r="1187" ht="15.75" customHeight="1">
      <c r="A1187" s="5">
        <v>60.0</v>
      </c>
      <c r="B1187" s="10" t="s">
        <v>1167</v>
      </c>
      <c r="C1187" s="3" t="s">
        <v>1168</v>
      </c>
      <c r="D1187" s="4" t="s">
        <v>3</v>
      </c>
      <c r="E1187" s="5" t="s">
        <v>23</v>
      </c>
      <c r="F1187" s="6" t="s">
        <v>1173</v>
      </c>
      <c r="G1187" s="7">
        <v>45042.0</v>
      </c>
      <c r="H1187" s="8">
        <f t="shared" si="1"/>
        <v>26</v>
      </c>
      <c r="I1187" s="9">
        <f t="shared" si="2"/>
        <v>4</v>
      </c>
      <c r="J1187" s="9">
        <f t="shared" si="3"/>
        <v>2023</v>
      </c>
    </row>
    <row r="1188" ht="15.75" customHeight="1">
      <c r="A1188" s="5">
        <v>60.0</v>
      </c>
      <c r="B1188" s="10" t="s">
        <v>1167</v>
      </c>
      <c r="C1188" s="3" t="s">
        <v>1168</v>
      </c>
      <c r="D1188" s="4" t="s">
        <v>8</v>
      </c>
      <c r="E1188" s="5" t="s">
        <v>42</v>
      </c>
      <c r="F1188" s="6" t="s">
        <v>606</v>
      </c>
      <c r="G1188" s="7">
        <v>45056.0</v>
      </c>
      <c r="H1188" s="8">
        <f t="shared" si="1"/>
        <v>10</v>
      </c>
      <c r="I1188" s="9">
        <f t="shared" si="2"/>
        <v>5</v>
      </c>
      <c r="J1188" s="9">
        <f t="shared" si="3"/>
        <v>2023</v>
      </c>
    </row>
    <row r="1189" ht="15.75" customHeight="1">
      <c r="A1189" s="5">
        <v>60.0</v>
      </c>
      <c r="B1189" s="10" t="s">
        <v>1167</v>
      </c>
      <c r="C1189" s="3" t="s">
        <v>1168</v>
      </c>
      <c r="D1189" s="4" t="s">
        <v>3</v>
      </c>
      <c r="E1189" s="5" t="s">
        <v>28</v>
      </c>
      <c r="F1189" s="6" t="s">
        <v>1174</v>
      </c>
      <c r="G1189" s="7">
        <v>45096.0</v>
      </c>
      <c r="H1189" s="8">
        <f t="shared" si="1"/>
        <v>19</v>
      </c>
      <c r="I1189" s="9">
        <f t="shared" si="2"/>
        <v>6</v>
      </c>
      <c r="J1189" s="9">
        <f t="shared" si="3"/>
        <v>2023</v>
      </c>
    </row>
    <row r="1190" ht="15.75" customHeight="1">
      <c r="A1190" s="5">
        <v>60.0</v>
      </c>
      <c r="B1190" s="10" t="s">
        <v>1167</v>
      </c>
      <c r="C1190" s="3" t="s">
        <v>1168</v>
      </c>
      <c r="D1190" s="4" t="s">
        <v>8</v>
      </c>
      <c r="E1190" s="5" t="s">
        <v>15</v>
      </c>
      <c r="F1190" s="6" t="s">
        <v>34</v>
      </c>
      <c r="G1190" s="7">
        <v>45134.0</v>
      </c>
      <c r="H1190" s="8">
        <f t="shared" si="1"/>
        <v>27</v>
      </c>
      <c r="I1190" s="9">
        <f t="shared" si="2"/>
        <v>7</v>
      </c>
      <c r="J1190" s="9">
        <f t="shared" si="3"/>
        <v>2023</v>
      </c>
    </row>
    <row r="1191" ht="15.75" customHeight="1">
      <c r="A1191" s="5">
        <v>60.0</v>
      </c>
      <c r="B1191" s="10" t="s">
        <v>1167</v>
      </c>
      <c r="C1191" s="3" t="s">
        <v>1168</v>
      </c>
      <c r="D1191" s="4" t="s">
        <v>3</v>
      </c>
      <c r="E1191" s="5" t="s">
        <v>71</v>
      </c>
      <c r="F1191" s="6" t="s">
        <v>1175</v>
      </c>
      <c r="G1191" s="7">
        <v>45140.0</v>
      </c>
      <c r="H1191" s="8">
        <f t="shared" si="1"/>
        <v>2</v>
      </c>
      <c r="I1191" s="9">
        <f t="shared" si="2"/>
        <v>8</v>
      </c>
      <c r="J1191" s="9">
        <f t="shared" si="3"/>
        <v>2023</v>
      </c>
    </row>
    <row r="1192" ht="15.75" customHeight="1">
      <c r="A1192" s="5">
        <v>60.0</v>
      </c>
      <c r="B1192" s="10" t="s">
        <v>1167</v>
      </c>
      <c r="C1192" s="3" t="s">
        <v>1168</v>
      </c>
      <c r="D1192" s="4" t="s">
        <v>3</v>
      </c>
      <c r="E1192" s="5" t="s">
        <v>96</v>
      </c>
      <c r="F1192" s="6" t="s">
        <v>892</v>
      </c>
      <c r="G1192" s="7">
        <v>45155.0</v>
      </c>
      <c r="H1192" s="8">
        <f t="shared" si="1"/>
        <v>17</v>
      </c>
      <c r="I1192" s="9">
        <f t="shared" si="2"/>
        <v>8</v>
      </c>
      <c r="J1192" s="9">
        <f t="shared" si="3"/>
        <v>2023</v>
      </c>
    </row>
    <row r="1193" ht="15.75" customHeight="1">
      <c r="A1193" s="5">
        <v>60.0</v>
      </c>
      <c r="B1193" s="10" t="s">
        <v>1167</v>
      </c>
      <c r="C1193" s="3" t="s">
        <v>1168</v>
      </c>
      <c r="D1193" s="4" t="s">
        <v>3</v>
      </c>
      <c r="E1193" s="5" t="s">
        <v>15</v>
      </c>
      <c r="F1193" s="6" t="s">
        <v>1176</v>
      </c>
      <c r="G1193" s="7">
        <v>45180.0</v>
      </c>
      <c r="H1193" s="8">
        <f t="shared" si="1"/>
        <v>11</v>
      </c>
      <c r="I1193" s="9">
        <f t="shared" si="2"/>
        <v>9</v>
      </c>
      <c r="J1193" s="9">
        <f t="shared" si="3"/>
        <v>2023</v>
      </c>
    </row>
    <row r="1194" ht="15.75" customHeight="1">
      <c r="A1194" s="5">
        <v>60.0</v>
      </c>
      <c r="B1194" s="10" t="s">
        <v>1167</v>
      </c>
      <c r="C1194" s="3" t="s">
        <v>1168</v>
      </c>
      <c r="D1194" s="4" t="s">
        <v>3</v>
      </c>
      <c r="E1194" s="5" t="s">
        <v>42</v>
      </c>
      <c r="F1194" s="6" t="s">
        <v>10</v>
      </c>
      <c r="G1194" s="7">
        <v>45214.0</v>
      </c>
      <c r="H1194" s="8">
        <f t="shared" si="1"/>
        <v>15</v>
      </c>
      <c r="I1194" s="9">
        <f t="shared" si="2"/>
        <v>10</v>
      </c>
      <c r="J1194" s="9">
        <f t="shared" si="3"/>
        <v>2023</v>
      </c>
    </row>
    <row r="1195" ht="15.75" customHeight="1">
      <c r="A1195" s="5">
        <v>60.0</v>
      </c>
      <c r="B1195" s="10" t="s">
        <v>1167</v>
      </c>
      <c r="C1195" s="3" t="s">
        <v>1168</v>
      </c>
      <c r="D1195" s="4" t="s">
        <v>8</v>
      </c>
      <c r="E1195" s="5" t="s">
        <v>6</v>
      </c>
      <c r="F1195" s="6" t="s">
        <v>1177</v>
      </c>
      <c r="G1195" s="7">
        <v>45232.0</v>
      </c>
      <c r="H1195" s="8">
        <f t="shared" si="1"/>
        <v>2</v>
      </c>
      <c r="I1195" s="9">
        <f t="shared" si="2"/>
        <v>11</v>
      </c>
      <c r="J1195" s="9">
        <f t="shared" si="3"/>
        <v>2023</v>
      </c>
    </row>
    <row r="1196" ht="15.75" customHeight="1">
      <c r="A1196" s="5">
        <v>60.0</v>
      </c>
      <c r="B1196" s="10" t="s">
        <v>1167</v>
      </c>
      <c r="C1196" s="3" t="s">
        <v>1168</v>
      </c>
      <c r="D1196" s="4" t="s">
        <v>3</v>
      </c>
      <c r="E1196" s="5" t="s">
        <v>15</v>
      </c>
      <c r="F1196" s="6" t="s">
        <v>1178</v>
      </c>
      <c r="G1196" s="7">
        <v>45238.0</v>
      </c>
      <c r="H1196" s="8">
        <f t="shared" si="1"/>
        <v>8</v>
      </c>
      <c r="I1196" s="9">
        <f t="shared" si="2"/>
        <v>11</v>
      </c>
      <c r="J1196" s="9">
        <f t="shared" si="3"/>
        <v>2023</v>
      </c>
    </row>
    <row r="1197" ht="15.75" customHeight="1">
      <c r="A1197" s="5">
        <v>60.0</v>
      </c>
      <c r="B1197" s="10" t="s">
        <v>1167</v>
      </c>
      <c r="C1197" s="3" t="s">
        <v>1168</v>
      </c>
      <c r="D1197" s="4" t="s">
        <v>8</v>
      </c>
      <c r="E1197" s="5" t="s">
        <v>23</v>
      </c>
      <c r="F1197" s="6" t="s">
        <v>1179</v>
      </c>
      <c r="G1197" s="7">
        <v>45243.0</v>
      </c>
      <c r="H1197" s="8">
        <f t="shared" si="1"/>
        <v>13</v>
      </c>
      <c r="I1197" s="9">
        <f t="shared" si="2"/>
        <v>11</v>
      </c>
      <c r="J1197" s="9">
        <f t="shared" si="3"/>
        <v>2023</v>
      </c>
    </row>
    <row r="1198" ht="15.75" customHeight="1">
      <c r="A1198" s="5">
        <v>60.0</v>
      </c>
      <c r="B1198" s="10" t="s">
        <v>1167</v>
      </c>
      <c r="C1198" s="3" t="s">
        <v>1168</v>
      </c>
      <c r="D1198" s="4" t="s">
        <v>8</v>
      </c>
      <c r="E1198" s="5" t="s">
        <v>120</v>
      </c>
      <c r="F1198" s="6" t="s">
        <v>1180</v>
      </c>
      <c r="G1198" s="7">
        <v>45253.0</v>
      </c>
      <c r="H1198" s="8">
        <f t="shared" si="1"/>
        <v>23</v>
      </c>
      <c r="I1198" s="9">
        <f t="shared" si="2"/>
        <v>11</v>
      </c>
      <c r="J1198" s="9">
        <f t="shared" si="3"/>
        <v>2023</v>
      </c>
    </row>
    <row r="1199" ht="15.75" customHeight="1">
      <c r="A1199" s="5">
        <v>60.0</v>
      </c>
      <c r="B1199" s="10" t="s">
        <v>1167</v>
      </c>
      <c r="C1199" s="3" t="s">
        <v>1168</v>
      </c>
      <c r="D1199" s="4" t="s">
        <v>8</v>
      </c>
      <c r="E1199" s="5" t="s">
        <v>17</v>
      </c>
      <c r="F1199" s="6" t="s">
        <v>975</v>
      </c>
      <c r="G1199" s="7">
        <v>45273.0</v>
      </c>
      <c r="H1199" s="8">
        <f t="shared" si="1"/>
        <v>13</v>
      </c>
      <c r="I1199" s="9">
        <f t="shared" si="2"/>
        <v>12</v>
      </c>
      <c r="J1199" s="9">
        <f t="shared" si="3"/>
        <v>2023</v>
      </c>
    </row>
    <row r="1200" ht="15.75" customHeight="1">
      <c r="A1200" s="5">
        <v>60.0</v>
      </c>
      <c r="B1200" s="10" t="s">
        <v>1167</v>
      </c>
      <c r="C1200" s="3" t="s">
        <v>1168</v>
      </c>
      <c r="D1200" s="4" t="s">
        <v>3</v>
      </c>
      <c r="E1200" s="5" t="s">
        <v>15</v>
      </c>
      <c r="F1200" s="6" t="s">
        <v>349</v>
      </c>
      <c r="G1200" s="7">
        <v>45286.0</v>
      </c>
      <c r="H1200" s="8">
        <f t="shared" si="1"/>
        <v>26</v>
      </c>
      <c r="I1200" s="9">
        <f t="shared" si="2"/>
        <v>12</v>
      </c>
      <c r="J1200" s="9">
        <f t="shared" si="3"/>
        <v>2023</v>
      </c>
    </row>
    <row r="1201" ht="15.75" customHeight="1">
      <c r="A1201" s="5">
        <v>61.0</v>
      </c>
      <c r="B1201" s="10" t="s">
        <v>1181</v>
      </c>
      <c r="C1201" s="3" t="s">
        <v>1182</v>
      </c>
      <c r="D1201" s="4" t="s">
        <v>8</v>
      </c>
      <c r="E1201" s="5" t="s">
        <v>120</v>
      </c>
      <c r="F1201" s="6" t="s">
        <v>1183</v>
      </c>
      <c r="G1201" s="7">
        <v>44932.0</v>
      </c>
      <c r="H1201" s="8">
        <f t="shared" si="1"/>
        <v>6</v>
      </c>
      <c r="I1201" s="9">
        <f t="shared" si="2"/>
        <v>1</v>
      </c>
      <c r="J1201" s="9">
        <f t="shared" si="3"/>
        <v>2023</v>
      </c>
    </row>
    <row r="1202" ht="15.75" customHeight="1">
      <c r="A1202" s="5">
        <v>61.0</v>
      </c>
      <c r="B1202" s="10" t="s">
        <v>1181</v>
      </c>
      <c r="C1202" s="3" t="s">
        <v>1182</v>
      </c>
      <c r="D1202" s="4" t="s">
        <v>8</v>
      </c>
      <c r="E1202" s="5" t="s">
        <v>6</v>
      </c>
      <c r="F1202" s="6" t="s">
        <v>1184</v>
      </c>
      <c r="G1202" s="7">
        <v>44946.0</v>
      </c>
      <c r="H1202" s="8">
        <f t="shared" si="1"/>
        <v>20</v>
      </c>
      <c r="I1202" s="9">
        <f t="shared" si="2"/>
        <v>1</v>
      </c>
      <c r="J1202" s="9">
        <f t="shared" si="3"/>
        <v>2023</v>
      </c>
    </row>
    <row r="1203" ht="15.75" customHeight="1">
      <c r="A1203" s="5">
        <v>61.0</v>
      </c>
      <c r="B1203" s="10" t="s">
        <v>1181</v>
      </c>
      <c r="C1203" s="3" t="s">
        <v>1182</v>
      </c>
      <c r="D1203" s="4" t="s">
        <v>3</v>
      </c>
      <c r="E1203" s="5" t="s">
        <v>120</v>
      </c>
      <c r="F1203" s="6" t="s">
        <v>239</v>
      </c>
      <c r="G1203" s="7">
        <v>44971.0</v>
      </c>
      <c r="H1203" s="8">
        <f t="shared" si="1"/>
        <v>14</v>
      </c>
      <c r="I1203" s="9">
        <f t="shared" si="2"/>
        <v>2</v>
      </c>
      <c r="J1203" s="9">
        <f t="shared" si="3"/>
        <v>2023</v>
      </c>
    </row>
    <row r="1204" ht="15.75" customHeight="1">
      <c r="A1204" s="5">
        <v>61.0</v>
      </c>
      <c r="B1204" s="10" t="s">
        <v>1181</v>
      </c>
      <c r="C1204" s="3" t="s">
        <v>1182</v>
      </c>
      <c r="D1204" s="4" t="s">
        <v>3</v>
      </c>
      <c r="E1204" s="5" t="s">
        <v>42</v>
      </c>
      <c r="F1204" s="6" t="s">
        <v>1185</v>
      </c>
      <c r="G1204" s="7">
        <v>44971.0</v>
      </c>
      <c r="H1204" s="8">
        <f t="shared" si="1"/>
        <v>14</v>
      </c>
      <c r="I1204" s="9">
        <f t="shared" si="2"/>
        <v>2</v>
      </c>
      <c r="J1204" s="9">
        <f t="shared" si="3"/>
        <v>2023</v>
      </c>
    </row>
    <row r="1205" ht="15.75" customHeight="1">
      <c r="A1205" s="5">
        <v>61.0</v>
      </c>
      <c r="B1205" s="10" t="s">
        <v>1181</v>
      </c>
      <c r="C1205" s="3" t="s">
        <v>1182</v>
      </c>
      <c r="D1205" s="4" t="s">
        <v>3</v>
      </c>
      <c r="E1205" s="5" t="s">
        <v>4</v>
      </c>
      <c r="F1205" s="6" t="s">
        <v>1186</v>
      </c>
      <c r="G1205" s="7">
        <v>44985.0</v>
      </c>
      <c r="H1205" s="8">
        <f t="shared" si="1"/>
        <v>28</v>
      </c>
      <c r="I1205" s="9">
        <f t="shared" si="2"/>
        <v>2</v>
      </c>
      <c r="J1205" s="9">
        <f t="shared" si="3"/>
        <v>2023</v>
      </c>
    </row>
    <row r="1206" ht="15.75" customHeight="1">
      <c r="A1206" s="5">
        <v>61.0</v>
      </c>
      <c r="B1206" s="10" t="s">
        <v>1181</v>
      </c>
      <c r="C1206" s="3" t="s">
        <v>1182</v>
      </c>
      <c r="D1206" s="4" t="s">
        <v>8</v>
      </c>
      <c r="E1206" s="5" t="s">
        <v>35</v>
      </c>
      <c r="F1206" s="6" t="s">
        <v>1187</v>
      </c>
      <c r="G1206" s="7">
        <v>44997.0</v>
      </c>
      <c r="H1206" s="8">
        <f t="shared" si="1"/>
        <v>12</v>
      </c>
      <c r="I1206" s="9">
        <f t="shared" si="2"/>
        <v>3</v>
      </c>
      <c r="J1206" s="9">
        <f t="shared" si="3"/>
        <v>2023</v>
      </c>
    </row>
    <row r="1207" ht="15.75" customHeight="1">
      <c r="A1207" s="5">
        <v>61.0</v>
      </c>
      <c r="B1207" s="10" t="s">
        <v>1181</v>
      </c>
      <c r="C1207" s="3" t="s">
        <v>1182</v>
      </c>
      <c r="D1207" s="4" t="s">
        <v>8</v>
      </c>
      <c r="E1207" s="5" t="s">
        <v>19</v>
      </c>
      <c r="F1207" s="6" t="s">
        <v>1188</v>
      </c>
      <c r="G1207" s="7">
        <v>45000.0</v>
      </c>
      <c r="H1207" s="8">
        <f t="shared" si="1"/>
        <v>15</v>
      </c>
      <c r="I1207" s="9">
        <f t="shared" si="2"/>
        <v>3</v>
      </c>
      <c r="J1207" s="9">
        <f t="shared" si="3"/>
        <v>2023</v>
      </c>
    </row>
    <row r="1208" ht="15.75" customHeight="1">
      <c r="A1208" s="5">
        <v>61.0</v>
      </c>
      <c r="B1208" s="10" t="s">
        <v>1181</v>
      </c>
      <c r="C1208" s="3" t="s">
        <v>1182</v>
      </c>
      <c r="D1208" s="4" t="s">
        <v>3</v>
      </c>
      <c r="E1208" s="5" t="s">
        <v>6</v>
      </c>
      <c r="F1208" s="6" t="s">
        <v>1189</v>
      </c>
      <c r="G1208" s="7">
        <v>45005.0</v>
      </c>
      <c r="H1208" s="8">
        <f t="shared" si="1"/>
        <v>20</v>
      </c>
      <c r="I1208" s="9">
        <f t="shared" si="2"/>
        <v>3</v>
      </c>
      <c r="J1208" s="9">
        <f t="shared" si="3"/>
        <v>2023</v>
      </c>
    </row>
    <row r="1209" ht="15.75" customHeight="1">
      <c r="A1209" s="5">
        <v>61.0</v>
      </c>
      <c r="B1209" s="10" t="s">
        <v>1181</v>
      </c>
      <c r="C1209" s="3" t="s">
        <v>1182</v>
      </c>
      <c r="D1209" s="4" t="s">
        <v>3</v>
      </c>
      <c r="E1209" s="5" t="s">
        <v>6</v>
      </c>
      <c r="F1209" s="6" t="s">
        <v>1190</v>
      </c>
      <c r="G1209" s="7">
        <v>45033.0</v>
      </c>
      <c r="H1209" s="8">
        <f t="shared" si="1"/>
        <v>17</v>
      </c>
      <c r="I1209" s="9">
        <f t="shared" si="2"/>
        <v>4</v>
      </c>
      <c r="J1209" s="9">
        <f t="shared" si="3"/>
        <v>2023</v>
      </c>
    </row>
    <row r="1210" ht="15.75" customHeight="1">
      <c r="A1210" s="5">
        <v>61.0</v>
      </c>
      <c r="B1210" s="10" t="s">
        <v>1181</v>
      </c>
      <c r="C1210" s="3" t="s">
        <v>1182</v>
      </c>
      <c r="D1210" s="4" t="s">
        <v>8</v>
      </c>
      <c r="E1210" s="5" t="s">
        <v>11</v>
      </c>
      <c r="F1210" s="6" t="s">
        <v>1191</v>
      </c>
      <c r="G1210" s="7">
        <v>45110.0</v>
      </c>
      <c r="H1210" s="8">
        <f t="shared" si="1"/>
        <v>3</v>
      </c>
      <c r="I1210" s="9">
        <f t="shared" si="2"/>
        <v>7</v>
      </c>
      <c r="J1210" s="9">
        <f t="shared" si="3"/>
        <v>2023</v>
      </c>
    </row>
    <row r="1211" ht="15.75" customHeight="1">
      <c r="A1211" s="5">
        <v>61.0</v>
      </c>
      <c r="B1211" s="10" t="s">
        <v>1181</v>
      </c>
      <c r="C1211" s="3" t="s">
        <v>1182</v>
      </c>
      <c r="D1211" s="4" t="s">
        <v>8</v>
      </c>
      <c r="E1211" s="5" t="s">
        <v>28</v>
      </c>
      <c r="F1211" s="6" t="s">
        <v>1192</v>
      </c>
      <c r="G1211" s="7">
        <v>45127.0</v>
      </c>
      <c r="H1211" s="8">
        <f t="shared" si="1"/>
        <v>20</v>
      </c>
      <c r="I1211" s="9">
        <f t="shared" si="2"/>
        <v>7</v>
      </c>
      <c r="J1211" s="9">
        <f t="shared" si="3"/>
        <v>2023</v>
      </c>
    </row>
    <row r="1212" ht="15.75" customHeight="1">
      <c r="A1212" s="5">
        <v>61.0</v>
      </c>
      <c r="B1212" s="10" t="s">
        <v>1181</v>
      </c>
      <c r="C1212" s="3" t="s">
        <v>1182</v>
      </c>
      <c r="D1212" s="4" t="s">
        <v>3</v>
      </c>
      <c r="E1212" s="5" t="s">
        <v>45</v>
      </c>
      <c r="F1212" s="6" t="s">
        <v>1193</v>
      </c>
      <c r="G1212" s="7">
        <v>45131.0</v>
      </c>
      <c r="H1212" s="8">
        <f t="shared" si="1"/>
        <v>24</v>
      </c>
      <c r="I1212" s="9">
        <f t="shared" si="2"/>
        <v>7</v>
      </c>
      <c r="J1212" s="9">
        <f t="shared" si="3"/>
        <v>2023</v>
      </c>
    </row>
    <row r="1213" ht="15.75" customHeight="1">
      <c r="A1213" s="5">
        <v>61.0</v>
      </c>
      <c r="B1213" s="10" t="s">
        <v>1181</v>
      </c>
      <c r="C1213" s="3" t="s">
        <v>1182</v>
      </c>
      <c r="D1213" s="4" t="s">
        <v>3</v>
      </c>
      <c r="E1213" s="5" t="s">
        <v>9</v>
      </c>
      <c r="F1213" s="6" t="s">
        <v>107</v>
      </c>
      <c r="G1213" s="7">
        <v>45151.0</v>
      </c>
      <c r="H1213" s="8">
        <f t="shared" si="1"/>
        <v>13</v>
      </c>
      <c r="I1213" s="9">
        <f t="shared" si="2"/>
        <v>8</v>
      </c>
      <c r="J1213" s="9">
        <f t="shared" si="3"/>
        <v>2023</v>
      </c>
    </row>
    <row r="1214" ht="15.75" customHeight="1">
      <c r="A1214" s="5">
        <v>61.0</v>
      </c>
      <c r="B1214" s="10" t="s">
        <v>1181</v>
      </c>
      <c r="C1214" s="3" t="s">
        <v>1182</v>
      </c>
      <c r="D1214" s="4" t="s">
        <v>3</v>
      </c>
      <c r="E1214" s="5" t="s">
        <v>39</v>
      </c>
      <c r="F1214" s="6" t="s">
        <v>1194</v>
      </c>
      <c r="G1214" s="7">
        <v>45170.0</v>
      </c>
      <c r="H1214" s="8">
        <f t="shared" si="1"/>
        <v>1</v>
      </c>
      <c r="I1214" s="9">
        <f t="shared" si="2"/>
        <v>9</v>
      </c>
      <c r="J1214" s="9">
        <f t="shared" si="3"/>
        <v>2023</v>
      </c>
    </row>
    <row r="1215" ht="15.75" customHeight="1">
      <c r="A1215" s="5">
        <v>61.0</v>
      </c>
      <c r="B1215" s="10" t="s">
        <v>1181</v>
      </c>
      <c r="C1215" s="3" t="s">
        <v>1182</v>
      </c>
      <c r="D1215" s="4" t="s">
        <v>8</v>
      </c>
      <c r="E1215" s="5" t="s">
        <v>15</v>
      </c>
      <c r="F1215" s="6" t="s">
        <v>1195</v>
      </c>
      <c r="G1215" s="7">
        <v>45191.0</v>
      </c>
      <c r="H1215" s="8">
        <f t="shared" si="1"/>
        <v>22</v>
      </c>
      <c r="I1215" s="9">
        <f t="shared" si="2"/>
        <v>9</v>
      </c>
      <c r="J1215" s="9">
        <f t="shared" si="3"/>
        <v>2023</v>
      </c>
    </row>
    <row r="1216" ht="15.75" customHeight="1">
      <c r="A1216" s="5">
        <v>61.0</v>
      </c>
      <c r="B1216" s="10" t="s">
        <v>1181</v>
      </c>
      <c r="C1216" s="3" t="s">
        <v>1182</v>
      </c>
      <c r="D1216" s="4" t="s">
        <v>8</v>
      </c>
      <c r="E1216" s="5" t="s">
        <v>17</v>
      </c>
      <c r="F1216" s="6" t="s">
        <v>1196</v>
      </c>
      <c r="G1216" s="7">
        <v>45225.0</v>
      </c>
      <c r="H1216" s="8">
        <f t="shared" si="1"/>
        <v>26</v>
      </c>
      <c r="I1216" s="9">
        <f t="shared" si="2"/>
        <v>10</v>
      </c>
      <c r="J1216" s="9">
        <f t="shared" si="3"/>
        <v>2023</v>
      </c>
    </row>
    <row r="1217" ht="15.75" customHeight="1">
      <c r="A1217" s="5">
        <v>61.0</v>
      </c>
      <c r="B1217" s="10" t="s">
        <v>1181</v>
      </c>
      <c r="C1217" s="3" t="s">
        <v>1182</v>
      </c>
      <c r="D1217" s="4" t="s">
        <v>8</v>
      </c>
      <c r="E1217" s="5" t="s">
        <v>17</v>
      </c>
      <c r="F1217" s="6" t="s">
        <v>852</v>
      </c>
      <c r="G1217" s="7">
        <v>45243.0</v>
      </c>
      <c r="H1217" s="8">
        <f t="shared" si="1"/>
        <v>13</v>
      </c>
      <c r="I1217" s="9">
        <f t="shared" si="2"/>
        <v>11</v>
      </c>
      <c r="J1217" s="9">
        <f t="shared" si="3"/>
        <v>2023</v>
      </c>
    </row>
    <row r="1218" ht="15.75" customHeight="1">
      <c r="A1218" s="5">
        <v>61.0</v>
      </c>
      <c r="B1218" s="10" t="s">
        <v>1181</v>
      </c>
      <c r="C1218" s="3" t="s">
        <v>1182</v>
      </c>
      <c r="D1218" s="4" t="s">
        <v>3</v>
      </c>
      <c r="E1218" s="5" t="s">
        <v>120</v>
      </c>
      <c r="F1218" s="6" t="s">
        <v>1197</v>
      </c>
      <c r="G1218" s="7">
        <v>45246.0</v>
      </c>
      <c r="H1218" s="8">
        <f t="shared" si="1"/>
        <v>16</v>
      </c>
      <c r="I1218" s="9">
        <f t="shared" si="2"/>
        <v>11</v>
      </c>
      <c r="J1218" s="9">
        <f t="shared" si="3"/>
        <v>2023</v>
      </c>
    </row>
    <row r="1219" ht="15.75" customHeight="1">
      <c r="A1219" s="5">
        <v>61.0</v>
      </c>
      <c r="B1219" s="10" t="s">
        <v>1181</v>
      </c>
      <c r="C1219" s="3" t="s">
        <v>1182</v>
      </c>
      <c r="D1219" s="4" t="s">
        <v>3</v>
      </c>
      <c r="E1219" s="5" t="s">
        <v>42</v>
      </c>
      <c r="F1219" s="6" t="s">
        <v>606</v>
      </c>
      <c r="G1219" s="7">
        <v>45249.0</v>
      </c>
      <c r="H1219" s="8">
        <f t="shared" si="1"/>
        <v>19</v>
      </c>
      <c r="I1219" s="9">
        <f t="shared" si="2"/>
        <v>11</v>
      </c>
      <c r="J1219" s="9">
        <f t="shared" si="3"/>
        <v>2023</v>
      </c>
    </row>
    <row r="1220" ht="15.75" customHeight="1">
      <c r="A1220" s="5">
        <v>61.0</v>
      </c>
      <c r="B1220" s="10" t="s">
        <v>1181</v>
      </c>
      <c r="C1220" s="3" t="s">
        <v>1182</v>
      </c>
      <c r="D1220" s="4" t="s">
        <v>3</v>
      </c>
      <c r="E1220" s="5" t="s">
        <v>76</v>
      </c>
      <c r="F1220" s="6" t="s">
        <v>1153</v>
      </c>
      <c r="G1220" s="7">
        <v>45268.0</v>
      </c>
      <c r="H1220" s="8">
        <f t="shared" si="1"/>
        <v>8</v>
      </c>
      <c r="I1220" s="9">
        <f t="shared" si="2"/>
        <v>12</v>
      </c>
      <c r="J1220" s="9">
        <f t="shared" si="3"/>
        <v>2023</v>
      </c>
    </row>
    <row r="1221" ht="15.75" customHeight="1">
      <c r="A1221" s="5">
        <v>62.0</v>
      </c>
      <c r="B1221" s="10" t="s">
        <v>1198</v>
      </c>
      <c r="C1221" s="3" t="s">
        <v>1199</v>
      </c>
      <c r="D1221" s="4" t="s">
        <v>8</v>
      </c>
      <c r="E1221" s="5" t="s">
        <v>17</v>
      </c>
      <c r="F1221" s="6" t="s">
        <v>343</v>
      </c>
      <c r="G1221" s="7">
        <v>44941.0</v>
      </c>
      <c r="H1221" s="8">
        <f t="shared" si="1"/>
        <v>15</v>
      </c>
      <c r="I1221" s="9">
        <f t="shared" si="2"/>
        <v>1</v>
      </c>
      <c r="J1221" s="9">
        <f t="shared" si="3"/>
        <v>2023</v>
      </c>
    </row>
    <row r="1222" ht="15.75" customHeight="1">
      <c r="A1222" s="5">
        <v>62.0</v>
      </c>
      <c r="B1222" s="10" t="s">
        <v>1198</v>
      </c>
      <c r="C1222" s="3" t="s">
        <v>1199</v>
      </c>
      <c r="D1222" s="4" t="s">
        <v>8</v>
      </c>
      <c r="E1222" s="5" t="s">
        <v>42</v>
      </c>
      <c r="F1222" s="6" t="s">
        <v>842</v>
      </c>
      <c r="G1222" s="7">
        <v>44942.0</v>
      </c>
      <c r="H1222" s="8">
        <f t="shared" si="1"/>
        <v>16</v>
      </c>
      <c r="I1222" s="9">
        <f t="shared" si="2"/>
        <v>1</v>
      </c>
      <c r="J1222" s="9">
        <f t="shared" si="3"/>
        <v>2023</v>
      </c>
    </row>
    <row r="1223" ht="15.75" customHeight="1">
      <c r="A1223" s="5">
        <v>62.0</v>
      </c>
      <c r="B1223" s="10" t="s">
        <v>1198</v>
      </c>
      <c r="C1223" s="3" t="s">
        <v>1199</v>
      </c>
      <c r="D1223" s="4" t="s">
        <v>3</v>
      </c>
      <c r="E1223" s="5" t="s">
        <v>13</v>
      </c>
      <c r="F1223" s="6" t="s">
        <v>1200</v>
      </c>
      <c r="G1223" s="7">
        <v>44946.0</v>
      </c>
      <c r="H1223" s="8">
        <f t="shared" si="1"/>
        <v>20</v>
      </c>
      <c r="I1223" s="9">
        <f t="shared" si="2"/>
        <v>1</v>
      </c>
      <c r="J1223" s="9">
        <f t="shared" si="3"/>
        <v>2023</v>
      </c>
    </row>
    <row r="1224" ht="15.75" customHeight="1">
      <c r="A1224" s="5">
        <v>62.0</v>
      </c>
      <c r="B1224" s="10" t="s">
        <v>1198</v>
      </c>
      <c r="C1224" s="3" t="s">
        <v>1199</v>
      </c>
      <c r="D1224" s="4" t="s">
        <v>3</v>
      </c>
      <c r="E1224" s="5" t="s">
        <v>76</v>
      </c>
      <c r="F1224" s="6" t="s">
        <v>1201</v>
      </c>
      <c r="G1224" s="7">
        <v>44952.0</v>
      </c>
      <c r="H1224" s="8">
        <f t="shared" si="1"/>
        <v>26</v>
      </c>
      <c r="I1224" s="9">
        <f t="shared" si="2"/>
        <v>1</v>
      </c>
      <c r="J1224" s="9">
        <f t="shared" si="3"/>
        <v>2023</v>
      </c>
    </row>
    <row r="1225" ht="15.75" customHeight="1">
      <c r="A1225" s="5">
        <v>62.0</v>
      </c>
      <c r="B1225" s="10" t="s">
        <v>1198</v>
      </c>
      <c r="C1225" s="3" t="s">
        <v>1199</v>
      </c>
      <c r="D1225" s="4" t="s">
        <v>8</v>
      </c>
      <c r="E1225" s="5" t="s">
        <v>23</v>
      </c>
      <c r="F1225" s="6" t="s">
        <v>1202</v>
      </c>
      <c r="G1225" s="7">
        <v>45018.0</v>
      </c>
      <c r="H1225" s="8">
        <f t="shared" si="1"/>
        <v>2</v>
      </c>
      <c r="I1225" s="9">
        <f t="shared" si="2"/>
        <v>4</v>
      </c>
      <c r="J1225" s="9">
        <f t="shared" si="3"/>
        <v>2023</v>
      </c>
    </row>
    <row r="1226" ht="15.75" customHeight="1">
      <c r="A1226" s="5">
        <v>62.0</v>
      </c>
      <c r="B1226" s="10" t="s">
        <v>1198</v>
      </c>
      <c r="C1226" s="3" t="s">
        <v>1199</v>
      </c>
      <c r="D1226" s="4" t="s">
        <v>8</v>
      </c>
      <c r="E1226" s="5" t="s">
        <v>6</v>
      </c>
      <c r="F1226" s="6" t="s">
        <v>1203</v>
      </c>
      <c r="G1226" s="7">
        <v>45048.0</v>
      </c>
      <c r="H1226" s="8">
        <f t="shared" si="1"/>
        <v>2</v>
      </c>
      <c r="I1226" s="9">
        <f t="shared" si="2"/>
        <v>5</v>
      </c>
      <c r="J1226" s="9">
        <f t="shared" si="3"/>
        <v>2023</v>
      </c>
    </row>
    <row r="1227" ht="15.75" customHeight="1">
      <c r="A1227" s="5">
        <v>62.0</v>
      </c>
      <c r="B1227" s="10" t="s">
        <v>1198</v>
      </c>
      <c r="C1227" s="3" t="s">
        <v>1199</v>
      </c>
      <c r="D1227" s="4" t="s">
        <v>3</v>
      </c>
      <c r="E1227" s="5" t="s">
        <v>35</v>
      </c>
      <c r="F1227" s="6" t="s">
        <v>1204</v>
      </c>
      <c r="G1227" s="7">
        <v>45049.0</v>
      </c>
      <c r="H1227" s="8">
        <f t="shared" si="1"/>
        <v>3</v>
      </c>
      <c r="I1227" s="9">
        <f t="shared" si="2"/>
        <v>5</v>
      </c>
      <c r="J1227" s="9">
        <f t="shared" si="3"/>
        <v>2023</v>
      </c>
    </row>
    <row r="1228" ht="15.75" customHeight="1">
      <c r="A1228" s="5">
        <v>62.0</v>
      </c>
      <c r="B1228" s="10" t="s">
        <v>1198</v>
      </c>
      <c r="C1228" s="3" t="s">
        <v>1199</v>
      </c>
      <c r="D1228" s="4" t="s">
        <v>8</v>
      </c>
      <c r="E1228" s="5" t="s">
        <v>51</v>
      </c>
      <c r="F1228" s="6" t="s">
        <v>1205</v>
      </c>
      <c r="G1228" s="7">
        <v>45062.0</v>
      </c>
      <c r="H1228" s="8">
        <f t="shared" si="1"/>
        <v>16</v>
      </c>
      <c r="I1228" s="9">
        <f t="shared" si="2"/>
        <v>5</v>
      </c>
      <c r="J1228" s="9">
        <f t="shared" si="3"/>
        <v>2023</v>
      </c>
    </row>
    <row r="1229" ht="15.75" customHeight="1">
      <c r="A1229" s="5">
        <v>62.0</v>
      </c>
      <c r="B1229" s="10" t="s">
        <v>1198</v>
      </c>
      <c r="C1229" s="3" t="s">
        <v>1199</v>
      </c>
      <c r="D1229" s="4" t="s">
        <v>3</v>
      </c>
      <c r="E1229" s="5" t="s">
        <v>71</v>
      </c>
      <c r="F1229" s="6" t="s">
        <v>1206</v>
      </c>
      <c r="G1229" s="7">
        <v>45065.0</v>
      </c>
      <c r="H1229" s="8">
        <f t="shared" si="1"/>
        <v>19</v>
      </c>
      <c r="I1229" s="9">
        <f t="shared" si="2"/>
        <v>5</v>
      </c>
      <c r="J1229" s="9">
        <f t="shared" si="3"/>
        <v>2023</v>
      </c>
    </row>
    <row r="1230" ht="15.75" customHeight="1">
      <c r="A1230" s="5">
        <v>62.0</v>
      </c>
      <c r="B1230" s="10" t="s">
        <v>1198</v>
      </c>
      <c r="C1230" s="3" t="s">
        <v>1199</v>
      </c>
      <c r="D1230" s="4" t="s">
        <v>8</v>
      </c>
      <c r="E1230" s="5" t="s">
        <v>42</v>
      </c>
      <c r="F1230" s="6" t="s">
        <v>1207</v>
      </c>
      <c r="G1230" s="7">
        <v>45083.0</v>
      </c>
      <c r="H1230" s="8">
        <f t="shared" si="1"/>
        <v>6</v>
      </c>
      <c r="I1230" s="9">
        <f t="shared" si="2"/>
        <v>6</v>
      </c>
      <c r="J1230" s="9">
        <f t="shared" si="3"/>
        <v>2023</v>
      </c>
    </row>
    <row r="1231" ht="15.75" customHeight="1">
      <c r="A1231" s="5">
        <v>62.0</v>
      </c>
      <c r="B1231" s="10" t="s">
        <v>1198</v>
      </c>
      <c r="C1231" s="3" t="s">
        <v>1199</v>
      </c>
      <c r="D1231" s="4" t="s">
        <v>8</v>
      </c>
      <c r="E1231" s="5" t="s">
        <v>15</v>
      </c>
      <c r="F1231" s="6" t="s">
        <v>452</v>
      </c>
      <c r="G1231" s="7">
        <v>45085.0</v>
      </c>
      <c r="H1231" s="8">
        <f t="shared" si="1"/>
        <v>8</v>
      </c>
      <c r="I1231" s="9">
        <f t="shared" si="2"/>
        <v>6</v>
      </c>
      <c r="J1231" s="9">
        <f t="shared" si="3"/>
        <v>2023</v>
      </c>
    </row>
    <row r="1232" ht="15.75" customHeight="1">
      <c r="A1232" s="5">
        <v>62.0</v>
      </c>
      <c r="B1232" s="10" t="s">
        <v>1198</v>
      </c>
      <c r="C1232" s="3" t="s">
        <v>1199</v>
      </c>
      <c r="D1232" s="4" t="s">
        <v>3</v>
      </c>
      <c r="E1232" s="5" t="s">
        <v>13</v>
      </c>
      <c r="F1232" s="6" t="s">
        <v>1208</v>
      </c>
      <c r="G1232" s="7">
        <v>45113.0</v>
      </c>
      <c r="H1232" s="8">
        <f t="shared" si="1"/>
        <v>6</v>
      </c>
      <c r="I1232" s="9">
        <f t="shared" si="2"/>
        <v>7</v>
      </c>
      <c r="J1232" s="9">
        <f t="shared" si="3"/>
        <v>2023</v>
      </c>
    </row>
    <row r="1233" ht="15.75" customHeight="1">
      <c r="A1233" s="5">
        <v>62.0</v>
      </c>
      <c r="B1233" s="10" t="s">
        <v>1198</v>
      </c>
      <c r="C1233" s="3" t="s">
        <v>1199</v>
      </c>
      <c r="D1233" s="4" t="s">
        <v>3</v>
      </c>
      <c r="E1233" s="5" t="s">
        <v>17</v>
      </c>
      <c r="F1233" s="6" t="s">
        <v>878</v>
      </c>
      <c r="G1233" s="7">
        <v>45114.0</v>
      </c>
      <c r="H1233" s="8">
        <f t="shared" si="1"/>
        <v>7</v>
      </c>
      <c r="I1233" s="9">
        <f t="shared" si="2"/>
        <v>7</v>
      </c>
      <c r="J1233" s="9">
        <f t="shared" si="3"/>
        <v>2023</v>
      </c>
    </row>
    <row r="1234" ht="15.75" customHeight="1">
      <c r="A1234" s="5">
        <v>62.0</v>
      </c>
      <c r="B1234" s="10" t="s">
        <v>1198</v>
      </c>
      <c r="C1234" s="3" t="s">
        <v>1199</v>
      </c>
      <c r="D1234" s="4" t="s">
        <v>3</v>
      </c>
      <c r="E1234" s="5" t="s">
        <v>35</v>
      </c>
      <c r="F1234" s="6" t="s">
        <v>1209</v>
      </c>
      <c r="G1234" s="7">
        <v>45117.0</v>
      </c>
      <c r="H1234" s="8">
        <f t="shared" si="1"/>
        <v>10</v>
      </c>
      <c r="I1234" s="9">
        <f t="shared" si="2"/>
        <v>7</v>
      </c>
      <c r="J1234" s="9">
        <f t="shared" si="3"/>
        <v>2023</v>
      </c>
    </row>
    <row r="1235" ht="15.75" customHeight="1">
      <c r="A1235" s="5">
        <v>62.0</v>
      </c>
      <c r="B1235" s="10" t="s">
        <v>1198</v>
      </c>
      <c r="C1235" s="3" t="s">
        <v>1199</v>
      </c>
      <c r="D1235" s="4" t="s">
        <v>3</v>
      </c>
      <c r="E1235" s="5" t="s">
        <v>19</v>
      </c>
      <c r="F1235" s="6" t="s">
        <v>1210</v>
      </c>
      <c r="G1235" s="7">
        <v>45152.0</v>
      </c>
      <c r="H1235" s="8">
        <f t="shared" si="1"/>
        <v>14</v>
      </c>
      <c r="I1235" s="9">
        <f t="shared" si="2"/>
        <v>8</v>
      </c>
      <c r="J1235" s="9">
        <f t="shared" si="3"/>
        <v>2023</v>
      </c>
    </row>
    <row r="1236" ht="15.75" customHeight="1">
      <c r="A1236" s="5">
        <v>62.0</v>
      </c>
      <c r="B1236" s="10" t="s">
        <v>1198</v>
      </c>
      <c r="C1236" s="3" t="s">
        <v>1199</v>
      </c>
      <c r="D1236" s="4" t="s">
        <v>8</v>
      </c>
      <c r="E1236" s="5" t="s">
        <v>120</v>
      </c>
      <c r="F1236" s="6" t="s">
        <v>1211</v>
      </c>
      <c r="G1236" s="7">
        <v>45160.0</v>
      </c>
      <c r="H1236" s="8">
        <f t="shared" si="1"/>
        <v>22</v>
      </c>
      <c r="I1236" s="9">
        <f t="shared" si="2"/>
        <v>8</v>
      </c>
      <c r="J1236" s="9">
        <f t="shared" si="3"/>
        <v>2023</v>
      </c>
    </row>
    <row r="1237" ht="15.75" customHeight="1">
      <c r="A1237" s="5">
        <v>62.0</v>
      </c>
      <c r="B1237" s="10" t="s">
        <v>1198</v>
      </c>
      <c r="C1237" s="3" t="s">
        <v>1199</v>
      </c>
      <c r="D1237" s="4" t="s">
        <v>8</v>
      </c>
      <c r="E1237" s="5" t="s">
        <v>9</v>
      </c>
      <c r="F1237" s="6" t="s">
        <v>552</v>
      </c>
      <c r="G1237" s="7">
        <v>45208.0</v>
      </c>
      <c r="H1237" s="8">
        <f t="shared" si="1"/>
        <v>9</v>
      </c>
      <c r="I1237" s="9">
        <f t="shared" si="2"/>
        <v>10</v>
      </c>
      <c r="J1237" s="9">
        <f t="shared" si="3"/>
        <v>2023</v>
      </c>
    </row>
    <row r="1238" ht="15.75" customHeight="1">
      <c r="A1238" s="5">
        <v>62.0</v>
      </c>
      <c r="B1238" s="10" t="s">
        <v>1198</v>
      </c>
      <c r="C1238" s="3" t="s">
        <v>1199</v>
      </c>
      <c r="D1238" s="4" t="s">
        <v>3</v>
      </c>
      <c r="E1238" s="5" t="s">
        <v>9</v>
      </c>
      <c r="F1238" s="6" t="s">
        <v>916</v>
      </c>
      <c r="G1238" s="7">
        <v>45231.0</v>
      </c>
      <c r="H1238" s="8">
        <f t="shared" si="1"/>
        <v>1</v>
      </c>
      <c r="I1238" s="9">
        <f t="shared" si="2"/>
        <v>11</v>
      </c>
      <c r="J1238" s="9">
        <f t="shared" si="3"/>
        <v>2023</v>
      </c>
    </row>
    <row r="1239" ht="15.75" customHeight="1">
      <c r="A1239" s="5">
        <v>62.0</v>
      </c>
      <c r="B1239" s="10" t="s">
        <v>1198</v>
      </c>
      <c r="C1239" s="3" t="s">
        <v>1199</v>
      </c>
      <c r="D1239" s="4" t="s">
        <v>8</v>
      </c>
      <c r="E1239" s="5" t="s">
        <v>42</v>
      </c>
      <c r="F1239" s="6" t="s">
        <v>1207</v>
      </c>
      <c r="G1239" s="7">
        <v>45249.0</v>
      </c>
      <c r="H1239" s="8">
        <f t="shared" si="1"/>
        <v>19</v>
      </c>
      <c r="I1239" s="9">
        <f t="shared" si="2"/>
        <v>11</v>
      </c>
      <c r="J1239" s="9">
        <f t="shared" si="3"/>
        <v>2023</v>
      </c>
    </row>
    <row r="1240" ht="15.75" customHeight="1">
      <c r="A1240" s="5">
        <v>62.0</v>
      </c>
      <c r="B1240" s="10" t="s">
        <v>1198</v>
      </c>
      <c r="C1240" s="3" t="s">
        <v>1199</v>
      </c>
      <c r="D1240" s="4" t="s">
        <v>8</v>
      </c>
      <c r="E1240" s="5" t="s">
        <v>11</v>
      </c>
      <c r="F1240" s="6" t="s">
        <v>1212</v>
      </c>
      <c r="G1240" s="7">
        <v>45256.0</v>
      </c>
      <c r="H1240" s="8">
        <f t="shared" si="1"/>
        <v>26</v>
      </c>
      <c r="I1240" s="9">
        <f t="shared" si="2"/>
        <v>11</v>
      </c>
      <c r="J1240" s="9">
        <f t="shared" si="3"/>
        <v>2023</v>
      </c>
    </row>
    <row r="1241" ht="15.75" customHeight="1">
      <c r="A1241" s="5">
        <v>63.0</v>
      </c>
      <c r="B1241" s="10" t="s">
        <v>1213</v>
      </c>
      <c r="C1241" s="3" t="s">
        <v>1214</v>
      </c>
      <c r="D1241" s="4" t="s">
        <v>3</v>
      </c>
      <c r="E1241" s="5" t="s">
        <v>35</v>
      </c>
      <c r="F1241" s="6" t="s">
        <v>1215</v>
      </c>
      <c r="G1241" s="7">
        <v>44970.0</v>
      </c>
      <c r="H1241" s="8">
        <f t="shared" si="1"/>
        <v>13</v>
      </c>
      <c r="I1241" s="9">
        <f t="shared" si="2"/>
        <v>2</v>
      </c>
      <c r="J1241" s="9">
        <f t="shared" si="3"/>
        <v>2023</v>
      </c>
    </row>
    <row r="1242" ht="15.75" customHeight="1">
      <c r="A1242" s="5">
        <v>63.0</v>
      </c>
      <c r="B1242" s="10" t="s">
        <v>1213</v>
      </c>
      <c r="C1242" s="3" t="s">
        <v>1214</v>
      </c>
      <c r="D1242" s="4" t="s">
        <v>8</v>
      </c>
      <c r="E1242" s="5" t="s">
        <v>15</v>
      </c>
      <c r="F1242" s="6" t="s">
        <v>202</v>
      </c>
      <c r="G1242" s="7">
        <v>44972.0</v>
      </c>
      <c r="H1242" s="8">
        <f t="shared" si="1"/>
        <v>15</v>
      </c>
      <c r="I1242" s="9">
        <f t="shared" si="2"/>
        <v>2</v>
      </c>
      <c r="J1242" s="9">
        <f t="shared" si="3"/>
        <v>2023</v>
      </c>
    </row>
    <row r="1243" ht="15.75" customHeight="1">
      <c r="A1243" s="5">
        <v>63.0</v>
      </c>
      <c r="B1243" s="10" t="s">
        <v>1213</v>
      </c>
      <c r="C1243" s="3" t="s">
        <v>1214</v>
      </c>
      <c r="D1243" s="4" t="s">
        <v>3</v>
      </c>
      <c r="E1243" s="5" t="s">
        <v>120</v>
      </c>
      <c r="F1243" s="6" t="s">
        <v>1216</v>
      </c>
      <c r="G1243" s="7">
        <v>44985.0</v>
      </c>
      <c r="H1243" s="8">
        <f t="shared" si="1"/>
        <v>28</v>
      </c>
      <c r="I1243" s="9">
        <f t="shared" si="2"/>
        <v>2</v>
      </c>
      <c r="J1243" s="9">
        <f t="shared" si="3"/>
        <v>2023</v>
      </c>
    </row>
    <row r="1244" ht="15.75" customHeight="1">
      <c r="A1244" s="5">
        <v>63.0</v>
      </c>
      <c r="B1244" s="10" t="s">
        <v>1213</v>
      </c>
      <c r="C1244" s="3" t="s">
        <v>1214</v>
      </c>
      <c r="D1244" s="4" t="s">
        <v>8</v>
      </c>
      <c r="E1244" s="5" t="s">
        <v>96</v>
      </c>
      <c r="F1244" s="6" t="s">
        <v>1217</v>
      </c>
      <c r="G1244" s="7">
        <v>45000.0</v>
      </c>
      <c r="H1244" s="8">
        <f t="shared" si="1"/>
        <v>15</v>
      </c>
      <c r="I1244" s="9">
        <f t="shared" si="2"/>
        <v>3</v>
      </c>
      <c r="J1244" s="9">
        <f t="shared" si="3"/>
        <v>2023</v>
      </c>
    </row>
    <row r="1245" ht="15.75" customHeight="1">
      <c r="A1245" s="5">
        <v>63.0</v>
      </c>
      <c r="B1245" s="10" t="s">
        <v>1213</v>
      </c>
      <c r="C1245" s="3" t="s">
        <v>1214</v>
      </c>
      <c r="D1245" s="4" t="s">
        <v>8</v>
      </c>
      <c r="E1245" s="5" t="s">
        <v>15</v>
      </c>
      <c r="F1245" s="6" t="s">
        <v>609</v>
      </c>
      <c r="G1245" s="7">
        <v>45023.0</v>
      </c>
      <c r="H1245" s="8">
        <f t="shared" si="1"/>
        <v>7</v>
      </c>
      <c r="I1245" s="9">
        <f t="shared" si="2"/>
        <v>4</v>
      </c>
      <c r="J1245" s="9">
        <f t="shared" si="3"/>
        <v>2023</v>
      </c>
    </row>
    <row r="1246" ht="15.75" customHeight="1">
      <c r="A1246" s="5">
        <v>63.0</v>
      </c>
      <c r="B1246" s="10" t="s">
        <v>1213</v>
      </c>
      <c r="C1246" s="3" t="s">
        <v>1214</v>
      </c>
      <c r="D1246" s="4" t="s">
        <v>8</v>
      </c>
      <c r="E1246" s="5" t="s">
        <v>15</v>
      </c>
      <c r="F1246" s="6" t="s">
        <v>1218</v>
      </c>
      <c r="G1246" s="7">
        <v>45025.0</v>
      </c>
      <c r="H1246" s="8">
        <f t="shared" si="1"/>
        <v>9</v>
      </c>
      <c r="I1246" s="9">
        <f t="shared" si="2"/>
        <v>4</v>
      </c>
      <c r="J1246" s="9">
        <f t="shared" si="3"/>
        <v>2023</v>
      </c>
    </row>
    <row r="1247" ht="15.75" customHeight="1">
      <c r="A1247" s="5">
        <v>63.0</v>
      </c>
      <c r="B1247" s="10" t="s">
        <v>1213</v>
      </c>
      <c r="C1247" s="3" t="s">
        <v>1214</v>
      </c>
      <c r="D1247" s="4" t="s">
        <v>8</v>
      </c>
      <c r="E1247" s="5" t="s">
        <v>23</v>
      </c>
      <c r="F1247" s="6" t="s">
        <v>1219</v>
      </c>
      <c r="G1247" s="7">
        <v>45028.0</v>
      </c>
      <c r="H1247" s="8">
        <f t="shared" si="1"/>
        <v>12</v>
      </c>
      <c r="I1247" s="9">
        <f t="shared" si="2"/>
        <v>4</v>
      </c>
      <c r="J1247" s="9">
        <f t="shared" si="3"/>
        <v>2023</v>
      </c>
    </row>
    <row r="1248" ht="15.75" customHeight="1">
      <c r="A1248" s="5">
        <v>63.0</v>
      </c>
      <c r="B1248" s="10" t="s">
        <v>1213</v>
      </c>
      <c r="C1248" s="3" t="s">
        <v>1214</v>
      </c>
      <c r="D1248" s="4" t="s">
        <v>3</v>
      </c>
      <c r="E1248" s="5" t="s">
        <v>17</v>
      </c>
      <c r="F1248" s="6" t="s">
        <v>1220</v>
      </c>
      <c r="G1248" s="7">
        <v>45035.0</v>
      </c>
      <c r="H1248" s="8">
        <f t="shared" si="1"/>
        <v>19</v>
      </c>
      <c r="I1248" s="9">
        <f t="shared" si="2"/>
        <v>4</v>
      </c>
      <c r="J1248" s="9">
        <f t="shared" si="3"/>
        <v>2023</v>
      </c>
    </row>
    <row r="1249" ht="15.75" customHeight="1">
      <c r="A1249" s="5">
        <v>63.0</v>
      </c>
      <c r="B1249" s="10" t="s">
        <v>1213</v>
      </c>
      <c r="C1249" s="3" t="s">
        <v>1214</v>
      </c>
      <c r="D1249" s="4" t="s">
        <v>3</v>
      </c>
      <c r="E1249" s="5" t="s">
        <v>45</v>
      </c>
      <c r="F1249" s="6" t="s">
        <v>1221</v>
      </c>
      <c r="G1249" s="7">
        <v>45038.0</v>
      </c>
      <c r="H1249" s="8">
        <f t="shared" si="1"/>
        <v>22</v>
      </c>
      <c r="I1249" s="9">
        <f t="shared" si="2"/>
        <v>4</v>
      </c>
      <c r="J1249" s="9">
        <f t="shared" si="3"/>
        <v>2023</v>
      </c>
    </row>
    <row r="1250" ht="15.75" customHeight="1">
      <c r="A1250" s="5">
        <v>63.0</v>
      </c>
      <c r="B1250" s="10" t="s">
        <v>1213</v>
      </c>
      <c r="C1250" s="3" t="s">
        <v>1214</v>
      </c>
      <c r="D1250" s="4" t="s">
        <v>3</v>
      </c>
      <c r="E1250" s="5" t="s">
        <v>45</v>
      </c>
      <c r="F1250" s="6" t="s">
        <v>1222</v>
      </c>
      <c r="G1250" s="7">
        <v>45044.0</v>
      </c>
      <c r="H1250" s="8">
        <f t="shared" si="1"/>
        <v>28</v>
      </c>
      <c r="I1250" s="9">
        <f t="shared" si="2"/>
        <v>4</v>
      </c>
      <c r="J1250" s="9">
        <f t="shared" si="3"/>
        <v>2023</v>
      </c>
    </row>
    <row r="1251" ht="15.75" customHeight="1">
      <c r="A1251" s="5">
        <v>63.0</v>
      </c>
      <c r="B1251" s="10" t="s">
        <v>1213</v>
      </c>
      <c r="C1251" s="3" t="s">
        <v>1214</v>
      </c>
      <c r="D1251" s="4" t="s">
        <v>3</v>
      </c>
      <c r="E1251" s="5" t="s">
        <v>76</v>
      </c>
      <c r="F1251" s="6" t="s">
        <v>618</v>
      </c>
      <c r="G1251" s="7">
        <v>45072.0</v>
      </c>
      <c r="H1251" s="8">
        <f t="shared" si="1"/>
        <v>26</v>
      </c>
      <c r="I1251" s="9">
        <f t="shared" si="2"/>
        <v>5</v>
      </c>
      <c r="J1251" s="9">
        <f t="shared" si="3"/>
        <v>2023</v>
      </c>
    </row>
    <row r="1252" ht="15.75" customHeight="1">
      <c r="A1252" s="5">
        <v>63.0</v>
      </c>
      <c r="B1252" s="10" t="s">
        <v>1213</v>
      </c>
      <c r="C1252" s="3" t="s">
        <v>1214</v>
      </c>
      <c r="D1252" s="4" t="s">
        <v>8</v>
      </c>
      <c r="E1252" s="5" t="s">
        <v>28</v>
      </c>
      <c r="F1252" s="6" t="s">
        <v>1223</v>
      </c>
      <c r="G1252" s="7">
        <v>45079.0</v>
      </c>
      <c r="H1252" s="8">
        <f t="shared" si="1"/>
        <v>2</v>
      </c>
      <c r="I1252" s="9">
        <f t="shared" si="2"/>
        <v>6</v>
      </c>
      <c r="J1252" s="9">
        <f t="shared" si="3"/>
        <v>2023</v>
      </c>
    </row>
    <row r="1253" ht="15.75" customHeight="1">
      <c r="A1253" s="5">
        <v>63.0</v>
      </c>
      <c r="B1253" s="10" t="s">
        <v>1213</v>
      </c>
      <c r="C1253" s="3" t="s">
        <v>1214</v>
      </c>
      <c r="D1253" s="4" t="s">
        <v>3</v>
      </c>
      <c r="E1253" s="5" t="s">
        <v>13</v>
      </c>
      <c r="F1253" s="6" t="s">
        <v>654</v>
      </c>
      <c r="G1253" s="7">
        <v>45095.0</v>
      </c>
      <c r="H1253" s="8">
        <f t="shared" si="1"/>
        <v>18</v>
      </c>
      <c r="I1253" s="9">
        <f t="shared" si="2"/>
        <v>6</v>
      </c>
      <c r="J1253" s="9">
        <f t="shared" si="3"/>
        <v>2023</v>
      </c>
    </row>
    <row r="1254" ht="15.75" customHeight="1">
      <c r="A1254" s="5">
        <v>63.0</v>
      </c>
      <c r="B1254" s="10" t="s">
        <v>1213</v>
      </c>
      <c r="C1254" s="3" t="s">
        <v>1214</v>
      </c>
      <c r="D1254" s="4" t="s">
        <v>8</v>
      </c>
      <c r="E1254" s="5" t="s">
        <v>71</v>
      </c>
      <c r="F1254" s="6" t="s">
        <v>1224</v>
      </c>
      <c r="G1254" s="7">
        <v>45097.0</v>
      </c>
      <c r="H1254" s="8">
        <f t="shared" si="1"/>
        <v>20</v>
      </c>
      <c r="I1254" s="9">
        <f t="shared" si="2"/>
        <v>6</v>
      </c>
      <c r="J1254" s="9">
        <f t="shared" si="3"/>
        <v>2023</v>
      </c>
    </row>
    <row r="1255" ht="15.75" customHeight="1">
      <c r="A1255" s="5">
        <v>63.0</v>
      </c>
      <c r="B1255" s="10" t="s">
        <v>1213</v>
      </c>
      <c r="C1255" s="3" t="s">
        <v>1214</v>
      </c>
      <c r="D1255" s="4" t="s">
        <v>8</v>
      </c>
      <c r="E1255" s="5" t="s">
        <v>13</v>
      </c>
      <c r="F1255" s="6" t="s">
        <v>1225</v>
      </c>
      <c r="G1255" s="7">
        <v>45103.0</v>
      </c>
      <c r="H1255" s="8">
        <f t="shared" si="1"/>
        <v>26</v>
      </c>
      <c r="I1255" s="9">
        <f t="shared" si="2"/>
        <v>6</v>
      </c>
      <c r="J1255" s="9">
        <f t="shared" si="3"/>
        <v>2023</v>
      </c>
    </row>
    <row r="1256" ht="15.75" customHeight="1">
      <c r="A1256" s="5">
        <v>63.0</v>
      </c>
      <c r="B1256" s="10" t="s">
        <v>1213</v>
      </c>
      <c r="C1256" s="3" t="s">
        <v>1214</v>
      </c>
      <c r="D1256" s="4" t="s">
        <v>8</v>
      </c>
      <c r="E1256" s="5" t="s">
        <v>39</v>
      </c>
      <c r="F1256" s="6" t="s">
        <v>914</v>
      </c>
      <c r="G1256" s="7">
        <v>45111.0</v>
      </c>
      <c r="H1256" s="8">
        <f t="shared" si="1"/>
        <v>4</v>
      </c>
      <c r="I1256" s="9">
        <f t="shared" si="2"/>
        <v>7</v>
      </c>
      <c r="J1256" s="9">
        <f t="shared" si="3"/>
        <v>2023</v>
      </c>
    </row>
    <row r="1257" ht="15.75" customHeight="1">
      <c r="A1257" s="5">
        <v>63.0</v>
      </c>
      <c r="B1257" s="10" t="s">
        <v>1213</v>
      </c>
      <c r="C1257" s="3" t="s">
        <v>1214</v>
      </c>
      <c r="D1257" s="4" t="s">
        <v>8</v>
      </c>
      <c r="E1257" s="5" t="s">
        <v>17</v>
      </c>
      <c r="F1257" s="6" t="s">
        <v>1226</v>
      </c>
      <c r="G1257" s="7">
        <v>45142.0</v>
      </c>
      <c r="H1257" s="8">
        <f t="shared" si="1"/>
        <v>4</v>
      </c>
      <c r="I1257" s="9">
        <f t="shared" si="2"/>
        <v>8</v>
      </c>
      <c r="J1257" s="9">
        <f t="shared" si="3"/>
        <v>2023</v>
      </c>
    </row>
    <row r="1258" ht="15.75" customHeight="1">
      <c r="A1258" s="5">
        <v>63.0</v>
      </c>
      <c r="B1258" s="10" t="s">
        <v>1213</v>
      </c>
      <c r="C1258" s="3" t="s">
        <v>1214</v>
      </c>
      <c r="D1258" s="4" t="s">
        <v>8</v>
      </c>
      <c r="E1258" s="5" t="s">
        <v>15</v>
      </c>
      <c r="F1258" s="6" t="s">
        <v>452</v>
      </c>
      <c r="G1258" s="7">
        <v>45147.0</v>
      </c>
      <c r="H1258" s="8">
        <f t="shared" si="1"/>
        <v>9</v>
      </c>
      <c r="I1258" s="9">
        <f t="shared" si="2"/>
        <v>8</v>
      </c>
      <c r="J1258" s="9">
        <f t="shared" si="3"/>
        <v>2023</v>
      </c>
    </row>
    <row r="1259" ht="15.75" customHeight="1">
      <c r="A1259" s="5">
        <v>63.0</v>
      </c>
      <c r="B1259" s="10" t="s">
        <v>1213</v>
      </c>
      <c r="C1259" s="3" t="s">
        <v>1214</v>
      </c>
      <c r="D1259" s="4" t="s">
        <v>8</v>
      </c>
      <c r="E1259" s="5" t="s">
        <v>15</v>
      </c>
      <c r="F1259" s="6" t="s">
        <v>396</v>
      </c>
      <c r="G1259" s="7">
        <v>45157.0</v>
      </c>
      <c r="H1259" s="8">
        <f t="shared" si="1"/>
        <v>19</v>
      </c>
      <c r="I1259" s="9">
        <f t="shared" si="2"/>
        <v>8</v>
      </c>
      <c r="J1259" s="9">
        <f t="shared" si="3"/>
        <v>2023</v>
      </c>
    </row>
    <row r="1260" ht="15.75" customHeight="1">
      <c r="A1260" s="5">
        <v>63.0</v>
      </c>
      <c r="B1260" s="10" t="s">
        <v>1213</v>
      </c>
      <c r="C1260" s="3" t="s">
        <v>1214</v>
      </c>
      <c r="D1260" s="4" t="s">
        <v>8</v>
      </c>
      <c r="E1260" s="5" t="s">
        <v>23</v>
      </c>
      <c r="F1260" s="6" t="s">
        <v>1227</v>
      </c>
      <c r="G1260" s="7">
        <v>45232.0</v>
      </c>
      <c r="H1260" s="8">
        <f t="shared" si="1"/>
        <v>2</v>
      </c>
      <c r="I1260" s="9">
        <f t="shared" si="2"/>
        <v>11</v>
      </c>
      <c r="J1260" s="9">
        <f t="shared" si="3"/>
        <v>2023</v>
      </c>
    </row>
    <row r="1261" ht="15.75" customHeight="1">
      <c r="A1261" s="5">
        <v>64.0</v>
      </c>
      <c r="B1261" s="10" t="s">
        <v>1228</v>
      </c>
      <c r="C1261" s="3" t="s">
        <v>1229</v>
      </c>
      <c r="D1261" s="4" t="s">
        <v>3</v>
      </c>
      <c r="E1261" s="5" t="s">
        <v>19</v>
      </c>
      <c r="F1261" s="6" t="s">
        <v>1174</v>
      </c>
      <c r="G1261" s="7">
        <v>44941.0</v>
      </c>
      <c r="H1261" s="8">
        <f t="shared" si="1"/>
        <v>15</v>
      </c>
      <c r="I1261" s="9">
        <f t="shared" si="2"/>
        <v>1</v>
      </c>
      <c r="J1261" s="9">
        <f t="shared" si="3"/>
        <v>2023</v>
      </c>
    </row>
    <row r="1262" ht="15.75" customHeight="1">
      <c r="A1262" s="5">
        <v>64.0</v>
      </c>
      <c r="B1262" s="10" t="s">
        <v>1228</v>
      </c>
      <c r="C1262" s="3" t="s">
        <v>1229</v>
      </c>
      <c r="D1262" s="4" t="s">
        <v>8</v>
      </c>
      <c r="E1262" s="5" t="s">
        <v>9</v>
      </c>
      <c r="F1262" s="6" t="s">
        <v>1230</v>
      </c>
      <c r="G1262" s="7">
        <v>44995.0</v>
      </c>
      <c r="H1262" s="8">
        <f t="shared" si="1"/>
        <v>10</v>
      </c>
      <c r="I1262" s="9">
        <f t="shared" si="2"/>
        <v>3</v>
      </c>
      <c r="J1262" s="9">
        <f t="shared" si="3"/>
        <v>2023</v>
      </c>
    </row>
    <row r="1263" ht="15.75" customHeight="1">
      <c r="A1263" s="5">
        <v>64.0</v>
      </c>
      <c r="B1263" s="10" t="s">
        <v>1228</v>
      </c>
      <c r="C1263" s="3" t="s">
        <v>1229</v>
      </c>
      <c r="D1263" s="4" t="s">
        <v>8</v>
      </c>
      <c r="E1263" s="5" t="s">
        <v>96</v>
      </c>
      <c r="F1263" s="6" t="s">
        <v>382</v>
      </c>
      <c r="G1263" s="7">
        <v>45004.0</v>
      </c>
      <c r="H1263" s="8">
        <f t="shared" si="1"/>
        <v>19</v>
      </c>
      <c r="I1263" s="9">
        <f t="shared" si="2"/>
        <v>3</v>
      </c>
      <c r="J1263" s="9">
        <f t="shared" si="3"/>
        <v>2023</v>
      </c>
    </row>
    <row r="1264" ht="15.75" customHeight="1">
      <c r="A1264" s="5">
        <v>64.0</v>
      </c>
      <c r="B1264" s="10" t="s">
        <v>1228</v>
      </c>
      <c r="C1264" s="3" t="s">
        <v>1229</v>
      </c>
      <c r="D1264" s="4" t="s">
        <v>8</v>
      </c>
      <c r="E1264" s="5" t="s">
        <v>4</v>
      </c>
      <c r="F1264" s="6" t="s">
        <v>1231</v>
      </c>
      <c r="G1264" s="7">
        <v>45012.0</v>
      </c>
      <c r="H1264" s="8">
        <f t="shared" si="1"/>
        <v>27</v>
      </c>
      <c r="I1264" s="9">
        <f t="shared" si="2"/>
        <v>3</v>
      </c>
      <c r="J1264" s="9">
        <f t="shared" si="3"/>
        <v>2023</v>
      </c>
    </row>
    <row r="1265" ht="15.75" customHeight="1">
      <c r="A1265" s="5">
        <v>64.0</v>
      </c>
      <c r="B1265" s="10" t="s">
        <v>1228</v>
      </c>
      <c r="C1265" s="3" t="s">
        <v>1229</v>
      </c>
      <c r="D1265" s="4" t="s">
        <v>8</v>
      </c>
      <c r="E1265" s="5" t="s">
        <v>35</v>
      </c>
      <c r="F1265" s="6" t="s">
        <v>1232</v>
      </c>
      <c r="G1265" s="7">
        <v>45032.0</v>
      </c>
      <c r="H1265" s="8">
        <f t="shared" si="1"/>
        <v>16</v>
      </c>
      <c r="I1265" s="9">
        <f t="shared" si="2"/>
        <v>4</v>
      </c>
      <c r="J1265" s="9">
        <f t="shared" si="3"/>
        <v>2023</v>
      </c>
    </row>
    <row r="1266" ht="15.75" customHeight="1">
      <c r="A1266" s="5">
        <v>64.0</v>
      </c>
      <c r="B1266" s="10" t="s">
        <v>1228</v>
      </c>
      <c r="C1266" s="3" t="s">
        <v>1229</v>
      </c>
      <c r="D1266" s="4" t="s">
        <v>3</v>
      </c>
      <c r="E1266" s="5" t="s">
        <v>17</v>
      </c>
      <c r="F1266" s="6" t="s">
        <v>1001</v>
      </c>
      <c r="G1266" s="7">
        <v>45033.0</v>
      </c>
      <c r="H1266" s="8">
        <f t="shared" si="1"/>
        <v>17</v>
      </c>
      <c r="I1266" s="9">
        <f t="shared" si="2"/>
        <v>4</v>
      </c>
      <c r="J1266" s="9">
        <f t="shared" si="3"/>
        <v>2023</v>
      </c>
    </row>
    <row r="1267" ht="15.75" customHeight="1">
      <c r="A1267" s="5">
        <v>64.0</v>
      </c>
      <c r="B1267" s="10" t="s">
        <v>1228</v>
      </c>
      <c r="C1267" s="3" t="s">
        <v>1229</v>
      </c>
      <c r="D1267" s="4" t="s">
        <v>3</v>
      </c>
      <c r="E1267" s="5" t="s">
        <v>23</v>
      </c>
      <c r="F1267" s="6" t="s">
        <v>163</v>
      </c>
      <c r="G1267" s="7">
        <v>45056.0</v>
      </c>
      <c r="H1267" s="8">
        <f t="shared" si="1"/>
        <v>10</v>
      </c>
      <c r="I1267" s="9">
        <f t="shared" si="2"/>
        <v>5</v>
      </c>
      <c r="J1267" s="9">
        <f t="shared" si="3"/>
        <v>2023</v>
      </c>
    </row>
    <row r="1268" ht="15.75" customHeight="1">
      <c r="A1268" s="5">
        <v>64.0</v>
      </c>
      <c r="B1268" s="10" t="s">
        <v>1228</v>
      </c>
      <c r="C1268" s="3" t="s">
        <v>1229</v>
      </c>
      <c r="D1268" s="4" t="s">
        <v>3</v>
      </c>
      <c r="E1268" s="5" t="s">
        <v>21</v>
      </c>
      <c r="F1268" s="6" t="s">
        <v>58</v>
      </c>
      <c r="G1268" s="7">
        <v>45061.0</v>
      </c>
      <c r="H1268" s="8">
        <f t="shared" si="1"/>
        <v>15</v>
      </c>
      <c r="I1268" s="9">
        <f t="shared" si="2"/>
        <v>5</v>
      </c>
      <c r="J1268" s="9">
        <f t="shared" si="3"/>
        <v>2023</v>
      </c>
    </row>
    <row r="1269" ht="15.75" customHeight="1">
      <c r="A1269" s="5">
        <v>64.0</v>
      </c>
      <c r="B1269" s="10" t="s">
        <v>1228</v>
      </c>
      <c r="C1269" s="3" t="s">
        <v>1229</v>
      </c>
      <c r="D1269" s="4" t="s">
        <v>8</v>
      </c>
      <c r="E1269" s="5" t="s">
        <v>13</v>
      </c>
      <c r="F1269" s="6" t="s">
        <v>1233</v>
      </c>
      <c r="G1269" s="7">
        <v>45091.0</v>
      </c>
      <c r="H1269" s="8">
        <f t="shared" si="1"/>
        <v>14</v>
      </c>
      <c r="I1269" s="9">
        <f t="shared" si="2"/>
        <v>6</v>
      </c>
      <c r="J1269" s="9">
        <f t="shared" si="3"/>
        <v>2023</v>
      </c>
    </row>
    <row r="1270" ht="15.75" customHeight="1">
      <c r="A1270" s="5">
        <v>64.0</v>
      </c>
      <c r="B1270" s="10" t="s">
        <v>1228</v>
      </c>
      <c r="C1270" s="3" t="s">
        <v>1229</v>
      </c>
      <c r="D1270" s="4" t="s">
        <v>8</v>
      </c>
      <c r="E1270" s="5" t="s">
        <v>96</v>
      </c>
      <c r="F1270" s="6" t="s">
        <v>1234</v>
      </c>
      <c r="G1270" s="7">
        <v>45100.0</v>
      </c>
      <c r="H1270" s="8">
        <f t="shared" si="1"/>
        <v>23</v>
      </c>
      <c r="I1270" s="9">
        <f t="shared" si="2"/>
        <v>6</v>
      </c>
      <c r="J1270" s="9">
        <f t="shared" si="3"/>
        <v>2023</v>
      </c>
    </row>
    <row r="1271" ht="15.75" customHeight="1">
      <c r="A1271" s="5">
        <v>64.0</v>
      </c>
      <c r="B1271" s="10" t="s">
        <v>1228</v>
      </c>
      <c r="C1271" s="3" t="s">
        <v>1229</v>
      </c>
      <c r="D1271" s="4" t="s">
        <v>3</v>
      </c>
      <c r="E1271" s="5" t="s">
        <v>96</v>
      </c>
      <c r="F1271" s="6" t="s">
        <v>894</v>
      </c>
      <c r="G1271" s="7">
        <v>45140.0</v>
      </c>
      <c r="H1271" s="8">
        <f t="shared" si="1"/>
        <v>2</v>
      </c>
      <c r="I1271" s="9">
        <f t="shared" si="2"/>
        <v>8</v>
      </c>
      <c r="J1271" s="9">
        <f t="shared" si="3"/>
        <v>2023</v>
      </c>
    </row>
    <row r="1272" ht="15.75" customHeight="1">
      <c r="A1272" s="5">
        <v>64.0</v>
      </c>
      <c r="B1272" s="10" t="s">
        <v>1228</v>
      </c>
      <c r="C1272" s="3" t="s">
        <v>1229</v>
      </c>
      <c r="D1272" s="4" t="s">
        <v>8</v>
      </c>
      <c r="E1272" s="5" t="s">
        <v>51</v>
      </c>
      <c r="F1272" s="6" t="s">
        <v>97</v>
      </c>
      <c r="G1272" s="7">
        <v>45154.0</v>
      </c>
      <c r="H1272" s="8">
        <f t="shared" si="1"/>
        <v>16</v>
      </c>
      <c r="I1272" s="9">
        <f t="shared" si="2"/>
        <v>8</v>
      </c>
      <c r="J1272" s="9">
        <f t="shared" si="3"/>
        <v>2023</v>
      </c>
    </row>
    <row r="1273" ht="15.75" customHeight="1">
      <c r="A1273" s="5">
        <v>64.0</v>
      </c>
      <c r="B1273" s="10" t="s">
        <v>1228</v>
      </c>
      <c r="C1273" s="3" t="s">
        <v>1229</v>
      </c>
      <c r="D1273" s="4" t="s">
        <v>8</v>
      </c>
      <c r="E1273" s="5" t="s">
        <v>120</v>
      </c>
      <c r="F1273" s="6" t="s">
        <v>1235</v>
      </c>
      <c r="G1273" s="7">
        <v>45161.0</v>
      </c>
      <c r="H1273" s="8">
        <f t="shared" si="1"/>
        <v>23</v>
      </c>
      <c r="I1273" s="9">
        <f t="shared" si="2"/>
        <v>8</v>
      </c>
      <c r="J1273" s="9">
        <f t="shared" si="3"/>
        <v>2023</v>
      </c>
    </row>
    <row r="1274" ht="15.75" customHeight="1">
      <c r="A1274" s="5">
        <v>64.0</v>
      </c>
      <c r="B1274" s="10" t="s">
        <v>1228</v>
      </c>
      <c r="C1274" s="3" t="s">
        <v>1229</v>
      </c>
      <c r="D1274" s="4" t="s">
        <v>8</v>
      </c>
      <c r="E1274" s="5" t="s">
        <v>76</v>
      </c>
      <c r="F1274" s="6" t="s">
        <v>1236</v>
      </c>
      <c r="G1274" s="7">
        <v>45204.0</v>
      </c>
      <c r="H1274" s="8">
        <f t="shared" si="1"/>
        <v>5</v>
      </c>
      <c r="I1274" s="9">
        <f t="shared" si="2"/>
        <v>10</v>
      </c>
      <c r="J1274" s="9">
        <f t="shared" si="3"/>
        <v>2023</v>
      </c>
    </row>
    <row r="1275" ht="15.75" customHeight="1">
      <c r="A1275" s="5">
        <v>64.0</v>
      </c>
      <c r="B1275" s="10" t="s">
        <v>1228</v>
      </c>
      <c r="C1275" s="3" t="s">
        <v>1229</v>
      </c>
      <c r="D1275" s="4" t="s">
        <v>8</v>
      </c>
      <c r="E1275" s="5" t="s">
        <v>42</v>
      </c>
      <c r="F1275" s="6" t="s">
        <v>196</v>
      </c>
      <c r="G1275" s="7">
        <v>45213.0</v>
      </c>
      <c r="H1275" s="8">
        <f t="shared" si="1"/>
        <v>14</v>
      </c>
      <c r="I1275" s="9">
        <f t="shared" si="2"/>
        <v>10</v>
      </c>
      <c r="J1275" s="9">
        <f t="shared" si="3"/>
        <v>2023</v>
      </c>
    </row>
    <row r="1276" ht="15.75" customHeight="1">
      <c r="A1276" s="5">
        <v>64.0</v>
      </c>
      <c r="B1276" s="10" t="s">
        <v>1228</v>
      </c>
      <c r="C1276" s="3" t="s">
        <v>1229</v>
      </c>
      <c r="D1276" s="4" t="s">
        <v>8</v>
      </c>
      <c r="E1276" s="5" t="s">
        <v>51</v>
      </c>
      <c r="F1276" s="6" t="s">
        <v>1237</v>
      </c>
      <c r="G1276" s="7">
        <v>45216.0</v>
      </c>
      <c r="H1276" s="8">
        <f t="shared" si="1"/>
        <v>17</v>
      </c>
      <c r="I1276" s="9">
        <f t="shared" si="2"/>
        <v>10</v>
      </c>
      <c r="J1276" s="9">
        <f t="shared" si="3"/>
        <v>2023</v>
      </c>
    </row>
    <row r="1277" ht="15.75" customHeight="1">
      <c r="A1277" s="5">
        <v>64.0</v>
      </c>
      <c r="B1277" s="10" t="s">
        <v>1228</v>
      </c>
      <c r="C1277" s="3" t="s">
        <v>1229</v>
      </c>
      <c r="D1277" s="4" t="s">
        <v>8</v>
      </c>
      <c r="E1277" s="5" t="s">
        <v>15</v>
      </c>
      <c r="F1277" s="6" t="s">
        <v>422</v>
      </c>
      <c r="G1277" s="7">
        <v>45220.0</v>
      </c>
      <c r="H1277" s="8">
        <f t="shared" si="1"/>
        <v>21</v>
      </c>
      <c r="I1277" s="9">
        <f t="shared" si="2"/>
        <v>10</v>
      </c>
      <c r="J1277" s="9">
        <f t="shared" si="3"/>
        <v>2023</v>
      </c>
    </row>
    <row r="1278" ht="15.75" customHeight="1">
      <c r="A1278" s="5">
        <v>64.0</v>
      </c>
      <c r="B1278" s="10" t="s">
        <v>1228</v>
      </c>
      <c r="C1278" s="3" t="s">
        <v>1229</v>
      </c>
      <c r="D1278" s="4" t="s">
        <v>3</v>
      </c>
      <c r="E1278" s="5" t="s">
        <v>21</v>
      </c>
      <c r="F1278" s="6" t="s">
        <v>193</v>
      </c>
      <c r="G1278" s="7">
        <v>45235.0</v>
      </c>
      <c r="H1278" s="8">
        <f t="shared" si="1"/>
        <v>5</v>
      </c>
      <c r="I1278" s="9">
        <f t="shared" si="2"/>
        <v>11</v>
      </c>
      <c r="J1278" s="9">
        <f t="shared" si="3"/>
        <v>2023</v>
      </c>
    </row>
    <row r="1279" ht="15.75" customHeight="1">
      <c r="A1279" s="5">
        <v>64.0</v>
      </c>
      <c r="B1279" s="10" t="s">
        <v>1228</v>
      </c>
      <c r="C1279" s="3" t="s">
        <v>1229</v>
      </c>
      <c r="D1279" s="4" t="s">
        <v>3</v>
      </c>
      <c r="E1279" s="5" t="s">
        <v>71</v>
      </c>
      <c r="F1279" s="6" t="s">
        <v>1238</v>
      </c>
      <c r="G1279" s="7">
        <v>45271.0</v>
      </c>
      <c r="H1279" s="8">
        <f t="shared" si="1"/>
        <v>11</v>
      </c>
      <c r="I1279" s="9">
        <f t="shared" si="2"/>
        <v>12</v>
      </c>
      <c r="J1279" s="9">
        <f t="shared" si="3"/>
        <v>2023</v>
      </c>
    </row>
    <row r="1280" ht="15.75" customHeight="1">
      <c r="A1280" s="5">
        <v>64.0</v>
      </c>
      <c r="B1280" s="10" t="s">
        <v>1228</v>
      </c>
      <c r="C1280" s="3" t="s">
        <v>1229</v>
      </c>
      <c r="D1280" s="4" t="s">
        <v>3</v>
      </c>
      <c r="E1280" s="5" t="s">
        <v>28</v>
      </c>
      <c r="F1280" s="6" t="s">
        <v>1239</v>
      </c>
      <c r="G1280" s="7">
        <v>45273.0</v>
      </c>
      <c r="H1280" s="8">
        <f t="shared" si="1"/>
        <v>13</v>
      </c>
      <c r="I1280" s="9">
        <f t="shared" si="2"/>
        <v>12</v>
      </c>
      <c r="J1280" s="9">
        <f t="shared" si="3"/>
        <v>2023</v>
      </c>
    </row>
    <row r="1281" ht="15.75" customHeight="1">
      <c r="A1281" s="5">
        <v>65.0</v>
      </c>
      <c r="B1281" s="10" t="s">
        <v>1240</v>
      </c>
      <c r="C1281" s="3" t="s">
        <v>1241</v>
      </c>
      <c r="D1281" s="4" t="s">
        <v>3</v>
      </c>
      <c r="E1281" s="5" t="s">
        <v>39</v>
      </c>
      <c r="F1281" s="6" t="s">
        <v>1242</v>
      </c>
      <c r="G1281" s="7">
        <v>44960.0</v>
      </c>
      <c r="H1281" s="8">
        <f t="shared" si="1"/>
        <v>3</v>
      </c>
      <c r="I1281" s="9">
        <f t="shared" si="2"/>
        <v>2</v>
      </c>
      <c r="J1281" s="9">
        <f t="shared" si="3"/>
        <v>2023</v>
      </c>
    </row>
    <row r="1282" ht="15.75" customHeight="1">
      <c r="A1282" s="5">
        <v>65.0</v>
      </c>
      <c r="B1282" s="10" t="s">
        <v>1240</v>
      </c>
      <c r="C1282" s="3" t="s">
        <v>1241</v>
      </c>
      <c r="D1282" s="4" t="s">
        <v>3</v>
      </c>
      <c r="E1282" s="5" t="s">
        <v>76</v>
      </c>
      <c r="F1282" s="6" t="s">
        <v>1127</v>
      </c>
      <c r="G1282" s="7">
        <v>44980.0</v>
      </c>
      <c r="H1282" s="8">
        <f t="shared" si="1"/>
        <v>23</v>
      </c>
      <c r="I1282" s="9">
        <f t="shared" si="2"/>
        <v>2</v>
      </c>
      <c r="J1282" s="9">
        <f t="shared" si="3"/>
        <v>2023</v>
      </c>
    </row>
    <row r="1283" ht="15.75" customHeight="1">
      <c r="A1283" s="5">
        <v>65.0</v>
      </c>
      <c r="B1283" s="10" t="s">
        <v>1240</v>
      </c>
      <c r="C1283" s="3" t="s">
        <v>1241</v>
      </c>
      <c r="D1283" s="4" t="s">
        <v>8</v>
      </c>
      <c r="E1283" s="5" t="s">
        <v>120</v>
      </c>
      <c r="F1283" s="6" t="s">
        <v>1243</v>
      </c>
      <c r="G1283" s="7">
        <v>44998.0</v>
      </c>
      <c r="H1283" s="8">
        <f t="shared" si="1"/>
        <v>13</v>
      </c>
      <c r="I1283" s="9">
        <f t="shared" si="2"/>
        <v>3</v>
      </c>
      <c r="J1283" s="9">
        <f t="shared" si="3"/>
        <v>2023</v>
      </c>
    </row>
    <row r="1284" ht="15.75" customHeight="1">
      <c r="A1284" s="5">
        <v>65.0</v>
      </c>
      <c r="B1284" s="10" t="s">
        <v>1240</v>
      </c>
      <c r="C1284" s="3" t="s">
        <v>1241</v>
      </c>
      <c r="D1284" s="4" t="s">
        <v>3</v>
      </c>
      <c r="E1284" s="5" t="s">
        <v>51</v>
      </c>
      <c r="F1284" s="6" t="s">
        <v>1244</v>
      </c>
      <c r="G1284" s="7">
        <v>44999.0</v>
      </c>
      <c r="H1284" s="8">
        <f t="shared" si="1"/>
        <v>14</v>
      </c>
      <c r="I1284" s="9">
        <f t="shared" si="2"/>
        <v>3</v>
      </c>
      <c r="J1284" s="9">
        <f t="shared" si="3"/>
        <v>2023</v>
      </c>
    </row>
    <row r="1285" ht="15.75" customHeight="1">
      <c r="A1285" s="5">
        <v>65.0</v>
      </c>
      <c r="B1285" s="10" t="s">
        <v>1240</v>
      </c>
      <c r="C1285" s="3" t="s">
        <v>1241</v>
      </c>
      <c r="D1285" s="4" t="s">
        <v>8</v>
      </c>
      <c r="E1285" s="5" t="s">
        <v>9</v>
      </c>
      <c r="F1285" s="6" t="s">
        <v>1245</v>
      </c>
      <c r="G1285" s="7">
        <v>45048.0</v>
      </c>
      <c r="H1285" s="8">
        <f t="shared" si="1"/>
        <v>2</v>
      </c>
      <c r="I1285" s="9">
        <f t="shared" si="2"/>
        <v>5</v>
      </c>
      <c r="J1285" s="9">
        <f t="shared" si="3"/>
        <v>2023</v>
      </c>
    </row>
    <row r="1286" ht="15.75" customHeight="1">
      <c r="A1286" s="5">
        <v>65.0</v>
      </c>
      <c r="B1286" s="10" t="s">
        <v>1240</v>
      </c>
      <c r="C1286" s="3" t="s">
        <v>1241</v>
      </c>
      <c r="D1286" s="4" t="s">
        <v>8</v>
      </c>
      <c r="E1286" s="5" t="s">
        <v>21</v>
      </c>
      <c r="F1286" s="6" t="s">
        <v>1246</v>
      </c>
      <c r="G1286" s="7">
        <v>45051.0</v>
      </c>
      <c r="H1286" s="8">
        <f t="shared" si="1"/>
        <v>5</v>
      </c>
      <c r="I1286" s="9">
        <f t="shared" si="2"/>
        <v>5</v>
      </c>
      <c r="J1286" s="9">
        <f t="shared" si="3"/>
        <v>2023</v>
      </c>
    </row>
    <row r="1287" ht="15.75" customHeight="1">
      <c r="A1287" s="5">
        <v>65.0</v>
      </c>
      <c r="B1287" s="10" t="s">
        <v>1240</v>
      </c>
      <c r="C1287" s="3" t="s">
        <v>1241</v>
      </c>
      <c r="D1287" s="4" t="s">
        <v>8</v>
      </c>
      <c r="E1287" s="5" t="s">
        <v>23</v>
      </c>
      <c r="F1287" s="6" t="s">
        <v>1247</v>
      </c>
      <c r="G1287" s="7">
        <v>45052.0</v>
      </c>
      <c r="H1287" s="8">
        <f t="shared" si="1"/>
        <v>6</v>
      </c>
      <c r="I1287" s="9">
        <f t="shared" si="2"/>
        <v>5</v>
      </c>
      <c r="J1287" s="9">
        <f t="shared" si="3"/>
        <v>2023</v>
      </c>
    </row>
    <row r="1288" ht="15.75" customHeight="1">
      <c r="A1288" s="5">
        <v>65.0</v>
      </c>
      <c r="B1288" s="10" t="s">
        <v>1240</v>
      </c>
      <c r="C1288" s="3" t="s">
        <v>1241</v>
      </c>
      <c r="D1288" s="4" t="s">
        <v>8</v>
      </c>
      <c r="E1288" s="5" t="s">
        <v>15</v>
      </c>
      <c r="F1288" s="6" t="s">
        <v>1248</v>
      </c>
      <c r="G1288" s="7">
        <v>45053.0</v>
      </c>
      <c r="H1288" s="8">
        <f t="shared" si="1"/>
        <v>7</v>
      </c>
      <c r="I1288" s="9">
        <f t="shared" si="2"/>
        <v>5</v>
      </c>
      <c r="J1288" s="9">
        <f t="shared" si="3"/>
        <v>2023</v>
      </c>
    </row>
    <row r="1289" ht="15.75" customHeight="1">
      <c r="A1289" s="5">
        <v>65.0</v>
      </c>
      <c r="B1289" s="10" t="s">
        <v>1240</v>
      </c>
      <c r="C1289" s="3" t="s">
        <v>1241</v>
      </c>
      <c r="D1289" s="4" t="s">
        <v>8</v>
      </c>
      <c r="E1289" s="5" t="s">
        <v>35</v>
      </c>
      <c r="F1289" s="6" t="s">
        <v>1249</v>
      </c>
      <c r="G1289" s="7">
        <v>45079.0</v>
      </c>
      <c r="H1289" s="8">
        <f t="shared" si="1"/>
        <v>2</v>
      </c>
      <c r="I1289" s="9">
        <f t="shared" si="2"/>
        <v>6</v>
      </c>
      <c r="J1289" s="9">
        <f t="shared" si="3"/>
        <v>2023</v>
      </c>
    </row>
    <row r="1290" ht="15.75" customHeight="1">
      <c r="A1290" s="5">
        <v>65.0</v>
      </c>
      <c r="B1290" s="10" t="s">
        <v>1240</v>
      </c>
      <c r="C1290" s="3" t="s">
        <v>1241</v>
      </c>
      <c r="D1290" s="4" t="s">
        <v>8</v>
      </c>
      <c r="E1290" s="5" t="s">
        <v>35</v>
      </c>
      <c r="F1290" s="6" t="s">
        <v>1250</v>
      </c>
      <c r="G1290" s="7">
        <v>45091.0</v>
      </c>
      <c r="H1290" s="8">
        <f t="shared" si="1"/>
        <v>14</v>
      </c>
      <c r="I1290" s="9">
        <f t="shared" si="2"/>
        <v>6</v>
      </c>
      <c r="J1290" s="9">
        <f t="shared" si="3"/>
        <v>2023</v>
      </c>
    </row>
    <row r="1291" ht="15.75" customHeight="1">
      <c r="A1291" s="5">
        <v>65.0</v>
      </c>
      <c r="B1291" s="10" t="s">
        <v>1240</v>
      </c>
      <c r="C1291" s="3" t="s">
        <v>1241</v>
      </c>
      <c r="D1291" s="4" t="s">
        <v>8</v>
      </c>
      <c r="E1291" s="5" t="s">
        <v>19</v>
      </c>
      <c r="F1291" s="6" t="s">
        <v>1251</v>
      </c>
      <c r="G1291" s="7">
        <v>45101.0</v>
      </c>
      <c r="H1291" s="8">
        <f t="shared" si="1"/>
        <v>24</v>
      </c>
      <c r="I1291" s="9">
        <f t="shared" si="2"/>
        <v>6</v>
      </c>
      <c r="J1291" s="9">
        <f t="shared" si="3"/>
        <v>2023</v>
      </c>
    </row>
    <row r="1292" ht="15.75" customHeight="1">
      <c r="A1292" s="5">
        <v>65.0</v>
      </c>
      <c r="B1292" s="10" t="s">
        <v>1240</v>
      </c>
      <c r="C1292" s="3" t="s">
        <v>1241</v>
      </c>
      <c r="D1292" s="4" t="s">
        <v>8</v>
      </c>
      <c r="E1292" s="5" t="s">
        <v>23</v>
      </c>
      <c r="F1292" s="6" t="s">
        <v>1252</v>
      </c>
      <c r="G1292" s="7">
        <v>45108.0</v>
      </c>
      <c r="H1292" s="8">
        <f t="shared" si="1"/>
        <v>1</v>
      </c>
      <c r="I1292" s="9">
        <f t="shared" si="2"/>
        <v>7</v>
      </c>
      <c r="J1292" s="9">
        <f t="shared" si="3"/>
        <v>2023</v>
      </c>
    </row>
    <row r="1293" ht="15.75" customHeight="1">
      <c r="A1293" s="5">
        <v>65.0</v>
      </c>
      <c r="B1293" s="10" t="s">
        <v>1240</v>
      </c>
      <c r="C1293" s="3" t="s">
        <v>1241</v>
      </c>
      <c r="D1293" s="4" t="s">
        <v>3</v>
      </c>
      <c r="E1293" s="5" t="s">
        <v>120</v>
      </c>
      <c r="F1293" s="6" t="s">
        <v>1253</v>
      </c>
      <c r="G1293" s="7">
        <v>45112.0</v>
      </c>
      <c r="H1293" s="8">
        <f t="shared" si="1"/>
        <v>5</v>
      </c>
      <c r="I1293" s="9">
        <f t="shared" si="2"/>
        <v>7</v>
      </c>
      <c r="J1293" s="9">
        <f t="shared" si="3"/>
        <v>2023</v>
      </c>
    </row>
    <row r="1294" ht="15.75" customHeight="1">
      <c r="A1294" s="5">
        <v>65.0</v>
      </c>
      <c r="B1294" s="10" t="s">
        <v>1240</v>
      </c>
      <c r="C1294" s="3" t="s">
        <v>1241</v>
      </c>
      <c r="D1294" s="4" t="s">
        <v>3</v>
      </c>
      <c r="E1294" s="5" t="s">
        <v>120</v>
      </c>
      <c r="F1294" s="6" t="s">
        <v>1254</v>
      </c>
      <c r="G1294" s="7">
        <v>45203.0</v>
      </c>
      <c r="H1294" s="8">
        <f t="shared" si="1"/>
        <v>4</v>
      </c>
      <c r="I1294" s="9">
        <f t="shared" si="2"/>
        <v>10</v>
      </c>
      <c r="J1294" s="9">
        <f t="shared" si="3"/>
        <v>2023</v>
      </c>
    </row>
    <row r="1295" ht="15.75" customHeight="1">
      <c r="A1295" s="5">
        <v>65.0</v>
      </c>
      <c r="B1295" s="10" t="s">
        <v>1240</v>
      </c>
      <c r="C1295" s="3" t="s">
        <v>1241</v>
      </c>
      <c r="D1295" s="4" t="s">
        <v>8</v>
      </c>
      <c r="E1295" s="5" t="s">
        <v>39</v>
      </c>
      <c r="F1295" s="6" t="s">
        <v>1255</v>
      </c>
      <c r="G1295" s="7">
        <v>45220.0</v>
      </c>
      <c r="H1295" s="8">
        <f t="shared" si="1"/>
        <v>21</v>
      </c>
      <c r="I1295" s="9">
        <f t="shared" si="2"/>
        <v>10</v>
      </c>
      <c r="J1295" s="9">
        <f t="shared" si="3"/>
        <v>2023</v>
      </c>
    </row>
    <row r="1296" ht="15.75" customHeight="1">
      <c r="A1296" s="5">
        <v>65.0</v>
      </c>
      <c r="B1296" s="10" t="s">
        <v>1240</v>
      </c>
      <c r="C1296" s="3" t="s">
        <v>1241</v>
      </c>
      <c r="D1296" s="4" t="s">
        <v>8</v>
      </c>
      <c r="E1296" s="5" t="s">
        <v>17</v>
      </c>
      <c r="F1296" s="6" t="s">
        <v>686</v>
      </c>
      <c r="G1296" s="7">
        <v>45223.0</v>
      </c>
      <c r="H1296" s="8">
        <f t="shared" si="1"/>
        <v>24</v>
      </c>
      <c r="I1296" s="9">
        <f t="shared" si="2"/>
        <v>10</v>
      </c>
      <c r="J1296" s="9">
        <f t="shared" si="3"/>
        <v>2023</v>
      </c>
    </row>
    <row r="1297" ht="15.75" customHeight="1">
      <c r="A1297" s="5">
        <v>65.0</v>
      </c>
      <c r="B1297" s="10" t="s">
        <v>1240</v>
      </c>
      <c r="C1297" s="3" t="s">
        <v>1241</v>
      </c>
      <c r="D1297" s="4" t="s">
        <v>3</v>
      </c>
      <c r="E1297" s="5" t="s">
        <v>28</v>
      </c>
      <c r="F1297" s="6" t="s">
        <v>1256</v>
      </c>
      <c r="G1297" s="7">
        <v>45225.0</v>
      </c>
      <c r="H1297" s="8">
        <f t="shared" si="1"/>
        <v>26</v>
      </c>
      <c r="I1297" s="9">
        <f t="shared" si="2"/>
        <v>10</v>
      </c>
      <c r="J1297" s="9">
        <f t="shared" si="3"/>
        <v>2023</v>
      </c>
    </row>
    <row r="1298" ht="15.75" customHeight="1">
      <c r="A1298" s="5">
        <v>65.0</v>
      </c>
      <c r="B1298" s="10" t="s">
        <v>1240</v>
      </c>
      <c r="C1298" s="3" t="s">
        <v>1241</v>
      </c>
      <c r="D1298" s="4" t="s">
        <v>3</v>
      </c>
      <c r="E1298" s="5" t="s">
        <v>76</v>
      </c>
      <c r="F1298" s="6" t="s">
        <v>1257</v>
      </c>
      <c r="G1298" s="7">
        <v>45236.0</v>
      </c>
      <c r="H1298" s="8">
        <f t="shared" si="1"/>
        <v>6</v>
      </c>
      <c r="I1298" s="9">
        <f t="shared" si="2"/>
        <v>11</v>
      </c>
      <c r="J1298" s="9">
        <f t="shared" si="3"/>
        <v>2023</v>
      </c>
    </row>
    <row r="1299" ht="15.75" customHeight="1">
      <c r="A1299" s="5">
        <v>65.0</v>
      </c>
      <c r="B1299" s="10" t="s">
        <v>1240</v>
      </c>
      <c r="C1299" s="3" t="s">
        <v>1241</v>
      </c>
      <c r="D1299" s="4" t="s">
        <v>3</v>
      </c>
      <c r="E1299" s="5" t="s">
        <v>21</v>
      </c>
      <c r="F1299" s="6" t="s">
        <v>1218</v>
      </c>
      <c r="G1299" s="7">
        <v>45249.0</v>
      </c>
      <c r="H1299" s="8">
        <f t="shared" si="1"/>
        <v>19</v>
      </c>
      <c r="I1299" s="9">
        <f t="shared" si="2"/>
        <v>11</v>
      </c>
      <c r="J1299" s="9">
        <f t="shared" si="3"/>
        <v>2023</v>
      </c>
    </row>
    <row r="1300" ht="15.75" customHeight="1">
      <c r="A1300" s="5">
        <v>65.0</v>
      </c>
      <c r="B1300" s="10" t="s">
        <v>1240</v>
      </c>
      <c r="C1300" s="3" t="s">
        <v>1241</v>
      </c>
      <c r="D1300" s="4" t="s">
        <v>3</v>
      </c>
      <c r="E1300" s="5" t="s">
        <v>35</v>
      </c>
      <c r="F1300" s="6" t="s">
        <v>893</v>
      </c>
      <c r="G1300" s="7">
        <v>45271.0</v>
      </c>
      <c r="H1300" s="8">
        <f t="shared" si="1"/>
        <v>11</v>
      </c>
      <c r="I1300" s="9">
        <f t="shared" si="2"/>
        <v>12</v>
      </c>
      <c r="J1300" s="9">
        <f t="shared" si="3"/>
        <v>2023</v>
      </c>
    </row>
    <row r="1301" ht="15.75" customHeight="1">
      <c r="A1301" s="5">
        <v>66.0</v>
      </c>
      <c r="B1301" s="10" t="s">
        <v>1258</v>
      </c>
      <c r="C1301" s="3" t="s">
        <v>1259</v>
      </c>
      <c r="D1301" s="4" t="s">
        <v>8</v>
      </c>
      <c r="E1301" s="5" t="s">
        <v>51</v>
      </c>
      <c r="F1301" s="6" t="s">
        <v>1260</v>
      </c>
      <c r="G1301" s="7">
        <v>44941.0</v>
      </c>
      <c r="H1301" s="8">
        <f t="shared" si="1"/>
        <v>15</v>
      </c>
      <c r="I1301" s="9">
        <f t="shared" si="2"/>
        <v>1</v>
      </c>
      <c r="J1301" s="9">
        <f t="shared" si="3"/>
        <v>2023</v>
      </c>
    </row>
    <row r="1302" ht="15.75" customHeight="1">
      <c r="A1302" s="5">
        <v>66.0</v>
      </c>
      <c r="B1302" s="10" t="s">
        <v>1258</v>
      </c>
      <c r="C1302" s="3" t="s">
        <v>1259</v>
      </c>
      <c r="D1302" s="4" t="s">
        <v>3</v>
      </c>
      <c r="E1302" s="5" t="s">
        <v>120</v>
      </c>
      <c r="F1302" s="6" t="s">
        <v>1261</v>
      </c>
      <c r="G1302" s="7">
        <v>44949.0</v>
      </c>
      <c r="H1302" s="8">
        <f t="shared" si="1"/>
        <v>23</v>
      </c>
      <c r="I1302" s="9">
        <f t="shared" si="2"/>
        <v>1</v>
      </c>
      <c r="J1302" s="9">
        <f t="shared" si="3"/>
        <v>2023</v>
      </c>
    </row>
    <row r="1303" ht="15.75" customHeight="1">
      <c r="A1303" s="5">
        <v>66.0</v>
      </c>
      <c r="B1303" s="10" t="s">
        <v>1258</v>
      </c>
      <c r="C1303" s="3" t="s">
        <v>1259</v>
      </c>
      <c r="D1303" s="4" t="s">
        <v>8</v>
      </c>
      <c r="E1303" s="5" t="s">
        <v>96</v>
      </c>
      <c r="F1303" s="6" t="s">
        <v>1262</v>
      </c>
      <c r="G1303" s="7">
        <v>44962.0</v>
      </c>
      <c r="H1303" s="8">
        <f t="shared" si="1"/>
        <v>5</v>
      </c>
      <c r="I1303" s="9">
        <f t="shared" si="2"/>
        <v>2</v>
      </c>
      <c r="J1303" s="9">
        <f t="shared" si="3"/>
        <v>2023</v>
      </c>
    </row>
    <row r="1304" ht="15.75" customHeight="1">
      <c r="A1304" s="5">
        <v>66.0</v>
      </c>
      <c r="B1304" s="10" t="s">
        <v>1258</v>
      </c>
      <c r="C1304" s="3" t="s">
        <v>1259</v>
      </c>
      <c r="D1304" s="4" t="s">
        <v>8</v>
      </c>
      <c r="E1304" s="5" t="s">
        <v>11</v>
      </c>
      <c r="F1304" s="6" t="s">
        <v>1263</v>
      </c>
      <c r="G1304" s="7">
        <v>44972.0</v>
      </c>
      <c r="H1304" s="8">
        <f t="shared" si="1"/>
        <v>15</v>
      </c>
      <c r="I1304" s="9">
        <f t="shared" si="2"/>
        <v>2</v>
      </c>
      <c r="J1304" s="9">
        <f t="shared" si="3"/>
        <v>2023</v>
      </c>
    </row>
    <row r="1305" ht="15.75" customHeight="1">
      <c r="A1305" s="5">
        <v>66.0</v>
      </c>
      <c r="B1305" s="10" t="s">
        <v>1258</v>
      </c>
      <c r="C1305" s="3" t="s">
        <v>1259</v>
      </c>
      <c r="D1305" s="4" t="s">
        <v>3</v>
      </c>
      <c r="E1305" s="5" t="s">
        <v>4</v>
      </c>
      <c r="F1305" s="6" t="s">
        <v>1264</v>
      </c>
      <c r="G1305" s="7">
        <v>44984.0</v>
      </c>
      <c r="H1305" s="8">
        <f t="shared" si="1"/>
        <v>27</v>
      </c>
      <c r="I1305" s="9">
        <f t="shared" si="2"/>
        <v>2</v>
      </c>
      <c r="J1305" s="9">
        <f t="shared" si="3"/>
        <v>2023</v>
      </c>
    </row>
    <row r="1306" ht="15.75" customHeight="1">
      <c r="A1306" s="5">
        <v>66.0</v>
      </c>
      <c r="B1306" s="10" t="s">
        <v>1258</v>
      </c>
      <c r="C1306" s="3" t="s">
        <v>1259</v>
      </c>
      <c r="D1306" s="4" t="s">
        <v>8</v>
      </c>
      <c r="E1306" s="5" t="s">
        <v>23</v>
      </c>
      <c r="F1306" s="6" t="s">
        <v>1265</v>
      </c>
      <c r="G1306" s="7">
        <v>44994.0</v>
      </c>
      <c r="H1306" s="8">
        <f t="shared" si="1"/>
        <v>9</v>
      </c>
      <c r="I1306" s="9">
        <f t="shared" si="2"/>
        <v>3</v>
      </c>
      <c r="J1306" s="9">
        <f t="shared" si="3"/>
        <v>2023</v>
      </c>
    </row>
    <row r="1307" ht="15.75" customHeight="1">
      <c r="A1307" s="5">
        <v>66.0</v>
      </c>
      <c r="B1307" s="10" t="s">
        <v>1258</v>
      </c>
      <c r="C1307" s="3" t="s">
        <v>1259</v>
      </c>
      <c r="D1307" s="4" t="s">
        <v>3</v>
      </c>
      <c r="E1307" s="5" t="s">
        <v>6</v>
      </c>
      <c r="F1307" s="6" t="s">
        <v>1266</v>
      </c>
      <c r="G1307" s="7">
        <v>45009.0</v>
      </c>
      <c r="H1307" s="8">
        <f t="shared" si="1"/>
        <v>24</v>
      </c>
      <c r="I1307" s="9">
        <f t="shared" si="2"/>
        <v>3</v>
      </c>
      <c r="J1307" s="9">
        <f t="shared" si="3"/>
        <v>2023</v>
      </c>
    </row>
    <row r="1308" ht="15.75" customHeight="1">
      <c r="A1308" s="5">
        <v>66.0</v>
      </c>
      <c r="B1308" s="10" t="s">
        <v>1258</v>
      </c>
      <c r="C1308" s="3" t="s">
        <v>1259</v>
      </c>
      <c r="D1308" s="4" t="s">
        <v>8</v>
      </c>
      <c r="E1308" s="5" t="s">
        <v>71</v>
      </c>
      <c r="F1308" s="6" t="s">
        <v>1267</v>
      </c>
      <c r="G1308" s="7">
        <v>45011.0</v>
      </c>
      <c r="H1308" s="8">
        <f t="shared" si="1"/>
        <v>26</v>
      </c>
      <c r="I1308" s="9">
        <f t="shared" si="2"/>
        <v>3</v>
      </c>
      <c r="J1308" s="9">
        <f t="shared" si="3"/>
        <v>2023</v>
      </c>
    </row>
    <row r="1309" ht="15.75" customHeight="1">
      <c r="A1309" s="5">
        <v>66.0</v>
      </c>
      <c r="B1309" s="10" t="s">
        <v>1258</v>
      </c>
      <c r="C1309" s="3" t="s">
        <v>1259</v>
      </c>
      <c r="D1309" s="4" t="s">
        <v>8</v>
      </c>
      <c r="E1309" s="5" t="s">
        <v>4</v>
      </c>
      <c r="F1309" s="6" t="s">
        <v>1268</v>
      </c>
      <c r="G1309" s="7">
        <v>45041.0</v>
      </c>
      <c r="H1309" s="8">
        <f t="shared" si="1"/>
        <v>25</v>
      </c>
      <c r="I1309" s="9">
        <f t="shared" si="2"/>
        <v>4</v>
      </c>
      <c r="J1309" s="9">
        <f t="shared" si="3"/>
        <v>2023</v>
      </c>
    </row>
    <row r="1310" ht="15.75" customHeight="1">
      <c r="A1310" s="5">
        <v>66.0</v>
      </c>
      <c r="B1310" s="10" t="s">
        <v>1258</v>
      </c>
      <c r="C1310" s="3" t="s">
        <v>1259</v>
      </c>
      <c r="D1310" s="4" t="s">
        <v>8</v>
      </c>
      <c r="E1310" s="5" t="s">
        <v>39</v>
      </c>
      <c r="F1310" s="6" t="s">
        <v>1269</v>
      </c>
      <c r="G1310" s="7">
        <v>45069.0</v>
      </c>
      <c r="H1310" s="8">
        <f t="shared" si="1"/>
        <v>23</v>
      </c>
      <c r="I1310" s="9">
        <f t="shared" si="2"/>
        <v>5</v>
      </c>
      <c r="J1310" s="9">
        <f t="shared" si="3"/>
        <v>2023</v>
      </c>
    </row>
    <row r="1311" ht="15.75" customHeight="1">
      <c r="A1311" s="5">
        <v>66.0</v>
      </c>
      <c r="B1311" s="10" t="s">
        <v>1258</v>
      </c>
      <c r="C1311" s="3" t="s">
        <v>1259</v>
      </c>
      <c r="D1311" s="4" t="s">
        <v>3</v>
      </c>
      <c r="E1311" s="5" t="s">
        <v>23</v>
      </c>
      <c r="F1311" s="6" t="s">
        <v>1042</v>
      </c>
      <c r="G1311" s="7">
        <v>45073.0</v>
      </c>
      <c r="H1311" s="8">
        <f t="shared" si="1"/>
        <v>27</v>
      </c>
      <c r="I1311" s="9">
        <f t="shared" si="2"/>
        <v>5</v>
      </c>
      <c r="J1311" s="9">
        <f t="shared" si="3"/>
        <v>2023</v>
      </c>
    </row>
    <row r="1312" ht="15.75" customHeight="1">
      <c r="A1312" s="5">
        <v>66.0</v>
      </c>
      <c r="B1312" s="10" t="s">
        <v>1258</v>
      </c>
      <c r="C1312" s="3" t="s">
        <v>1259</v>
      </c>
      <c r="D1312" s="4" t="s">
        <v>8</v>
      </c>
      <c r="E1312" s="5" t="s">
        <v>17</v>
      </c>
      <c r="F1312" s="6" t="s">
        <v>1270</v>
      </c>
      <c r="G1312" s="7">
        <v>45086.0</v>
      </c>
      <c r="H1312" s="8">
        <f t="shared" si="1"/>
        <v>9</v>
      </c>
      <c r="I1312" s="9">
        <f t="shared" si="2"/>
        <v>6</v>
      </c>
      <c r="J1312" s="9">
        <f t="shared" si="3"/>
        <v>2023</v>
      </c>
    </row>
    <row r="1313" ht="15.75" customHeight="1">
      <c r="A1313" s="5">
        <v>66.0</v>
      </c>
      <c r="B1313" s="10" t="s">
        <v>1258</v>
      </c>
      <c r="C1313" s="3" t="s">
        <v>1259</v>
      </c>
      <c r="D1313" s="4" t="s">
        <v>8</v>
      </c>
      <c r="E1313" s="5" t="s">
        <v>4</v>
      </c>
      <c r="F1313" s="6" t="s">
        <v>1271</v>
      </c>
      <c r="G1313" s="7">
        <v>45089.0</v>
      </c>
      <c r="H1313" s="8">
        <f t="shared" si="1"/>
        <v>12</v>
      </c>
      <c r="I1313" s="9">
        <f t="shared" si="2"/>
        <v>6</v>
      </c>
      <c r="J1313" s="9">
        <f t="shared" si="3"/>
        <v>2023</v>
      </c>
    </row>
    <row r="1314" ht="15.75" customHeight="1">
      <c r="A1314" s="5">
        <v>66.0</v>
      </c>
      <c r="B1314" s="10" t="s">
        <v>1258</v>
      </c>
      <c r="C1314" s="3" t="s">
        <v>1259</v>
      </c>
      <c r="D1314" s="4" t="s">
        <v>8</v>
      </c>
      <c r="E1314" s="5" t="s">
        <v>51</v>
      </c>
      <c r="F1314" s="6" t="s">
        <v>1272</v>
      </c>
      <c r="G1314" s="7">
        <v>45148.0</v>
      </c>
      <c r="H1314" s="8">
        <f t="shared" si="1"/>
        <v>10</v>
      </c>
      <c r="I1314" s="9">
        <f t="shared" si="2"/>
        <v>8</v>
      </c>
      <c r="J1314" s="9">
        <f t="shared" si="3"/>
        <v>2023</v>
      </c>
    </row>
    <row r="1315" ht="15.75" customHeight="1">
      <c r="A1315" s="5">
        <v>66.0</v>
      </c>
      <c r="B1315" s="10" t="s">
        <v>1258</v>
      </c>
      <c r="C1315" s="3" t="s">
        <v>1259</v>
      </c>
      <c r="D1315" s="4" t="s">
        <v>3</v>
      </c>
      <c r="E1315" s="5" t="s">
        <v>13</v>
      </c>
      <c r="F1315" s="6" t="s">
        <v>1273</v>
      </c>
      <c r="G1315" s="7">
        <v>45170.0</v>
      </c>
      <c r="H1315" s="8">
        <f t="shared" si="1"/>
        <v>1</v>
      </c>
      <c r="I1315" s="9">
        <f t="shared" si="2"/>
        <v>9</v>
      </c>
      <c r="J1315" s="9">
        <f t="shared" si="3"/>
        <v>2023</v>
      </c>
    </row>
    <row r="1316" ht="15.75" customHeight="1">
      <c r="A1316" s="5">
        <v>66.0</v>
      </c>
      <c r="B1316" s="10" t="s">
        <v>1258</v>
      </c>
      <c r="C1316" s="3" t="s">
        <v>1259</v>
      </c>
      <c r="D1316" s="4" t="s">
        <v>3</v>
      </c>
      <c r="E1316" s="5" t="s">
        <v>51</v>
      </c>
      <c r="F1316" s="6" t="s">
        <v>1274</v>
      </c>
      <c r="G1316" s="7">
        <v>45173.0</v>
      </c>
      <c r="H1316" s="8">
        <f t="shared" si="1"/>
        <v>4</v>
      </c>
      <c r="I1316" s="9">
        <f t="shared" si="2"/>
        <v>9</v>
      </c>
      <c r="J1316" s="9">
        <f t="shared" si="3"/>
        <v>2023</v>
      </c>
    </row>
    <row r="1317" ht="15.75" customHeight="1">
      <c r="A1317" s="5">
        <v>66.0</v>
      </c>
      <c r="B1317" s="10" t="s">
        <v>1258</v>
      </c>
      <c r="C1317" s="3" t="s">
        <v>1259</v>
      </c>
      <c r="D1317" s="4" t="s">
        <v>3</v>
      </c>
      <c r="E1317" s="5" t="s">
        <v>6</v>
      </c>
      <c r="F1317" s="6" t="s">
        <v>1275</v>
      </c>
      <c r="G1317" s="7">
        <v>45245.0</v>
      </c>
      <c r="H1317" s="8">
        <f t="shared" si="1"/>
        <v>15</v>
      </c>
      <c r="I1317" s="9">
        <f t="shared" si="2"/>
        <v>11</v>
      </c>
      <c r="J1317" s="9">
        <f t="shared" si="3"/>
        <v>2023</v>
      </c>
    </row>
    <row r="1318" ht="15.75" customHeight="1">
      <c r="A1318" s="5">
        <v>66.0</v>
      </c>
      <c r="B1318" s="10" t="s">
        <v>1258</v>
      </c>
      <c r="C1318" s="3" t="s">
        <v>1259</v>
      </c>
      <c r="D1318" s="4" t="s">
        <v>3</v>
      </c>
      <c r="E1318" s="5" t="s">
        <v>45</v>
      </c>
      <c r="F1318" s="6" t="s">
        <v>1276</v>
      </c>
      <c r="G1318" s="7">
        <v>45251.0</v>
      </c>
      <c r="H1318" s="8">
        <f t="shared" si="1"/>
        <v>21</v>
      </c>
      <c r="I1318" s="9">
        <f t="shared" si="2"/>
        <v>11</v>
      </c>
      <c r="J1318" s="9">
        <f t="shared" si="3"/>
        <v>2023</v>
      </c>
    </row>
    <row r="1319" ht="15.75" customHeight="1">
      <c r="A1319" s="5">
        <v>66.0</v>
      </c>
      <c r="B1319" s="10" t="s">
        <v>1258</v>
      </c>
      <c r="C1319" s="3" t="s">
        <v>1259</v>
      </c>
      <c r="D1319" s="4" t="s">
        <v>3</v>
      </c>
      <c r="E1319" s="5" t="s">
        <v>13</v>
      </c>
      <c r="F1319" s="6" t="s">
        <v>1277</v>
      </c>
      <c r="G1319" s="7">
        <v>45255.0</v>
      </c>
      <c r="H1319" s="8">
        <f t="shared" si="1"/>
        <v>25</v>
      </c>
      <c r="I1319" s="9">
        <f t="shared" si="2"/>
        <v>11</v>
      </c>
      <c r="J1319" s="9">
        <f t="shared" si="3"/>
        <v>2023</v>
      </c>
    </row>
    <row r="1320" ht="15.75" customHeight="1">
      <c r="A1320" s="5">
        <v>66.0</v>
      </c>
      <c r="B1320" s="10" t="s">
        <v>1258</v>
      </c>
      <c r="C1320" s="3" t="s">
        <v>1259</v>
      </c>
      <c r="D1320" s="4" t="s">
        <v>8</v>
      </c>
      <c r="E1320" s="5" t="s">
        <v>15</v>
      </c>
      <c r="F1320" s="6" t="s">
        <v>782</v>
      </c>
      <c r="G1320" s="7">
        <v>45270.0</v>
      </c>
      <c r="H1320" s="8">
        <f t="shared" si="1"/>
        <v>10</v>
      </c>
      <c r="I1320" s="9">
        <f t="shared" si="2"/>
        <v>12</v>
      </c>
      <c r="J1320" s="9">
        <f t="shared" si="3"/>
        <v>2023</v>
      </c>
    </row>
    <row r="1321" ht="15.75" customHeight="1">
      <c r="A1321" s="5">
        <v>67.0</v>
      </c>
      <c r="B1321" s="10" t="s">
        <v>1278</v>
      </c>
      <c r="C1321" s="3" t="s">
        <v>1279</v>
      </c>
      <c r="D1321" s="4" t="s">
        <v>3</v>
      </c>
      <c r="E1321" s="5" t="s">
        <v>9</v>
      </c>
      <c r="F1321" s="6" t="s">
        <v>1280</v>
      </c>
      <c r="G1321" s="7">
        <v>44953.0</v>
      </c>
      <c r="H1321" s="8">
        <f t="shared" si="1"/>
        <v>27</v>
      </c>
      <c r="I1321" s="9">
        <f t="shared" si="2"/>
        <v>1</v>
      </c>
      <c r="J1321" s="9">
        <f t="shared" si="3"/>
        <v>2023</v>
      </c>
    </row>
    <row r="1322" ht="15.75" customHeight="1">
      <c r="A1322" s="5">
        <v>67.0</v>
      </c>
      <c r="B1322" s="10" t="s">
        <v>1278</v>
      </c>
      <c r="C1322" s="3" t="s">
        <v>1279</v>
      </c>
      <c r="D1322" s="4" t="s">
        <v>8</v>
      </c>
      <c r="E1322" s="5" t="s">
        <v>39</v>
      </c>
      <c r="F1322" s="6" t="s">
        <v>1281</v>
      </c>
      <c r="G1322" s="7">
        <v>44959.0</v>
      </c>
      <c r="H1322" s="8">
        <f t="shared" si="1"/>
        <v>2</v>
      </c>
      <c r="I1322" s="9">
        <f t="shared" si="2"/>
        <v>2</v>
      </c>
      <c r="J1322" s="9">
        <f t="shared" si="3"/>
        <v>2023</v>
      </c>
    </row>
    <row r="1323" ht="15.75" customHeight="1">
      <c r="A1323" s="5">
        <v>67.0</v>
      </c>
      <c r="B1323" s="10" t="s">
        <v>1278</v>
      </c>
      <c r="C1323" s="3" t="s">
        <v>1279</v>
      </c>
      <c r="D1323" s="4" t="s">
        <v>3</v>
      </c>
      <c r="E1323" s="5" t="s">
        <v>6</v>
      </c>
      <c r="F1323" s="6" t="s">
        <v>1282</v>
      </c>
      <c r="G1323" s="7">
        <v>44967.0</v>
      </c>
      <c r="H1323" s="8">
        <f t="shared" si="1"/>
        <v>10</v>
      </c>
      <c r="I1323" s="9">
        <f t="shared" si="2"/>
        <v>2</v>
      </c>
      <c r="J1323" s="9">
        <f t="shared" si="3"/>
        <v>2023</v>
      </c>
    </row>
    <row r="1324" ht="15.75" customHeight="1">
      <c r="A1324" s="5">
        <v>67.0</v>
      </c>
      <c r="B1324" s="10" t="s">
        <v>1278</v>
      </c>
      <c r="C1324" s="3" t="s">
        <v>1279</v>
      </c>
      <c r="D1324" s="4" t="s">
        <v>3</v>
      </c>
      <c r="E1324" s="5" t="s">
        <v>23</v>
      </c>
      <c r="F1324" s="6" t="s">
        <v>1283</v>
      </c>
      <c r="G1324" s="7">
        <v>44971.0</v>
      </c>
      <c r="H1324" s="8">
        <f t="shared" si="1"/>
        <v>14</v>
      </c>
      <c r="I1324" s="9">
        <f t="shared" si="2"/>
        <v>2</v>
      </c>
      <c r="J1324" s="9">
        <f t="shared" si="3"/>
        <v>2023</v>
      </c>
    </row>
    <row r="1325" ht="15.75" customHeight="1">
      <c r="A1325" s="5">
        <v>67.0</v>
      </c>
      <c r="B1325" s="10" t="s">
        <v>1278</v>
      </c>
      <c r="C1325" s="3" t="s">
        <v>1279</v>
      </c>
      <c r="D1325" s="4" t="s">
        <v>8</v>
      </c>
      <c r="E1325" s="5" t="s">
        <v>76</v>
      </c>
      <c r="F1325" s="6" t="s">
        <v>1284</v>
      </c>
      <c r="G1325" s="7">
        <v>44974.0</v>
      </c>
      <c r="H1325" s="8">
        <f t="shared" si="1"/>
        <v>17</v>
      </c>
      <c r="I1325" s="9">
        <f t="shared" si="2"/>
        <v>2</v>
      </c>
      <c r="J1325" s="9">
        <f t="shared" si="3"/>
        <v>2023</v>
      </c>
    </row>
    <row r="1326" ht="15.75" customHeight="1">
      <c r="A1326" s="5">
        <v>67.0</v>
      </c>
      <c r="B1326" s="10" t="s">
        <v>1278</v>
      </c>
      <c r="C1326" s="3" t="s">
        <v>1279</v>
      </c>
      <c r="D1326" s="4" t="s">
        <v>8</v>
      </c>
      <c r="E1326" s="5" t="s">
        <v>21</v>
      </c>
      <c r="F1326" s="6" t="s">
        <v>1285</v>
      </c>
      <c r="G1326" s="7">
        <v>45003.0</v>
      </c>
      <c r="H1326" s="8">
        <f t="shared" si="1"/>
        <v>18</v>
      </c>
      <c r="I1326" s="9">
        <f t="shared" si="2"/>
        <v>3</v>
      </c>
      <c r="J1326" s="9">
        <f t="shared" si="3"/>
        <v>2023</v>
      </c>
    </row>
    <row r="1327" ht="15.75" customHeight="1">
      <c r="A1327" s="5">
        <v>67.0</v>
      </c>
      <c r="B1327" s="10" t="s">
        <v>1278</v>
      </c>
      <c r="C1327" s="3" t="s">
        <v>1279</v>
      </c>
      <c r="D1327" s="4" t="s">
        <v>8</v>
      </c>
      <c r="E1327" s="5" t="s">
        <v>23</v>
      </c>
      <c r="F1327" s="6" t="s">
        <v>1286</v>
      </c>
      <c r="G1327" s="7">
        <v>45004.0</v>
      </c>
      <c r="H1327" s="8">
        <f t="shared" si="1"/>
        <v>19</v>
      </c>
      <c r="I1327" s="9">
        <f t="shared" si="2"/>
        <v>3</v>
      </c>
      <c r="J1327" s="9">
        <f t="shared" si="3"/>
        <v>2023</v>
      </c>
    </row>
    <row r="1328" ht="15.75" customHeight="1">
      <c r="A1328" s="5">
        <v>67.0</v>
      </c>
      <c r="B1328" s="10" t="s">
        <v>1278</v>
      </c>
      <c r="C1328" s="3" t="s">
        <v>1279</v>
      </c>
      <c r="D1328" s="4" t="s">
        <v>3</v>
      </c>
      <c r="E1328" s="5" t="s">
        <v>76</v>
      </c>
      <c r="F1328" s="6" t="s">
        <v>1287</v>
      </c>
      <c r="G1328" s="7">
        <v>45023.0</v>
      </c>
      <c r="H1328" s="8">
        <f t="shared" si="1"/>
        <v>7</v>
      </c>
      <c r="I1328" s="9">
        <f t="shared" si="2"/>
        <v>4</v>
      </c>
      <c r="J1328" s="9">
        <f t="shared" si="3"/>
        <v>2023</v>
      </c>
    </row>
    <row r="1329" ht="15.75" customHeight="1">
      <c r="A1329" s="5">
        <v>67.0</v>
      </c>
      <c r="B1329" s="10" t="s">
        <v>1278</v>
      </c>
      <c r="C1329" s="3" t="s">
        <v>1279</v>
      </c>
      <c r="D1329" s="4" t="s">
        <v>8</v>
      </c>
      <c r="E1329" s="5" t="s">
        <v>6</v>
      </c>
      <c r="F1329" s="6" t="s">
        <v>1288</v>
      </c>
      <c r="G1329" s="7">
        <v>45051.0</v>
      </c>
      <c r="H1329" s="8">
        <f t="shared" si="1"/>
        <v>5</v>
      </c>
      <c r="I1329" s="9">
        <f t="shared" si="2"/>
        <v>5</v>
      </c>
      <c r="J1329" s="9">
        <f t="shared" si="3"/>
        <v>2023</v>
      </c>
    </row>
    <row r="1330" ht="15.75" customHeight="1">
      <c r="A1330" s="5">
        <v>67.0</v>
      </c>
      <c r="B1330" s="10" t="s">
        <v>1278</v>
      </c>
      <c r="C1330" s="3" t="s">
        <v>1279</v>
      </c>
      <c r="D1330" s="4" t="s">
        <v>3</v>
      </c>
      <c r="E1330" s="5" t="s">
        <v>96</v>
      </c>
      <c r="F1330" s="6" t="s">
        <v>774</v>
      </c>
      <c r="G1330" s="7">
        <v>45082.0</v>
      </c>
      <c r="H1330" s="8">
        <f t="shared" si="1"/>
        <v>5</v>
      </c>
      <c r="I1330" s="9">
        <f t="shared" si="2"/>
        <v>6</v>
      </c>
      <c r="J1330" s="9">
        <f t="shared" si="3"/>
        <v>2023</v>
      </c>
    </row>
    <row r="1331" ht="15.75" customHeight="1">
      <c r="A1331" s="5">
        <v>67.0</v>
      </c>
      <c r="B1331" s="10" t="s">
        <v>1278</v>
      </c>
      <c r="C1331" s="3" t="s">
        <v>1279</v>
      </c>
      <c r="D1331" s="4" t="s">
        <v>8</v>
      </c>
      <c r="E1331" s="5" t="s">
        <v>15</v>
      </c>
      <c r="F1331" s="6" t="s">
        <v>1289</v>
      </c>
      <c r="G1331" s="7">
        <v>45086.0</v>
      </c>
      <c r="H1331" s="8">
        <f t="shared" si="1"/>
        <v>9</v>
      </c>
      <c r="I1331" s="9">
        <f t="shared" si="2"/>
        <v>6</v>
      </c>
      <c r="J1331" s="9">
        <f t="shared" si="3"/>
        <v>2023</v>
      </c>
    </row>
    <row r="1332" ht="15.75" customHeight="1">
      <c r="A1332" s="5">
        <v>67.0</v>
      </c>
      <c r="B1332" s="10" t="s">
        <v>1278</v>
      </c>
      <c r="C1332" s="3" t="s">
        <v>1279</v>
      </c>
      <c r="D1332" s="4" t="s">
        <v>8</v>
      </c>
      <c r="E1332" s="5" t="s">
        <v>15</v>
      </c>
      <c r="F1332" s="6" t="s">
        <v>1290</v>
      </c>
      <c r="G1332" s="7">
        <v>45089.0</v>
      </c>
      <c r="H1332" s="8">
        <f t="shared" si="1"/>
        <v>12</v>
      </c>
      <c r="I1332" s="9">
        <f t="shared" si="2"/>
        <v>6</v>
      </c>
      <c r="J1332" s="9">
        <f t="shared" si="3"/>
        <v>2023</v>
      </c>
    </row>
    <row r="1333" ht="15.75" customHeight="1">
      <c r="A1333" s="5">
        <v>67.0</v>
      </c>
      <c r="B1333" s="10" t="s">
        <v>1278</v>
      </c>
      <c r="C1333" s="3" t="s">
        <v>1279</v>
      </c>
      <c r="D1333" s="4" t="s">
        <v>3</v>
      </c>
      <c r="E1333" s="5" t="s">
        <v>9</v>
      </c>
      <c r="F1333" s="6" t="s">
        <v>1291</v>
      </c>
      <c r="G1333" s="7">
        <v>45105.0</v>
      </c>
      <c r="H1333" s="8">
        <f t="shared" si="1"/>
        <v>28</v>
      </c>
      <c r="I1333" s="9">
        <f t="shared" si="2"/>
        <v>6</v>
      </c>
      <c r="J1333" s="9">
        <f t="shared" si="3"/>
        <v>2023</v>
      </c>
    </row>
    <row r="1334" ht="15.75" customHeight="1">
      <c r="A1334" s="5">
        <v>67.0</v>
      </c>
      <c r="B1334" s="10" t="s">
        <v>1278</v>
      </c>
      <c r="C1334" s="3" t="s">
        <v>1279</v>
      </c>
      <c r="D1334" s="4" t="s">
        <v>3</v>
      </c>
      <c r="E1334" s="5" t="s">
        <v>17</v>
      </c>
      <c r="F1334" s="6" t="s">
        <v>1292</v>
      </c>
      <c r="G1334" s="7">
        <v>45193.0</v>
      </c>
      <c r="H1334" s="8">
        <f t="shared" si="1"/>
        <v>24</v>
      </c>
      <c r="I1334" s="9">
        <f t="shared" si="2"/>
        <v>9</v>
      </c>
      <c r="J1334" s="9">
        <f t="shared" si="3"/>
        <v>2023</v>
      </c>
    </row>
    <row r="1335" ht="15.75" customHeight="1">
      <c r="A1335" s="5">
        <v>67.0</v>
      </c>
      <c r="B1335" s="10" t="s">
        <v>1278</v>
      </c>
      <c r="C1335" s="3" t="s">
        <v>1279</v>
      </c>
      <c r="D1335" s="4" t="s">
        <v>3</v>
      </c>
      <c r="E1335" s="5" t="s">
        <v>17</v>
      </c>
      <c r="F1335" s="6" t="s">
        <v>335</v>
      </c>
      <c r="G1335" s="7">
        <v>45216.0</v>
      </c>
      <c r="H1335" s="8">
        <f t="shared" si="1"/>
        <v>17</v>
      </c>
      <c r="I1335" s="9">
        <f t="shared" si="2"/>
        <v>10</v>
      </c>
      <c r="J1335" s="9">
        <f t="shared" si="3"/>
        <v>2023</v>
      </c>
    </row>
    <row r="1336" ht="15.75" customHeight="1">
      <c r="A1336" s="5">
        <v>67.0</v>
      </c>
      <c r="B1336" s="10" t="s">
        <v>1278</v>
      </c>
      <c r="C1336" s="3" t="s">
        <v>1279</v>
      </c>
      <c r="D1336" s="4" t="s">
        <v>3</v>
      </c>
      <c r="E1336" s="5" t="s">
        <v>21</v>
      </c>
      <c r="F1336" s="6" t="s">
        <v>802</v>
      </c>
      <c r="G1336" s="7">
        <v>45255.0</v>
      </c>
      <c r="H1336" s="8">
        <f t="shared" si="1"/>
        <v>25</v>
      </c>
      <c r="I1336" s="9">
        <f t="shared" si="2"/>
        <v>11</v>
      </c>
      <c r="J1336" s="9">
        <f t="shared" si="3"/>
        <v>2023</v>
      </c>
    </row>
    <row r="1337" ht="15.75" customHeight="1">
      <c r="A1337" s="5">
        <v>67.0</v>
      </c>
      <c r="B1337" s="10" t="s">
        <v>1278</v>
      </c>
      <c r="C1337" s="3" t="s">
        <v>1279</v>
      </c>
      <c r="D1337" s="4" t="s">
        <v>3</v>
      </c>
      <c r="E1337" s="5" t="s">
        <v>35</v>
      </c>
      <c r="F1337" s="6" t="s">
        <v>1293</v>
      </c>
      <c r="G1337" s="7">
        <v>45273.0</v>
      </c>
      <c r="H1337" s="8">
        <f t="shared" si="1"/>
        <v>13</v>
      </c>
      <c r="I1337" s="9">
        <f t="shared" si="2"/>
        <v>12</v>
      </c>
      <c r="J1337" s="9">
        <f t="shared" si="3"/>
        <v>2023</v>
      </c>
    </row>
    <row r="1338" ht="15.75" customHeight="1">
      <c r="A1338" s="5">
        <v>67.0</v>
      </c>
      <c r="B1338" s="10" t="s">
        <v>1278</v>
      </c>
      <c r="C1338" s="3" t="s">
        <v>1279</v>
      </c>
      <c r="D1338" s="4" t="s">
        <v>3</v>
      </c>
      <c r="E1338" s="5" t="s">
        <v>19</v>
      </c>
      <c r="F1338" s="6" t="s">
        <v>1294</v>
      </c>
      <c r="G1338" s="7">
        <v>45275.0</v>
      </c>
      <c r="H1338" s="8">
        <f t="shared" si="1"/>
        <v>15</v>
      </c>
      <c r="I1338" s="9">
        <f t="shared" si="2"/>
        <v>12</v>
      </c>
      <c r="J1338" s="9">
        <f t="shared" si="3"/>
        <v>2023</v>
      </c>
    </row>
    <row r="1339" ht="15.75" customHeight="1">
      <c r="A1339" s="5">
        <v>67.0</v>
      </c>
      <c r="B1339" s="10" t="s">
        <v>1278</v>
      </c>
      <c r="C1339" s="3" t="s">
        <v>1279</v>
      </c>
      <c r="D1339" s="4" t="s">
        <v>8</v>
      </c>
      <c r="E1339" s="5" t="s">
        <v>21</v>
      </c>
      <c r="F1339" s="6" t="s">
        <v>1295</v>
      </c>
      <c r="G1339" s="7">
        <v>45280.0</v>
      </c>
      <c r="H1339" s="8">
        <f t="shared" si="1"/>
        <v>20</v>
      </c>
      <c r="I1339" s="9">
        <f t="shared" si="2"/>
        <v>12</v>
      </c>
      <c r="J1339" s="9">
        <f t="shared" si="3"/>
        <v>2023</v>
      </c>
    </row>
    <row r="1340" ht="15.75" customHeight="1">
      <c r="A1340" s="5">
        <v>67.0</v>
      </c>
      <c r="B1340" s="10" t="s">
        <v>1278</v>
      </c>
      <c r="C1340" s="3" t="s">
        <v>1279</v>
      </c>
      <c r="D1340" s="4" t="s">
        <v>8</v>
      </c>
      <c r="E1340" s="5" t="s">
        <v>21</v>
      </c>
      <c r="F1340" s="6" t="s">
        <v>58</v>
      </c>
      <c r="G1340" s="7">
        <v>45287.0</v>
      </c>
      <c r="H1340" s="8">
        <f t="shared" si="1"/>
        <v>27</v>
      </c>
      <c r="I1340" s="9">
        <f t="shared" si="2"/>
        <v>12</v>
      </c>
      <c r="J1340" s="9">
        <f t="shared" si="3"/>
        <v>2023</v>
      </c>
    </row>
    <row r="1341" ht="15.75" customHeight="1">
      <c r="A1341" s="5">
        <v>68.0</v>
      </c>
      <c r="B1341" s="10" t="s">
        <v>408</v>
      </c>
      <c r="C1341" s="3" t="s">
        <v>1296</v>
      </c>
      <c r="D1341" s="4" t="s">
        <v>8</v>
      </c>
      <c r="E1341" s="5" t="s">
        <v>11</v>
      </c>
      <c r="F1341" s="6" t="s">
        <v>1297</v>
      </c>
      <c r="G1341" s="7">
        <v>44928.0</v>
      </c>
      <c r="H1341" s="8">
        <f t="shared" si="1"/>
        <v>2</v>
      </c>
      <c r="I1341" s="9">
        <f t="shared" si="2"/>
        <v>1</v>
      </c>
      <c r="J1341" s="9">
        <f t="shared" si="3"/>
        <v>2023</v>
      </c>
    </row>
    <row r="1342" ht="15.75" customHeight="1">
      <c r="A1342" s="5">
        <v>68.0</v>
      </c>
      <c r="B1342" s="10" t="s">
        <v>408</v>
      </c>
      <c r="C1342" s="3" t="s">
        <v>1296</v>
      </c>
      <c r="D1342" s="4" t="s">
        <v>3</v>
      </c>
      <c r="E1342" s="5" t="s">
        <v>51</v>
      </c>
      <c r="F1342" s="6" t="s">
        <v>1298</v>
      </c>
      <c r="G1342" s="7">
        <v>44953.0</v>
      </c>
      <c r="H1342" s="8">
        <f t="shared" si="1"/>
        <v>27</v>
      </c>
      <c r="I1342" s="9">
        <f t="shared" si="2"/>
        <v>1</v>
      </c>
      <c r="J1342" s="9">
        <f t="shared" si="3"/>
        <v>2023</v>
      </c>
    </row>
    <row r="1343" ht="15.75" customHeight="1">
      <c r="A1343" s="5">
        <v>68.0</v>
      </c>
      <c r="B1343" s="10" t="s">
        <v>408</v>
      </c>
      <c r="C1343" s="3" t="s">
        <v>1296</v>
      </c>
      <c r="D1343" s="4" t="s">
        <v>3</v>
      </c>
      <c r="E1343" s="5" t="s">
        <v>51</v>
      </c>
      <c r="F1343" s="6" t="s">
        <v>811</v>
      </c>
      <c r="G1343" s="7">
        <v>44965.0</v>
      </c>
      <c r="H1343" s="8">
        <f t="shared" si="1"/>
        <v>8</v>
      </c>
      <c r="I1343" s="9">
        <f t="shared" si="2"/>
        <v>2</v>
      </c>
      <c r="J1343" s="9">
        <f t="shared" si="3"/>
        <v>2023</v>
      </c>
    </row>
    <row r="1344" ht="15.75" customHeight="1">
      <c r="A1344" s="5">
        <v>68.0</v>
      </c>
      <c r="B1344" s="10" t="s">
        <v>408</v>
      </c>
      <c r="C1344" s="3" t="s">
        <v>1296</v>
      </c>
      <c r="D1344" s="4" t="s">
        <v>8</v>
      </c>
      <c r="E1344" s="5" t="s">
        <v>19</v>
      </c>
      <c r="F1344" s="6" t="s">
        <v>1299</v>
      </c>
      <c r="G1344" s="7">
        <v>45002.0</v>
      </c>
      <c r="H1344" s="8">
        <f t="shared" si="1"/>
        <v>17</v>
      </c>
      <c r="I1344" s="9">
        <f t="shared" si="2"/>
        <v>3</v>
      </c>
      <c r="J1344" s="9">
        <f t="shared" si="3"/>
        <v>2023</v>
      </c>
    </row>
    <row r="1345" ht="15.75" customHeight="1">
      <c r="A1345" s="5">
        <v>68.0</v>
      </c>
      <c r="B1345" s="10" t="s">
        <v>408</v>
      </c>
      <c r="C1345" s="3" t="s">
        <v>1296</v>
      </c>
      <c r="D1345" s="4" t="s">
        <v>3</v>
      </c>
      <c r="E1345" s="5" t="s">
        <v>51</v>
      </c>
      <c r="F1345" s="6" t="s">
        <v>1300</v>
      </c>
      <c r="G1345" s="7">
        <v>45004.0</v>
      </c>
      <c r="H1345" s="8">
        <f t="shared" si="1"/>
        <v>19</v>
      </c>
      <c r="I1345" s="9">
        <f t="shared" si="2"/>
        <v>3</v>
      </c>
      <c r="J1345" s="9">
        <f t="shared" si="3"/>
        <v>2023</v>
      </c>
    </row>
    <row r="1346" ht="15.75" customHeight="1">
      <c r="A1346" s="5">
        <v>68.0</v>
      </c>
      <c r="B1346" s="10" t="s">
        <v>408</v>
      </c>
      <c r="C1346" s="3" t="s">
        <v>1296</v>
      </c>
      <c r="D1346" s="4" t="s">
        <v>8</v>
      </c>
      <c r="E1346" s="5" t="s">
        <v>23</v>
      </c>
      <c r="F1346" s="6" t="s">
        <v>1002</v>
      </c>
      <c r="G1346" s="7">
        <v>45033.0</v>
      </c>
      <c r="H1346" s="8">
        <f t="shared" si="1"/>
        <v>17</v>
      </c>
      <c r="I1346" s="9">
        <f t="shared" si="2"/>
        <v>4</v>
      </c>
      <c r="J1346" s="9">
        <f t="shared" si="3"/>
        <v>2023</v>
      </c>
    </row>
    <row r="1347" ht="15.75" customHeight="1">
      <c r="A1347" s="5">
        <v>68.0</v>
      </c>
      <c r="B1347" s="10" t="s">
        <v>408</v>
      </c>
      <c r="C1347" s="3" t="s">
        <v>1296</v>
      </c>
      <c r="D1347" s="4" t="s">
        <v>8</v>
      </c>
      <c r="E1347" s="5" t="s">
        <v>23</v>
      </c>
      <c r="F1347" s="6" t="s">
        <v>1301</v>
      </c>
      <c r="G1347" s="7">
        <v>45058.0</v>
      </c>
      <c r="H1347" s="8">
        <f t="shared" si="1"/>
        <v>12</v>
      </c>
      <c r="I1347" s="9">
        <f t="shared" si="2"/>
        <v>5</v>
      </c>
      <c r="J1347" s="9">
        <f t="shared" si="3"/>
        <v>2023</v>
      </c>
    </row>
    <row r="1348" ht="15.75" customHeight="1">
      <c r="A1348" s="5">
        <v>68.0</v>
      </c>
      <c r="B1348" s="10" t="s">
        <v>408</v>
      </c>
      <c r="C1348" s="3" t="s">
        <v>1296</v>
      </c>
      <c r="D1348" s="4" t="s">
        <v>8</v>
      </c>
      <c r="E1348" s="5" t="s">
        <v>76</v>
      </c>
      <c r="F1348" s="6" t="s">
        <v>1302</v>
      </c>
      <c r="G1348" s="7">
        <v>45065.0</v>
      </c>
      <c r="H1348" s="8">
        <f t="shared" si="1"/>
        <v>19</v>
      </c>
      <c r="I1348" s="9">
        <f t="shared" si="2"/>
        <v>5</v>
      </c>
      <c r="J1348" s="9">
        <f t="shared" si="3"/>
        <v>2023</v>
      </c>
    </row>
    <row r="1349" ht="15.75" customHeight="1">
      <c r="A1349" s="5">
        <v>68.0</v>
      </c>
      <c r="B1349" s="10" t="s">
        <v>408</v>
      </c>
      <c r="C1349" s="3" t="s">
        <v>1296</v>
      </c>
      <c r="D1349" s="4" t="s">
        <v>8</v>
      </c>
      <c r="E1349" s="5" t="s">
        <v>39</v>
      </c>
      <c r="F1349" s="6" t="s">
        <v>1231</v>
      </c>
      <c r="G1349" s="7">
        <v>45065.0</v>
      </c>
      <c r="H1349" s="8">
        <f t="shared" si="1"/>
        <v>19</v>
      </c>
      <c r="I1349" s="9">
        <f t="shared" si="2"/>
        <v>5</v>
      </c>
      <c r="J1349" s="9">
        <f t="shared" si="3"/>
        <v>2023</v>
      </c>
    </row>
    <row r="1350" ht="15.75" customHeight="1">
      <c r="A1350" s="5">
        <v>68.0</v>
      </c>
      <c r="B1350" s="10" t="s">
        <v>408</v>
      </c>
      <c r="C1350" s="3" t="s">
        <v>1296</v>
      </c>
      <c r="D1350" s="4" t="s">
        <v>3</v>
      </c>
      <c r="E1350" s="5" t="s">
        <v>13</v>
      </c>
      <c r="F1350" s="6" t="s">
        <v>1303</v>
      </c>
      <c r="G1350" s="7">
        <v>45082.0</v>
      </c>
      <c r="H1350" s="8">
        <f t="shared" si="1"/>
        <v>5</v>
      </c>
      <c r="I1350" s="9">
        <f t="shared" si="2"/>
        <v>6</v>
      </c>
      <c r="J1350" s="9">
        <f t="shared" si="3"/>
        <v>2023</v>
      </c>
    </row>
    <row r="1351" ht="15.75" customHeight="1">
      <c r="A1351" s="5">
        <v>68.0</v>
      </c>
      <c r="B1351" s="10" t="s">
        <v>408</v>
      </c>
      <c r="C1351" s="3" t="s">
        <v>1296</v>
      </c>
      <c r="D1351" s="4" t="s">
        <v>3</v>
      </c>
      <c r="E1351" s="5" t="s">
        <v>42</v>
      </c>
      <c r="F1351" s="6" t="s">
        <v>905</v>
      </c>
      <c r="G1351" s="7">
        <v>45092.0</v>
      </c>
      <c r="H1351" s="8">
        <f t="shared" si="1"/>
        <v>15</v>
      </c>
      <c r="I1351" s="9">
        <f t="shared" si="2"/>
        <v>6</v>
      </c>
      <c r="J1351" s="9">
        <f t="shared" si="3"/>
        <v>2023</v>
      </c>
    </row>
    <row r="1352" ht="15.75" customHeight="1">
      <c r="A1352" s="5">
        <v>68.0</v>
      </c>
      <c r="B1352" s="10" t="s">
        <v>408</v>
      </c>
      <c r="C1352" s="3" t="s">
        <v>1296</v>
      </c>
      <c r="D1352" s="4" t="s">
        <v>3</v>
      </c>
      <c r="E1352" s="5" t="s">
        <v>35</v>
      </c>
      <c r="F1352" s="6" t="s">
        <v>1304</v>
      </c>
      <c r="G1352" s="7">
        <v>45104.0</v>
      </c>
      <c r="H1352" s="8">
        <f t="shared" si="1"/>
        <v>27</v>
      </c>
      <c r="I1352" s="9">
        <f t="shared" si="2"/>
        <v>6</v>
      </c>
      <c r="J1352" s="9">
        <f t="shared" si="3"/>
        <v>2023</v>
      </c>
    </row>
    <row r="1353" ht="15.75" customHeight="1">
      <c r="A1353" s="5">
        <v>68.0</v>
      </c>
      <c r="B1353" s="10" t="s">
        <v>408</v>
      </c>
      <c r="C1353" s="3" t="s">
        <v>1296</v>
      </c>
      <c r="D1353" s="4" t="s">
        <v>8</v>
      </c>
      <c r="E1353" s="5" t="s">
        <v>39</v>
      </c>
      <c r="F1353" s="6" t="s">
        <v>1305</v>
      </c>
      <c r="G1353" s="7">
        <v>45120.0</v>
      </c>
      <c r="H1353" s="8">
        <f t="shared" si="1"/>
        <v>13</v>
      </c>
      <c r="I1353" s="9">
        <f t="shared" si="2"/>
        <v>7</v>
      </c>
      <c r="J1353" s="9">
        <f t="shared" si="3"/>
        <v>2023</v>
      </c>
    </row>
    <row r="1354" ht="15.75" customHeight="1">
      <c r="A1354" s="5">
        <v>68.0</v>
      </c>
      <c r="B1354" s="10" t="s">
        <v>408</v>
      </c>
      <c r="C1354" s="3" t="s">
        <v>1296</v>
      </c>
      <c r="D1354" s="4" t="s">
        <v>8</v>
      </c>
      <c r="E1354" s="5" t="s">
        <v>17</v>
      </c>
      <c r="F1354" s="6" t="s">
        <v>743</v>
      </c>
      <c r="G1354" s="7">
        <v>45189.0</v>
      </c>
      <c r="H1354" s="8">
        <f t="shared" si="1"/>
        <v>20</v>
      </c>
      <c r="I1354" s="9">
        <f t="shared" si="2"/>
        <v>9</v>
      </c>
      <c r="J1354" s="9">
        <f t="shared" si="3"/>
        <v>2023</v>
      </c>
    </row>
    <row r="1355" ht="15.75" customHeight="1">
      <c r="A1355" s="5">
        <v>68.0</v>
      </c>
      <c r="B1355" s="10" t="s">
        <v>408</v>
      </c>
      <c r="C1355" s="3" t="s">
        <v>1296</v>
      </c>
      <c r="D1355" s="4" t="s">
        <v>8</v>
      </c>
      <c r="E1355" s="5" t="s">
        <v>35</v>
      </c>
      <c r="F1355" s="6" t="s">
        <v>808</v>
      </c>
      <c r="G1355" s="7">
        <v>45195.0</v>
      </c>
      <c r="H1355" s="8">
        <f t="shared" si="1"/>
        <v>26</v>
      </c>
      <c r="I1355" s="9">
        <f t="shared" si="2"/>
        <v>9</v>
      </c>
      <c r="J1355" s="9">
        <f t="shared" si="3"/>
        <v>2023</v>
      </c>
    </row>
    <row r="1356" ht="15.75" customHeight="1">
      <c r="A1356" s="5">
        <v>68.0</v>
      </c>
      <c r="B1356" s="10" t="s">
        <v>408</v>
      </c>
      <c r="C1356" s="3" t="s">
        <v>1296</v>
      </c>
      <c r="D1356" s="4" t="s">
        <v>3</v>
      </c>
      <c r="E1356" s="5" t="s">
        <v>23</v>
      </c>
      <c r="F1356" s="6" t="s">
        <v>1306</v>
      </c>
      <c r="G1356" s="7">
        <v>45197.0</v>
      </c>
      <c r="H1356" s="8">
        <f t="shared" si="1"/>
        <v>28</v>
      </c>
      <c r="I1356" s="9">
        <f t="shared" si="2"/>
        <v>9</v>
      </c>
      <c r="J1356" s="9">
        <f t="shared" si="3"/>
        <v>2023</v>
      </c>
    </row>
    <row r="1357" ht="15.75" customHeight="1">
      <c r="A1357" s="5">
        <v>68.0</v>
      </c>
      <c r="B1357" s="10" t="s">
        <v>408</v>
      </c>
      <c r="C1357" s="3" t="s">
        <v>1296</v>
      </c>
      <c r="D1357" s="4" t="s">
        <v>3</v>
      </c>
      <c r="E1357" s="5" t="s">
        <v>17</v>
      </c>
      <c r="F1357" s="6" t="s">
        <v>915</v>
      </c>
      <c r="G1357" s="7">
        <v>45224.0</v>
      </c>
      <c r="H1357" s="8">
        <f t="shared" si="1"/>
        <v>25</v>
      </c>
      <c r="I1357" s="9">
        <f t="shared" si="2"/>
        <v>10</v>
      </c>
      <c r="J1357" s="9">
        <f t="shared" si="3"/>
        <v>2023</v>
      </c>
    </row>
    <row r="1358" ht="15.75" customHeight="1">
      <c r="A1358" s="5">
        <v>68.0</v>
      </c>
      <c r="B1358" s="10" t="s">
        <v>408</v>
      </c>
      <c r="C1358" s="3" t="s">
        <v>1296</v>
      </c>
      <c r="D1358" s="4" t="s">
        <v>3</v>
      </c>
      <c r="E1358" s="5" t="s">
        <v>45</v>
      </c>
      <c r="F1358" s="6" t="s">
        <v>1307</v>
      </c>
      <c r="G1358" s="7">
        <v>45231.0</v>
      </c>
      <c r="H1358" s="8">
        <f t="shared" si="1"/>
        <v>1</v>
      </c>
      <c r="I1358" s="9">
        <f t="shared" si="2"/>
        <v>11</v>
      </c>
      <c r="J1358" s="9">
        <f t="shared" si="3"/>
        <v>2023</v>
      </c>
    </row>
    <row r="1359" ht="15.75" customHeight="1">
      <c r="A1359" s="5">
        <v>68.0</v>
      </c>
      <c r="B1359" s="10" t="s">
        <v>408</v>
      </c>
      <c r="C1359" s="3" t="s">
        <v>1296</v>
      </c>
      <c r="D1359" s="4" t="s">
        <v>3</v>
      </c>
      <c r="E1359" s="5" t="s">
        <v>19</v>
      </c>
      <c r="F1359" s="6" t="s">
        <v>1185</v>
      </c>
      <c r="G1359" s="7">
        <v>45274.0</v>
      </c>
      <c r="H1359" s="8">
        <f t="shared" si="1"/>
        <v>14</v>
      </c>
      <c r="I1359" s="9">
        <f t="shared" si="2"/>
        <v>12</v>
      </c>
      <c r="J1359" s="9">
        <f t="shared" si="3"/>
        <v>2023</v>
      </c>
    </row>
    <row r="1360" ht="15.75" customHeight="1">
      <c r="A1360" s="5">
        <v>68.0</v>
      </c>
      <c r="B1360" s="10" t="s">
        <v>408</v>
      </c>
      <c r="C1360" s="3" t="s">
        <v>1296</v>
      </c>
      <c r="D1360" s="4" t="s">
        <v>3</v>
      </c>
      <c r="E1360" s="5" t="s">
        <v>45</v>
      </c>
      <c r="F1360" s="6" t="s">
        <v>1308</v>
      </c>
      <c r="G1360" s="7">
        <v>45277.0</v>
      </c>
      <c r="H1360" s="8">
        <f t="shared" si="1"/>
        <v>17</v>
      </c>
      <c r="I1360" s="9">
        <f t="shared" si="2"/>
        <v>12</v>
      </c>
      <c r="J1360" s="9">
        <f t="shared" si="3"/>
        <v>2023</v>
      </c>
    </row>
    <row r="1361" ht="15.75" customHeight="1">
      <c r="A1361" s="5">
        <v>69.0</v>
      </c>
      <c r="B1361" s="10" t="s">
        <v>177</v>
      </c>
      <c r="C1361" s="3" t="s">
        <v>1309</v>
      </c>
      <c r="D1361" s="4" t="s">
        <v>8</v>
      </c>
      <c r="E1361" s="5" t="s">
        <v>9</v>
      </c>
      <c r="F1361" s="6" t="s">
        <v>1310</v>
      </c>
      <c r="G1361" s="7">
        <v>44940.0</v>
      </c>
      <c r="H1361" s="8">
        <f t="shared" si="1"/>
        <v>14</v>
      </c>
      <c r="I1361" s="9">
        <f t="shared" si="2"/>
        <v>1</v>
      </c>
      <c r="J1361" s="9">
        <f t="shared" si="3"/>
        <v>2023</v>
      </c>
    </row>
    <row r="1362" ht="15.75" customHeight="1">
      <c r="A1362" s="5">
        <v>69.0</v>
      </c>
      <c r="B1362" s="10" t="s">
        <v>177</v>
      </c>
      <c r="C1362" s="3" t="s">
        <v>1309</v>
      </c>
      <c r="D1362" s="4" t="s">
        <v>8</v>
      </c>
      <c r="E1362" s="5" t="s">
        <v>28</v>
      </c>
      <c r="F1362" s="6" t="s">
        <v>495</v>
      </c>
      <c r="G1362" s="7">
        <v>44946.0</v>
      </c>
      <c r="H1362" s="8">
        <f t="shared" si="1"/>
        <v>20</v>
      </c>
      <c r="I1362" s="9">
        <f t="shared" si="2"/>
        <v>1</v>
      </c>
      <c r="J1362" s="9">
        <f t="shared" si="3"/>
        <v>2023</v>
      </c>
    </row>
    <row r="1363" ht="15.75" customHeight="1">
      <c r="A1363" s="5">
        <v>69.0</v>
      </c>
      <c r="B1363" s="10" t="s">
        <v>177</v>
      </c>
      <c r="C1363" s="3" t="s">
        <v>1309</v>
      </c>
      <c r="D1363" s="4" t="s">
        <v>3</v>
      </c>
      <c r="E1363" s="5" t="s">
        <v>51</v>
      </c>
      <c r="F1363" s="6" t="s">
        <v>1311</v>
      </c>
      <c r="G1363" s="7">
        <v>44950.0</v>
      </c>
      <c r="H1363" s="8">
        <f t="shared" si="1"/>
        <v>24</v>
      </c>
      <c r="I1363" s="9">
        <f t="shared" si="2"/>
        <v>1</v>
      </c>
      <c r="J1363" s="9">
        <f t="shared" si="3"/>
        <v>2023</v>
      </c>
    </row>
    <row r="1364" ht="15.75" customHeight="1">
      <c r="A1364" s="5">
        <v>69.0</v>
      </c>
      <c r="B1364" s="10" t="s">
        <v>177</v>
      </c>
      <c r="C1364" s="3" t="s">
        <v>1309</v>
      </c>
      <c r="D1364" s="4" t="s">
        <v>8</v>
      </c>
      <c r="E1364" s="5" t="s">
        <v>13</v>
      </c>
      <c r="F1364" s="6" t="s">
        <v>1312</v>
      </c>
      <c r="G1364" s="7">
        <v>45026.0</v>
      </c>
      <c r="H1364" s="8">
        <f t="shared" si="1"/>
        <v>10</v>
      </c>
      <c r="I1364" s="9">
        <f t="shared" si="2"/>
        <v>4</v>
      </c>
      <c r="J1364" s="9">
        <f t="shared" si="3"/>
        <v>2023</v>
      </c>
    </row>
    <row r="1365" ht="15.75" customHeight="1">
      <c r="A1365" s="5">
        <v>69.0</v>
      </c>
      <c r="B1365" s="10" t="s">
        <v>177</v>
      </c>
      <c r="C1365" s="3" t="s">
        <v>1309</v>
      </c>
      <c r="D1365" s="4" t="s">
        <v>3</v>
      </c>
      <c r="E1365" s="5" t="s">
        <v>42</v>
      </c>
      <c r="F1365" s="6" t="s">
        <v>504</v>
      </c>
      <c r="G1365" s="7">
        <v>45036.0</v>
      </c>
      <c r="H1365" s="8">
        <f t="shared" si="1"/>
        <v>20</v>
      </c>
      <c r="I1365" s="9">
        <f t="shared" si="2"/>
        <v>4</v>
      </c>
      <c r="J1365" s="9">
        <f t="shared" si="3"/>
        <v>2023</v>
      </c>
    </row>
    <row r="1366" ht="15.75" customHeight="1">
      <c r="A1366" s="5">
        <v>69.0</v>
      </c>
      <c r="B1366" s="10" t="s">
        <v>177</v>
      </c>
      <c r="C1366" s="3" t="s">
        <v>1309</v>
      </c>
      <c r="D1366" s="4" t="s">
        <v>8</v>
      </c>
      <c r="E1366" s="5" t="s">
        <v>17</v>
      </c>
      <c r="F1366" s="6" t="s">
        <v>884</v>
      </c>
      <c r="G1366" s="7">
        <v>45041.0</v>
      </c>
      <c r="H1366" s="8">
        <f t="shared" si="1"/>
        <v>25</v>
      </c>
      <c r="I1366" s="9">
        <f t="shared" si="2"/>
        <v>4</v>
      </c>
      <c r="J1366" s="9">
        <f t="shared" si="3"/>
        <v>2023</v>
      </c>
    </row>
    <row r="1367" ht="15.75" customHeight="1">
      <c r="A1367" s="5">
        <v>69.0</v>
      </c>
      <c r="B1367" s="10" t="s">
        <v>177</v>
      </c>
      <c r="C1367" s="3" t="s">
        <v>1309</v>
      </c>
      <c r="D1367" s="4" t="s">
        <v>3</v>
      </c>
      <c r="E1367" s="5" t="s">
        <v>35</v>
      </c>
      <c r="F1367" s="6" t="s">
        <v>1313</v>
      </c>
      <c r="G1367" s="7">
        <v>45052.0</v>
      </c>
      <c r="H1367" s="8">
        <f t="shared" si="1"/>
        <v>6</v>
      </c>
      <c r="I1367" s="9">
        <f t="shared" si="2"/>
        <v>5</v>
      </c>
      <c r="J1367" s="9">
        <f t="shared" si="3"/>
        <v>2023</v>
      </c>
    </row>
    <row r="1368" ht="15.75" customHeight="1">
      <c r="A1368" s="5">
        <v>69.0</v>
      </c>
      <c r="B1368" s="10" t="s">
        <v>177</v>
      </c>
      <c r="C1368" s="3" t="s">
        <v>1309</v>
      </c>
      <c r="D1368" s="4" t="s">
        <v>8</v>
      </c>
      <c r="E1368" s="5" t="s">
        <v>42</v>
      </c>
      <c r="F1368" s="6" t="s">
        <v>208</v>
      </c>
      <c r="G1368" s="7">
        <v>45061.0</v>
      </c>
      <c r="H1368" s="8">
        <f t="shared" si="1"/>
        <v>15</v>
      </c>
      <c r="I1368" s="9">
        <f t="shared" si="2"/>
        <v>5</v>
      </c>
      <c r="J1368" s="9">
        <f t="shared" si="3"/>
        <v>2023</v>
      </c>
    </row>
    <row r="1369" ht="15.75" customHeight="1">
      <c r="A1369" s="5">
        <v>69.0</v>
      </c>
      <c r="B1369" s="10" t="s">
        <v>177</v>
      </c>
      <c r="C1369" s="3" t="s">
        <v>1309</v>
      </c>
      <c r="D1369" s="4" t="s">
        <v>3</v>
      </c>
      <c r="E1369" s="5" t="s">
        <v>96</v>
      </c>
      <c r="F1369" s="6" t="s">
        <v>1314</v>
      </c>
      <c r="G1369" s="7">
        <v>45061.0</v>
      </c>
      <c r="H1369" s="8">
        <f t="shared" si="1"/>
        <v>15</v>
      </c>
      <c r="I1369" s="9">
        <f t="shared" si="2"/>
        <v>5</v>
      </c>
      <c r="J1369" s="9">
        <f t="shared" si="3"/>
        <v>2023</v>
      </c>
    </row>
    <row r="1370" ht="15.75" customHeight="1">
      <c r="A1370" s="5">
        <v>69.0</v>
      </c>
      <c r="B1370" s="10" t="s">
        <v>177</v>
      </c>
      <c r="C1370" s="3" t="s">
        <v>1309</v>
      </c>
      <c r="D1370" s="4" t="s">
        <v>8</v>
      </c>
      <c r="E1370" s="5" t="s">
        <v>21</v>
      </c>
      <c r="F1370" s="6" t="s">
        <v>1315</v>
      </c>
      <c r="G1370" s="7">
        <v>45079.0</v>
      </c>
      <c r="H1370" s="8">
        <f t="shared" si="1"/>
        <v>2</v>
      </c>
      <c r="I1370" s="9">
        <f t="shared" si="2"/>
        <v>6</v>
      </c>
      <c r="J1370" s="9">
        <f t="shared" si="3"/>
        <v>2023</v>
      </c>
    </row>
    <row r="1371" ht="15.75" customHeight="1">
      <c r="A1371" s="5">
        <v>69.0</v>
      </c>
      <c r="B1371" s="10" t="s">
        <v>177</v>
      </c>
      <c r="C1371" s="3" t="s">
        <v>1309</v>
      </c>
      <c r="D1371" s="4" t="s">
        <v>3</v>
      </c>
      <c r="E1371" s="5" t="s">
        <v>51</v>
      </c>
      <c r="F1371" s="6" t="s">
        <v>1316</v>
      </c>
      <c r="G1371" s="7">
        <v>45096.0</v>
      </c>
      <c r="H1371" s="8">
        <f t="shared" si="1"/>
        <v>19</v>
      </c>
      <c r="I1371" s="9">
        <f t="shared" si="2"/>
        <v>6</v>
      </c>
      <c r="J1371" s="9">
        <f t="shared" si="3"/>
        <v>2023</v>
      </c>
    </row>
    <row r="1372" ht="15.75" customHeight="1">
      <c r="A1372" s="5">
        <v>69.0</v>
      </c>
      <c r="B1372" s="10" t="s">
        <v>177</v>
      </c>
      <c r="C1372" s="3" t="s">
        <v>1309</v>
      </c>
      <c r="D1372" s="4" t="s">
        <v>3</v>
      </c>
      <c r="E1372" s="5" t="s">
        <v>42</v>
      </c>
      <c r="F1372" s="6" t="s">
        <v>1317</v>
      </c>
      <c r="G1372" s="7">
        <v>45120.0</v>
      </c>
      <c r="H1372" s="8">
        <f t="shared" si="1"/>
        <v>13</v>
      </c>
      <c r="I1372" s="9">
        <f t="shared" si="2"/>
        <v>7</v>
      </c>
      <c r="J1372" s="9">
        <f t="shared" si="3"/>
        <v>2023</v>
      </c>
    </row>
    <row r="1373" ht="15.75" customHeight="1">
      <c r="A1373" s="5">
        <v>69.0</v>
      </c>
      <c r="B1373" s="10" t="s">
        <v>177</v>
      </c>
      <c r="C1373" s="3" t="s">
        <v>1309</v>
      </c>
      <c r="D1373" s="4" t="s">
        <v>8</v>
      </c>
      <c r="E1373" s="5" t="s">
        <v>9</v>
      </c>
      <c r="F1373" s="6" t="s">
        <v>1318</v>
      </c>
      <c r="G1373" s="7">
        <v>45144.0</v>
      </c>
      <c r="H1373" s="8">
        <f t="shared" si="1"/>
        <v>6</v>
      </c>
      <c r="I1373" s="9">
        <f t="shared" si="2"/>
        <v>8</v>
      </c>
      <c r="J1373" s="9">
        <f t="shared" si="3"/>
        <v>2023</v>
      </c>
    </row>
    <row r="1374" ht="15.75" customHeight="1">
      <c r="A1374" s="5">
        <v>69.0</v>
      </c>
      <c r="B1374" s="10" t="s">
        <v>177</v>
      </c>
      <c r="C1374" s="3" t="s">
        <v>1309</v>
      </c>
      <c r="D1374" s="4" t="s">
        <v>3</v>
      </c>
      <c r="E1374" s="5" t="s">
        <v>45</v>
      </c>
      <c r="F1374" s="6" t="s">
        <v>1319</v>
      </c>
      <c r="G1374" s="7">
        <v>45188.0</v>
      </c>
      <c r="H1374" s="8">
        <f t="shared" si="1"/>
        <v>19</v>
      </c>
      <c r="I1374" s="9">
        <f t="shared" si="2"/>
        <v>9</v>
      </c>
      <c r="J1374" s="9">
        <f t="shared" si="3"/>
        <v>2023</v>
      </c>
    </row>
    <row r="1375" ht="15.75" customHeight="1">
      <c r="A1375" s="5">
        <v>69.0</v>
      </c>
      <c r="B1375" s="10" t="s">
        <v>177</v>
      </c>
      <c r="C1375" s="3" t="s">
        <v>1309</v>
      </c>
      <c r="D1375" s="4" t="s">
        <v>8</v>
      </c>
      <c r="E1375" s="5" t="s">
        <v>96</v>
      </c>
      <c r="F1375" s="6" t="s">
        <v>1320</v>
      </c>
      <c r="G1375" s="7">
        <v>45213.0</v>
      </c>
      <c r="H1375" s="8">
        <f t="shared" si="1"/>
        <v>14</v>
      </c>
      <c r="I1375" s="9">
        <f t="shared" si="2"/>
        <v>10</v>
      </c>
      <c r="J1375" s="9">
        <f t="shared" si="3"/>
        <v>2023</v>
      </c>
    </row>
    <row r="1376" ht="15.75" customHeight="1">
      <c r="A1376" s="5">
        <v>69.0</v>
      </c>
      <c r="B1376" s="10" t="s">
        <v>177</v>
      </c>
      <c r="C1376" s="3" t="s">
        <v>1309</v>
      </c>
      <c r="D1376" s="4" t="s">
        <v>3</v>
      </c>
      <c r="E1376" s="5" t="s">
        <v>28</v>
      </c>
      <c r="F1376" s="6" t="s">
        <v>1321</v>
      </c>
      <c r="G1376" s="7">
        <v>45217.0</v>
      </c>
      <c r="H1376" s="8">
        <f t="shared" si="1"/>
        <v>18</v>
      </c>
      <c r="I1376" s="9">
        <f t="shared" si="2"/>
        <v>10</v>
      </c>
      <c r="J1376" s="9">
        <f t="shared" si="3"/>
        <v>2023</v>
      </c>
    </row>
    <row r="1377" ht="15.75" customHeight="1">
      <c r="A1377" s="5">
        <v>69.0</v>
      </c>
      <c r="B1377" s="10" t="s">
        <v>177</v>
      </c>
      <c r="C1377" s="3" t="s">
        <v>1309</v>
      </c>
      <c r="D1377" s="4" t="s">
        <v>3</v>
      </c>
      <c r="E1377" s="5" t="s">
        <v>71</v>
      </c>
      <c r="F1377" s="6" t="s">
        <v>1322</v>
      </c>
      <c r="G1377" s="7">
        <v>45223.0</v>
      </c>
      <c r="H1377" s="8">
        <f t="shared" si="1"/>
        <v>24</v>
      </c>
      <c r="I1377" s="9">
        <f t="shared" si="2"/>
        <v>10</v>
      </c>
      <c r="J1377" s="9">
        <f t="shared" si="3"/>
        <v>2023</v>
      </c>
    </row>
    <row r="1378" ht="15.75" customHeight="1">
      <c r="A1378" s="5">
        <v>69.0</v>
      </c>
      <c r="B1378" s="10" t="s">
        <v>177</v>
      </c>
      <c r="C1378" s="3" t="s">
        <v>1309</v>
      </c>
      <c r="D1378" s="4" t="s">
        <v>8</v>
      </c>
      <c r="E1378" s="5" t="s">
        <v>6</v>
      </c>
      <c r="F1378" s="6" t="s">
        <v>1323</v>
      </c>
      <c r="G1378" s="7">
        <v>45227.0</v>
      </c>
      <c r="H1378" s="8">
        <f t="shared" si="1"/>
        <v>28</v>
      </c>
      <c r="I1378" s="9">
        <f t="shared" si="2"/>
        <v>10</v>
      </c>
      <c r="J1378" s="9">
        <f t="shared" si="3"/>
        <v>2023</v>
      </c>
    </row>
    <row r="1379" ht="15.75" customHeight="1">
      <c r="A1379" s="5">
        <v>69.0</v>
      </c>
      <c r="B1379" s="10" t="s">
        <v>177</v>
      </c>
      <c r="C1379" s="3" t="s">
        <v>1309</v>
      </c>
      <c r="D1379" s="4" t="s">
        <v>8</v>
      </c>
      <c r="E1379" s="5" t="s">
        <v>71</v>
      </c>
      <c r="F1379" s="6" t="s">
        <v>1324</v>
      </c>
      <c r="G1379" s="7">
        <v>45249.0</v>
      </c>
      <c r="H1379" s="8">
        <f t="shared" si="1"/>
        <v>19</v>
      </c>
      <c r="I1379" s="9">
        <f t="shared" si="2"/>
        <v>11</v>
      </c>
      <c r="J1379" s="9">
        <f t="shared" si="3"/>
        <v>2023</v>
      </c>
    </row>
    <row r="1380" ht="15.75" customHeight="1">
      <c r="A1380" s="5">
        <v>69.0</v>
      </c>
      <c r="B1380" s="10" t="s">
        <v>177</v>
      </c>
      <c r="C1380" s="3" t="s">
        <v>1309</v>
      </c>
      <c r="D1380" s="4" t="s">
        <v>8</v>
      </c>
      <c r="E1380" s="5" t="s">
        <v>23</v>
      </c>
      <c r="F1380" s="6" t="s">
        <v>259</v>
      </c>
      <c r="G1380" s="7">
        <v>45283.0</v>
      </c>
      <c r="H1380" s="8">
        <f t="shared" si="1"/>
        <v>23</v>
      </c>
      <c r="I1380" s="9">
        <f t="shared" si="2"/>
        <v>12</v>
      </c>
      <c r="J1380" s="9">
        <f t="shared" si="3"/>
        <v>2023</v>
      </c>
    </row>
    <row r="1381" ht="15.75" customHeight="1">
      <c r="A1381" s="5">
        <v>70.0</v>
      </c>
      <c r="B1381" s="10" t="s">
        <v>1325</v>
      </c>
      <c r="C1381" s="3" t="s">
        <v>1326</v>
      </c>
      <c r="D1381" s="4" t="s">
        <v>3</v>
      </c>
      <c r="E1381" s="5" t="s">
        <v>42</v>
      </c>
      <c r="F1381" s="6" t="s">
        <v>714</v>
      </c>
      <c r="G1381" s="7">
        <v>44940.0</v>
      </c>
      <c r="H1381" s="8">
        <f t="shared" si="1"/>
        <v>14</v>
      </c>
      <c r="I1381" s="9">
        <f t="shared" si="2"/>
        <v>1</v>
      </c>
      <c r="J1381" s="9">
        <f t="shared" si="3"/>
        <v>2023</v>
      </c>
    </row>
    <row r="1382" ht="15.75" customHeight="1">
      <c r="A1382" s="5">
        <v>70.0</v>
      </c>
      <c r="B1382" s="10" t="s">
        <v>1325</v>
      </c>
      <c r="C1382" s="3" t="s">
        <v>1326</v>
      </c>
      <c r="D1382" s="4" t="s">
        <v>8</v>
      </c>
      <c r="E1382" s="5" t="s">
        <v>96</v>
      </c>
      <c r="F1382" s="6" t="s">
        <v>374</v>
      </c>
      <c r="G1382" s="7">
        <v>44966.0</v>
      </c>
      <c r="H1382" s="8">
        <f t="shared" si="1"/>
        <v>9</v>
      </c>
      <c r="I1382" s="9">
        <f t="shared" si="2"/>
        <v>2</v>
      </c>
      <c r="J1382" s="9">
        <f t="shared" si="3"/>
        <v>2023</v>
      </c>
    </row>
    <row r="1383" ht="15.75" customHeight="1">
      <c r="A1383" s="5">
        <v>70.0</v>
      </c>
      <c r="B1383" s="10" t="s">
        <v>1325</v>
      </c>
      <c r="C1383" s="3" t="s">
        <v>1326</v>
      </c>
      <c r="D1383" s="4" t="s">
        <v>3</v>
      </c>
      <c r="E1383" s="5" t="s">
        <v>17</v>
      </c>
      <c r="F1383" s="6" t="s">
        <v>1327</v>
      </c>
      <c r="G1383" s="7">
        <v>44984.0</v>
      </c>
      <c r="H1383" s="8">
        <f t="shared" si="1"/>
        <v>27</v>
      </c>
      <c r="I1383" s="9">
        <f t="shared" si="2"/>
        <v>2</v>
      </c>
      <c r="J1383" s="9">
        <f t="shared" si="3"/>
        <v>2023</v>
      </c>
    </row>
    <row r="1384" ht="15.75" customHeight="1">
      <c r="A1384" s="5">
        <v>70.0</v>
      </c>
      <c r="B1384" s="10" t="s">
        <v>1325</v>
      </c>
      <c r="C1384" s="3" t="s">
        <v>1326</v>
      </c>
      <c r="D1384" s="4" t="s">
        <v>8</v>
      </c>
      <c r="E1384" s="5" t="s">
        <v>28</v>
      </c>
      <c r="F1384" s="6" t="s">
        <v>676</v>
      </c>
      <c r="G1384" s="7">
        <v>45033.0</v>
      </c>
      <c r="H1384" s="8">
        <f t="shared" si="1"/>
        <v>17</v>
      </c>
      <c r="I1384" s="9">
        <f t="shared" si="2"/>
        <v>4</v>
      </c>
      <c r="J1384" s="9">
        <f t="shared" si="3"/>
        <v>2023</v>
      </c>
    </row>
    <row r="1385" ht="15.75" customHeight="1">
      <c r="A1385" s="5">
        <v>70.0</v>
      </c>
      <c r="B1385" s="10" t="s">
        <v>1325</v>
      </c>
      <c r="C1385" s="3" t="s">
        <v>1326</v>
      </c>
      <c r="D1385" s="4" t="s">
        <v>8</v>
      </c>
      <c r="E1385" s="5" t="s">
        <v>96</v>
      </c>
      <c r="F1385" s="6" t="s">
        <v>1328</v>
      </c>
      <c r="G1385" s="7">
        <v>45041.0</v>
      </c>
      <c r="H1385" s="8">
        <f t="shared" si="1"/>
        <v>25</v>
      </c>
      <c r="I1385" s="9">
        <f t="shared" si="2"/>
        <v>4</v>
      </c>
      <c r="J1385" s="9">
        <f t="shared" si="3"/>
        <v>2023</v>
      </c>
    </row>
    <row r="1386" ht="15.75" customHeight="1">
      <c r="A1386" s="5">
        <v>70.0</v>
      </c>
      <c r="B1386" s="10" t="s">
        <v>1325</v>
      </c>
      <c r="C1386" s="3" t="s">
        <v>1326</v>
      </c>
      <c r="D1386" s="4" t="s">
        <v>8</v>
      </c>
      <c r="E1386" s="5" t="s">
        <v>23</v>
      </c>
      <c r="F1386" s="6" t="s">
        <v>1329</v>
      </c>
      <c r="G1386" s="7">
        <v>45056.0</v>
      </c>
      <c r="H1386" s="8">
        <f t="shared" si="1"/>
        <v>10</v>
      </c>
      <c r="I1386" s="9">
        <f t="shared" si="2"/>
        <v>5</v>
      </c>
      <c r="J1386" s="9">
        <f t="shared" si="3"/>
        <v>2023</v>
      </c>
    </row>
    <row r="1387" ht="15.75" customHeight="1">
      <c r="A1387" s="5">
        <v>70.0</v>
      </c>
      <c r="B1387" s="10" t="s">
        <v>1325</v>
      </c>
      <c r="C1387" s="3" t="s">
        <v>1326</v>
      </c>
      <c r="D1387" s="4" t="s">
        <v>8</v>
      </c>
      <c r="E1387" s="5" t="s">
        <v>21</v>
      </c>
      <c r="F1387" s="6" t="s">
        <v>1176</v>
      </c>
      <c r="G1387" s="7">
        <v>45071.0</v>
      </c>
      <c r="H1387" s="8">
        <f t="shared" si="1"/>
        <v>25</v>
      </c>
      <c r="I1387" s="9">
        <f t="shared" si="2"/>
        <v>5</v>
      </c>
      <c r="J1387" s="9">
        <f t="shared" si="3"/>
        <v>2023</v>
      </c>
    </row>
    <row r="1388" ht="15.75" customHeight="1">
      <c r="A1388" s="5">
        <v>70.0</v>
      </c>
      <c r="B1388" s="10" t="s">
        <v>1325</v>
      </c>
      <c r="C1388" s="3" t="s">
        <v>1326</v>
      </c>
      <c r="D1388" s="4" t="s">
        <v>8</v>
      </c>
      <c r="E1388" s="5" t="s">
        <v>11</v>
      </c>
      <c r="F1388" s="6" t="s">
        <v>1330</v>
      </c>
      <c r="G1388" s="7">
        <v>45074.0</v>
      </c>
      <c r="H1388" s="8">
        <f t="shared" si="1"/>
        <v>28</v>
      </c>
      <c r="I1388" s="9">
        <f t="shared" si="2"/>
        <v>5</v>
      </c>
      <c r="J1388" s="9">
        <f t="shared" si="3"/>
        <v>2023</v>
      </c>
    </row>
    <row r="1389" ht="15.75" customHeight="1">
      <c r="A1389" s="5">
        <v>70.0</v>
      </c>
      <c r="B1389" s="10" t="s">
        <v>1325</v>
      </c>
      <c r="C1389" s="3" t="s">
        <v>1326</v>
      </c>
      <c r="D1389" s="4" t="s">
        <v>8</v>
      </c>
      <c r="E1389" s="5" t="s">
        <v>42</v>
      </c>
      <c r="F1389" s="6" t="s">
        <v>302</v>
      </c>
      <c r="G1389" s="7">
        <v>45085.0</v>
      </c>
      <c r="H1389" s="8">
        <f t="shared" si="1"/>
        <v>8</v>
      </c>
      <c r="I1389" s="9">
        <f t="shared" si="2"/>
        <v>6</v>
      </c>
      <c r="J1389" s="9">
        <f t="shared" si="3"/>
        <v>2023</v>
      </c>
    </row>
    <row r="1390" ht="15.75" customHeight="1">
      <c r="A1390" s="5">
        <v>70.0</v>
      </c>
      <c r="B1390" s="10" t="s">
        <v>1325</v>
      </c>
      <c r="C1390" s="3" t="s">
        <v>1326</v>
      </c>
      <c r="D1390" s="4" t="s">
        <v>3</v>
      </c>
      <c r="E1390" s="5" t="s">
        <v>19</v>
      </c>
      <c r="F1390" s="6" t="s">
        <v>1331</v>
      </c>
      <c r="G1390" s="7">
        <v>45092.0</v>
      </c>
      <c r="H1390" s="8">
        <f t="shared" si="1"/>
        <v>15</v>
      </c>
      <c r="I1390" s="9">
        <f t="shared" si="2"/>
        <v>6</v>
      </c>
      <c r="J1390" s="9">
        <f t="shared" si="3"/>
        <v>2023</v>
      </c>
    </row>
    <row r="1391" ht="15.75" customHeight="1">
      <c r="A1391" s="5">
        <v>70.0</v>
      </c>
      <c r="B1391" s="10" t="s">
        <v>1325</v>
      </c>
      <c r="C1391" s="3" t="s">
        <v>1326</v>
      </c>
      <c r="D1391" s="4" t="s">
        <v>3</v>
      </c>
      <c r="E1391" s="5" t="s">
        <v>39</v>
      </c>
      <c r="F1391" s="6" t="s">
        <v>1332</v>
      </c>
      <c r="G1391" s="7">
        <v>45113.0</v>
      </c>
      <c r="H1391" s="8">
        <f t="shared" si="1"/>
        <v>6</v>
      </c>
      <c r="I1391" s="9">
        <f t="shared" si="2"/>
        <v>7</v>
      </c>
      <c r="J1391" s="9">
        <f t="shared" si="3"/>
        <v>2023</v>
      </c>
    </row>
    <row r="1392" ht="15.75" customHeight="1">
      <c r="A1392" s="5">
        <v>70.0</v>
      </c>
      <c r="B1392" s="10" t="s">
        <v>1325</v>
      </c>
      <c r="C1392" s="3" t="s">
        <v>1326</v>
      </c>
      <c r="D1392" s="4" t="s">
        <v>8</v>
      </c>
      <c r="E1392" s="5" t="s">
        <v>15</v>
      </c>
      <c r="F1392" s="6" t="s">
        <v>16</v>
      </c>
      <c r="G1392" s="7">
        <v>45132.0</v>
      </c>
      <c r="H1392" s="8">
        <f t="shared" si="1"/>
        <v>25</v>
      </c>
      <c r="I1392" s="9">
        <f t="shared" si="2"/>
        <v>7</v>
      </c>
      <c r="J1392" s="9">
        <f t="shared" si="3"/>
        <v>2023</v>
      </c>
    </row>
    <row r="1393" ht="15.75" customHeight="1">
      <c r="A1393" s="5">
        <v>70.0</v>
      </c>
      <c r="B1393" s="10" t="s">
        <v>1325</v>
      </c>
      <c r="C1393" s="3" t="s">
        <v>1326</v>
      </c>
      <c r="D1393" s="4" t="s">
        <v>8</v>
      </c>
      <c r="E1393" s="5" t="s">
        <v>13</v>
      </c>
      <c r="F1393" s="6" t="s">
        <v>1333</v>
      </c>
      <c r="G1393" s="7">
        <v>45155.0</v>
      </c>
      <c r="H1393" s="8">
        <f t="shared" si="1"/>
        <v>17</v>
      </c>
      <c r="I1393" s="9">
        <f t="shared" si="2"/>
        <v>8</v>
      </c>
      <c r="J1393" s="9">
        <f t="shared" si="3"/>
        <v>2023</v>
      </c>
    </row>
    <row r="1394" ht="15.75" customHeight="1">
      <c r="A1394" s="5">
        <v>70.0</v>
      </c>
      <c r="B1394" s="10" t="s">
        <v>1325</v>
      </c>
      <c r="C1394" s="3" t="s">
        <v>1326</v>
      </c>
      <c r="D1394" s="4" t="s">
        <v>8</v>
      </c>
      <c r="E1394" s="5" t="s">
        <v>4</v>
      </c>
      <c r="F1394" s="6" t="s">
        <v>1334</v>
      </c>
      <c r="G1394" s="7">
        <v>45162.0</v>
      </c>
      <c r="H1394" s="8">
        <f t="shared" si="1"/>
        <v>24</v>
      </c>
      <c r="I1394" s="9">
        <f t="shared" si="2"/>
        <v>8</v>
      </c>
      <c r="J1394" s="9">
        <f t="shared" si="3"/>
        <v>2023</v>
      </c>
    </row>
    <row r="1395" ht="15.75" customHeight="1">
      <c r="A1395" s="5">
        <v>70.0</v>
      </c>
      <c r="B1395" s="10" t="s">
        <v>1325</v>
      </c>
      <c r="C1395" s="3" t="s">
        <v>1326</v>
      </c>
      <c r="D1395" s="4" t="s">
        <v>3</v>
      </c>
      <c r="E1395" s="5" t="s">
        <v>6</v>
      </c>
      <c r="F1395" s="6" t="s">
        <v>1335</v>
      </c>
      <c r="G1395" s="7">
        <v>45166.0</v>
      </c>
      <c r="H1395" s="8">
        <f t="shared" si="1"/>
        <v>28</v>
      </c>
      <c r="I1395" s="9">
        <f t="shared" si="2"/>
        <v>8</v>
      </c>
      <c r="J1395" s="9">
        <f t="shared" si="3"/>
        <v>2023</v>
      </c>
    </row>
    <row r="1396" ht="15.75" customHeight="1">
      <c r="A1396" s="5">
        <v>70.0</v>
      </c>
      <c r="B1396" s="10" t="s">
        <v>1325</v>
      </c>
      <c r="C1396" s="3" t="s">
        <v>1326</v>
      </c>
      <c r="D1396" s="4" t="s">
        <v>8</v>
      </c>
      <c r="E1396" s="5" t="s">
        <v>51</v>
      </c>
      <c r="F1396" s="6" t="s">
        <v>1336</v>
      </c>
      <c r="G1396" s="7">
        <v>45172.0</v>
      </c>
      <c r="H1396" s="8">
        <f t="shared" si="1"/>
        <v>3</v>
      </c>
      <c r="I1396" s="9">
        <f t="shared" si="2"/>
        <v>9</v>
      </c>
      <c r="J1396" s="9">
        <f t="shared" si="3"/>
        <v>2023</v>
      </c>
    </row>
    <row r="1397" ht="15.75" customHeight="1">
      <c r="A1397" s="5">
        <v>70.0</v>
      </c>
      <c r="B1397" s="10" t="s">
        <v>1325</v>
      </c>
      <c r="C1397" s="3" t="s">
        <v>1326</v>
      </c>
      <c r="D1397" s="4" t="s">
        <v>8</v>
      </c>
      <c r="E1397" s="5" t="s">
        <v>35</v>
      </c>
      <c r="F1397" s="6" t="s">
        <v>1337</v>
      </c>
      <c r="G1397" s="7">
        <v>45174.0</v>
      </c>
      <c r="H1397" s="8">
        <f t="shared" si="1"/>
        <v>5</v>
      </c>
      <c r="I1397" s="9">
        <f t="shared" si="2"/>
        <v>9</v>
      </c>
      <c r="J1397" s="9">
        <f t="shared" si="3"/>
        <v>2023</v>
      </c>
    </row>
    <row r="1398" ht="15.75" customHeight="1">
      <c r="A1398" s="5">
        <v>70.0</v>
      </c>
      <c r="B1398" s="10" t="s">
        <v>1325</v>
      </c>
      <c r="C1398" s="3" t="s">
        <v>1326</v>
      </c>
      <c r="D1398" s="4" t="s">
        <v>3</v>
      </c>
      <c r="E1398" s="5" t="s">
        <v>21</v>
      </c>
      <c r="F1398" s="6" t="s">
        <v>1338</v>
      </c>
      <c r="G1398" s="7">
        <v>45181.0</v>
      </c>
      <c r="H1398" s="8">
        <f t="shared" si="1"/>
        <v>12</v>
      </c>
      <c r="I1398" s="9">
        <f t="shared" si="2"/>
        <v>9</v>
      </c>
      <c r="J1398" s="9">
        <f t="shared" si="3"/>
        <v>2023</v>
      </c>
    </row>
    <row r="1399" ht="15.75" customHeight="1">
      <c r="A1399" s="5">
        <v>70.0</v>
      </c>
      <c r="B1399" s="10" t="s">
        <v>1325</v>
      </c>
      <c r="C1399" s="3" t="s">
        <v>1326</v>
      </c>
      <c r="D1399" s="4" t="s">
        <v>3</v>
      </c>
      <c r="E1399" s="5" t="s">
        <v>13</v>
      </c>
      <c r="F1399" s="6" t="s">
        <v>1339</v>
      </c>
      <c r="G1399" s="7">
        <v>45207.0</v>
      </c>
      <c r="H1399" s="8">
        <f t="shared" si="1"/>
        <v>8</v>
      </c>
      <c r="I1399" s="9">
        <f t="shared" si="2"/>
        <v>10</v>
      </c>
      <c r="J1399" s="9">
        <f t="shared" si="3"/>
        <v>2023</v>
      </c>
    </row>
    <row r="1400" ht="15.75" customHeight="1">
      <c r="A1400" s="5">
        <v>70.0</v>
      </c>
      <c r="B1400" s="10" t="s">
        <v>1325</v>
      </c>
      <c r="C1400" s="3" t="s">
        <v>1326</v>
      </c>
      <c r="D1400" s="4" t="s">
        <v>3</v>
      </c>
      <c r="E1400" s="5" t="s">
        <v>35</v>
      </c>
      <c r="F1400" s="6" t="s">
        <v>1201</v>
      </c>
      <c r="G1400" s="7">
        <v>45210.0</v>
      </c>
      <c r="H1400" s="8">
        <f t="shared" si="1"/>
        <v>11</v>
      </c>
      <c r="I1400" s="9">
        <f t="shared" si="2"/>
        <v>10</v>
      </c>
      <c r="J1400" s="9">
        <f t="shared" si="3"/>
        <v>2023</v>
      </c>
    </row>
    <row r="1401" ht="15.75" customHeight="1">
      <c r="A1401" s="5">
        <v>71.0</v>
      </c>
      <c r="B1401" s="10" t="s">
        <v>1258</v>
      </c>
      <c r="C1401" s="3" t="s">
        <v>1340</v>
      </c>
      <c r="D1401" s="4" t="s">
        <v>3</v>
      </c>
      <c r="E1401" s="5" t="s">
        <v>42</v>
      </c>
      <c r="F1401" s="6" t="s">
        <v>86</v>
      </c>
      <c r="G1401" s="7">
        <v>44940.0</v>
      </c>
      <c r="H1401" s="8">
        <f t="shared" si="1"/>
        <v>14</v>
      </c>
      <c r="I1401" s="9">
        <f t="shared" si="2"/>
        <v>1</v>
      </c>
      <c r="J1401" s="9">
        <f t="shared" si="3"/>
        <v>2023</v>
      </c>
    </row>
    <row r="1402" ht="15.75" customHeight="1">
      <c r="A1402" s="5">
        <v>71.0</v>
      </c>
      <c r="B1402" s="10" t="s">
        <v>1258</v>
      </c>
      <c r="C1402" s="3" t="s">
        <v>1340</v>
      </c>
      <c r="D1402" s="4" t="s">
        <v>8</v>
      </c>
      <c r="E1402" s="5" t="s">
        <v>19</v>
      </c>
      <c r="F1402" s="6" t="s">
        <v>1341</v>
      </c>
      <c r="G1402" s="7">
        <v>44948.0</v>
      </c>
      <c r="H1402" s="8">
        <f t="shared" si="1"/>
        <v>22</v>
      </c>
      <c r="I1402" s="9">
        <f t="shared" si="2"/>
        <v>1</v>
      </c>
      <c r="J1402" s="9">
        <f t="shared" si="3"/>
        <v>2023</v>
      </c>
    </row>
    <row r="1403" ht="15.75" customHeight="1">
      <c r="A1403" s="5">
        <v>71.0</v>
      </c>
      <c r="B1403" s="10" t="s">
        <v>1258</v>
      </c>
      <c r="C1403" s="3" t="s">
        <v>1340</v>
      </c>
      <c r="D1403" s="4" t="s">
        <v>3</v>
      </c>
      <c r="E1403" s="5" t="s">
        <v>71</v>
      </c>
      <c r="F1403" s="6" t="s">
        <v>1342</v>
      </c>
      <c r="G1403" s="7">
        <v>44949.0</v>
      </c>
      <c r="H1403" s="8">
        <f t="shared" si="1"/>
        <v>23</v>
      </c>
      <c r="I1403" s="9">
        <f t="shared" si="2"/>
        <v>1</v>
      </c>
      <c r="J1403" s="9">
        <f t="shared" si="3"/>
        <v>2023</v>
      </c>
    </row>
    <row r="1404" ht="15.75" customHeight="1">
      <c r="A1404" s="5">
        <v>71.0</v>
      </c>
      <c r="B1404" s="10" t="s">
        <v>1258</v>
      </c>
      <c r="C1404" s="3" t="s">
        <v>1340</v>
      </c>
      <c r="D1404" s="4" t="s">
        <v>3</v>
      </c>
      <c r="E1404" s="5" t="s">
        <v>21</v>
      </c>
      <c r="F1404" s="6" t="s">
        <v>943</v>
      </c>
      <c r="G1404" s="7">
        <v>44988.0</v>
      </c>
      <c r="H1404" s="8">
        <f t="shared" si="1"/>
        <v>3</v>
      </c>
      <c r="I1404" s="9">
        <f t="shared" si="2"/>
        <v>3</v>
      </c>
      <c r="J1404" s="9">
        <f t="shared" si="3"/>
        <v>2023</v>
      </c>
    </row>
    <row r="1405" ht="15.75" customHeight="1">
      <c r="A1405" s="5">
        <v>71.0</v>
      </c>
      <c r="B1405" s="10" t="s">
        <v>1258</v>
      </c>
      <c r="C1405" s="3" t="s">
        <v>1340</v>
      </c>
      <c r="D1405" s="4" t="s">
        <v>8</v>
      </c>
      <c r="E1405" s="5" t="s">
        <v>21</v>
      </c>
      <c r="F1405" s="6" t="s">
        <v>966</v>
      </c>
      <c r="G1405" s="7">
        <v>45002.0</v>
      </c>
      <c r="H1405" s="8">
        <f t="shared" si="1"/>
        <v>17</v>
      </c>
      <c r="I1405" s="9">
        <f t="shared" si="2"/>
        <v>3</v>
      </c>
      <c r="J1405" s="9">
        <f t="shared" si="3"/>
        <v>2023</v>
      </c>
    </row>
    <row r="1406" ht="15.75" customHeight="1">
      <c r="A1406" s="5">
        <v>71.0</v>
      </c>
      <c r="B1406" s="10" t="s">
        <v>1258</v>
      </c>
      <c r="C1406" s="3" t="s">
        <v>1340</v>
      </c>
      <c r="D1406" s="4" t="s">
        <v>3</v>
      </c>
      <c r="E1406" s="5" t="s">
        <v>39</v>
      </c>
      <c r="F1406" s="6" t="s">
        <v>1343</v>
      </c>
      <c r="G1406" s="7">
        <v>45007.0</v>
      </c>
      <c r="H1406" s="8">
        <f t="shared" si="1"/>
        <v>22</v>
      </c>
      <c r="I1406" s="9">
        <f t="shared" si="2"/>
        <v>3</v>
      </c>
      <c r="J1406" s="9">
        <f t="shared" si="3"/>
        <v>2023</v>
      </c>
    </row>
    <row r="1407" ht="15.75" customHeight="1">
      <c r="A1407" s="5">
        <v>71.0</v>
      </c>
      <c r="B1407" s="10" t="s">
        <v>1258</v>
      </c>
      <c r="C1407" s="3" t="s">
        <v>1340</v>
      </c>
      <c r="D1407" s="4" t="s">
        <v>8</v>
      </c>
      <c r="E1407" s="5" t="s">
        <v>6</v>
      </c>
      <c r="F1407" s="6" t="s">
        <v>1344</v>
      </c>
      <c r="G1407" s="7">
        <v>45044.0</v>
      </c>
      <c r="H1407" s="8">
        <f t="shared" si="1"/>
        <v>28</v>
      </c>
      <c r="I1407" s="9">
        <f t="shared" si="2"/>
        <v>4</v>
      </c>
      <c r="J1407" s="9">
        <f t="shared" si="3"/>
        <v>2023</v>
      </c>
    </row>
    <row r="1408" ht="15.75" customHeight="1">
      <c r="A1408" s="5">
        <v>71.0</v>
      </c>
      <c r="B1408" s="10" t="s">
        <v>1258</v>
      </c>
      <c r="C1408" s="3" t="s">
        <v>1340</v>
      </c>
      <c r="D1408" s="4" t="s">
        <v>3</v>
      </c>
      <c r="E1408" s="5" t="s">
        <v>17</v>
      </c>
      <c r="F1408" s="6" t="s">
        <v>716</v>
      </c>
      <c r="G1408" s="7">
        <v>45066.0</v>
      </c>
      <c r="H1408" s="8">
        <f t="shared" si="1"/>
        <v>20</v>
      </c>
      <c r="I1408" s="9">
        <f t="shared" si="2"/>
        <v>5</v>
      </c>
      <c r="J1408" s="9">
        <f t="shared" si="3"/>
        <v>2023</v>
      </c>
    </row>
    <row r="1409" ht="15.75" customHeight="1">
      <c r="A1409" s="5">
        <v>71.0</v>
      </c>
      <c r="B1409" s="10" t="s">
        <v>1258</v>
      </c>
      <c r="C1409" s="3" t="s">
        <v>1340</v>
      </c>
      <c r="D1409" s="4" t="s">
        <v>3</v>
      </c>
      <c r="E1409" s="5" t="s">
        <v>35</v>
      </c>
      <c r="F1409" s="6" t="s">
        <v>1345</v>
      </c>
      <c r="G1409" s="7">
        <v>45073.0</v>
      </c>
      <c r="H1409" s="8">
        <f t="shared" si="1"/>
        <v>27</v>
      </c>
      <c r="I1409" s="9">
        <f t="shared" si="2"/>
        <v>5</v>
      </c>
      <c r="J1409" s="9">
        <f t="shared" si="3"/>
        <v>2023</v>
      </c>
    </row>
    <row r="1410" ht="15.75" customHeight="1">
      <c r="A1410" s="5">
        <v>71.0</v>
      </c>
      <c r="B1410" s="10" t="s">
        <v>1258</v>
      </c>
      <c r="C1410" s="3" t="s">
        <v>1340</v>
      </c>
      <c r="D1410" s="4" t="s">
        <v>8</v>
      </c>
      <c r="E1410" s="5" t="s">
        <v>39</v>
      </c>
      <c r="F1410" s="6" t="s">
        <v>1346</v>
      </c>
      <c r="G1410" s="7">
        <v>45089.0</v>
      </c>
      <c r="H1410" s="8">
        <f t="shared" si="1"/>
        <v>12</v>
      </c>
      <c r="I1410" s="9">
        <f t="shared" si="2"/>
        <v>6</v>
      </c>
      <c r="J1410" s="9">
        <f t="shared" si="3"/>
        <v>2023</v>
      </c>
    </row>
    <row r="1411" ht="15.75" customHeight="1">
      <c r="A1411" s="5">
        <v>71.0</v>
      </c>
      <c r="B1411" s="10" t="s">
        <v>1258</v>
      </c>
      <c r="C1411" s="3" t="s">
        <v>1340</v>
      </c>
      <c r="D1411" s="4" t="s">
        <v>8</v>
      </c>
      <c r="E1411" s="5" t="s">
        <v>6</v>
      </c>
      <c r="F1411" s="6" t="s">
        <v>1347</v>
      </c>
      <c r="G1411" s="7">
        <v>45095.0</v>
      </c>
      <c r="H1411" s="8">
        <f t="shared" si="1"/>
        <v>18</v>
      </c>
      <c r="I1411" s="9">
        <f t="shared" si="2"/>
        <v>6</v>
      </c>
      <c r="J1411" s="9">
        <f t="shared" si="3"/>
        <v>2023</v>
      </c>
    </row>
    <row r="1412" ht="15.75" customHeight="1">
      <c r="A1412" s="5">
        <v>71.0</v>
      </c>
      <c r="B1412" s="10" t="s">
        <v>1258</v>
      </c>
      <c r="C1412" s="3" t="s">
        <v>1340</v>
      </c>
      <c r="D1412" s="4" t="s">
        <v>3</v>
      </c>
      <c r="E1412" s="5" t="s">
        <v>4</v>
      </c>
      <c r="F1412" s="6" t="s">
        <v>1348</v>
      </c>
      <c r="G1412" s="7">
        <v>45103.0</v>
      </c>
      <c r="H1412" s="8">
        <f t="shared" si="1"/>
        <v>26</v>
      </c>
      <c r="I1412" s="9">
        <f t="shared" si="2"/>
        <v>6</v>
      </c>
      <c r="J1412" s="9">
        <f t="shared" si="3"/>
        <v>2023</v>
      </c>
    </row>
    <row r="1413" ht="15.75" customHeight="1">
      <c r="A1413" s="5">
        <v>71.0</v>
      </c>
      <c r="B1413" s="10" t="s">
        <v>1258</v>
      </c>
      <c r="C1413" s="3" t="s">
        <v>1340</v>
      </c>
      <c r="D1413" s="4" t="s">
        <v>3</v>
      </c>
      <c r="E1413" s="5" t="s">
        <v>71</v>
      </c>
      <c r="F1413" s="6" t="s">
        <v>1349</v>
      </c>
      <c r="G1413" s="7">
        <v>45157.0</v>
      </c>
      <c r="H1413" s="8">
        <f t="shared" si="1"/>
        <v>19</v>
      </c>
      <c r="I1413" s="9">
        <f t="shared" si="2"/>
        <v>8</v>
      </c>
      <c r="J1413" s="9">
        <f t="shared" si="3"/>
        <v>2023</v>
      </c>
    </row>
    <row r="1414" ht="15.75" customHeight="1">
      <c r="A1414" s="5">
        <v>71.0</v>
      </c>
      <c r="B1414" s="10" t="s">
        <v>1258</v>
      </c>
      <c r="C1414" s="3" t="s">
        <v>1340</v>
      </c>
      <c r="D1414" s="4" t="s">
        <v>8</v>
      </c>
      <c r="E1414" s="5" t="s">
        <v>17</v>
      </c>
      <c r="F1414" s="6" t="s">
        <v>203</v>
      </c>
      <c r="G1414" s="7">
        <v>45163.0</v>
      </c>
      <c r="H1414" s="8">
        <f t="shared" si="1"/>
        <v>25</v>
      </c>
      <c r="I1414" s="9">
        <f t="shared" si="2"/>
        <v>8</v>
      </c>
      <c r="J1414" s="9">
        <f t="shared" si="3"/>
        <v>2023</v>
      </c>
    </row>
    <row r="1415" ht="15.75" customHeight="1">
      <c r="A1415" s="5">
        <v>71.0</v>
      </c>
      <c r="B1415" s="10" t="s">
        <v>1258</v>
      </c>
      <c r="C1415" s="3" t="s">
        <v>1340</v>
      </c>
      <c r="D1415" s="4" t="s">
        <v>3</v>
      </c>
      <c r="E1415" s="5" t="s">
        <v>45</v>
      </c>
      <c r="F1415" s="6" t="s">
        <v>1350</v>
      </c>
      <c r="G1415" s="7">
        <v>45181.0</v>
      </c>
      <c r="H1415" s="8">
        <f t="shared" si="1"/>
        <v>12</v>
      </c>
      <c r="I1415" s="9">
        <f t="shared" si="2"/>
        <v>9</v>
      </c>
      <c r="J1415" s="9">
        <f t="shared" si="3"/>
        <v>2023</v>
      </c>
    </row>
    <row r="1416" ht="15.75" customHeight="1">
      <c r="A1416" s="5">
        <v>71.0</v>
      </c>
      <c r="B1416" s="10" t="s">
        <v>1258</v>
      </c>
      <c r="C1416" s="3" t="s">
        <v>1340</v>
      </c>
      <c r="D1416" s="4" t="s">
        <v>8</v>
      </c>
      <c r="E1416" s="5" t="s">
        <v>51</v>
      </c>
      <c r="F1416" s="6" t="s">
        <v>1351</v>
      </c>
      <c r="G1416" s="7">
        <v>45189.0</v>
      </c>
      <c r="H1416" s="8">
        <f t="shared" si="1"/>
        <v>20</v>
      </c>
      <c r="I1416" s="9">
        <f t="shared" si="2"/>
        <v>9</v>
      </c>
      <c r="J1416" s="9">
        <f t="shared" si="3"/>
        <v>2023</v>
      </c>
    </row>
    <row r="1417" ht="15.75" customHeight="1">
      <c r="A1417" s="5">
        <v>71.0</v>
      </c>
      <c r="B1417" s="10" t="s">
        <v>1258</v>
      </c>
      <c r="C1417" s="3" t="s">
        <v>1340</v>
      </c>
      <c r="D1417" s="4" t="s">
        <v>3</v>
      </c>
      <c r="E1417" s="5" t="s">
        <v>76</v>
      </c>
      <c r="F1417" s="6" t="s">
        <v>1352</v>
      </c>
      <c r="G1417" s="7">
        <v>45193.0</v>
      </c>
      <c r="H1417" s="8">
        <f t="shared" si="1"/>
        <v>24</v>
      </c>
      <c r="I1417" s="9">
        <f t="shared" si="2"/>
        <v>9</v>
      </c>
      <c r="J1417" s="9">
        <f t="shared" si="3"/>
        <v>2023</v>
      </c>
    </row>
    <row r="1418" ht="15.75" customHeight="1">
      <c r="A1418" s="5">
        <v>71.0</v>
      </c>
      <c r="B1418" s="10" t="s">
        <v>1258</v>
      </c>
      <c r="C1418" s="3" t="s">
        <v>1340</v>
      </c>
      <c r="D1418" s="4" t="s">
        <v>3</v>
      </c>
      <c r="E1418" s="5" t="s">
        <v>4</v>
      </c>
      <c r="F1418" s="6" t="s">
        <v>1353</v>
      </c>
      <c r="G1418" s="7">
        <v>45231.0</v>
      </c>
      <c r="H1418" s="8">
        <f t="shared" si="1"/>
        <v>1</v>
      </c>
      <c r="I1418" s="9">
        <f t="shared" si="2"/>
        <v>11</v>
      </c>
      <c r="J1418" s="9">
        <f t="shared" si="3"/>
        <v>2023</v>
      </c>
    </row>
    <row r="1419" ht="15.75" customHeight="1">
      <c r="A1419" s="5">
        <v>71.0</v>
      </c>
      <c r="B1419" s="10" t="s">
        <v>1258</v>
      </c>
      <c r="C1419" s="3" t="s">
        <v>1340</v>
      </c>
      <c r="D1419" s="4" t="s">
        <v>3</v>
      </c>
      <c r="E1419" s="5" t="s">
        <v>21</v>
      </c>
      <c r="F1419" s="6" t="s">
        <v>1354</v>
      </c>
      <c r="G1419" s="7">
        <v>45255.0</v>
      </c>
      <c r="H1419" s="8">
        <f t="shared" si="1"/>
        <v>25</v>
      </c>
      <c r="I1419" s="9">
        <f t="shared" si="2"/>
        <v>11</v>
      </c>
      <c r="J1419" s="9">
        <f t="shared" si="3"/>
        <v>2023</v>
      </c>
    </row>
    <row r="1420" ht="15.75" customHeight="1">
      <c r="A1420" s="5">
        <v>71.0</v>
      </c>
      <c r="B1420" s="10" t="s">
        <v>1258</v>
      </c>
      <c r="C1420" s="3" t="s">
        <v>1340</v>
      </c>
      <c r="D1420" s="4" t="s">
        <v>3</v>
      </c>
      <c r="E1420" s="5" t="s">
        <v>13</v>
      </c>
      <c r="F1420" s="6" t="s">
        <v>1355</v>
      </c>
      <c r="G1420" s="7">
        <v>45268.0</v>
      </c>
      <c r="H1420" s="8">
        <f t="shared" si="1"/>
        <v>8</v>
      </c>
      <c r="I1420" s="9">
        <f t="shared" si="2"/>
        <v>12</v>
      </c>
      <c r="J1420" s="9">
        <f t="shared" si="3"/>
        <v>2023</v>
      </c>
    </row>
    <row r="1421" ht="15.75" customHeight="1">
      <c r="A1421" s="5">
        <v>72.0</v>
      </c>
      <c r="B1421" s="10" t="s">
        <v>1356</v>
      </c>
      <c r="C1421" s="3" t="s">
        <v>1357</v>
      </c>
      <c r="D1421" s="4" t="s">
        <v>8</v>
      </c>
      <c r="E1421" s="5" t="s">
        <v>4</v>
      </c>
      <c r="F1421" s="6" t="s">
        <v>1358</v>
      </c>
      <c r="G1421" s="7">
        <v>44938.0</v>
      </c>
      <c r="H1421" s="8">
        <f t="shared" si="1"/>
        <v>12</v>
      </c>
      <c r="I1421" s="9">
        <f t="shared" si="2"/>
        <v>1</v>
      </c>
      <c r="J1421" s="9">
        <f t="shared" si="3"/>
        <v>2023</v>
      </c>
    </row>
    <row r="1422" ht="15.75" customHeight="1">
      <c r="A1422" s="5">
        <v>72.0</v>
      </c>
      <c r="B1422" s="10" t="s">
        <v>1356</v>
      </c>
      <c r="C1422" s="3" t="s">
        <v>1357</v>
      </c>
      <c r="D1422" s="4" t="s">
        <v>3</v>
      </c>
      <c r="E1422" s="5" t="s">
        <v>51</v>
      </c>
      <c r="F1422" s="6" t="s">
        <v>162</v>
      </c>
      <c r="G1422" s="7">
        <v>44971.0</v>
      </c>
      <c r="H1422" s="8">
        <f t="shared" si="1"/>
        <v>14</v>
      </c>
      <c r="I1422" s="9">
        <f t="shared" si="2"/>
        <v>2</v>
      </c>
      <c r="J1422" s="9">
        <f t="shared" si="3"/>
        <v>2023</v>
      </c>
    </row>
    <row r="1423" ht="15.75" customHeight="1">
      <c r="A1423" s="5">
        <v>72.0</v>
      </c>
      <c r="B1423" s="10" t="s">
        <v>1356</v>
      </c>
      <c r="C1423" s="3" t="s">
        <v>1357</v>
      </c>
      <c r="D1423" s="4" t="s">
        <v>8</v>
      </c>
      <c r="E1423" s="5" t="s">
        <v>45</v>
      </c>
      <c r="F1423" s="6" t="s">
        <v>1359</v>
      </c>
      <c r="G1423" s="7">
        <v>44980.0</v>
      </c>
      <c r="H1423" s="8">
        <f t="shared" si="1"/>
        <v>23</v>
      </c>
      <c r="I1423" s="9">
        <f t="shared" si="2"/>
        <v>2</v>
      </c>
      <c r="J1423" s="9">
        <f t="shared" si="3"/>
        <v>2023</v>
      </c>
    </row>
    <row r="1424" ht="15.75" customHeight="1">
      <c r="A1424" s="5">
        <v>72.0</v>
      </c>
      <c r="B1424" s="10" t="s">
        <v>1356</v>
      </c>
      <c r="C1424" s="3" t="s">
        <v>1357</v>
      </c>
      <c r="D1424" s="4" t="s">
        <v>8</v>
      </c>
      <c r="E1424" s="5" t="s">
        <v>71</v>
      </c>
      <c r="F1424" s="6" t="s">
        <v>1360</v>
      </c>
      <c r="G1424" s="7">
        <v>44994.0</v>
      </c>
      <c r="H1424" s="8">
        <f t="shared" si="1"/>
        <v>9</v>
      </c>
      <c r="I1424" s="9">
        <f t="shared" si="2"/>
        <v>3</v>
      </c>
      <c r="J1424" s="9">
        <f t="shared" si="3"/>
        <v>2023</v>
      </c>
    </row>
    <row r="1425" ht="15.75" customHeight="1">
      <c r="A1425" s="5">
        <v>72.0</v>
      </c>
      <c r="B1425" s="10" t="s">
        <v>1356</v>
      </c>
      <c r="C1425" s="3" t="s">
        <v>1357</v>
      </c>
      <c r="D1425" s="4" t="s">
        <v>3</v>
      </c>
      <c r="E1425" s="5" t="s">
        <v>9</v>
      </c>
      <c r="F1425" s="6" t="s">
        <v>403</v>
      </c>
      <c r="G1425" s="7">
        <v>45018.0</v>
      </c>
      <c r="H1425" s="8">
        <f t="shared" si="1"/>
        <v>2</v>
      </c>
      <c r="I1425" s="9">
        <f t="shared" si="2"/>
        <v>4</v>
      </c>
      <c r="J1425" s="9">
        <f t="shared" si="3"/>
        <v>2023</v>
      </c>
    </row>
    <row r="1426" ht="15.75" customHeight="1">
      <c r="A1426" s="5">
        <v>72.0</v>
      </c>
      <c r="B1426" s="10" t="s">
        <v>1356</v>
      </c>
      <c r="C1426" s="3" t="s">
        <v>1357</v>
      </c>
      <c r="D1426" s="4" t="s">
        <v>8</v>
      </c>
      <c r="E1426" s="5" t="s">
        <v>23</v>
      </c>
      <c r="F1426" s="6" t="s">
        <v>1361</v>
      </c>
      <c r="G1426" s="7">
        <v>45040.0</v>
      </c>
      <c r="H1426" s="8">
        <f t="shared" si="1"/>
        <v>24</v>
      </c>
      <c r="I1426" s="9">
        <f t="shared" si="2"/>
        <v>4</v>
      </c>
      <c r="J1426" s="9">
        <f t="shared" si="3"/>
        <v>2023</v>
      </c>
    </row>
    <row r="1427" ht="15.75" customHeight="1">
      <c r="A1427" s="5">
        <v>72.0</v>
      </c>
      <c r="B1427" s="10" t="s">
        <v>1356</v>
      </c>
      <c r="C1427" s="3" t="s">
        <v>1357</v>
      </c>
      <c r="D1427" s="4" t="s">
        <v>3</v>
      </c>
      <c r="E1427" s="5" t="s">
        <v>15</v>
      </c>
      <c r="F1427" s="6" t="s">
        <v>1362</v>
      </c>
      <c r="G1427" s="7">
        <v>45043.0</v>
      </c>
      <c r="H1427" s="8">
        <f t="shared" si="1"/>
        <v>27</v>
      </c>
      <c r="I1427" s="9">
        <f t="shared" si="2"/>
        <v>4</v>
      </c>
      <c r="J1427" s="9">
        <f t="shared" si="3"/>
        <v>2023</v>
      </c>
    </row>
    <row r="1428" ht="15.75" customHeight="1">
      <c r="A1428" s="5">
        <v>72.0</v>
      </c>
      <c r="B1428" s="10" t="s">
        <v>1356</v>
      </c>
      <c r="C1428" s="3" t="s">
        <v>1357</v>
      </c>
      <c r="D1428" s="4" t="s">
        <v>3</v>
      </c>
      <c r="E1428" s="5" t="s">
        <v>96</v>
      </c>
      <c r="F1428" s="6" t="s">
        <v>1363</v>
      </c>
      <c r="G1428" s="7">
        <v>45044.0</v>
      </c>
      <c r="H1428" s="8">
        <f t="shared" si="1"/>
        <v>28</v>
      </c>
      <c r="I1428" s="9">
        <f t="shared" si="2"/>
        <v>4</v>
      </c>
      <c r="J1428" s="9">
        <f t="shared" si="3"/>
        <v>2023</v>
      </c>
    </row>
    <row r="1429" ht="15.75" customHeight="1">
      <c r="A1429" s="5">
        <v>72.0</v>
      </c>
      <c r="B1429" s="10" t="s">
        <v>1356</v>
      </c>
      <c r="C1429" s="3" t="s">
        <v>1357</v>
      </c>
      <c r="D1429" s="4" t="s">
        <v>8</v>
      </c>
      <c r="E1429" s="5" t="s">
        <v>19</v>
      </c>
      <c r="F1429" s="6" t="s">
        <v>1364</v>
      </c>
      <c r="G1429" s="7">
        <v>45078.0</v>
      </c>
      <c r="H1429" s="8">
        <f t="shared" si="1"/>
        <v>1</v>
      </c>
      <c r="I1429" s="9">
        <f t="shared" si="2"/>
        <v>6</v>
      </c>
      <c r="J1429" s="9">
        <f t="shared" si="3"/>
        <v>2023</v>
      </c>
    </row>
    <row r="1430" ht="15.75" customHeight="1">
      <c r="A1430" s="5">
        <v>72.0</v>
      </c>
      <c r="B1430" s="10" t="s">
        <v>1356</v>
      </c>
      <c r="C1430" s="3" t="s">
        <v>1357</v>
      </c>
      <c r="D1430" s="4" t="s">
        <v>3</v>
      </c>
      <c r="E1430" s="5" t="s">
        <v>51</v>
      </c>
      <c r="F1430" s="6" t="s">
        <v>929</v>
      </c>
      <c r="G1430" s="7">
        <v>45080.0</v>
      </c>
      <c r="H1430" s="8">
        <f t="shared" si="1"/>
        <v>3</v>
      </c>
      <c r="I1430" s="9">
        <f t="shared" si="2"/>
        <v>6</v>
      </c>
      <c r="J1430" s="9">
        <f t="shared" si="3"/>
        <v>2023</v>
      </c>
    </row>
    <row r="1431" ht="15.75" customHeight="1">
      <c r="A1431" s="5">
        <v>72.0</v>
      </c>
      <c r="B1431" s="10" t="s">
        <v>1356</v>
      </c>
      <c r="C1431" s="3" t="s">
        <v>1357</v>
      </c>
      <c r="D1431" s="4" t="s">
        <v>8</v>
      </c>
      <c r="E1431" s="5" t="s">
        <v>42</v>
      </c>
      <c r="F1431" s="6" t="s">
        <v>859</v>
      </c>
      <c r="G1431" s="7">
        <v>45130.0</v>
      </c>
      <c r="H1431" s="8">
        <f t="shared" si="1"/>
        <v>23</v>
      </c>
      <c r="I1431" s="9">
        <f t="shared" si="2"/>
        <v>7</v>
      </c>
      <c r="J1431" s="9">
        <f t="shared" si="3"/>
        <v>2023</v>
      </c>
    </row>
    <row r="1432" ht="15.75" customHeight="1">
      <c r="A1432" s="5">
        <v>72.0</v>
      </c>
      <c r="B1432" s="10" t="s">
        <v>1356</v>
      </c>
      <c r="C1432" s="3" t="s">
        <v>1357</v>
      </c>
      <c r="D1432" s="4" t="s">
        <v>3</v>
      </c>
      <c r="E1432" s="5" t="s">
        <v>23</v>
      </c>
      <c r="F1432" s="6" t="s">
        <v>1365</v>
      </c>
      <c r="G1432" s="7">
        <v>45144.0</v>
      </c>
      <c r="H1432" s="8">
        <f t="shared" si="1"/>
        <v>6</v>
      </c>
      <c r="I1432" s="9">
        <f t="shared" si="2"/>
        <v>8</v>
      </c>
      <c r="J1432" s="9">
        <f t="shared" si="3"/>
        <v>2023</v>
      </c>
    </row>
    <row r="1433" ht="15.75" customHeight="1">
      <c r="A1433" s="5">
        <v>72.0</v>
      </c>
      <c r="B1433" s="10" t="s">
        <v>1356</v>
      </c>
      <c r="C1433" s="3" t="s">
        <v>1357</v>
      </c>
      <c r="D1433" s="4" t="s">
        <v>3</v>
      </c>
      <c r="E1433" s="5" t="s">
        <v>120</v>
      </c>
      <c r="F1433" s="6" t="s">
        <v>69</v>
      </c>
      <c r="G1433" s="7">
        <v>45160.0</v>
      </c>
      <c r="H1433" s="8">
        <f t="shared" si="1"/>
        <v>22</v>
      </c>
      <c r="I1433" s="9">
        <f t="shared" si="2"/>
        <v>8</v>
      </c>
      <c r="J1433" s="9">
        <f t="shared" si="3"/>
        <v>2023</v>
      </c>
    </row>
    <row r="1434" ht="15.75" customHeight="1">
      <c r="A1434" s="5">
        <v>72.0</v>
      </c>
      <c r="B1434" s="10" t="s">
        <v>1356</v>
      </c>
      <c r="C1434" s="3" t="s">
        <v>1357</v>
      </c>
      <c r="D1434" s="4" t="s">
        <v>8</v>
      </c>
      <c r="E1434" s="5" t="s">
        <v>71</v>
      </c>
      <c r="F1434" s="6" t="s">
        <v>484</v>
      </c>
      <c r="G1434" s="7">
        <v>45179.0</v>
      </c>
      <c r="H1434" s="8">
        <f t="shared" si="1"/>
        <v>10</v>
      </c>
      <c r="I1434" s="9">
        <f t="shared" si="2"/>
        <v>9</v>
      </c>
      <c r="J1434" s="9">
        <f t="shared" si="3"/>
        <v>2023</v>
      </c>
    </row>
    <row r="1435" ht="15.75" customHeight="1">
      <c r="A1435" s="5">
        <v>72.0</v>
      </c>
      <c r="B1435" s="10" t="s">
        <v>1356</v>
      </c>
      <c r="C1435" s="3" t="s">
        <v>1357</v>
      </c>
      <c r="D1435" s="4" t="s">
        <v>3</v>
      </c>
      <c r="E1435" s="5" t="s">
        <v>11</v>
      </c>
      <c r="F1435" s="6" t="s">
        <v>1366</v>
      </c>
      <c r="G1435" s="7">
        <v>45180.0</v>
      </c>
      <c r="H1435" s="8">
        <f t="shared" si="1"/>
        <v>11</v>
      </c>
      <c r="I1435" s="9">
        <f t="shared" si="2"/>
        <v>9</v>
      </c>
      <c r="J1435" s="9">
        <f t="shared" si="3"/>
        <v>2023</v>
      </c>
    </row>
    <row r="1436" ht="15.75" customHeight="1">
      <c r="A1436" s="5">
        <v>72.0</v>
      </c>
      <c r="B1436" s="10" t="s">
        <v>1356</v>
      </c>
      <c r="C1436" s="3" t="s">
        <v>1357</v>
      </c>
      <c r="D1436" s="4" t="s">
        <v>3</v>
      </c>
      <c r="E1436" s="5" t="s">
        <v>19</v>
      </c>
      <c r="F1436" s="6" t="s">
        <v>1367</v>
      </c>
      <c r="G1436" s="7">
        <v>45200.0</v>
      </c>
      <c r="H1436" s="8">
        <f t="shared" si="1"/>
        <v>1</v>
      </c>
      <c r="I1436" s="9">
        <f t="shared" si="2"/>
        <v>10</v>
      </c>
      <c r="J1436" s="9">
        <f t="shared" si="3"/>
        <v>2023</v>
      </c>
    </row>
    <row r="1437" ht="15.75" customHeight="1">
      <c r="A1437" s="5">
        <v>72.0</v>
      </c>
      <c r="B1437" s="10" t="s">
        <v>1356</v>
      </c>
      <c r="C1437" s="3" t="s">
        <v>1357</v>
      </c>
      <c r="D1437" s="4" t="s">
        <v>3</v>
      </c>
      <c r="E1437" s="5" t="s">
        <v>19</v>
      </c>
      <c r="F1437" s="6" t="s">
        <v>273</v>
      </c>
      <c r="G1437" s="7">
        <v>45234.0</v>
      </c>
      <c r="H1437" s="8">
        <f t="shared" si="1"/>
        <v>4</v>
      </c>
      <c r="I1437" s="9">
        <f t="shared" si="2"/>
        <v>11</v>
      </c>
      <c r="J1437" s="9">
        <f t="shared" si="3"/>
        <v>2023</v>
      </c>
    </row>
    <row r="1438" ht="15.75" customHeight="1">
      <c r="A1438" s="5">
        <v>72.0</v>
      </c>
      <c r="B1438" s="10" t="s">
        <v>1356</v>
      </c>
      <c r="C1438" s="3" t="s">
        <v>1357</v>
      </c>
      <c r="D1438" s="4" t="s">
        <v>8</v>
      </c>
      <c r="E1438" s="5" t="s">
        <v>76</v>
      </c>
      <c r="F1438" s="6" t="s">
        <v>1368</v>
      </c>
      <c r="G1438" s="7">
        <v>45262.0</v>
      </c>
      <c r="H1438" s="8">
        <f t="shared" si="1"/>
        <v>2</v>
      </c>
      <c r="I1438" s="9">
        <f t="shared" si="2"/>
        <v>12</v>
      </c>
      <c r="J1438" s="9">
        <f t="shared" si="3"/>
        <v>2023</v>
      </c>
    </row>
    <row r="1439" ht="15.75" customHeight="1">
      <c r="A1439" s="5">
        <v>72.0</v>
      </c>
      <c r="B1439" s="10" t="s">
        <v>1356</v>
      </c>
      <c r="C1439" s="3" t="s">
        <v>1357</v>
      </c>
      <c r="D1439" s="4" t="s">
        <v>8</v>
      </c>
      <c r="E1439" s="5" t="s">
        <v>35</v>
      </c>
      <c r="F1439" s="6" t="s">
        <v>1369</v>
      </c>
      <c r="G1439" s="7">
        <v>45263.0</v>
      </c>
      <c r="H1439" s="8">
        <f t="shared" si="1"/>
        <v>3</v>
      </c>
      <c r="I1439" s="9">
        <f t="shared" si="2"/>
        <v>12</v>
      </c>
      <c r="J1439" s="9">
        <f t="shared" si="3"/>
        <v>2023</v>
      </c>
    </row>
    <row r="1440" ht="15.75" customHeight="1">
      <c r="A1440" s="5">
        <v>72.0</v>
      </c>
      <c r="B1440" s="10" t="s">
        <v>1356</v>
      </c>
      <c r="C1440" s="3" t="s">
        <v>1357</v>
      </c>
      <c r="D1440" s="4" t="s">
        <v>3</v>
      </c>
      <c r="E1440" s="5" t="s">
        <v>13</v>
      </c>
      <c r="F1440" s="6" t="s">
        <v>1249</v>
      </c>
      <c r="G1440" s="7">
        <v>45277.0</v>
      </c>
      <c r="H1440" s="8">
        <f t="shared" si="1"/>
        <v>17</v>
      </c>
      <c r="I1440" s="9">
        <f t="shared" si="2"/>
        <v>12</v>
      </c>
      <c r="J1440" s="9">
        <f t="shared" si="3"/>
        <v>2023</v>
      </c>
    </row>
    <row r="1441" ht="15.75" customHeight="1">
      <c r="A1441" s="5">
        <v>73.0</v>
      </c>
      <c r="B1441" s="10" t="s">
        <v>1370</v>
      </c>
      <c r="C1441" s="3" t="s">
        <v>1371</v>
      </c>
      <c r="D1441" s="4" t="s">
        <v>3</v>
      </c>
      <c r="E1441" s="5" t="s">
        <v>15</v>
      </c>
      <c r="F1441" s="6" t="s">
        <v>541</v>
      </c>
      <c r="G1441" s="7">
        <v>44969.0</v>
      </c>
      <c r="H1441" s="8">
        <f t="shared" si="1"/>
        <v>12</v>
      </c>
      <c r="I1441" s="9">
        <f t="shared" si="2"/>
        <v>2</v>
      </c>
      <c r="J1441" s="9">
        <f t="shared" si="3"/>
        <v>2023</v>
      </c>
    </row>
    <row r="1442" ht="15.75" customHeight="1">
      <c r="A1442" s="5">
        <v>73.0</v>
      </c>
      <c r="B1442" s="10" t="s">
        <v>1370</v>
      </c>
      <c r="C1442" s="3" t="s">
        <v>1371</v>
      </c>
      <c r="D1442" s="4" t="s">
        <v>8</v>
      </c>
      <c r="E1442" s="5" t="s">
        <v>96</v>
      </c>
      <c r="F1442" s="6" t="s">
        <v>1372</v>
      </c>
      <c r="G1442" s="7">
        <v>44977.0</v>
      </c>
      <c r="H1442" s="8">
        <f t="shared" si="1"/>
        <v>20</v>
      </c>
      <c r="I1442" s="9">
        <f t="shared" si="2"/>
        <v>2</v>
      </c>
      <c r="J1442" s="9">
        <f t="shared" si="3"/>
        <v>2023</v>
      </c>
    </row>
    <row r="1443" ht="15.75" customHeight="1">
      <c r="A1443" s="5">
        <v>73.0</v>
      </c>
      <c r="B1443" s="10" t="s">
        <v>1370</v>
      </c>
      <c r="C1443" s="3" t="s">
        <v>1371</v>
      </c>
      <c r="D1443" s="4" t="s">
        <v>8</v>
      </c>
      <c r="E1443" s="5" t="s">
        <v>42</v>
      </c>
      <c r="F1443" s="6" t="s">
        <v>905</v>
      </c>
      <c r="G1443" s="7">
        <v>44988.0</v>
      </c>
      <c r="H1443" s="8">
        <f t="shared" si="1"/>
        <v>3</v>
      </c>
      <c r="I1443" s="9">
        <f t="shared" si="2"/>
        <v>3</v>
      </c>
      <c r="J1443" s="9">
        <f t="shared" si="3"/>
        <v>2023</v>
      </c>
    </row>
    <row r="1444" ht="15.75" customHeight="1">
      <c r="A1444" s="5">
        <v>73.0</v>
      </c>
      <c r="B1444" s="10" t="s">
        <v>1370</v>
      </c>
      <c r="C1444" s="3" t="s">
        <v>1371</v>
      </c>
      <c r="D1444" s="4" t="s">
        <v>8</v>
      </c>
      <c r="E1444" s="5" t="s">
        <v>120</v>
      </c>
      <c r="F1444" s="6" t="s">
        <v>1373</v>
      </c>
      <c r="G1444" s="7">
        <v>45002.0</v>
      </c>
      <c r="H1444" s="8">
        <f t="shared" si="1"/>
        <v>17</v>
      </c>
      <c r="I1444" s="9">
        <f t="shared" si="2"/>
        <v>3</v>
      </c>
      <c r="J1444" s="9">
        <f t="shared" si="3"/>
        <v>2023</v>
      </c>
    </row>
    <row r="1445" ht="15.75" customHeight="1">
      <c r="A1445" s="5">
        <v>73.0</v>
      </c>
      <c r="B1445" s="10" t="s">
        <v>1370</v>
      </c>
      <c r="C1445" s="3" t="s">
        <v>1371</v>
      </c>
      <c r="D1445" s="4" t="s">
        <v>3</v>
      </c>
      <c r="E1445" s="5" t="s">
        <v>76</v>
      </c>
      <c r="F1445" s="6" t="s">
        <v>1374</v>
      </c>
      <c r="G1445" s="7">
        <v>45010.0</v>
      </c>
      <c r="H1445" s="8">
        <f t="shared" si="1"/>
        <v>25</v>
      </c>
      <c r="I1445" s="9">
        <f t="shared" si="2"/>
        <v>3</v>
      </c>
      <c r="J1445" s="9">
        <f t="shared" si="3"/>
        <v>2023</v>
      </c>
    </row>
    <row r="1446" ht="15.75" customHeight="1">
      <c r="A1446" s="5">
        <v>73.0</v>
      </c>
      <c r="B1446" s="10" t="s">
        <v>1370</v>
      </c>
      <c r="C1446" s="3" t="s">
        <v>1371</v>
      </c>
      <c r="D1446" s="4" t="s">
        <v>8</v>
      </c>
      <c r="E1446" s="5" t="s">
        <v>42</v>
      </c>
      <c r="F1446" s="6" t="s">
        <v>208</v>
      </c>
      <c r="G1446" s="7">
        <v>45022.0</v>
      </c>
      <c r="H1446" s="8">
        <f t="shared" si="1"/>
        <v>6</v>
      </c>
      <c r="I1446" s="9">
        <f t="shared" si="2"/>
        <v>4</v>
      </c>
      <c r="J1446" s="9">
        <f t="shared" si="3"/>
        <v>2023</v>
      </c>
    </row>
    <row r="1447" ht="15.75" customHeight="1">
      <c r="A1447" s="5">
        <v>73.0</v>
      </c>
      <c r="B1447" s="10" t="s">
        <v>1370</v>
      </c>
      <c r="C1447" s="3" t="s">
        <v>1371</v>
      </c>
      <c r="D1447" s="4" t="s">
        <v>8</v>
      </c>
      <c r="E1447" s="5" t="s">
        <v>9</v>
      </c>
      <c r="F1447" s="6" t="s">
        <v>842</v>
      </c>
      <c r="G1447" s="7">
        <v>45029.0</v>
      </c>
      <c r="H1447" s="8">
        <f t="shared" si="1"/>
        <v>13</v>
      </c>
      <c r="I1447" s="9">
        <f t="shared" si="2"/>
        <v>4</v>
      </c>
      <c r="J1447" s="9">
        <f t="shared" si="3"/>
        <v>2023</v>
      </c>
    </row>
    <row r="1448" ht="15.75" customHeight="1">
      <c r="A1448" s="5">
        <v>73.0</v>
      </c>
      <c r="B1448" s="10" t="s">
        <v>1370</v>
      </c>
      <c r="C1448" s="3" t="s">
        <v>1371</v>
      </c>
      <c r="D1448" s="4" t="s">
        <v>3</v>
      </c>
      <c r="E1448" s="5" t="s">
        <v>4</v>
      </c>
      <c r="F1448" s="6" t="s">
        <v>1375</v>
      </c>
      <c r="G1448" s="7">
        <v>45044.0</v>
      </c>
      <c r="H1448" s="8">
        <f t="shared" si="1"/>
        <v>28</v>
      </c>
      <c r="I1448" s="9">
        <f t="shared" si="2"/>
        <v>4</v>
      </c>
      <c r="J1448" s="9">
        <f t="shared" si="3"/>
        <v>2023</v>
      </c>
    </row>
    <row r="1449" ht="15.75" customHeight="1">
      <c r="A1449" s="5">
        <v>73.0</v>
      </c>
      <c r="B1449" s="10" t="s">
        <v>1370</v>
      </c>
      <c r="C1449" s="3" t="s">
        <v>1371</v>
      </c>
      <c r="D1449" s="4" t="s">
        <v>8</v>
      </c>
      <c r="E1449" s="5" t="s">
        <v>19</v>
      </c>
      <c r="F1449" s="6" t="s">
        <v>1376</v>
      </c>
      <c r="G1449" s="7">
        <v>45049.0</v>
      </c>
      <c r="H1449" s="8">
        <f t="shared" si="1"/>
        <v>3</v>
      </c>
      <c r="I1449" s="9">
        <f t="shared" si="2"/>
        <v>5</v>
      </c>
      <c r="J1449" s="9">
        <f t="shared" si="3"/>
        <v>2023</v>
      </c>
    </row>
    <row r="1450" ht="15.75" customHeight="1">
      <c r="A1450" s="5">
        <v>73.0</v>
      </c>
      <c r="B1450" s="10" t="s">
        <v>1370</v>
      </c>
      <c r="C1450" s="3" t="s">
        <v>1371</v>
      </c>
      <c r="D1450" s="4" t="s">
        <v>3</v>
      </c>
      <c r="E1450" s="5" t="s">
        <v>39</v>
      </c>
      <c r="F1450" s="6" t="s">
        <v>1377</v>
      </c>
      <c r="G1450" s="7">
        <v>45052.0</v>
      </c>
      <c r="H1450" s="8">
        <f t="shared" si="1"/>
        <v>6</v>
      </c>
      <c r="I1450" s="9">
        <f t="shared" si="2"/>
        <v>5</v>
      </c>
      <c r="J1450" s="9">
        <f t="shared" si="3"/>
        <v>2023</v>
      </c>
    </row>
    <row r="1451" ht="15.75" customHeight="1">
      <c r="A1451" s="5">
        <v>73.0</v>
      </c>
      <c r="B1451" s="10" t="s">
        <v>1370</v>
      </c>
      <c r="C1451" s="3" t="s">
        <v>1371</v>
      </c>
      <c r="D1451" s="4" t="s">
        <v>8</v>
      </c>
      <c r="E1451" s="5" t="s">
        <v>19</v>
      </c>
      <c r="F1451" s="6" t="s">
        <v>1378</v>
      </c>
      <c r="G1451" s="7">
        <v>45062.0</v>
      </c>
      <c r="H1451" s="8">
        <f t="shared" si="1"/>
        <v>16</v>
      </c>
      <c r="I1451" s="9">
        <f t="shared" si="2"/>
        <v>5</v>
      </c>
      <c r="J1451" s="9">
        <f t="shared" si="3"/>
        <v>2023</v>
      </c>
    </row>
    <row r="1452" ht="15.75" customHeight="1">
      <c r="A1452" s="5">
        <v>73.0</v>
      </c>
      <c r="B1452" s="10" t="s">
        <v>1370</v>
      </c>
      <c r="C1452" s="3" t="s">
        <v>1371</v>
      </c>
      <c r="D1452" s="4" t="s">
        <v>8</v>
      </c>
      <c r="E1452" s="5" t="s">
        <v>71</v>
      </c>
      <c r="F1452" s="6" t="s">
        <v>1379</v>
      </c>
      <c r="G1452" s="7">
        <v>45066.0</v>
      </c>
      <c r="H1452" s="8">
        <f t="shared" si="1"/>
        <v>20</v>
      </c>
      <c r="I1452" s="9">
        <f t="shared" si="2"/>
        <v>5</v>
      </c>
      <c r="J1452" s="9">
        <f t="shared" si="3"/>
        <v>2023</v>
      </c>
    </row>
    <row r="1453" ht="15.75" customHeight="1">
      <c r="A1453" s="5">
        <v>73.0</v>
      </c>
      <c r="B1453" s="10" t="s">
        <v>1370</v>
      </c>
      <c r="C1453" s="3" t="s">
        <v>1371</v>
      </c>
      <c r="D1453" s="4" t="s">
        <v>3</v>
      </c>
      <c r="E1453" s="5" t="s">
        <v>39</v>
      </c>
      <c r="F1453" s="6" t="s">
        <v>1380</v>
      </c>
      <c r="G1453" s="7">
        <v>45084.0</v>
      </c>
      <c r="H1453" s="8">
        <f t="shared" si="1"/>
        <v>7</v>
      </c>
      <c r="I1453" s="9">
        <f t="shared" si="2"/>
        <v>6</v>
      </c>
      <c r="J1453" s="9">
        <f t="shared" si="3"/>
        <v>2023</v>
      </c>
    </row>
    <row r="1454" ht="15.75" customHeight="1">
      <c r="A1454" s="5">
        <v>73.0</v>
      </c>
      <c r="B1454" s="10" t="s">
        <v>1370</v>
      </c>
      <c r="C1454" s="3" t="s">
        <v>1371</v>
      </c>
      <c r="D1454" s="4" t="s">
        <v>8</v>
      </c>
      <c r="E1454" s="5" t="s">
        <v>35</v>
      </c>
      <c r="F1454" s="6" t="s">
        <v>1381</v>
      </c>
      <c r="G1454" s="7">
        <v>45108.0</v>
      </c>
      <c r="H1454" s="8">
        <f t="shared" si="1"/>
        <v>1</v>
      </c>
      <c r="I1454" s="9">
        <f t="shared" si="2"/>
        <v>7</v>
      </c>
      <c r="J1454" s="9">
        <f t="shared" si="3"/>
        <v>2023</v>
      </c>
    </row>
    <row r="1455" ht="15.75" customHeight="1">
      <c r="A1455" s="5">
        <v>73.0</v>
      </c>
      <c r="B1455" s="10" t="s">
        <v>1370</v>
      </c>
      <c r="C1455" s="3" t="s">
        <v>1371</v>
      </c>
      <c r="D1455" s="4" t="s">
        <v>3</v>
      </c>
      <c r="E1455" s="5" t="s">
        <v>21</v>
      </c>
      <c r="F1455" s="6" t="s">
        <v>612</v>
      </c>
      <c r="G1455" s="7">
        <v>45134.0</v>
      </c>
      <c r="H1455" s="8">
        <f t="shared" si="1"/>
        <v>27</v>
      </c>
      <c r="I1455" s="9">
        <f t="shared" si="2"/>
        <v>7</v>
      </c>
      <c r="J1455" s="9">
        <f t="shared" si="3"/>
        <v>2023</v>
      </c>
    </row>
    <row r="1456" ht="15.75" customHeight="1">
      <c r="A1456" s="5">
        <v>73.0</v>
      </c>
      <c r="B1456" s="10" t="s">
        <v>1370</v>
      </c>
      <c r="C1456" s="3" t="s">
        <v>1371</v>
      </c>
      <c r="D1456" s="4" t="s">
        <v>8</v>
      </c>
      <c r="E1456" s="5" t="s">
        <v>15</v>
      </c>
      <c r="F1456" s="6" t="s">
        <v>1376</v>
      </c>
      <c r="G1456" s="7">
        <v>45140.0</v>
      </c>
      <c r="H1456" s="8">
        <f t="shared" si="1"/>
        <v>2</v>
      </c>
      <c r="I1456" s="9">
        <f t="shared" si="2"/>
        <v>8</v>
      </c>
      <c r="J1456" s="9">
        <f t="shared" si="3"/>
        <v>2023</v>
      </c>
    </row>
    <row r="1457" ht="15.75" customHeight="1">
      <c r="A1457" s="5">
        <v>73.0</v>
      </c>
      <c r="B1457" s="10" t="s">
        <v>1370</v>
      </c>
      <c r="C1457" s="3" t="s">
        <v>1371</v>
      </c>
      <c r="D1457" s="4" t="s">
        <v>8</v>
      </c>
      <c r="E1457" s="5" t="s">
        <v>120</v>
      </c>
      <c r="F1457" s="6" t="s">
        <v>1382</v>
      </c>
      <c r="G1457" s="7">
        <v>45175.0</v>
      </c>
      <c r="H1457" s="8">
        <f t="shared" si="1"/>
        <v>6</v>
      </c>
      <c r="I1457" s="9">
        <f t="shared" si="2"/>
        <v>9</v>
      </c>
      <c r="J1457" s="9">
        <f t="shared" si="3"/>
        <v>2023</v>
      </c>
    </row>
    <row r="1458" ht="15.75" customHeight="1">
      <c r="A1458" s="5">
        <v>73.0</v>
      </c>
      <c r="B1458" s="10" t="s">
        <v>1370</v>
      </c>
      <c r="C1458" s="3" t="s">
        <v>1371</v>
      </c>
      <c r="D1458" s="4" t="s">
        <v>3</v>
      </c>
      <c r="E1458" s="5" t="s">
        <v>76</v>
      </c>
      <c r="F1458" s="6" t="s">
        <v>1383</v>
      </c>
      <c r="G1458" s="7">
        <v>45193.0</v>
      </c>
      <c r="H1458" s="8">
        <f t="shared" si="1"/>
        <v>24</v>
      </c>
      <c r="I1458" s="9">
        <f t="shared" si="2"/>
        <v>9</v>
      </c>
      <c r="J1458" s="9">
        <f t="shared" si="3"/>
        <v>2023</v>
      </c>
    </row>
    <row r="1459" ht="15.75" customHeight="1">
      <c r="A1459" s="5">
        <v>73.0</v>
      </c>
      <c r="B1459" s="10" t="s">
        <v>1370</v>
      </c>
      <c r="C1459" s="3" t="s">
        <v>1371</v>
      </c>
      <c r="D1459" s="4" t="s">
        <v>3</v>
      </c>
      <c r="E1459" s="5" t="s">
        <v>42</v>
      </c>
      <c r="F1459" s="6" t="s">
        <v>643</v>
      </c>
      <c r="G1459" s="7">
        <v>45211.0</v>
      </c>
      <c r="H1459" s="8">
        <f t="shared" si="1"/>
        <v>12</v>
      </c>
      <c r="I1459" s="9">
        <f t="shared" si="2"/>
        <v>10</v>
      </c>
      <c r="J1459" s="9">
        <f t="shared" si="3"/>
        <v>2023</v>
      </c>
    </row>
    <row r="1460" ht="15.75" customHeight="1">
      <c r="A1460" s="5">
        <v>73.0</v>
      </c>
      <c r="B1460" s="10" t="s">
        <v>1370</v>
      </c>
      <c r="C1460" s="3" t="s">
        <v>1371</v>
      </c>
      <c r="D1460" s="4" t="s">
        <v>3</v>
      </c>
      <c r="E1460" s="5" t="s">
        <v>19</v>
      </c>
      <c r="F1460" s="6" t="s">
        <v>1384</v>
      </c>
      <c r="G1460" s="7">
        <v>45251.0</v>
      </c>
      <c r="H1460" s="8">
        <f t="shared" si="1"/>
        <v>21</v>
      </c>
      <c r="I1460" s="9">
        <f t="shared" si="2"/>
        <v>11</v>
      </c>
      <c r="J1460" s="9">
        <f t="shared" si="3"/>
        <v>2023</v>
      </c>
    </row>
    <row r="1461" ht="15.75" customHeight="1">
      <c r="A1461" s="5">
        <v>74.0</v>
      </c>
      <c r="B1461" s="10" t="s">
        <v>632</v>
      </c>
      <c r="C1461" s="3" t="s">
        <v>1385</v>
      </c>
      <c r="D1461" s="4" t="s">
        <v>3</v>
      </c>
      <c r="E1461" s="5" t="s">
        <v>13</v>
      </c>
      <c r="F1461" s="6" t="s">
        <v>1386</v>
      </c>
      <c r="G1461" s="7">
        <v>44936.0</v>
      </c>
      <c r="H1461" s="8">
        <f t="shared" si="1"/>
        <v>10</v>
      </c>
      <c r="I1461" s="9">
        <f t="shared" si="2"/>
        <v>1</v>
      </c>
      <c r="J1461" s="9">
        <f t="shared" si="3"/>
        <v>2023</v>
      </c>
    </row>
    <row r="1462" ht="15.75" customHeight="1">
      <c r="A1462" s="5">
        <v>74.0</v>
      </c>
      <c r="B1462" s="10" t="s">
        <v>632</v>
      </c>
      <c r="C1462" s="3" t="s">
        <v>1385</v>
      </c>
      <c r="D1462" s="4" t="s">
        <v>3</v>
      </c>
      <c r="E1462" s="5" t="s">
        <v>39</v>
      </c>
      <c r="F1462" s="6" t="s">
        <v>1387</v>
      </c>
      <c r="G1462" s="7">
        <v>44938.0</v>
      </c>
      <c r="H1462" s="8">
        <f t="shared" si="1"/>
        <v>12</v>
      </c>
      <c r="I1462" s="9">
        <f t="shared" si="2"/>
        <v>1</v>
      </c>
      <c r="J1462" s="9">
        <f t="shared" si="3"/>
        <v>2023</v>
      </c>
    </row>
    <row r="1463" ht="15.75" customHeight="1">
      <c r="A1463" s="5">
        <v>74.0</v>
      </c>
      <c r="B1463" s="10" t="s">
        <v>632</v>
      </c>
      <c r="C1463" s="3" t="s">
        <v>1385</v>
      </c>
      <c r="D1463" s="4" t="s">
        <v>3</v>
      </c>
      <c r="E1463" s="5" t="s">
        <v>17</v>
      </c>
      <c r="F1463" s="6" t="s">
        <v>1388</v>
      </c>
      <c r="G1463" s="7">
        <v>44967.0</v>
      </c>
      <c r="H1463" s="8">
        <f t="shared" si="1"/>
        <v>10</v>
      </c>
      <c r="I1463" s="9">
        <f t="shared" si="2"/>
        <v>2</v>
      </c>
      <c r="J1463" s="9">
        <f t="shared" si="3"/>
        <v>2023</v>
      </c>
    </row>
    <row r="1464" ht="15.75" customHeight="1">
      <c r="A1464" s="5">
        <v>74.0</v>
      </c>
      <c r="B1464" s="10" t="s">
        <v>632</v>
      </c>
      <c r="C1464" s="3" t="s">
        <v>1385</v>
      </c>
      <c r="D1464" s="4" t="s">
        <v>3</v>
      </c>
      <c r="E1464" s="5" t="s">
        <v>39</v>
      </c>
      <c r="F1464" s="6" t="s">
        <v>1389</v>
      </c>
      <c r="G1464" s="7">
        <v>44974.0</v>
      </c>
      <c r="H1464" s="8">
        <f t="shared" si="1"/>
        <v>17</v>
      </c>
      <c r="I1464" s="9">
        <f t="shared" si="2"/>
        <v>2</v>
      </c>
      <c r="J1464" s="9">
        <f t="shared" si="3"/>
        <v>2023</v>
      </c>
    </row>
    <row r="1465" ht="15.75" customHeight="1">
      <c r="A1465" s="5">
        <v>74.0</v>
      </c>
      <c r="B1465" s="10" t="s">
        <v>632</v>
      </c>
      <c r="C1465" s="3" t="s">
        <v>1385</v>
      </c>
      <c r="D1465" s="4" t="s">
        <v>3</v>
      </c>
      <c r="E1465" s="5" t="s">
        <v>76</v>
      </c>
      <c r="F1465" s="6" t="s">
        <v>227</v>
      </c>
      <c r="G1465" s="7">
        <v>45024.0</v>
      </c>
      <c r="H1465" s="8">
        <f t="shared" si="1"/>
        <v>8</v>
      </c>
      <c r="I1465" s="9">
        <f t="shared" si="2"/>
        <v>4</v>
      </c>
      <c r="J1465" s="9">
        <f t="shared" si="3"/>
        <v>2023</v>
      </c>
    </row>
    <row r="1466" ht="15.75" customHeight="1">
      <c r="A1466" s="5">
        <v>74.0</v>
      </c>
      <c r="B1466" s="10" t="s">
        <v>632</v>
      </c>
      <c r="C1466" s="3" t="s">
        <v>1385</v>
      </c>
      <c r="D1466" s="4" t="s">
        <v>8</v>
      </c>
      <c r="E1466" s="5" t="s">
        <v>96</v>
      </c>
      <c r="F1466" s="6" t="s">
        <v>215</v>
      </c>
      <c r="G1466" s="7">
        <v>45038.0</v>
      </c>
      <c r="H1466" s="8">
        <f t="shared" si="1"/>
        <v>22</v>
      </c>
      <c r="I1466" s="9">
        <f t="shared" si="2"/>
        <v>4</v>
      </c>
      <c r="J1466" s="9">
        <f t="shared" si="3"/>
        <v>2023</v>
      </c>
    </row>
    <row r="1467" ht="15.75" customHeight="1">
      <c r="A1467" s="5">
        <v>74.0</v>
      </c>
      <c r="B1467" s="10" t="s">
        <v>632</v>
      </c>
      <c r="C1467" s="3" t="s">
        <v>1385</v>
      </c>
      <c r="D1467" s="4" t="s">
        <v>8</v>
      </c>
      <c r="E1467" s="5" t="s">
        <v>39</v>
      </c>
      <c r="F1467" s="6" t="s">
        <v>1390</v>
      </c>
      <c r="G1467" s="7">
        <v>45061.0</v>
      </c>
      <c r="H1467" s="8">
        <f t="shared" si="1"/>
        <v>15</v>
      </c>
      <c r="I1467" s="9">
        <f t="shared" si="2"/>
        <v>5</v>
      </c>
      <c r="J1467" s="9">
        <f t="shared" si="3"/>
        <v>2023</v>
      </c>
    </row>
    <row r="1468" ht="15.75" customHeight="1">
      <c r="A1468" s="5">
        <v>74.0</v>
      </c>
      <c r="B1468" s="10" t="s">
        <v>632</v>
      </c>
      <c r="C1468" s="3" t="s">
        <v>1385</v>
      </c>
      <c r="D1468" s="4" t="s">
        <v>3</v>
      </c>
      <c r="E1468" s="5" t="s">
        <v>96</v>
      </c>
      <c r="F1468" s="6" t="s">
        <v>1391</v>
      </c>
      <c r="G1468" s="7">
        <v>45080.0</v>
      </c>
      <c r="H1468" s="8">
        <f t="shared" si="1"/>
        <v>3</v>
      </c>
      <c r="I1468" s="9">
        <f t="shared" si="2"/>
        <v>6</v>
      </c>
      <c r="J1468" s="9">
        <f t="shared" si="3"/>
        <v>2023</v>
      </c>
    </row>
    <row r="1469" ht="15.75" customHeight="1">
      <c r="A1469" s="5">
        <v>74.0</v>
      </c>
      <c r="B1469" s="10" t="s">
        <v>632</v>
      </c>
      <c r="C1469" s="3" t="s">
        <v>1385</v>
      </c>
      <c r="D1469" s="4" t="s">
        <v>8</v>
      </c>
      <c r="E1469" s="5" t="s">
        <v>96</v>
      </c>
      <c r="F1469" s="6" t="s">
        <v>501</v>
      </c>
      <c r="G1469" s="7">
        <v>45082.0</v>
      </c>
      <c r="H1469" s="8">
        <f t="shared" si="1"/>
        <v>5</v>
      </c>
      <c r="I1469" s="9">
        <f t="shared" si="2"/>
        <v>6</v>
      </c>
      <c r="J1469" s="9">
        <f t="shared" si="3"/>
        <v>2023</v>
      </c>
    </row>
    <row r="1470" ht="15.75" customHeight="1">
      <c r="A1470" s="5">
        <v>74.0</v>
      </c>
      <c r="B1470" s="10" t="s">
        <v>632</v>
      </c>
      <c r="C1470" s="3" t="s">
        <v>1385</v>
      </c>
      <c r="D1470" s="4" t="s">
        <v>8</v>
      </c>
      <c r="E1470" s="5" t="s">
        <v>28</v>
      </c>
      <c r="F1470" s="6" t="s">
        <v>1392</v>
      </c>
      <c r="G1470" s="7">
        <v>45119.0</v>
      </c>
      <c r="H1470" s="8">
        <f t="shared" si="1"/>
        <v>12</v>
      </c>
      <c r="I1470" s="9">
        <f t="shared" si="2"/>
        <v>7</v>
      </c>
      <c r="J1470" s="9">
        <f t="shared" si="3"/>
        <v>2023</v>
      </c>
    </row>
    <row r="1471" ht="15.75" customHeight="1">
      <c r="A1471" s="5">
        <v>74.0</v>
      </c>
      <c r="B1471" s="10" t="s">
        <v>632</v>
      </c>
      <c r="C1471" s="3" t="s">
        <v>1385</v>
      </c>
      <c r="D1471" s="4" t="s">
        <v>8</v>
      </c>
      <c r="E1471" s="5" t="s">
        <v>11</v>
      </c>
      <c r="F1471" s="6" t="s">
        <v>570</v>
      </c>
      <c r="G1471" s="7">
        <v>45132.0</v>
      </c>
      <c r="H1471" s="8">
        <f t="shared" si="1"/>
        <v>25</v>
      </c>
      <c r="I1471" s="9">
        <f t="shared" si="2"/>
        <v>7</v>
      </c>
      <c r="J1471" s="9">
        <f t="shared" si="3"/>
        <v>2023</v>
      </c>
    </row>
    <row r="1472" ht="15.75" customHeight="1">
      <c r="A1472" s="5">
        <v>74.0</v>
      </c>
      <c r="B1472" s="10" t="s">
        <v>632</v>
      </c>
      <c r="C1472" s="3" t="s">
        <v>1385</v>
      </c>
      <c r="D1472" s="4" t="s">
        <v>8</v>
      </c>
      <c r="E1472" s="5" t="s">
        <v>51</v>
      </c>
      <c r="F1472" s="6" t="s">
        <v>201</v>
      </c>
      <c r="G1472" s="7">
        <v>45173.0</v>
      </c>
      <c r="H1472" s="8">
        <f t="shared" si="1"/>
        <v>4</v>
      </c>
      <c r="I1472" s="9">
        <f t="shared" si="2"/>
        <v>9</v>
      </c>
      <c r="J1472" s="9">
        <f t="shared" si="3"/>
        <v>2023</v>
      </c>
    </row>
    <row r="1473" ht="15.75" customHeight="1">
      <c r="A1473" s="5">
        <v>74.0</v>
      </c>
      <c r="B1473" s="10" t="s">
        <v>632</v>
      </c>
      <c r="C1473" s="3" t="s">
        <v>1385</v>
      </c>
      <c r="D1473" s="4" t="s">
        <v>8</v>
      </c>
      <c r="E1473" s="5" t="s">
        <v>17</v>
      </c>
      <c r="F1473" s="6" t="s">
        <v>1393</v>
      </c>
      <c r="G1473" s="7">
        <v>45174.0</v>
      </c>
      <c r="H1473" s="8">
        <f t="shared" si="1"/>
        <v>5</v>
      </c>
      <c r="I1473" s="9">
        <f t="shared" si="2"/>
        <v>9</v>
      </c>
      <c r="J1473" s="9">
        <f t="shared" si="3"/>
        <v>2023</v>
      </c>
    </row>
    <row r="1474" ht="15.75" customHeight="1">
      <c r="A1474" s="5">
        <v>74.0</v>
      </c>
      <c r="B1474" s="10" t="s">
        <v>632</v>
      </c>
      <c r="C1474" s="3" t="s">
        <v>1385</v>
      </c>
      <c r="D1474" s="4" t="s">
        <v>3</v>
      </c>
      <c r="E1474" s="5" t="s">
        <v>51</v>
      </c>
      <c r="F1474" s="6" t="s">
        <v>1244</v>
      </c>
      <c r="G1474" s="7">
        <v>45181.0</v>
      </c>
      <c r="H1474" s="8">
        <f t="shared" si="1"/>
        <v>12</v>
      </c>
      <c r="I1474" s="9">
        <f t="shared" si="2"/>
        <v>9</v>
      </c>
      <c r="J1474" s="9">
        <f t="shared" si="3"/>
        <v>2023</v>
      </c>
    </row>
    <row r="1475" ht="15.75" customHeight="1">
      <c r="A1475" s="5">
        <v>74.0</v>
      </c>
      <c r="B1475" s="10" t="s">
        <v>632</v>
      </c>
      <c r="C1475" s="3" t="s">
        <v>1385</v>
      </c>
      <c r="D1475" s="4" t="s">
        <v>8</v>
      </c>
      <c r="E1475" s="5" t="s">
        <v>51</v>
      </c>
      <c r="F1475" s="6" t="s">
        <v>1394</v>
      </c>
      <c r="G1475" s="7">
        <v>45186.0</v>
      </c>
      <c r="H1475" s="8">
        <f t="shared" si="1"/>
        <v>17</v>
      </c>
      <c r="I1475" s="9">
        <f t="shared" si="2"/>
        <v>9</v>
      </c>
      <c r="J1475" s="9">
        <f t="shared" si="3"/>
        <v>2023</v>
      </c>
    </row>
    <row r="1476" ht="15.75" customHeight="1">
      <c r="A1476" s="5">
        <v>74.0</v>
      </c>
      <c r="B1476" s="10" t="s">
        <v>632</v>
      </c>
      <c r="C1476" s="3" t="s">
        <v>1385</v>
      </c>
      <c r="D1476" s="4" t="s">
        <v>8</v>
      </c>
      <c r="E1476" s="5" t="s">
        <v>51</v>
      </c>
      <c r="F1476" s="6" t="s">
        <v>1395</v>
      </c>
      <c r="G1476" s="7">
        <v>45197.0</v>
      </c>
      <c r="H1476" s="8">
        <f t="shared" si="1"/>
        <v>28</v>
      </c>
      <c r="I1476" s="9">
        <f t="shared" si="2"/>
        <v>9</v>
      </c>
      <c r="J1476" s="9">
        <f t="shared" si="3"/>
        <v>2023</v>
      </c>
    </row>
    <row r="1477" ht="15.75" customHeight="1">
      <c r="A1477" s="5">
        <v>74.0</v>
      </c>
      <c r="B1477" s="10" t="s">
        <v>632</v>
      </c>
      <c r="C1477" s="3" t="s">
        <v>1385</v>
      </c>
      <c r="D1477" s="4" t="s">
        <v>3</v>
      </c>
      <c r="E1477" s="5" t="s">
        <v>71</v>
      </c>
      <c r="F1477" s="6" t="s">
        <v>756</v>
      </c>
      <c r="G1477" s="7">
        <v>45214.0</v>
      </c>
      <c r="H1477" s="8">
        <f t="shared" si="1"/>
        <v>15</v>
      </c>
      <c r="I1477" s="9">
        <f t="shared" si="2"/>
        <v>10</v>
      </c>
      <c r="J1477" s="9">
        <f t="shared" si="3"/>
        <v>2023</v>
      </c>
    </row>
    <row r="1478" ht="15.75" customHeight="1">
      <c r="A1478" s="5">
        <v>74.0</v>
      </c>
      <c r="B1478" s="10" t="s">
        <v>632</v>
      </c>
      <c r="C1478" s="3" t="s">
        <v>1385</v>
      </c>
      <c r="D1478" s="4" t="s">
        <v>8</v>
      </c>
      <c r="E1478" s="5" t="s">
        <v>4</v>
      </c>
      <c r="F1478" s="6" t="s">
        <v>1396</v>
      </c>
      <c r="G1478" s="7">
        <v>45222.0</v>
      </c>
      <c r="H1478" s="8">
        <f t="shared" si="1"/>
        <v>23</v>
      </c>
      <c r="I1478" s="9">
        <f t="shared" si="2"/>
        <v>10</v>
      </c>
      <c r="J1478" s="9">
        <f t="shared" si="3"/>
        <v>2023</v>
      </c>
    </row>
    <row r="1479" ht="15.75" customHeight="1">
      <c r="A1479" s="5">
        <v>74.0</v>
      </c>
      <c r="B1479" s="10" t="s">
        <v>632</v>
      </c>
      <c r="C1479" s="3" t="s">
        <v>1385</v>
      </c>
      <c r="D1479" s="4" t="s">
        <v>3</v>
      </c>
      <c r="E1479" s="5" t="s">
        <v>6</v>
      </c>
      <c r="F1479" s="6" t="s">
        <v>1397</v>
      </c>
      <c r="G1479" s="7">
        <v>45234.0</v>
      </c>
      <c r="H1479" s="8">
        <f t="shared" si="1"/>
        <v>4</v>
      </c>
      <c r="I1479" s="9">
        <f t="shared" si="2"/>
        <v>11</v>
      </c>
      <c r="J1479" s="9">
        <f t="shared" si="3"/>
        <v>2023</v>
      </c>
    </row>
    <row r="1480" ht="15.75" customHeight="1">
      <c r="A1480" s="5">
        <v>74.0</v>
      </c>
      <c r="B1480" s="10" t="s">
        <v>632</v>
      </c>
      <c r="C1480" s="3" t="s">
        <v>1385</v>
      </c>
      <c r="D1480" s="4" t="s">
        <v>8</v>
      </c>
      <c r="E1480" s="5" t="s">
        <v>120</v>
      </c>
      <c r="F1480" s="6" t="s">
        <v>143</v>
      </c>
      <c r="G1480" s="7">
        <v>45247.0</v>
      </c>
      <c r="H1480" s="8">
        <f t="shared" si="1"/>
        <v>17</v>
      </c>
      <c r="I1480" s="9">
        <f t="shared" si="2"/>
        <v>11</v>
      </c>
      <c r="J1480" s="9">
        <f t="shared" si="3"/>
        <v>2023</v>
      </c>
    </row>
    <row r="1481" ht="15.75" customHeight="1">
      <c r="A1481" s="5">
        <v>75.0</v>
      </c>
      <c r="B1481" s="10" t="s">
        <v>1398</v>
      </c>
      <c r="C1481" s="3" t="s">
        <v>1399</v>
      </c>
      <c r="D1481" s="4" t="s">
        <v>8</v>
      </c>
      <c r="E1481" s="5" t="s">
        <v>6</v>
      </c>
      <c r="F1481" s="6" t="s">
        <v>1400</v>
      </c>
      <c r="G1481" s="7">
        <v>44981.0</v>
      </c>
      <c r="H1481" s="8">
        <f t="shared" si="1"/>
        <v>24</v>
      </c>
      <c r="I1481" s="9">
        <f t="shared" si="2"/>
        <v>2</v>
      </c>
      <c r="J1481" s="9">
        <f t="shared" si="3"/>
        <v>2023</v>
      </c>
    </row>
    <row r="1482" ht="15.75" customHeight="1">
      <c r="A1482" s="5">
        <v>75.0</v>
      </c>
      <c r="B1482" s="10" t="s">
        <v>1398</v>
      </c>
      <c r="C1482" s="3" t="s">
        <v>1399</v>
      </c>
      <c r="D1482" s="4" t="s">
        <v>3</v>
      </c>
      <c r="E1482" s="5" t="s">
        <v>15</v>
      </c>
      <c r="F1482" s="6" t="s">
        <v>1401</v>
      </c>
      <c r="G1482" s="7">
        <v>44992.0</v>
      </c>
      <c r="H1482" s="8">
        <f t="shared" si="1"/>
        <v>7</v>
      </c>
      <c r="I1482" s="9">
        <f t="shared" si="2"/>
        <v>3</v>
      </c>
      <c r="J1482" s="9">
        <f t="shared" si="3"/>
        <v>2023</v>
      </c>
    </row>
    <row r="1483" ht="15.75" customHeight="1">
      <c r="A1483" s="5">
        <v>75.0</v>
      </c>
      <c r="B1483" s="10" t="s">
        <v>1398</v>
      </c>
      <c r="C1483" s="3" t="s">
        <v>1399</v>
      </c>
      <c r="D1483" s="4" t="s">
        <v>3</v>
      </c>
      <c r="E1483" s="5" t="s">
        <v>39</v>
      </c>
      <c r="F1483" s="6" t="s">
        <v>1402</v>
      </c>
      <c r="G1483" s="7">
        <v>45008.0</v>
      </c>
      <c r="H1483" s="8">
        <f t="shared" si="1"/>
        <v>23</v>
      </c>
      <c r="I1483" s="9">
        <f t="shared" si="2"/>
        <v>3</v>
      </c>
      <c r="J1483" s="9">
        <f t="shared" si="3"/>
        <v>2023</v>
      </c>
    </row>
    <row r="1484" ht="15.75" customHeight="1">
      <c r="A1484" s="5">
        <v>75.0</v>
      </c>
      <c r="B1484" s="10" t="s">
        <v>1398</v>
      </c>
      <c r="C1484" s="3" t="s">
        <v>1399</v>
      </c>
      <c r="D1484" s="4" t="s">
        <v>3</v>
      </c>
      <c r="E1484" s="5" t="s">
        <v>39</v>
      </c>
      <c r="F1484" s="6" t="s">
        <v>1403</v>
      </c>
      <c r="G1484" s="7">
        <v>45021.0</v>
      </c>
      <c r="H1484" s="8">
        <f t="shared" si="1"/>
        <v>5</v>
      </c>
      <c r="I1484" s="9">
        <f t="shared" si="2"/>
        <v>4</v>
      </c>
      <c r="J1484" s="9">
        <f t="shared" si="3"/>
        <v>2023</v>
      </c>
    </row>
    <row r="1485" ht="15.75" customHeight="1">
      <c r="A1485" s="5">
        <v>75.0</v>
      </c>
      <c r="B1485" s="10" t="s">
        <v>1398</v>
      </c>
      <c r="C1485" s="3" t="s">
        <v>1399</v>
      </c>
      <c r="D1485" s="4" t="s">
        <v>8</v>
      </c>
      <c r="E1485" s="5" t="s">
        <v>23</v>
      </c>
      <c r="F1485" s="6" t="s">
        <v>1404</v>
      </c>
      <c r="G1485" s="7">
        <v>45058.0</v>
      </c>
      <c r="H1485" s="8">
        <f t="shared" si="1"/>
        <v>12</v>
      </c>
      <c r="I1485" s="9">
        <f t="shared" si="2"/>
        <v>5</v>
      </c>
      <c r="J1485" s="9">
        <f t="shared" si="3"/>
        <v>2023</v>
      </c>
    </row>
    <row r="1486" ht="15.75" customHeight="1">
      <c r="A1486" s="5">
        <v>75.0</v>
      </c>
      <c r="B1486" s="10" t="s">
        <v>1398</v>
      </c>
      <c r="C1486" s="3" t="s">
        <v>1399</v>
      </c>
      <c r="D1486" s="4" t="s">
        <v>8</v>
      </c>
      <c r="E1486" s="5" t="s">
        <v>71</v>
      </c>
      <c r="F1486" s="6" t="s">
        <v>515</v>
      </c>
      <c r="G1486" s="7">
        <v>45068.0</v>
      </c>
      <c r="H1486" s="8">
        <f t="shared" si="1"/>
        <v>22</v>
      </c>
      <c r="I1486" s="9">
        <f t="shared" si="2"/>
        <v>5</v>
      </c>
      <c r="J1486" s="9">
        <f t="shared" si="3"/>
        <v>2023</v>
      </c>
    </row>
    <row r="1487" ht="15.75" customHeight="1">
      <c r="A1487" s="5">
        <v>75.0</v>
      </c>
      <c r="B1487" s="10" t="s">
        <v>1398</v>
      </c>
      <c r="C1487" s="3" t="s">
        <v>1399</v>
      </c>
      <c r="D1487" s="4" t="s">
        <v>8</v>
      </c>
      <c r="E1487" s="5" t="s">
        <v>28</v>
      </c>
      <c r="F1487" s="6" t="s">
        <v>1405</v>
      </c>
      <c r="G1487" s="7">
        <v>45139.0</v>
      </c>
      <c r="H1487" s="8">
        <f t="shared" si="1"/>
        <v>1</v>
      </c>
      <c r="I1487" s="9">
        <f t="shared" si="2"/>
        <v>8</v>
      </c>
      <c r="J1487" s="9">
        <f t="shared" si="3"/>
        <v>2023</v>
      </c>
    </row>
    <row r="1488" ht="15.75" customHeight="1">
      <c r="A1488" s="5">
        <v>75.0</v>
      </c>
      <c r="B1488" s="10" t="s">
        <v>1398</v>
      </c>
      <c r="C1488" s="3" t="s">
        <v>1399</v>
      </c>
      <c r="D1488" s="4" t="s">
        <v>8</v>
      </c>
      <c r="E1488" s="5" t="s">
        <v>21</v>
      </c>
      <c r="F1488" s="6" t="s">
        <v>1248</v>
      </c>
      <c r="G1488" s="7">
        <v>45161.0</v>
      </c>
      <c r="H1488" s="8">
        <f t="shared" si="1"/>
        <v>23</v>
      </c>
      <c r="I1488" s="9">
        <f t="shared" si="2"/>
        <v>8</v>
      </c>
      <c r="J1488" s="9">
        <f t="shared" si="3"/>
        <v>2023</v>
      </c>
    </row>
    <row r="1489" ht="15.75" customHeight="1">
      <c r="A1489" s="5">
        <v>75.0</v>
      </c>
      <c r="B1489" s="10" t="s">
        <v>1398</v>
      </c>
      <c r="C1489" s="3" t="s">
        <v>1399</v>
      </c>
      <c r="D1489" s="4" t="s">
        <v>8</v>
      </c>
      <c r="E1489" s="5" t="s">
        <v>45</v>
      </c>
      <c r="F1489" s="6" t="s">
        <v>1406</v>
      </c>
      <c r="G1489" s="7">
        <v>45180.0</v>
      </c>
      <c r="H1489" s="8">
        <f t="shared" si="1"/>
        <v>11</v>
      </c>
      <c r="I1489" s="9">
        <f t="shared" si="2"/>
        <v>9</v>
      </c>
      <c r="J1489" s="9">
        <f t="shared" si="3"/>
        <v>2023</v>
      </c>
    </row>
    <row r="1490" ht="15.75" customHeight="1">
      <c r="A1490" s="5">
        <v>75.0</v>
      </c>
      <c r="B1490" s="10" t="s">
        <v>1398</v>
      </c>
      <c r="C1490" s="3" t="s">
        <v>1399</v>
      </c>
      <c r="D1490" s="4" t="s">
        <v>8</v>
      </c>
      <c r="E1490" s="5" t="s">
        <v>23</v>
      </c>
      <c r="F1490" s="6" t="s">
        <v>1407</v>
      </c>
      <c r="G1490" s="7">
        <v>45190.0</v>
      </c>
      <c r="H1490" s="8">
        <f t="shared" si="1"/>
        <v>21</v>
      </c>
      <c r="I1490" s="9">
        <f t="shared" si="2"/>
        <v>9</v>
      </c>
      <c r="J1490" s="9">
        <f t="shared" si="3"/>
        <v>2023</v>
      </c>
    </row>
    <row r="1491" ht="15.75" customHeight="1">
      <c r="A1491" s="5">
        <v>75.0</v>
      </c>
      <c r="B1491" s="10" t="s">
        <v>1398</v>
      </c>
      <c r="C1491" s="3" t="s">
        <v>1399</v>
      </c>
      <c r="D1491" s="4" t="s">
        <v>3</v>
      </c>
      <c r="E1491" s="5" t="s">
        <v>4</v>
      </c>
      <c r="F1491" s="6" t="s">
        <v>1408</v>
      </c>
      <c r="G1491" s="7">
        <v>45196.0</v>
      </c>
      <c r="H1491" s="8">
        <f t="shared" si="1"/>
        <v>27</v>
      </c>
      <c r="I1491" s="9">
        <f t="shared" si="2"/>
        <v>9</v>
      </c>
      <c r="J1491" s="9">
        <f t="shared" si="3"/>
        <v>2023</v>
      </c>
    </row>
    <row r="1492" ht="15.75" customHeight="1">
      <c r="A1492" s="5">
        <v>75.0</v>
      </c>
      <c r="B1492" s="10" t="s">
        <v>1398</v>
      </c>
      <c r="C1492" s="3" t="s">
        <v>1399</v>
      </c>
      <c r="D1492" s="4" t="s">
        <v>8</v>
      </c>
      <c r="E1492" s="5" t="s">
        <v>19</v>
      </c>
      <c r="F1492" s="6" t="s">
        <v>1333</v>
      </c>
      <c r="G1492" s="7">
        <v>45201.0</v>
      </c>
      <c r="H1492" s="8">
        <f t="shared" si="1"/>
        <v>2</v>
      </c>
      <c r="I1492" s="9">
        <f t="shared" si="2"/>
        <v>10</v>
      </c>
      <c r="J1492" s="9">
        <f t="shared" si="3"/>
        <v>2023</v>
      </c>
    </row>
    <row r="1493" ht="15.75" customHeight="1">
      <c r="A1493" s="5">
        <v>75.0</v>
      </c>
      <c r="B1493" s="10" t="s">
        <v>1398</v>
      </c>
      <c r="C1493" s="3" t="s">
        <v>1399</v>
      </c>
      <c r="D1493" s="4" t="s">
        <v>3</v>
      </c>
      <c r="E1493" s="5" t="s">
        <v>21</v>
      </c>
      <c r="F1493" s="6" t="s">
        <v>649</v>
      </c>
      <c r="G1493" s="7">
        <v>45204.0</v>
      </c>
      <c r="H1493" s="8">
        <f t="shared" si="1"/>
        <v>5</v>
      </c>
      <c r="I1493" s="9">
        <f t="shared" si="2"/>
        <v>10</v>
      </c>
      <c r="J1493" s="9">
        <f t="shared" si="3"/>
        <v>2023</v>
      </c>
    </row>
    <row r="1494" ht="15.75" customHeight="1">
      <c r="A1494" s="5">
        <v>75.0</v>
      </c>
      <c r="B1494" s="10" t="s">
        <v>1398</v>
      </c>
      <c r="C1494" s="3" t="s">
        <v>1399</v>
      </c>
      <c r="D1494" s="4" t="s">
        <v>8</v>
      </c>
      <c r="E1494" s="5" t="s">
        <v>13</v>
      </c>
      <c r="F1494" s="6" t="s">
        <v>1409</v>
      </c>
      <c r="G1494" s="7">
        <v>45215.0</v>
      </c>
      <c r="H1494" s="8">
        <f t="shared" si="1"/>
        <v>16</v>
      </c>
      <c r="I1494" s="9">
        <f t="shared" si="2"/>
        <v>10</v>
      </c>
      <c r="J1494" s="9">
        <f t="shared" si="3"/>
        <v>2023</v>
      </c>
    </row>
    <row r="1495" ht="15.75" customHeight="1">
      <c r="A1495" s="5">
        <v>75.0</v>
      </c>
      <c r="B1495" s="10" t="s">
        <v>1398</v>
      </c>
      <c r="C1495" s="3" t="s">
        <v>1399</v>
      </c>
      <c r="D1495" s="4" t="s">
        <v>8</v>
      </c>
      <c r="E1495" s="5" t="s">
        <v>23</v>
      </c>
      <c r="F1495" s="6" t="s">
        <v>1293</v>
      </c>
      <c r="G1495" s="7">
        <v>45222.0</v>
      </c>
      <c r="H1495" s="8">
        <f t="shared" si="1"/>
        <v>23</v>
      </c>
      <c r="I1495" s="9">
        <f t="shared" si="2"/>
        <v>10</v>
      </c>
      <c r="J1495" s="9">
        <f t="shared" si="3"/>
        <v>2023</v>
      </c>
    </row>
    <row r="1496" ht="15.75" customHeight="1">
      <c r="A1496" s="5">
        <v>75.0</v>
      </c>
      <c r="B1496" s="10" t="s">
        <v>1398</v>
      </c>
      <c r="C1496" s="3" t="s">
        <v>1399</v>
      </c>
      <c r="D1496" s="4" t="s">
        <v>3</v>
      </c>
      <c r="E1496" s="5" t="s">
        <v>23</v>
      </c>
      <c r="F1496" s="6" t="s">
        <v>1410</v>
      </c>
      <c r="G1496" s="7">
        <v>45245.0</v>
      </c>
      <c r="H1496" s="8">
        <f t="shared" si="1"/>
        <v>15</v>
      </c>
      <c r="I1496" s="9">
        <f t="shared" si="2"/>
        <v>11</v>
      </c>
      <c r="J1496" s="9">
        <f t="shared" si="3"/>
        <v>2023</v>
      </c>
    </row>
    <row r="1497" ht="15.75" customHeight="1">
      <c r="A1497" s="5">
        <v>75.0</v>
      </c>
      <c r="B1497" s="10" t="s">
        <v>1398</v>
      </c>
      <c r="C1497" s="3" t="s">
        <v>1399</v>
      </c>
      <c r="D1497" s="4" t="s">
        <v>3</v>
      </c>
      <c r="E1497" s="5" t="s">
        <v>21</v>
      </c>
      <c r="F1497" s="6" t="s">
        <v>1411</v>
      </c>
      <c r="G1497" s="7">
        <v>45254.0</v>
      </c>
      <c r="H1497" s="8">
        <f t="shared" si="1"/>
        <v>24</v>
      </c>
      <c r="I1497" s="9">
        <f t="shared" si="2"/>
        <v>11</v>
      </c>
      <c r="J1497" s="9">
        <f t="shared" si="3"/>
        <v>2023</v>
      </c>
    </row>
    <row r="1498" ht="15.75" customHeight="1">
      <c r="A1498" s="5">
        <v>75.0</v>
      </c>
      <c r="B1498" s="10" t="s">
        <v>1398</v>
      </c>
      <c r="C1498" s="3" t="s">
        <v>1399</v>
      </c>
      <c r="D1498" s="4" t="s">
        <v>8</v>
      </c>
      <c r="E1498" s="5" t="s">
        <v>71</v>
      </c>
      <c r="F1498" s="6" t="s">
        <v>1412</v>
      </c>
      <c r="G1498" s="7">
        <v>45265.0</v>
      </c>
      <c r="H1498" s="8">
        <f t="shared" si="1"/>
        <v>5</v>
      </c>
      <c r="I1498" s="9">
        <f t="shared" si="2"/>
        <v>12</v>
      </c>
      <c r="J1498" s="9">
        <f t="shared" si="3"/>
        <v>2023</v>
      </c>
    </row>
    <row r="1499" ht="15.75" customHeight="1">
      <c r="A1499" s="5">
        <v>75.0</v>
      </c>
      <c r="B1499" s="10" t="s">
        <v>1398</v>
      </c>
      <c r="C1499" s="3" t="s">
        <v>1399</v>
      </c>
      <c r="D1499" s="4" t="s">
        <v>8</v>
      </c>
      <c r="E1499" s="5" t="s">
        <v>11</v>
      </c>
      <c r="F1499" s="6" t="s">
        <v>1413</v>
      </c>
      <c r="G1499" s="7">
        <v>45277.0</v>
      </c>
      <c r="H1499" s="8">
        <f t="shared" si="1"/>
        <v>17</v>
      </c>
      <c r="I1499" s="9">
        <f t="shared" si="2"/>
        <v>12</v>
      </c>
      <c r="J1499" s="9">
        <f t="shared" si="3"/>
        <v>2023</v>
      </c>
    </row>
    <row r="1500" ht="15.75" customHeight="1">
      <c r="A1500" s="5">
        <v>75.0</v>
      </c>
      <c r="B1500" s="10" t="s">
        <v>1398</v>
      </c>
      <c r="C1500" s="3" t="s">
        <v>1399</v>
      </c>
      <c r="D1500" s="4" t="s">
        <v>3</v>
      </c>
      <c r="E1500" s="5" t="s">
        <v>21</v>
      </c>
      <c r="F1500" s="6" t="s">
        <v>1285</v>
      </c>
      <c r="G1500" s="7">
        <v>45278.0</v>
      </c>
      <c r="H1500" s="8">
        <f t="shared" si="1"/>
        <v>18</v>
      </c>
      <c r="I1500" s="9">
        <f t="shared" si="2"/>
        <v>12</v>
      </c>
      <c r="J1500" s="9">
        <f t="shared" si="3"/>
        <v>2023</v>
      </c>
    </row>
    <row r="1501" ht="15.75" customHeight="1">
      <c r="A1501" s="5">
        <v>76.0</v>
      </c>
      <c r="B1501" s="10" t="s">
        <v>1414</v>
      </c>
      <c r="C1501" s="3" t="s">
        <v>1415</v>
      </c>
      <c r="D1501" s="4" t="s">
        <v>3</v>
      </c>
      <c r="E1501" s="5" t="s">
        <v>96</v>
      </c>
      <c r="F1501" s="6" t="s">
        <v>1217</v>
      </c>
      <c r="G1501" s="7">
        <v>44961.0</v>
      </c>
      <c r="H1501" s="8">
        <f t="shared" si="1"/>
        <v>4</v>
      </c>
      <c r="I1501" s="9">
        <f t="shared" si="2"/>
        <v>2</v>
      </c>
      <c r="J1501" s="9">
        <f t="shared" si="3"/>
        <v>2023</v>
      </c>
    </row>
    <row r="1502" ht="15.75" customHeight="1">
      <c r="A1502" s="5">
        <v>76.0</v>
      </c>
      <c r="B1502" s="10" t="s">
        <v>1414</v>
      </c>
      <c r="C1502" s="3" t="s">
        <v>1415</v>
      </c>
      <c r="D1502" s="4" t="s">
        <v>3</v>
      </c>
      <c r="E1502" s="5" t="s">
        <v>45</v>
      </c>
      <c r="F1502" s="6" t="s">
        <v>579</v>
      </c>
      <c r="G1502" s="7">
        <v>44965.0</v>
      </c>
      <c r="H1502" s="8">
        <f t="shared" si="1"/>
        <v>8</v>
      </c>
      <c r="I1502" s="9">
        <f t="shared" si="2"/>
        <v>2</v>
      </c>
      <c r="J1502" s="9">
        <f t="shared" si="3"/>
        <v>2023</v>
      </c>
    </row>
    <row r="1503" ht="15.75" customHeight="1">
      <c r="A1503" s="5">
        <v>76.0</v>
      </c>
      <c r="B1503" s="10" t="s">
        <v>1414</v>
      </c>
      <c r="C1503" s="3" t="s">
        <v>1415</v>
      </c>
      <c r="D1503" s="4" t="s">
        <v>8</v>
      </c>
      <c r="E1503" s="5" t="s">
        <v>13</v>
      </c>
      <c r="F1503" s="6" t="s">
        <v>1416</v>
      </c>
      <c r="G1503" s="7">
        <v>44995.0</v>
      </c>
      <c r="H1503" s="8">
        <f t="shared" si="1"/>
        <v>10</v>
      </c>
      <c r="I1503" s="9">
        <f t="shared" si="2"/>
        <v>3</v>
      </c>
      <c r="J1503" s="9">
        <f t="shared" si="3"/>
        <v>2023</v>
      </c>
    </row>
    <row r="1504" ht="15.75" customHeight="1">
      <c r="A1504" s="5">
        <v>76.0</v>
      </c>
      <c r="B1504" s="10" t="s">
        <v>1414</v>
      </c>
      <c r="C1504" s="3" t="s">
        <v>1415</v>
      </c>
      <c r="D1504" s="4" t="s">
        <v>8</v>
      </c>
      <c r="E1504" s="5" t="s">
        <v>19</v>
      </c>
      <c r="F1504" s="6" t="s">
        <v>771</v>
      </c>
      <c r="G1504" s="7">
        <v>45003.0</v>
      </c>
      <c r="H1504" s="8">
        <f t="shared" si="1"/>
        <v>18</v>
      </c>
      <c r="I1504" s="9">
        <f t="shared" si="2"/>
        <v>3</v>
      </c>
      <c r="J1504" s="9">
        <f t="shared" si="3"/>
        <v>2023</v>
      </c>
    </row>
    <row r="1505" ht="15.75" customHeight="1">
      <c r="A1505" s="5">
        <v>76.0</v>
      </c>
      <c r="B1505" s="10" t="s">
        <v>1414</v>
      </c>
      <c r="C1505" s="3" t="s">
        <v>1415</v>
      </c>
      <c r="D1505" s="4" t="s">
        <v>3</v>
      </c>
      <c r="E1505" s="5" t="s">
        <v>17</v>
      </c>
      <c r="F1505" s="6" t="s">
        <v>1417</v>
      </c>
      <c r="G1505" s="7">
        <v>45007.0</v>
      </c>
      <c r="H1505" s="8">
        <f t="shared" si="1"/>
        <v>22</v>
      </c>
      <c r="I1505" s="9">
        <f t="shared" si="2"/>
        <v>3</v>
      </c>
      <c r="J1505" s="9">
        <f t="shared" si="3"/>
        <v>2023</v>
      </c>
    </row>
    <row r="1506" ht="15.75" customHeight="1">
      <c r="A1506" s="5">
        <v>76.0</v>
      </c>
      <c r="B1506" s="10" t="s">
        <v>1414</v>
      </c>
      <c r="C1506" s="3" t="s">
        <v>1415</v>
      </c>
      <c r="D1506" s="4" t="s">
        <v>3</v>
      </c>
      <c r="E1506" s="5" t="s">
        <v>9</v>
      </c>
      <c r="F1506" s="6" t="s">
        <v>344</v>
      </c>
      <c r="G1506" s="7">
        <v>45044.0</v>
      </c>
      <c r="H1506" s="8">
        <f t="shared" si="1"/>
        <v>28</v>
      </c>
      <c r="I1506" s="9">
        <f t="shared" si="2"/>
        <v>4</v>
      </c>
      <c r="J1506" s="9">
        <f t="shared" si="3"/>
        <v>2023</v>
      </c>
    </row>
    <row r="1507" ht="15.75" customHeight="1">
      <c r="A1507" s="5">
        <v>76.0</v>
      </c>
      <c r="B1507" s="10" t="s">
        <v>1414</v>
      </c>
      <c r="C1507" s="3" t="s">
        <v>1415</v>
      </c>
      <c r="D1507" s="4" t="s">
        <v>8</v>
      </c>
      <c r="E1507" s="5" t="s">
        <v>4</v>
      </c>
      <c r="F1507" s="6" t="s">
        <v>1418</v>
      </c>
      <c r="G1507" s="7">
        <v>45054.0</v>
      </c>
      <c r="H1507" s="8">
        <f t="shared" si="1"/>
        <v>8</v>
      </c>
      <c r="I1507" s="9">
        <f t="shared" si="2"/>
        <v>5</v>
      </c>
      <c r="J1507" s="9">
        <f t="shared" si="3"/>
        <v>2023</v>
      </c>
    </row>
    <row r="1508" ht="15.75" customHeight="1">
      <c r="A1508" s="5">
        <v>76.0</v>
      </c>
      <c r="B1508" s="10" t="s">
        <v>1414</v>
      </c>
      <c r="C1508" s="3" t="s">
        <v>1415</v>
      </c>
      <c r="D1508" s="4" t="s">
        <v>8</v>
      </c>
      <c r="E1508" s="5" t="s">
        <v>13</v>
      </c>
      <c r="F1508" s="6" t="s">
        <v>1419</v>
      </c>
      <c r="G1508" s="7">
        <v>45058.0</v>
      </c>
      <c r="H1508" s="8">
        <f t="shared" si="1"/>
        <v>12</v>
      </c>
      <c r="I1508" s="9">
        <f t="shared" si="2"/>
        <v>5</v>
      </c>
      <c r="J1508" s="9">
        <f t="shared" si="3"/>
        <v>2023</v>
      </c>
    </row>
    <row r="1509" ht="15.75" customHeight="1">
      <c r="A1509" s="5">
        <v>76.0</v>
      </c>
      <c r="B1509" s="10" t="s">
        <v>1414</v>
      </c>
      <c r="C1509" s="3" t="s">
        <v>1415</v>
      </c>
      <c r="D1509" s="4" t="s">
        <v>3</v>
      </c>
      <c r="E1509" s="5" t="s">
        <v>6</v>
      </c>
      <c r="F1509" s="6" t="s">
        <v>1420</v>
      </c>
      <c r="G1509" s="7">
        <v>45078.0</v>
      </c>
      <c r="H1509" s="8">
        <f t="shared" si="1"/>
        <v>1</v>
      </c>
      <c r="I1509" s="9">
        <f t="shared" si="2"/>
        <v>6</v>
      </c>
      <c r="J1509" s="9">
        <f t="shared" si="3"/>
        <v>2023</v>
      </c>
    </row>
    <row r="1510" ht="15.75" customHeight="1">
      <c r="A1510" s="5">
        <v>76.0</v>
      </c>
      <c r="B1510" s="10" t="s">
        <v>1414</v>
      </c>
      <c r="C1510" s="3" t="s">
        <v>1415</v>
      </c>
      <c r="D1510" s="4" t="s">
        <v>8</v>
      </c>
      <c r="E1510" s="5" t="s">
        <v>76</v>
      </c>
      <c r="F1510" s="6" t="s">
        <v>1421</v>
      </c>
      <c r="G1510" s="7">
        <v>45082.0</v>
      </c>
      <c r="H1510" s="8">
        <f t="shared" si="1"/>
        <v>5</v>
      </c>
      <c r="I1510" s="9">
        <f t="shared" si="2"/>
        <v>6</v>
      </c>
      <c r="J1510" s="9">
        <f t="shared" si="3"/>
        <v>2023</v>
      </c>
    </row>
    <row r="1511" ht="15.75" customHeight="1">
      <c r="A1511" s="5">
        <v>76.0</v>
      </c>
      <c r="B1511" s="10" t="s">
        <v>1414</v>
      </c>
      <c r="C1511" s="3" t="s">
        <v>1415</v>
      </c>
      <c r="D1511" s="4" t="s">
        <v>8</v>
      </c>
      <c r="E1511" s="5" t="s">
        <v>19</v>
      </c>
      <c r="F1511" s="6" t="s">
        <v>197</v>
      </c>
      <c r="G1511" s="7">
        <v>45090.0</v>
      </c>
      <c r="H1511" s="8">
        <f t="shared" si="1"/>
        <v>13</v>
      </c>
      <c r="I1511" s="9">
        <f t="shared" si="2"/>
        <v>6</v>
      </c>
      <c r="J1511" s="9">
        <f t="shared" si="3"/>
        <v>2023</v>
      </c>
    </row>
    <row r="1512" ht="15.75" customHeight="1">
      <c r="A1512" s="5">
        <v>76.0</v>
      </c>
      <c r="B1512" s="10" t="s">
        <v>1414</v>
      </c>
      <c r="C1512" s="3" t="s">
        <v>1415</v>
      </c>
      <c r="D1512" s="4" t="s">
        <v>8</v>
      </c>
      <c r="E1512" s="5" t="s">
        <v>71</v>
      </c>
      <c r="F1512" s="6" t="s">
        <v>1422</v>
      </c>
      <c r="G1512" s="7">
        <v>45102.0</v>
      </c>
      <c r="H1512" s="8">
        <f t="shared" si="1"/>
        <v>25</v>
      </c>
      <c r="I1512" s="9">
        <f t="shared" si="2"/>
        <v>6</v>
      </c>
      <c r="J1512" s="9">
        <f t="shared" si="3"/>
        <v>2023</v>
      </c>
    </row>
    <row r="1513" ht="15.75" customHeight="1">
      <c r="A1513" s="5">
        <v>76.0</v>
      </c>
      <c r="B1513" s="10" t="s">
        <v>1414</v>
      </c>
      <c r="C1513" s="3" t="s">
        <v>1415</v>
      </c>
      <c r="D1513" s="4" t="s">
        <v>8</v>
      </c>
      <c r="E1513" s="5" t="s">
        <v>6</v>
      </c>
      <c r="F1513" s="6" t="s">
        <v>1423</v>
      </c>
      <c r="G1513" s="7">
        <v>45126.0</v>
      </c>
      <c r="H1513" s="8">
        <f t="shared" si="1"/>
        <v>19</v>
      </c>
      <c r="I1513" s="9">
        <f t="shared" si="2"/>
        <v>7</v>
      </c>
      <c r="J1513" s="9">
        <f t="shared" si="3"/>
        <v>2023</v>
      </c>
    </row>
    <row r="1514" ht="15.75" customHeight="1">
      <c r="A1514" s="5">
        <v>76.0</v>
      </c>
      <c r="B1514" s="10" t="s">
        <v>1414</v>
      </c>
      <c r="C1514" s="3" t="s">
        <v>1415</v>
      </c>
      <c r="D1514" s="4" t="s">
        <v>3</v>
      </c>
      <c r="E1514" s="5" t="s">
        <v>9</v>
      </c>
      <c r="F1514" s="6" t="s">
        <v>344</v>
      </c>
      <c r="G1514" s="7">
        <v>45142.0</v>
      </c>
      <c r="H1514" s="8">
        <f t="shared" si="1"/>
        <v>4</v>
      </c>
      <c r="I1514" s="9">
        <f t="shared" si="2"/>
        <v>8</v>
      </c>
      <c r="J1514" s="9">
        <f t="shared" si="3"/>
        <v>2023</v>
      </c>
    </row>
    <row r="1515" ht="15.75" customHeight="1">
      <c r="A1515" s="5">
        <v>76.0</v>
      </c>
      <c r="B1515" s="10" t="s">
        <v>1414</v>
      </c>
      <c r="C1515" s="3" t="s">
        <v>1415</v>
      </c>
      <c r="D1515" s="4" t="s">
        <v>8</v>
      </c>
      <c r="E1515" s="5" t="s">
        <v>42</v>
      </c>
      <c r="F1515" s="6" t="s">
        <v>1424</v>
      </c>
      <c r="G1515" s="7">
        <v>45163.0</v>
      </c>
      <c r="H1515" s="8">
        <f t="shared" si="1"/>
        <v>25</v>
      </c>
      <c r="I1515" s="9">
        <f t="shared" si="2"/>
        <v>8</v>
      </c>
      <c r="J1515" s="9">
        <f t="shared" si="3"/>
        <v>2023</v>
      </c>
    </row>
    <row r="1516" ht="15.75" customHeight="1">
      <c r="A1516" s="5">
        <v>76.0</v>
      </c>
      <c r="B1516" s="10" t="s">
        <v>1414</v>
      </c>
      <c r="C1516" s="3" t="s">
        <v>1415</v>
      </c>
      <c r="D1516" s="4" t="s">
        <v>8</v>
      </c>
      <c r="E1516" s="5" t="s">
        <v>17</v>
      </c>
      <c r="F1516" s="6" t="s">
        <v>734</v>
      </c>
      <c r="G1516" s="7">
        <v>45184.0</v>
      </c>
      <c r="H1516" s="8">
        <f t="shared" si="1"/>
        <v>15</v>
      </c>
      <c r="I1516" s="9">
        <f t="shared" si="2"/>
        <v>9</v>
      </c>
      <c r="J1516" s="9">
        <f t="shared" si="3"/>
        <v>2023</v>
      </c>
    </row>
    <row r="1517" ht="15.75" customHeight="1">
      <c r="A1517" s="5">
        <v>76.0</v>
      </c>
      <c r="B1517" s="10" t="s">
        <v>1414</v>
      </c>
      <c r="C1517" s="3" t="s">
        <v>1415</v>
      </c>
      <c r="D1517" s="4" t="s">
        <v>8</v>
      </c>
      <c r="E1517" s="5" t="s">
        <v>35</v>
      </c>
      <c r="F1517" s="6" t="s">
        <v>1425</v>
      </c>
      <c r="G1517" s="7">
        <v>45209.0</v>
      </c>
      <c r="H1517" s="8">
        <f t="shared" si="1"/>
        <v>10</v>
      </c>
      <c r="I1517" s="9">
        <f t="shared" si="2"/>
        <v>10</v>
      </c>
      <c r="J1517" s="9">
        <f t="shared" si="3"/>
        <v>2023</v>
      </c>
    </row>
    <row r="1518" ht="15.75" customHeight="1">
      <c r="A1518" s="5">
        <v>76.0</v>
      </c>
      <c r="B1518" s="10" t="s">
        <v>1414</v>
      </c>
      <c r="C1518" s="3" t="s">
        <v>1415</v>
      </c>
      <c r="D1518" s="4" t="s">
        <v>3</v>
      </c>
      <c r="E1518" s="5" t="s">
        <v>28</v>
      </c>
      <c r="F1518" s="6" t="s">
        <v>1426</v>
      </c>
      <c r="G1518" s="7">
        <v>45272.0</v>
      </c>
      <c r="H1518" s="8">
        <f t="shared" si="1"/>
        <v>12</v>
      </c>
      <c r="I1518" s="9">
        <f t="shared" si="2"/>
        <v>12</v>
      </c>
      <c r="J1518" s="9">
        <f t="shared" si="3"/>
        <v>2023</v>
      </c>
    </row>
    <row r="1519" ht="15.75" customHeight="1">
      <c r="A1519" s="5">
        <v>76.0</v>
      </c>
      <c r="B1519" s="10" t="s">
        <v>1414</v>
      </c>
      <c r="C1519" s="3" t="s">
        <v>1415</v>
      </c>
      <c r="D1519" s="4" t="s">
        <v>3</v>
      </c>
      <c r="E1519" s="5" t="s">
        <v>9</v>
      </c>
      <c r="F1519" s="6" t="s">
        <v>1427</v>
      </c>
      <c r="G1519" s="7">
        <v>45276.0</v>
      </c>
      <c r="H1519" s="8">
        <f t="shared" si="1"/>
        <v>16</v>
      </c>
      <c r="I1519" s="9">
        <f t="shared" si="2"/>
        <v>12</v>
      </c>
      <c r="J1519" s="9">
        <f t="shared" si="3"/>
        <v>2023</v>
      </c>
    </row>
    <row r="1520" ht="15.75" customHeight="1">
      <c r="A1520" s="5">
        <v>76.0</v>
      </c>
      <c r="B1520" s="10" t="s">
        <v>1414</v>
      </c>
      <c r="C1520" s="3" t="s">
        <v>1415</v>
      </c>
      <c r="D1520" s="4" t="s">
        <v>3</v>
      </c>
      <c r="E1520" s="5" t="s">
        <v>13</v>
      </c>
      <c r="F1520" s="6" t="s">
        <v>30</v>
      </c>
      <c r="G1520" s="7">
        <v>45283.0</v>
      </c>
      <c r="H1520" s="8">
        <f t="shared" si="1"/>
        <v>23</v>
      </c>
      <c r="I1520" s="9">
        <f t="shared" si="2"/>
        <v>12</v>
      </c>
      <c r="J1520" s="9">
        <f t="shared" si="3"/>
        <v>2023</v>
      </c>
    </row>
    <row r="1521" ht="15.75" customHeight="1">
      <c r="A1521" s="5">
        <v>77.0</v>
      </c>
      <c r="B1521" s="10" t="s">
        <v>632</v>
      </c>
      <c r="C1521" s="3" t="s">
        <v>1428</v>
      </c>
      <c r="D1521" s="4" t="s">
        <v>3</v>
      </c>
      <c r="E1521" s="5" t="s">
        <v>96</v>
      </c>
      <c r="F1521" s="6" t="s">
        <v>822</v>
      </c>
      <c r="G1521" s="7">
        <v>44943.0</v>
      </c>
      <c r="H1521" s="8">
        <f t="shared" si="1"/>
        <v>17</v>
      </c>
      <c r="I1521" s="9">
        <f t="shared" si="2"/>
        <v>1</v>
      </c>
      <c r="J1521" s="9">
        <f t="shared" si="3"/>
        <v>2023</v>
      </c>
    </row>
    <row r="1522" ht="15.75" customHeight="1">
      <c r="A1522" s="5">
        <v>77.0</v>
      </c>
      <c r="B1522" s="10" t="s">
        <v>632</v>
      </c>
      <c r="C1522" s="3" t="s">
        <v>1428</v>
      </c>
      <c r="D1522" s="4" t="s">
        <v>8</v>
      </c>
      <c r="E1522" s="5" t="s">
        <v>21</v>
      </c>
      <c r="F1522" s="6" t="s">
        <v>1429</v>
      </c>
      <c r="G1522" s="7">
        <v>44968.0</v>
      </c>
      <c r="H1522" s="8">
        <f t="shared" si="1"/>
        <v>11</v>
      </c>
      <c r="I1522" s="9">
        <f t="shared" si="2"/>
        <v>2</v>
      </c>
      <c r="J1522" s="9">
        <f t="shared" si="3"/>
        <v>2023</v>
      </c>
    </row>
    <row r="1523" ht="15.75" customHeight="1">
      <c r="A1523" s="5">
        <v>77.0</v>
      </c>
      <c r="B1523" s="10" t="s">
        <v>632</v>
      </c>
      <c r="C1523" s="3" t="s">
        <v>1428</v>
      </c>
      <c r="D1523" s="4" t="s">
        <v>8</v>
      </c>
      <c r="E1523" s="5" t="s">
        <v>6</v>
      </c>
      <c r="F1523" s="6" t="s">
        <v>1430</v>
      </c>
      <c r="G1523" s="7">
        <v>44975.0</v>
      </c>
      <c r="H1523" s="8">
        <f t="shared" si="1"/>
        <v>18</v>
      </c>
      <c r="I1523" s="9">
        <f t="shared" si="2"/>
        <v>2</v>
      </c>
      <c r="J1523" s="9">
        <f t="shared" si="3"/>
        <v>2023</v>
      </c>
    </row>
    <row r="1524" ht="15.75" customHeight="1">
      <c r="A1524" s="5">
        <v>77.0</v>
      </c>
      <c r="B1524" s="10" t="s">
        <v>632</v>
      </c>
      <c r="C1524" s="3" t="s">
        <v>1428</v>
      </c>
      <c r="D1524" s="4" t="s">
        <v>3</v>
      </c>
      <c r="E1524" s="5" t="s">
        <v>21</v>
      </c>
      <c r="F1524" s="6" t="s">
        <v>1057</v>
      </c>
      <c r="G1524" s="7">
        <v>44986.0</v>
      </c>
      <c r="H1524" s="8">
        <f t="shared" si="1"/>
        <v>1</v>
      </c>
      <c r="I1524" s="9">
        <f t="shared" si="2"/>
        <v>3</v>
      </c>
      <c r="J1524" s="9">
        <f t="shared" si="3"/>
        <v>2023</v>
      </c>
    </row>
    <row r="1525" ht="15.75" customHeight="1">
      <c r="A1525" s="5">
        <v>77.0</v>
      </c>
      <c r="B1525" s="10" t="s">
        <v>632</v>
      </c>
      <c r="C1525" s="3" t="s">
        <v>1428</v>
      </c>
      <c r="D1525" s="4" t="s">
        <v>3</v>
      </c>
      <c r="E1525" s="5" t="s">
        <v>120</v>
      </c>
      <c r="F1525" s="6" t="s">
        <v>1431</v>
      </c>
      <c r="G1525" s="7">
        <v>45037.0</v>
      </c>
      <c r="H1525" s="8">
        <f t="shared" si="1"/>
        <v>21</v>
      </c>
      <c r="I1525" s="9">
        <f t="shared" si="2"/>
        <v>4</v>
      </c>
      <c r="J1525" s="9">
        <f t="shared" si="3"/>
        <v>2023</v>
      </c>
    </row>
    <row r="1526" ht="15.75" customHeight="1">
      <c r="A1526" s="5">
        <v>77.0</v>
      </c>
      <c r="B1526" s="10" t="s">
        <v>632</v>
      </c>
      <c r="C1526" s="3" t="s">
        <v>1428</v>
      </c>
      <c r="D1526" s="4" t="s">
        <v>3</v>
      </c>
      <c r="E1526" s="5" t="s">
        <v>76</v>
      </c>
      <c r="F1526" s="6" t="s">
        <v>1412</v>
      </c>
      <c r="G1526" s="7">
        <v>45060.0</v>
      </c>
      <c r="H1526" s="8">
        <f t="shared" si="1"/>
        <v>14</v>
      </c>
      <c r="I1526" s="9">
        <f t="shared" si="2"/>
        <v>5</v>
      </c>
      <c r="J1526" s="9">
        <f t="shared" si="3"/>
        <v>2023</v>
      </c>
    </row>
    <row r="1527" ht="15.75" customHeight="1">
      <c r="A1527" s="5">
        <v>77.0</v>
      </c>
      <c r="B1527" s="10" t="s">
        <v>632</v>
      </c>
      <c r="C1527" s="3" t="s">
        <v>1428</v>
      </c>
      <c r="D1527" s="4" t="s">
        <v>3</v>
      </c>
      <c r="E1527" s="5" t="s">
        <v>23</v>
      </c>
      <c r="F1527" s="6" t="s">
        <v>1432</v>
      </c>
      <c r="G1527" s="7">
        <v>45109.0</v>
      </c>
      <c r="H1527" s="8">
        <f t="shared" si="1"/>
        <v>2</v>
      </c>
      <c r="I1527" s="9">
        <f t="shared" si="2"/>
        <v>7</v>
      </c>
      <c r="J1527" s="9">
        <f t="shared" si="3"/>
        <v>2023</v>
      </c>
    </row>
    <row r="1528" ht="15.75" customHeight="1">
      <c r="A1528" s="5">
        <v>77.0</v>
      </c>
      <c r="B1528" s="10" t="s">
        <v>632</v>
      </c>
      <c r="C1528" s="3" t="s">
        <v>1428</v>
      </c>
      <c r="D1528" s="4" t="s">
        <v>3</v>
      </c>
      <c r="E1528" s="5" t="s">
        <v>11</v>
      </c>
      <c r="F1528" s="6" t="s">
        <v>1433</v>
      </c>
      <c r="G1528" s="7">
        <v>45134.0</v>
      </c>
      <c r="H1528" s="8">
        <f t="shared" si="1"/>
        <v>27</v>
      </c>
      <c r="I1528" s="9">
        <f t="shared" si="2"/>
        <v>7</v>
      </c>
      <c r="J1528" s="9">
        <f t="shared" si="3"/>
        <v>2023</v>
      </c>
    </row>
    <row r="1529" ht="15.75" customHeight="1">
      <c r="A1529" s="5">
        <v>77.0</v>
      </c>
      <c r="B1529" s="10" t="s">
        <v>632</v>
      </c>
      <c r="C1529" s="3" t="s">
        <v>1428</v>
      </c>
      <c r="D1529" s="4" t="s">
        <v>3</v>
      </c>
      <c r="E1529" s="5" t="s">
        <v>13</v>
      </c>
      <c r="F1529" s="6" t="s">
        <v>1434</v>
      </c>
      <c r="G1529" s="7">
        <v>45153.0</v>
      </c>
      <c r="H1529" s="8">
        <f t="shared" si="1"/>
        <v>15</v>
      </c>
      <c r="I1529" s="9">
        <f t="shared" si="2"/>
        <v>8</v>
      </c>
      <c r="J1529" s="9">
        <f t="shared" si="3"/>
        <v>2023</v>
      </c>
    </row>
    <row r="1530" ht="15.75" customHeight="1">
      <c r="A1530" s="5">
        <v>77.0</v>
      </c>
      <c r="B1530" s="10" t="s">
        <v>632</v>
      </c>
      <c r="C1530" s="3" t="s">
        <v>1428</v>
      </c>
      <c r="D1530" s="4" t="s">
        <v>3</v>
      </c>
      <c r="E1530" s="5" t="s">
        <v>51</v>
      </c>
      <c r="F1530" s="6" t="s">
        <v>1435</v>
      </c>
      <c r="G1530" s="7">
        <v>45175.0</v>
      </c>
      <c r="H1530" s="8">
        <f t="shared" si="1"/>
        <v>6</v>
      </c>
      <c r="I1530" s="9">
        <f t="shared" si="2"/>
        <v>9</v>
      </c>
      <c r="J1530" s="9">
        <f t="shared" si="3"/>
        <v>2023</v>
      </c>
    </row>
    <row r="1531" ht="15.75" customHeight="1">
      <c r="A1531" s="5">
        <v>77.0</v>
      </c>
      <c r="B1531" s="10" t="s">
        <v>632</v>
      </c>
      <c r="C1531" s="3" t="s">
        <v>1428</v>
      </c>
      <c r="D1531" s="4" t="s">
        <v>3</v>
      </c>
      <c r="E1531" s="5" t="s">
        <v>11</v>
      </c>
      <c r="F1531" s="6" t="s">
        <v>1436</v>
      </c>
      <c r="G1531" s="7">
        <v>45187.0</v>
      </c>
      <c r="H1531" s="8">
        <f t="shared" si="1"/>
        <v>18</v>
      </c>
      <c r="I1531" s="9">
        <f t="shared" si="2"/>
        <v>9</v>
      </c>
      <c r="J1531" s="9">
        <f t="shared" si="3"/>
        <v>2023</v>
      </c>
    </row>
    <row r="1532" ht="15.75" customHeight="1">
      <c r="A1532" s="5">
        <v>77.0</v>
      </c>
      <c r="B1532" s="10" t="s">
        <v>632</v>
      </c>
      <c r="C1532" s="3" t="s">
        <v>1428</v>
      </c>
      <c r="D1532" s="4" t="s">
        <v>3</v>
      </c>
      <c r="E1532" s="5" t="s">
        <v>76</v>
      </c>
      <c r="F1532" s="6" t="s">
        <v>1437</v>
      </c>
      <c r="G1532" s="7">
        <v>45195.0</v>
      </c>
      <c r="H1532" s="8">
        <f t="shared" si="1"/>
        <v>26</v>
      </c>
      <c r="I1532" s="9">
        <f t="shared" si="2"/>
        <v>9</v>
      </c>
      <c r="J1532" s="9">
        <f t="shared" si="3"/>
        <v>2023</v>
      </c>
    </row>
    <row r="1533" ht="15.75" customHeight="1">
      <c r="A1533" s="5">
        <v>77.0</v>
      </c>
      <c r="B1533" s="10" t="s">
        <v>632</v>
      </c>
      <c r="C1533" s="3" t="s">
        <v>1428</v>
      </c>
      <c r="D1533" s="4" t="s">
        <v>8</v>
      </c>
      <c r="E1533" s="5" t="s">
        <v>15</v>
      </c>
      <c r="F1533" s="6" t="s">
        <v>1438</v>
      </c>
      <c r="G1533" s="7">
        <v>45208.0</v>
      </c>
      <c r="H1533" s="8">
        <f t="shared" si="1"/>
        <v>9</v>
      </c>
      <c r="I1533" s="9">
        <f t="shared" si="2"/>
        <v>10</v>
      </c>
      <c r="J1533" s="9">
        <f t="shared" si="3"/>
        <v>2023</v>
      </c>
    </row>
    <row r="1534" ht="15.75" customHeight="1">
      <c r="A1534" s="5">
        <v>77.0</v>
      </c>
      <c r="B1534" s="10" t="s">
        <v>632</v>
      </c>
      <c r="C1534" s="3" t="s">
        <v>1428</v>
      </c>
      <c r="D1534" s="4" t="s">
        <v>8</v>
      </c>
      <c r="E1534" s="5" t="s">
        <v>120</v>
      </c>
      <c r="F1534" s="6" t="s">
        <v>695</v>
      </c>
      <c r="G1534" s="7">
        <v>45209.0</v>
      </c>
      <c r="H1534" s="8">
        <f t="shared" si="1"/>
        <v>10</v>
      </c>
      <c r="I1534" s="9">
        <f t="shared" si="2"/>
        <v>10</v>
      </c>
      <c r="J1534" s="9">
        <f t="shared" si="3"/>
        <v>2023</v>
      </c>
    </row>
    <row r="1535" ht="15.75" customHeight="1">
      <c r="A1535" s="5">
        <v>77.0</v>
      </c>
      <c r="B1535" s="10" t="s">
        <v>632</v>
      </c>
      <c r="C1535" s="3" t="s">
        <v>1428</v>
      </c>
      <c r="D1535" s="4" t="s">
        <v>3</v>
      </c>
      <c r="E1535" s="5" t="s">
        <v>96</v>
      </c>
      <c r="F1535" s="6" t="s">
        <v>1439</v>
      </c>
      <c r="G1535" s="7">
        <v>45217.0</v>
      </c>
      <c r="H1535" s="8">
        <f t="shared" si="1"/>
        <v>18</v>
      </c>
      <c r="I1535" s="9">
        <f t="shared" si="2"/>
        <v>10</v>
      </c>
      <c r="J1535" s="9">
        <f t="shared" si="3"/>
        <v>2023</v>
      </c>
    </row>
    <row r="1536" ht="15.75" customHeight="1">
      <c r="A1536" s="5">
        <v>77.0</v>
      </c>
      <c r="B1536" s="10" t="s">
        <v>632</v>
      </c>
      <c r="C1536" s="3" t="s">
        <v>1428</v>
      </c>
      <c r="D1536" s="4" t="s">
        <v>8</v>
      </c>
      <c r="E1536" s="5" t="s">
        <v>15</v>
      </c>
      <c r="F1536" s="6" t="s">
        <v>1440</v>
      </c>
      <c r="G1536" s="7">
        <v>45223.0</v>
      </c>
      <c r="H1536" s="8">
        <f t="shared" si="1"/>
        <v>24</v>
      </c>
      <c r="I1536" s="9">
        <f t="shared" si="2"/>
        <v>10</v>
      </c>
      <c r="J1536" s="9">
        <f t="shared" si="3"/>
        <v>2023</v>
      </c>
    </row>
    <row r="1537" ht="15.75" customHeight="1">
      <c r="A1537" s="5">
        <v>77.0</v>
      </c>
      <c r="B1537" s="10" t="s">
        <v>632</v>
      </c>
      <c r="C1537" s="3" t="s">
        <v>1428</v>
      </c>
      <c r="D1537" s="4" t="s">
        <v>8</v>
      </c>
      <c r="E1537" s="5" t="s">
        <v>6</v>
      </c>
      <c r="F1537" s="6" t="s">
        <v>1441</v>
      </c>
      <c r="G1537" s="7">
        <v>45241.0</v>
      </c>
      <c r="H1537" s="8">
        <f t="shared" si="1"/>
        <v>11</v>
      </c>
      <c r="I1537" s="9">
        <f t="shared" si="2"/>
        <v>11</v>
      </c>
      <c r="J1537" s="9">
        <f t="shared" si="3"/>
        <v>2023</v>
      </c>
    </row>
    <row r="1538" ht="15.75" customHeight="1">
      <c r="A1538" s="5">
        <v>77.0</v>
      </c>
      <c r="B1538" s="10" t="s">
        <v>632</v>
      </c>
      <c r="C1538" s="3" t="s">
        <v>1428</v>
      </c>
      <c r="D1538" s="4" t="s">
        <v>8</v>
      </c>
      <c r="E1538" s="5" t="s">
        <v>9</v>
      </c>
      <c r="F1538" s="6" t="s">
        <v>1442</v>
      </c>
      <c r="G1538" s="7">
        <v>45252.0</v>
      </c>
      <c r="H1538" s="8">
        <f t="shared" si="1"/>
        <v>22</v>
      </c>
      <c r="I1538" s="9">
        <f t="shared" si="2"/>
        <v>11</v>
      </c>
      <c r="J1538" s="9">
        <f t="shared" si="3"/>
        <v>2023</v>
      </c>
    </row>
    <row r="1539" ht="15.75" customHeight="1">
      <c r="A1539" s="5">
        <v>77.0</v>
      </c>
      <c r="B1539" s="10" t="s">
        <v>632</v>
      </c>
      <c r="C1539" s="3" t="s">
        <v>1428</v>
      </c>
      <c r="D1539" s="4" t="s">
        <v>8</v>
      </c>
      <c r="E1539" s="5" t="s">
        <v>76</v>
      </c>
      <c r="F1539" s="6" t="s">
        <v>1304</v>
      </c>
      <c r="G1539" s="7">
        <v>45258.0</v>
      </c>
      <c r="H1539" s="8">
        <f t="shared" si="1"/>
        <v>28</v>
      </c>
      <c r="I1539" s="9">
        <f t="shared" si="2"/>
        <v>11</v>
      </c>
      <c r="J1539" s="9">
        <f t="shared" si="3"/>
        <v>2023</v>
      </c>
    </row>
    <row r="1540" ht="15.75" customHeight="1">
      <c r="A1540" s="5">
        <v>77.0</v>
      </c>
      <c r="B1540" s="10" t="s">
        <v>632</v>
      </c>
      <c r="C1540" s="3" t="s">
        <v>1428</v>
      </c>
      <c r="D1540" s="4" t="s">
        <v>3</v>
      </c>
      <c r="E1540" s="5" t="s">
        <v>9</v>
      </c>
      <c r="F1540" s="6" t="s">
        <v>1207</v>
      </c>
      <c r="G1540" s="7">
        <v>45280.0</v>
      </c>
      <c r="H1540" s="8">
        <f t="shared" si="1"/>
        <v>20</v>
      </c>
      <c r="I1540" s="9">
        <f t="shared" si="2"/>
        <v>12</v>
      </c>
      <c r="J1540" s="9">
        <f t="shared" si="3"/>
        <v>2023</v>
      </c>
    </row>
    <row r="1541" ht="15.75" customHeight="1">
      <c r="A1541" s="5">
        <v>78.0</v>
      </c>
      <c r="B1541" s="10" t="s">
        <v>1443</v>
      </c>
      <c r="C1541" s="3" t="s">
        <v>1444</v>
      </c>
      <c r="D1541" s="4" t="s">
        <v>3</v>
      </c>
      <c r="E1541" s="5" t="s">
        <v>6</v>
      </c>
      <c r="F1541" s="6" t="s">
        <v>1035</v>
      </c>
      <c r="G1541" s="7">
        <v>44927.0</v>
      </c>
      <c r="H1541" s="8">
        <f t="shared" si="1"/>
        <v>1</v>
      </c>
      <c r="I1541" s="9">
        <f t="shared" si="2"/>
        <v>1</v>
      </c>
      <c r="J1541" s="9">
        <f t="shared" si="3"/>
        <v>2023</v>
      </c>
    </row>
    <row r="1542" ht="15.75" customHeight="1">
      <c r="A1542" s="5">
        <v>78.0</v>
      </c>
      <c r="B1542" s="10" t="s">
        <v>1443</v>
      </c>
      <c r="C1542" s="3" t="s">
        <v>1444</v>
      </c>
      <c r="D1542" s="4" t="s">
        <v>8</v>
      </c>
      <c r="E1542" s="5" t="s">
        <v>23</v>
      </c>
      <c r="F1542" s="6" t="s">
        <v>1445</v>
      </c>
      <c r="G1542" s="7">
        <v>44934.0</v>
      </c>
      <c r="H1542" s="8">
        <f t="shared" si="1"/>
        <v>8</v>
      </c>
      <c r="I1542" s="9">
        <f t="shared" si="2"/>
        <v>1</v>
      </c>
      <c r="J1542" s="9">
        <f t="shared" si="3"/>
        <v>2023</v>
      </c>
    </row>
    <row r="1543" ht="15.75" customHeight="1">
      <c r="A1543" s="5">
        <v>78.0</v>
      </c>
      <c r="B1543" s="10" t="s">
        <v>1443</v>
      </c>
      <c r="C1543" s="3" t="s">
        <v>1444</v>
      </c>
      <c r="D1543" s="4" t="s">
        <v>8</v>
      </c>
      <c r="E1543" s="5" t="s">
        <v>35</v>
      </c>
      <c r="F1543" s="6" t="s">
        <v>1446</v>
      </c>
      <c r="G1543" s="7">
        <v>44980.0</v>
      </c>
      <c r="H1543" s="8">
        <f t="shared" si="1"/>
        <v>23</v>
      </c>
      <c r="I1543" s="9">
        <f t="shared" si="2"/>
        <v>2</v>
      </c>
      <c r="J1543" s="9">
        <f t="shared" si="3"/>
        <v>2023</v>
      </c>
    </row>
    <row r="1544" ht="15.75" customHeight="1">
      <c r="A1544" s="5">
        <v>78.0</v>
      </c>
      <c r="B1544" s="10" t="s">
        <v>1443</v>
      </c>
      <c r="C1544" s="3" t="s">
        <v>1444</v>
      </c>
      <c r="D1544" s="4" t="s">
        <v>8</v>
      </c>
      <c r="E1544" s="5" t="s">
        <v>9</v>
      </c>
      <c r="F1544" s="6" t="s">
        <v>772</v>
      </c>
      <c r="G1544" s="7">
        <v>44993.0</v>
      </c>
      <c r="H1544" s="8">
        <f t="shared" si="1"/>
        <v>8</v>
      </c>
      <c r="I1544" s="9">
        <f t="shared" si="2"/>
        <v>3</v>
      </c>
      <c r="J1544" s="9">
        <f t="shared" si="3"/>
        <v>2023</v>
      </c>
    </row>
    <row r="1545" ht="15.75" customHeight="1">
      <c r="A1545" s="5">
        <v>78.0</v>
      </c>
      <c r="B1545" s="10" t="s">
        <v>1443</v>
      </c>
      <c r="C1545" s="3" t="s">
        <v>1444</v>
      </c>
      <c r="D1545" s="4" t="s">
        <v>3</v>
      </c>
      <c r="E1545" s="5" t="s">
        <v>13</v>
      </c>
      <c r="F1545" s="6" t="s">
        <v>1447</v>
      </c>
      <c r="G1545" s="7">
        <v>45002.0</v>
      </c>
      <c r="H1545" s="8">
        <f t="shared" si="1"/>
        <v>17</v>
      </c>
      <c r="I1545" s="9">
        <f t="shared" si="2"/>
        <v>3</v>
      </c>
      <c r="J1545" s="9">
        <f t="shared" si="3"/>
        <v>2023</v>
      </c>
    </row>
    <row r="1546" ht="15.75" customHeight="1">
      <c r="A1546" s="5">
        <v>78.0</v>
      </c>
      <c r="B1546" s="10" t="s">
        <v>1443</v>
      </c>
      <c r="C1546" s="3" t="s">
        <v>1444</v>
      </c>
      <c r="D1546" s="4" t="s">
        <v>3</v>
      </c>
      <c r="E1546" s="5" t="s">
        <v>6</v>
      </c>
      <c r="F1546" s="6" t="s">
        <v>1448</v>
      </c>
      <c r="G1546" s="7">
        <v>45019.0</v>
      </c>
      <c r="H1546" s="8">
        <f t="shared" si="1"/>
        <v>3</v>
      </c>
      <c r="I1546" s="9">
        <f t="shared" si="2"/>
        <v>4</v>
      </c>
      <c r="J1546" s="9">
        <f t="shared" si="3"/>
        <v>2023</v>
      </c>
    </row>
    <row r="1547" ht="15.75" customHeight="1">
      <c r="A1547" s="5">
        <v>78.0</v>
      </c>
      <c r="B1547" s="10" t="s">
        <v>1443</v>
      </c>
      <c r="C1547" s="3" t="s">
        <v>1444</v>
      </c>
      <c r="D1547" s="4" t="s">
        <v>3</v>
      </c>
      <c r="E1547" s="5" t="s">
        <v>96</v>
      </c>
      <c r="F1547" s="6" t="s">
        <v>758</v>
      </c>
      <c r="G1547" s="7">
        <v>45043.0</v>
      </c>
      <c r="H1547" s="8">
        <f t="shared" si="1"/>
        <v>27</v>
      </c>
      <c r="I1547" s="9">
        <f t="shared" si="2"/>
        <v>4</v>
      </c>
      <c r="J1547" s="9">
        <f t="shared" si="3"/>
        <v>2023</v>
      </c>
    </row>
    <row r="1548" ht="15.75" customHeight="1">
      <c r="A1548" s="5">
        <v>78.0</v>
      </c>
      <c r="B1548" s="10" t="s">
        <v>1443</v>
      </c>
      <c r="C1548" s="3" t="s">
        <v>1444</v>
      </c>
      <c r="D1548" s="4" t="s">
        <v>3</v>
      </c>
      <c r="E1548" s="5" t="s">
        <v>19</v>
      </c>
      <c r="F1548" s="6" t="s">
        <v>1025</v>
      </c>
      <c r="G1548" s="7">
        <v>45051.0</v>
      </c>
      <c r="H1548" s="8">
        <f t="shared" si="1"/>
        <v>5</v>
      </c>
      <c r="I1548" s="9">
        <f t="shared" si="2"/>
        <v>5</v>
      </c>
      <c r="J1548" s="9">
        <f t="shared" si="3"/>
        <v>2023</v>
      </c>
    </row>
    <row r="1549" ht="15.75" customHeight="1">
      <c r="A1549" s="5">
        <v>78.0</v>
      </c>
      <c r="B1549" s="10" t="s">
        <v>1443</v>
      </c>
      <c r="C1549" s="3" t="s">
        <v>1444</v>
      </c>
      <c r="D1549" s="4" t="s">
        <v>8</v>
      </c>
      <c r="E1549" s="5" t="s">
        <v>96</v>
      </c>
      <c r="F1549" s="6" t="s">
        <v>296</v>
      </c>
      <c r="G1549" s="7">
        <v>45102.0</v>
      </c>
      <c r="H1549" s="8">
        <f t="shared" si="1"/>
        <v>25</v>
      </c>
      <c r="I1549" s="9">
        <f t="shared" si="2"/>
        <v>6</v>
      </c>
      <c r="J1549" s="9">
        <f t="shared" si="3"/>
        <v>2023</v>
      </c>
    </row>
    <row r="1550" ht="15.75" customHeight="1">
      <c r="A1550" s="5">
        <v>78.0</v>
      </c>
      <c r="B1550" s="10" t="s">
        <v>1443</v>
      </c>
      <c r="C1550" s="3" t="s">
        <v>1444</v>
      </c>
      <c r="D1550" s="4" t="s">
        <v>3</v>
      </c>
      <c r="E1550" s="5" t="s">
        <v>39</v>
      </c>
      <c r="F1550" s="6" t="s">
        <v>1449</v>
      </c>
      <c r="G1550" s="7">
        <v>45111.0</v>
      </c>
      <c r="H1550" s="8">
        <f t="shared" si="1"/>
        <v>4</v>
      </c>
      <c r="I1550" s="9">
        <f t="shared" si="2"/>
        <v>7</v>
      </c>
      <c r="J1550" s="9">
        <f t="shared" si="3"/>
        <v>2023</v>
      </c>
    </row>
    <row r="1551" ht="15.75" customHeight="1">
      <c r="A1551" s="5">
        <v>78.0</v>
      </c>
      <c r="B1551" s="10" t="s">
        <v>1443</v>
      </c>
      <c r="C1551" s="3" t="s">
        <v>1444</v>
      </c>
      <c r="D1551" s="4" t="s">
        <v>3</v>
      </c>
      <c r="E1551" s="5" t="s">
        <v>51</v>
      </c>
      <c r="F1551" s="6" t="s">
        <v>255</v>
      </c>
      <c r="G1551" s="7">
        <v>45123.0</v>
      </c>
      <c r="H1551" s="8">
        <f t="shared" si="1"/>
        <v>16</v>
      </c>
      <c r="I1551" s="9">
        <f t="shared" si="2"/>
        <v>7</v>
      </c>
      <c r="J1551" s="9">
        <f t="shared" si="3"/>
        <v>2023</v>
      </c>
    </row>
    <row r="1552" ht="15.75" customHeight="1">
      <c r="A1552" s="5">
        <v>78.0</v>
      </c>
      <c r="B1552" s="10" t="s">
        <v>1443</v>
      </c>
      <c r="C1552" s="3" t="s">
        <v>1444</v>
      </c>
      <c r="D1552" s="4" t="s">
        <v>8</v>
      </c>
      <c r="E1552" s="5" t="s">
        <v>21</v>
      </c>
      <c r="F1552" s="6" t="s">
        <v>197</v>
      </c>
      <c r="G1552" s="7">
        <v>45189.0</v>
      </c>
      <c r="H1552" s="8">
        <f t="shared" si="1"/>
        <v>20</v>
      </c>
      <c r="I1552" s="9">
        <f t="shared" si="2"/>
        <v>9</v>
      </c>
      <c r="J1552" s="9">
        <f t="shared" si="3"/>
        <v>2023</v>
      </c>
    </row>
    <row r="1553" ht="15.75" customHeight="1">
      <c r="A1553" s="5">
        <v>78.0</v>
      </c>
      <c r="B1553" s="10" t="s">
        <v>1443</v>
      </c>
      <c r="C1553" s="3" t="s">
        <v>1444</v>
      </c>
      <c r="D1553" s="4" t="s">
        <v>3</v>
      </c>
      <c r="E1553" s="5" t="s">
        <v>39</v>
      </c>
      <c r="F1553" s="6" t="s">
        <v>1377</v>
      </c>
      <c r="G1553" s="7">
        <v>45202.0</v>
      </c>
      <c r="H1553" s="8">
        <f t="shared" si="1"/>
        <v>3</v>
      </c>
      <c r="I1553" s="9">
        <f t="shared" si="2"/>
        <v>10</v>
      </c>
      <c r="J1553" s="9">
        <f t="shared" si="3"/>
        <v>2023</v>
      </c>
    </row>
    <row r="1554" ht="15.75" customHeight="1">
      <c r="A1554" s="5">
        <v>78.0</v>
      </c>
      <c r="B1554" s="10" t="s">
        <v>1443</v>
      </c>
      <c r="C1554" s="3" t="s">
        <v>1444</v>
      </c>
      <c r="D1554" s="4" t="s">
        <v>8</v>
      </c>
      <c r="E1554" s="5" t="s">
        <v>96</v>
      </c>
      <c r="F1554" s="6" t="s">
        <v>1450</v>
      </c>
      <c r="G1554" s="7">
        <v>45215.0</v>
      </c>
      <c r="H1554" s="8">
        <f t="shared" si="1"/>
        <v>16</v>
      </c>
      <c r="I1554" s="9">
        <f t="shared" si="2"/>
        <v>10</v>
      </c>
      <c r="J1554" s="9">
        <f t="shared" si="3"/>
        <v>2023</v>
      </c>
    </row>
    <row r="1555" ht="15.75" customHeight="1">
      <c r="A1555" s="5">
        <v>78.0</v>
      </c>
      <c r="B1555" s="10" t="s">
        <v>1443</v>
      </c>
      <c r="C1555" s="3" t="s">
        <v>1444</v>
      </c>
      <c r="D1555" s="4" t="s">
        <v>8</v>
      </c>
      <c r="E1555" s="5" t="s">
        <v>42</v>
      </c>
      <c r="F1555" s="6" t="s">
        <v>1045</v>
      </c>
      <c r="G1555" s="7">
        <v>45222.0</v>
      </c>
      <c r="H1555" s="8">
        <f t="shared" si="1"/>
        <v>23</v>
      </c>
      <c r="I1555" s="9">
        <f t="shared" si="2"/>
        <v>10</v>
      </c>
      <c r="J1555" s="9">
        <f t="shared" si="3"/>
        <v>2023</v>
      </c>
    </row>
    <row r="1556" ht="15.75" customHeight="1">
      <c r="A1556" s="5">
        <v>78.0</v>
      </c>
      <c r="B1556" s="10" t="s">
        <v>1443</v>
      </c>
      <c r="C1556" s="3" t="s">
        <v>1444</v>
      </c>
      <c r="D1556" s="4" t="s">
        <v>8</v>
      </c>
      <c r="E1556" s="5" t="s">
        <v>15</v>
      </c>
      <c r="F1556" s="6" t="s">
        <v>1451</v>
      </c>
      <c r="G1556" s="7">
        <v>45256.0</v>
      </c>
      <c r="H1556" s="8">
        <f t="shared" si="1"/>
        <v>26</v>
      </c>
      <c r="I1556" s="9">
        <f t="shared" si="2"/>
        <v>11</v>
      </c>
      <c r="J1556" s="9">
        <f t="shared" si="3"/>
        <v>2023</v>
      </c>
    </row>
    <row r="1557" ht="15.75" customHeight="1">
      <c r="A1557" s="5">
        <v>78.0</v>
      </c>
      <c r="B1557" s="10" t="s">
        <v>1443</v>
      </c>
      <c r="C1557" s="3" t="s">
        <v>1444</v>
      </c>
      <c r="D1557" s="4" t="s">
        <v>8</v>
      </c>
      <c r="E1557" s="5" t="s">
        <v>96</v>
      </c>
      <c r="F1557" s="6" t="s">
        <v>255</v>
      </c>
      <c r="G1557" s="7">
        <v>45270.0</v>
      </c>
      <c r="H1557" s="8">
        <f t="shared" si="1"/>
        <v>10</v>
      </c>
      <c r="I1557" s="9">
        <f t="shared" si="2"/>
        <v>12</v>
      </c>
      <c r="J1557" s="9">
        <f t="shared" si="3"/>
        <v>2023</v>
      </c>
    </row>
    <row r="1558" ht="15.75" customHeight="1">
      <c r="A1558" s="5">
        <v>78.0</v>
      </c>
      <c r="B1558" s="10" t="s">
        <v>1443</v>
      </c>
      <c r="C1558" s="3" t="s">
        <v>1444</v>
      </c>
      <c r="D1558" s="4" t="s">
        <v>8</v>
      </c>
      <c r="E1558" s="5" t="s">
        <v>21</v>
      </c>
      <c r="F1558" s="6" t="s">
        <v>793</v>
      </c>
      <c r="G1558" s="7">
        <v>45271.0</v>
      </c>
      <c r="H1558" s="8">
        <f t="shared" si="1"/>
        <v>11</v>
      </c>
      <c r="I1558" s="9">
        <f t="shared" si="2"/>
        <v>12</v>
      </c>
      <c r="J1558" s="9">
        <f t="shared" si="3"/>
        <v>2023</v>
      </c>
    </row>
    <row r="1559" ht="15.75" customHeight="1">
      <c r="A1559" s="5">
        <v>78.0</v>
      </c>
      <c r="B1559" s="10" t="s">
        <v>1443</v>
      </c>
      <c r="C1559" s="3" t="s">
        <v>1444</v>
      </c>
      <c r="D1559" s="4" t="s">
        <v>8</v>
      </c>
      <c r="E1559" s="5" t="s">
        <v>15</v>
      </c>
      <c r="F1559" s="6" t="s">
        <v>548</v>
      </c>
      <c r="G1559" s="7">
        <v>45272.0</v>
      </c>
      <c r="H1559" s="8">
        <f t="shared" si="1"/>
        <v>12</v>
      </c>
      <c r="I1559" s="9">
        <f t="shared" si="2"/>
        <v>12</v>
      </c>
      <c r="J1559" s="9">
        <f t="shared" si="3"/>
        <v>2023</v>
      </c>
    </row>
    <row r="1560" ht="15.75" customHeight="1">
      <c r="A1560" s="5">
        <v>78.0</v>
      </c>
      <c r="B1560" s="10" t="s">
        <v>1443</v>
      </c>
      <c r="C1560" s="3" t="s">
        <v>1444</v>
      </c>
      <c r="D1560" s="4" t="s">
        <v>8</v>
      </c>
      <c r="E1560" s="5" t="s">
        <v>15</v>
      </c>
      <c r="F1560" s="6" t="s">
        <v>1452</v>
      </c>
      <c r="G1560" s="7">
        <v>45281.0</v>
      </c>
      <c r="H1560" s="8">
        <f t="shared" si="1"/>
        <v>21</v>
      </c>
      <c r="I1560" s="9">
        <f t="shared" si="2"/>
        <v>12</v>
      </c>
      <c r="J1560" s="9">
        <f t="shared" si="3"/>
        <v>2023</v>
      </c>
    </row>
    <row r="1561" ht="15.75" customHeight="1">
      <c r="A1561" s="5">
        <v>79.0</v>
      </c>
      <c r="B1561" s="10" t="s">
        <v>1453</v>
      </c>
      <c r="C1561" s="3" t="s">
        <v>1454</v>
      </c>
      <c r="D1561" s="4" t="s">
        <v>8</v>
      </c>
      <c r="E1561" s="5" t="s">
        <v>39</v>
      </c>
      <c r="F1561" s="6" t="s">
        <v>1455</v>
      </c>
      <c r="G1561" s="7">
        <v>44932.0</v>
      </c>
      <c r="H1561" s="8">
        <f t="shared" si="1"/>
        <v>6</v>
      </c>
      <c r="I1561" s="9">
        <f t="shared" si="2"/>
        <v>1</v>
      </c>
      <c r="J1561" s="9">
        <f t="shared" si="3"/>
        <v>2023</v>
      </c>
    </row>
    <row r="1562" ht="15.75" customHeight="1">
      <c r="A1562" s="5">
        <v>79.0</v>
      </c>
      <c r="B1562" s="10" t="s">
        <v>1453</v>
      </c>
      <c r="C1562" s="3" t="s">
        <v>1454</v>
      </c>
      <c r="D1562" s="4" t="s">
        <v>3</v>
      </c>
      <c r="E1562" s="5" t="s">
        <v>76</v>
      </c>
      <c r="F1562" s="6" t="s">
        <v>1456</v>
      </c>
      <c r="G1562" s="7">
        <v>44938.0</v>
      </c>
      <c r="H1562" s="8">
        <f t="shared" si="1"/>
        <v>12</v>
      </c>
      <c r="I1562" s="9">
        <f t="shared" si="2"/>
        <v>1</v>
      </c>
      <c r="J1562" s="9">
        <f t="shared" si="3"/>
        <v>2023</v>
      </c>
    </row>
    <row r="1563" ht="15.75" customHeight="1">
      <c r="A1563" s="5">
        <v>79.0</v>
      </c>
      <c r="B1563" s="10" t="s">
        <v>1453</v>
      </c>
      <c r="C1563" s="3" t="s">
        <v>1454</v>
      </c>
      <c r="D1563" s="4" t="s">
        <v>8</v>
      </c>
      <c r="E1563" s="5" t="s">
        <v>4</v>
      </c>
      <c r="F1563" s="6" t="s">
        <v>1457</v>
      </c>
      <c r="G1563" s="7">
        <v>44963.0</v>
      </c>
      <c r="H1563" s="8">
        <f t="shared" si="1"/>
        <v>6</v>
      </c>
      <c r="I1563" s="9">
        <f t="shared" si="2"/>
        <v>2</v>
      </c>
      <c r="J1563" s="9">
        <f t="shared" si="3"/>
        <v>2023</v>
      </c>
    </row>
    <row r="1564" ht="15.75" customHeight="1">
      <c r="A1564" s="5">
        <v>79.0</v>
      </c>
      <c r="B1564" s="10" t="s">
        <v>1453</v>
      </c>
      <c r="C1564" s="3" t="s">
        <v>1454</v>
      </c>
      <c r="D1564" s="4" t="s">
        <v>8</v>
      </c>
      <c r="E1564" s="5" t="s">
        <v>42</v>
      </c>
      <c r="F1564" s="6" t="s">
        <v>208</v>
      </c>
      <c r="G1564" s="7">
        <v>44990.0</v>
      </c>
      <c r="H1564" s="8">
        <f t="shared" si="1"/>
        <v>5</v>
      </c>
      <c r="I1564" s="9">
        <f t="shared" si="2"/>
        <v>3</v>
      </c>
      <c r="J1564" s="9">
        <f t="shared" si="3"/>
        <v>2023</v>
      </c>
    </row>
    <row r="1565" ht="15.75" customHeight="1">
      <c r="A1565" s="5">
        <v>79.0</v>
      </c>
      <c r="B1565" s="10" t="s">
        <v>1453</v>
      </c>
      <c r="C1565" s="3" t="s">
        <v>1454</v>
      </c>
      <c r="D1565" s="4" t="s">
        <v>8</v>
      </c>
      <c r="E1565" s="5" t="s">
        <v>28</v>
      </c>
      <c r="F1565" s="6" t="s">
        <v>1458</v>
      </c>
      <c r="G1565" s="7">
        <v>45038.0</v>
      </c>
      <c r="H1565" s="8">
        <f t="shared" si="1"/>
        <v>22</v>
      </c>
      <c r="I1565" s="9">
        <f t="shared" si="2"/>
        <v>4</v>
      </c>
      <c r="J1565" s="9">
        <f t="shared" si="3"/>
        <v>2023</v>
      </c>
    </row>
    <row r="1566" ht="15.75" customHeight="1">
      <c r="A1566" s="5">
        <v>79.0</v>
      </c>
      <c r="B1566" s="10" t="s">
        <v>1453</v>
      </c>
      <c r="C1566" s="3" t="s">
        <v>1454</v>
      </c>
      <c r="D1566" s="4" t="s">
        <v>8</v>
      </c>
      <c r="E1566" s="5" t="s">
        <v>19</v>
      </c>
      <c r="F1566" s="6" t="s">
        <v>1160</v>
      </c>
      <c r="G1566" s="7">
        <v>45043.0</v>
      </c>
      <c r="H1566" s="8">
        <f t="shared" si="1"/>
        <v>27</v>
      </c>
      <c r="I1566" s="9">
        <f t="shared" si="2"/>
        <v>4</v>
      </c>
      <c r="J1566" s="9">
        <f t="shared" si="3"/>
        <v>2023</v>
      </c>
    </row>
    <row r="1567" ht="15.75" customHeight="1">
      <c r="A1567" s="5">
        <v>79.0</v>
      </c>
      <c r="B1567" s="10" t="s">
        <v>1453</v>
      </c>
      <c r="C1567" s="3" t="s">
        <v>1454</v>
      </c>
      <c r="D1567" s="4" t="s">
        <v>8</v>
      </c>
      <c r="E1567" s="5" t="s">
        <v>96</v>
      </c>
      <c r="F1567" s="6" t="s">
        <v>160</v>
      </c>
      <c r="G1567" s="7">
        <v>45071.0</v>
      </c>
      <c r="H1567" s="8">
        <f t="shared" si="1"/>
        <v>25</v>
      </c>
      <c r="I1567" s="9">
        <f t="shared" si="2"/>
        <v>5</v>
      </c>
      <c r="J1567" s="9">
        <f t="shared" si="3"/>
        <v>2023</v>
      </c>
    </row>
    <row r="1568" ht="15.75" customHeight="1">
      <c r="A1568" s="5">
        <v>79.0</v>
      </c>
      <c r="B1568" s="10" t="s">
        <v>1453</v>
      </c>
      <c r="C1568" s="3" t="s">
        <v>1454</v>
      </c>
      <c r="D1568" s="4" t="s">
        <v>3</v>
      </c>
      <c r="E1568" s="5" t="s">
        <v>17</v>
      </c>
      <c r="F1568" s="6" t="s">
        <v>1459</v>
      </c>
      <c r="G1568" s="7">
        <v>45099.0</v>
      </c>
      <c r="H1568" s="8">
        <f t="shared" si="1"/>
        <v>22</v>
      </c>
      <c r="I1568" s="9">
        <f t="shared" si="2"/>
        <v>6</v>
      </c>
      <c r="J1568" s="9">
        <f t="shared" si="3"/>
        <v>2023</v>
      </c>
    </row>
    <row r="1569" ht="15.75" customHeight="1">
      <c r="A1569" s="5">
        <v>79.0</v>
      </c>
      <c r="B1569" s="10" t="s">
        <v>1453</v>
      </c>
      <c r="C1569" s="3" t="s">
        <v>1454</v>
      </c>
      <c r="D1569" s="4" t="s">
        <v>8</v>
      </c>
      <c r="E1569" s="5" t="s">
        <v>120</v>
      </c>
      <c r="F1569" s="6" t="s">
        <v>1460</v>
      </c>
      <c r="G1569" s="7">
        <v>45119.0</v>
      </c>
      <c r="H1569" s="8">
        <f t="shared" si="1"/>
        <v>12</v>
      </c>
      <c r="I1569" s="9">
        <f t="shared" si="2"/>
        <v>7</v>
      </c>
      <c r="J1569" s="9">
        <f t="shared" si="3"/>
        <v>2023</v>
      </c>
    </row>
    <row r="1570" ht="15.75" customHeight="1">
      <c r="A1570" s="5">
        <v>79.0</v>
      </c>
      <c r="B1570" s="10" t="s">
        <v>1453</v>
      </c>
      <c r="C1570" s="3" t="s">
        <v>1454</v>
      </c>
      <c r="D1570" s="4" t="s">
        <v>8</v>
      </c>
      <c r="E1570" s="5" t="s">
        <v>11</v>
      </c>
      <c r="F1570" s="6" t="s">
        <v>1461</v>
      </c>
      <c r="G1570" s="7">
        <v>45119.0</v>
      </c>
      <c r="H1570" s="8">
        <f t="shared" si="1"/>
        <v>12</v>
      </c>
      <c r="I1570" s="9">
        <f t="shared" si="2"/>
        <v>7</v>
      </c>
      <c r="J1570" s="9">
        <f t="shared" si="3"/>
        <v>2023</v>
      </c>
    </row>
    <row r="1571" ht="15.75" customHeight="1">
      <c r="A1571" s="5">
        <v>79.0</v>
      </c>
      <c r="B1571" s="10" t="s">
        <v>1453</v>
      </c>
      <c r="C1571" s="3" t="s">
        <v>1454</v>
      </c>
      <c r="D1571" s="4" t="s">
        <v>3</v>
      </c>
      <c r="E1571" s="5" t="s">
        <v>71</v>
      </c>
      <c r="F1571" s="6" t="s">
        <v>1462</v>
      </c>
      <c r="G1571" s="7">
        <v>45148.0</v>
      </c>
      <c r="H1571" s="8">
        <f t="shared" si="1"/>
        <v>10</v>
      </c>
      <c r="I1571" s="9">
        <f t="shared" si="2"/>
        <v>8</v>
      </c>
      <c r="J1571" s="9">
        <f t="shared" si="3"/>
        <v>2023</v>
      </c>
    </row>
    <row r="1572" ht="15.75" customHeight="1">
      <c r="A1572" s="5">
        <v>79.0</v>
      </c>
      <c r="B1572" s="10" t="s">
        <v>1453</v>
      </c>
      <c r="C1572" s="3" t="s">
        <v>1454</v>
      </c>
      <c r="D1572" s="4" t="s">
        <v>3</v>
      </c>
      <c r="E1572" s="5" t="s">
        <v>42</v>
      </c>
      <c r="F1572" s="6" t="s">
        <v>439</v>
      </c>
      <c r="G1572" s="7">
        <v>45149.0</v>
      </c>
      <c r="H1572" s="8">
        <f t="shared" si="1"/>
        <v>11</v>
      </c>
      <c r="I1572" s="9">
        <f t="shared" si="2"/>
        <v>8</v>
      </c>
      <c r="J1572" s="9">
        <f t="shared" si="3"/>
        <v>2023</v>
      </c>
    </row>
    <row r="1573" ht="15.75" customHeight="1">
      <c r="A1573" s="5">
        <v>79.0</v>
      </c>
      <c r="B1573" s="10" t="s">
        <v>1453</v>
      </c>
      <c r="C1573" s="3" t="s">
        <v>1454</v>
      </c>
      <c r="D1573" s="4" t="s">
        <v>3</v>
      </c>
      <c r="E1573" s="5" t="s">
        <v>21</v>
      </c>
      <c r="F1573" s="6" t="s">
        <v>1436</v>
      </c>
      <c r="G1573" s="7">
        <v>45151.0</v>
      </c>
      <c r="H1573" s="8">
        <f t="shared" si="1"/>
        <v>13</v>
      </c>
      <c r="I1573" s="9">
        <f t="shared" si="2"/>
        <v>8</v>
      </c>
      <c r="J1573" s="9">
        <f t="shared" si="3"/>
        <v>2023</v>
      </c>
    </row>
    <row r="1574" ht="15.75" customHeight="1">
      <c r="A1574" s="5">
        <v>79.0</v>
      </c>
      <c r="B1574" s="10" t="s">
        <v>1453</v>
      </c>
      <c r="C1574" s="3" t="s">
        <v>1454</v>
      </c>
      <c r="D1574" s="4" t="s">
        <v>8</v>
      </c>
      <c r="E1574" s="5" t="s">
        <v>17</v>
      </c>
      <c r="F1574" s="6" t="s">
        <v>1463</v>
      </c>
      <c r="G1574" s="7">
        <v>45152.0</v>
      </c>
      <c r="H1574" s="8">
        <f t="shared" si="1"/>
        <v>14</v>
      </c>
      <c r="I1574" s="9">
        <f t="shared" si="2"/>
        <v>8</v>
      </c>
      <c r="J1574" s="9">
        <f t="shared" si="3"/>
        <v>2023</v>
      </c>
    </row>
    <row r="1575" ht="15.75" customHeight="1">
      <c r="A1575" s="5">
        <v>79.0</v>
      </c>
      <c r="B1575" s="10" t="s">
        <v>1453</v>
      </c>
      <c r="C1575" s="3" t="s">
        <v>1454</v>
      </c>
      <c r="D1575" s="4" t="s">
        <v>8</v>
      </c>
      <c r="E1575" s="5" t="s">
        <v>23</v>
      </c>
      <c r="F1575" s="6" t="s">
        <v>1464</v>
      </c>
      <c r="G1575" s="7">
        <v>45182.0</v>
      </c>
      <c r="H1575" s="8">
        <f t="shared" si="1"/>
        <v>13</v>
      </c>
      <c r="I1575" s="9">
        <f t="shared" si="2"/>
        <v>9</v>
      </c>
      <c r="J1575" s="9">
        <f t="shared" si="3"/>
        <v>2023</v>
      </c>
    </row>
    <row r="1576" ht="15.75" customHeight="1">
      <c r="A1576" s="5">
        <v>79.0</v>
      </c>
      <c r="B1576" s="10" t="s">
        <v>1453</v>
      </c>
      <c r="C1576" s="3" t="s">
        <v>1454</v>
      </c>
      <c r="D1576" s="4" t="s">
        <v>8</v>
      </c>
      <c r="E1576" s="5" t="s">
        <v>6</v>
      </c>
      <c r="F1576" s="6" t="s">
        <v>1465</v>
      </c>
      <c r="G1576" s="7">
        <v>45231.0</v>
      </c>
      <c r="H1576" s="8">
        <f t="shared" si="1"/>
        <v>1</v>
      </c>
      <c r="I1576" s="9">
        <f t="shared" si="2"/>
        <v>11</v>
      </c>
      <c r="J1576" s="9">
        <f t="shared" si="3"/>
        <v>2023</v>
      </c>
    </row>
    <row r="1577" ht="15.75" customHeight="1">
      <c r="A1577" s="5">
        <v>79.0</v>
      </c>
      <c r="B1577" s="10" t="s">
        <v>1453</v>
      </c>
      <c r="C1577" s="3" t="s">
        <v>1454</v>
      </c>
      <c r="D1577" s="4" t="s">
        <v>3</v>
      </c>
      <c r="E1577" s="5" t="s">
        <v>42</v>
      </c>
      <c r="F1577" s="6" t="s">
        <v>333</v>
      </c>
      <c r="G1577" s="7">
        <v>45249.0</v>
      </c>
      <c r="H1577" s="8">
        <f t="shared" si="1"/>
        <v>19</v>
      </c>
      <c r="I1577" s="9">
        <f t="shared" si="2"/>
        <v>11</v>
      </c>
      <c r="J1577" s="9">
        <f t="shared" si="3"/>
        <v>2023</v>
      </c>
    </row>
    <row r="1578" ht="15.75" customHeight="1">
      <c r="A1578" s="5">
        <v>79.0</v>
      </c>
      <c r="B1578" s="10" t="s">
        <v>1453</v>
      </c>
      <c r="C1578" s="3" t="s">
        <v>1454</v>
      </c>
      <c r="D1578" s="4" t="s">
        <v>3</v>
      </c>
      <c r="E1578" s="5" t="s">
        <v>71</v>
      </c>
      <c r="F1578" s="6" t="s">
        <v>1308</v>
      </c>
      <c r="G1578" s="7">
        <v>45257.0</v>
      </c>
      <c r="H1578" s="8">
        <f t="shared" si="1"/>
        <v>27</v>
      </c>
      <c r="I1578" s="9">
        <f t="shared" si="2"/>
        <v>11</v>
      </c>
      <c r="J1578" s="9">
        <f t="shared" si="3"/>
        <v>2023</v>
      </c>
    </row>
    <row r="1579" ht="15.75" customHeight="1">
      <c r="A1579" s="5">
        <v>79.0</v>
      </c>
      <c r="B1579" s="10" t="s">
        <v>1453</v>
      </c>
      <c r="C1579" s="3" t="s">
        <v>1454</v>
      </c>
      <c r="D1579" s="4" t="s">
        <v>3</v>
      </c>
      <c r="E1579" s="5" t="s">
        <v>15</v>
      </c>
      <c r="F1579" s="6" t="s">
        <v>1429</v>
      </c>
      <c r="G1579" s="7">
        <v>45257.0</v>
      </c>
      <c r="H1579" s="8">
        <f t="shared" si="1"/>
        <v>27</v>
      </c>
      <c r="I1579" s="9">
        <f t="shared" si="2"/>
        <v>11</v>
      </c>
      <c r="J1579" s="9">
        <f t="shared" si="3"/>
        <v>2023</v>
      </c>
    </row>
    <row r="1580" ht="15.75" customHeight="1">
      <c r="A1580" s="5">
        <v>79.0</v>
      </c>
      <c r="B1580" s="10" t="s">
        <v>1453</v>
      </c>
      <c r="C1580" s="3" t="s">
        <v>1454</v>
      </c>
      <c r="D1580" s="4" t="s">
        <v>3</v>
      </c>
      <c r="E1580" s="5" t="s">
        <v>9</v>
      </c>
      <c r="F1580" s="6" t="s">
        <v>1392</v>
      </c>
      <c r="G1580" s="7">
        <v>45267.0</v>
      </c>
      <c r="H1580" s="8">
        <f t="shared" si="1"/>
        <v>7</v>
      </c>
      <c r="I1580" s="9">
        <f t="shared" si="2"/>
        <v>12</v>
      </c>
      <c r="J1580" s="9">
        <f t="shared" si="3"/>
        <v>2023</v>
      </c>
    </row>
    <row r="1581" ht="15.75" customHeight="1">
      <c r="A1581" s="5">
        <v>80.0</v>
      </c>
      <c r="B1581" s="10" t="s">
        <v>1466</v>
      </c>
      <c r="C1581" s="3" t="s">
        <v>1467</v>
      </c>
      <c r="D1581" s="4" t="s">
        <v>3</v>
      </c>
      <c r="E1581" s="5" t="s">
        <v>76</v>
      </c>
      <c r="F1581" s="6" t="s">
        <v>1468</v>
      </c>
      <c r="G1581" s="7">
        <v>44928.0</v>
      </c>
      <c r="H1581" s="8">
        <f t="shared" si="1"/>
        <v>2</v>
      </c>
      <c r="I1581" s="9">
        <f t="shared" si="2"/>
        <v>1</v>
      </c>
      <c r="J1581" s="9">
        <f t="shared" si="3"/>
        <v>2023</v>
      </c>
    </row>
    <row r="1582" ht="15.75" customHeight="1">
      <c r="A1582" s="5">
        <v>80.0</v>
      </c>
      <c r="B1582" s="10" t="s">
        <v>1466</v>
      </c>
      <c r="C1582" s="3" t="s">
        <v>1467</v>
      </c>
      <c r="D1582" s="4" t="s">
        <v>3</v>
      </c>
      <c r="E1582" s="5" t="s">
        <v>9</v>
      </c>
      <c r="F1582" s="6" t="s">
        <v>1469</v>
      </c>
      <c r="G1582" s="7">
        <v>44932.0</v>
      </c>
      <c r="H1582" s="8">
        <f t="shared" si="1"/>
        <v>6</v>
      </c>
      <c r="I1582" s="9">
        <f t="shared" si="2"/>
        <v>1</v>
      </c>
      <c r="J1582" s="9">
        <f t="shared" si="3"/>
        <v>2023</v>
      </c>
    </row>
    <row r="1583" ht="15.75" customHeight="1">
      <c r="A1583" s="5">
        <v>80.0</v>
      </c>
      <c r="B1583" s="10" t="s">
        <v>1466</v>
      </c>
      <c r="C1583" s="3" t="s">
        <v>1467</v>
      </c>
      <c r="D1583" s="4" t="s">
        <v>8</v>
      </c>
      <c r="E1583" s="5" t="s">
        <v>4</v>
      </c>
      <c r="F1583" s="6" t="s">
        <v>1470</v>
      </c>
      <c r="G1583" s="7">
        <v>44946.0</v>
      </c>
      <c r="H1583" s="8">
        <f t="shared" si="1"/>
        <v>20</v>
      </c>
      <c r="I1583" s="9">
        <f t="shared" si="2"/>
        <v>1</v>
      </c>
      <c r="J1583" s="9">
        <f t="shared" si="3"/>
        <v>2023</v>
      </c>
    </row>
    <row r="1584" ht="15.75" customHeight="1">
      <c r="A1584" s="5">
        <v>80.0</v>
      </c>
      <c r="B1584" s="10" t="s">
        <v>1466</v>
      </c>
      <c r="C1584" s="3" t="s">
        <v>1467</v>
      </c>
      <c r="D1584" s="4" t="s">
        <v>3</v>
      </c>
      <c r="E1584" s="5" t="s">
        <v>9</v>
      </c>
      <c r="F1584" s="6" t="s">
        <v>1471</v>
      </c>
      <c r="G1584" s="7">
        <v>44964.0</v>
      </c>
      <c r="H1584" s="8">
        <f t="shared" si="1"/>
        <v>7</v>
      </c>
      <c r="I1584" s="9">
        <f t="shared" si="2"/>
        <v>2</v>
      </c>
      <c r="J1584" s="9">
        <f t="shared" si="3"/>
        <v>2023</v>
      </c>
    </row>
    <row r="1585" ht="15.75" customHeight="1">
      <c r="A1585" s="5">
        <v>80.0</v>
      </c>
      <c r="B1585" s="10" t="s">
        <v>1466</v>
      </c>
      <c r="C1585" s="3" t="s">
        <v>1467</v>
      </c>
      <c r="D1585" s="4" t="s">
        <v>3</v>
      </c>
      <c r="E1585" s="5" t="s">
        <v>15</v>
      </c>
      <c r="F1585" s="6" t="s">
        <v>615</v>
      </c>
      <c r="G1585" s="7">
        <v>44978.0</v>
      </c>
      <c r="H1585" s="8">
        <f t="shared" si="1"/>
        <v>21</v>
      </c>
      <c r="I1585" s="9">
        <f t="shared" si="2"/>
        <v>2</v>
      </c>
      <c r="J1585" s="9">
        <f t="shared" si="3"/>
        <v>2023</v>
      </c>
    </row>
    <row r="1586" ht="15.75" customHeight="1">
      <c r="A1586" s="5">
        <v>80.0</v>
      </c>
      <c r="B1586" s="10" t="s">
        <v>1466</v>
      </c>
      <c r="C1586" s="3" t="s">
        <v>1467</v>
      </c>
      <c r="D1586" s="4" t="s">
        <v>8</v>
      </c>
      <c r="E1586" s="5" t="s">
        <v>120</v>
      </c>
      <c r="F1586" s="6" t="s">
        <v>1472</v>
      </c>
      <c r="G1586" s="7">
        <v>44985.0</v>
      </c>
      <c r="H1586" s="8">
        <f t="shared" si="1"/>
        <v>28</v>
      </c>
      <c r="I1586" s="9">
        <f t="shared" si="2"/>
        <v>2</v>
      </c>
      <c r="J1586" s="9">
        <f t="shared" si="3"/>
        <v>2023</v>
      </c>
    </row>
    <row r="1587" ht="15.75" customHeight="1">
      <c r="A1587" s="5">
        <v>80.0</v>
      </c>
      <c r="B1587" s="10" t="s">
        <v>1466</v>
      </c>
      <c r="C1587" s="3" t="s">
        <v>1467</v>
      </c>
      <c r="D1587" s="4" t="s">
        <v>3</v>
      </c>
      <c r="E1587" s="5" t="s">
        <v>17</v>
      </c>
      <c r="F1587" s="6" t="s">
        <v>1473</v>
      </c>
      <c r="G1587" s="7">
        <v>45030.0</v>
      </c>
      <c r="H1587" s="8">
        <f t="shared" si="1"/>
        <v>14</v>
      </c>
      <c r="I1587" s="9">
        <f t="shared" si="2"/>
        <v>4</v>
      </c>
      <c r="J1587" s="9">
        <f t="shared" si="3"/>
        <v>2023</v>
      </c>
    </row>
    <row r="1588" ht="15.75" customHeight="1">
      <c r="A1588" s="5">
        <v>80.0</v>
      </c>
      <c r="B1588" s="10" t="s">
        <v>1466</v>
      </c>
      <c r="C1588" s="3" t="s">
        <v>1467</v>
      </c>
      <c r="D1588" s="4" t="s">
        <v>3</v>
      </c>
      <c r="E1588" s="5" t="s">
        <v>21</v>
      </c>
      <c r="F1588" s="6" t="s">
        <v>1474</v>
      </c>
      <c r="G1588" s="7">
        <v>45037.0</v>
      </c>
      <c r="H1588" s="8">
        <f t="shared" si="1"/>
        <v>21</v>
      </c>
      <c r="I1588" s="9">
        <f t="shared" si="2"/>
        <v>4</v>
      </c>
      <c r="J1588" s="9">
        <f t="shared" si="3"/>
        <v>2023</v>
      </c>
    </row>
    <row r="1589" ht="15.75" customHeight="1">
      <c r="A1589" s="5">
        <v>80.0</v>
      </c>
      <c r="B1589" s="10" t="s">
        <v>1466</v>
      </c>
      <c r="C1589" s="3" t="s">
        <v>1467</v>
      </c>
      <c r="D1589" s="4" t="s">
        <v>8</v>
      </c>
      <c r="E1589" s="5" t="s">
        <v>13</v>
      </c>
      <c r="F1589" s="6" t="s">
        <v>1475</v>
      </c>
      <c r="G1589" s="7">
        <v>45050.0</v>
      </c>
      <c r="H1589" s="8">
        <f t="shared" si="1"/>
        <v>4</v>
      </c>
      <c r="I1589" s="9">
        <f t="shared" si="2"/>
        <v>5</v>
      </c>
      <c r="J1589" s="9">
        <f t="shared" si="3"/>
        <v>2023</v>
      </c>
    </row>
    <row r="1590" ht="15.75" customHeight="1">
      <c r="A1590" s="5">
        <v>80.0</v>
      </c>
      <c r="B1590" s="10" t="s">
        <v>1466</v>
      </c>
      <c r="C1590" s="3" t="s">
        <v>1467</v>
      </c>
      <c r="D1590" s="4" t="s">
        <v>3</v>
      </c>
      <c r="E1590" s="5" t="s">
        <v>45</v>
      </c>
      <c r="F1590" s="6" t="s">
        <v>1476</v>
      </c>
      <c r="G1590" s="7">
        <v>45072.0</v>
      </c>
      <c r="H1590" s="8">
        <f t="shared" si="1"/>
        <v>26</v>
      </c>
      <c r="I1590" s="9">
        <f t="shared" si="2"/>
        <v>5</v>
      </c>
      <c r="J1590" s="9">
        <f t="shared" si="3"/>
        <v>2023</v>
      </c>
    </row>
    <row r="1591" ht="15.75" customHeight="1">
      <c r="A1591" s="5">
        <v>80.0</v>
      </c>
      <c r="B1591" s="10" t="s">
        <v>1466</v>
      </c>
      <c r="C1591" s="3" t="s">
        <v>1467</v>
      </c>
      <c r="D1591" s="4" t="s">
        <v>3</v>
      </c>
      <c r="E1591" s="5" t="s">
        <v>28</v>
      </c>
      <c r="F1591" s="6" t="s">
        <v>1477</v>
      </c>
      <c r="G1591" s="7">
        <v>45082.0</v>
      </c>
      <c r="H1591" s="8">
        <f t="shared" si="1"/>
        <v>5</v>
      </c>
      <c r="I1591" s="9">
        <f t="shared" si="2"/>
        <v>6</v>
      </c>
      <c r="J1591" s="9">
        <f t="shared" si="3"/>
        <v>2023</v>
      </c>
    </row>
    <row r="1592" ht="15.75" customHeight="1">
      <c r="A1592" s="5">
        <v>80.0</v>
      </c>
      <c r="B1592" s="10" t="s">
        <v>1466</v>
      </c>
      <c r="C1592" s="3" t="s">
        <v>1467</v>
      </c>
      <c r="D1592" s="4" t="s">
        <v>8</v>
      </c>
      <c r="E1592" s="5" t="s">
        <v>120</v>
      </c>
      <c r="F1592" s="6" t="s">
        <v>1478</v>
      </c>
      <c r="G1592" s="7">
        <v>45130.0</v>
      </c>
      <c r="H1592" s="8">
        <f t="shared" si="1"/>
        <v>23</v>
      </c>
      <c r="I1592" s="9">
        <f t="shared" si="2"/>
        <v>7</v>
      </c>
      <c r="J1592" s="9">
        <f t="shared" si="3"/>
        <v>2023</v>
      </c>
    </row>
    <row r="1593" ht="15.75" customHeight="1">
      <c r="A1593" s="5">
        <v>80.0</v>
      </c>
      <c r="B1593" s="10" t="s">
        <v>1466</v>
      </c>
      <c r="C1593" s="3" t="s">
        <v>1467</v>
      </c>
      <c r="D1593" s="4" t="s">
        <v>3</v>
      </c>
      <c r="E1593" s="5" t="s">
        <v>13</v>
      </c>
      <c r="F1593" s="6" t="s">
        <v>1479</v>
      </c>
      <c r="G1593" s="7">
        <v>45145.0</v>
      </c>
      <c r="H1593" s="8">
        <f t="shared" si="1"/>
        <v>7</v>
      </c>
      <c r="I1593" s="9">
        <f t="shared" si="2"/>
        <v>8</v>
      </c>
      <c r="J1593" s="9">
        <f t="shared" si="3"/>
        <v>2023</v>
      </c>
    </row>
    <row r="1594" ht="15.75" customHeight="1">
      <c r="A1594" s="5">
        <v>80.0</v>
      </c>
      <c r="B1594" s="10" t="s">
        <v>1466</v>
      </c>
      <c r="C1594" s="3" t="s">
        <v>1467</v>
      </c>
      <c r="D1594" s="4" t="s">
        <v>8</v>
      </c>
      <c r="E1594" s="5" t="s">
        <v>13</v>
      </c>
      <c r="F1594" s="6" t="s">
        <v>1480</v>
      </c>
      <c r="G1594" s="7">
        <v>45148.0</v>
      </c>
      <c r="H1594" s="8">
        <f t="shared" si="1"/>
        <v>10</v>
      </c>
      <c r="I1594" s="9">
        <f t="shared" si="2"/>
        <v>8</v>
      </c>
      <c r="J1594" s="9">
        <f t="shared" si="3"/>
        <v>2023</v>
      </c>
    </row>
    <row r="1595" ht="15.75" customHeight="1">
      <c r="A1595" s="5">
        <v>80.0</v>
      </c>
      <c r="B1595" s="10" t="s">
        <v>1466</v>
      </c>
      <c r="C1595" s="3" t="s">
        <v>1467</v>
      </c>
      <c r="D1595" s="4" t="s">
        <v>3</v>
      </c>
      <c r="E1595" s="5" t="s">
        <v>19</v>
      </c>
      <c r="F1595" s="6" t="s">
        <v>1481</v>
      </c>
      <c r="G1595" s="7">
        <v>45219.0</v>
      </c>
      <c r="H1595" s="8">
        <f t="shared" si="1"/>
        <v>20</v>
      </c>
      <c r="I1595" s="9">
        <f t="shared" si="2"/>
        <v>10</v>
      </c>
      <c r="J1595" s="9">
        <f t="shared" si="3"/>
        <v>2023</v>
      </c>
    </row>
    <row r="1596" ht="15.75" customHeight="1">
      <c r="A1596" s="5">
        <v>80.0</v>
      </c>
      <c r="B1596" s="10" t="s">
        <v>1466</v>
      </c>
      <c r="C1596" s="3" t="s">
        <v>1467</v>
      </c>
      <c r="D1596" s="4" t="s">
        <v>3</v>
      </c>
      <c r="E1596" s="5" t="s">
        <v>42</v>
      </c>
      <c r="F1596" s="6" t="s">
        <v>105</v>
      </c>
      <c r="G1596" s="7">
        <v>45238.0</v>
      </c>
      <c r="H1596" s="8">
        <f t="shared" si="1"/>
        <v>8</v>
      </c>
      <c r="I1596" s="9">
        <f t="shared" si="2"/>
        <v>11</v>
      </c>
      <c r="J1596" s="9">
        <f t="shared" si="3"/>
        <v>2023</v>
      </c>
    </row>
    <row r="1597" ht="15.75" customHeight="1">
      <c r="A1597" s="5">
        <v>80.0</v>
      </c>
      <c r="B1597" s="10" t="s">
        <v>1466</v>
      </c>
      <c r="C1597" s="3" t="s">
        <v>1467</v>
      </c>
      <c r="D1597" s="4" t="s">
        <v>3</v>
      </c>
      <c r="E1597" s="5" t="s">
        <v>51</v>
      </c>
      <c r="F1597" s="6" t="s">
        <v>1482</v>
      </c>
      <c r="G1597" s="7">
        <v>45240.0</v>
      </c>
      <c r="H1597" s="8">
        <f t="shared" si="1"/>
        <v>10</v>
      </c>
      <c r="I1597" s="9">
        <f t="shared" si="2"/>
        <v>11</v>
      </c>
      <c r="J1597" s="9">
        <f t="shared" si="3"/>
        <v>2023</v>
      </c>
    </row>
    <row r="1598" ht="15.75" customHeight="1">
      <c r="A1598" s="5">
        <v>80.0</v>
      </c>
      <c r="B1598" s="10" t="s">
        <v>1466</v>
      </c>
      <c r="C1598" s="3" t="s">
        <v>1467</v>
      </c>
      <c r="D1598" s="4" t="s">
        <v>8</v>
      </c>
      <c r="E1598" s="5" t="s">
        <v>6</v>
      </c>
      <c r="F1598" s="6" t="s">
        <v>474</v>
      </c>
      <c r="G1598" s="7">
        <v>45240.0</v>
      </c>
      <c r="H1598" s="8">
        <f t="shared" si="1"/>
        <v>10</v>
      </c>
      <c r="I1598" s="9">
        <f t="shared" si="2"/>
        <v>11</v>
      </c>
      <c r="J1598" s="9">
        <f t="shared" si="3"/>
        <v>2023</v>
      </c>
    </row>
    <row r="1599" ht="15.75" customHeight="1">
      <c r="A1599" s="5">
        <v>80.0</v>
      </c>
      <c r="B1599" s="10" t="s">
        <v>1466</v>
      </c>
      <c r="C1599" s="3" t="s">
        <v>1467</v>
      </c>
      <c r="D1599" s="4" t="s">
        <v>3</v>
      </c>
      <c r="E1599" s="5" t="s">
        <v>120</v>
      </c>
      <c r="F1599" s="6" t="s">
        <v>74</v>
      </c>
      <c r="G1599" s="7">
        <v>45248.0</v>
      </c>
      <c r="H1599" s="8">
        <f t="shared" si="1"/>
        <v>18</v>
      </c>
      <c r="I1599" s="9">
        <f t="shared" si="2"/>
        <v>11</v>
      </c>
      <c r="J1599" s="9">
        <f t="shared" si="3"/>
        <v>2023</v>
      </c>
    </row>
    <row r="1600" ht="15.75" customHeight="1">
      <c r="A1600" s="5">
        <v>80.0</v>
      </c>
      <c r="B1600" s="10" t="s">
        <v>1466</v>
      </c>
      <c r="C1600" s="3" t="s">
        <v>1467</v>
      </c>
      <c r="D1600" s="4" t="s">
        <v>3</v>
      </c>
      <c r="E1600" s="5" t="s">
        <v>19</v>
      </c>
      <c r="F1600" s="6" t="s">
        <v>615</v>
      </c>
      <c r="G1600" s="7">
        <v>45263.0</v>
      </c>
      <c r="H1600" s="8">
        <f t="shared" si="1"/>
        <v>3</v>
      </c>
      <c r="I1600" s="9">
        <f t="shared" si="2"/>
        <v>12</v>
      </c>
      <c r="J1600" s="9">
        <f t="shared" si="3"/>
        <v>2023</v>
      </c>
    </row>
    <row r="1601" ht="15.75" customHeight="1">
      <c r="A1601" s="5">
        <v>81.0</v>
      </c>
      <c r="B1601" s="10" t="s">
        <v>1483</v>
      </c>
      <c r="C1601" s="3" t="s">
        <v>1484</v>
      </c>
      <c r="D1601" s="4" t="s">
        <v>3</v>
      </c>
      <c r="E1601" s="5" t="s">
        <v>39</v>
      </c>
      <c r="F1601" s="6" t="s">
        <v>1485</v>
      </c>
      <c r="G1601" s="7">
        <v>44928.0</v>
      </c>
      <c r="H1601" s="8">
        <f t="shared" si="1"/>
        <v>2</v>
      </c>
      <c r="I1601" s="9">
        <f t="shared" si="2"/>
        <v>1</v>
      </c>
      <c r="J1601" s="9">
        <f t="shared" si="3"/>
        <v>2023</v>
      </c>
    </row>
    <row r="1602" ht="15.75" customHeight="1">
      <c r="A1602" s="5">
        <v>81.0</v>
      </c>
      <c r="B1602" s="10" t="s">
        <v>1483</v>
      </c>
      <c r="C1602" s="3" t="s">
        <v>1484</v>
      </c>
      <c r="D1602" s="4" t="s">
        <v>8</v>
      </c>
      <c r="E1602" s="5" t="s">
        <v>42</v>
      </c>
      <c r="F1602" s="6" t="s">
        <v>1014</v>
      </c>
      <c r="G1602" s="7">
        <v>44935.0</v>
      </c>
      <c r="H1602" s="8">
        <f t="shared" si="1"/>
        <v>9</v>
      </c>
      <c r="I1602" s="9">
        <f t="shared" si="2"/>
        <v>1</v>
      </c>
      <c r="J1602" s="9">
        <f t="shared" si="3"/>
        <v>2023</v>
      </c>
    </row>
    <row r="1603" ht="15.75" customHeight="1">
      <c r="A1603" s="5">
        <v>81.0</v>
      </c>
      <c r="B1603" s="10" t="s">
        <v>1483</v>
      </c>
      <c r="C1603" s="3" t="s">
        <v>1484</v>
      </c>
      <c r="D1603" s="4" t="s">
        <v>3</v>
      </c>
      <c r="E1603" s="5" t="s">
        <v>13</v>
      </c>
      <c r="F1603" s="6" t="s">
        <v>1393</v>
      </c>
      <c r="G1603" s="7">
        <v>44997.0</v>
      </c>
      <c r="H1603" s="8">
        <f t="shared" si="1"/>
        <v>12</v>
      </c>
      <c r="I1603" s="9">
        <f t="shared" si="2"/>
        <v>3</v>
      </c>
      <c r="J1603" s="9">
        <f t="shared" si="3"/>
        <v>2023</v>
      </c>
    </row>
    <row r="1604" ht="15.75" customHeight="1">
      <c r="A1604" s="5">
        <v>81.0</v>
      </c>
      <c r="B1604" s="10" t="s">
        <v>1483</v>
      </c>
      <c r="C1604" s="3" t="s">
        <v>1484</v>
      </c>
      <c r="D1604" s="4" t="s">
        <v>3</v>
      </c>
      <c r="E1604" s="5" t="s">
        <v>9</v>
      </c>
      <c r="F1604" s="6" t="s">
        <v>1486</v>
      </c>
      <c r="G1604" s="7">
        <v>45012.0</v>
      </c>
      <c r="H1604" s="8">
        <f t="shared" si="1"/>
        <v>27</v>
      </c>
      <c r="I1604" s="9">
        <f t="shared" si="2"/>
        <v>3</v>
      </c>
      <c r="J1604" s="9">
        <f t="shared" si="3"/>
        <v>2023</v>
      </c>
    </row>
    <row r="1605" ht="15.75" customHeight="1">
      <c r="A1605" s="5">
        <v>81.0</v>
      </c>
      <c r="B1605" s="10" t="s">
        <v>1483</v>
      </c>
      <c r="C1605" s="3" t="s">
        <v>1484</v>
      </c>
      <c r="D1605" s="4" t="s">
        <v>8</v>
      </c>
      <c r="E1605" s="5" t="s">
        <v>9</v>
      </c>
      <c r="F1605" s="6" t="s">
        <v>1487</v>
      </c>
      <c r="G1605" s="7">
        <v>45028.0</v>
      </c>
      <c r="H1605" s="8">
        <f t="shared" si="1"/>
        <v>12</v>
      </c>
      <c r="I1605" s="9">
        <f t="shared" si="2"/>
        <v>4</v>
      </c>
      <c r="J1605" s="9">
        <f t="shared" si="3"/>
        <v>2023</v>
      </c>
    </row>
    <row r="1606" ht="15.75" customHeight="1">
      <c r="A1606" s="5">
        <v>81.0</v>
      </c>
      <c r="B1606" s="10" t="s">
        <v>1483</v>
      </c>
      <c r="C1606" s="3" t="s">
        <v>1484</v>
      </c>
      <c r="D1606" s="4" t="s">
        <v>3</v>
      </c>
      <c r="E1606" s="5" t="s">
        <v>28</v>
      </c>
      <c r="F1606" s="6" t="s">
        <v>771</v>
      </c>
      <c r="G1606" s="7">
        <v>45035.0</v>
      </c>
      <c r="H1606" s="8">
        <f t="shared" si="1"/>
        <v>19</v>
      </c>
      <c r="I1606" s="9">
        <f t="shared" si="2"/>
        <v>4</v>
      </c>
      <c r="J1606" s="9">
        <f t="shared" si="3"/>
        <v>2023</v>
      </c>
    </row>
    <row r="1607" ht="15.75" customHeight="1">
      <c r="A1607" s="5">
        <v>81.0</v>
      </c>
      <c r="B1607" s="10" t="s">
        <v>1483</v>
      </c>
      <c r="C1607" s="3" t="s">
        <v>1484</v>
      </c>
      <c r="D1607" s="4" t="s">
        <v>3</v>
      </c>
      <c r="E1607" s="5" t="s">
        <v>45</v>
      </c>
      <c r="F1607" s="6" t="s">
        <v>1488</v>
      </c>
      <c r="G1607" s="7">
        <v>45072.0</v>
      </c>
      <c r="H1607" s="8">
        <f t="shared" si="1"/>
        <v>26</v>
      </c>
      <c r="I1607" s="9">
        <f t="shared" si="2"/>
        <v>5</v>
      </c>
      <c r="J1607" s="9">
        <f t="shared" si="3"/>
        <v>2023</v>
      </c>
    </row>
    <row r="1608" ht="15.75" customHeight="1">
      <c r="A1608" s="5">
        <v>81.0</v>
      </c>
      <c r="B1608" s="10" t="s">
        <v>1483</v>
      </c>
      <c r="C1608" s="3" t="s">
        <v>1484</v>
      </c>
      <c r="D1608" s="4" t="s">
        <v>3</v>
      </c>
      <c r="E1608" s="5" t="s">
        <v>76</v>
      </c>
      <c r="F1608" s="6" t="s">
        <v>1489</v>
      </c>
      <c r="G1608" s="7">
        <v>45089.0</v>
      </c>
      <c r="H1608" s="8">
        <f t="shared" si="1"/>
        <v>12</v>
      </c>
      <c r="I1608" s="9">
        <f t="shared" si="2"/>
        <v>6</v>
      </c>
      <c r="J1608" s="9">
        <f t="shared" si="3"/>
        <v>2023</v>
      </c>
    </row>
    <row r="1609" ht="15.75" customHeight="1">
      <c r="A1609" s="5">
        <v>81.0</v>
      </c>
      <c r="B1609" s="10" t="s">
        <v>1483</v>
      </c>
      <c r="C1609" s="3" t="s">
        <v>1484</v>
      </c>
      <c r="D1609" s="4" t="s">
        <v>8</v>
      </c>
      <c r="E1609" s="5" t="s">
        <v>9</v>
      </c>
      <c r="F1609" s="6" t="s">
        <v>1291</v>
      </c>
      <c r="G1609" s="7">
        <v>45110.0</v>
      </c>
      <c r="H1609" s="8">
        <f t="shared" si="1"/>
        <v>3</v>
      </c>
      <c r="I1609" s="9">
        <f t="shared" si="2"/>
        <v>7</v>
      </c>
      <c r="J1609" s="9">
        <f t="shared" si="3"/>
        <v>2023</v>
      </c>
    </row>
    <row r="1610" ht="15.75" customHeight="1">
      <c r="A1610" s="5">
        <v>81.0</v>
      </c>
      <c r="B1610" s="10" t="s">
        <v>1483</v>
      </c>
      <c r="C1610" s="3" t="s">
        <v>1484</v>
      </c>
      <c r="D1610" s="4" t="s">
        <v>8</v>
      </c>
      <c r="E1610" s="5" t="s">
        <v>51</v>
      </c>
      <c r="F1610" s="6" t="s">
        <v>1490</v>
      </c>
      <c r="G1610" s="7">
        <v>45122.0</v>
      </c>
      <c r="H1610" s="8">
        <f t="shared" si="1"/>
        <v>15</v>
      </c>
      <c r="I1610" s="9">
        <f t="shared" si="2"/>
        <v>7</v>
      </c>
      <c r="J1610" s="9">
        <f t="shared" si="3"/>
        <v>2023</v>
      </c>
    </row>
    <row r="1611" ht="15.75" customHeight="1">
      <c r="A1611" s="5">
        <v>81.0</v>
      </c>
      <c r="B1611" s="10" t="s">
        <v>1483</v>
      </c>
      <c r="C1611" s="3" t="s">
        <v>1484</v>
      </c>
      <c r="D1611" s="4" t="s">
        <v>3</v>
      </c>
      <c r="E1611" s="5" t="s">
        <v>28</v>
      </c>
      <c r="F1611" s="6" t="s">
        <v>753</v>
      </c>
      <c r="G1611" s="7">
        <v>45134.0</v>
      </c>
      <c r="H1611" s="8">
        <f t="shared" si="1"/>
        <v>27</v>
      </c>
      <c r="I1611" s="9">
        <f t="shared" si="2"/>
        <v>7</v>
      </c>
      <c r="J1611" s="9">
        <f t="shared" si="3"/>
        <v>2023</v>
      </c>
    </row>
    <row r="1612" ht="15.75" customHeight="1">
      <c r="A1612" s="5">
        <v>81.0</v>
      </c>
      <c r="B1612" s="10" t="s">
        <v>1483</v>
      </c>
      <c r="C1612" s="3" t="s">
        <v>1484</v>
      </c>
      <c r="D1612" s="4" t="s">
        <v>3</v>
      </c>
      <c r="E1612" s="5" t="s">
        <v>39</v>
      </c>
      <c r="F1612" s="6" t="s">
        <v>1491</v>
      </c>
      <c r="G1612" s="7">
        <v>45135.0</v>
      </c>
      <c r="H1612" s="8">
        <f t="shared" si="1"/>
        <v>28</v>
      </c>
      <c r="I1612" s="9">
        <f t="shared" si="2"/>
        <v>7</v>
      </c>
      <c r="J1612" s="9">
        <f t="shared" si="3"/>
        <v>2023</v>
      </c>
    </row>
    <row r="1613" ht="15.75" customHeight="1">
      <c r="A1613" s="5">
        <v>81.0</v>
      </c>
      <c r="B1613" s="10" t="s">
        <v>1483</v>
      </c>
      <c r="C1613" s="3" t="s">
        <v>1484</v>
      </c>
      <c r="D1613" s="4" t="s">
        <v>3</v>
      </c>
      <c r="E1613" s="5" t="s">
        <v>23</v>
      </c>
      <c r="F1613" s="6" t="s">
        <v>1492</v>
      </c>
      <c r="G1613" s="7">
        <v>45166.0</v>
      </c>
      <c r="H1613" s="8">
        <f t="shared" si="1"/>
        <v>28</v>
      </c>
      <c r="I1613" s="9">
        <f t="shared" si="2"/>
        <v>8</v>
      </c>
      <c r="J1613" s="9">
        <f t="shared" si="3"/>
        <v>2023</v>
      </c>
    </row>
    <row r="1614" ht="15.75" customHeight="1">
      <c r="A1614" s="5">
        <v>81.0</v>
      </c>
      <c r="B1614" s="10" t="s">
        <v>1483</v>
      </c>
      <c r="C1614" s="3" t="s">
        <v>1484</v>
      </c>
      <c r="D1614" s="4" t="s">
        <v>3</v>
      </c>
      <c r="E1614" s="5" t="s">
        <v>45</v>
      </c>
      <c r="F1614" s="6" t="s">
        <v>1493</v>
      </c>
      <c r="G1614" s="7">
        <v>45195.0</v>
      </c>
      <c r="H1614" s="8">
        <f t="shared" si="1"/>
        <v>26</v>
      </c>
      <c r="I1614" s="9">
        <f t="shared" si="2"/>
        <v>9</v>
      </c>
      <c r="J1614" s="9">
        <f t="shared" si="3"/>
        <v>2023</v>
      </c>
    </row>
    <row r="1615" ht="15.75" customHeight="1">
      <c r="A1615" s="5">
        <v>81.0</v>
      </c>
      <c r="B1615" s="10" t="s">
        <v>1483</v>
      </c>
      <c r="C1615" s="3" t="s">
        <v>1484</v>
      </c>
      <c r="D1615" s="4" t="s">
        <v>3</v>
      </c>
      <c r="E1615" s="5" t="s">
        <v>71</v>
      </c>
      <c r="F1615" s="6" t="s">
        <v>1494</v>
      </c>
      <c r="G1615" s="7">
        <v>45196.0</v>
      </c>
      <c r="H1615" s="8">
        <f t="shared" si="1"/>
        <v>27</v>
      </c>
      <c r="I1615" s="9">
        <f t="shared" si="2"/>
        <v>9</v>
      </c>
      <c r="J1615" s="9">
        <f t="shared" si="3"/>
        <v>2023</v>
      </c>
    </row>
    <row r="1616" ht="15.75" customHeight="1">
      <c r="A1616" s="5">
        <v>81.0</v>
      </c>
      <c r="B1616" s="10" t="s">
        <v>1483</v>
      </c>
      <c r="C1616" s="3" t="s">
        <v>1484</v>
      </c>
      <c r="D1616" s="4" t="s">
        <v>8</v>
      </c>
      <c r="E1616" s="5" t="s">
        <v>42</v>
      </c>
      <c r="F1616" s="6" t="s">
        <v>951</v>
      </c>
      <c r="G1616" s="7">
        <v>45217.0</v>
      </c>
      <c r="H1616" s="8">
        <f t="shared" si="1"/>
        <v>18</v>
      </c>
      <c r="I1616" s="9">
        <f t="shared" si="2"/>
        <v>10</v>
      </c>
      <c r="J1616" s="9">
        <f t="shared" si="3"/>
        <v>2023</v>
      </c>
    </row>
    <row r="1617" ht="15.75" customHeight="1">
      <c r="A1617" s="5">
        <v>81.0</v>
      </c>
      <c r="B1617" s="10" t="s">
        <v>1483</v>
      </c>
      <c r="C1617" s="3" t="s">
        <v>1484</v>
      </c>
      <c r="D1617" s="4" t="s">
        <v>3</v>
      </c>
      <c r="E1617" s="5" t="s">
        <v>96</v>
      </c>
      <c r="F1617" s="6" t="s">
        <v>1495</v>
      </c>
      <c r="G1617" s="7">
        <v>45217.0</v>
      </c>
      <c r="H1617" s="8">
        <f t="shared" si="1"/>
        <v>18</v>
      </c>
      <c r="I1617" s="9">
        <f t="shared" si="2"/>
        <v>10</v>
      </c>
      <c r="J1617" s="9">
        <f t="shared" si="3"/>
        <v>2023</v>
      </c>
    </row>
    <row r="1618" ht="15.75" customHeight="1">
      <c r="A1618" s="5">
        <v>81.0</v>
      </c>
      <c r="B1618" s="10" t="s">
        <v>1483</v>
      </c>
      <c r="C1618" s="3" t="s">
        <v>1484</v>
      </c>
      <c r="D1618" s="4" t="s">
        <v>3</v>
      </c>
      <c r="E1618" s="5" t="s">
        <v>42</v>
      </c>
      <c r="F1618" s="6" t="s">
        <v>455</v>
      </c>
      <c r="G1618" s="7">
        <v>45224.0</v>
      </c>
      <c r="H1618" s="8">
        <f t="shared" si="1"/>
        <v>25</v>
      </c>
      <c r="I1618" s="9">
        <f t="shared" si="2"/>
        <v>10</v>
      </c>
      <c r="J1618" s="9">
        <f t="shared" si="3"/>
        <v>2023</v>
      </c>
    </row>
    <row r="1619" ht="15.75" customHeight="1">
      <c r="A1619" s="5">
        <v>81.0</v>
      </c>
      <c r="B1619" s="10" t="s">
        <v>1483</v>
      </c>
      <c r="C1619" s="3" t="s">
        <v>1484</v>
      </c>
      <c r="D1619" s="4" t="s">
        <v>3</v>
      </c>
      <c r="E1619" s="5" t="s">
        <v>35</v>
      </c>
      <c r="F1619" s="6" t="s">
        <v>1496</v>
      </c>
      <c r="G1619" s="7">
        <v>45249.0</v>
      </c>
      <c r="H1619" s="8">
        <f t="shared" si="1"/>
        <v>19</v>
      </c>
      <c r="I1619" s="9">
        <f t="shared" si="2"/>
        <v>11</v>
      </c>
      <c r="J1619" s="9">
        <f t="shared" si="3"/>
        <v>2023</v>
      </c>
    </row>
    <row r="1620" ht="15.75" customHeight="1">
      <c r="A1620" s="5">
        <v>81.0</v>
      </c>
      <c r="B1620" s="10" t="s">
        <v>1483</v>
      </c>
      <c r="C1620" s="3" t="s">
        <v>1484</v>
      </c>
      <c r="D1620" s="4" t="s">
        <v>8</v>
      </c>
      <c r="E1620" s="5" t="s">
        <v>9</v>
      </c>
      <c r="F1620" s="6" t="s">
        <v>1280</v>
      </c>
      <c r="G1620" s="7">
        <v>45251.0</v>
      </c>
      <c r="H1620" s="8">
        <f t="shared" si="1"/>
        <v>21</v>
      </c>
      <c r="I1620" s="9">
        <f t="shared" si="2"/>
        <v>11</v>
      </c>
      <c r="J1620" s="9">
        <f t="shared" si="3"/>
        <v>2023</v>
      </c>
    </row>
    <row r="1621" ht="15.75" customHeight="1">
      <c r="A1621" s="5">
        <v>82.0</v>
      </c>
      <c r="B1621" s="10" t="s">
        <v>1497</v>
      </c>
      <c r="C1621" s="3" t="s">
        <v>1498</v>
      </c>
      <c r="D1621" s="4" t="s">
        <v>8</v>
      </c>
      <c r="E1621" s="5" t="s">
        <v>96</v>
      </c>
      <c r="F1621" s="6" t="s">
        <v>1499</v>
      </c>
      <c r="G1621" s="7">
        <v>44974.0</v>
      </c>
      <c r="H1621" s="8">
        <f t="shared" si="1"/>
        <v>17</v>
      </c>
      <c r="I1621" s="9">
        <f t="shared" si="2"/>
        <v>2</v>
      </c>
      <c r="J1621" s="9">
        <f t="shared" si="3"/>
        <v>2023</v>
      </c>
    </row>
    <row r="1622" ht="15.75" customHeight="1">
      <c r="A1622" s="5">
        <v>82.0</v>
      </c>
      <c r="B1622" s="10" t="s">
        <v>1497</v>
      </c>
      <c r="C1622" s="3" t="s">
        <v>1498</v>
      </c>
      <c r="D1622" s="4" t="s">
        <v>3</v>
      </c>
      <c r="E1622" s="5" t="s">
        <v>71</v>
      </c>
      <c r="F1622" s="6" t="s">
        <v>1500</v>
      </c>
      <c r="G1622" s="7">
        <v>45024.0</v>
      </c>
      <c r="H1622" s="8">
        <f t="shared" si="1"/>
        <v>8</v>
      </c>
      <c r="I1622" s="9">
        <f t="shared" si="2"/>
        <v>4</v>
      </c>
      <c r="J1622" s="9">
        <f t="shared" si="3"/>
        <v>2023</v>
      </c>
    </row>
    <row r="1623" ht="15.75" customHeight="1">
      <c r="A1623" s="5">
        <v>82.0</v>
      </c>
      <c r="B1623" s="10" t="s">
        <v>1497</v>
      </c>
      <c r="C1623" s="3" t="s">
        <v>1498</v>
      </c>
      <c r="D1623" s="4" t="s">
        <v>3</v>
      </c>
      <c r="E1623" s="5" t="s">
        <v>9</v>
      </c>
      <c r="F1623" s="6" t="s">
        <v>915</v>
      </c>
      <c r="G1623" s="7">
        <v>45035.0</v>
      </c>
      <c r="H1623" s="8">
        <f t="shared" si="1"/>
        <v>19</v>
      </c>
      <c r="I1623" s="9">
        <f t="shared" si="2"/>
        <v>4</v>
      </c>
      <c r="J1623" s="9">
        <f t="shared" si="3"/>
        <v>2023</v>
      </c>
    </row>
    <row r="1624" ht="15.75" customHeight="1">
      <c r="A1624" s="5">
        <v>82.0</v>
      </c>
      <c r="B1624" s="10" t="s">
        <v>1497</v>
      </c>
      <c r="C1624" s="3" t="s">
        <v>1498</v>
      </c>
      <c r="D1624" s="4" t="s">
        <v>8</v>
      </c>
      <c r="E1624" s="5" t="s">
        <v>96</v>
      </c>
      <c r="F1624" s="6" t="s">
        <v>114</v>
      </c>
      <c r="G1624" s="7">
        <v>45044.0</v>
      </c>
      <c r="H1624" s="8">
        <f t="shared" si="1"/>
        <v>28</v>
      </c>
      <c r="I1624" s="9">
        <f t="shared" si="2"/>
        <v>4</v>
      </c>
      <c r="J1624" s="9">
        <f t="shared" si="3"/>
        <v>2023</v>
      </c>
    </row>
    <row r="1625" ht="15.75" customHeight="1">
      <c r="A1625" s="5">
        <v>82.0</v>
      </c>
      <c r="B1625" s="10" t="s">
        <v>1497</v>
      </c>
      <c r="C1625" s="3" t="s">
        <v>1498</v>
      </c>
      <c r="D1625" s="4" t="s">
        <v>8</v>
      </c>
      <c r="E1625" s="5" t="s">
        <v>19</v>
      </c>
      <c r="F1625" s="6" t="s">
        <v>1501</v>
      </c>
      <c r="G1625" s="7">
        <v>45050.0</v>
      </c>
      <c r="H1625" s="8">
        <f t="shared" si="1"/>
        <v>4</v>
      </c>
      <c r="I1625" s="9">
        <f t="shared" si="2"/>
        <v>5</v>
      </c>
      <c r="J1625" s="9">
        <f t="shared" si="3"/>
        <v>2023</v>
      </c>
    </row>
    <row r="1626" ht="15.75" customHeight="1">
      <c r="A1626" s="5">
        <v>82.0</v>
      </c>
      <c r="B1626" s="10" t="s">
        <v>1497</v>
      </c>
      <c r="C1626" s="3" t="s">
        <v>1498</v>
      </c>
      <c r="D1626" s="4" t="s">
        <v>8</v>
      </c>
      <c r="E1626" s="5" t="s">
        <v>96</v>
      </c>
      <c r="F1626" s="6" t="s">
        <v>655</v>
      </c>
      <c r="G1626" s="7">
        <v>45055.0</v>
      </c>
      <c r="H1626" s="8">
        <f t="shared" si="1"/>
        <v>9</v>
      </c>
      <c r="I1626" s="9">
        <f t="shared" si="2"/>
        <v>5</v>
      </c>
      <c r="J1626" s="9">
        <f t="shared" si="3"/>
        <v>2023</v>
      </c>
    </row>
    <row r="1627" ht="15.75" customHeight="1">
      <c r="A1627" s="5">
        <v>82.0</v>
      </c>
      <c r="B1627" s="10" t="s">
        <v>1497</v>
      </c>
      <c r="C1627" s="3" t="s">
        <v>1498</v>
      </c>
      <c r="D1627" s="4" t="s">
        <v>8</v>
      </c>
      <c r="E1627" s="5" t="s">
        <v>96</v>
      </c>
      <c r="F1627" s="6" t="s">
        <v>1502</v>
      </c>
      <c r="G1627" s="7">
        <v>45080.0</v>
      </c>
      <c r="H1627" s="8">
        <f t="shared" si="1"/>
        <v>3</v>
      </c>
      <c r="I1627" s="9">
        <f t="shared" si="2"/>
        <v>6</v>
      </c>
      <c r="J1627" s="9">
        <f t="shared" si="3"/>
        <v>2023</v>
      </c>
    </row>
    <row r="1628" ht="15.75" customHeight="1">
      <c r="A1628" s="5">
        <v>82.0</v>
      </c>
      <c r="B1628" s="10" t="s">
        <v>1497</v>
      </c>
      <c r="C1628" s="3" t="s">
        <v>1498</v>
      </c>
      <c r="D1628" s="4" t="s">
        <v>8</v>
      </c>
      <c r="E1628" s="5" t="s">
        <v>13</v>
      </c>
      <c r="F1628" s="6" t="s">
        <v>1503</v>
      </c>
      <c r="G1628" s="7">
        <v>45102.0</v>
      </c>
      <c r="H1628" s="8">
        <f t="shared" si="1"/>
        <v>25</v>
      </c>
      <c r="I1628" s="9">
        <f t="shared" si="2"/>
        <v>6</v>
      </c>
      <c r="J1628" s="9">
        <f t="shared" si="3"/>
        <v>2023</v>
      </c>
    </row>
    <row r="1629" ht="15.75" customHeight="1">
      <c r="A1629" s="5">
        <v>82.0</v>
      </c>
      <c r="B1629" s="10" t="s">
        <v>1497</v>
      </c>
      <c r="C1629" s="3" t="s">
        <v>1498</v>
      </c>
      <c r="D1629" s="4" t="s">
        <v>3</v>
      </c>
      <c r="E1629" s="5" t="s">
        <v>23</v>
      </c>
      <c r="F1629" s="6" t="s">
        <v>1504</v>
      </c>
      <c r="G1629" s="7">
        <v>45103.0</v>
      </c>
      <c r="H1629" s="8">
        <f t="shared" si="1"/>
        <v>26</v>
      </c>
      <c r="I1629" s="9">
        <f t="shared" si="2"/>
        <v>6</v>
      </c>
      <c r="J1629" s="9">
        <f t="shared" si="3"/>
        <v>2023</v>
      </c>
    </row>
    <row r="1630" ht="15.75" customHeight="1">
      <c r="A1630" s="5">
        <v>82.0</v>
      </c>
      <c r="B1630" s="10" t="s">
        <v>1497</v>
      </c>
      <c r="C1630" s="3" t="s">
        <v>1498</v>
      </c>
      <c r="D1630" s="4" t="s">
        <v>3</v>
      </c>
      <c r="E1630" s="5" t="s">
        <v>11</v>
      </c>
      <c r="F1630" s="6" t="s">
        <v>1505</v>
      </c>
      <c r="G1630" s="7">
        <v>45111.0</v>
      </c>
      <c r="H1630" s="8">
        <f t="shared" si="1"/>
        <v>4</v>
      </c>
      <c r="I1630" s="9">
        <f t="shared" si="2"/>
        <v>7</v>
      </c>
      <c r="J1630" s="9">
        <f t="shared" si="3"/>
        <v>2023</v>
      </c>
    </row>
    <row r="1631" ht="15.75" customHeight="1">
      <c r="A1631" s="5">
        <v>82.0</v>
      </c>
      <c r="B1631" s="10" t="s">
        <v>1497</v>
      </c>
      <c r="C1631" s="3" t="s">
        <v>1498</v>
      </c>
      <c r="D1631" s="4" t="s">
        <v>3</v>
      </c>
      <c r="E1631" s="5" t="s">
        <v>45</v>
      </c>
      <c r="F1631" s="6" t="s">
        <v>1506</v>
      </c>
      <c r="G1631" s="7">
        <v>45111.0</v>
      </c>
      <c r="H1631" s="8">
        <f t="shared" si="1"/>
        <v>4</v>
      </c>
      <c r="I1631" s="9">
        <f t="shared" si="2"/>
        <v>7</v>
      </c>
      <c r="J1631" s="9">
        <f t="shared" si="3"/>
        <v>2023</v>
      </c>
    </row>
    <row r="1632" ht="15.75" customHeight="1">
      <c r="A1632" s="5">
        <v>82.0</v>
      </c>
      <c r="B1632" s="10" t="s">
        <v>1497</v>
      </c>
      <c r="C1632" s="3" t="s">
        <v>1498</v>
      </c>
      <c r="D1632" s="4" t="s">
        <v>8</v>
      </c>
      <c r="E1632" s="5" t="s">
        <v>39</v>
      </c>
      <c r="F1632" s="6" t="s">
        <v>1507</v>
      </c>
      <c r="G1632" s="7">
        <v>45154.0</v>
      </c>
      <c r="H1632" s="8">
        <f t="shared" si="1"/>
        <v>16</v>
      </c>
      <c r="I1632" s="9">
        <f t="shared" si="2"/>
        <v>8</v>
      </c>
      <c r="J1632" s="9">
        <f t="shared" si="3"/>
        <v>2023</v>
      </c>
    </row>
    <row r="1633" ht="15.75" customHeight="1">
      <c r="A1633" s="5">
        <v>82.0</v>
      </c>
      <c r="B1633" s="10" t="s">
        <v>1497</v>
      </c>
      <c r="C1633" s="3" t="s">
        <v>1498</v>
      </c>
      <c r="D1633" s="4" t="s">
        <v>3</v>
      </c>
      <c r="E1633" s="5" t="s">
        <v>13</v>
      </c>
      <c r="F1633" s="6" t="s">
        <v>1508</v>
      </c>
      <c r="G1633" s="7">
        <v>45166.0</v>
      </c>
      <c r="H1633" s="8">
        <f t="shared" si="1"/>
        <v>28</v>
      </c>
      <c r="I1633" s="9">
        <f t="shared" si="2"/>
        <v>8</v>
      </c>
      <c r="J1633" s="9">
        <f t="shared" si="3"/>
        <v>2023</v>
      </c>
    </row>
    <row r="1634" ht="15.75" customHeight="1">
      <c r="A1634" s="5">
        <v>82.0</v>
      </c>
      <c r="B1634" s="10" t="s">
        <v>1497</v>
      </c>
      <c r="C1634" s="3" t="s">
        <v>1498</v>
      </c>
      <c r="D1634" s="4" t="s">
        <v>3</v>
      </c>
      <c r="E1634" s="5" t="s">
        <v>39</v>
      </c>
      <c r="F1634" s="6" t="s">
        <v>1509</v>
      </c>
      <c r="G1634" s="7">
        <v>45182.0</v>
      </c>
      <c r="H1634" s="8">
        <f t="shared" si="1"/>
        <v>13</v>
      </c>
      <c r="I1634" s="9">
        <f t="shared" si="2"/>
        <v>9</v>
      </c>
      <c r="J1634" s="9">
        <f t="shared" si="3"/>
        <v>2023</v>
      </c>
    </row>
    <row r="1635" ht="15.75" customHeight="1">
      <c r="A1635" s="5">
        <v>82.0</v>
      </c>
      <c r="B1635" s="10" t="s">
        <v>1497</v>
      </c>
      <c r="C1635" s="3" t="s">
        <v>1498</v>
      </c>
      <c r="D1635" s="4" t="s">
        <v>3</v>
      </c>
      <c r="E1635" s="5" t="s">
        <v>76</v>
      </c>
      <c r="F1635" s="6" t="s">
        <v>1510</v>
      </c>
      <c r="G1635" s="7">
        <v>45186.0</v>
      </c>
      <c r="H1635" s="8">
        <f t="shared" si="1"/>
        <v>17</v>
      </c>
      <c r="I1635" s="9">
        <f t="shared" si="2"/>
        <v>9</v>
      </c>
      <c r="J1635" s="9">
        <f t="shared" si="3"/>
        <v>2023</v>
      </c>
    </row>
    <row r="1636" ht="15.75" customHeight="1">
      <c r="A1636" s="5">
        <v>82.0</v>
      </c>
      <c r="B1636" s="10" t="s">
        <v>1497</v>
      </c>
      <c r="C1636" s="3" t="s">
        <v>1498</v>
      </c>
      <c r="D1636" s="4" t="s">
        <v>3</v>
      </c>
      <c r="E1636" s="5" t="s">
        <v>11</v>
      </c>
      <c r="F1636" s="6" t="s">
        <v>1511</v>
      </c>
      <c r="G1636" s="7">
        <v>45191.0</v>
      </c>
      <c r="H1636" s="8">
        <f t="shared" si="1"/>
        <v>22</v>
      </c>
      <c r="I1636" s="9">
        <f t="shared" si="2"/>
        <v>9</v>
      </c>
      <c r="J1636" s="9">
        <f t="shared" si="3"/>
        <v>2023</v>
      </c>
    </row>
    <row r="1637" ht="15.75" customHeight="1">
      <c r="A1637" s="5">
        <v>82.0</v>
      </c>
      <c r="B1637" s="10" t="s">
        <v>1497</v>
      </c>
      <c r="C1637" s="3" t="s">
        <v>1498</v>
      </c>
      <c r="D1637" s="4" t="s">
        <v>8</v>
      </c>
      <c r="E1637" s="5" t="s">
        <v>9</v>
      </c>
      <c r="F1637" s="6" t="s">
        <v>1512</v>
      </c>
      <c r="G1637" s="7">
        <v>45236.0</v>
      </c>
      <c r="H1637" s="8">
        <f t="shared" si="1"/>
        <v>6</v>
      </c>
      <c r="I1637" s="9">
        <f t="shared" si="2"/>
        <v>11</v>
      </c>
      <c r="J1637" s="9">
        <f t="shared" si="3"/>
        <v>2023</v>
      </c>
    </row>
    <row r="1638" ht="15.75" customHeight="1">
      <c r="A1638" s="5">
        <v>82.0</v>
      </c>
      <c r="B1638" s="10" t="s">
        <v>1497</v>
      </c>
      <c r="C1638" s="3" t="s">
        <v>1498</v>
      </c>
      <c r="D1638" s="4" t="s">
        <v>8</v>
      </c>
      <c r="E1638" s="5" t="s">
        <v>19</v>
      </c>
      <c r="F1638" s="6" t="s">
        <v>1513</v>
      </c>
      <c r="G1638" s="7">
        <v>45250.0</v>
      </c>
      <c r="H1638" s="8">
        <f t="shared" si="1"/>
        <v>20</v>
      </c>
      <c r="I1638" s="9">
        <f t="shared" si="2"/>
        <v>11</v>
      </c>
      <c r="J1638" s="9">
        <f t="shared" si="3"/>
        <v>2023</v>
      </c>
    </row>
    <row r="1639" ht="15.75" customHeight="1">
      <c r="A1639" s="5">
        <v>82.0</v>
      </c>
      <c r="B1639" s="10" t="s">
        <v>1497</v>
      </c>
      <c r="C1639" s="3" t="s">
        <v>1498</v>
      </c>
      <c r="D1639" s="4" t="s">
        <v>8</v>
      </c>
      <c r="E1639" s="5" t="s">
        <v>9</v>
      </c>
      <c r="F1639" s="6" t="s">
        <v>737</v>
      </c>
      <c r="G1639" s="7">
        <v>45264.0</v>
      </c>
      <c r="H1639" s="8">
        <f t="shared" si="1"/>
        <v>4</v>
      </c>
      <c r="I1639" s="9">
        <f t="shared" si="2"/>
        <v>12</v>
      </c>
      <c r="J1639" s="9">
        <f t="shared" si="3"/>
        <v>2023</v>
      </c>
    </row>
    <row r="1640" ht="15.75" customHeight="1">
      <c r="A1640" s="5">
        <v>82.0</v>
      </c>
      <c r="B1640" s="10" t="s">
        <v>1497</v>
      </c>
      <c r="C1640" s="3" t="s">
        <v>1498</v>
      </c>
      <c r="D1640" s="4" t="s">
        <v>8</v>
      </c>
      <c r="E1640" s="5" t="s">
        <v>42</v>
      </c>
      <c r="F1640" s="6" t="s">
        <v>1185</v>
      </c>
      <c r="G1640" s="7">
        <v>45279.0</v>
      </c>
      <c r="H1640" s="8">
        <f t="shared" si="1"/>
        <v>19</v>
      </c>
      <c r="I1640" s="9">
        <f t="shared" si="2"/>
        <v>12</v>
      </c>
      <c r="J1640" s="9">
        <f t="shared" si="3"/>
        <v>2023</v>
      </c>
    </row>
    <row r="1641" ht="15.75" customHeight="1">
      <c r="A1641" s="5">
        <v>83.0</v>
      </c>
      <c r="B1641" s="10" t="s">
        <v>1514</v>
      </c>
      <c r="C1641" s="3" t="s">
        <v>1515</v>
      </c>
      <c r="D1641" s="4" t="s">
        <v>3</v>
      </c>
      <c r="E1641" s="5" t="s">
        <v>4</v>
      </c>
      <c r="F1641" s="6" t="s">
        <v>1516</v>
      </c>
      <c r="G1641" s="7">
        <v>44931.0</v>
      </c>
      <c r="H1641" s="8">
        <f t="shared" si="1"/>
        <v>5</v>
      </c>
      <c r="I1641" s="9">
        <f t="shared" si="2"/>
        <v>1</v>
      </c>
      <c r="J1641" s="9">
        <f t="shared" si="3"/>
        <v>2023</v>
      </c>
    </row>
    <row r="1642" ht="15.75" customHeight="1">
      <c r="A1642" s="5">
        <v>83.0</v>
      </c>
      <c r="B1642" s="10" t="s">
        <v>1514</v>
      </c>
      <c r="C1642" s="3" t="s">
        <v>1515</v>
      </c>
      <c r="D1642" s="4" t="s">
        <v>3</v>
      </c>
      <c r="E1642" s="5" t="s">
        <v>39</v>
      </c>
      <c r="F1642" s="6" t="s">
        <v>1517</v>
      </c>
      <c r="G1642" s="7">
        <v>44942.0</v>
      </c>
      <c r="H1642" s="8">
        <f t="shared" si="1"/>
        <v>16</v>
      </c>
      <c r="I1642" s="9">
        <f t="shared" si="2"/>
        <v>1</v>
      </c>
      <c r="J1642" s="9">
        <f t="shared" si="3"/>
        <v>2023</v>
      </c>
    </row>
    <row r="1643" ht="15.75" customHeight="1">
      <c r="A1643" s="5">
        <v>83.0</v>
      </c>
      <c r="B1643" s="10" t="s">
        <v>1514</v>
      </c>
      <c r="C1643" s="3" t="s">
        <v>1515</v>
      </c>
      <c r="D1643" s="4" t="s">
        <v>3</v>
      </c>
      <c r="E1643" s="5" t="s">
        <v>42</v>
      </c>
      <c r="F1643" s="6" t="s">
        <v>521</v>
      </c>
      <c r="G1643" s="7">
        <v>44946.0</v>
      </c>
      <c r="H1643" s="8">
        <f t="shared" si="1"/>
        <v>20</v>
      </c>
      <c r="I1643" s="9">
        <f t="shared" si="2"/>
        <v>1</v>
      </c>
      <c r="J1643" s="9">
        <f t="shared" si="3"/>
        <v>2023</v>
      </c>
    </row>
    <row r="1644" ht="15.75" customHeight="1">
      <c r="A1644" s="5">
        <v>83.0</v>
      </c>
      <c r="B1644" s="10" t="s">
        <v>1514</v>
      </c>
      <c r="C1644" s="3" t="s">
        <v>1515</v>
      </c>
      <c r="D1644" s="4" t="s">
        <v>8</v>
      </c>
      <c r="E1644" s="5" t="s">
        <v>120</v>
      </c>
      <c r="F1644" s="6" t="s">
        <v>1518</v>
      </c>
      <c r="G1644" s="7">
        <v>44963.0</v>
      </c>
      <c r="H1644" s="8">
        <f t="shared" si="1"/>
        <v>6</v>
      </c>
      <c r="I1644" s="9">
        <f t="shared" si="2"/>
        <v>2</v>
      </c>
      <c r="J1644" s="9">
        <f t="shared" si="3"/>
        <v>2023</v>
      </c>
    </row>
    <row r="1645" ht="15.75" customHeight="1">
      <c r="A1645" s="5">
        <v>83.0</v>
      </c>
      <c r="B1645" s="10" t="s">
        <v>1514</v>
      </c>
      <c r="C1645" s="3" t="s">
        <v>1515</v>
      </c>
      <c r="D1645" s="4" t="s">
        <v>8</v>
      </c>
      <c r="E1645" s="5" t="s">
        <v>17</v>
      </c>
      <c r="F1645" s="6" t="s">
        <v>1519</v>
      </c>
      <c r="G1645" s="7">
        <v>45011.0</v>
      </c>
      <c r="H1645" s="8">
        <f t="shared" si="1"/>
        <v>26</v>
      </c>
      <c r="I1645" s="9">
        <f t="shared" si="2"/>
        <v>3</v>
      </c>
      <c r="J1645" s="9">
        <f t="shared" si="3"/>
        <v>2023</v>
      </c>
    </row>
    <row r="1646" ht="15.75" customHeight="1">
      <c r="A1646" s="5">
        <v>83.0</v>
      </c>
      <c r="B1646" s="10" t="s">
        <v>1514</v>
      </c>
      <c r="C1646" s="3" t="s">
        <v>1515</v>
      </c>
      <c r="D1646" s="4" t="s">
        <v>8</v>
      </c>
      <c r="E1646" s="5" t="s">
        <v>71</v>
      </c>
      <c r="F1646" s="6" t="s">
        <v>1520</v>
      </c>
      <c r="G1646" s="7">
        <v>45013.0</v>
      </c>
      <c r="H1646" s="8">
        <f t="shared" si="1"/>
        <v>28</v>
      </c>
      <c r="I1646" s="9">
        <f t="shared" si="2"/>
        <v>3</v>
      </c>
      <c r="J1646" s="9">
        <f t="shared" si="3"/>
        <v>2023</v>
      </c>
    </row>
    <row r="1647" ht="15.75" customHeight="1">
      <c r="A1647" s="5">
        <v>83.0</v>
      </c>
      <c r="B1647" s="10" t="s">
        <v>1514</v>
      </c>
      <c r="C1647" s="3" t="s">
        <v>1515</v>
      </c>
      <c r="D1647" s="4" t="s">
        <v>3</v>
      </c>
      <c r="E1647" s="5" t="s">
        <v>17</v>
      </c>
      <c r="F1647" s="6" t="s">
        <v>353</v>
      </c>
      <c r="G1647" s="7">
        <v>45034.0</v>
      </c>
      <c r="H1647" s="8">
        <f t="shared" si="1"/>
        <v>18</v>
      </c>
      <c r="I1647" s="9">
        <f t="shared" si="2"/>
        <v>4</v>
      </c>
      <c r="J1647" s="9">
        <f t="shared" si="3"/>
        <v>2023</v>
      </c>
    </row>
    <row r="1648" ht="15.75" customHeight="1">
      <c r="A1648" s="5">
        <v>83.0</v>
      </c>
      <c r="B1648" s="10" t="s">
        <v>1514</v>
      </c>
      <c r="C1648" s="3" t="s">
        <v>1515</v>
      </c>
      <c r="D1648" s="4" t="s">
        <v>3</v>
      </c>
      <c r="E1648" s="5" t="s">
        <v>71</v>
      </c>
      <c r="F1648" s="6" t="s">
        <v>910</v>
      </c>
      <c r="G1648" s="7">
        <v>45081.0</v>
      </c>
      <c r="H1648" s="8">
        <f t="shared" si="1"/>
        <v>4</v>
      </c>
      <c r="I1648" s="9">
        <f t="shared" si="2"/>
        <v>6</v>
      </c>
      <c r="J1648" s="9">
        <f t="shared" si="3"/>
        <v>2023</v>
      </c>
    </row>
    <row r="1649" ht="15.75" customHeight="1">
      <c r="A1649" s="5">
        <v>83.0</v>
      </c>
      <c r="B1649" s="10" t="s">
        <v>1514</v>
      </c>
      <c r="C1649" s="3" t="s">
        <v>1515</v>
      </c>
      <c r="D1649" s="4" t="s">
        <v>8</v>
      </c>
      <c r="E1649" s="5" t="s">
        <v>6</v>
      </c>
      <c r="F1649" s="6" t="s">
        <v>1521</v>
      </c>
      <c r="G1649" s="7">
        <v>45101.0</v>
      </c>
      <c r="H1649" s="8">
        <f t="shared" si="1"/>
        <v>24</v>
      </c>
      <c r="I1649" s="9">
        <f t="shared" si="2"/>
        <v>6</v>
      </c>
      <c r="J1649" s="9">
        <f t="shared" si="3"/>
        <v>2023</v>
      </c>
    </row>
    <row r="1650" ht="15.75" customHeight="1">
      <c r="A1650" s="5">
        <v>83.0</v>
      </c>
      <c r="B1650" s="10" t="s">
        <v>1514</v>
      </c>
      <c r="C1650" s="3" t="s">
        <v>1515</v>
      </c>
      <c r="D1650" s="4" t="s">
        <v>8</v>
      </c>
      <c r="E1650" s="5" t="s">
        <v>71</v>
      </c>
      <c r="F1650" s="6" t="s">
        <v>1522</v>
      </c>
      <c r="G1650" s="7">
        <v>45108.0</v>
      </c>
      <c r="H1650" s="8">
        <f t="shared" si="1"/>
        <v>1</v>
      </c>
      <c r="I1650" s="9">
        <f t="shared" si="2"/>
        <v>7</v>
      </c>
      <c r="J1650" s="9">
        <f t="shared" si="3"/>
        <v>2023</v>
      </c>
    </row>
    <row r="1651" ht="15.75" customHeight="1">
      <c r="A1651" s="5">
        <v>83.0</v>
      </c>
      <c r="B1651" s="10" t="s">
        <v>1514</v>
      </c>
      <c r="C1651" s="3" t="s">
        <v>1515</v>
      </c>
      <c r="D1651" s="4" t="s">
        <v>8</v>
      </c>
      <c r="E1651" s="5" t="s">
        <v>120</v>
      </c>
      <c r="F1651" s="6" t="s">
        <v>1523</v>
      </c>
      <c r="G1651" s="7">
        <v>45143.0</v>
      </c>
      <c r="H1651" s="8">
        <f t="shared" si="1"/>
        <v>5</v>
      </c>
      <c r="I1651" s="9">
        <f t="shared" si="2"/>
        <v>8</v>
      </c>
      <c r="J1651" s="9">
        <f t="shared" si="3"/>
        <v>2023</v>
      </c>
    </row>
    <row r="1652" ht="15.75" customHeight="1">
      <c r="A1652" s="5">
        <v>83.0</v>
      </c>
      <c r="B1652" s="10" t="s">
        <v>1514</v>
      </c>
      <c r="C1652" s="3" t="s">
        <v>1515</v>
      </c>
      <c r="D1652" s="4" t="s">
        <v>3</v>
      </c>
      <c r="E1652" s="5" t="s">
        <v>71</v>
      </c>
      <c r="F1652" s="6" t="s">
        <v>1524</v>
      </c>
      <c r="G1652" s="7">
        <v>45150.0</v>
      </c>
      <c r="H1652" s="8">
        <f t="shared" si="1"/>
        <v>12</v>
      </c>
      <c r="I1652" s="9">
        <f t="shared" si="2"/>
        <v>8</v>
      </c>
      <c r="J1652" s="9">
        <f t="shared" si="3"/>
        <v>2023</v>
      </c>
    </row>
    <row r="1653" ht="15.75" customHeight="1">
      <c r="A1653" s="5">
        <v>83.0</v>
      </c>
      <c r="B1653" s="10" t="s">
        <v>1514</v>
      </c>
      <c r="C1653" s="3" t="s">
        <v>1515</v>
      </c>
      <c r="D1653" s="4" t="s">
        <v>3</v>
      </c>
      <c r="E1653" s="5" t="s">
        <v>120</v>
      </c>
      <c r="F1653" s="6" t="s">
        <v>1525</v>
      </c>
      <c r="G1653" s="7">
        <v>45152.0</v>
      </c>
      <c r="H1653" s="8">
        <f t="shared" si="1"/>
        <v>14</v>
      </c>
      <c r="I1653" s="9">
        <f t="shared" si="2"/>
        <v>8</v>
      </c>
      <c r="J1653" s="9">
        <f t="shared" si="3"/>
        <v>2023</v>
      </c>
    </row>
    <row r="1654" ht="15.75" customHeight="1">
      <c r="A1654" s="5">
        <v>83.0</v>
      </c>
      <c r="B1654" s="10" t="s">
        <v>1514</v>
      </c>
      <c r="C1654" s="3" t="s">
        <v>1515</v>
      </c>
      <c r="D1654" s="4" t="s">
        <v>8</v>
      </c>
      <c r="E1654" s="5" t="s">
        <v>120</v>
      </c>
      <c r="F1654" s="6" t="s">
        <v>1526</v>
      </c>
      <c r="G1654" s="7">
        <v>45237.0</v>
      </c>
      <c r="H1654" s="8">
        <f t="shared" si="1"/>
        <v>7</v>
      </c>
      <c r="I1654" s="9">
        <f t="shared" si="2"/>
        <v>11</v>
      </c>
      <c r="J1654" s="9">
        <f t="shared" si="3"/>
        <v>2023</v>
      </c>
    </row>
    <row r="1655" ht="15.75" customHeight="1">
      <c r="A1655" s="5">
        <v>83.0</v>
      </c>
      <c r="B1655" s="10" t="s">
        <v>1514</v>
      </c>
      <c r="C1655" s="3" t="s">
        <v>1515</v>
      </c>
      <c r="D1655" s="4" t="s">
        <v>3</v>
      </c>
      <c r="E1655" s="5" t="s">
        <v>96</v>
      </c>
      <c r="F1655" s="6" t="s">
        <v>857</v>
      </c>
      <c r="G1655" s="7">
        <v>45238.0</v>
      </c>
      <c r="H1655" s="8">
        <f t="shared" si="1"/>
        <v>8</v>
      </c>
      <c r="I1655" s="9">
        <f t="shared" si="2"/>
        <v>11</v>
      </c>
      <c r="J1655" s="9">
        <f t="shared" si="3"/>
        <v>2023</v>
      </c>
    </row>
    <row r="1656" ht="15.75" customHeight="1">
      <c r="A1656" s="5">
        <v>83.0</v>
      </c>
      <c r="B1656" s="10" t="s">
        <v>1514</v>
      </c>
      <c r="C1656" s="3" t="s">
        <v>1515</v>
      </c>
      <c r="D1656" s="4" t="s">
        <v>3</v>
      </c>
      <c r="E1656" s="5" t="s">
        <v>15</v>
      </c>
      <c r="F1656" s="6" t="s">
        <v>325</v>
      </c>
      <c r="G1656" s="7">
        <v>45245.0</v>
      </c>
      <c r="H1656" s="8">
        <f t="shared" si="1"/>
        <v>15</v>
      </c>
      <c r="I1656" s="9">
        <f t="shared" si="2"/>
        <v>11</v>
      </c>
      <c r="J1656" s="9">
        <f t="shared" si="3"/>
        <v>2023</v>
      </c>
    </row>
    <row r="1657" ht="15.75" customHeight="1">
      <c r="A1657" s="5">
        <v>83.0</v>
      </c>
      <c r="B1657" s="10" t="s">
        <v>1514</v>
      </c>
      <c r="C1657" s="3" t="s">
        <v>1515</v>
      </c>
      <c r="D1657" s="4" t="s">
        <v>8</v>
      </c>
      <c r="E1657" s="5" t="s">
        <v>21</v>
      </c>
      <c r="F1657" s="6" t="s">
        <v>1527</v>
      </c>
      <c r="G1657" s="7">
        <v>45261.0</v>
      </c>
      <c r="H1657" s="8">
        <f t="shared" si="1"/>
        <v>1</v>
      </c>
      <c r="I1657" s="9">
        <f t="shared" si="2"/>
        <v>12</v>
      </c>
      <c r="J1657" s="9">
        <f t="shared" si="3"/>
        <v>2023</v>
      </c>
    </row>
    <row r="1658" ht="15.75" customHeight="1">
      <c r="A1658" s="5">
        <v>83.0</v>
      </c>
      <c r="B1658" s="10" t="s">
        <v>1514</v>
      </c>
      <c r="C1658" s="3" t="s">
        <v>1515</v>
      </c>
      <c r="D1658" s="4" t="s">
        <v>3</v>
      </c>
      <c r="E1658" s="5" t="s">
        <v>23</v>
      </c>
      <c r="F1658" s="6" t="s">
        <v>1528</v>
      </c>
      <c r="G1658" s="7">
        <v>45266.0</v>
      </c>
      <c r="H1658" s="8">
        <f t="shared" si="1"/>
        <v>6</v>
      </c>
      <c r="I1658" s="9">
        <f t="shared" si="2"/>
        <v>12</v>
      </c>
      <c r="J1658" s="9">
        <f t="shared" si="3"/>
        <v>2023</v>
      </c>
    </row>
    <row r="1659" ht="15.75" customHeight="1">
      <c r="A1659" s="5">
        <v>83.0</v>
      </c>
      <c r="B1659" s="10" t="s">
        <v>1514</v>
      </c>
      <c r="C1659" s="3" t="s">
        <v>1515</v>
      </c>
      <c r="D1659" s="4" t="s">
        <v>8</v>
      </c>
      <c r="E1659" s="5" t="s">
        <v>6</v>
      </c>
      <c r="F1659" s="6" t="s">
        <v>1529</v>
      </c>
      <c r="G1659" s="7">
        <v>45270.0</v>
      </c>
      <c r="H1659" s="8">
        <f t="shared" si="1"/>
        <v>10</v>
      </c>
      <c r="I1659" s="9">
        <f t="shared" si="2"/>
        <v>12</v>
      </c>
      <c r="J1659" s="9">
        <f t="shared" si="3"/>
        <v>2023</v>
      </c>
    </row>
    <row r="1660" ht="15.75" customHeight="1">
      <c r="A1660" s="5">
        <v>83.0</v>
      </c>
      <c r="B1660" s="10" t="s">
        <v>1514</v>
      </c>
      <c r="C1660" s="3" t="s">
        <v>1515</v>
      </c>
      <c r="D1660" s="4" t="s">
        <v>3</v>
      </c>
      <c r="E1660" s="5" t="s">
        <v>39</v>
      </c>
      <c r="F1660" s="6" t="s">
        <v>1068</v>
      </c>
      <c r="G1660" s="7">
        <v>45283.0</v>
      </c>
      <c r="H1660" s="8">
        <f t="shared" si="1"/>
        <v>23</v>
      </c>
      <c r="I1660" s="9">
        <f t="shared" si="2"/>
        <v>12</v>
      </c>
      <c r="J1660" s="9">
        <f t="shared" si="3"/>
        <v>2023</v>
      </c>
    </row>
    <row r="1661" ht="15.75" customHeight="1">
      <c r="A1661" s="5">
        <v>84.0</v>
      </c>
      <c r="B1661" s="10" t="s">
        <v>1530</v>
      </c>
      <c r="C1661" s="3" t="s">
        <v>1531</v>
      </c>
      <c r="D1661" s="4" t="s">
        <v>8</v>
      </c>
      <c r="E1661" s="5" t="s">
        <v>23</v>
      </c>
      <c r="F1661" s="6" t="s">
        <v>1532</v>
      </c>
      <c r="G1661" s="7">
        <v>44938.0</v>
      </c>
      <c r="H1661" s="8">
        <f t="shared" si="1"/>
        <v>12</v>
      </c>
      <c r="I1661" s="9">
        <f t="shared" si="2"/>
        <v>1</v>
      </c>
      <c r="J1661" s="9">
        <f t="shared" si="3"/>
        <v>2023</v>
      </c>
    </row>
    <row r="1662" ht="15.75" customHeight="1">
      <c r="A1662" s="5">
        <v>84.0</v>
      </c>
      <c r="B1662" s="10" t="s">
        <v>1530</v>
      </c>
      <c r="C1662" s="3" t="s">
        <v>1531</v>
      </c>
      <c r="D1662" s="4" t="s">
        <v>8</v>
      </c>
      <c r="E1662" s="5" t="s">
        <v>120</v>
      </c>
      <c r="F1662" s="6" t="s">
        <v>1533</v>
      </c>
      <c r="G1662" s="7">
        <v>44940.0</v>
      </c>
      <c r="H1662" s="8">
        <f t="shared" si="1"/>
        <v>14</v>
      </c>
      <c r="I1662" s="9">
        <f t="shared" si="2"/>
        <v>1</v>
      </c>
      <c r="J1662" s="9">
        <f t="shared" si="3"/>
        <v>2023</v>
      </c>
    </row>
    <row r="1663" ht="15.75" customHeight="1">
      <c r="A1663" s="5">
        <v>84.0</v>
      </c>
      <c r="B1663" s="10" t="s">
        <v>1530</v>
      </c>
      <c r="C1663" s="3" t="s">
        <v>1531</v>
      </c>
      <c r="D1663" s="4" t="s">
        <v>8</v>
      </c>
      <c r="E1663" s="5" t="s">
        <v>71</v>
      </c>
      <c r="F1663" s="6" t="s">
        <v>1534</v>
      </c>
      <c r="G1663" s="7">
        <v>44968.0</v>
      </c>
      <c r="H1663" s="8">
        <f t="shared" si="1"/>
        <v>11</v>
      </c>
      <c r="I1663" s="9">
        <f t="shared" si="2"/>
        <v>2</v>
      </c>
      <c r="J1663" s="9">
        <f t="shared" si="3"/>
        <v>2023</v>
      </c>
    </row>
    <row r="1664" ht="15.75" customHeight="1">
      <c r="A1664" s="5">
        <v>84.0</v>
      </c>
      <c r="B1664" s="10" t="s">
        <v>1530</v>
      </c>
      <c r="C1664" s="3" t="s">
        <v>1531</v>
      </c>
      <c r="D1664" s="4" t="s">
        <v>8</v>
      </c>
      <c r="E1664" s="5" t="s">
        <v>120</v>
      </c>
      <c r="F1664" s="6" t="s">
        <v>1535</v>
      </c>
      <c r="G1664" s="7">
        <v>44973.0</v>
      </c>
      <c r="H1664" s="8">
        <f t="shared" si="1"/>
        <v>16</v>
      </c>
      <c r="I1664" s="9">
        <f t="shared" si="2"/>
        <v>2</v>
      </c>
      <c r="J1664" s="9">
        <f t="shared" si="3"/>
        <v>2023</v>
      </c>
    </row>
    <row r="1665" ht="15.75" customHeight="1">
      <c r="A1665" s="5">
        <v>84.0</v>
      </c>
      <c r="B1665" s="10" t="s">
        <v>1530</v>
      </c>
      <c r="C1665" s="3" t="s">
        <v>1531</v>
      </c>
      <c r="D1665" s="4" t="s">
        <v>3</v>
      </c>
      <c r="E1665" s="5" t="s">
        <v>96</v>
      </c>
      <c r="F1665" s="6" t="s">
        <v>1536</v>
      </c>
      <c r="G1665" s="7">
        <v>45000.0</v>
      </c>
      <c r="H1665" s="8">
        <f t="shared" si="1"/>
        <v>15</v>
      </c>
      <c r="I1665" s="9">
        <f t="shared" si="2"/>
        <v>3</v>
      </c>
      <c r="J1665" s="9">
        <f t="shared" si="3"/>
        <v>2023</v>
      </c>
    </row>
    <row r="1666" ht="15.75" customHeight="1">
      <c r="A1666" s="5">
        <v>84.0</v>
      </c>
      <c r="B1666" s="10" t="s">
        <v>1530</v>
      </c>
      <c r="C1666" s="3" t="s">
        <v>1531</v>
      </c>
      <c r="D1666" s="4" t="s">
        <v>8</v>
      </c>
      <c r="E1666" s="5" t="s">
        <v>21</v>
      </c>
      <c r="F1666" s="6" t="s">
        <v>764</v>
      </c>
      <c r="G1666" s="7">
        <v>45033.0</v>
      </c>
      <c r="H1666" s="8">
        <f t="shared" si="1"/>
        <v>17</v>
      </c>
      <c r="I1666" s="9">
        <f t="shared" si="2"/>
        <v>4</v>
      </c>
      <c r="J1666" s="9">
        <f t="shared" si="3"/>
        <v>2023</v>
      </c>
    </row>
    <row r="1667" ht="15.75" customHeight="1">
      <c r="A1667" s="5">
        <v>84.0</v>
      </c>
      <c r="B1667" s="10" t="s">
        <v>1530</v>
      </c>
      <c r="C1667" s="3" t="s">
        <v>1531</v>
      </c>
      <c r="D1667" s="4" t="s">
        <v>8</v>
      </c>
      <c r="E1667" s="5" t="s">
        <v>4</v>
      </c>
      <c r="F1667" s="6" t="s">
        <v>1537</v>
      </c>
      <c r="G1667" s="7">
        <v>45049.0</v>
      </c>
      <c r="H1667" s="8">
        <f t="shared" si="1"/>
        <v>3</v>
      </c>
      <c r="I1667" s="9">
        <f t="shared" si="2"/>
        <v>5</v>
      </c>
      <c r="J1667" s="9">
        <f t="shared" si="3"/>
        <v>2023</v>
      </c>
    </row>
    <row r="1668" ht="15.75" customHeight="1">
      <c r="A1668" s="5">
        <v>84.0</v>
      </c>
      <c r="B1668" s="10" t="s">
        <v>1530</v>
      </c>
      <c r="C1668" s="3" t="s">
        <v>1531</v>
      </c>
      <c r="D1668" s="4" t="s">
        <v>8</v>
      </c>
      <c r="E1668" s="5" t="s">
        <v>17</v>
      </c>
      <c r="F1668" s="6" t="s">
        <v>1538</v>
      </c>
      <c r="G1668" s="7">
        <v>45083.0</v>
      </c>
      <c r="H1668" s="8">
        <f t="shared" si="1"/>
        <v>6</v>
      </c>
      <c r="I1668" s="9">
        <f t="shared" si="2"/>
        <v>6</v>
      </c>
      <c r="J1668" s="9">
        <f t="shared" si="3"/>
        <v>2023</v>
      </c>
    </row>
    <row r="1669" ht="15.75" customHeight="1">
      <c r="A1669" s="5">
        <v>84.0</v>
      </c>
      <c r="B1669" s="10" t="s">
        <v>1530</v>
      </c>
      <c r="C1669" s="3" t="s">
        <v>1531</v>
      </c>
      <c r="D1669" s="4" t="s">
        <v>3</v>
      </c>
      <c r="E1669" s="5" t="s">
        <v>17</v>
      </c>
      <c r="F1669" s="6" t="s">
        <v>611</v>
      </c>
      <c r="G1669" s="7">
        <v>45085.0</v>
      </c>
      <c r="H1669" s="8">
        <f t="shared" si="1"/>
        <v>8</v>
      </c>
      <c r="I1669" s="9">
        <f t="shared" si="2"/>
        <v>6</v>
      </c>
      <c r="J1669" s="9">
        <f t="shared" si="3"/>
        <v>2023</v>
      </c>
    </row>
    <row r="1670" ht="15.75" customHeight="1">
      <c r="A1670" s="5">
        <v>84.0</v>
      </c>
      <c r="B1670" s="10" t="s">
        <v>1530</v>
      </c>
      <c r="C1670" s="3" t="s">
        <v>1531</v>
      </c>
      <c r="D1670" s="4" t="s">
        <v>8</v>
      </c>
      <c r="E1670" s="5" t="s">
        <v>21</v>
      </c>
      <c r="F1670" s="6" t="s">
        <v>1539</v>
      </c>
      <c r="G1670" s="7">
        <v>45101.0</v>
      </c>
      <c r="H1670" s="8">
        <f t="shared" si="1"/>
        <v>24</v>
      </c>
      <c r="I1670" s="9">
        <f t="shared" si="2"/>
        <v>6</v>
      </c>
      <c r="J1670" s="9">
        <f t="shared" si="3"/>
        <v>2023</v>
      </c>
    </row>
    <row r="1671" ht="15.75" customHeight="1">
      <c r="A1671" s="5">
        <v>84.0</v>
      </c>
      <c r="B1671" s="10" t="s">
        <v>1530</v>
      </c>
      <c r="C1671" s="3" t="s">
        <v>1531</v>
      </c>
      <c r="D1671" s="4" t="s">
        <v>3</v>
      </c>
      <c r="E1671" s="5" t="s">
        <v>39</v>
      </c>
      <c r="F1671" s="6" t="s">
        <v>1540</v>
      </c>
      <c r="G1671" s="7">
        <v>45108.0</v>
      </c>
      <c r="H1671" s="8">
        <f t="shared" si="1"/>
        <v>1</v>
      </c>
      <c r="I1671" s="9">
        <f t="shared" si="2"/>
        <v>7</v>
      </c>
      <c r="J1671" s="9">
        <f t="shared" si="3"/>
        <v>2023</v>
      </c>
    </row>
    <row r="1672" ht="15.75" customHeight="1">
      <c r="A1672" s="5">
        <v>84.0</v>
      </c>
      <c r="B1672" s="10" t="s">
        <v>1530</v>
      </c>
      <c r="C1672" s="3" t="s">
        <v>1531</v>
      </c>
      <c r="D1672" s="4" t="s">
        <v>8</v>
      </c>
      <c r="E1672" s="5" t="s">
        <v>23</v>
      </c>
      <c r="F1672" s="6" t="s">
        <v>1541</v>
      </c>
      <c r="G1672" s="7">
        <v>45148.0</v>
      </c>
      <c r="H1672" s="8">
        <f t="shared" si="1"/>
        <v>10</v>
      </c>
      <c r="I1672" s="9">
        <f t="shared" si="2"/>
        <v>8</v>
      </c>
      <c r="J1672" s="9">
        <f t="shared" si="3"/>
        <v>2023</v>
      </c>
    </row>
    <row r="1673" ht="15.75" customHeight="1">
      <c r="A1673" s="5">
        <v>84.0</v>
      </c>
      <c r="B1673" s="10" t="s">
        <v>1530</v>
      </c>
      <c r="C1673" s="3" t="s">
        <v>1531</v>
      </c>
      <c r="D1673" s="4" t="s">
        <v>3</v>
      </c>
      <c r="E1673" s="5" t="s">
        <v>96</v>
      </c>
      <c r="F1673" s="6" t="s">
        <v>1542</v>
      </c>
      <c r="G1673" s="7">
        <v>45173.0</v>
      </c>
      <c r="H1673" s="8">
        <f t="shared" si="1"/>
        <v>4</v>
      </c>
      <c r="I1673" s="9">
        <f t="shared" si="2"/>
        <v>9</v>
      </c>
      <c r="J1673" s="9">
        <f t="shared" si="3"/>
        <v>2023</v>
      </c>
    </row>
    <row r="1674" ht="15.75" customHeight="1">
      <c r="A1674" s="5">
        <v>84.0</v>
      </c>
      <c r="B1674" s="10" t="s">
        <v>1530</v>
      </c>
      <c r="C1674" s="3" t="s">
        <v>1531</v>
      </c>
      <c r="D1674" s="4" t="s">
        <v>3</v>
      </c>
      <c r="E1674" s="5" t="s">
        <v>51</v>
      </c>
      <c r="F1674" s="6" t="s">
        <v>1543</v>
      </c>
      <c r="G1674" s="7">
        <v>45188.0</v>
      </c>
      <c r="H1674" s="8">
        <f t="shared" si="1"/>
        <v>19</v>
      </c>
      <c r="I1674" s="9">
        <f t="shared" si="2"/>
        <v>9</v>
      </c>
      <c r="J1674" s="9">
        <f t="shared" si="3"/>
        <v>2023</v>
      </c>
    </row>
    <row r="1675" ht="15.75" customHeight="1">
      <c r="A1675" s="5">
        <v>84.0</v>
      </c>
      <c r="B1675" s="10" t="s">
        <v>1530</v>
      </c>
      <c r="C1675" s="3" t="s">
        <v>1531</v>
      </c>
      <c r="D1675" s="4" t="s">
        <v>8</v>
      </c>
      <c r="E1675" s="5" t="s">
        <v>15</v>
      </c>
      <c r="F1675" s="6" t="s">
        <v>1230</v>
      </c>
      <c r="G1675" s="7">
        <v>45193.0</v>
      </c>
      <c r="H1675" s="8">
        <f t="shared" si="1"/>
        <v>24</v>
      </c>
      <c r="I1675" s="9">
        <f t="shared" si="2"/>
        <v>9</v>
      </c>
      <c r="J1675" s="9">
        <f t="shared" si="3"/>
        <v>2023</v>
      </c>
    </row>
    <row r="1676" ht="15.75" customHeight="1">
      <c r="A1676" s="5">
        <v>84.0</v>
      </c>
      <c r="B1676" s="10" t="s">
        <v>1530</v>
      </c>
      <c r="C1676" s="3" t="s">
        <v>1531</v>
      </c>
      <c r="D1676" s="4" t="s">
        <v>3</v>
      </c>
      <c r="E1676" s="5" t="s">
        <v>15</v>
      </c>
      <c r="F1676" s="6" t="s">
        <v>1178</v>
      </c>
      <c r="G1676" s="7">
        <v>45216.0</v>
      </c>
      <c r="H1676" s="8">
        <f t="shared" si="1"/>
        <v>17</v>
      </c>
      <c r="I1676" s="9">
        <f t="shared" si="2"/>
        <v>10</v>
      </c>
      <c r="J1676" s="9">
        <f t="shared" si="3"/>
        <v>2023</v>
      </c>
    </row>
    <row r="1677" ht="15.75" customHeight="1">
      <c r="A1677" s="5">
        <v>84.0</v>
      </c>
      <c r="B1677" s="10" t="s">
        <v>1530</v>
      </c>
      <c r="C1677" s="3" t="s">
        <v>1531</v>
      </c>
      <c r="D1677" s="4" t="s">
        <v>8</v>
      </c>
      <c r="E1677" s="5" t="s">
        <v>39</v>
      </c>
      <c r="F1677" s="6" t="s">
        <v>1544</v>
      </c>
      <c r="G1677" s="7">
        <v>45222.0</v>
      </c>
      <c r="H1677" s="8">
        <f t="shared" si="1"/>
        <v>23</v>
      </c>
      <c r="I1677" s="9">
        <f t="shared" si="2"/>
        <v>10</v>
      </c>
      <c r="J1677" s="9">
        <f t="shared" si="3"/>
        <v>2023</v>
      </c>
    </row>
    <row r="1678" ht="15.75" customHeight="1">
      <c r="A1678" s="5">
        <v>84.0</v>
      </c>
      <c r="B1678" s="10" t="s">
        <v>1530</v>
      </c>
      <c r="C1678" s="3" t="s">
        <v>1531</v>
      </c>
      <c r="D1678" s="4" t="s">
        <v>8</v>
      </c>
      <c r="E1678" s="5" t="s">
        <v>42</v>
      </c>
      <c r="F1678" s="6" t="s">
        <v>504</v>
      </c>
      <c r="G1678" s="7">
        <v>45222.0</v>
      </c>
      <c r="H1678" s="8">
        <f t="shared" si="1"/>
        <v>23</v>
      </c>
      <c r="I1678" s="9">
        <f t="shared" si="2"/>
        <v>10</v>
      </c>
      <c r="J1678" s="9">
        <f t="shared" si="3"/>
        <v>2023</v>
      </c>
    </row>
    <row r="1679" ht="15.75" customHeight="1">
      <c r="A1679" s="5">
        <v>84.0</v>
      </c>
      <c r="B1679" s="10" t="s">
        <v>1530</v>
      </c>
      <c r="C1679" s="3" t="s">
        <v>1531</v>
      </c>
      <c r="D1679" s="4" t="s">
        <v>8</v>
      </c>
      <c r="E1679" s="5" t="s">
        <v>39</v>
      </c>
      <c r="F1679" s="6" t="s">
        <v>1545</v>
      </c>
      <c r="G1679" s="7">
        <v>45262.0</v>
      </c>
      <c r="H1679" s="8">
        <f t="shared" si="1"/>
        <v>2</v>
      </c>
      <c r="I1679" s="9">
        <f t="shared" si="2"/>
        <v>12</v>
      </c>
      <c r="J1679" s="9">
        <f t="shared" si="3"/>
        <v>2023</v>
      </c>
    </row>
    <row r="1680" ht="15.75" customHeight="1">
      <c r="A1680" s="5">
        <v>84.0</v>
      </c>
      <c r="B1680" s="10" t="s">
        <v>1530</v>
      </c>
      <c r="C1680" s="3" t="s">
        <v>1531</v>
      </c>
      <c r="D1680" s="4" t="s">
        <v>3</v>
      </c>
      <c r="E1680" s="5" t="s">
        <v>76</v>
      </c>
      <c r="F1680" s="6" t="s">
        <v>1546</v>
      </c>
      <c r="G1680" s="7">
        <v>45266.0</v>
      </c>
      <c r="H1680" s="8">
        <f t="shared" si="1"/>
        <v>6</v>
      </c>
      <c r="I1680" s="9">
        <f t="shared" si="2"/>
        <v>12</v>
      </c>
      <c r="J1680" s="9">
        <f t="shared" si="3"/>
        <v>2023</v>
      </c>
    </row>
    <row r="1681" ht="15.75" customHeight="1">
      <c r="A1681" s="5">
        <v>85.0</v>
      </c>
      <c r="B1681" s="10" t="s">
        <v>1547</v>
      </c>
      <c r="C1681" s="3" t="s">
        <v>1548</v>
      </c>
      <c r="D1681" s="4" t="s">
        <v>8</v>
      </c>
      <c r="E1681" s="5" t="s">
        <v>76</v>
      </c>
      <c r="F1681" s="6" t="s">
        <v>329</v>
      </c>
      <c r="G1681" s="7">
        <v>44952.0</v>
      </c>
      <c r="H1681" s="8">
        <f t="shared" si="1"/>
        <v>26</v>
      </c>
      <c r="I1681" s="9">
        <f t="shared" si="2"/>
        <v>1</v>
      </c>
      <c r="J1681" s="9">
        <f t="shared" si="3"/>
        <v>2023</v>
      </c>
    </row>
    <row r="1682" ht="15.75" customHeight="1">
      <c r="A1682" s="5">
        <v>85.0</v>
      </c>
      <c r="B1682" s="10" t="s">
        <v>1547</v>
      </c>
      <c r="C1682" s="3" t="s">
        <v>1548</v>
      </c>
      <c r="D1682" s="4" t="s">
        <v>3</v>
      </c>
      <c r="E1682" s="5" t="s">
        <v>17</v>
      </c>
      <c r="F1682" s="6" t="s">
        <v>1549</v>
      </c>
      <c r="G1682" s="7">
        <v>44958.0</v>
      </c>
      <c r="H1682" s="8">
        <f t="shared" si="1"/>
        <v>1</v>
      </c>
      <c r="I1682" s="9">
        <f t="shared" si="2"/>
        <v>2</v>
      </c>
      <c r="J1682" s="9">
        <f t="shared" si="3"/>
        <v>2023</v>
      </c>
    </row>
    <row r="1683" ht="15.75" customHeight="1">
      <c r="A1683" s="5">
        <v>85.0</v>
      </c>
      <c r="B1683" s="10" t="s">
        <v>1547</v>
      </c>
      <c r="C1683" s="3" t="s">
        <v>1548</v>
      </c>
      <c r="D1683" s="4" t="s">
        <v>8</v>
      </c>
      <c r="E1683" s="5" t="s">
        <v>71</v>
      </c>
      <c r="F1683" s="6" t="s">
        <v>1550</v>
      </c>
      <c r="G1683" s="7">
        <v>44961.0</v>
      </c>
      <c r="H1683" s="8">
        <f t="shared" si="1"/>
        <v>4</v>
      </c>
      <c r="I1683" s="9">
        <f t="shared" si="2"/>
        <v>2</v>
      </c>
      <c r="J1683" s="9">
        <f t="shared" si="3"/>
        <v>2023</v>
      </c>
    </row>
    <row r="1684" ht="15.75" customHeight="1">
      <c r="A1684" s="5">
        <v>85.0</v>
      </c>
      <c r="B1684" s="10" t="s">
        <v>1547</v>
      </c>
      <c r="C1684" s="3" t="s">
        <v>1548</v>
      </c>
      <c r="D1684" s="4" t="s">
        <v>8</v>
      </c>
      <c r="E1684" s="5" t="s">
        <v>28</v>
      </c>
      <c r="F1684" s="6" t="s">
        <v>1426</v>
      </c>
      <c r="G1684" s="7">
        <v>44980.0</v>
      </c>
      <c r="H1684" s="8">
        <f t="shared" si="1"/>
        <v>23</v>
      </c>
      <c r="I1684" s="9">
        <f t="shared" si="2"/>
        <v>2</v>
      </c>
      <c r="J1684" s="9">
        <f t="shared" si="3"/>
        <v>2023</v>
      </c>
    </row>
    <row r="1685" ht="15.75" customHeight="1">
      <c r="A1685" s="5">
        <v>85.0</v>
      </c>
      <c r="B1685" s="10" t="s">
        <v>1547</v>
      </c>
      <c r="C1685" s="3" t="s">
        <v>1548</v>
      </c>
      <c r="D1685" s="4" t="s">
        <v>3</v>
      </c>
      <c r="E1685" s="5" t="s">
        <v>4</v>
      </c>
      <c r="F1685" s="6" t="s">
        <v>1551</v>
      </c>
      <c r="G1685" s="7">
        <v>45031.0</v>
      </c>
      <c r="H1685" s="8">
        <f t="shared" si="1"/>
        <v>15</v>
      </c>
      <c r="I1685" s="9">
        <f t="shared" si="2"/>
        <v>4</v>
      </c>
      <c r="J1685" s="9">
        <f t="shared" si="3"/>
        <v>2023</v>
      </c>
    </row>
    <row r="1686" ht="15.75" customHeight="1">
      <c r="A1686" s="5">
        <v>85.0</v>
      </c>
      <c r="B1686" s="10" t="s">
        <v>1547</v>
      </c>
      <c r="C1686" s="3" t="s">
        <v>1548</v>
      </c>
      <c r="D1686" s="4" t="s">
        <v>3</v>
      </c>
      <c r="E1686" s="5" t="s">
        <v>39</v>
      </c>
      <c r="F1686" s="6" t="s">
        <v>1552</v>
      </c>
      <c r="G1686" s="7">
        <v>45039.0</v>
      </c>
      <c r="H1686" s="8">
        <f t="shared" si="1"/>
        <v>23</v>
      </c>
      <c r="I1686" s="9">
        <f t="shared" si="2"/>
        <v>4</v>
      </c>
      <c r="J1686" s="9">
        <f t="shared" si="3"/>
        <v>2023</v>
      </c>
    </row>
    <row r="1687" ht="15.75" customHeight="1">
      <c r="A1687" s="5">
        <v>85.0</v>
      </c>
      <c r="B1687" s="10" t="s">
        <v>1547</v>
      </c>
      <c r="C1687" s="3" t="s">
        <v>1548</v>
      </c>
      <c r="D1687" s="4" t="s">
        <v>8</v>
      </c>
      <c r="E1687" s="5" t="s">
        <v>35</v>
      </c>
      <c r="F1687" s="6" t="s">
        <v>267</v>
      </c>
      <c r="G1687" s="7">
        <v>45064.0</v>
      </c>
      <c r="H1687" s="8">
        <f t="shared" si="1"/>
        <v>18</v>
      </c>
      <c r="I1687" s="9">
        <f t="shared" si="2"/>
        <v>5</v>
      </c>
      <c r="J1687" s="9">
        <f t="shared" si="3"/>
        <v>2023</v>
      </c>
    </row>
    <row r="1688" ht="15.75" customHeight="1">
      <c r="A1688" s="5">
        <v>85.0</v>
      </c>
      <c r="B1688" s="10" t="s">
        <v>1547</v>
      </c>
      <c r="C1688" s="3" t="s">
        <v>1548</v>
      </c>
      <c r="D1688" s="4" t="s">
        <v>3</v>
      </c>
      <c r="E1688" s="5" t="s">
        <v>15</v>
      </c>
      <c r="F1688" s="6" t="s">
        <v>615</v>
      </c>
      <c r="G1688" s="7">
        <v>45123.0</v>
      </c>
      <c r="H1688" s="8">
        <f t="shared" si="1"/>
        <v>16</v>
      </c>
      <c r="I1688" s="9">
        <f t="shared" si="2"/>
        <v>7</v>
      </c>
      <c r="J1688" s="9">
        <f t="shared" si="3"/>
        <v>2023</v>
      </c>
    </row>
    <row r="1689" ht="15.75" customHeight="1">
      <c r="A1689" s="5">
        <v>85.0</v>
      </c>
      <c r="B1689" s="10" t="s">
        <v>1547</v>
      </c>
      <c r="C1689" s="3" t="s">
        <v>1548</v>
      </c>
      <c r="D1689" s="4" t="s">
        <v>3</v>
      </c>
      <c r="E1689" s="5" t="s">
        <v>42</v>
      </c>
      <c r="F1689" s="6" t="s">
        <v>950</v>
      </c>
      <c r="G1689" s="7">
        <v>45127.0</v>
      </c>
      <c r="H1689" s="8">
        <f t="shared" si="1"/>
        <v>20</v>
      </c>
      <c r="I1689" s="9">
        <f t="shared" si="2"/>
        <v>7</v>
      </c>
      <c r="J1689" s="9">
        <f t="shared" si="3"/>
        <v>2023</v>
      </c>
    </row>
    <row r="1690" ht="15.75" customHeight="1">
      <c r="A1690" s="5">
        <v>85.0</v>
      </c>
      <c r="B1690" s="10" t="s">
        <v>1547</v>
      </c>
      <c r="C1690" s="3" t="s">
        <v>1548</v>
      </c>
      <c r="D1690" s="4" t="s">
        <v>8</v>
      </c>
      <c r="E1690" s="5" t="s">
        <v>51</v>
      </c>
      <c r="F1690" s="6" t="s">
        <v>135</v>
      </c>
      <c r="G1690" s="7">
        <v>45130.0</v>
      </c>
      <c r="H1690" s="8">
        <f t="shared" si="1"/>
        <v>23</v>
      </c>
      <c r="I1690" s="9">
        <f t="shared" si="2"/>
        <v>7</v>
      </c>
      <c r="J1690" s="9">
        <f t="shared" si="3"/>
        <v>2023</v>
      </c>
    </row>
    <row r="1691" ht="15.75" customHeight="1">
      <c r="A1691" s="5">
        <v>85.0</v>
      </c>
      <c r="B1691" s="10" t="s">
        <v>1547</v>
      </c>
      <c r="C1691" s="3" t="s">
        <v>1548</v>
      </c>
      <c r="D1691" s="4" t="s">
        <v>8</v>
      </c>
      <c r="E1691" s="5" t="s">
        <v>23</v>
      </c>
      <c r="F1691" s="6" t="s">
        <v>1553</v>
      </c>
      <c r="G1691" s="7">
        <v>45135.0</v>
      </c>
      <c r="H1691" s="8">
        <f t="shared" si="1"/>
        <v>28</v>
      </c>
      <c r="I1691" s="9">
        <f t="shared" si="2"/>
        <v>7</v>
      </c>
      <c r="J1691" s="9">
        <f t="shared" si="3"/>
        <v>2023</v>
      </c>
    </row>
    <row r="1692" ht="15.75" customHeight="1">
      <c r="A1692" s="5">
        <v>85.0</v>
      </c>
      <c r="B1692" s="10" t="s">
        <v>1547</v>
      </c>
      <c r="C1692" s="3" t="s">
        <v>1548</v>
      </c>
      <c r="D1692" s="4" t="s">
        <v>3</v>
      </c>
      <c r="E1692" s="5" t="s">
        <v>35</v>
      </c>
      <c r="F1692" s="6" t="s">
        <v>1554</v>
      </c>
      <c r="G1692" s="7">
        <v>45152.0</v>
      </c>
      <c r="H1692" s="8">
        <f t="shared" si="1"/>
        <v>14</v>
      </c>
      <c r="I1692" s="9">
        <f t="shared" si="2"/>
        <v>8</v>
      </c>
      <c r="J1692" s="9">
        <f t="shared" si="3"/>
        <v>2023</v>
      </c>
    </row>
    <row r="1693" ht="15.75" customHeight="1">
      <c r="A1693" s="5">
        <v>85.0</v>
      </c>
      <c r="B1693" s="10" t="s">
        <v>1547</v>
      </c>
      <c r="C1693" s="3" t="s">
        <v>1548</v>
      </c>
      <c r="D1693" s="4" t="s">
        <v>3</v>
      </c>
      <c r="E1693" s="5" t="s">
        <v>45</v>
      </c>
      <c r="F1693" s="6" t="s">
        <v>116</v>
      </c>
      <c r="G1693" s="7">
        <v>45156.0</v>
      </c>
      <c r="H1693" s="8">
        <f t="shared" si="1"/>
        <v>18</v>
      </c>
      <c r="I1693" s="9">
        <f t="shared" si="2"/>
        <v>8</v>
      </c>
      <c r="J1693" s="9">
        <f t="shared" si="3"/>
        <v>2023</v>
      </c>
    </row>
    <row r="1694" ht="15.75" customHeight="1">
      <c r="A1694" s="5">
        <v>85.0</v>
      </c>
      <c r="B1694" s="10" t="s">
        <v>1547</v>
      </c>
      <c r="C1694" s="3" t="s">
        <v>1548</v>
      </c>
      <c r="D1694" s="4" t="s">
        <v>8</v>
      </c>
      <c r="E1694" s="5" t="s">
        <v>11</v>
      </c>
      <c r="F1694" s="6" t="s">
        <v>903</v>
      </c>
      <c r="G1694" s="7">
        <v>45159.0</v>
      </c>
      <c r="H1694" s="8">
        <f t="shared" si="1"/>
        <v>21</v>
      </c>
      <c r="I1694" s="9">
        <f t="shared" si="2"/>
        <v>8</v>
      </c>
      <c r="J1694" s="9">
        <f t="shared" si="3"/>
        <v>2023</v>
      </c>
    </row>
    <row r="1695" ht="15.75" customHeight="1">
      <c r="A1695" s="5">
        <v>85.0</v>
      </c>
      <c r="B1695" s="10" t="s">
        <v>1547</v>
      </c>
      <c r="C1695" s="3" t="s">
        <v>1548</v>
      </c>
      <c r="D1695" s="4" t="s">
        <v>8</v>
      </c>
      <c r="E1695" s="5" t="s">
        <v>28</v>
      </c>
      <c r="F1695" s="6" t="s">
        <v>1555</v>
      </c>
      <c r="G1695" s="7">
        <v>45172.0</v>
      </c>
      <c r="H1695" s="8">
        <f t="shared" si="1"/>
        <v>3</v>
      </c>
      <c r="I1695" s="9">
        <f t="shared" si="2"/>
        <v>9</v>
      </c>
      <c r="J1695" s="9">
        <f t="shared" si="3"/>
        <v>2023</v>
      </c>
    </row>
    <row r="1696" ht="15.75" customHeight="1">
      <c r="A1696" s="5">
        <v>85.0</v>
      </c>
      <c r="B1696" s="10" t="s">
        <v>1547</v>
      </c>
      <c r="C1696" s="3" t="s">
        <v>1548</v>
      </c>
      <c r="D1696" s="4" t="s">
        <v>3</v>
      </c>
      <c r="E1696" s="5" t="s">
        <v>96</v>
      </c>
      <c r="F1696" s="6" t="s">
        <v>1556</v>
      </c>
      <c r="G1696" s="7">
        <v>45249.0</v>
      </c>
      <c r="H1696" s="8">
        <f t="shared" si="1"/>
        <v>19</v>
      </c>
      <c r="I1696" s="9">
        <f t="shared" si="2"/>
        <v>11</v>
      </c>
      <c r="J1696" s="9">
        <f t="shared" si="3"/>
        <v>2023</v>
      </c>
    </row>
    <row r="1697" ht="15.75" customHeight="1">
      <c r="A1697" s="5">
        <v>85.0</v>
      </c>
      <c r="B1697" s="10" t="s">
        <v>1547</v>
      </c>
      <c r="C1697" s="3" t="s">
        <v>1548</v>
      </c>
      <c r="D1697" s="4" t="s">
        <v>3</v>
      </c>
      <c r="E1697" s="5" t="s">
        <v>19</v>
      </c>
      <c r="F1697" s="6" t="s">
        <v>905</v>
      </c>
      <c r="G1697" s="7">
        <v>45254.0</v>
      </c>
      <c r="H1697" s="8">
        <f t="shared" si="1"/>
        <v>24</v>
      </c>
      <c r="I1697" s="9">
        <f t="shared" si="2"/>
        <v>11</v>
      </c>
      <c r="J1697" s="9">
        <f t="shared" si="3"/>
        <v>2023</v>
      </c>
    </row>
    <row r="1698" ht="15.75" customHeight="1">
      <c r="A1698" s="5">
        <v>85.0</v>
      </c>
      <c r="B1698" s="10" t="s">
        <v>1547</v>
      </c>
      <c r="C1698" s="3" t="s">
        <v>1548</v>
      </c>
      <c r="D1698" s="4" t="s">
        <v>8</v>
      </c>
      <c r="E1698" s="5" t="s">
        <v>23</v>
      </c>
      <c r="F1698" s="6" t="s">
        <v>1492</v>
      </c>
      <c r="G1698" s="7">
        <v>45254.0</v>
      </c>
      <c r="H1698" s="8">
        <f t="shared" si="1"/>
        <v>24</v>
      </c>
      <c r="I1698" s="9">
        <f t="shared" si="2"/>
        <v>11</v>
      </c>
      <c r="J1698" s="9">
        <f t="shared" si="3"/>
        <v>2023</v>
      </c>
    </row>
    <row r="1699" ht="15.75" customHeight="1">
      <c r="A1699" s="5">
        <v>85.0</v>
      </c>
      <c r="B1699" s="10" t="s">
        <v>1547</v>
      </c>
      <c r="C1699" s="3" t="s">
        <v>1548</v>
      </c>
      <c r="D1699" s="4" t="s">
        <v>3</v>
      </c>
      <c r="E1699" s="5" t="s">
        <v>28</v>
      </c>
      <c r="F1699" s="6" t="s">
        <v>585</v>
      </c>
      <c r="G1699" s="7">
        <v>45284.0</v>
      </c>
      <c r="H1699" s="8">
        <f t="shared" si="1"/>
        <v>24</v>
      </c>
      <c r="I1699" s="9">
        <f t="shared" si="2"/>
        <v>12</v>
      </c>
      <c r="J1699" s="9">
        <f t="shared" si="3"/>
        <v>2023</v>
      </c>
    </row>
    <row r="1700" ht="15.75" customHeight="1">
      <c r="A1700" s="5">
        <v>85.0</v>
      </c>
      <c r="B1700" s="10" t="s">
        <v>1547</v>
      </c>
      <c r="C1700" s="3" t="s">
        <v>1548</v>
      </c>
      <c r="D1700" s="4" t="s">
        <v>8</v>
      </c>
      <c r="E1700" s="5" t="s">
        <v>45</v>
      </c>
      <c r="F1700" s="6" t="s">
        <v>1557</v>
      </c>
      <c r="G1700" s="7">
        <v>45288.0</v>
      </c>
      <c r="H1700" s="8">
        <f t="shared" si="1"/>
        <v>28</v>
      </c>
      <c r="I1700" s="9">
        <f t="shared" si="2"/>
        <v>12</v>
      </c>
      <c r="J1700" s="9">
        <f t="shared" si="3"/>
        <v>2023</v>
      </c>
    </row>
    <row r="1701" ht="15.75" customHeight="1">
      <c r="A1701" s="5">
        <v>86.0</v>
      </c>
      <c r="B1701" s="10" t="s">
        <v>1558</v>
      </c>
      <c r="C1701" s="3" t="s">
        <v>1559</v>
      </c>
      <c r="D1701" s="4" t="s">
        <v>3</v>
      </c>
      <c r="E1701" s="5" t="s">
        <v>76</v>
      </c>
      <c r="F1701" s="6" t="s">
        <v>1560</v>
      </c>
      <c r="G1701" s="7">
        <v>44929.0</v>
      </c>
      <c r="H1701" s="8">
        <f t="shared" si="1"/>
        <v>3</v>
      </c>
      <c r="I1701" s="9">
        <f t="shared" si="2"/>
        <v>1</v>
      </c>
      <c r="J1701" s="9">
        <f t="shared" si="3"/>
        <v>2023</v>
      </c>
    </row>
    <row r="1702" ht="15.75" customHeight="1">
      <c r="A1702" s="5">
        <v>86.0</v>
      </c>
      <c r="B1702" s="10" t="s">
        <v>1558</v>
      </c>
      <c r="C1702" s="3" t="s">
        <v>1559</v>
      </c>
      <c r="D1702" s="4" t="s">
        <v>8</v>
      </c>
      <c r="E1702" s="5" t="s">
        <v>21</v>
      </c>
      <c r="F1702" s="6" t="s">
        <v>1561</v>
      </c>
      <c r="G1702" s="7">
        <v>44933.0</v>
      </c>
      <c r="H1702" s="8">
        <f t="shared" si="1"/>
        <v>7</v>
      </c>
      <c r="I1702" s="9">
        <f t="shared" si="2"/>
        <v>1</v>
      </c>
      <c r="J1702" s="9">
        <f t="shared" si="3"/>
        <v>2023</v>
      </c>
    </row>
    <row r="1703" ht="15.75" customHeight="1">
      <c r="A1703" s="5">
        <v>86.0</v>
      </c>
      <c r="B1703" s="10" t="s">
        <v>1558</v>
      </c>
      <c r="C1703" s="3" t="s">
        <v>1559</v>
      </c>
      <c r="D1703" s="4" t="s">
        <v>8</v>
      </c>
      <c r="E1703" s="5" t="s">
        <v>76</v>
      </c>
      <c r="F1703" s="6" t="s">
        <v>1562</v>
      </c>
      <c r="G1703" s="7">
        <v>44962.0</v>
      </c>
      <c r="H1703" s="8">
        <f t="shared" si="1"/>
        <v>5</v>
      </c>
      <c r="I1703" s="9">
        <f t="shared" si="2"/>
        <v>2</v>
      </c>
      <c r="J1703" s="9">
        <f t="shared" si="3"/>
        <v>2023</v>
      </c>
    </row>
    <row r="1704" ht="15.75" customHeight="1">
      <c r="A1704" s="5">
        <v>86.0</v>
      </c>
      <c r="B1704" s="10" t="s">
        <v>1558</v>
      </c>
      <c r="C1704" s="3" t="s">
        <v>1559</v>
      </c>
      <c r="D1704" s="4" t="s">
        <v>8</v>
      </c>
      <c r="E1704" s="5" t="s">
        <v>4</v>
      </c>
      <c r="F1704" s="6" t="s">
        <v>1563</v>
      </c>
      <c r="G1704" s="7">
        <v>45029.0</v>
      </c>
      <c r="H1704" s="8">
        <f t="shared" si="1"/>
        <v>13</v>
      </c>
      <c r="I1704" s="9">
        <f t="shared" si="2"/>
        <v>4</v>
      </c>
      <c r="J1704" s="9">
        <f t="shared" si="3"/>
        <v>2023</v>
      </c>
    </row>
    <row r="1705" ht="15.75" customHeight="1">
      <c r="A1705" s="5">
        <v>86.0</v>
      </c>
      <c r="B1705" s="10" t="s">
        <v>1558</v>
      </c>
      <c r="C1705" s="3" t="s">
        <v>1559</v>
      </c>
      <c r="D1705" s="4" t="s">
        <v>3</v>
      </c>
      <c r="E1705" s="5" t="s">
        <v>15</v>
      </c>
      <c r="F1705" s="6" t="s">
        <v>1564</v>
      </c>
      <c r="G1705" s="7">
        <v>45041.0</v>
      </c>
      <c r="H1705" s="8">
        <f t="shared" si="1"/>
        <v>25</v>
      </c>
      <c r="I1705" s="9">
        <f t="shared" si="2"/>
        <v>4</v>
      </c>
      <c r="J1705" s="9">
        <f t="shared" si="3"/>
        <v>2023</v>
      </c>
    </row>
    <row r="1706" ht="15.75" customHeight="1">
      <c r="A1706" s="5">
        <v>86.0</v>
      </c>
      <c r="B1706" s="10" t="s">
        <v>1558</v>
      </c>
      <c r="C1706" s="3" t="s">
        <v>1559</v>
      </c>
      <c r="D1706" s="4" t="s">
        <v>3</v>
      </c>
      <c r="E1706" s="5" t="s">
        <v>13</v>
      </c>
      <c r="F1706" s="6" t="s">
        <v>487</v>
      </c>
      <c r="G1706" s="7">
        <v>45047.0</v>
      </c>
      <c r="H1706" s="8">
        <f t="shared" si="1"/>
        <v>1</v>
      </c>
      <c r="I1706" s="9">
        <f t="shared" si="2"/>
        <v>5</v>
      </c>
      <c r="J1706" s="9">
        <f t="shared" si="3"/>
        <v>2023</v>
      </c>
    </row>
    <row r="1707" ht="15.75" customHeight="1">
      <c r="A1707" s="5">
        <v>86.0</v>
      </c>
      <c r="B1707" s="10" t="s">
        <v>1558</v>
      </c>
      <c r="C1707" s="3" t="s">
        <v>1559</v>
      </c>
      <c r="D1707" s="4" t="s">
        <v>8</v>
      </c>
      <c r="E1707" s="5" t="s">
        <v>71</v>
      </c>
      <c r="F1707" s="6" t="s">
        <v>807</v>
      </c>
      <c r="G1707" s="7">
        <v>45096.0</v>
      </c>
      <c r="H1707" s="8">
        <f t="shared" si="1"/>
        <v>19</v>
      </c>
      <c r="I1707" s="9">
        <f t="shared" si="2"/>
        <v>6</v>
      </c>
      <c r="J1707" s="9">
        <f t="shared" si="3"/>
        <v>2023</v>
      </c>
    </row>
    <row r="1708" ht="15.75" customHeight="1">
      <c r="A1708" s="5">
        <v>86.0</v>
      </c>
      <c r="B1708" s="10" t="s">
        <v>1558</v>
      </c>
      <c r="C1708" s="3" t="s">
        <v>1559</v>
      </c>
      <c r="D1708" s="4" t="s">
        <v>3</v>
      </c>
      <c r="E1708" s="5" t="s">
        <v>42</v>
      </c>
      <c r="F1708" s="6" t="s">
        <v>309</v>
      </c>
      <c r="G1708" s="7">
        <v>45102.0</v>
      </c>
      <c r="H1708" s="8">
        <f t="shared" si="1"/>
        <v>25</v>
      </c>
      <c r="I1708" s="9">
        <f t="shared" si="2"/>
        <v>6</v>
      </c>
      <c r="J1708" s="9">
        <f t="shared" si="3"/>
        <v>2023</v>
      </c>
    </row>
    <row r="1709" ht="15.75" customHeight="1">
      <c r="A1709" s="5">
        <v>86.0</v>
      </c>
      <c r="B1709" s="10" t="s">
        <v>1558</v>
      </c>
      <c r="C1709" s="3" t="s">
        <v>1559</v>
      </c>
      <c r="D1709" s="4" t="s">
        <v>8</v>
      </c>
      <c r="E1709" s="5" t="s">
        <v>19</v>
      </c>
      <c r="F1709" s="6" t="s">
        <v>1565</v>
      </c>
      <c r="G1709" s="7">
        <v>45105.0</v>
      </c>
      <c r="H1709" s="8">
        <f t="shared" si="1"/>
        <v>28</v>
      </c>
      <c r="I1709" s="9">
        <f t="shared" si="2"/>
        <v>6</v>
      </c>
      <c r="J1709" s="9">
        <f t="shared" si="3"/>
        <v>2023</v>
      </c>
    </row>
    <row r="1710" ht="15.75" customHeight="1">
      <c r="A1710" s="5">
        <v>86.0</v>
      </c>
      <c r="B1710" s="10" t="s">
        <v>1558</v>
      </c>
      <c r="C1710" s="3" t="s">
        <v>1559</v>
      </c>
      <c r="D1710" s="4" t="s">
        <v>8</v>
      </c>
      <c r="E1710" s="5" t="s">
        <v>4</v>
      </c>
      <c r="F1710" s="6" t="s">
        <v>1068</v>
      </c>
      <c r="G1710" s="7">
        <v>45113.0</v>
      </c>
      <c r="H1710" s="8">
        <f t="shared" si="1"/>
        <v>6</v>
      </c>
      <c r="I1710" s="9">
        <f t="shared" si="2"/>
        <v>7</v>
      </c>
      <c r="J1710" s="9">
        <f t="shared" si="3"/>
        <v>2023</v>
      </c>
    </row>
    <row r="1711" ht="15.75" customHeight="1">
      <c r="A1711" s="5">
        <v>86.0</v>
      </c>
      <c r="B1711" s="10" t="s">
        <v>1558</v>
      </c>
      <c r="C1711" s="3" t="s">
        <v>1559</v>
      </c>
      <c r="D1711" s="4" t="s">
        <v>3</v>
      </c>
      <c r="E1711" s="5" t="s">
        <v>17</v>
      </c>
      <c r="F1711" s="6" t="s">
        <v>1566</v>
      </c>
      <c r="G1711" s="7">
        <v>45120.0</v>
      </c>
      <c r="H1711" s="8">
        <f t="shared" si="1"/>
        <v>13</v>
      </c>
      <c r="I1711" s="9">
        <f t="shared" si="2"/>
        <v>7</v>
      </c>
      <c r="J1711" s="9">
        <f t="shared" si="3"/>
        <v>2023</v>
      </c>
    </row>
    <row r="1712" ht="15.75" customHeight="1">
      <c r="A1712" s="5">
        <v>86.0</v>
      </c>
      <c r="B1712" s="10" t="s">
        <v>1558</v>
      </c>
      <c r="C1712" s="3" t="s">
        <v>1559</v>
      </c>
      <c r="D1712" s="4" t="s">
        <v>8</v>
      </c>
      <c r="E1712" s="5" t="s">
        <v>9</v>
      </c>
      <c r="F1712" s="6" t="s">
        <v>938</v>
      </c>
      <c r="G1712" s="7">
        <v>45124.0</v>
      </c>
      <c r="H1712" s="8">
        <f t="shared" si="1"/>
        <v>17</v>
      </c>
      <c r="I1712" s="9">
        <f t="shared" si="2"/>
        <v>7</v>
      </c>
      <c r="J1712" s="9">
        <f t="shared" si="3"/>
        <v>2023</v>
      </c>
    </row>
    <row r="1713" ht="15.75" customHeight="1">
      <c r="A1713" s="5">
        <v>86.0</v>
      </c>
      <c r="B1713" s="10" t="s">
        <v>1558</v>
      </c>
      <c r="C1713" s="3" t="s">
        <v>1559</v>
      </c>
      <c r="D1713" s="4" t="s">
        <v>3</v>
      </c>
      <c r="E1713" s="5" t="s">
        <v>28</v>
      </c>
      <c r="F1713" s="6" t="s">
        <v>1567</v>
      </c>
      <c r="G1713" s="7">
        <v>45149.0</v>
      </c>
      <c r="H1713" s="8">
        <f t="shared" si="1"/>
        <v>11</v>
      </c>
      <c r="I1713" s="9">
        <f t="shared" si="2"/>
        <v>8</v>
      </c>
      <c r="J1713" s="9">
        <f t="shared" si="3"/>
        <v>2023</v>
      </c>
    </row>
    <row r="1714" ht="15.75" customHeight="1">
      <c r="A1714" s="5">
        <v>86.0</v>
      </c>
      <c r="B1714" s="10" t="s">
        <v>1558</v>
      </c>
      <c r="C1714" s="3" t="s">
        <v>1559</v>
      </c>
      <c r="D1714" s="4" t="s">
        <v>3</v>
      </c>
      <c r="E1714" s="5" t="s">
        <v>11</v>
      </c>
      <c r="F1714" s="6" t="s">
        <v>1568</v>
      </c>
      <c r="G1714" s="7">
        <v>45156.0</v>
      </c>
      <c r="H1714" s="8">
        <f t="shared" si="1"/>
        <v>18</v>
      </c>
      <c r="I1714" s="9">
        <f t="shared" si="2"/>
        <v>8</v>
      </c>
      <c r="J1714" s="9">
        <f t="shared" si="3"/>
        <v>2023</v>
      </c>
    </row>
    <row r="1715" ht="15.75" customHeight="1">
      <c r="A1715" s="5">
        <v>86.0</v>
      </c>
      <c r="B1715" s="10" t="s">
        <v>1558</v>
      </c>
      <c r="C1715" s="3" t="s">
        <v>1559</v>
      </c>
      <c r="D1715" s="4" t="s">
        <v>3</v>
      </c>
      <c r="E1715" s="5" t="s">
        <v>4</v>
      </c>
      <c r="F1715" s="6" t="s">
        <v>1569</v>
      </c>
      <c r="G1715" s="7">
        <v>45213.0</v>
      </c>
      <c r="H1715" s="8">
        <f t="shared" si="1"/>
        <v>14</v>
      </c>
      <c r="I1715" s="9">
        <f t="shared" si="2"/>
        <v>10</v>
      </c>
      <c r="J1715" s="9">
        <f t="shared" si="3"/>
        <v>2023</v>
      </c>
    </row>
    <row r="1716" ht="15.75" customHeight="1">
      <c r="A1716" s="5">
        <v>86.0</v>
      </c>
      <c r="B1716" s="10" t="s">
        <v>1558</v>
      </c>
      <c r="C1716" s="3" t="s">
        <v>1559</v>
      </c>
      <c r="D1716" s="4" t="s">
        <v>8</v>
      </c>
      <c r="E1716" s="5" t="s">
        <v>21</v>
      </c>
      <c r="F1716" s="6" t="s">
        <v>570</v>
      </c>
      <c r="G1716" s="7">
        <v>45214.0</v>
      </c>
      <c r="H1716" s="8">
        <f t="shared" si="1"/>
        <v>15</v>
      </c>
      <c r="I1716" s="9">
        <f t="shared" si="2"/>
        <v>10</v>
      </c>
      <c r="J1716" s="9">
        <f t="shared" si="3"/>
        <v>2023</v>
      </c>
    </row>
    <row r="1717" ht="15.75" customHeight="1">
      <c r="A1717" s="5">
        <v>86.0</v>
      </c>
      <c r="B1717" s="10" t="s">
        <v>1558</v>
      </c>
      <c r="C1717" s="3" t="s">
        <v>1559</v>
      </c>
      <c r="D1717" s="4" t="s">
        <v>3</v>
      </c>
      <c r="E1717" s="5" t="s">
        <v>15</v>
      </c>
      <c r="F1717" s="6" t="s">
        <v>1570</v>
      </c>
      <c r="G1717" s="7">
        <v>45219.0</v>
      </c>
      <c r="H1717" s="8">
        <f t="shared" si="1"/>
        <v>20</v>
      </c>
      <c r="I1717" s="9">
        <f t="shared" si="2"/>
        <v>10</v>
      </c>
      <c r="J1717" s="9">
        <f t="shared" si="3"/>
        <v>2023</v>
      </c>
    </row>
    <row r="1718" ht="15.75" customHeight="1">
      <c r="A1718" s="5">
        <v>86.0</v>
      </c>
      <c r="B1718" s="10" t="s">
        <v>1558</v>
      </c>
      <c r="C1718" s="3" t="s">
        <v>1559</v>
      </c>
      <c r="D1718" s="4" t="s">
        <v>3</v>
      </c>
      <c r="E1718" s="5" t="s">
        <v>120</v>
      </c>
      <c r="F1718" s="6" t="s">
        <v>1571</v>
      </c>
      <c r="G1718" s="7">
        <v>45234.0</v>
      </c>
      <c r="H1718" s="8">
        <f t="shared" si="1"/>
        <v>4</v>
      </c>
      <c r="I1718" s="9">
        <f t="shared" si="2"/>
        <v>11</v>
      </c>
      <c r="J1718" s="9">
        <f t="shared" si="3"/>
        <v>2023</v>
      </c>
    </row>
    <row r="1719" ht="15.75" customHeight="1">
      <c r="A1719" s="5">
        <v>86.0</v>
      </c>
      <c r="B1719" s="10" t="s">
        <v>1558</v>
      </c>
      <c r="C1719" s="3" t="s">
        <v>1559</v>
      </c>
      <c r="D1719" s="4" t="s">
        <v>8</v>
      </c>
      <c r="E1719" s="5" t="s">
        <v>13</v>
      </c>
      <c r="F1719" s="6" t="s">
        <v>1572</v>
      </c>
      <c r="G1719" s="7">
        <v>45237.0</v>
      </c>
      <c r="H1719" s="8">
        <f t="shared" si="1"/>
        <v>7</v>
      </c>
      <c r="I1719" s="9">
        <f t="shared" si="2"/>
        <v>11</v>
      </c>
      <c r="J1719" s="9">
        <f t="shared" si="3"/>
        <v>2023</v>
      </c>
    </row>
    <row r="1720" ht="15.75" customHeight="1">
      <c r="A1720" s="5">
        <v>86.0</v>
      </c>
      <c r="B1720" s="10" t="s">
        <v>1558</v>
      </c>
      <c r="C1720" s="3" t="s">
        <v>1559</v>
      </c>
      <c r="D1720" s="4" t="s">
        <v>8</v>
      </c>
      <c r="E1720" s="5" t="s">
        <v>120</v>
      </c>
      <c r="F1720" s="6" t="s">
        <v>1573</v>
      </c>
      <c r="G1720" s="7">
        <v>45278.0</v>
      </c>
      <c r="H1720" s="8">
        <f t="shared" si="1"/>
        <v>18</v>
      </c>
      <c r="I1720" s="9">
        <f t="shared" si="2"/>
        <v>12</v>
      </c>
      <c r="J1720" s="9">
        <f t="shared" si="3"/>
        <v>2023</v>
      </c>
    </row>
    <row r="1721" ht="15.75" customHeight="1">
      <c r="A1721" s="5">
        <v>87.0</v>
      </c>
      <c r="B1721" s="10" t="s">
        <v>1574</v>
      </c>
      <c r="C1721" s="3" t="s">
        <v>1575</v>
      </c>
      <c r="D1721" s="4" t="s">
        <v>8</v>
      </c>
      <c r="E1721" s="5" t="s">
        <v>9</v>
      </c>
      <c r="F1721" s="6" t="s">
        <v>1098</v>
      </c>
      <c r="G1721" s="7">
        <v>44986.0</v>
      </c>
      <c r="H1721" s="8">
        <f t="shared" si="1"/>
        <v>1</v>
      </c>
      <c r="I1721" s="9">
        <f t="shared" si="2"/>
        <v>3</v>
      </c>
      <c r="J1721" s="9">
        <f t="shared" si="3"/>
        <v>2023</v>
      </c>
    </row>
    <row r="1722" ht="15.75" customHeight="1">
      <c r="A1722" s="5">
        <v>87.0</v>
      </c>
      <c r="B1722" s="10" t="s">
        <v>1574</v>
      </c>
      <c r="C1722" s="3" t="s">
        <v>1575</v>
      </c>
      <c r="D1722" s="4" t="s">
        <v>3</v>
      </c>
      <c r="E1722" s="5" t="s">
        <v>71</v>
      </c>
      <c r="F1722" s="6" t="s">
        <v>1576</v>
      </c>
      <c r="G1722" s="7">
        <v>44992.0</v>
      </c>
      <c r="H1722" s="8">
        <f t="shared" si="1"/>
        <v>7</v>
      </c>
      <c r="I1722" s="9">
        <f t="shared" si="2"/>
        <v>3</v>
      </c>
      <c r="J1722" s="9">
        <f t="shared" si="3"/>
        <v>2023</v>
      </c>
    </row>
    <row r="1723" ht="15.75" customHeight="1">
      <c r="A1723" s="5">
        <v>87.0</v>
      </c>
      <c r="B1723" s="10" t="s">
        <v>1574</v>
      </c>
      <c r="C1723" s="3" t="s">
        <v>1575</v>
      </c>
      <c r="D1723" s="4" t="s">
        <v>8</v>
      </c>
      <c r="E1723" s="5" t="s">
        <v>13</v>
      </c>
      <c r="F1723" s="6" t="s">
        <v>900</v>
      </c>
      <c r="G1723" s="7">
        <v>45034.0</v>
      </c>
      <c r="H1723" s="8">
        <f t="shared" si="1"/>
        <v>18</v>
      </c>
      <c r="I1723" s="9">
        <f t="shared" si="2"/>
        <v>4</v>
      </c>
      <c r="J1723" s="9">
        <f t="shared" si="3"/>
        <v>2023</v>
      </c>
    </row>
    <row r="1724" ht="15.75" customHeight="1">
      <c r="A1724" s="5">
        <v>87.0</v>
      </c>
      <c r="B1724" s="10" t="s">
        <v>1574</v>
      </c>
      <c r="C1724" s="3" t="s">
        <v>1575</v>
      </c>
      <c r="D1724" s="4" t="s">
        <v>3</v>
      </c>
      <c r="E1724" s="5" t="s">
        <v>23</v>
      </c>
      <c r="F1724" s="6" t="s">
        <v>46</v>
      </c>
      <c r="G1724" s="7">
        <v>45042.0</v>
      </c>
      <c r="H1724" s="8">
        <f t="shared" si="1"/>
        <v>26</v>
      </c>
      <c r="I1724" s="9">
        <f t="shared" si="2"/>
        <v>4</v>
      </c>
      <c r="J1724" s="9">
        <f t="shared" si="3"/>
        <v>2023</v>
      </c>
    </row>
    <row r="1725" ht="15.75" customHeight="1">
      <c r="A1725" s="5">
        <v>87.0</v>
      </c>
      <c r="B1725" s="10" t="s">
        <v>1574</v>
      </c>
      <c r="C1725" s="3" t="s">
        <v>1575</v>
      </c>
      <c r="D1725" s="4" t="s">
        <v>8</v>
      </c>
      <c r="E1725" s="5" t="s">
        <v>23</v>
      </c>
      <c r="F1725" s="6" t="s">
        <v>626</v>
      </c>
      <c r="G1725" s="7">
        <v>45049.0</v>
      </c>
      <c r="H1725" s="8">
        <f t="shared" si="1"/>
        <v>3</v>
      </c>
      <c r="I1725" s="9">
        <f t="shared" si="2"/>
        <v>5</v>
      </c>
      <c r="J1725" s="9">
        <f t="shared" si="3"/>
        <v>2023</v>
      </c>
    </row>
    <row r="1726" ht="15.75" customHeight="1">
      <c r="A1726" s="5">
        <v>87.0</v>
      </c>
      <c r="B1726" s="10" t="s">
        <v>1574</v>
      </c>
      <c r="C1726" s="3" t="s">
        <v>1575</v>
      </c>
      <c r="D1726" s="4" t="s">
        <v>8</v>
      </c>
      <c r="E1726" s="5" t="s">
        <v>71</v>
      </c>
      <c r="F1726" s="6" t="s">
        <v>1577</v>
      </c>
      <c r="G1726" s="7">
        <v>45069.0</v>
      </c>
      <c r="H1726" s="8">
        <f t="shared" si="1"/>
        <v>23</v>
      </c>
      <c r="I1726" s="9">
        <f t="shared" si="2"/>
        <v>5</v>
      </c>
      <c r="J1726" s="9">
        <f t="shared" si="3"/>
        <v>2023</v>
      </c>
    </row>
    <row r="1727" ht="15.75" customHeight="1">
      <c r="A1727" s="5">
        <v>87.0</v>
      </c>
      <c r="B1727" s="10" t="s">
        <v>1574</v>
      </c>
      <c r="C1727" s="3" t="s">
        <v>1575</v>
      </c>
      <c r="D1727" s="4" t="s">
        <v>8</v>
      </c>
      <c r="E1727" s="5" t="s">
        <v>23</v>
      </c>
      <c r="F1727" s="6" t="s">
        <v>1578</v>
      </c>
      <c r="G1727" s="7">
        <v>45087.0</v>
      </c>
      <c r="H1727" s="8">
        <f t="shared" si="1"/>
        <v>10</v>
      </c>
      <c r="I1727" s="9">
        <f t="shared" si="2"/>
        <v>6</v>
      </c>
      <c r="J1727" s="9">
        <f t="shared" si="3"/>
        <v>2023</v>
      </c>
    </row>
    <row r="1728" ht="15.75" customHeight="1">
      <c r="A1728" s="5">
        <v>87.0</v>
      </c>
      <c r="B1728" s="10" t="s">
        <v>1574</v>
      </c>
      <c r="C1728" s="3" t="s">
        <v>1575</v>
      </c>
      <c r="D1728" s="4" t="s">
        <v>8</v>
      </c>
      <c r="E1728" s="5" t="s">
        <v>13</v>
      </c>
      <c r="F1728" s="6" t="s">
        <v>1579</v>
      </c>
      <c r="G1728" s="7">
        <v>45105.0</v>
      </c>
      <c r="H1728" s="8">
        <f t="shared" si="1"/>
        <v>28</v>
      </c>
      <c r="I1728" s="9">
        <f t="shared" si="2"/>
        <v>6</v>
      </c>
      <c r="J1728" s="9">
        <f t="shared" si="3"/>
        <v>2023</v>
      </c>
    </row>
    <row r="1729" ht="15.75" customHeight="1">
      <c r="A1729" s="5">
        <v>87.0</v>
      </c>
      <c r="B1729" s="10" t="s">
        <v>1574</v>
      </c>
      <c r="C1729" s="3" t="s">
        <v>1575</v>
      </c>
      <c r="D1729" s="4" t="s">
        <v>3</v>
      </c>
      <c r="E1729" s="5" t="s">
        <v>42</v>
      </c>
      <c r="F1729" s="6" t="s">
        <v>439</v>
      </c>
      <c r="G1729" s="7">
        <v>45108.0</v>
      </c>
      <c r="H1729" s="8">
        <f t="shared" si="1"/>
        <v>1</v>
      </c>
      <c r="I1729" s="9">
        <f t="shared" si="2"/>
        <v>7</v>
      </c>
      <c r="J1729" s="9">
        <f t="shared" si="3"/>
        <v>2023</v>
      </c>
    </row>
    <row r="1730" ht="15.75" customHeight="1">
      <c r="A1730" s="5">
        <v>87.0</v>
      </c>
      <c r="B1730" s="10" t="s">
        <v>1574</v>
      </c>
      <c r="C1730" s="3" t="s">
        <v>1575</v>
      </c>
      <c r="D1730" s="4" t="s">
        <v>3</v>
      </c>
      <c r="E1730" s="5" t="s">
        <v>9</v>
      </c>
      <c r="F1730" s="6" t="s">
        <v>1580</v>
      </c>
      <c r="G1730" s="7">
        <v>45134.0</v>
      </c>
      <c r="H1730" s="8">
        <f t="shared" si="1"/>
        <v>27</v>
      </c>
      <c r="I1730" s="9">
        <f t="shared" si="2"/>
        <v>7</v>
      </c>
      <c r="J1730" s="9">
        <f t="shared" si="3"/>
        <v>2023</v>
      </c>
    </row>
    <row r="1731" ht="15.75" customHeight="1">
      <c r="A1731" s="5">
        <v>87.0</v>
      </c>
      <c r="B1731" s="10" t="s">
        <v>1574</v>
      </c>
      <c r="C1731" s="3" t="s">
        <v>1575</v>
      </c>
      <c r="D1731" s="4" t="s">
        <v>8</v>
      </c>
      <c r="E1731" s="5" t="s">
        <v>21</v>
      </c>
      <c r="F1731" s="6" t="s">
        <v>649</v>
      </c>
      <c r="G1731" s="7">
        <v>45166.0</v>
      </c>
      <c r="H1731" s="8">
        <f t="shared" si="1"/>
        <v>28</v>
      </c>
      <c r="I1731" s="9">
        <f t="shared" si="2"/>
        <v>8</v>
      </c>
      <c r="J1731" s="9">
        <f t="shared" si="3"/>
        <v>2023</v>
      </c>
    </row>
    <row r="1732" ht="15.75" customHeight="1">
      <c r="A1732" s="5">
        <v>87.0</v>
      </c>
      <c r="B1732" s="10" t="s">
        <v>1574</v>
      </c>
      <c r="C1732" s="3" t="s">
        <v>1575</v>
      </c>
      <c r="D1732" s="4" t="s">
        <v>3</v>
      </c>
      <c r="E1732" s="5" t="s">
        <v>51</v>
      </c>
      <c r="F1732" s="6" t="s">
        <v>1581</v>
      </c>
      <c r="G1732" s="7">
        <v>45181.0</v>
      </c>
      <c r="H1732" s="8">
        <f t="shared" si="1"/>
        <v>12</v>
      </c>
      <c r="I1732" s="9">
        <f t="shared" si="2"/>
        <v>9</v>
      </c>
      <c r="J1732" s="9">
        <f t="shared" si="3"/>
        <v>2023</v>
      </c>
    </row>
    <row r="1733" ht="15.75" customHeight="1">
      <c r="A1733" s="5">
        <v>87.0</v>
      </c>
      <c r="B1733" s="10" t="s">
        <v>1574</v>
      </c>
      <c r="C1733" s="3" t="s">
        <v>1575</v>
      </c>
      <c r="D1733" s="4" t="s">
        <v>3</v>
      </c>
      <c r="E1733" s="5" t="s">
        <v>15</v>
      </c>
      <c r="F1733" s="6" t="s">
        <v>1440</v>
      </c>
      <c r="G1733" s="7">
        <v>45196.0</v>
      </c>
      <c r="H1733" s="8">
        <f t="shared" si="1"/>
        <v>27</v>
      </c>
      <c r="I1733" s="9">
        <f t="shared" si="2"/>
        <v>9</v>
      </c>
      <c r="J1733" s="9">
        <f t="shared" si="3"/>
        <v>2023</v>
      </c>
    </row>
    <row r="1734" ht="15.75" customHeight="1">
      <c r="A1734" s="5">
        <v>87.0</v>
      </c>
      <c r="B1734" s="10" t="s">
        <v>1574</v>
      </c>
      <c r="C1734" s="3" t="s">
        <v>1575</v>
      </c>
      <c r="D1734" s="4" t="s">
        <v>3</v>
      </c>
      <c r="E1734" s="5" t="s">
        <v>76</v>
      </c>
      <c r="F1734" s="6" t="s">
        <v>1582</v>
      </c>
      <c r="G1734" s="7">
        <v>45210.0</v>
      </c>
      <c r="H1734" s="8">
        <f t="shared" si="1"/>
        <v>11</v>
      </c>
      <c r="I1734" s="9">
        <f t="shared" si="2"/>
        <v>10</v>
      </c>
      <c r="J1734" s="9">
        <f t="shared" si="3"/>
        <v>2023</v>
      </c>
    </row>
    <row r="1735" ht="15.75" customHeight="1">
      <c r="A1735" s="5">
        <v>87.0</v>
      </c>
      <c r="B1735" s="10" t="s">
        <v>1574</v>
      </c>
      <c r="C1735" s="3" t="s">
        <v>1575</v>
      </c>
      <c r="D1735" s="4" t="s">
        <v>3</v>
      </c>
      <c r="E1735" s="5" t="s">
        <v>6</v>
      </c>
      <c r="F1735" s="6" t="s">
        <v>1583</v>
      </c>
      <c r="G1735" s="7">
        <v>45211.0</v>
      </c>
      <c r="H1735" s="8">
        <f t="shared" si="1"/>
        <v>12</v>
      </c>
      <c r="I1735" s="9">
        <f t="shared" si="2"/>
        <v>10</v>
      </c>
      <c r="J1735" s="9">
        <f t="shared" si="3"/>
        <v>2023</v>
      </c>
    </row>
    <row r="1736" ht="15.75" customHeight="1">
      <c r="A1736" s="5">
        <v>87.0</v>
      </c>
      <c r="B1736" s="10" t="s">
        <v>1574</v>
      </c>
      <c r="C1736" s="3" t="s">
        <v>1575</v>
      </c>
      <c r="D1736" s="4" t="s">
        <v>3</v>
      </c>
      <c r="E1736" s="5" t="s">
        <v>28</v>
      </c>
      <c r="F1736" s="6" t="s">
        <v>1055</v>
      </c>
      <c r="G1736" s="7">
        <v>45217.0</v>
      </c>
      <c r="H1736" s="8">
        <f t="shared" si="1"/>
        <v>18</v>
      </c>
      <c r="I1736" s="9">
        <f t="shared" si="2"/>
        <v>10</v>
      </c>
      <c r="J1736" s="9">
        <f t="shared" si="3"/>
        <v>2023</v>
      </c>
    </row>
    <row r="1737" ht="15.75" customHeight="1">
      <c r="A1737" s="5">
        <v>87.0</v>
      </c>
      <c r="B1737" s="10" t="s">
        <v>1574</v>
      </c>
      <c r="C1737" s="3" t="s">
        <v>1575</v>
      </c>
      <c r="D1737" s="4" t="s">
        <v>3</v>
      </c>
      <c r="E1737" s="5" t="s">
        <v>21</v>
      </c>
      <c r="F1737" s="6" t="s">
        <v>1584</v>
      </c>
      <c r="G1737" s="7">
        <v>45222.0</v>
      </c>
      <c r="H1737" s="8">
        <f t="shared" si="1"/>
        <v>23</v>
      </c>
      <c r="I1737" s="9">
        <f t="shared" si="2"/>
        <v>10</v>
      </c>
      <c r="J1737" s="9">
        <f t="shared" si="3"/>
        <v>2023</v>
      </c>
    </row>
    <row r="1738" ht="15.75" customHeight="1">
      <c r="A1738" s="5">
        <v>87.0</v>
      </c>
      <c r="B1738" s="10" t="s">
        <v>1574</v>
      </c>
      <c r="C1738" s="3" t="s">
        <v>1575</v>
      </c>
      <c r="D1738" s="4" t="s">
        <v>3</v>
      </c>
      <c r="E1738" s="5" t="s">
        <v>9</v>
      </c>
      <c r="F1738" s="6" t="s">
        <v>644</v>
      </c>
      <c r="G1738" s="7">
        <v>45239.0</v>
      </c>
      <c r="H1738" s="8">
        <f t="shared" si="1"/>
        <v>9</v>
      </c>
      <c r="I1738" s="9">
        <f t="shared" si="2"/>
        <v>11</v>
      </c>
      <c r="J1738" s="9">
        <f t="shared" si="3"/>
        <v>2023</v>
      </c>
    </row>
    <row r="1739" ht="15.75" customHeight="1">
      <c r="A1739" s="5">
        <v>87.0</v>
      </c>
      <c r="B1739" s="10" t="s">
        <v>1574</v>
      </c>
      <c r="C1739" s="3" t="s">
        <v>1575</v>
      </c>
      <c r="D1739" s="4" t="s">
        <v>8</v>
      </c>
      <c r="E1739" s="5" t="s">
        <v>15</v>
      </c>
      <c r="F1739" s="6" t="s">
        <v>509</v>
      </c>
      <c r="G1739" s="7">
        <v>45255.0</v>
      </c>
      <c r="H1739" s="8">
        <f t="shared" si="1"/>
        <v>25</v>
      </c>
      <c r="I1739" s="9">
        <f t="shared" si="2"/>
        <v>11</v>
      </c>
      <c r="J1739" s="9">
        <f t="shared" si="3"/>
        <v>2023</v>
      </c>
    </row>
    <row r="1740" ht="15.75" customHeight="1">
      <c r="A1740" s="5">
        <v>87.0</v>
      </c>
      <c r="B1740" s="10" t="s">
        <v>1574</v>
      </c>
      <c r="C1740" s="3" t="s">
        <v>1575</v>
      </c>
      <c r="D1740" s="4" t="s">
        <v>3</v>
      </c>
      <c r="E1740" s="5" t="s">
        <v>19</v>
      </c>
      <c r="F1740" s="6" t="s">
        <v>1585</v>
      </c>
      <c r="G1740" s="7">
        <v>45277.0</v>
      </c>
      <c r="H1740" s="8">
        <f t="shared" si="1"/>
        <v>17</v>
      </c>
      <c r="I1740" s="9">
        <f t="shared" si="2"/>
        <v>12</v>
      </c>
      <c r="J1740" s="9">
        <f t="shared" si="3"/>
        <v>2023</v>
      </c>
    </row>
    <row r="1741" ht="15.75" customHeight="1">
      <c r="A1741" s="5">
        <v>88.0</v>
      </c>
      <c r="B1741" s="10" t="s">
        <v>367</v>
      </c>
      <c r="C1741" s="3" t="s">
        <v>1586</v>
      </c>
      <c r="D1741" s="4" t="s">
        <v>8</v>
      </c>
      <c r="E1741" s="5" t="s">
        <v>76</v>
      </c>
      <c r="F1741" s="6" t="s">
        <v>1587</v>
      </c>
      <c r="G1741" s="7">
        <v>44954.0</v>
      </c>
      <c r="H1741" s="8">
        <f t="shared" si="1"/>
        <v>28</v>
      </c>
      <c r="I1741" s="9">
        <f t="shared" si="2"/>
        <v>1</v>
      </c>
      <c r="J1741" s="9">
        <f t="shared" si="3"/>
        <v>2023</v>
      </c>
    </row>
    <row r="1742" ht="15.75" customHeight="1">
      <c r="A1742" s="5">
        <v>88.0</v>
      </c>
      <c r="B1742" s="10" t="s">
        <v>367</v>
      </c>
      <c r="C1742" s="3" t="s">
        <v>1586</v>
      </c>
      <c r="D1742" s="4" t="s">
        <v>3</v>
      </c>
      <c r="E1742" s="5" t="s">
        <v>15</v>
      </c>
      <c r="F1742" s="6" t="s">
        <v>1588</v>
      </c>
      <c r="G1742" s="7">
        <v>44963.0</v>
      </c>
      <c r="H1742" s="8">
        <f t="shared" si="1"/>
        <v>6</v>
      </c>
      <c r="I1742" s="9">
        <f t="shared" si="2"/>
        <v>2</v>
      </c>
      <c r="J1742" s="9">
        <f t="shared" si="3"/>
        <v>2023</v>
      </c>
    </row>
    <row r="1743" ht="15.75" customHeight="1">
      <c r="A1743" s="5">
        <v>88.0</v>
      </c>
      <c r="B1743" s="10" t="s">
        <v>367</v>
      </c>
      <c r="C1743" s="3" t="s">
        <v>1586</v>
      </c>
      <c r="D1743" s="4" t="s">
        <v>8</v>
      </c>
      <c r="E1743" s="5" t="s">
        <v>35</v>
      </c>
      <c r="F1743" s="6" t="s">
        <v>266</v>
      </c>
      <c r="G1743" s="7">
        <v>44996.0</v>
      </c>
      <c r="H1743" s="8">
        <f t="shared" si="1"/>
        <v>11</v>
      </c>
      <c r="I1743" s="9">
        <f t="shared" si="2"/>
        <v>3</v>
      </c>
      <c r="J1743" s="9">
        <f t="shared" si="3"/>
        <v>2023</v>
      </c>
    </row>
    <row r="1744" ht="15.75" customHeight="1">
      <c r="A1744" s="5">
        <v>88.0</v>
      </c>
      <c r="B1744" s="10" t="s">
        <v>367</v>
      </c>
      <c r="C1744" s="3" t="s">
        <v>1586</v>
      </c>
      <c r="D1744" s="4" t="s">
        <v>8</v>
      </c>
      <c r="E1744" s="5" t="s">
        <v>17</v>
      </c>
      <c r="F1744" s="6" t="s">
        <v>949</v>
      </c>
      <c r="G1744" s="7">
        <v>45028.0</v>
      </c>
      <c r="H1744" s="8">
        <f t="shared" si="1"/>
        <v>12</v>
      </c>
      <c r="I1744" s="9">
        <f t="shared" si="2"/>
        <v>4</v>
      </c>
      <c r="J1744" s="9">
        <f t="shared" si="3"/>
        <v>2023</v>
      </c>
    </row>
    <row r="1745" ht="15.75" customHeight="1">
      <c r="A1745" s="5">
        <v>88.0</v>
      </c>
      <c r="B1745" s="10" t="s">
        <v>367</v>
      </c>
      <c r="C1745" s="3" t="s">
        <v>1586</v>
      </c>
      <c r="D1745" s="4" t="s">
        <v>3</v>
      </c>
      <c r="E1745" s="5" t="s">
        <v>19</v>
      </c>
      <c r="F1745" s="6" t="s">
        <v>1589</v>
      </c>
      <c r="G1745" s="7">
        <v>45035.0</v>
      </c>
      <c r="H1745" s="8">
        <f t="shared" si="1"/>
        <v>19</v>
      </c>
      <c r="I1745" s="9">
        <f t="shared" si="2"/>
        <v>4</v>
      </c>
      <c r="J1745" s="9">
        <f t="shared" si="3"/>
        <v>2023</v>
      </c>
    </row>
    <row r="1746" ht="15.75" customHeight="1">
      <c r="A1746" s="5">
        <v>88.0</v>
      </c>
      <c r="B1746" s="10" t="s">
        <v>367</v>
      </c>
      <c r="C1746" s="3" t="s">
        <v>1586</v>
      </c>
      <c r="D1746" s="4" t="s">
        <v>8</v>
      </c>
      <c r="E1746" s="5" t="s">
        <v>19</v>
      </c>
      <c r="F1746" s="6" t="s">
        <v>1367</v>
      </c>
      <c r="G1746" s="7">
        <v>45038.0</v>
      </c>
      <c r="H1746" s="8">
        <f t="shared" si="1"/>
        <v>22</v>
      </c>
      <c r="I1746" s="9">
        <f t="shared" si="2"/>
        <v>4</v>
      </c>
      <c r="J1746" s="9">
        <f t="shared" si="3"/>
        <v>2023</v>
      </c>
    </row>
    <row r="1747" ht="15.75" customHeight="1">
      <c r="A1747" s="5">
        <v>88.0</v>
      </c>
      <c r="B1747" s="10" t="s">
        <v>367</v>
      </c>
      <c r="C1747" s="3" t="s">
        <v>1586</v>
      </c>
      <c r="D1747" s="4" t="s">
        <v>8</v>
      </c>
      <c r="E1747" s="5" t="s">
        <v>35</v>
      </c>
      <c r="F1747" s="6" t="s">
        <v>1590</v>
      </c>
      <c r="G1747" s="7">
        <v>45043.0</v>
      </c>
      <c r="H1747" s="8">
        <f t="shared" si="1"/>
        <v>27</v>
      </c>
      <c r="I1747" s="9">
        <f t="shared" si="2"/>
        <v>4</v>
      </c>
      <c r="J1747" s="9">
        <f t="shared" si="3"/>
        <v>2023</v>
      </c>
    </row>
    <row r="1748" ht="15.75" customHeight="1">
      <c r="A1748" s="5">
        <v>88.0</v>
      </c>
      <c r="B1748" s="10" t="s">
        <v>367</v>
      </c>
      <c r="C1748" s="3" t="s">
        <v>1586</v>
      </c>
      <c r="D1748" s="4" t="s">
        <v>3</v>
      </c>
      <c r="E1748" s="5" t="s">
        <v>17</v>
      </c>
      <c r="F1748" s="6" t="s">
        <v>1591</v>
      </c>
      <c r="G1748" s="7">
        <v>45048.0</v>
      </c>
      <c r="H1748" s="8">
        <f t="shared" si="1"/>
        <v>2</v>
      </c>
      <c r="I1748" s="9">
        <f t="shared" si="2"/>
        <v>5</v>
      </c>
      <c r="J1748" s="9">
        <f t="shared" si="3"/>
        <v>2023</v>
      </c>
    </row>
    <row r="1749" ht="15.75" customHeight="1">
      <c r="A1749" s="5">
        <v>88.0</v>
      </c>
      <c r="B1749" s="10" t="s">
        <v>367</v>
      </c>
      <c r="C1749" s="3" t="s">
        <v>1586</v>
      </c>
      <c r="D1749" s="4" t="s">
        <v>3</v>
      </c>
      <c r="E1749" s="5" t="s">
        <v>76</v>
      </c>
      <c r="F1749" s="6" t="s">
        <v>1592</v>
      </c>
      <c r="G1749" s="7">
        <v>45065.0</v>
      </c>
      <c r="H1749" s="8">
        <f t="shared" si="1"/>
        <v>19</v>
      </c>
      <c r="I1749" s="9">
        <f t="shared" si="2"/>
        <v>5</v>
      </c>
      <c r="J1749" s="9">
        <f t="shared" si="3"/>
        <v>2023</v>
      </c>
    </row>
    <row r="1750" ht="15.75" customHeight="1">
      <c r="A1750" s="5">
        <v>88.0</v>
      </c>
      <c r="B1750" s="10" t="s">
        <v>367</v>
      </c>
      <c r="C1750" s="3" t="s">
        <v>1586</v>
      </c>
      <c r="D1750" s="4" t="s">
        <v>3</v>
      </c>
      <c r="E1750" s="5" t="s">
        <v>21</v>
      </c>
      <c r="F1750" s="6" t="s">
        <v>1593</v>
      </c>
      <c r="G1750" s="7">
        <v>45070.0</v>
      </c>
      <c r="H1750" s="8">
        <f t="shared" si="1"/>
        <v>24</v>
      </c>
      <c r="I1750" s="9">
        <f t="shared" si="2"/>
        <v>5</v>
      </c>
      <c r="J1750" s="9">
        <f t="shared" si="3"/>
        <v>2023</v>
      </c>
    </row>
    <row r="1751" ht="15.75" customHeight="1">
      <c r="A1751" s="5">
        <v>88.0</v>
      </c>
      <c r="B1751" s="10" t="s">
        <v>367</v>
      </c>
      <c r="C1751" s="3" t="s">
        <v>1586</v>
      </c>
      <c r="D1751" s="4" t="s">
        <v>3</v>
      </c>
      <c r="E1751" s="5" t="s">
        <v>6</v>
      </c>
      <c r="F1751" s="6" t="s">
        <v>1594</v>
      </c>
      <c r="G1751" s="7">
        <v>45083.0</v>
      </c>
      <c r="H1751" s="8">
        <f t="shared" si="1"/>
        <v>6</v>
      </c>
      <c r="I1751" s="9">
        <f t="shared" si="2"/>
        <v>6</v>
      </c>
      <c r="J1751" s="9">
        <f t="shared" si="3"/>
        <v>2023</v>
      </c>
    </row>
    <row r="1752" ht="15.75" customHeight="1">
      <c r="A1752" s="5">
        <v>88.0</v>
      </c>
      <c r="B1752" s="10" t="s">
        <v>367</v>
      </c>
      <c r="C1752" s="3" t="s">
        <v>1586</v>
      </c>
      <c r="D1752" s="4" t="s">
        <v>8</v>
      </c>
      <c r="E1752" s="5" t="s">
        <v>6</v>
      </c>
      <c r="F1752" s="6" t="s">
        <v>1595</v>
      </c>
      <c r="G1752" s="7">
        <v>45117.0</v>
      </c>
      <c r="H1752" s="8">
        <f t="shared" si="1"/>
        <v>10</v>
      </c>
      <c r="I1752" s="9">
        <f t="shared" si="2"/>
        <v>7</v>
      </c>
      <c r="J1752" s="9">
        <f t="shared" si="3"/>
        <v>2023</v>
      </c>
    </row>
    <row r="1753" ht="15.75" customHeight="1">
      <c r="A1753" s="5">
        <v>88.0</v>
      </c>
      <c r="B1753" s="10" t="s">
        <v>367</v>
      </c>
      <c r="C1753" s="3" t="s">
        <v>1586</v>
      </c>
      <c r="D1753" s="4" t="s">
        <v>3</v>
      </c>
      <c r="E1753" s="5" t="s">
        <v>19</v>
      </c>
      <c r="F1753" s="6" t="s">
        <v>26</v>
      </c>
      <c r="G1753" s="7">
        <v>45125.0</v>
      </c>
      <c r="H1753" s="8">
        <f t="shared" si="1"/>
        <v>18</v>
      </c>
      <c r="I1753" s="9">
        <f t="shared" si="2"/>
        <v>7</v>
      </c>
      <c r="J1753" s="9">
        <f t="shared" si="3"/>
        <v>2023</v>
      </c>
    </row>
    <row r="1754" ht="15.75" customHeight="1">
      <c r="A1754" s="5">
        <v>88.0</v>
      </c>
      <c r="B1754" s="10" t="s">
        <v>367</v>
      </c>
      <c r="C1754" s="3" t="s">
        <v>1586</v>
      </c>
      <c r="D1754" s="4" t="s">
        <v>3</v>
      </c>
      <c r="E1754" s="5" t="s">
        <v>6</v>
      </c>
      <c r="F1754" s="6" t="s">
        <v>1596</v>
      </c>
      <c r="G1754" s="7">
        <v>45129.0</v>
      </c>
      <c r="H1754" s="8">
        <f t="shared" si="1"/>
        <v>22</v>
      </c>
      <c r="I1754" s="9">
        <f t="shared" si="2"/>
        <v>7</v>
      </c>
      <c r="J1754" s="9">
        <f t="shared" si="3"/>
        <v>2023</v>
      </c>
    </row>
    <row r="1755" ht="15.75" customHeight="1">
      <c r="A1755" s="5">
        <v>88.0</v>
      </c>
      <c r="B1755" s="10" t="s">
        <v>367</v>
      </c>
      <c r="C1755" s="3" t="s">
        <v>1586</v>
      </c>
      <c r="D1755" s="4" t="s">
        <v>3</v>
      </c>
      <c r="E1755" s="5" t="s">
        <v>9</v>
      </c>
      <c r="F1755" s="6" t="s">
        <v>1597</v>
      </c>
      <c r="G1755" s="7">
        <v>45144.0</v>
      </c>
      <c r="H1755" s="8">
        <f t="shared" si="1"/>
        <v>6</v>
      </c>
      <c r="I1755" s="9">
        <f t="shared" si="2"/>
        <v>8</v>
      </c>
      <c r="J1755" s="9">
        <f t="shared" si="3"/>
        <v>2023</v>
      </c>
    </row>
    <row r="1756" ht="15.75" customHeight="1">
      <c r="A1756" s="5">
        <v>88.0</v>
      </c>
      <c r="B1756" s="10" t="s">
        <v>367</v>
      </c>
      <c r="C1756" s="3" t="s">
        <v>1586</v>
      </c>
      <c r="D1756" s="4" t="s">
        <v>3</v>
      </c>
      <c r="E1756" s="5" t="s">
        <v>120</v>
      </c>
      <c r="F1756" s="6" t="s">
        <v>971</v>
      </c>
      <c r="G1756" s="7">
        <v>45162.0</v>
      </c>
      <c r="H1756" s="8">
        <f t="shared" si="1"/>
        <v>24</v>
      </c>
      <c r="I1756" s="9">
        <f t="shared" si="2"/>
        <v>8</v>
      </c>
      <c r="J1756" s="9">
        <f t="shared" si="3"/>
        <v>2023</v>
      </c>
    </row>
    <row r="1757" ht="15.75" customHeight="1">
      <c r="A1757" s="5">
        <v>88.0</v>
      </c>
      <c r="B1757" s="10" t="s">
        <v>367</v>
      </c>
      <c r="C1757" s="3" t="s">
        <v>1586</v>
      </c>
      <c r="D1757" s="4" t="s">
        <v>8</v>
      </c>
      <c r="E1757" s="5" t="s">
        <v>96</v>
      </c>
      <c r="F1757" s="6" t="s">
        <v>1598</v>
      </c>
      <c r="G1757" s="7">
        <v>45214.0</v>
      </c>
      <c r="H1757" s="8">
        <f t="shared" si="1"/>
        <v>15</v>
      </c>
      <c r="I1757" s="9">
        <f t="shared" si="2"/>
        <v>10</v>
      </c>
      <c r="J1757" s="9">
        <f t="shared" si="3"/>
        <v>2023</v>
      </c>
    </row>
    <row r="1758" ht="15.75" customHeight="1">
      <c r="A1758" s="5">
        <v>88.0</v>
      </c>
      <c r="B1758" s="10" t="s">
        <v>367</v>
      </c>
      <c r="C1758" s="3" t="s">
        <v>1586</v>
      </c>
      <c r="D1758" s="4" t="s">
        <v>8</v>
      </c>
      <c r="E1758" s="5" t="s">
        <v>35</v>
      </c>
      <c r="F1758" s="6" t="s">
        <v>1599</v>
      </c>
      <c r="G1758" s="7">
        <v>45218.0</v>
      </c>
      <c r="H1758" s="8">
        <f t="shared" si="1"/>
        <v>19</v>
      </c>
      <c r="I1758" s="9">
        <f t="shared" si="2"/>
        <v>10</v>
      </c>
      <c r="J1758" s="9">
        <f t="shared" si="3"/>
        <v>2023</v>
      </c>
    </row>
    <row r="1759" ht="15.75" customHeight="1">
      <c r="A1759" s="5">
        <v>88.0</v>
      </c>
      <c r="B1759" s="10" t="s">
        <v>367</v>
      </c>
      <c r="C1759" s="3" t="s">
        <v>1586</v>
      </c>
      <c r="D1759" s="4" t="s">
        <v>3</v>
      </c>
      <c r="E1759" s="5" t="s">
        <v>45</v>
      </c>
      <c r="F1759" s="6" t="s">
        <v>1600</v>
      </c>
      <c r="G1759" s="7">
        <v>45243.0</v>
      </c>
      <c r="H1759" s="8">
        <f t="shared" si="1"/>
        <v>13</v>
      </c>
      <c r="I1759" s="9">
        <f t="shared" si="2"/>
        <v>11</v>
      </c>
      <c r="J1759" s="9">
        <f t="shared" si="3"/>
        <v>2023</v>
      </c>
    </row>
    <row r="1760" ht="15.75" customHeight="1">
      <c r="A1760" s="5">
        <v>88.0</v>
      </c>
      <c r="B1760" s="10" t="s">
        <v>367</v>
      </c>
      <c r="C1760" s="3" t="s">
        <v>1586</v>
      </c>
      <c r="D1760" s="4" t="s">
        <v>8</v>
      </c>
      <c r="E1760" s="5" t="s">
        <v>23</v>
      </c>
      <c r="F1760" s="6" t="s">
        <v>1601</v>
      </c>
      <c r="G1760" s="7">
        <v>45257.0</v>
      </c>
      <c r="H1760" s="8">
        <f t="shared" si="1"/>
        <v>27</v>
      </c>
      <c r="I1760" s="9">
        <f t="shared" si="2"/>
        <v>11</v>
      </c>
      <c r="J1760" s="9">
        <f t="shared" si="3"/>
        <v>2023</v>
      </c>
    </row>
    <row r="1761" ht="15.75" customHeight="1">
      <c r="A1761" s="5">
        <v>89.0</v>
      </c>
      <c r="B1761" s="10" t="s">
        <v>1602</v>
      </c>
      <c r="C1761" s="3" t="s">
        <v>1603</v>
      </c>
      <c r="D1761" s="4" t="s">
        <v>3</v>
      </c>
      <c r="E1761" s="5" t="s">
        <v>71</v>
      </c>
      <c r="F1761" s="6" t="s">
        <v>702</v>
      </c>
      <c r="G1761" s="7">
        <v>44938.0</v>
      </c>
      <c r="H1761" s="8">
        <f t="shared" si="1"/>
        <v>12</v>
      </c>
      <c r="I1761" s="9">
        <f t="shared" si="2"/>
        <v>1</v>
      </c>
      <c r="J1761" s="9">
        <f t="shared" si="3"/>
        <v>2023</v>
      </c>
    </row>
    <row r="1762" ht="15.75" customHeight="1">
      <c r="A1762" s="5">
        <v>89.0</v>
      </c>
      <c r="B1762" s="10" t="s">
        <v>1602</v>
      </c>
      <c r="C1762" s="3" t="s">
        <v>1603</v>
      </c>
      <c r="D1762" s="4" t="s">
        <v>8</v>
      </c>
      <c r="E1762" s="5" t="s">
        <v>6</v>
      </c>
      <c r="F1762" s="6" t="s">
        <v>1604</v>
      </c>
      <c r="G1762" s="7">
        <v>44943.0</v>
      </c>
      <c r="H1762" s="8">
        <f t="shared" si="1"/>
        <v>17</v>
      </c>
      <c r="I1762" s="9">
        <f t="shared" si="2"/>
        <v>1</v>
      </c>
      <c r="J1762" s="9">
        <f t="shared" si="3"/>
        <v>2023</v>
      </c>
    </row>
    <row r="1763" ht="15.75" customHeight="1">
      <c r="A1763" s="5">
        <v>89.0</v>
      </c>
      <c r="B1763" s="10" t="s">
        <v>1602</v>
      </c>
      <c r="C1763" s="3" t="s">
        <v>1603</v>
      </c>
      <c r="D1763" s="4" t="s">
        <v>3</v>
      </c>
      <c r="E1763" s="5" t="s">
        <v>19</v>
      </c>
      <c r="F1763" s="6" t="s">
        <v>1471</v>
      </c>
      <c r="G1763" s="7">
        <v>44985.0</v>
      </c>
      <c r="H1763" s="8">
        <f t="shared" si="1"/>
        <v>28</v>
      </c>
      <c r="I1763" s="9">
        <f t="shared" si="2"/>
        <v>2</v>
      </c>
      <c r="J1763" s="9">
        <f t="shared" si="3"/>
        <v>2023</v>
      </c>
    </row>
    <row r="1764" ht="15.75" customHeight="1">
      <c r="A1764" s="5">
        <v>89.0</v>
      </c>
      <c r="B1764" s="10" t="s">
        <v>1602</v>
      </c>
      <c r="C1764" s="3" t="s">
        <v>1603</v>
      </c>
      <c r="D1764" s="4" t="s">
        <v>3</v>
      </c>
      <c r="E1764" s="5" t="s">
        <v>6</v>
      </c>
      <c r="F1764" s="6" t="s">
        <v>290</v>
      </c>
      <c r="G1764" s="7">
        <v>44992.0</v>
      </c>
      <c r="H1764" s="8">
        <f t="shared" si="1"/>
        <v>7</v>
      </c>
      <c r="I1764" s="9">
        <f t="shared" si="2"/>
        <v>3</v>
      </c>
      <c r="J1764" s="9">
        <f t="shared" si="3"/>
        <v>2023</v>
      </c>
    </row>
    <row r="1765" ht="15.75" customHeight="1">
      <c r="A1765" s="5">
        <v>89.0</v>
      </c>
      <c r="B1765" s="10" t="s">
        <v>1602</v>
      </c>
      <c r="C1765" s="3" t="s">
        <v>1603</v>
      </c>
      <c r="D1765" s="4" t="s">
        <v>8</v>
      </c>
      <c r="E1765" s="5" t="s">
        <v>51</v>
      </c>
      <c r="F1765" s="6" t="s">
        <v>840</v>
      </c>
      <c r="G1765" s="7">
        <v>45026.0</v>
      </c>
      <c r="H1765" s="8">
        <f t="shared" si="1"/>
        <v>10</v>
      </c>
      <c r="I1765" s="9">
        <f t="shared" si="2"/>
        <v>4</v>
      </c>
      <c r="J1765" s="9">
        <f t="shared" si="3"/>
        <v>2023</v>
      </c>
    </row>
    <row r="1766" ht="15.75" customHeight="1">
      <c r="A1766" s="5">
        <v>89.0</v>
      </c>
      <c r="B1766" s="10" t="s">
        <v>1602</v>
      </c>
      <c r="C1766" s="3" t="s">
        <v>1603</v>
      </c>
      <c r="D1766" s="4" t="s">
        <v>3</v>
      </c>
      <c r="E1766" s="5" t="s">
        <v>42</v>
      </c>
      <c r="F1766" s="6" t="s">
        <v>43</v>
      </c>
      <c r="G1766" s="7">
        <v>45035.0</v>
      </c>
      <c r="H1766" s="8">
        <f t="shared" si="1"/>
        <v>19</v>
      </c>
      <c r="I1766" s="9">
        <f t="shared" si="2"/>
        <v>4</v>
      </c>
      <c r="J1766" s="9">
        <f t="shared" si="3"/>
        <v>2023</v>
      </c>
    </row>
    <row r="1767" ht="15.75" customHeight="1">
      <c r="A1767" s="5">
        <v>89.0</v>
      </c>
      <c r="B1767" s="10" t="s">
        <v>1602</v>
      </c>
      <c r="C1767" s="3" t="s">
        <v>1603</v>
      </c>
      <c r="D1767" s="4" t="s">
        <v>3</v>
      </c>
      <c r="E1767" s="5" t="s">
        <v>21</v>
      </c>
      <c r="F1767" s="6" t="s">
        <v>1605</v>
      </c>
      <c r="G1767" s="7">
        <v>45041.0</v>
      </c>
      <c r="H1767" s="8">
        <f t="shared" si="1"/>
        <v>25</v>
      </c>
      <c r="I1767" s="9">
        <f t="shared" si="2"/>
        <v>4</v>
      </c>
      <c r="J1767" s="9">
        <f t="shared" si="3"/>
        <v>2023</v>
      </c>
    </row>
    <row r="1768" ht="15.75" customHeight="1">
      <c r="A1768" s="5">
        <v>89.0</v>
      </c>
      <c r="B1768" s="10" t="s">
        <v>1602</v>
      </c>
      <c r="C1768" s="3" t="s">
        <v>1603</v>
      </c>
      <c r="D1768" s="4" t="s">
        <v>3</v>
      </c>
      <c r="E1768" s="5" t="s">
        <v>28</v>
      </c>
      <c r="F1768" s="6" t="s">
        <v>352</v>
      </c>
      <c r="G1768" s="7">
        <v>45050.0</v>
      </c>
      <c r="H1768" s="8">
        <f t="shared" si="1"/>
        <v>4</v>
      </c>
      <c r="I1768" s="9">
        <f t="shared" si="2"/>
        <v>5</v>
      </c>
      <c r="J1768" s="9">
        <f t="shared" si="3"/>
        <v>2023</v>
      </c>
    </row>
    <row r="1769" ht="15.75" customHeight="1">
      <c r="A1769" s="5">
        <v>89.0</v>
      </c>
      <c r="B1769" s="10" t="s">
        <v>1602</v>
      </c>
      <c r="C1769" s="3" t="s">
        <v>1603</v>
      </c>
      <c r="D1769" s="4" t="s">
        <v>8</v>
      </c>
      <c r="E1769" s="5" t="s">
        <v>35</v>
      </c>
      <c r="F1769" s="6" t="s">
        <v>1606</v>
      </c>
      <c r="G1769" s="7">
        <v>45053.0</v>
      </c>
      <c r="H1769" s="8">
        <f t="shared" si="1"/>
        <v>7</v>
      </c>
      <c r="I1769" s="9">
        <f t="shared" si="2"/>
        <v>5</v>
      </c>
      <c r="J1769" s="9">
        <f t="shared" si="3"/>
        <v>2023</v>
      </c>
    </row>
    <row r="1770" ht="15.75" customHeight="1">
      <c r="A1770" s="5">
        <v>89.0</v>
      </c>
      <c r="B1770" s="10" t="s">
        <v>1602</v>
      </c>
      <c r="C1770" s="3" t="s">
        <v>1603</v>
      </c>
      <c r="D1770" s="4" t="s">
        <v>3</v>
      </c>
      <c r="E1770" s="5" t="s">
        <v>76</v>
      </c>
      <c r="F1770" s="6" t="s">
        <v>1607</v>
      </c>
      <c r="G1770" s="7">
        <v>45073.0</v>
      </c>
      <c r="H1770" s="8">
        <f t="shared" si="1"/>
        <v>27</v>
      </c>
      <c r="I1770" s="9">
        <f t="shared" si="2"/>
        <v>5</v>
      </c>
      <c r="J1770" s="9">
        <f t="shared" si="3"/>
        <v>2023</v>
      </c>
    </row>
    <row r="1771" ht="15.75" customHeight="1">
      <c r="A1771" s="5">
        <v>89.0</v>
      </c>
      <c r="B1771" s="10" t="s">
        <v>1602</v>
      </c>
      <c r="C1771" s="3" t="s">
        <v>1603</v>
      </c>
      <c r="D1771" s="4" t="s">
        <v>3</v>
      </c>
      <c r="E1771" s="5" t="s">
        <v>17</v>
      </c>
      <c r="F1771" s="6" t="s">
        <v>1608</v>
      </c>
      <c r="G1771" s="7">
        <v>45084.0</v>
      </c>
      <c r="H1771" s="8">
        <f t="shared" si="1"/>
        <v>7</v>
      </c>
      <c r="I1771" s="9">
        <f t="shared" si="2"/>
        <v>6</v>
      </c>
      <c r="J1771" s="9">
        <f t="shared" si="3"/>
        <v>2023</v>
      </c>
    </row>
    <row r="1772" ht="15.75" customHeight="1">
      <c r="A1772" s="5">
        <v>89.0</v>
      </c>
      <c r="B1772" s="10" t="s">
        <v>1602</v>
      </c>
      <c r="C1772" s="3" t="s">
        <v>1603</v>
      </c>
      <c r="D1772" s="4" t="s">
        <v>8</v>
      </c>
      <c r="E1772" s="5" t="s">
        <v>51</v>
      </c>
      <c r="F1772" s="6" t="s">
        <v>1609</v>
      </c>
      <c r="G1772" s="7">
        <v>45099.0</v>
      </c>
      <c r="H1772" s="8">
        <f t="shared" si="1"/>
        <v>22</v>
      </c>
      <c r="I1772" s="9">
        <f t="shared" si="2"/>
        <v>6</v>
      </c>
      <c r="J1772" s="9">
        <f t="shared" si="3"/>
        <v>2023</v>
      </c>
    </row>
    <row r="1773" ht="15.75" customHeight="1">
      <c r="A1773" s="5">
        <v>89.0</v>
      </c>
      <c r="B1773" s="10" t="s">
        <v>1602</v>
      </c>
      <c r="C1773" s="3" t="s">
        <v>1603</v>
      </c>
      <c r="D1773" s="4" t="s">
        <v>8</v>
      </c>
      <c r="E1773" s="5" t="s">
        <v>76</v>
      </c>
      <c r="F1773" s="6" t="s">
        <v>690</v>
      </c>
      <c r="G1773" s="7">
        <v>45108.0</v>
      </c>
      <c r="H1773" s="8">
        <f t="shared" si="1"/>
        <v>1</v>
      </c>
      <c r="I1773" s="9">
        <f t="shared" si="2"/>
        <v>7</v>
      </c>
      <c r="J1773" s="9">
        <f t="shared" si="3"/>
        <v>2023</v>
      </c>
    </row>
    <row r="1774" ht="15.75" customHeight="1">
      <c r="A1774" s="5">
        <v>89.0</v>
      </c>
      <c r="B1774" s="10" t="s">
        <v>1602</v>
      </c>
      <c r="C1774" s="3" t="s">
        <v>1603</v>
      </c>
      <c r="D1774" s="4" t="s">
        <v>3</v>
      </c>
      <c r="E1774" s="5" t="s">
        <v>39</v>
      </c>
      <c r="F1774" s="6" t="s">
        <v>1610</v>
      </c>
      <c r="G1774" s="7">
        <v>45126.0</v>
      </c>
      <c r="H1774" s="8">
        <f t="shared" si="1"/>
        <v>19</v>
      </c>
      <c r="I1774" s="9">
        <f t="shared" si="2"/>
        <v>7</v>
      </c>
      <c r="J1774" s="9">
        <f t="shared" si="3"/>
        <v>2023</v>
      </c>
    </row>
    <row r="1775" ht="15.75" customHeight="1">
      <c r="A1775" s="5">
        <v>89.0</v>
      </c>
      <c r="B1775" s="10" t="s">
        <v>1602</v>
      </c>
      <c r="C1775" s="3" t="s">
        <v>1603</v>
      </c>
      <c r="D1775" s="4" t="s">
        <v>8</v>
      </c>
      <c r="E1775" s="5" t="s">
        <v>6</v>
      </c>
      <c r="F1775" s="6" t="s">
        <v>1611</v>
      </c>
      <c r="G1775" s="7">
        <v>45176.0</v>
      </c>
      <c r="H1775" s="8">
        <f t="shared" si="1"/>
        <v>7</v>
      </c>
      <c r="I1775" s="9">
        <f t="shared" si="2"/>
        <v>9</v>
      </c>
      <c r="J1775" s="9">
        <f t="shared" si="3"/>
        <v>2023</v>
      </c>
    </row>
    <row r="1776" ht="15.75" customHeight="1">
      <c r="A1776" s="5">
        <v>89.0</v>
      </c>
      <c r="B1776" s="10" t="s">
        <v>1602</v>
      </c>
      <c r="C1776" s="3" t="s">
        <v>1603</v>
      </c>
      <c r="D1776" s="4" t="s">
        <v>3</v>
      </c>
      <c r="E1776" s="5" t="s">
        <v>71</v>
      </c>
      <c r="F1776" s="6" t="s">
        <v>1612</v>
      </c>
      <c r="G1776" s="7">
        <v>45181.0</v>
      </c>
      <c r="H1776" s="8">
        <f t="shared" si="1"/>
        <v>12</v>
      </c>
      <c r="I1776" s="9">
        <f t="shared" si="2"/>
        <v>9</v>
      </c>
      <c r="J1776" s="9">
        <f t="shared" si="3"/>
        <v>2023</v>
      </c>
    </row>
    <row r="1777" ht="15.75" customHeight="1">
      <c r="A1777" s="5">
        <v>89.0</v>
      </c>
      <c r="B1777" s="10" t="s">
        <v>1602</v>
      </c>
      <c r="C1777" s="3" t="s">
        <v>1603</v>
      </c>
      <c r="D1777" s="4" t="s">
        <v>8</v>
      </c>
      <c r="E1777" s="5" t="s">
        <v>4</v>
      </c>
      <c r="F1777" s="6" t="s">
        <v>1613</v>
      </c>
      <c r="G1777" s="7">
        <v>45221.0</v>
      </c>
      <c r="H1777" s="8">
        <f t="shared" si="1"/>
        <v>22</v>
      </c>
      <c r="I1777" s="9">
        <f t="shared" si="2"/>
        <v>10</v>
      </c>
      <c r="J1777" s="9">
        <f t="shared" si="3"/>
        <v>2023</v>
      </c>
    </row>
    <row r="1778" ht="15.75" customHeight="1">
      <c r="A1778" s="5">
        <v>89.0</v>
      </c>
      <c r="B1778" s="10" t="s">
        <v>1602</v>
      </c>
      <c r="C1778" s="3" t="s">
        <v>1603</v>
      </c>
      <c r="D1778" s="4" t="s">
        <v>3</v>
      </c>
      <c r="E1778" s="5" t="s">
        <v>76</v>
      </c>
      <c r="F1778" s="6" t="s">
        <v>1379</v>
      </c>
      <c r="G1778" s="7">
        <v>45279.0</v>
      </c>
      <c r="H1778" s="8">
        <f t="shared" si="1"/>
        <v>19</v>
      </c>
      <c r="I1778" s="9">
        <f t="shared" si="2"/>
        <v>12</v>
      </c>
      <c r="J1778" s="9">
        <f t="shared" si="3"/>
        <v>2023</v>
      </c>
    </row>
    <row r="1779" ht="15.75" customHeight="1">
      <c r="A1779" s="5">
        <v>89.0</v>
      </c>
      <c r="B1779" s="10" t="s">
        <v>1602</v>
      </c>
      <c r="C1779" s="3" t="s">
        <v>1603</v>
      </c>
      <c r="D1779" s="4" t="s">
        <v>3</v>
      </c>
      <c r="E1779" s="5" t="s">
        <v>13</v>
      </c>
      <c r="F1779" s="6" t="s">
        <v>707</v>
      </c>
      <c r="G1779" s="7">
        <v>45286.0</v>
      </c>
      <c r="H1779" s="8">
        <f t="shared" si="1"/>
        <v>26</v>
      </c>
      <c r="I1779" s="9">
        <f t="shared" si="2"/>
        <v>12</v>
      </c>
      <c r="J1779" s="9">
        <f t="shared" si="3"/>
        <v>2023</v>
      </c>
    </row>
    <row r="1780" ht="15.75" customHeight="1">
      <c r="A1780" s="5">
        <v>89.0</v>
      </c>
      <c r="B1780" s="10" t="s">
        <v>1602</v>
      </c>
      <c r="C1780" s="3" t="s">
        <v>1603</v>
      </c>
      <c r="D1780" s="4" t="s">
        <v>8</v>
      </c>
      <c r="E1780" s="5" t="s">
        <v>9</v>
      </c>
      <c r="F1780" s="6" t="s">
        <v>1614</v>
      </c>
      <c r="G1780" s="7">
        <v>45286.0</v>
      </c>
      <c r="H1780" s="8">
        <f t="shared" si="1"/>
        <v>26</v>
      </c>
      <c r="I1780" s="9">
        <f t="shared" si="2"/>
        <v>12</v>
      </c>
      <c r="J1780" s="9">
        <f t="shared" si="3"/>
        <v>2023</v>
      </c>
    </row>
    <row r="1781" ht="15.75" customHeight="1">
      <c r="A1781" s="5">
        <v>90.0</v>
      </c>
      <c r="B1781" s="10" t="s">
        <v>1615</v>
      </c>
      <c r="C1781" s="3" t="s">
        <v>1616</v>
      </c>
      <c r="D1781" s="4" t="s">
        <v>3</v>
      </c>
      <c r="E1781" s="5" t="s">
        <v>4</v>
      </c>
      <c r="F1781" s="6" t="s">
        <v>1617</v>
      </c>
      <c r="G1781" s="7">
        <v>44967.0</v>
      </c>
      <c r="H1781" s="8">
        <f t="shared" si="1"/>
        <v>10</v>
      </c>
      <c r="I1781" s="9">
        <f t="shared" si="2"/>
        <v>2</v>
      </c>
      <c r="J1781" s="9">
        <f t="shared" si="3"/>
        <v>2023</v>
      </c>
    </row>
    <row r="1782" ht="15.75" customHeight="1">
      <c r="A1782" s="5">
        <v>90.0</v>
      </c>
      <c r="B1782" s="10" t="s">
        <v>1615</v>
      </c>
      <c r="C1782" s="3" t="s">
        <v>1616</v>
      </c>
      <c r="D1782" s="4" t="s">
        <v>8</v>
      </c>
      <c r="E1782" s="5" t="s">
        <v>21</v>
      </c>
      <c r="F1782" s="6" t="s">
        <v>1618</v>
      </c>
      <c r="G1782" s="7">
        <v>44982.0</v>
      </c>
      <c r="H1782" s="8">
        <f t="shared" si="1"/>
        <v>25</v>
      </c>
      <c r="I1782" s="9">
        <f t="shared" si="2"/>
        <v>2</v>
      </c>
      <c r="J1782" s="9">
        <f t="shared" si="3"/>
        <v>2023</v>
      </c>
    </row>
    <row r="1783" ht="15.75" customHeight="1">
      <c r="A1783" s="5">
        <v>90.0</v>
      </c>
      <c r="B1783" s="10" t="s">
        <v>1615</v>
      </c>
      <c r="C1783" s="3" t="s">
        <v>1616</v>
      </c>
      <c r="D1783" s="4" t="s">
        <v>3</v>
      </c>
      <c r="E1783" s="5" t="s">
        <v>4</v>
      </c>
      <c r="F1783" s="6" t="s">
        <v>1619</v>
      </c>
      <c r="G1783" s="7">
        <v>45047.0</v>
      </c>
      <c r="H1783" s="8">
        <f t="shared" si="1"/>
        <v>1</v>
      </c>
      <c r="I1783" s="9">
        <f t="shared" si="2"/>
        <v>5</v>
      </c>
      <c r="J1783" s="9">
        <f t="shared" si="3"/>
        <v>2023</v>
      </c>
    </row>
    <row r="1784" ht="15.75" customHeight="1">
      <c r="A1784" s="5">
        <v>90.0</v>
      </c>
      <c r="B1784" s="10" t="s">
        <v>1615</v>
      </c>
      <c r="C1784" s="3" t="s">
        <v>1616</v>
      </c>
      <c r="D1784" s="4" t="s">
        <v>3</v>
      </c>
      <c r="E1784" s="5" t="s">
        <v>17</v>
      </c>
      <c r="F1784" s="6" t="s">
        <v>1620</v>
      </c>
      <c r="G1784" s="7">
        <v>45061.0</v>
      </c>
      <c r="H1784" s="8">
        <f t="shared" si="1"/>
        <v>15</v>
      </c>
      <c r="I1784" s="9">
        <f t="shared" si="2"/>
        <v>5</v>
      </c>
      <c r="J1784" s="9">
        <f t="shared" si="3"/>
        <v>2023</v>
      </c>
    </row>
    <row r="1785" ht="15.75" customHeight="1">
      <c r="A1785" s="5">
        <v>90.0</v>
      </c>
      <c r="B1785" s="10" t="s">
        <v>1615</v>
      </c>
      <c r="C1785" s="3" t="s">
        <v>1616</v>
      </c>
      <c r="D1785" s="4" t="s">
        <v>3</v>
      </c>
      <c r="E1785" s="5" t="s">
        <v>19</v>
      </c>
      <c r="F1785" s="6" t="s">
        <v>113</v>
      </c>
      <c r="G1785" s="7">
        <v>45063.0</v>
      </c>
      <c r="H1785" s="8">
        <f t="shared" si="1"/>
        <v>17</v>
      </c>
      <c r="I1785" s="9">
        <f t="shared" si="2"/>
        <v>5</v>
      </c>
      <c r="J1785" s="9">
        <f t="shared" si="3"/>
        <v>2023</v>
      </c>
    </row>
    <row r="1786" ht="15.75" customHeight="1">
      <c r="A1786" s="5">
        <v>90.0</v>
      </c>
      <c r="B1786" s="10" t="s">
        <v>1615</v>
      </c>
      <c r="C1786" s="3" t="s">
        <v>1616</v>
      </c>
      <c r="D1786" s="4" t="s">
        <v>3</v>
      </c>
      <c r="E1786" s="5" t="s">
        <v>6</v>
      </c>
      <c r="F1786" s="6" t="s">
        <v>1621</v>
      </c>
      <c r="G1786" s="7">
        <v>45120.0</v>
      </c>
      <c r="H1786" s="8">
        <f t="shared" si="1"/>
        <v>13</v>
      </c>
      <c r="I1786" s="9">
        <f t="shared" si="2"/>
        <v>7</v>
      </c>
      <c r="J1786" s="9">
        <f t="shared" si="3"/>
        <v>2023</v>
      </c>
    </row>
    <row r="1787" ht="15.75" customHeight="1">
      <c r="A1787" s="5">
        <v>90.0</v>
      </c>
      <c r="B1787" s="10" t="s">
        <v>1615</v>
      </c>
      <c r="C1787" s="3" t="s">
        <v>1616</v>
      </c>
      <c r="D1787" s="4" t="s">
        <v>8</v>
      </c>
      <c r="E1787" s="5" t="s">
        <v>19</v>
      </c>
      <c r="F1787" s="6" t="s">
        <v>1622</v>
      </c>
      <c r="G1787" s="7">
        <v>45144.0</v>
      </c>
      <c r="H1787" s="8">
        <f t="shared" si="1"/>
        <v>6</v>
      </c>
      <c r="I1787" s="9">
        <f t="shared" si="2"/>
        <v>8</v>
      </c>
      <c r="J1787" s="9">
        <f t="shared" si="3"/>
        <v>2023</v>
      </c>
    </row>
    <row r="1788" ht="15.75" customHeight="1">
      <c r="A1788" s="5">
        <v>90.0</v>
      </c>
      <c r="B1788" s="10" t="s">
        <v>1615</v>
      </c>
      <c r="C1788" s="3" t="s">
        <v>1616</v>
      </c>
      <c r="D1788" s="4" t="s">
        <v>3</v>
      </c>
      <c r="E1788" s="5" t="s">
        <v>45</v>
      </c>
      <c r="F1788" s="6" t="s">
        <v>1623</v>
      </c>
      <c r="G1788" s="7">
        <v>45155.0</v>
      </c>
      <c r="H1788" s="8">
        <f t="shared" si="1"/>
        <v>17</v>
      </c>
      <c r="I1788" s="9">
        <f t="shared" si="2"/>
        <v>8</v>
      </c>
      <c r="J1788" s="9">
        <f t="shared" si="3"/>
        <v>2023</v>
      </c>
    </row>
    <row r="1789" ht="15.75" customHeight="1">
      <c r="A1789" s="5">
        <v>90.0</v>
      </c>
      <c r="B1789" s="10" t="s">
        <v>1615</v>
      </c>
      <c r="C1789" s="3" t="s">
        <v>1616</v>
      </c>
      <c r="D1789" s="4" t="s">
        <v>3</v>
      </c>
      <c r="E1789" s="5" t="s">
        <v>23</v>
      </c>
      <c r="F1789" s="6" t="s">
        <v>1624</v>
      </c>
      <c r="G1789" s="7">
        <v>45159.0</v>
      </c>
      <c r="H1789" s="8">
        <f t="shared" si="1"/>
        <v>21</v>
      </c>
      <c r="I1789" s="9">
        <f t="shared" si="2"/>
        <v>8</v>
      </c>
      <c r="J1789" s="9">
        <f t="shared" si="3"/>
        <v>2023</v>
      </c>
    </row>
    <row r="1790" ht="15.75" customHeight="1">
      <c r="A1790" s="5">
        <v>90.0</v>
      </c>
      <c r="B1790" s="10" t="s">
        <v>1615</v>
      </c>
      <c r="C1790" s="3" t="s">
        <v>1616</v>
      </c>
      <c r="D1790" s="4" t="s">
        <v>3</v>
      </c>
      <c r="E1790" s="5" t="s">
        <v>19</v>
      </c>
      <c r="F1790" s="6" t="s">
        <v>1625</v>
      </c>
      <c r="G1790" s="7">
        <v>45184.0</v>
      </c>
      <c r="H1790" s="8">
        <f t="shared" si="1"/>
        <v>15</v>
      </c>
      <c r="I1790" s="9">
        <f t="shared" si="2"/>
        <v>9</v>
      </c>
      <c r="J1790" s="9">
        <f t="shared" si="3"/>
        <v>2023</v>
      </c>
    </row>
    <row r="1791" ht="15.75" customHeight="1">
      <c r="A1791" s="5">
        <v>90.0</v>
      </c>
      <c r="B1791" s="10" t="s">
        <v>1615</v>
      </c>
      <c r="C1791" s="3" t="s">
        <v>1616</v>
      </c>
      <c r="D1791" s="4" t="s">
        <v>8</v>
      </c>
      <c r="E1791" s="5" t="s">
        <v>19</v>
      </c>
      <c r="F1791" s="6" t="s">
        <v>1626</v>
      </c>
      <c r="G1791" s="7">
        <v>45190.0</v>
      </c>
      <c r="H1791" s="8">
        <f t="shared" si="1"/>
        <v>21</v>
      </c>
      <c r="I1791" s="9">
        <f t="shared" si="2"/>
        <v>9</v>
      </c>
      <c r="J1791" s="9">
        <f t="shared" si="3"/>
        <v>2023</v>
      </c>
    </row>
    <row r="1792" ht="15.75" customHeight="1">
      <c r="A1792" s="5">
        <v>90.0</v>
      </c>
      <c r="B1792" s="10" t="s">
        <v>1615</v>
      </c>
      <c r="C1792" s="3" t="s">
        <v>1616</v>
      </c>
      <c r="D1792" s="4" t="s">
        <v>8</v>
      </c>
      <c r="E1792" s="5" t="s">
        <v>23</v>
      </c>
      <c r="F1792" s="6" t="s">
        <v>1627</v>
      </c>
      <c r="G1792" s="7">
        <v>45190.0</v>
      </c>
      <c r="H1792" s="8">
        <f t="shared" si="1"/>
        <v>21</v>
      </c>
      <c r="I1792" s="9">
        <f t="shared" si="2"/>
        <v>9</v>
      </c>
      <c r="J1792" s="9">
        <f t="shared" si="3"/>
        <v>2023</v>
      </c>
    </row>
    <row r="1793" ht="15.75" customHeight="1">
      <c r="A1793" s="5">
        <v>90.0</v>
      </c>
      <c r="B1793" s="10" t="s">
        <v>1615</v>
      </c>
      <c r="C1793" s="3" t="s">
        <v>1616</v>
      </c>
      <c r="D1793" s="4" t="s">
        <v>3</v>
      </c>
      <c r="E1793" s="5" t="s">
        <v>17</v>
      </c>
      <c r="F1793" s="6" t="s">
        <v>1628</v>
      </c>
      <c r="G1793" s="7">
        <v>45211.0</v>
      </c>
      <c r="H1793" s="8">
        <f t="shared" si="1"/>
        <v>12</v>
      </c>
      <c r="I1793" s="9">
        <f t="shared" si="2"/>
        <v>10</v>
      </c>
      <c r="J1793" s="9">
        <f t="shared" si="3"/>
        <v>2023</v>
      </c>
    </row>
    <row r="1794" ht="15.75" customHeight="1">
      <c r="A1794" s="5">
        <v>90.0</v>
      </c>
      <c r="B1794" s="10" t="s">
        <v>1615</v>
      </c>
      <c r="C1794" s="3" t="s">
        <v>1616</v>
      </c>
      <c r="D1794" s="4" t="s">
        <v>3</v>
      </c>
      <c r="E1794" s="5" t="s">
        <v>17</v>
      </c>
      <c r="F1794" s="6" t="s">
        <v>911</v>
      </c>
      <c r="G1794" s="7">
        <v>45212.0</v>
      </c>
      <c r="H1794" s="8">
        <f t="shared" si="1"/>
        <v>13</v>
      </c>
      <c r="I1794" s="9">
        <f t="shared" si="2"/>
        <v>10</v>
      </c>
      <c r="J1794" s="9">
        <f t="shared" si="3"/>
        <v>2023</v>
      </c>
    </row>
    <row r="1795" ht="15.75" customHeight="1">
      <c r="A1795" s="5">
        <v>90.0</v>
      </c>
      <c r="B1795" s="10" t="s">
        <v>1615</v>
      </c>
      <c r="C1795" s="3" t="s">
        <v>1616</v>
      </c>
      <c r="D1795" s="4" t="s">
        <v>8</v>
      </c>
      <c r="E1795" s="5" t="s">
        <v>23</v>
      </c>
      <c r="F1795" s="6" t="s">
        <v>1373</v>
      </c>
      <c r="G1795" s="7">
        <v>45233.0</v>
      </c>
      <c r="H1795" s="8">
        <f t="shared" si="1"/>
        <v>3</v>
      </c>
      <c r="I1795" s="9">
        <f t="shared" si="2"/>
        <v>11</v>
      </c>
      <c r="J1795" s="9">
        <f t="shared" si="3"/>
        <v>2023</v>
      </c>
    </row>
    <row r="1796" ht="15.75" customHeight="1">
      <c r="A1796" s="5">
        <v>90.0</v>
      </c>
      <c r="B1796" s="10" t="s">
        <v>1615</v>
      </c>
      <c r="C1796" s="3" t="s">
        <v>1616</v>
      </c>
      <c r="D1796" s="4" t="s">
        <v>3</v>
      </c>
      <c r="E1796" s="5" t="s">
        <v>13</v>
      </c>
      <c r="F1796" s="6" t="s">
        <v>1629</v>
      </c>
      <c r="G1796" s="7">
        <v>45245.0</v>
      </c>
      <c r="H1796" s="8">
        <f t="shared" si="1"/>
        <v>15</v>
      </c>
      <c r="I1796" s="9">
        <f t="shared" si="2"/>
        <v>11</v>
      </c>
      <c r="J1796" s="9">
        <f t="shared" si="3"/>
        <v>2023</v>
      </c>
    </row>
    <row r="1797" ht="15.75" customHeight="1">
      <c r="A1797" s="5">
        <v>90.0</v>
      </c>
      <c r="B1797" s="10" t="s">
        <v>1615</v>
      </c>
      <c r="C1797" s="3" t="s">
        <v>1616</v>
      </c>
      <c r="D1797" s="4" t="s">
        <v>8</v>
      </c>
      <c r="E1797" s="5" t="s">
        <v>11</v>
      </c>
      <c r="F1797" s="6" t="s">
        <v>1029</v>
      </c>
      <c r="G1797" s="7">
        <v>45254.0</v>
      </c>
      <c r="H1797" s="8">
        <f t="shared" si="1"/>
        <v>24</v>
      </c>
      <c r="I1797" s="9">
        <f t="shared" si="2"/>
        <v>11</v>
      </c>
      <c r="J1797" s="9">
        <f t="shared" si="3"/>
        <v>2023</v>
      </c>
    </row>
    <row r="1798" ht="15.75" customHeight="1">
      <c r="A1798" s="5">
        <v>90.0</v>
      </c>
      <c r="B1798" s="10" t="s">
        <v>1615</v>
      </c>
      <c r="C1798" s="3" t="s">
        <v>1616</v>
      </c>
      <c r="D1798" s="4" t="s">
        <v>8</v>
      </c>
      <c r="E1798" s="5" t="s">
        <v>120</v>
      </c>
      <c r="F1798" s="6" t="s">
        <v>1630</v>
      </c>
      <c r="G1798" s="7">
        <v>45261.0</v>
      </c>
      <c r="H1798" s="8">
        <f t="shared" si="1"/>
        <v>1</v>
      </c>
      <c r="I1798" s="9">
        <f t="shared" si="2"/>
        <v>12</v>
      </c>
      <c r="J1798" s="9">
        <f t="shared" si="3"/>
        <v>2023</v>
      </c>
    </row>
    <row r="1799" ht="15.75" customHeight="1">
      <c r="A1799" s="5">
        <v>90.0</v>
      </c>
      <c r="B1799" s="10" t="s">
        <v>1615</v>
      </c>
      <c r="C1799" s="3" t="s">
        <v>1616</v>
      </c>
      <c r="D1799" s="4" t="s">
        <v>3</v>
      </c>
      <c r="E1799" s="5" t="s">
        <v>4</v>
      </c>
      <c r="F1799" s="6" t="s">
        <v>1631</v>
      </c>
      <c r="G1799" s="7">
        <v>45269.0</v>
      </c>
      <c r="H1799" s="8">
        <f t="shared" si="1"/>
        <v>9</v>
      </c>
      <c r="I1799" s="9">
        <f t="shared" si="2"/>
        <v>12</v>
      </c>
      <c r="J1799" s="9">
        <f t="shared" si="3"/>
        <v>2023</v>
      </c>
    </row>
    <row r="1800" ht="15.75" customHeight="1">
      <c r="A1800" s="5">
        <v>90.0</v>
      </c>
      <c r="B1800" s="10" t="s">
        <v>1615</v>
      </c>
      <c r="C1800" s="3" t="s">
        <v>1616</v>
      </c>
      <c r="D1800" s="4" t="s">
        <v>8</v>
      </c>
      <c r="E1800" s="5" t="s">
        <v>9</v>
      </c>
      <c r="F1800" s="6" t="s">
        <v>714</v>
      </c>
      <c r="G1800" s="7">
        <v>45275.0</v>
      </c>
      <c r="H1800" s="8">
        <f t="shared" si="1"/>
        <v>15</v>
      </c>
      <c r="I1800" s="9">
        <f t="shared" si="2"/>
        <v>12</v>
      </c>
      <c r="J1800" s="9">
        <f t="shared" si="3"/>
        <v>2023</v>
      </c>
    </row>
    <row r="1801" ht="15.75" customHeight="1">
      <c r="A1801" s="5">
        <v>91.0</v>
      </c>
      <c r="B1801" s="10" t="s">
        <v>1632</v>
      </c>
      <c r="C1801" s="3" t="s">
        <v>1633</v>
      </c>
      <c r="D1801" s="4" t="s">
        <v>3</v>
      </c>
      <c r="E1801" s="5" t="s">
        <v>19</v>
      </c>
      <c r="F1801" s="6" t="s">
        <v>1634</v>
      </c>
      <c r="G1801" s="7">
        <v>44934.0</v>
      </c>
      <c r="H1801" s="8">
        <f t="shared" si="1"/>
        <v>8</v>
      </c>
      <c r="I1801" s="9">
        <f t="shared" si="2"/>
        <v>1</v>
      </c>
      <c r="J1801" s="9">
        <f t="shared" si="3"/>
        <v>2023</v>
      </c>
    </row>
    <row r="1802" ht="15.75" customHeight="1">
      <c r="A1802" s="5">
        <v>91.0</v>
      </c>
      <c r="B1802" s="10" t="s">
        <v>1632</v>
      </c>
      <c r="C1802" s="3" t="s">
        <v>1633</v>
      </c>
      <c r="D1802" s="4" t="s">
        <v>8</v>
      </c>
      <c r="E1802" s="5" t="s">
        <v>17</v>
      </c>
      <c r="F1802" s="6" t="s">
        <v>1635</v>
      </c>
      <c r="G1802" s="7">
        <v>44949.0</v>
      </c>
      <c r="H1802" s="8">
        <f t="shared" si="1"/>
        <v>23</v>
      </c>
      <c r="I1802" s="9">
        <f t="shared" si="2"/>
        <v>1</v>
      </c>
      <c r="J1802" s="9">
        <f t="shared" si="3"/>
        <v>2023</v>
      </c>
    </row>
    <row r="1803" ht="15.75" customHeight="1">
      <c r="A1803" s="5">
        <v>91.0</v>
      </c>
      <c r="B1803" s="10" t="s">
        <v>1632</v>
      </c>
      <c r="C1803" s="3" t="s">
        <v>1633</v>
      </c>
      <c r="D1803" s="4" t="s">
        <v>8</v>
      </c>
      <c r="E1803" s="5" t="s">
        <v>96</v>
      </c>
      <c r="F1803" s="6" t="s">
        <v>1636</v>
      </c>
      <c r="G1803" s="7">
        <v>44968.0</v>
      </c>
      <c r="H1803" s="8">
        <f t="shared" si="1"/>
        <v>11</v>
      </c>
      <c r="I1803" s="9">
        <f t="shared" si="2"/>
        <v>2</v>
      </c>
      <c r="J1803" s="9">
        <f t="shared" si="3"/>
        <v>2023</v>
      </c>
    </row>
    <row r="1804" ht="15.75" customHeight="1">
      <c r="A1804" s="5">
        <v>91.0</v>
      </c>
      <c r="B1804" s="10" t="s">
        <v>1632</v>
      </c>
      <c r="C1804" s="3" t="s">
        <v>1633</v>
      </c>
      <c r="D1804" s="4" t="s">
        <v>3</v>
      </c>
      <c r="E1804" s="5" t="s">
        <v>96</v>
      </c>
      <c r="F1804" s="6" t="s">
        <v>374</v>
      </c>
      <c r="G1804" s="7">
        <v>44968.0</v>
      </c>
      <c r="H1804" s="8">
        <f t="shared" si="1"/>
        <v>11</v>
      </c>
      <c r="I1804" s="9">
        <f t="shared" si="2"/>
        <v>2</v>
      </c>
      <c r="J1804" s="9">
        <f t="shared" si="3"/>
        <v>2023</v>
      </c>
    </row>
    <row r="1805" ht="15.75" customHeight="1">
      <c r="A1805" s="5">
        <v>91.0</v>
      </c>
      <c r="B1805" s="10" t="s">
        <v>1632</v>
      </c>
      <c r="C1805" s="3" t="s">
        <v>1633</v>
      </c>
      <c r="D1805" s="4" t="s">
        <v>8</v>
      </c>
      <c r="E1805" s="5" t="s">
        <v>15</v>
      </c>
      <c r="F1805" s="6" t="s">
        <v>1637</v>
      </c>
      <c r="G1805" s="7">
        <v>44982.0</v>
      </c>
      <c r="H1805" s="8">
        <f t="shared" si="1"/>
        <v>25</v>
      </c>
      <c r="I1805" s="9">
        <f t="shared" si="2"/>
        <v>2</v>
      </c>
      <c r="J1805" s="9">
        <f t="shared" si="3"/>
        <v>2023</v>
      </c>
    </row>
    <row r="1806" ht="15.75" customHeight="1">
      <c r="A1806" s="5">
        <v>91.0</v>
      </c>
      <c r="B1806" s="10" t="s">
        <v>1632</v>
      </c>
      <c r="C1806" s="3" t="s">
        <v>1633</v>
      </c>
      <c r="D1806" s="4" t="s">
        <v>3</v>
      </c>
      <c r="E1806" s="5" t="s">
        <v>17</v>
      </c>
      <c r="F1806" s="6" t="s">
        <v>1638</v>
      </c>
      <c r="G1806" s="7">
        <v>45023.0</v>
      </c>
      <c r="H1806" s="8">
        <f t="shared" si="1"/>
        <v>7</v>
      </c>
      <c r="I1806" s="9">
        <f t="shared" si="2"/>
        <v>4</v>
      </c>
      <c r="J1806" s="9">
        <f t="shared" si="3"/>
        <v>2023</v>
      </c>
    </row>
    <row r="1807" ht="15.75" customHeight="1">
      <c r="A1807" s="5">
        <v>91.0</v>
      </c>
      <c r="B1807" s="10" t="s">
        <v>1632</v>
      </c>
      <c r="C1807" s="3" t="s">
        <v>1633</v>
      </c>
      <c r="D1807" s="4" t="s">
        <v>3</v>
      </c>
      <c r="E1807" s="5" t="s">
        <v>15</v>
      </c>
      <c r="F1807" s="6" t="s">
        <v>1098</v>
      </c>
      <c r="G1807" s="7">
        <v>45038.0</v>
      </c>
      <c r="H1807" s="8">
        <f t="shared" si="1"/>
        <v>22</v>
      </c>
      <c r="I1807" s="9">
        <f t="shared" si="2"/>
        <v>4</v>
      </c>
      <c r="J1807" s="9">
        <f t="shared" si="3"/>
        <v>2023</v>
      </c>
    </row>
    <row r="1808" ht="15.75" customHeight="1">
      <c r="A1808" s="5">
        <v>91.0</v>
      </c>
      <c r="B1808" s="10" t="s">
        <v>1632</v>
      </c>
      <c r="C1808" s="3" t="s">
        <v>1633</v>
      </c>
      <c r="D1808" s="4" t="s">
        <v>8</v>
      </c>
      <c r="E1808" s="5" t="s">
        <v>39</v>
      </c>
      <c r="F1808" s="6" t="s">
        <v>1639</v>
      </c>
      <c r="G1808" s="7">
        <v>45055.0</v>
      </c>
      <c r="H1808" s="8">
        <f t="shared" si="1"/>
        <v>9</v>
      </c>
      <c r="I1808" s="9">
        <f t="shared" si="2"/>
        <v>5</v>
      </c>
      <c r="J1808" s="9">
        <f t="shared" si="3"/>
        <v>2023</v>
      </c>
    </row>
    <row r="1809" ht="15.75" customHeight="1">
      <c r="A1809" s="5">
        <v>91.0</v>
      </c>
      <c r="B1809" s="10" t="s">
        <v>1632</v>
      </c>
      <c r="C1809" s="3" t="s">
        <v>1633</v>
      </c>
      <c r="D1809" s="4" t="s">
        <v>8</v>
      </c>
      <c r="E1809" s="5" t="s">
        <v>23</v>
      </c>
      <c r="F1809" s="6" t="s">
        <v>1112</v>
      </c>
      <c r="G1809" s="7">
        <v>45094.0</v>
      </c>
      <c r="H1809" s="8">
        <f t="shared" si="1"/>
        <v>17</v>
      </c>
      <c r="I1809" s="9">
        <f t="shared" si="2"/>
        <v>6</v>
      </c>
      <c r="J1809" s="9">
        <f t="shared" si="3"/>
        <v>2023</v>
      </c>
    </row>
    <row r="1810" ht="15.75" customHeight="1">
      <c r="A1810" s="5">
        <v>91.0</v>
      </c>
      <c r="B1810" s="10" t="s">
        <v>1632</v>
      </c>
      <c r="C1810" s="3" t="s">
        <v>1633</v>
      </c>
      <c r="D1810" s="4" t="s">
        <v>8</v>
      </c>
      <c r="E1810" s="5" t="s">
        <v>19</v>
      </c>
      <c r="F1810" s="6" t="s">
        <v>1640</v>
      </c>
      <c r="G1810" s="7">
        <v>45099.0</v>
      </c>
      <c r="H1810" s="8">
        <f t="shared" si="1"/>
        <v>22</v>
      </c>
      <c r="I1810" s="9">
        <f t="shared" si="2"/>
        <v>6</v>
      </c>
      <c r="J1810" s="9">
        <f t="shared" si="3"/>
        <v>2023</v>
      </c>
    </row>
    <row r="1811" ht="15.75" customHeight="1">
      <c r="A1811" s="5">
        <v>91.0</v>
      </c>
      <c r="B1811" s="10" t="s">
        <v>1632</v>
      </c>
      <c r="C1811" s="3" t="s">
        <v>1633</v>
      </c>
      <c r="D1811" s="4" t="s">
        <v>3</v>
      </c>
      <c r="E1811" s="5" t="s">
        <v>96</v>
      </c>
      <c r="F1811" s="6" t="s">
        <v>501</v>
      </c>
      <c r="G1811" s="7">
        <v>45119.0</v>
      </c>
      <c r="H1811" s="8">
        <f t="shared" si="1"/>
        <v>12</v>
      </c>
      <c r="I1811" s="9">
        <f t="shared" si="2"/>
        <v>7</v>
      </c>
      <c r="J1811" s="9">
        <f t="shared" si="3"/>
        <v>2023</v>
      </c>
    </row>
    <row r="1812" ht="15.75" customHeight="1">
      <c r="A1812" s="5">
        <v>91.0</v>
      </c>
      <c r="B1812" s="10" t="s">
        <v>1632</v>
      </c>
      <c r="C1812" s="3" t="s">
        <v>1633</v>
      </c>
      <c r="D1812" s="4" t="s">
        <v>3</v>
      </c>
      <c r="E1812" s="5" t="s">
        <v>96</v>
      </c>
      <c r="F1812" s="6" t="s">
        <v>341</v>
      </c>
      <c r="G1812" s="7">
        <v>45124.0</v>
      </c>
      <c r="H1812" s="8">
        <f t="shared" si="1"/>
        <v>17</v>
      </c>
      <c r="I1812" s="9">
        <f t="shared" si="2"/>
        <v>7</v>
      </c>
      <c r="J1812" s="9">
        <f t="shared" si="3"/>
        <v>2023</v>
      </c>
    </row>
    <row r="1813" ht="15.75" customHeight="1">
      <c r="A1813" s="5">
        <v>91.0</v>
      </c>
      <c r="B1813" s="10" t="s">
        <v>1632</v>
      </c>
      <c r="C1813" s="3" t="s">
        <v>1633</v>
      </c>
      <c r="D1813" s="4" t="s">
        <v>3</v>
      </c>
      <c r="E1813" s="5" t="s">
        <v>4</v>
      </c>
      <c r="F1813" s="6" t="s">
        <v>1641</v>
      </c>
      <c r="G1813" s="7">
        <v>45131.0</v>
      </c>
      <c r="H1813" s="8">
        <f t="shared" si="1"/>
        <v>24</v>
      </c>
      <c r="I1813" s="9">
        <f t="shared" si="2"/>
        <v>7</v>
      </c>
      <c r="J1813" s="9">
        <f t="shared" si="3"/>
        <v>2023</v>
      </c>
    </row>
    <row r="1814" ht="15.75" customHeight="1">
      <c r="A1814" s="5">
        <v>91.0</v>
      </c>
      <c r="B1814" s="10" t="s">
        <v>1632</v>
      </c>
      <c r="C1814" s="3" t="s">
        <v>1633</v>
      </c>
      <c r="D1814" s="4" t="s">
        <v>8</v>
      </c>
      <c r="E1814" s="5" t="s">
        <v>6</v>
      </c>
      <c r="F1814" s="6" t="s">
        <v>1642</v>
      </c>
      <c r="G1814" s="7">
        <v>45131.0</v>
      </c>
      <c r="H1814" s="8">
        <f t="shared" si="1"/>
        <v>24</v>
      </c>
      <c r="I1814" s="9">
        <f t="shared" si="2"/>
        <v>7</v>
      </c>
      <c r="J1814" s="9">
        <f t="shared" si="3"/>
        <v>2023</v>
      </c>
    </row>
    <row r="1815" ht="15.75" customHeight="1">
      <c r="A1815" s="5">
        <v>91.0</v>
      </c>
      <c r="B1815" s="10" t="s">
        <v>1632</v>
      </c>
      <c r="C1815" s="3" t="s">
        <v>1633</v>
      </c>
      <c r="D1815" s="4" t="s">
        <v>8</v>
      </c>
      <c r="E1815" s="5" t="s">
        <v>11</v>
      </c>
      <c r="F1815" s="6" t="s">
        <v>1146</v>
      </c>
      <c r="G1815" s="7">
        <v>45148.0</v>
      </c>
      <c r="H1815" s="8">
        <f t="shared" si="1"/>
        <v>10</v>
      </c>
      <c r="I1815" s="9">
        <f t="shared" si="2"/>
        <v>8</v>
      </c>
      <c r="J1815" s="9">
        <f t="shared" si="3"/>
        <v>2023</v>
      </c>
    </row>
    <row r="1816" ht="15.75" customHeight="1">
      <c r="A1816" s="5">
        <v>91.0</v>
      </c>
      <c r="B1816" s="10" t="s">
        <v>1632</v>
      </c>
      <c r="C1816" s="3" t="s">
        <v>1633</v>
      </c>
      <c r="D1816" s="4" t="s">
        <v>8</v>
      </c>
      <c r="E1816" s="5" t="s">
        <v>35</v>
      </c>
      <c r="F1816" s="6" t="s">
        <v>1643</v>
      </c>
      <c r="G1816" s="7">
        <v>45202.0</v>
      </c>
      <c r="H1816" s="8">
        <f t="shared" si="1"/>
        <v>3</v>
      </c>
      <c r="I1816" s="9">
        <f t="shared" si="2"/>
        <v>10</v>
      </c>
      <c r="J1816" s="9">
        <f t="shared" si="3"/>
        <v>2023</v>
      </c>
    </row>
    <row r="1817" ht="15.75" customHeight="1">
      <c r="A1817" s="5">
        <v>91.0</v>
      </c>
      <c r="B1817" s="10" t="s">
        <v>1632</v>
      </c>
      <c r="C1817" s="3" t="s">
        <v>1633</v>
      </c>
      <c r="D1817" s="4" t="s">
        <v>3</v>
      </c>
      <c r="E1817" s="5" t="s">
        <v>9</v>
      </c>
      <c r="F1817" s="6" t="s">
        <v>333</v>
      </c>
      <c r="G1817" s="7">
        <v>45238.0</v>
      </c>
      <c r="H1817" s="8">
        <f t="shared" si="1"/>
        <v>8</v>
      </c>
      <c r="I1817" s="9">
        <f t="shared" si="2"/>
        <v>11</v>
      </c>
      <c r="J1817" s="9">
        <f t="shared" si="3"/>
        <v>2023</v>
      </c>
    </row>
    <row r="1818" ht="15.75" customHeight="1">
      <c r="A1818" s="5">
        <v>91.0</v>
      </c>
      <c r="B1818" s="10" t="s">
        <v>1632</v>
      </c>
      <c r="C1818" s="3" t="s">
        <v>1633</v>
      </c>
      <c r="D1818" s="4" t="s">
        <v>3</v>
      </c>
      <c r="E1818" s="5" t="s">
        <v>21</v>
      </c>
      <c r="F1818" s="6" t="s">
        <v>235</v>
      </c>
      <c r="G1818" s="7">
        <v>45246.0</v>
      </c>
      <c r="H1818" s="8">
        <f t="shared" si="1"/>
        <v>16</v>
      </c>
      <c r="I1818" s="9">
        <f t="shared" si="2"/>
        <v>11</v>
      </c>
      <c r="J1818" s="9">
        <f t="shared" si="3"/>
        <v>2023</v>
      </c>
    </row>
    <row r="1819" ht="15.75" customHeight="1">
      <c r="A1819" s="5">
        <v>91.0</v>
      </c>
      <c r="B1819" s="10" t="s">
        <v>1632</v>
      </c>
      <c r="C1819" s="3" t="s">
        <v>1633</v>
      </c>
      <c r="D1819" s="4" t="s">
        <v>3</v>
      </c>
      <c r="E1819" s="5" t="s">
        <v>45</v>
      </c>
      <c r="F1819" s="6" t="s">
        <v>141</v>
      </c>
      <c r="G1819" s="7">
        <v>45270.0</v>
      </c>
      <c r="H1819" s="8">
        <f t="shared" si="1"/>
        <v>10</v>
      </c>
      <c r="I1819" s="9">
        <f t="shared" si="2"/>
        <v>12</v>
      </c>
      <c r="J1819" s="9">
        <f t="shared" si="3"/>
        <v>2023</v>
      </c>
    </row>
    <row r="1820" ht="15.75" customHeight="1">
      <c r="A1820" s="5">
        <v>91.0</v>
      </c>
      <c r="B1820" s="10" t="s">
        <v>1632</v>
      </c>
      <c r="C1820" s="3" t="s">
        <v>1633</v>
      </c>
      <c r="D1820" s="4" t="s">
        <v>8</v>
      </c>
      <c r="E1820" s="5" t="s">
        <v>11</v>
      </c>
      <c r="F1820" s="6" t="s">
        <v>1026</v>
      </c>
      <c r="G1820" s="7">
        <v>45282.0</v>
      </c>
      <c r="H1820" s="8">
        <f t="shared" si="1"/>
        <v>22</v>
      </c>
      <c r="I1820" s="9">
        <f t="shared" si="2"/>
        <v>12</v>
      </c>
      <c r="J1820" s="9">
        <f t="shared" si="3"/>
        <v>2023</v>
      </c>
    </row>
    <row r="1821" ht="15.75" customHeight="1">
      <c r="A1821" s="5">
        <v>92.0</v>
      </c>
      <c r="B1821" s="10" t="s">
        <v>1632</v>
      </c>
      <c r="C1821" s="3" t="s">
        <v>1644</v>
      </c>
      <c r="D1821" s="4" t="s">
        <v>3</v>
      </c>
      <c r="E1821" s="5" t="s">
        <v>76</v>
      </c>
      <c r="F1821" s="6" t="s">
        <v>1645</v>
      </c>
      <c r="G1821" s="7">
        <v>44950.0</v>
      </c>
      <c r="H1821" s="8">
        <f t="shared" si="1"/>
        <v>24</v>
      </c>
      <c r="I1821" s="9">
        <f t="shared" si="2"/>
        <v>1</v>
      </c>
      <c r="J1821" s="9">
        <f t="shared" si="3"/>
        <v>2023</v>
      </c>
    </row>
    <row r="1822" ht="15.75" customHeight="1">
      <c r="A1822" s="5">
        <v>92.0</v>
      </c>
      <c r="B1822" s="10" t="s">
        <v>1632</v>
      </c>
      <c r="C1822" s="3" t="s">
        <v>1644</v>
      </c>
      <c r="D1822" s="4" t="s">
        <v>8</v>
      </c>
      <c r="E1822" s="5" t="s">
        <v>11</v>
      </c>
      <c r="F1822" s="6" t="s">
        <v>1646</v>
      </c>
      <c r="G1822" s="7">
        <v>44984.0</v>
      </c>
      <c r="H1822" s="8">
        <f t="shared" si="1"/>
        <v>27</v>
      </c>
      <c r="I1822" s="9">
        <f t="shared" si="2"/>
        <v>2</v>
      </c>
      <c r="J1822" s="9">
        <f t="shared" si="3"/>
        <v>2023</v>
      </c>
    </row>
    <row r="1823" ht="15.75" customHeight="1">
      <c r="A1823" s="5">
        <v>92.0</v>
      </c>
      <c r="B1823" s="10" t="s">
        <v>1632</v>
      </c>
      <c r="C1823" s="3" t="s">
        <v>1644</v>
      </c>
      <c r="D1823" s="4" t="s">
        <v>3</v>
      </c>
      <c r="E1823" s="5" t="s">
        <v>71</v>
      </c>
      <c r="F1823" s="6" t="s">
        <v>1206</v>
      </c>
      <c r="G1823" s="7">
        <v>44988.0</v>
      </c>
      <c r="H1823" s="8">
        <f t="shared" si="1"/>
        <v>3</v>
      </c>
      <c r="I1823" s="9">
        <f t="shared" si="2"/>
        <v>3</v>
      </c>
      <c r="J1823" s="9">
        <f t="shared" si="3"/>
        <v>2023</v>
      </c>
    </row>
    <row r="1824" ht="15.75" customHeight="1">
      <c r="A1824" s="5">
        <v>92.0</v>
      </c>
      <c r="B1824" s="10" t="s">
        <v>1632</v>
      </c>
      <c r="C1824" s="3" t="s">
        <v>1644</v>
      </c>
      <c r="D1824" s="4" t="s">
        <v>3</v>
      </c>
      <c r="E1824" s="5" t="s">
        <v>42</v>
      </c>
      <c r="F1824" s="6" t="s">
        <v>505</v>
      </c>
      <c r="G1824" s="7">
        <v>45012.0</v>
      </c>
      <c r="H1824" s="8">
        <f t="shared" si="1"/>
        <v>27</v>
      </c>
      <c r="I1824" s="9">
        <f t="shared" si="2"/>
        <v>3</v>
      </c>
      <c r="J1824" s="9">
        <f t="shared" si="3"/>
        <v>2023</v>
      </c>
    </row>
    <row r="1825" ht="15.75" customHeight="1">
      <c r="A1825" s="5">
        <v>92.0</v>
      </c>
      <c r="B1825" s="10" t="s">
        <v>1632</v>
      </c>
      <c r="C1825" s="3" t="s">
        <v>1644</v>
      </c>
      <c r="D1825" s="4" t="s">
        <v>3</v>
      </c>
      <c r="E1825" s="5" t="s">
        <v>96</v>
      </c>
      <c r="F1825" s="6" t="s">
        <v>604</v>
      </c>
      <c r="G1825" s="7">
        <v>45020.0</v>
      </c>
      <c r="H1825" s="8">
        <f t="shared" si="1"/>
        <v>4</v>
      </c>
      <c r="I1825" s="9">
        <f t="shared" si="2"/>
        <v>4</v>
      </c>
      <c r="J1825" s="9">
        <f t="shared" si="3"/>
        <v>2023</v>
      </c>
    </row>
    <row r="1826" ht="15.75" customHeight="1">
      <c r="A1826" s="5">
        <v>92.0</v>
      </c>
      <c r="B1826" s="10" t="s">
        <v>1632</v>
      </c>
      <c r="C1826" s="3" t="s">
        <v>1644</v>
      </c>
      <c r="D1826" s="4" t="s">
        <v>3</v>
      </c>
      <c r="E1826" s="5" t="s">
        <v>39</v>
      </c>
      <c r="F1826" s="6" t="s">
        <v>1647</v>
      </c>
      <c r="G1826" s="7">
        <v>45024.0</v>
      </c>
      <c r="H1826" s="8">
        <f t="shared" si="1"/>
        <v>8</v>
      </c>
      <c r="I1826" s="9">
        <f t="shared" si="2"/>
        <v>4</v>
      </c>
      <c r="J1826" s="9">
        <f t="shared" si="3"/>
        <v>2023</v>
      </c>
    </row>
    <row r="1827" ht="15.75" customHeight="1">
      <c r="A1827" s="5">
        <v>92.0</v>
      </c>
      <c r="B1827" s="10" t="s">
        <v>1632</v>
      </c>
      <c r="C1827" s="3" t="s">
        <v>1644</v>
      </c>
      <c r="D1827" s="4" t="s">
        <v>8</v>
      </c>
      <c r="E1827" s="5" t="s">
        <v>51</v>
      </c>
      <c r="F1827" s="6" t="s">
        <v>1648</v>
      </c>
      <c r="G1827" s="7">
        <v>45032.0</v>
      </c>
      <c r="H1827" s="8">
        <f t="shared" si="1"/>
        <v>16</v>
      </c>
      <c r="I1827" s="9">
        <f t="shared" si="2"/>
        <v>4</v>
      </c>
      <c r="J1827" s="9">
        <f t="shared" si="3"/>
        <v>2023</v>
      </c>
    </row>
    <row r="1828" ht="15.75" customHeight="1">
      <c r="A1828" s="5">
        <v>92.0</v>
      </c>
      <c r="B1828" s="10" t="s">
        <v>1632</v>
      </c>
      <c r="C1828" s="3" t="s">
        <v>1644</v>
      </c>
      <c r="D1828" s="4" t="s">
        <v>3</v>
      </c>
      <c r="E1828" s="5" t="s">
        <v>4</v>
      </c>
      <c r="F1828" s="6" t="s">
        <v>1649</v>
      </c>
      <c r="G1828" s="7">
        <v>45080.0</v>
      </c>
      <c r="H1828" s="8">
        <f t="shared" si="1"/>
        <v>3</v>
      </c>
      <c r="I1828" s="9">
        <f t="shared" si="2"/>
        <v>6</v>
      </c>
      <c r="J1828" s="9">
        <f t="shared" si="3"/>
        <v>2023</v>
      </c>
    </row>
    <row r="1829" ht="15.75" customHeight="1">
      <c r="A1829" s="5">
        <v>92.0</v>
      </c>
      <c r="B1829" s="10" t="s">
        <v>1632</v>
      </c>
      <c r="C1829" s="3" t="s">
        <v>1644</v>
      </c>
      <c r="D1829" s="4" t="s">
        <v>3</v>
      </c>
      <c r="E1829" s="5" t="s">
        <v>6</v>
      </c>
      <c r="F1829" s="6" t="s">
        <v>1397</v>
      </c>
      <c r="G1829" s="7">
        <v>45082.0</v>
      </c>
      <c r="H1829" s="8">
        <f t="shared" si="1"/>
        <v>5</v>
      </c>
      <c r="I1829" s="9">
        <f t="shared" si="2"/>
        <v>6</v>
      </c>
      <c r="J1829" s="9">
        <f t="shared" si="3"/>
        <v>2023</v>
      </c>
    </row>
    <row r="1830" ht="15.75" customHeight="1">
      <c r="A1830" s="5">
        <v>92.0</v>
      </c>
      <c r="B1830" s="10" t="s">
        <v>1632</v>
      </c>
      <c r="C1830" s="3" t="s">
        <v>1644</v>
      </c>
      <c r="D1830" s="4" t="s">
        <v>8</v>
      </c>
      <c r="E1830" s="5" t="s">
        <v>51</v>
      </c>
      <c r="F1830" s="6" t="s">
        <v>1650</v>
      </c>
      <c r="G1830" s="7">
        <v>45083.0</v>
      </c>
      <c r="H1830" s="8">
        <f t="shared" si="1"/>
        <v>6</v>
      </c>
      <c r="I1830" s="9">
        <f t="shared" si="2"/>
        <v>6</v>
      </c>
      <c r="J1830" s="9">
        <f t="shared" si="3"/>
        <v>2023</v>
      </c>
    </row>
    <row r="1831" ht="15.75" customHeight="1">
      <c r="A1831" s="5">
        <v>92.0</v>
      </c>
      <c r="B1831" s="10" t="s">
        <v>1632</v>
      </c>
      <c r="C1831" s="3" t="s">
        <v>1644</v>
      </c>
      <c r="D1831" s="4" t="s">
        <v>3</v>
      </c>
      <c r="E1831" s="5" t="s">
        <v>13</v>
      </c>
      <c r="F1831" s="6" t="s">
        <v>1125</v>
      </c>
      <c r="G1831" s="7">
        <v>45089.0</v>
      </c>
      <c r="H1831" s="8">
        <f t="shared" si="1"/>
        <v>12</v>
      </c>
      <c r="I1831" s="9">
        <f t="shared" si="2"/>
        <v>6</v>
      </c>
      <c r="J1831" s="9">
        <f t="shared" si="3"/>
        <v>2023</v>
      </c>
    </row>
    <row r="1832" ht="15.75" customHeight="1">
      <c r="A1832" s="5">
        <v>92.0</v>
      </c>
      <c r="B1832" s="10" t="s">
        <v>1632</v>
      </c>
      <c r="C1832" s="3" t="s">
        <v>1644</v>
      </c>
      <c r="D1832" s="4" t="s">
        <v>3</v>
      </c>
      <c r="E1832" s="5" t="s">
        <v>19</v>
      </c>
      <c r="F1832" s="6" t="s">
        <v>1651</v>
      </c>
      <c r="G1832" s="7">
        <v>45092.0</v>
      </c>
      <c r="H1832" s="8">
        <f t="shared" si="1"/>
        <v>15</v>
      </c>
      <c r="I1832" s="9">
        <f t="shared" si="2"/>
        <v>6</v>
      </c>
      <c r="J1832" s="9">
        <f t="shared" si="3"/>
        <v>2023</v>
      </c>
    </row>
    <row r="1833" ht="15.75" customHeight="1">
      <c r="A1833" s="5">
        <v>92.0</v>
      </c>
      <c r="B1833" s="10" t="s">
        <v>1632</v>
      </c>
      <c r="C1833" s="3" t="s">
        <v>1644</v>
      </c>
      <c r="D1833" s="4" t="s">
        <v>8</v>
      </c>
      <c r="E1833" s="5" t="s">
        <v>21</v>
      </c>
      <c r="F1833" s="6" t="s">
        <v>106</v>
      </c>
      <c r="G1833" s="7">
        <v>45114.0</v>
      </c>
      <c r="H1833" s="8">
        <f t="shared" si="1"/>
        <v>7</v>
      </c>
      <c r="I1833" s="9">
        <f t="shared" si="2"/>
        <v>7</v>
      </c>
      <c r="J1833" s="9">
        <f t="shared" si="3"/>
        <v>2023</v>
      </c>
    </row>
    <row r="1834" ht="15.75" customHeight="1">
      <c r="A1834" s="5">
        <v>92.0</v>
      </c>
      <c r="B1834" s="10" t="s">
        <v>1632</v>
      </c>
      <c r="C1834" s="3" t="s">
        <v>1644</v>
      </c>
      <c r="D1834" s="4" t="s">
        <v>3</v>
      </c>
      <c r="E1834" s="5" t="s">
        <v>35</v>
      </c>
      <c r="F1834" s="6" t="s">
        <v>1652</v>
      </c>
      <c r="G1834" s="7">
        <v>45128.0</v>
      </c>
      <c r="H1834" s="8">
        <f t="shared" si="1"/>
        <v>21</v>
      </c>
      <c r="I1834" s="9">
        <f t="shared" si="2"/>
        <v>7</v>
      </c>
      <c r="J1834" s="9">
        <f t="shared" si="3"/>
        <v>2023</v>
      </c>
    </row>
    <row r="1835" ht="15.75" customHeight="1">
      <c r="A1835" s="5">
        <v>92.0</v>
      </c>
      <c r="B1835" s="10" t="s">
        <v>1632</v>
      </c>
      <c r="C1835" s="3" t="s">
        <v>1644</v>
      </c>
      <c r="D1835" s="4" t="s">
        <v>3</v>
      </c>
      <c r="E1835" s="5" t="s">
        <v>17</v>
      </c>
      <c r="F1835" s="6" t="s">
        <v>225</v>
      </c>
      <c r="G1835" s="7">
        <v>45131.0</v>
      </c>
      <c r="H1835" s="8">
        <f t="shared" si="1"/>
        <v>24</v>
      </c>
      <c r="I1835" s="9">
        <f t="shared" si="2"/>
        <v>7</v>
      </c>
      <c r="J1835" s="9">
        <f t="shared" si="3"/>
        <v>2023</v>
      </c>
    </row>
    <row r="1836" ht="15.75" customHeight="1">
      <c r="A1836" s="5">
        <v>92.0</v>
      </c>
      <c r="B1836" s="10" t="s">
        <v>1632</v>
      </c>
      <c r="C1836" s="3" t="s">
        <v>1644</v>
      </c>
      <c r="D1836" s="4" t="s">
        <v>8</v>
      </c>
      <c r="E1836" s="5" t="s">
        <v>9</v>
      </c>
      <c r="F1836" s="6" t="s">
        <v>903</v>
      </c>
      <c r="G1836" s="7">
        <v>45176.0</v>
      </c>
      <c r="H1836" s="8">
        <f t="shared" si="1"/>
        <v>7</v>
      </c>
      <c r="I1836" s="9">
        <f t="shared" si="2"/>
        <v>9</v>
      </c>
      <c r="J1836" s="9">
        <f t="shared" si="3"/>
        <v>2023</v>
      </c>
    </row>
    <row r="1837" ht="15.75" customHeight="1">
      <c r="A1837" s="5">
        <v>92.0</v>
      </c>
      <c r="B1837" s="10" t="s">
        <v>1632</v>
      </c>
      <c r="C1837" s="3" t="s">
        <v>1644</v>
      </c>
      <c r="D1837" s="4" t="s">
        <v>8</v>
      </c>
      <c r="E1837" s="5" t="s">
        <v>76</v>
      </c>
      <c r="F1837" s="6" t="s">
        <v>1653</v>
      </c>
      <c r="G1837" s="7">
        <v>45209.0</v>
      </c>
      <c r="H1837" s="8">
        <f t="shared" si="1"/>
        <v>10</v>
      </c>
      <c r="I1837" s="9">
        <f t="shared" si="2"/>
        <v>10</v>
      </c>
      <c r="J1837" s="9">
        <f t="shared" si="3"/>
        <v>2023</v>
      </c>
    </row>
    <row r="1838" ht="15.75" customHeight="1">
      <c r="A1838" s="5">
        <v>92.0</v>
      </c>
      <c r="B1838" s="10" t="s">
        <v>1632</v>
      </c>
      <c r="C1838" s="3" t="s">
        <v>1644</v>
      </c>
      <c r="D1838" s="4" t="s">
        <v>3</v>
      </c>
      <c r="E1838" s="5" t="s">
        <v>76</v>
      </c>
      <c r="F1838" s="6" t="s">
        <v>1654</v>
      </c>
      <c r="G1838" s="7">
        <v>45231.0</v>
      </c>
      <c r="H1838" s="8">
        <f t="shared" si="1"/>
        <v>1</v>
      </c>
      <c r="I1838" s="9">
        <f t="shared" si="2"/>
        <v>11</v>
      </c>
      <c r="J1838" s="9">
        <f t="shared" si="3"/>
        <v>2023</v>
      </c>
    </row>
    <row r="1839" ht="15.75" customHeight="1">
      <c r="A1839" s="5">
        <v>92.0</v>
      </c>
      <c r="B1839" s="10" t="s">
        <v>1632</v>
      </c>
      <c r="C1839" s="3" t="s">
        <v>1644</v>
      </c>
      <c r="D1839" s="4" t="s">
        <v>3</v>
      </c>
      <c r="E1839" s="5" t="s">
        <v>71</v>
      </c>
      <c r="F1839" s="6" t="s">
        <v>1655</v>
      </c>
      <c r="G1839" s="7">
        <v>45271.0</v>
      </c>
      <c r="H1839" s="8">
        <f t="shared" si="1"/>
        <v>11</v>
      </c>
      <c r="I1839" s="9">
        <f t="shared" si="2"/>
        <v>12</v>
      </c>
      <c r="J1839" s="9">
        <f t="shared" si="3"/>
        <v>2023</v>
      </c>
    </row>
    <row r="1840" ht="15.75" customHeight="1">
      <c r="A1840" s="5">
        <v>92.0</v>
      </c>
      <c r="B1840" s="10" t="s">
        <v>1632</v>
      </c>
      <c r="C1840" s="3" t="s">
        <v>1644</v>
      </c>
      <c r="D1840" s="4" t="s">
        <v>3</v>
      </c>
      <c r="E1840" s="5" t="s">
        <v>71</v>
      </c>
      <c r="F1840" s="6" t="s">
        <v>1656</v>
      </c>
      <c r="G1840" s="7">
        <v>45272.0</v>
      </c>
      <c r="H1840" s="8">
        <f t="shared" si="1"/>
        <v>12</v>
      </c>
      <c r="I1840" s="9">
        <f t="shared" si="2"/>
        <v>12</v>
      </c>
      <c r="J1840" s="9">
        <f t="shared" si="3"/>
        <v>2023</v>
      </c>
    </row>
    <row r="1841" ht="15.75" customHeight="1">
      <c r="A1841" s="5">
        <v>93.0</v>
      </c>
      <c r="B1841" s="10" t="s">
        <v>1657</v>
      </c>
      <c r="C1841" s="3" t="s">
        <v>1658</v>
      </c>
      <c r="D1841" s="4" t="s">
        <v>8</v>
      </c>
      <c r="E1841" s="5" t="s">
        <v>23</v>
      </c>
      <c r="F1841" s="6" t="s">
        <v>1659</v>
      </c>
      <c r="G1841" s="7">
        <v>44937.0</v>
      </c>
      <c r="H1841" s="8">
        <f t="shared" si="1"/>
        <v>11</v>
      </c>
      <c r="I1841" s="9">
        <f t="shared" si="2"/>
        <v>1</v>
      </c>
      <c r="J1841" s="9">
        <f t="shared" si="3"/>
        <v>2023</v>
      </c>
    </row>
    <row r="1842" ht="15.75" customHeight="1">
      <c r="A1842" s="5">
        <v>93.0</v>
      </c>
      <c r="B1842" s="10" t="s">
        <v>1657</v>
      </c>
      <c r="C1842" s="3" t="s">
        <v>1658</v>
      </c>
      <c r="D1842" s="4" t="s">
        <v>3</v>
      </c>
      <c r="E1842" s="5" t="s">
        <v>35</v>
      </c>
      <c r="F1842" s="6" t="s">
        <v>1660</v>
      </c>
      <c r="G1842" s="7">
        <v>44939.0</v>
      </c>
      <c r="H1842" s="8">
        <f t="shared" si="1"/>
        <v>13</v>
      </c>
      <c r="I1842" s="9">
        <f t="shared" si="2"/>
        <v>1</v>
      </c>
      <c r="J1842" s="9">
        <f t="shared" si="3"/>
        <v>2023</v>
      </c>
    </row>
    <row r="1843" ht="15.75" customHeight="1">
      <c r="A1843" s="5">
        <v>93.0</v>
      </c>
      <c r="B1843" s="10" t="s">
        <v>1657</v>
      </c>
      <c r="C1843" s="3" t="s">
        <v>1658</v>
      </c>
      <c r="D1843" s="4" t="s">
        <v>8</v>
      </c>
      <c r="E1843" s="5" t="s">
        <v>9</v>
      </c>
      <c r="F1843" s="6" t="s">
        <v>208</v>
      </c>
      <c r="G1843" s="7">
        <v>44944.0</v>
      </c>
      <c r="H1843" s="8">
        <f t="shared" si="1"/>
        <v>18</v>
      </c>
      <c r="I1843" s="9">
        <f t="shared" si="2"/>
        <v>1</v>
      </c>
      <c r="J1843" s="9">
        <f t="shared" si="3"/>
        <v>2023</v>
      </c>
    </row>
    <row r="1844" ht="15.75" customHeight="1">
      <c r="A1844" s="5">
        <v>93.0</v>
      </c>
      <c r="B1844" s="10" t="s">
        <v>1657</v>
      </c>
      <c r="C1844" s="3" t="s">
        <v>1658</v>
      </c>
      <c r="D1844" s="4" t="s">
        <v>8</v>
      </c>
      <c r="E1844" s="5" t="s">
        <v>51</v>
      </c>
      <c r="F1844" s="6" t="s">
        <v>1134</v>
      </c>
      <c r="G1844" s="7">
        <v>44949.0</v>
      </c>
      <c r="H1844" s="8">
        <f t="shared" si="1"/>
        <v>23</v>
      </c>
      <c r="I1844" s="9">
        <f t="shared" si="2"/>
        <v>1</v>
      </c>
      <c r="J1844" s="9">
        <f t="shared" si="3"/>
        <v>2023</v>
      </c>
    </row>
    <row r="1845" ht="15.75" customHeight="1">
      <c r="A1845" s="5">
        <v>93.0</v>
      </c>
      <c r="B1845" s="10" t="s">
        <v>1657</v>
      </c>
      <c r="C1845" s="3" t="s">
        <v>1658</v>
      </c>
      <c r="D1845" s="4" t="s">
        <v>3</v>
      </c>
      <c r="E1845" s="5" t="s">
        <v>23</v>
      </c>
      <c r="F1845" s="6" t="s">
        <v>1661</v>
      </c>
      <c r="G1845" s="7">
        <v>45005.0</v>
      </c>
      <c r="H1845" s="8">
        <f t="shared" si="1"/>
        <v>20</v>
      </c>
      <c r="I1845" s="9">
        <f t="shared" si="2"/>
        <v>3</v>
      </c>
      <c r="J1845" s="9">
        <f t="shared" si="3"/>
        <v>2023</v>
      </c>
    </row>
    <row r="1846" ht="15.75" customHeight="1">
      <c r="A1846" s="5">
        <v>93.0</v>
      </c>
      <c r="B1846" s="10" t="s">
        <v>1657</v>
      </c>
      <c r="C1846" s="3" t="s">
        <v>1658</v>
      </c>
      <c r="D1846" s="4" t="s">
        <v>8</v>
      </c>
      <c r="E1846" s="5" t="s">
        <v>45</v>
      </c>
      <c r="F1846" s="6" t="s">
        <v>1662</v>
      </c>
      <c r="G1846" s="7">
        <v>45033.0</v>
      </c>
      <c r="H1846" s="8">
        <f t="shared" si="1"/>
        <v>17</v>
      </c>
      <c r="I1846" s="9">
        <f t="shared" si="2"/>
        <v>4</v>
      </c>
      <c r="J1846" s="9">
        <f t="shared" si="3"/>
        <v>2023</v>
      </c>
    </row>
    <row r="1847" ht="15.75" customHeight="1">
      <c r="A1847" s="5">
        <v>93.0</v>
      </c>
      <c r="B1847" s="10" t="s">
        <v>1657</v>
      </c>
      <c r="C1847" s="3" t="s">
        <v>1658</v>
      </c>
      <c r="D1847" s="4" t="s">
        <v>8</v>
      </c>
      <c r="E1847" s="5" t="s">
        <v>9</v>
      </c>
      <c r="F1847" s="6" t="s">
        <v>1663</v>
      </c>
      <c r="G1847" s="7">
        <v>45090.0</v>
      </c>
      <c r="H1847" s="8">
        <f t="shared" si="1"/>
        <v>13</v>
      </c>
      <c r="I1847" s="9">
        <f t="shared" si="2"/>
        <v>6</v>
      </c>
      <c r="J1847" s="9">
        <f t="shared" si="3"/>
        <v>2023</v>
      </c>
    </row>
    <row r="1848" ht="15.75" customHeight="1">
      <c r="A1848" s="5">
        <v>93.0</v>
      </c>
      <c r="B1848" s="10" t="s">
        <v>1657</v>
      </c>
      <c r="C1848" s="3" t="s">
        <v>1658</v>
      </c>
      <c r="D1848" s="4" t="s">
        <v>3</v>
      </c>
      <c r="E1848" s="5" t="s">
        <v>76</v>
      </c>
      <c r="F1848" s="6" t="s">
        <v>1664</v>
      </c>
      <c r="G1848" s="7">
        <v>45101.0</v>
      </c>
      <c r="H1848" s="8">
        <f t="shared" si="1"/>
        <v>24</v>
      </c>
      <c r="I1848" s="9">
        <f t="shared" si="2"/>
        <v>6</v>
      </c>
      <c r="J1848" s="9">
        <f t="shared" si="3"/>
        <v>2023</v>
      </c>
    </row>
    <row r="1849" ht="15.75" customHeight="1">
      <c r="A1849" s="5">
        <v>93.0</v>
      </c>
      <c r="B1849" s="10" t="s">
        <v>1657</v>
      </c>
      <c r="C1849" s="3" t="s">
        <v>1658</v>
      </c>
      <c r="D1849" s="4" t="s">
        <v>8</v>
      </c>
      <c r="E1849" s="5" t="s">
        <v>35</v>
      </c>
      <c r="F1849" s="6" t="s">
        <v>896</v>
      </c>
      <c r="G1849" s="7">
        <v>45101.0</v>
      </c>
      <c r="H1849" s="8">
        <f t="shared" si="1"/>
        <v>24</v>
      </c>
      <c r="I1849" s="9">
        <f t="shared" si="2"/>
        <v>6</v>
      </c>
      <c r="J1849" s="9">
        <f t="shared" si="3"/>
        <v>2023</v>
      </c>
    </row>
    <row r="1850" ht="15.75" customHeight="1">
      <c r="A1850" s="5">
        <v>93.0</v>
      </c>
      <c r="B1850" s="10" t="s">
        <v>1657</v>
      </c>
      <c r="C1850" s="3" t="s">
        <v>1658</v>
      </c>
      <c r="D1850" s="4" t="s">
        <v>3</v>
      </c>
      <c r="E1850" s="5" t="s">
        <v>11</v>
      </c>
      <c r="F1850" s="6" t="s">
        <v>1665</v>
      </c>
      <c r="G1850" s="7">
        <v>45105.0</v>
      </c>
      <c r="H1850" s="8">
        <f t="shared" si="1"/>
        <v>28</v>
      </c>
      <c r="I1850" s="9">
        <f t="shared" si="2"/>
        <v>6</v>
      </c>
      <c r="J1850" s="9">
        <f t="shared" si="3"/>
        <v>2023</v>
      </c>
    </row>
    <row r="1851" ht="15.75" customHeight="1">
      <c r="A1851" s="5">
        <v>93.0</v>
      </c>
      <c r="B1851" s="10" t="s">
        <v>1657</v>
      </c>
      <c r="C1851" s="3" t="s">
        <v>1658</v>
      </c>
      <c r="D1851" s="4" t="s">
        <v>3</v>
      </c>
      <c r="E1851" s="5" t="s">
        <v>45</v>
      </c>
      <c r="F1851" s="6" t="s">
        <v>1666</v>
      </c>
      <c r="G1851" s="7">
        <v>45122.0</v>
      </c>
      <c r="H1851" s="8">
        <f t="shared" si="1"/>
        <v>15</v>
      </c>
      <c r="I1851" s="9">
        <f t="shared" si="2"/>
        <v>7</v>
      </c>
      <c r="J1851" s="9">
        <f t="shared" si="3"/>
        <v>2023</v>
      </c>
    </row>
    <row r="1852" ht="15.75" customHeight="1">
      <c r="A1852" s="5">
        <v>93.0</v>
      </c>
      <c r="B1852" s="10" t="s">
        <v>1657</v>
      </c>
      <c r="C1852" s="3" t="s">
        <v>1658</v>
      </c>
      <c r="D1852" s="4" t="s">
        <v>8</v>
      </c>
      <c r="E1852" s="5" t="s">
        <v>19</v>
      </c>
      <c r="F1852" s="6" t="s">
        <v>1667</v>
      </c>
      <c r="G1852" s="7">
        <v>45176.0</v>
      </c>
      <c r="H1852" s="8">
        <f t="shared" si="1"/>
        <v>7</v>
      </c>
      <c r="I1852" s="9">
        <f t="shared" si="2"/>
        <v>9</v>
      </c>
      <c r="J1852" s="9">
        <f t="shared" si="3"/>
        <v>2023</v>
      </c>
    </row>
    <row r="1853" ht="15.75" customHeight="1">
      <c r="A1853" s="5">
        <v>93.0</v>
      </c>
      <c r="B1853" s="10" t="s">
        <v>1657</v>
      </c>
      <c r="C1853" s="3" t="s">
        <v>1658</v>
      </c>
      <c r="D1853" s="4" t="s">
        <v>8</v>
      </c>
      <c r="E1853" s="5" t="s">
        <v>17</v>
      </c>
      <c r="F1853" s="6" t="s">
        <v>1001</v>
      </c>
      <c r="G1853" s="7">
        <v>45182.0</v>
      </c>
      <c r="H1853" s="8">
        <f t="shared" si="1"/>
        <v>13</v>
      </c>
      <c r="I1853" s="9">
        <f t="shared" si="2"/>
        <v>9</v>
      </c>
      <c r="J1853" s="9">
        <f t="shared" si="3"/>
        <v>2023</v>
      </c>
    </row>
    <row r="1854" ht="15.75" customHeight="1">
      <c r="A1854" s="5">
        <v>93.0</v>
      </c>
      <c r="B1854" s="10" t="s">
        <v>1657</v>
      </c>
      <c r="C1854" s="3" t="s">
        <v>1658</v>
      </c>
      <c r="D1854" s="4" t="s">
        <v>8</v>
      </c>
      <c r="E1854" s="5" t="s">
        <v>17</v>
      </c>
      <c r="F1854" s="6" t="s">
        <v>1668</v>
      </c>
      <c r="G1854" s="7">
        <v>45193.0</v>
      </c>
      <c r="H1854" s="8">
        <f t="shared" si="1"/>
        <v>24</v>
      </c>
      <c r="I1854" s="9">
        <f t="shared" si="2"/>
        <v>9</v>
      </c>
      <c r="J1854" s="9">
        <f t="shared" si="3"/>
        <v>2023</v>
      </c>
    </row>
    <row r="1855" ht="15.75" customHeight="1">
      <c r="A1855" s="5">
        <v>93.0</v>
      </c>
      <c r="B1855" s="10" t="s">
        <v>1657</v>
      </c>
      <c r="C1855" s="3" t="s">
        <v>1658</v>
      </c>
      <c r="D1855" s="4" t="s">
        <v>3</v>
      </c>
      <c r="E1855" s="5" t="s">
        <v>19</v>
      </c>
      <c r="F1855" s="6" t="s">
        <v>1669</v>
      </c>
      <c r="G1855" s="7">
        <v>45255.0</v>
      </c>
      <c r="H1855" s="8">
        <f t="shared" si="1"/>
        <v>25</v>
      </c>
      <c r="I1855" s="9">
        <f t="shared" si="2"/>
        <v>11</v>
      </c>
      <c r="J1855" s="9">
        <f t="shared" si="3"/>
        <v>2023</v>
      </c>
    </row>
    <row r="1856" ht="15.75" customHeight="1">
      <c r="A1856" s="5">
        <v>93.0</v>
      </c>
      <c r="B1856" s="10" t="s">
        <v>1657</v>
      </c>
      <c r="C1856" s="3" t="s">
        <v>1658</v>
      </c>
      <c r="D1856" s="4" t="s">
        <v>3</v>
      </c>
      <c r="E1856" s="5" t="s">
        <v>6</v>
      </c>
      <c r="F1856" s="6" t="s">
        <v>1670</v>
      </c>
      <c r="G1856" s="7">
        <v>45261.0</v>
      </c>
      <c r="H1856" s="8">
        <f t="shared" si="1"/>
        <v>1</v>
      </c>
      <c r="I1856" s="9">
        <f t="shared" si="2"/>
        <v>12</v>
      </c>
      <c r="J1856" s="9">
        <f t="shared" si="3"/>
        <v>2023</v>
      </c>
    </row>
    <row r="1857" ht="15.75" customHeight="1">
      <c r="A1857" s="5">
        <v>93.0</v>
      </c>
      <c r="B1857" s="10" t="s">
        <v>1657</v>
      </c>
      <c r="C1857" s="3" t="s">
        <v>1658</v>
      </c>
      <c r="D1857" s="4" t="s">
        <v>8</v>
      </c>
      <c r="E1857" s="5" t="s">
        <v>28</v>
      </c>
      <c r="F1857" s="6" t="s">
        <v>1392</v>
      </c>
      <c r="G1857" s="7">
        <v>45269.0</v>
      </c>
      <c r="H1857" s="8">
        <f t="shared" si="1"/>
        <v>9</v>
      </c>
      <c r="I1857" s="9">
        <f t="shared" si="2"/>
        <v>12</v>
      </c>
      <c r="J1857" s="9">
        <f t="shared" si="3"/>
        <v>2023</v>
      </c>
    </row>
    <row r="1858" ht="15.75" customHeight="1">
      <c r="A1858" s="5">
        <v>93.0</v>
      </c>
      <c r="B1858" s="10" t="s">
        <v>1657</v>
      </c>
      <c r="C1858" s="3" t="s">
        <v>1658</v>
      </c>
      <c r="D1858" s="4" t="s">
        <v>8</v>
      </c>
      <c r="E1858" s="5" t="s">
        <v>23</v>
      </c>
      <c r="F1858" s="6" t="s">
        <v>1671</v>
      </c>
      <c r="G1858" s="7">
        <v>45276.0</v>
      </c>
      <c r="H1858" s="8">
        <f t="shared" si="1"/>
        <v>16</v>
      </c>
      <c r="I1858" s="9">
        <f t="shared" si="2"/>
        <v>12</v>
      </c>
      <c r="J1858" s="9">
        <f t="shared" si="3"/>
        <v>2023</v>
      </c>
    </row>
    <row r="1859" ht="15.75" customHeight="1">
      <c r="A1859" s="5">
        <v>93.0</v>
      </c>
      <c r="B1859" s="10" t="s">
        <v>1657</v>
      </c>
      <c r="C1859" s="3" t="s">
        <v>1658</v>
      </c>
      <c r="D1859" s="4" t="s">
        <v>3</v>
      </c>
      <c r="E1859" s="5" t="s">
        <v>21</v>
      </c>
      <c r="F1859" s="6" t="s">
        <v>933</v>
      </c>
      <c r="G1859" s="7">
        <v>45277.0</v>
      </c>
      <c r="H1859" s="8">
        <f t="shared" si="1"/>
        <v>17</v>
      </c>
      <c r="I1859" s="9">
        <f t="shared" si="2"/>
        <v>12</v>
      </c>
      <c r="J1859" s="9">
        <f t="shared" si="3"/>
        <v>2023</v>
      </c>
    </row>
    <row r="1860" ht="15.75" customHeight="1">
      <c r="A1860" s="5">
        <v>93.0</v>
      </c>
      <c r="B1860" s="10" t="s">
        <v>1657</v>
      </c>
      <c r="C1860" s="3" t="s">
        <v>1658</v>
      </c>
      <c r="D1860" s="4" t="s">
        <v>3</v>
      </c>
      <c r="E1860" s="5" t="s">
        <v>4</v>
      </c>
      <c r="F1860" s="6" t="s">
        <v>279</v>
      </c>
      <c r="G1860" s="7">
        <v>45283.0</v>
      </c>
      <c r="H1860" s="8">
        <f t="shared" si="1"/>
        <v>23</v>
      </c>
      <c r="I1860" s="9">
        <f t="shared" si="2"/>
        <v>12</v>
      </c>
      <c r="J1860" s="9">
        <f t="shared" si="3"/>
        <v>2023</v>
      </c>
    </row>
    <row r="1861" ht="15.75" customHeight="1">
      <c r="A1861" s="5">
        <v>94.0</v>
      </c>
      <c r="B1861" s="10" t="s">
        <v>199</v>
      </c>
      <c r="C1861" s="3" t="s">
        <v>1672</v>
      </c>
      <c r="D1861" s="4" t="s">
        <v>8</v>
      </c>
      <c r="E1861" s="5" t="s">
        <v>45</v>
      </c>
      <c r="F1861" s="6" t="s">
        <v>1673</v>
      </c>
      <c r="G1861" s="7">
        <v>44980.0</v>
      </c>
      <c r="H1861" s="8">
        <f t="shared" si="1"/>
        <v>23</v>
      </c>
      <c r="I1861" s="9">
        <f t="shared" si="2"/>
        <v>2</v>
      </c>
      <c r="J1861" s="9">
        <f t="shared" si="3"/>
        <v>2023</v>
      </c>
    </row>
    <row r="1862" ht="15.75" customHeight="1">
      <c r="A1862" s="5">
        <v>94.0</v>
      </c>
      <c r="B1862" s="10" t="s">
        <v>199</v>
      </c>
      <c r="C1862" s="3" t="s">
        <v>1672</v>
      </c>
      <c r="D1862" s="4" t="s">
        <v>3</v>
      </c>
      <c r="E1862" s="5" t="s">
        <v>45</v>
      </c>
      <c r="F1862" s="6" t="s">
        <v>282</v>
      </c>
      <c r="G1862" s="7">
        <v>44982.0</v>
      </c>
      <c r="H1862" s="8">
        <f t="shared" si="1"/>
        <v>25</v>
      </c>
      <c r="I1862" s="9">
        <f t="shared" si="2"/>
        <v>2</v>
      </c>
      <c r="J1862" s="9">
        <f t="shared" si="3"/>
        <v>2023</v>
      </c>
    </row>
    <row r="1863" ht="15.75" customHeight="1">
      <c r="A1863" s="5">
        <v>94.0</v>
      </c>
      <c r="B1863" s="10" t="s">
        <v>199</v>
      </c>
      <c r="C1863" s="3" t="s">
        <v>1672</v>
      </c>
      <c r="D1863" s="4" t="s">
        <v>3</v>
      </c>
      <c r="E1863" s="5" t="s">
        <v>4</v>
      </c>
      <c r="F1863" s="6" t="s">
        <v>1674</v>
      </c>
      <c r="G1863" s="7">
        <v>45018.0</v>
      </c>
      <c r="H1863" s="8">
        <f t="shared" si="1"/>
        <v>2</v>
      </c>
      <c r="I1863" s="9">
        <f t="shared" si="2"/>
        <v>4</v>
      </c>
      <c r="J1863" s="9">
        <f t="shared" si="3"/>
        <v>2023</v>
      </c>
    </row>
    <row r="1864" ht="15.75" customHeight="1">
      <c r="A1864" s="5">
        <v>94.0</v>
      </c>
      <c r="B1864" s="10" t="s">
        <v>199</v>
      </c>
      <c r="C1864" s="3" t="s">
        <v>1672</v>
      </c>
      <c r="D1864" s="4" t="s">
        <v>3</v>
      </c>
      <c r="E1864" s="5" t="s">
        <v>96</v>
      </c>
      <c r="F1864" s="6" t="s">
        <v>1675</v>
      </c>
      <c r="G1864" s="7">
        <v>45026.0</v>
      </c>
      <c r="H1864" s="8">
        <f t="shared" si="1"/>
        <v>10</v>
      </c>
      <c r="I1864" s="9">
        <f t="shared" si="2"/>
        <v>4</v>
      </c>
      <c r="J1864" s="9">
        <f t="shared" si="3"/>
        <v>2023</v>
      </c>
    </row>
    <row r="1865" ht="15.75" customHeight="1">
      <c r="A1865" s="5">
        <v>94.0</v>
      </c>
      <c r="B1865" s="10" t="s">
        <v>199</v>
      </c>
      <c r="C1865" s="3" t="s">
        <v>1672</v>
      </c>
      <c r="D1865" s="4" t="s">
        <v>3</v>
      </c>
      <c r="E1865" s="5" t="s">
        <v>15</v>
      </c>
      <c r="F1865" s="6" t="s">
        <v>1676</v>
      </c>
      <c r="G1865" s="7">
        <v>45030.0</v>
      </c>
      <c r="H1865" s="8">
        <f t="shared" si="1"/>
        <v>14</v>
      </c>
      <c r="I1865" s="9">
        <f t="shared" si="2"/>
        <v>4</v>
      </c>
      <c r="J1865" s="9">
        <f t="shared" si="3"/>
        <v>2023</v>
      </c>
    </row>
    <row r="1866" ht="15.75" customHeight="1">
      <c r="A1866" s="5">
        <v>94.0</v>
      </c>
      <c r="B1866" s="10" t="s">
        <v>199</v>
      </c>
      <c r="C1866" s="3" t="s">
        <v>1672</v>
      </c>
      <c r="D1866" s="4" t="s">
        <v>8</v>
      </c>
      <c r="E1866" s="5" t="s">
        <v>39</v>
      </c>
      <c r="F1866" s="6" t="s">
        <v>1677</v>
      </c>
      <c r="G1866" s="7">
        <v>45030.0</v>
      </c>
      <c r="H1866" s="8">
        <f t="shared" si="1"/>
        <v>14</v>
      </c>
      <c r="I1866" s="9">
        <f t="shared" si="2"/>
        <v>4</v>
      </c>
      <c r="J1866" s="9">
        <f t="shared" si="3"/>
        <v>2023</v>
      </c>
    </row>
    <row r="1867" ht="15.75" customHeight="1">
      <c r="A1867" s="5">
        <v>94.0</v>
      </c>
      <c r="B1867" s="10" t="s">
        <v>199</v>
      </c>
      <c r="C1867" s="3" t="s">
        <v>1672</v>
      </c>
      <c r="D1867" s="4" t="s">
        <v>8</v>
      </c>
      <c r="E1867" s="5" t="s">
        <v>6</v>
      </c>
      <c r="F1867" s="6" t="s">
        <v>357</v>
      </c>
      <c r="G1867" s="7">
        <v>45062.0</v>
      </c>
      <c r="H1867" s="8">
        <f t="shared" si="1"/>
        <v>16</v>
      </c>
      <c r="I1867" s="9">
        <f t="shared" si="2"/>
        <v>5</v>
      </c>
      <c r="J1867" s="9">
        <f t="shared" si="3"/>
        <v>2023</v>
      </c>
    </row>
    <row r="1868" ht="15.75" customHeight="1">
      <c r="A1868" s="5">
        <v>94.0</v>
      </c>
      <c r="B1868" s="10" t="s">
        <v>199</v>
      </c>
      <c r="C1868" s="3" t="s">
        <v>1672</v>
      </c>
      <c r="D1868" s="4" t="s">
        <v>3</v>
      </c>
      <c r="E1868" s="5" t="s">
        <v>23</v>
      </c>
      <c r="F1868" s="6" t="s">
        <v>1678</v>
      </c>
      <c r="G1868" s="7">
        <v>45096.0</v>
      </c>
      <c r="H1868" s="8">
        <f t="shared" si="1"/>
        <v>19</v>
      </c>
      <c r="I1868" s="9">
        <f t="shared" si="2"/>
        <v>6</v>
      </c>
      <c r="J1868" s="9">
        <f t="shared" si="3"/>
        <v>2023</v>
      </c>
    </row>
    <row r="1869" ht="15.75" customHeight="1">
      <c r="A1869" s="5">
        <v>94.0</v>
      </c>
      <c r="B1869" s="10" t="s">
        <v>199</v>
      </c>
      <c r="C1869" s="3" t="s">
        <v>1672</v>
      </c>
      <c r="D1869" s="4" t="s">
        <v>8</v>
      </c>
      <c r="E1869" s="5" t="s">
        <v>11</v>
      </c>
      <c r="F1869" s="6" t="s">
        <v>1679</v>
      </c>
      <c r="G1869" s="7">
        <v>45097.0</v>
      </c>
      <c r="H1869" s="8">
        <f t="shared" si="1"/>
        <v>20</v>
      </c>
      <c r="I1869" s="9">
        <f t="shared" si="2"/>
        <v>6</v>
      </c>
      <c r="J1869" s="9">
        <f t="shared" si="3"/>
        <v>2023</v>
      </c>
    </row>
    <row r="1870" ht="15.75" customHeight="1">
      <c r="A1870" s="5">
        <v>94.0</v>
      </c>
      <c r="B1870" s="10" t="s">
        <v>199</v>
      </c>
      <c r="C1870" s="3" t="s">
        <v>1672</v>
      </c>
      <c r="D1870" s="4" t="s">
        <v>3</v>
      </c>
      <c r="E1870" s="5" t="s">
        <v>120</v>
      </c>
      <c r="F1870" s="6" t="s">
        <v>1680</v>
      </c>
      <c r="G1870" s="7">
        <v>45116.0</v>
      </c>
      <c r="H1870" s="8">
        <f t="shared" si="1"/>
        <v>9</v>
      </c>
      <c r="I1870" s="9">
        <f t="shared" si="2"/>
        <v>7</v>
      </c>
      <c r="J1870" s="9">
        <f t="shared" si="3"/>
        <v>2023</v>
      </c>
    </row>
    <row r="1871" ht="15.75" customHeight="1">
      <c r="A1871" s="5">
        <v>94.0</v>
      </c>
      <c r="B1871" s="10" t="s">
        <v>199</v>
      </c>
      <c r="C1871" s="3" t="s">
        <v>1672</v>
      </c>
      <c r="D1871" s="4" t="s">
        <v>3</v>
      </c>
      <c r="E1871" s="5" t="s">
        <v>35</v>
      </c>
      <c r="F1871" s="6" t="s">
        <v>1681</v>
      </c>
      <c r="G1871" s="7">
        <v>45118.0</v>
      </c>
      <c r="H1871" s="8">
        <f t="shared" si="1"/>
        <v>11</v>
      </c>
      <c r="I1871" s="9">
        <f t="shared" si="2"/>
        <v>7</v>
      </c>
      <c r="J1871" s="9">
        <f t="shared" si="3"/>
        <v>2023</v>
      </c>
    </row>
    <row r="1872" ht="15.75" customHeight="1">
      <c r="A1872" s="5">
        <v>94.0</v>
      </c>
      <c r="B1872" s="10" t="s">
        <v>199</v>
      </c>
      <c r="C1872" s="3" t="s">
        <v>1672</v>
      </c>
      <c r="D1872" s="4" t="s">
        <v>3</v>
      </c>
      <c r="E1872" s="5" t="s">
        <v>17</v>
      </c>
      <c r="F1872" s="6" t="s">
        <v>771</v>
      </c>
      <c r="G1872" s="7">
        <v>45119.0</v>
      </c>
      <c r="H1872" s="8">
        <f t="shared" si="1"/>
        <v>12</v>
      </c>
      <c r="I1872" s="9">
        <f t="shared" si="2"/>
        <v>7</v>
      </c>
      <c r="J1872" s="9">
        <f t="shared" si="3"/>
        <v>2023</v>
      </c>
    </row>
    <row r="1873" ht="15.75" customHeight="1">
      <c r="A1873" s="5">
        <v>94.0</v>
      </c>
      <c r="B1873" s="10" t="s">
        <v>199</v>
      </c>
      <c r="C1873" s="3" t="s">
        <v>1672</v>
      </c>
      <c r="D1873" s="4" t="s">
        <v>3</v>
      </c>
      <c r="E1873" s="5" t="s">
        <v>42</v>
      </c>
      <c r="F1873" s="6" t="s">
        <v>1087</v>
      </c>
      <c r="G1873" s="7">
        <v>45127.0</v>
      </c>
      <c r="H1873" s="8">
        <f t="shared" si="1"/>
        <v>20</v>
      </c>
      <c r="I1873" s="9">
        <f t="shared" si="2"/>
        <v>7</v>
      </c>
      <c r="J1873" s="9">
        <f t="shared" si="3"/>
        <v>2023</v>
      </c>
    </row>
    <row r="1874" ht="15.75" customHeight="1">
      <c r="A1874" s="5">
        <v>94.0</v>
      </c>
      <c r="B1874" s="10" t="s">
        <v>199</v>
      </c>
      <c r="C1874" s="3" t="s">
        <v>1672</v>
      </c>
      <c r="D1874" s="4" t="s">
        <v>8</v>
      </c>
      <c r="E1874" s="5" t="s">
        <v>23</v>
      </c>
      <c r="F1874" s="6" t="s">
        <v>1682</v>
      </c>
      <c r="G1874" s="7">
        <v>45197.0</v>
      </c>
      <c r="H1874" s="8">
        <f t="shared" si="1"/>
        <v>28</v>
      </c>
      <c r="I1874" s="9">
        <f t="shared" si="2"/>
        <v>9</v>
      </c>
      <c r="J1874" s="9">
        <f t="shared" si="3"/>
        <v>2023</v>
      </c>
    </row>
    <row r="1875" ht="15.75" customHeight="1">
      <c r="A1875" s="5">
        <v>94.0</v>
      </c>
      <c r="B1875" s="10" t="s">
        <v>199</v>
      </c>
      <c r="C1875" s="3" t="s">
        <v>1672</v>
      </c>
      <c r="D1875" s="4" t="s">
        <v>3</v>
      </c>
      <c r="E1875" s="5" t="s">
        <v>6</v>
      </c>
      <c r="F1875" s="6" t="s">
        <v>1683</v>
      </c>
      <c r="G1875" s="7">
        <v>45200.0</v>
      </c>
      <c r="H1875" s="8">
        <f t="shared" si="1"/>
        <v>1</v>
      </c>
      <c r="I1875" s="9">
        <f t="shared" si="2"/>
        <v>10</v>
      </c>
      <c r="J1875" s="9">
        <f t="shared" si="3"/>
        <v>2023</v>
      </c>
    </row>
    <row r="1876" ht="15.75" customHeight="1">
      <c r="A1876" s="5">
        <v>94.0</v>
      </c>
      <c r="B1876" s="10" t="s">
        <v>199</v>
      </c>
      <c r="C1876" s="3" t="s">
        <v>1672</v>
      </c>
      <c r="D1876" s="4" t="s">
        <v>3</v>
      </c>
      <c r="E1876" s="5" t="s">
        <v>45</v>
      </c>
      <c r="F1876" s="6" t="s">
        <v>1684</v>
      </c>
      <c r="G1876" s="7">
        <v>45224.0</v>
      </c>
      <c r="H1876" s="8">
        <f t="shared" si="1"/>
        <v>25</v>
      </c>
      <c r="I1876" s="9">
        <f t="shared" si="2"/>
        <v>10</v>
      </c>
      <c r="J1876" s="9">
        <f t="shared" si="3"/>
        <v>2023</v>
      </c>
    </row>
    <row r="1877" ht="15.75" customHeight="1">
      <c r="A1877" s="5">
        <v>94.0</v>
      </c>
      <c r="B1877" s="10" t="s">
        <v>199</v>
      </c>
      <c r="C1877" s="3" t="s">
        <v>1672</v>
      </c>
      <c r="D1877" s="4" t="s">
        <v>8</v>
      </c>
      <c r="E1877" s="5" t="s">
        <v>28</v>
      </c>
      <c r="F1877" s="6" t="s">
        <v>476</v>
      </c>
      <c r="G1877" s="7">
        <v>45237.0</v>
      </c>
      <c r="H1877" s="8">
        <f t="shared" si="1"/>
        <v>7</v>
      </c>
      <c r="I1877" s="9">
        <f t="shared" si="2"/>
        <v>11</v>
      </c>
      <c r="J1877" s="9">
        <f t="shared" si="3"/>
        <v>2023</v>
      </c>
    </row>
    <row r="1878" ht="15.75" customHeight="1">
      <c r="A1878" s="5">
        <v>94.0</v>
      </c>
      <c r="B1878" s="10" t="s">
        <v>199</v>
      </c>
      <c r="C1878" s="3" t="s">
        <v>1672</v>
      </c>
      <c r="D1878" s="4" t="s">
        <v>3</v>
      </c>
      <c r="E1878" s="5" t="s">
        <v>42</v>
      </c>
      <c r="F1878" s="6" t="s">
        <v>842</v>
      </c>
      <c r="G1878" s="7">
        <v>45252.0</v>
      </c>
      <c r="H1878" s="8">
        <f t="shared" si="1"/>
        <v>22</v>
      </c>
      <c r="I1878" s="9">
        <f t="shared" si="2"/>
        <v>11</v>
      </c>
      <c r="J1878" s="9">
        <f t="shared" si="3"/>
        <v>2023</v>
      </c>
    </row>
    <row r="1879" ht="15.75" customHeight="1">
      <c r="A1879" s="5">
        <v>94.0</v>
      </c>
      <c r="B1879" s="10" t="s">
        <v>199</v>
      </c>
      <c r="C1879" s="3" t="s">
        <v>1672</v>
      </c>
      <c r="D1879" s="4" t="s">
        <v>3</v>
      </c>
      <c r="E1879" s="5" t="s">
        <v>35</v>
      </c>
      <c r="F1879" s="6" t="s">
        <v>1685</v>
      </c>
      <c r="G1879" s="7">
        <v>45276.0</v>
      </c>
      <c r="H1879" s="8">
        <f t="shared" si="1"/>
        <v>16</v>
      </c>
      <c r="I1879" s="9">
        <f t="shared" si="2"/>
        <v>12</v>
      </c>
      <c r="J1879" s="9">
        <f t="shared" si="3"/>
        <v>2023</v>
      </c>
    </row>
    <row r="1880" ht="15.75" customHeight="1">
      <c r="A1880" s="5">
        <v>94.0</v>
      </c>
      <c r="B1880" s="10" t="s">
        <v>199</v>
      </c>
      <c r="C1880" s="3" t="s">
        <v>1672</v>
      </c>
      <c r="D1880" s="4" t="s">
        <v>3</v>
      </c>
      <c r="E1880" s="5" t="s">
        <v>6</v>
      </c>
      <c r="F1880" s="6" t="s">
        <v>1686</v>
      </c>
      <c r="G1880" s="7">
        <v>45285.0</v>
      </c>
      <c r="H1880" s="8">
        <f t="shared" si="1"/>
        <v>25</v>
      </c>
      <c r="I1880" s="9">
        <f t="shared" si="2"/>
        <v>12</v>
      </c>
      <c r="J1880" s="9">
        <f t="shared" si="3"/>
        <v>2023</v>
      </c>
    </row>
    <row r="1881" ht="15.75" customHeight="1">
      <c r="A1881" s="5">
        <v>95.0</v>
      </c>
      <c r="B1881" s="10" t="s">
        <v>1687</v>
      </c>
      <c r="C1881" s="3" t="s">
        <v>1688</v>
      </c>
      <c r="D1881" s="4" t="s">
        <v>3</v>
      </c>
      <c r="E1881" s="5" t="s">
        <v>6</v>
      </c>
      <c r="F1881" s="6" t="s">
        <v>1689</v>
      </c>
      <c r="G1881" s="7">
        <v>44933.0</v>
      </c>
      <c r="H1881" s="8">
        <f t="shared" si="1"/>
        <v>7</v>
      </c>
      <c r="I1881" s="9">
        <f t="shared" si="2"/>
        <v>1</v>
      </c>
      <c r="J1881" s="9">
        <f t="shared" si="3"/>
        <v>2023</v>
      </c>
    </row>
    <row r="1882" ht="15.75" customHeight="1">
      <c r="A1882" s="5">
        <v>95.0</v>
      </c>
      <c r="B1882" s="10" t="s">
        <v>1687</v>
      </c>
      <c r="C1882" s="3" t="s">
        <v>1688</v>
      </c>
      <c r="D1882" s="4" t="s">
        <v>8</v>
      </c>
      <c r="E1882" s="5" t="s">
        <v>4</v>
      </c>
      <c r="F1882" s="6" t="s">
        <v>1690</v>
      </c>
      <c r="G1882" s="7">
        <v>44947.0</v>
      </c>
      <c r="H1882" s="8">
        <f t="shared" si="1"/>
        <v>21</v>
      </c>
      <c r="I1882" s="9">
        <f t="shared" si="2"/>
        <v>1</v>
      </c>
      <c r="J1882" s="9">
        <f t="shared" si="3"/>
        <v>2023</v>
      </c>
    </row>
    <row r="1883" ht="15.75" customHeight="1">
      <c r="A1883" s="5">
        <v>95.0</v>
      </c>
      <c r="B1883" s="10" t="s">
        <v>1687</v>
      </c>
      <c r="C1883" s="3" t="s">
        <v>1688</v>
      </c>
      <c r="D1883" s="4" t="s">
        <v>8</v>
      </c>
      <c r="E1883" s="5" t="s">
        <v>23</v>
      </c>
      <c r="F1883" s="6" t="s">
        <v>1691</v>
      </c>
      <c r="G1883" s="7">
        <v>44959.0</v>
      </c>
      <c r="H1883" s="8">
        <f t="shared" si="1"/>
        <v>2</v>
      </c>
      <c r="I1883" s="9">
        <f t="shared" si="2"/>
        <v>2</v>
      </c>
      <c r="J1883" s="9">
        <f t="shared" si="3"/>
        <v>2023</v>
      </c>
    </row>
    <row r="1884" ht="15.75" customHeight="1">
      <c r="A1884" s="5">
        <v>95.0</v>
      </c>
      <c r="B1884" s="10" t="s">
        <v>1687</v>
      </c>
      <c r="C1884" s="3" t="s">
        <v>1688</v>
      </c>
      <c r="D1884" s="4" t="s">
        <v>3</v>
      </c>
      <c r="E1884" s="5" t="s">
        <v>19</v>
      </c>
      <c r="F1884" s="6" t="s">
        <v>1692</v>
      </c>
      <c r="G1884" s="7">
        <v>44968.0</v>
      </c>
      <c r="H1884" s="8">
        <f t="shared" si="1"/>
        <v>11</v>
      </c>
      <c r="I1884" s="9">
        <f t="shared" si="2"/>
        <v>2</v>
      </c>
      <c r="J1884" s="9">
        <f t="shared" si="3"/>
        <v>2023</v>
      </c>
    </row>
    <row r="1885" ht="15.75" customHeight="1">
      <c r="A1885" s="5">
        <v>95.0</v>
      </c>
      <c r="B1885" s="10" t="s">
        <v>1687</v>
      </c>
      <c r="C1885" s="3" t="s">
        <v>1688</v>
      </c>
      <c r="D1885" s="4" t="s">
        <v>8</v>
      </c>
      <c r="E1885" s="5" t="s">
        <v>11</v>
      </c>
      <c r="F1885" s="6" t="s">
        <v>1693</v>
      </c>
      <c r="G1885" s="7">
        <v>44988.0</v>
      </c>
      <c r="H1885" s="8">
        <f t="shared" si="1"/>
        <v>3</v>
      </c>
      <c r="I1885" s="9">
        <f t="shared" si="2"/>
        <v>3</v>
      </c>
      <c r="J1885" s="9">
        <f t="shared" si="3"/>
        <v>2023</v>
      </c>
    </row>
    <row r="1886" ht="15.75" customHeight="1">
      <c r="A1886" s="5">
        <v>95.0</v>
      </c>
      <c r="B1886" s="10" t="s">
        <v>1687</v>
      </c>
      <c r="C1886" s="3" t="s">
        <v>1688</v>
      </c>
      <c r="D1886" s="4" t="s">
        <v>8</v>
      </c>
      <c r="E1886" s="5" t="s">
        <v>13</v>
      </c>
      <c r="F1886" s="6" t="s">
        <v>1694</v>
      </c>
      <c r="G1886" s="7">
        <v>45005.0</v>
      </c>
      <c r="H1886" s="8">
        <f t="shared" si="1"/>
        <v>20</v>
      </c>
      <c r="I1886" s="9">
        <f t="shared" si="2"/>
        <v>3</v>
      </c>
      <c r="J1886" s="9">
        <f t="shared" si="3"/>
        <v>2023</v>
      </c>
    </row>
    <row r="1887" ht="15.75" customHeight="1">
      <c r="A1887" s="5">
        <v>95.0</v>
      </c>
      <c r="B1887" s="10" t="s">
        <v>1687</v>
      </c>
      <c r="C1887" s="3" t="s">
        <v>1688</v>
      </c>
      <c r="D1887" s="4" t="s">
        <v>3</v>
      </c>
      <c r="E1887" s="5" t="s">
        <v>51</v>
      </c>
      <c r="F1887" s="6" t="s">
        <v>1695</v>
      </c>
      <c r="G1887" s="7">
        <v>45020.0</v>
      </c>
      <c r="H1887" s="8">
        <f t="shared" si="1"/>
        <v>4</v>
      </c>
      <c r="I1887" s="9">
        <f t="shared" si="2"/>
        <v>4</v>
      </c>
      <c r="J1887" s="9">
        <f t="shared" si="3"/>
        <v>2023</v>
      </c>
    </row>
    <row r="1888" ht="15.75" customHeight="1">
      <c r="A1888" s="5">
        <v>95.0</v>
      </c>
      <c r="B1888" s="10" t="s">
        <v>1687</v>
      </c>
      <c r="C1888" s="3" t="s">
        <v>1688</v>
      </c>
      <c r="D1888" s="4" t="s">
        <v>3</v>
      </c>
      <c r="E1888" s="5" t="s">
        <v>15</v>
      </c>
      <c r="F1888" s="6" t="s">
        <v>943</v>
      </c>
      <c r="G1888" s="7">
        <v>45027.0</v>
      </c>
      <c r="H1888" s="8">
        <f t="shared" si="1"/>
        <v>11</v>
      </c>
      <c r="I1888" s="9">
        <f t="shared" si="2"/>
        <v>4</v>
      </c>
      <c r="J1888" s="9">
        <f t="shared" si="3"/>
        <v>2023</v>
      </c>
    </row>
    <row r="1889" ht="15.75" customHeight="1">
      <c r="A1889" s="5">
        <v>95.0</v>
      </c>
      <c r="B1889" s="10" t="s">
        <v>1687</v>
      </c>
      <c r="C1889" s="3" t="s">
        <v>1688</v>
      </c>
      <c r="D1889" s="4" t="s">
        <v>8</v>
      </c>
      <c r="E1889" s="5" t="s">
        <v>15</v>
      </c>
      <c r="F1889" s="6" t="s">
        <v>1218</v>
      </c>
      <c r="G1889" s="7">
        <v>45043.0</v>
      </c>
      <c r="H1889" s="8">
        <f t="shared" si="1"/>
        <v>27</v>
      </c>
      <c r="I1889" s="9">
        <f t="shared" si="2"/>
        <v>4</v>
      </c>
      <c r="J1889" s="9">
        <f t="shared" si="3"/>
        <v>2023</v>
      </c>
    </row>
    <row r="1890" ht="15.75" customHeight="1">
      <c r="A1890" s="5">
        <v>95.0</v>
      </c>
      <c r="B1890" s="10" t="s">
        <v>1687</v>
      </c>
      <c r="C1890" s="3" t="s">
        <v>1688</v>
      </c>
      <c r="D1890" s="4" t="s">
        <v>8</v>
      </c>
      <c r="E1890" s="5" t="s">
        <v>96</v>
      </c>
      <c r="F1890" s="6" t="s">
        <v>415</v>
      </c>
      <c r="G1890" s="7">
        <v>45051.0</v>
      </c>
      <c r="H1890" s="8">
        <f t="shared" si="1"/>
        <v>5</v>
      </c>
      <c r="I1890" s="9">
        <f t="shared" si="2"/>
        <v>5</v>
      </c>
      <c r="J1890" s="9">
        <f t="shared" si="3"/>
        <v>2023</v>
      </c>
    </row>
    <row r="1891" ht="15.75" customHeight="1">
      <c r="A1891" s="5">
        <v>95.0</v>
      </c>
      <c r="B1891" s="10" t="s">
        <v>1687</v>
      </c>
      <c r="C1891" s="3" t="s">
        <v>1688</v>
      </c>
      <c r="D1891" s="4" t="s">
        <v>8</v>
      </c>
      <c r="E1891" s="5" t="s">
        <v>71</v>
      </c>
      <c r="F1891" s="6" t="s">
        <v>1696</v>
      </c>
      <c r="G1891" s="7">
        <v>45162.0</v>
      </c>
      <c r="H1891" s="8">
        <f t="shared" si="1"/>
        <v>24</v>
      </c>
      <c r="I1891" s="9">
        <f t="shared" si="2"/>
        <v>8</v>
      </c>
      <c r="J1891" s="9">
        <f t="shared" si="3"/>
        <v>2023</v>
      </c>
    </row>
    <row r="1892" ht="15.75" customHeight="1">
      <c r="A1892" s="5">
        <v>95.0</v>
      </c>
      <c r="B1892" s="10" t="s">
        <v>1687</v>
      </c>
      <c r="C1892" s="3" t="s">
        <v>1688</v>
      </c>
      <c r="D1892" s="4" t="s">
        <v>8</v>
      </c>
      <c r="E1892" s="5" t="s">
        <v>96</v>
      </c>
      <c r="F1892" s="6" t="s">
        <v>1697</v>
      </c>
      <c r="G1892" s="7">
        <v>45166.0</v>
      </c>
      <c r="H1892" s="8">
        <f t="shared" si="1"/>
        <v>28</v>
      </c>
      <c r="I1892" s="9">
        <f t="shared" si="2"/>
        <v>8</v>
      </c>
      <c r="J1892" s="9">
        <f t="shared" si="3"/>
        <v>2023</v>
      </c>
    </row>
    <row r="1893" ht="15.75" customHeight="1">
      <c r="A1893" s="5">
        <v>95.0</v>
      </c>
      <c r="B1893" s="10" t="s">
        <v>1687</v>
      </c>
      <c r="C1893" s="3" t="s">
        <v>1688</v>
      </c>
      <c r="D1893" s="4" t="s">
        <v>8</v>
      </c>
      <c r="E1893" s="5" t="s">
        <v>71</v>
      </c>
      <c r="F1893" s="6" t="s">
        <v>847</v>
      </c>
      <c r="G1893" s="7">
        <v>45193.0</v>
      </c>
      <c r="H1893" s="8">
        <f t="shared" si="1"/>
        <v>24</v>
      </c>
      <c r="I1893" s="9">
        <f t="shared" si="2"/>
        <v>9</v>
      </c>
      <c r="J1893" s="9">
        <f t="shared" si="3"/>
        <v>2023</v>
      </c>
    </row>
    <row r="1894" ht="15.75" customHeight="1">
      <c r="A1894" s="5">
        <v>95.0</v>
      </c>
      <c r="B1894" s="10" t="s">
        <v>1687</v>
      </c>
      <c r="C1894" s="3" t="s">
        <v>1688</v>
      </c>
      <c r="D1894" s="4" t="s">
        <v>8</v>
      </c>
      <c r="E1894" s="5" t="s">
        <v>42</v>
      </c>
      <c r="F1894" s="6" t="s">
        <v>1014</v>
      </c>
      <c r="G1894" s="7">
        <v>45201.0</v>
      </c>
      <c r="H1894" s="8">
        <f t="shared" si="1"/>
        <v>2</v>
      </c>
      <c r="I1894" s="9">
        <f t="shared" si="2"/>
        <v>10</v>
      </c>
      <c r="J1894" s="9">
        <f t="shared" si="3"/>
        <v>2023</v>
      </c>
    </row>
    <row r="1895" ht="15.75" customHeight="1">
      <c r="A1895" s="5">
        <v>95.0</v>
      </c>
      <c r="B1895" s="10" t="s">
        <v>1687</v>
      </c>
      <c r="C1895" s="3" t="s">
        <v>1688</v>
      </c>
      <c r="D1895" s="4" t="s">
        <v>8</v>
      </c>
      <c r="E1895" s="5" t="s">
        <v>28</v>
      </c>
      <c r="F1895" s="6" t="s">
        <v>1698</v>
      </c>
      <c r="G1895" s="7">
        <v>45203.0</v>
      </c>
      <c r="H1895" s="8">
        <f t="shared" si="1"/>
        <v>4</v>
      </c>
      <c r="I1895" s="9">
        <f t="shared" si="2"/>
        <v>10</v>
      </c>
      <c r="J1895" s="9">
        <f t="shared" si="3"/>
        <v>2023</v>
      </c>
    </row>
    <row r="1896" ht="15.75" customHeight="1">
      <c r="A1896" s="5">
        <v>95.0</v>
      </c>
      <c r="B1896" s="10" t="s">
        <v>1687</v>
      </c>
      <c r="C1896" s="3" t="s">
        <v>1688</v>
      </c>
      <c r="D1896" s="4" t="s">
        <v>3</v>
      </c>
      <c r="E1896" s="5" t="s">
        <v>13</v>
      </c>
      <c r="F1896" s="6" t="s">
        <v>496</v>
      </c>
      <c r="G1896" s="7">
        <v>45206.0</v>
      </c>
      <c r="H1896" s="8">
        <f t="shared" si="1"/>
        <v>7</v>
      </c>
      <c r="I1896" s="9">
        <f t="shared" si="2"/>
        <v>10</v>
      </c>
      <c r="J1896" s="9">
        <f t="shared" si="3"/>
        <v>2023</v>
      </c>
    </row>
    <row r="1897" ht="15.75" customHeight="1">
      <c r="A1897" s="5">
        <v>95.0</v>
      </c>
      <c r="B1897" s="10" t="s">
        <v>1687</v>
      </c>
      <c r="C1897" s="3" t="s">
        <v>1688</v>
      </c>
      <c r="D1897" s="4" t="s">
        <v>8</v>
      </c>
      <c r="E1897" s="5" t="s">
        <v>23</v>
      </c>
      <c r="F1897" s="6" t="s">
        <v>1699</v>
      </c>
      <c r="G1897" s="7">
        <v>45248.0</v>
      </c>
      <c r="H1897" s="8">
        <f t="shared" si="1"/>
        <v>18</v>
      </c>
      <c r="I1897" s="9">
        <f t="shared" si="2"/>
        <v>11</v>
      </c>
      <c r="J1897" s="9">
        <f t="shared" si="3"/>
        <v>2023</v>
      </c>
    </row>
    <row r="1898" ht="15.75" customHeight="1">
      <c r="A1898" s="5">
        <v>95.0</v>
      </c>
      <c r="B1898" s="10" t="s">
        <v>1687</v>
      </c>
      <c r="C1898" s="3" t="s">
        <v>1688</v>
      </c>
      <c r="D1898" s="4" t="s">
        <v>8</v>
      </c>
      <c r="E1898" s="5" t="s">
        <v>17</v>
      </c>
      <c r="F1898" s="6" t="s">
        <v>961</v>
      </c>
      <c r="G1898" s="7">
        <v>45264.0</v>
      </c>
      <c r="H1898" s="8">
        <f t="shared" si="1"/>
        <v>4</v>
      </c>
      <c r="I1898" s="9">
        <f t="shared" si="2"/>
        <v>12</v>
      </c>
      <c r="J1898" s="9">
        <f t="shared" si="3"/>
        <v>2023</v>
      </c>
    </row>
    <row r="1899" ht="15.75" customHeight="1">
      <c r="A1899" s="5">
        <v>95.0</v>
      </c>
      <c r="B1899" s="10" t="s">
        <v>1687</v>
      </c>
      <c r="C1899" s="3" t="s">
        <v>1688</v>
      </c>
      <c r="D1899" s="4" t="s">
        <v>8</v>
      </c>
      <c r="E1899" s="5" t="s">
        <v>15</v>
      </c>
      <c r="F1899" s="6" t="s">
        <v>1700</v>
      </c>
      <c r="G1899" s="7">
        <v>45267.0</v>
      </c>
      <c r="H1899" s="8">
        <f t="shared" si="1"/>
        <v>7</v>
      </c>
      <c r="I1899" s="9">
        <f t="shared" si="2"/>
        <v>12</v>
      </c>
      <c r="J1899" s="9">
        <f t="shared" si="3"/>
        <v>2023</v>
      </c>
    </row>
    <row r="1900" ht="15.75" customHeight="1">
      <c r="A1900" s="5">
        <v>95.0</v>
      </c>
      <c r="B1900" s="10" t="s">
        <v>1687</v>
      </c>
      <c r="C1900" s="3" t="s">
        <v>1688</v>
      </c>
      <c r="D1900" s="4" t="s">
        <v>3</v>
      </c>
      <c r="E1900" s="5" t="s">
        <v>35</v>
      </c>
      <c r="F1900" s="6" t="s">
        <v>1701</v>
      </c>
      <c r="G1900" s="7">
        <v>45270.0</v>
      </c>
      <c r="H1900" s="8">
        <f t="shared" si="1"/>
        <v>10</v>
      </c>
      <c r="I1900" s="9">
        <f t="shared" si="2"/>
        <v>12</v>
      </c>
      <c r="J1900" s="9">
        <f t="shared" si="3"/>
        <v>2023</v>
      </c>
    </row>
    <row r="1901" ht="15.75" customHeight="1">
      <c r="A1901" s="5">
        <v>96.0</v>
      </c>
      <c r="B1901" s="10" t="s">
        <v>389</v>
      </c>
      <c r="C1901" s="3" t="s">
        <v>1702</v>
      </c>
      <c r="D1901" s="4" t="s">
        <v>8</v>
      </c>
      <c r="E1901" s="5" t="s">
        <v>76</v>
      </c>
      <c r="F1901" s="6" t="s">
        <v>1703</v>
      </c>
      <c r="G1901" s="7">
        <v>44942.0</v>
      </c>
      <c r="H1901" s="8">
        <f t="shared" si="1"/>
        <v>16</v>
      </c>
      <c r="I1901" s="9">
        <f t="shared" si="2"/>
        <v>1</v>
      </c>
      <c r="J1901" s="9">
        <f t="shared" si="3"/>
        <v>2023</v>
      </c>
    </row>
    <row r="1902" ht="15.75" customHeight="1">
      <c r="A1902" s="5">
        <v>96.0</v>
      </c>
      <c r="B1902" s="10" t="s">
        <v>389</v>
      </c>
      <c r="C1902" s="3" t="s">
        <v>1702</v>
      </c>
      <c r="D1902" s="4" t="s">
        <v>3</v>
      </c>
      <c r="E1902" s="5" t="s">
        <v>71</v>
      </c>
      <c r="F1902" s="6" t="s">
        <v>1704</v>
      </c>
      <c r="G1902" s="7">
        <v>44943.0</v>
      </c>
      <c r="H1902" s="8">
        <f t="shared" si="1"/>
        <v>17</v>
      </c>
      <c r="I1902" s="9">
        <f t="shared" si="2"/>
        <v>1</v>
      </c>
      <c r="J1902" s="9">
        <f t="shared" si="3"/>
        <v>2023</v>
      </c>
    </row>
    <row r="1903" ht="15.75" customHeight="1">
      <c r="A1903" s="5">
        <v>96.0</v>
      </c>
      <c r="B1903" s="10" t="s">
        <v>389</v>
      </c>
      <c r="C1903" s="3" t="s">
        <v>1702</v>
      </c>
      <c r="D1903" s="4" t="s">
        <v>3</v>
      </c>
      <c r="E1903" s="5" t="s">
        <v>15</v>
      </c>
      <c r="F1903" s="6" t="s">
        <v>27</v>
      </c>
      <c r="G1903" s="7">
        <v>44950.0</v>
      </c>
      <c r="H1903" s="8">
        <f t="shared" si="1"/>
        <v>24</v>
      </c>
      <c r="I1903" s="9">
        <f t="shared" si="2"/>
        <v>1</v>
      </c>
      <c r="J1903" s="9">
        <f t="shared" si="3"/>
        <v>2023</v>
      </c>
    </row>
    <row r="1904" ht="15.75" customHeight="1">
      <c r="A1904" s="5">
        <v>96.0</v>
      </c>
      <c r="B1904" s="10" t="s">
        <v>389</v>
      </c>
      <c r="C1904" s="3" t="s">
        <v>1702</v>
      </c>
      <c r="D1904" s="4" t="s">
        <v>8</v>
      </c>
      <c r="E1904" s="5" t="s">
        <v>4</v>
      </c>
      <c r="F1904" s="6" t="s">
        <v>1705</v>
      </c>
      <c r="G1904" s="7">
        <v>44961.0</v>
      </c>
      <c r="H1904" s="8">
        <f t="shared" si="1"/>
        <v>4</v>
      </c>
      <c r="I1904" s="9">
        <f t="shared" si="2"/>
        <v>2</v>
      </c>
      <c r="J1904" s="9">
        <f t="shared" si="3"/>
        <v>2023</v>
      </c>
    </row>
    <row r="1905" ht="15.75" customHeight="1">
      <c r="A1905" s="5">
        <v>96.0</v>
      </c>
      <c r="B1905" s="10" t="s">
        <v>389</v>
      </c>
      <c r="C1905" s="3" t="s">
        <v>1702</v>
      </c>
      <c r="D1905" s="4" t="s">
        <v>8</v>
      </c>
      <c r="E1905" s="5" t="s">
        <v>11</v>
      </c>
      <c r="F1905" s="6" t="s">
        <v>1706</v>
      </c>
      <c r="G1905" s="7">
        <v>44999.0</v>
      </c>
      <c r="H1905" s="8">
        <f t="shared" si="1"/>
        <v>14</v>
      </c>
      <c r="I1905" s="9">
        <f t="shared" si="2"/>
        <v>3</v>
      </c>
      <c r="J1905" s="9">
        <f t="shared" si="3"/>
        <v>2023</v>
      </c>
    </row>
    <row r="1906" ht="15.75" customHeight="1">
      <c r="A1906" s="5">
        <v>96.0</v>
      </c>
      <c r="B1906" s="10" t="s">
        <v>389</v>
      </c>
      <c r="C1906" s="3" t="s">
        <v>1702</v>
      </c>
      <c r="D1906" s="4" t="s">
        <v>3</v>
      </c>
      <c r="E1906" s="5" t="s">
        <v>35</v>
      </c>
      <c r="F1906" s="6" t="s">
        <v>1707</v>
      </c>
      <c r="G1906" s="7">
        <v>45004.0</v>
      </c>
      <c r="H1906" s="8">
        <f t="shared" si="1"/>
        <v>19</v>
      </c>
      <c r="I1906" s="9">
        <f t="shared" si="2"/>
        <v>3</v>
      </c>
      <c r="J1906" s="9">
        <f t="shared" si="3"/>
        <v>2023</v>
      </c>
    </row>
    <row r="1907" ht="15.75" customHeight="1">
      <c r="A1907" s="5">
        <v>96.0</v>
      </c>
      <c r="B1907" s="10" t="s">
        <v>389</v>
      </c>
      <c r="C1907" s="3" t="s">
        <v>1702</v>
      </c>
      <c r="D1907" s="4" t="s">
        <v>8</v>
      </c>
      <c r="E1907" s="5" t="s">
        <v>35</v>
      </c>
      <c r="F1907" s="6" t="s">
        <v>1708</v>
      </c>
      <c r="G1907" s="7">
        <v>45012.0</v>
      </c>
      <c r="H1907" s="8">
        <f t="shared" si="1"/>
        <v>27</v>
      </c>
      <c r="I1907" s="9">
        <f t="shared" si="2"/>
        <v>3</v>
      </c>
      <c r="J1907" s="9">
        <f t="shared" si="3"/>
        <v>2023</v>
      </c>
    </row>
    <row r="1908" ht="15.75" customHeight="1">
      <c r="A1908" s="5">
        <v>96.0</v>
      </c>
      <c r="B1908" s="10" t="s">
        <v>389</v>
      </c>
      <c r="C1908" s="3" t="s">
        <v>1702</v>
      </c>
      <c r="D1908" s="4" t="s">
        <v>8</v>
      </c>
      <c r="E1908" s="5" t="s">
        <v>17</v>
      </c>
      <c r="F1908" s="6" t="s">
        <v>1327</v>
      </c>
      <c r="G1908" s="7">
        <v>45013.0</v>
      </c>
      <c r="H1908" s="8">
        <f t="shared" si="1"/>
        <v>28</v>
      </c>
      <c r="I1908" s="9">
        <f t="shared" si="2"/>
        <v>3</v>
      </c>
      <c r="J1908" s="9">
        <f t="shared" si="3"/>
        <v>2023</v>
      </c>
    </row>
    <row r="1909" ht="15.75" customHeight="1">
      <c r="A1909" s="5">
        <v>96.0</v>
      </c>
      <c r="B1909" s="10" t="s">
        <v>389</v>
      </c>
      <c r="C1909" s="3" t="s">
        <v>1702</v>
      </c>
      <c r="D1909" s="4" t="s">
        <v>3</v>
      </c>
      <c r="E1909" s="5" t="s">
        <v>42</v>
      </c>
      <c r="F1909" s="6" t="s">
        <v>1709</v>
      </c>
      <c r="G1909" s="7">
        <v>45029.0</v>
      </c>
      <c r="H1909" s="8">
        <f t="shared" si="1"/>
        <v>13</v>
      </c>
      <c r="I1909" s="9">
        <f t="shared" si="2"/>
        <v>4</v>
      </c>
      <c r="J1909" s="9">
        <f t="shared" si="3"/>
        <v>2023</v>
      </c>
    </row>
    <row r="1910" ht="15.75" customHeight="1">
      <c r="A1910" s="5">
        <v>96.0</v>
      </c>
      <c r="B1910" s="10" t="s">
        <v>389</v>
      </c>
      <c r="C1910" s="3" t="s">
        <v>1702</v>
      </c>
      <c r="D1910" s="4" t="s">
        <v>3</v>
      </c>
      <c r="E1910" s="5" t="s">
        <v>45</v>
      </c>
      <c r="F1910" s="6" t="s">
        <v>1710</v>
      </c>
      <c r="G1910" s="7">
        <v>45054.0</v>
      </c>
      <c r="H1910" s="8">
        <f t="shared" si="1"/>
        <v>8</v>
      </c>
      <c r="I1910" s="9">
        <f t="shared" si="2"/>
        <v>5</v>
      </c>
      <c r="J1910" s="9">
        <f t="shared" si="3"/>
        <v>2023</v>
      </c>
    </row>
    <row r="1911" ht="15.75" customHeight="1">
      <c r="A1911" s="5">
        <v>96.0</v>
      </c>
      <c r="B1911" s="10" t="s">
        <v>389</v>
      </c>
      <c r="C1911" s="3" t="s">
        <v>1702</v>
      </c>
      <c r="D1911" s="4" t="s">
        <v>3</v>
      </c>
      <c r="E1911" s="5" t="s">
        <v>23</v>
      </c>
      <c r="F1911" s="6" t="s">
        <v>1711</v>
      </c>
      <c r="G1911" s="7">
        <v>45060.0</v>
      </c>
      <c r="H1911" s="8">
        <f t="shared" si="1"/>
        <v>14</v>
      </c>
      <c r="I1911" s="9">
        <f t="shared" si="2"/>
        <v>5</v>
      </c>
      <c r="J1911" s="9">
        <f t="shared" si="3"/>
        <v>2023</v>
      </c>
    </row>
    <row r="1912" ht="15.75" customHeight="1">
      <c r="A1912" s="5">
        <v>96.0</v>
      </c>
      <c r="B1912" s="10" t="s">
        <v>389</v>
      </c>
      <c r="C1912" s="3" t="s">
        <v>1702</v>
      </c>
      <c r="D1912" s="4" t="s">
        <v>3</v>
      </c>
      <c r="E1912" s="5" t="s">
        <v>76</v>
      </c>
      <c r="F1912" s="6" t="s">
        <v>1712</v>
      </c>
      <c r="G1912" s="7">
        <v>45071.0</v>
      </c>
      <c r="H1912" s="8">
        <f t="shared" si="1"/>
        <v>25</v>
      </c>
      <c r="I1912" s="9">
        <f t="shared" si="2"/>
        <v>5</v>
      </c>
      <c r="J1912" s="9">
        <f t="shared" si="3"/>
        <v>2023</v>
      </c>
    </row>
    <row r="1913" ht="15.75" customHeight="1">
      <c r="A1913" s="5">
        <v>96.0</v>
      </c>
      <c r="B1913" s="10" t="s">
        <v>389</v>
      </c>
      <c r="C1913" s="3" t="s">
        <v>1702</v>
      </c>
      <c r="D1913" s="4" t="s">
        <v>8</v>
      </c>
      <c r="E1913" s="5" t="s">
        <v>42</v>
      </c>
      <c r="F1913" s="6" t="s">
        <v>775</v>
      </c>
      <c r="G1913" s="7">
        <v>45086.0</v>
      </c>
      <c r="H1913" s="8">
        <f t="shared" si="1"/>
        <v>9</v>
      </c>
      <c r="I1913" s="9">
        <f t="shared" si="2"/>
        <v>6</v>
      </c>
      <c r="J1913" s="9">
        <f t="shared" si="3"/>
        <v>2023</v>
      </c>
    </row>
    <row r="1914" ht="15.75" customHeight="1">
      <c r="A1914" s="5">
        <v>96.0</v>
      </c>
      <c r="B1914" s="10" t="s">
        <v>389</v>
      </c>
      <c r="C1914" s="3" t="s">
        <v>1702</v>
      </c>
      <c r="D1914" s="4" t="s">
        <v>8</v>
      </c>
      <c r="E1914" s="5" t="s">
        <v>19</v>
      </c>
      <c r="F1914" s="6" t="s">
        <v>248</v>
      </c>
      <c r="G1914" s="7">
        <v>45087.0</v>
      </c>
      <c r="H1914" s="8">
        <f t="shared" si="1"/>
        <v>10</v>
      </c>
      <c r="I1914" s="9">
        <f t="shared" si="2"/>
        <v>6</v>
      </c>
      <c r="J1914" s="9">
        <f t="shared" si="3"/>
        <v>2023</v>
      </c>
    </row>
    <row r="1915" ht="15.75" customHeight="1">
      <c r="A1915" s="5">
        <v>96.0</v>
      </c>
      <c r="B1915" s="10" t="s">
        <v>389</v>
      </c>
      <c r="C1915" s="3" t="s">
        <v>1702</v>
      </c>
      <c r="D1915" s="4" t="s">
        <v>8</v>
      </c>
      <c r="E1915" s="5" t="s">
        <v>19</v>
      </c>
      <c r="F1915" s="6" t="s">
        <v>323</v>
      </c>
      <c r="G1915" s="7">
        <v>45122.0</v>
      </c>
      <c r="H1915" s="8">
        <f t="shared" si="1"/>
        <v>15</v>
      </c>
      <c r="I1915" s="9">
        <f t="shared" si="2"/>
        <v>7</v>
      </c>
      <c r="J1915" s="9">
        <f t="shared" si="3"/>
        <v>2023</v>
      </c>
    </row>
    <row r="1916" ht="15.75" customHeight="1">
      <c r="A1916" s="5">
        <v>96.0</v>
      </c>
      <c r="B1916" s="10" t="s">
        <v>389</v>
      </c>
      <c r="C1916" s="3" t="s">
        <v>1702</v>
      </c>
      <c r="D1916" s="4" t="s">
        <v>8</v>
      </c>
      <c r="E1916" s="5" t="s">
        <v>21</v>
      </c>
      <c r="F1916" s="6" t="s">
        <v>1713</v>
      </c>
      <c r="G1916" s="7">
        <v>45200.0</v>
      </c>
      <c r="H1916" s="8">
        <f t="shared" si="1"/>
        <v>1</v>
      </c>
      <c r="I1916" s="9">
        <f t="shared" si="2"/>
        <v>10</v>
      </c>
      <c r="J1916" s="9">
        <f t="shared" si="3"/>
        <v>2023</v>
      </c>
    </row>
    <row r="1917" ht="15.75" customHeight="1">
      <c r="A1917" s="5">
        <v>96.0</v>
      </c>
      <c r="B1917" s="10" t="s">
        <v>389</v>
      </c>
      <c r="C1917" s="3" t="s">
        <v>1702</v>
      </c>
      <c r="D1917" s="4" t="s">
        <v>3</v>
      </c>
      <c r="E1917" s="5" t="s">
        <v>120</v>
      </c>
      <c r="F1917" s="6" t="s">
        <v>1714</v>
      </c>
      <c r="G1917" s="7">
        <v>45255.0</v>
      </c>
      <c r="H1917" s="8">
        <f t="shared" si="1"/>
        <v>25</v>
      </c>
      <c r="I1917" s="9">
        <f t="shared" si="2"/>
        <v>11</v>
      </c>
      <c r="J1917" s="9">
        <f t="shared" si="3"/>
        <v>2023</v>
      </c>
    </row>
    <row r="1918" ht="15.75" customHeight="1">
      <c r="A1918" s="5">
        <v>96.0</v>
      </c>
      <c r="B1918" s="10" t="s">
        <v>389</v>
      </c>
      <c r="C1918" s="3" t="s">
        <v>1702</v>
      </c>
      <c r="D1918" s="4" t="s">
        <v>3</v>
      </c>
      <c r="E1918" s="5" t="s">
        <v>96</v>
      </c>
      <c r="F1918" s="6" t="s">
        <v>1715</v>
      </c>
      <c r="G1918" s="7">
        <v>45264.0</v>
      </c>
      <c r="H1918" s="8">
        <f t="shared" si="1"/>
        <v>4</v>
      </c>
      <c r="I1918" s="9">
        <f t="shared" si="2"/>
        <v>12</v>
      </c>
      <c r="J1918" s="9">
        <f t="shared" si="3"/>
        <v>2023</v>
      </c>
    </row>
    <row r="1919" ht="15.75" customHeight="1">
      <c r="A1919" s="5">
        <v>96.0</v>
      </c>
      <c r="B1919" s="10" t="s">
        <v>389</v>
      </c>
      <c r="C1919" s="3" t="s">
        <v>1702</v>
      </c>
      <c r="D1919" s="4" t="s">
        <v>3</v>
      </c>
      <c r="E1919" s="5" t="s">
        <v>15</v>
      </c>
      <c r="F1919" s="6" t="s">
        <v>1716</v>
      </c>
      <c r="G1919" s="7">
        <v>45264.0</v>
      </c>
      <c r="H1919" s="8">
        <f t="shared" si="1"/>
        <v>4</v>
      </c>
      <c r="I1919" s="9">
        <f t="shared" si="2"/>
        <v>12</v>
      </c>
      <c r="J1919" s="9">
        <f t="shared" si="3"/>
        <v>2023</v>
      </c>
    </row>
    <row r="1920" ht="15.75" customHeight="1">
      <c r="A1920" s="5">
        <v>96.0</v>
      </c>
      <c r="B1920" s="10" t="s">
        <v>389</v>
      </c>
      <c r="C1920" s="3" t="s">
        <v>1702</v>
      </c>
      <c r="D1920" s="4" t="s">
        <v>8</v>
      </c>
      <c r="E1920" s="5" t="s">
        <v>76</v>
      </c>
      <c r="F1920" s="6" t="s">
        <v>1717</v>
      </c>
      <c r="G1920" s="7">
        <v>45269.0</v>
      </c>
      <c r="H1920" s="8">
        <f t="shared" si="1"/>
        <v>9</v>
      </c>
      <c r="I1920" s="9">
        <f t="shared" si="2"/>
        <v>12</v>
      </c>
      <c r="J1920" s="9">
        <f t="shared" si="3"/>
        <v>2023</v>
      </c>
    </row>
    <row r="1921" ht="15.75" customHeight="1">
      <c r="A1921" s="5">
        <v>97.0</v>
      </c>
      <c r="B1921" s="10" t="s">
        <v>1718</v>
      </c>
      <c r="C1921" s="3" t="s">
        <v>1719</v>
      </c>
      <c r="D1921" s="4" t="s">
        <v>3</v>
      </c>
      <c r="E1921" s="5" t="s">
        <v>35</v>
      </c>
      <c r="F1921" s="6" t="s">
        <v>1720</v>
      </c>
      <c r="G1921" s="7">
        <v>44929.0</v>
      </c>
      <c r="H1921" s="8">
        <f t="shared" si="1"/>
        <v>3</v>
      </c>
      <c r="I1921" s="9">
        <f t="shared" si="2"/>
        <v>1</v>
      </c>
      <c r="J1921" s="9">
        <f t="shared" si="3"/>
        <v>2023</v>
      </c>
    </row>
    <row r="1922" ht="15.75" customHeight="1">
      <c r="A1922" s="5">
        <v>97.0</v>
      </c>
      <c r="B1922" s="10" t="s">
        <v>1718</v>
      </c>
      <c r="C1922" s="3" t="s">
        <v>1719</v>
      </c>
      <c r="D1922" s="4" t="s">
        <v>8</v>
      </c>
      <c r="E1922" s="5" t="s">
        <v>6</v>
      </c>
      <c r="F1922" s="6" t="s">
        <v>1721</v>
      </c>
      <c r="G1922" s="7">
        <v>44995.0</v>
      </c>
      <c r="H1922" s="8">
        <f t="shared" si="1"/>
        <v>10</v>
      </c>
      <c r="I1922" s="9">
        <f t="shared" si="2"/>
        <v>3</v>
      </c>
      <c r="J1922" s="9">
        <f t="shared" si="3"/>
        <v>2023</v>
      </c>
    </row>
    <row r="1923" ht="15.75" customHeight="1">
      <c r="A1923" s="5">
        <v>97.0</v>
      </c>
      <c r="B1923" s="10" t="s">
        <v>1718</v>
      </c>
      <c r="C1923" s="3" t="s">
        <v>1719</v>
      </c>
      <c r="D1923" s="4" t="s">
        <v>8</v>
      </c>
      <c r="E1923" s="5" t="s">
        <v>19</v>
      </c>
      <c r="F1923" s="6" t="s">
        <v>1722</v>
      </c>
      <c r="G1923" s="7">
        <v>45025.0</v>
      </c>
      <c r="H1923" s="8">
        <f t="shared" si="1"/>
        <v>9</v>
      </c>
      <c r="I1923" s="9">
        <f t="shared" si="2"/>
        <v>4</v>
      </c>
      <c r="J1923" s="9">
        <f t="shared" si="3"/>
        <v>2023</v>
      </c>
    </row>
    <row r="1924" ht="15.75" customHeight="1">
      <c r="A1924" s="5">
        <v>97.0</v>
      </c>
      <c r="B1924" s="10" t="s">
        <v>1718</v>
      </c>
      <c r="C1924" s="3" t="s">
        <v>1719</v>
      </c>
      <c r="D1924" s="4" t="s">
        <v>8</v>
      </c>
      <c r="E1924" s="5" t="s">
        <v>6</v>
      </c>
      <c r="F1924" s="6" t="s">
        <v>1723</v>
      </c>
      <c r="G1924" s="7">
        <v>45034.0</v>
      </c>
      <c r="H1924" s="8">
        <f t="shared" si="1"/>
        <v>18</v>
      </c>
      <c r="I1924" s="9">
        <f t="shared" si="2"/>
        <v>4</v>
      </c>
      <c r="J1924" s="9">
        <f t="shared" si="3"/>
        <v>2023</v>
      </c>
    </row>
    <row r="1925" ht="15.75" customHeight="1">
      <c r="A1925" s="5">
        <v>97.0</v>
      </c>
      <c r="B1925" s="10" t="s">
        <v>1718</v>
      </c>
      <c r="C1925" s="3" t="s">
        <v>1719</v>
      </c>
      <c r="D1925" s="4" t="s">
        <v>8</v>
      </c>
      <c r="E1925" s="5" t="s">
        <v>45</v>
      </c>
      <c r="F1925" s="6" t="s">
        <v>1724</v>
      </c>
      <c r="G1925" s="7">
        <v>45073.0</v>
      </c>
      <c r="H1925" s="8">
        <f t="shared" si="1"/>
        <v>27</v>
      </c>
      <c r="I1925" s="9">
        <f t="shared" si="2"/>
        <v>5</v>
      </c>
      <c r="J1925" s="9">
        <f t="shared" si="3"/>
        <v>2023</v>
      </c>
    </row>
    <row r="1926" ht="15.75" customHeight="1">
      <c r="A1926" s="5">
        <v>97.0</v>
      </c>
      <c r="B1926" s="10" t="s">
        <v>1718</v>
      </c>
      <c r="C1926" s="3" t="s">
        <v>1719</v>
      </c>
      <c r="D1926" s="4" t="s">
        <v>8</v>
      </c>
      <c r="E1926" s="5" t="s">
        <v>51</v>
      </c>
      <c r="F1926" s="6" t="s">
        <v>967</v>
      </c>
      <c r="G1926" s="7">
        <v>45079.0</v>
      </c>
      <c r="H1926" s="8">
        <f t="shared" si="1"/>
        <v>2</v>
      </c>
      <c r="I1926" s="9">
        <f t="shared" si="2"/>
        <v>6</v>
      </c>
      <c r="J1926" s="9">
        <f t="shared" si="3"/>
        <v>2023</v>
      </c>
    </row>
    <row r="1927" ht="15.75" customHeight="1">
      <c r="A1927" s="5">
        <v>97.0</v>
      </c>
      <c r="B1927" s="10" t="s">
        <v>1718</v>
      </c>
      <c r="C1927" s="3" t="s">
        <v>1719</v>
      </c>
      <c r="D1927" s="4" t="s">
        <v>8</v>
      </c>
      <c r="E1927" s="5" t="s">
        <v>9</v>
      </c>
      <c r="F1927" s="6" t="s">
        <v>1725</v>
      </c>
      <c r="G1927" s="7">
        <v>45085.0</v>
      </c>
      <c r="H1927" s="8">
        <f t="shared" si="1"/>
        <v>8</v>
      </c>
      <c r="I1927" s="9">
        <f t="shared" si="2"/>
        <v>6</v>
      </c>
      <c r="J1927" s="9">
        <f t="shared" si="3"/>
        <v>2023</v>
      </c>
    </row>
    <row r="1928" ht="15.75" customHeight="1">
      <c r="A1928" s="5">
        <v>97.0</v>
      </c>
      <c r="B1928" s="10" t="s">
        <v>1718</v>
      </c>
      <c r="C1928" s="3" t="s">
        <v>1719</v>
      </c>
      <c r="D1928" s="4" t="s">
        <v>8</v>
      </c>
      <c r="E1928" s="5" t="s">
        <v>19</v>
      </c>
      <c r="F1928" s="6" t="s">
        <v>1726</v>
      </c>
      <c r="G1928" s="7">
        <v>45088.0</v>
      </c>
      <c r="H1928" s="8">
        <f t="shared" si="1"/>
        <v>11</v>
      </c>
      <c r="I1928" s="9">
        <f t="shared" si="2"/>
        <v>6</v>
      </c>
      <c r="J1928" s="9">
        <f t="shared" si="3"/>
        <v>2023</v>
      </c>
    </row>
    <row r="1929" ht="15.75" customHeight="1">
      <c r="A1929" s="5">
        <v>97.0</v>
      </c>
      <c r="B1929" s="10" t="s">
        <v>1718</v>
      </c>
      <c r="C1929" s="3" t="s">
        <v>1719</v>
      </c>
      <c r="D1929" s="4" t="s">
        <v>8</v>
      </c>
      <c r="E1929" s="5" t="s">
        <v>13</v>
      </c>
      <c r="F1929" s="6" t="s">
        <v>1727</v>
      </c>
      <c r="G1929" s="7">
        <v>45095.0</v>
      </c>
      <c r="H1929" s="8">
        <f t="shared" si="1"/>
        <v>18</v>
      </c>
      <c r="I1929" s="9">
        <f t="shared" si="2"/>
        <v>6</v>
      </c>
      <c r="J1929" s="9">
        <f t="shared" si="3"/>
        <v>2023</v>
      </c>
    </row>
    <row r="1930" ht="15.75" customHeight="1">
      <c r="A1930" s="5">
        <v>97.0</v>
      </c>
      <c r="B1930" s="10" t="s">
        <v>1718</v>
      </c>
      <c r="C1930" s="3" t="s">
        <v>1719</v>
      </c>
      <c r="D1930" s="4" t="s">
        <v>3</v>
      </c>
      <c r="E1930" s="5" t="s">
        <v>13</v>
      </c>
      <c r="F1930" s="6" t="s">
        <v>1030</v>
      </c>
      <c r="G1930" s="7">
        <v>45101.0</v>
      </c>
      <c r="H1930" s="8">
        <f t="shared" si="1"/>
        <v>24</v>
      </c>
      <c r="I1930" s="9">
        <f t="shared" si="2"/>
        <v>6</v>
      </c>
      <c r="J1930" s="9">
        <f t="shared" si="3"/>
        <v>2023</v>
      </c>
    </row>
    <row r="1931" ht="15.75" customHeight="1">
      <c r="A1931" s="5">
        <v>97.0</v>
      </c>
      <c r="B1931" s="10" t="s">
        <v>1718</v>
      </c>
      <c r="C1931" s="3" t="s">
        <v>1719</v>
      </c>
      <c r="D1931" s="4" t="s">
        <v>3</v>
      </c>
      <c r="E1931" s="5" t="s">
        <v>96</v>
      </c>
      <c r="F1931" s="6" t="s">
        <v>1728</v>
      </c>
      <c r="G1931" s="7">
        <v>45102.0</v>
      </c>
      <c r="H1931" s="8">
        <f t="shared" si="1"/>
        <v>25</v>
      </c>
      <c r="I1931" s="9">
        <f t="shared" si="2"/>
        <v>6</v>
      </c>
      <c r="J1931" s="9">
        <f t="shared" si="3"/>
        <v>2023</v>
      </c>
    </row>
    <row r="1932" ht="15.75" customHeight="1">
      <c r="A1932" s="5">
        <v>97.0</v>
      </c>
      <c r="B1932" s="10" t="s">
        <v>1718</v>
      </c>
      <c r="C1932" s="3" t="s">
        <v>1719</v>
      </c>
      <c r="D1932" s="4" t="s">
        <v>8</v>
      </c>
      <c r="E1932" s="5" t="s">
        <v>15</v>
      </c>
      <c r="F1932" s="6" t="s">
        <v>441</v>
      </c>
      <c r="G1932" s="7">
        <v>45139.0</v>
      </c>
      <c r="H1932" s="8">
        <f t="shared" si="1"/>
        <v>1</v>
      </c>
      <c r="I1932" s="9">
        <f t="shared" si="2"/>
        <v>8</v>
      </c>
      <c r="J1932" s="9">
        <f t="shared" si="3"/>
        <v>2023</v>
      </c>
    </row>
    <row r="1933" ht="15.75" customHeight="1">
      <c r="A1933" s="5">
        <v>97.0</v>
      </c>
      <c r="B1933" s="10" t="s">
        <v>1718</v>
      </c>
      <c r="C1933" s="3" t="s">
        <v>1719</v>
      </c>
      <c r="D1933" s="4" t="s">
        <v>8</v>
      </c>
      <c r="E1933" s="5" t="s">
        <v>6</v>
      </c>
      <c r="F1933" s="6" t="s">
        <v>1729</v>
      </c>
      <c r="G1933" s="7">
        <v>45172.0</v>
      </c>
      <c r="H1933" s="8">
        <f t="shared" si="1"/>
        <v>3</v>
      </c>
      <c r="I1933" s="9">
        <f t="shared" si="2"/>
        <v>9</v>
      </c>
      <c r="J1933" s="9">
        <f t="shared" si="3"/>
        <v>2023</v>
      </c>
    </row>
    <row r="1934" ht="15.75" customHeight="1">
      <c r="A1934" s="5">
        <v>97.0</v>
      </c>
      <c r="B1934" s="10" t="s">
        <v>1718</v>
      </c>
      <c r="C1934" s="3" t="s">
        <v>1719</v>
      </c>
      <c r="D1934" s="4" t="s">
        <v>8</v>
      </c>
      <c r="E1934" s="5" t="s">
        <v>71</v>
      </c>
      <c r="F1934" s="6" t="s">
        <v>1730</v>
      </c>
      <c r="G1934" s="7">
        <v>45178.0</v>
      </c>
      <c r="H1934" s="8">
        <f t="shared" si="1"/>
        <v>9</v>
      </c>
      <c r="I1934" s="9">
        <f t="shared" si="2"/>
        <v>9</v>
      </c>
      <c r="J1934" s="9">
        <f t="shared" si="3"/>
        <v>2023</v>
      </c>
    </row>
    <row r="1935" ht="15.75" customHeight="1">
      <c r="A1935" s="5">
        <v>97.0</v>
      </c>
      <c r="B1935" s="10" t="s">
        <v>1718</v>
      </c>
      <c r="C1935" s="3" t="s">
        <v>1719</v>
      </c>
      <c r="D1935" s="4" t="s">
        <v>3</v>
      </c>
      <c r="E1935" s="5" t="s">
        <v>76</v>
      </c>
      <c r="F1935" s="6" t="s">
        <v>1201</v>
      </c>
      <c r="G1935" s="7">
        <v>45255.0</v>
      </c>
      <c r="H1935" s="8">
        <f t="shared" si="1"/>
        <v>25</v>
      </c>
      <c r="I1935" s="9">
        <f t="shared" si="2"/>
        <v>11</v>
      </c>
      <c r="J1935" s="9">
        <f t="shared" si="3"/>
        <v>2023</v>
      </c>
    </row>
    <row r="1936" ht="15.75" customHeight="1">
      <c r="A1936" s="5">
        <v>97.0</v>
      </c>
      <c r="B1936" s="10" t="s">
        <v>1718</v>
      </c>
      <c r="C1936" s="3" t="s">
        <v>1719</v>
      </c>
      <c r="D1936" s="4" t="s">
        <v>3</v>
      </c>
      <c r="E1936" s="5" t="s">
        <v>35</v>
      </c>
      <c r="F1936" s="6" t="s">
        <v>1731</v>
      </c>
      <c r="G1936" s="7">
        <v>45261.0</v>
      </c>
      <c r="H1936" s="8">
        <f t="shared" si="1"/>
        <v>1</v>
      </c>
      <c r="I1936" s="9">
        <f t="shared" si="2"/>
        <v>12</v>
      </c>
      <c r="J1936" s="9">
        <f t="shared" si="3"/>
        <v>2023</v>
      </c>
    </row>
    <row r="1937" ht="15.75" customHeight="1">
      <c r="A1937" s="5">
        <v>97.0</v>
      </c>
      <c r="B1937" s="10" t="s">
        <v>1718</v>
      </c>
      <c r="C1937" s="3" t="s">
        <v>1719</v>
      </c>
      <c r="D1937" s="4" t="s">
        <v>8</v>
      </c>
      <c r="E1937" s="5" t="s">
        <v>15</v>
      </c>
      <c r="F1937" s="6" t="s">
        <v>975</v>
      </c>
      <c r="G1937" s="7">
        <v>45275.0</v>
      </c>
      <c r="H1937" s="8">
        <f t="shared" si="1"/>
        <v>15</v>
      </c>
      <c r="I1937" s="9">
        <f t="shared" si="2"/>
        <v>12</v>
      </c>
      <c r="J1937" s="9">
        <f t="shared" si="3"/>
        <v>2023</v>
      </c>
    </row>
    <row r="1938" ht="15.75" customHeight="1">
      <c r="A1938" s="5">
        <v>97.0</v>
      </c>
      <c r="B1938" s="10" t="s">
        <v>1718</v>
      </c>
      <c r="C1938" s="3" t="s">
        <v>1719</v>
      </c>
      <c r="D1938" s="4" t="s">
        <v>8</v>
      </c>
      <c r="E1938" s="5" t="s">
        <v>6</v>
      </c>
      <c r="F1938" s="6" t="s">
        <v>1732</v>
      </c>
      <c r="G1938" s="7">
        <v>45276.0</v>
      </c>
      <c r="H1938" s="8">
        <f t="shared" si="1"/>
        <v>16</v>
      </c>
      <c r="I1938" s="9">
        <f t="shared" si="2"/>
        <v>12</v>
      </c>
      <c r="J1938" s="9">
        <f t="shared" si="3"/>
        <v>2023</v>
      </c>
    </row>
    <row r="1939" ht="15.75" customHeight="1">
      <c r="A1939" s="5">
        <v>97.0</v>
      </c>
      <c r="B1939" s="10" t="s">
        <v>1718</v>
      </c>
      <c r="C1939" s="3" t="s">
        <v>1719</v>
      </c>
      <c r="D1939" s="4" t="s">
        <v>3</v>
      </c>
      <c r="E1939" s="5" t="s">
        <v>35</v>
      </c>
      <c r="F1939" s="6" t="s">
        <v>1733</v>
      </c>
      <c r="G1939" s="7">
        <v>45278.0</v>
      </c>
      <c r="H1939" s="8">
        <f t="shared" si="1"/>
        <v>18</v>
      </c>
      <c r="I1939" s="9">
        <f t="shared" si="2"/>
        <v>12</v>
      </c>
      <c r="J1939" s="9">
        <f t="shared" si="3"/>
        <v>2023</v>
      </c>
    </row>
    <row r="1940" ht="15.75" customHeight="1">
      <c r="A1940" s="5">
        <v>97.0</v>
      </c>
      <c r="B1940" s="10" t="s">
        <v>1718</v>
      </c>
      <c r="C1940" s="3" t="s">
        <v>1719</v>
      </c>
      <c r="D1940" s="4" t="s">
        <v>8</v>
      </c>
      <c r="E1940" s="5" t="s">
        <v>6</v>
      </c>
      <c r="F1940" s="6" t="s">
        <v>1734</v>
      </c>
      <c r="G1940" s="7">
        <v>45281.0</v>
      </c>
      <c r="H1940" s="8">
        <f t="shared" si="1"/>
        <v>21</v>
      </c>
      <c r="I1940" s="9">
        <f t="shared" si="2"/>
        <v>12</v>
      </c>
      <c r="J1940" s="9">
        <f t="shared" si="3"/>
        <v>2023</v>
      </c>
    </row>
    <row r="1941" ht="15.75" customHeight="1">
      <c r="A1941" s="5">
        <v>98.0</v>
      </c>
      <c r="B1941" s="10" t="s">
        <v>1228</v>
      </c>
      <c r="C1941" s="3" t="s">
        <v>1735</v>
      </c>
      <c r="D1941" s="4" t="s">
        <v>3</v>
      </c>
      <c r="E1941" s="5" t="s">
        <v>21</v>
      </c>
      <c r="F1941" s="6" t="s">
        <v>1078</v>
      </c>
      <c r="G1941" s="7">
        <v>44949.0</v>
      </c>
      <c r="H1941" s="8">
        <f t="shared" si="1"/>
        <v>23</v>
      </c>
      <c r="I1941" s="9">
        <f t="shared" si="2"/>
        <v>1</v>
      </c>
      <c r="J1941" s="9">
        <f t="shared" si="3"/>
        <v>2023</v>
      </c>
    </row>
    <row r="1942" ht="15.75" customHeight="1">
      <c r="A1942" s="5">
        <v>98.0</v>
      </c>
      <c r="B1942" s="10" t="s">
        <v>1228</v>
      </c>
      <c r="C1942" s="3" t="s">
        <v>1735</v>
      </c>
      <c r="D1942" s="4" t="s">
        <v>8</v>
      </c>
      <c r="E1942" s="5" t="s">
        <v>45</v>
      </c>
      <c r="F1942" s="6" t="s">
        <v>1736</v>
      </c>
      <c r="G1942" s="7">
        <v>44953.0</v>
      </c>
      <c r="H1942" s="8">
        <f t="shared" si="1"/>
        <v>27</v>
      </c>
      <c r="I1942" s="9">
        <f t="shared" si="2"/>
        <v>1</v>
      </c>
      <c r="J1942" s="9">
        <f t="shared" si="3"/>
        <v>2023</v>
      </c>
    </row>
    <row r="1943" ht="15.75" customHeight="1">
      <c r="A1943" s="5">
        <v>98.0</v>
      </c>
      <c r="B1943" s="10" t="s">
        <v>1228</v>
      </c>
      <c r="C1943" s="3" t="s">
        <v>1735</v>
      </c>
      <c r="D1943" s="4" t="s">
        <v>3</v>
      </c>
      <c r="E1943" s="5" t="s">
        <v>120</v>
      </c>
      <c r="F1943" s="6" t="s">
        <v>288</v>
      </c>
      <c r="G1943" s="7">
        <v>44971.0</v>
      </c>
      <c r="H1943" s="8">
        <f t="shared" si="1"/>
        <v>14</v>
      </c>
      <c r="I1943" s="9">
        <f t="shared" si="2"/>
        <v>2</v>
      </c>
      <c r="J1943" s="9">
        <f t="shared" si="3"/>
        <v>2023</v>
      </c>
    </row>
    <row r="1944" ht="15.75" customHeight="1">
      <c r="A1944" s="5">
        <v>98.0</v>
      </c>
      <c r="B1944" s="10" t="s">
        <v>1228</v>
      </c>
      <c r="C1944" s="3" t="s">
        <v>1735</v>
      </c>
      <c r="D1944" s="4" t="s">
        <v>8</v>
      </c>
      <c r="E1944" s="5" t="s">
        <v>15</v>
      </c>
      <c r="F1944" s="6" t="s">
        <v>1737</v>
      </c>
      <c r="G1944" s="7">
        <v>45005.0</v>
      </c>
      <c r="H1944" s="8">
        <f t="shared" si="1"/>
        <v>20</v>
      </c>
      <c r="I1944" s="9">
        <f t="shared" si="2"/>
        <v>3</v>
      </c>
      <c r="J1944" s="9">
        <f t="shared" si="3"/>
        <v>2023</v>
      </c>
    </row>
    <row r="1945" ht="15.75" customHeight="1">
      <c r="A1945" s="5">
        <v>98.0</v>
      </c>
      <c r="B1945" s="10" t="s">
        <v>1228</v>
      </c>
      <c r="C1945" s="3" t="s">
        <v>1735</v>
      </c>
      <c r="D1945" s="4" t="s">
        <v>8</v>
      </c>
      <c r="E1945" s="5" t="s">
        <v>39</v>
      </c>
      <c r="F1945" s="6" t="s">
        <v>1738</v>
      </c>
      <c r="G1945" s="7">
        <v>45007.0</v>
      </c>
      <c r="H1945" s="8">
        <f t="shared" si="1"/>
        <v>22</v>
      </c>
      <c r="I1945" s="9">
        <f t="shared" si="2"/>
        <v>3</v>
      </c>
      <c r="J1945" s="9">
        <f t="shared" si="3"/>
        <v>2023</v>
      </c>
    </row>
    <row r="1946" ht="15.75" customHeight="1">
      <c r="A1946" s="5">
        <v>98.0</v>
      </c>
      <c r="B1946" s="10" t="s">
        <v>1228</v>
      </c>
      <c r="C1946" s="3" t="s">
        <v>1735</v>
      </c>
      <c r="D1946" s="4" t="s">
        <v>8</v>
      </c>
      <c r="E1946" s="5" t="s">
        <v>13</v>
      </c>
      <c r="F1946" s="6" t="s">
        <v>1739</v>
      </c>
      <c r="G1946" s="7">
        <v>45031.0</v>
      </c>
      <c r="H1946" s="8">
        <f t="shared" si="1"/>
        <v>15</v>
      </c>
      <c r="I1946" s="9">
        <f t="shared" si="2"/>
        <v>4</v>
      </c>
      <c r="J1946" s="9">
        <f t="shared" si="3"/>
        <v>2023</v>
      </c>
    </row>
    <row r="1947" ht="15.75" customHeight="1">
      <c r="A1947" s="5">
        <v>98.0</v>
      </c>
      <c r="B1947" s="10" t="s">
        <v>1228</v>
      </c>
      <c r="C1947" s="3" t="s">
        <v>1735</v>
      </c>
      <c r="D1947" s="4" t="s">
        <v>3</v>
      </c>
      <c r="E1947" s="5" t="s">
        <v>51</v>
      </c>
      <c r="F1947" s="6" t="s">
        <v>1740</v>
      </c>
      <c r="G1947" s="7">
        <v>45042.0</v>
      </c>
      <c r="H1947" s="8">
        <f t="shared" si="1"/>
        <v>26</v>
      </c>
      <c r="I1947" s="9">
        <f t="shared" si="2"/>
        <v>4</v>
      </c>
      <c r="J1947" s="9">
        <f t="shared" si="3"/>
        <v>2023</v>
      </c>
    </row>
    <row r="1948" ht="15.75" customHeight="1">
      <c r="A1948" s="5">
        <v>98.0</v>
      </c>
      <c r="B1948" s="10" t="s">
        <v>1228</v>
      </c>
      <c r="C1948" s="3" t="s">
        <v>1735</v>
      </c>
      <c r="D1948" s="4" t="s">
        <v>8</v>
      </c>
      <c r="E1948" s="5" t="s">
        <v>17</v>
      </c>
      <c r="F1948" s="6" t="s">
        <v>1741</v>
      </c>
      <c r="G1948" s="7">
        <v>45070.0</v>
      </c>
      <c r="H1948" s="8">
        <f t="shared" si="1"/>
        <v>24</v>
      </c>
      <c r="I1948" s="9">
        <f t="shared" si="2"/>
        <v>5</v>
      </c>
      <c r="J1948" s="9">
        <f t="shared" si="3"/>
        <v>2023</v>
      </c>
    </row>
    <row r="1949" ht="15.75" customHeight="1">
      <c r="A1949" s="5">
        <v>98.0</v>
      </c>
      <c r="B1949" s="10" t="s">
        <v>1228</v>
      </c>
      <c r="C1949" s="3" t="s">
        <v>1735</v>
      </c>
      <c r="D1949" s="4" t="s">
        <v>8</v>
      </c>
      <c r="E1949" s="5" t="s">
        <v>9</v>
      </c>
      <c r="F1949" s="6" t="s">
        <v>1742</v>
      </c>
      <c r="G1949" s="7">
        <v>45135.0</v>
      </c>
      <c r="H1949" s="8">
        <f t="shared" si="1"/>
        <v>28</v>
      </c>
      <c r="I1949" s="9">
        <f t="shared" si="2"/>
        <v>7</v>
      </c>
      <c r="J1949" s="9">
        <f t="shared" si="3"/>
        <v>2023</v>
      </c>
    </row>
    <row r="1950" ht="15.75" customHeight="1">
      <c r="A1950" s="5">
        <v>98.0</v>
      </c>
      <c r="B1950" s="10" t="s">
        <v>1228</v>
      </c>
      <c r="C1950" s="3" t="s">
        <v>1735</v>
      </c>
      <c r="D1950" s="4" t="s">
        <v>8</v>
      </c>
      <c r="E1950" s="5" t="s">
        <v>51</v>
      </c>
      <c r="F1950" s="6" t="s">
        <v>1743</v>
      </c>
      <c r="G1950" s="7">
        <v>45148.0</v>
      </c>
      <c r="H1950" s="8">
        <f t="shared" si="1"/>
        <v>10</v>
      </c>
      <c r="I1950" s="9">
        <f t="shared" si="2"/>
        <v>8</v>
      </c>
      <c r="J1950" s="9">
        <f t="shared" si="3"/>
        <v>2023</v>
      </c>
    </row>
    <row r="1951" ht="15.75" customHeight="1">
      <c r="A1951" s="5">
        <v>98.0</v>
      </c>
      <c r="B1951" s="10" t="s">
        <v>1228</v>
      </c>
      <c r="C1951" s="3" t="s">
        <v>1735</v>
      </c>
      <c r="D1951" s="4" t="s">
        <v>3</v>
      </c>
      <c r="E1951" s="5" t="s">
        <v>96</v>
      </c>
      <c r="F1951" s="6" t="s">
        <v>215</v>
      </c>
      <c r="G1951" s="7">
        <v>45190.0</v>
      </c>
      <c r="H1951" s="8">
        <f t="shared" si="1"/>
        <v>21</v>
      </c>
      <c r="I1951" s="9">
        <f t="shared" si="2"/>
        <v>9</v>
      </c>
      <c r="J1951" s="9">
        <f t="shared" si="3"/>
        <v>2023</v>
      </c>
    </row>
    <row r="1952" ht="15.75" customHeight="1">
      <c r="A1952" s="5">
        <v>98.0</v>
      </c>
      <c r="B1952" s="10" t="s">
        <v>1228</v>
      </c>
      <c r="C1952" s="3" t="s">
        <v>1735</v>
      </c>
      <c r="D1952" s="4" t="s">
        <v>3</v>
      </c>
      <c r="E1952" s="5" t="s">
        <v>23</v>
      </c>
      <c r="F1952" s="6" t="s">
        <v>1744</v>
      </c>
      <c r="G1952" s="7">
        <v>45192.0</v>
      </c>
      <c r="H1952" s="8">
        <f t="shared" si="1"/>
        <v>23</v>
      </c>
      <c r="I1952" s="9">
        <f t="shared" si="2"/>
        <v>9</v>
      </c>
      <c r="J1952" s="9">
        <f t="shared" si="3"/>
        <v>2023</v>
      </c>
    </row>
    <row r="1953" ht="15.75" customHeight="1">
      <c r="A1953" s="5">
        <v>98.0</v>
      </c>
      <c r="B1953" s="10" t="s">
        <v>1228</v>
      </c>
      <c r="C1953" s="3" t="s">
        <v>1735</v>
      </c>
      <c r="D1953" s="4" t="s">
        <v>8</v>
      </c>
      <c r="E1953" s="5" t="s">
        <v>17</v>
      </c>
      <c r="F1953" s="6" t="s">
        <v>1745</v>
      </c>
      <c r="G1953" s="7">
        <v>45203.0</v>
      </c>
      <c r="H1953" s="8">
        <f t="shared" si="1"/>
        <v>4</v>
      </c>
      <c r="I1953" s="9">
        <f t="shared" si="2"/>
        <v>10</v>
      </c>
      <c r="J1953" s="9">
        <f t="shared" si="3"/>
        <v>2023</v>
      </c>
    </row>
    <row r="1954" ht="15.75" customHeight="1">
      <c r="A1954" s="5">
        <v>98.0</v>
      </c>
      <c r="B1954" s="10" t="s">
        <v>1228</v>
      </c>
      <c r="C1954" s="3" t="s">
        <v>1735</v>
      </c>
      <c r="D1954" s="4" t="s">
        <v>8</v>
      </c>
      <c r="E1954" s="5" t="s">
        <v>11</v>
      </c>
      <c r="F1954" s="6" t="s">
        <v>1746</v>
      </c>
      <c r="G1954" s="7">
        <v>45211.0</v>
      </c>
      <c r="H1954" s="8">
        <f t="shared" si="1"/>
        <v>12</v>
      </c>
      <c r="I1954" s="9">
        <f t="shared" si="2"/>
        <v>10</v>
      </c>
      <c r="J1954" s="9">
        <f t="shared" si="3"/>
        <v>2023</v>
      </c>
    </row>
    <row r="1955" ht="15.75" customHeight="1">
      <c r="A1955" s="5">
        <v>98.0</v>
      </c>
      <c r="B1955" s="10" t="s">
        <v>1228</v>
      </c>
      <c r="C1955" s="3" t="s">
        <v>1735</v>
      </c>
      <c r="D1955" s="4" t="s">
        <v>3</v>
      </c>
      <c r="E1955" s="5" t="s">
        <v>39</v>
      </c>
      <c r="F1955" s="6" t="s">
        <v>1747</v>
      </c>
      <c r="G1955" s="7">
        <v>45252.0</v>
      </c>
      <c r="H1955" s="8">
        <f t="shared" si="1"/>
        <v>22</v>
      </c>
      <c r="I1955" s="9">
        <f t="shared" si="2"/>
        <v>11</v>
      </c>
      <c r="J1955" s="9">
        <f t="shared" si="3"/>
        <v>2023</v>
      </c>
    </row>
    <row r="1956" ht="15.75" customHeight="1">
      <c r="A1956" s="5">
        <v>98.0</v>
      </c>
      <c r="B1956" s="10" t="s">
        <v>1228</v>
      </c>
      <c r="C1956" s="3" t="s">
        <v>1735</v>
      </c>
      <c r="D1956" s="4" t="s">
        <v>8</v>
      </c>
      <c r="E1956" s="5" t="s">
        <v>15</v>
      </c>
      <c r="F1956" s="6" t="s">
        <v>1513</v>
      </c>
      <c r="G1956" s="7">
        <v>45253.0</v>
      </c>
      <c r="H1956" s="8">
        <f t="shared" si="1"/>
        <v>23</v>
      </c>
      <c r="I1956" s="9">
        <f t="shared" si="2"/>
        <v>11</v>
      </c>
      <c r="J1956" s="9">
        <f t="shared" si="3"/>
        <v>2023</v>
      </c>
    </row>
    <row r="1957" ht="15.75" customHeight="1">
      <c r="A1957" s="5">
        <v>98.0</v>
      </c>
      <c r="B1957" s="10" t="s">
        <v>1228</v>
      </c>
      <c r="C1957" s="3" t="s">
        <v>1735</v>
      </c>
      <c r="D1957" s="4" t="s">
        <v>8</v>
      </c>
      <c r="E1957" s="5" t="s">
        <v>19</v>
      </c>
      <c r="F1957" s="6" t="s">
        <v>1748</v>
      </c>
      <c r="G1957" s="7">
        <v>45257.0</v>
      </c>
      <c r="H1957" s="8">
        <f t="shared" si="1"/>
        <v>27</v>
      </c>
      <c r="I1957" s="9">
        <f t="shared" si="2"/>
        <v>11</v>
      </c>
      <c r="J1957" s="9">
        <f t="shared" si="3"/>
        <v>2023</v>
      </c>
    </row>
    <row r="1958" ht="15.75" customHeight="1">
      <c r="A1958" s="5">
        <v>98.0</v>
      </c>
      <c r="B1958" s="10" t="s">
        <v>1228</v>
      </c>
      <c r="C1958" s="3" t="s">
        <v>1735</v>
      </c>
      <c r="D1958" s="4" t="s">
        <v>3</v>
      </c>
      <c r="E1958" s="5" t="s">
        <v>15</v>
      </c>
      <c r="F1958" s="6" t="s">
        <v>514</v>
      </c>
      <c r="G1958" s="7">
        <v>45267.0</v>
      </c>
      <c r="H1958" s="8">
        <f t="shared" si="1"/>
        <v>7</v>
      </c>
      <c r="I1958" s="9">
        <f t="shared" si="2"/>
        <v>12</v>
      </c>
      <c r="J1958" s="9">
        <f t="shared" si="3"/>
        <v>2023</v>
      </c>
    </row>
    <row r="1959" ht="15.75" customHeight="1">
      <c r="A1959" s="5">
        <v>98.0</v>
      </c>
      <c r="B1959" s="10" t="s">
        <v>1228</v>
      </c>
      <c r="C1959" s="3" t="s">
        <v>1735</v>
      </c>
      <c r="D1959" s="4" t="s">
        <v>8</v>
      </c>
      <c r="E1959" s="5" t="s">
        <v>15</v>
      </c>
      <c r="F1959" s="6" t="s">
        <v>1651</v>
      </c>
      <c r="G1959" s="7">
        <v>45276.0</v>
      </c>
      <c r="H1959" s="8">
        <f t="shared" si="1"/>
        <v>16</v>
      </c>
      <c r="I1959" s="9">
        <f t="shared" si="2"/>
        <v>12</v>
      </c>
      <c r="J1959" s="9">
        <f t="shared" si="3"/>
        <v>2023</v>
      </c>
    </row>
    <row r="1960" ht="15.75" customHeight="1">
      <c r="A1960" s="5">
        <v>98.0</v>
      </c>
      <c r="B1960" s="10" t="s">
        <v>1228</v>
      </c>
      <c r="C1960" s="3" t="s">
        <v>1735</v>
      </c>
      <c r="D1960" s="4" t="s">
        <v>8</v>
      </c>
      <c r="E1960" s="5" t="s">
        <v>11</v>
      </c>
      <c r="F1960" s="6" t="s">
        <v>592</v>
      </c>
      <c r="G1960" s="7">
        <v>45277.0</v>
      </c>
      <c r="H1960" s="8">
        <f t="shared" si="1"/>
        <v>17</v>
      </c>
      <c r="I1960" s="9">
        <f t="shared" si="2"/>
        <v>12</v>
      </c>
      <c r="J1960" s="9">
        <f t="shared" si="3"/>
        <v>2023</v>
      </c>
    </row>
    <row r="1961" ht="15.75" customHeight="1">
      <c r="A1961" s="5">
        <v>99.0</v>
      </c>
      <c r="B1961" s="10" t="s">
        <v>1749</v>
      </c>
      <c r="C1961" s="3" t="s">
        <v>1750</v>
      </c>
      <c r="D1961" s="4" t="s">
        <v>3</v>
      </c>
      <c r="E1961" s="5" t="s">
        <v>19</v>
      </c>
      <c r="F1961" s="6" t="s">
        <v>959</v>
      </c>
      <c r="G1961" s="7">
        <v>44930.0</v>
      </c>
      <c r="H1961" s="8">
        <f t="shared" si="1"/>
        <v>4</v>
      </c>
      <c r="I1961" s="9">
        <f t="shared" si="2"/>
        <v>1</v>
      </c>
      <c r="J1961" s="9">
        <f t="shared" si="3"/>
        <v>2023</v>
      </c>
    </row>
    <row r="1962" ht="15.75" customHeight="1">
      <c r="A1962" s="5">
        <v>99.0</v>
      </c>
      <c r="B1962" s="10" t="s">
        <v>1749</v>
      </c>
      <c r="C1962" s="3" t="s">
        <v>1750</v>
      </c>
      <c r="D1962" s="4" t="s">
        <v>3</v>
      </c>
      <c r="E1962" s="5" t="s">
        <v>11</v>
      </c>
      <c r="F1962" s="6" t="s">
        <v>1751</v>
      </c>
      <c r="G1962" s="7">
        <v>44941.0</v>
      </c>
      <c r="H1962" s="8">
        <f t="shared" si="1"/>
        <v>15</v>
      </c>
      <c r="I1962" s="9">
        <f t="shared" si="2"/>
        <v>1</v>
      </c>
      <c r="J1962" s="9">
        <f t="shared" si="3"/>
        <v>2023</v>
      </c>
    </row>
    <row r="1963" ht="15.75" customHeight="1">
      <c r="A1963" s="5">
        <v>99.0</v>
      </c>
      <c r="B1963" s="10" t="s">
        <v>1749</v>
      </c>
      <c r="C1963" s="3" t="s">
        <v>1750</v>
      </c>
      <c r="D1963" s="4" t="s">
        <v>3</v>
      </c>
      <c r="E1963" s="5" t="s">
        <v>28</v>
      </c>
      <c r="F1963" s="6" t="s">
        <v>1752</v>
      </c>
      <c r="G1963" s="7">
        <v>44971.0</v>
      </c>
      <c r="H1963" s="8">
        <f t="shared" si="1"/>
        <v>14</v>
      </c>
      <c r="I1963" s="9">
        <f t="shared" si="2"/>
        <v>2</v>
      </c>
      <c r="J1963" s="9">
        <f t="shared" si="3"/>
        <v>2023</v>
      </c>
    </row>
    <row r="1964" ht="15.75" customHeight="1">
      <c r="A1964" s="5">
        <v>99.0</v>
      </c>
      <c r="B1964" s="10" t="s">
        <v>1749</v>
      </c>
      <c r="C1964" s="3" t="s">
        <v>1750</v>
      </c>
      <c r="D1964" s="4" t="s">
        <v>8</v>
      </c>
      <c r="E1964" s="5" t="s">
        <v>51</v>
      </c>
      <c r="F1964" s="6" t="s">
        <v>1753</v>
      </c>
      <c r="G1964" s="7">
        <v>45008.0</v>
      </c>
      <c r="H1964" s="8">
        <f t="shared" si="1"/>
        <v>23</v>
      </c>
      <c r="I1964" s="9">
        <f t="shared" si="2"/>
        <v>3</v>
      </c>
      <c r="J1964" s="9">
        <f t="shared" si="3"/>
        <v>2023</v>
      </c>
    </row>
    <row r="1965" ht="15.75" customHeight="1">
      <c r="A1965" s="5">
        <v>99.0</v>
      </c>
      <c r="B1965" s="10" t="s">
        <v>1749</v>
      </c>
      <c r="C1965" s="3" t="s">
        <v>1750</v>
      </c>
      <c r="D1965" s="4" t="s">
        <v>8</v>
      </c>
      <c r="E1965" s="5" t="s">
        <v>13</v>
      </c>
      <c r="F1965" s="6" t="s">
        <v>1754</v>
      </c>
      <c r="G1965" s="7">
        <v>45024.0</v>
      </c>
      <c r="H1965" s="8">
        <f t="shared" si="1"/>
        <v>8</v>
      </c>
      <c r="I1965" s="9">
        <f t="shared" si="2"/>
        <v>4</v>
      </c>
      <c r="J1965" s="9">
        <f t="shared" si="3"/>
        <v>2023</v>
      </c>
    </row>
    <row r="1966" ht="15.75" customHeight="1">
      <c r="A1966" s="5">
        <v>99.0</v>
      </c>
      <c r="B1966" s="10" t="s">
        <v>1749</v>
      </c>
      <c r="C1966" s="3" t="s">
        <v>1750</v>
      </c>
      <c r="D1966" s="4" t="s">
        <v>8</v>
      </c>
      <c r="E1966" s="5" t="s">
        <v>71</v>
      </c>
      <c r="F1966" s="6" t="s">
        <v>1755</v>
      </c>
      <c r="G1966" s="7">
        <v>45028.0</v>
      </c>
      <c r="H1966" s="8">
        <f t="shared" si="1"/>
        <v>12</v>
      </c>
      <c r="I1966" s="9">
        <f t="shared" si="2"/>
        <v>4</v>
      </c>
      <c r="J1966" s="9">
        <f t="shared" si="3"/>
        <v>2023</v>
      </c>
    </row>
    <row r="1967" ht="15.75" customHeight="1">
      <c r="A1967" s="5">
        <v>99.0</v>
      </c>
      <c r="B1967" s="10" t="s">
        <v>1749</v>
      </c>
      <c r="C1967" s="3" t="s">
        <v>1750</v>
      </c>
      <c r="D1967" s="4" t="s">
        <v>8</v>
      </c>
      <c r="E1967" s="5" t="s">
        <v>17</v>
      </c>
      <c r="F1967" s="6" t="s">
        <v>1756</v>
      </c>
      <c r="G1967" s="7">
        <v>45096.0</v>
      </c>
      <c r="H1967" s="8">
        <f t="shared" si="1"/>
        <v>19</v>
      </c>
      <c r="I1967" s="9">
        <f t="shared" si="2"/>
        <v>6</v>
      </c>
      <c r="J1967" s="9">
        <f t="shared" si="3"/>
        <v>2023</v>
      </c>
    </row>
    <row r="1968" ht="15.75" customHeight="1">
      <c r="A1968" s="5">
        <v>99.0</v>
      </c>
      <c r="B1968" s="10" t="s">
        <v>1749</v>
      </c>
      <c r="C1968" s="3" t="s">
        <v>1750</v>
      </c>
      <c r="D1968" s="4" t="s">
        <v>3</v>
      </c>
      <c r="E1968" s="5" t="s">
        <v>11</v>
      </c>
      <c r="F1968" s="6" t="s">
        <v>852</v>
      </c>
      <c r="G1968" s="7">
        <v>45100.0</v>
      </c>
      <c r="H1968" s="8">
        <f t="shared" si="1"/>
        <v>23</v>
      </c>
      <c r="I1968" s="9">
        <f t="shared" si="2"/>
        <v>6</v>
      </c>
      <c r="J1968" s="9">
        <f t="shared" si="3"/>
        <v>2023</v>
      </c>
    </row>
    <row r="1969" ht="15.75" customHeight="1">
      <c r="A1969" s="5">
        <v>99.0</v>
      </c>
      <c r="B1969" s="10" t="s">
        <v>1749</v>
      </c>
      <c r="C1969" s="3" t="s">
        <v>1750</v>
      </c>
      <c r="D1969" s="4" t="s">
        <v>8</v>
      </c>
      <c r="E1969" s="5" t="s">
        <v>76</v>
      </c>
      <c r="F1969" s="6" t="s">
        <v>1757</v>
      </c>
      <c r="G1969" s="7">
        <v>45109.0</v>
      </c>
      <c r="H1969" s="8">
        <f t="shared" si="1"/>
        <v>2</v>
      </c>
      <c r="I1969" s="9">
        <f t="shared" si="2"/>
        <v>7</v>
      </c>
      <c r="J1969" s="9">
        <f t="shared" si="3"/>
        <v>2023</v>
      </c>
    </row>
    <row r="1970" ht="15.75" customHeight="1">
      <c r="A1970" s="5">
        <v>99.0</v>
      </c>
      <c r="B1970" s="10" t="s">
        <v>1749</v>
      </c>
      <c r="C1970" s="3" t="s">
        <v>1750</v>
      </c>
      <c r="D1970" s="4" t="s">
        <v>8</v>
      </c>
      <c r="E1970" s="5" t="s">
        <v>96</v>
      </c>
      <c r="F1970" s="6" t="s">
        <v>1499</v>
      </c>
      <c r="G1970" s="7">
        <v>45144.0</v>
      </c>
      <c r="H1970" s="8">
        <f t="shared" si="1"/>
        <v>6</v>
      </c>
      <c r="I1970" s="9">
        <f t="shared" si="2"/>
        <v>8</v>
      </c>
      <c r="J1970" s="9">
        <f t="shared" si="3"/>
        <v>2023</v>
      </c>
    </row>
    <row r="1971" ht="15.75" customHeight="1">
      <c r="A1971" s="5">
        <v>99.0</v>
      </c>
      <c r="B1971" s="10" t="s">
        <v>1749</v>
      </c>
      <c r="C1971" s="3" t="s">
        <v>1750</v>
      </c>
      <c r="D1971" s="4" t="s">
        <v>8</v>
      </c>
      <c r="E1971" s="5" t="s">
        <v>23</v>
      </c>
      <c r="F1971" s="6" t="s">
        <v>1758</v>
      </c>
      <c r="G1971" s="7">
        <v>45161.0</v>
      </c>
      <c r="H1971" s="8">
        <f t="shared" si="1"/>
        <v>23</v>
      </c>
      <c r="I1971" s="9">
        <f t="shared" si="2"/>
        <v>8</v>
      </c>
      <c r="J1971" s="9">
        <f t="shared" si="3"/>
        <v>2023</v>
      </c>
    </row>
    <row r="1972" ht="15.75" customHeight="1">
      <c r="A1972" s="5">
        <v>99.0</v>
      </c>
      <c r="B1972" s="10" t="s">
        <v>1749</v>
      </c>
      <c r="C1972" s="3" t="s">
        <v>1750</v>
      </c>
      <c r="D1972" s="4" t="s">
        <v>8</v>
      </c>
      <c r="E1972" s="5" t="s">
        <v>23</v>
      </c>
      <c r="F1972" s="6" t="s">
        <v>1759</v>
      </c>
      <c r="G1972" s="7">
        <v>45165.0</v>
      </c>
      <c r="H1972" s="8">
        <f t="shared" si="1"/>
        <v>27</v>
      </c>
      <c r="I1972" s="9">
        <f t="shared" si="2"/>
        <v>8</v>
      </c>
      <c r="J1972" s="9">
        <f t="shared" si="3"/>
        <v>2023</v>
      </c>
    </row>
    <row r="1973" ht="15.75" customHeight="1">
      <c r="A1973" s="5">
        <v>99.0</v>
      </c>
      <c r="B1973" s="10" t="s">
        <v>1749</v>
      </c>
      <c r="C1973" s="3" t="s">
        <v>1750</v>
      </c>
      <c r="D1973" s="4" t="s">
        <v>3</v>
      </c>
      <c r="E1973" s="5" t="s">
        <v>6</v>
      </c>
      <c r="F1973" s="6" t="s">
        <v>1760</v>
      </c>
      <c r="G1973" s="7">
        <v>45173.0</v>
      </c>
      <c r="H1973" s="8">
        <f t="shared" si="1"/>
        <v>4</v>
      </c>
      <c r="I1973" s="9">
        <f t="shared" si="2"/>
        <v>9</v>
      </c>
      <c r="J1973" s="9">
        <f t="shared" si="3"/>
        <v>2023</v>
      </c>
    </row>
    <row r="1974" ht="15.75" customHeight="1">
      <c r="A1974" s="5">
        <v>99.0</v>
      </c>
      <c r="B1974" s="10" t="s">
        <v>1749</v>
      </c>
      <c r="C1974" s="3" t="s">
        <v>1750</v>
      </c>
      <c r="D1974" s="4" t="s">
        <v>8</v>
      </c>
      <c r="E1974" s="5" t="s">
        <v>23</v>
      </c>
      <c r="F1974" s="6" t="s">
        <v>1678</v>
      </c>
      <c r="G1974" s="7">
        <v>45187.0</v>
      </c>
      <c r="H1974" s="8">
        <f t="shared" si="1"/>
        <v>18</v>
      </c>
      <c r="I1974" s="9">
        <f t="shared" si="2"/>
        <v>9</v>
      </c>
      <c r="J1974" s="9">
        <f t="shared" si="3"/>
        <v>2023</v>
      </c>
    </row>
    <row r="1975" ht="15.75" customHeight="1">
      <c r="A1975" s="5">
        <v>99.0</v>
      </c>
      <c r="B1975" s="10" t="s">
        <v>1749</v>
      </c>
      <c r="C1975" s="3" t="s">
        <v>1750</v>
      </c>
      <c r="D1975" s="4" t="s">
        <v>3</v>
      </c>
      <c r="E1975" s="5" t="s">
        <v>96</v>
      </c>
      <c r="F1975" s="6" t="s">
        <v>1761</v>
      </c>
      <c r="G1975" s="7">
        <v>45197.0</v>
      </c>
      <c r="H1975" s="8">
        <f t="shared" si="1"/>
        <v>28</v>
      </c>
      <c r="I1975" s="9">
        <f t="shared" si="2"/>
        <v>9</v>
      </c>
      <c r="J1975" s="9">
        <f t="shared" si="3"/>
        <v>2023</v>
      </c>
    </row>
    <row r="1976" ht="15.75" customHeight="1">
      <c r="A1976" s="5">
        <v>99.0</v>
      </c>
      <c r="B1976" s="10" t="s">
        <v>1749</v>
      </c>
      <c r="C1976" s="3" t="s">
        <v>1750</v>
      </c>
      <c r="D1976" s="4" t="s">
        <v>3</v>
      </c>
      <c r="E1976" s="5" t="s">
        <v>120</v>
      </c>
      <c r="F1976" s="6" t="s">
        <v>1762</v>
      </c>
      <c r="G1976" s="7">
        <v>45217.0</v>
      </c>
      <c r="H1976" s="8">
        <f t="shared" si="1"/>
        <v>18</v>
      </c>
      <c r="I1976" s="9">
        <f t="shared" si="2"/>
        <v>10</v>
      </c>
      <c r="J1976" s="9">
        <f t="shared" si="3"/>
        <v>2023</v>
      </c>
    </row>
    <row r="1977" ht="15.75" customHeight="1">
      <c r="A1977" s="5">
        <v>99.0</v>
      </c>
      <c r="B1977" s="10" t="s">
        <v>1749</v>
      </c>
      <c r="C1977" s="3" t="s">
        <v>1750</v>
      </c>
      <c r="D1977" s="4" t="s">
        <v>8</v>
      </c>
      <c r="E1977" s="5" t="s">
        <v>17</v>
      </c>
      <c r="F1977" s="6" t="s">
        <v>1384</v>
      </c>
      <c r="G1977" s="7">
        <v>45249.0</v>
      </c>
      <c r="H1977" s="8">
        <f t="shared" si="1"/>
        <v>19</v>
      </c>
      <c r="I1977" s="9">
        <f t="shared" si="2"/>
        <v>11</v>
      </c>
      <c r="J1977" s="9">
        <f t="shared" si="3"/>
        <v>2023</v>
      </c>
    </row>
    <row r="1978" ht="15.75" customHeight="1">
      <c r="A1978" s="5">
        <v>99.0</v>
      </c>
      <c r="B1978" s="10" t="s">
        <v>1749</v>
      </c>
      <c r="C1978" s="3" t="s">
        <v>1750</v>
      </c>
      <c r="D1978" s="4" t="s">
        <v>8</v>
      </c>
      <c r="E1978" s="5" t="s">
        <v>45</v>
      </c>
      <c r="F1978" s="6" t="s">
        <v>1763</v>
      </c>
      <c r="G1978" s="7">
        <v>45252.0</v>
      </c>
      <c r="H1978" s="8">
        <f t="shared" si="1"/>
        <v>22</v>
      </c>
      <c r="I1978" s="9">
        <f t="shared" si="2"/>
        <v>11</v>
      </c>
      <c r="J1978" s="9">
        <f t="shared" si="3"/>
        <v>2023</v>
      </c>
    </row>
    <row r="1979" ht="15.75" customHeight="1">
      <c r="A1979" s="5">
        <v>99.0</v>
      </c>
      <c r="B1979" s="10" t="s">
        <v>1749</v>
      </c>
      <c r="C1979" s="3" t="s">
        <v>1750</v>
      </c>
      <c r="D1979" s="4" t="s">
        <v>8</v>
      </c>
      <c r="E1979" s="5" t="s">
        <v>51</v>
      </c>
      <c r="F1979" s="6" t="s">
        <v>1764</v>
      </c>
      <c r="G1979" s="7">
        <v>45262.0</v>
      </c>
      <c r="H1979" s="8">
        <f t="shared" si="1"/>
        <v>2</v>
      </c>
      <c r="I1979" s="9">
        <f t="shared" si="2"/>
        <v>12</v>
      </c>
      <c r="J1979" s="9">
        <f t="shared" si="3"/>
        <v>2023</v>
      </c>
    </row>
    <row r="1980" ht="15.75" customHeight="1">
      <c r="A1980" s="5">
        <v>99.0</v>
      </c>
      <c r="B1980" s="10" t="s">
        <v>1749</v>
      </c>
      <c r="C1980" s="3" t="s">
        <v>1750</v>
      </c>
      <c r="D1980" s="4" t="s">
        <v>8</v>
      </c>
      <c r="E1980" s="5" t="s">
        <v>96</v>
      </c>
      <c r="F1980" s="6" t="s">
        <v>1636</v>
      </c>
      <c r="G1980" s="7">
        <v>45262.0</v>
      </c>
      <c r="H1980" s="8">
        <f t="shared" si="1"/>
        <v>2</v>
      </c>
      <c r="I1980" s="9">
        <f t="shared" si="2"/>
        <v>12</v>
      </c>
      <c r="J1980" s="9">
        <f t="shared" si="3"/>
        <v>2023</v>
      </c>
    </row>
    <row r="1981" ht="15.75" customHeight="1">
      <c r="A1981" s="5">
        <v>100.0</v>
      </c>
      <c r="B1981" s="10" t="s">
        <v>1765</v>
      </c>
      <c r="C1981" s="3" t="s">
        <v>1766</v>
      </c>
      <c r="D1981" s="4" t="s">
        <v>8</v>
      </c>
      <c r="E1981" s="5" t="s">
        <v>35</v>
      </c>
      <c r="F1981" s="6" t="s">
        <v>1767</v>
      </c>
      <c r="G1981" s="7">
        <v>44928.0</v>
      </c>
      <c r="H1981" s="8">
        <f t="shared" si="1"/>
        <v>2</v>
      </c>
      <c r="I1981" s="9">
        <f t="shared" si="2"/>
        <v>1</v>
      </c>
      <c r="J1981" s="9">
        <f t="shared" si="3"/>
        <v>2023</v>
      </c>
    </row>
    <row r="1982" ht="15.75" customHeight="1">
      <c r="A1982" s="5">
        <v>100.0</v>
      </c>
      <c r="B1982" s="10" t="s">
        <v>1765</v>
      </c>
      <c r="C1982" s="3" t="s">
        <v>1766</v>
      </c>
      <c r="D1982" s="4" t="s">
        <v>3</v>
      </c>
      <c r="E1982" s="5" t="s">
        <v>120</v>
      </c>
      <c r="F1982" s="6" t="s">
        <v>1768</v>
      </c>
      <c r="G1982" s="7">
        <v>44936.0</v>
      </c>
      <c r="H1982" s="8">
        <f t="shared" si="1"/>
        <v>10</v>
      </c>
      <c r="I1982" s="9">
        <f t="shared" si="2"/>
        <v>1</v>
      </c>
      <c r="J1982" s="9">
        <f t="shared" si="3"/>
        <v>2023</v>
      </c>
    </row>
    <row r="1983" ht="15.75" customHeight="1">
      <c r="A1983" s="5">
        <v>100.0</v>
      </c>
      <c r="B1983" s="10" t="s">
        <v>1765</v>
      </c>
      <c r="C1983" s="3" t="s">
        <v>1766</v>
      </c>
      <c r="D1983" s="4" t="s">
        <v>3</v>
      </c>
      <c r="E1983" s="5" t="s">
        <v>42</v>
      </c>
      <c r="F1983" s="6" t="s">
        <v>309</v>
      </c>
      <c r="G1983" s="7">
        <v>44954.0</v>
      </c>
      <c r="H1983" s="8">
        <f t="shared" si="1"/>
        <v>28</v>
      </c>
      <c r="I1983" s="9">
        <f t="shared" si="2"/>
        <v>1</v>
      </c>
      <c r="J1983" s="9">
        <f t="shared" si="3"/>
        <v>2023</v>
      </c>
    </row>
    <row r="1984" ht="15.75" customHeight="1">
      <c r="A1984" s="5">
        <v>100.0</v>
      </c>
      <c r="B1984" s="10" t="s">
        <v>1765</v>
      </c>
      <c r="C1984" s="3" t="s">
        <v>1766</v>
      </c>
      <c r="D1984" s="4" t="s">
        <v>3</v>
      </c>
      <c r="E1984" s="5" t="s">
        <v>13</v>
      </c>
      <c r="F1984" s="6" t="s">
        <v>1769</v>
      </c>
      <c r="G1984" s="7">
        <v>44961.0</v>
      </c>
      <c r="H1984" s="8">
        <f t="shared" si="1"/>
        <v>4</v>
      </c>
      <c r="I1984" s="9">
        <f t="shared" si="2"/>
        <v>2</v>
      </c>
      <c r="J1984" s="9">
        <f t="shared" si="3"/>
        <v>2023</v>
      </c>
    </row>
    <row r="1985" ht="15.75" customHeight="1">
      <c r="A1985" s="5">
        <v>100.0</v>
      </c>
      <c r="B1985" s="10" t="s">
        <v>1765</v>
      </c>
      <c r="C1985" s="3" t="s">
        <v>1766</v>
      </c>
      <c r="D1985" s="4" t="s">
        <v>3</v>
      </c>
      <c r="E1985" s="5" t="s">
        <v>51</v>
      </c>
      <c r="F1985" s="6" t="s">
        <v>1124</v>
      </c>
      <c r="G1985" s="7">
        <v>44962.0</v>
      </c>
      <c r="H1985" s="8">
        <f t="shared" si="1"/>
        <v>5</v>
      </c>
      <c r="I1985" s="9">
        <f t="shared" si="2"/>
        <v>2</v>
      </c>
      <c r="J1985" s="9">
        <f t="shared" si="3"/>
        <v>2023</v>
      </c>
    </row>
    <row r="1986" ht="15.75" customHeight="1">
      <c r="A1986" s="5">
        <v>100.0</v>
      </c>
      <c r="B1986" s="10" t="s">
        <v>1765</v>
      </c>
      <c r="C1986" s="3" t="s">
        <v>1766</v>
      </c>
      <c r="D1986" s="4" t="s">
        <v>8</v>
      </c>
      <c r="E1986" s="5" t="s">
        <v>23</v>
      </c>
      <c r="F1986" s="6" t="s">
        <v>1464</v>
      </c>
      <c r="G1986" s="7">
        <v>44968.0</v>
      </c>
      <c r="H1986" s="8">
        <f t="shared" si="1"/>
        <v>11</v>
      </c>
      <c r="I1986" s="9">
        <f t="shared" si="2"/>
        <v>2</v>
      </c>
      <c r="J1986" s="9">
        <f t="shared" si="3"/>
        <v>2023</v>
      </c>
    </row>
    <row r="1987" ht="15.75" customHeight="1">
      <c r="A1987" s="5">
        <v>100.0</v>
      </c>
      <c r="B1987" s="10" t="s">
        <v>1765</v>
      </c>
      <c r="C1987" s="3" t="s">
        <v>1766</v>
      </c>
      <c r="D1987" s="4" t="s">
        <v>3</v>
      </c>
      <c r="E1987" s="5" t="s">
        <v>21</v>
      </c>
      <c r="F1987" s="6" t="s">
        <v>359</v>
      </c>
      <c r="G1987" s="7">
        <v>45022.0</v>
      </c>
      <c r="H1987" s="8">
        <f t="shared" si="1"/>
        <v>6</v>
      </c>
      <c r="I1987" s="9">
        <f t="shared" si="2"/>
        <v>4</v>
      </c>
      <c r="J1987" s="9">
        <f t="shared" si="3"/>
        <v>2023</v>
      </c>
    </row>
    <row r="1988" ht="15.75" customHeight="1">
      <c r="A1988" s="5">
        <v>100.0</v>
      </c>
      <c r="B1988" s="10" t="s">
        <v>1765</v>
      </c>
      <c r="C1988" s="3" t="s">
        <v>1766</v>
      </c>
      <c r="D1988" s="4" t="s">
        <v>8</v>
      </c>
      <c r="E1988" s="5" t="s">
        <v>13</v>
      </c>
      <c r="F1988" s="6" t="s">
        <v>383</v>
      </c>
      <c r="G1988" s="7">
        <v>45030.0</v>
      </c>
      <c r="H1988" s="8">
        <f t="shared" si="1"/>
        <v>14</v>
      </c>
      <c r="I1988" s="9">
        <f t="shared" si="2"/>
        <v>4</v>
      </c>
      <c r="J1988" s="9">
        <f t="shared" si="3"/>
        <v>2023</v>
      </c>
    </row>
    <row r="1989" ht="15.75" customHeight="1">
      <c r="A1989" s="5">
        <v>100.0</v>
      </c>
      <c r="B1989" s="10" t="s">
        <v>1765</v>
      </c>
      <c r="C1989" s="3" t="s">
        <v>1766</v>
      </c>
      <c r="D1989" s="4" t="s">
        <v>3</v>
      </c>
      <c r="E1989" s="5" t="s">
        <v>15</v>
      </c>
      <c r="F1989" s="6" t="s">
        <v>1076</v>
      </c>
      <c r="G1989" s="7">
        <v>45058.0</v>
      </c>
      <c r="H1989" s="8">
        <f t="shared" si="1"/>
        <v>12</v>
      </c>
      <c r="I1989" s="9">
        <f t="shared" si="2"/>
        <v>5</v>
      </c>
      <c r="J1989" s="9">
        <f t="shared" si="3"/>
        <v>2023</v>
      </c>
    </row>
    <row r="1990" ht="15.75" customHeight="1">
      <c r="A1990" s="5">
        <v>100.0</v>
      </c>
      <c r="B1990" s="10" t="s">
        <v>1765</v>
      </c>
      <c r="C1990" s="3" t="s">
        <v>1766</v>
      </c>
      <c r="D1990" s="4" t="s">
        <v>8</v>
      </c>
      <c r="E1990" s="5" t="s">
        <v>13</v>
      </c>
      <c r="F1990" s="6" t="s">
        <v>1741</v>
      </c>
      <c r="G1990" s="7">
        <v>45093.0</v>
      </c>
      <c r="H1990" s="8">
        <f t="shared" si="1"/>
        <v>16</v>
      </c>
      <c r="I1990" s="9">
        <f t="shared" si="2"/>
        <v>6</v>
      </c>
      <c r="J1990" s="9">
        <f t="shared" si="3"/>
        <v>2023</v>
      </c>
    </row>
    <row r="1991" ht="15.75" customHeight="1">
      <c r="A1991" s="5">
        <v>100.0</v>
      </c>
      <c r="B1991" s="10" t="s">
        <v>1765</v>
      </c>
      <c r="C1991" s="3" t="s">
        <v>1766</v>
      </c>
      <c r="D1991" s="4" t="s">
        <v>8</v>
      </c>
      <c r="E1991" s="5" t="s">
        <v>4</v>
      </c>
      <c r="F1991" s="6" t="s">
        <v>1418</v>
      </c>
      <c r="G1991" s="7">
        <v>45093.0</v>
      </c>
      <c r="H1991" s="8">
        <f t="shared" si="1"/>
        <v>16</v>
      </c>
      <c r="I1991" s="9">
        <f t="shared" si="2"/>
        <v>6</v>
      </c>
      <c r="J1991" s="9">
        <f t="shared" si="3"/>
        <v>2023</v>
      </c>
    </row>
    <row r="1992" ht="15.75" customHeight="1">
      <c r="A1992" s="5">
        <v>100.0</v>
      </c>
      <c r="B1992" s="10" t="s">
        <v>1765</v>
      </c>
      <c r="C1992" s="3" t="s">
        <v>1766</v>
      </c>
      <c r="D1992" s="4" t="s">
        <v>8</v>
      </c>
      <c r="E1992" s="5" t="s">
        <v>120</v>
      </c>
      <c r="F1992" s="6" t="s">
        <v>1770</v>
      </c>
      <c r="G1992" s="7">
        <v>45117.0</v>
      </c>
      <c r="H1992" s="8">
        <f t="shared" si="1"/>
        <v>10</v>
      </c>
      <c r="I1992" s="9">
        <f t="shared" si="2"/>
        <v>7</v>
      </c>
      <c r="J1992" s="9">
        <f t="shared" si="3"/>
        <v>2023</v>
      </c>
    </row>
    <row r="1993" ht="15.75" customHeight="1">
      <c r="A1993" s="5">
        <v>100.0</v>
      </c>
      <c r="B1993" s="10" t="s">
        <v>1765</v>
      </c>
      <c r="C1993" s="3" t="s">
        <v>1766</v>
      </c>
      <c r="D1993" s="4" t="s">
        <v>3</v>
      </c>
      <c r="E1993" s="5" t="s">
        <v>9</v>
      </c>
      <c r="F1993" s="6" t="s">
        <v>829</v>
      </c>
      <c r="G1993" s="7">
        <v>45174.0</v>
      </c>
      <c r="H1993" s="8">
        <f t="shared" si="1"/>
        <v>5</v>
      </c>
      <c r="I1993" s="9">
        <f t="shared" si="2"/>
        <v>9</v>
      </c>
      <c r="J1993" s="9">
        <f t="shared" si="3"/>
        <v>2023</v>
      </c>
    </row>
    <row r="1994" ht="15.75" customHeight="1">
      <c r="A1994" s="5">
        <v>100.0</v>
      </c>
      <c r="B1994" s="10" t="s">
        <v>1765</v>
      </c>
      <c r="C1994" s="3" t="s">
        <v>1766</v>
      </c>
      <c r="D1994" s="4" t="s">
        <v>8</v>
      </c>
      <c r="E1994" s="5" t="s">
        <v>45</v>
      </c>
      <c r="F1994" s="6" t="s">
        <v>1771</v>
      </c>
      <c r="G1994" s="7">
        <v>45203.0</v>
      </c>
      <c r="H1994" s="8">
        <f t="shared" si="1"/>
        <v>4</v>
      </c>
      <c r="I1994" s="9">
        <f t="shared" si="2"/>
        <v>10</v>
      </c>
      <c r="J1994" s="9">
        <f t="shared" si="3"/>
        <v>2023</v>
      </c>
    </row>
    <row r="1995" ht="15.75" customHeight="1">
      <c r="A1995" s="5">
        <v>100.0</v>
      </c>
      <c r="B1995" s="10" t="s">
        <v>1765</v>
      </c>
      <c r="C1995" s="3" t="s">
        <v>1766</v>
      </c>
      <c r="D1995" s="4" t="s">
        <v>8</v>
      </c>
      <c r="E1995" s="5" t="s">
        <v>17</v>
      </c>
      <c r="F1995" s="6" t="s">
        <v>1772</v>
      </c>
      <c r="G1995" s="7">
        <v>45219.0</v>
      </c>
      <c r="H1995" s="8">
        <f t="shared" si="1"/>
        <v>20</v>
      </c>
      <c r="I1995" s="9">
        <f t="shared" si="2"/>
        <v>10</v>
      </c>
      <c r="J1995" s="9">
        <f t="shared" si="3"/>
        <v>2023</v>
      </c>
    </row>
    <row r="1996" ht="15.75" customHeight="1">
      <c r="A1996" s="5">
        <v>100.0</v>
      </c>
      <c r="B1996" s="10" t="s">
        <v>1765</v>
      </c>
      <c r="C1996" s="3" t="s">
        <v>1766</v>
      </c>
      <c r="D1996" s="4" t="s">
        <v>8</v>
      </c>
      <c r="E1996" s="5" t="s">
        <v>15</v>
      </c>
      <c r="F1996" s="6" t="s">
        <v>612</v>
      </c>
      <c r="G1996" s="7">
        <v>45244.0</v>
      </c>
      <c r="H1996" s="8">
        <f t="shared" si="1"/>
        <v>14</v>
      </c>
      <c r="I1996" s="9">
        <f t="shared" si="2"/>
        <v>11</v>
      </c>
      <c r="J1996" s="9">
        <f t="shared" si="3"/>
        <v>2023</v>
      </c>
    </row>
    <row r="1997" ht="15.75" customHeight="1">
      <c r="A1997" s="5">
        <v>100.0</v>
      </c>
      <c r="B1997" s="10" t="s">
        <v>1765</v>
      </c>
      <c r="C1997" s="3" t="s">
        <v>1766</v>
      </c>
      <c r="D1997" s="4" t="s">
        <v>3</v>
      </c>
      <c r="E1997" s="5" t="s">
        <v>51</v>
      </c>
      <c r="F1997" s="6" t="s">
        <v>382</v>
      </c>
      <c r="G1997" s="7">
        <v>45269.0</v>
      </c>
      <c r="H1997" s="8">
        <f t="shared" si="1"/>
        <v>9</v>
      </c>
      <c r="I1997" s="9">
        <f t="shared" si="2"/>
        <v>12</v>
      </c>
      <c r="J1997" s="9">
        <f t="shared" si="3"/>
        <v>2023</v>
      </c>
    </row>
    <row r="1998" ht="15.75" customHeight="1">
      <c r="A1998" s="5">
        <v>100.0</v>
      </c>
      <c r="B1998" s="10" t="s">
        <v>1765</v>
      </c>
      <c r="C1998" s="3" t="s">
        <v>1766</v>
      </c>
      <c r="D1998" s="4" t="s">
        <v>8</v>
      </c>
      <c r="E1998" s="5" t="s">
        <v>9</v>
      </c>
      <c r="F1998" s="6" t="s">
        <v>1773</v>
      </c>
      <c r="G1998" s="7">
        <v>45273.0</v>
      </c>
      <c r="H1998" s="8">
        <f t="shared" si="1"/>
        <v>13</v>
      </c>
      <c r="I1998" s="9">
        <f t="shared" si="2"/>
        <v>12</v>
      </c>
      <c r="J1998" s="9">
        <f t="shared" si="3"/>
        <v>2023</v>
      </c>
    </row>
    <row r="1999" ht="15.75" customHeight="1">
      <c r="A1999" s="5">
        <v>100.0</v>
      </c>
      <c r="B1999" s="10" t="s">
        <v>1765</v>
      </c>
      <c r="C1999" s="3" t="s">
        <v>1766</v>
      </c>
      <c r="D1999" s="4" t="s">
        <v>3</v>
      </c>
      <c r="E1999" s="5" t="s">
        <v>13</v>
      </c>
      <c r="F1999" s="6" t="s">
        <v>936</v>
      </c>
      <c r="G1999" s="7">
        <v>45283.0</v>
      </c>
      <c r="H1999" s="8">
        <f t="shared" si="1"/>
        <v>23</v>
      </c>
      <c r="I1999" s="9">
        <f t="shared" si="2"/>
        <v>12</v>
      </c>
      <c r="J1999" s="9">
        <f t="shared" si="3"/>
        <v>2023</v>
      </c>
    </row>
    <row r="2000" ht="15.75" customHeight="1">
      <c r="A2000" s="5">
        <v>100.0</v>
      </c>
      <c r="B2000" s="10" t="s">
        <v>1765</v>
      </c>
      <c r="C2000" s="3" t="s">
        <v>1766</v>
      </c>
      <c r="D2000" s="4" t="s">
        <v>3</v>
      </c>
      <c r="E2000" s="5" t="s">
        <v>71</v>
      </c>
      <c r="F2000" s="6" t="s">
        <v>175</v>
      </c>
      <c r="G2000" s="7">
        <v>45286.0</v>
      </c>
      <c r="H2000" s="8">
        <f t="shared" si="1"/>
        <v>26</v>
      </c>
      <c r="I2000" s="9">
        <f t="shared" si="2"/>
        <v>12</v>
      </c>
      <c r="J2000" s="9">
        <f t="shared" si="3"/>
        <v>2023</v>
      </c>
    </row>
    <row r="2001" ht="15.75" customHeight="1">
      <c r="A2001" s="5" t="s">
        <v>1774</v>
      </c>
      <c r="B2001" s="10" t="s">
        <v>1775</v>
      </c>
      <c r="C2001" s="3" t="s">
        <v>1776</v>
      </c>
      <c r="D2001" s="4" t="s">
        <v>1777</v>
      </c>
      <c r="E2001" s="5" t="s">
        <v>1778</v>
      </c>
      <c r="F2001" s="6" t="s">
        <v>1779</v>
      </c>
      <c r="G2001" s="7" t="s">
        <v>1780</v>
      </c>
      <c r="H2001" s="8" t="s">
        <v>1781</v>
      </c>
      <c r="I2001" s="9" t="s">
        <v>1782</v>
      </c>
      <c r="J2001" s="9" t="s">
        <v>1783</v>
      </c>
    </row>
    <row r="2002" ht="15.75" customHeight="1">
      <c r="B2002" s="11"/>
      <c r="C2002" s="12"/>
      <c r="D2002" s="13"/>
      <c r="F2002" s="6"/>
      <c r="G2002" s="7"/>
      <c r="H2002" s="14"/>
    </row>
    <row r="2003" ht="15.75" customHeight="1">
      <c r="B2003" s="11"/>
      <c r="C2003" s="12"/>
      <c r="D2003" s="13"/>
      <c r="F2003" s="6"/>
      <c r="G2003" s="7"/>
      <c r="H2003" s="14"/>
    </row>
  </sheetData>
  <customSheetViews>
    <customSheetView guid="{50B2DC26-7871-4418-BC20-394EFA7CD840}" filter="1" showAutoFilter="1">
      <autoFilter ref="$D$1:$D$2003"/>
    </customSheetView>
    <customSheetView guid="{1605504D-1E94-4F7D-8160-3AAB02B150E6}" filter="1" showAutoFilter="1">
      <autoFilter ref="$D$1:$D$2003"/>
    </customSheetView>
  </customSheetViews>
  <dataValidations>
    <dataValidation type="list" allowBlank="1" showErrorMessage="1" sqref="A6">
      <formula1>"1"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3" max="13" width="17.0"/>
  </cols>
  <sheetData>
    <row r="13">
      <c r="M13" s="15" t="s">
        <v>1784</v>
      </c>
    </row>
    <row r="14">
      <c r="M14" s="16" t="s">
        <v>1785</v>
      </c>
    </row>
    <row r="42">
      <c r="M42" s="16" t="s">
        <v>1786</v>
      </c>
    </row>
    <row r="43">
      <c r="M43" s="16" t="s">
        <v>1787</v>
      </c>
    </row>
    <row r="65">
      <c r="J65" s="16" t="s">
        <v>1788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8" max="8" width="21.88"/>
    <col customWidth="1" min="11" max="11" width="9.0"/>
    <col customWidth="1" min="12" max="13" width="43.13"/>
  </cols>
  <sheetData>
    <row r="1">
      <c r="A1" s="2" t="s">
        <v>1</v>
      </c>
      <c r="B1" s="17" t="s">
        <v>2</v>
      </c>
      <c r="C1" s="4" t="s">
        <v>3</v>
      </c>
      <c r="D1" s="5" t="s">
        <v>4</v>
      </c>
      <c r="E1" s="6" t="s">
        <v>5</v>
      </c>
      <c r="F1" s="7">
        <v>44949.0</v>
      </c>
      <c r="H1" s="15" t="s">
        <v>1789</v>
      </c>
      <c r="J1" s="18"/>
      <c r="L1" s="19" t="s">
        <v>1790</v>
      </c>
      <c r="M1" s="20" t="s">
        <v>813</v>
      </c>
    </row>
    <row r="2">
      <c r="A2" s="10" t="s">
        <v>1</v>
      </c>
      <c r="B2" s="17" t="s">
        <v>2</v>
      </c>
      <c r="C2" s="4" t="s">
        <v>3</v>
      </c>
      <c r="D2" s="5" t="s">
        <v>6</v>
      </c>
      <c r="E2" s="6" t="s">
        <v>7</v>
      </c>
      <c r="F2" s="7">
        <v>44950.0</v>
      </c>
    </row>
    <row r="3">
      <c r="A3" s="10" t="s">
        <v>1</v>
      </c>
      <c r="B3" s="17" t="s">
        <v>2</v>
      </c>
      <c r="C3" s="4" t="s">
        <v>8</v>
      </c>
      <c r="D3" s="5" t="s">
        <v>9</v>
      </c>
      <c r="E3" s="6" t="s">
        <v>10</v>
      </c>
      <c r="F3" s="7">
        <v>44986.0</v>
      </c>
    </row>
    <row r="4">
      <c r="A4" s="10" t="s">
        <v>1</v>
      </c>
      <c r="B4" s="17" t="s">
        <v>2</v>
      </c>
      <c r="C4" s="4" t="s">
        <v>8</v>
      </c>
      <c r="D4" s="5" t="s">
        <v>11</v>
      </c>
      <c r="E4" s="6" t="s">
        <v>12</v>
      </c>
      <c r="F4" s="7">
        <v>44992.0</v>
      </c>
    </row>
    <row r="5">
      <c r="A5" s="10" t="s">
        <v>1</v>
      </c>
      <c r="B5" s="17" t="s">
        <v>2</v>
      </c>
      <c r="C5" s="4" t="s">
        <v>8</v>
      </c>
      <c r="D5" s="5" t="s">
        <v>13</v>
      </c>
      <c r="E5" s="6" t="s">
        <v>14</v>
      </c>
      <c r="F5" s="7">
        <v>44998.0</v>
      </c>
    </row>
    <row r="6">
      <c r="A6" s="10" t="s">
        <v>1</v>
      </c>
      <c r="B6" s="17" t="s">
        <v>2</v>
      </c>
      <c r="C6" s="4" t="s">
        <v>8</v>
      </c>
      <c r="D6" s="5" t="s">
        <v>15</v>
      </c>
      <c r="E6" s="6" t="s">
        <v>16</v>
      </c>
      <c r="F6" s="7">
        <v>44999.0</v>
      </c>
    </row>
    <row r="7">
      <c r="A7" s="10" t="s">
        <v>1</v>
      </c>
      <c r="B7" s="17" t="s">
        <v>2</v>
      </c>
      <c r="C7" s="4" t="s">
        <v>8</v>
      </c>
      <c r="D7" s="5" t="s">
        <v>17</v>
      </c>
      <c r="E7" s="6" t="s">
        <v>18</v>
      </c>
      <c r="F7" s="7">
        <v>45035.0</v>
      </c>
    </row>
    <row r="8">
      <c r="A8" s="10" t="s">
        <v>1</v>
      </c>
      <c r="B8" s="17" t="s">
        <v>2</v>
      </c>
      <c r="C8" s="4" t="s">
        <v>8</v>
      </c>
      <c r="D8" s="5" t="s">
        <v>19</v>
      </c>
      <c r="E8" s="6" t="s">
        <v>20</v>
      </c>
      <c r="F8" s="7">
        <v>45073.0</v>
      </c>
    </row>
    <row r="9">
      <c r="A9" s="10" t="s">
        <v>1</v>
      </c>
      <c r="B9" s="17" t="s">
        <v>2</v>
      </c>
      <c r="C9" s="4" t="s">
        <v>3</v>
      </c>
      <c r="D9" s="5" t="s">
        <v>21</v>
      </c>
      <c r="E9" s="6" t="s">
        <v>22</v>
      </c>
      <c r="F9" s="7">
        <v>45074.0</v>
      </c>
    </row>
    <row r="10">
      <c r="A10" s="10" t="s">
        <v>1</v>
      </c>
      <c r="B10" s="17" t="s">
        <v>2</v>
      </c>
      <c r="C10" s="4" t="s">
        <v>8</v>
      </c>
      <c r="D10" s="5" t="s">
        <v>23</v>
      </c>
      <c r="E10" s="6" t="s">
        <v>24</v>
      </c>
      <c r="F10" s="7">
        <v>45092.0</v>
      </c>
    </row>
    <row r="11">
      <c r="A11" s="10" t="s">
        <v>1</v>
      </c>
      <c r="B11" s="17" t="s">
        <v>2</v>
      </c>
      <c r="C11" s="4" t="s">
        <v>8</v>
      </c>
      <c r="D11" s="5" t="s">
        <v>4</v>
      </c>
      <c r="E11" s="6" t="s">
        <v>25</v>
      </c>
      <c r="F11" s="7">
        <v>45124.0</v>
      </c>
    </row>
    <row r="12">
      <c r="A12" s="10" t="s">
        <v>1</v>
      </c>
      <c r="B12" s="17" t="s">
        <v>2</v>
      </c>
      <c r="C12" s="4" t="s">
        <v>8</v>
      </c>
      <c r="D12" s="5" t="s">
        <v>19</v>
      </c>
      <c r="E12" s="6" t="s">
        <v>26</v>
      </c>
      <c r="F12" s="7">
        <v>45126.0</v>
      </c>
    </row>
    <row r="13">
      <c r="A13" s="10" t="s">
        <v>1</v>
      </c>
      <c r="B13" s="17" t="s">
        <v>2</v>
      </c>
      <c r="C13" s="4" t="s">
        <v>8</v>
      </c>
      <c r="D13" s="5" t="s">
        <v>21</v>
      </c>
      <c r="E13" s="6" t="s">
        <v>27</v>
      </c>
      <c r="F13" s="7">
        <v>45154.0</v>
      </c>
    </row>
    <row r="14">
      <c r="A14" s="10" t="s">
        <v>1</v>
      </c>
      <c r="B14" s="17" t="s">
        <v>2</v>
      </c>
      <c r="C14" s="4" t="s">
        <v>3</v>
      </c>
      <c r="D14" s="5" t="s">
        <v>28</v>
      </c>
      <c r="E14" s="6" t="s">
        <v>29</v>
      </c>
      <c r="F14" s="7">
        <v>45181.0</v>
      </c>
    </row>
    <row r="15">
      <c r="A15" s="10" t="s">
        <v>1</v>
      </c>
      <c r="B15" s="17" t="s">
        <v>2</v>
      </c>
      <c r="C15" s="4" t="s">
        <v>3</v>
      </c>
      <c r="D15" s="5" t="s">
        <v>9</v>
      </c>
      <c r="E15" s="6" t="s">
        <v>30</v>
      </c>
      <c r="F15" s="7">
        <v>45194.0</v>
      </c>
    </row>
    <row r="16">
      <c r="A16" s="10" t="s">
        <v>1</v>
      </c>
      <c r="B16" s="17" t="s">
        <v>2</v>
      </c>
      <c r="C16" s="4" t="s">
        <v>3</v>
      </c>
      <c r="D16" s="5" t="s">
        <v>11</v>
      </c>
      <c r="E16" s="6" t="s">
        <v>31</v>
      </c>
      <c r="F16" s="7">
        <v>45194.0</v>
      </c>
    </row>
    <row r="17">
      <c r="A17" s="10" t="s">
        <v>1</v>
      </c>
      <c r="B17" s="17" t="s">
        <v>2</v>
      </c>
      <c r="C17" s="4" t="s">
        <v>3</v>
      </c>
      <c r="D17" s="5" t="s">
        <v>9</v>
      </c>
      <c r="E17" s="6" t="s">
        <v>32</v>
      </c>
      <c r="F17" s="7">
        <v>45205.0</v>
      </c>
    </row>
    <row r="18">
      <c r="A18" s="10" t="s">
        <v>1</v>
      </c>
      <c r="B18" s="17" t="s">
        <v>2</v>
      </c>
      <c r="C18" s="4" t="s">
        <v>8</v>
      </c>
      <c r="D18" s="5" t="s">
        <v>19</v>
      </c>
      <c r="E18" s="6" t="s">
        <v>33</v>
      </c>
      <c r="F18" s="7">
        <v>45221.0</v>
      </c>
    </row>
    <row r="19">
      <c r="A19" s="10" t="s">
        <v>1</v>
      </c>
      <c r="B19" s="17" t="s">
        <v>2</v>
      </c>
      <c r="C19" s="4" t="s">
        <v>3</v>
      </c>
      <c r="D19" s="5" t="s">
        <v>11</v>
      </c>
      <c r="E19" s="6" t="s">
        <v>34</v>
      </c>
      <c r="F19" s="7">
        <v>45245.0</v>
      </c>
    </row>
    <row r="20">
      <c r="A20" s="10" t="s">
        <v>1</v>
      </c>
      <c r="B20" s="17" t="s">
        <v>2</v>
      </c>
      <c r="C20" s="4" t="s">
        <v>3</v>
      </c>
      <c r="D20" s="5" t="s">
        <v>35</v>
      </c>
      <c r="E20" s="6" t="s">
        <v>36</v>
      </c>
      <c r="F20" s="7">
        <v>45281.0</v>
      </c>
    </row>
    <row r="21">
      <c r="A21" s="10" t="s">
        <v>37</v>
      </c>
      <c r="B21" s="17" t="s">
        <v>38</v>
      </c>
      <c r="C21" s="4" t="s">
        <v>8</v>
      </c>
      <c r="D21" s="5" t="s">
        <v>39</v>
      </c>
      <c r="E21" s="6" t="s">
        <v>40</v>
      </c>
      <c r="F21" s="7">
        <v>44930.0</v>
      </c>
    </row>
    <row r="22">
      <c r="A22" s="10" t="s">
        <v>37</v>
      </c>
      <c r="B22" s="17" t="s">
        <v>38</v>
      </c>
      <c r="C22" s="4" t="s">
        <v>8</v>
      </c>
      <c r="D22" s="5" t="s">
        <v>9</v>
      </c>
      <c r="E22" s="6" t="s">
        <v>41</v>
      </c>
      <c r="F22" s="7">
        <v>44946.0</v>
      </c>
    </row>
    <row r="23">
      <c r="A23" s="10" t="s">
        <v>37</v>
      </c>
      <c r="B23" s="17" t="s">
        <v>38</v>
      </c>
      <c r="C23" s="4" t="s">
        <v>8</v>
      </c>
      <c r="D23" s="5" t="s">
        <v>42</v>
      </c>
      <c r="E23" s="6" t="s">
        <v>43</v>
      </c>
      <c r="F23" s="7">
        <v>44959.0</v>
      </c>
    </row>
    <row r="24">
      <c r="A24" s="10" t="s">
        <v>37</v>
      </c>
      <c r="B24" s="17" t="s">
        <v>38</v>
      </c>
      <c r="C24" s="4" t="s">
        <v>3</v>
      </c>
      <c r="D24" s="5" t="s">
        <v>35</v>
      </c>
      <c r="E24" s="6" t="s">
        <v>44</v>
      </c>
      <c r="F24" s="7">
        <v>44970.0</v>
      </c>
    </row>
    <row r="25">
      <c r="A25" s="10" t="s">
        <v>37</v>
      </c>
      <c r="B25" s="17" t="s">
        <v>38</v>
      </c>
      <c r="C25" s="4" t="s">
        <v>8</v>
      </c>
      <c r="D25" s="5" t="s">
        <v>45</v>
      </c>
      <c r="E25" s="6" t="s">
        <v>46</v>
      </c>
      <c r="F25" s="7">
        <v>44972.0</v>
      </c>
    </row>
    <row r="26">
      <c r="A26" s="10" t="s">
        <v>37</v>
      </c>
      <c r="B26" s="17" t="s">
        <v>38</v>
      </c>
      <c r="C26" s="4" t="s">
        <v>8</v>
      </c>
      <c r="D26" s="5" t="s">
        <v>42</v>
      </c>
      <c r="E26" s="6" t="s">
        <v>47</v>
      </c>
      <c r="F26" s="7">
        <v>44980.0</v>
      </c>
    </row>
    <row r="27">
      <c r="A27" s="10" t="s">
        <v>37</v>
      </c>
      <c r="B27" s="17" t="s">
        <v>38</v>
      </c>
      <c r="C27" s="4" t="s">
        <v>8</v>
      </c>
      <c r="D27" s="5" t="s">
        <v>23</v>
      </c>
      <c r="E27" s="6" t="s">
        <v>48</v>
      </c>
      <c r="F27" s="7">
        <v>45002.0</v>
      </c>
      <c r="H27" s="11"/>
      <c r="J27" s="18"/>
      <c r="L27" s="18"/>
      <c r="M27" s="23"/>
    </row>
    <row r="28">
      <c r="A28" s="10" t="s">
        <v>37</v>
      </c>
      <c r="B28" s="17" t="s">
        <v>38</v>
      </c>
      <c r="C28" s="4" t="s">
        <v>3</v>
      </c>
      <c r="D28" s="5" t="s">
        <v>6</v>
      </c>
      <c r="E28" s="6" t="s">
        <v>49</v>
      </c>
      <c r="F28" s="7">
        <v>45038.0</v>
      </c>
      <c r="H28" s="11"/>
      <c r="J28" s="18"/>
      <c r="L28" s="18"/>
      <c r="M28" s="23"/>
    </row>
    <row r="29">
      <c r="A29" s="10" t="s">
        <v>37</v>
      </c>
      <c r="B29" s="17" t="s">
        <v>38</v>
      </c>
      <c r="C29" s="4" t="s">
        <v>3</v>
      </c>
      <c r="D29" s="5" t="s">
        <v>35</v>
      </c>
      <c r="E29" s="6" t="s">
        <v>50</v>
      </c>
      <c r="F29" s="7">
        <v>45058.0</v>
      </c>
      <c r="H29" s="11"/>
      <c r="J29" s="18"/>
      <c r="L29" s="18"/>
      <c r="M29" s="23"/>
    </row>
    <row r="30">
      <c r="A30" s="10" t="s">
        <v>37</v>
      </c>
      <c r="B30" s="17" t="s">
        <v>38</v>
      </c>
      <c r="C30" s="4" t="s">
        <v>3</v>
      </c>
      <c r="D30" s="5" t="s">
        <v>51</v>
      </c>
      <c r="E30" s="6" t="s">
        <v>52</v>
      </c>
      <c r="F30" s="7">
        <v>45099.0</v>
      </c>
      <c r="H30" s="11"/>
      <c r="J30" s="18"/>
      <c r="L30" s="18"/>
      <c r="M30" s="23"/>
    </row>
    <row r="31">
      <c r="A31" s="10" t="s">
        <v>37</v>
      </c>
      <c r="B31" s="17" t="s">
        <v>38</v>
      </c>
      <c r="C31" s="4" t="s">
        <v>3</v>
      </c>
      <c r="D31" s="5" t="s">
        <v>45</v>
      </c>
      <c r="E31" s="6" t="s">
        <v>53</v>
      </c>
      <c r="F31" s="7">
        <v>45109.0</v>
      </c>
      <c r="H31" s="11"/>
      <c r="J31" s="18"/>
      <c r="L31" s="18"/>
      <c r="M31" s="23"/>
    </row>
    <row r="32">
      <c r="A32" s="10" t="s">
        <v>37</v>
      </c>
      <c r="B32" s="17" t="s">
        <v>38</v>
      </c>
      <c r="C32" s="4" t="s">
        <v>3</v>
      </c>
      <c r="D32" s="5" t="s">
        <v>51</v>
      </c>
      <c r="E32" s="6" t="s">
        <v>54</v>
      </c>
      <c r="F32" s="7">
        <v>45114.0</v>
      </c>
      <c r="H32" s="11"/>
      <c r="J32" s="18"/>
      <c r="L32" s="18"/>
      <c r="M32" s="23"/>
    </row>
    <row r="33">
      <c r="A33" s="10" t="s">
        <v>37</v>
      </c>
      <c r="B33" s="17" t="s">
        <v>38</v>
      </c>
      <c r="C33" s="4" t="s">
        <v>3</v>
      </c>
      <c r="D33" s="5" t="s">
        <v>11</v>
      </c>
      <c r="E33" s="6" t="s">
        <v>55</v>
      </c>
      <c r="F33" s="7">
        <v>45131.0</v>
      </c>
      <c r="H33" s="11"/>
      <c r="J33" s="18"/>
      <c r="L33" s="18"/>
      <c r="M33" s="23"/>
    </row>
    <row r="34">
      <c r="A34" s="10" t="s">
        <v>37</v>
      </c>
      <c r="B34" s="17" t="s">
        <v>38</v>
      </c>
      <c r="C34" s="4" t="s">
        <v>8</v>
      </c>
      <c r="D34" s="5" t="s">
        <v>23</v>
      </c>
      <c r="E34" s="6" t="s">
        <v>56</v>
      </c>
      <c r="F34" s="7">
        <v>45133.0</v>
      </c>
      <c r="H34" s="11"/>
      <c r="J34" s="18"/>
      <c r="L34" s="18"/>
      <c r="M34" s="23"/>
    </row>
    <row r="35">
      <c r="A35" s="10" t="s">
        <v>37</v>
      </c>
      <c r="B35" s="17" t="s">
        <v>38</v>
      </c>
      <c r="C35" s="4" t="s">
        <v>3</v>
      </c>
      <c r="D35" s="5" t="s">
        <v>4</v>
      </c>
      <c r="E35" s="6" t="s">
        <v>57</v>
      </c>
      <c r="F35" s="7">
        <v>45159.0</v>
      </c>
      <c r="H35" s="11"/>
      <c r="J35" s="18"/>
      <c r="L35" s="18"/>
      <c r="M35" s="23"/>
    </row>
    <row r="36">
      <c r="A36" s="10" t="s">
        <v>37</v>
      </c>
      <c r="B36" s="17" t="s">
        <v>38</v>
      </c>
      <c r="C36" s="4" t="s">
        <v>8</v>
      </c>
      <c r="D36" s="5" t="s">
        <v>15</v>
      </c>
      <c r="E36" s="6" t="s">
        <v>58</v>
      </c>
      <c r="F36" s="7">
        <v>45179.0</v>
      </c>
      <c r="H36" s="11"/>
      <c r="J36" s="18"/>
      <c r="L36" s="18"/>
      <c r="M36" s="23"/>
    </row>
    <row r="37">
      <c r="A37" s="10" t="s">
        <v>37</v>
      </c>
      <c r="B37" s="17" t="s">
        <v>38</v>
      </c>
      <c r="C37" s="4" t="s">
        <v>8</v>
      </c>
      <c r="D37" s="5" t="s">
        <v>39</v>
      </c>
      <c r="E37" s="6" t="s">
        <v>59</v>
      </c>
      <c r="F37" s="7">
        <v>45202.0</v>
      </c>
      <c r="H37" s="11"/>
      <c r="J37" s="18"/>
      <c r="L37" s="18"/>
      <c r="M37" s="23"/>
    </row>
    <row r="38">
      <c r="A38" s="10" t="s">
        <v>37</v>
      </c>
      <c r="B38" s="17" t="s">
        <v>38</v>
      </c>
      <c r="C38" s="4" t="s">
        <v>8</v>
      </c>
      <c r="D38" s="5" t="s">
        <v>45</v>
      </c>
      <c r="E38" s="6" t="s">
        <v>60</v>
      </c>
      <c r="F38" s="7">
        <v>45246.0</v>
      </c>
      <c r="H38" s="11"/>
      <c r="J38" s="18"/>
      <c r="L38" s="18"/>
      <c r="M38" s="23"/>
    </row>
    <row r="39">
      <c r="A39" s="10" t="s">
        <v>37</v>
      </c>
      <c r="B39" s="17" t="s">
        <v>38</v>
      </c>
      <c r="C39" s="4" t="s">
        <v>8</v>
      </c>
      <c r="D39" s="5" t="s">
        <v>21</v>
      </c>
      <c r="E39" s="6" t="s">
        <v>61</v>
      </c>
      <c r="F39" s="7">
        <v>45268.0</v>
      </c>
      <c r="H39" s="11"/>
      <c r="J39" s="18"/>
      <c r="L39" s="18"/>
      <c r="M39" s="23"/>
    </row>
    <row r="40">
      <c r="A40" s="10" t="s">
        <v>37</v>
      </c>
      <c r="B40" s="17" t="s">
        <v>38</v>
      </c>
      <c r="C40" s="4" t="s">
        <v>3</v>
      </c>
      <c r="D40" s="5" t="s">
        <v>35</v>
      </c>
      <c r="E40" s="6" t="s">
        <v>62</v>
      </c>
      <c r="F40" s="7">
        <v>45270.0</v>
      </c>
      <c r="H40" s="11"/>
      <c r="J40" s="18"/>
      <c r="L40" s="18"/>
      <c r="M40" s="23"/>
    </row>
    <row r="41">
      <c r="A41" s="10" t="s">
        <v>63</v>
      </c>
      <c r="B41" s="17" t="s">
        <v>64</v>
      </c>
      <c r="C41" s="4" t="s">
        <v>8</v>
      </c>
      <c r="D41" s="5" t="s">
        <v>17</v>
      </c>
      <c r="E41" s="6" t="s">
        <v>65</v>
      </c>
      <c r="F41" s="7">
        <v>44930.0</v>
      </c>
      <c r="H41" s="11"/>
      <c r="J41" s="18"/>
      <c r="L41" s="18"/>
      <c r="M41" s="23"/>
    </row>
    <row r="42">
      <c r="A42" s="10" t="s">
        <v>63</v>
      </c>
      <c r="B42" s="17" t="s">
        <v>64</v>
      </c>
      <c r="C42" s="4" t="s">
        <v>3</v>
      </c>
      <c r="D42" s="5" t="s">
        <v>13</v>
      </c>
      <c r="E42" s="6" t="s">
        <v>66</v>
      </c>
      <c r="F42" s="7">
        <v>44946.0</v>
      </c>
      <c r="H42" s="11"/>
      <c r="J42" s="18"/>
      <c r="L42" s="18"/>
      <c r="M42" s="23"/>
    </row>
    <row r="43">
      <c r="A43" s="10" t="s">
        <v>63</v>
      </c>
      <c r="B43" s="17" t="s">
        <v>64</v>
      </c>
      <c r="C43" s="4" t="s">
        <v>3</v>
      </c>
      <c r="D43" s="5" t="s">
        <v>23</v>
      </c>
      <c r="E43" s="6" t="s">
        <v>67</v>
      </c>
      <c r="F43" s="7">
        <v>44962.0</v>
      </c>
      <c r="H43" s="11"/>
      <c r="J43" s="18"/>
      <c r="L43" s="18"/>
      <c r="M43" s="23"/>
    </row>
    <row r="44">
      <c r="A44" s="10" t="s">
        <v>63</v>
      </c>
      <c r="B44" s="17" t="s">
        <v>64</v>
      </c>
      <c r="C44" s="4" t="s">
        <v>8</v>
      </c>
      <c r="D44" s="5" t="s">
        <v>19</v>
      </c>
      <c r="E44" s="6" t="s">
        <v>68</v>
      </c>
      <c r="F44" s="7">
        <v>44970.0</v>
      </c>
      <c r="H44" s="11"/>
      <c r="J44" s="18"/>
      <c r="L44" s="18"/>
      <c r="M44" s="23"/>
    </row>
    <row r="45">
      <c r="A45" s="10" t="s">
        <v>63</v>
      </c>
      <c r="B45" s="17" t="s">
        <v>64</v>
      </c>
      <c r="C45" s="4" t="s">
        <v>8</v>
      </c>
      <c r="D45" s="5" t="s">
        <v>23</v>
      </c>
      <c r="E45" s="6" t="s">
        <v>69</v>
      </c>
      <c r="F45" s="7">
        <v>44975.0</v>
      </c>
      <c r="H45" s="11"/>
      <c r="J45" s="18"/>
      <c r="L45" s="18"/>
      <c r="M45" s="23"/>
    </row>
    <row r="46">
      <c r="A46" s="10" t="s">
        <v>63</v>
      </c>
      <c r="B46" s="17" t="s">
        <v>64</v>
      </c>
      <c r="C46" s="4" t="s">
        <v>8</v>
      </c>
      <c r="D46" s="5" t="s">
        <v>9</v>
      </c>
      <c r="E46" s="6" t="s">
        <v>70</v>
      </c>
      <c r="F46" s="7">
        <v>44982.0</v>
      </c>
      <c r="H46" s="11"/>
      <c r="J46" s="18"/>
      <c r="L46" s="18"/>
      <c r="M46" s="23"/>
    </row>
    <row r="47">
      <c r="A47" s="10" t="s">
        <v>63</v>
      </c>
      <c r="B47" s="17" t="s">
        <v>64</v>
      </c>
      <c r="C47" s="4" t="s">
        <v>8</v>
      </c>
      <c r="D47" s="5" t="s">
        <v>71</v>
      </c>
      <c r="E47" s="6" t="s">
        <v>72</v>
      </c>
      <c r="F47" s="7">
        <v>44989.0</v>
      </c>
      <c r="H47" s="11"/>
      <c r="J47" s="18"/>
      <c r="L47" s="18"/>
      <c r="M47" s="23"/>
    </row>
    <row r="48">
      <c r="A48" s="10" t="s">
        <v>63</v>
      </c>
      <c r="B48" s="17" t="s">
        <v>64</v>
      </c>
      <c r="C48" s="4" t="s">
        <v>8</v>
      </c>
      <c r="D48" s="5" t="s">
        <v>19</v>
      </c>
      <c r="E48" s="6" t="s">
        <v>73</v>
      </c>
      <c r="F48" s="7">
        <v>44999.0</v>
      </c>
      <c r="H48" s="11"/>
      <c r="J48" s="18"/>
      <c r="L48" s="18"/>
      <c r="M48" s="23"/>
    </row>
    <row r="49">
      <c r="A49" s="10" t="s">
        <v>63</v>
      </c>
      <c r="B49" s="17" t="s">
        <v>64</v>
      </c>
      <c r="C49" s="4" t="s">
        <v>3</v>
      </c>
      <c r="D49" s="5" t="s">
        <v>23</v>
      </c>
      <c r="E49" s="6" t="s">
        <v>74</v>
      </c>
      <c r="F49" s="7">
        <v>45033.0</v>
      </c>
      <c r="H49" s="11"/>
      <c r="J49" s="18"/>
      <c r="L49" s="18"/>
      <c r="M49" s="23"/>
    </row>
    <row r="50">
      <c r="A50" s="10" t="s">
        <v>63</v>
      </c>
      <c r="B50" s="17" t="s">
        <v>64</v>
      </c>
      <c r="C50" s="4" t="s">
        <v>3</v>
      </c>
      <c r="D50" s="5" t="s">
        <v>4</v>
      </c>
      <c r="E50" s="6" t="s">
        <v>75</v>
      </c>
      <c r="F50" s="7">
        <v>45033.0</v>
      </c>
      <c r="H50" s="11"/>
      <c r="J50" s="18"/>
      <c r="L50" s="18"/>
      <c r="M50" s="23"/>
    </row>
    <row r="51">
      <c r="A51" s="10" t="s">
        <v>63</v>
      </c>
      <c r="B51" s="17" t="s">
        <v>64</v>
      </c>
      <c r="C51" s="4" t="s">
        <v>8</v>
      </c>
      <c r="D51" s="5" t="s">
        <v>76</v>
      </c>
      <c r="E51" s="6" t="s">
        <v>77</v>
      </c>
      <c r="F51" s="7">
        <v>45056.0</v>
      </c>
      <c r="H51" s="11"/>
      <c r="J51" s="18"/>
      <c r="L51" s="18"/>
      <c r="M51" s="23"/>
    </row>
    <row r="52">
      <c r="A52" s="10" t="s">
        <v>63</v>
      </c>
      <c r="B52" s="17" t="s">
        <v>64</v>
      </c>
      <c r="C52" s="4" t="s">
        <v>8</v>
      </c>
      <c r="D52" s="5" t="s">
        <v>11</v>
      </c>
      <c r="E52" s="6" t="s">
        <v>78</v>
      </c>
      <c r="F52" s="7">
        <v>45139.0</v>
      </c>
      <c r="H52" s="11"/>
      <c r="J52" s="18"/>
      <c r="L52" s="18"/>
      <c r="M52" s="23"/>
    </row>
    <row r="53">
      <c r="A53" s="10" t="s">
        <v>63</v>
      </c>
      <c r="B53" s="17" t="s">
        <v>64</v>
      </c>
      <c r="C53" s="4" t="s">
        <v>3</v>
      </c>
      <c r="D53" s="5" t="s">
        <v>4</v>
      </c>
      <c r="E53" s="6" t="s">
        <v>79</v>
      </c>
      <c r="F53" s="7">
        <v>45150.0</v>
      </c>
      <c r="H53" s="11"/>
      <c r="J53" s="18"/>
      <c r="L53" s="18"/>
      <c r="M53" s="23"/>
    </row>
    <row r="54">
      <c r="A54" s="10" t="s">
        <v>63</v>
      </c>
      <c r="B54" s="17" t="s">
        <v>64</v>
      </c>
      <c r="C54" s="4" t="s">
        <v>3</v>
      </c>
      <c r="D54" s="5" t="s">
        <v>35</v>
      </c>
      <c r="E54" s="6" t="s">
        <v>80</v>
      </c>
      <c r="F54" s="7">
        <v>45158.0</v>
      </c>
      <c r="H54" s="11"/>
      <c r="J54" s="18"/>
      <c r="L54" s="18"/>
      <c r="M54" s="23"/>
    </row>
    <row r="55">
      <c r="A55" s="10" t="s">
        <v>63</v>
      </c>
      <c r="B55" s="17" t="s">
        <v>64</v>
      </c>
      <c r="C55" s="4" t="s">
        <v>8</v>
      </c>
      <c r="D55" s="5" t="s">
        <v>11</v>
      </c>
      <c r="E55" s="6" t="s">
        <v>81</v>
      </c>
      <c r="F55" s="7">
        <v>45176.0</v>
      </c>
      <c r="H55" s="11"/>
      <c r="J55" s="18"/>
      <c r="L55" s="18"/>
      <c r="M55" s="23"/>
    </row>
    <row r="56">
      <c r="A56" s="10" t="s">
        <v>63</v>
      </c>
      <c r="B56" s="17" t="s">
        <v>64</v>
      </c>
      <c r="C56" s="4" t="s">
        <v>3</v>
      </c>
      <c r="D56" s="5" t="s">
        <v>23</v>
      </c>
      <c r="E56" s="6" t="s">
        <v>82</v>
      </c>
      <c r="F56" s="7">
        <v>45188.0</v>
      </c>
      <c r="H56" s="11"/>
      <c r="J56" s="18"/>
      <c r="L56" s="18"/>
      <c r="M56" s="23"/>
    </row>
    <row r="57">
      <c r="A57" s="10" t="s">
        <v>63</v>
      </c>
      <c r="B57" s="17" t="s">
        <v>64</v>
      </c>
      <c r="C57" s="4" t="s">
        <v>3</v>
      </c>
      <c r="D57" s="5" t="s">
        <v>35</v>
      </c>
      <c r="E57" s="6" t="s">
        <v>83</v>
      </c>
      <c r="F57" s="7">
        <v>45196.0</v>
      </c>
      <c r="H57" s="11"/>
      <c r="J57" s="18"/>
      <c r="L57" s="18"/>
      <c r="M57" s="23"/>
    </row>
    <row r="58">
      <c r="A58" s="10" t="s">
        <v>63</v>
      </c>
      <c r="B58" s="17" t="s">
        <v>64</v>
      </c>
      <c r="C58" s="4" t="s">
        <v>3</v>
      </c>
      <c r="D58" s="5" t="s">
        <v>39</v>
      </c>
      <c r="E58" s="6" t="s">
        <v>84</v>
      </c>
      <c r="F58" s="7">
        <v>45214.0</v>
      </c>
      <c r="H58" s="11"/>
      <c r="J58" s="18"/>
      <c r="L58" s="18"/>
      <c r="M58" s="23"/>
    </row>
    <row r="59">
      <c r="A59" s="10" t="s">
        <v>63</v>
      </c>
      <c r="B59" s="17" t="s">
        <v>64</v>
      </c>
      <c r="C59" s="4" t="s">
        <v>3</v>
      </c>
      <c r="D59" s="5" t="s">
        <v>71</v>
      </c>
      <c r="E59" s="6" t="s">
        <v>85</v>
      </c>
      <c r="F59" s="7">
        <v>45235.0</v>
      </c>
      <c r="H59" s="11"/>
      <c r="J59" s="18"/>
      <c r="L59" s="18"/>
      <c r="M59" s="23"/>
    </row>
    <row r="60">
      <c r="A60" s="10" t="s">
        <v>63</v>
      </c>
      <c r="B60" s="17" t="s">
        <v>64</v>
      </c>
      <c r="C60" s="4" t="s">
        <v>8</v>
      </c>
      <c r="D60" s="5" t="s">
        <v>9</v>
      </c>
      <c r="E60" s="6" t="s">
        <v>86</v>
      </c>
      <c r="F60" s="7">
        <v>45279.0</v>
      </c>
      <c r="H60" s="11"/>
      <c r="J60" s="18"/>
      <c r="L60" s="18"/>
      <c r="M60" s="23"/>
    </row>
    <row r="61">
      <c r="A61" s="10" t="s">
        <v>87</v>
      </c>
      <c r="B61" s="17" t="s">
        <v>88</v>
      </c>
      <c r="C61" s="4" t="s">
        <v>8</v>
      </c>
      <c r="D61" s="5" t="s">
        <v>39</v>
      </c>
      <c r="E61" s="6" t="s">
        <v>89</v>
      </c>
      <c r="F61" s="7">
        <v>44934.0</v>
      </c>
      <c r="H61" s="11"/>
      <c r="J61" s="18"/>
      <c r="L61" s="18"/>
      <c r="M61" s="23"/>
    </row>
    <row r="62">
      <c r="A62" s="10" t="s">
        <v>87</v>
      </c>
      <c r="B62" s="17" t="s">
        <v>88</v>
      </c>
      <c r="C62" s="4" t="s">
        <v>8</v>
      </c>
      <c r="D62" s="5" t="s">
        <v>35</v>
      </c>
      <c r="E62" s="6" t="s">
        <v>90</v>
      </c>
      <c r="F62" s="7">
        <v>44938.0</v>
      </c>
      <c r="H62" s="11"/>
      <c r="J62" s="18"/>
      <c r="L62" s="18"/>
      <c r="M62" s="23"/>
    </row>
    <row r="63">
      <c r="A63" s="10" t="s">
        <v>87</v>
      </c>
      <c r="B63" s="17" t="s">
        <v>88</v>
      </c>
      <c r="C63" s="4" t="s">
        <v>8</v>
      </c>
      <c r="D63" s="5" t="s">
        <v>19</v>
      </c>
      <c r="E63" s="6" t="s">
        <v>91</v>
      </c>
      <c r="F63" s="7">
        <v>44958.0</v>
      </c>
      <c r="H63" s="11"/>
      <c r="J63" s="18"/>
      <c r="L63" s="18"/>
      <c r="M63" s="23"/>
    </row>
    <row r="64">
      <c r="A64" s="10" t="s">
        <v>87</v>
      </c>
      <c r="B64" s="17" t="s">
        <v>88</v>
      </c>
      <c r="C64" s="4" t="s">
        <v>8</v>
      </c>
      <c r="D64" s="5" t="s">
        <v>4</v>
      </c>
      <c r="E64" s="6" t="s">
        <v>92</v>
      </c>
      <c r="F64" s="7">
        <v>44963.0</v>
      </c>
      <c r="H64" s="11"/>
      <c r="J64" s="18"/>
      <c r="L64" s="18"/>
      <c r="M64" s="23"/>
    </row>
    <row r="65">
      <c r="A65" s="10" t="s">
        <v>87</v>
      </c>
      <c r="B65" s="17" t="s">
        <v>88</v>
      </c>
      <c r="C65" s="4" t="s">
        <v>3</v>
      </c>
      <c r="D65" s="5" t="s">
        <v>19</v>
      </c>
      <c r="E65" s="6" t="s">
        <v>93</v>
      </c>
      <c r="F65" s="7">
        <v>44995.0</v>
      </c>
      <c r="H65" s="11"/>
      <c r="J65" s="18"/>
      <c r="L65" s="18"/>
      <c r="M65" s="23"/>
    </row>
    <row r="66">
      <c r="A66" s="10" t="s">
        <v>87</v>
      </c>
      <c r="B66" s="17" t="s">
        <v>88</v>
      </c>
      <c r="C66" s="4" t="s">
        <v>3</v>
      </c>
      <c r="D66" s="5" t="s">
        <v>51</v>
      </c>
      <c r="E66" s="6" t="s">
        <v>94</v>
      </c>
      <c r="F66" s="7">
        <v>45029.0</v>
      </c>
      <c r="H66" s="11"/>
      <c r="J66" s="18"/>
      <c r="L66" s="18"/>
      <c r="M66" s="23"/>
    </row>
    <row r="67">
      <c r="A67" s="10" t="s">
        <v>87</v>
      </c>
      <c r="B67" s="17" t="s">
        <v>88</v>
      </c>
      <c r="C67" s="4" t="s">
        <v>8</v>
      </c>
      <c r="D67" s="5" t="s">
        <v>35</v>
      </c>
      <c r="E67" s="6" t="s">
        <v>95</v>
      </c>
      <c r="F67" s="7">
        <v>45041.0</v>
      </c>
      <c r="H67" s="11"/>
      <c r="J67" s="18"/>
      <c r="L67" s="18"/>
      <c r="M67" s="23"/>
    </row>
    <row r="68">
      <c r="A68" s="10" t="s">
        <v>87</v>
      </c>
      <c r="B68" s="17" t="s">
        <v>88</v>
      </c>
      <c r="C68" s="4" t="s">
        <v>3</v>
      </c>
      <c r="D68" s="5" t="s">
        <v>96</v>
      </c>
      <c r="E68" s="6" t="s">
        <v>97</v>
      </c>
      <c r="F68" s="7">
        <v>45062.0</v>
      </c>
      <c r="H68" s="11"/>
      <c r="J68" s="18"/>
      <c r="L68" s="18"/>
      <c r="M68" s="23"/>
    </row>
    <row r="69">
      <c r="A69" s="10" t="s">
        <v>87</v>
      </c>
      <c r="B69" s="17" t="s">
        <v>88</v>
      </c>
      <c r="C69" s="4" t="s">
        <v>8</v>
      </c>
      <c r="D69" s="5" t="s">
        <v>76</v>
      </c>
      <c r="E69" s="6" t="s">
        <v>98</v>
      </c>
      <c r="F69" s="7">
        <v>45064.0</v>
      </c>
      <c r="H69" s="11"/>
      <c r="J69" s="18"/>
      <c r="L69" s="18"/>
      <c r="M69" s="23"/>
    </row>
    <row r="70">
      <c r="A70" s="10" t="s">
        <v>87</v>
      </c>
      <c r="B70" s="17" t="s">
        <v>88</v>
      </c>
      <c r="C70" s="4" t="s">
        <v>3</v>
      </c>
      <c r="D70" s="5" t="s">
        <v>23</v>
      </c>
      <c r="E70" s="6" t="s">
        <v>99</v>
      </c>
      <c r="F70" s="7">
        <v>45065.0</v>
      </c>
      <c r="H70" s="11"/>
      <c r="J70" s="18"/>
      <c r="L70" s="18"/>
      <c r="M70" s="23"/>
    </row>
    <row r="71">
      <c r="A71" s="10" t="s">
        <v>87</v>
      </c>
      <c r="B71" s="17" t="s">
        <v>88</v>
      </c>
      <c r="C71" s="4" t="s">
        <v>8</v>
      </c>
      <c r="D71" s="5" t="s">
        <v>71</v>
      </c>
      <c r="E71" s="6" t="s">
        <v>100</v>
      </c>
      <c r="F71" s="7">
        <v>45068.0</v>
      </c>
      <c r="H71" s="11"/>
      <c r="J71" s="18"/>
      <c r="L71" s="18"/>
      <c r="M71" s="23"/>
    </row>
    <row r="72">
      <c r="A72" s="10" t="s">
        <v>87</v>
      </c>
      <c r="B72" s="17" t="s">
        <v>88</v>
      </c>
      <c r="C72" s="4" t="s">
        <v>3</v>
      </c>
      <c r="D72" s="5" t="s">
        <v>76</v>
      </c>
      <c r="E72" s="6" t="s">
        <v>101</v>
      </c>
      <c r="F72" s="7">
        <v>45074.0</v>
      </c>
      <c r="H72" s="11"/>
      <c r="J72" s="18"/>
      <c r="L72" s="18"/>
      <c r="M72" s="23"/>
    </row>
    <row r="73">
      <c r="A73" s="10" t="s">
        <v>87</v>
      </c>
      <c r="B73" s="17" t="s">
        <v>88</v>
      </c>
      <c r="C73" s="4" t="s">
        <v>8</v>
      </c>
      <c r="D73" s="5" t="s">
        <v>11</v>
      </c>
      <c r="E73" s="6" t="s">
        <v>102</v>
      </c>
      <c r="F73" s="7">
        <v>45090.0</v>
      </c>
      <c r="H73" s="11"/>
      <c r="J73" s="18"/>
      <c r="L73" s="18"/>
      <c r="M73" s="23"/>
    </row>
    <row r="74">
      <c r="A74" s="10" t="s">
        <v>87</v>
      </c>
      <c r="B74" s="17" t="s">
        <v>88</v>
      </c>
      <c r="C74" s="4" t="s">
        <v>3</v>
      </c>
      <c r="D74" s="5" t="s">
        <v>51</v>
      </c>
      <c r="E74" s="6" t="s">
        <v>103</v>
      </c>
      <c r="F74" s="7">
        <v>45098.0</v>
      </c>
      <c r="H74" s="11"/>
      <c r="J74" s="18"/>
      <c r="L74" s="18"/>
      <c r="M74" s="23"/>
    </row>
    <row r="75">
      <c r="A75" s="10" t="s">
        <v>87</v>
      </c>
      <c r="B75" s="17" t="s">
        <v>88</v>
      </c>
      <c r="C75" s="4" t="s">
        <v>3</v>
      </c>
      <c r="D75" s="5" t="s">
        <v>17</v>
      </c>
      <c r="E75" s="6" t="s">
        <v>104</v>
      </c>
      <c r="F75" s="7">
        <v>45132.0</v>
      </c>
      <c r="H75" s="11"/>
      <c r="J75" s="18"/>
      <c r="L75" s="18"/>
      <c r="M75" s="23"/>
    </row>
    <row r="76">
      <c r="A76" s="10" t="s">
        <v>87</v>
      </c>
      <c r="B76" s="17" t="s">
        <v>88</v>
      </c>
      <c r="C76" s="4" t="s">
        <v>8</v>
      </c>
      <c r="D76" s="5" t="s">
        <v>42</v>
      </c>
      <c r="E76" s="6" t="s">
        <v>105</v>
      </c>
      <c r="F76" s="7">
        <v>45142.0</v>
      </c>
      <c r="H76" s="11"/>
      <c r="J76" s="18"/>
      <c r="L76" s="18"/>
      <c r="M76" s="23"/>
    </row>
    <row r="77">
      <c r="A77" s="10" t="s">
        <v>87</v>
      </c>
      <c r="B77" s="17" t="s">
        <v>88</v>
      </c>
      <c r="C77" s="4" t="s">
        <v>3</v>
      </c>
      <c r="D77" s="5" t="s">
        <v>15</v>
      </c>
      <c r="E77" s="6" t="s">
        <v>106</v>
      </c>
      <c r="F77" s="7">
        <v>45157.0</v>
      </c>
      <c r="H77" s="11"/>
      <c r="J77" s="18"/>
      <c r="L77" s="18"/>
      <c r="M77" s="23"/>
    </row>
    <row r="78">
      <c r="A78" s="10" t="s">
        <v>87</v>
      </c>
      <c r="B78" s="17" t="s">
        <v>88</v>
      </c>
      <c r="C78" s="4" t="s">
        <v>8</v>
      </c>
      <c r="D78" s="5" t="s">
        <v>9</v>
      </c>
      <c r="E78" s="6" t="s">
        <v>107</v>
      </c>
      <c r="F78" s="7">
        <v>45208.0</v>
      </c>
      <c r="H78" s="11"/>
      <c r="J78" s="18"/>
      <c r="L78" s="18"/>
      <c r="M78" s="23"/>
    </row>
    <row r="79">
      <c r="A79" s="10" t="s">
        <v>87</v>
      </c>
      <c r="B79" s="17" t="s">
        <v>88</v>
      </c>
      <c r="C79" s="4" t="s">
        <v>3</v>
      </c>
      <c r="D79" s="5" t="s">
        <v>21</v>
      </c>
      <c r="E79" s="6" t="s">
        <v>108</v>
      </c>
      <c r="F79" s="7">
        <v>45245.0</v>
      </c>
      <c r="H79" s="11"/>
      <c r="J79" s="18"/>
      <c r="L79" s="18"/>
      <c r="M79" s="23"/>
    </row>
    <row r="80">
      <c r="A80" s="10" t="s">
        <v>87</v>
      </c>
      <c r="B80" s="17" t="s">
        <v>88</v>
      </c>
      <c r="C80" s="4" t="s">
        <v>3</v>
      </c>
      <c r="D80" s="5" t="s">
        <v>71</v>
      </c>
      <c r="E80" s="6" t="s">
        <v>109</v>
      </c>
      <c r="F80" s="7">
        <v>45254.0</v>
      </c>
      <c r="H80" s="11"/>
      <c r="J80" s="18"/>
      <c r="L80" s="18"/>
      <c r="M80" s="23"/>
    </row>
    <row r="81">
      <c r="A81" s="10" t="s">
        <v>110</v>
      </c>
      <c r="B81" s="17" t="s">
        <v>111</v>
      </c>
      <c r="C81" s="4" t="s">
        <v>8</v>
      </c>
      <c r="D81" s="5" t="s">
        <v>45</v>
      </c>
      <c r="E81" s="6" t="s">
        <v>112</v>
      </c>
      <c r="F81" s="7">
        <v>44943.0</v>
      </c>
      <c r="H81" s="11"/>
      <c r="J81" s="18"/>
      <c r="L81" s="18"/>
      <c r="M81" s="23"/>
    </row>
    <row r="82">
      <c r="A82" s="10" t="s">
        <v>110</v>
      </c>
      <c r="B82" s="17" t="s">
        <v>111</v>
      </c>
      <c r="C82" s="4" t="s">
        <v>8</v>
      </c>
      <c r="D82" s="5" t="s">
        <v>9</v>
      </c>
      <c r="E82" s="6" t="s">
        <v>113</v>
      </c>
      <c r="F82" s="7">
        <v>44949.0</v>
      </c>
      <c r="H82" s="11"/>
      <c r="J82" s="18"/>
      <c r="L82" s="18"/>
      <c r="M82" s="23"/>
    </row>
    <row r="83">
      <c r="A83" s="10" t="s">
        <v>110</v>
      </c>
      <c r="B83" s="17" t="s">
        <v>111</v>
      </c>
      <c r="C83" s="4" t="s">
        <v>8</v>
      </c>
      <c r="D83" s="5" t="s">
        <v>51</v>
      </c>
      <c r="E83" s="6" t="s">
        <v>114</v>
      </c>
      <c r="F83" s="7">
        <v>44962.0</v>
      </c>
      <c r="H83" s="11"/>
      <c r="J83" s="18"/>
      <c r="L83" s="18"/>
      <c r="M83" s="23"/>
    </row>
    <row r="84">
      <c r="A84" s="10" t="s">
        <v>110</v>
      </c>
      <c r="B84" s="17" t="s">
        <v>111</v>
      </c>
      <c r="C84" s="4" t="s">
        <v>3</v>
      </c>
      <c r="D84" s="5" t="s">
        <v>11</v>
      </c>
      <c r="E84" s="6" t="s">
        <v>115</v>
      </c>
      <c r="F84" s="7">
        <v>44994.0</v>
      </c>
      <c r="H84" s="11"/>
      <c r="J84" s="18"/>
      <c r="L84" s="18"/>
      <c r="M84" s="23"/>
    </row>
    <row r="85">
      <c r="A85" s="10" t="s">
        <v>110</v>
      </c>
      <c r="B85" s="17" t="s">
        <v>111</v>
      </c>
      <c r="C85" s="4" t="s">
        <v>8</v>
      </c>
      <c r="D85" s="5" t="s">
        <v>23</v>
      </c>
      <c r="E85" s="6" t="s">
        <v>116</v>
      </c>
      <c r="F85" s="7">
        <v>45000.0</v>
      </c>
      <c r="H85" s="11"/>
      <c r="J85" s="18"/>
      <c r="L85" s="18"/>
      <c r="M85" s="23"/>
    </row>
    <row r="86">
      <c r="A86" s="10" t="s">
        <v>110</v>
      </c>
      <c r="B86" s="17" t="s">
        <v>111</v>
      </c>
      <c r="C86" s="4" t="s">
        <v>8</v>
      </c>
      <c r="D86" s="5" t="s">
        <v>9</v>
      </c>
      <c r="E86" s="6" t="s">
        <v>117</v>
      </c>
      <c r="F86" s="7">
        <v>45034.0</v>
      </c>
      <c r="H86" s="11"/>
      <c r="J86" s="18"/>
      <c r="L86" s="18"/>
      <c r="M86" s="23"/>
    </row>
    <row r="87">
      <c r="A87" s="10" t="s">
        <v>110</v>
      </c>
      <c r="B87" s="17" t="s">
        <v>111</v>
      </c>
      <c r="C87" s="4" t="s">
        <v>8</v>
      </c>
      <c r="D87" s="5" t="s">
        <v>39</v>
      </c>
      <c r="E87" s="6" t="s">
        <v>118</v>
      </c>
      <c r="F87" s="7">
        <v>45040.0</v>
      </c>
      <c r="H87" s="11"/>
      <c r="J87" s="18"/>
      <c r="L87" s="18"/>
      <c r="M87" s="23"/>
    </row>
    <row r="88">
      <c r="A88" s="10" t="s">
        <v>110</v>
      </c>
      <c r="B88" s="17" t="s">
        <v>111</v>
      </c>
      <c r="C88" s="4" t="s">
        <v>8</v>
      </c>
      <c r="D88" s="5" t="s">
        <v>39</v>
      </c>
      <c r="E88" s="6" t="s">
        <v>119</v>
      </c>
      <c r="F88" s="7">
        <v>45074.0</v>
      </c>
      <c r="H88" s="11"/>
      <c r="J88" s="18"/>
      <c r="L88" s="18"/>
      <c r="M88" s="23"/>
    </row>
    <row r="89">
      <c r="A89" s="10" t="s">
        <v>110</v>
      </c>
      <c r="B89" s="17" t="s">
        <v>111</v>
      </c>
      <c r="C89" s="4" t="s">
        <v>3</v>
      </c>
      <c r="D89" s="5" t="s">
        <v>120</v>
      </c>
      <c r="E89" s="6" t="s">
        <v>121</v>
      </c>
      <c r="F89" s="7">
        <v>45079.0</v>
      </c>
      <c r="H89" s="11"/>
      <c r="J89" s="18"/>
      <c r="L89" s="18"/>
      <c r="M89" s="23"/>
    </row>
    <row r="90">
      <c r="A90" s="10" t="s">
        <v>110</v>
      </c>
      <c r="B90" s="17" t="s">
        <v>111</v>
      </c>
      <c r="C90" s="4" t="s">
        <v>8</v>
      </c>
      <c r="D90" s="5" t="s">
        <v>13</v>
      </c>
      <c r="E90" s="6" t="s">
        <v>122</v>
      </c>
      <c r="F90" s="7">
        <v>45111.0</v>
      </c>
      <c r="H90" s="11"/>
      <c r="J90" s="18"/>
      <c r="L90" s="18"/>
      <c r="M90" s="23"/>
    </row>
    <row r="91">
      <c r="A91" s="10" t="s">
        <v>110</v>
      </c>
      <c r="B91" s="17" t="s">
        <v>111</v>
      </c>
      <c r="C91" s="4" t="s">
        <v>8</v>
      </c>
      <c r="D91" s="5" t="s">
        <v>71</v>
      </c>
      <c r="E91" s="6" t="s">
        <v>123</v>
      </c>
      <c r="F91" s="7">
        <v>45134.0</v>
      </c>
      <c r="H91" s="11"/>
      <c r="J91" s="18"/>
      <c r="L91" s="18"/>
      <c r="M91" s="23"/>
    </row>
    <row r="92">
      <c r="A92" s="10" t="s">
        <v>110</v>
      </c>
      <c r="B92" s="17" t="s">
        <v>111</v>
      </c>
      <c r="C92" s="4" t="s">
        <v>3</v>
      </c>
      <c r="D92" s="5" t="s">
        <v>13</v>
      </c>
      <c r="E92" s="6" t="s">
        <v>124</v>
      </c>
      <c r="F92" s="7">
        <v>45165.0</v>
      </c>
      <c r="H92" s="11"/>
      <c r="J92" s="18"/>
      <c r="L92" s="18"/>
      <c r="M92" s="23"/>
    </row>
    <row r="93">
      <c r="A93" s="10" t="s">
        <v>110</v>
      </c>
      <c r="B93" s="17" t="s">
        <v>111</v>
      </c>
      <c r="C93" s="4" t="s">
        <v>3</v>
      </c>
      <c r="D93" s="5" t="s">
        <v>96</v>
      </c>
      <c r="E93" s="6" t="s">
        <v>125</v>
      </c>
      <c r="F93" s="7">
        <v>45184.0</v>
      </c>
      <c r="H93" s="11"/>
      <c r="J93" s="18"/>
      <c r="L93" s="18"/>
      <c r="M93" s="23"/>
    </row>
    <row r="94">
      <c r="A94" s="10" t="s">
        <v>110</v>
      </c>
      <c r="B94" s="17" t="s">
        <v>111</v>
      </c>
      <c r="C94" s="4" t="s">
        <v>3</v>
      </c>
      <c r="D94" s="5" t="s">
        <v>6</v>
      </c>
      <c r="E94" s="6" t="s">
        <v>126</v>
      </c>
      <c r="F94" s="7">
        <v>45187.0</v>
      </c>
      <c r="H94" s="11"/>
      <c r="J94" s="18"/>
      <c r="L94" s="18"/>
      <c r="M94" s="23"/>
    </row>
    <row r="95">
      <c r="A95" s="10" t="s">
        <v>110</v>
      </c>
      <c r="B95" s="17" t="s">
        <v>111</v>
      </c>
      <c r="C95" s="4" t="s">
        <v>8</v>
      </c>
      <c r="D95" s="5" t="s">
        <v>76</v>
      </c>
      <c r="E95" s="6" t="s">
        <v>127</v>
      </c>
      <c r="F95" s="7">
        <v>45233.0</v>
      </c>
      <c r="H95" s="11"/>
      <c r="J95" s="18"/>
      <c r="L95" s="18"/>
      <c r="M95" s="23"/>
    </row>
    <row r="96">
      <c r="A96" s="10" t="s">
        <v>110</v>
      </c>
      <c r="B96" s="17" t="s">
        <v>111</v>
      </c>
      <c r="C96" s="4" t="s">
        <v>3</v>
      </c>
      <c r="D96" s="5" t="s">
        <v>28</v>
      </c>
      <c r="E96" s="6" t="s">
        <v>128</v>
      </c>
      <c r="F96" s="7">
        <v>45239.0</v>
      </c>
      <c r="H96" s="11"/>
      <c r="J96" s="18"/>
      <c r="L96" s="18"/>
      <c r="M96" s="23"/>
    </row>
    <row r="97">
      <c r="A97" s="10" t="s">
        <v>110</v>
      </c>
      <c r="B97" s="17" t="s">
        <v>111</v>
      </c>
      <c r="C97" s="4" t="s">
        <v>3</v>
      </c>
      <c r="D97" s="5" t="s">
        <v>11</v>
      </c>
      <c r="E97" s="6" t="s">
        <v>129</v>
      </c>
      <c r="F97" s="7">
        <v>45241.0</v>
      </c>
      <c r="H97" s="11"/>
      <c r="J97" s="18"/>
      <c r="L97" s="18"/>
      <c r="M97" s="23"/>
    </row>
    <row r="98">
      <c r="A98" s="10" t="s">
        <v>110</v>
      </c>
      <c r="B98" s="17" t="s">
        <v>111</v>
      </c>
      <c r="C98" s="4" t="s">
        <v>8</v>
      </c>
      <c r="D98" s="5" t="s">
        <v>96</v>
      </c>
      <c r="E98" s="6" t="s">
        <v>130</v>
      </c>
      <c r="F98" s="7">
        <v>45258.0</v>
      </c>
      <c r="H98" s="11"/>
      <c r="J98" s="18"/>
      <c r="L98" s="18"/>
      <c r="M98" s="23"/>
    </row>
    <row r="99">
      <c r="A99" s="10" t="s">
        <v>110</v>
      </c>
      <c r="B99" s="17" t="s">
        <v>111</v>
      </c>
      <c r="C99" s="4" t="s">
        <v>3</v>
      </c>
      <c r="D99" s="5" t="s">
        <v>21</v>
      </c>
      <c r="E99" s="6" t="s">
        <v>131</v>
      </c>
      <c r="F99" s="7">
        <v>45261.0</v>
      </c>
      <c r="H99" s="11"/>
      <c r="J99" s="18"/>
      <c r="L99" s="18"/>
      <c r="M99" s="23"/>
    </row>
    <row r="100">
      <c r="A100" s="10" t="s">
        <v>110</v>
      </c>
      <c r="B100" s="17" t="s">
        <v>111</v>
      </c>
      <c r="C100" s="4" t="s">
        <v>8</v>
      </c>
      <c r="D100" s="5" t="s">
        <v>42</v>
      </c>
      <c r="E100" s="6" t="s">
        <v>132</v>
      </c>
      <c r="F100" s="7">
        <v>45274.0</v>
      </c>
      <c r="H100" s="11"/>
      <c r="J100" s="18"/>
      <c r="L100" s="18"/>
      <c r="M100" s="23"/>
    </row>
    <row r="101">
      <c r="A101" s="10" t="s">
        <v>133</v>
      </c>
      <c r="B101" s="17" t="s">
        <v>134</v>
      </c>
      <c r="C101" s="4" t="s">
        <v>3</v>
      </c>
      <c r="D101" s="5" t="s">
        <v>96</v>
      </c>
      <c r="E101" s="6" t="s">
        <v>135</v>
      </c>
      <c r="F101" s="7">
        <v>44947.0</v>
      </c>
      <c r="H101" s="11"/>
      <c r="J101" s="18"/>
      <c r="L101" s="18"/>
      <c r="M101" s="23"/>
    </row>
    <row r="102">
      <c r="A102" s="10" t="s">
        <v>133</v>
      </c>
      <c r="B102" s="17" t="s">
        <v>134</v>
      </c>
      <c r="C102" s="4" t="s">
        <v>3</v>
      </c>
      <c r="D102" s="5" t="s">
        <v>13</v>
      </c>
      <c r="E102" s="6" t="s">
        <v>136</v>
      </c>
      <c r="F102" s="7">
        <v>44967.0</v>
      </c>
      <c r="H102" s="11"/>
      <c r="J102" s="18"/>
      <c r="L102" s="18"/>
      <c r="M102" s="23"/>
    </row>
    <row r="103">
      <c r="A103" s="10" t="s">
        <v>133</v>
      </c>
      <c r="B103" s="17" t="s">
        <v>134</v>
      </c>
      <c r="C103" s="4" t="s">
        <v>3</v>
      </c>
      <c r="D103" s="5" t="s">
        <v>11</v>
      </c>
      <c r="E103" s="6" t="s">
        <v>137</v>
      </c>
      <c r="F103" s="7">
        <v>44968.0</v>
      </c>
      <c r="H103" s="11"/>
      <c r="J103" s="18"/>
      <c r="L103" s="18"/>
      <c r="M103" s="23"/>
    </row>
    <row r="104">
      <c r="A104" s="10" t="s">
        <v>133</v>
      </c>
      <c r="B104" s="17" t="s">
        <v>134</v>
      </c>
      <c r="C104" s="4" t="s">
        <v>8</v>
      </c>
      <c r="D104" s="5" t="s">
        <v>35</v>
      </c>
      <c r="E104" s="6" t="s">
        <v>138</v>
      </c>
      <c r="F104" s="7">
        <v>44981.0</v>
      </c>
      <c r="H104" s="11"/>
      <c r="J104" s="18"/>
      <c r="L104" s="18"/>
      <c r="M104" s="23"/>
    </row>
    <row r="105">
      <c r="A105" s="10" t="s">
        <v>133</v>
      </c>
      <c r="B105" s="17" t="s">
        <v>134</v>
      </c>
      <c r="C105" s="4" t="s">
        <v>3</v>
      </c>
      <c r="D105" s="5" t="s">
        <v>23</v>
      </c>
      <c r="E105" s="6" t="s">
        <v>139</v>
      </c>
      <c r="F105" s="7">
        <v>45001.0</v>
      </c>
      <c r="H105" s="11"/>
      <c r="J105" s="18"/>
      <c r="L105" s="18"/>
      <c r="M105" s="23"/>
    </row>
    <row r="106">
      <c r="A106" s="10" t="s">
        <v>133</v>
      </c>
      <c r="B106" s="17" t="s">
        <v>134</v>
      </c>
      <c r="C106" s="4" t="s">
        <v>3</v>
      </c>
      <c r="D106" s="5" t="s">
        <v>120</v>
      </c>
      <c r="E106" s="6" t="s">
        <v>140</v>
      </c>
      <c r="F106" s="7">
        <v>45023.0</v>
      </c>
      <c r="H106" s="11"/>
      <c r="J106" s="18"/>
      <c r="L106" s="18"/>
      <c r="M106" s="23"/>
    </row>
    <row r="107">
      <c r="A107" s="10" t="s">
        <v>133</v>
      </c>
      <c r="B107" s="17" t="s">
        <v>134</v>
      </c>
      <c r="C107" s="4" t="s">
        <v>8</v>
      </c>
      <c r="D107" s="5" t="s">
        <v>23</v>
      </c>
      <c r="E107" s="6" t="s">
        <v>141</v>
      </c>
      <c r="F107" s="7">
        <v>45028.0</v>
      </c>
      <c r="H107" s="11"/>
      <c r="J107" s="18"/>
      <c r="L107" s="18"/>
      <c r="M107" s="23"/>
    </row>
    <row r="108">
      <c r="A108" s="10" t="s">
        <v>133</v>
      </c>
      <c r="B108" s="17" t="s">
        <v>134</v>
      </c>
      <c r="C108" s="4" t="s">
        <v>8</v>
      </c>
      <c r="D108" s="5" t="s">
        <v>45</v>
      </c>
      <c r="E108" s="6" t="s">
        <v>142</v>
      </c>
      <c r="F108" s="7">
        <v>45097.0</v>
      </c>
      <c r="H108" s="11"/>
      <c r="J108" s="18"/>
      <c r="L108" s="18"/>
      <c r="M108" s="23"/>
    </row>
    <row r="109">
      <c r="A109" s="10" t="s">
        <v>133</v>
      </c>
      <c r="B109" s="17" t="s">
        <v>134</v>
      </c>
      <c r="C109" s="4" t="s">
        <v>8</v>
      </c>
      <c r="D109" s="5" t="s">
        <v>120</v>
      </c>
      <c r="E109" s="6" t="s">
        <v>143</v>
      </c>
      <c r="F109" s="7">
        <v>45100.0</v>
      </c>
      <c r="H109" s="11"/>
      <c r="J109" s="18"/>
      <c r="L109" s="18"/>
      <c r="M109" s="23"/>
    </row>
    <row r="110">
      <c r="A110" s="10" t="s">
        <v>133</v>
      </c>
      <c r="B110" s="17" t="s">
        <v>134</v>
      </c>
      <c r="C110" s="4" t="s">
        <v>3</v>
      </c>
      <c r="D110" s="5" t="s">
        <v>71</v>
      </c>
      <c r="E110" s="6" t="s">
        <v>144</v>
      </c>
      <c r="F110" s="7">
        <v>45148.0</v>
      </c>
      <c r="H110" s="11"/>
      <c r="J110" s="18"/>
      <c r="L110" s="18"/>
      <c r="M110" s="23"/>
    </row>
    <row r="111">
      <c r="A111" s="10" t="s">
        <v>133</v>
      </c>
      <c r="B111" s="17" t="s">
        <v>134</v>
      </c>
      <c r="C111" s="4" t="s">
        <v>8</v>
      </c>
      <c r="D111" s="5" t="s">
        <v>39</v>
      </c>
      <c r="E111" s="6" t="s">
        <v>145</v>
      </c>
      <c r="F111" s="7">
        <v>45153.0</v>
      </c>
      <c r="H111" s="11"/>
      <c r="J111" s="18"/>
      <c r="L111" s="18"/>
      <c r="M111" s="23"/>
    </row>
    <row r="112">
      <c r="A112" s="10" t="s">
        <v>133</v>
      </c>
      <c r="B112" s="17" t="s">
        <v>134</v>
      </c>
      <c r="C112" s="4" t="s">
        <v>8</v>
      </c>
      <c r="D112" s="5" t="s">
        <v>35</v>
      </c>
      <c r="E112" s="6" t="s">
        <v>146</v>
      </c>
      <c r="F112" s="7">
        <v>45157.0</v>
      </c>
      <c r="H112" s="11"/>
      <c r="J112" s="18"/>
      <c r="L112" s="18"/>
      <c r="M112" s="23"/>
    </row>
    <row r="113">
      <c r="A113" s="10" t="s">
        <v>133</v>
      </c>
      <c r="B113" s="17" t="s">
        <v>134</v>
      </c>
      <c r="C113" s="4" t="s">
        <v>8</v>
      </c>
      <c r="D113" s="5" t="s">
        <v>6</v>
      </c>
      <c r="E113" s="6" t="s">
        <v>147</v>
      </c>
      <c r="F113" s="7">
        <v>45170.0</v>
      </c>
      <c r="H113" s="11"/>
      <c r="J113" s="18"/>
      <c r="L113" s="18"/>
      <c r="M113" s="23"/>
    </row>
    <row r="114">
      <c r="A114" s="10" t="s">
        <v>133</v>
      </c>
      <c r="B114" s="17" t="s">
        <v>134</v>
      </c>
      <c r="C114" s="4" t="s">
        <v>8</v>
      </c>
      <c r="D114" s="5" t="s">
        <v>120</v>
      </c>
      <c r="E114" s="6" t="s">
        <v>148</v>
      </c>
      <c r="F114" s="7">
        <v>45178.0</v>
      </c>
      <c r="H114" s="11"/>
      <c r="J114" s="18"/>
      <c r="L114" s="18"/>
      <c r="M114" s="23"/>
    </row>
    <row r="115">
      <c r="A115" s="10" t="s">
        <v>133</v>
      </c>
      <c r="B115" s="17" t="s">
        <v>134</v>
      </c>
      <c r="C115" s="4" t="s">
        <v>8</v>
      </c>
      <c r="D115" s="5" t="s">
        <v>13</v>
      </c>
      <c r="E115" s="6" t="s">
        <v>149</v>
      </c>
      <c r="F115" s="7">
        <v>45182.0</v>
      </c>
      <c r="H115" s="11"/>
      <c r="J115" s="18"/>
      <c r="L115" s="18"/>
      <c r="M115" s="23"/>
    </row>
    <row r="116">
      <c r="A116" s="10" t="s">
        <v>133</v>
      </c>
      <c r="B116" s="17" t="s">
        <v>134</v>
      </c>
      <c r="C116" s="4" t="s">
        <v>8</v>
      </c>
      <c r="D116" s="5" t="s">
        <v>96</v>
      </c>
      <c r="E116" s="6" t="s">
        <v>150</v>
      </c>
      <c r="F116" s="7">
        <v>45195.0</v>
      </c>
      <c r="H116" s="11"/>
      <c r="J116" s="18"/>
      <c r="L116" s="18"/>
      <c r="M116" s="23"/>
    </row>
    <row r="117">
      <c r="A117" s="10" t="s">
        <v>133</v>
      </c>
      <c r="B117" s="17" t="s">
        <v>134</v>
      </c>
      <c r="C117" s="4" t="s">
        <v>8</v>
      </c>
      <c r="D117" s="5" t="s">
        <v>39</v>
      </c>
      <c r="E117" s="6" t="s">
        <v>151</v>
      </c>
      <c r="F117" s="7">
        <v>45211.0</v>
      </c>
      <c r="H117" s="11"/>
      <c r="J117" s="18"/>
      <c r="L117" s="18"/>
      <c r="M117" s="23"/>
    </row>
    <row r="118">
      <c r="A118" s="10" t="s">
        <v>133</v>
      </c>
      <c r="B118" s="17" t="s">
        <v>134</v>
      </c>
      <c r="C118" s="4" t="s">
        <v>3</v>
      </c>
      <c r="D118" s="5" t="s">
        <v>42</v>
      </c>
      <c r="E118" s="6" t="s">
        <v>152</v>
      </c>
      <c r="F118" s="7">
        <v>45218.0</v>
      </c>
      <c r="H118" s="11"/>
      <c r="J118" s="18"/>
      <c r="L118" s="18"/>
      <c r="M118" s="23"/>
    </row>
    <row r="119">
      <c r="A119" s="10" t="s">
        <v>133</v>
      </c>
      <c r="B119" s="17" t="s">
        <v>134</v>
      </c>
      <c r="C119" s="4" t="s">
        <v>3</v>
      </c>
      <c r="D119" s="5" t="s">
        <v>39</v>
      </c>
      <c r="E119" s="6" t="s">
        <v>153</v>
      </c>
      <c r="F119" s="7">
        <v>45278.0</v>
      </c>
      <c r="H119" s="11"/>
      <c r="J119" s="18"/>
      <c r="L119" s="18"/>
      <c r="M119" s="23"/>
    </row>
    <row r="120">
      <c r="A120" s="10" t="s">
        <v>133</v>
      </c>
      <c r="B120" s="17" t="s">
        <v>134</v>
      </c>
      <c r="C120" s="4" t="s">
        <v>3</v>
      </c>
      <c r="D120" s="5" t="s">
        <v>76</v>
      </c>
      <c r="E120" s="6" t="s">
        <v>154</v>
      </c>
      <c r="F120" s="7">
        <v>45284.0</v>
      </c>
      <c r="H120" s="11"/>
      <c r="J120" s="18"/>
      <c r="L120" s="18"/>
      <c r="M120" s="23"/>
    </row>
    <row r="121">
      <c r="A121" s="10" t="s">
        <v>155</v>
      </c>
      <c r="B121" s="17" t="s">
        <v>156</v>
      </c>
      <c r="C121" s="4" t="s">
        <v>3</v>
      </c>
      <c r="D121" s="5" t="s">
        <v>23</v>
      </c>
      <c r="E121" s="6" t="s">
        <v>157</v>
      </c>
      <c r="F121" s="7">
        <v>44934.0</v>
      </c>
      <c r="H121" s="11"/>
      <c r="J121" s="18"/>
      <c r="L121" s="18"/>
      <c r="M121" s="23"/>
    </row>
    <row r="122">
      <c r="A122" s="10" t="s">
        <v>155</v>
      </c>
      <c r="B122" s="17" t="s">
        <v>156</v>
      </c>
      <c r="C122" s="4" t="s">
        <v>8</v>
      </c>
      <c r="D122" s="5" t="s">
        <v>76</v>
      </c>
      <c r="E122" s="6" t="s">
        <v>158</v>
      </c>
      <c r="F122" s="7">
        <v>44939.0</v>
      </c>
      <c r="H122" s="11"/>
      <c r="J122" s="18"/>
      <c r="L122" s="18"/>
      <c r="M122" s="23"/>
    </row>
    <row r="123">
      <c r="A123" s="10" t="s">
        <v>155</v>
      </c>
      <c r="B123" s="17" t="s">
        <v>156</v>
      </c>
      <c r="C123" s="4" t="s">
        <v>8</v>
      </c>
      <c r="D123" s="5" t="s">
        <v>39</v>
      </c>
      <c r="E123" s="6" t="s">
        <v>159</v>
      </c>
      <c r="F123" s="7">
        <v>44978.0</v>
      </c>
      <c r="H123" s="11"/>
      <c r="J123" s="18"/>
      <c r="L123" s="18"/>
      <c r="M123" s="23"/>
    </row>
    <row r="124">
      <c r="A124" s="10" t="s">
        <v>155</v>
      </c>
      <c r="B124" s="17" t="s">
        <v>156</v>
      </c>
      <c r="C124" s="4" t="s">
        <v>3</v>
      </c>
      <c r="D124" s="5" t="s">
        <v>96</v>
      </c>
      <c r="E124" s="6" t="s">
        <v>160</v>
      </c>
      <c r="F124" s="7">
        <v>44984.0</v>
      </c>
      <c r="H124" s="11"/>
      <c r="J124" s="18"/>
      <c r="L124" s="18"/>
      <c r="M124" s="23"/>
    </row>
    <row r="125">
      <c r="A125" s="10" t="s">
        <v>155</v>
      </c>
      <c r="B125" s="17" t="s">
        <v>156</v>
      </c>
      <c r="C125" s="4" t="s">
        <v>8</v>
      </c>
      <c r="D125" s="5" t="s">
        <v>19</v>
      </c>
      <c r="E125" s="6" t="s">
        <v>161</v>
      </c>
      <c r="F125" s="7">
        <v>44987.0</v>
      </c>
      <c r="H125" s="11"/>
      <c r="J125" s="18"/>
      <c r="L125" s="18"/>
      <c r="M125" s="23"/>
    </row>
    <row r="126">
      <c r="A126" s="10" t="s">
        <v>155</v>
      </c>
      <c r="B126" s="17" t="s">
        <v>156</v>
      </c>
      <c r="C126" s="4" t="s">
        <v>8</v>
      </c>
      <c r="D126" s="5" t="s">
        <v>51</v>
      </c>
      <c r="E126" s="6" t="s">
        <v>162</v>
      </c>
      <c r="F126" s="7">
        <v>45013.0</v>
      </c>
      <c r="H126" s="11"/>
      <c r="J126" s="18"/>
      <c r="L126" s="18"/>
      <c r="M126" s="23"/>
    </row>
    <row r="127">
      <c r="A127" s="10" t="s">
        <v>155</v>
      </c>
      <c r="B127" s="17" t="s">
        <v>156</v>
      </c>
      <c r="C127" s="4" t="s">
        <v>8</v>
      </c>
      <c r="D127" s="5" t="s">
        <v>45</v>
      </c>
      <c r="E127" s="6" t="s">
        <v>163</v>
      </c>
      <c r="F127" s="7">
        <v>45019.0</v>
      </c>
      <c r="H127" s="11"/>
      <c r="J127" s="18"/>
      <c r="L127" s="18"/>
      <c r="M127" s="23"/>
    </row>
    <row r="128">
      <c r="A128" s="10" t="s">
        <v>155</v>
      </c>
      <c r="B128" s="17" t="s">
        <v>156</v>
      </c>
      <c r="C128" s="4" t="s">
        <v>8</v>
      </c>
      <c r="D128" s="5" t="s">
        <v>23</v>
      </c>
      <c r="E128" s="6" t="s">
        <v>164</v>
      </c>
      <c r="F128" s="7">
        <v>45035.0</v>
      </c>
      <c r="H128" s="11"/>
      <c r="J128" s="18"/>
      <c r="L128" s="18"/>
      <c r="M128" s="23"/>
    </row>
    <row r="129">
      <c r="A129" s="10" t="s">
        <v>155</v>
      </c>
      <c r="B129" s="17" t="s">
        <v>156</v>
      </c>
      <c r="C129" s="4" t="s">
        <v>3</v>
      </c>
      <c r="D129" s="5" t="s">
        <v>71</v>
      </c>
      <c r="E129" s="6" t="s">
        <v>165</v>
      </c>
      <c r="F129" s="7">
        <v>45050.0</v>
      </c>
      <c r="H129" s="11"/>
      <c r="J129" s="18"/>
      <c r="L129" s="18"/>
      <c r="M129" s="23"/>
    </row>
    <row r="130">
      <c r="A130" s="10" t="s">
        <v>155</v>
      </c>
      <c r="B130" s="17" t="s">
        <v>156</v>
      </c>
      <c r="C130" s="4" t="s">
        <v>8</v>
      </c>
      <c r="D130" s="5" t="s">
        <v>23</v>
      </c>
      <c r="E130" s="6" t="s">
        <v>166</v>
      </c>
      <c r="F130" s="7">
        <v>45058.0</v>
      </c>
      <c r="H130" s="11"/>
      <c r="J130" s="18"/>
      <c r="L130" s="18"/>
      <c r="M130" s="23"/>
    </row>
    <row r="131">
      <c r="A131" s="10" t="s">
        <v>155</v>
      </c>
      <c r="B131" s="17" t="s">
        <v>156</v>
      </c>
      <c r="C131" s="4" t="s">
        <v>8</v>
      </c>
      <c r="D131" s="5" t="s">
        <v>13</v>
      </c>
      <c r="E131" s="6" t="s">
        <v>167</v>
      </c>
      <c r="F131" s="7">
        <v>45074.0</v>
      </c>
      <c r="H131" s="11"/>
      <c r="J131" s="18"/>
      <c r="L131" s="18"/>
      <c r="M131" s="23"/>
    </row>
    <row r="132">
      <c r="A132" s="10" t="s">
        <v>155</v>
      </c>
      <c r="B132" s="17" t="s">
        <v>156</v>
      </c>
      <c r="C132" s="4" t="s">
        <v>8</v>
      </c>
      <c r="D132" s="5" t="s">
        <v>4</v>
      </c>
      <c r="E132" s="6" t="s">
        <v>168</v>
      </c>
      <c r="F132" s="7">
        <v>45100.0</v>
      </c>
      <c r="H132" s="11"/>
      <c r="J132" s="18"/>
      <c r="L132" s="18"/>
      <c r="M132" s="23"/>
    </row>
    <row r="133">
      <c r="A133" s="10" t="s">
        <v>155</v>
      </c>
      <c r="B133" s="17" t="s">
        <v>156</v>
      </c>
      <c r="C133" s="4" t="s">
        <v>3</v>
      </c>
      <c r="D133" s="5" t="s">
        <v>76</v>
      </c>
      <c r="E133" s="6" t="s">
        <v>169</v>
      </c>
      <c r="F133" s="7">
        <v>45188.0</v>
      </c>
      <c r="H133" s="11"/>
      <c r="J133" s="18"/>
      <c r="L133" s="18"/>
      <c r="M133" s="23"/>
    </row>
    <row r="134">
      <c r="A134" s="10" t="s">
        <v>155</v>
      </c>
      <c r="B134" s="17" t="s">
        <v>156</v>
      </c>
      <c r="C134" s="4" t="s">
        <v>3</v>
      </c>
      <c r="D134" s="5" t="s">
        <v>96</v>
      </c>
      <c r="E134" s="6" t="s">
        <v>170</v>
      </c>
      <c r="F134" s="7">
        <v>45200.0</v>
      </c>
      <c r="H134" s="11"/>
      <c r="J134" s="18"/>
      <c r="L134" s="18"/>
      <c r="M134" s="23"/>
    </row>
    <row r="135">
      <c r="A135" s="10" t="s">
        <v>155</v>
      </c>
      <c r="B135" s="17" t="s">
        <v>156</v>
      </c>
      <c r="C135" s="4" t="s">
        <v>8</v>
      </c>
      <c r="D135" s="5" t="s">
        <v>23</v>
      </c>
      <c r="E135" s="6" t="s">
        <v>171</v>
      </c>
      <c r="F135" s="7">
        <v>45200.0</v>
      </c>
      <c r="H135" s="11"/>
      <c r="J135" s="18"/>
      <c r="L135" s="18"/>
      <c r="M135" s="23"/>
    </row>
    <row r="136">
      <c r="A136" s="10" t="s">
        <v>155</v>
      </c>
      <c r="B136" s="17" t="s">
        <v>156</v>
      </c>
      <c r="C136" s="4" t="s">
        <v>8</v>
      </c>
      <c r="D136" s="5" t="s">
        <v>71</v>
      </c>
      <c r="E136" s="6" t="s">
        <v>172</v>
      </c>
      <c r="F136" s="7">
        <v>45213.0</v>
      </c>
      <c r="H136" s="11"/>
      <c r="J136" s="18"/>
      <c r="L136" s="18"/>
      <c r="M136" s="23"/>
    </row>
    <row r="137">
      <c r="A137" s="10" t="s">
        <v>155</v>
      </c>
      <c r="B137" s="17" t="s">
        <v>156</v>
      </c>
      <c r="C137" s="4" t="s">
        <v>3</v>
      </c>
      <c r="D137" s="5" t="s">
        <v>21</v>
      </c>
      <c r="E137" s="6" t="s">
        <v>173</v>
      </c>
      <c r="F137" s="7">
        <v>45246.0</v>
      </c>
      <c r="H137" s="11"/>
      <c r="J137" s="18"/>
      <c r="L137" s="18"/>
      <c r="M137" s="23"/>
    </row>
    <row r="138">
      <c r="A138" s="10" t="s">
        <v>155</v>
      </c>
      <c r="B138" s="17" t="s">
        <v>156</v>
      </c>
      <c r="C138" s="4" t="s">
        <v>8</v>
      </c>
      <c r="D138" s="5" t="s">
        <v>39</v>
      </c>
      <c r="E138" s="6" t="s">
        <v>174</v>
      </c>
      <c r="F138" s="7">
        <v>45257.0</v>
      </c>
      <c r="H138" s="11"/>
      <c r="J138" s="18"/>
      <c r="L138" s="18"/>
      <c r="M138" s="23"/>
    </row>
    <row r="139">
      <c r="A139" s="10" t="s">
        <v>155</v>
      </c>
      <c r="B139" s="17" t="s">
        <v>156</v>
      </c>
      <c r="C139" s="4" t="s">
        <v>8</v>
      </c>
      <c r="D139" s="5" t="s">
        <v>76</v>
      </c>
      <c r="E139" s="6" t="s">
        <v>175</v>
      </c>
      <c r="F139" s="7">
        <v>45261.0</v>
      </c>
      <c r="H139" s="11"/>
      <c r="J139" s="18"/>
      <c r="L139" s="18"/>
      <c r="M139" s="23"/>
    </row>
    <row r="140">
      <c r="A140" s="10" t="s">
        <v>155</v>
      </c>
      <c r="B140" s="17" t="s">
        <v>156</v>
      </c>
      <c r="C140" s="4" t="s">
        <v>8</v>
      </c>
      <c r="D140" s="5" t="s">
        <v>28</v>
      </c>
      <c r="E140" s="6" t="s">
        <v>176</v>
      </c>
      <c r="F140" s="7">
        <v>45286.0</v>
      </c>
      <c r="H140" s="11"/>
      <c r="J140" s="18"/>
      <c r="L140" s="18"/>
      <c r="M140" s="23"/>
    </row>
    <row r="141">
      <c r="A141" s="10" t="s">
        <v>177</v>
      </c>
      <c r="B141" s="17" t="s">
        <v>178</v>
      </c>
      <c r="C141" s="4" t="s">
        <v>8</v>
      </c>
      <c r="D141" s="5" t="s">
        <v>28</v>
      </c>
      <c r="E141" s="6" t="s">
        <v>179</v>
      </c>
      <c r="F141" s="7">
        <v>44932.0</v>
      </c>
      <c r="H141" s="11"/>
      <c r="J141" s="18"/>
      <c r="L141" s="18"/>
      <c r="M141" s="23"/>
    </row>
    <row r="142">
      <c r="A142" s="10" t="s">
        <v>177</v>
      </c>
      <c r="B142" s="17" t="s">
        <v>178</v>
      </c>
      <c r="C142" s="4" t="s">
        <v>3</v>
      </c>
      <c r="D142" s="5" t="s">
        <v>35</v>
      </c>
      <c r="E142" s="6" t="s">
        <v>180</v>
      </c>
      <c r="F142" s="7">
        <v>44982.0</v>
      </c>
      <c r="H142" s="11"/>
      <c r="J142" s="18"/>
      <c r="L142" s="18"/>
      <c r="M142" s="23"/>
    </row>
    <row r="143">
      <c r="A143" s="10" t="s">
        <v>177</v>
      </c>
      <c r="B143" s="17" t="s">
        <v>178</v>
      </c>
      <c r="C143" s="4" t="s">
        <v>3</v>
      </c>
      <c r="D143" s="5" t="s">
        <v>51</v>
      </c>
      <c r="E143" s="6" t="s">
        <v>181</v>
      </c>
      <c r="F143" s="7">
        <v>44985.0</v>
      </c>
      <c r="H143" s="11"/>
      <c r="J143" s="18"/>
      <c r="L143" s="18"/>
      <c r="M143" s="23"/>
    </row>
    <row r="144">
      <c r="A144" s="10" t="s">
        <v>177</v>
      </c>
      <c r="B144" s="17" t="s">
        <v>178</v>
      </c>
      <c r="C144" s="4" t="s">
        <v>3</v>
      </c>
      <c r="D144" s="5" t="s">
        <v>4</v>
      </c>
      <c r="E144" s="6" t="s">
        <v>182</v>
      </c>
      <c r="F144" s="7">
        <v>44985.0</v>
      </c>
      <c r="H144" s="11"/>
      <c r="J144" s="18"/>
      <c r="L144" s="18"/>
      <c r="M144" s="23"/>
    </row>
    <row r="145">
      <c r="A145" s="10" t="s">
        <v>177</v>
      </c>
      <c r="B145" s="17" t="s">
        <v>178</v>
      </c>
      <c r="C145" s="4" t="s">
        <v>3</v>
      </c>
      <c r="D145" s="5" t="s">
        <v>45</v>
      </c>
      <c r="E145" s="6" t="s">
        <v>183</v>
      </c>
      <c r="F145" s="7">
        <v>45008.0</v>
      </c>
      <c r="H145" s="11"/>
      <c r="J145" s="18"/>
      <c r="L145" s="18"/>
      <c r="M145" s="23"/>
    </row>
    <row r="146">
      <c r="A146" s="10" t="s">
        <v>177</v>
      </c>
      <c r="B146" s="17" t="s">
        <v>178</v>
      </c>
      <c r="C146" s="4" t="s">
        <v>8</v>
      </c>
      <c r="D146" s="5" t="s">
        <v>9</v>
      </c>
      <c r="E146" s="6" t="s">
        <v>184</v>
      </c>
      <c r="F146" s="7">
        <v>45081.0</v>
      </c>
      <c r="H146" s="11"/>
      <c r="J146" s="18"/>
      <c r="L146" s="18"/>
      <c r="M146" s="23"/>
    </row>
    <row r="147">
      <c r="A147" s="10" t="s">
        <v>177</v>
      </c>
      <c r="B147" s="17" t="s">
        <v>178</v>
      </c>
      <c r="C147" s="4" t="s">
        <v>8</v>
      </c>
      <c r="D147" s="5" t="s">
        <v>11</v>
      </c>
      <c r="E147" s="6" t="s">
        <v>185</v>
      </c>
      <c r="F147" s="7">
        <v>45087.0</v>
      </c>
      <c r="H147" s="11"/>
      <c r="J147" s="18"/>
      <c r="L147" s="18"/>
      <c r="M147" s="23"/>
    </row>
    <row r="148">
      <c r="A148" s="10" t="s">
        <v>177</v>
      </c>
      <c r="B148" s="17" t="s">
        <v>178</v>
      </c>
      <c r="C148" s="4" t="s">
        <v>8</v>
      </c>
      <c r="D148" s="5" t="s">
        <v>28</v>
      </c>
      <c r="E148" s="6" t="s">
        <v>186</v>
      </c>
      <c r="F148" s="7">
        <v>45089.0</v>
      </c>
      <c r="H148" s="11"/>
      <c r="J148" s="18"/>
      <c r="L148" s="18"/>
      <c r="M148" s="23"/>
    </row>
    <row r="149">
      <c r="A149" s="10" t="s">
        <v>177</v>
      </c>
      <c r="B149" s="17" t="s">
        <v>178</v>
      </c>
      <c r="C149" s="4" t="s">
        <v>8</v>
      </c>
      <c r="D149" s="5" t="s">
        <v>21</v>
      </c>
      <c r="E149" s="6" t="s">
        <v>187</v>
      </c>
      <c r="F149" s="7">
        <v>45101.0</v>
      </c>
      <c r="H149" s="11"/>
      <c r="J149" s="18"/>
      <c r="L149" s="18"/>
      <c r="M149" s="23"/>
    </row>
    <row r="150">
      <c r="A150" s="10" t="s">
        <v>177</v>
      </c>
      <c r="B150" s="17" t="s">
        <v>178</v>
      </c>
      <c r="C150" s="4" t="s">
        <v>3</v>
      </c>
      <c r="D150" s="5" t="s">
        <v>42</v>
      </c>
      <c r="E150" s="6" t="s">
        <v>188</v>
      </c>
      <c r="F150" s="7">
        <v>45111.0</v>
      </c>
      <c r="H150" s="11"/>
      <c r="J150" s="18"/>
      <c r="L150" s="18"/>
      <c r="M150" s="23"/>
    </row>
    <row r="151">
      <c r="A151" s="10" t="s">
        <v>177</v>
      </c>
      <c r="B151" s="17" t="s">
        <v>178</v>
      </c>
      <c r="C151" s="4" t="s">
        <v>3</v>
      </c>
      <c r="D151" s="5" t="s">
        <v>39</v>
      </c>
      <c r="E151" s="6" t="s">
        <v>189</v>
      </c>
      <c r="F151" s="7">
        <v>45129.0</v>
      </c>
      <c r="H151" s="11"/>
      <c r="J151" s="18"/>
      <c r="L151" s="18"/>
      <c r="M151" s="23"/>
    </row>
    <row r="152">
      <c r="A152" s="10" t="s">
        <v>177</v>
      </c>
      <c r="B152" s="17" t="s">
        <v>178</v>
      </c>
      <c r="C152" s="4" t="s">
        <v>3</v>
      </c>
      <c r="D152" s="5" t="s">
        <v>9</v>
      </c>
      <c r="E152" s="6" t="s">
        <v>190</v>
      </c>
      <c r="F152" s="7">
        <v>45149.0</v>
      </c>
      <c r="H152" s="11"/>
      <c r="J152" s="18"/>
      <c r="L152" s="18"/>
      <c r="M152" s="23"/>
    </row>
    <row r="153">
      <c r="A153" s="10" t="s">
        <v>177</v>
      </c>
      <c r="B153" s="17" t="s">
        <v>178</v>
      </c>
      <c r="C153" s="4" t="s">
        <v>3</v>
      </c>
      <c r="D153" s="5" t="s">
        <v>17</v>
      </c>
      <c r="E153" s="6" t="s">
        <v>191</v>
      </c>
      <c r="F153" s="7">
        <v>45186.0</v>
      </c>
      <c r="H153" s="11"/>
      <c r="J153" s="18"/>
      <c r="L153" s="18"/>
      <c r="M153" s="23"/>
    </row>
    <row r="154">
      <c r="A154" s="10" t="s">
        <v>177</v>
      </c>
      <c r="B154" s="17" t="s">
        <v>178</v>
      </c>
      <c r="C154" s="4" t="s">
        <v>8</v>
      </c>
      <c r="D154" s="5" t="s">
        <v>76</v>
      </c>
      <c r="E154" s="6" t="s">
        <v>192</v>
      </c>
      <c r="F154" s="7">
        <v>45205.0</v>
      </c>
      <c r="H154" s="11"/>
      <c r="J154" s="18"/>
      <c r="L154" s="18"/>
      <c r="M154" s="23"/>
    </row>
    <row r="155">
      <c r="A155" s="10" t="s">
        <v>177</v>
      </c>
      <c r="B155" s="17" t="s">
        <v>178</v>
      </c>
      <c r="C155" s="4" t="s">
        <v>8</v>
      </c>
      <c r="D155" s="5" t="s">
        <v>21</v>
      </c>
      <c r="E155" s="6" t="s">
        <v>193</v>
      </c>
      <c r="F155" s="7">
        <v>45205.0</v>
      </c>
      <c r="H155" s="11"/>
      <c r="J155" s="18"/>
      <c r="L155" s="18"/>
      <c r="M155" s="23"/>
    </row>
    <row r="156">
      <c r="A156" s="10" t="s">
        <v>177</v>
      </c>
      <c r="B156" s="17" t="s">
        <v>178</v>
      </c>
      <c r="C156" s="4" t="s">
        <v>3</v>
      </c>
      <c r="D156" s="5" t="s">
        <v>76</v>
      </c>
      <c r="E156" s="6" t="s">
        <v>194</v>
      </c>
      <c r="F156" s="7">
        <v>45223.0</v>
      </c>
      <c r="H156" s="11"/>
      <c r="J156" s="18"/>
      <c r="L156" s="18"/>
      <c r="M156" s="23"/>
    </row>
    <row r="157">
      <c r="A157" s="10" t="s">
        <v>177</v>
      </c>
      <c r="B157" s="17" t="s">
        <v>178</v>
      </c>
      <c r="C157" s="4" t="s">
        <v>8</v>
      </c>
      <c r="D157" s="5" t="s">
        <v>4</v>
      </c>
      <c r="E157" s="6" t="s">
        <v>195</v>
      </c>
      <c r="F157" s="7">
        <v>45234.0</v>
      </c>
      <c r="H157" s="11"/>
      <c r="J157" s="18"/>
      <c r="L157" s="18"/>
      <c r="M157" s="23"/>
    </row>
    <row r="158">
      <c r="A158" s="10" t="s">
        <v>177</v>
      </c>
      <c r="B158" s="17" t="s">
        <v>178</v>
      </c>
      <c r="C158" s="4" t="s">
        <v>8</v>
      </c>
      <c r="D158" s="5" t="s">
        <v>42</v>
      </c>
      <c r="E158" s="6" t="s">
        <v>196</v>
      </c>
      <c r="F158" s="7">
        <v>45238.0</v>
      </c>
      <c r="H158" s="11"/>
      <c r="J158" s="18"/>
      <c r="L158" s="18"/>
      <c r="M158" s="23"/>
    </row>
    <row r="159">
      <c r="A159" s="10" t="s">
        <v>177</v>
      </c>
      <c r="B159" s="17" t="s">
        <v>178</v>
      </c>
      <c r="C159" s="4" t="s">
        <v>8</v>
      </c>
      <c r="D159" s="5" t="s">
        <v>9</v>
      </c>
      <c r="E159" s="6" t="s">
        <v>197</v>
      </c>
      <c r="F159" s="7">
        <v>45244.0</v>
      </c>
      <c r="H159" s="11"/>
      <c r="J159" s="18"/>
      <c r="L159" s="18"/>
      <c r="M159" s="23"/>
    </row>
    <row r="160">
      <c r="A160" s="10" t="s">
        <v>177</v>
      </c>
      <c r="B160" s="17" t="s">
        <v>178</v>
      </c>
      <c r="C160" s="4" t="s">
        <v>8</v>
      </c>
      <c r="D160" s="5" t="s">
        <v>28</v>
      </c>
      <c r="E160" s="6" t="s">
        <v>198</v>
      </c>
      <c r="F160" s="7">
        <v>45249.0</v>
      </c>
      <c r="H160" s="11"/>
      <c r="J160" s="18"/>
      <c r="L160" s="18"/>
      <c r="M160" s="23"/>
    </row>
    <row r="161">
      <c r="A161" s="10" t="s">
        <v>199</v>
      </c>
      <c r="B161" s="17" t="s">
        <v>200</v>
      </c>
      <c r="C161" s="4" t="s">
        <v>3</v>
      </c>
      <c r="D161" s="5" t="s">
        <v>96</v>
      </c>
      <c r="E161" s="6" t="s">
        <v>201</v>
      </c>
      <c r="F161" s="7">
        <v>44959.0</v>
      </c>
      <c r="H161" s="11"/>
      <c r="J161" s="18"/>
      <c r="L161" s="18"/>
      <c r="M161" s="23"/>
    </row>
    <row r="162">
      <c r="A162" s="10" t="s">
        <v>199</v>
      </c>
      <c r="B162" s="17" t="s">
        <v>200</v>
      </c>
      <c r="C162" s="4" t="s">
        <v>8</v>
      </c>
      <c r="D162" s="5" t="s">
        <v>15</v>
      </c>
      <c r="E162" s="6" t="s">
        <v>202</v>
      </c>
      <c r="F162" s="7">
        <v>44969.0</v>
      </c>
      <c r="H162" s="11"/>
      <c r="J162" s="18"/>
      <c r="L162" s="18"/>
      <c r="M162" s="23"/>
    </row>
    <row r="163">
      <c r="A163" s="10" t="s">
        <v>199</v>
      </c>
      <c r="B163" s="17" t="s">
        <v>200</v>
      </c>
      <c r="C163" s="4" t="s">
        <v>8</v>
      </c>
      <c r="D163" s="5" t="s">
        <v>28</v>
      </c>
      <c r="E163" s="6" t="s">
        <v>203</v>
      </c>
      <c r="F163" s="7">
        <v>44979.0</v>
      </c>
      <c r="H163" s="11"/>
      <c r="J163" s="18"/>
      <c r="L163" s="18"/>
      <c r="M163" s="23"/>
    </row>
    <row r="164">
      <c r="A164" s="10" t="s">
        <v>199</v>
      </c>
      <c r="B164" s="17" t="s">
        <v>200</v>
      </c>
      <c r="C164" s="4" t="s">
        <v>3</v>
      </c>
      <c r="D164" s="5" t="s">
        <v>15</v>
      </c>
      <c r="E164" s="6" t="s">
        <v>204</v>
      </c>
      <c r="F164" s="7">
        <v>44984.0</v>
      </c>
      <c r="H164" s="11"/>
      <c r="J164" s="18"/>
      <c r="L164" s="18"/>
      <c r="M164" s="23"/>
    </row>
    <row r="165">
      <c r="A165" s="10" t="s">
        <v>199</v>
      </c>
      <c r="B165" s="17" t="s">
        <v>200</v>
      </c>
      <c r="C165" s="4" t="s">
        <v>3</v>
      </c>
      <c r="D165" s="5" t="s">
        <v>51</v>
      </c>
      <c r="E165" s="6" t="s">
        <v>205</v>
      </c>
      <c r="F165" s="7">
        <v>45001.0</v>
      </c>
      <c r="H165" s="11"/>
      <c r="J165" s="18"/>
      <c r="L165" s="18"/>
      <c r="M165" s="23"/>
    </row>
    <row r="166">
      <c r="A166" s="10" t="s">
        <v>199</v>
      </c>
      <c r="B166" s="17" t="s">
        <v>200</v>
      </c>
      <c r="C166" s="4" t="s">
        <v>8</v>
      </c>
      <c r="D166" s="5" t="s">
        <v>45</v>
      </c>
      <c r="E166" s="6" t="s">
        <v>206</v>
      </c>
      <c r="F166" s="7">
        <v>45050.0</v>
      </c>
      <c r="H166" s="11"/>
      <c r="J166" s="18"/>
      <c r="L166" s="18"/>
      <c r="M166" s="23"/>
    </row>
    <row r="167">
      <c r="A167" s="10" t="s">
        <v>199</v>
      </c>
      <c r="B167" s="17" t="s">
        <v>200</v>
      </c>
      <c r="C167" s="4" t="s">
        <v>3</v>
      </c>
      <c r="D167" s="5" t="s">
        <v>13</v>
      </c>
      <c r="E167" s="6" t="s">
        <v>207</v>
      </c>
      <c r="F167" s="7">
        <v>45053.0</v>
      </c>
      <c r="H167" s="11"/>
      <c r="J167" s="18"/>
      <c r="L167" s="18"/>
      <c r="M167" s="23"/>
    </row>
    <row r="168">
      <c r="A168" s="10" t="s">
        <v>199</v>
      </c>
      <c r="B168" s="17" t="s">
        <v>200</v>
      </c>
      <c r="C168" s="4" t="s">
        <v>8</v>
      </c>
      <c r="D168" s="5" t="s">
        <v>42</v>
      </c>
      <c r="E168" s="6" t="s">
        <v>208</v>
      </c>
      <c r="F168" s="7">
        <v>45058.0</v>
      </c>
      <c r="H168" s="11"/>
      <c r="J168" s="18"/>
      <c r="L168" s="18"/>
      <c r="M168" s="23"/>
    </row>
    <row r="169">
      <c r="A169" s="10" t="s">
        <v>199</v>
      </c>
      <c r="B169" s="17" t="s">
        <v>200</v>
      </c>
      <c r="C169" s="4" t="s">
        <v>8</v>
      </c>
      <c r="D169" s="5" t="s">
        <v>76</v>
      </c>
      <c r="E169" s="6" t="s">
        <v>209</v>
      </c>
      <c r="F169" s="7">
        <v>45069.0</v>
      </c>
      <c r="H169" s="11"/>
      <c r="J169" s="18"/>
      <c r="L169" s="18"/>
      <c r="M169" s="23"/>
    </row>
    <row r="170">
      <c r="A170" s="10" t="s">
        <v>199</v>
      </c>
      <c r="B170" s="17" t="s">
        <v>200</v>
      </c>
      <c r="C170" s="4" t="s">
        <v>3</v>
      </c>
      <c r="D170" s="5" t="s">
        <v>23</v>
      </c>
      <c r="E170" s="6" t="s">
        <v>210</v>
      </c>
      <c r="F170" s="7">
        <v>45131.0</v>
      </c>
      <c r="H170" s="11"/>
      <c r="J170" s="18"/>
      <c r="L170" s="18"/>
      <c r="M170" s="23"/>
    </row>
    <row r="171">
      <c r="A171" s="10" t="s">
        <v>199</v>
      </c>
      <c r="B171" s="17" t="s">
        <v>200</v>
      </c>
      <c r="C171" s="4" t="s">
        <v>8</v>
      </c>
      <c r="D171" s="5" t="s">
        <v>4</v>
      </c>
      <c r="E171" s="6" t="s">
        <v>211</v>
      </c>
      <c r="F171" s="7">
        <v>45144.0</v>
      </c>
      <c r="H171" s="11"/>
      <c r="J171" s="18"/>
      <c r="L171" s="18"/>
      <c r="M171" s="23"/>
    </row>
    <row r="172">
      <c r="A172" s="10" t="s">
        <v>199</v>
      </c>
      <c r="B172" s="17" t="s">
        <v>200</v>
      </c>
      <c r="C172" s="4" t="s">
        <v>3</v>
      </c>
      <c r="D172" s="5" t="s">
        <v>21</v>
      </c>
      <c r="E172" s="6" t="s">
        <v>212</v>
      </c>
      <c r="F172" s="7">
        <v>45151.0</v>
      </c>
      <c r="H172" s="11"/>
      <c r="J172" s="18"/>
      <c r="L172" s="18"/>
      <c r="M172" s="23"/>
    </row>
    <row r="173">
      <c r="A173" s="10" t="s">
        <v>199</v>
      </c>
      <c r="B173" s="17" t="s">
        <v>200</v>
      </c>
      <c r="C173" s="4" t="s">
        <v>8</v>
      </c>
      <c r="D173" s="5" t="s">
        <v>28</v>
      </c>
      <c r="E173" s="6" t="s">
        <v>213</v>
      </c>
      <c r="F173" s="7">
        <v>45160.0</v>
      </c>
      <c r="H173" s="11"/>
      <c r="J173" s="18"/>
      <c r="L173" s="18"/>
      <c r="M173" s="23"/>
    </row>
    <row r="174">
      <c r="A174" s="10" t="s">
        <v>199</v>
      </c>
      <c r="B174" s="17" t="s">
        <v>200</v>
      </c>
      <c r="C174" s="4" t="s">
        <v>3</v>
      </c>
      <c r="D174" s="5" t="s">
        <v>28</v>
      </c>
      <c r="E174" s="6" t="s">
        <v>214</v>
      </c>
      <c r="F174" s="7">
        <v>45183.0</v>
      </c>
      <c r="H174" s="11"/>
      <c r="J174" s="18"/>
      <c r="L174" s="18"/>
      <c r="M174" s="23"/>
    </row>
    <row r="175">
      <c r="A175" s="10" t="s">
        <v>199</v>
      </c>
      <c r="B175" s="17" t="s">
        <v>200</v>
      </c>
      <c r="C175" s="4" t="s">
        <v>8</v>
      </c>
      <c r="D175" s="5" t="s">
        <v>51</v>
      </c>
      <c r="E175" s="6" t="s">
        <v>215</v>
      </c>
      <c r="F175" s="7">
        <v>45212.0</v>
      </c>
      <c r="H175" s="11"/>
      <c r="J175" s="18"/>
      <c r="L175" s="18"/>
      <c r="M175" s="23"/>
    </row>
    <row r="176">
      <c r="A176" s="10" t="s">
        <v>199</v>
      </c>
      <c r="B176" s="17" t="s">
        <v>200</v>
      </c>
      <c r="C176" s="4" t="s">
        <v>8</v>
      </c>
      <c r="D176" s="5" t="s">
        <v>4</v>
      </c>
      <c r="E176" s="6" t="s">
        <v>216</v>
      </c>
      <c r="F176" s="7">
        <v>45247.0</v>
      </c>
      <c r="H176" s="11"/>
      <c r="J176" s="18"/>
      <c r="L176" s="18"/>
      <c r="M176" s="23"/>
    </row>
    <row r="177">
      <c r="A177" s="10" t="s">
        <v>199</v>
      </c>
      <c r="B177" s="17" t="s">
        <v>200</v>
      </c>
      <c r="C177" s="4" t="s">
        <v>3</v>
      </c>
      <c r="D177" s="5" t="s">
        <v>35</v>
      </c>
      <c r="E177" s="6" t="s">
        <v>217</v>
      </c>
      <c r="F177" s="7">
        <v>45258.0</v>
      </c>
      <c r="H177" s="11"/>
      <c r="J177" s="18"/>
      <c r="L177" s="18"/>
      <c r="M177" s="23"/>
    </row>
    <row r="178">
      <c r="A178" s="10" t="s">
        <v>199</v>
      </c>
      <c r="B178" s="17" t="s">
        <v>200</v>
      </c>
      <c r="C178" s="4" t="s">
        <v>8</v>
      </c>
      <c r="D178" s="5" t="s">
        <v>13</v>
      </c>
      <c r="E178" s="6" t="s">
        <v>218</v>
      </c>
      <c r="F178" s="7">
        <v>45278.0</v>
      </c>
      <c r="H178" s="11"/>
      <c r="J178" s="18"/>
      <c r="L178" s="18"/>
      <c r="M178" s="23"/>
    </row>
    <row r="179">
      <c r="A179" s="10" t="s">
        <v>199</v>
      </c>
      <c r="B179" s="17" t="s">
        <v>200</v>
      </c>
      <c r="C179" s="4" t="s">
        <v>3</v>
      </c>
      <c r="D179" s="5" t="s">
        <v>35</v>
      </c>
      <c r="E179" s="6" t="s">
        <v>219</v>
      </c>
      <c r="F179" s="7">
        <v>45278.0</v>
      </c>
      <c r="H179" s="11"/>
      <c r="J179" s="18"/>
      <c r="L179" s="18"/>
      <c r="M179" s="23"/>
    </row>
    <row r="180">
      <c r="A180" s="10" t="s">
        <v>199</v>
      </c>
      <c r="B180" s="17" t="s">
        <v>200</v>
      </c>
      <c r="C180" s="4" t="s">
        <v>3</v>
      </c>
      <c r="D180" s="5" t="s">
        <v>9</v>
      </c>
      <c r="E180" s="6" t="s">
        <v>220</v>
      </c>
      <c r="F180" s="7">
        <v>45280.0</v>
      </c>
      <c r="H180" s="11"/>
      <c r="J180" s="18"/>
      <c r="L180" s="18"/>
      <c r="M180" s="23"/>
    </row>
    <row r="181">
      <c r="A181" s="10" t="s">
        <v>221</v>
      </c>
      <c r="B181" s="17" t="s">
        <v>222</v>
      </c>
      <c r="C181" s="4" t="s">
        <v>8</v>
      </c>
      <c r="D181" s="5" t="s">
        <v>51</v>
      </c>
      <c r="E181" s="6" t="s">
        <v>223</v>
      </c>
      <c r="F181" s="7">
        <v>44940.0</v>
      </c>
      <c r="H181" s="11"/>
      <c r="J181" s="18"/>
      <c r="L181" s="18"/>
      <c r="M181" s="23"/>
    </row>
    <row r="182">
      <c r="A182" s="10" t="s">
        <v>221</v>
      </c>
      <c r="B182" s="17" t="s">
        <v>222</v>
      </c>
      <c r="C182" s="4" t="s">
        <v>8</v>
      </c>
      <c r="D182" s="5" t="s">
        <v>96</v>
      </c>
      <c r="E182" s="6" t="s">
        <v>224</v>
      </c>
      <c r="F182" s="7">
        <v>44979.0</v>
      </c>
      <c r="H182" s="11"/>
      <c r="J182" s="18"/>
      <c r="L182" s="18"/>
      <c r="M182" s="23"/>
    </row>
    <row r="183">
      <c r="A183" s="10" t="s">
        <v>221</v>
      </c>
      <c r="B183" s="17" t="s">
        <v>222</v>
      </c>
      <c r="C183" s="4" t="s">
        <v>3</v>
      </c>
      <c r="D183" s="5" t="s">
        <v>15</v>
      </c>
      <c r="E183" s="6" t="s">
        <v>225</v>
      </c>
      <c r="F183" s="7">
        <v>44979.0</v>
      </c>
      <c r="H183" s="11"/>
      <c r="J183" s="18"/>
      <c r="L183" s="18"/>
      <c r="M183" s="23"/>
    </row>
    <row r="184">
      <c r="A184" s="10" t="s">
        <v>221</v>
      </c>
      <c r="B184" s="17" t="s">
        <v>222</v>
      </c>
      <c r="C184" s="4" t="s">
        <v>3</v>
      </c>
      <c r="D184" s="5" t="s">
        <v>71</v>
      </c>
      <c r="E184" s="6" t="s">
        <v>226</v>
      </c>
      <c r="F184" s="7">
        <v>44981.0</v>
      </c>
      <c r="H184" s="11"/>
      <c r="J184" s="18"/>
      <c r="L184" s="18"/>
      <c r="M184" s="23"/>
    </row>
    <row r="185">
      <c r="A185" s="10" t="s">
        <v>221</v>
      </c>
      <c r="B185" s="17" t="s">
        <v>222</v>
      </c>
      <c r="C185" s="4" t="s">
        <v>8</v>
      </c>
      <c r="D185" s="5" t="s">
        <v>120</v>
      </c>
      <c r="E185" s="6" t="s">
        <v>227</v>
      </c>
      <c r="F185" s="7">
        <v>44988.0</v>
      </c>
      <c r="H185" s="11"/>
      <c r="J185" s="18"/>
      <c r="L185" s="18"/>
      <c r="M185" s="23"/>
    </row>
    <row r="186">
      <c r="A186" s="10" t="s">
        <v>221</v>
      </c>
      <c r="B186" s="17" t="s">
        <v>222</v>
      </c>
      <c r="C186" s="4" t="s">
        <v>8</v>
      </c>
      <c r="D186" s="5" t="s">
        <v>17</v>
      </c>
      <c r="E186" s="6" t="s">
        <v>228</v>
      </c>
      <c r="F186" s="7">
        <v>44990.0</v>
      </c>
      <c r="H186" s="11" t="str">
        <f>GOOGLEFINANCE("VALE, "atributo")")</f>
        <v>#ERROR!</v>
      </c>
      <c r="J186" s="18"/>
      <c r="L186" s="18"/>
      <c r="M186" s="23"/>
    </row>
    <row r="187">
      <c r="A187" s="10" t="s">
        <v>221</v>
      </c>
      <c r="B187" s="17" t="s">
        <v>222</v>
      </c>
      <c r="C187" s="4" t="s">
        <v>8</v>
      </c>
      <c r="D187" s="5" t="s">
        <v>19</v>
      </c>
      <c r="E187" s="6" t="s">
        <v>229</v>
      </c>
      <c r="F187" s="7">
        <v>45009.0</v>
      </c>
      <c r="H187" s="11"/>
      <c r="J187" s="18"/>
      <c r="L187" s="18"/>
      <c r="M187" s="23"/>
    </row>
    <row r="188">
      <c r="A188" s="10" t="s">
        <v>221</v>
      </c>
      <c r="B188" s="17" t="s">
        <v>222</v>
      </c>
      <c r="C188" s="4" t="s">
        <v>8</v>
      </c>
      <c r="D188" s="5" t="s">
        <v>4</v>
      </c>
      <c r="E188" s="6" t="s">
        <v>140</v>
      </c>
      <c r="F188" s="7">
        <v>45036.0</v>
      </c>
      <c r="H188" s="11"/>
      <c r="J188" s="18"/>
      <c r="L188" s="18"/>
      <c r="M188" s="23"/>
    </row>
    <row r="189">
      <c r="A189" s="10" t="s">
        <v>221</v>
      </c>
      <c r="B189" s="17" t="s">
        <v>222</v>
      </c>
      <c r="C189" s="4" t="s">
        <v>8</v>
      </c>
      <c r="D189" s="5" t="s">
        <v>120</v>
      </c>
      <c r="E189" s="6" t="s">
        <v>230</v>
      </c>
      <c r="F189" s="7">
        <v>45066.0</v>
      </c>
      <c r="H189" s="11"/>
      <c r="J189" s="18"/>
      <c r="L189" s="18"/>
      <c r="M189" s="23"/>
    </row>
    <row r="190">
      <c r="A190" s="10" t="s">
        <v>221</v>
      </c>
      <c r="B190" s="17" t="s">
        <v>222</v>
      </c>
      <c r="C190" s="4" t="s">
        <v>8</v>
      </c>
      <c r="D190" s="5" t="s">
        <v>4</v>
      </c>
      <c r="E190" s="6" t="s">
        <v>231</v>
      </c>
      <c r="F190" s="7">
        <v>45082.0</v>
      </c>
      <c r="H190" s="11"/>
      <c r="J190" s="18"/>
      <c r="L190" s="18"/>
      <c r="M190" s="23"/>
    </row>
    <row r="191">
      <c r="A191" s="10" t="s">
        <v>221</v>
      </c>
      <c r="B191" s="17" t="s">
        <v>222</v>
      </c>
      <c r="C191" s="4" t="s">
        <v>3</v>
      </c>
      <c r="D191" s="5" t="s">
        <v>76</v>
      </c>
      <c r="E191" s="6" t="s">
        <v>232</v>
      </c>
      <c r="F191" s="7">
        <v>45135.0</v>
      </c>
      <c r="H191" s="11"/>
      <c r="J191" s="18"/>
      <c r="L191" s="18"/>
      <c r="M191" s="23"/>
    </row>
    <row r="192">
      <c r="A192" s="10" t="s">
        <v>221</v>
      </c>
      <c r="B192" s="17" t="s">
        <v>222</v>
      </c>
      <c r="C192" s="4" t="s">
        <v>3</v>
      </c>
      <c r="D192" s="5" t="s">
        <v>39</v>
      </c>
      <c r="E192" s="6" t="s">
        <v>233</v>
      </c>
      <c r="F192" s="7">
        <v>45152.0</v>
      </c>
      <c r="H192" s="11"/>
      <c r="J192" s="18"/>
      <c r="L192" s="18"/>
      <c r="M192" s="23"/>
    </row>
    <row r="193">
      <c r="A193" s="10" t="s">
        <v>221</v>
      </c>
      <c r="B193" s="17" t="s">
        <v>222</v>
      </c>
      <c r="C193" s="4" t="s">
        <v>3</v>
      </c>
      <c r="D193" s="5" t="s">
        <v>21</v>
      </c>
      <c r="E193" s="6" t="s">
        <v>234</v>
      </c>
      <c r="F193" s="7">
        <v>45156.0</v>
      </c>
      <c r="H193" s="11"/>
      <c r="J193" s="18"/>
      <c r="L193" s="18"/>
      <c r="M193" s="23"/>
    </row>
    <row r="194">
      <c r="A194" s="10" t="s">
        <v>221</v>
      </c>
      <c r="B194" s="17" t="s">
        <v>222</v>
      </c>
      <c r="C194" s="4" t="s">
        <v>3</v>
      </c>
      <c r="D194" s="5" t="s">
        <v>15</v>
      </c>
      <c r="E194" s="6" t="s">
        <v>235</v>
      </c>
      <c r="F194" s="7">
        <v>45162.0</v>
      </c>
      <c r="H194" s="11"/>
      <c r="J194" s="18"/>
      <c r="L194" s="18"/>
      <c r="M194" s="23"/>
    </row>
    <row r="195">
      <c r="A195" s="10" t="s">
        <v>221</v>
      </c>
      <c r="B195" s="17" t="s">
        <v>222</v>
      </c>
      <c r="C195" s="4" t="s">
        <v>8</v>
      </c>
      <c r="D195" s="5" t="s">
        <v>76</v>
      </c>
      <c r="E195" s="6" t="s">
        <v>236</v>
      </c>
      <c r="F195" s="7">
        <v>45180.0</v>
      </c>
      <c r="H195" s="11"/>
      <c r="J195" s="18"/>
      <c r="L195" s="18"/>
      <c r="M195" s="23"/>
    </row>
    <row r="196">
      <c r="A196" s="10" t="s">
        <v>221</v>
      </c>
      <c r="B196" s="17" t="s">
        <v>222</v>
      </c>
      <c r="C196" s="4" t="s">
        <v>8</v>
      </c>
      <c r="D196" s="5" t="s">
        <v>71</v>
      </c>
      <c r="E196" s="6" t="s">
        <v>237</v>
      </c>
      <c r="F196" s="7">
        <v>45206.0</v>
      </c>
      <c r="H196" s="11"/>
      <c r="J196" s="18"/>
      <c r="L196" s="18"/>
      <c r="M196" s="23"/>
    </row>
    <row r="197">
      <c r="A197" s="10" t="s">
        <v>221</v>
      </c>
      <c r="B197" s="17" t="s">
        <v>222</v>
      </c>
      <c r="C197" s="4" t="s">
        <v>8</v>
      </c>
      <c r="D197" s="5" t="s">
        <v>23</v>
      </c>
      <c r="E197" s="6" t="s">
        <v>238</v>
      </c>
      <c r="F197" s="7">
        <v>45213.0</v>
      </c>
      <c r="H197" s="11"/>
      <c r="J197" s="18"/>
      <c r="L197" s="18"/>
      <c r="M197" s="23"/>
    </row>
    <row r="198">
      <c r="A198" s="10" t="s">
        <v>221</v>
      </c>
      <c r="B198" s="17" t="s">
        <v>222</v>
      </c>
      <c r="C198" s="4" t="s">
        <v>8</v>
      </c>
      <c r="D198" s="5" t="s">
        <v>120</v>
      </c>
      <c r="E198" s="6" t="s">
        <v>239</v>
      </c>
      <c r="F198" s="7">
        <v>45237.0</v>
      </c>
      <c r="H198" s="11"/>
      <c r="J198" s="18"/>
      <c r="L198" s="18"/>
      <c r="M198" s="23"/>
    </row>
    <row r="199">
      <c r="A199" s="10" t="s">
        <v>221</v>
      </c>
      <c r="B199" s="17" t="s">
        <v>222</v>
      </c>
      <c r="C199" s="4" t="s">
        <v>3</v>
      </c>
      <c r="D199" s="5" t="s">
        <v>23</v>
      </c>
      <c r="E199" s="6" t="s">
        <v>240</v>
      </c>
      <c r="F199" s="7">
        <v>45277.0</v>
      </c>
      <c r="H199" s="11"/>
      <c r="J199" s="18"/>
      <c r="L199" s="18"/>
      <c r="M199" s="23"/>
    </row>
    <row r="200">
      <c r="A200" s="10" t="s">
        <v>221</v>
      </c>
      <c r="B200" s="17" t="s">
        <v>222</v>
      </c>
      <c r="C200" s="4" t="s">
        <v>8</v>
      </c>
      <c r="D200" s="5" t="s">
        <v>9</v>
      </c>
      <c r="E200" s="6" t="s">
        <v>241</v>
      </c>
      <c r="F200" s="7">
        <v>45281.0</v>
      </c>
      <c r="H200" s="11"/>
      <c r="J200" s="18"/>
      <c r="L200" s="18"/>
      <c r="M200" s="23"/>
    </row>
    <row r="201">
      <c r="A201" s="10" t="s">
        <v>242</v>
      </c>
      <c r="B201" s="17" t="s">
        <v>243</v>
      </c>
      <c r="C201" s="4" t="s">
        <v>8</v>
      </c>
      <c r="D201" s="5" t="s">
        <v>45</v>
      </c>
      <c r="E201" s="6" t="s">
        <v>244</v>
      </c>
      <c r="F201" s="7">
        <v>44971.0</v>
      </c>
      <c r="H201" s="11"/>
      <c r="J201" s="18"/>
      <c r="L201" s="18"/>
      <c r="M201" s="23"/>
    </row>
    <row r="202">
      <c r="A202" s="10" t="s">
        <v>242</v>
      </c>
      <c r="B202" s="17" t="s">
        <v>243</v>
      </c>
      <c r="C202" s="4" t="s">
        <v>3</v>
      </c>
      <c r="D202" s="5" t="s">
        <v>96</v>
      </c>
      <c r="E202" s="6" t="s">
        <v>245</v>
      </c>
      <c r="F202" s="7">
        <v>45003.0</v>
      </c>
      <c r="H202" s="11"/>
      <c r="J202" s="18"/>
      <c r="L202" s="18"/>
      <c r="M202" s="23"/>
    </row>
    <row r="203">
      <c r="A203" s="10" t="s">
        <v>242</v>
      </c>
      <c r="B203" s="17" t="s">
        <v>243</v>
      </c>
      <c r="C203" s="4" t="s">
        <v>3</v>
      </c>
      <c r="D203" s="5" t="s">
        <v>23</v>
      </c>
      <c r="E203" s="6" t="s">
        <v>246</v>
      </c>
      <c r="F203" s="7">
        <v>45011.0</v>
      </c>
      <c r="H203" s="11"/>
      <c r="J203" s="18"/>
      <c r="L203" s="18"/>
      <c r="M203" s="23"/>
    </row>
    <row r="204">
      <c r="A204" s="10" t="s">
        <v>242</v>
      </c>
      <c r="B204" s="17" t="s">
        <v>243</v>
      </c>
      <c r="C204" s="4" t="s">
        <v>8</v>
      </c>
      <c r="D204" s="5" t="s">
        <v>120</v>
      </c>
      <c r="E204" s="6" t="s">
        <v>247</v>
      </c>
      <c r="F204" s="7">
        <v>45055.0</v>
      </c>
      <c r="H204" s="11"/>
      <c r="J204" s="18"/>
      <c r="L204" s="18"/>
      <c r="M204" s="23"/>
    </row>
    <row r="205">
      <c r="A205" s="10" t="s">
        <v>242</v>
      </c>
      <c r="B205" s="17" t="s">
        <v>243</v>
      </c>
      <c r="C205" s="4" t="s">
        <v>3</v>
      </c>
      <c r="D205" s="5" t="s">
        <v>21</v>
      </c>
      <c r="E205" s="6" t="s">
        <v>248</v>
      </c>
      <c r="F205" s="7">
        <v>45089.0</v>
      </c>
      <c r="H205" s="11"/>
      <c r="J205" s="18"/>
      <c r="L205" s="18"/>
      <c r="M205" s="23"/>
    </row>
    <row r="206">
      <c r="A206" s="10" t="s">
        <v>242</v>
      </c>
      <c r="B206" s="17" t="s">
        <v>243</v>
      </c>
      <c r="C206" s="4" t="s">
        <v>8</v>
      </c>
      <c r="D206" s="5" t="s">
        <v>15</v>
      </c>
      <c r="E206" s="6" t="s">
        <v>249</v>
      </c>
      <c r="F206" s="7">
        <v>45121.0</v>
      </c>
      <c r="H206" s="11"/>
      <c r="J206" s="18"/>
      <c r="L206" s="18"/>
      <c r="M206" s="23"/>
    </row>
    <row r="207">
      <c r="A207" s="10" t="s">
        <v>242</v>
      </c>
      <c r="B207" s="17" t="s">
        <v>243</v>
      </c>
      <c r="C207" s="4" t="s">
        <v>8</v>
      </c>
      <c r="D207" s="5" t="s">
        <v>17</v>
      </c>
      <c r="E207" s="6" t="s">
        <v>248</v>
      </c>
      <c r="F207" s="7">
        <v>45121.0</v>
      </c>
      <c r="H207" s="11"/>
      <c r="J207" s="18"/>
      <c r="L207" s="18"/>
      <c r="M207" s="23"/>
    </row>
    <row r="208">
      <c r="A208" s="10" t="s">
        <v>242</v>
      </c>
      <c r="B208" s="17" t="s">
        <v>243</v>
      </c>
      <c r="C208" s="4" t="s">
        <v>3</v>
      </c>
      <c r="D208" s="5" t="s">
        <v>96</v>
      </c>
      <c r="E208" s="6" t="s">
        <v>250</v>
      </c>
      <c r="F208" s="7">
        <v>45148.0</v>
      </c>
      <c r="H208" s="11"/>
      <c r="J208" s="18"/>
      <c r="L208" s="18"/>
      <c r="M208" s="23"/>
    </row>
    <row r="209">
      <c r="A209" s="10" t="s">
        <v>242</v>
      </c>
      <c r="B209" s="17" t="s">
        <v>243</v>
      </c>
      <c r="C209" s="4" t="s">
        <v>8</v>
      </c>
      <c r="D209" s="5" t="s">
        <v>23</v>
      </c>
      <c r="E209" s="6" t="s">
        <v>251</v>
      </c>
      <c r="F209" s="7">
        <v>45185.0</v>
      </c>
      <c r="H209" s="11"/>
      <c r="J209" s="18"/>
      <c r="L209" s="18"/>
      <c r="M209" s="23"/>
    </row>
    <row r="210">
      <c r="A210" s="10" t="s">
        <v>242</v>
      </c>
      <c r="B210" s="17" t="s">
        <v>243</v>
      </c>
      <c r="C210" s="4" t="s">
        <v>3</v>
      </c>
      <c r="D210" s="5" t="s">
        <v>35</v>
      </c>
      <c r="E210" s="6" t="s">
        <v>252</v>
      </c>
      <c r="F210" s="7">
        <v>45187.0</v>
      </c>
      <c r="H210" s="11"/>
      <c r="J210" s="18"/>
      <c r="L210" s="18"/>
      <c r="M210" s="23"/>
    </row>
    <row r="211">
      <c r="A211" s="10" t="s">
        <v>242</v>
      </c>
      <c r="B211" s="17" t="s">
        <v>243</v>
      </c>
      <c r="C211" s="4" t="s">
        <v>8</v>
      </c>
      <c r="D211" s="5" t="s">
        <v>76</v>
      </c>
      <c r="E211" s="6" t="s">
        <v>253</v>
      </c>
      <c r="F211" s="7">
        <v>45210.0</v>
      </c>
      <c r="H211" s="11"/>
      <c r="J211" s="18"/>
      <c r="L211" s="18"/>
      <c r="M211" s="23"/>
    </row>
    <row r="212">
      <c r="A212" s="10" t="s">
        <v>242</v>
      </c>
      <c r="B212" s="17" t="s">
        <v>243</v>
      </c>
      <c r="C212" s="4" t="s">
        <v>3</v>
      </c>
      <c r="D212" s="5" t="s">
        <v>96</v>
      </c>
      <c r="E212" s="6" t="s">
        <v>254</v>
      </c>
      <c r="F212" s="7">
        <v>45211.0</v>
      </c>
      <c r="H212" s="11"/>
      <c r="J212" s="18"/>
      <c r="L212" s="18"/>
      <c r="M212" s="23"/>
    </row>
    <row r="213">
      <c r="A213" s="10" t="s">
        <v>242</v>
      </c>
      <c r="B213" s="17" t="s">
        <v>243</v>
      </c>
      <c r="C213" s="4" t="s">
        <v>8</v>
      </c>
      <c r="D213" s="5" t="s">
        <v>96</v>
      </c>
      <c r="E213" s="6" t="s">
        <v>255</v>
      </c>
      <c r="F213" s="7">
        <v>45226.0</v>
      </c>
      <c r="H213" s="11"/>
      <c r="J213" s="18"/>
      <c r="L213" s="18"/>
      <c r="M213" s="23"/>
    </row>
    <row r="214">
      <c r="A214" s="10" t="s">
        <v>242</v>
      </c>
      <c r="B214" s="17" t="s">
        <v>243</v>
      </c>
      <c r="C214" s="4" t="s">
        <v>3</v>
      </c>
      <c r="D214" s="5" t="s">
        <v>17</v>
      </c>
      <c r="E214" s="6" t="s">
        <v>256</v>
      </c>
      <c r="F214" s="7">
        <v>45233.0</v>
      </c>
      <c r="H214" s="11"/>
      <c r="J214" s="18"/>
      <c r="L214" s="18"/>
      <c r="M214" s="23"/>
    </row>
    <row r="215">
      <c r="A215" s="10" t="s">
        <v>242</v>
      </c>
      <c r="B215" s="17" t="s">
        <v>243</v>
      </c>
      <c r="C215" s="4" t="s">
        <v>3</v>
      </c>
      <c r="D215" s="5" t="s">
        <v>17</v>
      </c>
      <c r="E215" s="6" t="s">
        <v>257</v>
      </c>
      <c r="F215" s="7">
        <v>45239.0</v>
      </c>
      <c r="H215" s="11"/>
      <c r="J215" s="18"/>
      <c r="L215" s="18"/>
      <c r="M215" s="23"/>
    </row>
    <row r="216">
      <c r="A216" s="10" t="s">
        <v>242</v>
      </c>
      <c r="B216" s="17" t="s">
        <v>243</v>
      </c>
      <c r="C216" s="4" t="s">
        <v>8</v>
      </c>
      <c r="D216" s="5" t="s">
        <v>13</v>
      </c>
      <c r="E216" s="6" t="s">
        <v>258</v>
      </c>
      <c r="F216" s="7">
        <v>45245.0</v>
      </c>
      <c r="H216" s="11"/>
      <c r="J216" s="18"/>
      <c r="L216" s="18"/>
      <c r="M216" s="23"/>
    </row>
    <row r="217">
      <c r="A217" s="10" t="s">
        <v>242</v>
      </c>
      <c r="B217" s="17" t="s">
        <v>243</v>
      </c>
      <c r="C217" s="4" t="s">
        <v>8</v>
      </c>
      <c r="D217" s="5" t="s">
        <v>120</v>
      </c>
      <c r="E217" s="6" t="s">
        <v>259</v>
      </c>
      <c r="F217" s="7">
        <v>45264.0</v>
      </c>
      <c r="H217" s="11" t="str">
        <f>GOOGLEFINANCE("VALE", "atributo")</f>
        <v>#ERROR!</v>
      </c>
      <c r="J217" s="18"/>
      <c r="L217" s="18"/>
      <c r="M217" s="23"/>
    </row>
    <row r="218">
      <c r="A218" s="10" t="s">
        <v>242</v>
      </c>
      <c r="B218" s="17" t="s">
        <v>243</v>
      </c>
      <c r="C218" s="4" t="s">
        <v>8</v>
      </c>
      <c r="D218" s="5" t="s">
        <v>120</v>
      </c>
      <c r="E218" s="6" t="s">
        <v>260</v>
      </c>
      <c r="F218" s="7">
        <v>45280.0</v>
      </c>
      <c r="H218" s="11"/>
      <c r="J218" s="18"/>
      <c r="L218" s="18"/>
      <c r="M218" s="23"/>
    </row>
    <row r="219">
      <c r="A219" s="10" t="s">
        <v>242</v>
      </c>
      <c r="B219" s="17" t="s">
        <v>243</v>
      </c>
      <c r="C219" s="4" t="s">
        <v>8</v>
      </c>
      <c r="D219" s="5" t="s">
        <v>17</v>
      </c>
      <c r="E219" s="6" t="s">
        <v>261</v>
      </c>
      <c r="F219" s="7">
        <v>45283.0</v>
      </c>
      <c r="H219" s="11"/>
      <c r="J219" s="18"/>
      <c r="L219" s="18"/>
      <c r="M219" s="23"/>
    </row>
    <row r="220">
      <c r="A220" s="10" t="s">
        <v>242</v>
      </c>
      <c r="B220" s="17" t="s">
        <v>243</v>
      </c>
      <c r="C220" s="4" t="s">
        <v>3</v>
      </c>
      <c r="D220" s="5" t="s">
        <v>45</v>
      </c>
      <c r="E220" s="6" t="s">
        <v>262</v>
      </c>
      <c r="F220" s="7">
        <v>45286.0</v>
      </c>
      <c r="H220" s="11"/>
      <c r="J220" s="18"/>
      <c r="L220" s="18"/>
      <c r="M220" s="23"/>
    </row>
    <row r="221">
      <c r="A221" s="10" t="s">
        <v>263</v>
      </c>
      <c r="B221" s="17" t="s">
        <v>264</v>
      </c>
      <c r="C221" s="4" t="s">
        <v>8</v>
      </c>
      <c r="D221" s="5" t="s">
        <v>28</v>
      </c>
      <c r="E221" s="6" t="s">
        <v>265</v>
      </c>
      <c r="F221" s="7">
        <v>44948.0</v>
      </c>
      <c r="H221" s="11"/>
      <c r="J221" s="18"/>
      <c r="L221" s="18"/>
      <c r="M221" s="23"/>
    </row>
    <row r="222">
      <c r="A222" s="10" t="s">
        <v>263</v>
      </c>
      <c r="B222" s="17" t="s">
        <v>264</v>
      </c>
      <c r="C222" s="4" t="s">
        <v>8</v>
      </c>
      <c r="D222" s="5" t="s">
        <v>71</v>
      </c>
      <c r="E222" s="6" t="s">
        <v>266</v>
      </c>
      <c r="F222" s="7">
        <v>44992.0</v>
      </c>
      <c r="H222" s="11"/>
      <c r="J222" s="18"/>
      <c r="L222" s="18"/>
      <c r="M222" s="23"/>
    </row>
    <row r="223">
      <c r="A223" s="10" t="s">
        <v>263</v>
      </c>
      <c r="B223" s="17" t="s">
        <v>264</v>
      </c>
      <c r="C223" s="4" t="s">
        <v>3</v>
      </c>
      <c r="D223" s="5" t="s">
        <v>35</v>
      </c>
      <c r="E223" s="6" t="s">
        <v>267</v>
      </c>
      <c r="F223" s="7">
        <v>45018.0</v>
      </c>
      <c r="H223" s="11"/>
      <c r="J223" s="18"/>
      <c r="L223" s="18"/>
      <c r="M223" s="23"/>
    </row>
    <row r="224">
      <c r="A224" s="10" t="s">
        <v>263</v>
      </c>
      <c r="B224" s="17" t="s">
        <v>264</v>
      </c>
      <c r="C224" s="4" t="s">
        <v>8</v>
      </c>
      <c r="D224" s="5" t="s">
        <v>4</v>
      </c>
      <c r="E224" s="6" t="s">
        <v>268</v>
      </c>
      <c r="F224" s="7">
        <v>45019.0</v>
      </c>
      <c r="H224" s="11"/>
      <c r="J224" s="18"/>
      <c r="L224" s="18"/>
      <c r="M224" s="23"/>
    </row>
    <row r="225">
      <c r="A225" s="10" t="s">
        <v>263</v>
      </c>
      <c r="B225" s="17" t="s">
        <v>264</v>
      </c>
      <c r="C225" s="4" t="s">
        <v>8</v>
      </c>
      <c r="D225" s="5" t="s">
        <v>35</v>
      </c>
      <c r="E225" s="6" t="s">
        <v>269</v>
      </c>
      <c r="F225" s="7">
        <v>45026.0</v>
      </c>
      <c r="H225" s="11"/>
      <c r="J225" s="18"/>
      <c r="L225" s="18"/>
      <c r="M225" s="23"/>
    </row>
    <row r="226">
      <c r="A226" s="10" t="s">
        <v>263</v>
      </c>
      <c r="B226" s="17" t="s">
        <v>264</v>
      </c>
      <c r="C226" s="4" t="s">
        <v>3</v>
      </c>
      <c r="D226" s="5" t="s">
        <v>76</v>
      </c>
      <c r="E226" s="6" t="s">
        <v>270</v>
      </c>
      <c r="F226" s="7">
        <v>45041.0</v>
      </c>
      <c r="H226" s="11"/>
      <c r="J226" s="18"/>
      <c r="L226" s="18"/>
      <c r="M226" s="23"/>
    </row>
    <row r="227">
      <c r="A227" s="10" t="s">
        <v>263</v>
      </c>
      <c r="B227" s="17" t="s">
        <v>264</v>
      </c>
      <c r="C227" s="4" t="s">
        <v>8</v>
      </c>
      <c r="D227" s="5" t="s">
        <v>9</v>
      </c>
      <c r="E227" s="6" t="s">
        <v>179</v>
      </c>
      <c r="F227" s="7">
        <v>45049.0</v>
      </c>
      <c r="H227" s="11"/>
      <c r="J227" s="18"/>
      <c r="L227" s="18"/>
      <c r="M227" s="23"/>
    </row>
    <row r="228">
      <c r="A228" s="10" t="s">
        <v>263</v>
      </c>
      <c r="B228" s="17" t="s">
        <v>264</v>
      </c>
      <c r="C228" s="4" t="s">
        <v>8</v>
      </c>
      <c r="D228" s="5" t="s">
        <v>19</v>
      </c>
      <c r="E228" s="6" t="s">
        <v>271</v>
      </c>
      <c r="F228" s="7">
        <v>45059.0</v>
      </c>
      <c r="H228" s="11"/>
      <c r="J228" s="18"/>
      <c r="L228" s="18"/>
      <c r="M228" s="23"/>
    </row>
    <row r="229">
      <c r="A229" s="10" t="s">
        <v>263</v>
      </c>
      <c r="B229" s="17" t="s">
        <v>264</v>
      </c>
      <c r="C229" s="4" t="s">
        <v>8</v>
      </c>
      <c r="D229" s="5" t="s">
        <v>6</v>
      </c>
      <c r="E229" s="6" t="s">
        <v>272</v>
      </c>
      <c r="F229" s="7">
        <v>45070.0</v>
      </c>
      <c r="H229" s="11"/>
      <c r="J229" s="18"/>
      <c r="L229" s="18"/>
      <c r="M229" s="23"/>
    </row>
    <row r="230">
      <c r="A230" s="10" t="s">
        <v>263</v>
      </c>
      <c r="B230" s="17" t="s">
        <v>264</v>
      </c>
      <c r="C230" s="4" t="s">
        <v>8</v>
      </c>
      <c r="D230" s="5" t="s">
        <v>9</v>
      </c>
      <c r="E230" s="6" t="s">
        <v>273</v>
      </c>
      <c r="F230" s="7">
        <v>45092.0</v>
      </c>
      <c r="H230" s="11"/>
      <c r="J230" s="18"/>
      <c r="L230" s="18"/>
      <c r="M230" s="23"/>
    </row>
    <row r="231">
      <c r="A231" s="10" t="s">
        <v>263</v>
      </c>
      <c r="B231" s="17" t="s">
        <v>264</v>
      </c>
      <c r="C231" s="4" t="s">
        <v>3</v>
      </c>
      <c r="D231" s="5" t="s">
        <v>51</v>
      </c>
      <c r="E231" s="6" t="s">
        <v>274</v>
      </c>
      <c r="F231" s="7">
        <v>45116.0</v>
      </c>
      <c r="H231" s="11"/>
      <c r="J231" s="18"/>
      <c r="L231" s="18"/>
      <c r="M231" s="23"/>
    </row>
    <row r="232">
      <c r="A232" s="10" t="s">
        <v>263</v>
      </c>
      <c r="B232" s="17" t="s">
        <v>264</v>
      </c>
      <c r="C232" s="4" t="s">
        <v>3</v>
      </c>
      <c r="D232" s="5" t="s">
        <v>76</v>
      </c>
      <c r="E232" s="6" t="s">
        <v>275</v>
      </c>
      <c r="F232" s="7">
        <v>45122.0</v>
      </c>
      <c r="H232" s="11"/>
      <c r="J232" s="18"/>
      <c r="L232" s="18"/>
      <c r="M232" s="23"/>
    </row>
    <row r="233">
      <c r="A233" s="10" t="s">
        <v>263</v>
      </c>
      <c r="B233" s="17" t="s">
        <v>264</v>
      </c>
      <c r="C233" s="4" t="s">
        <v>3</v>
      </c>
      <c r="D233" s="5" t="s">
        <v>42</v>
      </c>
      <c r="E233" s="6" t="s">
        <v>276</v>
      </c>
      <c r="F233" s="7">
        <v>45148.0</v>
      </c>
      <c r="H233" s="11"/>
      <c r="J233" s="18"/>
      <c r="L233" s="18"/>
      <c r="M233" s="23"/>
    </row>
    <row r="234">
      <c r="A234" s="10" t="s">
        <v>263</v>
      </c>
      <c r="B234" s="17" t="s">
        <v>264</v>
      </c>
      <c r="C234" s="4" t="s">
        <v>8</v>
      </c>
      <c r="D234" s="5" t="s">
        <v>45</v>
      </c>
      <c r="E234" s="6" t="s">
        <v>277</v>
      </c>
      <c r="F234" s="7">
        <v>45151.0</v>
      </c>
      <c r="H234" s="11"/>
      <c r="J234" s="18"/>
      <c r="L234" s="18"/>
      <c r="M234" s="23"/>
    </row>
    <row r="235">
      <c r="A235" s="10" t="s">
        <v>263</v>
      </c>
      <c r="B235" s="17" t="s">
        <v>264</v>
      </c>
      <c r="C235" s="4" t="s">
        <v>8</v>
      </c>
      <c r="D235" s="5" t="s">
        <v>4</v>
      </c>
      <c r="E235" s="6" t="s">
        <v>278</v>
      </c>
      <c r="F235" s="7">
        <v>45184.0</v>
      </c>
      <c r="H235" s="11"/>
      <c r="J235" s="18"/>
      <c r="L235" s="18"/>
      <c r="M235" s="23"/>
    </row>
    <row r="236">
      <c r="A236" s="10" t="s">
        <v>263</v>
      </c>
      <c r="B236" s="17" t="s">
        <v>264</v>
      </c>
      <c r="C236" s="4" t="s">
        <v>8</v>
      </c>
      <c r="D236" s="5" t="s">
        <v>120</v>
      </c>
      <c r="E236" s="6" t="s">
        <v>279</v>
      </c>
      <c r="F236" s="7">
        <v>45190.0</v>
      </c>
      <c r="H236" s="11"/>
      <c r="J236" s="18"/>
      <c r="L236" s="18"/>
      <c r="M236" s="23"/>
    </row>
    <row r="237">
      <c r="A237" s="10" t="s">
        <v>263</v>
      </c>
      <c r="B237" s="17" t="s">
        <v>264</v>
      </c>
      <c r="C237" s="4" t="s">
        <v>8</v>
      </c>
      <c r="D237" s="5" t="s">
        <v>120</v>
      </c>
      <c r="E237" s="6" t="s">
        <v>280</v>
      </c>
      <c r="F237" s="7">
        <v>45223.0</v>
      </c>
      <c r="H237" s="11"/>
      <c r="J237" s="18"/>
      <c r="L237" s="18"/>
      <c r="M237" s="23"/>
    </row>
    <row r="238">
      <c r="A238" s="10" t="s">
        <v>263</v>
      </c>
      <c r="B238" s="17" t="s">
        <v>264</v>
      </c>
      <c r="C238" s="4" t="s">
        <v>8</v>
      </c>
      <c r="D238" s="5" t="s">
        <v>13</v>
      </c>
      <c r="E238" s="6" t="s">
        <v>281</v>
      </c>
      <c r="F238" s="7">
        <v>45242.0</v>
      </c>
      <c r="H238" s="11"/>
      <c r="J238" s="18"/>
      <c r="L238" s="18"/>
      <c r="M238" s="23"/>
    </row>
    <row r="239">
      <c r="A239" s="10" t="s">
        <v>263</v>
      </c>
      <c r="B239" s="17" t="s">
        <v>264</v>
      </c>
      <c r="C239" s="4" t="s">
        <v>3</v>
      </c>
      <c r="D239" s="5" t="s">
        <v>35</v>
      </c>
      <c r="E239" s="6" t="s">
        <v>282</v>
      </c>
      <c r="F239" s="7">
        <v>45275.0</v>
      </c>
      <c r="H239" s="11"/>
      <c r="J239" s="18"/>
      <c r="L239" s="18"/>
      <c r="M239" s="23"/>
    </row>
    <row r="240">
      <c r="A240" s="10" t="s">
        <v>263</v>
      </c>
      <c r="B240" s="17" t="s">
        <v>264</v>
      </c>
      <c r="C240" s="4" t="s">
        <v>3</v>
      </c>
      <c r="D240" s="5" t="s">
        <v>19</v>
      </c>
      <c r="E240" s="6" t="s">
        <v>91</v>
      </c>
      <c r="F240" s="7">
        <v>45279.0</v>
      </c>
      <c r="H240" s="11"/>
      <c r="J240" s="18"/>
      <c r="L240" s="18"/>
      <c r="M240" s="23"/>
    </row>
    <row r="241">
      <c r="A241" s="10" t="s">
        <v>283</v>
      </c>
      <c r="B241" s="17" t="s">
        <v>284</v>
      </c>
      <c r="C241" s="4" t="s">
        <v>3</v>
      </c>
      <c r="D241" s="5" t="s">
        <v>120</v>
      </c>
      <c r="E241" s="6" t="s">
        <v>285</v>
      </c>
      <c r="F241" s="7">
        <v>44938.0</v>
      </c>
      <c r="H241" s="11"/>
      <c r="J241" s="18"/>
      <c r="L241" s="18"/>
      <c r="M241" s="23"/>
    </row>
    <row r="242">
      <c r="A242" s="10" t="s">
        <v>283</v>
      </c>
      <c r="B242" s="17" t="s">
        <v>284</v>
      </c>
      <c r="C242" s="4" t="s">
        <v>3</v>
      </c>
      <c r="D242" s="5" t="s">
        <v>71</v>
      </c>
      <c r="E242" s="6" t="s">
        <v>286</v>
      </c>
      <c r="F242" s="7">
        <v>44988.0</v>
      </c>
      <c r="H242" s="11"/>
      <c r="J242" s="18"/>
      <c r="L242" s="18"/>
      <c r="M242" s="23"/>
    </row>
    <row r="243">
      <c r="A243" s="10" t="s">
        <v>283</v>
      </c>
      <c r="B243" s="17" t="s">
        <v>284</v>
      </c>
      <c r="C243" s="4" t="s">
        <v>8</v>
      </c>
      <c r="D243" s="5" t="s">
        <v>35</v>
      </c>
      <c r="E243" s="6" t="s">
        <v>287</v>
      </c>
      <c r="F243" s="7">
        <v>45013.0</v>
      </c>
      <c r="H243" s="11"/>
      <c r="J243" s="18"/>
      <c r="L243" s="18"/>
      <c r="M243" s="23"/>
    </row>
    <row r="244">
      <c r="A244" s="10" t="s">
        <v>283</v>
      </c>
      <c r="B244" s="17" t="s">
        <v>284</v>
      </c>
      <c r="C244" s="4" t="s">
        <v>8</v>
      </c>
      <c r="D244" s="5" t="s">
        <v>6</v>
      </c>
      <c r="E244" s="6" t="s">
        <v>288</v>
      </c>
      <c r="F244" s="7">
        <v>45018.0</v>
      </c>
      <c r="H244" s="11"/>
      <c r="J244" s="18"/>
      <c r="L244" s="18"/>
      <c r="M244" s="23"/>
    </row>
    <row r="245">
      <c r="A245" s="10" t="s">
        <v>283</v>
      </c>
      <c r="B245" s="17" t="s">
        <v>284</v>
      </c>
      <c r="C245" s="4" t="s">
        <v>8</v>
      </c>
      <c r="D245" s="5" t="s">
        <v>6</v>
      </c>
      <c r="E245" s="6" t="s">
        <v>289</v>
      </c>
      <c r="F245" s="7">
        <v>45020.0</v>
      </c>
      <c r="H245" s="11"/>
      <c r="J245" s="18"/>
      <c r="L245" s="18"/>
      <c r="M245" s="23"/>
    </row>
    <row r="246">
      <c r="A246" s="10" t="s">
        <v>283</v>
      </c>
      <c r="B246" s="17" t="s">
        <v>284</v>
      </c>
      <c r="C246" s="4" t="s">
        <v>8</v>
      </c>
      <c r="D246" s="5" t="s">
        <v>76</v>
      </c>
      <c r="E246" s="6" t="s">
        <v>290</v>
      </c>
      <c r="F246" s="7">
        <v>45022.0</v>
      </c>
      <c r="H246" s="11"/>
      <c r="J246" s="18"/>
      <c r="L246" s="18"/>
      <c r="M246" s="23"/>
    </row>
    <row r="247">
      <c r="A247" s="10" t="s">
        <v>283</v>
      </c>
      <c r="B247" s="17" t="s">
        <v>284</v>
      </c>
      <c r="C247" s="4" t="s">
        <v>3</v>
      </c>
      <c r="D247" s="5" t="s">
        <v>9</v>
      </c>
      <c r="E247" s="6" t="s">
        <v>291</v>
      </c>
      <c r="F247" s="7">
        <v>45036.0</v>
      </c>
      <c r="H247" s="11"/>
      <c r="J247" s="18"/>
      <c r="L247" s="18"/>
      <c r="M247" s="23"/>
    </row>
    <row r="248">
      <c r="A248" s="10" t="s">
        <v>283</v>
      </c>
      <c r="B248" s="17" t="s">
        <v>284</v>
      </c>
      <c r="C248" s="4" t="s">
        <v>3</v>
      </c>
      <c r="D248" s="5" t="s">
        <v>4</v>
      </c>
      <c r="E248" s="6" t="s">
        <v>292</v>
      </c>
      <c r="F248" s="7">
        <v>45060.0</v>
      </c>
      <c r="H248" s="11"/>
      <c r="J248" s="18"/>
      <c r="L248" s="18"/>
      <c r="M248" s="23"/>
    </row>
    <row r="249">
      <c r="A249" s="10" t="s">
        <v>283</v>
      </c>
      <c r="B249" s="17" t="s">
        <v>284</v>
      </c>
      <c r="C249" s="4" t="s">
        <v>3</v>
      </c>
      <c r="D249" s="5" t="s">
        <v>23</v>
      </c>
      <c r="E249" s="6" t="s">
        <v>293</v>
      </c>
      <c r="F249" s="7">
        <v>45062.0</v>
      </c>
      <c r="H249" s="11"/>
      <c r="J249" s="18"/>
      <c r="L249" s="18"/>
      <c r="M249" s="23"/>
    </row>
    <row r="250">
      <c r="A250" s="10" t="s">
        <v>283</v>
      </c>
      <c r="B250" s="17" t="s">
        <v>284</v>
      </c>
      <c r="C250" s="4" t="s">
        <v>3</v>
      </c>
      <c r="D250" s="5" t="s">
        <v>4</v>
      </c>
      <c r="E250" s="6" t="s">
        <v>294</v>
      </c>
      <c r="F250" s="7">
        <v>45087.0</v>
      </c>
      <c r="H250" s="11"/>
      <c r="J250" s="18"/>
      <c r="L250" s="18"/>
      <c r="M250" s="23"/>
    </row>
    <row r="251">
      <c r="A251" s="10" t="s">
        <v>283</v>
      </c>
      <c r="B251" s="17" t="s">
        <v>284</v>
      </c>
      <c r="C251" s="4" t="s">
        <v>3</v>
      </c>
      <c r="D251" s="5" t="s">
        <v>42</v>
      </c>
      <c r="E251" s="6" t="s">
        <v>295</v>
      </c>
      <c r="F251" s="7">
        <v>45102.0</v>
      </c>
      <c r="H251" s="11"/>
      <c r="J251" s="18"/>
      <c r="L251" s="18"/>
      <c r="M251" s="23"/>
    </row>
    <row r="252">
      <c r="A252" s="10" t="s">
        <v>283</v>
      </c>
      <c r="B252" s="17" t="s">
        <v>284</v>
      </c>
      <c r="C252" s="4" t="s">
        <v>3</v>
      </c>
      <c r="D252" s="5" t="s">
        <v>96</v>
      </c>
      <c r="E252" s="6" t="s">
        <v>296</v>
      </c>
      <c r="F252" s="7">
        <v>45119.0</v>
      </c>
      <c r="H252" s="11"/>
      <c r="J252" s="18"/>
      <c r="L252" s="18"/>
      <c r="M252" s="23"/>
    </row>
    <row r="253">
      <c r="A253" s="10" t="s">
        <v>283</v>
      </c>
      <c r="B253" s="17" t="s">
        <v>284</v>
      </c>
      <c r="C253" s="4" t="s">
        <v>8</v>
      </c>
      <c r="D253" s="5" t="s">
        <v>96</v>
      </c>
      <c r="E253" s="6" t="s">
        <v>297</v>
      </c>
      <c r="F253" s="7">
        <v>45122.0</v>
      </c>
      <c r="H253" s="11"/>
      <c r="J253" s="18"/>
      <c r="L253" s="18"/>
      <c r="M253" s="23"/>
    </row>
    <row r="254">
      <c r="A254" s="10" t="s">
        <v>283</v>
      </c>
      <c r="B254" s="17" t="s">
        <v>284</v>
      </c>
      <c r="C254" s="4" t="s">
        <v>8</v>
      </c>
      <c r="D254" s="5" t="s">
        <v>39</v>
      </c>
      <c r="E254" s="6" t="s">
        <v>298</v>
      </c>
      <c r="F254" s="7">
        <v>45146.0</v>
      </c>
      <c r="H254" s="11"/>
      <c r="J254" s="18"/>
      <c r="L254" s="18"/>
      <c r="M254" s="23"/>
    </row>
    <row r="255">
      <c r="A255" s="10" t="s">
        <v>283</v>
      </c>
      <c r="B255" s="17" t="s">
        <v>284</v>
      </c>
      <c r="C255" s="4" t="s">
        <v>3</v>
      </c>
      <c r="D255" s="5" t="s">
        <v>17</v>
      </c>
      <c r="E255" s="6" t="s">
        <v>299</v>
      </c>
      <c r="F255" s="7">
        <v>45155.0</v>
      </c>
      <c r="H255" s="11"/>
      <c r="J255" s="18"/>
      <c r="L255" s="18"/>
      <c r="M255" s="23"/>
    </row>
    <row r="256">
      <c r="A256" s="10" t="s">
        <v>283</v>
      </c>
      <c r="B256" s="17" t="s">
        <v>284</v>
      </c>
      <c r="C256" s="4" t="s">
        <v>8</v>
      </c>
      <c r="D256" s="5" t="s">
        <v>120</v>
      </c>
      <c r="E256" s="6" t="s">
        <v>300</v>
      </c>
      <c r="F256" s="7">
        <v>45158.0</v>
      </c>
      <c r="H256" s="11"/>
      <c r="J256" s="18"/>
      <c r="L256" s="18"/>
      <c r="M256" s="23"/>
    </row>
    <row r="257">
      <c r="A257" s="10" t="s">
        <v>283</v>
      </c>
      <c r="B257" s="17" t="s">
        <v>284</v>
      </c>
      <c r="C257" s="4" t="s">
        <v>8</v>
      </c>
      <c r="D257" s="5" t="s">
        <v>96</v>
      </c>
      <c r="E257" s="6" t="s">
        <v>301</v>
      </c>
      <c r="F257" s="7">
        <v>45171.0</v>
      </c>
      <c r="H257" s="11"/>
      <c r="J257" s="18"/>
      <c r="L257" s="18"/>
      <c r="M257" s="23"/>
    </row>
    <row r="258">
      <c r="A258" s="10" t="s">
        <v>283</v>
      </c>
      <c r="B258" s="17" t="s">
        <v>284</v>
      </c>
      <c r="C258" s="4" t="s">
        <v>3</v>
      </c>
      <c r="D258" s="5" t="s">
        <v>120</v>
      </c>
      <c r="E258" s="6" t="s">
        <v>147</v>
      </c>
      <c r="F258" s="7">
        <v>45174.0</v>
      </c>
      <c r="H258" s="11"/>
      <c r="J258" s="18"/>
      <c r="L258" s="18"/>
      <c r="M258" s="23"/>
    </row>
    <row r="259">
      <c r="A259" s="10" t="s">
        <v>283</v>
      </c>
      <c r="B259" s="17" t="s">
        <v>284</v>
      </c>
      <c r="C259" s="4" t="s">
        <v>8</v>
      </c>
      <c r="D259" s="5" t="s">
        <v>42</v>
      </c>
      <c r="E259" s="6" t="s">
        <v>302</v>
      </c>
      <c r="F259" s="7">
        <v>45216.0</v>
      </c>
      <c r="H259" s="11"/>
      <c r="J259" s="18"/>
      <c r="L259" s="18"/>
      <c r="M259" s="23"/>
    </row>
    <row r="260">
      <c r="A260" s="10" t="s">
        <v>283</v>
      </c>
      <c r="B260" s="17" t="s">
        <v>284</v>
      </c>
      <c r="C260" s="4" t="s">
        <v>3</v>
      </c>
      <c r="D260" s="5" t="s">
        <v>35</v>
      </c>
      <c r="E260" s="6" t="s">
        <v>303</v>
      </c>
      <c r="F260" s="7">
        <v>45231.0</v>
      </c>
      <c r="H260" s="11"/>
      <c r="J260" s="18"/>
      <c r="L260" s="18"/>
      <c r="M260" s="23"/>
    </row>
    <row r="261">
      <c r="A261" s="10" t="s">
        <v>304</v>
      </c>
      <c r="B261" s="17" t="s">
        <v>305</v>
      </c>
      <c r="C261" s="4" t="s">
        <v>8</v>
      </c>
      <c r="D261" s="5" t="s">
        <v>21</v>
      </c>
      <c r="E261" s="6" t="s">
        <v>306</v>
      </c>
      <c r="F261" s="7">
        <v>44943.0</v>
      </c>
      <c r="H261" s="11"/>
      <c r="J261" s="18"/>
      <c r="L261" s="18"/>
      <c r="M261" s="23"/>
    </row>
    <row r="262">
      <c r="A262" s="10" t="s">
        <v>304</v>
      </c>
      <c r="B262" s="17" t="s">
        <v>305</v>
      </c>
      <c r="C262" s="4" t="s">
        <v>8</v>
      </c>
      <c r="D262" s="5" t="s">
        <v>15</v>
      </c>
      <c r="E262" s="6" t="s">
        <v>307</v>
      </c>
      <c r="F262" s="7">
        <v>44951.0</v>
      </c>
      <c r="H262" s="11"/>
      <c r="J262" s="18"/>
      <c r="L262" s="18"/>
      <c r="M262" s="23"/>
    </row>
    <row r="263">
      <c r="A263" s="10" t="s">
        <v>304</v>
      </c>
      <c r="B263" s="17" t="s">
        <v>305</v>
      </c>
      <c r="C263" s="4" t="s">
        <v>8</v>
      </c>
      <c r="D263" s="5" t="s">
        <v>71</v>
      </c>
      <c r="E263" s="6" t="s">
        <v>308</v>
      </c>
      <c r="F263" s="7">
        <v>44953.0</v>
      </c>
      <c r="H263" s="11"/>
      <c r="J263" s="18"/>
      <c r="L263" s="18"/>
      <c r="M263" s="23"/>
    </row>
    <row r="264">
      <c r="A264" s="10" t="s">
        <v>304</v>
      </c>
      <c r="B264" s="17" t="s">
        <v>305</v>
      </c>
      <c r="C264" s="4" t="s">
        <v>8</v>
      </c>
      <c r="D264" s="5" t="s">
        <v>42</v>
      </c>
      <c r="E264" s="6" t="s">
        <v>309</v>
      </c>
      <c r="F264" s="7">
        <v>44978.0</v>
      </c>
      <c r="H264" s="11"/>
      <c r="J264" s="18"/>
      <c r="L264" s="18"/>
      <c r="M264" s="23"/>
    </row>
    <row r="265">
      <c r="A265" s="10" t="s">
        <v>304</v>
      </c>
      <c r="B265" s="17" t="s">
        <v>305</v>
      </c>
      <c r="C265" s="4" t="s">
        <v>8</v>
      </c>
      <c r="D265" s="5" t="s">
        <v>39</v>
      </c>
      <c r="E265" s="6" t="s">
        <v>310</v>
      </c>
      <c r="F265" s="7">
        <v>44999.0</v>
      </c>
      <c r="H265" s="11"/>
      <c r="J265" s="18"/>
      <c r="L265" s="18"/>
      <c r="M265" s="23"/>
    </row>
    <row r="266">
      <c r="A266" s="10" t="s">
        <v>304</v>
      </c>
      <c r="B266" s="17" t="s">
        <v>305</v>
      </c>
      <c r="C266" s="4" t="s">
        <v>3</v>
      </c>
      <c r="D266" s="5" t="s">
        <v>4</v>
      </c>
      <c r="E266" s="6" t="s">
        <v>311</v>
      </c>
      <c r="F266" s="7">
        <v>45012.0</v>
      </c>
      <c r="H266" s="11"/>
      <c r="J266" s="18"/>
      <c r="L266" s="18"/>
      <c r="M266" s="23"/>
    </row>
    <row r="267">
      <c r="A267" s="10" t="s">
        <v>304</v>
      </c>
      <c r="B267" s="17" t="s">
        <v>305</v>
      </c>
      <c r="C267" s="4" t="s">
        <v>3</v>
      </c>
      <c r="D267" s="5" t="s">
        <v>6</v>
      </c>
      <c r="E267" s="6" t="s">
        <v>312</v>
      </c>
      <c r="F267" s="7">
        <v>45019.0</v>
      </c>
      <c r="H267" s="11"/>
      <c r="J267" s="18"/>
      <c r="L267" s="18"/>
      <c r="M267" s="23"/>
    </row>
    <row r="268">
      <c r="A268" s="10" t="s">
        <v>304</v>
      </c>
      <c r="B268" s="17" t="s">
        <v>305</v>
      </c>
      <c r="C268" s="4" t="s">
        <v>3</v>
      </c>
      <c r="D268" s="5" t="s">
        <v>35</v>
      </c>
      <c r="E268" s="6" t="s">
        <v>313</v>
      </c>
      <c r="F268" s="7">
        <v>45033.0</v>
      </c>
      <c r="H268" s="11"/>
      <c r="J268" s="18"/>
      <c r="L268" s="18"/>
      <c r="M268" s="23"/>
    </row>
    <row r="269">
      <c r="A269" s="10" t="s">
        <v>304</v>
      </c>
      <c r="B269" s="17" t="s">
        <v>305</v>
      </c>
      <c r="C269" s="4" t="s">
        <v>8</v>
      </c>
      <c r="D269" s="5" t="s">
        <v>39</v>
      </c>
      <c r="E269" s="6" t="s">
        <v>314</v>
      </c>
      <c r="F269" s="7">
        <v>45054.0</v>
      </c>
      <c r="H269" s="11"/>
      <c r="J269" s="18"/>
      <c r="L269" s="18"/>
      <c r="M269" s="23"/>
    </row>
    <row r="270">
      <c r="A270" s="10" t="s">
        <v>304</v>
      </c>
      <c r="B270" s="17" t="s">
        <v>305</v>
      </c>
      <c r="C270" s="4" t="s">
        <v>8</v>
      </c>
      <c r="D270" s="5" t="s">
        <v>96</v>
      </c>
      <c r="E270" s="6" t="s">
        <v>315</v>
      </c>
      <c r="F270" s="7">
        <v>45122.0</v>
      </c>
      <c r="H270" s="11"/>
      <c r="J270" s="18"/>
      <c r="L270" s="18"/>
      <c r="M270" s="23"/>
    </row>
    <row r="271">
      <c r="A271" s="10" t="s">
        <v>304</v>
      </c>
      <c r="B271" s="17" t="s">
        <v>305</v>
      </c>
      <c r="C271" s="4" t="s">
        <v>8</v>
      </c>
      <c r="D271" s="5" t="s">
        <v>71</v>
      </c>
      <c r="E271" s="6" t="s">
        <v>316</v>
      </c>
      <c r="F271" s="7">
        <v>45157.0</v>
      </c>
      <c r="H271" s="11"/>
      <c r="J271" s="18"/>
      <c r="L271" s="18"/>
      <c r="M271" s="23"/>
    </row>
    <row r="272">
      <c r="A272" s="10" t="s">
        <v>304</v>
      </c>
      <c r="B272" s="17" t="s">
        <v>305</v>
      </c>
      <c r="C272" s="4" t="s">
        <v>8</v>
      </c>
      <c r="D272" s="5" t="s">
        <v>76</v>
      </c>
      <c r="E272" s="6" t="s">
        <v>317</v>
      </c>
      <c r="F272" s="7">
        <v>45186.0</v>
      </c>
      <c r="H272" s="11"/>
      <c r="J272" s="18"/>
      <c r="L272" s="18"/>
      <c r="M272" s="23"/>
    </row>
    <row r="273">
      <c r="A273" s="10" t="s">
        <v>304</v>
      </c>
      <c r="B273" s="17" t="s">
        <v>305</v>
      </c>
      <c r="C273" s="4" t="s">
        <v>3</v>
      </c>
      <c r="D273" s="5" t="s">
        <v>21</v>
      </c>
      <c r="E273" s="6" t="s">
        <v>318</v>
      </c>
      <c r="F273" s="7">
        <v>45209.0</v>
      </c>
      <c r="H273" s="11"/>
      <c r="J273" s="18"/>
      <c r="L273" s="18"/>
      <c r="M273" s="23"/>
    </row>
    <row r="274">
      <c r="A274" s="10" t="s">
        <v>304</v>
      </c>
      <c r="B274" s="17" t="s">
        <v>305</v>
      </c>
      <c r="C274" s="4" t="s">
        <v>8</v>
      </c>
      <c r="D274" s="5" t="s">
        <v>4</v>
      </c>
      <c r="E274" s="6" t="s">
        <v>319</v>
      </c>
      <c r="F274" s="7">
        <v>45216.0</v>
      </c>
      <c r="H274" s="11"/>
      <c r="J274" s="18"/>
      <c r="L274" s="18"/>
      <c r="M274" s="23"/>
    </row>
    <row r="275">
      <c r="A275" s="10" t="s">
        <v>304</v>
      </c>
      <c r="B275" s="17" t="s">
        <v>305</v>
      </c>
      <c r="C275" s="4" t="s">
        <v>8</v>
      </c>
      <c r="D275" s="5" t="s">
        <v>4</v>
      </c>
      <c r="E275" s="6" t="s">
        <v>320</v>
      </c>
      <c r="F275" s="7">
        <v>45231.0</v>
      </c>
      <c r="H275" s="11"/>
      <c r="J275" s="18"/>
      <c r="L275" s="18"/>
      <c r="M275" s="23"/>
    </row>
    <row r="276">
      <c r="A276" s="10" t="s">
        <v>304</v>
      </c>
      <c r="B276" s="17" t="s">
        <v>305</v>
      </c>
      <c r="C276" s="4" t="s">
        <v>8</v>
      </c>
      <c r="D276" s="5" t="s">
        <v>15</v>
      </c>
      <c r="E276" s="6" t="s">
        <v>321</v>
      </c>
      <c r="F276" s="7">
        <v>45242.0</v>
      </c>
      <c r="H276" s="11"/>
      <c r="J276" s="18"/>
      <c r="L276" s="18"/>
      <c r="M276" s="23"/>
    </row>
    <row r="277">
      <c r="A277" s="10" t="s">
        <v>304</v>
      </c>
      <c r="B277" s="17" t="s">
        <v>305</v>
      </c>
      <c r="C277" s="4" t="s">
        <v>3</v>
      </c>
      <c r="D277" s="5" t="s">
        <v>45</v>
      </c>
      <c r="E277" s="6" t="s">
        <v>322</v>
      </c>
      <c r="F277" s="7">
        <v>45253.0</v>
      </c>
      <c r="H277" s="11"/>
      <c r="J277" s="18"/>
      <c r="L277" s="18"/>
      <c r="M277" s="23"/>
    </row>
    <row r="278">
      <c r="A278" s="10" t="s">
        <v>304</v>
      </c>
      <c r="B278" s="17" t="s">
        <v>305</v>
      </c>
      <c r="C278" s="4" t="s">
        <v>3</v>
      </c>
      <c r="D278" s="5" t="s">
        <v>9</v>
      </c>
      <c r="E278" s="6" t="s">
        <v>323</v>
      </c>
      <c r="F278" s="7">
        <v>45273.0</v>
      </c>
      <c r="H278" s="11"/>
      <c r="J278" s="18"/>
      <c r="L278" s="18"/>
      <c r="M278" s="23"/>
    </row>
    <row r="279">
      <c r="A279" s="10" t="s">
        <v>304</v>
      </c>
      <c r="B279" s="17" t="s">
        <v>305</v>
      </c>
      <c r="C279" s="4" t="s">
        <v>8</v>
      </c>
      <c r="D279" s="5" t="s">
        <v>71</v>
      </c>
      <c r="E279" s="6" t="s">
        <v>324</v>
      </c>
      <c r="F279" s="7">
        <v>45273.0</v>
      </c>
      <c r="H279" s="24" t="str">
        <f>GOOGLEFINANCE("VALE3", "R$12,50")</f>
        <v>#ERROR!</v>
      </c>
      <c r="J279" s="18"/>
      <c r="L279" s="18"/>
      <c r="M279" s="23"/>
    </row>
    <row r="280">
      <c r="A280" s="10" t="s">
        <v>304</v>
      </c>
      <c r="B280" s="17" t="s">
        <v>305</v>
      </c>
      <c r="C280" s="4" t="s">
        <v>3</v>
      </c>
      <c r="D280" s="5" t="s">
        <v>15</v>
      </c>
      <c r="E280" s="6" t="s">
        <v>325</v>
      </c>
      <c r="F280" s="7">
        <v>45281.0</v>
      </c>
      <c r="H280" s="11"/>
      <c r="J280" s="18"/>
      <c r="L280" s="18"/>
      <c r="M280" s="23"/>
    </row>
    <row r="281">
      <c r="A281" s="10" t="s">
        <v>326</v>
      </c>
      <c r="B281" s="17" t="s">
        <v>327</v>
      </c>
      <c r="C281" s="4" t="s">
        <v>3</v>
      </c>
      <c r="D281" s="5" t="s">
        <v>120</v>
      </c>
      <c r="E281" s="6" t="s">
        <v>328</v>
      </c>
      <c r="F281" s="7">
        <v>44929.0</v>
      </c>
      <c r="H281" s="11"/>
      <c r="J281" s="18"/>
      <c r="L281" s="18"/>
      <c r="M281" s="23"/>
    </row>
    <row r="282">
      <c r="A282" s="10" t="s">
        <v>326</v>
      </c>
      <c r="B282" s="17" t="s">
        <v>327</v>
      </c>
      <c r="C282" s="4" t="s">
        <v>3</v>
      </c>
      <c r="D282" s="5" t="s">
        <v>23</v>
      </c>
      <c r="E282" s="6" t="s">
        <v>329</v>
      </c>
      <c r="F282" s="7">
        <v>44949.0</v>
      </c>
      <c r="H282" s="11"/>
      <c r="J282" s="18"/>
      <c r="L282" s="18"/>
      <c r="M282" s="23"/>
    </row>
    <row r="283">
      <c r="A283" s="10" t="s">
        <v>326</v>
      </c>
      <c r="B283" s="17" t="s">
        <v>327</v>
      </c>
      <c r="C283" s="4" t="s">
        <v>8</v>
      </c>
      <c r="D283" s="5" t="s">
        <v>13</v>
      </c>
      <c r="E283" s="6" t="s">
        <v>330</v>
      </c>
      <c r="F283" s="7">
        <v>44960.0</v>
      </c>
      <c r="H283" s="11"/>
      <c r="J283" s="18"/>
      <c r="L283" s="18"/>
      <c r="M283" s="23"/>
    </row>
    <row r="284">
      <c r="A284" s="10" t="s">
        <v>326</v>
      </c>
      <c r="B284" s="17" t="s">
        <v>327</v>
      </c>
      <c r="C284" s="4" t="s">
        <v>3</v>
      </c>
      <c r="D284" s="5" t="s">
        <v>11</v>
      </c>
      <c r="E284" s="6" t="s">
        <v>331</v>
      </c>
      <c r="F284" s="7">
        <v>44966.0</v>
      </c>
      <c r="H284" s="11"/>
      <c r="J284" s="18"/>
      <c r="L284" s="18"/>
      <c r="M284" s="23"/>
    </row>
    <row r="285">
      <c r="A285" s="10" t="s">
        <v>326</v>
      </c>
      <c r="B285" s="17" t="s">
        <v>327</v>
      </c>
      <c r="C285" s="4" t="s">
        <v>3</v>
      </c>
      <c r="D285" s="5" t="s">
        <v>120</v>
      </c>
      <c r="E285" s="6" t="s">
        <v>332</v>
      </c>
      <c r="F285" s="7">
        <v>44985.0</v>
      </c>
      <c r="H285" s="11"/>
      <c r="J285" s="18"/>
      <c r="L285" s="18"/>
      <c r="M285" s="23"/>
    </row>
    <row r="286">
      <c r="A286" s="10" t="s">
        <v>326</v>
      </c>
      <c r="B286" s="17" t="s">
        <v>327</v>
      </c>
      <c r="C286" s="4" t="s">
        <v>8</v>
      </c>
      <c r="D286" s="5" t="s">
        <v>35</v>
      </c>
      <c r="E286" s="6" t="s">
        <v>237</v>
      </c>
      <c r="F286" s="7">
        <v>45010.0</v>
      </c>
      <c r="H286" s="11"/>
      <c r="J286" s="18"/>
      <c r="L286" s="18"/>
      <c r="M286" s="23"/>
    </row>
    <row r="287">
      <c r="A287" s="10" t="s">
        <v>326</v>
      </c>
      <c r="B287" s="17" t="s">
        <v>327</v>
      </c>
      <c r="C287" s="4" t="s">
        <v>8</v>
      </c>
      <c r="D287" s="5" t="s">
        <v>42</v>
      </c>
      <c r="E287" s="6" t="s">
        <v>333</v>
      </c>
      <c r="F287" s="7">
        <v>45028.0</v>
      </c>
      <c r="H287" s="11"/>
      <c r="J287" s="18"/>
      <c r="L287" s="18"/>
      <c r="M287" s="23"/>
    </row>
    <row r="288">
      <c r="A288" s="10" t="s">
        <v>326</v>
      </c>
      <c r="B288" s="17" t="s">
        <v>327</v>
      </c>
      <c r="C288" s="4" t="s">
        <v>8</v>
      </c>
      <c r="D288" s="5" t="s">
        <v>11</v>
      </c>
      <c r="E288" s="6" t="s">
        <v>334</v>
      </c>
      <c r="F288" s="7">
        <v>45040.0</v>
      </c>
      <c r="H288" s="11"/>
      <c r="J288" s="18"/>
      <c r="L288" s="18"/>
      <c r="M288" s="23"/>
    </row>
    <row r="289">
      <c r="A289" s="10" t="s">
        <v>326</v>
      </c>
      <c r="B289" s="17" t="s">
        <v>327</v>
      </c>
      <c r="C289" s="4" t="s">
        <v>8</v>
      </c>
      <c r="D289" s="5" t="s">
        <v>11</v>
      </c>
      <c r="E289" s="6" t="s">
        <v>335</v>
      </c>
      <c r="F289" s="7">
        <v>45063.0</v>
      </c>
      <c r="H289" s="11"/>
      <c r="J289" s="18"/>
      <c r="L289" s="18"/>
      <c r="M289" s="23"/>
    </row>
    <row r="290">
      <c r="A290" s="10" t="s">
        <v>326</v>
      </c>
      <c r="B290" s="17" t="s">
        <v>327</v>
      </c>
      <c r="C290" s="4" t="s">
        <v>8</v>
      </c>
      <c r="D290" s="5" t="s">
        <v>45</v>
      </c>
      <c r="E290" s="6" t="s">
        <v>336</v>
      </c>
      <c r="F290" s="7">
        <v>45079.0</v>
      </c>
      <c r="H290" s="11"/>
      <c r="J290" s="18"/>
      <c r="L290" s="18"/>
      <c r="M290" s="23"/>
    </row>
    <row r="291">
      <c r="A291" s="10" t="s">
        <v>326</v>
      </c>
      <c r="B291" s="17" t="s">
        <v>327</v>
      </c>
      <c r="C291" s="4" t="s">
        <v>3</v>
      </c>
      <c r="D291" s="5" t="s">
        <v>11</v>
      </c>
      <c r="E291" s="6" t="s">
        <v>337</v>
      </c>
      <c r="F291" s="7">
        <v>45087.0</v>
      </c>
      <c r="H291" s="11"/>
      <c r="J291" s="18"/>
      <c r="L291" s="18"/>
      <c r="M291" s="23"/>
    </row>
    <row r="292">
      <c r="A292" s="10" t="s">
        <v>326</v>
      </c>
      <c r="B292" s="17" t="s">
        <v>327</v>
      </c>
      <c r="C292" s="4" t="s">
        <v>8</v>
      </c>
      <c r="D292" s="5" t="s">
        <v>17</v>
      </c>
      <c r="E292" s="6" t="s">
        <v>338</v>
      </c>
      <c r="F292" s="7">
        <v>45088.0</v>
      </c>
      <c r="H292" s="11"/>
      <c r="J292" s="18"/>
      <c r="L292" s="18"/>
      <c r="M292" s="23"/>
    </row>
    <row r="293">
      <c r="A293" s="10" t="s">
        <v>326</v>
      </c>
      <c r="B293" s="17" t="s">
        <v>327</v>
      </c>
      <c r="C293" s="4" t="s">
        <v>8</v>
      </c>
      <c r="D293" s="5" t="s">
        <v>76</v>
      </c>
      <c r="E293" s="6" t="s">
        <v>339</v>
      </c>
      <c r="F293" s="7">
        <v>45101.0</v>
      </c>
      <c r="H293" s="11"/>
      <c r="J293" s="18"/>
      <c r="L293" s="18"/>
      <c r="M293" s="23"/>
    </row>
    <row r="294">
      <c r="A294" s="10" t="s">
        <v>326</v>
      </c>
      <c r="B294" s="17" t="s">
        <v>327</v>
      </c>
      <c r="C294" s="4" t="s">
        <v>3</v>
      </c>
      <c r="D294" s="5" t="s">
        <v>21</v>
      </c>
      <c r="E294" s="6" t="s">
        <v>340</v>
      </c>
      <c r="F294" s="7">
        <v>45123.0</v>
      </c>
      <c r="H294" s="11"/>
      <c r="J294" s="18"/>
      <c r="L294" s="18"/>
      <c r="M294" s="23"/>
    </row>
    <row r="295">
      <c r="A295" s="10" t="s">
        <v>326</v>
      </c>
      <c r="B295" s="17" t="s">
        <v>327</v>
      </c>
      <c r="C295" s="4" t="s">
        <v>3</v>
      </c>
      <c r="D295" s="5" t="s">
        <v>51</v>
      </c>
      <c r="E295" s="6" t="s">
        <v>341</v>
      </c>
      <c r="F295" s="7">
        <v>45156.0</v>
      </c>
      <c r="H295" s="11"/>
      <c r="J295" s="18"/>
      <c r="L295" s="18"/>
      <c r="M295" s="23"/>
    </row>
    <row r="296">
      <c r="A296" s="10" t="s">
        <v>326</v>
      </c>
      <c r="B296" s="17" t="s">
        <v>327</v>
      </c>
      <c r="C296" s="4" t="s">
        <v>8</v>
      </c>
      <c r="D296" s="5" t="s">
        <v>42</v>
      </c>
      <c r="E296" s="6" t="s">
        <v>302</v>
      </c>
      <c r="F296" s="7">
        <v>45160.0</v>
      </c>
      <c r="H296" s="11"/>
      <c r="J296" s="18"/>
      <c r="L296" s="18"/>
      <c r="M296" s="23"/>
    </row>
    <row r="297">
      <c r="A297" s="10" t="s">
        <v>326</v>
      </c>
      <c r="B297" s="17" t="s">
        <v>327</v>
      </c>
      <c r="C297" s="4" t="s">
        <v>3</v>
      </c>
      <c r="D297" s="5" t="s">
        <v>4</v>
      </c>
      <c r="E297" s="6" t="s">
        <v>342</v>
      </c>
      <c r="F297" s="7">
        <v>45224.0</v>
      </c>
      <c r="H297" s="11"/>
      <c r="J297" s="18"/>
      <c r="L297" s="18"/>
      <c r="M297" s="23"/>
    </row>
    <row r="298">
      <c r="A298" s="10" t="s">
        <v>326</v>
      </c>
      <c r="B298" s="17" t="s">
        <v>327</v>
      </c>
      <c r="C298" s="4" t="s">
        <v>3</v>
      </c>
      <c r="D298" s="5" t="s">
        <v>15</v>
      </c>
      <c r="E298" s="6" t="s">
        <v>343</v>
      </c>
      <c r="F298" s="7">
        <v>45233.0</v>
      </c>
      <c r="H298" s="11"/>
      <c r="J298" s="18"/>
      <c r="L298" s="18"/>
      <c r="M298" s="23"/>
    </row>
    <row r="299">
      <c r="A299" s="10" t="s">
        <v>326</v>
      </c>
      <c r="B299" s="17" t="s">
        <v>327</v>
      </c>
      <c r="C299" s="4" t="s">
        <v>8</v>
      </c>
      <c r="D299" s="5" t="s">
        <v>28</v>
      </c>
      <c r="E299" s="6" t="s">
        <v>344</v>
      </c>
      <c r="F299" s="7">
        <v>45247.0</v>
      </c>
      <c r="H299" s="11"/>
      <c r="J299" s="18"/>
      <c r="L299" s="18"/>
      <c r="M299" s="23"/>
    </row>
    <row r="300">
      <c r="A300" s="10" t="s">
        <v>326</v>
      </c>
      <c r="B300" s="17" t="s">
        <v>327</v>
      </c>
      <c r="C300" s="4" t="s">
        <v>3</v>
      </c>
      <c r="D300" s="5" t="s">
        <v>28</v>
      </c>
      <c r="E300" s="6" t="s">
        <v>345</v>
      </c>
      <c r="F300" s="7">
        <v>45264.0</v>
      </c>
      <c r="H300" s="11"/>
      <c r="J300" s="18"/>
      <c r="L300" s="18"/>
      <c r="M300" s="23"/>
    </row>
    <row r="301">
      <c r="A301" s="10" t="s">
        <v>346</v>
      </c>
      <c r="B301" s="17" t="s">
        <v>347</v>
      </c>
      <c r="C301" s="4" t="s">
        <v>8</v>
      </c>
      <c r="D301" s="5" t="s">
        <v>23</v>
      </c>
      <c r="E301" s="6" t="s">
        <v>348</v>
      </c>
      <c r="F301" s="7">
        <v>44944.0</v>
      </c>
      <c r="H301" s="11"/>
      <c r="J301" s="18"/>
      <c r="L301" s="18"/>
      <c r="M301" s="23"/>
    </row>
    <row r="302">
      <c r="A302" s="10" t="s">
        <v>346</v>
      </c>
      <c r="B302" s="17" t="s">
        <v>347</v>
      </c>
      <c r="C302" s="4" t="s">
        <v>8</v>
      </c>
      <c r="D302" s="5" t="s">
        <v>28</v>
      </c>
      <c r="E302" s="6" t="s">
        <v>349</v>
      </c>
      <c r="F302" s="7">
        <v>44946.0</v>
      </c>
      <c r="H302" s="11"/>
      <c r="J302" s="18"/>
      <c r="L302" s="18"/>
      <c r="M302" s="23"/>
    </row>
    <row r="303">
      <c r="A303" s="10" t="s">
        <v>346</v>
      </c>
      <c r="B303" s="17" t="s">
        <v>347</v>
      </c>
      <c r="C303" s="4" t="s">
        <v>3</v>
      </c>
      <c r="D303" s="5" t="s">
        <v>6</v>
      </c>
      <c r="E303" s="6" t="s">
        <v>350</v>
      </c>
      <c r="F303" s="7">
        <v>44948.0</v>
      </c>
      <c r="H303" s="11"/>
      <c r="J303" s="18"/>
      <c r="L303" s="18"/>
      <c r="M303" s="23"/>
    </row>
    <row r="304">
      <c r="A304" s="10" t="s">
        <v>346</v>
      </c>
      <c r="B304" s="17" t="s">
        <v>347</v>
      </c>
      <c r="C304" s="4" t="s">
        <v>3</v>
      </c>
      <c r="D304" s="5" t="s">
        <v>51</v>
      </c>
      <c r="E304" s="6" t="s">
        <v>351</v>
      </c>
      <c r="F304" s="7">
        <v>44988.0</v>
      </c>
      <c r="H304" s="11"/>
      <c r="J304" s="18"/>
      <c r="L304" s="18"/>
      <c r="M304" s="23"/>
    </row>
    <row r="305">
      <c r="A305" s="10" t="s">
        <v>346</v>
      </c>
      <c r="B305" s="17" t="s">
        <v>347</v>
      </c>
      <c r="C305" s="4" t="s">
        <v>8</v>
      </c>
      <c r="D305" s="5" t="s">
        <v>21</v>
      </c>
      <c r="E305" s="6" t="s">
        <v>352</v>
      </c>
      <c r="F305" s="7">
        <v>45093.0</v>
      </c>
      <c r="H305" s="11"/>
      <c r="J305" s="18"/>
      <c r="L305" s="18"/>
      <c r="M305" s="23"/>
    </row>
    <row r="306">
      <c r="A306" s="10" t="s">
        <v>346</v>
      </c>
      <c r="B306" s="17" t="s">
        <v>347</v>
      </c>
      <c r="C306" s="4" t="s">
        <v>3</v>
      </c>
      <c r="D306" s="5" t="s">
        <v>15</v>
      </c>
      <c r="E306" s="6" t="s">
        <v>353</v>
      </c>
      <c r="F306" s="7">
        <v>45113.0</v>
      </c>
      <c r="H306" s="11"/>
      <c r="J306" s="18"/>
      <c r="L306" s="18"/>
      <c r="M306" s="23"/>
    </row>
    <row r="307">
      <c r="A307" s="10" t="s">
        <v>346</v>
      </c>
      <c r="B307" s="17" t="s">
        <v>347</v>
      </c>
      <c r="C307" s="4" t="s">
        <v>8</v>
      </c>
      <c r="D307" s="5" t="s">
        <v>45</v>
      </c>
      <c r="E307" s="6" t="s">
        <v>354</v>
      </c>
      <c r="F307" s="7">
        <v>45113.0</v>
      </c>
      <c r="H307" s="11"/>
      <c r="J307" s="18"/>
      <c r="L307" s="18"/>
      <c r="M307" s="23"/>
    </row>
    <row r="308">
      <c r="A308" s="10" t="s">
        <v>346</v>
      </c>
      <c r="B308" s="17" t="s">
        <v>347</v>
      </c>
      <c r="C308" s="4" t="s">
        <v>8</v>
      </c>
      <c r="D308" s="5" t="s">
        <v>71</v>
      </c>
      <c r="E308" s="6" t="s">
        <v>329</v>
      </c>
      <c r="F308" s="7">
        <v>45121.0</v>
      </c>
      <c r="H308" s="11"/>
      <c r="J308" s="18"/>
      <c r="L308" s="18"/>
      <c r="M308" s="23"/>
    </row>
    <row r="309">
      <c r="A309" s="10" t="s">
        <v>346</v>
      </c>
      <c r="B309" s="17" t="s">
        <v>347</v>
      </c>
      <c r="C309" s="4" t="s">
        <v>8</v>
      </c>
      <c r="D309" s="5" t="s">
        <v>45</v>
      </c>
      <c r="E309" s="6" t="s">
        <v>355</v>
      </c>
      <c r="F309" s="7">
        <v>45130.0</v>
      </c>
      <c r="H309" s="11"/>
      <c r="J309" s="18"/>
      <c r="L309" s="18"/>
      <c r="M309" s="23"/>
    </row>
    <row r="310">
      <c r="A310" s="10" t="s">
        <v>346</v>
      </c>
      <c r="B310" s="17" t="s">
        <v>347</v>
      </c>
      <c r="C310" s="4" t="s">
        <v>3</v>
      </c>
      <c r="D310" s="5" t="s">
        <v>51</v>
      </c>
      <c r="E310" s="6" t="s">
        <v>356</v>
      </c>
      <c r="F310" s="7">
        <v>45146.0</v>
      </c>
      <c r="H310" s="11"/>
      <c r="J310" s="18"/>
      <c r="L310" s="18"/>
      <c r="M310" s="23"/>
    </row>
    <row r="311">
      <c r="A311" s="10" t="s">
        <v>346</v>
      </c>
      <c r="B311" s="17" t="s">
        <v>347</v>
      </c>
      <c r="C311" s="4" t="s">
        <v>3</v>
      </c>
      <c r="D311" s="5" t="s">
        <v>23</v>
      </c>
      <c r="E311" s="6" t="s">
        <v>357</v>
      </c>
      <c r="F311" s="7">
        <v>45150.0</v>
      </c>
      <c r="H311" s="11"/>
      <c r="J311" s="18"/>
      <c r="L311" s="18"/>
      <c r="M311" s="23"/>
    </row>
    <row r="312">
      <c r="A312" s="10" t="s">
        <v>346</v>
      </c>
      <c r="B312" s="17" t="s">
        <v>347</v>
      </c>
      <c r="C312" s="4" t="s">
        <v>3</v>
      </c>
      <c r="D312" s="5" t="s">
        <v>4</v>
      </c>
      <c r="E312" s="6" t="s">
        <v>358</v>
      </c>
      <c r="F312" s="7">
        <v>45159.0</v>
      </c>
      <c r="H312" s="11"/>
      <c r="J312" s="18"/>
      <c r="L312" s="18"/>
      <c r="M312" s="23"/>
    </row>
    <row r="313">
      <c r="A313" s="10" t="s">
        <v>346</v>
      </c>
      <c r="B313" s="17" t="s">
        <v>347</v>
      </c>
      <c r="C313" s="4" t="s">
        <v>3</v>
      </c>
      <c r="D313" s="5" t="s">
        <v>9</v>
      </c>
      <c r="E313" s="6" t="s">
        <v>359</v>
      </c>
      <c r="F313" s="7">
        <v>45190.0</v>
      </c>
      <c r="H313" s="11"/>
      <c r="J313" s="18"/>
      <c r="L313" s="18"/>
      <c r="M313" s="23"/>
    </row>
    <row r="314">
      <c r="A314" s="10" t="s">
        <v>346</v>
      </c>
      <c r="B314" s="17" t="s">
        <v>347</v>
      </c>
      <c r="C314" s="4" t="s">
        <v>3</v>
      </c>
      <c r="D314" s="5" t="s">
        <v>13</v>
      </c>
      <c r="E314" s="6" t="s">
        <v>360</v>
      </c>
      <c r="F314" s="7">
        <v>45222.0</v>
      </c>
      <c r="H314" s="11"/>
      <c r="J314" s="18"/>
      <c r="L314" s="18"/>
      <c r="M314" s="23"/>
    </row>
    <row r="315">
      <c r="A315" s="10" t="s">
        <v>346</v>
      </c>
      <c r="B315" s="17" t="s">
        <v>347</v>
      </c>
      <c r="C315" s="4" t="s">
        <v>3</v>
      </c>
      <c r="D315" s="5" t="s">
        <v>17</v>
      </c>
      <c r="E315" s="6" t="s">
        <v>361</v>
      </c>
      <c r="F315" s="7">
        <v>45227.0</v>
      </c>
      <c r="H315" s="11"/>
      <c r="J315" s="18"/>
      <c r="L315" s="18"/>
      <c r="M315" s="23"/>
    </row>
    <row r="316">
      <c r="A316" s="10" t="s">
        <v>346</v>
      </c>
      <c r="B316" s="17" t="s">
        <v>347</v>
      </c>
      <c r="C316" s="4" t="s">
        <v>8</v>
      </c>
      <c r="D316" s="5" t="s">
        <v>39</v>
      </c>
      <c r="E316" s="6" t="s">
        <v>362</v>
      </c>
      <c r="F316" s="7">
        <v>45253.0</v>
      </c>
      <c r="H316" s="11"/>
      <c r="J316" s="18"/>
      <c r="L316" s="18"/>
      <c r="M316" s="23"/>
    </row>
    <row r="317">
      <c r="A317" s="10" t="s">
        <v>346</v>
      </c>
      <c r="B317" s="17" t="s">
        <v>347</v>
      </c>
      <c r="C317" s="4" t="s">
        <v>3</v>
      </c>
      <c r="D317" s="5" t="s">
        <v>11</v>
      </c>
      <c r="E317" s="6" t="s">
        <v>363</v>
      </c>
      <c r="F317" s="7">
        <v>45258.0</v>
      </c>
      <c r="H317" s="11"/>
      <c r="J317" s="18"/>
      <c r="L317" s="18"/>
      <c r="M317" s="23"/>
    </row>
    <row r="318">
      <c r="A318" s="10" t="s">
        <v>346</v>
      </c>
      <c r="B318" s="17" t="s">
        <v>347</v>
      </c>
      <c r="C318" s="4" t="s">
        <v>3</v>
      </c>
      <c r="D318" s="5" t="s">
        <v>39</v>
      </c>
      <c r="E318" s="6" t="s">
        <v>364</v>
      </c>
      <c r="F318" s="7">
        <v>45265.0</v>
      </c>
      <c r="H318" s="11"/>
      <c r="J318" s="18"/>
      <c r="L318" s="18"/>
      <c r="M318" s="23"/>
    </row>
    <row r="319">
      <c r="A319" s="10" t="s">
        <v>346</v>
      </c>
      <c r="B319" s="17" t="s">
        <v>347</v>
      </c>
      <c r="C319" s="4" t="s">
        <v>8</v>
      </c>
      <c r="D319" s="5" t="s">
        <v>6</v>
      </c>
      <c r="E319" s="6" t="s">
        <v>365</v>
      </c>
      <c r="F319" s="7">
        <v>45266.0</v>
      </c>
      <c r="H319" s="11"/>
      <c r="J319" s="18"/>
      <c r="L319" s="18"/>
      <c r="M319" s="23"/>
    </row>
    <row r="320">
      <c r="A320" s="10" t="s">
        <v>346</v>
      </c>
      <c r="B320" s="17" t="s">
        <v>347</v>
      </c>
      <c r="C320" s="4" t="s">
        <v>3</v>
      </c>
      <c r="D320" s="5" t="s">
        <v>15</v>
      </c>
      <c r="E320" s="6" t="s">
        <v>366</v>
      </c>
      <c r="F320" s="7">
        <v>45267.0</v>
      </c>
      <c r="H320" s="11"/>
      <c r="J320" s="18"/>
      <c r="L320" s="18"/>
      <c r="M320" s="23"/>
    </row>
    <row r="321">
      <c r="A321" s="10" t="s">
        <v>367</v>
      </c>
      <c r="B321" s="17" t="s">
        <v>368</v>
      </c>
      <c r="C321" s="4" t="s">
        <v>8</v>
      </c>
      <c r="D321" s="5" t="s">
        <v>15</v>
      </c>
      <c r="E321" s="6" t="s">
        <v>369</v>
      </c>
      <c r="F321" s="7">
        <v>44953.0</v>
      </c>
      <c r="H321" s="11"/>
      <c r="J321" s="18"/>
      <c r="L321" s="18"/>
      <c r="M321" s="23"/>
    </row>
    <row r="322">
      <c r="A322" s="10" t="s">
        <v>367</v>
      </c>
      <c r="B322" s="17" t="s">
        <v>368</v>
      </c>
      <c r="C322" s="4" t="s">
        <v>3</v>
      </c>
      <c r="D322" s="5" t="s">
        <v>39</v>
      </c>
      <c r="E322" s="6" t="s">
        <v>370</v>
      </c>
      <c r="F322" s="7">
        <v>44971.0</v>
      </c>
      <c r="H322" s="11"/>
      <c r="J322" s="18"/>
      <c r="L322" s="18"/>
      <c r="M322" s="23"/>
    </row>
    <row r="323">
      <c r="A323" s="10" t="s">
        <v>367</v>
      </c>
      <c r="B323" s="17" t="s">
        <v>368</v>
      </c>
      <c r="C323" s="4" t="s">
        <v>3</v>
      </c>
      <c r="D323" s="5" t="s">
        <v>19</v>
      </c>
      <c r="E323" s="6" t="s">
        <v>371</v>
      </c>
      <c r="F323" s="7">
        <v>44975.0</v>
      </c>
      <c r="H323" s="11"/>
      <c r="J323" s="18"/>
      <c r="L323" s="18"/>
      <c r="M323" s="23"/>
    </row>
    <row r="324">
      <c r="A324" s="10" t="s">
        <v>367</v>
      </c>
      <c r="B324" s="17" t="s">
        <v>368</v>
      </c>
      <c r="C324" s="4" t="s">
        <v>8</v>
      </c>
      <c r="D324" s="5" t="s">
        <v>6</v>
      </c>
      <c r="E324" s="6" t="s">
        <v>372</v>
      </c>
      <c r="F324" s="7">
        <v>45065.0</v>
      </c>
      <c r="H324" s="11"/>
      <c r="J324" s="18"/>
      <c r="L324" s="18"/>
      <c r="M324" s="23"/>
    </row>
    <row r="325">
      <c r="A325" s="10" t="s">
        <v>367</v>
      </c>
      <c r="B325" s="17" t="s">
        <v>368</v>
      </c>
      <c r="C325" s="4" t="s">
        <v>8</v>
      </c>
      <c r="D325" s="5" t="s">
        <v>51</v>
      </c>
      <c r="E325" s="6" t="s">
        <v>373</v>
      </c>
      <c r="F325" s="7">
        <v>45082.0</v>
      </c>
      <c r="H325" s="11"/>
      <c r="J325" s="18"/>
      <c r="L325" s="18"/>
      <c r="M325" s="23"/>
    </row>
    <row r="326">
      <c r="A326" s="10" t="s">
        <v>367</v>
      </c>
      <c r="B326" s="17" t="s">
        <v>368</v>
      </c>
      <c r="C326" s="4" t="s">
        <v>3</v>
      </c>
      <c r="D326" s="5" t="s">
        <v>51</v>
      </c>
      <c r="E326" s="6" t="s">
        <v>374</v>
      </c>
      <c r="F326" s="7">
        <v>45088.0</v>
      </c>
      <c r="H326" s="11"/>
      <c r="J326" s="18"/>
      <c r="L326" s="18"/>
      <c r="M326" s="23"/>
    </row>
    <row r="327">
      <c r="A327" s="10" t="s">
        <v>367</v>
      </c>
      <c r="B327" s="17" t="s">
        <v>368</v>
      </c>
      <c r="C327" s="4" t="s">
        <v>3</v>
      </c>
      <c r="D327" s="5" t="s">
        <v>6</v>
      </c>
      <c r="E327" s="6" t="s">
        <v>375</v>
      </c>
      <c r="F327" s="7">
        <v>45092.0</v>
      </c>
      <c r="H327" s="11"/>
      <c r="J327" s="18"/>
      <c r="L327" s="18"/>
      <c r="M327" s="23"/>
    </row>
    <row r="328">
      <c r="A328" s="10" t="s">
        <v>367</v>
      </c>
      <c r="B328" s="17" t="s">
        <v>368</v>
      </c>
      <c r="C328" s="4" t="s">
        <v>3</v>
      </c>
      <c r="D328" s="5" t="s">
        <v>45</v>
      </c>
      <c r="E328" s="6" t="s">
        <v>376</v>
      </c>
      <c r="F328" s="7">
        <v>45120.0</v>
      </c>
      <c r="H328" s="11"/>
      <c r="J328" s="18"/>
      <c r="L328" s="18"/>
      <c r="M328" s="23"/>
    </row>
    <row r="329">
      <c r="A329" s="10" t="s">
        <v>367</v>
      </c>
      <c r="B329" s="17" t="s">
        <v>368</v>
      </c>
      <c r="C329" s="4" t="s">
        <v>3</v>
      </c>
      <c r="D329" s="5" t="s">
        <v>120</v>
      </c>
      <c r="E329" s="6" t="s">
        <v>377</v>
      </c>
      <c r="F329" s="7">
        <v>45126.0</v>
      </c>
      <c r="H329" s="11"/>
      <c r="J329" s="18"/>
      <c r="L329" s="18"/>
      <c r="M329" s="23"/>
    </row>
    <row r="330">
      <c r="A330" s="10" t="s">
        <v>367</v>
      </c>
      <c r="B330" s="17" t="s">
        <v>368</v>
      </c>
      <c r="C330" s="4" t="s">
        <v>3</v>
      </c>
      <c r="D330" s="5" t="s">
        <v>71</v>
      </c>
      <c r="E330" s="6" t="s">
        <v>378</v>
      </c>
      <c r="F330" s="7">
        <v>45153.0</v>
      </c>
      <c r="H330" s="11"/>
      <c r="J330" s="18"/>
      <c r="L330" s="18"/>
      <c r="M330" s="23"/>
    </row>
    <row r="331">
      <c r="A331" s="10" t="s">
        <v>367</v>
      </c>
      <c r="B331" s="17" t="s">
        <v>368</v>
      </c>
      <c r="C331" s="4" t="s">
        <v>3</v>
      </c>
      <c r="D331" s="5" t="s">
        <v>4</v>
      </c>
      <c r="E331" s="6" t="s">
        <v>379</v>
      </c>
      <c r="F331" s="7">
        <v>45165.0</v>
      </c>
      <c r="H331" s="11"/>
      <c r="J331" s="18"/>
      <c r="L331" s="18"/>
      <c r="M331" s="23"/>
    </row>
    <row r="332">
      <c r="A332" s="10" t="s">
        <v>367</v>
      </c>
      <c r="B332" s="17" t="s">
        <v>368</v>
      </c>
      <c r="C332" s="4" t="s">
        <v>8</v>
      </c>
      <c r="D332" s="5" t="s">
        <v>13</v>
      </c>
      <c r="E332" s="6" t="s">
        <v>380</v>
      </c>
      <c r="F332" s="7">
        <v>45180.0</v>
      </c>
      <c r="H332" s="11"/>
      <c r="J332" s="18"/>
      <c r="L332" s="18"/>
      <c r="M332" s="23"/>
    </row>
    <row r="333">
      <c r="A333" s="10" t="s">
        <v>367</v>
      </c>
      <c r="B333" s="17" t="s">
        <v>368</v>
      </c>
      <c r="C333" s="4" t="s">
        <v>8</v>
      </c>
      <c r="D333" s="5" t="s">
        <v>39</v>
      </c>
      <c r="E333" s="6" t="s">
        <v>381</v>
      </c>
      <c r="F333" s="7">
        <v>45189.0</v>
      </c>
      <c r="H333" s="11"/>
      <c r="J333" s="18"/>
      <c r="L333" s="18"/>
      <c r="M333" s="23"/>
    </row>
    <row r="334">
      <c r="A334" s="10" t="s">
        <v>367</v>
      </c>
      <c r="B334" s="17" t="s">
        <v>368</v>
      </c>
      <c r="C334" s="4" t="s">
        <v>8</v>
      </c>
      <c r="D334" s="5" t="s">
        <v>51</v>
      </c>
      <c r="E334" s="6" t="s">
        <v>382</v>
      </c>
      <c r="F334" s="7">
        <v>45193.0</v>
      </c>
      <c r="H334" s="11"/>
      <c r="J334" s="18"/>
      <c r="L334" s="18"/>
      <c r="M334" s="23"/>
    </row>
    <row r="335">
      <c r="A335" s="10" t="s">
        <v>367</v>
      </c>
      <c r="B335" s="17" t="s">
        <v>368</v>
      </c>
      <c r="C335" s="4" t="s">
        <v>3</v>
      </c>
      <c r="D335" s="5" t="s">
        <v>21</v>
      </c>
      <c r="E335" s="6" t="s">
        <v>383</v>
      </c>
      <c r="F335" s="7">
        <v>45241.0</v>
      </c>
      <c r="H335" s="11"/>
      <c r="J335" s="18"/>
      <c r="L335" s="18"/>
      <c r="M335" s="23"/>
    </row>
    <row r="336">
      <c r="A336" s="10" t="s">
        <v>367</v>
      </c>
      <c r="B336" s="17" t="s">
        <v>368</v>
      </c>
      <c r="C336" s="4" t="s">
        <v>3</v>
      </c>
      <c r="D336" s="5" t="s">
        <v>21</v>
      </c>
      <c r="E336" s="6" t="s">
        <v>384</v>
      </c>
      <c r="F336" s="7">
        <v>45270.0</v>
      </c>
      <c r="H336" s="11"/>
      <c r="J336" s="18"/>
      <c r="L336" s="18"/>
      <c r="M336" s="23"/>
    </row>
    <row r="337">
      <c r="A337" s="10" t="s">
        <v>367</v>
      </c>
      <c r="B337" s="17" t="s">
        <v>368</v>
      </c>
      <c r="C337" s="4" t="s">
        <v>8</v>
      </c>
      <c r="D337" s="5" t="s">
        <v>45</v>
      </c>
      <c r="E337" s="6" t="s">
        <v>385</v>
      </c>
      <c r="F337" s="7">
        <v>45272.0</v>
      </c>
      <c r="H337" s="11"/>
      <c r="J337" s="18"/>
      <c r="L337" s="18"/>
      <c r="M337" s="23"/>
    </row>
    <row r="338">
      <c r="A338" s="10" t="s">
        <v>367</v>
      </c>
      <c r="B338" s="17" t="s">
        <v>368</v>
      </c>
      <c r="C338" s="4" t="s">
        <v>8</v>
      </c>
      <c r="D338" s="5" t="s">
        <v>9</v>
      </c>
      <c r="E338" s="6" t="s">
        <v>386</v>
      </c>
      <c r="F338" s="7">
        <v>45277.0</v>
      </c>
      <c r="H338" s="11"/>
      <c r="J338" s="18"/>
      <c r="L338" s="18"/>
      <c r="M338" s="23"/>
    </row>
    <row r="339">
      <c r="A339" s="10" t="s">
        <v>367</v>
      </c>
      <c r="B339" s="17" t="s">
        <v>368</v>
      </c>
      <c r="C339" s="4" t="s">
        <v>3</v>
      </c>
      <c r="D339" s="5" t="s">
        <v>23</v>
      </c>
      <c r="E339" s="6" t="s">
        <v>387</v>
      </c>
      <c r="F339" s="7">
        <v>45286.0</v>
      </c>
      <c r="H339" s="11"/>
      <c r="J339" s="18"/>
      <c r="L339" s="18"/>
      <c r="M339" s="23"/>
    </row>
    <row r="340">
      <c r="A340" s="10" t="s">
        <v>367</v>
      </c>
      <c r="B340" s="17" t="s">
        <v>368</v>
      </c>
      <c r="C340" s="4" t="s">
        <v>3</v>
      </c>
      <c r="D340" s="5" t="s">
        <v>11</v>
      </c>
      <c r="E340" s="6" t="s">
        <v>388</v>
      </c>
      <c r="F340" s="7">
        <v>45288.0</v>
      </c>
      <c r="H340" s="11"/>
      <c r="J340" s="18"/>
      <c r="L340" s="18"/>
      <c r="M340" s="23"/>
    </row>
    <row r="341">
      <c r="A341" s="10" t="s">
        <v>389</v>
      </c>
      <c r="B341" s="17" t="s">
        <v>390</v>
      </c>
      <c r="C341" s="4" t="s">
        <v>3</v>
      </c>
      <c r="D341" s="5" t="s">
        <v>45</v>
      </c>
      <c r="E341" s="6" t="s">
        <v>293</v>
      </c>
      <c r="F341" s="7">
        <v>44982.0</v>
      </c>
      <c r="H341" s="11"/>
      <c r="J341" s="18"/>
      <c r="L341" s="18"/>
      <c r="M341" s="23"/>
    </row>
    <row r="342">
      <c r="A342" s="10" t="s">
        <v>389</v>
      </c>
      <c r="B342" s="17" t="s">
        <v>390</v>
      </c>
      <c r="C342" s="4" t="s">
        <v>8</v>
      </c>
      <c r="D342" s="5" t="s">
        <v>39</v>
      </c>
      <c r="E342" s="6" t="s">
        <v>391</v>
      </c>
      <c r="F342" s="7">
        <v>44989.0</v>
      </c>
      <c r="H342" s="11"/>
      <c r="J342" s="18"/>
      <c r="L342" s="18"/>
      <c r="M342" s="23"/>
    </row>
    <row r="343">
      <c r="A343" s="10" t="s">
        <v>389</v>
      </c>
      <c r="B343" s="17" t="s">
        <v>390</v>
      </c>
      <c r="C343" s="4" t="s">
        <v>3</v>
      </c>
      <c r="D343" s="5" t="s">
        <v>45</v>
      </c>
      <c r="E343" s="6" t="s">
        <v>392</v>
      </c>
      <c r="F343" s="7">
        <v>44991.0</v>
      </c>
      <c r="H343" s="11"/>
      <c r="J343" s="18"/>
      <c r="L343" s="18"/>
      <c r="M343" s="23"/>
    </row>
    <row r="344">
      <c r="A344" s="10" t="s">
        <v>389</v>
      </c>
      <c r="B344" s="17" t="s">
        <v>390</v>
      </c>
      <c r="C344" s="4" t="s">
        <v>3</v>
      </c>
      <c r="D344" s="5" t="s">
        <v>76</v>
      </c>
      <c r="E344" s="6" t="s">
        <v>393</v>
      </c>
      <c r="F344" s="7">
        <v>44999.0</v>
      </c>
      <c r="H344" s="11"/>
      <c r="J344" s="18"/>
      <c r="L344" s="18"/>
      <c r="M344" s="23"/>
    </row>
    <row r="345">
      <c r="A345" s="10" t="s">
        <v>389</v>
      </c>
      <c r="B345" s="17" t="s">
        <v>390</v>
      </c>
      <c r="C345" s="4" t="s">
        <v>8</v>
      </c>
      <c r="D345" s="5" t="s">
        <v>6</v>
      </c>
      <c r="E345" s="6" t="s">
        <v>394</v>
      </c>
      <c r="F345" s="7">
        <v>45043.0</v>
      </c>
      <c r="H345" s="11"/>
      <c r="J345" s="18"/>
      <c r="L345" s="18"/>
      <c r="M345" s="23"/>
    </row>
    <row r="346">
      <c r="A346" s="10" t="s">
        <v>389</v>
      </c>
      <c r="B346" s="17" t="s">
        <v>390</v>
      </c>
      <c r="C346" s="4" t="s">
        <v>3</v>
      </c>
      <c r="D346" s="5" t="s">
        <v>9</v>
      </c>
      <c r="E346" s="6" t="s">
        <v>395</v>
      </c>
      <c r="F346" s="7">
        <v>45055.0</v>
      </c>
      <c r="H346" s="11"/>
      <c r="J346" s="18"/>
      <c r="L346" s="18"/>
      <c r="M346" s="23"/>
    </row>
    <row r="347">
      <c r="A347" s="10" t="s">
        <v>389</v>
      </c>
      <c r="B347" s="17" t="s">
        <v>390</v>
      </c>
      <c r="C347" s="4" t="s">
        <v>3</v>
      </c>
      <c r="D347" s="5" t="s">
        <v>21</v>
      </c>
      <c r="E347" s="6" t="s">
        <v>396</v>
      </c>
      <c r="F347" s="7">
        <v>45059.0</v>
      </c>
      <c r="H347" s="11"/>
      <c r="J347" s="18"/>
      <c r="L347" s="18"/>
      <c r="M347" s="23"/>
    </row>
    <row r="348">
      <c r="A348" s="10" t="s">
        <v>389</v>
      </c>
      <c r="B348" s="17" t="s">
        <v>390</v>
      </c>
      <c r="C348" s="4" t="s">
        <v>8</v>
      </c>
      <c r="D348" s="5" t="s">
        <v>120</v>
      </c>
      <c r="E348" s="6" t="s">
        <v>397</v>
      </c>
      <c r="F348" s="7">
        <v>45066.0</v>
      </c>
      <c r="H348" s="11"/>
      <c r="J348" s="18"/>
      <c r="L348" s="18"/>
      <c r="M348" s="23"/>
    </row>
    <row r="349">
      <c r="A349" s="10" t="s">
        <v>389</v>
      </c>
      <c r="B349" s="17" t="s">
        <v>390</v>
      </c>
      <c r="C349" s="4" t="s">
        <v>8</v>
      </c>
      <c r="D349" s="5" t="s">
        <v>28</v>
      </c>
      <c r="E349" s="6" t="s">
        <v>398</v>
      </c>
      <c r="F349" s="7">
        <v>45100.0</v>
      </c>
      <c r="H349" s="11"/>
      <c r="J349" s="18"/>
      <c r="L349" s="18"/>
      <c r="M349" s="23"/>
    </row>
    <row r="350">
      <c r="A350" s="10" t="s">
        <v>389</v>
      </c>
      <c r="B350" s="17" t="s">
        <v>390</v>
      </c>
      <c r="C350" s="4" t="s">
        <v>8</v>
      </c>
      <c r="D350" s="5" t="s">
        <v>35</v>
      </c>
      <c r="E350" s="6" t="s">
        <v>399</v>
      </c>
      <c r="F350" s="7">
        <v>45101.0</v>
      </c>
      <c r="H350" s="11"/>
      <c r="J350" s="18"/>
      <c r="L350" s="18"/>
      <c r="M350" s="23"/>
    </row>
    <row r="351">
      <c r="A351" s="10" t="s">
        <v>389</v>
      </c>
      <c r="B351" s="17" t="s">
        <v>390</v>
      </c>
      <c r="C351" s="4" t="s">
        <v>3</v>
      </c>
      <c r="D351" s="5" t="s">
        <v>45</v>
      </c>
      <c r="E351" s="6" t="s">
        <v>400</v>
      </c>
      <c r="F351" s="7">
        <v>45116.0</v>
      </c>
      <c r="H351" s="11"/>
      <c r="J351" s="18"/>
      <c r="L351" s="18"/>
      <c r="M351" s="23"/>
    </row>
    <row r="352">
      <c r="A352" s="10" t="s">
        <v>389</v>
      </c>
      <c r="B352" s="17" t="s">
        <v>390</v>
      </c>
      <c r="C352" s="4" t="s">
        <v>8</v>
      </c>
      <c r="D352" s="5" t="s">
        <v>19</v>
      </c>
      <c r="E352" s="6" t="s">
        <v>401</v>
      </c>
      <c r="F352" s="7">
        <v>45161.0</v>
      </c>
      <c r="H352" s="11"/>
      <c r="J352" s="18"/>
      <c r="L352" s="18"/>
      <c r="M352" s="23"/>
    </row>
    <row r="353">
      <c r="A353" s="10" t="s">
        <v>389</v>
      </c>
      <c r="B353" s="17" t="s">
        <v>390</v>
      </c>
      <c r="C353" s="4" t="s">
        <v>3</v>
      </c>
      <c r="D353" s="5" t="s">
        <v>9</v>
      </c>
      <c r="E353" s="6" t="s">
        <v>179</v>
      </c>
      <c r="F353" s="7">
        <v>45162.0</v>
      </c>
      <c r="H353" s="11"/>
      <c r="J353" s="18"/>
      <c r="L353" s="18"/>
      <c r="M353" s="23"/>
    </row>
    <row r="354">
      <c r="A354" s="10" t="s">
        <v>389</v>
      </c>
      <c r="B354" s="17" t="s">
        <v>390</v>
      </c>
      <c r="C354" s="4" t="s">
        <v>8</v>
      </c>
      <c r="D354" s="5" t="s">
        <v>35</v>
      </c>
      <c r="E354" s="6" t="s">
        <v>402</v>
      </c>
      <c r="F354" s="7">
        <v>45165.0</v>
      </c>
      <c r="H354" s="11"/>
      <c r="J354" s="18"/>
      <c r="L354" s="18"/>
      <c r="M354" s="23"/>
    </row>
    <row r="355">
      <c r="A355" s="10" t="s">
        <v>389</v>
      </c>
      <c r="B355" s="17" t="s">
        <v>390</v>
      </c>
      <c r="C355" s="4" t="s">
        <v>8</v>
      </c>
      <c r="D355" s="5" t="s">
        <v>9</v>
      </c>
      <c r="E355" s="6" t="s">
        <v>276</v>
      </c>
      <c r="F355" s="7">
        <v>45172.0</v>
      </c>
      <c r="H355" s="11"/>
      <c r="J355" s="18"/>
      <c r="L355" s="18"/>
      <c r="M355" s="23"/>
    </row>
    <row r="356">
      <c r="A356" s="10" t="s">
        <v>389</v>
      </c>
      <c r="B356" s="17" t="s">
        <v>390</v>
      </c>
      <c r="C356" s="4" t="s">
        <v>8</v>
      </c>
      <c r="D356" s="5" t="s">
        <v>9</v>
      </c>
      <c r="E356" s="6" t="s">
        <v>403</v>
      </c>
      <c r="F356" s="7">
        <v>45204.0</v>
      </c>
      <c r="H356" s="11"/>
      <c r="J356" s="18"/>
      <c r="L356" s="18"/>
      <c r="M356" s="23"/>
    </row>
    <row r="357">
      <c r="A357" s="10" t="s">
        <v>389</v>
      </c>
      <c r="B357" s="17" t="s">
        <v>390</v>
      </c>
      <c r="C357" s="4" t="s">
        <v>3</v>
      </c>
      <c r="D357" s="5" t="s">
        <v>4</v>
      </c>
      <c r="E357" s="6" t="s">
        <v>404</v>
      </c>
      <c r="F357" s="7">
        <v>45212.0</v>
      </c>
      <c r="H357" s="11"/>
      <c r="J357" s="18"/>
      <c r="L357" s="18"/>
      <c r="M357" s="23"/>
    </row>
    <row r="358">
      <c r="A358" s="10" t="s">
        <v>389</v>
      </c>
      <c r="B358" s="17" t="s">
        <v>390</v>
      </c>
      <c r="C358" s="4" t="s">
        <v>3</v>
      </c>
      <c r="D358" s="5" t="s">
        <v>45</v>
      </c>
      <c r="E358" s="6" t="s">
        <v>405</v>
      </c>
      <c r="F358" s="7">
        <v>45233.0</v>
      </c>
      <c r="H358" s="11"/>
      <c r="J358" s="18"/>
      <c r="L358" s="18"/>
      <c r="M358" s="23"/>
    </row>
    <row r="359">
      <c r="A359" s="10" t="s">
        <v>389</v>
      </c>
      <c r="B359" s="17" t="s">
        <v>390</v>
      </c>
      <c r="C359" s="4" t="s">
        <v>3</v>
      </c>
      <c r="D359" s="5" t="s">
        <v>21</v>
      </c>
      <c r="E359" s="6" t="s">
        <v>406</v>
      </c>
      <c r="F359" s="7">
        <v>45246.0</v>
      </c>
      <c r="H359" s="11"/>
      <c r="J359" s="18"/>
      <c r="L359" s="18"/>
      <c r="M359" s="23"/>
    </row>
    <row r="360">
      <c r="A360" s="10" t="s">
        <v>389</v>
      </c>
      <c r="B360" s="17" t="s">
        <v>390</v>
      </c>
      <c r="C360" s="4" t="s">
        <v>8</v>
      </c>
      <c r="D360" s="5" t="s">
        <v>23</v>
      </c>
      <c r="E360" s="6" t="s">
        <v>407</v>
      </c>
      <c r="F360" s="7">
        <v>45249.0</v>
      </c>
      <c r="H360" s="11"/>
      <c r="J360" s="18"/>
      <c r="L360" s="18"/>
      <c r="M360" s="23"/>
    </row>
    <row r="361">
      <c r="A361" s="10" t="s">
        <v>408</v>
      </c>
      <c r="B361" s="17" t="s">
        <v>409</v>
      </c>
      <c r="C361" s="4" t="s">
        <v>8</v>
      </c>
      <c r="D361" s="5" t="s">
        <v>45</v>
      </c>
      <c r="E361" s="6" t="s">
        <v>410</v>
      </c>
      <c r="F361" s="7">
        <v>44949.0</v>
      </c>
      <c r="H361" s="11"/>
      <c r="J361" s="18"/>
      <c r="L361" s="18"/>
      <c r="M361" s="23"/>
    </row>
    <row r="362">
      <c r="A362" s="10" t="s">
        <v>408</v>
      </c>
      <c r="B362" s="17" t="s">
        <v>409</v>
      </c>
      <c r="C362" s="4" t="s">
        <v>3</v>
      </c>
      <c r="D362" s="5" t="s">
        <v>11</v>
      </c>
      <c r="E362" s="6" t="s">
        <v>411</v>
      </c>
      <c r="F362" s="7">
        <v>45035.0</v>
      </c>
      <c r="H362" s="11"/>
      <c r="J362" s="18"/>
      <c r="L362" s="18"/>
      <c r="M362" s="23"/>
    </row>
    <row r="363">
      <c r="A363" s="10" t="s">
        <v>408</v>
      </c>
      <c r="B363" s="17" t="s">
        <v>409</v>
      </c>
      <c r="C363" s="4" t="s">
        <v>8</v>
      </c>
      <c r="D363" s="5" t="s">
        <v>23</v>
      </c>
      <c r="E363" s="6" t="s">
        <v>412</v>
      </c>
      <c r="F363" s="7">
        <v>45058.0</v>
      </c>
      <c r="H363" s="11"/>
      <c r="J363" s="18"/>
      <c r="L363" s="18"/>
      <c r="M363" s="23"/>
    </row>
    <row r="364">
      <c r="A364" s="10" t="s">
        <v>408</v>
      </c>
      <c r="B364" s="17" t="s">
        <v>409</v>
      </c>
      <c r="C364" s="4" t="s">
        <v>3</v>
      </c>
      <c r="D364" s="5" t="s">
        <v>51</v>
      </c>
      <c r="E364" s="6" t="s">
        <v>413</v>
      </c>
      <c r="F364" s="7">
        <v>45065.0</v>
      </c>
      <c r="H364" s="11"/>
      <c r="J364" s="18"/>
      <c r="L364" s="18"/>
      <c r="M364" s="23"/>
    </row>
    <row r="365">
      <c r="A365" s="10" t="s">
        <v>408</v>
      </c>
      <c r="B365" s="17" t="s">
        <v>409</v>
      </c>
      <c r="C365" s="4" t="s">
        <v>8</v>
      </c>
      <c r="D365" s="5" t="s">
        <v>11</v>
      </c>
      <c r="E365" s="6" t="s">
        <v>414</v>
      </c>
      <c r="F365" s="7">
        <v>45079.0</v>
      </c>
      <c r="H365" s="11"/>
      <c r="J365" s="18"/>
      <c r="L365" s="18"/>
      <c r="M365" s="23"/>
    </row>
    <row r="366">
      <c r="A366" s="10" t="s">
        <v>408</v>
      </c>
      <c r="B366" s="17" t="s">
        <v>409</v>
      </c>
      <c r="C366" s="4" t="s">
        <v>3</v>
      </c>
      <c r="D366" s="5" t="s">
        <v>96</v>
      </c>
      <c r="E366" s="6" t="s">
        <v>415</v>
      </c>
      <c r="F366" s="7">
        <v>45080.0</v>
      </c>
      <c r="H366" s="11"/>
      <c r="J366" s="18"/>
      <c r="L366" s="18"/>
      <c r="M366" s="23"/>
    </row>
    <row r="367">
      <c r="A367" s="10" t="s">
        <v>408</v>
      </c>
      <c r="B367" s="17" t="s">
        <v>409</v>
      </c>
      <c r="C367" s="4" t="s">
        <v>8</v>
      </c>
      <c r="D367" s="5" t="s">
        <v>28</v>
      </c>
      <c r="E367" s="6" t="s">
        <v>416</v>
      </c>
      <c r="F367" s="7">
        <v>45090.0</v>
      </c>
      <c r="H367" s="11"/>
      <c r="J367" s="18"/>
      <c r="L367" s="18"/>
      <c r="M367" s="23"/>
    </row>
    <row r="368">
      <c r="A368" s="10" t="s">
        <v>408</v>
      </c>
      <c r="B368" s="17" t="s">
        <v>409</v>
      </c>
      <c r="C368" s="4" t="s">
        <v>8</v>
      </c>
      <c r="D368" s="5" t="s">
        <v>45</v>
      </c>
      <c r="E368" s="6" t="s">
        <v>417</v>
      </c>
      <c r="F368" s="7">
        <v>45133.0</v>
      </c>
      <c r="H368" s="11"/>
      <c r="J368" s="18"/>
      <c r="L368" s="18"/>
      <c r="M368" s="23"/>
    </row>
    <row r="369">
      <c r="A369" s="10" t="s">
        <v>408</v>
      </c>
      <c r="B369" s="17" t="s">
        <v>409</v>
      </c>
      <c r="C369" s="4" t="s">
        <v>3</v>
      </c>
      <c r="D369" s="5" t="s">
        <v>19</v>
      </c>
      <c r="E369" s="6" t="s">
        <v>418</v>
      </c>
      <c r="F369" s="7">
        <v>45155.0</v>
      </c>
      <c r="H369" s="11"/>
      <c r="J369" s="18"/>
      <c r="L369" s="18"/>
      <c r="M369" s="23"/>
    </row>
    <row r="370">
      <c r="A370" s="10" t="s">
        <v>408</v>
      </c>
      <c r="B370" s="17" t="s">
        <v>409</v>
      </c>
      <c r="C370" s="4" t="s">
        <v>3</v>
      </c>
      <c r="D370" s="5" t="s">
        <v>11</v>
      </c>
      <c r="E370" s="6" t="s">
        <v>419</v>
      </c>
      <c r="F370" s="7">
        <v>45157.0</v>
      </c>
      <c r="H370" s="11"/>
      <c r="J370" s="18"/>
      <c r="L370" s="18"/>
      <c r="M370" s="23"/>
    </row>
    <row r="371">
      <c r="A371" s="10" t="s">
        <v>408</v>
      </c>
      <c r="B371" s="17" t="s">
        <v>409</v>
      </c>
      <c r="C371" s="4" t="s">
        <v>3</v>
      </c>
      <c r="D371" s="5" t="s">
        <v>6</v>
      </c>
      <c r="E371" s="6" t="s">
        <v>420</v>
      </c>
      <c r="F371" s="7">
        <v>45182.0</v>
      </c>
      <c r="H371" s="11"/>
      <c r="J371" s="18"/>
      <c r="L371" s="18"/>
      <c r="M371" s="23"/>
    </row>
    <row r="372">
      <c r="A372" s="10" t="s">
        <v>408</v>
      </c>
      <c r="B372" s="17" t="s">
        <v>409</v>
      </c>
      <c r="C372" s="4" t="s">
        <v>3</v>
      </c>
      <c r="D372" s="5" t="s">
        <v>4</v>
      </c>
      <c r="E372" s="6" t="s">
        <v>421</v>
      </c>
      <c r="F372" s="7">
        <v>45208.0</v>
      </c>
      <c r="H372" s="11"/>
      <c r="J372" s="18"/>
      <c r="L372" s="18"/>
      <c r="M372" s="23"/>
    </row>
    <row r="373">
      <c r="A373" s="10" t="s">
        <v>408</v>
      </c>
      <c r="B373" s="17" t="s">
        <v>409</v>
      </c>
      <c r="C373" s="4" t="s">
        <v>8</v>
      </c>
      <c r="D373" s="5" t="s">
        <v>21</v>
      </c>
      <c r="E373" s="6" t="s">
        <v>422</v>
      </c>
      <c r="F373" s="7">
        <v>45221.0</v>
      </c>
      <c r="H373" s="11"/>
      <c r="J373" s="18"/>
      <c r="L373" s="18"/>
      <c r="M373" s="23"/>
    </row>
    <row r="374">
      <c r="A374" s="10" t="s">
        <v>408</v>
      </c>
      <c r="B374" s="17" t="s">
        <v>409</v>
      </c>
      <c r="C374" s="4" t="s">
        <v>8</v>
      </c>
      <c r="D374" s="5" t="s">
        <v>17</v>
      </c>
      <c r="E374" s="6" t="s">
        <v>423</v>
      </c>
      <c r="F374" s="7">
        <v>45223.0</v>
      </c>
      <c r="H374" s="11"/>
      <c r="J374" s="18"/>
      <c r="L374" s="18"/>
      <c r="M374" s="23"/>
    </row>
    <row r="375">
      <c r="A375" s="10" t="s">
        <v>408</v>
      </c>
      <c r="B375" s="17" t="s">
        <v>409</v>
      </c>
      <c r="C375" s="4" t="s">
        <v>8</v>
      </c>
      <c r="D375" s="5" t="s">
        <v>120</v>
      </c>
      <c r="E375" s="6" t="s">
        <v>424</v>
      </c>
      <c r="F375" s="7">
        <v>45242.0</v>
      </c>
      <c r="H375" s="11"/>
      <c r="J375" s="18"/>
      <c r="L375" s="18"/>
      <c r="M375" s="23"/>
    </row>
    <row r="376">
      <c r="A376" s="10" t="s">
        <v>408</v>
      </c>
      <c r="B376" s="17" t="s">
        <v>409</v>
      </c>
      <c r="C376" s="4" t="s">
        <v>8</v>
      </c>
      <c r="D376" s="5" t="s">
        <v>71</v>
      </c>
      <c r="E376" s="6" t="s">
        <v>425</v>
      </c>
      <c r="F376" s="7">
        <v>45244.0</v>
      </c>
      <c r="H376" s="11"/>
      <c r="J376" s="18"/>
      <c r="L376" s="18"/>
      <c r="M376" s="23"/>
    </row>
    <row r="377">
      <c r="A377" s="10" t="s">
        <v>408</v>
      </c>
      <c r="B377" s="17" t="s">
        <v>409</v>
      </c>
      <c r="C377" s="4" t="s">
        <v>8</v>
      </c>
      <c r="D377" s="5" t="s">
        <v>21</v>
      </c>
      <c r="E377" s="6" t="s">
        <v>426</v>
      </c>
      <c r="F377" s="7">
        <v>45255.0</v>
      </c>
      <c r="H377" s="11"/>
      <c r="J377" s="18"/>
      <c r="L377" s="18"/>
      <c r="M377" s="23"/>
    </row>
    <row r="378">
      <c r="A378" s="10" t="s">
        <v>408</v>
      </c>
      <c r="B378" s="17" t="s">
        <v>409</v>
      </c>
      <c r="C378" s="4" t="s">
        <v>8</v>
      </c>
      <c r="D378" s="5" t="s">
        <v>21</v>
      </c>
      <c r="E378" s="6" t="s">
        <v>427</v>
      </c>
      <c r="F378" s="7">
        <v>45267.0</v>
      </c>
      <c r="H378" s="11"/>
      <c r="J378" s="18"/>
      <c r="L378" s="18"/>
      <c r="M378" s="23"/>
    </row>
    <row r="379">
      <c r="A379" s="10" t="s">
        <v>408</v>
      </c>
      <c r="B379" s="17" t="s">
        <v>409</v>
      </c>
      <c r="C379" s="4" t="s">
        <v>3</v>
      </c>
      <c r="D379" s="5" t="s">
        <v>42</v>
      </c>
      <c r="E379" s="6" t="s">
        <v>428</v>
      </c>
      <c r="F379" s="7">
        <v>45278.0</v>
      </c>
      <c r="H379" s="11"/>
      <c r="J379" s="18"/>
      <c r="L379" s="18"/>
      <c r="M379" s="23"/>
    </row>
    <row r="380">
      <c r="A380" s="10" t="s">
        <v>408</v>
      </c>
      <c r="B380" s="17" t="s">
        <v>409</v>
      </c>
      <c r="C380" s="4" t="s">
        <v>3</v>
      </c>
      <c r="D380" s="5" t="s">
        <v>51</v>
      </c>
      <c r="E380" s="6" t="s">
        <v>255</v>
      </c>
      <c r="F380" s="7">
        <v>45279.0</v>
      </c>
      <c r="H380" s="11"/>
      <c r="J380" s="18"/>
      <c r="L380" s="18"/>
      <c r="M380" s="23"/>
    </row>
    <row r="381">
      <c r="A381" s="10" t="s">
        <v>429</v>
      </c>
      <c r="B381" s="17" t="s">
        <v>430</v>
      </c>
      <c r="C381" s="4" t="s">
        <v>8</v>
      </c>
      <c r="D381" s="5" t="s">
        <v>6</v>
      </c>
      <c r="E381" s="6" t="s">
        <v>431</v>
      </c>
      <c r="F381" s="7">
        <v>44942.0</v>
      </c>
      <c r="H381" s="11"/>
      <c r="J381" s="18"/>
      <c r="L381" s="18"/>
      <c r="M381" s="23"/>
    </row>
    <row r="382">
      <c r="A382" s="10" t="s">
        <v>429</v>
      </c>
      <c r="B382" s="17" t="s">
        <v>430</v>
      </c>
      <c r="C382" s="4" t="s">
        <v>3</v>
      </c>
      <c r="D382" s="5" t="s">
        <v>35</v>
      </c>
      <c r="E382" s="6" t="s">
        <v>432</v>
      </c>
      <c r="F382" s="7">
        <v>44943.0</v>
      </c>
      <c r="H382" s="11"/>
      <c r="J382" s="18"/>
      <c r="L382" s="18"/>
      <c r="M382" s="23"/>
    </row>
    <row r="383">
      <c r="A383" s="10" t="s">
        <v>429</v>
      </c>
      <c r="B383" s="17" t="s">
        <v>430</v>
      </c>
      <c r="C383" s="4" t="s">
        <v>8</v>
      </c>
      <c r="D383" s="5" t="s">
        <v>71</v>
      </c>
      <c r="E383" s="6" t="s">
        <v>433</v>
      </c>
      <c r="F383" s="7">
        <v>44959.0</v>
      </c>
      <c r="H383" s="11"/>
      <c r="J383" s="18"/>
      <c r="L383" s="18"/>
      <c r="M383" s="23"/>
    </row>
    <row r="384">
      <c r="A384" s="10" t="s">
        <v>429</v>
      </c>
      <c r="B384" s="17" t="s">
        <v>430</v>
      </c>
      <c r="C384" s="4" t="s">
        <v>8</v>
      </c>
      <c r="D384" s="5" t="s">
        <v>35</v>
      </c>
      <c r="E384" s="6" t="s">
        <v>434</v>
      </c>
      <c r="F384" s="7">
        <v>44969.0</v>
      </c>
      <c r="H384" s="11"/>
      <c r="J384" s="18"/>
      <c r="L384" s="18"/>
      <c r="M384" s="23"/>
    </row>
    <row r="385">
      <c r="A385" s="10" t="s">
        <v>429</v>
      </c>
      <c r="B385" s="17" t="s">
        <v>430</v>
      </c>
      <c r="C385" s="4" t="s">
        <v>8</v>
      </c>
      <c r="D385" s="5" t="s">
        <v>42</v>
      </c>
      <c r="E385" s="6" t="s">
        <v>208</v>
      </c>
      <c r="F385" s="7">
        <v>44972.0</v>
      </c>
      <c r="H385" s="11"/>
      <c r="J385" s="18"/>
      <c r="L385" s="18"/>
      <c r="M385" s="23"/>
    </row>
    <row r="386">
      <c r="A386" s="10" t="s">
        <v>429</v>
      </c>
      <c r="B386" s="17" t="s">
        <v>430</v>
      </c>
      <c r="C386" s="4" t="s">
        <v>3</v>
      </c>
      <c r="D386" s="5" t="s">
        <v>42</v>
      </c>
      <c r="E386" s="6" t="s">
        <v>435</v>
      </c>
      <c r="F386" s="7">
        <v>44991.0</v>
      </c>
      <c r="H386" s="11"/>
      <c r="J386" s="18"/>
      <c r="L386" s="18"/>
      <c r="M386" s="23"/>
    </row>
    <row r="387">
      <c r="A387" s="10" t="s">
        <v>429</v>
      </c>
      <c r="B387" s="17" t="s">
        <v>430</v>
      </c>
      <c r="C387" s="4" t="s">
        <v>8</v>
      </c>
      <c r="D387" s="5" t="s">
        <v>76</v>
      </c>
      <c r="E387" s="6" t="s">
        <v>436</v>
      </c>
      <c r="F387" s="7">
        <v>45041.0</v>
      </c>
      <c r="H387" s="11"/>
      <c r="J387" s="18"/>
      <c r="L387" s="18"/>
      <c r="M387" s="23"/>
    </row>
    <row r="388">
      <c r="A388" s="10" t="s">
        <v>429</v>
      </c>
      <c r="B388" s="17" t="s">
        <v>430</v>
      </c>
      <c r="C388" s="4" t="s">
        <v>3</v>
      </c>
      <c r="D388" s="5" t="s">
        <v>39</v>
      </c>
      <c r="E388" s="6" t="s">
        <v>437</v>
      </c>
      <c r="F388" s="7">
        <v>45070.0</v>
      </c>
      <c r="H388" s="11"/>
      <c r="J388" s="18"/>
      <c r="L388" s="18"/>
      <c r="M388" s="23"/>
    </row>
    <row r="389">
      <c r="A389" s="10" t="s">
        <v>429</v>
      </c>
      <c r="B389" s="17" t="s">
        <v>430</v>
      </c>
      <c r="C389" s="4" t="s">
        <v>8</v>
      </c>
      <c r="D389" s="5" t="s">
        <v>71</v>
      </c>
      <c r="E389" s="6" t="s">
        <v>438</v>
      </c>
      <c r="F389" s="7">
        <v>45072.0</v>
      </c>
      <c r="H389" s="11"/>
      <c r="J389" s="18"/>
      <c r="L389" s="18"/>
      <c r="M389" s="23"/>
    </row>
    <row r="390">
      <c r="A390" s="10" t="s">
        <v>429</v>
      </c>
      <c r="B390" s="17" t="s">
        <v>430</v>
      </c>
      <c r="C390" s="4" t="s">
        <v>3</v>
      </c>
      <c r="D390" s="5" t="s">
        <v>42</v>
      </c>
      <c r="E390" s="6" t="s">
        <v>439</v>
      </c>
      <c r="F390" s="7">
        <v>45079.0</v>
      </c>
      <c r="H390" s="11"/>
      <c r="J390" s="18"/>
      <c r="L390" s="18"/>
      <c r="M390" s="23"/>
    </row>
    <row r="391">
      <c r="A391" s="10" t="s">
        <v>429</v>
      </c>
      <c r="B391" s="17" t="s">
        <v>430</v>
      </c>
      <c r="C391" s="4" t="s">
        <v>3</v>
      </c>
      <c r="D391" s="5" t="s">
        <v>28</v>
      </c>
      <c r="E391" s="6" t="s">
        <v>440</v>
      </c>
      <c r="F391" s="7">
        <v>45119.0</v>
      </c>
      <c r="H391" s="11"/>
      <c r="J391" s="18"/>
      <c r="L391" s="18"/>
      <c r="M391" s="23"/>
    </row>
    <row r="392">
      <c r="A392" s="10" t="s">
        <v>429</v>
      </c>
      <c r="B392" s="17" t="s">
        <v>430</v>
      </c>
      <c r="C392" s="4" t="s">
        <v>3</v>
      </c>
      <c r="D392" s="5" t="s">
        <v>21</v>
      </c>
      <c r="E392" s="6" t="s">
        <v>441</v>
      </c>
      <c r="F392" s="7">
        <v>45124.0</v>
      </c>
      <c r="H392" s="11"/>
      <c r="J392" s="18"/>
      <c r="L392" s="18"/>
      <c r="M392" s="23"/>
    </row>
    <row r="393">
      <c r="A393" s="10" t="s">
        <v>429</v>
      </c>
      <c r="B393" s="17" t="s">
        <v>430</v>
      </c>
      <c r="C393" s="4" t="s">
        <v>8</v>
      </c>
      <c r="D393" s="5" t="s">
        <v>45</v>
      </c>
      <c r="E393" s="6" t="s">
        <v>442</v>
      </c>
      <c r="F393" s="7">
        <v>45148.0</v>
      </c>
      <c r="H393" s="11"/>
      <c r="J393" s="18"/>
      <c r="L393" s="18"/>
      <c r="M393" s="23"/>
    </row>
    <row r="394">
      <c r="A394" s="10" t="s">
        <v>429</v>
      </c>
      <c r="B394" s="17" t="s">
        <v>430</v>
      </c>
      <c r="C394" s="4" t="s">
        <v>3</v>
      </c>
      <c r="D394" s="5" t="s">
        <v>120</v>
      </c>
      <c r="E394" s="6" t="s">
        <v>443</v>
      </c>
      <c r="F394" s="7">
        <v>45170.0</v>
      </c>
      <c r="H394" s="11"/>
      <c r="J394" s="18"/>
      <c r="L394" s="18"/>
      <c r="M394" s="23"/>
    </row>
    <row r="395">
      <c r="A395" s="10" t="s">
        <v>429</v>
      </c>
      <c r="B395" s="17" t="s">
        <v>430</v>
      </c>
      <c r="C395" s="4" t="s">
        <v>3</v>
      </c>
      <c r="D395" s="5" t="s">
        <v>120</v>
      </c>
      <c r="E395" s="6" t="s">
        <v>444</v>
      </c>
      <c r="F395" s="7">
        <v>45182.0</v>
      </c>
      <c r="H395" s="11"/>
      <c r="J395" s="18"/>
      <c r="L395" s="18"/>
      <c r="M395" s="23"/>
    </row>
    <row r="396">
      <c r="A396" s="10" t="s">
        <v>429</v>
      </c>
      <c r="B396" s="17" t="s">
        <v>430</v>
      </c>
      <c r="C396" s="4" t="s">
        <v>3</v>
      </c>
      <c r="D396" s="5" t="s">
        <v>13</v>
      </c>
      <c r="E396" s="6" t="s">
        <v>445</v>
      </c>
      <c r="F396" s="7">
        <v>45225.0</v>
      </c>
      <c r="H396" s="11"/>
      <c r="J396" s="18"/>
      <c r="L396" s="18"/>
      <c r="M396" s="23"/>
    </row>
    <row r="397">
      <c r="A397" s="10" t="s">
        <v>429</v>
      </c>
      <c r="B397" s="17" t="s">
        <v>430</v>
      </c>
      <c r="C397" s="4" t="s">
        <v>8</v>
      </c>
      <c r="D397" s="5" t="s">
        <v>11</v>
      </c>
      <c r="E397" s="6" t="s">
        <v>446</v>
      </c>
      <c r="F397" s="7">
        <v>45236.0</v>
      </c>
      <c r="H397" s="11"/>
      <c r="J397" s="18"/>
      <c r="L397" s="18"/>
      <c r="M397" s="23"/>
    </row>
    <row r="398">
      <c r="A398" s="10" t="s">
        <v>429</v>
      </c>
      <c r="B398" s="17" t="s">
        <v>430</v>
      </c>
      <c r="C398" s="4" t="s">
        <v>8</v>
      </c>
      <c r="D398" s="5" t="s">
        <v>120</v>
      </c>
      <c r="E398" s="6" t="s">
        <v>447</v>
      </c>
      <c r="F398" s="7">
        <v>45238.0</v>
      </c>
      <c r="H398" s="11"/>
      <c r="J398" s="18"/>
      <c r="L398" s="18"/>
      <c r="M398" s="23"/>
    </row>
    <row r="399">
      <c r="A399" s="10" t="s">
        <v>429</v>
      </c>
      <c r="B399" s="17" t="s">
        <v>430</v>
      </c>
      <c r="C399" s="4" t="s">
        <v>3</v>
      </c>
      <c r="D399" s="5" t="s">
        <v>28</v>
      </c>
      <c r="E399" s="6" t="s">
        <v>448</v>
      </c>
      <c r="F399" s="7">
        <v>45242.0</v>
      </c>
      <c r="H399" s="11"/>
      <c r="J399" s="18"/>
      <c r="L399" s="18"/>
      <c r="M399" s="23"/>
    </row>
    <row r="400">
      <c r="A400" s="10" t="s">
        <v>429</v>
      </c>
      <c r="B400" s="17" t="s">
        <v>430</v>
      </c>
      <c r="C400" s="4" t="s">
        <v>3</v>
      </c>
      <c r="D400" s="5" t="s">
        <v>23</v>
      </c>
      <c r="E400" s="6" t="s">
        <v>449</v>
      </c>
      <c r="F400" s="7">
        <v>45245.0</v>
      </c>
      <c r="H400" s="11"/>
      <c r="J400" s="18"/>
      <c r="L400" s="18"/>
      <c r="M400" s="23"/>
    </row>
    <row r="401">
      <c r="A401" s="10" t="s">
        <v>450</v>
      </c>
      <c r="B401" s="17" t="s">
        <v>451</v>
      </c>
      <c r="C401" s="4" t="s">
        <v>3</v>
      </c>
      <c r="D401" s="5" t="s">
        <v>15</v>
      </c>
      <c r="E401" s="6" t="s">
        <v>452</v>
      </c>
      <c r="F401" s="7">
        <v>44948.0</v>
      </c>
      <c r="H401" s="11"/>
      <c r="J401" s="18"/>
      <c r="L401" s="18"/>
      <c r="M401" s="23"/>
    </row>
    <row r="402">
      <c r="A402" s="10" t="s">
        <v>450</v>
      </c>
      <c r="B402" s="17" t="s">
        <v>451</v>
      </c>
      <c r="C402" s="4" t="s">
        <v>3</v>
      </c>
      <c r="D402" s="5" t="s">
        <v>96</v>
      </c>
      <c r="E402" s="6" t="s">
        <v>453</v>
      </c>
      <c r="F402" s="7">
        <v>44960.0</v>
      </c>
      <c r="H402" s="11"/>
      <c r="J402" s="18"/>
      <c r="L402" s="18"/>
      <c r="M402" s="23"/>
    </row>
    <row r="403">
      <c r="A403" s="10" t="s">
        <v>450</v>
      </c>
      <c r="B403" s="17" t="s">
        <v>451</v>
      </c>
      <c r="C403" s="4" t="s">
        <v>3</v>
      </c>
      <c r="D403" s="5" t="s">
        <v>17</v>
      </c>
      <c r="E403" s="6" t="s">
        <v>454</v>
      </c>
      <c r="F403" s="7">
        <v>44960.0</v>
      </c>
      <c r="H403" s="11"/>
      <c r="J403" s="18"/>
      <c r="L403" s="18"/>
      <c r="M403" s="23"/>
    </row>
    <row r="404">
      <c r="A404" s="10" t="s">
        <v>450</v>
      </c>
      <c r="B404" s="17" t="s">
        <v>451</v>
      </c>
      <c r="C404" s="4" t="s">
        <v>3</v>
      </c>
      <c r="D404" s="5" t="s">
        <v>42</v>
      </c>
      <c r="E404" s="6" t="s">
        <v>455</v>
      </c>
      <c r="F404" s="7">
        <v>44986.0</v>
      </c>
      <c r="H404" s="11"/>
      <c r="J404" s="18"/>
      <c r="L404" s="18"/>
      <c r="M404" s="23"/>
    </row>
    <row r="405">
      <c r="A405" s="10" t="s">
        <v>450</v>
      </c>
      <c r="B405" s="17" t="s">
        <v>451</v>
      </c>
      <c r="C405" s="4" t="s">
        <v>3</v>
      </c>
      <c r="D405" s="5" t="s">
        <v>21</v>
      </c>
      <c r="E405" s="6" t="s">
        <v>456</v>
      </c>
      <c r="F405" s="7">
        <v>45004.0</v>
      </c>
      <c r="H405" s="11"/>
      <c r="J405" s="18"/>
      <c r="L405" s="18"/>
      <c r="M405" s="23"/>
    </row>
    <row r="406">
      <c r="A406" s="10" t="s">
        <v>450</v>
      </c>
      <c r="B406" s="17" t="s">
        <v>451</v>
      </c>
      <c r="C406" s="4" t="s">
        <v>3</v>
      </c>
      <c r="D406" s="5" t="s">
        <v>4</v>
      </c>
      <c r="E406" s="6" t="s">
        <v>457</v>
      </c>
      <c r="F406" s="7">
        <v>45032.0</v>
      </c>
      <c r="H406" s="11"/>
      <c r="J406" s="18"/>
      <c r="L406" s="18"/>
      <c r="M406" s="23"/>
    </row>
    <row r="407">
      <c r="A407" s="10" t="s">
        <v>450</v>
      </c>
      <c r="B407" s="17" t="s">
        <v>451</v>
      </c>
      <c r="C407" s="4" t="s">
        <v>3</v>
      </c>
      <c r="D407" s="5" t="s">
        <v>96</v>
      </c>
      <c r="E407" s="6" t="s">
        <v>458</v>
      </c>
      <c r="F407" s="7">
        <v>45042.0</v>
      </c>
      <c r="H407" s="11"/>
      <c r="J407" s="18"/>
      <c r="L407" s="18"/>
      <c r="M407" s="23"/>
    </row>
    <row r="408">
      <c r="A408" s="10" t="s">
        <v>450</v>
      </c>
      <c r="B408" s="17" t="s">
        <v>451</v>
      </c>
      <c r="C408" s="4" t="s">
        <v>8</v>
      </c>
      <c r="D408" s="5" t="s">
        <v>120</v>
      </c>
      <c r="E408" s="6" t="s">
        <v>459</v>
      </c>
      <c r="F408" s="7">
        <v>45056.0</v>
      </c>
      <c r="H408" s="11"/>
      <c r="J408" s="18"/>
      <c r="L408" s="18"/>
      <c r="M408" s="23"/>
    </row>
    <row r="409">
      <c r="A409" s="10" t="s">
        <v>450</v>
      </c>
      <c r="B409" s="17" t="s">
        <v>451</v>
      </c>
      <c r="C409" s="4" t="s">
        <v>3</v>
      </c>
      <c r="D409" s="5" t="s">
        <v>4</v>
      </c>
      <c r="E409" s="6" t="s">
        <v>460</v>
      </c>
      <c r="F409" s="7">
        <v>45064.0</v>
      </c>
      <c r="H409" s="11"/>
      <c r="J409" s="18"/>
      <c r="L409" s="18"/>
      <c r="M409" s="23"/>
    </row>
    <row r="410">
      <c r="A410" s="10" t="s">
        <v>450</v>
      </c>
      <c r="B410" s="17" t="s">
        <v>451</v>
      </c>
      <c r="C410" s="4" t="s">
        <v>3</v>
      </c>
      <c r="D410" s="5" t="s">
        <v>15</v>
      </c>
      <c r="E410" s="6" t="s">
        <v>257</v>
      </c>
      <c r="F410" s="7">
        <v>45084.0</v>
      </c>
      <c r="H410" s="11"/>
      <c r="J410" s="18"/>
      <c r="L410" s="18"/>
      <c r="M410" s="23"/>
    </row>
    <row r="411">
      <c r="A411" s="10" t="s">
        <v>450</v>
      </c>
      <c r="B411" s="17" t="s">
        <v>451</v>
      </c>
      <c r="C411" s="4" t="s">
        <v>8</v>
      </c>
      <c r="D411" s="5" t="s">
        <v>19</v>
      </c>
      <c r="E411" s="6" t="s">
        <v>461</v>
      </c>
      <c r="F411" s="7">
        <v>45108.0</v>
      </c>
      <c r="H411" s="11"/>
      <c r="J411" s="18"/>
      <c r="L411" s="18"/>
      <c r="M411" s="23"/>
    </row>
    <row r="412">
      <c r="A412" s="10" t="s">
        <v>450</v>
      </c>
      <c r="B412" s="17" t="s">
        <v>451</v>
      </c>
      <c r="C412" s="4" t="s">
        <v>3</v>
      </c>
      <c r="D412" s="5" t="s">
        <v>13</v>
      </c>
      <c r="E412" s="6" t="s">
        <v>462</v>
      </c>
      <c r="F412" s="7">
        <v>45112.0</v>
      </c>
      <c r="H412" s="11"/>
      <c r="J412" s="18"/>
      <c r="L412" s="18"/>
      <c r="M412" s="23"/>
    </row>
    <row r="413">
      <c r="A413" s="10" t="s">
        <v>450</v>
      </c>
      <c r="B413" s="17" t="s">
        <v>451</v>
      </c>
      <c r="C413" s="4" t="s">
        <v>8</v>
      </c>
      <c r="D413" s="5" t="s">
        <v>45</v>
      </c>
      <c r="E413" s="6" t="s">
        <v>463</v>
      </c>
      <c r="F413" s="7">
        <v>45160.0</v>
      </c>
      <c r="H413" s="11"/>
      <c r="J413" s="18"/>
      <c r="L413" s="18"/>
      <c r="M413" s="23"/>
    </row>
    <row r="414">
      <c r="A414" s="10" t="s">
        <v>450</v>
      </c>
      <c r="B414" s="17" t="s">
        <v>451</v>
      </c>
      <c r="C414" s="4" t="s">
        <v>8</v>
      </c>
      <c r="D414" s="5" t="s">
        <v>4</v>
      </c>
      <c r="E414" s="6" t="s">
        <v>464</v>
      </c>
      <c r="F414" s="7">
        <v>45162.0</v>
      </c>
      <c r="H414" s="11"/>
      <c r="J414" s="18"/>
      <c r="L414" s="18"/>
      <c r="M414" s="23"/>
    </row>
    <row r="415">
      <c r="A415" s="10" t="s">
        <v>450</v>
      </c>
      <c r="B415" s="17" t="s">
        <v>451</v>
      </c>
      <c r="C415" s="4" t="s">
        <v>3</v>
      </c>
      <c r="D415" s="5" t="s">
        <v>51</v>
      </c>
      <c r="E415" s="6" t="s">
        <v>97</v>
      </c>
      <c r="F415" s="7">
        <v>45164.0</v>
      </c>
      <c r="H415" s="11"/>
      <c r="J415" s="18"/>
      <c r="L415" s="18"/>
      <c r="M415" s="23"/>
    </row>
    <row r="416">
      <c r="A416" s="10" t="s">
        <v>450</v>
      </c>
      <c r="B416" s="17" t="s">
        <v>451</v>
      </c>
      <c r="C416" s="4" t="s">
        <v>3</v>
      </c>
      <c r="D416" s="5" t="s">
        <v>11</v>
      </c>
      <c r="E416" s="6" t="s">
        <v>465</v>
      </c>
      <c r="F416" s="7">
        <v>45170.0</v>
      </c>
      <c r="H416" s="11"/>
      <c r="J416" s="18"/>
      <c r="L416" s="18"/>
      <c r="M416" s="23"/>
    </row>
    <row r="417">
      <c r="A417" s="10" t="s">
        <v>450</v>
      </c>
      <c r="B417" s="17" t="s">
        <v>451</v>
      </c>
      <c r="C417" s="4" t="s">
        <v>3</v>
      </c>
      <c r="D417" s="5" t="s">
        <v>35</v>
      </c>
      <c r="E417" s="6" t="s">
        <v>466</v>
      </c>
      <c r="F417" s="7">
        <v>45182.0</v>
      </c>
      <c r="H417" s="11"/>
      <c r="J417" s="18"/>
      <c r="L417" s="18"/>
      <c r="M417" s="23"/>
    </row>
    <row r="418">
      <c r="A418" s="10" t="s">
        <v>450</v>
      </c>
      <c r="B418" s="17" t="s">
        <v>451</v>
      </c>
      <c r="C418" s="4" t="s">
        <v>8</v>
      </c>
      <c r="D418" s="5" t="s">
        <v>23</v>
      </c>
      <c r="E418" s="6" t="s">
        <v>467</v>
      </c>
      <c r="F418" s="7">
        <v>45235.0</v>
      </c>
      <c r="H418" s="11"/>
      <c r="J418" s="18"/>
      <c r="L418" s="18"/>
      <c r="M418" s="23"/>
    </row>
    <row r="419">
      <c r="A419" s="10" t="s">
        <v>450</v>
      </c>
      <c r="B419" s="17" t="s">
        <v>451</v>
      </c>
      <c r="C419" s="4" t="s">
        <v>8</v>
      </c>
      <c r="D419" s="5" t="s">
        <v>11</v>
      </c>
      <c r="E419" s="6" t="s">
        <v>468</v>
      </c>
      <c r="F419" s="7">
        <v>45255.0</v>
      </c>
      <c r="H419" s="11"/>
      <c r="J419" s="18"/>
      <c r="L419" s="18"/>
      <c r="M419" s="23"/>
    </row>
    <row r="420">
      <c r="A420" s="10" t="s">
        <v>450</v>
      </c>
      <c r="B420" s="17" t="s">
        <v>451</v>
      </c>
      <c r="C420" s="4" t="s">
        <v>3</v>
      </c>
      <c r="D420" s="5" t="s">
        <v>13</v>
      </c>
      <c r="E420" s="6" t="s">
        <v>469</v>
      </c>
      <c r="F420" s="7">
        <v>45282.0</v>
      </c>
      <c r="H420" s="11"/>
      <c r="J420" s="18"/>
      <c r="L420" s="18"/>
      <c r="M420" s="23"/>
    </row>
    <row r="421">
      <c r="A421" s="10" t="s">
        <v>470</v>
      </c>
      <c r="B421" s="17" t="s">
        <v>471</v>
      </c>
      <c r="C421" s="4" t="s">
        <v>3</v>
      </c>
      <c r="D421" s="5" t="s">
        <v>42</v>
      </c>
      <c r="E421" s="6" t="s">
        <v>472</v>
      </c>
      <c r="F421" s="7">
        <v>44937.0</v>
      </c>
      <c r="H421" s="11"/>
      <c r="J421" s="18"/>
      <c r="L421" s="18"/>
      <c r="M421" s="23"/>
    </row>
    <row r="422">
      <c r="A422" s="10" t="s">
        <v>470</v>
      </c>
      <c r="B422" s="17" t="s">
        <v>471</v>
      </c>
      <c r="C422" s="4" t="s">
        <v>3</v>
      </c>
      <c r="D422" s="5" t="s">
        <v>6</v>
      </c>
      <c r="E422" s="6" t="s">
        <v>473</v>
      </c>
      <c r="F422" s="7">
        <v>44998.0</v>
      </c>
      <c r="H422" s="11"/>
      <c r="J422" s="18"/>
      <c r="L422" s="18"/>
      <c r="M422" s="23"/>
    </row>
    <row r="423">
      <c r="A423" s="10" t="s">
        <v>470</v>
      </c>
      <c r="B423" s="17" t="s">
        <v>471</v>
      </c>
      <c r="C423" s="4" t="s">
        <v>3</v>
      </c>
      <c r="D423" s="5" t="s">
        <v>76</v>
      </c>
      <c r="E423" s="6" t="s">
        <v>474</v>
      </c>
      <c r="F423" s="7">
        <v>45010.0</v>
      </c>
      <c r="H423" s="11"/>
      <c r="J423" s="18"/>
      <c r="L423" s="18"/>
      <c r="M423" s="23"/>
    </row>
    <row r="424">
      <c r="A424" s="10" t="s">
        <v>470</v>
      </c>
      <c r="B424" s="17" t="s">
        <v>471</v>
      </c>
      <c r="C424" s="4" t="s">
        <v>8</v>
      </c>
      <c r="D424" s="5" t="s">
        <v>15</v>
      </c>
      <c r="E424" s="6" t="s">
        <v>475</v>
      </c>
      <c r="F424" s="7">
        <v>45049.0</v>
      </c>
      <c r="H424" s="11"/>
      <c r="J424" s="18"/>
      <c r="L424" s="18"/>
      <c r="M424" s="23"/>
    </row>
    <row r="425">
      <c r="A425" s="10" t="s">
        <v>470</v>
      </c>
      <c r="B425" s="17" t="s">
        <v>471</v>
      </c>
      <c r="C425" s="4" t="s">
        <v>3</v>
      </c>
      <c r="D425" s="5" t="s">
        <v>28</v>
      </c>
      <c r="E425" s="6" t="s">
        <v>476</v>
      </c>
      <c r="F425" s="7">
        <v>45111.0</v>
      </c>
      <c r="H425" s="11"/>
      <c r="J425" s="18"/>
      <c r="L425" s="18"/>
      <c r="M425" s="23"/>
    </row>
    <row r="426">
      <c r="A426" s="10" t="s">
        <v>470</v>
      </c>
      <c r="B426" s="17" t="s">
        <v>471</v>
      </c>
      <c r="C426" s="4" t="s">
        <v>3</v>
      </c>
      <c r="D426" s="5" t="s">
        <v>28</v>
      </c>
      <c r="E426" s="6" t="s">
        <v>477</v>
      </c>
      <c r="F426" s="7">
        <v>45129.0</v>
      </c>
      <c r="H426" s="11"/>
      <c r="J426" s="18"/>
      <c r="L426" s="18"/>
      <c r="M426" s="23"/>
    </row>
    <row r="427">
      <c r="A427" s="10" t="s">
        <v>470</v>
      </c>
      <c r="B427" s="17" t="s">
        <v>471</v>
      </c>
      <c r="C427" s="4" t="s">
        <v>3</v>
      </c>
      <c r="D427" s="5" t="s">
        <v>45</v>
      </c>
      <c r="E427" s="6" t="s">
        <v>478</v>
      </c>
      <c r="F427" s="7">
        <v>45133.0</v>
      </c>
      <c r="H427" s="11"/>
      <c r="J427" s="18"/>
      <c r="L427" s="18"/>
      <c r="M427" s="23"/>
    </row>
    <row r="428">
      <c r="A428" s="10" t="s">
        <v>470</v>
      </c>
      <c r="B428" s="17" t="s">
        <v>471</v>
      </c>
      <c r="C428" s="4" t="s">
        <v>3</v>
      </c>
      <c r="D428" s="5" t="s">
        <v>39</v>
      </c>
      <c r="E428" s="6" t="s">
        <v>479</v>
      </c>
      <c r="F428" s="7">
        <v>45179.0</v>
      </c>
      <c r="H428" s="11"/>
      <c r="J428" s="18"/>
      <c r="L428" s="18"/>
      <c r="M428" s="23"/>
    </row>
    <row r="429">
      <c r="A429" s="10" t="s">
        <v>470</v>
      </c>
      <c r="B429" s="17" t="s">
        <v>471</v>
      </c>
      <c r="C429" s="4" t="s">
        <v>3</v>
      </c>
      <c r="D429" s="5" t="s">
        <v>6</v>
      </c>
      <c r="E429" s="6" t="s">
        <v>480</v>
      </c>
      <c r="F429" s="7">
        <v>45181.0</v>
      </c>
      <c r="H429" s="11"/>
      <c r="J429" s="18"/>
      <c r="L429" s="18"/>
      <c r="M429" s="23"/>
    </row>
    <row r="430">
      <c r="A430" s="10" t="s">
        <v>470</v>
      </c>
      <c r="B430" s="17" t="s">
        <v>471</v>
      </c>
      <c r="C430" s="4" t="s">
        <v>8</v>
      </c>
      <c r="D430" s="5" t="s">
        <v>51</v>
      </c>
      <c r="E430" s="6" t="s">
        <v>481</v>
      </c>
      <c r="F430" s="7">
        <v>45183.0</v>
      </c>
      <c r="H430" s="11"/>
      <c r="J430" s="18"/>
      <c r="L430" s="18"/>
      <c r="M430" s="23"/>
    </row>
    <row r="431">
      <c r="A431" s="10" t="s">
        <v>470</v>
      </c>
      <c r="B431" s="17" t="s">
        <v>471</v>
      </c>
      <c r="C431" s="4" t="s">
        <v>3</v>
      </c>
      <c r="D431" s="5" t="s">
        <v>45</v>
      </c>
      <c r="E431" s="6" t="s">
        <v>482</v>
      </c>
      <c r="F431" s="7">
        <v>45195.0</v>
      </c>
      <c r="H431" s="11"/>
      <c r="J431" s="18"/>
      <c r="L431" s="18"/>
      <c r="M431" s="23"/>
    </row>
    <row r="432">
      <c r="A432" s="10" t="s">
        <v>470</v>
      </c>
      <c r="B432" s="17" t="s">
        <v>471</v>
      </c>
      <c r="C432" s="4" t="s">
        <v>8</v>
      </c>
      <c r="D432" s="5" t="s">
        <v>51</v>
      </c>
      <c r="E432" s="6" t="s">
        <v>483</v>
      </c>
      <c r="F432" s="7">
        <v>45204.0</v>
      </c>
      <c r="H432" s="11"/>
      <c r="J432" s="18"/>
      <c r="L432" s="18"/>
      <c r="M432" s="23"/>
    </row>
    <row r="433">
      <c r="A433" s="10" t="s">
        <v>470</v>
      </c>
      <c r="B433" s="17" t="s">
        <v>471</v>
      </c>
      <c r="C433" s="4" t="s">
        <v>8</v>
      </c>
      <c r="D433" s="5" t="s">
        <v>71</v>
      </c>
      <c r="E433" s="6" t="s">
        <v>484</v>
      </c>
      <c r="F433" s="7">
        <v>45216.0</v>
      </c>
      <c r="H433" s="11"/>
      <c r="J433" s="18"/>
      <c r="L433" s="18"/>
      <c r="M433" s="23"/>
    </row>
    <row r="434">
      <c r="A434" s="10" t="s">
        <v>470</v>
      </c>
      <c r="B434" s="17" t="s">
        <v>471</v>
      </c>
      <c r="C434" s="4" t="s">
        <v>8</v>
      </c>
      <c r="D434" s="5" t="s">
        <v>9</v>
      </c>
      <c r="E434" s="6" t="s">
        <v>485</v>
      </c>
      <c r="F434" s="7">
        <v>45219.0</v>
      </c>
      <c r="H434" s="11"/>
      <c r="J434" s="18"/>
      <c r="L434" s="18"/>
      <c r="M434" s="23"/>
    </row>
    <row r="435">
      <c r="A435" s="10" t="s">
        <v>470</v>
      </c>
      <c r="B435" s="17" t="s">
        <v>471</v>
      </c>
      <c r="C435" s="4" t="s">
        <v>8</v>
      </c>
      <c r="D435" s="5" t="s">
        <v>17</v>
      </c>
      <c r="E435" s="6" t="s">
        <v>330</v>
      </c>
      <c r="F435" s="7">
        <v>45231.0</v>
      </c>
      <c r="H435" s="11"/>
      <c r="J435" s="18"/>
      <c r="L435" s="18"/>
      <c r="M435" s="23"/>
    </row>
    <row r="436">
      <c r="A436" s="10" t="s">
        <v>470</v>
      </c>
      <c r="B436" s="17" t="s">
        <v>471</v>
      </c>
      <c r="C436" s="4" t="s">
        <v>3</v>
      </c>
      <c r="D436" s="5" t="s">
        <v>51</v>
      </c>
      <c r="E436" s="6" t="s">
        <v>486</v>
      </c>
      <c r="F436" s="7">
        <v>45254.0</v>
      </c>
      <c r="H436" s="11"/>
      <c r="J436" s="18"/>
      <c r="L436" s="18"/>
      <c r="M436" s="23"/>
    </row>
    <row r="437">
      <c r="A437" s="10" t="s">
        <v>470</v>
      </c>
      <c r="B437" s="17" t="s">
        <v>471</v>
      </c>
      <c r="C437" s="4" t="s">
        <v>3</v>
      </c>
      <c r="D437" s="5" t="s">
        <v>76</v>
      </c>
      <c r="E437" s="6" t="s">
        <v>487</v>
      </c>
      <c r="F437" s="7">
        <v>45255.0</v>
      </c>
      <c r="H437" s="11"/>
      <c r="J437" s="18"/>
      <c r="L437" s="18"/>
      <c r="M437" s="23"/>
    </row>
    <row r="438">
      <c r="A438" s="10" t="s">
        <v>470</v>
      </c>
      <c r="B438" s="17" t="s">
        <v>471</v>
      </c>
      <c r="C438" s="4" t="s">
        <v>8</v>
      </c>
      <c r="D438" s="5" t="s">
        <v>17</v>
      </c>
      <c r="E438" s="6" t="s">
        <v>488</v>
      </c>
      <c r="F438" s="7">
        <v>45280.0</v>
      </c>
      <c r="H438" s="11"/>
      <c r="J438" s="18"/>
      <c r="L438" s="18"/>
      <c r="M438" s="23"/>
    </row>
    <row r="439">
      <c r="A439" s="10" t="s">
        <v>470</v>
      </c>
      <c r="B439" s="17" t="s">
        <v>471</v>
      </c>
      <c r="C439" s="4" t="s">
        <v>3</v>
      </c>
      <c r="D439" s="5" t="s">
        <v>120</v>
      </c>
      <c r="E439" s="6" t="s">
        <v>231</v>
      </c>
      <c r="F439" s="7">
        <v>45281.0</v>
      </c>
      <c r="H439" s="11"/>
      <c r="J439" s="18"/>
      <c r="L439" s="18"/>
      <c r="M439" s="23"/>
    </row>
    <row r="440">
      <c r="A440" s="10" t="s">
        <v>470</v>
      </c>
      <c r="B440" s="17" t="s">
        <v>471</v>
      </c>
      <c r="C440" s="4" t="s">
        <v>8</v>
      </c>
      <c r="D440" s="5" t="s">
        <v>39</v>
      </c>
      <c r="E440" s="6" t="s">
        <v>489</v>
      </c>
      <c r="F440" s="7">
        <v>45281.0</v>
      </c>
      <c r="H440" s="11"/>
      <c r="J440" s="18"/>
      <c r="L440" s="18"/>
      <c r="M440" s="23"/>
    </row>
    <row r="441">
      <c r="A441" s="10" t="s">
        <v>490</v>
      </c>
      <c r="B441" s="17" t="s">
        <v>491</v>
      </c>
      <c r="C441" s="4" t="s">
        <v>8</v>
      </c>
      <c r="D441" s="5" t="s">
        <v>35</v>
      </c>
      <c r="E441" s="6" t="s">
        <v>492</v>
      </c>
      <c r="F441" s="7">
        <v>44979.0</v>
      </c>
      <c r="H441" s="11"/>
      <c r="J441" s="18"/>
      <c r="L441" s="18"/>
      <c r="M441" s="23"/>
    </row>
    <row r="442">
      <c r="A442" s="10" t="s">
        <v>490</v>
      </c>
      <c r="B442" s="17" t="s">
        <v>491</v>
      </c>
      <c r="C442" s="4" t="s">
        <v>3</v>
      </c>
      <c r="D442" s="5" t="s">
        <v>71</v>
      </c>
      <c r="E442" s="6" t="s">
        <v>493</v>
      </c>
      <c r="F442" s="7">
        <v>44981.0</v>
      </c>
      <c r="H442" s="11"/>
      <c r="J442" s="18"/>
      <c r="L442" s="18"/>
      <c r="M442" s="23"/>
    </row>
    <row r="443">
      <c r="A443" s="10" t="s">
        <v>490</v>
      </c>
      <c r="B443" s="17" t="s">
        <v>491</v>
      </c>
      <c r="C443" s="4" t="s">
        <v>8</v>
      </c>
      <c r="D443" s="5" t="s">
        <v>23</v>
      </c>
      <c r="E443" s="6" t="s">
        <v>494</v>
      </c>
      <c r="F443" s="7">
        <v>44990.0</v>
      </c>
      <c r="H443" s="11"/>
      <c r="J443" s="18"/>
      <c r="L443" s="18"/>
      <c r="M443" s="23"/>
    </row>
    <row r="444">
      <c r="A444" s="10" t="s">
        <v>490</v>
      </c>
      <c r="B444" s="17" t="s">
        <v>491</v>
      </c>
      <c r="C444" s="4" t="s">
        <v>8</v>
      </c>
      <c r="D444" s="5" t="s">
        <v>28</v>
      </c>
      <c r="E444" s="6" t="s">
        <v>495</v>
      </c>
      <c r="F444" s="7">
        <v>45026.0</v>
      </c>
      <c r="H444" s="11"/>
      <c r="J444" s="18"/>
      <c r="L444" s="18"/>
      <c r="M444" s="23"/>
    </row>
    <row r="445">
      <c r="A445" s="10" t="s">
        <v>490</v>
      </c>
      <c r="B445" s="17" t="s">
        <v>491</v>
      </c>
      <c r="C445" s="4" t="s">
        <v>8</v>
      </c>
      <c r="D445" s="5" t="s">
        <v>13</v>
      </c>
      <c r="E445" s="6" t="s">
        <v>496</v>
      </c>
      <c r="F445" s="7">
        <v>45066.0</v>
      </c>
      <c r="H445" s="11"/>
      <c r="J445" s="18"/>
      <c r="L445" s="18"/>
      <c r="M445" s="23"/>
    </row>
    <row r="446">
      <c r="A446" s="10" t="s">
        <v>490</v>
      </c>
      <c r="B446" s="17" t="s">
        <v>491</v>
      </c>
      <c r="C446" s="4" t="s">
        <v>3</v>
      </c>
      <c r="D446" s="5" t="s">
        <v>120</v>
      </c>
      <c r="E446" s="6" t="s">
        <v>497</v>
      </c>
      <c r="F446" s="7">
        <v>45067.0</v>
      </c>
      <c r="H446" s="11"/>
      <c r="J446" s="18"/>
      <c r="L446" s="18"/>
      <c r="M446" s="23"/>
    </row>
    <row r="447">
      <c r="A447" s="10" t="s">
        <v>490</v>
      </c>
      <c r="B447" s="17" t="s">
        <v>491</v>
      </c>
      <c r="C447" s="4" t="s">
        <v>3</v>
      </c>
      <c r="D447" s="5" t="s">
        <v>23</v>
      </c>
      <c r="E447" s="6" t="s">
        <v>498</v>
      </c>
      <c r="F447" s="7">
        <v>45078.0</v>
      </c>
      <c r="H447" s="11"/>
      <c r="J447" s="18"/>
      <c r="L447" s="18"/>
      <c r="M447" s="23"/>
    </row>
    <row r="448">
      <c r="A448" s="10" t="s">
        <v>490</v>
      </c>
      <c r="B448" s="17" t="s">
        <v>491</v>
      </c>
      <c r="C448" s="4" t="s">
        <v>3</v>
      </c>
      <c r="D448" s="5" t="s">
        <v>15</v>
      </c>
      <c r="E448" s="6" t="s">
        <v>499</v>
      </c>
      <c r="F448" s="7">
        <v>45085.0</v>
      </c>
      <c r="H448" s="11"/>
      <c r="J448" s="18"/>
      <c r="L448" s="18"/>
      <c r="M448" s="23"/>
    </row>
    <row r="449">
      <c r="A449" s="10" t="s">
        <v>490</v>
      </c>
      <c r="B449" s="17" t="s">
        <v>491</v>
      </c>
      <c r="C449" s="4" t="s">
        <v>8</v>
      </c>
      <c r="D449" s="5" t="s">
        <v>51</v>
      </c>
      <c r="E449" s="6" t="s">
        <v>500</v>
      </c>
      <c r="F449" s="7">
        <v>45094.0</v>
      </c>
      <c r="H449" s="11"/>
      <c r="J449" s="18"/>
      <c r="L449" s="18"/>
      <c r="M449" s="23"/>
    </row>
    <row r="450">
      <c r="A450" s="10" t="s">
        <v>490</v>
      </c>
      <c r="B450" s="17" t="s">
        <v>491</v>
      </c>
      <c r="C450" s="4" t="s">
        <v>3</v>
      </c>
      <c r="D450" s="5" t="s">
        <v>96</v>
      </c>
      <c r="E450" s="6" t="s">
        <v>501</v>
      </c>
      <c r="F450" s="7">
        <v>45125.0</v>
      </c>
      <c r="H450" s="11"/>
      <c r="J450" s="18"/>
      <c r="L450" s="18"/>
      <c r="M450" s="23"/>
    </row>
    <row r="451">
      <c r="A451" s="10" t="s">
        <v>490</v>
      </c>
      <c r="B451" s="17" t="s">
        <v>491</v>
      </c>
      <c r="C451" s="4" t="s">
        <v>3</v>
      </c>
      <c r="D451" s="5" t="s">
        <v>23</v>
      </c>
      <c r="E451" s="6" t="s">
        <v>502</v>
      </c>
      <c r="F451" s="7">
        <v>45156.0</v>
      </c>
      <c r="H451" s="11"/>
      <c r="J451" s="18"/>
      <c r="L451" s="18"/>
      <c r="M451" s="23"/>
    </row>
    <row r="452">
      <c r="A452" s="10" t="s">
        <v>490</v>
      </c>
      <c r="B452" s="17" t="s">
        <v>491</v>
      </c>
      <c r="C452" s="4" t="s">
        <v>3</v>
      </c>
      <c r="D452" s="5" t="s">
        <v>120</v>
      </c>
      <c r="E452" s="6" t="s">
        <v>503</v>
      </c>
      <c r="F452" s="7">
        <v>45157.0</v>
      </c>
      <c r="H452" s="11"/>
      <c r="J452" s="18"/>
      <c r="L452" s="18"/>
      <c r="M452" s="23"/>
    </row>
    <row r="453">
      <c r="A453" s="10" t="s">
        <v>490</v>
      </c>
      <c r="B453" s="17" t="s">
        <v>491</v>
      </c>
      <c r="C453" s="4" t="s">
        <v>3</v>
      </c>
      <c r="D453" s="5" t="s">
        <v>42</v>
      </c>
      <c r="E453" s="6" t="s">
        <v>504</v>
      </c>
      <c r="F453" s="7">
        <v>45159.0</v>
      </c>
      <c r="H453" s="11"/>
      <c r="J453" s="18"/>
      <c r="L453" s="18"/>
      <c r="M453" s="23"/>
    </row>
    <row r="454">
      <c r="A454" s="10" t="s">
        <v>490</v>
      </c>
      <c r="B454" s="17" t="s">
        <v>491</v>
      </c>
      <c r="C454" s="4" t="s">
        <v>3</v>
      </c>
      <c r="D454" s="5" t="s">
        <v>9</v>
      </c>
      <c r="E454" s="6" t="s">
        <v>505</v>
      </c>
      <c r="F454" s="7">
        <v>45185.0</v>
      </c>
      <c r="H454" s="11"/>
      <c r="J454" s="18"/>
      <c r="L454" s="18"/>
      <c r="M454" s="23"/>
    </row>
    <row r="455">
      <c r="A455" s="10" t="s">
        <v>490</v>
      </c>
      <c r="B455" s="17" t="s">
        <v>491</v>
      </c>
      <c r="C455" s="4" t="s">
        <v>3</v>
      </c>
      <c r="D455" s="5" t="s">
        <v>42</v>
      </c>
      <c r="E455" s="6" t="s">
        <v>107</v>
      </c>
      <c r="F455" s="7">
        <v>45186.0</v>
      </c>
      <c r="H455" s="11"/>
      <c r="J455" s="18"/>
      <c r="L455" s="18"/>
      <c r="M455" s="23"/>
    </row>
    <row r="456">
      <c r="A456" s="10" t="s">
        <v>490</v>
      </c>
      <c r="B456" s="17" t="s">
        <v>491</v>
      </c>
      <c r="C456" s="4" t="s">
        <v>3</v>
      </c>
      <c r="D456" s="5" t="s">
        <v>51</v>
      </c>
      <c r="E456" s="6" t="s">
        <v>506</v>
      </c>
      <c r="F456" s="7">
        <v>45219.0</v>
      </c>
      <c r="H456" s="11"/>
      <c r="J456" s="18"/>
      <c r="L456" s="18"/>
      <c r="M456" s="23"/>
    </row>
    <row r="457">
      <c r="A457" s="10" t="s">
        <v>490</v>
      </c>
      <c r="B457" s="17" t="s">
        <v>491</v>
      </c>
      <c r="C457" s="4" t="s">
        <v>8</v>
      </c>
      <c r="D457" s="5" t="s">
        <v>9</v>
      </c>
      <c r="E457" s="6" t="s">
        <v>507</v>
      </c>
      <c r="F457" s="7">
        <v>45235.0</v>
      </c>
      <c r="H457" s="11"/>
      <c r="J457" s="18"/>
      <c r="L457" s="18"/>
      <c r="M457" s="23"/>
    </row>
    <row r="458">
      <c r="A458" s="10" t="s">
        <v>490</v>
      </c>
      <c r="B458" s="17" t="s">
        <v>491</v>
      </c>
      <c r="C458" s="4" t="s">
        <v>3</v>
      </c>
      <c r="D458" s="5" t="s">
        <v>13</v>
      </c>
      <c r="E458" s="6" t="s">
        <v>508</v>
      </c>
      <c r="F458" s="7">
        <v>45271.0</v>
      </c>
      <c r="H458" s="11"/>
      <c r="J458" s="18"/>
      <c r="L458" s="18"/>
      <c r="M458" s="23"/>
    </row>
    <row r="459">
      <c r="A459" s="10" t="s">
        <v>490</v>
      </c>
      <c r="B459" s="17" t="s">
        <v>491</v>
      </c>
      <c r="C459" s="4" t="s">
        <v>3</v>
      </c>
      <c r="D459" s="5" t="s">
        <v>21</v>
      </c>
      <c r="E459" s="6" t="s">
        <v>509</v>
      </c>
      <c r="F459" s="7">
        <v>45272.0</v>
      </c>
      <c r="H459" s="11"/>
      <c r="J459" s="18"/>
      <c r="L459" s="18"/>
      <c r="M459" s="23"/>
    </row>
    <row r="460">
      <c r="A460" s="10" t="s">
        <v>490</v>
      </c>
      <c r="B460" s="17" t="s">
        <v>491</v>
      </c>
      <c r="C460" s="4" t="s">
        <v>8</v>
      </c>
      <c r="D460" s="5" t="s">
        <v>35</v>
      </c>
      <c r="E460" s="6" t="s">
        <v>510</v>
      </c>
      <c r="F460" s="7">
        <v>45279.0</v>
      </c>
      <c r="H460" s="11"/>
      <c r="J460" s="18"/>
      <c r="L460" s="18"/>
      <c r="M460" s="23"/>
    </row>
    <row r="461">
      <c r="A461" s="10" t="s">
        <v>511</v>
      </c>
      <c r="B461" s="17" t="s">
        <v>512</v>
      </c>
      <c r="C461" s="4" t="s">
        <v>3</v>
      </c>
      <c r="D461" s="5" t="s">
        <v>35</v>
      </c>
      <c r="E461" s="6" t="s">
        <v>513</v>
      </c>
      <c r="F461" s="7">
        <v>44938.0</v>
      </c>
      <c r="H461" s="11"/>
      <c r="J461" s="18"/>
      <c r="L461" s="18"/>
      <c r="M461" s="23"/>
    </row>
    <row r="462">
      <c r="A462" s="10" t="s">
        <v>511</v>
      </c>
      <c r="B462" s="17" t="s">
        <v>512</v>
      </c>
      <c r="C462" s="4" t="s">
        <v>8</v>
      </c>
      <c r="D462" s="5" t="s">
        <v>17</v>
      </c>
      <c r="E462" s="6" t="s">
        <v>514</v>
      </c>
      <c r="F462" s="7">
        <v>44948.0</v>
      </c>
      <c r="H462" s="11"/>
      <c r="J462" s="18"/>
      <c r="L462" s="18"/>
      <c r="M462" s="23"/>
    </row>
    <row r="463">
      <c r="A463" s="10" t="s">
        <v>511</v>
      </c>
      <c r="B463" s="17" t="s">
        <v>512</v>
      </c>
      <c r="C463" s="4" t="s">
        <v>3</v>
      </c>
      <c r="D463" s="5" t="s">
        <v>71</v>
      </c>
      <c r="E463" s="6" t="s">
        <v>515</v>
      </c>
      <c r="F463" s="7">
        <v>44971.0</v>
      </c>
      <c r="H463" s="11"/>
      <c r="J463" s="18"/>
      <c r="L463" s="18"/>
      <c r="M463" s="23"/>
    </row>
    <row r="464">
      <c r="A464" s="10" t="s">
        <v>511</v>
      </c>
      <c r="B464" s="17" t="s">
        <v>512</v>
      </c>
      <c r="C464" s="4" t="s">
        <v>8</v>
      </c>
      <c r="D464" s="5" t="s">
        <v>21</v>
      </c>
      <c r="E464" s="6" t="s">
        <v>516</v>
      </c>
      <c r="F464" s="7">
        <v>44975.0</v>
      </c>
      <c r="H464" s="11"/>
      <c r="J464" s="18"/>
      <c r="L464" s="18"/>
      <c r="M464" s="23"/>
    </row>
    <row r="465">
      <c r="A465" s="10" t="s">
        <v>511</v>
      </c>
      <c r="B465" s="17" t="s">
        <v>512</v>
      </c>
      <c r="C465" s="4" t="s">
        <v>8</v>
      </c>
      <c r="D465" s="5" t="s">
        <v>35</v>
      </c>
      <c r="E465" s="6" t="s">
        <v>517</v>
      </c>
      <c r="F465" s="7">
        <v>44988.0</v>
      </c>
      <c r="H465" s="11"/>
      <c r="J465" s="18"/>
      <c r="L465" s="18"/>
      <c r="M465" s="23"/>
    </row>
    <row r="466">
      <c r="A466" s="10" t="s">
        <v>511</v>
      </c>
      <c r="B466" s="17" t="s">
        <v>512</v>
      </c>
      <c r="C466" s="4" t="s">
        <v>8</v>
      </c>
      <c r="D466" s="5" t="s">
        <v>11</v>
      </c>
      <c r="E466" s="6" t="s">
        <v>518</v>
      </c>
      <c r="F466" s="7">
        <v>44992.0</v>
      </c>
      <c r="H466" s="11"/>
      <c r="J466" s="18"/>
      <c r="L466" s="18"/>
      <c r="M466" s="23"/>
    </row>
    <row r="467">
      <c r="A467" s="10" t="s">
        <v>511</v>
      </c>
      <c r="B467" s="17" t="s">
        <v>512</v>
      </c>
      <c r="C467" s="4" t="s">
        <v>8</v>
      </c>
      <c r="D467" s="5" t="s">
        <v>28</v>
      </c>
      <c r="E467" s="6" t="s">
        <v>519</v>
      </c>
      <c r="F467" s="7">
        <v>45023.0</v>
      </c>
      <c r="H467" s="11"/>
      <c r="J467" s="18"/>
      <c r="L467" s="18"/>
      <c r="M467" s="23"/>
    </row>
    <row r="468">
      <c r="A468" s="10" t="s">
        <v>511</v>
      </c>
      <c r="B468" s="17" t="s">
        <v>512</v>
      </c>
      <c r="C468" s="4" t="s">
        <v>8</v>
      </c>
      <c r="D468" s="5" t="s">
        <v>23</v>
      </c>
      <c r="E468" s="6" t="s">
        <v>520</v>
      </c>
      <c r="F468" s="7">
        <v>45091.0</v>
      </c>
      <c r="H468" s="11"/>
      <c r="J468" s="18"/>
      <c r="L468" s="18"/>
      <c r="M468" s="23"/>
    </row>
    <row r="469">
      <c r="A469" s="10" t="s">
        <v>511</v>
      </c>
      <c r="B469" s="17" t="s">
        <v>512</v>
      </c>
      <c r="C469" s="4" t="s">
        <v>3</v>
      </c>
      <c r="D469" s="5" t="s">
        <v>42</v>
      </c>
      <c r="E469" s="6" t="s">
        <v>521</v>
      </c>
      <c r="F469" s="7">
        <v>45105.0</v>
      </c>
      <c r="H469" s="11"/>
      <c r="J469" s="18"/>
      <c r="L469" s="18"/>
      <c r="M469" s="23"/>
    </row>
    <row r="470">
      <c r="A470" s="10" t="s">
        <v>511</v>
      </c>
      <c r="B470" s="17" t="s">
        <v>512</v>
      </c>
      <c r="C470" s="4" t="s">
        <v>8</v>
      </c>
      <c r="D470" s="5" t="s">
        <v>19</v>
      </c>
      <c r="E470" s="6" t="s">
        <v>522</v>
      </c>
      <c r="F470" s="7">
        <v>45125.0</v>
      </c>
      <c r="H470" s="11"/>
      <c r="J470" s="18"/>
      <c r="L470" s="18"/>
      <c r="M470" s="23"/>
    </row>
    <row r="471">
      <c r="A471" s="10" t="s">
        <v>511</v>
      </c>
      <c r="B471" s="17" t="s">
        <v>512</v>
      </c>
      <c r="C471" s="4" t="s">
        <v>8</v>
      </c>
      <c r="D471" s="5" t="s">
        <v>23</v>
      </c>
      <c r="E471" s="6" t="s">
        <v>523</v>
      </c>
      <c r="F471" s="7">
        <v>45140.0</v>
      </c>
      <c r="H471" s="11"/>
      <c r="J471" s="18"/>
      <c r="L471" s="18"/>
      <c r="M471" s="23"/>
    </row>
    <row r="472">
      <c r="A472" s="10" t="s">
        <v>511</v>
      </c>
      <c r="B472" s="17" t="s">
        <v>512</v>
      </c>
      <c r="C472" s="4" t="s">
        <v>3</v>
      </c>
      <c r="D472" s="5" t="s">
        <v>19</v>
      </c>
      <c r="E472" s="6" t="s">
        <v>524</v>
      </c>
      <c r="F472" s="7">
        <v>45157.0</v>
      </c>
      <c r="H472" s="11"/>
      <c r="J472" s="18"/>
      <c r="L472" s="18"/>
      <c r="M472" s="23"/>
    </row>
    <row r="473">
      <c r="A473" s="10" t="s">
        <v>511</v>
      </c>
      <c r="B473" s="17" t="s">
        <v>512</v>
      </c>
      <c r="C473" s="4" t="s">
        <v>8</v>
      </c>
      <c r="D473" s="5" t="s">
        <v>11</v>
      </c>
      <c r="E473" s="6" t="s">
        <v>525</v>
      </c>
      <c r="F473" s="7">
        <v>45160.0</v>
      </c>
      <c r="H473" s="11"/>
      <c r="J473" s="18"/>
      <c r="L473" s="18"/>
      <c r="M473" s="23"/>
    </row>
    <row r="474">
      <c r="A474" s="10" t="s">
        <v>511</v>
      </c>
      <c r="B474" s="17" t="s">
        <v>512</v>
      </c>
      <c r="C474" s="4" t="s">
        <v>8</v>
      </c>
      <c r="D474" s="5" t="s">
        <v>76</v>
      </c>
      <c r="E474" s="6" t="s">
        <v>526</v>
      </c>
      <c r="F474" s="7">
        <v>45164.0</v>
      </c>
      <c r="H474" s="11"/>
      <c r="J474" s="18"/>
      <c r="L474" s="18"/>
      <c r="M474" s="23"/>
    </row>
    <row r="475">
      <c r="A475" s="10" t="s">
        <v>511</v>
      </c>
      <c r="B475" s="17" t="s">
        <v>512</v>
      </c>
      <c r="C475" s="4" t="s">
        <v>3</v>
      </c>
      <c r="D475" s="5" t="s">
        <v>45</v>
      </c>
      <c r="E475" s="6" t="s">
        <v>527</v>
      </c>
      <c r="F475" s="7">
        <v>45216.0</v>
      </c>
      <c r="H475" s="11"/>
      <c r="J475" s="18"/>
      <c r="L475" s="18"/>
      <c r="M475" s="23"/>
    </row>
    <row r="476">
      <c r="A476" s="10" t="s">
        <v>511</v>
      </c>
      <c r="B476" s="17" t="s">
        <v>512</v>
      </c>
      <c r="C476" s="4" t="s">
        <v>8</v>
      </c>
      <c r="D476" s="5" t="s">
        <v>45</v>
      </c>
      <c r="E476" s="6" t="s">
        <v>528</v>
      </c>
      <c r="F476" s="7">
        <v>45226.0</v>
      </c>
      <c r="H476" s="11"/>
      <c r="J476" s="18"/>
      <c r="L476" s="18"/>
      <c r="M476" s="23"/>
    </row>
    <row r="477">
      <c r="A477" s="10" t="s">
        <v>511</v>
      </c>
      <c r="B477" s="17" t="s">
        <v>512</v>
      </c>
      <c r="C477" s="4" t="s">
        <v>3</v>
      </c>
      <c r="D477" s="5" t="s">
        <v>51</v>
      </c>
      <c r="E477" s="6" t="s">
        <v>529</v>
      </c>
      <c r="F477" s="7">
        <v>45257.0</v>
      </c>
      <c r="H477" s="11"/>
      <c r="J477" s="18"/>
      <c r="L477" s="18"/>
      <c r="M477" s="23"/>
    </row>
    <row r="478">
      <c r="A478" s="10" t="s">
        <v>511</v>
      </c>
      <c r="B478" s="17" t="s">
        <v>512</v>
      </c>
      <c r="C478" s="4" t="s">
        <v>8</v>
      </c>
      <c r="D478" s="5" t="s">
        <v>39</v>
      </c>
      <c r="E478" s="6" t="s">
        <v>530</v>
      </c>
      <c r="F478" s="7">
        <v>45271.0</v>
      </c>
      <c r="H478" s="11"/>
      <c r="J478" s="18"/>
      <c r="L478" s="18"/>
      <c r="M478" s="23"/>
    </row>
    <row r="479">
      <c r="A479" s="10" t="s">
        <v>511</v>
      </c>
      <c r="B479" s="17" t="s">
        <v>512</v>
      </c>
      <c r="C479" s="4" t="s">
        <v>3</v>
      </c>
      <c r="D479" s="5" t="s">
        <v>21</v>
      </c>
      <c r="E479" s="6" t="s">
        <v>531</v>
      </c>
      <c r="F479" s="7">
        <v>45271.0</v>
      </c>
      <c r="H479" s="11"/>
      <c r="J479" s="18"/>
      <c r="L479" s="18"/>
      <c r="M479" s="23"/>
    </row>
    <row r="480">
      <c r="A480" s="10" t="s">
        <v>511</v>
      </c>
      <c r="B480" s="17" t="s">
        <v>512</v>
      </c>
      <c r="C480" s="4" t="s">
        <v>3</v>
      </c>
      <c r="D480" s="5" t="s">
        <v>76</v>
      </c>
      <c r="E480" s="6" t="s">
        <v>532</v>
      </c>
      <c r="F480" s="7">
        <v>45277.0</v>
      </c>
      <c r="H480" s="11"/>
      <c r="J480" s="18"/>
      <c r="L480" s="18"/>
      <c r="M480" s="23"/>
    </row>
    <row r="481">
      <c r="A481" s="10" t="s">
        <v>533</v>
      </c>
      <c r="B481" s="17" t="s">
        <v>534</v>
      </c>
      <c r="C481" s="4" t="s">
        <v>3</v>
      </c>
      <c r="D481" s="5" t="s">
        <v>39</v>
      </c>
      <c r="E481" s="6" t="s">
        <v>535</v>
      </c>
      <c r="F481" s="7">
        <v>44941.0</v>
      </c>
      <c r="H481" s="11"/>
      <c r="J481" s="18"/>
      <c r="L481" s="18"/>
      <c r="M481" s="23"/>
    </row>
    <row r="482">
      <c r="A482" s="10" t="s">
        <v>533</v>
      </c>
      <c r="B482" s="17" t="s">
        <v>534</v>
      </c>
      <c r="C482" s="4" t="s">
        <v>3</v>
      </c>
      <c r="D482" s="5" t="s">
        <v>39</v>
      </c>
      <c r="E482" s="6" t="s">
        <v>536</v>
      </c>
      <c r="F482" s="7">
        <v>44953.0</v>
      </c>
      <c r="H482" s="11"/>
      <c r="J482" s="18"/>
      <c r="L482" s="18"/>
      <c r="M482" s="23"/>
    </row>
    <row r="483">
      <c r="A483" s="10" t="s">
        <v>533</v>
      </c>
      <c r="B483" s="17" t="s">
        <v>534</v>
      </c>
      <c r="C483" s="4" t="s">
        <v>3</v>
      </c>
      <c r="D483" s="5" t="s">
        <v>35</v>
      </c>
      <c r="E483" s="6" t="s">
        <v>537</v>
      </c>
      <c r="F483" s="7">
        <v>44953.0</v>
      </c>
      <c r="H483" s="11"/>
      <c r="J483" s="18"/>
      <c r="L483" s="18"/>
      <c r="M483" s="23"/>
    </row>
    <row r="484">
      <c r="A484" s="10" t="s">
        <v>533</v>
      </c>
      <c r="B484" s="17" t="s">
        <v>534</v>
      </c>
      <c r="C484" s="4" t="s">
        <v>8</v>
      </c>
      <c r="D484" s="5" t="s">
        <v>21</v>
      </c>
      <c r="E484" s="6" t="s">
        <v>538</v>
      </c>
      <c r="F484" s="7">
        <v>44964.0</v>
      </c>
      <c r="H484" s="11"/>
      <c r="J484" s="18"/>
      <c r="L484" s="18"/>
      <c r="M484" s="23"/>
    </row>
    <row r="485">
      <c r="A485" s="10" t="s">
        <v>533</v>
      </c>
      <c r="B485" s="17" t="s">
        <v>534</v>
      </c>
      <c r="C485" s="4" t="s">
        <v>3</v>
      </c>
      <c r="D485" s="5" t="s">
        <v>21</v>
      </c>
      <c r="E485" s="6" t="s">
        <v>539</v>
      </c>
      <c r="F485" s="7">
        <v>44988.0</v>
      </c>
      <c r="H485" s="11"/>
      <c r="J485" s="18"/>
      <c r="L485" s="18"/>
      <c r="M485" s="23"/>
    </row>
    <row r="486">
      <c r="A486" s="10" t="s">
        <v>533</v>
      </c>
      <c r="B486" s="17" t="s">
        <v>534</v>
      </c>
      <c r="C486" s="4" t="s">
        <v>3</v>
      </c>
      <c r="D486" s="5" t="s">
        <v>71</v>
      </c>
      <c r="E486" s="6" t="s">
        <v>540</v>
      </c>
      <c r="F486" s="7">
        <v>45021.0</v>
      </c>
      <c r="H486" s="11"/>
      <c r="J486" s="18"/>
      <c r="L486" s="18"/>
      <c r="M486" s="23"/>
    </row>
    <row r="487">
      <c r="A487" s="10" t="s">
        <v>533</v>
      </c>
      <c r="B487" s="17" t="s">
        <v>534</v>
      </c>
      <c r="C487" s="4" t="s">
        <v>3</v>
      </c>
      <c r="D487" s="5" t="s">
        <v>21</v>
      </c>
      <c r="E487" s="6" t="s">
        <v>541</v>
      </c>
      <c r="F487" s="7">
        <v>45021.0</v>
      </c>
      <c r="H487" s="11"/>
      <c r="J487" s="18"/>
      <c r="L487" s="18"/>
      <c r="M487" s="23"/>
    </row>
    <row r="488">
      <c r="A488" s="10" t="s">
        <v>533</v>
      </c>
      <c r="B488" s="17" t="s">
        <v>534</v>
      </c>
      <c r="C488" s="4" t="s">
        <v>8</v>
      </c>
      <c r="D488" s="5" t="s">
        <v>71</v>
      </c>
      <c r="E488" s="6" t="s">
        <v>542</v>
      </c>
      <c r="F488" s="7">
        <v>45022.0</v>
      </c>
      <c r="H488" s="11"/>
      <c r="J488" s="18"/>
      <c r="L488" s="18"/>
      <c r="M488" s="23"/>
    </row>
    <row r="489">
      <c r="A489" s="10" t="s">
        <v>533</v>
      </c>
      <c r="B489" s="17" t="s">
        <v>534</v>
      </c>
      <c r="C489" s="4" t="s">
        <v>3</v>
      </c>
      <c r="D489" s="5" t="s">
        <v>96</v>
      </c>
      <c r="E489" s="6" t="s">
        <v>543</v>
      </c>
      <c r="F489" s="7">
        <v>45044.0</v>
      </c>
      <c r="H489" s="11"/>
      <c r="J489" s="18"/>
      <c r="L489" s="18"/>
      <c r="M489" s="23"/>
    </row>
    <row r="490">
      <c r="A490" s="10" t="s">
        <v>533</v>
      </c>
      <c r="B490" s="17" t="s">
        <v>534</v>
      </c>
      <c r="C490" s="4" t="s">
        <v>8</v>
      </c>
      <c r="D490" s="5" t="s">
        <v>23</v>
      </c>
      <c r="E490" s="6" t="s">
        <v>544</v>
      </c>
      <c r="F490" s="7">
        <v>45055.0</v>
      </c>
      <c r="H490" s="11"/>
      <c r="J490" s="18"/>
      <c r="L490" s="18"/>
      <c r="M490" s="23"/>
    </row>
    <row r="491">
      <c r="A491" s="10" t="s">
        <v>533</v>
      </c>
      <c r="B491" s="17" t="s">
        <v>534</v>
      </c>
      <c r="C491" s="4" t="s">
        <v>3</v>
      </c>
      <c r="D491" s="5" t="s">
        <v>71</v>
      </c>
      <c r="E491" s="6" t="s">
        <v>545</v>
      </c>
      <c r="F491" s="7">
        <v>45063.0</v>
      </c>
      <c r="H491" s="11"/>
      <c r="J491" s="18"/>
      <c r="L491" s="18"/>
      <c r="M491" s="23"/>
    </row>
    <row r="492">
      <c r="A492" s="10" t="s">
        <v>533</v>
      </c>
      <c r="B492" s="17" t="s">
        <v>534</v>
      </c>
      <c r="C492" s="4" t="s">
        <v>3</v>
      </c>
      <c r="D492" s="5" t="s">
        <v>6</v>
      </c>
      <c r="E492" s="6" t="s">
        <v>546</v>
      </c>
      <c r="F492" s="7">
        <v>45084.0</v>
      </c>
      <c r="H492" s="11"/>
      <c r="J492" s="18"/>
      <c r="L492" s="18"/>
      <c r="M492" s="23"/>
    </row>
    <row r="493">
      <c r="A493" s="10" t="s">
        <v>533</v>
      </c>
      <c r="B493" s="17" t="s">
        <v>534</v>
      </c>
      <c r="C493" s="4" t="s">
        <v>3</v>
      </c>
      <c r="D493" s="5" t="s">
        <v>6</v>
      </c>
      <c r="E493" s="6" t="s">
        <v>547</v>
      </c>
      <c r="F493" s="7">
        <v>45125.0</v>
      </c>
      <c r="H493" s="11"/>
      <c r="J493" s="18"/>
      <c r="L493" s="18"/>
      <c r="M493" s="23"/>
    </row>
    <row r="494">
      <c r="A494" s="10" t="s">
        <v>533</v>
      </c>
      <c r="B494" s="17" t="s">
        <v>534</v>
      </c>
      <c r="C494" s="4" t="s">
        <v>3</v>
      </c>
      <c r="D494" s="5" t="s">
        <v>15</v>
      </c>
      <c r="E494" s="6" t="s">
        <v>548</v>
      </c>
      <c r="F494" s="7">
        <v>45129.0</v>
      </c>
      <c r="H494" s="11"/>
      <c r="J494" s="18"/>
      <c r="L494" s="18"/>
      <c r="M494" s="23"/>
    </row>
    <row r="495">
      <c r="A495" s="10" t="s">
        <v>533</v>
      </c>
      <c r="B495" s="17" t="s">
        <v>534</v>
      </c>
      <c r="C495" s="4" t="s">
        <v>3</v>
      </c>
      <c r="D495" s="5" t="s">
        <v>35</v>
      </c>
      <c r="E495" s="6" t="s">
        <v>549</v>
      </c>
      <c r="F495" s="7">
        <v>45144.0</v>
      </c>
      <c r="H495" s="11"/>
      <c r="J495" s="18"/>
      <c r="L495" s="18"/>
      <c r="M495" s="23"/>
    </row>
    <row r="496">
      <c r="A496" s="10" t="s">
        <v>533</v>
      </c>
      <c r="B496" s="17" t="s">
        <v>534</v>
      </c>
      <c r="C496" s="4" t="s">
        <v>8</v>
      </c>
      <c r="D496" s="5" t="s">
        <v>35</v>
      </c>
      <c r="E496" s="6" t="s">
        <v>550</v>
      </c>
      <c r="F496" s="7">
        <v>45158.0</v>
      </c>
      <c r="H496" s="11"/>
      <c r="J496" s="18"/>
      <c r="L496" s="18"/>
      <c r="M496" s="23"/>
    </row>
    <row r="497">
      <c r="A497" s="10" t="s">
        <v>533</v>
      </c>
      <c r="B497" s="17" t="s">
        <v>534</v>
      </c>
      <c r="C497" s="4" t="s">
        <v>3</v>
      </c>
      <c r="D497" s="5" t="s">
        <v>4</v>
      </c>
      <c r="E497" s="6" t="s">
        <v>551</v>
      </c>
      <c r="F497" s="7">
        <v>45218.0</v>
      </c>
      <c r="H497" s="11"/>
      <c r="J497" s="18"/>
      <c r="L497" s="18"/>
      <c r="M497" s="23"/>
    </row>
    <row r="498">
      <c r="A498" s="10" t="s">
        <v>533</v>
      </c>
      <c r="B498" s="17" t="s">
        <v>534</v>
      </c>
      <c r="C498" s="4" t="s">
        <v>8</v>
      </c>
      <c r="D498" s="5" t="s">
        <v>28</v>
      </c>
      <c r="E498" s="6" t="s">
        <v>552</v>
      </c>
      <c r="F498" s="7">
        <v>45220.0</v>
      </c>
      <c r="H498" s="11"/>
      <c r="J498" s="18"/>
      <c r="L498" s="18"/>
      <c r="M498" s="23"/>
    </row>
    <row r="499">
      <c r="A499" s="10" t="s">
        <v>533</v>
      </c>
      <c r="B499" s="17" t="s">
        <v>534</v>
      </c>
      <c r="C499" s="4" t="s">
        <v>8</v>
      </c>
      <c r="D499" s="5" t="s">
        <v>45</v>
      </c>
      <c r="E499" s="6" t="s">
        <v>553</v>
      </c>
      <c r="F499" s="7">
        <v>45248.0</v>
      </c>
      <c r="H499" s="11"/>
      <c r="J499" s="18"/>
      <c r="L499" s="18"/>
      <c r="M499" s="23"/>
    </row>
    <row r="500">
      <c r="A500" s="10" t="s">
        <v>533</v>
      </c>
      <c r="B500" s="17" t="s">
        <v>534</v>
      </c>
      <c r="C500" s="4" t="s">
        <v>8</v>
      </c>
      <c r="D500" s="5" t="s">
        <v>120</v>
      </c>
      <c r="E500" s="6" t="s">
        <v>554</v>
      </c>
      <c r="F500" s="7">
        <v>45252.0</v>
      </c>
      <c r="H500" s="11"/>
      <c r="J500" s="18"/>
      <c r="L500" s="18"/>
      <c r="M500" s="23"/>
    </row>
    <row r="501">
      <c r="A501" s="10" t="s">
        <v>555</v>
      </c>
      <c r="B501" s="17" t="s">
        <v>556</v>
      </c>
      <c r="C501" s="4" t="s">
        <v>3</v>
      </c>
      <c r="D501" s="5" t="s">
        <v>4</v>
      </c>
      <c r="E501" s="6" t="s">
        <v>557</v>
      </c>
      <c r="F501" s="7">
        <v>44960.0</v>
      </c>
      <c r="H501" s="11"/>
      <c r="J501" s="18"/>
      <c r="L501" s="18"/>
      <c r="M501" s="23"/>
    </row>
    <row r="502">
      <c r="A502" s="10" t="s">
        <v>555</v>
      </c>
      <c r="B502" s="17" t="s">
        <v>556</v>
      </c>
      <c r="C502" s="4" t="s">
        <v>8</v>
      </c>
      <c r="D502" s="5" t="s">
        <v>6</v>
      </c>
      <c r="E502" s="6" t="s">
        <v>558</v>
      </c>
      <c r="F502" s="7">
        <v>44980.0</v>
      </c>
      <c r="H502" s="11"/>
      <c r="J502" s="18"/>
      <c r="L502" s="18"/>
      <c r="M502" s="23"/>
    </row>
    <row r="503">
      <c r="A503" s="10" t="s">
        <v>555</v>
      </c>
      <c r="B503" s="17" t="s">
        <v>556</v>
      </c>
      <c r="C503" s="4" t="s">
        <v>8</v>
      </c>
      <c r="D503" s="5" t="s">
        <v>6</v>
      </c>
      <c r="E503" s="6" t="s">
        <v>559</v>
      </c>
      <c r="F503" s="7">
        <v>45007.0</v>
      </c>
      <c r="H503" s="11"/>
      <c r="J503" s="18"/>
      <c r="L503" s="18"/>
      <c r="M503" s="23"/>
    </row>
    <row r="504">
      <c r="A504" s="10" t="s">
        <v>555</v>
      </c>
      <c r="B504" s="17" t="s">
        <v>556</v>
      </c>
      <c r="C504" s="4" t="s">
        <v>8</v>
      </c>
      <c r="D504" s="5" t="s">
        <v>15</v>
      </c>
      <c r="E504" s="6" t="s">
        <v>560</v>
      </c>
      <c r="F504" s="7">
        <v>45018.0</v>
      </c>
      <c r="H504" s="11"/>
      <c r="J504" s="18"/>
      <c r="L504" s="18"/>
      <c r="M504" s="23"/>
    </row>
    <row r="505">
      <c r="A505" s="10" t="s">
        <v>555</v>
      </c>
      <c r="B505" s="17" t="s">
        <v>556</v>
      </c>
      <c r="C505" s="4" t="s">
        <v>8</v>
      </c>
      <c r="D505" s="5" t="s">
        <v>39</v>
      </c>
      <c r="E505" s="6" t="s">
        <v>561</v>
      </c>
      <c r="F505" s="7">
        <v>45023.0</v>
      </c>
      <c r="H505" s="11"/>
      <c r="J505" s="18"/>
      <c r="L505" s="18"/>
      <c r="M505" s="23"/>
    </row>
    <row r="506">
      <c r="A506" s="10" t="s">
        <v>555</v>
      </c>
      <c r="B506" s="17" t="s">
        <v>556</v>
      </c>
      <c r="C506" s="4" t="s">
        <v>3</v>
      </c>
      <c r="D506" s="5" t="s">
        <v>17</v>
      </c>
      <c r="E506" s="6" t="s">
        <v>562</v>
      </c>
      <c r="F506" s="7">
        <v>45054.0</v>
      </c>
      <c r="H506" s="11"/>
      <c r="J506" s="18"/>
      <c r="L506" s="18"/>
      <c r="M506" s="23"/>
    </row>
    <row r="507">
      <c r="A507" s="10" t="s">
        <v>555</v>
      </c>
      <c r="B507" s="17" t="s">
        <v>556</v>
      </c>
      <c r="C507" s="4" t="s">
        <v>8</v>
      </c>
      <c r="D507" s="5" t="s">
        <v>9</v>
      </c>
      <c r="E507" s="6" t="s">
        <v>548</v>
      </c>
      <c r="F507" s="7">
        <v>45059.0</v>
      </c>
      <c r="H507" s="11"/>
      <c r="J507" s="18"/>
      <c r="L507" s="18"/>
      <c r="M507" s="23"/>
    </row>
    <row r="508">
      <c r="A508" s="10" t="s">
        <v>555</v>
      </c>
      <c r="B508" s="17" t="s">
        <v>556</v>
      </c>
      <c r="C508" s="4" t="s">
        <v>8</v>
      </c>
      <c r="D508" s="5" t="s">
        <v>23</v>
      </c>
      <c r="E508" s="6" t="s">
        <v>563</v>
      </c>
      <c r="F508" s="7">
        <v>45098.0</v>
      </c>
      <c r="H508" s="11"/>
      <c r="J508" s="18"/>
      <c r="L508" s="18"/>
      <c r="M508" s="23"/>
    </row>
    <row r="509">
      <c r="A509" s="10" t="s">
        <v>555</v>
      </c>
      <c r="B509" s="17" t="s">
        <v>556</v>
      </c>
      <c r="C509" s="4" t="s">
        <v>3</v>
      </c>
      <c r="D509" s="5" t="s">
        <v>11</v>
      </c>
      <c r="E509" s="6" t="s">
        <v>564</v>
      </c>
      <c r="F509" s="7">
        <v>45113.0</v>
      </c>
      <c r="H509" s="11"/>
      <c r="J509" s="18"/>
      <c r="L509" s="18"/>
      <c r="M509" s="23"/>
    </row>
    <row r="510">
      <c r="A510" s="10" t="s">
        <v>555</v>
      </c>
      <c r="B510" s="17" t="s">
        <v>556</v>
      </c>
      <c r="C510" s="4" t="s">
        <v>3</v>
      </c>
      <c r="D510" s="5" t="s">
        <v>23</v>
      </c>
      <c r="E510" s="6" t="s">
        <v>565</v>
      </c>
      <c r="F510" s="7">
        <v>45123.0</v>
      </c>
      <c r="H510" s="11"/>
      <c r="J510" s="18"/>
      <c r="L510" s="18"/>
      <c r="M510" s="23"/>
    </row>
    <row r="511">
      <c r="A511" s="10" t="s">
        <v>555</v>
      </c>
      <c r="B511" s="17" t="s">
        <v>556</v>
      </c>
      <c r="C511" s="4" t="s">
        <v>3</v>
      </c>
      <c r="D511" s="5" t="s">
        <v>76</v>
      </c>
      <c r="E511" s="6" t="s">
        <v>566</v>
      </c>
      <c r="F511" s="7">
        <v>45141.0</v>
      </c>
      <c r="H511" s="11"/>
      <c r="J511" s="18"/>
      <c r="L511" s="18"/>
      <c r="M511" s="23"/>
    </row>
    <row r="512">
      <c r="A512" s="10" t="s">
        <v>555</v>
      </c>
      <c r="B512" s="17" t="s">
        <v>556</v>
      </c>
      <c r="C512" s="4" t="s">
        <v>8</v>
      </c>
      <c r="D512" s="5" t="s">
        <v>45</v>
      </c>
      <c r="E512" s="6" t="s">
        <v>567</v>
      </c>
      <c r="F512" s="7">
        <v>45144.0</v>
      </c>
      <c r="H512" s="11"/>
      <c r="J512" s="18"/>
      <c r="L512" s="18"/>
      <c r="M512" s="23"/>
    </row>
    <row r="513">
      <c r="A513" s="10" t="s">
        <v>555</v>
      </c>
      <c r="B513" s="17" t="s">
        <v>556</v>
      </c>
      <c r="C513" s="4" t="s">
        <v>8</v>
      </c>
      <c r="D513" s="5" t="s">
        <v>17</v>
      </c>
      <c r="E513" s="6" t="s">
        <v>568</v>
      </c>
      <c r="F513" s="7">
        <v>45149.0</v>
      </c>
      <c r="H513" s="11"/>
      <c r="J513" s="18"/>
      <c r="L513" s="18"/>
      <c r="M513" s="23"/>
    </row>
    <row r="514">
      <c r="A514" s="10" t="s">
        <v>555</v>
      </c>
      <c r="B514" s="17" t="s">
        <v>556</v>
      </c>
      <c r="C514" s="4" t="s">
        <v>3</v>
      </c>
      <c r="D514" s="5" t="s">
        <v>42</v>
      </c>
      <c r="E514" s="6" t="s">
        <v>569</v>
      </c>
      <c r="F514" s="7">
        <v>45172.0</v>
      </c>
      <c r="H514" s="11"/>
      <c r="J514" s="18"/>
      <c r="L514" s="18"/>
      <c r="M514" s="23"/>
    </row>
    <row r="515">
      <c r="A515" s="10" t="s">
        <v>555</v>
      </c>
      <c r="B515" s="17" t="s">
        <v>556</v>
      </c>
      <c r="C515" s="4" t="s">
        <v>3</v>
      </c>
      <c r="D515" s="5" t="s">
        <v>15</v>
      </c>
      <c r="E515" s="6" t="s">
        <v>570</v>
      </c>
      <c r="F515" s="7">
        <v>45209.0</v>
      </c>
      <c r="H515" s="11"/>
      <c r="J515" s="18"/>
      <c r="L515" s="18"/>
      <c r="M515" s="23"/>
    </row>
    <row r="516">
      <c r="A516" s="10" t="s">
        <v>555</v>
      </c>
      <c r="B516" s="17" t="s">
        <v>556</v>
      </c>
      <c r="C516" s="4" t="s">
        <v>3</v>
      </c>
      <c r="D516" s="5" t="s">
        <v>13</v>
      </c>
      <c r="E516" s="6" t="s">
        <v>571</v>
      </c>
      <c r="F516" s="7">
        <v>45216.0</v>
      </c>
      <c r="H516" s="11"/>
      <c r="J516" s="18"/>
      <c r="L516" s="18"/>
      <c r="M516" s="23"/>
    </row>
    <row r="517">
      <c r="A517" s="10" t="s">
        <v>555</v>
      </c>
      <c r="B517" s="17" t="s">
        <v>556</v>
      </c>
      <c r="C517" s="4" t="s">
        <v>3</v>
      </c>
      <c r="D517" s="5" t="s">
        <v>6</v>
      </c>
      <c r="E517" s="6" t="s">
        <v>572</v>
      </c>
      <c r="F517" s="7">
        <v>45225.0</v>
      </c>
      <c r="H517" s="11"/>
      <c r="J517" s="18"/>
      <c r="L517" s="18"/>
      <c r="M517" s="23"/>
    </row>
    <row r="518">
      <c r="A518" s="10" t="s">
        <v>555</v>
      </c>
      <c r="B518" s="17" t="s">
        <v>556</v>
      </c>
      <c r="C518" s="4" t="s">
        <v>8</v>
      </c>
      <c r="D518" s="5" t="s">
        <v>15</v>
      </c>
      <c r="E518" s="6" t="s">
        <v>225</v>
      </c>
      <c r="F518" s="7">
        <v>45246.0</v>
      </c>
      <c r="H518" s="11"/>
      <c r="J518" s="18"/>
      <c r="L518" s="18"/>
      <c r="M518" s="23"/>
    </row>
    <row r="519">
      <c r="A519" s="10" t="s">
        <v>555</v>
      </c>
      <c r="B519" s="17" t="s">
        <v>556</v>
      </c>
      <c r="C519" s="4" t="s">
        <v>8</v>
      </c>
      <c r="D519" s="5" t="s">
        <v>15</v>
      </c>
      <c r="E519" s="6" t="s">
        <v>573</v>
      </c>
      <c r="F519" s="7">
        <v>45247.0</v>
      </c>
      <c r="H519" s="11"/>
      <c r="J519" s="18"/>
      <c r="L519" s="18"/>
      <c r="M519" s="23"/>
    </row>
    <row r="520">
      <c r="A520" s="10" t="s">
        <v>555</v>
      </c>
      <c r="B520" s="17" t="s">
        <v>556</v>
      </c>
      <c r="C520" s="4" t="s">
        <v>3</v>
      </c>
      <c r="D520" s="5" t="s">
        <v>39</v>
      </c>
      <c r="E520" s="6" t="s">
        <v>574</v>
      </c>
      <c r="F520" s="7">
        <v>45286.0</v>
      </c>
      <c r="H520" s="11"/>
      <c r="J520" s="18"/>
      <c r="L520" s="18"/>
      <c r="M520" s="23"/>
    </row>
    <row r="521">
      <c r="A521" s="10" t="s">
        <v>575</v>
      </c>
      <c r="B521" s="17" t="s">
        <v>576</v>
      </c>
      <c r="C521" s="4" t="s">
        <v>3</v>
      </c>
      <c r="D521" s="5" t="s">
        <v>19</v>
      </c>
      <c r="E521" s="6" t="s">
        <v>577</v>
      </c>
      <c r="F521" s="7">
        <v>44944.0</v>
      </c>
      <c r="H521" s="11"/>
      <c r="J521" s="18"/>
      <c r="L521" s="18"/>
      <c r="M521" s="23"/>
    </row>
    <row r="522">
      <c r="A522" s="10" t="s">
        <v>575</v>
      </c>
      <c r="B522" s="17" t="s">
        <v>576</v>
      </c>
      <c r="C522" s="4" t="s">
        <v>8</v>
      </c>
      <c r="D522" s="5" t="s">
        <v>39</v>
      </c>
      <c r="E522" s="6" t="s">
        <v>578</v>
      </c>
      <c r="F522" s="7">
        <v>44952.0</v>
      </c>
      <c r="H522" s="11"/>
      <c r="J522" s="18"/>
      <c r="L522" s="18"/>
      <c r="M522" s="23"/>
    </row>
    <row r="523">
      <c r="A523" s="10" t="s">
        <v>575</v>
      </c>
      <c r="B523" s="17" t="s">
        <v>576</v>
      </c>
      <c r="C523" s="4" t="s">
        <v>3</v>
      </c>
      <c r="D523" s="5" t="s">
        <v>23</v>
      </c>
      <c r="E523" s="6" t="s">
        <v>579</v>
      </c>
      <c r="F523" s="7">
        <v>44969.0</v>
      </c>
      <c r="H523" s="11"/>
      <c r="J523" s="18"/>
      <c r="L523" s="18"/>
      <c r="M523" s="23"/>
    </row>
    <row r="524">
      <c r="A524" s="10" t="s">
        <v>575</v>
      </c>
      <c r="B524" s="17" t="s">
        <v>576</v>
      </c>
      <c r="C524" s="4" t="s">
        <v>8</v>
      </c>
      <c r="D524" s="5" t="s">
        <v>21</v>
      </c>
      <c r="E524" s="6" t="s">
        <v>580</v>
      </c>
      <c r="F524" s="7">
        <v>44979.0</v>
      </c>
      <c r="H524" s="11"/>
      <c r="J524" s="18"/>
      <c r="L524" s="18"/>
      <c r="M524" s="23"/>
    </row>
    <row r="525">
      <c r="A525" s="10" t="s">
        <v>575</v>
      </c>
      <c r="B525" s="17" t="s">
        <v>576</v>
      </c>
      <c r="C525" s="4" t="s">
        <v>8</v>
      </c>
      <c r="D525" s="5" t="s">
        <v>13</v>
      </c>
      <c r="E525" s="6" t="s">
        <v>518</v>
      </c>
      <c r="F525" s="7">
        <v>45008.0</v>
      </c>
      <c r="H525" s="11"/>
      <c r="J525" s="18"/>
      <c r="L525" s="18"/>
      <c r="M525" s="23"/>
    </row>
    <row r="526">
      <c r="A526" s="10" t="s">
        <v>575</v>
      </c>
      <c r="B526" s="17" t="s">
        <v>576</v>
      </c>
      <c r="C526" s="4" t="s">
        <v>8</v>
      </c>
      <c r="D526" s="5" t="s">
        <v>76</v>
      </c>
      <c r="E526" s="6" t="s">
        <v>581</v>
      </c>
      <c r="F526" s="7">
        <v>45018.0</v>
      </c>
      <c r="H526" s="11"/>
      <c r="J526" s="18"/>
      <c r="L526" s="18"/>
      <c r="M526" s="23"/>
    </row>
    <row r="527">
      <c r="A527" s="10" t="s">
        <v>575</v>
      </c>
      <c r="B527" s="17" t="s">
        <v>576</v>
      </c>
      <c r="C527" s="4" t="s">
        <v>8</v>
      </c>
      <c r="D527" s="5" t="s">
        <v>9</v>
      </c>
      <c r="E527" s="6" t="s">
        <v>582</v>
      </c>
      <c r="F527" s="7">
        <v>45023.0</v>
      </c>
      <c r="H527" s="11"/>
      <c r="J527" s="18"/>
      <c r="L527" s="18"/>
      <c r="M527" s="23"/>
    </row>
    <row r="528">
      <c r="A528" s="10" t="s">
        <v>575</v>
      </c>
      <c r="B528" s="17" t="s">
        <v>576</v>
      </c>
      <c r="C528" s="4" t="s">
        <v>8</v>
      </c>
      <c r="D528" s="5" t="s">
        <v>11</v>
      </c>
      <c r="E528" s="6" t="s">
        <v>583</v>
      </c>
      <c r="F528" s="7">
        <v>45030.0</v>
      </c>
      <c r="H528" s="11"/>
      <c r="J528" s="18"/>
      <c r="L528" s="18"/>
      <c r="M528" s="23"/>
    </row>
    <row r="529">
      <c r="A529" s="10" t="s">
        <v>575</v>
      </c>
      <c r="B529" s="17" t="s">
        <v>576</v>
      </c>
      <c r="C529" s="4" t="s">
        <v>8</v>
      </c>
      <c r="D529" s="5" t="s">
        <v>9</v>
      </c>
      <c r="E529" s="6" t="s">
        <v>43</v>
      </c>
      <c r="F529" s="7">
        <v>45037.0</v>
      </c>
      <c r="H529" s="11"/>
      <c r="J529" s="18"/>
      <c r="L529" s="18"/>
      <c r="M529" s="23"/>
    </row>
    <row r="530">
      <c r="A530" s="10" t="s">
        <v>575</v>
      </c>
      <c r="B530" s="17" t="s">
        <v>576</v>
      </c>
      <c r="C530" s="4" t="s">
        <v>8</v>
      </c>
      <c r="D530" s="5" t="s">
        <v>6</v>
      </c>
      <c r="E530" s="6" t="s">
        <v>584</v>
      </c>
      <c r="F530" s="7">
        <v>45061.0</v>
      </c>
      <c r="H530" s="11"/>
      <c r="J530" s="18"/>
      <c r="L530" s="18"/>
      <c r="M530" s="23"/>
    </row>
    <row r="531">
      <c r="A531" s="10" t="s">
        <v>575</v>
      </c>
      <c r="B531" s="17" t="s">
        <v>576</v>
      </c>
      <c r="C531" s="4" t="s">
        <v>3</v>
      </c>
      <c r="D531" s="5" t="s">
        <v>9</v>
      </c>
      <c r="E531" s="6" t="s">
        <v>585</v>
      </c>
      <c r="F531" s="7">
        <v>45072.0</v>
      </c>
      <c r="H531" s="11"/>
      <c r="J531" s="18"/>
      <c r="L531" s="18"/>
      <c r="M531" s="23"/>
    </row>
    <row r="532">
      <c r="A532" s="10" t="s">
        <v>575</v>
      </c>
      <c r="B532" s="17" t="s">
        <v>576</v>
      </c>
      <c r="C532" s="4" t="s">
        <v>3</v>
      </c>
      <c r="D532" s="5" t="s">
        <v>76</v>
      </c>
      <c r="E532" s="6" t="s">
        <v>337</v>
      </c>
      <c r="F532" s="7">
        <v>45083.0</v>
      </c>
      <c r="H532" s="11"/>
      <c r="J532" s="18"/>
      <c r="L532" s="18"/>
      <c r="M532" s="23"/>
    </row>
    <row r="533">
      <c r="A533" s="10" t="s">
        <v>575</v>
      </c>
      <c r="B533" s="17" t="s">
        <v>576</v>
      </c>
      <c r="C533" s="4" t="s">
        <v>8</v>
      </c>
      <c r="D533" s="5" t="s">
        <v>28</v>
      </c>
      <c r="E533" s="6" t="s">
        <v>586</v>
      </c>
      <c r="F533" s="7">
        <v>45094.0</v>
      </c>
      <c r="H533" s="11"/>
      <c r="J533" s="18"/>
      <c r="L533" s="18"/>
      <c r="M533" s="23"/>
    </row>
    <row r="534">
      <c r="A534" s="10" t="s">
        <v>575</v>
      </c>
      <c r="B534" s="17" t="s">
        <v>576</v>
      </c>
      <c r="C534" s="4" t="s">
        <v>8</v>
      </c>
      <c r="D534" s="5" t="s">
        <v>6</v>
      </c>
      <c r="E534" s="6" t="s">
        <v>587</v>
      </c>
      <c r="F534" s="7">
        <v>45101.0</v>
      </c>
      <c r="H534" s="11"/>
      <c r="J534" s="18"/>
      <c r="L534" s="18"/>
      <c r="M534" s="23"/>
    </row>
    <row r="535">
      <c r="A535" s="10" t="s">
        <v>575</v>
      </c>
      <c r="B535" s="17" t="s">
        <v>576</v>
      </c>
      <c r="C535" s="4" t="s">
        <v>3</v>
      </c>
      <c r="D535" s="5" t="s">
        <v>51</v>
      </c>
      <c r="E535" s="6" t="s">
        <v>588</v>
      </c>
      <c r="F535" s="7">
        <v>45104.0</v>
      </c>
      <c r="H535" s="11"/>
      <c r="J535" s="18"/>
      <c r="L535" s="18"/>
      <c r="M535" s="23"/>
    </row>
    <row r="536">
      <c r="A536" s="10" t="s">
        <v>575</v>
      </c>
      <c r="B536" s="17" t="s">
        <v>576</v>
      </c>
      <c r="C536" s="4" t="s">
        <v>8</v>
      </c>
      <c r="D536" s="5" t="s">
        <v>17</v>
      </c>
      <c r="E536" s="6" t="s">
        <v>589</v>
      </c>
      <c r="F536" s="7">
        <v>45115.0</v>
      </c>
      <c r="H536" s="11"/>
      <c r="J536" s="18"/>
      <c r="L536" s="18"/>
      <c r="M536" s="23"/>
    </row>
    <row r="537">
      <c r="A537" s="10" t="s">
        <v>575</v>
      </c>
      <c r="B537" s="17" t="s">
        <v>576</v>
      </c>
      <c r="C537" s="4" t="s">
        <v>8</v>
      </c>
      <c r="D537" s="5" t="s">
        <v>9</v>
      </c>
      <c r="E537" s="6" t="s">
        <v>590</v>
      </c>
      <c r="F537" s="7">
        <v>45154.0</v>
      </c>
      <c r="H537" s="11"/>
      <c r="J537" s="18"/>
      <c r="L537" s="18"/>
      <c r="M537" s="23"/>
    </row>
    <row r="538">
      <c r="A538" s="10" t="s">
        <v>575</v>
      </c>
      <c r="B538" s="17" t="s">
        <v>576</v>
      </c>
      <c r="C538" s="4" t="s">
        <v>8</v>
      </c>
      <c r="D538" s="5" t="s">
        <v>45</v>
      </c>
      <c r="E538" s="6" t="s">
        <v>591</v>
      </c>
      <c r="F538" s="7">
        <v>45219.0</v>
      </c>
      <c r="H538" s="11"/>
      <c r="J538" s="18"/>
      <c r="L538" s="18"/>
      <c r="M538" s="23"/>
    </row>
    <row r="539">
      <c r="A539" s="10" t="s">
        <v>575</v>
      </c>
      <c r="B539" s="17" t="s">
        <v>576</v>
      </c>
      <c r="C539" s="4" t="s">
        <v>3</v>
      </c>
      <c r="D539" s="5" t="s">
        <v>13</v>
      </c>
      <c r="E539" s="6" t="s">
        <v>592</v>
      </c>
      <c r="F539" s="7">
        <v>45226.0</v>
      </c>
      <c r="H539" s="11"/>
      <c r="J539" s="18"/>
      <c r="L539" s="18"/>
      <c r="M539" s="23"/>
    </row>
    <row r="540">
      <c r="A540" s="10" t="s">
        <v>575</v>
      </c>
      <c r="B540" s="17" t="s">
        <v>576</v>
      </c>
      <c r="C540" s="4" t="s">
        <v>8</v>
      </c>
      <c r="D540" s="5" t="s">
        <v>23</v>
      </c>
      <c r="E540" s="6" t="s">
        <v>77</v>
      </c>
      <c r="F540" s="7">
        <v>45270.0</v>
      </c>
      <c r="H540" s="11"/>
      <c r="J540" s="18"/>
      <c r="L540" s="18"/>
      <c r="M540" s="23"/>
    </row>
    <row r="541">
      <c r="A541" s="10" t="s">
        <v>593</v>
      </c>
      <c r="B541" s="17" t="s">
        <v>594</v>
      </c>
      <c r="C541" s="4" t="s">
        <v>8</v>
      </c>
      <c r="D541" s="5" t="s">
        <v>35</v>
      </c>
      <c r="E541" s="6" t="s">
        <v>595</v>
      </c>
      <c r="F541" s="7">
        <v>44930.0</v>
      </c>
      <c r="H541" s="11"/>
      <c r="J541" s="18"/>
      <c r="L541" s="18"/>
      <c r="M541" s="23"/>
    </row>
    <row r="542">
      <c r="A542" s="10" t="s">
        <v>593</v>
      </c>
      <c r="B542" s="17" t="s">
        <v>594</v>
      </c>
      <c r="C542" s="4" t="s">
        <v>8</v>
      </c>
      <c r="D542" s="5" t="s">
        <v>17</v>
      </c>
      <c r="E542" s="6" t="s">
        <v>596</v>
      </c>
      <c r="F542" s="7">
        <v>44958.0</v>
      </c>
      <c r="H542" s="11"/>
      <c r="J542" s="18"/>
      <c r="L542" s="18"/>
      <c r="M542" s="23"/>
    </row>
    <row r="543">
      <c r="A543" s="10" t="s">
        <v>593</v>
      </c>
      <c r="B543" s="17" t="s">
        <v>594</v>
      </c>
      <c r="C543" s="4" t="s">
        <v>8</v>
      </c>
      <c r="D543" s="5" t="s">
        <v>96</v>
      </c>
      <c r="E543" s="6" t="s">
        <v>597</v>
      </c>
      <c r="F543" s="7">
        <v>44980.0</v>
      </c>
      <c r="H543" s="11"/>
      <c r="J543" s="18"/>
      <c r="L543" s="18"/>
      <c r="M543" s="23"/>
    </row>
    <row r="544">
      <c r="A544" s="10" t="s">
        <v>593</v>
      </c>
      <c r="B544" s="17" t="s">
        <v>594</v>
      </c>
      <c r="C544" s="4" t="s">
        <v>8</v>
      </c>
      <c r="D544" s="5" t="s">
        <v>21</v>
      </c>
      <c r="E544" s="6" t="s">
        <v>343</v>
      </c>
      <c r="F544" s="7">
        <v>44995.0</v>
      </c>
      <c r="H544" s="11"/>
      <c r="J544" s="18"/>
      <c r="L544" s="18"/>
      <c r="M544" s="23"/>
    </row>
    <row r="545">
      <c r="A545" s="10" t="s">
        <v>593</v>
      </c>
      <c r="B545" s="17" t="s">
        <v>594</v>
      </c>
      <c r="C545" s="4" t="s">
        <v>8</v>
      </c>
      <c r="D545" s="5" t="s">
        <v>71</v>
      </c>
      <c r="E545" s="6" t="s">
        <v>598</v>
      </c>
      <c r="F545" s="7">
        <v>45008.0</v>
      </c>
      <c r="H545" s="11"/>
      <c r="J545" s="18"/>
      <c r="L545" s="18"/>
      <c r="M545" s="23"/>
    </row>
    <row r="546">
      <c r="A546" s="10" t="s">
        <v>593</v>
      </c>
      <c r="B546" s="17" t="s">
        <v>594</v>
      </c>
      <c r="C546" s="4" t="s">
        <v>3</v>
      </c>
      <c r="D546" s="5" t="s">
        <v>71</v>
      </c>
      <c r="E546" s="6" t="s">
        <v>599</v>
      </c>
      <c r="F546" s="7">
        <v>45022.0</v>
      </c>
      <c r="H546" s="11"/>
      <c r="J546" s="18"/>
      <c r="L546" s="18"/>
      <c r="M546" s="23"/>
    </row>
    <row r="547">
      <c r="A547" s="10" t="s">
        <v>593</v>
      </c>
      <c r="B547" s="17" t="s">
        <v>594</v>
      </c>
      <c r="C547" s="4" t="s">
        <v>3</v>
      </c>
      <c r="D547" s="5" t="s">
        <v>35</v>
      </c>
      <c r="E547" s="6" t="s">
        <v>600</v>
      </c>
      <c r="F547" s="7">
        <v>45026.0</v>
      </c>
      <c r="H547" s="11"/>
      <c r="J547" s="18"/>
      <c r="L547" s="18"/>
      <c r="M547" s="23"/>
    </row>
    <row r="548">
      <c r="A548" s="10" t="s">
        <v>593</v>
      </c>
      <c r="B548" s="17" t="s">
        <v>594</v>
      </c>
      <c r="C548" s="4" t="s">
        <v>3</v>
      </c>
      <c r="D548" s="5" t="s">
        <v>39</v>
      </c>
      <c r="E548" s="6" t="s">
        <v>601</v>
      </c>
      <c r="F548" s="7">
        <v>45033.0</v>
      </c>
      <c r="H548" s="11"/>
      <c r="J548" s="18"/>
      <c r="L548" s="18"/>
      <c r="M548" s="23"/>
    </row>
    <row r="549">
      <c r="A549" s="10" t="s">
        <v>593</v>
      </c>
      <c r="B549" s="17" t="s">
        <v>594</v>
      </c>
      <c r="C549" s="4" t="s">
        <v>3</v>
      </c>
      <c r="D549" s="5" t="s">
        <v>42</v>
      </c>
      <c r="E549" s="6" t="s">
        <v>602</v>
      </c>
      <c r="F549" s="7">
        <v>45051.0</v>
      </c>
      <c r="H549" s="11"/>
      <c r="J549" s="18"/>
      <c r="L549" s="18"/>
      <c r="M549" s="23"/>
    </row>
    <row r="550">
      <c r="A550" s="10" t="s">
        <v>593</v>
      </c>
      <c r="B550" s="17" t="s">
        <v>594</v>
      </c>
      <c r="C550" s="4" t="s">
        <v>8</v>
      </c>
      <c r="D550" s="5" t="s">
        <v>120</v>
      </c>
      <c r="E550" s="6" t="s">
        <v>603</v>
      </c>
      <c r="F550" s="7">
        <v>45052.0</v>
      </c>
      <c r="H550" s="11"/>
      <c r="J550" s="18"/>
      <c r="L550" s="18"/>
      <c r="M550" s="23"/>
    </row>
    <row r="551">
      <c r="A551" s="10" t="s">
        <v>593</v>
      </c>
      <c r="B551" s="17" t="s">
        <v>594</v>
      </c>
      <c r="C551" s="4" t="s">
        <v>3</v>
      </c>
      <c r="D551" s="5" t="s">
        <v>96</v>
      </c>
      <c r="E551" s="6" t="s">
        <v>604</v>
      </c>
      <c r="F551" s="7">
        <v>45081.0</v>
      </c>
      <c r="H551" s="11"/>
      <c r="J551" s="18"/>
      <c r="L551" s="18"/>
      <c r="M551" s="23"/>
    </row>
    <row r="552">
      <c r="A552" s="10" t="s">
        <v>593</v>
      </c>
      <c r="B552" s="17" t="s">
        <v>594</v>
      </c>
      <c r="C552" s="4" t="s">
        <v>3</v>
      </c>
      <c r="D552" s="5" t="s">
        <v>13</v>
      </c>
      <c r="E552" s="6" t="s">
        <v>605</v>
      </c>
      <c r="F552" s="7">
        <v>45086.0</v>
      </c>
      <c r="H552" s="11"/>
      <c r="J552" s="18"/>
      <c r="L552" s="18"/>
      <c r="M552" s="23"/>
    </row>
    <row r="553">
      <c r="A553" s="10" t="s">
        <v>593</v>
      </c>
      <c r="B553" s="17" t="s">
        <v>594</v>
      </c>
      <c r="C553" s="4" t="s">
        <v>8</v>
      </c>
      <c r="D553" s="5" t="s">
        <v>42</v>
      </c>
      <c r="E553" s="6" t="s">
        <v>606</v>
      </c>
      <c r="F553" s="7">
        <v>45130.0</v>
      </c>
      <c r="H553" s="11"/>
      <c r="J553" s="18"/>
      <c r="L553" s="18"/>
      <c r="M553" s="23"/>
    </row>
    <row r="554">
      <c r="A554" s="10" t="s">
        <v>593</v>
      </c>
      <c r="B554" s="17" t="s">
        <v>594</v>
      </c>
      <c r="C554" s="4" t="s">
        <v>3</v>
      </c>
      <c r="D554" s="5" t="s">
        <v>9</v>
      </c>
      <c r="E554" s="6" t="s">
        <v>607</v>
      </c>
      <c r="F554" s="7">
        <v>45154.0</v>
      </c>
      <c r="H554" s="11"/>
      <c r="J554" s="18"/>
      <c r="L554" s="18"/>
      <c r="M554" s="23"/>
    </row>
    <row r="555">
      <c r="A555" s="10" t="s">
        <v>593</v>
      </c>
      <c r="B555" s="17" t="s">
        <v>594</v>
      </c>
      <c r="C555" s="4" t="s">
        <v>3</v>
      </c>
      <c r="D555" s="5" t="s">
        <v>51</v>
      </c>
      <c r="E555" s="6" t="s">
        <v>608</v>
      </c>
      <c r="F555" s="7">
        <v>45159.0</v>
      </c>
      <c r="H555" s="11"/>
      <c r="J555" s="18"/>
      <c r="L555" s="18"/>
      <c r="M555" s="23"/>
    </row>
    <row r="556">
      <c r="A556" s="10" t="s">
        <v>593</v>
      </c>
      <c r="B556" s="17" t="s">
        <v>594</v>
      </c>
      <c r="C556" s="4" t="s">
        <v>3</v>
      </c>
      <c r="D556" s="5" t="s">
        <v>15</v>
      </c>
      <c r="E556" s="6" t="s">
        <v>609</v>
      </c>
      <c r="F556" s="7">
        <v>45161.0</v>
      </c>
      <c r="H556" s="11"/>
      <c r="J556" s="18"/>
      <c r="L556" s="18"/>
      <c r="M556" s="23"/>
    </row>
    <row r="557">
      <c r="A557" s="10" t="s">
        <v>593</v>
      </c>
      <c r="B557" s="17" t="s">
        <v>594</v>
      </c>
      <c r="C557" s="4" t="s">
        <v>8</v>
      </c>
      <c r="D557" s="5" t="s">
        <v>23</v>
      </c>
      <c r="E557" s="6" t="s">
        <v>610</v>
      </c>
      <c r="F557" s="7">
        <v>45184.0</v>
      </c>
      <c r="H557" s="11"/>
      <c r="J557" s="18"/>
      <c r="L557" s="18"/>
      <c r="M557" s="23"/>
    </row>
    <row r="558">
      <c r="A558" s="10" t="s">
        <v>593</v>
      </c>
      <c r="B558" s="17" t="s">
        <v>594</v>
      </c>
      <c r="C558" s="4" t="s">
        <v>3</v>
      </c>
      <c r="D558" s="5" t="s">
        <v>15</v>
      </c>
      <c r="E558" s="6" t="s">
        <v>611</v>
      </c>
      <c r="F558" s="7">
        <v>45239.0</v>
      </c>
      <c r="H558" s="11"/>
      <c r="J558" s="18"/>
      <c r="L558" s="18"/>
      <c r="M558" s="23"/>
    </row>
    <row r="559">
      <c r="A559" s="10" t="s">
        <v>593</v>
      </c>
      <c r="B559" s="17" t="s">
        <v>594</v>
      </c>
      <c r="C559" s="4" t="s">
        <v>8</v>
      </c>
      <c r="D559" s="5" t="s">
        <v>21</v>
      </c>
      <c r="E559" s="6" t="s">
        <v>612</v>
      </c>
      <c r="F559" s="7">
        <v>45255.0</v>
      </c>
      <c r="H559" s="11"/>
      <c r="J559" s="18"/>
      <c r="L559" s="18"/>
      <c r="M559" s="23"/>
    </row>
    <row r="560">
      <c r="A560" s="10" t="s">
        <v>593</v>
      </c>
      <c r="B560" s="17" t="s">
        <v>594</v>
      </c>
      <c r="C560" s="4" t="s">
        <v>8</v>
      </c>
      <c r="D560" s="5" t="s">
        <v>51</v>
      </c>
      <c r="E560" s="6" t="s">
        <v>181</v>
      </c>
      <c r="F560" s="7">
        <v>45265.0</v>
      </c>
      <c r="H560" s="11"/>
      <c r="J560" s="18"/>
      <c r="L560" s="18"/>
      <c r="M560" s="23"/>
    </row>
    <row r="561">
      <c r="A561" s="10" t="s">
        <v>613</v>
      </c>
      <c r="B561" s="17" t="s">
        <v>614</v>
      </c>
      <c r="C561" s="4" t="s">
        <v>8</v>
      </c>
      <c r="D561" s="5" t="s">
        <v>19</v>
      </c>
      <c r="E561" s="6" t="s">
        <v>615</v>
      </c>
      <c r="F561" s="7">
        <v>44935.0</v>
      </c>
      <c r="H561" s="11"/>
      <c r="J561" s="18"/>
      <c r="L561" s="18"/>
      <c r="M561" s="23"/>
    </row>
    <row r="562">
      <c r="A562" s="10" t="s">
        <v>613</v>
      </c>
      <c r="B562" s="17" t="s">
        <v>614</v>
      </c>
      <c r="C562" s="4" t="s">
        <v>8</v>
      </c>
      <c r="D562" s="5" t="s">
        <v>13</v>
      </c>
      <c r="E562" s="6" t="s">
        <v>616</v>
      </c>
      <c r="F562" s="7">
        <v>44940.0</v>
      </c>
      <c r="H562" s="11"/>
      <c r="J562" s="18"/>
      <c r="L562" s="18"/>
      <c r="M562" s="23"/>
    </row>
    <row r="563">
      <c r="A563" s="10" t="s">
        <v>613</v>
      </c>
      <c r="B563" s="17" t="s">
        <v>614</v>
      </c>
      <c r="C563" s="4" t="s">
        <v>8</v>
      </c>
      <c r="D563" s="5" t="s">
        <v>51</v>
      </c>
      <c r="E563" s="6" t="s">
        <v>617</v>
      </c>
      <c r="F563" s="7">
        <v>44989.0</v>
      </c>
      <c r="H563" s="11"/>
      <c r="J563" s="18"/>
      <c r="L563" s="18"/>
      <c r="M563" s="23"/>
    </row>
    <row r="564">
      <c r="A564" s="10" t="s">
        <v>613</v>
      </c>
      <c r="B564" s="17" t="s">
        <v>614</v>
      </c>
      <c r="C564" s="4" t="s">
        <v>8</v>
      </c>
      <c r="D564" s="5" t="s">
        <v>23</v>
      </c>
      <c r="E564" s="6" t="s">
        <v>618</v>
      </c>
      <c r="F564" s="7">
        <v>44992.0</v>
      </c>
      <c r="H564" s="11"/>
      <c r="J564" s="18"/>
      <c r="L564" s="18"/>
      <c r="M564" s="23"/>
    </row>
    <row r="565">
      <c r="A565" s="10" t="s">
        <v>613</v>
      </c>
      <c r="B565" s="17" t="s">
        <v>614</v>
      </c>
      <c r="C565" s="4" t="s">
        <v>3</v>
      </c>
      <c r="D565" s="5" t="s">
        <v>11</v>
      </c>
      <c r="E565" s="6" t="s">
        <v>619</v>
      </c>
      <c r="F565" s="7">
        <v>45000.0</v>
      </c>
      <c r="H565" s="11"/>
      <c r="J565" s="18"/>
      <c r="L565" s="18"/>
      <c r="M565" s="23"/>
    </row>
    <row r="566">
      <c r="A566" s="10" t="s">
        <v>613</v>
      </c>
      <c r="B566" s="17" t="s">
        <v>614</v>
      </c>
      <c r="C566" s="4" t="s">
        <v>3</v>
      </c>
      <c r="D566" s="5" t="s">
        <v>96</v>
      </c>
      <c r="E566" s="6" t="s">
        <v>620</v>
      </c>
      <c r="F566" s="7">
        <v>45024.0</v>
      </c>
      <c r="H566" s="11"/>
      <c r="J566" s="18"/>
      <c r="L566" s="18"/>
      <c r="M566" s="23"/>
    </row>
    <row r="567">
      <c r="A567" s="10" t="s">
        <v>613</v>
      </c>
      <c r="B567" s="17" t="s">
        <v>614</v>
      </c>
      <c r="C567" s="4" t="s">
        <v>8</v>
      </c>
      <c r="D567" s="5" t="s">
        <v>15</v>
      </c>
      <c r="E567" s="6" t="s">
        <v>384</v>
      </c>
      <c r="F567" s="7">
        <v>45030.0</v>
      </c>
      <c r="H567" s="11"/>
      <c r="J567" s="18"/>
      <c r="L567" s="18"/>
      <c r="M567" s="23"/>
    </row>
    <row r="568">
      <c r="A568" s="10" t="s">
        <v>613</v>
      </c>
      <c r="B568" s="17" t="s">
        <v>614</v>
      </c>
      <c r="C568" s="4" t="s">
        <v>8</v>
      </c>
      <c r="D568" s="5" t="s">
        <v>71</v>
      </c>
      <c r="E568" s="6" t="s">
        <v>621</v>
      </c>
      <c r="F568" s="7">
        <v>45034.0</v>
      </c>
      <c r="H568" s="11"/>
      <c r="J568" s="18"/>
      <c r="L568" s="18"/>
      <c r="M568" s="23"/>
    </row>
    <row r="569">
      <c r="A569" s="10" t="s">
        <v>613</v>
      </c>
      <c r="B569" s="17" t="s">
        <v>614</v>
      </c>
      <c r="C569" s="4" t="s">
        <v>3</v>
      </c>
      <c r="D569" s="5" t="s">
        <v>120</v>
      </c>
      <c r="E569" s="6" t="s">
        <v>622</v>
      </c>
      <c r="F569" s="7">
        <v>45059.0</v>
      </c>
      <c r="H569" s="11"/>
      <c r="J569" s="18"/>
      <c r="L569" s="18"/>
      <c r="M569" s="23"/>
    </row>
    <row r="570">
      <c r="A570" s="10" t="s">
        <v>613</v>
      </c>
      <c r="B570" s="17" t="s">
        <v>614</v>
      </c>
      <c r="C570" s="4" t="s">
        <v>3</v>
      </c>
      <c r="D570" s="5" t="s">
        <v>21</v>
      </c>
      <c r="E570" s="6" t="s">
        <v>568</v>
      </c>
      <c r="F570" s="7">
        <v>45083.0</v>
      </c>
      <c r="H570" s="11"/>
      <c r="J570" s="18"/>
      <c r="L570" s="18"/>
      <c r="M570" s="23"/>
    </row>
    <row r="571">
      <c r="A571" s="10" t="s">
        <v>613</v>
      </c>
      <c r="B571" s="17" t="s">
        <v>614</v>
      </c>
      <c r="C571" s="4" t="s">
        <v>8</v>
      </c>
      <c r="D571" s="5" t="s">
        <v>96</v>
      </c>
      <c r="E571" s="6" t="s">
        <v>623</v>
      </c>
      <c r="F571" s="7">
        <v>45113.0</v>
      </c>
      <c r="H571" s="11"/>
      <c r="J571" s="18"/>
      <c r="L571" s="18"/>
      <c r="M571" s="23"/>
    </row>
    <row r="572">
      <c r="A572" s="10" t="s">
        <v>613</v>
      </c>
      <c r="B572" s="17" t="s">
        <v>614</v>
      </c>
      <c r="C572" s="4" t="s">
        <v>8</v>
      </c>
      <c r="D572" s="5" t="s">
        <v>6</v>
      </c>
      <c r="E572" s="6" t="s">
        <v>624</v>
      </c>
      <c r="F572" s="7">
        <v>45165.0</v>
      </c>
      <c r="H572" s="11"/>
      <c r="J572" s="18"/>
      <c r="L572" s="18"/>
      <c r="M572" s="23"/>
    </row>
    <row r="573">
      <c r="A573" s="10" t="s">
        <v>613</v>
      </c>
      <c r="B573" s="17" t="s">
        <v>614</v>
      </c>
      <c r="C573" s="4" t="s">
        <v>8</v>
      </c>
      <c r="D573" s="5" t="s">
        <v>51</v>
      </c>
      <c r="E573" s="6" t="s">
        <v>625</v>
      </c>
      <c r="F573" s="7">
        <v>45181.0</v>
      </c>
      <c r="H573" s="11"/>
      <c r="J573" s="18"/>
      <c r="L573" s="18"/>
      <c r="M573" s="23"/>
    </row>
    <row r="574">
      <c r="A574" s="10" t="s">
        <v>613</v>
      </c>
      <c r="B574" s="17" t="s">
        <v>614</v>
      </c>
      <c r="C574" s="4" t="s">
        <v>8</v>
      </c>
      <c r="D574" s="5" t="s">
        <v>76</v>
      </c>
      <c r="E574" s="6" t="s">
        <v>626</v>
      </c>
      <c r="F574" s="7">
        <v>45189.0</v>
      </c>
      <c r="H574" s="11"/>
      <c r="J574" s="18"/>
      <c r="L574" s="18"/>
      <c r="M574" s="23"/>
    </row>
    <row r="575">
      <c r="A575" s="10" t="s">
        <v>613</v>
      </c>
      <c r="B575" s="17" t="s">
        <v>614</v>
      </c>
      <c r="C575" s="4" t="s">
        <v>8</v>
      </c>
      <c r="D575" s="5" t="s">
        <v>15</v>
      </c>
      <c r="E575" s="6" t="s">
        <v>353</v>
      </c>
      <c r="F575" s="7">
        <v>45227.0</v>
      </c>
      <c r="H575" s="11"/>
      <c r="J575" s="18"/>
      <c r="L575" s="18"/>
      <c r="M575" s="23"/>
    </row>
    <row r="576">
      <c r="A576" s="10" t="s">
        <v>613</v>
      </c>
      <c r="B576" s="17" t="s">
        <v>614</v>
      </c>
      <c r="C576" s="4" t="s">
        <v>3</v>
      </c>
      <c r="D576" s="5" t="s">
        <v>76</v>
      </c>
      <c r="E576" s="6" t="s">
        <v>627</v>
      </c>
      <c r="F576" s="7">
        <v>45240.0</v>
      </c>
      <c r="H576" s="11"/>
      <c r="J576" s="18"/>
      <c r="L576" s="18"/>
      <c r="M576" s="23"/>
    </row>
    <row r="577">
      <c r="A577" s="10" t="s">
        <v>613</v>
      </c>
      <c r="B577" s="17" t="s">
        <v>614</v>
      </c>
      <c r="C577" s="4" t="s">
        <v>3</v>
      </c>
      <c r="D577" s="5" t="s">
        <v>35</v>
      </c>
      <c r="E577" s="6" t="s">
        <v>628</v>
      </c>
      <c r="F577" s="7">
        <v>45246.0</v>
      </c>
      <c r="H577" s="11"/>
      <c r="J577" s="18"/>
      <c r="L577" s="18"/>
      <c r="M577" s="23"/>
    </row>
    <row r="578">
      <c r="A578" s="10" t="s">
        <v>613</v>
      </c>
      <c r="B578" s="17" t="s">
        <v>614</v>
      </c>
      <c r="C578" s="4" t="s">
        <v>8</v>
      </c>
      <c r="D578" s="5" t="s">
        <v>21</v>
      </c>
      <c r="E578" s="6" t="s">
        <v>629</v>
      </c>
      <c r="F578" s="7">
        <v>45251.0</v>
      </c>
      <c r="H578" s="11"/>
      <c r="J578" s="18"/>
      <c r="L578" s="18"/>
      <c r="M578" s="23"/>
    </row>
    <row r="579">
      <c r="A579" s="10" t="s">
        <v>613</v>
      </c>
      <c r="B579" s="17" t="s">
        <v>614</v>
      </c>
      <c r="C579" s="4" t="s">
        <v>3</v>
      </c>
      <c r="D579" s="5" t="s">
        <v>19</v>
      </c>
      <c r="E579" s="6" t="s">
        <v>630</v>
      </c>
      <c r="F579" s="7">
        <v>45272.0</v>
      </c>
      <c r="H579" s="11"/>
      <c r="J579" s="18"/>
      <c r="L579" s="18"/>
      <c r="M579" s="23"/>
    </row>
    <row r="580">
      <c r="A580" s="10" t="s">
        <v>613</v>
      </c>
      <c r="B580" s="17" t="s">
        <v>614</v>
      </c>
      <c r="C580" s="4" t="s">
        <v>8</v>
      </c>
      <c r="D580" s="5" t="s">
        <v>42</v>
      </c>
      <c r="E580" s="6" t="s">
        <v>631</v>
      </c>
      <c r="F580" s="7">
        <v>45280.0</v>
      </c>
      <c r="H580" s="11"/>
      <c r="J580" s="18"/>
      <c r="L580" s="18"/>
      <c r="M580" s="23"/>
    </row>
    <row r="581">
      <c r="A581" s="10" t="s">
        <v>632</v>
      </c>
      <c r="B581" s="17" t="s">
        <v>633</v>
      </c>
      <c r="C581" s="4" t="s">
        <v>8</v>
      </c>
      <c r="D581" s="5" t="s">
        <v>42</v>
      </c>
      <c r="E581" s="6" t="s">
        <v>634</v>
      </c>
      <c r="F581" s="7">
        <v>44927.0</v>
      </c>
      <c r="H581" s="11"/>
      <c r="J581" s="18"/>
      <c r="L581" s="18"/>
      <c r="M581" s="23"/>
    </row>
    <row r="582">
      <c r="A582" s="10" t="s">
        <v>632</v>
      </c>
      <c r="B582" s="17" t="s">
        <v>633</v>
      </c>
      <c r="C582" s="4" t="s">
        <v>8</v>
      </c>
      <c r="D582" s="5" t="s">
        <v>4</v>
      </c>
      <c r="E582" s="6" t="s">
        <v>635</v>
      </c>
      <c r="F582" s="7">
        <v>44928.0</v>
      </c>
      <c r="H582" s="11"/>
      <c r="J582" s="18"/>
      <c r="L582" s="18"/>
      <c r="M582" s="23"/>
    </row>
    <row r="583">
      <c r="A583" s="10" t="s">
        <v>632</v>
      </c>
      <c r="B583" s="17" t="s">
        <v>633</v>
      </c>
      <c r="C583" s="4" t="s">
        <v>8</v>
      </c>
      <c r="D583" s="5" t="s">
        <v>120</v>
      </c>
      <c r="E583" s="6" t="s">
        <v>636</v>
      </c>
      <c r="F583" s="7">
        <v>44932.0</v>
      </c>
      <c r="H583" s="11"/>
      <c r="J583" s="18"/>
      <c r="L583" s="18"/>
      <c r="M583" s="23"/>
    </row>
    <row r="584">
      <c r="A584" s="10" t="s">
        <v>632</v>
      </c>
      <c r="B584" s="17" t="s">
        <v>633</v>
      </c>
      <c r="C584" s="4" t="s">
        <v>8</v>
      </c>
      <c r="D584" s="5" t="s">
        <v>17</v>
      </c>
      <c r="E584" s="6" t="s">
        <v>29</v>
      </c>
      <c r="F584" s="7">
        <v>44967.0</v>
      </c>
      <c r="H584" s="11"/>
      <c r="J584" s="18"/>
      <c r="L584" s="18"/>
      <c r="M584" s="23"/>
    </row>
    <row r="585">
      <c r="A585" s="10" t="s">
        <v>632</v>
      </c>
      <c r="B585" s="17" t="s">
        <v>633</v>
      </c>
      <c r="C585" s="4" t="s">
        <v>8</v>
      </c>
      <c r="D585" s="5" t="s">
        <v>96</v>
      </c>
      <c r="E585" s="6" t="s">
        <v>637</v>
      </c>
      <c r="F585" s="7">
        <v>44973.0</v>
      </c>
      <c r="H585" s="11"/>
      <c r="J585" s="18"/>
      <c r="L585" s="18"/>
      <c r="M585" s="23"/>
    </row>
    <row r="586">
      <c r="A586" s="10" t="s">
        <v>632</v>
      </c>
      <c r="B586" s="17" t="s">
        <v>633</v>
      </c>
      <c r="C586" s="4" t="s">
        <v>8</v>
      </c>
      <c r="D586" s="5" t="s">
        <v>28</v>
      </c>
      <c r="E586" s="6" t="s">
        <v>638</v>
      </c>
      <c r="F586" s="7">
        <v>45000.0</v>
      </c>
      <c r="H586" s="11"/>
      <c r="J586" s="18"/>
      <c r="L586" s="18"/>
      <c r="M586" s="23"/>
    </row>
    <row r="587">
      <c r="A587" s="10" t="s">
        <v>632</v>
      </c>
      <c r="B587" s="17" t="s">
        <v>633</v>
      </c>
      <c r="C587" s="4" t="s">
        <v>3</v>
      </c>
      <c r="D587" s="5" t="s">
        <v>76</v>
      </c>
      <c r="E587" s="6" t="s">
        <v>639</v>
      </c>
      <c r="F587" s="7">
        <v>45062.0</v>
      </c>
      <c r="H587" s="11"/>
      <c r="J587" s="18"/>
      <c r="L587" s="18"/>
      <c r="M587" s="23"/>
    </row>
    <row r="588">
      <c r="A588" s="10" t="s">
        <v>632</v>
      </c>
      <c r="B588" s="17" t="s">
        <v>633</v>
      </c>
      <c r="C588" s="4" t="s">
        <v>8</v>
      </c>
      <c r="D588" s="5" t="s">
        <v>19</v>
      </c>
      <c r="E588" s="6" t="s">
        <v>41</v>
      </c>
      <c r="F588" s="7">
        <v>45068.0</v>
      </c>
      <c r="H588" s="11"/>
      <c r="J588" s="18"/>
      <c r="L588" s="18"/>
      <c r="M588" s="23"/>
    </row>
    <row r="589">
      <c r="A589" s="10" t="s">
        <v>632</v>
      </c>
      <c r="B589" s="17" t="s">
        <v>633</v>
      </c>
      <c r="C589" s="4" t="s">
        <v>8</v>
      </c>
      <c r="D589" s="5" t="s">
        <v>45</v>
      </c>
      <c r="E589" s="6" t="s">
        <v>640</v>
      </c>
      <c r="F589" s="7">
        <v>45081.0</v>
      </c>
      <c r="H589" s="11"/>
      <c r="J589" s="18"/>
      <c r="L589" s="18"/>
      <c r="M589" s="23"/>
    </row>
    <row r="590">
      <c r="A590" s="10" t="s">
        <v>632</v>
      </c>
      <c r="B590" s="17" t="s">
        <v>633</v>
      </c>
      <c r="C590" s="4" t="s">
        <v>8</v>
      </c>
      <c r="D590" s="5" t="s">
        <v>96</v>
      </c>
      <c r="E590" s="6" t="s">
        <v>641</v>
      </c>
      <c r="F590" s="7">
        <v>45086.0</v>
      </c>
      <c r="H590" s="11"/>
      <c r="J590" s="18"/>
      <c r="L590" s="18"/>
      <c r="M590" s="23"/>
    </row>
    <row r="591">
      <c r="A591" s="10" t="s">
        <v>632</v>
      </c>
      <c r="B591" s="17" t="s">
        <v>633</v>
      </c>
      <c r="C591" s="4" t="s">
        <v>8</v>
      </c>
      <c r="D591" s="5" t="s">
        <v>19</v>
      </c>
      <c r="E591" s="6" t="s">
        <v>642</v>
      </c>
      <c r="F591" s="7">
        <v>45134.0</v>
      </c>
      <c r="H591" s="11"/>
      <c r="J591" s="18"/>
      <c r="L591" s="18"/>
      <c r="M591" s="23"/>
    </row>
    <row r="592">
      <c r="A592" s="10" t="s">
        <v>632</v>
      </c>
      <c r="B592" s="17" t="s">
        <v>633</v>
      </c>
      <c r="C592" s="4" t="s">
        <v>3</v>
      </c>
      <c r="D592" s="5" t="s">
        <v>42</v>
      </c>
      <c r="E592" s="6" t="s">
        <v>643</v>
      </c>
      <c r="F592" s="7">
        <v>45146.0</v>
      </c>
      <c r="H592" s="11"/>
      <c r="J592" s="18"/>
      <c r="L592" s="18"/>
      <c r="M592" s="23"/>
    </row>
    <row r="593">
      <c r="A593" s="10" t="s">
        <v>632</v>
      </c>
      <c r="B593" s="17" t="s">
        <v>633</v>
      </c>
      <c r="C593" s="4" t="s">
        <v>8</v>
      </c>
      <c r="D593" s="5" t="s">
        <v>9</v>
      </c>
      <c r="E593" s="6" t="s">
        <v>644</v>
      </c>
      <c r="F593" s="7">
        <v>45147.0</v>
      </c>
      <c r="H593" s="11"/>
      <c r="J593" s="18"/>
      <c r="L593" s="18"/>
      <c r="M593" s="23"/>
    </row>
    <row r="594">
      <c r="A594" s="10" t="s">
        <v>632</v>
      </c>
      <c r="B594" s="17" t="s">
        <v>633</v>
      </c>
      <c r="C594" s="4" t="s">
        <v>3</v>
      </c>
      <c r="D594" s="5" t="s">
        <v>76</v>
      </c>
      <c r="E594" s="6" t="s">
        <v>645</v>
      </c>
      <c r="F594" s="7">
        <v>45166.0</v>
      </c>
      <c r="H594" s="11"/>
      <c r="J594" s="18"/>
      <c r="L594" s="18"/>
      <c r="M594" s="23"/>
    </row>
    <row r="595">
      <c r="A595" s="10" t="s">
        <v>632</v>
      </c>
      <c r="B595" s="17" t="s">
        <v>633</v>
      </c>
      <c r="C595" s="4" t="s">
        <v>3</v>
      </c>
      <c r="D595" s="5" t="s">
        <v>71</v>
      </c>
      <c r="E595" s="6" t="s">
        <v>646</v>
      </c>
      <c r="F595" s="7">
        <v>45177.0</v>
      </c>
      <c r="H595" s="11"/>
      <c r="J595" s="18"/>
      <c r="L595" s="18"/>
      <c r="M595" s="23"/>
    </row>
    <row r="596">
      <c r="A596" s="10" t="s">
        <v>632</v>
      </c>
      <c r="B596" s="17" t="s">
        <v>633</v>
      </c>
      <c r="C596" s="4" t="s">
        <v>3</v>
      </c>
      <c r="D596" s="5" t="s">
        <v>9</v>
      </c>
      <c r="E596" s="6" t="s">
        <v>647</v>
      </c>
      <c r="F596" s="7">
        <v>45183.0</v>
      </c>
      <c r="H596" s="11"/>
      <c r="J596" s="18"/>
      <c r="L596" s="18"/>
      <c r="M596" s="23"/>
    </row>
    <row r="597">
      <c r="A597" s="10" t="s">
        <v>632</v>
      </c>
      <c r="B597" s="17" t="s">
        <v>633</v>
      </c>
      <c r="C597" s="4" t="s">
        <v>3</v>
      </c>
      <c r="D597" s="5" t="s">
        <v>42</v>
      </c>
      <c r="E597" s="6" t="s">
        <v>455</v>
      </c>
      <c r="F597" s="7">
        <v>45224.0</v>
      </c>
      <c r="H597" s="11"/>
      <c r="J597" s="18"/>
      <c r="L597" s="18"/>
      <c r="M597" s="23"/>
    </row>
    <row r="598">
      <c r="A598" s="10" t="s">
        <v>632</v>
      </c>
      <c r="B598" s="17" t="s">
        <v>633</v>
      </c>
      <c r="C598" s="4" t="s">
        <v>8</v>
      </c>
      <c r="D598" s="5" t="s">
        <v>71</v>
      </c>
      <c r="E598" s="6" t="s">
        <v>648</v>
      </c>
      <c r="F598" s="7">
        <v>45240.0</v>
      </c>
      <c r="H598" s="11"/>
      <c r="J598" s="18"/>
      <c r="L598" s="18"/>
      <c r="M598" s="23"/>
    </row>
    <row r="599">
      <c r="A599" s="10" t="s">
        <v>632</v>
      </c>
      <c r="B599" s="17" t="s">
        <v>633</v>
      </c>
      <c r="C599" s="4" t="s">
        <v>8</v>
      </c>
      <c r="D599" s="5" t="s">
        <v>15</v>
      </c>
      <c r="E599" s="6" t="s">
        <v>649</v>
      </c>
      <c r="F599" s="7">
        <v>45241.0</v>
      </c>
      <c r="H599" s="11"/>
      <c r="J599" s="18"/>
      <c r="L599" s="18"/>
      <c r="M599" s="23"/>
    </row>
    <row r="600">
      <c r="A600" s="10" t="s">
        <v>632</v>
      </c>
      <c r="B600" s="17" t="s">
        <v>633</v>
      </c>
      <c r="C600" s="4" t="s">
        <v>8</v>
      </c>
      <c r="D600" s="5" t="s">
        <v>39</v>
      </c>
      <c r="E600" s="6" t="s">
        <v>650</v>
      </c>
      <c r="F600" s="7">
        <v>45248.0</v>
      </c>
      <c r="H600" s="11"/>
      <c r="J600" s="18"/>
      <c r="L600" s="18"/>
      <c r="M600" s="23"/>
    </row>
    <row r="601">
      <c r="A601" s="10" t="s">
        <v>651</v>
      </c>
      <c r="B601" s="17" t="s">
        <v>652</v>
      </c>
      <c r="C601" s="4" t="s">
        <v>8</v>
      </c>
      <c r="D601" s="5" t="s">
        <v>15</v>
      </c>
      <c r="E601" s="6" t="s">
        <v>653</v>
      </c>
      <c r="F601" s="7">
        <v>44972.0</v>
      </c>
      <c r="H601" s="11"/>
      <c r="J601" s="18"/>
      <c r="L601" s="18"/>
      <c r="M601" s="23"/>
    </row>
    <row r="602">
      <c r="A602" s="10" t="s">
        <v>651</v>
      </c>
      <c r="B602" s="17" t="s">
        <v>652</v>
      </c>
      <c r="C602" s="4" t="s">
        <v>3</v>
      </c>
      <c r="D602" s="5" t="s">
        <v>11</v>
      </c>
      <c r="E602" s="6" t="s">
        <v>654</v>
      </c>
      <c r="F602" s="7">
        <v>44975.0</v>
      </c>
      <c r="H602" s="11"/>
      <c r="J602" s="18"/>
      <c r="L602" s="18"/>
      <c r="M602" s="23"/>
    </row>
    <row r="603">
      <c r="A603" s="10" t="s">
        <v>651</v>
      </c>
      <c r="B603" s="17" t="s">
        <v>652</v>
      </c>
      <c r="C603" s="4" t="s">
        <v>3</v>
      </c>
      <c r="D603" s="5" t="s">
        <v>96</v>
      </c>
      <c r="E603" s="6" t="s">
        <v>655</v>
      </c>
      <c r="F603" s="7">
        <v>44979.0</v>
      </c>
      <c r="H603" s="11"/>
      <c r="J603" s="18"/>
      <c r="L603" s="18"/>
      <c r="M603" s="23"/>
    </row>
    <row r="604">
      <c r="A604" s="10" t="s">
        <v>651</v>
      </c>
      <c r="B604" s="17" t="s">
        <v>652</v>
      </c>
      <c r="C604" s="4" t="s">
        <v>3</v>
      </c>
      <c r="D604" s="5" t="s">
        <v>23</v>
      </c>
      <c r="E604" s="6" t="s">
        <v>656</v>
      </c>
      <c r="F604" s="7">
        <v>45008.0</v>
      </c>
      <c r="H604" s="11"/>
      <c r="J604" s="18"/>
      <c r="L604" s="18"/>
      <c r="M604" s="23"/>
    </row>
    <row r="605">
      <c r="A605" s="10" t="s">
        <v>651</v>
      </c>
      <c r="B605" s="17" t="s">
        <v>652</v>
      </c>
      <c r="C605" s="4" t="s">
        <v>3</v>
      </c>
      <c r="D605" s="5" t="s">
        <v>96</v>
      </c>
      <c r="E605" s="6" t="s">
        <v>657</v>
      </c>
      <c r="F605" s="7">
        <v>45034.0</v>
      </c>
      <c r="H605" s="11"/>
      <c r="J605" s="18"/>
      <c r="L605" s="18"/>
      <c r="M605" s="23"/>
    </row>
    <row r="606">
      <c r="A606" s="10" t="s">
        <v>651</v>
      </c>
      <c r="B606" s="17" t="s">
        <v>652</v>
      </c>
      <c r="C606" s="4" t="s">
        <v>8</v>
      </c>
      <c r="D606" s="5" t="s">
        <v>45</v>
      </c>
      <c r="E606" s="6" t="s">
        <v>658</v>
      </c>
      <c r="F606" s="7">
        <v>45038.0</v>
      </c>
      <c r="H606" s="11"/>
      <c r="J606" s="18"/>
      <c r="L606" s="18"/>
      <c r="M606" s="23"/>
    </row>
    <row r="607">
      <c r="A607" s="10" t="s">
        <v>651</v>
      </c>
      <c r="B607" s="17" t="s">
        <v>652</v>
      </c>
      <c r="C607" s="4" t="s">
        <v>8</v>
      </c>
      <c r="D607" s="5" t="s">
        <v>13</v>
      </c>
      <c r="E607" s="6" t="s">
        <v>659</v>
      </c>
      <c r="F607" s="7">
        <v>45049.0</v>
      </c>
      <c r="H607" s="11"/>
      <c r="J607" s="18"/>
      <c r="L607" s="18"/>
      <c r="M607" s="23"/>
    </row>
    <row r="608">
      <c r="A608" s="10" t="s">
        <v>651</v>
      </c>
      <c r="B608" s="17" t="s">
        <v>652</v>
      </c>
      <c r="C608" s="4" t="s">
        <v>3</v>
      </c>
      <c r="D608" s="5" t="s">
        <v>15</v>
      </c>
      <c r="E608" s="6" t="s">
        <v>660</v>
      </c>
      <c r="F608" s="7">
        <v>45058.0</v>
      </c>
      <c r="H608" s="11"/>
      <c r="J608" s="18"/>
      <c r="L608" s="18"/>
      <c r="M608" s="23"/>
    </row>
    <row r="609">
      <c r="A609" s="10" t="s">
        <v>651</v>
      </c>
      <c r="B609" s="17" t="s">
        <v>652</v>
      </c>
      <c r="C609" s="4" t="s">
        <v>8</v>
      </c>
      <c r="D609" s="5" t="s">
        <v>35</v>
      </c>
      <c r="E609" s="6" t="s">
        <v>661</v>
      </c>
      <c r="F609" s="7">
        <v>45074.0</v>
      </c>
      <c r="H609" s="11"/>
      <c r="J609" s="18"/>
      <c r="L609" s="18"/>
      <c r="M609" s="23"/>
    </row>
    <row r="610">
      <c r="A610" s="10" t="s">
        <v>651</v>
      </c>
      <c r="B610" s="17" t="s">
        <v>652</v>
      </c>
      <c r="C610" s="4" t="s">
        <v>3</v>
      </c>
      <c r="D610" s="5" t="s">
        <v>120</v>
      </c>
      <c r="E610" s="6" t="s">
        <v>662</v>
      </c>
      <c r="F610" s="7">
        <v>45149.0</v>
      </c>
      <c r="H610" s="11"/>
      <c r="J610" s="18"/>
      <c r="L610" s="18"/>
      <c r="M610" s="23"/>
    </row>
    <row r="611">
      <c r="A611" s="10" t="s">
        <v>651</v>
      </c>
      <c r="B611" s="17" t="s">
        <v>652</v>
      </c>
      <c r="C611" s="4" t="s">
        <v>3</v>
      </c>
      <c r="D611" s="5" t="s">
        <v>96</v>
      </c>
      <c r="E611" s="6" t="s">
        <v>663</v>
      </c>
      <c r="F611" s="7">
        <v>45150.0</v>
      </c>
      <c r="H611" s="11"/>
      <c r="J611" s="18"/>
      <c r="L611" s="18"/>
      <c r="M611" s="23"/>
    </row>
    <row r="612">
      <c r="A612" s="10" t="s">
        <v>651</v>
      </c>
      <c r="B612" s="17" t="s">
        <v>652</v>
      </c>
      <c r="C612" s="4" t="s">
        <v>3</v>
      </c>
      <c r="D612" s="5" t="s">
        <v>39</v>
      </c>
      <c r="E612" s="6" t="s">
        <v>664</v>
      </c>
      <c r="F612" s="7">
        <v>45160.0</v>
      </c>
      <c r="H612" s="11"/>
      <c r="J612" s="18"/>
      <c r="L612" s="18"/>
      <c r="M612" s="23"/>
    </row>
    <row r="613">
      <c r="A613" s="10" t="s">
        <v>651</v>
      </c>
      <c r="B613" s="17" t="s">
        <v>652</v>
      </c>
      <c r="C613" s="4" t="s">
        <v>3</v>
      </c>
      <c r="D613" s="5" t="s">
        <v>96</v>
      </c>
      <c r="E613" s="6" t="s">
        <v>351</v>
      </c>
      <c r="F613" s="7">
        <v>45162.0</v>
      </c>
      <c r="H613" s="11"/>
      <c r="J613" s="18"/>
      <c r="L613" s="18"/>
      <c r="M613" s="23"/>
    </row>
    <row r="614">
      <c r="A614" s="10" t="s">
        <v>651</v>
      </c>
      <c r="B614" s="17" t="s">
        <v>652</v>
      </c>
      <c r="C614" s="4" t="s">
        <v>8</v>
      </c>
      <c r="D614" s="5" t="s">
        <v>35</v>
      </c>
      <c r="E614" s="6" t="s">
        <v>665</v>
      </c>
      <c r="F614" s="7">
        <v>45164.0</v>
      </c>
      <c r="H614" s="11"/>
      <c r="J614" s="18"/>
      <c r="L614" s="18"/>
      <c r="M614" s="23"/>
    </row>
    <row r="615">
      <c r="A615" s="10" t="s">
        <v>651</v>
      </c>
      <c r="B615" s="17" t="s">
        <v>652</v>
      </c>
      <c r="C615" s="4" t="s">
        <v>3</v>
      </c>
      <c r="D615" s="5" t="s">
        <v>4</v>
      </c>
      <c r="E615" s="6" t="s">
        <v>546</v>
      </c>
      <c r="F615" s="7">
        <v>45188.0</v>
      </c>
      <c r="H615" s="11"/>
      <c r="J615" s="18"/>
      <c r="L615" s="18"/>
      <c r="M615" s="23"/>
    </row>
    <row r="616">
      <c r="A616" s="10" t="s">
        <v>651</v>
      </c>
      <c r="B616" s="17" t="s">
        <v>652</v>
      </c>
      <c r="C616" s="4" t="s">
        <v>8</v>
      </c>
      <c r="D616" s="5" t="s">
        <v>23</v>
      </c>
      <c r="E616" s="6" t="s">
        <v>666</v>
      </c>
      <c r="F616" s="7">
        <v>45205.0</v>
      </c>
      <c r="H616" s="11"/>
      <c r="J616" s="18"/>
      <c r="L616" s="18"/>
      <c r="M616" s="23"/>
    </row>
    <row r="617">
      <c r="A617" s="10" t="s">
        <v>651</v>
      </c>
      <c r="B617" s="17" t="s">
        <v>652</v>
      </c>
      <c r="C617" s="4" t="s">
        <v>8</v>
      </c>
      <c r="D617" s="5" t="s">
        <v>28</v>
      </c>
      <c r="E617" s="6" t="s">
        <v>667</v>
      </c>
      <c r="F617" s="7">
        <v>45249.0</v>
      </c>
      <c r="H617" s="11"/>
      <c r="J617" s="18"/>
      <c r="L617" s="18"/>
      <c r="M617" s="23"/>
    </row>
    <row r="618">
      <c r="A618" s="10" t="s">
        <v>651</v>
      </c>
      <c r="B618" s="17" t="s">
        <v>652</v>
      </c>
      <c r="C618" s="4" t="s">
        <v>3</v>
      </c>
      <c r="D618" s="5" t="s">
        <v>19</v>
      </c>
      <c r="E618" s="6" t="s">
        <v>521</v>
      </c>
      <c r="F618" s="7">
        <v>45256.0</v>
      </c>
      <c r="H618" s="11"/>
      <c r="J618" s="18"/>
      <c r="L618" s="18"/>
      <c r="M618" s="23"/>
    </row>
    <row r="619">
      <c r="A619" s="10" t="s">
        <v>651</v>
      </c>
      <c r="B619" s="17" t="s">
        <v>652</v>
      </c>
      <c r="C619" s="4" t="s">
        <v>8</v>
      </c>
      <c r="D619" s="5" t="s">
        <v>28</v>
      </c>
      <c r="E619" s="6" t="s">
        <v>668</v>
      </c>
      <c r="F619" s="7">
        <v>45275.0</v>
      </c>
      <c r="H619" s="11"/>
      <c r="J619" s="18"/>
      <c r="L619" s="18"/>
      <c r="M619" s="23"/>
    </row>
    <row r="620">
      <c r="A620" s="10" t="s">
        <v>651</v>
      </c>
      <c r="B620" s="17" t="s">
        <v>652</v>
      </c>
      <c r="C620" s="4" t="s">
        <v>3</v>
      </c>
      <c r="D620" s="5" t="s">
        <v>96</v>
      </c>
      <c r="E620" s="6" t="s">
        <v>54</v>
      </c>
      <c r="F620" s="7">
        <v>45280.0</v>
      </c>
      <c r="H620" s="11"/>
      <c r="J620" s="18"/>
      <c r="L620" s="18"/>
      <c r="M620" s="23"/>
    </row>
    <row r="621">
      <c r="A621" s="10" t="s">
        <v>669</v>
      </c>
      <c r="B621" s="17" t="s">
        <v>670</v>
      </c>
      <c r="C621" s="4" t="s">
        <v>3</v>
      </c>
      <c r="D621" s="5" t="s">
        <v>120</v>
      </c>
      <c r="E621" s="6" t="s">
        <v>671</v>
      </c>
      <c r="F621" s="7">
        <v>44940.0</v>
      </c>
      <c r="H621" s="11"/>
      <c r="J621" s="18"/>
      <c r="L621" s="18"/>
      <c r="M621" s="23"/>
    </row>
    <row r="622">
      <c r="A622" s="10" t="s">
        <v>669</v>
      </c>
      <c r="B622" s="17" t="s">
        <v>670</v>
      </c>
      <c r="C622" s="4" t="s">
        <v>3</v>
      </c>
      <c r="D622" s="5" t="s">
        <v>11</v>
      </c>
      <c r="E622" s="6" t="s">
        <v>672</v>
      </c>
      <c r="F622" s="7">
        <v>44963.0</v>
      </c>
      <c r="H622" s="11"/>
      <c r="J622" s="18"/>
      <c r="L622" s="18"/>
      <c r="M622" s="23"/>
    </row>
    <row r="623">
      <c r="A623" s="10" t="s">
        <v>669</v>
      </c>
      <c r="B623" s="17" t="s">
        <v>670</v>
      </c>
      <c r="C623" s="4" t="s">
        <v>8</v>
      </c>
      <c r="D623" s="5" t="s">
        <v>13</v>
      </c>
      <c r="E623" s="6" t="s">
        <v>673</v>
      </c>
      <c r="F623" s="7">
        <v>44968.0</v>
      </c>
      <c r="H623" s="11"/>
      <c r="J623" s="18"/>
      <c r="L623" s="18"/>
      <c r="M623" s="23"/>
    </row>
    <row r="624">
      <c r="A624" s="10" t="s">
        <v>669</v>
      </c>
      <c r="B624" s="17" t="s">
        <v>670</v>
      </c>
      <c r="C624" s="4" t="s">
        <v>8</v>
      </c>
      <c r="D624" s="5" t="s">
        <v>71</v>
      </c>
      <c r="E624" s="6" t="s">
        <v>674</v>
      </c>
      <c r="F624" s="7">
        <v>44973.0</v>
      </c>
      <c r="H624" s="11"/>
      <c r="J624" s="18"/>
      <c r="L624" s="18"/>
      <c r="M624" s="23"/>
    </row>
    <row r="625">
      <c r="A625" s="10" t="s">
        <v>669</v>
      </c>
      <c r="B625" s="17" t="s">
        <v>670</v>
      </c>
      <c r="C625" s="4" t="s">
        <v>3</v>
      </c>
      <c r="D625" s="5" t="s">
        <v>76</v>
      </c>
      <c r="E625" s="6" t="s">
        <v>675</v>
      </c>
      <c r="F625" s="7">
        <v>44978.0</v>
      </c>
      <c r="H625" s="11"/>
      <c r="J625" s="18"/>
      <c r="L625" s="18"/>
      <c r="M625" s="23"/>
    </row>
    <row r="626">
      <c r="A626" s="10" t="s">
        <v>669</v>
      </c>
      <c r="B626" s="17" t="s">
        <v>670</v>
      </c>
      <c r="C626" s="4" t="s">
        <v>3</v>
      </c>
      <c r="D626" s="5" t="s">
        <v>28</v>
      </c>
      <c r="E626" s="6" t="s">
        <v>676</v>
      </c>
      <c r="F626" s="7">
        <v>44995.0</v>
      </c>
      <c r="H626" s="11"/>
      <c r="J626" s="18"/>
      <c r="L626" s="18"/>
      <c r="M626" s="23"/>
    </row>
    <row r="627">
      <c r="A627" s="10" t="s">
        <v>669</v>
      </c>
      <c r="B627" s="17" t="s">
        <v>670</v>
      </c>
      <c r="C627" s="4" t="s">
        <v>3</v>
      </c>
      <c r="D627" s="5" t="s">
        <v>35</v>
      </c>
      <c r="E627" s="6" t="s">
        <v>677</v>
      </c>
      <c r="F627" s="7">
        <v>45011.0</v>
      </c>
      <c r="H627" s="11"/>
      <c r="J627" s="18"/>
      <c r="L627" s="18"/>
      <c r="M627" s="23"/>
    </row>
    <row r="628">
      <c r="A628" s="10" t="s">
        <v>669</v>
      </c>
      <c r="B628" s="17" t="s">
        <v>670</v>
      </c>
      <c r="C628" s="4" t="s">
        <v>3</v>
      </c>
      <c r="D628" s="5" t="s">
        <v>28</v>
      </c>
      <c r="E628" s="6" t="s">
        <v>203</v>
      </c>
      <c r="F628" s="7">
        <v>45028.0</v>
      </c>
      <c r="H628" s="11"/>
      <c r="J628" s="18"/>
      <c r="L628" s="18"/>
      <c r="M628" s="23"/>
    </row>
    <row r="629">
      <c r="A629" s="10" t="s">
        <v>669</v>
      </c>
      <c r="B629" s="17" t="s">
        <v>670</v>
      </c>
      <c r="C629" s="4" t="s">
        <v>8</v>
      </c>
      <c r="D629" s="5" t="s">
        <v>13</v>
      </c>
      <c r="E629" s="6" t="s">
        <v>678</v>
      </c>
      <c r="F629" s="7">
        <v>45060.0</v>
      </c>
      <c r="H629" s="11"/>
      <c r="J629" s="18"/>
      <c r="L629" s="18"/>
      <c r="M629" s="23"/>
    </row>
    <row r="630">
      <c r="A630" s="10" t="s">
        <v>669</v>
      </c>
      <c r="B630" s="17" t="s">
        <v>670</v>
      </c>
      <c r="C630" s="4" t="s">
        <v>3</v>
      </c>
      <c r="D630" s="5" t="s">
        <v>11</v>
      </c>
      <c r="E630" s="6" t="s">
        <v>679</v>
      </c>
      <c r="F630" s="7">
        <v>45087.0</v>
      </c>
      <c r="H630" s="11"/>
      <c r="J630" s="18"/>
      <c r="L630" s="18"/>
      <c r="M630" s="23"/>
    </row>
    <row r="631">
      <c r="A631" s="10" t="s">
        <v>669</v>
      </c>
      <c r="B631" s="17" t="s">
        <v>670</v>
      </c>
      <c r="C631" s="4" t="s">
        <v>8</v>
      </c>
      <c r="D631" s="5" t="s">
        <v>17</v>
      </c>
      <c r="E631" s="6" t="s">
        <v>680</v>
      </c>
      <c r="F631" s="7">
        <v>45142.0</v>
      </c>
      <c r="H631" s="11"/>
      <c r="J631" s="18"/>
      <c r="L631" s="18"/>
      <c r="M631" s="23"/>
    </row>
    <row r="632">
      <c r="A632" s="10" t="s">
        <v>669</v>
      </c>
      <c r="B632" s="17" t="s">
        <v>670</v>
      </c>
      <c r="C632" s="4" t="s">
        <v>8</v>
      </c>
      <c r="D632" s="5" t="s">
        <v>71</v>
      </c>
      <c r="E632" s="6" t="s">
        <v>681</v>
      </c>
      <c r="F632" s="7">
        <v>45146.0</v>
      </c>
      <c r="H632" s="11"/>
      <c r="J632" s="18"/>
      <c r="L632" s="18"/>
      <c r="M632" s="23"/>
    </row>
    <row r="633">
      <c r="A633" s="10" t="s">
        <v>669</v>
      </c>
      <c r="B633" s="17" t="s">
        <v>670</v>
      </c>
      <c r="C633" s="4" t="s">
        <v>8</v>
      </c>
      <c r="D633" s="5" t="s">
        <v>35</v>
      </c>
      <c r="E633" s="6" t="s">
        <v>682</v>
      </c>
      <c r="F633" s="7">
        <v>45150.0</v>
      </c>
      <c r="H633" s="11"/>
      <c r="J633" s="18"/>
      <c r="L633" s="18"/>
      <c r="M633" s="23"/>
    </row>
    <row r="634">
      <c r="A634" s="10" t="s">
        <v>669</v>
      </c>
      <c r="B634" s="17" t="s">
        <v>670</v>
      </c>
      <c r="C634" s="4" t="s">
        <v>8</v>
      </c>
      <c r="D634" s="5" t="s">
        <v>17</v>
      </c>
      <c r="E634" s="6" t="s">
        <v>131</v>
      </c>
      <c r="F634" s="7">
        <v>45153.0</v>
      </c>
      <c r="H634" s="11"/>
      <c r="J634" s="18"/>
      <c r="L634" s="18"/>
      <c r="M634" s="23"/>
    </row>
    <row r="635">
      <c r="A635" s="10" t="s">
        <v>669</v>
      </c>
      <c r="B635" s="17" t="s">
        <v>670</v>
      </c>
      <c r="C635" s="4" t="s">
        <v>3</v>
      </c>
      <c r="D635" s="5" t="s">
        <v>71</v>
      </c>
      <c r="E635" s="6" t="s">
        <v>683</v>
      </c>
      <c r="F635" s="7">
        <v>45166.0</v>
      </c>
      <c r="H635" s="11"/>
      <c r="J635" s="18"/>
      <c r="L635" s="18"/>
      <c r="M635" s="23"/>
    </row>
    <row r="636">
      <c r="A636" s="10" t="s">
        <v>669</v>
      </c>
      <c r="B636" s="17" t="s">
        <v>670</v>
      </c>
      <c r="C636" s="4" t="s">
        <v>3</v>
      </c>
      <c r="D636" s="5" t="s">
        <v>23</v>
      </c>
      <c r="E636" s="6" t="s">
        <v>684</v>
      </c>
      <c r="F636" s="7">
        <v>45170.0</v>
      </c>
      <c r="H636" s="11"/>
      <c r="J636" s="18"/>
      <c r="L636" s="18"/>
      <c r="M636" s="23"/>
    </row>
    <row r="637">
      <c r="A637" s="10" t="s">
        <v>669</v>
      </c>
      <c r="B637" s="17" t="s">
        <v>670</v>
      </c>
      <c r="C637" s="4" t="s">
        <v>8</v>
      </c>
      <c r="D637" s="5" t="s">
        <v>51</v>
      </c>
      <c r="E637" s="6" t="s">
        <v>685</v>
      </c>
      <c r="F637" s="7">
        <v>45179.0</v>
      </c>
      <c r="H637" s="11"/>
      <c r="J637" s="18"/>
      <c r="L637" s="18"/>
      <c r="M637" s="23"/>
    </row>
    <row r="638">
      <c r="A638" s="10" t="s">
        <v>669</v>
      </c>
      <c r="B638" s="17" t="s">
        <v>670</v>
      </c>
      <c r="C638" s="4" t="s">
        <v>8</v>
      </c>
      <c r="D638" s="5" t="s">
        <v>42</v>
      </c>
      <c r="E638" s="6" t="s">
        <v>643</v>
      </c>
      <c r="F638" s="7">
        <v>45183.0</v>
      </c>
      <c r="H638" s="11"/>
      <c r="J638" s="18"/>
      <c r="L638" s="18"/>
      <c r="M638" s="23"/>
    </row>
    <row r="639">
      <c r="A639" s="10" t="s">
        <v>669</v>
      </c>
      <c r="B639" s="17" t="s">
        <v>670</v>
      </c>
      <c r="C639" s="4" t="s">
        <v>3</v>
      </c>
      <c r="D639" s="5" t="s">
        <v>11</v>
      </c>
      <c r="E639" s="6" t="s">
        <v>686</v>
      </c>
      <c r="F639" s="7">
        <v>45187.0</v>
      </c>
      <c r="H639" s="11"/>
      <c r="J639" s="18"/>
      <c r="L639" s="18"/>
      <c r="M639" s="23"/>
    </row>
    <row r="640">
      <c r="A640" s="10" t="s">
        <v>669</v>
      </c>
      <c r="B640" s="17" t="s">
        <v>670</v>
      </c>
      <c r="C640" s="4" t="s">
        <v>8</v>
      </c>
      <c r="D640" s="5" t="s">
        <v>19</v>
      </c>
      <c r="E640" s="6" t="s">
        <v>687</v>
      </c>
      <c r="F640" s="7">
        <v>45192.0</v>
      </c>
      <c r="H640" s="11"/>
      <c r="J640" s="18"/>
      <c r="L640" s="18"/>
      <c r="M640" s="23"/>
    </row>
    <row r="641">
      <c r="A641" s="10" t="s">
        <v>688</v>
      </c>
      <c r="B641" s="17" t="s">
        <v>689</v>
      </c>
      <c r="C641" s="4" t="s">
        <v>3</v>
      </c>
      <c r="D641" s="5" t="s">
        <v>35</v>
      </c>
      <c r="E641" s="6" t="s">
        <v>690</v>
      </c>
      <c r="F641" s="7">
        <v>44949.0</v>
      </c>
      <c r="H641" s="11"/>
      <c r="J641" s="18"/>
      <c r="L641" s="18"/>
      <c r="M641" s="23"/>
    </row>
    <row r="642">
      <c r="A642" s="10" t="s">
        <v>688</v>
      </c>
      <c r="B642" s="17" t="s">
        <v>689</v>
      </c>
      <c r="C642" s="4" t="s">
        <v>8</v>
      </c>
      <c r="D642" s="5" t="s">
        <v>23</v>
      </c>
      <c r="E642" s="6" t="s">
        <v>691</v>
      </c>
      <c r="F642" s="7">
        <v>44952.0</v>
      </c>
      <c r="H642" s="11"/>
      <c r="J642" s="18"/>
      <c r="L642" s="18"/>
      <c r="M642" s="23"/>
    </row>
    <row r="643">
      <c r="A643" s="10" t="s">
        <v>688</v>
      </c>
      <c r="B643" s="17" t="s">
        <v>689</v>
      </c>
      <c r="C643" s="4" t="s">
        <v>3</v>
      </c>
      <c r="D643" s="5" t="s">
        <v>11</v>
      </c>
      <c r="E643" s="6" t="s">
        <v>692</v>
      </c>
      <c r="F643" s="7">
        <v>44954.0</v>
      </c>
      <c r="H643" s="11"/>
      <c r="J643" s="18"/>
      <c r="L643" s="18"/>
      <c r="M643" s="23"/>
    </row>
    <row r="644">
      <c r="A644" s="10" t="s">
        <v>688</v>
      </c>
      <c r="B644" s="17" t="s">
        <v>689</v>
      </c>
      <c r="C644" s="4" t="s">
        <v>8</v>
      </c>
      <c r="D644" s="5" t="s">
        <v>35</v>
      </c>
      <c r="E644" s="6" t="s">
        <v>693</v>
      </c>
      <c r="F644" s="7">
        <v>44960.0</v>
      </c>
      <c r="H644" s="11"/>
      <c r="J644" s="18"/>
      <c r="L644" s="18"/>
      <c r="M644" s="23"/>
    </row>
    <row r="645">
      <c r="A645" s="10" t="s">
        <v>688</v>
      </c>
      <c r="B645" s="17" t="s">
        <v>689</v>
      </c>
      <c r="C645" s="4" t="s">
        <v>8</v>
      </c>
      <c r="D645" s="5" t="s">
        <v>76</v>
      </c>
      <c r="E645" s="6" t="s">
        <v>694</v>
      </c>
      <c r="F645" s="7">
        <v>44968.0</v>
      </c>
      <c r="H645" s="11"/>
      <c r="J645" s="18"/>
      <c r="L645" s="18"/>
      <c r="M645" s="23"/>
    </row>
    <row r="646">
      <c r="A646" s="10" t="s">
        <v>688</v>
      </c>
      <c r="B646" s="17" t="s">
        <v>689</v>
      </c>
      <c r="C646" s="4" t="s">
        <v>3</v>
      </c>
      <c r="D646" s="5" t="s">
        <v>9</v>
      </c>
      <c r="E646" s="6" t="s">
        <v>495</v>
      </c>
      <c r="F646" s="7">
        <v>44988.0</v>
      </c>
      <c r="H646" s="11"/>
      <c r="J646" s="18"/>
      <c r="L646" s="18"/>
      <c r="M646" s="23"/>
    </row>
    <row r="647">
      <c r="A647" s="10" t="s">
        <v>688</v>
      </c>
      <c r="B647" s="17" t="s">
        <v>689</v>
      </c>
      <c r="C647" s="4" t="s">
        <v>8</v>
      </c>
      <c r="D647" s="5" t="s">
        <v>21</v>
      </c>
      <c r="E647" s="6" t="s">
        <v>14</v>
      </c>
      <c r="F647" s="7">
        <v>45011.0</v>
      </c>
      <c r="H647" s="11"/>
      <c r="J647" s="18"/>
      <c r="L647" s="18"/>
      <c r="M647" s="23"/>
    </row>
    <row r="648">
      <c r="A648" s="10" t="s">
        <v>688</v>
      </c>
      <c r="B648" s="17" t="s">
        <v>689</v>
      </c>
      <c r="C648" s="4" t="s">
        <v>3</v>
      </c>
      <c r="D648" s="5" t="s">
        <v>42</v>
      </c>
      <c r="E648" s="6" t="s">
        <v>569</v>
      </c>
      <c r="F648" s="7">
        <v>45011.0</v>
      </c>
      <c r="H648" s="11"/>
      <c r="J648" s="18"/>
      <c r="L648" s="18"/>
      <c r="M648" s="23"/>
    </row>
    <row r="649">
      <c r="A649" s="10" t="s">
        <v>688</v>
      </c>
      <c r="B649" s="17" t="s">
        <v>689</v>
      </c>
      <c r="C649" s="4" t="s">
        <v>8</v>
      </c>
      <c r="D649" s="5" t="s">
        <v>6</v>
      </c>
      <c r="E649" s="6" t="s">
        <v>695</v>
      </c>
      <c r="F649" s="7">
        <v>45044.0</v>
      </c>
      <c r="H649" s="11"/>
      <c r="J649" s="18"/>
      <c r="L649" s="18"/>
      <c r="M649" s="23"/>
    </row>
    <row r="650">
      <c r="A650" s="10" t="s">
        <v>688</v>
      </c>
      <c r="B650" s="17" t="s">
        <v>689</v>
      </c>
      <c r="C650" s="4" t="s">
        <v>3</v>
      </c>
      <c r="D650" s="5" t="s">
        <v>15</v>
      </c>
      <c r="E650" s="6" t="s">
        <v>696</v>
      </c>
      <c r="F650" s="7">
        <v>45051.0</v>
      </c>
      <c r="H650" s="11"/>
      <c r="J650" s="18"/>
      <c r="L650" s="18"/>
      <c r="M650" s="23"/>
    </row>
    <row r="651">
      <c r="A651" s="10" t="s">
        <v>688</v>
      </c>
      <c r="B651" s="17" t="s">
        <v>689</v>
      </c>
      <c r="C651" s="4" t="s">
        <v>3</v>
      </c>
      <c r="D651" s="5" t="s">
        <v>9</v>
      </c>
      <c r="E651" s="6" t="s">
        <v>343</v>
      </c>
      <c r="F651" s="7">
        <v>45055.0</v>
      </c>
      <c r="H651" s="11"/>
      <c r="J651" s="18"/>
      <c r="L651" s="18"/>
      <c r="M651" s="23"/>
    </row>
    <row r="652">
      <c r="A652" s="10" t="s">
        <v>688</v>
      </c>
      <c r="B652" s="17" t="s">
        <v>689</v>
      </c>
      <c r="C652" s="4" t="s">
        <v>3</v>
      </c>
      <c r="D652" s="5" t="s">
        <v>9</v>
      </c>
      <c r="E652" s="6" t="s">
        <v>697</v>
      </c>
      <c r="F652" s="7">
        <v>45056.0</v>
      </c>
      <c r="H652" s="11"/>
      <c r="J652" s="18"/>
      <c r="L652" s="18"/>
      <c r="M652" s="23"/>
    </row>
    <row r="653">
      <c r="A653" s="10" t="s">
        <v>688</v>
      </c>
      <c r="B653" s="17" t="s">
        <v>689</v>
      </c>
      <c r="C653" s="4" t="s">
        <v>8</v>
      </c>
      <c r="D653" s="5" t="s">
        <v>51</v>
      </c>
      <c r="E653" s="6" t="s">
        <v>698</v>
      </c>
      <c r="F653" s="7">
        <v>45056.0</v>
      </c>
      <c r="H653" s="11"/>
      <c r="J653" s="18"/>
      <c r="L653" s="18"/>
      <c r="M653" s="23"/>
    </row>
    <row r="654">
      <c r="A654" s="10" t="s">
        <v>688</v>
      </c>
      <c r="B654" s="17" t="s">
        <v>689</v>
      </c>
      <c r="C654" s="4" t="s">
        <v>8</v>
      </c>
      <c r="D654" s="5" t="s">
        <v>45</v>
      </c>
      <c r="E654" s="6" t="s">
        <v>699</v>
      </c>
      <c r="F654" s="7">
        <v>45124.0</v>
      </c>
      <c r="H654" s="11"/>
      <c r="J654" s="18"/>
      <c r="L654" s="18"/>
      <c r="M654" s="23"/>
    </row>
    <row r="655">
      <c r="A655" s="10" t="s">
        <v>688</v>
      </c>
      <c r="B655" s="17" t="s">
        <v>689</v>
      </c>
      <c r="C655" s="4" t="s">
        <v>8</v>
      </c>
      <c r="D655" s="5" t="s">
        <v>51</v>
      </c>
      <c r="E655" s="6" t="s">
        <v>700</v>
      </c>
      <c r="F655" s="7">
        <v>45186.0</v>
      </c>
      <c r="H655" s="11"/>
      <c r="J655" s="18"/>
      <c r="L655" s="18"/>
      <c r="M655" s="23"/>
    </row>
    <row r="656">
      <c r="A656" s="10" t="s">
        <v>688</v>
      </c>
      <c r="B656" s="17" t="s">
        <v>689</v>
      </c>
      <c r="C656" s="4" t="s">
        <v>8</v>
      </c>
      <c r="D656" s="5" t="s">
        <v>76</v>
      </c>
      <c r="E656" s="6" t="s">
        <v>701</v>
      </c>
      <c r="F656" s="7">
        <v>45269.0</v>
      </c>
      <c r="H656" s="11"/>
      <c r="J656" s="18"/>
      <c r="L656" s="18"/>
      <c r="M656" s="23"/>
    </row>
    <row r="657">
      <c r="A657" s="10" t="s">
        <v>688</v>
      </c>
      <c r="B657" s="17" t="s">
        <v>689</v>
      </c>
      <c r="C657" s="4" t="s">
        <v>8</v>
      </c>
      <c r="D657" s="5" t="s">
        <v>71</v>
      </c>
      <c r="E657" s="6" t="s">
        <v>209</v>
      </c>
      <c r="F657" s="7">
        <v>45275.0</v>
      </c>
      <c r="H657" s="11"/>
      <c r="J657" s="18"/>
      <c r="L657" s="18"/>
      <c r="M657" s="23"/>
    </row>
    <row r="658">
      <c r="A658" s="10" t="s">
        <v>688</v>
      </c>
      <c r="B658" s="17" t="s">
        <v>689</v>
      </c>
      <c r="C658" s="4" t="s">
        <v>3</v>
      </c>
      <c r="D658" s="5" t="s">
        <v>28</v>
      </c>
      <c r="E658" s="6" t="s">
        <v>41</v>
      </c>
      <c r="F658" s="7">
        <v>45275.0</v>
      </c>
      <c r="H658" s="11"/>
      <c r="J658" s="18"/>
      <c r="L658" s="18"/>
      <c r="M658" s="23"/>
    </row>
    <row r="659">
      <c r="A659" s="10" t="s">
        <v>688</v>
      </c>
      <c r="B659" s="17" t="s">
        <v>689</v>
      </c>
      <c r="C659" s="4" t="s">
        <v>8</v>
      </c>
      <c r="D659" s="5" t="s">
        <v>71</v>
      </c>
      <c r="E659" s="6" t="s">
        <v>702</v>
      </c>
      <c r="F659" s="7">
        <v>45282.0</v>
      </c>
      <c r="H659" s="11"/>
      <c r="J659" s="18"/>
      <c r="L659" s="18"/>
      <c r="M659" s="23"/>
    </row>
    <row r="660">
      <c r="A660" s="10" t="s">
        <v>688</v>
      </c>
      <c r="B660" s="17" t="s">
        <v>689</v>
      </c>
      <c r="C660" s="4" t="s">
        <v>8</v>
      </c>
      <c r="D660" s="5" t="s">
        <v>17</v>
      </c>
      <c r="E660" s="6" t="s">
        <v>703</v>
      </c>
      <c r="F660" s="7">
        <v>45288.0</v>
      </c>
      <c r="H660" s="11"/>
      <c r="J660" s="18"/>
      <c r="L660" s="18"/>
      <c r="M660" s="23"/>
    </row>
    <row r="661">
      <c r="A661" s="10" t="s">
        <v>704</v>
      </c>
      <c r="B661" s="17" t="s">
        <v>705</v>
      </c>
      <c r="C661" s="4" t="s">
        <v>8</v>
      </c>
      <c r="D661" s="5" t="s">
        <v>6</v>
      </c>
      <c r="E661" s="6" t="s">
        <v>706</v>
      </c>
      <c r="F661" s="7">
        <v>44945.0</v>
      </c>
      <c r="H661" s="11"/>
      <c r="J661" s="18"/>
      <c r="L661" s="18"/>
      <c r="M661" s="23"/>
    </row>
    <row r="662">
      <c r="A662" s="10" t="s">
        <v>704</v>
      </c>
      <c r="B662" s="17" t="s">
        <v>705</v>
      </c>
      <c r="C662" s="4" t="s">
        <v>3</v>
      </c>
      <c r="D662" s="5" t="s">
        <v>13</v>
      </c>
      <c r="E662" s="6" t="s">
        <v>707</v>
      </c>
      <c r="F662" s="7">
        <v>44959.0</v>
      </c>
      <c r="H662" s="11"/>
      <c r="J662" s="18"/>
      <c r="L662" s="18"/>
      <c r="M662" s="23"/>
    </row>
    <row r="663">
      <c r="A663" s="10" t="s">
        <v>704</v>
      </c>
      <c r="B663" s="17" t="s">
        <v>705</v>
      </c>
      <c r="C663" s="4" t="s">
        <v>3</v>
      </c>
      <c r="D663" s="5" t="s">
        <v>42</v>
      </c>
      <c r="E663" s="6" t="s">
        <v>708</v>
      </c>
      <c r="F663" s="7">
        <v>44964.0</v>
      </c>
      <c r="H663" s="11"/>
      <c r="J663" s="18"/>
      <c r="L663" s="18"/>
      <c r="M663" s="23"/>
    </row>
    <row r="664">
      <c r="A664" s="10" t="s">
        <v>704</v>
      </c>
      <c r="B664" s="17" t="s">
        <v>705</v>
      </c>
      <c r="C664" s="4" t="s">
        <v>8</v>
      </c>
      <c r="D664" s="5" t="s">
        <v>76</v>
      </c>
      <c r="E664" s="6" t="s">
        <v>709</v>
      </c>
      <c r="F664" s="7">
        <v>44975.0</v>
      </c>
      <c r="H664" s="11"/>
      <c r="J664" s="18"/>
      <c r="L664" s="18"/>
      <c r="M664" s="23"/>
    </row>
    <row r="665">
      <c r="A665" s="10" t="s">
        <v>704</v>
      </c>
      <c r="B665" s="17" t="s">
        <v>705</v>
      </c>
      <c r="C665" s="4" t="s">
        <v>8</v>
      </c>
      <c r="D665" s="5" t="s">
        <v>11</v>
      </c>
      <c r="E665" s="6" t="s">
        <v>710</v>
      </c>
      <c r="F665" s="7">
        <v>45003.0</v>
      </c>
      <c r="H665" s="11"/>
      <c r="J665" s="18"/>
      <c r="L665" s="18"/>
      <c r="M665" s="23"/>
    </row>
    <row r="666">
      <c r="A666" s="10" t="s">
        <v>704</v>
      </c>
      <c r="B666" s="17" t="s">
        <v>705</v>
      </c>
      <c r="C666" s="4" t="s">
        <v>8</v>
      </c>
      <c r="D666" s="5" t="s">
        <v>19</v>
      </c>
      <c r="E666" s="6" t="s">
        <v>711</v>
      </c>
      <c r="F666" s="7">
        <v>45025.0</v>
      </c>
      <c r="H666" s="11"/>
      <c r="J666" s="18"/>
      <c r="L666" s="18"/>
      <c r="M666" s="23"/>
    </row>
    <row r="667">
      <c r="A667" s="10" t="s">
        <v>704</v>
      </c>
      <c r="B667" s="17" t="s">
        <v>705</v>
      </c>
      <c r="C667" s="4" t="s">
        <v>3</v>
      </c>
      <c r="D667" s="5" t="s">
        <v>6</v>
      </c>
      <c r="E667" s="6" t="s">
        <v>712</v>
      </c>
      <c r="F667" s="7">
        <v>45040.0</v>
      </c>
      <c r="H667" s="11"/>
      <c r="J667" s="18"/>
      <c r="L667" s="18"/>
      <c r="M667" s="23"/>
    </row>
    <row r="668">
      <c r="A668" s="10" t="s">
        <v>704</v>
      </c>
      <c r="B668" s="17" t="s">
        <v>705</v>
      </c>
      <c r="C668" s="4" t="s">
        <v>3</v>
      </c>
      <c r="D668" s="5" t="s">
        <v>13</v>
      </c>
      <c r="E668" s="6" t="s">
        <v>571</v>
      </c>
      <c r="F668" s="7">
        <v>45056.0</v>
      </c>
      <c r="H668" s="11"/>
      <c r="J668" s="18"/>
      <c r="L668" s="18"/>
      <c r="M668" s="23"/>
    </row>
    <row r="669">
      <c r="A669" s="10" t="s">
        <v>704</v>
      </c>
      <c r="B669" s="17" t="s">
        <v>705</v>
      </c>
      <c r="C669" s="4" t="s">
        <v>3</v>
      </c>
      <c r="D669" s="5" t="s">
        <v>35</v>
      </c>
      <c r="E669" s="6" t="s">
        <v>713</v>
      </c>
      <c r="F669" s="7">
        <v>45069.0</v>
      </c>
      <c r="H669" s="11"/>
      <c r="J669" s="18"/>
      <c r="L669" s="18"/>
      <c r="M669" s="23"/>
    </row>
    <row r="670">
      <c r="A670" s="10" t="s">
        <v>704</v>
      </c>
      <c r="B670" s="17" t="s">
        <v>705</v>
      </c>
      <c r="C670" s="4" t="s">
        <v>8</v>
      </c>
      <c r="D670" s="5" t="s">
        <v>42</v>
      </c>
      <c r="E670" s="6" t="s">
        <v>714</v>
      </c>
      <c r="F670" s="7">
        <v>45096.0</v>
      </c>
      <c r="H670" s="11"/>
      <c r="J670" s="18"/>
      <c r="L670" s="18"/>
      <c r="M670" s="23"/>
    </row>
    <row r="671">
      <c r="A671" s="10" t="s">
        <v>704</v>
      </c>
      <c r="B671" s="17" t="s">
        <v>705</v>
      </c>
      <c r="C671" s="4" t="s">
        <v>8</v>
      </c>
      <c r="D671" s="5" t="s">
        <v>6</v>
      </c>
      <c r="E671" s="6" t="s">
        <v>715</v>
      </c>
      <c r="F671" s="7">
        <v>45147.0</v>
      </c>
      <c r="H671" s="11"/>
      <c r="J671" s="18"/>
      <c r="L671" s="18"/>
      <c r="M671" s="23"/>
    </row>
    <row r="672">
      <c r="A672" s="10" t="s">
        <v>704</v>
      </c>
      <c r="B672" s="17" t="s">
        <v>705</v>
      </c>
      <c r="C672" s="4" t="s">
        <v>8</v>
      </c>
      <c r="D672" s="5" t="s">
        <v>15</v>
      </c>
      <c r="E672" s="6" t="s">
        <v>716</v>
      </c>
      <c r="F672" s="7">
        <v>45174.0</v>
      </c>
      <c r="H672" s="11"/>
      <c r="J672" s="18"/>
      <c r="L672" s="18"/>
      <c r="M672" s="23"/>
    </row>
    <row r="673">
      <c r="A673" s="10" t="s">
        <v>704</v>
      </c>
      <c r="B673" s="17" t="s">
        <v>705</v>
      </c>
      <c r="C673" s="4" t="s">
        <v>3</v>
      </c>
      <c r="D673" s="5" t="s">
        <v>35</v>
      </c>
      <c r="E673" s="6" t="s">
        <v>717</v>
      </c>
      <c r="F673" s="7">
        <v>45186.0</v>
      </c>
      <c r="H673" s="11"/>
      <c r="J673" s="18"/>
      <c r="L673" s="18"/>
      <c r="M673" s="23"/>
    </row>
    <row r="674">
      <c r="A674" s="10" t="s">
        <v>704</v>
      </c>
      <c r="B674" s="17" t="s">
        <v>705</v>
      </c>
      <c r="C674" s="4" t="s">
        <v>3</v>
      </c>
      <c r="D674" s="5" t="s">
        <v>76</v>
      </c>
      <c r="E674" s="6" t="s">
        <v>718</v>
      </c>
      <c r="F674" s="7">
        <v>45187.0</v>
      </c>
      <c r="H674" s="11"/>
      <c r="J674" s="18"/>
      <c r="L674" s="18"/>
      <c r="M674" s="23"/>
    </row>
    <row r="675">
      <c r="A675" s="10" t="s">
        <v>704</v>
      </c>
      <c r="B675" s="17" t="s">
        <v>705</v>
      </c>
      <c r="C675" s="4" t="s">
        <v>8</v>
      </c>
      <c r="D675" s="5" t="s">
        <v>6</v>
      </c>
      <c r="E675" s="6" t="s">
        <v>719</v>
      </c>
      <c r="F675" s="7">
        <v>45207.0</v>
      </c>
      <c r="H675" s="11"/>
      <c r="J675" s="18"/>
      <c r="L675" s="18"/>
      <c r="M675" s="23"/>
    </row>
    <row r="676">
      <c r="A676" s="10" t="s">
        <v>704</v>
      </c>
      <c r="B676" s="17" t="s">
        <v>705</v>
      </c>
      <c r="C676" s="4" t="s">
        <v>8</v>
      </c>
      <c r="D676" s="5" t="s">
        <v>39</v>
      </c>
      <c r="E676" s="6" t="s">
        <v>362</v>
      </c>
      <c r="F676" s="7">
        <v>45226.0</v>
      </c>
      <c r="H676" s="11"/>
      <c r="J676" s="18"/>
      <c r="L676" s="18"/>
      <c r="M676" s="23"/>
    </row>
    <row r="677">
      <c r="A677" s="10" t="s">
        <v>704</v>
      </c>
      <c r="B677" s="17" t="s">
        <v>705</v>
      </c>
      <c r="C677" s="4" t="s">
        <v>3</v>
      </c>
      <c r="D677" s="5" t="s">
        <v>120</v>
      </c>
      <c r="E677" s="6" t="s">
        <v>720</v>
      </c>
      <c r="F677" s="7">
        <v>45243.0</v>
      </c>
      <c r="H677" s="11"/>
      <c r="J677" s="18"/>
      <c r="L677" s="18"/>
      <c r="M677" s="23"/>
    </row>
    <row r="678">
      <c r="A678" s="10" t="s">
        <v>704</v>
      </c>
      <c r="B678" s="17" t="s">
        <v>705</v>
      </c>
      <c r="C678" s="4" t="s">
        <v>8</v>
      </c>
      <c r="D678" s="5" t="s">
        <v>11</v>
      </c>
      <c r="E678" s="6" t="s">
        <v>234</v>
      </c>
      <c r="F678" s="7">
        <v>45252.0</v>
      </c>
      <c r="H678" s="11"/>
      <c r="J678" s="18"/>
      <c r="L678" s="18"/>
      <c r="M678" s="23"/>
    </row>
    <row r="679">
      <c r="A679" s="10" t="s">
        <v>704</v>
      </c>
      <c r="B679" s="17" t="s">
        <v>705</v>
      </c>
      <c r="C679" s="4" t="s">
        <v>8</v>
      </c>
      <c r="D679" s="5" t="s">
        <v>39</v>
      </c>
      <c r="E679" s="6" t="s">
        <v>721</v>
      </c>
      <c r="F679" s="7">
        <v>45253.0</v>
      </c>
      <c r="H679" s="11"/>
      <c r="J679" s="18"/>
      <c r="L679" s="18"/>
      <c r="M679" s="23"/>
    </row>
    <row r="680">
      <c r="A680" s="10" t="s">
        <v>704</v>
      </c>
      <c r="B680" s="17" t="s">
        <v>705</v>
      </c>
      <c r="C680" s="4" t="s">
        <v>8</v>
      </c>
      <c r="D680" s="5" t="s">
        <v>11</v>
      </c>
      <c r="E680" s="6" t="s">
        <v>722</v>
      </c>
      <c r="F680" s="7">
        <v>45283.0</v>
      </c>
      <c r="H680" s="11"/>
      <c r="J680" s="18"/>
      <c r="L680" s="18"/>
      <c r="M680" s="23"/>
    </row>
    <row r="681">
      <c r="A681" s="10" t="s">
        <v>723</v>
      </c>
      <c r="B681" s="17" t="s">
        <v>724</v>
      </c>
      <c r="C681" s="4" t="s">
        <v>3</v>
      </c>
      <c r="D681" s="5" t="s">
        <v>28</v>
      </c>
      <c r="E681" s="6" t="s">
        <v>428</v>
      </c>
      <c r="F681" s="7">
        <v>44937.0</v>
      </c>
      <c r="H681" s="11"/>
      <c r="J681" s="18"/>
      <c r="L681" s="18"/>
      <c r="M681" s="23"/>
    </row>
    <row r="682">
      <c r="A682" s="10" t="s">
        <v>723</v>
      </c>
      <c r="B682" s="17" t="s">
        <v>724</v>
      </c>
      <c r="C682" s="4" t="s">
        <v>3</v>
      </c>
      <c r="D682" s="5" t="s">
        <v>28</v>
      </c>
      <c r="E682" s="6" t="s">
        <v>615</v>
      </c>
      <c r="F682" s="7">
        <v>44968.0</v>
      </c>
      <c r="H682" s="11"/>
      <c r="J682" s="18"/>
      <c r="L682" s="18"/>
      <c r="M682" s="23"/>
    </row>
    <row r="683">
      <c r="A683" s="10" t="s">
        <v>723</v>
      </c>
      <c r="B683" s="17" t="s">
        <v>724</v>
      </c>
      <c r="C683" s="4" t="s">
        <v>8</v>
      </c>
      <c r="D683" s="5" t="s">
        <v>51</v>
      </c>
      <c r="E683" s="6" t="s">
        <v>725</v>
      </c>
      <c r="F683" s="7">
        <v>44981.0</v>
      </c>
      <c r="H683" s="11"/>
      <c r="J683" s="18"/>
      <c r="L683" s="18"/>
      <c r="M683" s="23"/>
    </row>
    <row r="684">
      <c r="A684" s="10" t="s">
        <v>723</v>
      </c>
      <c r="B684" s="17" t="s">
        <v>724</v>
      </c>
      <c r="C684" s="4" t="s">
        <v>8</v>
      </c>
      <c r="D684" s="5" t="s">
        <v>4</v>
      </c>
      <c r="E684" s="6" t="s">
        <v>726</v>
      </c>
      <c r="F684" s="7">
        <v>44993.0</v>
      </c>
      <c r="H684" s="11"/>
      <c r="J684" s="18"/>
      <c r="L684" s="18"/>
      <c r="M684" s="23"/>
    </row>
    <row r="685">
      <c r="A685" s="10" t="s">
        <v>723</v>
      </c>
      <c r="B685" s="17" t="s">
        <v>724</v>
      </c>
      <c r="C685" s="4" t="s">
        <v>8</v>
      </c>
      <c r="D685" s="5" t="s">
        <v>17</v>
      </c>
      <c r="E685" s="6" t="s">
        <v>330</v>
      </c>
      <c r="F685" s="7">
        <v>45037.0</v>
      </c>
      <c r="H685" s="11"/>
      <c r="J685" s="18"/>
      <c r="L685" s="18"/>
      <c r="M685" s="23"/>
    </row>
    <row r="686">
      <c r="A686" s="10" t="s">
        <v>723</v>
      </c>
      <c r="B686" s="17" t="s">
        <v>724</v>
      </c>
      <c r="C686" s="4" t="s">
        <v>8</v>
      </c>
      <c r="D686" s="5" t="s">
        <v>51</v>
      </c>
      <c r="E686" s="6" t="s">
        <v>727</v>
      </c>
      <c r="F686" s="7">
        <v>45060.0</v>
      </c>
      <c r="H686" s="11"/>
      <c r="J686" s="18"/>
      <c r="L686" s="18"/>
      <c r="M686" s="23"/>
    </row>
    <row r="687">
      <c r="A687" s="10" t="s">
        <v>723</v>
      </c>
      <c r="B687" s="17" t="s">
        <v>724</v>
      </c>
      <c r="C687" s="4" t="s">
        <v>8</v>
      </c>
      <c r="D687" s="5" t="s">
        <v>96</v>
      </c>
      <c r="E687" s="6" t="s">
        <v>728</v>
      </c>
      <c r="F687" s="7">
        <v>45062.0</v>
      </c>
      <c r="H687" s="11"/>
      <c r="J687" s="18"/>
      <c r="L687" s="18"/>
      <c r="M687" s="23"/>
    </row>
    <row r="688">
      <c r="A688" s="10" t="s">
        <v>723</v>
      </c>
      <c r="B688" s="17" t="s">
        <v>724</v>
      </c>
      <c r="C688" s="4" t="s">
        <v>8</v>
      </c>
      <c r="D688" s="5" t="s">
        <v>76</v>
      </c>
      <c r="E688" s="6" t="s">
        <v>729</v>
      </c>
      <c r="F688" s="7">
        <v>45063.0</v>
      </c>
      <c r="H688" s="11"/>
      <c r="J688" s="18"/>
      <c r="L688" s="18"/>
      <c r="M688" s="23"/>
    </row>
    <row r="689">
      <c r="A689" s="10" t="s">
        <v>723</v>
      </c>
      <c r="B689" s="17" t="s">
        <v>724</v>
      </c>
      <c r="C689" s="4" t="s">
        <v>3</v>
      </c>
      <c r="D689" s="5" t="s">
        <v>96</v>
      </c>
      <c r="E689" s="6" t="s">
        <v>730</v>
      </c>
      <c r="F689" s="7">
        <v>45085.0</v>
      </c>
      <c r="H689" s="11"/>
      <c r="J689" s="18"/>
      <c r="L689" s="18"/>
      <c r="M689" s="23"/>
    </row>
    <row r="690">
      <c r="A690" s="10" t="s">
        <v>723</v>
      </c>
      <c r="B690" s="17" t="s">
        <v>724</v>
      </c>
      <c r="C690" s="4" t="s">
        <v>8</v>
      </c>
      <c r="D690" s="5" t="s">
        <v>11</v>
      </c>
      <c r="E690" s="6" t="s">
        <v>731</v>
      </c>
      <c r="F690" s="7">
        <v>45087.0</v>
      </c>
      <c r="H690" s="11"/>
      <c r="J690" s="18"/>
      <c r="L690" s="18"/>
      <c r="M690" s="23"/>
    </row>
    <row r="691">
      <c r="A691" s="10" t="s">
        <v>723</v>
      </c>
      <c r="B691" s="17" t="s">
        <v>724</v>
      </c>
      <c r="C691" s="4" t="s">
        <v>3</v>
      </c>
      <c r="D691" s="5" t="s">
        <v>19</v>
      </c>
      <c r="E691" s="6" t="s">
        <v>732</v>
      </c>
      <c r="F691" s="7">
        <v>45093.0</v>
      </c>
      <c r="H691" s="11"/>
      <c r="J691" s="18"/>
      <c r="L691" s="18"/>
      <c r="M691" s="23"/>
    </row>
    <row r="692">
      <c r="A692" s="10" t="s">
        <v>723</v>
      </c>
      <c r="B692" s="17" t="s">
        <v>724</v>
      </c>
      <c r="C692" s="4" t="s">
        <v>8</v>
      </c>
      <c r="D692" s="5" t="s">
        <v>21</v>
      </c>
      <c r="E692" s="6" t="s">
        <v>733</v>
      </c>
      <c r="F692" s="7">
        <v>45098.0</v>
      </c>
      <c r="H692" s="11"/>
      <c r="J692" s="18"/>
      <c r="L692" s="18"/>
      <c r="M692" s="23"/>
    </row>
    <row r="693">
      <c r="A693" s="10" t="s">
        <v>723</v>
      </c>
      <c r="B693" s="17" t="s">
        <v>724</v>
      </c>
      <c r="C693" s="4" t="s">
        <v>3</v>
      </c>
      <c r="D693" s="5" t="s">
        <v>9</v>
      </c>
      <c r="E693" s="6" t="s">
        <v>132</v>
      </c>
      <c r="F693" s="7">
        <v>45117.0</v>
      </c>
      <c r="H693" s="11"/>
      <c r="J693" s="18"/>
      <c r="L693" s="18"/>
      <c r="M693" s="23"/>
    </row>
    <row r="694">
      <c r="A694" s="10" t="s">
        <v>723</v>
      </c>
      <c r="B694" s="17" t="s">
        <v>724</v>
      </c>
      <c r="C694" s="4" t="s">
        <v>8</v>
      </c>
      <c r="D694" s="5" t="s">
        <v>17</v>
      </c>
      <c r="E694" s="6" t="s">
        <v>734</v>
      </c>
      <c r="F694" s="7">
        <v>45150.0</v>
      </c>
      <c r="H694" s="11"/>
      <c r="J694" s="18"/>
      <c r="L694" s="18"/>
      <c r="M694" s="23"/>
    </row>
    <row r="695">
      <c r="A695" s="10" t="s">
        <v>723</v>
      </c>
      <c r="B695" s="17" t="s">
        <v>724</v>
      </c>
      <c r="C695" s="4" t="s">
        <v>8</v>
      </c>
      <c r="D695" s="5" t="s">
        <v>39</v>
      </c>
      <c r="E695" s="6" t="s">
        <v>735</v>
      </c>
      <c r="F695" s="7">
        <v>45195.0</v>
      </c>
      <c r="H695" s="11"/>
      <c r="J695" s="18"/>
      <c r="L695" s="18"/>
      <c r="M695" s="23"/>
    </row>
    <row r="696">
      <c r="A696" s="10" t="s">
        <v>723</v>
      </c>
      <c r="B696" s="17" t="s">
        <v>724</v>
      </c>
      <c r="C696" s="4" t="s">
        <v>3</v>
      </c>
      <c r="D696" s="5" t="s">
        <v>9</v>
      </c>
      <c r="E696" s="6" t="s">
        <v>736</v>
      </c>
      <c r="F696" s="7">
        <v>45222.0</v>
      </c>
      <c r="H696" s="11"/>
      <c r="J696" s="18"/>
      <c r="L696" s="18"/>
      <c r="M696" s="23"/>
    </row>
    <row r="697">
      <c r="A697" s="10" t="s">
        <v>723</v>
      </c>
      <c r="B697" s="17" t="s">
        <v>724</v>
      </c>
      <c r="C697" s="4" t="s">
        <v>3</v>
      </c>
      <c r="D697" s="5" t="s">
        <v>15</v>
      </c>
      <c r="E697" s="6" t="s">
        <v>737</v>
      </c>
      <c r="F697" s="7">
        <v>45223.0</v>
      </c>
      <c r="H697" s="11"/>
      <c r="J697" s="18"/>
      <c r="L697" s="18"/>
      <c r="M697" s="23"/>
    </row>
    <row r="698">
      <c r="A698" s="10" t="s">
        <v>723</v>
      </c>
      <c r="B698" s="17" t="s">
        <v>724</v>
      </c>
      <c r="C698" s="4" t="s">
        <v>3</v>
      </c>
      <c r="D698" s="5" t="s">
        <v>4</v>
      </c>
      <c r="E698" s="6" t="s">
        <v>738</v>
      </c>
      <c r="F698" s="7">
        <v>45245.0</v>
      </c>
      <c r="H698" s="11"/>
      <c r="J698" s="18"/>
      <c r="L698" s="18"/>
      <c r="M698" s="23"/>
    </row>
    <row r="699">
      <c r="A699" s="10" t="s">
        <v>723</v>
      </c>
      <c r="B699" s="17" t="s">
        <v>724</v>
      </c>
      <c r="C699" s="4" t="s">
        <v>8</v>
      </c>
      <c r="D699" s="5" t="s">
        <v>17</v>
      </c>
      <c r="E699" s="6" t="s">
        <v>739</v>
      </c>
      <c r="F699" s="7">
        <v>45265.0</v>
      </c>
      <c r="H699" s="11"/>
      <c r="J699" s="18"/>
      <c r="L699" s="18"/>
      <c r="M699" s="23"/>
    </row>
    <row r="700">
      <c r="A700" s="10" t="s">
        <v>723</v>
      </c>
      <c r="B700" s="17" t="s">
        <v>724</v>
      </c>
      <c r="C700" s="4" t="s">
        <v>3</v>
      </c>
      <c r="D700" s="5" t="s">
        <v>23</v>
      </c>
      <c r="E700" s="6" t="s">
        <v>740</v>
      </c>
      <c r="F700" s="7">
        <v>45288.0</v>
      </c>
      <c r="H700" s="11"/>
      <c r="J700" s="18"/>
      <c r="L700" s="18"/>
      <c r="M700" s="23"/>
    </row>
    <row r="701">
      <c r="A701" s="10" t="s">
        <v>741</v>
      </c>
      <c r="B701" s="17" t="s">
        <v>742</v>
      </c>
      <c r="C701" s="4" t="s">
        <v>3</v>
      </c>
      <c r="D701" s="5" t="s">
        <v>28</v>
      </c>
      <c r="E701" s="6" t="s">
        <v>257</v>
      </c>
      <c r="F701" s="7">
        <v>44931.0</v>
      </c>
      <c r="H701" s="11"/>
      <c r="J701" s="18"/>
      <c r="L701" s="18"/>
      <c r="M701" s="23"/>
    </row>
    <row r="702">
      <c r="A702" s="10" t="s">
        <v>741</v>
      </c>
      <c r="B702" s="17" t="s">
        <v>742</v>
      </c>
      <c r="C702" s="4" t="s">
        <v>3</v>
      </c>
      <c r="D702" s="5" t="s">
        <v>21</v>
      </c>
      <c r="E702" s="6" t="s">
        <v>241</v>
      </c>
      <c r="F702" s="7">
        <v>44946.0</v>
      </c>
      <c r="H702" s="11"/>
      <c r="J702" s="18"/>
      <c r="L702" s="18"/>
      <c r="M702" s="23"/>
    </row>
    <row r="703">
      <c r="A703" s="10" t="s">
        <v>741</v>
      </c>
      <c r="B703" s="17" t="s">
        <v>742</v>
      </c>
      <c r="C703" s="4" t="s">
        <v>3</v>
      </c>
      <c r="D703" s="5" t="s">
        <v>11</v>
      </c>
      <c r="E703" s="6" t="s">
        <v>743</v>
      </c>
      <c r="F703" s="7">
        <v>44960.0</v>
      </c>
      <c r="H703" s="11"/>
      <c r="J703" s="18"/>
      <c r="L703" s="18"/>
      <c r="M703" s="23"/>
    </row>
    <row r="704">
      <c r="A704" s="10" t="s">
        <v>741</v>
      </c>
      <c r="B704" s="17" t="s">
        <v>742</v>
      </c>
      <c r="C704" s="4" t="s">
        <v>8</v>
      </c>
      <c r="D704" s="5" t="s">
        <v>19</v>
      </c>
      <c r="E704" s="6" t="s">
        <v>744</v>
      </c>
      <c r="F704" s="7">
        <v>44970.0</v>
      </c>
      <c r="H704" s="11"/>
      <c r="J704" s="18"/>
      <c r="L704" s="18"/>
      <c r="M704" s="23"/>
    </row>
    <row r="705">
      <c r="A705" s="10" t="s">
        <v>741</v>
      </c>
      <c r="B705" s="17" t="s">
        <v>742</v>
      </c>
      <c r="C705" s="4" t="s">
        <v>3</v>
      </c>
      <c r="D705" s="5" t="s">
        <v>4</v>
      </c>
      <c r="E705" s="6" t="s">
        <v>745</v>
      </c>
      <c r="F705" s="7">
        <v>44993.0</v>
      </c>
      <c r="H705" s="11"/>
      <c r="J705" s="18"/>
      <c r="L705" s="18"/>
      <c r="M705" s="23"/>
    </row>
    <row r="706">
      <c r="A706" s="10" t="s">
        <v>741</v>
      </c>
      <c r="B706" s="17" t="s">
        <v>742</v>
      </c>
      <c r="C706" s="4" t="s">
        <v>8</v>
      </c>
      <c r="D706" s="5" t="s">
        <v>45</v>
      </c>
      <c r="E706" s="6" t="s">
        <v>684</v>
      </c>
      <c r="F706" s="7">
        <v>45004.0</v>
      </c>
      <c r="H706" s="11"/>
      <c r="J706" s="18"/>
      <c r="L706" s="18"/>
      <c r="M706" s="23"/>
    </row>
    <row r="707">
      <c r="A707" s="10" t="s">
        <v>741</v>
      </c>
      <c r="B707" s="17" t="s">
        <v>742</v>
      </c>
      <c r="C707" s="4" t="s">
        <v>8</v>
      </c>
      <c r="D707" s="5" t="s">
        <v>71</v>
      </c>
      <c r="E707" s="6" t="s">
        <v>746</v>
      </c>
      <c r="F707" s="7">
        <v>45068.0</v>
      </c>
      <c r="H707" s="11"/>
      <c r="J707" s="18"/>
      <c r="L707" s="18"/>
      <c r="M707" s="23"/>
    </row>
    <row r="708">
      <c r="A708" s="10" t="s">
        <v>741</v>
      </c>
      <c r="B708" s="17" t="s">
        <v>742</v>
      </c>
      <c r="C708" s="4" t="s">
        <v>8</v>
      </c>
      <c r="D708" s="5" t="s">
        <v>11</v>
      </c>
      <c r="E708" s="6" t="s">
        <v>747</v>
      </c>
      <c r="F708" s="7">
        <v>45088.0</v>
      </c>
      <c r="H708" s="11"/>
      <c r="J708" s="18"/>
      <c r="L708" s="18"/>
      <c r="M708" s="23"/>
    </row>
    <row r="709">
      <c r="A709" s="10" t="s">
        <v>741</v>
      </c>
      <c r="B709" s="17" t="s">
        <v>742</v>
      </c>
      <c r="C709" s="4" t="s">
        <v>3</v>
      </c>
      <c r="D709" s="5" t="s">
        <v>35</v>
      </c>
      <c r="E709" s="6" t="s">
        <v>748</v>
      </c>
      <c r="F709" s="7">
        <v>45128.0</v>
      </c>
      <c r="H709" s="11"/>
      <c r="J709" s="18"/>
      <c r="L709" s="18"/>
      <c r="M709" s="23"/>
    </row>
    <row r="710">
      <c r="A710" s="10" t="s">
        <v>741</v>
      </c>
      <c r="B710" s="17" t="s">
        <v>742</v>
      </c>
      <c r="C710" s="4" t="s">
        <v>3</v>
      </c>
      <c r="D710" s="5" t="s">
        <v>23</v>
      </c>
      <c r="E710" s="6" t="s">
        <v>749</v>
      </c>
      <c r="F710" s="7">
        <v>45131.0</v>
      </c>
      <c r="H710" s="11"/>
      <c r="J710" s="18"/>
      <c r="L710" s="18"/>
      <c r="M710" s="23"/>
    </row>
    <row r="711">
      <c r="A711" s="10" t="s">
        <v>741</v>
      </c>
      <c r="B711" s="17" t="s">
        <v>742</v>
      </c>
      <c r="C711" s="4" t="s">
        <v>8</v>
      </c>
      <c r="D711" s="5" t="s">
        <v>96</v>
      </c>
      <c r="E711" s="6" t="s">
        <v>750</v>
      </c>
      <c r="F711" s="7">
        <v>45142.0</v>
      </c>
      <c r="H711" s="11"/>
      <c r="J711" s="18"/>
      <c r="L711" s="18"/>
      <c r="M711" s="23"/>
    </row>
    <row r="712">
      <c r="A712" s="10" t="s">
        <v>741</v>
      </c>
      <c r="B712" s="17" t="s">
        <v>742</v>
      </c>
      <c r="C712" s="4" t="s">
        <v>8</v>
      </c>
      <c r="D712" s="5" t="s">
        <v>4</v>
      </c>
      <c r="E712" s="6" t="s">
        <v>751</v>
      </c>
      <c r="F712" s="7">
        <v>45148.0</v>
      </c>
      <c r="H712" s="11"/>
      <c r="J712" s="18"/>
      <c r="L712" s="18"/>
      <c r="M712" s="23"/>
    </row>
    <row r="713">
      <c r="A713" s="10" t="s">
        <v>741</v>
      </c>
      <c r="B713" s="17" t="s">
        <v>742</v>
      </c>
      <c r="C713" s="4" t="s">
        <v>8</v>
      </c>
      <c r="D713" s="5" t="s">
        <v>4</v>
      </c>
      <c r="E713" s="6" t="s">
        <v>752</v>
      </c>
      <c r="F713" s="7">
        <v>45151.0</v>
      </c>
      <c r="H713" s="11"/>
      <c r="J713" s="18"/>
      <c r="L713" s="18"/>
      <c r="M713" s="23"/>
    </row>
    <row r="714">
      <c r="A714" s="10" t="s">
        <v>741</v>
      </c>
      <c r="B714" s="17" t="s">
        <v>742</v>
      </c>
      <c r="C714" s="4" t="s">
        <v>8</v>
      </c>
      <c r="D714" s="5" t="s">
        <v>9</v>
      </c>
      <c r="E714" s="6" t="s">
        <v>753</v>
      </c>
      <c r="F714" s="7">
        <v>45164.0</v>
      </c>
      <c r="H714" s="11"/>
      <c r="J714" s="18"/>
      <c r="L714" s="18"/>
      <c r="M714" s="23"/>
    </row>
    <row r="715">
      <c r="A715" s="10" t="s">
        <v>741</v>
      </c>
      <c r="B715" s="17" t="s">
        <v>742</v>
      </c>
      <c r="C715" s="4" t="s">
        <v>3</v>
      </c>
      <c r="D715" s="5" t="s">
        <v>120</v>
      </c>
      <c r="E715" s="6" t="s">
        <v>754</v>
      </c>
      <c r="F715" s="7">
        <v>45184.0</v>
      </c>
      <c r="H715" s="11"/>
      <c r="J715" s="18"/>
      <c r="L715" s="18"/>
      <c r="M715" s="23"/>
    </row>
    <row r="716">
      <c r="A716" s="10" t="s">
        <v>741</v>
      </c>
      <c r="B716" s="17" t="s">
        <v>742</v>
      </c>
      <c r="C716" s="4" t="s">
        <v>8</v>
      </c>
      <c r="D716" s="5" t="s">
        <v>76</v>
      </c>
      <c r="E716" s="6" t="s">
        <v>755</v>
      </c>
      <c r="F716" s="7">
        <v>45200.0</v>
      </c>
      <c r="H716" s="11"/>
      <c r="J716" s="18"/>
      <c r="L716" s="18"/>
      <c r="M716" s="23"/>
    </row>
    <row r="717">
      <c r="A717" s="10" t="s">
        <v>741</v>
      </c>
      <c r="B717" s="17" t="s">
        <v>742</v>
      </c>
      <c r="C717" s="4" t="s">
        <v>3</v>
      </c>
      <c r="D717" s="5" t="s">
        <v>71</v>
      </c>
      <c r="E717" s="6" t="s">
        <v>756</v>
      </c>
      <c r="F717" s="7">
        <v>45201.0</v>
      </c>
      <c r="H717" s="11"/>
      <c r="J717" s="18"/>
      <c r="L717" s="18"/>
      <c r="M717" s="23"/>
    </row>
    <row r="718">
      <c r="A718" s="10" t="s">
        <v>741</v>
      </c>
      <c r="B718" s="17" t="s">
        <v>742</v>
      </c>
      <c r="C718" s="4" t="s">
        <v>3</v>
      </c>
      <c r="D718" s="5" t="s">
        <v>13</v>
      </c>
      <c r="E718" s="6" t="s">
        <v>568</v>
      </c>
      <c r="F718" s="7">
        <v>45215.0</v>
      </c>
      <c r="H718" s="11"/>
      <c r="J718" s="18"/>
      <c r="L718" s="18"/>
      <c r="M718" s="23"/>
    </row>
    <row r="719">
      <c r="A719" s="10" t="s">
        <v>741</v>
      </c>
      <c r="B719" s="17" t="s">
        <v>742</v>
      </c>
      <c r="C719" s="4" t="s">
        <v>8</v>
      </c>
      <c r="D719" s="5" t="s">
        <v>39</v>
      </c>
      <c r="E719" s="6" t="s">
        <v>757</v>
      </c>
      <c r="F719" s="7">
        <v>45225.0</v>
      </c>
      <c r="H719" s="11"/>
      <c r="J719" s="18"/>
      <c r="L719" s="18"/>
      <c r="M719" s="23"/>
    </row>
    <row r="720">
      <c r="A720" s="10" t="s">
        <v>741</v>
      </c>
      <c r="B720" s="17" t="s">
        <v>742</v>
      </c>
      <c r="C720" s="4" t="s">
        <v>3</v>
      </c>
      <c r="D720" s="5" t="s">
        <v>96</v>
      </c>
      <c r="E720" s="6" t="s">
        <v>758</v>
      </c>
      <c r="F720" s="7">
        <v>45253.0</v>
      </c>
      <c r="H720" s="11"/>
      <c r="J720" s="18"/>
      <c r="L720" s="18"/>
      <c r="M720" s="23"/>
    </row>
    <row r="721">
      <c r="A721" s="10" t="s">
        <v>759</v>
      </c>
      <c r="B721" s="17" t="s">
        <v>760</v>
      </c>
      <c r="C721" s="4" t="s">
        <v>8</v>
      </c>
      <c r="D721" s="5" t="s">
        <v>35</v>
      </c>
      <c r="E721" s="6" t="s">
        <v>138</v>
      </c>
      <c r="F721" s="7">
        <v>44998.0</v>
      </c>
      <c r="H721" s="11"/>
      <c r="J721" s="18"/>
      <c r="L721" s="18"/>
      <c r="M721" s="23"/>
    </row>
    <row r="722">
      <c r="A722" s="10" t="s">
        <v>759</v>
      </c>
      <c r="B722" s="17" t="s">
        <v>760</v>
      </c>
      <c r="C722" s="4" t="s">
        <v>3</v>
      </c>
      <c r="D722" s="5" t="s">
        <v>23</v>
      </c>
      <c r="E722" s="6" t="s">
        <v>523</v>
      </c>
      <c r="F722" s="7">
        <v>45008.0</v>
      </c>
      <c r="H722" s="11"/>
      <c r="J722" s="18"/>
      <c r="L722" s="18"/>
      <c r="M722" s="23"/>
    </row>
    <row r="723">
      <c r="A723" s="10" t="s">
        <v>759</v>
      </c>
      <c r="B723" s="17" t="s">
        <v>760</v>
      </c>
      <c r="C723" s="4" t="s">
        <v>3</v>
      </c>
      <c r="D723" s="5" t="s">
        <v>15</v>
      </c>
      <c r="E723" s="6" t="s">
        <v>761</v>
      </c>
      <c r="F723" s="7">
        <v>45023.0</v>
      </c>
      <c r="H723" s="11"/>
      <c r="J723" s="18"/>
      <c r="L723" s="18"/>
      <c r="M723" s="23"/>
    </row>
    <row r="724">
      <c r="A724" s="10" t="s">
        <v>759</v>
      </c>
      <c r="B724" s="17" t="s">
        <v>760</v>
      </c>
      <c r="C724" s="4" t="s">
        <v>3</v>
      </c>
      <c r="D724" s="5" t="s">
        <v>42</v>
      </c>
      <c r="E724" s="6" t="s">
        <v>762</v>
      </c>
      <c r="F724" s="7">
        <v>45029.0</v>
      </c>
      <c r="H724" s="11"/>
      <c r="J724" s="18"/>
      <c r="L724" s="18"/>
      <c r="M724" s="23"/>
    </row>
    <row r="725">
      <c r="A725" s="10" t="s">
        <v>759</v>
      </c>
      <c r="B725" s="17" t="s">
        <v>760</v>
      </c>
      <c r="C725" s="4" t="s">
        <v>3</v>
      </c>
      <c r="D725" s="5" t="s">
        <v>45</v>
      </c>
      <c r="E725" s="6" t="s">
        <v>763</v>
      </c>
      <c r="F725" s="7">
        <v>45033.0</v>
      </c>
      <c r="H725" s="11"/>
      <c r="J725" s="18"/>
      <c r="L725" s="18"/>
      <c r="M725" s="23"/>
    </row>
    <row r="726">
      <c r="A726" s="10" t="s">
        <v>759</v>
      </c>
      <c r="B726" s="17" t="s">
        <v>760</v>
      </c>
      <c r="C726" s="4" t="s">
        <v>3</v>
      </c>
      <c r="D726" s="5" t="s">
        <v>9</v>
      </c>
      <c r="E726" s="6" t="s">
        <v>764</v>
      </c>
      <c r="F726" s="7">
        <v>45042.0</v>
      </c>
      <c r="H726" s="11"/>
      <c r="J726" s="18"/>
      <c r="L726" s="18"/>
      <c r="M726" s="23"/>
    </row>
    <row r="727">
      <c r="A727" s="10" t="s">
        <v>759</v>
      </c>
      <c r="B727" s="17" t="s">
        <v>760</v>
      </c>
      <c r="C727" s="4" t="s">
        <v>8</v>
      </c>
      <c r="D727" s="5" t="s">
        <v>6</v>
      </c>
      <c r="E727" s="6" t="s">
        <v>765</v>
      </c>
      <c r="F727" s="7">
        <v>45049.0</v>
      </c>
      <c r="H727" s="11"/>
      <c r="J727" s="18"/>
      <c r="L727" s="18"/>
      <c r="M727" s="23"/>
    </row>
    <row r="728">
      <c r="A728" s="10" t="s">
        <v>759</v>
      </c>
      <c r="B728" s="17" t="s">
        <v>760</v>
      </c>
      <c r="C728" s="4" t="s">
        <v>8</v>
      </c>
      <c r="D728" s="5" t="s">
        <v>17</v>
      </c>
      <c r="E728" s="6" t="s">
        <v>766</v>
      </c>
      <c r="F728" s="7">
        <v>45062.0</v>
      </c>
      <c r="H728" s="11"/>
      <c r="J728" s="18"/>
      <c r="L728" s="18"/>
      <c r="M728" s="23"/>
    </row>
    <row r="729">
      <c r="A729" s="10" t="s">
        <v>759</v>
      </c>
      <c r="B729" s="17" t="s">
        <v>760</v>
      </c>
      <c r="C729" s="4" t="s">
        <v>3</v>
      </c>
      <c r="D729" s="5" t="s">
        <v>35</v>
      </c>
      <c r="E729" s="6" t="s">
        <v>767</v>
      </c>
      <c r="F729" s="7">
        <v>45069.0</v>
      </c>
      <c r="H729" s="11"/>
      <c r="J729" s="18"/>
      <c r="L729" s="18"/>
      <c r="M729" s="23"/>
    </row>
    <row r="730">
      <c r="A730" s="10" t="s">
        <v>759</v>
      </c>
      <c r="B730" s="17" t="s">
        <v>760</v>
      </c>
      <c r="C730" s="4" t="s">
        <v>3</v>
      </c>
      <c r="D730" s="5" t="s">
        <v>9</v>
      </c>
      <c r="E730" s="6" t="s">
        <v>768</v>
      </c>
      <c r="F730" s="7">
        <v>45081.0</v>
      </c>
      <c r="H730" s="11"/>
      <c r="J730" s="18"/>
      <c r="L730" s="18"/>
      <c r="M730" s="23"/>
    </row>
    <row r="731">
      <c r="A731" s="10" t="s">
        <v>759</v>
      </c>
      <c r="B731" s="17" t="s">
        <v>760</v>
      </c>
      <c r="C731" s="4" t="s">
        <v>3</v>
      </c>
      <c r="D731" s="5" t="s">
        <v>39</v>
      </c>
      <c r="E731" s="6" t="s">
        <v>769</v>
      </c>
      <c r="F731" s="7">
        <v>45088.0</v>
      </c>
      <c r="H731" s="11"/>
      <c r="J731" s="18"/>
      <c r="L731" s="18"/>
      <c r="M731" s="23"/>
    </row>
    <row r="732">
      <c r="A732" s="10" t="s">
        <v>759</v>
      </c>
      <c r="B732" s="17" t="s">
        <v>760</v>
      </c>
      <c r="C732" s="4" t="s">
        <v>3</v>
      </c>
      <c r="D732" s="5" t="s">
        <v>13</v>
      </c>
      <c r="E732" s="6" t="s">
        <v>672</v>
      </c>
      <c r="F732" s="7">
        <v>45095.0</v>
      </c>
      <c r="H732" s="11"/>
      <c r="J732" s="18"/>
      <c r="L732" s="18"/>
      <c r="M732" s="23"/>
    </row>
    <row r="733">
      <c r="A733" s="10" t="s">
        <v>759</v>
      </c>
      <c r="B733" s="17" t="s">
        <v>760</v>
      </c>
      <c r="C733" s="4" t="s">
        <v>8</v>
      </c>
      <c r="D733" s="5" t="s">
        <v>6</v>
      </c>
      <c r="E733" s="6" t="s">
        <v>770</v>
      </c>
      <c r="F733" s="7">
        <v>45154.0</v>
      </c>
      <c r="H733" s="11"/>
      <c r="J733" s="18"/>
      <c r="L733" s="18"/>
      <c r="M733" s="23"/>
    </row>
    <row r="734">
      <c r="A734" s="10" t="s">
        <v>759</v>
      </c>
      <c r="B734" s="17" t="s">
        <v>760</v>
      </c>
      <c r="C734" s="4" t="s">
        <v>8</v>
      </c>
      <c r="D734" s="5" t="s">
        <v>9</v>
      </c>
      <c r="E734" s="6" t="s">
        <v>771</v>
      </c>
      <c r="F734" s="7">
        <v>45172.0</v>
      </c>
      <c r="H734" s="11"/>
      <c r="J734" s="18"/>
      <c r="L734" s="18"/>
      <c r="M734" s="23"/>
    </row>
    <row r="735">
      <c r="A735" s="10" t="s">
        <v>759</v>
      </c>
      <c r="B735" s="17" t="s">
        <v>760</v>
      </c>
      <c r="C735" s="4" t="s">
        <v>8</v>
      </c>
      <c r="D735" s="5" t="s">
        <v>21</v>
      </c>
      <c r="E735" s="6" t="s">
        <v>772</v>
      </c>
      <c r="F735" s="7">
        <v>45177.0</v>
      </c>
      <c r="H735" s="11"/>
      <c r="J735" s="18"/>
      <c r="L735" s="18"/>
      <c r="M735" s="23"/>
    </row>
    <row r="736">
      <c r="A736" s="10" t="s">
        <v>759</v>
      </c>
      <c r="B736" s="17" t="s">
        <v>760</v>
      </c>
      <c r="C736" s="4" t="s">
        <v>8</v>
      </c>
      <c r="D736" s="5" t="s">
        <v>4</v>
      </c>
      <c r="E736" s="6" t="s">
        <v>773</v>
      </c>
      <c r="F736" s="7">
        <v>45180.0</v>
      </c>
      <c r="H736" s="11"/>
      <c r="J736" s="18"/>
      <c r="L736" s="18"/>
      <c r="M736" s="23"/>
    </row>
    <row r="737">
      <c r="A737" s="10" t="s">
        <v>759</v>
      </c>
      <c r="B737" s="17" t="s">
        <v>760</v>
      </c>
      <c r="C737" s="4" t="s">
        <v>3</v>
      </c>
      <c r="D737" s="5" t="s">
        <v>51</v>
      </c>
      <c r="E737" s="6" t="s">
        <v>774</v>
      </c>
      <c r="F737" s="7">
        <v>45217.0</v>
      </c>
      <c r="H737" s="11"/>
      <c r="J737" s="18"/>
      <c r="L737" s="18"/>
      <c r="M737" s="23"/>
    </row>
    <row r="738">
      <c r="A738" s="10" t="s">
        <v>759</v>
      </c>
      <c r="B738" s="17" t="s">
        <v>760</v>
      </c>
      <c r="C738" s="4" t="s">
        <v>8</v>
      </c>
      <c r="D738" s="5" t="s">
        <v>9</v>
      </c>
      <c r="E738" s="6" t="s">
        <v>775</v>
      </c>
      <c r="F738" s="7">
        <v>45255.0</v>
      </c>
      <c r="H738" s="11"/>
      <c r="J738" s="18"/>
      <c r="L738" s="18"/>
      <c r="M738" s="23"/>
    </row>
    <row r="739">
      <c r="A739" s="10" t="s">
        <v>759</v>
      </c>
      <c r="B739" s="17" t="s">
        <v>760</v>
      </c>
      <c r="C739" s="4" t="s">
        <v>3</v>
      </c>
      <c r="D739" s="5" t="s">
        <v>13</v>
      </c>
      <c r="E739" s="6" t="s">
        <v>776</v>
      </c>
      <c r="F739" s="7">
        <v>45265.0</v>
      </c>
      <c r="H739" s="11"/>
      <c r="J739" s="18"/>
      <c r="L739" s="18"/>
      <c r="M739" s="23"/>
    </row>
    <row r="740">
      <c r="A740" s="10" t="s">
        <v>759</v>
      </c>
      <c r="B740" s="17" t="s">
        <v>760</v>
      </c>
      <c r="C740" s="4" t="s">
        <v>3</v>
      </c>
      <c r="D740" s="5" t="s">
        <v>6</v>
      </c>
      <c r="E740" s="6" t="s">
        <v>777</v>
      </c>
      <c r="F740" s="7">
        <v>45284.0</v>
      </c>
      <c r="H740" s="11"/>
      <c r="J740" s="18"/>
      <c r="L740" s="18"/>
      <c r="M740" s="23"/>
    </row>
    <row r="741">
      <c r="A741" s="10" t="s">
        <v>778</v>
      </c>
      <c r="B741" s="17" t="s">
        <v>779</v>
      </c>
      <c r="C741" s="4" t="s">
        <v>3</v>
      </c>
      <c r="D741" s="5" t="s">
        <v>39</v>
      </c>
      <c r="E741" s="6" t="s">
        <v>780</v>
      </c>
      <c r="F741" s="7">
        <v>44934.0</v>
      </c>
      <c r="H741" s="11"/>
      <c r="J741" s="18"/>
      <c r="L741" s="18"/>
      <c r="M741" s="23"/>
    </row>
    <row r="742">
      <c r="A742" s="10" t="s">
        <v>778</v>
      </c>
      <c r="B742" s="17" t="s">
        <v>779</v>
      </c>
      <c r="C742" s="4" t="s">
        <v>8</v>
      </c>
      <c r="D742" s="5" t="s">
        <v>11</v>
      </c>
      <c r="E742" s="6" t="s">
        <v>212</v>
      </c>
      <c r="F742" s="7">
        <v>44950.0</v>
      </c>
      <c r="H742" s="11"/>
      <c r="J742" s="18"/>
      <c r="L742" s="18"/>
      <c r="M742" s="23"/>
    </row>
    <row r="743">
      <c r="A743" s="10" t="s">
        <v>778</v>
      </c>
      <c r="B743" s="17" t="s">
        <v>779</v>
      </c>
      <c r="C743" s="4" t="s">
        <v>8</v>
      </c>
      <c r="D743" s="5" t="s">
        <v>71</v>
      </c>
      <c r="E743" s="6" t="s">
        <v>781</v>
      </c>
      <c r="F743" s="7">
        <v>44959.0</v>
      </c>
      <c r="H743" s="11"/>
      <c r="J743" s="18"/>
      <c r="L743" s="18"/>
      <c r="M743" s="23"/>
    </row>
    <row r="744">
      <c r="A744" s="10" t="s">
        <v>778</v>
      </c>
      <c r="B744" s="17" t="s">
        <v>779</v>
      </c>
      <c r="C744" s="4" t="s">
        <v>8</v>
      </c>
      <c r="D744" s="5" t="s">
        <v>11</v>
      </c>
      <c r="E744" s="6" t="s">
        <v>782</v>
      </c>
      <c r="F744" s="7">
        <v>44969.0</v>
      </c>
      <c r="H744" s="11"/>
      <c r="J744" s="18"/>
      <c r="L744" s="18"/>
      <c r="M744" s="23"/>
    </row>
    <row r="745">
      <c r="A745" s="10" t="s">
        <v>778</v>
      </c>
      <c r="B745" s="17" t="s">
        <v>779</v>
      </c>
      <c r="C745" s="4" t="s">
        <v>8</v>
      </c>
      <c r="D745" s="5" t="s">
        <v>6</v>
      </c>
      <c r="E745" s="6" t="s">
        <v>783</v>
      </c>
      <c r="F745" s="7">
        <v>44971.0</v>
      </c>
      <c r="H745" s="11"/>
      <c r="J745" s="18"/>
      <c r="L745" s="18"/>
      <c r="M745" s="23"/>
    </row>
    <row r="746">
      <c r="A746" s="10" t="s">
        <v>778</v>
      </c>
      <c r="B746" s="17" t="s">
        <v>779</v>
      </c>
      <c r="C746" s="4" t="s">
        <v>8</v>
      </c>
      <c r="D746" s="5" t="s">
        <v>51</v>
      </c>
      <c r="E746" s="6" t="s">
        <v>784</v>
      </c>
      <c r="F746" s="7">
        <v>44977.0</v>
      </c>
      <c r="H746" s="11"/>
      <c r="J746" s="18"/>
      <c r="L746" s="18"/>
      <c r="M746" s="23"/>
    </row>
    <row r="747">
      <c r="A747" s="10" t="s">
        <v>778</v>
      </c>
      <c r="B747" s="17" t="s">
        <v>779</v>
      </c>
      <c r="C747" s="4" t="s">
        <v>3</v>
      </c>
      <c r="D747" s="5" t="s">
        <v>71</v>
      </c>
      <c r="E747" s="6" t="s">
        <v>785</v>
      </c>
      <c r="F747" s="7">
        <v>45009.0</v>
      </c>
      <c r="H747" s="11"/>
      <c r="J747" s="18"/>
      <c r="L747" s="18"/>
      <c r="M747" s="23"/>
    </row>
    <row r="748">
      <c r="A748" s="10" t="s">
        <v>778</v>
      </c>
      <c r="B748" s="17" t="s">
        <v>779</v>
      </c>
      <c r="C748" s="4" t="s">
        <v>8</v>
      </c>
      <c r="D748" s="5" t="s">
        <v>15</v>
      </c>
      <c r="E748" s="6" t="s">
        <v>786</v>
      </c>
      <c r="F748" s="7">
        <v>45029.0</v>
      </c>
      <c r="H748" s="11"/>
      <c r="J748" s="18"/>
      <c r="L748" s="18"/>
      <c r="M748" s="23"/>
    </row>
    <row r="749">
      <c r="A749" s="10" t="s">
        <v>778</v>
      </c>
      <c r="B749" s="17" t="s">
        <v>779</v>
      </c>
      <c r="C749" s="4" t="s">
        <v>3</v>
      </c>
      <c r="D749" s="5" t="s">
        <v>23</v>
      </c>
      <c r="E749" s="6" t="s">
        <v>787</v>
      </c>
      <c r="F749" s="7">
        <v>45086.0</v>
      </c>
      <c r="H749" s="11"/>
      <c r="J749" s="18"/>
      <c r="L749" s="18"/>
      <c r="M749" s="23"/>
    </row>
    <row r="750">
      <c r="A750" s="10" t="s">
        <v>778</v>
      </c>
      <c r="B750" s="17" t="s">
        <v>779</v>
      </c>
      <c r="C750" s="4" t="s">
        <v>8</v>
      </c>
      <c r="D750" s="5" t="s">
        <v>13</v>
      </c>
      <c r="E750" s="6" t="s">
        <v>788</v>
      </c>
      <c r="F750" s="7">
        <v>45108.0</v>
      </c>
      <c r="H750" s="11"/>
      <c r="J750" s="18"/>
      <c r="L750" s="18"/>
      <c r="M750" s="23"/>
    </row>
    <row r="751">
      <c r="A751" s="10" t="s">
        <v>778</v>
      </c>
      <c r="B751" s="17" t="s">
        <v>779</v>
      </c>
      <c r="C751" s="4" t="s">
        <v>3</v>
      </c>
      <c r="D751" s="5" t="s">
        <v>17</v>
      </c>
      <c r="E751" s="6" t="s">
        <v>789</v>
      </c>
      <c r="F751" s="7">
        <v>45115.0</v>
      </c>
      <c r="H751" s="11"/>
      <c r="J751" s="18"/>
      <c r="L751" s="18"/>
      <c r="M751" s="23"/>
    </row>
    <row r="752">
      <c r="A752" s="10" t="s">
        <v>778</v>
      </c>
      <c r="B752" s="17" t="s">
        <v>779</v>
      </c>
      <c r="C752" s="4" t="s">
        <v>8</v>
      </c>
      <c r="D752" s="5" t="s">
        <v>51</v>
      </c>
      <c r="E752" s="6" t="s">
        <v>790</v>
      </c>
      <c r="F752" s="7">
        <v>45119.0</v>
      </c>
      <c r="H752" s="11"/>
      <c r="J752" s="18"/>
      <c r="L752" s="18"/>
      <c r="M752" s="23"/>
    </row>
    <row r="753">
      <c r="A753" s="10" t="s">
        <v>778</v>
      </c>
      <c r="B753" s="17" t="s">
        <v>779</v>
      </c>
      <c r="C753" s="4" t="s">
        <v>3</v>
      </c>
      <c r="D753" s="5" t="s">
        <v>23</v>
      </c>
      <c r="E753" s="6" t="s">
        <v>392</v>
      </c>
      <c r="F753" s="7">
        <v>45140.0</v>
      </c>
      <c r="H753" s="11"/>
      <c r="J753" s="18"/>
      <c r="L753" s="18"/>
      <c r="M753" s="23"/>
    </row>
    <row r="754">
      <c r="A754" s="10" t="s">
        <v>778</v>
      </c>
      <c r="B754" s="17" t="s">
        <v>779</v>
      </c>
      <c r="C754" s="4" t="s">
        <v>3</v>
      </c>
      <c r="D754" s="5" t="s">
        <v>15</v>
      </c>
      <c r="E754" s="6" t="s">
        <v>791</v>
      </c>
      <c r="F754" s="7">
        <v>45144.0</v>
      </c>
      <c r="H754" s="11"/>
      <c r="J754" s="18"/>
      <c r="L754" s="18"/>
      <c r="M754" s="23"/>
    </row>
    <row r="755">
      <c r="A755" s="10" t="s">
        <v>778</v>
      </c>
      <c r="B755" s="17" t="s">
        <v>779</v>
      </c>
      <c r="C755" s="4" t="s">
        <v>3</v>
      </c>
      <c r="D755" s="5" t="s">
        <v>76</v>
      </c>
      <c r="E755" s="6" t="s">
        <v>102</v>
      </c>
      <c r="F755" s="7">
        <v>45182.0</v>
      </c>
      <c r="H755" s="11"/>
      <c r="J755" s="18"/>
      <c r="L755" s="18"/>
      <c r="M755" s="23"/>
    </row>
    <row r="756">
      <c r="A756" s="10" t="s">
        <v>778</v>
      </c>
      <c r="B756" s="17" t="s">
        <v>779</v>
      </c>
      <c r="C756" s="4" t="s">
        <v>8</v>
      </c>
      <c r="D756" s="5" t="s">
        <v>13</v>
      </c>
      <c r="E756" s="6" t="s">
        <v>414</v>
      </c>
      <c r="F756" s="7">
        <v>45204.0</v>
      </c>
      <c r="H756" s="11"/>
      <c r="J756" s="18"/>
      <c r="L756" s="18"/>
      <c r="M756" s="23"/>
    </row>
    <row r="757">
      <c r="A757" s="10" t="s">
        <v>778</v>
      </c>
      <c r="B757" s="17" t="s">
        <v>779</v>
      </c>
      <c r="C757" s="4" t="s">
        <v>8</v>
      </c>
      <c r="D757" s="5" t="s">
        <v>96</v>
      </c>
      <c r="E757" s="6" t="s">
        <v>792</v>
      </c>
      <c r="F757" s="7">
        <v>45211.0</v>
      </c>
      <c r="H757" s="11"/>
      <c r="J757" s="18"/>
      <c r="L757" s="18"/>
      <c r="M757" s="23"/>
    </row>
    <row r="758">
      <c r="A758" s="10" t="s">
        <v>778</v>
      </c>
      <c r="B758" s="17" t="s">
        <v>779</v>
      </c>
      <c r="C758" s="4" t="s">
        <v>3</v>
      </c>
      <c r="D758" s="5" t="s">
        <v>11</v>
      </c>
      <c r="E758" s="6" t="s">
        <v>793</v>
      </c>
      <c r="F758" s="7">
        <v>45245.0</v>
      </c>
      <c r="H758" s="11"/>
      <c r="J758" s="18"/>
      <c r="L758" s="18"/>
      <c r="M758" s="23"/>
    </row>
    <row r="759">
      <c r="A759" s="10" t="s">
        <v>778</v>
      </c>
      <c r="B759" s="17" t="s">
        <v>779</v>
      </c>
      <c r="C759" s="4" t="s">
        <v>3</v>
      </c>
      <c r="D759" s="5" t="s">
        <v>76</v>
      </c>
      <c r="E759" s="6" t="s">
        <v>794</v>
      </c>
      <c r="F759" s="7">
        <v>45254.0</v>
      </c>
      <c r="H759" s="11"/>
      <c r="J759" s="18"/>
      <c r="L759" s="18"/>
      <c r="M759" s="23"/>
    </row>
    <row r="760">
      <c r="A760" s="10" t="s">
        <v>778</v>
      </c>
      <c r="B760" s="17" t="s">
        <v>779</v>
      </c>
      <c r="C760" s="4" t="s">
        <v>8</v>
      </c>
      <c r="D760" s="5" t="s">
        <v>28</v>
      </c>
      <c r="E760" s="6" t="s">
        <v>795</v>
      </c>
      <c r="F760" s="7">
        <v>45284.0</v>
      </c>
      <c r="H760" s="11"/>
      <c r="J760" s="18"/>
      <c r="L760" s="18"/>
      <c r="M760" s="23"/>
    </row>
    <row r="761">
      <c r="A761" s="10" t="s">
        <v>796</v>
      </c>
      <c r="B761" s="17" t="s">
        <v>797</v>
      </c>
      <c r="C761" s="4" t="s">
        <v>3</v>
      </c>
      <c r="D761" s="5" t="s">
        <v>6</v>
      </c>
      <c r="E761" s="6" t="s">
        <v>798</v>
      </c>
      <c r="F761" s="7">
        <v>44931.0</v>
      </c>
      <c r="H761" s="11"/>
      <c r="J761" s="18"/>
      <c r="L761" s="18"/>
      <c r="M761" s="23"/>
    </row>
    <row r="762">
      <c r="A762" s="10" t="s">
        <v>796</v>
      </c>
      <c r="B762" s="17" t="s">
        <v>797</v>
      </c>
      <c r="C762" s="4" t="s">
        <v>3</v>
      </c>
      <c r="D762" s="5" t="s">
        <v>35</v>
      </c>
      <c r="E762" s="6" t="s">
        <v>799</v>
      </c>
      <c r="F762" s="7">
        <v>44931.0</v>
      </c>
      <c r="H762" s="11"/>
      <c r="J762" s="18"/>
      <c r="L762" s="18"/>
      <c r="M762" s="23"/>
    </row>
    <row r="763">
      <c r="A763" s="10" t="s">
        <v>796</v>
      </c>
      <c r="B763" s="17" t="s">
        <v>797</v>
      </c>
      <c r="C763" s="4" t="s">
        <v>8</v>
      </c>
      <c r="D763" s="5" t="s">
        <v>19</v>
      </c>
      <c r="E763" s="6" t="s">
        <v>800</v>
      </c>
      <c r="F763" s="7">
        <v>44953.0</v>
      </c>
      <c r="H763" s="11"/>
      <c r="J763" s="18"/>
      <c r="L763" s="18"/>
      <c r="M763" s="23"/>
    </row>
    <row r="764">
      <c r="A764" s="10" t="s">
        <v>796</v>
      </c>
      <c r="B764" s="17" t="s">
        <v>797</v>
      </c>
      <c r="C764" s="4" t="s">
        <v>8</v>
      </c>
      <c r="D764" s="5" t="s">
        <v>51</v>
      </c>
      <c r="E764" s="6" t="s">
        <v>801</v>
      </c>
      <c r="F764" s="7">
        <v>44963.0</v>
      </c>
      <c r="H764" s="11"/>
      <c r="J764" s="18"/>
      <c r="L764" s="18"/>
      <c r="M764" s="23"/>
    </row>
    <row r="765">
      <c r="A765" s="10" t="s">
        <v>796</v>
      </c>
      <c r="B765" s="17" t="s">
        <v>797</v>
      </c>
      <c r="C765" s="4" t="s">
        <v>3</v>
      </c>
      <c r="D765" s="5" t="s">
        <v>28</v>
      </c>
      <c r="E765" s="6" t="s">
        <v>190</v>
      </c>
      <c r="F765" s="7">
        <v>44976.0</v>
      </c>
      <c r="H765" s="11"/>
      <c r="J765" s="18"/>
      <c r="L765" s="18"/>
      <c r="M765" s="23"/>
    </row>
    <row r="766">
      <c r="A766" s="10" t="s">
        <v>796</v>
      </c>
      <c r="B766" s="17" t="s">
        <v>797</v>
      </c>
      <c r="C766" s="4" t="s">
        <v>8</v>
      </c>
      <c r="D766" s="5" t="s">
        <v>23</v>
      </c>
      <c r="E766" s="6" t="s">
        <v>77</v>
      </c>
      <c r="F766" s="7">
        <v>44986.0</v>
      </c>
      <c r="H766" s="11"/>
      <c r="J766" s="18"/>
      <c r="L766" s="18"/>
      <c r="M766" s="23"/>
    </row>
    <row r="767">
      <c r="A767" s="10" t="s">
        <v>796</v>
      </c>
      <c r="B767" s="17" t="s">
        <v>797</v>
      </c>
      <c r="C767" s="4" t="s">
        <v>3</v>
      </c>
      <c r="D767" s="5" t="s">
        <v>19</v>
      </c>
      <c r="E767" s="6" t="s">
        <v>802</v>
      </c>
      <c r="F767" s="7">
        <v>44997.0</v>
      </c>
      <c r="H767" s="11"/>
      <c r="J767" s="18"/>
      <c r="L767" s="18"/>
      <c r="M767" s="23"/>
    </row>
    <row r="768">
      <c r="A768" s="10" t="s">
        <v>796</v>
      </c>
      <c r="B768" s="17" t="s">
        <v>797</v>
      </c>
      <c r="C768" s="4" t="s">
        <v>3</v>
      </c>
      <c r="D768" s="5" t="s">
        <v>21</v>
      </c>
      <c r="E768" s="6" t="s">
        <v>803</v>
      </c>
      <c r="F768" s="7">
        <v>45002.0</v>
      </c>
      <c r="H768" s="11"/>
      <c r="J768" s="18"/>
      <c r="L768" s="18"/>
      <c r="M768" s="23"/>
    </row>
    <row r="769">
      <c r="A769" s="10" t="s">
        <v>796</v>
      </c>
      <c r="B769" s="17" t="s">
        <v>797</v>
      </c>
      <c r="C769" s="4" t="s">
        <v>3</v>
      </c>
      <c r="D769" s="5" t="s">
        <v>45</v>
      </c>
      <c r="E769" s="6" t="s">
        <v>804</v>
      </c>
      <c r="F769" s="7">
        <v>45062.0</v>
      </c>
      <c r="H769" s="11"/>
      <c r="J769" s="18"/>
      <c r="L769" s="18"/>
      <c r="M769" s="23"/>
    </row>
    <row r="770">
      <c r="A770" s="10" t="s">
        <v>796</v>
      </c>
      <c r="B770" s="17" t="s">
        <v>797</v>
      </c>
      <c r="C770" s="4" t="s">
        <v>3</v>
      </c>
      <c r="D770" s="5" t="s">
        <v>76</v>
      </c>
      <c r="E770" s="6" t="s">
        <v>805</v>
      </c>
      <c r="F770" s="7">
        <v>45064.0</v>
      </c>
      <c r="H770" s="11"/>
      <c r="J770" s="18"/>
      <c r="L770" s="18"/>
      <c r="M770" s="23"/>
    </row>
    <row r="771">
      <c r="A771" s="10" t="s">
        <v>796</v>
      </c>
      <c r="B771" s="17" t="s">
        <v>797</v>
      </c>
      <c r="C771" s="4" t="s">
        <v>8</v>
      </c>
      <c r="D771" s="5" t="s">
        <v>96</v>
      </c>
      <c r="E771" s="6" t="s">
        <v>806</v>
      </c>
      <c r="F771" s="7">
        <v>45084.0</v>
      </c>
      <c r="H771" s="11"/>
      <c r="J771" s="18"/>
      <c r="L771" s="18"/>
      <c r="M771" s="23"/>
    </row>
    <row r="772">
      <c r="A772" s="10" t="s">
        <v>796</v>
      </c>
      <c r="B772" s="17" t="s">
        <v>797</v>
      </c>
      <c r="C772" s="4" t="s">
        <v>8</v>
      </c>
      <c r="D772" s="5" t="s">
        <v>76</v>
      </c>
      <c r="E772" s="6" t="s">
        <v>807</v>
      </c>
      <c r="F772" s="7">
        <v>45098.0</v>
      </c>
      <c r="H772" s="11"/>
      <c r="J772" s="18"/>
      <c r="L772" s="18"/>
      <c r="M772" s="23"/>
    </row>
    <row r="773">
      <c r="A773" s="10" t="s">
        <v>796</v>
      </c>
      <c r="B773" s="17" t="s">
        <v>797</v>
      </c>
      <c r="C773" s="4" t="s">
        <v>3</v>
      </c>
      <c r="D773" s="5" t="s">
        <v>42</v>
      </c>
      <c r="E773" s="6" t="s">
        <v>435</v>
      </c>
      <c r="F773" s="7">
        <v>45120.0</v>
      </c>
      <c r="H773" s="11"/>
      <c r="J773" s="18"/>
      <c r="L773" s="18"/>
      <c r="M773" s="23"/>
    </row>
    <row r="774">
      <c r="A774" s="10" t="s">
        <v>796</v>
      </c>
      <c r="B774" s="17" t="s">
        <v>797</v>
      </c>
      <c r="C774" s="4" t="s">
        <v>3</v>
      </c>
      <c r="D774" s="5" t="s">
        <v>28</v>
      </c>
      <c r="E774" s="6" t="s">
        <v>323</v>
      </c>
      <c r="F774" s="7">
        <v>45122.0</v>
      </c>
      <c r="H774" s="11"/>
      <c r="J774" s="18"/>
      <c r="L774" s="18"/>
      <c r="M774" s="23"/>
    </row>
    <row r="775">
      <c r="A775" s="10" t="s">
        <v>796</v>
      </c>
      <c r="B775" s="17" t="s">
        <v>797</v>
      </c>
      <c r="C775" s="4" t="s">
        <v>3</v>
      </c>
      <c r="D775" s="5" t="s">
        <v>71</v>
      </c>
      <c r="E775" s="6" t="s">
        <v>808</v>
      </c>
      <c r="F775" s="7">
        <v>45154.0</v>
      </c>
      <c r="H775" s="11"/>
      <c r="J775" s="18"/>
      <c r="L775" s="18"/>
      <c r="M775" s="23"/>
    </row>
    <row r="776">
      <c r="A776" s="10" t="s">
        <v>796</v>
      </c>
      <c r="B776" s="17" t="s">
        <v>797</v>
      </c>
      <c r="C776" s="4" t="s">
        <v>3</v>
      </c>
      <c r="D776" s="5" t="s">
        <v>96</v>
      </c>
      <c r="E776" s="6" t="s">
        <v>809</v>
      </c>
      <c r="F776" s="7">
        <v>45162.0</v>
      </c>
      <c r="H776" s="11"/>
      <c r="J776" s="18"/>
      <c r="L776" s="18"/>
      <c r="M776" s="23"/>
    </row>
    <row r="777">
      <c r="A777" s="10" t="s">
        <v>796</v>
      </c>
      <c r="B777" s="17" t="s">
        <v>797</v>
      </c>
      <c r="C777" s="4" t="s">
        <v>3</v>
      </c>
      <c r="D777" s="5" t="s">
        <v>51</v>
      </c>
      <c r="E777" s="6" t="s">
        <v>810</v>
      </c>
      <c r="F777" s="7">
        <v>45213.0</v>
      </c>
      <c r="H777" s="11"/>
      <c r="J777" s="18"/>
      <c r="L777" s="18"/>
      <c r="M777" s="23"/>
    </row>
    <row r="778">
      <c r="A778" s="10" t="s">
        <v>796</v>
      </c>
      <c r="B778" s="17" t="s">
        <v>797</v>
      </c>
      <c r="C778" s="4" t="s">
        <v>8</v>
      </c>
      <c r="D778" s="5" t="s">
        <v>51</v>
      </c>
      <c r="E778" s="6" t="s">
        <v>811</v>
      </c>
      <c r="F778" s="7">
        <v>45246.0</v>
      </c>
      <c r="H778" s="11"/>
      <c r="J778" s="18"/>
      <c r="L778" s="18"/>
      <c r="M778" s="23"/>
    </row>
    <row r="779">
      <c r="A779" s="10" t="s">
        <v>796</v>
      </c>
      <c r="B779" s="17" t="s">
        <v>797</v>
      </c>
      <c r="C779" s="4" t="s">
        <v>8</v>
      </c>
      <c r="D779" s="5" t="s">
        <v>71</v>
      </c>
      <c r="E779" s="6" t="s">
        <v>812</v>
      </c>
      <c r="F779" s="7">
        <v>45267.0</v>
      </c>
      <c r="H779" s="11"/>
      <c r="J779" s="18"/>
      <c r="L779" s="18"/>
      <c r="M779" s="23"/>
    </row>
    <row r="780">
      <c r="A780" s="10" t="s">
        <v>796</v>
      </c>
      <c r="B780" s="17" t="s">
        <v>797</v>
      </c>
      <c r="C780" s="4" t="s">
        <v>8</v>
      </c>
      <c r="D780" s="5" t="s">
        <v>11</v>
      </c>
      <c r="E780" s="6" t="s">
        <v>363</v>
      </c>
      <c r="F780" s="7">
        <v>45279.0</v>
      </c>
      <c r="H780" s="11"/>
      <c r="J780" s="18"/>
      <c r="L780" s="18"/>
      <c r="M780" s="23"/>
    </row>
    <row r="781">
      <c r="A781" s="10" t="s">
        <v>613</v>
      </c>
      <c r="B781" s="17" t="s">
        <v>813</v>
      </c>
      <c r="C781" s="4" t="s">
        <v>3</v>
      </c>
      <c r="D781" s="5" t="s">
        <v>19</v>
      </c>
      <c r="E781" s="6" t="s">
        <v>814</v>
      </c>
      <c r="F781" s="7">
        <v>44947.0</v>
      </c>
      <c r="H781" s="11"/>
      <c r="J781" s="18"/>
      <c r="L781" s="18"/>
      <c r="M781" s="23"/>
    </row>
    <row r="782">
      <c r="A782" s="10" t="s">
        <v>613</v>
      </c>
      <c r="B782" s="17" t="s">
        <v>813</v>
      </c>
      <c r="C782" s="4" t="s">
        <v>3</v>
      </c>
      <c r="D782" s="5" t="s">
        <v>71</v>
      </c>
      <c r="E782" s="6" t="s">
        <v>815</v>
      </c>
      <c r="F782" s="7">
        <v>44962.0</v>
      </c>
      <c r="H782" s="11"/>
      <c r="J782" s="18"/>
      <c r="L782" s="18"/>
      <c r="M782" s="23"/>
    </row>
    <row r="783">
      <c r="A783" s="10" t="s">
        <v>613</v>
      </c>
      <c r="B783" s="17" t="s">
        <v>813</v>
      </c>
      <c r="C783" s="4" t="s">
        <v>3</v>
      </c>
      <c r="D783" s="5" t="s">
        <v>76</v>
      </c>
      <c r="E783" s="6" t="s">
        <v>816</v>
      </c>
      <c r="F783" s="7">
        <v>44967.0</v>
      </c>
      <c r="H783" s="11"/>
      <c r="J783" s="18"/>
      <c r="L783" s="18"/>
      <c r="M783" s="23"/>
    </row>
    <row r="784">
      <c r="A784" s="10" t="s">
        <v>613</v>
      </c>
      <c r="B784" s="17" t="s">
        <v>813</v>
      </c>
      <c r="C784" s="4" t="s">
        <v>3</v>
      </c>
      <c r="D784" s="5" t="s">
        <v>35</v>
      </c>
      <c r="E784" s="6" t="s">
        <v>817</v>
      </c>
      <c r="F784" s="7">
        <v>44989.0</v>
      </c>
      <c r="H784" s="11"/>
      <c r="J784" s="18"/>
      <c r="L784" s="18"/>
      <c r="M784" s="23"/>
    </row>
    <row r="785">
      <c r="A785" s="10" t="s">
        <v>613</v>
      </c>
      <c r="B785" s="17" t="s">
        <v>813</v>
      </c>
      <c r="C785" s="4" t="s">
        <v>3</v>
      </c>
      <c r="D785" s="5" t="s">
        <v>11</v>
      </c>
      <c r="E785" s="6" t="s">
        <v>818</v>
      </c>
      <c r="F785" s="7">
        <v>45100.0</v>
      </c>
      <c r="H785" s="11"/>
      <c r="J785" s="18"/>
      <c r="L785" s="18"/>
      <c r="M785" s="23"/>
    </row>
    <row r="786">
      <c r="A786" s="10" t="s">
        <v>613</v>
      </c>
      <c r="B786" s="17" t="s">
        <v>813</v>
      </c>
      <c r="C786" s="4" t="s">
        <v>8</v>
      </c>
      <c r="D786" s="5" t="s">
        <v>76</v>
      </c>
      <c r="E786" s="6" t="s">
        <v>819</v>
      </c>
      <c r="F786" s="7">
        <v>45131.0</v>
      </c>
      <c r="H786" s="11"/>
      <c r="J786" s="18"/>
      <c r="L786" s="18"/>
      <c r="M786" s="23"/>
    </row>
    <row r="787">
      <c r="A787" s="10" t="s">
        <v>613</v>
      </c>
      <c r="B787" s="17" t="s">
        <v>813</v>
      </c>
      <c r="C787" s="4" t="s">
        <v>3</v>
      </c>
      <c r="D787" s="5" t="s">
        <v>13</v>
      </c>
      <c r="E787" s="6" t="s">
        <v>820</v>
      </c>
      <c r="F787" s="7">
        <v>45135.0</v>
      </c>
      <c r="H787" s="11"/>
      <c r="J787" s="18"/>
      <c r="L787" s="18"/>
      <c r="M787" s="23"/>
    </row>
    <row r="788">
      <c r="A788" s="10" t="s">
        <v>613</v>
      </c>
      <c r="B788" s="17" t="s">
        <v>813</v>
      </c>
      <c r="C788" s="4" t="s">
        <v>8</v>
      </c>
      <c r="D788" s="5" t="s">
        <v>42</v>
      </c>
      <c r="E788" s="6" t="s">
        <v>821</v>
      </c>
      <c r="F788" s="7">
        <v>45135.0</v>
      </c>
      <c r="H788" s="11"/>
      <c r="J788" s="18"/>
      <c r="L788" s="18"/>
      <c r="M788" s="23"/>
    </row>
    <row r="789">
      <c r="A789" s="10" t="s">
        <v>613</v>
      </c>
      <c r="B789" s="17" t="s">
        <v>813</v>
      </c>
      <c r="C789" s="4" t="s">
        <v>3</v>
      </c>
      <c r="D789" s="5" t="s">
        <v>96</v>
      </c>
      <c r="E789" s="6" t="s">
        <v>822</v>
      </c>
      <c r="F789" s="7">
        <v>45142.0</v>
      </c>
      <c r="H789" s="11"/>
      <c r="J789" s="18"/>
      <c r="L789" s="18"/>
      <c r="M789" s="23"/>
    </row>
    <row r="790">
      <c r="A790" s="10" t="s">
        <v>613</v>
      </c>
      <c r="B790" s="17" t="s">
        <v>813</v>
      </c>
      <c r="C790" s="4" t="s">
        <v>8</v>
      </c>
      <c r="D790" s="5" t="s">
        <v>71</v>
      </c>
      <c r="E790" s="6" t="s">
        <v>823</v>
      </c>
      <c r="F790" s="7">
        <v>45146.0</v>
      </c>
      <c r="H790" s="11"/>
      <c r="J790" s="18"/>
      <c r="L790" s="18"/>
      <c r="M790" s="23"/>
    </row>
    <row r="791">
      <c r="A791" s="10" t="s">
        <v>613</v>
      </c>
      <c r="B791" s="17" t="s">
        <v>813</v>
      </c>
      <c r="C791" s="4" t="s">
        <v>8</v>
      </c>
      <c r="D791" s="5" t="s">
        <v>51</v>
      </c>
      <c r="E791" s="6" t="s">
        <v>824</v>
      </c>
      <c r="F791" s="7">
        <v>45153.0</v>
      </c>
      <c r="H791" s="11"/>
      <c r="J791" s="18"/>
      <c r="L791" s="18"/>
      <c r="M791" s="23"/>
    </row>
    <row r="792">
      <c r="A792" s="10" t="s">
        <v>613</v>
      </c>
      <c r="B792" s="17" t="s">
        <v>813</v>
      </c>
      <c r="C792" s="4" t="s">
        <v>8</v>
      </c>
      <c r="D792" s="5" t="s">
        <v>13</v>
      </c>
      <c r="E792" s="6" t="s">
        <v>825</v>
      </c>
      <c r="F792" s="7">
        <v>45155.0</v>
      </c>
      <c r="H792" s="11"/>
      <c r="J792" s="18"/>
      <c r="L792" s="18"/>
      <c r="M792" s="23"/>
    </row>
    <row r="793">
      <c r="A793" s="10" t="s">
        <v>613</v>
      </c>
      <c r="B793" s="17" t="s">
        <v>813</v>
      </c>
      <c r="C793" s="4" t="s">
        <v>3</v>
      </c>
      <c r="D793" s="5" t="s">
        <v>9</v>
      </c>
      <c r="E793" s="6" t="s">
        <v>826</v>
      </c>
      <c r="F793" s="7">
        <v>45184.0</v>
      </c>
      <c r="H793" s="11"/>
      <c r="J793" s="18"/>
      <c r="L793" s="18"/>
      <c r="M793" s="23"/>
    </row>
    <row r="794">
      <c r="A794" s="10" t="s">
        <v>613</v>
      </c>
      <c r="B794" s="17" t="s">
        <v>813</v>
      </c>
      <c r="C794" s="4" t="s">
        <v>3</v>
      </c>
      <c r="D794" s="5" t="s">
        <v>21</v>
      </c>
      <c r="E794" s="6" t="s">
        <v>827</v>
      </c>
      <c r="F794" s="7">
        <v>45193.0</v>
      </c>
      <c r="H794" s="11"/>
      <c r="J794" s="18"/>
      <c r="L794" s="18"/>
      <c r="M794" s="23"/>
    </row>
    <row r="795">
      <c r="A795" s="10" t="s">
        <v>613</v>
      </c>
      <c r="B795" s="17" t="s">
        <v>813</v>
      </c>
      <c r="C795" s="4" t="s">
        <v>8</v>
      </c>
      <c r="D795" s="5" t="s">
        <v>35</v>
      </c>
      <c r="E795" s="6" t="s">
        <v>828</v>
      </c>
      <c r="F795" s="7">
        <v>45213.0</v>
      </c>
      <c r="H795" s="11"/>
      <c r="J795" s="18"/>
      <c r="L795" s="18"/>
      <c r="M795" s="23"/>
    </row>
    <row r="796">
      <c r="A796" s="10" t="s">
        <v>613</v>
      </c>
      <c r="B796" s="17" t="s">
        <v>813</v>
      </c>
      <c r="C796" s="4" t="s">
        <v>8</v>
      </c>
      <c r="D796" s="5" t="s">
        <v>21</v>
      </c>
      <c r="E796" s="6" t="s">
        <v>829</v>
      </c>
      <c r="F796" s="7">
        <v>45218.0</v>
      </c>
      <c r="H796" s="11"/>
      <c r="J796" s="18"/>
      <c r="L796" s="18"/>
      <c r="M796" s="23"/>
    </row>
    <row r="797">
      <c r="A797" s="10" t="s">
        <v>613</v>
      </c>
      <c r="B797" s="17" t="s">
        <v>813</v>
      </c>
      <c r="C797" s="4" t="s">
        <v>8</v>
      </c>
      <c r="D797" s="5" t="s">
        <v>96</v>
      </c>
      <c r="E797" s="6" t="s">
        <v>181</v>
      </c>
      <c r="F797" s="7">
        <v>45231.0</v>
      </c>
      <c r="H797" s="11"/>
      <c r="J797" s="18"/>
      <c r="L797" s="18"/>
      <c r="M797" s="23"/>
    </row>
    <row r="798">
      <c r="A798" s="10" t="s">
        <v>613</v>
      </c>
      <c r="B798" s="17" t="s">
        <v>813</v>
      </c>
      <c r="C798" s="4" t="s">
        <v>8</v>
      </c>
      <c r="D798" s="5" t="s">
        <v>15</v>
      </c>
      <c r="E798" s="6" t="s">
        <v>248</v>
      </c>
      <c r="F798" s="7">
        <v>45253.0</v>
      </c>
      <c r="H798" s="11"/>
      <c r="J798" s="18"/>
      <c r="L798" s="18"/>
      <c r="M798" s="23"/>
    </row>
    <row r="799">
      <c r="A799" s="10" t="s">
        <v>613</v>
      </c>
      <c r="B799" s="17" t="s">
        <v>813</v>
      </c>
      <c r="C799" s="4" t="s">
        <v>3</v>
      </c>
      <c r="D799" s="5" t="s">
        <v>51</v>
      </c>
      <c r="E799" s="6" t="s">
        <v>830</v>
      </c>
      <c r="F799" s="7">
        <v>45280.0</v>
      </c>
      <c r="H799" s="11"/>
      <c r="J799" s="18"/>
      <c r="L799" s="18"/>
      <c r="M799" s="23"/>
    </row>
    <row r="800">
      <c r="A800" s="10" t="s">
        <v>613</v>
      </c>
      <c r="B800" s="17" t="s">
        <v>813</v>
      </c>
      <c r="C800" s="4" t="s">
        <v>3</v>
      </c>
      <c r="D800" s="5" t="s">
        <v>21</v>
      </c>
      <c r="E800" s="6" t="s">
        <v>831</v>
      </c>
      <c r="F800" s="7">
        <v>45280.0</v>
      </c>
      <c r="H800" s="11"/>
      <c r="J800" s="18"/>
      <c r="L800" s="18"/>
      <c r="M800" s="23"/>
    </row>
    <row r="801">
      <c r="A801" s="10" t="s">
        <v>832</v>
      </c>
      <c r="B801" s="17" t="s">
        <v>833</v>
      </c>
      <c r="C801" s="4" t="s">
        <v>8</v>
      </c>
      <c r="D801" s="5" t="s">
        <v>51</v>
      </c>
      <c r="E801" s="6" t="s">
        <v>657</v>
      </c>
      <c r="F801" s="7">
        <v>44966.0</v>
      </c>
      <c r="H801" s="11"/>
      <c r="J801" s="18"/>
      <c r="L801" s="18"/>
      <c r="M801" s="23"/>
    </row>
    <row r="802">
      <c r="A802" s="10" t="s">
        <v>832</v>
      </c>
      <c r="B802" s="17" t="s">
        <v>833</v>
      </c>
      <c r="C802" s="4" t="s">
        <v>3</v>
      </c>
      <c r="D802" s="5" t="s">
        <v>96</v>
      </c>
      <c r="E802" s="6" t="s">
        <v>94</v>
      </c>
      <c r="F802" s="7">
        <v>44983.0</v>
      </c>
      <c r="H802" s="11"/>
      <c r="J802" s="18"/>
      <c r="L802" s="18"/>
      <c r="M802" s="23"/>
    </row>
    <row r="803">
      <c r="A803" s="10" t="s">
        <v>832</v>
      </c>
      <c r="B803" s="17" t="s">
        <v>833</v>
      </c>
      <c r="C803" s="4" t="s">
        <v>8</v>
      </c>
      <c r="D803" s="5" t="s">
        <v>71</v>
      </c>
      <c r="E803" s="6" t="s">
        <v>834</v>
      </c>
      <c r="F803" s="7">
        <v>44987.0</v>
      </c>
      <c r="H803" s="11"/>
      <c r="J803" s="18"/>
      <c r="L803" s="18"/>
      <c r="M803" s="23"/>
    </row>
    <row r="804">
      <c r="A804" s="10" t="s">
        <v>832</v>
      </c>
      <c r="B804" s="17" t="s">
        <v>833</v>
      </c>
      <c r="C804" s="4" t="s">
        <v>3</v>
      </c>
      <c r="D804" s="5" t="s">
        <v>13</v>
      </c>
      <c r="E804" s="6" t="s">
        <v>619</v>
      </c>
      <c r="F804" s="7">
        <v>44989.0</v>
      </c>
      <c r="H804" s="11"/>
      <c r="J804" s="18"/>
      <c r="L804" s="18"/>
      <c r="M804" s="23"/>
    </row>
    <row r="805">
      <c r="A805" s="10" t="s">
        <v>832</v>
      </c>
      <c r="B805" s="17" t="s">
        <v>833</v>
      </c>
      <c r="C805" s="4" t="s">
        <v>8</v>
      </c>
      <c r="D805" s="5" t="s">
        <v>76</v>
      </c>
      <c r="E805" s="6" t="s">
        <v>835</v>
      </c>
      <c r="F805" s="7">
        <v>45011.0</v>
      </c>
      <c r="H805" s="11"/>
      <c r="J805" s="18"/>
      <c r="L805" s="18"/>
      <c r="M805" s="23"/>
    </row>
    <row r="806">
      <c r="A806" s="10" t="s">
        <v>832</v>
      </c>
      <c r="B806" s="17" t="s">
        <v>833</v>
      </c>
      <c r="C806" s="4" t="s">
        <v>8</v>
      </c>
      <c r="D806" s="5" t="s">
        <v>4</v>
      </c>
      <c r="E806" s="6" t="s">
        <v>836</v>
      </c>
      <c r="F806" s="7">
        <v>45033.0</v>
      </c>
      <c r="H806" s="11"/>
      <c r="J806" s="18"/>
      <c r="L806" s="18"/>
      <c r="M806" s="23"/>
    </row>
    <row r="807">
      <c r="A807" s="10" t="s">
        <v>832</v>
      </c>
      <c r="B807" s="17" t="s">
        <v>833</v>
      </c>
      <c r="C807" s="4" t="s">
        <v>3</v>
      </c>
      <c r="D807" s="5" t="s">
        <v>19</v>
      </c>
      <c r="E807" s="6" t="s">
        <v>837</v>
      </c>
      <c r="F807" s="7">
        <v>45052.0</v>
      </c>
      <c r="H807" s="11"/>
      <c r="J807" s="18"/>
      <c r="L807" s="18"/>
      <c r="M807" s="23"/>
    </row>
    <row r="808">
      <c r="A808" s="10" t="s">
        <v>832</v>
      </c>
      <c r="B808" s="17" t="s">
        <v>833</v>
      </c>
      <c r="C808" s="4" t="s">
        <v>3</v>
      </c>
      <c r="D808" s="5" t="s">
        <v>4</v>
      </c>
      <c r="E808" s="6" t="s">
        <v>838</v>
      </c>
      <c r="F808" s="7">
        <v>45059.0</v>
      </c>
      <c r="H808" s="11"/>
      <c r="J808" s="18"/>
      <c r="L808" s="18"/>
      <c r="M808" s="23"/>
    </row>
    <row r="809">
      <c r="A809" s="10" t="s">
        <v>832</v>
      </c>
      <c r="B809" s="17" t="s">
        <v>833</v>
      </c>
      <c r="C809" s="4" t="s">
        <v>3</v>
      </c>
      <c r="D809" s="5" t="s">
        <v>35</v>
      </c>
      <c r="E809" s="6" t="s">
        <v>839</v>
      </c>
      <c r="F809" s="7">
        <v>45120.0</v>
      </c>
      <c r="H809" s="11"/>
      <c r="J809" s="18"/>
      <c r="L809" s="18"/>
      <c r="M809" s="23"/>
    </row>
    <row r="810">
      <c r="A810" s="10" t="s">
        <v>832</v>
      </c>
      <c r="B810" s="17" t="s">
        <v>833</v>
      </c>
      <c r="C810" s="4" t="s">
        <v>3</v>
      </c>
      <c r="D810" s="5" t="s">
        <v>51</v>
      </c>
      <c r="E810" s="6" t="s">
        <v>840</v>
      </c>
      <c r="F810" s="7">
        <v>45133.0</v>
      </c>
      <c r="H810" s="11"/>
      <c r="J810" s="18"/>
      <c r="L810" s="18"/>
      <c r="M810" s="23"/>
    </row>
    <row r="811">
      <c r="A811" s="10" t="s">
        <v>832</v>
      </c>
      <c r="B811" s="17" t="s">
        <v>833</v>
      </c>
      <c r="C811" s="4" t="s">
        <v>3</v>
      </c>
      <c r="D811" s="5" t="s">
        <v>76</v>
      </c>
      <c r="E811" s="6" t="s">
        <v>841</v>
      </c>
      <c r="F811" s="7">
        <v>45135.0</v>
      </c>
      <c r="H811" s="11"/>
      <c r="J811" s="18"/>
      <c r="L811" s="18"/>
      <c r="M811" s="23"/>
    </row>
    <row r="812">
      <c r="A812" s="10" t="s">
        <v>832</v>
      </c>
      <c r="B812" s="17" t="s">
        <v>833</v>
      </c>
      <c r="C812" s="4" t="s">
        <v>8</v>
      </c>
      <c r="D812" s="5" t="s">
        <v>42</v>
      </c>
      <c r="E812" s="6" t="s">
        <v>842</v>
      </c>
      <c r="F812" s="7">
        <v>45140.0</v>
      </c>
      <c r="H812" s="11"/>
      <c r="J812" s="18"/>
      <c r="L812" s="18"/>
      <c r="M812" s="23"/>
    </row>
    <row r="813">
      <c r="A813" s="10" t="s">
        <v>832</v>
      </c>
      <c r="B813" s="17" t="s">
        <v>833</v>
      </c>
      <c r="C813" s="4" t="s">
        <v>3</v>
      </c>
      <c r="D813" s="5" t="s">
        <v>23</v>
      </c>
      <c r="E813" s="6" t="s">
        <v>843</v>
      </c>
      <c r="F813" s="7">
        <v>45192.0</v>
      </c>
      <c r="H813" s="11"/>
      <c r="J813" s="18"/>
      <c r="L813" s="18"/>
      <c r="M813" s="23"/>
    </row>
    <row r="814">
      <c r="A814" s="10" t="s">
        <v>832</v>
      </c>
      <c r="B814" s="17" t="s">
        <v>833</v>
      </c>
      <c r="C814" s="4" t="s">
        <v>8</v>
      </c>
      <c r="D814" s="5" t="s">
        <v>23</v>
      </c>
      <c r="E814" s="6" t="s">
        <v>844</v>
      </c>
      <c r="F814" s="7">
        <v>45222.0</v>
      </c>
      <c r="H814" s="11"/>
      <c r="J814" s="18"/>
      <c r="L814" s="18"/>
      <c r="M814" s="23"/>
    </row>
    <row r="815">
      <c r="A815" s="10" t="s">
        <v>832</v>
      </c>
      <c r="B815" s="17" t="s">
        <v>833</v>
      </c>
      <c r="C815" s="4" t="s">
        <v>8</v>
      </c>
      <c r="D815" s="5" t="s">
        <v>71</v>
      </c>
      <c r="E815" s="6" t="s">
        <v>493</v>
      </c>
      <c r="F815" s="7">
        <v>45241.0</v>
      </c>
      <c r="H815" s="11"/>
      <c r="J815" s="18"/>
      <c r="L815" s="18"/>
      <c r="M815" s="23"/>
    </row>
    <row r="816">
      <c r="A816" s="10" t="s">
        <v>832</v>
      </c>
      <c r="B816" s="17" t="s">
        <v>833</v>
      </c>
      <c r="C816" s="4" t="s">
        <v>3</v>
      </c>
      <c r="D816" s="5" t="s">
        <v>4</v>
      </c>
      <c r="E816" s="6" t="s">
        <v>845</v>
      </c>
      <c r="F816" s="7">
        <v>45252.0</v>
      </c>
      <c r="H816" s="11"/>
      <c r="J816" s="18"/>
      <c r="L816" s="18"/>
      <c r="M816" s="23"/>
    </row>
    <row r="817">
      <c r="A817" s="10" t="s">
        <v>832</v>
      </c>
      <c r="B817" s="17" t="s">
        <v>833</v>
      </c>
      <c r="C817" s="4" t="s">
        <v>8</v>
      </c>
      <c r="D817" s="5" t="s">
        <v>21</v>
      </c>
      <c r="E817" s="6" t="s">
        <v>846</v>
      </c>
      <c r="F817" s="7">
        <v>45252.0</v>
      </c>
      <c r="H817" s="11"/>
      <c r="J817" s="18"/>
      <c r="L817" s="18"/>
      <c r="M817" s="23"/>
    </row>
    <row r="818">
      <c r="A818" s="10" t="s">
        <v>832</v>
      </c>
      <c r="B818" s="17" t="s">
        <v>833</v>
      </c>
      <c r="C818" s="4" t="s">
        <v>8</v>
      </c>
      <c r="D818" s="5" t="s">
        <v>35</v>
      </c>
      <c r="E818" s="6" t="s">
        <v>847</v>
      </c>
      <c r="F818" s="7">
        <v>45264.0</v>
      </c>
      <c r="H818" s="11"/>
      <c r="J818" s="18"/>
      <c r="L818" s="18"/>
      <c r="M818" s="23"/>
    </row>
    <row r="819">
      <c r="A819" s="10" t="s">
        <v>832</v>
      </c>
      <c r="B819" s="17" t="s">
        <v>833</v>
      </c>
      <c r="C819" s="4" t="s">
        <v>3</v>
      </c>
      <c r="D819" s="5" t="s">
        <v>21</v>
      </c>
      <c r="E819" s="6" t="s">
        <v>848</v>
      </c>
      <c r="F819" s="7">
        <v>45279.0</v>
      </c>
      <c r="H819" s="11"/>
      <c r="J819" s="18"/>
      <c r="L819" s="18"/>
      <c r="M819" s="23"/>
    </row>
    <row r="820">
      <c r="A820" s="10" t="s">
        <v>832</v>
      </c>
      <c r="B820" s="17" t="s">
        <v>833</v>
      </c>
      <c r="C820" s="4" t="s">
        <v>3</v>
      </c>
      <c r="D820" s="5" t="s">
        <v>71</v>
      </c>
      <c r="E820" s="6" t="s">
        <v>849</v>
      </c>
      <c r="F820" s="7">
        <v>45280.0</v>
      </c>
      <c r="H820" s="11"/>
      <c r="J820" s="18"/>
      <c r="L820" s="18"/>
      <c r="M820" s="23"/>
    </row>
    <row r="821">
      <c r="A821" s="10" t="s">
        <v>741</v>
      </c>
      <c r="B821" s="17" t="s">
        <v>850</v>
      </c>
      <c r="C821" s="4" t="s">
        <v>3</v>
      </c>
      <c r="D821" s="5" t="s">
        <v>28</v>
      </c>
      <c r="E821" s="6" t="s">
        <v>352</v>
      </c>
      <c r="F821" s="7">
        <v>44943.0</v>
      </c>
      <c r="H821" s="11"/>
      <c r="J821" s="18"/>
      <c r="L821" s="18"/>
      <c r="M821" s="23"/>
    </row>
    <row r="822">
      <c r="A822" s="10" t="s">
        <v>741</v>
      </c>
      <c r="B822" s="17" t="s">
        <v>850</v>
      </c>
      <c r="C822" s="4" t="s">
        <v>3</v>
      </c>
      <c r="D822" s="5" t="s">
        <v>71</v>
      </c>
      <c r="E822" s="6" t="s">
        <v>851</v>
      </c>
      <c r="F822" s="7">
        <v>44944.0</v>
      </c>
      <c r="H822" s="11"/>
      <c r="J822" s="18"/>
      <c r="L822" s="18"/>
      <c r="M822" s="23"/>
    </row>
    <row r="823">
      <c r="A823" s="10" t="s">
        <v>741</v>
      </c>
      <c r="B823" s="17" t="s">
        <v>850</v>
      </c>
      <c r="C823" s="4" t="s">
        <v>3</v>
      </c>
      <c r="D823" s="5" t="s">
        <v>11</v>
      </c>
      <c r="E823" s="6" t="s">
        <v>852</v>
      </c>
      <c r="F823" s="7">
        <v>44973.0</v>
      </c>
      <c r="H823" s="11"/>
      <c r="J823" s="18"/>
      <c r="L823" s="18"/>
      <c r="M823" s="23"/>
    </row>
    <row r="824">
      <c r="A824" s="10" t="s">
        <v>741</v>
      </c>
      <c r="B824" s="17" t="s">
        <v>850</v>
      </c>
      <c r="C824" s="4" t="s">
        <v>3</v>
      </c>
      <c r="D824" s="5" t="s">
        <v>51</v>
      </c>
      <c r="E824" s="6" t="s">
        <v>853</v>
      </c>
      <c r="F824" s="7">
        <v>44985.0</v>
      </c>
      <c r="H824" s="11"/>
      <c r="J824" s="18"/>
      <c r="L824" s="18"/>
      <c r="M824" s="23"/>
    </row>
    <row r="825">
      <c r="A825" s="10" t="s">
        <v>741</v>
      </c>
      <c r="B825" s="17" t="s">
        <v>850</v>
      </c>
      <c r="C825" s="4" t="s">
        <v>8</v>
      </c>
      <c r="D825" s="5" t="s">
        <v>17</v>
      </c>
      <c r="E825" s="6" t="s">
        <v>541</v>
      </c>
      <c r="F825" s="7">
        <v>44997.0</v>
      </c>
      <c r="H825" s="11"/>
      <c r="J825" s="18"/>
      <c r="L825" s="18"/>
      <c r="M825" s="23"/>
    </row>
    <row r="826">
      <c r="A826" s="10" t="s">
        <v>741</v>
      </c>
      <c r="B826" s="17" t="s">
        <v>850</v>
      </c>
      <c r="C826" s="4" t="s">
        <v>8</v>
      </c>
      <c r="D826" s="5" t="s">
        <v>39</v>
      </c>
      <c r="E826" s="6" t="s">
        <v>854</v>
      </c>
      <c r="F826" s="7">
        <v>45010.0</v>
      </c>
      <c r="H826" s="11"/>
      <c r="J826" s="18"/>
      <c r="L826" s="18"/>
      <c r="M826" s="23"/>
    </row>
    <row r="827">
      <c r="A827" s="10" t="s">
        <v>741</v>
      </c>
      <c r="B827" s="17" t="s">
        <v>850</v>
      </c>
      <c r="C827" s="4" t="s">
        <v>8</v>
      </c>
      <c r="D827" s="5" t="s">
        <v>51</v>
      </c>
      <c r="E827" s="6" t="s">
        <v>855</v>
      </c>
      <c r="F827" s="7">
        <v>45024.0</v>
      </c>
      <c r="H827" s="11"/>
      <c r="J827" s="18"/>
      <c r="L827" s="18"/>
      <c r="M827" s="23"/>
    </row>
    <row r="828">
      <c r="A828" s="10" t="s">
        <v>741</v>
      </c>
      <c r="B828" s="17" t="s">
        <v>850</v>
      </c>
      <c r="C828" s="4" t="s">
        <v>3</v>
      </c>
      <c r="D828" s="5" t="s">
        <v>120</v>
      </c>
      <c r="E828" s="6" t="s">
        <v>856</v>
      </c>
      <c r="F828" s="7">
        <v>45053.0</v>
      </c>
      <c r="H828" s="11"/>
      <c r="J828" s="18"/>
      <c r="L828" s="18"/>
      <c r="M828" s="23"/>
    </row>
    <row r="829">
      <c r="A829" s="10" t="s">
        <v>741</v>
      </c>
      <c r="B829" s="17" t="s">
        <v>850</v>
      </c>
      <c r="C829" s="4" t="s">
        <v>8</v>
      </c>
      <c r="D829" s="5" t="s">
        <v>96</v>
      </c>
      <c r="E829" s="6" t="s">
        <v>857</v>
      </c>
      <c r="F829" s="7">
        <v>45067.0</v>
      </c>
      <c r="H829" s="11"/>
      <c r="J829" s="18"/>
      <c r="L829" s="18"/>
      <c r="M829" s="23"/>
    </row>
    <row r="830">
      <c r="A830" s="10" t="s">
        <v>741</v>
      </c>
      <c r="B830" s="17" t="s">
        <v>850</v>
      </c>
      <c r="C830" s="4" t="s">
        <v>3</v>
      </c>
      <c r="D830" s="5" t="s">
        <v>45</v>
      </c>
      <c r="E830" s="6" t="s">
        <v>858</v>
      </c>
      <c r="F830" s="7">
        <v>45080.0</v>
      </c>
      <c r="H830" s="11"/>
      <c r="J830" s="18"/>
      <c r="L830" s="18"/>
      <c r="M830" s="23"/>
    </row>
    <row r="831">
      <c r="A831" s="10" t="s">
        <v>741</v>
      </c>
      <c r="B831" s="17" t="s">
        <v>850</v>
      </c>
      <c r="C831" s="4" t="s">
        <v>3</v>
      </c>
      <c r="D831" s="5" t="s">
        <v>42</v>
      </c>
      <c r="E831" s="6" t="s">
        <v>859</v>
      </c>
      <c r="F831" s="7">
        <v>45082.0</v>
      </c>
      <c r="H831" s="11"/>
      <c r="J831" s="18"/>
      <c r="L831" s="18"/>
      <c r="M831" s="23"/>
    </row>
    <row r="832">
      <c r="A832" s="10" t="s">
        <v>741</v>
      </c>
      <c r="B832" s="17" t="s">
        <v>850</v>
      </c>
      <c r="C832" s="4" t="s">
        <v>3</v>
      </c>
      <c r="D832" s="5" t="s">
        <v>9</v>
      </c>
      <c r="E832" s="6" t="s">
        <v>860</v>
      </c>
      <c r="F832" s="7">
        <v>45094.0</v>
      </c>
      <c r="H832" s="11"/>
      <c r="J832" s="18"/>
      <c r="L832" s="18"/>
      <c r="M832" s="23"/>
    </row>
    <row r="833">
      <c r="A833" s="10" t="s">
        <v>741</v>
      </c>
      <c r="B833" s="17" t="s">
        <v>850</v>
      </c>
      <c r="C833" s="4" t="s">
        <v>8</v>
      </c>
      <c r="D833" s="5" t="s">
        <v>42</v>
      </c>
      <c r="E833" s="6" t="s">
        <v>455</v>
      </c>
      <c r="F833" s="7">
        <v>45097.0</v>
      </c>
      <c r="H833" s="11"/>
      <c r="J833" s="18"/>
      <c r="L833" s="18"/>
      <c r="M833" s="23"/>
    </row>
    <row r="834">
      <c r="A834" s="10" t="s">
        <v>741</v>
      </c>
      <c r="B834" s="17" t="s">
        <v>850</v>
      </c>
      <c r="C834" s="4" t="s">
        <v>3</v>
      </c>
      <c r="D834" s="5" t="s">
        <v>6</v>
      </c>
      <c r="E834" s="6" t="s">
        <v>861</v>
      </c>
      <c r="F834" s="7">
        <v>45097.0</v>
      </c>
      <c r="H834" s="11"/>
      <c r="J834" s="18"/>
      <c r="L834" s="18"/>
      <c r="M834" s="23"/>
    </row>
    <row r="835">
      <c r="A835" s="10" t="s">
        <v>741</v>
      </c>
      <c r="B835" s="17" t="s">
        <v>850</v>
      </c>
      <c r="C835" s="4" t="s">
        <v>3</v>
      </c>
      <c r="D835" s="5" t="s">
        <v>35</v>
      </c>
      <c r="E835" s="6" t="s">
        <v>862</v>
      </c>
      <c r="F835" s="7">
        <v>45123.0</v>
      </c>
      <c r="H835" s="11"/>
      <c r="J835" s="18"/>
      <c r="L835" s="18"/>
      <c r="M835" s="23"/>
    </row>
    <row r="836">
      <c r="A836" s="10" t="s">
        <v>741</v>
      </c>
      <c r="B836" s="17" t="s">
        <v>850</v>
      </c>
      <c r="C836" s="4" t="s">
        <v>8</v>
      </c>
      <c r="D836" s="5" t="s">
        <v>28</v>
      </c>
      <c r="E836" s="6" t="s">
        <v>560</v>
      </c>
      <c r="F836" s="7">
        <v>45183.0</v>
      </c>
      <c r="H836" s="11"/>
      <c r="J836" s="18"/>
      <c r="L836" s="18"/>
      <c r="M836" s="23"/>
    </row>
    <row r="837">
      <c r="A837" s="10" t="s">
        <v>741</v>
      </c>
      <c r="B837" s="17" t="s">
        <v>850</v>
      </c>
      <c r="C837" s="4" t="s">
        <v>3</v>
      </c>
      <c r="D837" s="5" t="s">
        <v>23</v>
      </c>
      <c r="E837" s="6" t="s">
        <v>863</v>
      </c>
      <c r="F837" s="7">
        <v>45191.0</v>
      </c>
      <c r="H837" s="11"/>
      <c r="J837" s="18"/>
      <c r="L837" s="18"/>
      <c r="M837" s="23"/>
    </row>
    <row r="838">
      <c r="A838" s="10" t="s">
        <v>741</v>
      </c>
      <c r="B838" s="17" t="s">
        <v>850</v>
      </c>
      <c r="C838" s="4" t="s">
        <v>8</v>
      </c>
      <c r="D838" s="5" t="s">
        <v>39</v>
      </c>
      <c r="E838" s="6" t="s">
        <v>864</v>
      </c>
      <c r="F838" s="7">
        <v>45202.0</v>
      </c>
      <c r="H838" s="11"/>
      <c r="J838" s="18"/>
      <c r="L838" s="18"/>
      <c r="M838" s="23"/>
    </row>
    <row r="839">
      <c r="A839" s="10" t="s">
        <v>741</v>
      </c>
      <c r="B839" s="17" t="s">
        <v>850</v>
      </c>
      <c r="C839" s="4" t="s">
        <v>3</v>
      </c>
      <c r="D839" s="5" t="s">
        <v>11</v>
      </c>
      <c r="E839" s="6" t="s">
        <v>865</v>
      </c>
      <c r="F839" s="7">
        <v>45219.0</v>
      </c>
      <c r="H839" s="11"/>
      <c r="J839" s="18"/>
      <c r="L839" s="18"/>
      <c r="M839" s="23"/>
    </row>
    <row r="840">
      <c r="A840" s="10" t="s">
        <v>741</v>
      </c>
      <c r="B840" s="17" t="s">
        <v>850</v>
      </c>
      <c r="C840" s="4" t="s">
        <v>8</v>
      </c>
      <c r="D840" s="5" t="s">
        <v>120</v>
      </c>
      <c r="E840" s="6" t="s">
        <v>866</v>
      </c>
      <c r="F840" s="7">
        <v>45249.0</v>
      </c>
      <c r="H840" s="11"/>
      <c r="J840" s="18"/>
      <c r="L840" s="18"/>
      <c r="M840" s="23"/>
    </row>
    <row r="841">
      <c r="A841" s="10" t="s">
        <v>867</v>
      </c>
      <c r="B841" s="17" t="s">
        <v>868</v>
      </c>
      <c r="C841" s="4" t="s">
        <v>8</v>
      </c>
      <c r="D841" s="5" t="s">
        <v>45</v>
      </c>
      <c r="E841" s="6" t="s">
        <v>869</v>
      </c>
      <c r="F841" s="7">
        <v>44931.0</v>
      </c>
      <c r="H841" s="11"/>
      <c r="J841" s="18"/>
      <c r="L841" s="18"/>
      <c r="M841" s="23"/>
    </row>
    <row r="842">
      <c r="A842" s="10" t="s">
        <v>867</v>
      </c>
      <c r="B842" s="17" t="s">
        <v>868</v>
      </c>
      <c r="C842" s="4" t="s">
        <v>3</v>
      </c>
      <c r="D842" s="5" t="s">
        <v>4</v>
      </c>
      <c r="E842" s="6" t="s">
        <v>870</v>
      </c>
      <c r="F842" s="7">
        <v>44936.0</v>
      </c>
      <c r="H842" s="11"/>
      <c r="J842" s="18"/>
      <c r="L842" s="18"/>
      <c r="M842" s="23"/>
    </row>
    <row r="843">
      <c r="A843" s="10" t="s">
        <v>867</v>
      </c>
      <c r="B843" s="17" t="s">
        <v>868</v>
      </c>
      <c r="C843" s="4" t="s">
        <v>8</v>
      </c>
      <c r="D843" s="5" t="s">
        <v>51</v>
      </c>
      <c r="E843" s="6" t="s">
        <v>871</v>
      </c>
      <c r="F843" s="7">
        <v>44950.0</v>
      </c>
      <c r="H843" s="11"/>
      <c r="J843" s="18"/>
      <c r="L843" s="18"/>
      <c r="M843" s="23"/>
    </row>
    <row r="844">
      <c r="A844" s="10" t="s">
        <v>867</v>
      </c>
      <c r="B844" s="17" t="s">
        <v>868</v>
      </c>
      <c r="C844" s="4" t="s">
        <v>3</v>
      </c>
      <c r="D844" s="5" t="s">
        <v>17</v>
      </c>
      <c r="E844" s="6" t="s">
        <v>872</v>
      </c>
      <c r="F844" s="7">
        <v>44951.0</v>
      </c>
      <c r="H844" s="11"/>
      <c r="J844" s="18"/>
      <c r="L844" s="18"/>
      <c r="M844" s="23"/>
    </row>
    <row r="845">
      <c r="A845" s="10" t="s">
        <v>867</v>
      </c>
      <c r="B845" s="17" t="s">
        <v>868</v>
      </c>
      <c r="C845" s="4" t="s">
        <v>8</v>
      </c>
      <c r="D845" s="5" t="s">
        <v>23</v>
      </c>
      <c r="E845" s="6" t="s">
        <v>873</v>
      </c>
      <c r="F845" s="7">
        <v>44963.0</v>
      </c>
      <c r="H845" s="11"/>
      <c r="J845" s="18"/>
      <c r="L845" s="18"/>
      <c r="M845" s="23"/>
    </row>
    <row r="846">
      <c r="A846" s="10" t="s">
        <v>867</v>
      </c>
      <c r="B846" s="17" t="s">
        <v>868</v>
      </c>
      <c r="C846" s="4" t="s">
        <v>3</v>
      </c>
      <c r="D846" s="5" t="s">
        <v>21</v>
      </c>
      <c r="E846" s="6" t="s">
        <v>874</v>
      </c>
      <c r="F846" s="7">
        <v>44970.0</v>
      </c>
      <c r="H846" s="11"/>
      <c r="J846" s="18"/>
      <c r="L846" s="18"/>
      <c r="M846" s="23"/>
    </row>
    <row r="847">
      <c r="A847" s="10" t="s">
        <v>867</v>
      </c>
      <c r="B847" s="17" t="s">
        <v>868</v>
      </c>
      <c r="C847" s="4" t="s">
        <v>8</v>
      </c>
      <c r="D847" s="5" t="s">
        <v>35</v>
      </c>
      <c r="E847" s="6" t="s">
        <v>875</v>
      </c>
      <c r="F847" s="7">
        <v>44995.0</v>
      </c>
      <c r="H847" s="11"/>
      <c r="J847" s="18"/>
      <c r="L847" s="18"/>
      <c r="M847" s="23"/>
    </row>
    <row r="848">
      <c r="A848" s="10" t="s">
        <v>867</v>
      </c>
      <c r="B848" s="17" t="s">
        <v>868</v>
      </c>
      <c r="C848" s="4" t="s">
        <v>8</v>
      </c>
      <c r="D848" s="5" t="s">
        <v>71</v>
      </c>
      <c r="E848" s="6" t="s">
        <v>876</v>
      </c>
      <c r="F848" s="7">
        <v>45011.0</v>
      </c>
      <c r="H848" s="11"/>
      <c r="J848" s="18"/>
      <c r="L848" s="18"/>
      <c r="M848" s="23"/>
    </row>
    <row r="849">
      <c r="A849" s="10" t="s">
        <v>867</v>
      </c>
      <c r="B849" s="17" t="s">
        <v>868</v>
      </c>
      <c r="C849" s="4" t="s">
        <v>3</v>
      </c>
      <c r="D849" s="5" t="s">
        <v>35</v>
      </c>
      <c r="E849" s="6" t="s">
        <v>877</v>
      </c>
      <c r="F849" s="7">
        <v>45038.0</v>
      </c>
      <c r="H849" s="11"/>
      <c r="J849" s="18"/>
      <c r="L849" s="18"/>
      <c r="M849" s="23"/>
    </row>
    <row r="850">
      <c r="A850" s="10" t="s">
        <v>867</v>
      </c>
      <c r="B850" s="17" t="s">
        <v>868</v>
      </c>
      <c r="C850" s="4" t="s">
        <v>3</v>
      </c>
      <c r="D850" s="5" t="s">
        <v>11</v>
      </c>
      <c r="E850" s="6" t="s">
        <v>878</v>
      </c>
      <c r="F850" s="7">
        <v>45049.0</v>
      </c>
      <c r="H850" s="11"/>
      <c r="J850" s="18"/>
      <c r="L850" s="18"/>
      <c r="M850" s="23"/>
    </row>
    <row r="851">
      <c r="A851" s="10" t="s">
        <v>867</v>
      </c>
      <c r="B851" s="17" t="s">
        <v>868</v>
      </c>
      <c r="C851" s="4" t="s">
        <v>8</v>
      </c>
      <c r="D851" s="5" t="s">
        <v>6</v>
      </c>
      <c r="E851" s="6" t="s">
        <v>879</v>
      </c>
      <c r="F851" s="7">
        <v>45081.0</v>
      </c>
      <c r="H851" s="11"/>
      <c r="J851" s="18"/>
      <c r="L851" s="18"/>
      <c r="M851" s="23"/>
    </row>
    <row r="852">
      <c r="A852" s="10" t="s">
        <v>867</v>
      </c>
      <c r="B852" s="17" t="s">
        <v>868</v>
      </c>
      <c r="C852" s="4" t="s">
        <v>3</v>
      </c>
      <c r="D852" s="5" t="s">
        <v>35</v>
      </c>
      <c r="E852" s="6" t="s">
        <v>880</v>
      </c>
      <c r="F852" s="7">
        <v>45114.0</v>
      </c>
      <c r="H852" s="11"/>
      <c r="J852" s="18"/>
      <c r="L852" s="18"/>
      <c r="M852" s="23"/>
    </row>
    <row r="853">
      <c r="A853" s="10" t="s">
        <v>867</v>
      </c>
      <c r="B853" s="17" t="s">
        <v>868</v>
      </c>
      <c r="C853" s="4" t="s">
        <v>3</v>
      </c>
      <c r="D853" s="5" t="s">
        <v>28</v>
      </c>
      <c r="E853" s="6" t="s">
        <v>881</v>
      </c>
      <c r="F853" s="7">
        <v>45123.0</v>
      </c>
      <c r="H853" s="11"/>
      <c r="J853" s="18"/>
      <c r="L853" s="18"/>
      <c r="M853" s="23"/>
    </row>
    <row r="854">
      <c r="A854" s="10" t="s">
        <v>867</v>
      </c>
      <c r="B854" s="17" t="s">
        <v>868</v>
      </c>
      <c r="C854" s="4" t="s">
        <v>8</v>
      </c>
      <c r="D854" s="5" t="s">
        <v>42</v>
      </c>
      <c r="E854" s="6" t="s">
        <v>428</v>
      </c>
      <c r="F854" s="7">
        <v>45182.0</v>
      </c>
      <c r="H854" s="11"/>
      <c r="J854" s="18"/>
      <c r="L854" s="18"/>
      <c r="M854" s="23"/>
    </row>
    <row r="855">
      <c r="A855" s="10" t="s">
        <v>867</v>
      </c>
      <c r="B855" s="17" t="s">
        <v>868</v>
      </c>
      <c r="C855" s="4" t="s">
        <v>8</v>
      </c>
      <c r="D855" s="5" t="s">
        <v>51</v>
      </c>
      <c r="E855" s="6" t="s">
        <v>882</v>
      </c>
      <c r="F855" s="7">
        <v>45188.0</v>
      </c>
      <c r="H855" s="11"/>
      <c r="J855" s="18"/>
      <c r="L855" s="18"/>
      <c r="M855" s="23"/>
    </row>
    <row r="856">
      <c r="A856" s="10" t="s">
        <v>867</v>
      </c>
      <c r="B856" s="17" t="s">
        <v>868</v>
      </c>
      <c r="C856" s="4" t="s">
        <v>3</v>
      </c>
      <c r="D856" s="5" t="s">
        <v>76</v>
      </c>
      <c r="E856" s="6" t="s">
        <v>883</v>
      </c>
      <c r="F856" s="7">
        <v>45224.0</v>
      </c>
      <c r="H856" s="11"/>
      <c r="J856" s="18"/>
      <c r="L856" s="18"/>
      <c r="M856" s="23"/>
    </row>
    <row r="857">
      <c r="A857" s="10" t="s">
        <v>867</v>
      </c>
      <c r="B857" s="17" t="s">
        <v>868</v>
      </c>
      <c r="C857" s="4" t="s">
        <v>8</v>
      </c>
      <c r="D857" s="5" t="s">
        <v>51</v>
      </c>
      <c r="E857" s="6" t="s">
        <v>205</v>
      </c>
      <c r="F857" s="7">
        <v>45272.0</v>
      </c>
      <c r="H857" s="11"/>
      <c r="J857" s="18"/>
      <c r="L857" s="18"/>
      <c r="M857" s="23"/>
    </row>
    <row r="858">
      <c r="A858" s="10" t="s">
        <v>867</v>
      </c>
      <c r="B858" s="17" t="s">
        <v>868</v>
      </c>
      <c r="C858" s="4" t="s">
        <v>3</v>
      </c>
      <c r="D858" s="5" t="s">
        <v>21</v>
      </c>
      <c r="E858" s="6" t="s">
        <v>884</v>
      </c>
      <c r="F858" s="7">
        <v>45281.0</v>
      </c>
      <c r="H858" s="11"/>
      <c r="J858" s="18"/>
      <c r="L858" s="18"/>
      <c r="M858" s="23"/>
    </row>
    <row r="859">
      <c r="A859" s="10" t="s">
        <v>867</v>
      </c>
      <c r="B859" s="17" t="s">
        <v>868</v>
      </c>
      <c r="C859" s="4" t="s">
        <v>8</v>
      </c>
      <c r="D859" s="5" t="s">
        <v>71</v>
      </c>
      <c r="E859" s="6" t="s">
        <v>885</v>
      </c>
      <c r="F859" s="7">
        <v>45286.0</v>
      </c>
      <c r="H859" s="11"/>
      <c r="J859" s="18"/>
      <c r="L859" s="18"/>
      <c r="M859" s="23"/>
    </row>
    <row r="860">
      <c r="A860" s="10" t="s">
        <v>867</v>
      </c>
      <c r="B860" s="17" t="s">
        <v>868</v>
      </c>
      <c r="C860" s="4" t="s">
        <v>8</v>
      </c>
      <c r="D860" s="5" t="s">
        <v>39</v>
      </c>
      <c r="E860" s="6" t="s">
        <v>886</v>
      </c>
      <c r="F860" s="7">
        <v>45287.0</v>
      </c>
      <c r="H860" s="11"/>
      <c r="J860" s="18"/>
      <c r="L860" s="18"/>
      <c r="M860" s="23"/>
    </row>
    <row r="861">
      <c r="A861" s="10" t="s">
        <v>887</v>
      </c>
      <c r="B861" s="17" t="s">
        <v>888</v>
      </c>
      <c r="C861" s="4" t="s">
        <v>8</v>
      </c>
      <c r="D861" s="5" t="s">
        <v>76</v>
      </c>
      <c r="E861" s="6" t="s">
        <v>889</v>
      </c>
      <c r="F861" s="7">
        <v>44963.0</v>
      </c>
      <c r="H861" s="11"/>
      <c r="J861" s="18"/>
      <c r="L861" s="18"/>
      <c r="M861" s="23"/>
    </row>
    <row r="862">
      <c r="A862" s="10" t="s">
        <v>887</v>
      </c>
      <c r="B862" s="17" t="s">
        <v>888</v>
      </c>
      <c r="C862" s="4" t="s">
        <v>8</v>
      </c>
      <c r="D862" s="5" t="s">
        <v>71</v>
      </c>
      <c r="E862" s="6" t="s">
        <v>890</v>
      </c>
      <c r="F862" s="7">
        <v>44977.0</v>
      </c>
      <c r="H862" s="11"/>
      <c r="J862" s="18"/>
      <c r="L862" s="18"/>
      <c r="M862" s="23"/>
    </row>
    <row r="863">
      <c r="A863" s="10" t="s">
        <v>887</v>
      </c>
      <c r="B863" s="17" t="s">
        <v>888</v>
      </c>
      <c r="C863" s="4" t="s">
        <v>3</v>
      </c>
      <c r="D863" s="5" t="s">
        <v>35</v>
      </c>
      <c r="E863" s="6" t="s">
        <v>891</v>
      </c>
      <c r="F863" s="7">
        <v>44986.0</v>
      </c>
      <c r="H863" s="11"/>
      <c r="J863" s="18"/>
      <c r="L863" s="18"/>
      <c r="M863" s="23"/>
    </row>
    <row r="864">
      <c r="A864" s="10" t="s">
        <v>887</v>
      </c>
      <c r="B864" s="17" t="s">
        <v>888</v>
      </c>
      <c r="C864" s="4" t="s">
        <v>3</v>
      </c>
      <c r="D864" s="5" t="s">
        <v>96</v>
      </c>
      <c r="E864" s="6" t="s">
        <v>892</v>
      </c>
      <c r="F864" s="7">
        <v>45007.0</v>
      </c>
      <c r="H864" s="11"/>
      <c r="J864" s="18"/>
      <c r="L864" s="18"/>
      <c r="M864" s="23"/>
    </row>
    <row r="865">
      <c r="A865" s="10" t="s">
        <v>887</v>
      </c>
      <c r="B865" s="17" t="s">
        <v>888</v>
      </c>
      <c r="C865" s="4" t="s">
        <v>3</v>
      </c>
      <c r="D865" s="5" t="s">
        <v>35</v>
      </c>
      <c r="E865" s="6" t="s">
        <v>893</v>
      </c>
      <c r="F865" s="7">
        <v>45029.0</v>
      </c>
      <c r="H865" s="11"/>
      <c r="J865" s="18"/>
      <c r="L865" s="18"/>
      <c r="M865" s="23"/>
    </row>
    <row r="866">
      <c r="A866" s="10" t="s">
        <v>887</v>
      </c>
      <c r="B866" s="17" t="s">
        <v>888</v>
      </c>
      <c r="C866" s="4" t="s">
        <v>8</v>
      </c>
      <c r="D866" s="5" t="s">
        <v>51</v>
      </c>
      <c r="E866" s="6" t="s">
        <v>894</v>
      </c>
      <c r="F866" s="7">
        <v>45039.0</v>
      </c>
      <c r="H866" s="11"/>
      <c r="J866" s="18"/>
      <c r="L866" s="18"/>
      <c r="M866" s="23"/>
    </row>
    <row r="867">
      <c r="A867" s="10" t="s">
        <v>887</v>
      </c>
      <c r="B867" s="17" t="s">
        <v>888</v>
      </c>
      <c r="C867" s="4" t="s">
        <v>3</v>
      </c>
      <c r="D867" s="5" t="s">
        <v>6</v>
      </c>
      <c r="E867" s="6" t="s">
        <v>895</v>
      </c>
      <c r="F867" s="7">
        <v>45047.0</v>
      </c>
      <c r="H867" s="11"/>
      <c r="J867" s="18"/>
      <c r="L867" s="18"/>
      <c r="M867" s="23"/>
    </row>
    <row r="868">
      <c r="A868" s="10" t="s">
        <v>887</v>
      </c>
      <c r="B868" s="17" t="s">
        <v>888</v>
      </c>
      <c r="C868" s="4" t="s">
        <v>8</v>
      </c>
      <c r="D868" s="5" t="s">
        <v>35</v>
      </c>
      <c r="E868" s="6" t="s">
        <v>896</v>
      </c>
      <c r="F868" s="7">
        <v>45057.0</v>
      </c>
      <c r="H868" s="11"/>
      <c r="J868" s="18"/>
      <c r="L868" s="18"/>
      <c r="M868" s="23"/>
    </row>
    <row r="869">
      <c r="A869" s="10" t="s">
        <v>887</v>
      </c>
      <c r="B869" s="17" t="s">
        <v>888</v>
      </c>
      <c r="C869" s="4" t="s">
        <v>3</v>
      </c>
      <c r="D869" s="5" t="s">
        <v>9</v>
      </c>
      <c r="E869" s="6" t="s">
        <v>609</v>
      </c>
      <c r="F869" s="7">
        <v>45060.0</v>
      </c>
      <c r="H869" s="11"/>
      <c r="J869" s="18"/>
      <c r="L869" s="18"/>
      <c r="M869" s="23"/>
    </row>
    <row r="870">
      <c r="A870" s="10" t="s">
        <v>887</v>
      </c>
      <c r="B870" s="17" t="s">
        <v>888</v>
      </c>
      <c r="C870" s="4" t="s">
        <v>3</v>
      </c>
      <c r="D870" s="5" t="s">
        <v>17</v>
      </c>
      <c r="E870" s="6" t="s">
        <v>897</v>
      </c>
      <c r="F870" s="7">
        <v>45062.0</v>
      </c>
      <c r="H870" s="11"/>
      <c r="J870" s="18"/>
      <c r="L870" s="18"/>
      <c r="M870" s="23"/>
    </row>
    <row r="871">
      <c r="A871" s="10" t="s">
        <v>887</v>
      </c>
      <c r="B871" s="17" t="s">
        <v>888</v>
      </c>
      <c r="C871" s="4" t="s">
        <v>3</v>
      </c>
      <c r="D871" s="5" t="s">
        <v>51</v>
      </c>
      <c r="E871" s="6" t="s">
        <v>898</v>
      </c>
      <c r="F871" s="7">
        <v>45104.0</v>
      </c>
      <c r="H871" s="11"/>
      <c r="J871" s="18"/>
      <c r="L871" s="18"/>
      <c r="M871" s="23"/>
    </row>
    <row r="872">
      <c r="A872" s="10" t="s">
        <v>887</v>
      </c>
      <c r="B872" s="17" t="s">
        <v>888</v>
      </c>
      <c r="C872" s="4" t="s">
        <v>3</v>
      </c>
      <c r="D872" s="5" t="s">
        <v>45</v>
      </c>
      <c r="E872" s="6" t="s">
        <v>899</v>
      </c>
      <c r="F872" s="7">
        <v>45130.0</v>
      </c>
      <c r="H872" s="11"/>
      <c r="J872" s="18"/>
      <c r="L872" s="18"/>
      <c r="M872" s="23"/>
    </row>
    <row r="873">
      <c r="A873" s="10" t="s">
        <v>887</v>
      </c>
      <c r="B873" s="17" t="s">
        <v>888</v>
      </c>
      <c r="C873" s="4" t="s">
        <v>8</v>
      </c>
      <c r="D873" s="5" t="s">
        <v>13</v>
      </c>
      <c r="E873" s="6" t="s">
        <v>900</v>
      </c>
      <c r="F873" s="7">
        <v>45165.0</v>
      </c>
      <c r="H873" s="11"/>
      <c r="J873" s="18"/>
      <c r="L873" s="18"/>
      <c r="M873" s="23"/>
    </row>
    <row r="874">
      <c r="A874" s="10" t="s">
        <v>887</v>
      </c>
      <c r="B874" s="17" t="s">
        <v>888</v>
      </c>
      <c r="C874" s="4" t="s">
        <v>8</v>
      </c>
      <c r="D874" s="5" t="s">
        <v>35</v>
      </c>
      <c r="E874" s="6" t="s">
        <v>901</v>
      </c>
      <c r="F874" s="7">
        <v>45174.0</v>
      </c>
      <c r="H874" s="11"/>
      <c r="J874" s="18"/>
      <c r="L874" s="18"/>
      <c r="M874" s="23"/>
    </row>
    <row r="875">
      <c r="A875" s="10" t="s">
        <v>887</v>
      </c>
      <c r="B875" s="17" t="s">
        <v>888</v>
      </c>
      <c r="C875" s="4" t="s">
        <v>8</v>
      </c>
      <c r="D875" s="5" t="s">
        <v>17</v>
      </c>
      <c r="E875" s="6" t="s">
        <v>902</v>
      </c>
      <c r="F875" s="7">
        <v>45176.0</v>
      </c>
      <c r="H875" s="11"/>
      <c r="J875" s="18"/>
      <c r="L875" s="18"/>
      <c r="M875" s="23"/>
    </row>
    <row r="876">
      <c r="A876" s="10" t="s">
        <v>887</v>
      </c>
      <c r="B876" s="17" t="s">
        <v>888</v>
      </c>
      <c r="C876" s="4" t="s">
        <v>3</v>
      </c>
      <c r="D876" s="5" t="s">
        <v>21</v>
      </c>
      <c r="E876" s="6" t="s">
        <v>903</v>
      </c>
      <c r="F876" s="7">
        <v>45185.0</v>
      </c>
      <c r="H876" s="11"/>
      <c r="J876" s="18"/>
      <c r="L876" s="18"/>
      <c r="M876" s="23"/>
    </row>
    <row r="877">
      <c r="A877" s="10" t="s">
        <v>887</v>
      </c>
      <c r="B877" s="17" t="s">
        <v>888</v>
      </c>
      <c r="C877" s="4" t="s">
        <v>3</v>
      </c>
      <c r="D877" s="5" t="s">
        <v>51</v>
      </c>
      <c r="E877" s="6" t="s">
        <v>904</v>
      </c>
      <c r="F877" s="7">
        <v>45232.0</v>
      </c>
      <c r="H877" s="11"/>
      <c r="J877" s="18"/>
      <c r="L877" s="18"/>
      <c r="M877" s="23"/>
    </row>
    <row r="878">
      <c r="A878" s="10" t="s">
        <v>887</v>
      </c>
      <c r="B878" s="17" t="s">
        <v>888</v>
      </c>
      <c r="C878" s="4" t="s">
        <v>3</v>
      </c>
      <c r="D878" s="5" t="s">
        <v>19</v>
      </c>
      <c r="E878" s="6" t="s">
        <v>905</v>
      </c>
      <c r="F878" s="7">
        <v>45251.0</v>
      </c>
      <c r="H878" s="11"/>
      <c r="J878" s="18"/>
      <c r="L878" s="18"/>
      <c r="M878" s="23"/>
    </row>
    <row r="879">
      <c r="A879" s="10" t="s">
        <v>887</v>
      </c>
      <c r="B879" s="17" t="s">
        <v>888</v>
      </c>
      <c r="C879" s="4" t="s">
        <v>8</v>
      </c>
      <c r="D879" s="5" t="s">
        <v>17</v>
      </c>
      <c r="E879" s="6" t="s">
        <v>906</v>
      </c>
      <c r="F879" s="7">
        <v>45254.0</v>
      </c>
      <c r="H879" s="11"/>
      <c r="J879" s="18"/>
      <c r="L879" s="18"/>
      <c r="M879" s="23"/>
    </row>
    <row r="880">
      <c r="A880" s="10" t="s">
        <v>887</v>
      </c>
      <c r="B880" s="17" t="s">
        <v>888</v>
      </c>
      <c r="C880" s="4" t="s">
        <v>8</v>
      </c>
      <c r="D880" s="5" t="s">
        <v>76</v>
      </c>
      <c r="E880" s="6" t="s">
        <v>907</v>
      </c>
      <c r="F880" s="7">
        <v>45285.0</v>
      </c>
      <c r="H880" s="11"/>
      <c r="J880" s="18"/>
      <c r="L880" s="18"/>
      <c r="M880" s="23"/>
    </row>
    <row r="881">
      <c r="A881" s="10" t="s">
        <v>908</v>
      </c>
      <c r="B881" s="17" t="s">
        <v>909</v>
      </c>
      <c r="C881" s="4" t="s">
        <v>3</v>
      </c>
      <c r="D881" s="5" t="s">
        <v>19</v>
      </c>
      <c r="E881" s="6" t="s">
        <v>369</v>
      </c>
      <c r="F881" s="7">
        <v>44968.0</v>
      </c>
      <c r="H881" s="11"/>
      <c r="J881" s="18"/>
      <c r="L881" s="18"/>
      <c r="M881" s="23"/>
    </row>
    <row r="882">
      <c r="A882" s="10" t="s">
        <v>908</v>
      </c>
      <c r="B882" s="17" t="s">
        <v>909</v>
      </c>
      <c r="C882" s="4" t="s">
        <v>3</v>
      </c>
      <c r="D882" s="5" t="s">
        <v>76</v>
      </c>
      <c r="E882" s="6" t="s">
        <v>910</v>
      </c>
      <c r="F882" s="7">
        <v>44976.0</v>
      </c>
      <c r="H882" s="11"/>
      <c r="J882" s="18"/>
      <c r="L882" s="18"/>
      <c r="M882" s="23"/>
    </row>
    <row r="883">
      <c r="A883" s="10" t="s">
        <v>908</v>
      </c>
      <c r="B883" s="17" t="s">
        <v>909</v>
      </c>
      <c r="C883" s="4" t="s">
        <v>8</v>
      </c>
      <c r="D883" s="5" t="s">
        <v>13</v>
      </c>
      <c r="E883" s="6" t="s">
        <v>911</v>
      </c>
      <c r="F883" s="7">
        <v>44980.0</v>
      </c>
      <c r="H883" s="11"/>
      <c r="J883" s="18"/>
      <c r="L883" s="18"/>
      <c r="M883" s="23"/>
    </row>
    <row r="884">
      <c r="A884" s="10" t="s">
        <v>908</v>
      </c>
      <c r="B884" s="17" t="s">
        <v>909</v>
      </c>
      <c r="C884" s="4" t="s">
        <v>3</v>
      </c>
      <c r="D884" s="5" t="s">
        <v>11</v>
      </c>
      <c r="E884" s="6" t="s">
        <v>912</v>
      </c>
      <c r="F884" s="7">
        <v>45005.0</v>
      </c>
      <c r="H884" s="11"/>
      <c r="J884" s="18"/>
      <c r="L884" s="18"/>
      <c r="M884" s="23"/>
    </row>
    <row r="885">
      <c r="A885" s="10" t="s">
        <v>908</v>
      </c>
      <c r="B885" s="17" t="s">
        <v>909</v>
      </c>
      <c r="C885" s="4" t="s">
        <v>3</v>
      </c>
      <c r="D885" s="5" t="s">
        <v>120</v>
      </c>
      <c r="E885" s="6" t="s">
        <v>913</v>
      </c>
      <c r="F885" s="7">
        <v>45034.0</v>
      </c>
      <c r="H885" s="11"/>
      <c r="J885" s="18"/>
      <c r="L885" s="18"/>
      <c r="M885" s="23"/>
    </row>
    <row r="886">
      <c r="A886" s="10" t="s">
        <v>908</v>
      </c>
      <c r="B886" s="17" t="s">
        <v>909</v>
      </c>
      <c r="C886" s="4" t="s">
        <v>8</v>
      </c>
      <c r="D886" s="5" t="s">
        <v>39</v>
      </c>
      <c r="E886" s="6" t="s">
        <v>914</v>
      </c>
      <c r="F886" s="7">
        <v>45041.0</v>
      </c>
      <c r="H886" s="11"/>
      <c r="J886" s="18"/>
      <c r="L886" s="18"/>
      <c r="M886" s="23"/>
    </row>
    <row r="887">
      <c r="A887" s="10" t="s">
        <v>908</v>
      </c>
      <c r="B887" s="17" t="s">
        <v>909</v>
      </c>
      <c r="C887" s="4" t="s">
        <v>8</v>
      </c>
      <c r="D887" s="5" t="s">
        <v>15</v>
      </c>
      <c r="E887" s="6" t="s">
        <v>915</v>
      </c>
      <c r="F887" s="7">
        <v>45044.0</v>
      </c>
      <c r="H887" s="11"/>
      <c r="J887" s="18"/>
      <c r="L887" s="18"/>
      <c r="M887" s="23"/>
    </row>
    <row r="888">
      <c r="A888" s="10" t="s">
        <v>908</v>
      </c>
      <c r="B888" s="17" t="s">
        <v>909</v>
      </c>
      <c r="C888" s="4" t="s">
        <v>8</v>
      </c>
      <c r="D888" s="5" t="s">
        <v>19</v>
      </c>
      <c r="E888" s="6" t="s">
        <v>916</v>
      </c>
      <c r="F888" s="7">
        <v>45044.0</v>
      </c>
      <c r="H888" s="11"/>
      <c r="J888" s="18"/>
      <c r="L888" s="18"/>
      <c r="M888" s="23"/>
    </row>
    <row r="889">
      <c r="A889" s="10" t="s">
        <v>908</v>
      </c>
      <c r="B889" s="17" t="s">
        <v>909</v>
      </c>
      <c r="C889" s="4" t="s">
        <v>3</v>
      </c>
      <c r="D889" s="5" t="s">
        <v>19</v>
      </c>
      <c r="E889" s="6" t="s">
        <v>917</v>
      </c>
      <c r="F889" s="7">
        <v>45051.0</v>
      </c>
      <c r="H889" s="11"/>
      <c r="J889" s="18"/>
      <c r="L889" s="18"/>
      <c r="M889" s="23"/>
    </row>
    <row r="890">
      <c r="A890" s="10" t="s">
        <v>908</v>
      </c>
      <c r="B890" s="17" t="s">
        <v>909</v>
      </c>
      <c r="C890" s="4" t="s">
        <v>8</v>
      </c>
      <c r="D890" s="5" t="s">
        <v>23</v>
      </c>
      <c r="E890" s="6" t="s">
        <v>918</v>
      </c>
      <c r="F890" s="7">
        <v>45055.0</v>
      </c>
      <c r="H890" s="11"/>
      <c r="J890" s="18"/>
      <c r="L890" s="18"/>
      <c r="M890" s="23"/>
    </row>
    <row r="891">
      <c r="A891" s="10" t="s">
        <v>908</v>
      </c>
      <c r="B891" s="17" t="s">
        <v>909</v>
      </c>
      <c r="C891" s="4" t="s">
        <v>3</v>
      </c>
      <c r="D891" s="5" t="s">
        <v>19</v>
      </c>
      <c r="E891" s="6" t="s">
        <v>732</v>
      </c>
      <c r="F891" s="7">
        <v>45060.0</v>
      </c>
      <c r="H891" s="11"/>
      <c r="J891" s="18"/>
      <c r="L891" s="18"/>
      <c r="M891" s="23"/>
    </row>
    <row r="892">
      <c r="A892" s="10" t="s">
        <v>908</v>
      </c>
      <c r="B892" s="17" t="s">
        <v>909</v>
      </c>
      <c r="C892" s="4" t="s">
        <v>8</v>
      </c>
      <c r="D892" s="5" t="s">
        <v>15</v>
      </c>
      <c r="E892" s="6" t="s">
        <v>919</v>
      </c>
      <c r="F892" s="7">
        <v>45080.0</v>
      </c>
      <c r="H892" s="11"/>
      <c r="J892" s="18"/>
      <c r="L892" s="18"/>
      <c r="M892" s="23"/>
    </row>
    <row r="893">
      <c r="A893" s="10" t="s">
        <v>908</v>
      </c>
      <c r="B893" s="17" t="s">
        <v>909</v>
      </c>
      <c r="C893" s="4" t="s">
        <v>3</v>
      </c>
      <c r="D893" s="5" t="s">
        <v>28</v>
      </c>
      <c r="E893" s="6" t="s">
        <v>920</v>
      </c>
      <c r="F893" s="7">
        <v>45098.0</v>
      </c>
      <c r="H893" s="11"/>
      <c r="J893" s="18"/>
      <c r="L893" s="18"/>
      <c r="M893" s="23"/>
    </row>
    <row r="894">
      <c r="A894" s="10" t="s">
        <v>908</v>
      </c>
      <c r="B894" s="17" t="s">
        <v>909</v>
      </c>
      <c r="C894" s="4" t="s">
        <v>8</v>
      </c>
      <c r="D894" s="5" t="s">
        <v>4</v>
      </c>
      <c r="E894" s="6" t="s">
        <v>921</v>
      </c>
      <c r="F894" s="7">
        <v>45111.0</v>
      </c>
      <c r="H894" s="11"/>
      <c r="J894" s="18"/>
      <c r="L894" s="18"/>
      <c r="M894" s="23"/>
    </row>
    <row r="895">
      <c r="A895" s="10" t="s">
        <v>908</v>
      </c>
      <c r="B895" s="17" t="s">
        <v>909</v>
      </c>
      <c r="C895" s="4" t="s">
        <v>3</v>
      </c>
      <c r="D895" s="5" t="s">
        <v>4</v>
      </c>
      <c r="E895" s="6" t="s">
        <v>922</v>
      </c>
      <c r="F895" s="7">
        <v>45124.0</v>
      </c>
      <c r="H895" s="11"/>
      <c r="J895" s="18"/>
      <c r="L895" s="18"/>
      <c r="M895" s="23"/>
    </row>
    <row r="896">
      <c r="A896" s="10" t="s">
        <v>908</v>
      </c>
      <c r="B896" s="17" t="s">
        <v>909</v>
      </c>
      <c r="C896" s="4" t="s">
        <v>3</v>
      </c>
      <c r="D896" s="5" t="s">
        <v>71</v>
      </c>
      <c r="E896" s="6" t="s">
        <v>923</v>
      </c>
      <c r="F896" s="7">
        <v>45164.0</v>
      </c>
      <c r="H896" s="11"/>
      <c r="J896" s="18"/>
      <c r="L896" s="18"/>
      <c r="M896" s="23"/>
    </row>
    <row r="897">
      <c r="A897" s="10" t="s">
        <v>908</v>
      </c>
      <c r="B897" s="17" t="s">
        <v>909</v>
      </c>
      <c r="C897" s="4" t="s">
        <v>8</v>
      </c>
      <c r="D897" s="5" t="s">
        <v>71</v>
      </c>
      <c r="E897" s="6" t="s">
        <v>924</v>
      </c>
      <c r="F897" s="7">
        <v>45173.0</v>
      </c>
      <c r="H897" s="11"/>
      <c r="J897" s="18"/>
      <c r="L897" s="18"/>
      <c r="M897" s="23"/>
    </row>
    <row r="898">
      <c r="A898" s="10" t="s">
        <v>908</v>
      </c>
      <c r="B898" s="17" t="s">
        <v>909</v>
      </c>
      <c r="C898" s="4" t="s">
        <v>3</v>
      </c>
      <c r="D898" s="5" t="s">
        <v>6</v>
      </c>
      <c r="E898" s="6" t="s">
        <v>925</v>
      </c>
      <c r="F898" s="7">
        <v>45180.0</v>
      </c>
      <c r="H898" s="11"/>
      <c r="J898" s="18"/>
      <c r="L898" s="18"/>
      <c r="M898" s="23"/>
    </row>
    <row r="899">
      <c r="A899" s="10" t="s">
        <v>908</v>
      </c>
      <c r="B899" s="17" t="s">
        <v>909</v>
      </c>
      <c r="C899" s="4" t="s">
        <v>3</v>
      </c>
      <c r="D899" s="5" t="s">
        <v>71</v>
      </c>
      <c r="E899" s="6" t="s">
        <v>926</v>
      </c>
      <c r="F899" s="7">
        <v>45220.0</v>
      </c>
      <c r="H899" s="11"/>
      <c r="J899" s="18"/>
      <c r="L899" s="18"/>
      <c r="M899" s="23"/>
    </row>
    <row r="900">
      <c r="A900" s="10" t="s">
        <v>908</v>
      </c>
      <c r="B900" s="17" t="s">
        <v>909</v>
      </c>
      <c r="C900" s="4" t="s">
        <v>8</v>
      </c>
      <c r="D900" s="5" t="s">
        <v>9</v>
      </c>
      <c r="E900" s="6" t="s">
        <v>881</v>
      </c>
      <c r="F900" s="7">
        <v>45272.0</v>
      </c>
      <c r="H900" s="11"/>
      <c r="J900" s="18"/>
      <c r="L900" s="18"/>
      <c r="M900" s="23"/>
    </row>
    <row r="901">
      <c r="A901" s="10" t="s">
        <v>927</v>
      </c>
      <c r="B901" s="17" t="s">
        <v>928</v>
      </c>
      <c r="C901" s="4" t="s">
        <v>8</v>
      </c>
      <c r="D901" s="5" t="s">
        <v>51</v>
      </c>
      <c r="E901" s="6" t="s">
        <v>929</v>
      </c>
      <c r="F901" s="7">
        <v>44939.0</v>
      </c>
      <c r="H901" s="11"/>
      <c r="J901" s="18"/>
      <c r="L901" s="18"/>
      <c r="M901" s="23"/>
    </row>
    <row r="902">
      <c r="A902" s="10" t="s">
        <v>927</v>
      </c>
      <c r="B902" s="17" t="s">
        <v>928</v>
      </c>
      <c r="C902" s="4" t="s">
        <v>8</v>
      </c>
      <c r="D902" s="5" t="s">
        <v>19</v>
      </c>
      <c r="E902" s="6" t="s">
        <v>930</v>
      </c>
      <c r="F902" s="7">
        <v>44940.0</v>
      </c>
      <c r="H902" s="11"/>
      <c r="J902" s="18"/>
      <c r="L902" s="18"/>
      <c r="M902" s="23"/>
    </row>
    <row r="903">
      <c r="A903" s="10" t="s">
        <v>927</v>
      </c>
      <c r="B903" s="17" t="s">
        <v>928</v>
      </c>
      <c r="C903" s="4" t="s">
        <v>3</v>
      </c>
      <c r="D903" s="5" t="s">
        <v>35</v>
      </c>
      <c r="E903" s="6" t="s">
        <v>931</v>
      </c>
      <c r="F903" s="7">
        <v>44967.0</v>
      </c>
      <c r="H903" s="11"/>
      <c r="J903" s="18"/>
      <c r="L903" s="18"/>
      <c r="M903" s="23"/>
    </row>
    <row r="904">
      <c r="A904" s="10" t="s">
        <v>927</v>
      </c>
      <c r="B904" s="17" t="s">
        <v>928</v>
      </c>
      <c r="C904" s="4" t="s">
        <v>8</v>
      </c>
      <c r="D904" s="5" t="s">
        <v>28</v>
      </c>
      <c r="E904" s="6" t="s">
        <v>932</v>
      </c>
      <c r="F904" s="7">
        <v>44967.0</v>
      </c>
      <c r="H904" s="11"/>
      <c r="J904" s="18"/>
      <c r="L904" s="18"/>
      <c r="M904" s="23"/>
    </row>
    <row r="905">
      <c r="A905" s="10" t="s">
        <v>927</v>
      </c>
      <c r="B905" s="17" t="s">
        <v>928</v>
      </c>
      <c r="C905" s="4" t="s">
        <v>3</v>
      </c>
      <c r="D905" s="5" t="s">
        <v>28</v>
      </c>
      <c r="E905" s="6" t="s">
        <v>933</v>
      </c>
      <c r="F905" s="7">
        <v>44976.0</v>
      </c>
      <c r="H905" s="11"/>
      <c r="J905" s="18"/>
      <c r="L905" s="18"/>
      <c r="M905" s="23"/>
    </row>
    <row r="906">
      <c r="A906" s="10" t="s">
        <v>927</v>
      </c>
      <c r="B906" s="17" t="s">
        <v>928</v>
      </c>
      <c r="C906" s="4" t="s">
        <v>3</v>
      </c>
      <c r="D906" s="5" t="s">
        <v>71</v>
      </c>
      <c r="E906" s="6" t="s">
        <v>934</v>
      </c>
      <c r="F906" s="7">
        <v>44999.0</v>
      </c>
      <c r="H906" s="11"/>
      <c r="J906" s="18"/>
      <c r="L906" s="18"/>
      <c r="M906" s="23"/>
    </row>
    <row r="907">
      <c r="A907" s="10" t="s">
        <v>927</v>
      </c>
      <c r="B907" s="17" t="s">
        <v>928</v>
      </c>
      <c r="C907" s="4" t="s">
        <v>8</v>
      </c>
      <c r="D907" s="5" t="s">
        <v>19</v>
      </c>
      <c r="E907" s="6" t="s">
        <v>935</v>
      </c>
      <c r="F907" s="7">
        <v>45023.0</v>
      </c>
      <c r="H907" s="11"/>
      <c r="J907" s="18"/>
      <c r="L907" s="18"/>
      <c r="M907" s="23"/>
    </row>
    <row r="908">
      <c r="A908" s="10" t="s">
        <v>927</v>
      </c>
      <c r="B908" s="17" t="s">
        <v>928</v>
      </c>
      <c r="C908" s="4" t="s">
        <v>3</v>
      </c>
      <c r="D908" s="5" t="s">
        <v>76</v>
      </c>
      <c r="E908" s="6" t="s">
        <v>936</v>
      </c>
      <c r="F908" s="7">
        <v>45049.0</v>
      </c>
      <c r="H908" s="11"/>
      <c r="J908" s="18"/>
      <c r="L908" s="18"/>
      <c r="M908" s="23"/>
    </row>
    <row r="909">
      <c r="A909" s="10" t="s">
        <v>927</v>
      </c>
      <c r="B909" s="17" t="s">
        <v>928</v>
      </c>
      <c r="C909" s="4" t="s">
        <v>3</v>
      </c>
      <c r="D909" s="5" t="s">
        <v>13</v>
      </c>
      <c r="E909" s="6" t="s">
        <v>30</v>
      </c>
      <c r="F909" s="7">
        <v>45049.0</v>
      </c>
      <c r="H909" s="11"/>
      <c r="J909" s="18"/>
      <c r="L909" s="18"/>
      <c r="M909" s="23"/>
    </row>
    <row r="910">
      <c r="A910" s="10" t="s">
        <v>927</v>
      </c>
      <c r="B910" s="17" t="s">
        <v>928</v>
      </c>
      <c r="C910" s="4" t="s">
        <v>8</v>
      </c>
      <c r="D910" s="5" t="s">
        <v>21</v>
      </c>
      <c r="E910" s="6" t="s">
        <v>937</v>
      </c>
      <c r="F910" s="7">
        <v>45069.0</v>
      </c>
      <c r="H910" s="11"/>
      <c r="J910" s="18"/>
      <c r="L910" s="18"/>
      <c r="M910" s="23"/>
    </row>
    <row r="911">
      <c r="A911" s="10" t="s">
        <v>927</v>
      </c>
      <c r="B911" s="17" t="s">
        <v>928</v>
      </c>
      <c r="C911" s="4" t="s">
        <v>8</v>
      </c>
      <c r="D911" s="5" t="s">
        <v>96</v>
      </c>
      <c r="E911" s="6" t="s">
        <v>904</v>
      </c>
      <c r="F911" s="7">
        <v>45071.0</v>
      </c>
      <c r="H911" s="11"/>
      <c r="J911" s="18"/>
      <c r="L911" s="18"/>
      <c r="M911" s="23"/>
    </row>
    <row r="912">
      <c r="A912" s="10" t="s">
        <v>927</v>
      </c>
      <c r="B912" s="17" t="s">
        <v>928</v>
      </c>
      <c r="C912" s="4" t="s">
        <v>8</v>
      </c>
      <c r="D912" s="5" t="s">
        <v>21</v>
      </c>
      <c r="E912" s="6" t="s">
        <v>938</v>
      </c>
      <c r="F912" s="7">
        <v>45097.0</v>
      </c>
      <c r="H912" s="11"/>
      <c r="J912" s="18"/>
      <c r="L912" s="18"/>
      <c r="M912" s="23"/>
    </row>
    <row r="913">
      <c r="A913" s="10" t="s">
        <v>927</v>
      </c>
      <c r="B913" s="17" t="s">
        <v>928</v>
      </c>
      <c r="C913" s="4" t="s">
        <v>8</v>
      </c>
      <c r="D913" s="5" t="s">
        <v>35</v>
      </c>
      <c r="E913" s="6" t="s">
        <v>939</v>
      </c>
      <c r="F913" s="7">
        <v>45115.0</v>
      </c>
      <c r="H913" s="11"/>
      <c r="J913" s="18"/>
      <c r="L913" s="18"/>
      <c r="M913" s="23"/>
    </row>
    <row r="914">
      <c r="A914" s="10" t="s">
        <v>927</v>
      </c>
      <c r="B914" s="17" t="s">
        <v>928</v>
      </c>
      <c r="C914" s="4" t="s">
        <v>3</v>
      </c>
      <c r="D914" s="5" t="s">
        <v>120</v>
      </c>
      <c r="E914" s="6" t="s">
        <v>940</v>
      </c>
      <c r="F914" s="7">
        <v>45127.0</v>
      </c>
      <c r="H914" s="11"/>
      <c r="J914" s="18"/>
      <c r="L914" s="18"/>
      <c r="M914" s="23"/>
    </row>
    <row r="915">
      <c r="A915" s="10" t="s">
        <v>927</v>
      </c>
      <c r="B915" s="17" t="s">
        <v>928</v>
      </c>
      <c r="C915" s="4" t="s">
        <v>3</v>
      </c>
      <c r="D915" s="5" t="s">
        <v>45</v>
      </c>
      <c r="E915" s="6" t="s">
        <v>941</v>
      </c>
      <c r="F915" s="7">
        <v>45132.0</v>
      </c>
      <c r="H915" s="11"/>
      <c r="J915" s="18"/>
      <c r="L915" s="18"/>
      <c r="M915" s="23"/>
    </row>
    <row r="916">
      <c r="A916" s="10" t="s">
        <v>927</v>
      </c>
      <c r="B916" s="17" t="s">
        <v>928</v>
      </c>
      <c r="C916" s="4" t="s">
        <v>8</v>
      </c>
      <c r="D916" s="5" t="s">
        <v>21</v>
      </c>
      <c r="E916" s="6" t="s">
        <v>942</v>
      </c>
      <c r="F916" s="7">
        <v>45147.0</v>
      </c>
      <c r="H916" s="11"/>
      <c r="J916" s="18"/>
      <c r="L916" s="18"/>
      <c r="M916" s="23"/>
    </row>
    <row r="917">
      <c r="A917" s="10" t="s">
        <v>927</v>
      </c>
      <c r="B917" s="17" t="s">
        <v>928</v>
      </c>
      <c r="C917" s="4" t="s">
        <v>3</v>
      </c>
      <c r="D917" s="5" t="s">
        <v>19</v>
      </c>
      <c r="E917" s="6" t="s">
        <v>943</v>
      </c>
      <c r="F917" s="7">
        <v>45150.0</v>
      </c>
      <c r="H917" s="11"/>
      <c r="J917" s="18"/>
      <c r="L917" s="18"/>
      <c r="M917" s="23"/>
    </row>
    <row r="918">
      <c r="A918" s="10" t="s">
        <v>927</v>
      </c>
      <c r="B918" s="17" t="s">
        <v>928</v>
      </c>
      <c r="C918" s="4" t="s">
        <v>8</v>
      </c>
      <c r="D918" s="5" t="s">
        <v>19</v>
      </c>
      <c r="E918" s="6" t="s">
        <v>944</v>
      </c>
      <c r="F918" s="7">
        <v>45166.0</v>
      </c>
      <c r="H918" s="11"/>
      <c r="J918" s="18"/>
      <c r="L918" s="18"/>
      <c r="M918" s="23"/>
    </row>
    <row r="919">
      <c r="A919" s="10" t="s">
        <v>927</v>
      </c>
      <c r="B919" s="17" t="s">
        <v>928</v>
      </c>
      <c r="C919" s="4" t="s">
        <v>8</v>
      </c>
      <c r="D919" s="5" t="s">
        <v>42</v>
      </c>
      <c r="E919" s="6" t="s">
        <v>945</v>
      </c>
      <c r="F919" s="7">
        <v>45248.0</v>
      </c>
      <c r="H919" s="11"/>
      <c r="J919" s="18"/>
      <c r="L919" s="18"/>
      <c r="M919" s="23"/>
    </row>
    <row r="920">
      <c r="A920" s="10" t="s">
        <v>927</v>
      </c>
      <c r="B920" s="17" t="s">
        <v>928</v>
      </c>
      <c r="C920" s="4" t="s">
        <v>8</v>
      </c>
      <c r="D920" s="5" t="s">
        <v>76</v>
      </c>
      <c r="E920" s="6" t="s">
        <v>946</v>
      </c>
      <c r="F920" s="7">
        <v>45262.0</v>
      </c>
      <c r="H920" s="11"/>
      <c r="J920" s="18"/>
      <c r="L920" s="18"/>
      <c r="M920" s="23"/>
    </row>
    <row r="921">
      <c r="A921" s="10" t="s">
        <v>947</v>
      </c>
      <c r="B921" s="17" t="s">
        <v>948</v>
      </c>
      <c r="C921" s="4" t="s">
        <v>3</v>
      </c>
      <c r="D921" s="5" t="s">
        <v>13</v>
      </c>
      <c r="E921" s="6" t="s">
        <v>949</v>
      </c>
      <c r="F921" s="7">
        <v>44934.0</v>
      </c>
      <c r="H921" s="11"/>
      <c r="J921" s="18"/>
      <c r="L921" s="18"/>
      <c r="M921" s="23"/>
    </row>
    <row r="922">
      <c r="A922" s="10" t="s">
        <v>947</v>
      </c>
      <c r="B922" s="17" t="s">
        <v>948</v>
      </c>
      <c r="C922" s="4" t="s">
        <v>8</v>
      </c>
      <c r="D922" s="5" t="s">
        <v>42</v>
      </c>
      <c r="E922" s="6" t="s">
        <v>950</v>
      </c>
      <c r="F922" s="7">
        <v>44967.0</v>
      </c>
      <c r="H922" s="11"/>
      <c r="J922" s="18"/>
      <c r="L922" s="18"/>
      <c r="M922" s="23"/>
    </row>
    <row r="923">
      <c r="A923" s="10" t="s">
        <v>947</v>
      </c>
      <c r="B923" s="17" t="s">
        <v>948</v>
      </c>
      <c r="C923" s="4" t="s">
        <v>8</v>
      </c>
      <c r="D923" s="5" t="s">
        <v>42</v>
      </c>
      <c r="E923" s="6" t="s">
        <v>951</v>
      </c>
      <c r="F923" s="7">
        <v>44969.0</v>
      </c>
      <c r="H923" s="11"/>
      <c r="J923" s="18"/>
      <c r="L923" s="18"/>
      <c r="M923" s="23"/>
    </row>
    <row r="924">
      <c r="A924" s="10" t="s">
        <v>947</v>
      </c>
      <c r="B924" s="17" t="s">
        <v>948</v>
      </c>
      <c r="C924" s="4" t="s">
        <v>3</v>
      </c>
      <c r="D924" s="5" t="s">
        <v>76</v>
      </c>
      <c r="E924" s="6" t="s">
        <v>952</v>
      </c>
      <c r="F924" s="7">
        <v>44981.0</v>
      </c>
      <c r="H924" s="11"/>
      <c r="J924" s="18"/>
      <c r="L924" s="18"/>
      <c r="M924" s="23"/>
    </row>
    <row r="925">
      <c r="A925" s="10" t="s">
        <v>947</v>
      </c>
      <c r="B925" s="17" t="s">
        <v>948</v>
      </c>
      <c r="C925" s="4" t="s">
        <v>3</v>
      </c>
      <c r="D925" s="5" t="s">
        <v>45</v>
      </c>
      <c r="E925" s="6" t="s">
        <v>953</v>
      </c>
      <c r="F925" s="7">
        <v>45009.0</v>
      </c>
      <c r="H925" s="11"/>
      <c r="J925" s="18"/>
      <c r="L925" s="18"/>
      <c r="M925" s="23"/>
    </row>
    <row r="926">
      <c r="A926" s="10" t="s">
        <v>947</v>
      </c>
      <c r="B926" s="17" t="s">
        <v>948</v>
      </c>
      <c r="C926" s="4" t="s">
        <v>8</v>
      </c>
      <c r="D926" s="5" t="s">
        <v>35</v>
      </c>
      <c r="E926" s="6" t="s">
        <v>954</v>
      </c>
      <c r="F926" s="7">
        <v>45066.0</v>
      </c>
      <c r="H926" s="11"/>
      <c r="J926" s="18"/>
      <c r="L926" s="18"/>
      <c r="M926" s="23"/>
    </row>
    <row r="927">
      <c r="A927" s="10" t="s">
        <v>947</v>
      </c>
      <c r="B927" s="17" t="s">
        <v>948</v>
      </c>
      <c r="C927" s="4" t="s">
        <v>8</v>
      </c>
      <c r="D927" s="5" t="s">
        <v>6</v>
      </c>
      <c r="E927" s="6" t="s">
        <v>955</v>
      </c>
      <c r="F927" s="7">
        <v>45109.0</v>
      </c>
      <c r="H927" s="11"/>
      <c r="J927" s="18"/>
      <c r="L927" s="18"/>
      <c r="M927" s="23"/>
    </row>
    <row r="928">
      <c r="A928" s="10" t="s">
        <v>947</v>
      </c>
      <c r="B928" s="17" t="s">
        <v>948</v>
      </c>
      <c r="C928" s="4" t="s">
        <v>3</v>
      </c>
      <c r="D928" s="5" t="s">
        <v>96</v>
      </c>
      <c r="E928" s="6" t="s">
        <v>103</v>
      </c>
      <c r="F928" s="7">
        <v>45122.0</v>
      </c>
      <c r="H928" s="11"/>
      <c r="J928" s="18"/>
      <c r="L928" s="18"/>
      <c r="M928" s="23"/>
    </row>
    <row r="929">
      <c r="A929" s="10" t="s">
        <v>947</v>
      </c>
      <c r="B929" s="17" t="s">
        <v>948</v>
      </c>
      <c r="C929" s="4" t="s">
        <v>8</v>
      </c>
      <c r="D929" s="5" t="s">
        <v>4</v>
      </c>
      <c r="E929" s="6" t="s">
        <v>956</v>
      </c>
      <c r="F929" s="7">
        <v>45126.0</v>
      </c>
      <c r="H929" s="11"/>
      <c r="J929" s="18"/>
      <c r="L929" s="18"/>
      <c r="M929" s="23"/>
    </row>
    <row r="930">
      <c r="A930" s="10" t="s">
        <v>947</v>
      </c>
      <c r="B930" s="17" t="s">
        <v>948</v>
      </c>
      <c r="C930" s="4" t="s">
        <v>3</v>
      </c>
      <c r="D930" s="5" t="s">
        <v>96</v>
      </c>
      <c r="E930" s="6" t="s">
        <v>957</v>
      </c>
      <c r="F930" s="7">
        <v>45133.0</v>
      </c>
      <c r="H930" s="11"/>
      <c r="J930" s="18"/>
      <c r="L930" s="18"/>
      <c r="M930" s="23"/>
    </row>
    <row r="931">
      <c r="A931" s="10" t="s">
        <v>947</v>
      </c>
      <c r="B931" s="17" t="s">
        <v>948</v>
      </c>
      <c r="C931" s="4" t="s">
        <v>8</v>
      </c>
      <c r="D931" s="5" t="s">
        <v>96</v>
      </c>
      <c r="E931" s="6" t="s">
        <v>958</v>
      </c>
      <c r="F931" s="7">
        <v>45133.0</v>
      </c>
      <c r="H931" s="11"/>
      <c r="J931" s="18"/>
      <c r="L931" s="18"/>
      <c r="M931" s="23"/>
    </row>
    <row r="932">
      <c r="A932" s="10" t="s">
        <v>947</v>
      </c>
      <c r="B932" s="17" t="s">
        <v>948</v>
      </c>
      <c r="C932" s="4" t="s">
        <v>8</v>
      </c>
      <c r="D932" s="5" t="s">
        <v>28</v>
      </c>
      <c r="E932" s="6" t="s">
        <v>959</v>
      </c>
      <c r="F932" s="7">
        <v>45174.0</v>
      </c>
      <c r="H932" s="11"/>
      <c r="J932" s="18"/>
      <c r="L932" s="18"/>
      <c r="M932" s="23"/>
    </row>
    <row r="933">
      <c r="A933" s="10" t="s">
        <v>947</v>
      </c>
      <c r="B933" s="17" t="s">
        <v>948</v>
      </c>
      <c r="C933" s="4" t="s">
        <v>8</v>
      </c>
      <c r="D933" s="5" t="s">
        <v>96</v>
      </c>
      <c r="E933" s="6" t="s">
        <v>960</v>
      </c>
      <c r="F933" s="7">
        <v>45187.0</v>
      </c>
      <c r="H933" s="11"/>
      <c r="J933" s="18"/>
      <c r="L933" s="18"/>
      <c r="M933" s="23"/>
    </row>
    <row r="934">
      <c r="A934" s="10" t="s">
        <v>947</v>
      </c>
      <c r="B934" s="17" t="s">
        <v>948</v>
      </c>
      <c r="C934" s="4" t="s">
        <v>8</v>
      </c>
      <c r="D934" s="5" t="s">
        <v>21</v>
      </c>
      <c r="E934" s="6" t="s">
        <v>961</v>
      </c>
      <c r="F934" s="7">
        <v>45211.0</v>
      </c>
      <c r="H934" s="11"/>
      <c r="J934" s="18"/>
      <c r="L934" s="18"/>
      <c r="M934" s="23"/>
    </row>
    <row r="935">
      <c r="A935" s="10" t="s">
        <v>947</v>
      </c>
      <c r="B935" s="17" t="s">
        <v>948</v>
      </c>
      <c r="C935" s="4" t="s">
        <v>3</v>
      </c>
      <c r="D935" s="5" t="s">
        <v>9</v>
      </c>
      <c r="E935" s="6" t="s">
        <v>198</v>
      </c>
      <c r="F935" s="7">
        <v>45226.0</v>
      </c>
      <c r="H935" s="11"/>
      <c r="J935" s="18"/>
      <c r="L935" s="18"/>
      <c r="M935" s="23"/>
    </row>
    <row r="936">
      <c r="A936" s="10" t="s">
        <v>947</v>
      </c>
      <c r="B936" s="17" t="s">
        <v>948</v>
      </c>
      <c r="C936" s="4" t="s">
        <v>3</v>
      </c>
      <c r="D936" s="5" t="s">
        <v>51</v>
      </c>
      <c r="E936" s="6" t="s">
        <v>962</v>
      </c>
      <c r="F936" s="7">
        <v>45240.0</v>
      </c>
      <c r="H936" s="11"/>
      <c r="J936" s="18"/>
      <c r="L936" s="18"/>
      <c r="M936" s="23"/>
    </row>
    <row r="937">
      <c r="A937" s="10" t="s">
        <v>947</v>
      </c>
      <c r="B937" s="17" t="s">
        <v>948</v>
      </c>
      <c r="C937" s="4" t="s">
        <v>3</v>
      </c>
      <c r="D937" s="5" t="s">
        <v>28</v>
      </c>
      <c r="E937" s="6" t="s">
        <v>963</v>
      </c>
      <c r="F937" s="7">
        <v>45248.0</v>
      </c>
      <c r="H937" s="11"/>
      <c r="J937" s="18"/>
      <c r="L937" s="18"/>
      <c r="M937" s="23"/>
    </row>
    <row r="938">
      <c r="A938" s="10" t="s">
        <v>947</v>
      </c>
      <c r="B938" s="17" t="s">
        <v>948</v>
      </c>
      <c r="C938" s="4" t="s">
        <v>8</v>
      </c>
      <c r="D938" s="5" t="s">
        <v>19</v>
      </c>
      <c r="E938" s="6" t="s">
        <v>642</v>
      </c>
      <c r="F938" s="7">
        <v>45250.0</v>
      </c>
      <c r="H938" s="11"/>
      <c r="J938" s="18"/>
      <c r="L938" s="18"/>
      <c r="M938" s="23"/>
    </row>
    <row r="939">
      <c r="A939" s="10" t="s">
        <v>947</v>
      </c>
      <c r="B939" s="17" t="s">
        <v>948</v>
      </c>
      <c r="C939" s="4" t="s">
        <v>8</v>
      </c>
      <c r="D939" s="5" t="s">
        <v>15</v>
      </c>
      <c r="E939" s="6" t="s">
        <v>782</v>
      </c>
      <c r="F939" s="7">
        <v>45272.0</v>
      </c>
      <c r="H939" s="11"/>
      <c r="J939" s="18"/>
      <c r="L939" s="18"/>
      <c r="M939" s="23"/>
    </row>
    <row r="940">
      <c r="A940" s="10" t="s">
        <v>947</v>
      </c>
      <c r="B940" s="17" t="s">
        <v>948</v>
      </c>
      <c r="C940" s="4" t="s">
        <v>8</v>
      </c>
      <c r="D940" s="5" t="s">
        <v>6</v>
      </c>
      <c r="E940" s="6" t="s">
        <v>964</v>
      </c>
      <c r="F940" s="7">
        <v>45284.0</v>
      </c>
      <c r="H940" s="11"/>
      <c r="J940" s="18"/>
      <c r="L940" s="18"/>
      <c r="M940" s="23"/>
    </row>
    <row r="941">
      <c r="A941" s="10" t="s">
        <v>408</v>
      </c>
      <c r="B941" s="17" t="s">
        <v>965</v>
      </c>
      <c r="C941" s="4" t="s">
        <v>3</v>
      </c>
      <c r="D941" s="5" t="s">
        <v>15</v>
      </c>
      <c r="E941" s="6" t="s">
        <v>966</v>
      </c>
      <c r="F941" s="7">
        <v>44928.0</v>
      </c>
      <c r="H941" s="11"/>
      <c r="J941" s="18"/>
      <c r="L941" s="18"/>
      <c r="M941" s="23"/>
    </row>
    <row r="942">
      <c r="A942" s="10" t="s">
        <v>408</v>
      </c>
      <c r="B942" s="17" t="s">
        <v>965</v>
      </c>
      <c r="C942" s="4" t="s">
        <v>3</v>
      </c>
      <c r="D942" s="5" t="s">
        <v>96</v>
      </c>
      <c r="E942" s="6" t="s">
        <v>967</v>
      </c>
      <c r="F942" s="7">
        <v>44934.0</v>
      </c>
      <c r="H942" s="11"/>
      <c r="J942" s="18"/>
      <c r="L942" s="18"/>
      <c r="M942" s="23"/>
    </row>
    <row r="943">
      <c r="A943" s="10" t="s">
        <v>408</v>
      </c>
      <c r="B943" s="17" t="s">
        <v>965</v>
      </c>
      <c r="C943" s="4" t="s">
        <v>3</v>
      </c>
      <c r="D943" s="5" t="s">
        <v>28</v>
      </c>
      <c r="E943" s="6" t="s">
        <v>248</v>
      </c>
      <c r="F943" s="7">
        <v>44938.0</v>
      </c>
      <c r="H943" s="11"/>
      <c r="J943" s="18"/>
      <c r="L943" s="18"/>
      <c r="M943" s="23"/>
    </row>
    <row r="944">
      <c r="A944" s="10" t="s">
        <v>408</v>
      </c>
      <c r="B944" s="17" t="s">
        <v>965</v>
      </c>
      <c r="C944" s="4" t="s">
        <v>8</v>
      </c>
      <c r="D944" s="5" t="s">
        <v>4</v>
      </c>
      <c r="E944" s="6" t="s">
        <v>968</v>
      </c>
      <c r="F944" s="7">
        <v>44966.0</v>
      </c>
      <c r="H944" s="11"/>
      <c r="J944" s="18"/>
      <c r="L944" s="18"/>
      <c r="M944" s="23"/>
    </row>
    <row r="945">
      <c r="A945" s="10" t="s">
        <v>408</v>
      </c>
      <c r="B945" s="17" t="s">
        <v>965</v>
      </c>
      <c r="C945" s="4" t="s">
        <v>3</v>
      </c>
      <c r="D945" s="5" t="s">
        <v>11</v>
      </c>
      <c r="E945" s="6" t="s">
        <v>969</v>
      </c>
      <c r="F945" s="7">
        <v>44974.0</v>
      </c>
      <c r="H945" s="11"/>
      <c r="J945" s="18"/>
      <c r="L945" s="18"/>
      <c r="M945" s="23"/>
    </row>
    <row r="946">
      <c r="A946" s="10" t="s">
        <v>408</v>
      </c>
      <c r="B946" s="17" t="s">
        <v>965</v>
      </c>
      <c r="C946" s="4" t="s">
        <v>8</v>
      </c>
      <c r="D946" s="5" t="s">
        <v>15</v>
      </c>
      <c r="E946" s="6" t="s">
        <v>452</v>
      </c>
      <c r="F946" s="7">
        <v>44977.0</v>
      </c>
      <c r="H946" s="11"/>
      <c r="J946" s="18"/>
      <c r="L946" s="18"/>
      <c r="M946" s="23"/>
    </row>
    <row r="947">
      <c r="A947" s="10" t="s">
        <v>408</v>
      </c>
      <c r="B947" s="17" t="s">
        <v>965</v>
      </c>
      <c r="C947" s="4" t="s">
        <v>8</v>
      </c>
      <c r="D947" s="5" t="s">
        <v>35</v>
      </c>
      <c r="E947" s="6" t="s">
        <v>970</v>
      </c>
      <c r="F947" s="7">
        <v>44999.0</v>
      </c>
      <c r="H947" s="11"/>
      <c r="J947" s="18"/>
      <c r="L947" s="18"/>
      <c r="M947" s="23"/>
    </row>
    <row r="948">
      <c r="A948" s="10" t="s">
        <v>408</v>
      </c>
      <c r="B948" s="17" t="s">
        <v>965</v>
      </c>
      <c r="C948" s="4" t="s">
        <v>8</v>
      </c>
      <c r="D948" s="5" t="s">
        <v>4</v>
      </c>
      <c r="E948" s="6" t="s">
        <v>971</v>
      </c>
      <c r="F948" s="7">
        <v>45029.0</v>
      </c>
      <c r="H948" s="11"/>
      <c r="J948" s="18"/>
      <c r="L948" s="18"/>
      <c r="M948" s="23"/>
    </row>
    <row r="949">
      <c r="A949" s="10" t="s">
        <v>408</v>
      </c>
      <c r="B949" s="17" t="s">
        <v>965</v>
      </c>
      <c r="C949" s="4" t="s">
        <v>3</v>
      </c>
      <c r="D949" s="5" t="s">
        <v>39</v>
      </c>
      <c r="E949" s="6" t="s">
        <v>972</v>
      </c>
      <c r="F949" s="7">
        <v>45032.0</v>
      </c>
      <c r="H949" s="11"/>
      <c r="J949" s="18"/>
      <c r="L949" s="18"/>
      <c r="M949" s="23"/>
    </row>
    <row r="950">
      <c r="A950" s="10" t="s">
        <v>408</v>
      </c>
      <c r="B950" s="17" t="s">
        <v>965</v>
      </c>
      <c r="C950" s="4" t="s">
        <v>3</v>
      </c>
      <c r="D950" s="5" t="s">
        <v>28</v>
      </c>
      <c r="E950" s="6" t="s">
        <v>973</v>
      </c>
      <c r="F950" s="7">
        <v>45078.0</v>
      </c>
      <c r="H950" s="11"/>
      <c r="J950" s="18"/>
      <c r="L950" s="18"/>
      <c r="M950" s="23"/>
    </row>
    <row r="951">
      <c r="A951" s="10" t="s">
        <v>408</v>
      </c>
      <c r="B951" s="17" t="s">
        <v>965</v>
      </c>
      <c r="C951" s="4" t="s">
        <v>3</v>
      </c>
      <c r="D951" s="5" t="s">
        <v>51</v>
      </c>
      <c r="E951" s="6" t="s">
        <v>974</v>
      </c>
      <c r="F951" s="7">
        <v>45139.0</v>
      </c>
      <c r="H951" s="11"/>
      <c r="J951" s="18"/>
      <c r="L951" s="18"/>
      <c r="M951" s="23"/>
    </row>
    <row r="952">
      <c r="A952" s="10" t="s">
        <v>408</v>
      </c>
      <c r="B952" s="17" t="s">
        <v>965</v>
      </c>
      <c r="C952" s="4" t="s">
        <v>8</v>
      </c>
      <c r="D952" s="5" t="s">
        <v>15</v>
      </c>
      <c r="E952" s="6" t="s">
        <v>975</v>
      </c>
      <c r="F952" s="7">
        <v>45195.0</v>
      </c>
      <c r="H952" s="11"/>
      <c r="J952" s="18"/>
      <c r="L952" s="18"/>
      <c r="M952" s="23"/>
    </row>
    <row r="953">
      <c r="A953" s="10" t="s">
        <v>408</v>
      </c>
      <c r="B953" s="17" t="s">
        <v>965</v>
      </c>
      <c r="C953" s="4" t="s">
        <v>3</v>
      </c>
      <c r="D953" s="5" t="s">
        <v>45</v>
      </c>
      <c r="E953" s="6" t="s">
        <v>839</v>
      </c>
      <c r="F953" s="7">
        <v>45200.0</v>
      </c>
      <c r="H953" s="11"/>
      <c r="J953" s="18"/>
      <c r="L953" s="18"/>
      <c r="M953" s="23"/>
    </row>
    <row r="954">
      <c r="A954" s="10" t="s">
        <v>408</v>
      </c>
      <c r="B954" s="17" t="s">
        <v>965</v>
      </c>
      <c r="C954" s="4" t="s">
        <v>3</v>
      </c>
      <c r="D954" s="5" t="s">
        <v>120</v>
      </c>
      <c r="E954" s="6" t="s">
        <v>976</v>
      </c>
      <c r="F954" s="7">
        <v>45200.0</v>
      </c>
      <c r="H954" s="11"/>
      <c r="J954" s="18"/>
      <c r="L954" s="18"/>
      <c r="M954" s="23"/>
    </row>
    <row r="955">
      <c r="A955" s="10" t="s">
        <v>408</v>
      </c>
      <c r="B955" s="17" t="s">
        <v>965</v>
      </c>
      <c r="C955" s="4" t="s">
        <v>3</v>
      </c>
      <c r="D955" s="5" t="s">
        <v>120</v>
      </c>
      <c r="E955" s="6" t="s">
        <v>977</v>
      </c>
      <c r="F955" s="7">
        <v>45201.0</v>
      </c>
      <c r="H955" s="11"/>
      <c r="J955" s="18"/>
      <c r="L955" s="18"/>
      <c r="M955" s="23"/>
    </row>
    <row r="956">
      <c r="A956" s="10" t="s">
        <v>408</v>
      </c>
      <c r="B956" s="17" t="s">
        <v>965</v>
      </c>
      <c r="C956" s="4" t="s">
        <v>3</v>
      </c>
      <c r="D956" s="5" t="s">
        <v>45</v>
      </c>
      <c r="E956" s="6" t="s">
        <v>978</v>
      </c>
      <c r="F956" s="7">
        <v>45233.0</v>
      </c>
      <c r="H956" s="11"/>
      <c r="J956" s="18"/>
      <c r="L956" s="18"/>
      <c r="M956" s="23"/>
    </row>
    <row r="957">
      <c r="A957" s="10" t="s">
        <v>408</v>
      </c>
      <c r="B957" s="17" t="s">
        <v>965</v>
      </c>
      <c r="C957" s="4" t="s">
        <v>3</v>
      </c>
      <c r="D957" s="5" t="s">
        <v>76</v>
      </c>
      <c r="E957" s="6" t="s">
        <v>702</v>
      </c>
      <c r="F957" s="7">
        <v>45240.0</v>
      </c>
      <c r="H957" s="11"/>
      <c r="J957" s="18"/>
      <c r="L957" s="18"/>
      <c r="M957" s="23"/>
    </row>
    <row r="958">
      <c r="A958" s="10" t="s">
        <v>408</v>
      </c>
      <c r="B958" s="17" t="s">
        <v>965</v>
      </c>
      <c r="C958" s="4" t="s">
        <v>8</v>
      </c>
      <c r="D958" s="5" t="s">
        <v>120</v>
      </c>
      <c r="E958" s="6" t="s">
        <v>979</v>
      </c>
      <c r="F958" s="7">
        <v>45243.0</v>
      </c>
      <c r="H958" s="11"/>
      <c r="J958" s="18"/>
      <c r="L958" s="18"/>
      <c r="M958" s="23"/>
    </row>
    <row r="959">
      <c r="A959" s="10" t="s">
        <v>408</v>
      </c>
      <c r="B959" s="17" t="s">
        <v>965</v>
      </c>
      <c r="C959" s="4" t="s">
        <v>8</v>
      </c>
      <c r="D959" s="5" t="s">
        <v>15</v>
      </c>
      <c r="E959" s="6" t="s">
        <v>241</v>
      </c>
      <c r="F959" s="7">
        <v>45255.0</v>
      </c>
      <c r="H959" s="11"/>
      <c r="J959" s="18"/>
      <c r="L959" s="18"/>
      <c r="M959" s="23"/>
    </row>
    <row r="960">
      <c r="A960" s="10" t="s">
        <v>408</v>
      </c>
      <c r="B960" s="17" t="s">
        <v>965</v>
      </c>
      <c r="C960" s="4" t="s">
        <v>3</v>
      </c>
      <c r="D960" s="5" t="s">
        <v>19</v>
      </c>
      <c r="E960" s="6" t="s">
        <v>203</v>
      </c>
      <c r="F960" s="7">
        <v>45286.0</v>
      </c>
      <c r="H960" s="11"/>
      <c r="J960" s="18"/>
      <c r="L960" s="18"/>
      <c r="M960" s="23"/>
    </row>
    <row r="961">
      <c r="A961" s="10" t="s">
        <v>980</v>
      </c>
      <c r="B961" s="17" t="s">
        <v>981</v>
      </c>
      <c r="C961" s="4" t="s">
        <v>3</v>
      </c>
      <c r="D961" s="5" t="s">
        <v>96</v>
      </c>
      <c r="E961" s="6" t="s">
        <v>982</v>
      </c>
      <c r="F961" s="7">
        <v>44945.0</v>
      </c>
      <c r="H961" s="11"/>
      <c r="J961" s="18"/>
      <c r="L961" s="18"/>
      <c r="M961" s="23"/>
    </row>
    <row r="962">
      <c r="A962" s="10" t="s">
        <v>980</v>
      </c>
      <c r="B962" s="17" t="s">
        <v>981</v>
      </c>
      <c r="C962" s="4" t="s">
        <v>8</v>
      </c>
      <c r="D962" s="5" t="s">
        <v>35</v>
      </c>
      <c r="E962" s="6" t="s">
        <v>983</v>
      </c>
      <c r="F962" s="7">
        <v>44974.0</v>
      </c>
      <c r="H962" s="11"/>
      <c r="J962" s="18"/>
      <c r="L962" s="18"/>
      <c r="M962" s="23"/>
    </row>
    <row r="963">
      <c r="A963" s="10" t="s">
        <v>980</v>
      </c>
      <c r="B963" s="17" t="s">
        <v>981</v>
      </c>
      <c r="C963" s="4" t="s">
        <v>8</v>
      </c>
      <c r="D963" s="5" t="s">
        <v>23</v>
      </c>
      <c r="E963" s="6" t="s">
        <v>417</v>
      </c>
      <c r="F963" s="7">
        <v>45024.0</v>
      </c>
      <c r="H963" s="11"/>
      <c r="J963" s="18"/>
      <c r="L963" s="18"/>
      <c r="M963" s="23"/>
    </row>
    <row r="964">
      <c r="A964" s="10" t="s">
        <v>980</v>
      </c>
      <c r="B964" s="17" t="s">
        <v>981</v>
      </c>
      <c r="C964" s="4" t="s">
        <v>8</v>
      </c>
      <c r="D964" s="5" t="s">
        <v>51</v>
      </c>
      <c r="E964" s="6" t="s">
        <v>297</v>
      </c>
      <c r="F964" s="7">
        <v>45058.0</v>
      </c>
      <c r="H964" s="11"/>
      <c r="J964" s="18"/>
      <c r="L964" s="18"/>
      <c r="M964" s="23"/>
    </row>
    <row r="965">
      <c r="A965" s="10" t="s">
        <v>980</v>
      </c>
      <c r="B965" s="17" t="s">
        <v>981</v>
      </c>
      <c r="C965" s="4" t="s">
        <v>3</v>
      </c>
      <c r="D965" s="5" t="s">
        <v>96</v>
      </c>
      <c r="E965" s="6" t="s">
        <v>984</v>
      </c>
      <c r="F965" s="7">
        <v>45070.0</v>
      </c>
      <c r="H965" s="11"/>
      <c r="J965" s="18"/>
      <c r="L965" s="18"/>
      <c r="M965" s="23"/>
    </row>
    <row r="966">
      <c r="A966" s="10" t="s">
        <v>980</v>
      </c>
      <c r="B966" s="17" t="s">
        <v>981</v>
      </c>
      <c r="C966" s="4" t="s">
        <v>8</v>
      </c>
      <c r="D966" s="5" t="s">
        <v>15</v>
      </c>
      <c r="E966" s="6" t="s">
        <v>985</v>
      </c>
      <c r="F966" s="7">
        <v>45103.0</v>
      </c>
      <c r="H966" s="11"/>
      <c r="J966" s="18"/>
      <c r="L966" s="18"/>
      <c r="M966" s="23"/>
    </row>
    <row r="967">
      <c r="A967" s="10" t="s">
        <v>980</v>
      </c>
      <c r="B967" s="17" t="s">
        <v>981</v>
      </c>
      <c r="C967" s="4" t="s">
        <v>3</v>
      </c>
      <c r="D967" s="5" t="s">
        <v>120</v>
      </c>
      <c r="E967" s="6" t="s">
        <v>986</v>
      </c>
      <c r="F967" s="7">
        <v>45116.0</v>
      </c>
      <c r="H967" s="11"/>
      <c r="J967" s="18"/>
      <c r="L967" s="18"/>
      <c r="M967" s="23"/>
    </row>
    <row r="968">
      <c r="A968" s="10" t="s">
        <v>980</v>
      </c>
      <c r="B968" s="17" t="s">
        <v>981</v>
      </c>
      <c r="C968" s="4" t="s">
        <v>8</v>
      </c>
      <c r="D968" s="5" t="s">
        <v>28</v>
      </c>
      <c r="E968" s="6" t="s">
        <v>987</v>
      </c>
      <c r="F968" s="7">
        <v>45121.0</v>
      </c>
      <c r="H968" s="11"/>
      <c r="J968" s="18"/>
      <c r="L968" s="18"/>
      <c r="M968" s="23"/>
    </row>
    <row r="969">
      <c r="A969" s="10" t="s">
        <v>980</v>
      </c>
      <c r="B969" s="17" t="s">
        <v>981</v>
      </c>
      <c r="C969" s="4" t="s">
        <v>3</v>
      </c>
      <c r="D969" s="5" t="s">
        <v>9</v>
      </c>
      <c r="E969" s="6" t="s">
        <v>988</v>
      </c>
      <c r="F969" s="7">
        <v>45142.0</v>
      </c>
      <c r="H969" s="11"/>
      <c r="J969" s="18"/>
      <c r="L969" s="18"/>
      <c r="M969" s="23"/>
    </row>
    <row r="970">
      <c r="A970" s="10" t="s">
        <v>980</v>
      </c>
      <c r="B970" s="17" t="s">
        <v>981</v>
      </c>
      <c r="C970" s="4" t="s">
        <v>3</v>
      </c>
      <c r="D970" s="5" t="s">
        <v>71</v>
      </c>
      <c r="E970" s="6" t="s">
        <v>989</v>
      </c>
      <c r="F970" s="7">
        <v>45151.0</v>
      </c>
      <c r="H970" s="11"/>
      <c r="J970" s="18"/>
      <c r="L970" s="18"/>
      <c r="M970" s="23"/>
    </row>
    <row r="971">
      <c r="A971" s="10" t="s">
        <v>980</v>
      </c>
      <c r="B971" s="17" t="s">
        <v>981</v>
      </c>
      <c r="C971" s="4" t="s">
        <v>3</v>
      </c>
      <c r="D971" s="5" t="s">
        <v>35</v>
      </c>
      <c r="E971" s="6" t="s">
        <v>990</v>
      </c>
      <c r="F971" s="7">
        <v>45158.0</v>
      </c>
      <c r="H971" s="11"/>
      <c r="J971" s="18"/>
      <c r="L971" s="18"/>
      <c r="M971" s="23"/>
    </row>
    <row r="972">
      <c r="A972" s="10" t="s">
        <v>980</v>
      </c>
      <c r="B972" s="17" t="s">
        <v>981</v>
      </c>
      <c r="C972" s="4" t="s">
        <v>3</v>
      </c>
      <c r="D972" s="5" t="s">
        <v>21</v>
      </c>
      <c r="E972" s="6" t="s">
        <v>991</v>
      </c>
      <c r="F972" s="7">
        <v>45163.0</v>
      </c>
      <c r="H972" s="11"/>
      <c r="J972" s="18"/>
      <c r="L972" s="18"/>
      <c r="M972" s="23"/>
    </row>
    <row r="973">
      <c r="A973" s="10" t="s">
        <v>980</v>
      </c>
      <c r="B973" s="17" t="s">
        <v>981</v>
      </c>
      <c r="C973" s="4" t="s">
        <v>8</v>
      </c>
      <c r="D973" s="5" t="s">
        <v>9</v>
      </c>
      <c r="E973" s="6" t="s">
        <v>448</v>
      </c>
      <c r="F973" s="7">
        <v>45216.0</v>
      </c>
      <c r="H973" s="11"/>
      <c r="J973" s="18"/>
      <c r="L973" s="18"/>
      <c r="M973" s="23"/>
    </row>
    <row r="974">
      <c r="A974" s="10" t="s">
        <v>980</v>
      </c>
      <c r="B974" s="17" t="s">
        <v>981</v>
      </c>
      <c r="C974" s="4" t="s">
        <v>3</v>
      </c>
      <c r="D974" s="5" t="s">
        <v>6</v>
      </c>
      <c r="E974" s="6" t="s">
        <v>992</v>
      </c>
      <c r="F974" s="7">
        <v>45227.0</v>
      </c>
      <c r="H974" s="11"/>
      <c r="J974" s="18"/>
      <c r="L974" s="18"/>
      <c r="M974" s="23"/>
    </row>
    <row r="975">
      <c r="A975" s="10" t="s">
        <v>980</v>
      </c>
      <c r="B975" s="17" t="s">
        <v>981</v>
      </c>
      <c r="C975" s="4" t="s">
        <v>8</v>
      </c>
      <c r="D975" s="5" t="s">
        <v>45</v>
      </c>
      <c r="E975" s="6" t="s">
        <v>993</v>
      </c>
      <c r="F975" s="7">
        <v>45234.0</v>
      </c>
      <c r="H975" s="11"/>
      <c r="J975" s="18"/>
      <c r="L975" s="18"/>
      <c r="M975" s="23"/>
    </row>
    <row r="976">
      <c r="A976" s="10" t="s">
        <v>980</v>
      </c>
      <c r="B976" s="17" t="s">
        <v>981</v>
      </c>
      <c r="C976" s="4" t="s">
        <v>8</v>
      </c>
      <c r="D976" s="5" t="s">
        <v>17</v>
      </c>
      <c r="E976" s="6" t="s">
        <v>994</v>
      </c>
      <c r="F976" s="7">
        <v>45249.0</v>
      </c>
      <c r="H976" s="11"/>
      <c r="J976" s="18"/>
      <c r="L976" s="18"/>
      <c r="M976" s="23"/>
    </row>
    <row r="977">
      <c r="A977" s="10" t="s">
        <v>980</v>
      </c>
      <c r="B977" s="17" t="s">
        <v>981</v>
      </c>
      <c r="C977" s="4" t="s">
        <v>3</v>
      </c>
      <c r="D977" s="5" t="s">
        <v>71</v>
      </c>
      <c r="E977" s="6" t="s">
        <v>995</v>
      </c>
      <c r="F977" s="7">
        <v>45252.0</v>
      </c>
      <c r="H977" s="11"/>
      <c r="J977" s="18"/>
      <c r="L977" s="18"/>
      <c r="M977" s="23"/>
    </row>
    <row r="978">
      <c r="A978" s="10" t="s">
        <v>980</v>
      </c>
      <c r="B978" s="17" t="s">
        <v>981</v>
      </c>
      <c r="C978" s="4" t="s">
        <v>3</v>
      </c>
      <c r="D978" s="5" t="s">
        <v>21</v>
      </c>
      <c r="E978" s="6" t="s">
        <v>996</v>
      </c>
      <c r="F978" s="7">
        <v>45253.0</v>
      </c>
      <c r="H978" s="11"/>
      <c r="J978" s="18"/>
      <c r="L978" s="18"/>
      <c r="M978" s="23"/>
    </row>
    <row r="979">
      <c r="A979" s="10" t="s">
        <v>980</v>
      </c>
      <c r="B979" s="17" t="s">
        <v>981</v>
      </c>
      <c r="C979" s="4" t="s">
        <v>3</v>
      </c>
      <c r="D979" s="5" t="s">
        <v>11</v>
      </c>
      <c r="E979" s="6" t="s">
        <v>997</v>
      </c>
      <c r="F979" s="7">
        <v>45257.0</v>
      </c>
      <c r="H979" s="11"/>
      <c r="J979" s="18"/>
      <c r="L979" s="18"/>
      <c r="M979" s="23"/>
    </row>
    <row r="980">
      <c r="A980" s="10" t="s">
        <v>980</v>
      </c>
      <c r="B980" s="17" t="s">
        <v>981</v>
      </c>
      <c r="C980" s="4" t="s">
        <v>3</v>
      </c>
      <c r="D980" s="5" t="s">
        <v>39</v>
      </c>
      <c r="E980" s="6" t="s">
        <v>998</v>
      </c>
      <c r="F980" s="7">
        <v>45270.0</v>
      </c>
      <c r="H980" s="11"/>
      <c r="J980" s="18"/>
      <c r="L980" s="18"/>
      <c r="M980" s="23"/>
    </row>
    <row r="981">
      <c r="A981" s="10" t="s">
        <v>999</v>
      </c>
      <c r="B981" s="17" t="s">
        <v>1000</v>
      </c>
      <c r="C981" s="4" t="s">
        <v>8</v>
      </c>
      <c r="D981" s="5" t="s">
        <v>17</v>
      </c>
      <c r="E981" s="6" t="s">
        <v>1001</v>
      </c>
      <c r="F981" s="7">
        <v>44927.0</v>
      </c>
      <c r="H981" s="11"/>
      <c r="J981" s="18"/>
      <c r="L981" s="18"/>
      <c r="M981" s="23"/>
    </row>
    <row r="982">
      <c r="A982" s="10" t="s">
        <v>999</v>
      </c>
      <c r="B982" s="17" t="s">
        <v>1000</v>
      </c>
      <c r="C982" s="4" t="s">
        <v>3</v>
      </c>
      <c r="D982" s="5" t="s">
        <v>23</v>
      </c>
      <c r="E982" s="6" t="s">
        <v>1002</v>
      </c>
      <c r="F982" s="7">
        <v>44940.0</v>
      </c>
      <c r="H982" s="11"/>
      <c r="J982" s="18"/>
      <c r="L982" s="18"/>
      <c r="M982" s="23"/>
    </row>
    <row r="983">
      <c r="A983" s="10" t="s">
        <v>999</v>
      </c>
      <c r="B983" s="17" t="s">
        <v>1000</v>
      </c>
      <c r="C983" s="4" t="s">
        <v>3</v>
      </c>
      <c r="D983" s="5" t="s">
        <v>11</v>
      </c>
      <c r="E983" s="6" t="s">
        <v>1003</v>
      </c>
      <c r="F983" s="7">
        <v>44944.0</v>
      </c>
      <c r="H983" s="11"/>
      <c r="J983" s="18"/>
      <c r="L983" s="18"/>
      <c r="M983" s="23"/>
    </row>
    <row r="984">
      <c r="A984" s="10" t="s">
        <v>999</v>
      </c>
      <c r="B984" s="17" t="s">
        <v>1000</v>
      </c>
      <c r="C984" s="4" t="s">
        <v>3</v>
      </c>
      <c r="D984" s="5" t="s">
        <v>96</v>
      </c>
      <c r="E984" s="6" t="s">
        <v>201</v>
      </c>
      <c r="F984" s="7">
        <v>44954.0</v>
      </c>
      <c r="H984" s="11"/>
      <c r="J984" s="18"/>
      <c r="L984" s="18"/>
      <c r="M984" s="23"/>
    </row>
    <row r="985">
      <c r="A985" s="10" t="s">
        <v>999</v>
      </c>
      <c r="B985" s="17" t="s">
        <v>1000</v>
      </c>
      <c r="C985" s="4" t="s">
        <v>8</v>
      </c>
      <c r="D985" s="5" t="s">
        <v>39</v>
      </c>
      <c r="E985" s="6" t="s">
        <v>1004</v>
      </c>
      <c r="F985" s="7">
        <v>44990.0</v>
      </c>
      <c r="H985" s="11"/>
      <c r="J985" s="18"/>
      <c r="L985" s="18"/>
      <c r="M985" s="23"/>
    </row>
    <row r="986">
      <c r="A986" s="10" t="s">
        <v>999</v>
      </c>
      <c r="B986" s="17" t="s">
        <v>1000</v>
      </c>
      <c r="C986" s="4" t="s">
        <v>3</v>
      </c>
      <c r="D986" s="5" t="s">
        <v>15</v>
      </c>
      <c r="E986" s="6" t="s">
        <v>585</v>
      </c>
      <c r="F986" s="7">
        <v>45000.0</v>
      </c>
      <c r="H986" s="11"/>
      <c r="J986" s="18"/>
      <c r="L986" s="18"/>
      <c r="M986" s="23"/>
    </row>
    <row r="987">
      <c r="A987" s="10" t="s">
        <v>999</v>
      </c>
      <c r="B987" s="17" t="s">
        <v>1000</v>
      </c>
      <c r="C987" s="4" t="s">
        <v>8</v>
      </c>
      <c r="D987" s="5" t="s">
        <v>35</v>
      </c>
      <c r="E987" s="6" t="s">
        <v>517</v>
      </c>
      <c r="F987" s="7">
        <v>45041.0</v>
      </c>
      <c r="H987" s="11"/>
      <c r="J987" s="18"/>
      <c r="L987" s="18"/>
      <c r="M987" s="23"/>
    </row>
    <row r="988">
      <c r="A988" s="10" t="s">
        <v>999</v>
      </c>
      <c r="B988" s="17" t="s">
        <v>1000</v>
      </c>
      <c r="C988" s="4" t="s">
        <v>8</v>
      </c>
      <c r="D988" s="5" t="s">
        <v>39</v>
      </c>
      <c r="E988" s="6" t="s">
        <v>1005</v>
      </c>
      <c r="F988" s="7">
        <v>45041.0</v>
      </c>
      <c r="H988" s="11"/>
      <c r="J988" s="18"/>
      <c r="L988" s="18"/>
      <c r="M988" s="23"/>
    </row>
    <row r="989">
      <c r="A989" s="10" t="s">
        <v>999</v>
      </c>
      <c r="B989" s="17" t="s">
        <v>1000</v>
      </c>
      <c r="C989" s="4" t="s">
        <v>3</v>
      </c>
      <c r="D989" s="5" t="s">
        <v>23</v>
      </c>
      <c r="E989" s="6" t="s">
        <v>1006</v>
      </c>
      <c r="F989" s="7">
        <v>45096.0</v>
      </c>
      <c r="H989" s="11"/>
      <c r="J989" s="18"/>
      <c r="L989" s="18"/>
      <c r="M989" s="23"/>
    </row>
    <row r="990">
      <c r="A990" s="10" t="s">
        <v>999</v>
      </c>
      <c r="B990" s="17" t="s">
        <v>1000</v>
      </c>
      <c r="C990" s="4" t="s">
        <v>8</v>
      </c>
      <c r="D990" s="5" t="s">
        <v>39</v>
      </c>
      <c r="E990" s="6" t="s">
        <v>1007</v>
      </c>
      <c r="F990" s="7">
        <v>45100.0</v>
      </c>
      <c r="H990" s="11"/>
      <c r="J990" s="18"/>
      <c r="L990" s="18"/>
      <c r="M990" s="23"/>
    </row>
    <row r="991">
      <c r="A991" s="10" t="s">
        <v>999</v>
      </c>
      <c r="B991" s="17" t="s">
        <v>1000</v>
      </c>
      <c r="C991" s="4" t="s">
        <v>3</v>
      </c>
      <c r="D991" s="5" t="s">
        <v>21</v>
      </c>
      <c r="E991" s="6" t="s">
        <v>1008</v>
      </c>
      <c r="F991" s="7">
        <v>45102.0</v>
      </c>
      <c r="H991" s="11"/>
      <c r="J991" s="18"/>
      <c r="L991" s="18"/>
      <c r="M991" s="23"/>
    </row>
    <row r="992">
      <c r="A992" s="10" t="s">
        <v>999</v>
      </c>
      <c r="B992" s="17" t="s">
        <v>1000</v>
      </c>
      <c r="C992" s="4" t="s">
        <v>8</v>
      </c>
      <c r="D992" s="5" t="s">
        <v>15</v>
      </c>
      <c r="E992" s="6" t="s">
        <v>235</v>
      </c>
      <c r="F992" s="7">
        <v>45150.0</v>
      </c>
      <c r="H992" s="11"/>
      <c r="J992" s="18"/>
      <c r="L992" s="18"/>
      <c r="M992" s="23"/>
    </row>
    <row r="993">
      <c r="A993" s="10" t="s">
        <v>999</v>
      </c>
      <c r="B993" s="17" t="s">
        <v>1000</v>
      </c>
      <c r="C993" s="4" t="s">
        <v>8</v>
      </c>
      <c r="D993" s="5" t="s">
        <v>4</v>
      </c>
      <c r="E993" s="6" t="s">
        <v>1009</v>
      </c>
      <c r="F993" s="7">
        <v>45192.0</v>
      </c>
      <c r="H993" s="11"/>
      <c r="J993" s="18"/>
      <c r="L993" s="18"/>
      <c r="M993" s="23"/>
    </row>
    <row r="994">
      <c r="A994" s="10" t="s">
        <v>999</v>
      </c>
      <c r="B994" s="17" t="s">
        <v>1000</v>
      </c>
      <c r="C994" s="4" t="s">
        <v>3</v>
      </c>
      <c r="D994" s="5" t="s">
        <v>23</v>
      </c>
      <c r="E994" s="6" t="s">
        <v>1010</v>
      </c>
      <c r="F994" s="7">
        <v>45208.0</v>
      </c>
      <c r="H994" s="11"/>
      <c r="J994" s="18"/>
      <c r="L994" s="18"/>
      <c r="M994" s="23"/>
    </row>
    <row r="995">
      <c r="A995" s="10" t="s">
        <v>999</v>
      </c>
      <c r="B995" s="17" t="s">
        <v>1000</v>
      </c>
      <c r="C995" s="4" t="s">
        <v>8</v>
      </c>
      <c r="D995" s="5" t="s">
        <v>28</v>
      </c>
      <c r="E995" s="6" t="s">
        <v>842</v>
      </c>
      <c r="F995" s="7">
        <v>45237.0</v>
      </c>
      <c r="H995" s="11"/>
      <c r="J995" s="18"/>
      <c r="L995" s="18"/>
      <c r="M995" s="23"/>
    </row>
    <row r="996">
      <c r="A996" s="10" t="s">
        <v>999</v>
      </c>
      <c r="B996" s="17" t="s">
        <v>1000</v>
      </c>
      <c r="C996" s="4" t="s">
        <v>3</v>
      </c>
      <c r="D996" s="5" t="s">
        <v>11</v>
      </c>
      <c r="E996" s="6" t="s">
        <v>1011</v>
      </c>
      <c r="F996" s="7">
        <v>45262.0</v>
      </c>
      <c r="H996" s="11"/>
      <c r="J996" s="18"/>
      <c r="L996" s="18"/>
      <c r="M996" s="23"/>
    </row>
    <row r="997">
      <c r="A997" s="10" t="s">
        <v>999</v>
      </c>
      <c r="B997" s="17" t="s">
        <v>1000</v>
      </c>
      <c r="C997" s="4" t="s">
        <v>8</v>
      </c>
      <c r="D997" s="5" t="s">
        <v>17</v>
      </c>
      <c r="E997" s="6" t="s">
        <v>236</v>
      </c>
      <c r="F997" s="7">
        <v>45267.0</v>
      </c>
      <c r="H997" s="11"/>
      <c r="J997" s="18"/>
      <c r="L997" s="18"/>
      <c r="M997" s="23"/>
    </row>
    <row r="998">
      <c r="A998" s="10" t="s">
        <v>999</v>
      </c>
      <c r="B998" s="17" t="s">
        <v>1000</v>
      </c>
      <c r="C998" s="4" t="s">
        <v>8</v>
      </c>
      <c r="D998" s="5" t="s">
        <v>17</v>
      </c>
      <c r="E998" s="6" t="s">
        <v>1012</v>
      </c>
      <c r="F998" s="7">
        <v>45276.0</v>
      </c>
      <c r="H998" s="11"/>
      <c r="J998" s="18"/>
      <c r="L998" s="18"/>
      <c r="M998" s="23"/>
    </row>
    <row r="999">
      <c r="A999" s="10" t="s">
        <v>999</v>
      </c>
      <c r="B999" s="17" t="s">
        <v>1000</v>
      </c>
      <c r="C999" s="4" t="s">
        <v>3</v>
      </c>
      <c r="D999" s="5" t="s">
        <v>39</v>
      </c>
      <c r="E999" s="6" t="s">
        <v>1013</v>
      </c>
      <c r="F999" s="7">
        <v>45286.0</v>
      </c>
      <c r="H999" s="11"/>
      <c r="J999" s="18"/>
      <c r="L999" s="18"/>
      <c r="M999" s="23"/>
    </row>
    <row r="1000">
      <c r="A1000" s="10" t="s">
        <v>999</v>
      </c>
      <c r="B1000" s="17" t="s">
        <v>1000</v>
      </c>
      <c r="C1000" s="4" t="s">
        <v>3</v>
      </c>
      <c r="D1000" s="5" t="s">
        <v>42</v>
      </c>
      <c r="E1000" s="6" t="s">
        <v>1014</v>
      </c>
      <c r="F1000" s="7">
        <v>45287.0</v>
      </c>
      <c r="H1000" s="11"/>
      <c r="J1000" s="18"/>
      <c r="L1000" s="18"/>
      <c r="M1000" s="23"/>
    </row>
    <row r="1001">
      <c r="A1001" s="10" t="s">
        <v>1015</v>
      </c>
      <c r="B1001" s="17" t="s">
        <v>1016</v>
      </c>
      <c r="C1001" s="4" t="s">
        <v>8</v>
      </c>
      <c r="D1001" s="5" t="s">
        <v>21</v>
      </c>
      <c r="E1001" s="6" t="s">
        <v>1017</v>
      </c>
      <c r="F1001" s="7">
        <v>44976.0</v>
      </c>
      <c r="H1001" s="11"/>
      <c r="J1001" s="18"/>
      <c r="L1001" s="18"/>
      <c r="M1001" s="23"/>
    </row>
    <row r="1002">
      <c r="A1002" s="10" t="s">
        <v>1015</v>
      </c>
      <c r="B1002" s="17" t="s">
        <v>1016</v>
      </c>
      <c r="C1002" s="4" t="s">
        <v>8</v>
      </c>
      <c r="D1002" s="5" t="s">
        <v>76</v>
      </c>
      <c r="E1002" s="6" t="s">
        <v>1018</v>
      </c>
      <c r="F1002" s="7">
        <v>45003.0</v>
      </c>
      <c r="H1002" s="11"/>
      <c r="J1002" s="18"/>
      <c r="L1002" s="18"/>
      <c r="M1002" s="23"/>
    </row>
    <row r="1003">
      <c r="A1003" s="10" t="s">
        <v>1015</v>
      </c>
      <c r="B1003" s="17" t="s">
        <v>1016</v>
      </c>
      <c r="C1003" s="4" t="s">
        <v>8</v>
      </c>
      <c r="D1003" s="5" t="s">
        <v>23</v>
      </c>
      <c r="E1003" s="6" t="s">
        <v>1019</v>
      </c>
      <c r="F1003" s="7">
        <v>45009.0</v>
      </c>
      <c r="H1003" s="11"/>
      <c r="J1003" s="18"/>
      <c r="L1003" s="18"/>
      <c r="M1003" s="23"/>
    </row>
    <row r="1004">
      <c r="A1004" s="10" t="s">
        <v>1015</v>
      </c>
      <c r="B1004" s="17" t="s">
        <v>1016</v>
      </c>
      <c r="C1004" s="4" t="s">
        <v>3</v>
      </c>
      <c r="D1004" s="5" t="s">
        <v>51</v>
      </c>
      <c r="E1004" s="6" t="s">
        <v>415</v>
      </c>
      <c r="F1004" s="7">
        <v>45011.0</v>
      </c>
      <c r="H1004" s="11"/>
      <c r="J1004" s="18"/>
      <c r="L1004" s="18"/>
      <c r="M1004" s="23"/>
    </row>
    <row r="1005">
      <c r="A1005" s="10" t="s">
        <v>1015</v>
      </c>
      <c r="B1005" s="17" t="s">
        <v>1016</v>
      </c>
      <c r="C1005" s="4" t="s">
        <v>8</v>
      </c>
      <c r="D1005" s="5" t="s">
        <v>28</v>
      </c>
      <c r="E1005" s="6" t="s">
        <v>105</v>
      </c>
      <c r="F1005" s="7">
        <v>45054.0</v>
      </c>
      <c r="H1005" s="11"/>
      <c r="J1005" s="18"/>
      <c r="L1005" s="18"/>
      <c r="M1005" s="23"/>
    </row>
    <row r="1006">
      <c r="A1006" s="10" t="s">
        <v>1015</v>
      </c>
      <c r="B1006" s="17" t="s">
        <v>1016</v>
      </c>
      <c r="C1006" s="4" t="s">
        <v>8</v>
      </c>
      <c r="D1006" s="5" t="s">
        <v>4</v>
      </c>
      <c r="E1006" s="6" t="s">
        <v>1020</v>
      </c>
      <c r="F1006" s="7">
        <v>45060.0</v>
      </c>
      <c r="H1006" s="11"/>
      <c r="J1006" s="18"/>
      <c r="L1006" s="18"/>
      <c r="M1006" s="23"/>
    </row>
    <row r="1007">
      <c r="A1007" s="10" t="s">
        <v>1015</v>
      </c>
      <c r="B1007" s="17" t="s">
        <v>1016</v>
      </c>
      <c r="C1007" s="4" t="s">
        <v>8</v>
      </c>
      <c r="D1007" s="5" t="s">
        <v>42</v>
      </c>
      <c r="E1007" s="6" t="s">
        <v>1021</v>
      </c>
      <c r="F1007" s="7">
        <v>45071.0</v>
      </c>
      <c r="H1007" s="11"/>
      <c r="J1007" s="18"/>
      <c r="L1007" s="18"/>
      <c r="M1007" s="23"/>
    </row>
    <row r="1008">
      <c r="A1008" s="10" t="s">
        <v>1015</v>
      </c>
      <c r="B1008" s="17" t="s">
        <v>1016</v>
      </c>
      <c r="C1008" s="4" t="s">
        <v>3</v>
      </c>
      <c r="D1008" s="5" t="s">
        <v>9</v>
      </c>
      <c r="E1008" s="6" t="s">
        <v>291</v>
      </c>
      <c r="F1008" s="7">
        <v>45080.0</v>
      </c>
      <c r="H1008" s="11"/>
      <c r="J1008" s="18"/>
      <c r="L1008" s="18"/>
      <c r="M1008" s="23"/>
    </row>
    <row r="1009">
      <c r="A1009" s="10" t="s">
        <v>1015</v>
      </c>
      <c r="B1009" s="17" t="s">
        <v>1016</v>
      </c>
      <c r="C1009" s="4" t="s">
        <v>8</v>
      </c>
      <c r="D1009" s="5" t="s">
        <v>39</v>
      </c>
      <c r="E1009" s="6" t="s">
        <v>1022</v>
      </c>
      <c r="F1009" s="7">
        <v>45082.0</v>
      </c>
      <c r="H1009" s="11"/>
      <c r="J1009" s="18"/>
      <c r="L1009" s="18"/>
      <c r="M1009" s="23"/>
    </row>
    <row r="1010">
      <c r="A1010" s="10" t="s">
        <v>1015</v>
      </c>
      <c r="B1010" s="17" t="s">
        <v>1016</v>
      </c>
      <c r="C1010" s="4" t="s">
        <v>3</v>
      </c>
      <c r="D1010" s="5" t="s">
        <v>4</v>
      </c>
      <c r="E1010" s="6" t="s">
        <v>1023</v>
      </c>
      <c r="F1010" s="7">
        <v>45114.0</v>
      </c>
      <c r="H1010" s="11"/>
      <c r="J1010" s="18"/>
      <c r="L1010" s="18"/>
      <c r="M1010" s="23"/>
    </row>
    <row r="1011">
      <c r="A1011" s="10" t="s">
        <v>1015</v>
      </c>
      <c r="B1011" s="17" t="s">
        <v>1016</v>
      </c>
      <c r="C1011" s="4" t="s">
        <v>8</v>
      </c>
      <c r="D1011" s="5" t="s">
        <v>6</v>
      </c>
      <c r="E1011" s="6" t="s">
        <v>1024</v>
      </c>
      <c r="F1011" s="7">
        <v>45140.0</v>
      </c>
      <c r="H1011" s="11"/>
      <c r="J1011" s="18"/>
      <c r="L1011" s="18"/>
      <c r="M1011" s="23"/>
    </row>
    <row r="1012">
      <c r="A1012" s="10" t="s">
        <v>1015</v>
      </c>
      <c r="B1012" s="17" t="s">
        <v>1016</v>
      </c>
      <c r="C1012" s="4" t="s">
        <v>8</v>
      </c>
      <c r="D1012" s="5" t="s">
        <v>19</v>
      </c>
      <c r="E1012" s="6" t="s">
        <v>1025</v>
      </c>
      <c r="F1012" s="7">
        <v>45152.0</v>
      </c>
      <c r="H1012" s="11"/>
      <c r="J1012" s="18"/>
      <c r="L1012" s="18"/>
      <c r="M1012" s="23"/>
    </row>
    <row r="1013">
      <c r="A1013" s="10" t="s">
        <v>1015</v>
      </c>
      <c r="B1013" s="17" t="s">
        <v>1016</v>
      </c>
      <c r="C1013" s="4" t="s">
        <v>3</v>
      </c>
      <c r="D1013" s="5" t="s">
        <v>21</v>
      </c>
      <c r="E1013" s="6" t="s">
        <v>1026</v>
      </c>
      <c r="F1013" s="7">
        <v>45189.0</v>
      </c>
      <c r="H1013" s="11"/>
      <c r="J1013" s="18"/>
      <c r="L1013" s="18"/>
      <c r="M1013" s="23"/>
    </row>
    <row r="1014">
      <c r="A1014" s="10" t="s">
        <v>1015</v>
      </c>
      <c r="B1014" s="17" t="s">
        <v>1016</v>
      </c>
      <c r="C1014" s="4" t="s">
        <v>8</v>
      </c>
      <c r="D1014" s="5" t="s">
        <v>6</v>
      </c>
      <c r="E1014" s="6" t="s">
        <v>1027</v>
      </c>
      <c r="F1014" s="7">
        <v>45247.0</v>
      </c>
      <c r="H1014" s="11"/>
      <c r="J1014" s="18"/>
      <c r="L1014" s="18"/>
      <c r="M1014" s="23"/>
    </row>
    <row r="1015">
      <c r="A1015" s="10" t="s">
        <v>1015</v>
      </c>
      <c r="B1015" s="17" t="s">
        <v>1016</v>
      </c>
      <c r="C1015" s="4" t="s">
        <v>3</v>
      </c>
      <c r="D1015" s="5" t="s">
        <v>11</v>
      </c>
      <c r="E1015" s="6" t="s">
        <v>1028</v>
      </c>
      <c r="F1015" s="7">
        <v>45256.0</v>
      </c>
      <c r="H1015" s="11"/>
      <c r="J1015" s="18"/>
      <c r="L1015" s="18"/>
      <c r="M1015" s="23"/>
    </row>
    <row r="1016">
      <c r="A1016" s="10" t="s">
        <v>1015</v>
      </c>
      <c r="B1016" s="17" t="s">
        <v>1016</v>
      </c>
      <c r="C1016" s="4" t="s">
        <v>8</v>
      </c>
      <c r="D1016" s="5" t="s">
        <v>11</v>
      </c>
      <c r="E1016" s="6" t="s">
        <v>1029</v>
      </c>
      <c r="F1016" s="7">
        <v>45263.0</v>
      </c>
      <c r="H1016" s="11"/>
      <c r="J1016" s="18"/>
      <c r="L1016" s="18"/>
      <c r="M1016" s="23"/>
    </row>
    <row r="1017">
      <c r="A1017" s="10" t="s">
        <v>1015</v>
      </c>
      <c r="B1017" s="17" t="s">
        <v>1016</v>
      </c>
      <c r="C1017" s="4" t="s">
        <v>8</v>
      </c>
      <c r="D1017" s="5" t="s">
        <v>35</v>
      </c>
      <c r="E1017" s="6" t="s">
        <v>1030</v>
      </c>
      <c r="F1017" s="7">
        <v>45265.0</v>
      </c>
      <c r="H1017" s="11"/>
      <c r="J1017" s="18"/>
      <c r="L1017" s="18"/>
      <c r="M1017" s="23"/>
    </row>
    <row r="1018">
      <c r="A1018" s="10" t="s">
        <v>1015</v>
      </c>
      <c r="B1018" s="17" t="s">
        <v>1016</v>
      </c>
      <c r="C1018" s="4" t="s">
        <v>3</v>
      </c>
      <c r="D1018" s="5" t="s">
        <v>39</v>
      </c>
      <c r="E1018" s="6" t="s">
        <v>1031</v>
      </c>
      <c r="F1018" s="7">
        <v>45268.0</v>
      </c>
      <c r="H1018" s="11"/>
      <c r="J1018" s="18"/>
      <c r="L1018" s="18"/>
      <c r="M1018" s="23"/>
    </row>
    <row r="1019">
      <c r="A1019" s="10" t="s">
        <v>1015</v>
      </c>
      <c r="B1019" s="17" t="s">
        <v>1016</v>
      </c>
      <c r="C1019" s="4" t="s">
        <v>8</v>
      </c>
      <c r="D1019" s="5" t="s">
        <v>120</v>
      </c>
      <c r="E1019" s="6" t="s">
        <v>1032</v>
      </c>
      <c r="F1019" s="7">
        <v>45272.0</v>
      </c>
      <c r="H1019" s="11"/>
      <c r="J1019" s="18"/>
      <c r="L1019" s="18"/>
      <c r="M1019" s="23"/>
    </row>
    <row r="1020">
      <c r="A1020" s="10" t="s">
        <v>1015</v>
      </c>
      <c r="B1020" s="17" t="s">
        <v>1016</v>
      </c>
      <c r="C1020" s="4" t="s">
        <v>8</v>
      </c>
      <c r="D1020" s="5" t="s">
        <v>28</v>
      </c>
      <c r="E1020" s="6" t="s">
        <v>795</v>
      </c>
      <c r="F1020" s="7">
        <v>45278.0</v>
      </c>
      <c r="H1020" s="11"/>
      <c r="J1020" s="18"/>
      <c r="L1020" s="18"/>
      <c r="M1020" s="23"/>
    </row>
    <row r="1021">
      <c r="A1021" s="10" t="s">
        <v>1033</v>
      </c>
      <c r="B1021" s="17" t="s">
        <v>1034</v>
      </c>
      <c r="C1021" s="4" t="s">
        <v>3</v>
      </c>
      <c r="D1021" s="5" t="s">
        <v>120</v>
      </c>
      <c r="E1021" s="6" t="s">
        <v>1035</v>
      </c>
      <c r="F1021" s="7">
        <v>44946.0</v>
      </c>
      <c r="H1021" s="11"/>
      <c r="J1021" s="18"/>
      <c r="L1021" s="18"/>
      <c r="M1021" s="23"/>
    </row>
    <row r="1022">
      <c r="A1022" s="10" t="s">
        <v>1033</v>
      </c>
      <c r="B1022" s="17" t="s">
        <v>1034</v>
      </c>
      <c r="C1022" s="4" t="s">
        <v>8</v>
      </c>
      <c r="D1022" s="5" t="s">
        <v>4</v>
      </c>
      <c r="E1022" s="6" t="s">
        <v>1036</v>
      </c>
      <c r="F1022" s="7">
        <v>44993.0</v>
      </c>
      <c r="H1022" s="11"/>
      <c r="J1022" s="18"/>
      <c r="L1022" s="18"/>
      <c r="M1022" s="23"/>
    </row>
    <row r="1023">
      <c r="A1023" s="10" t="s">
        <v>1033</v>
      </c>
      <c r="B1023" s="17" t="s">
        <v>1034</v>
      </c>
      <c r="C1023" s="4" t="s">
        <v>3</v>
      </c>
      <c r="D1023" s="5" t="s">
        <v>45</v>
      </c>
      <c r="E1023" s="6" t="s">
        <v>1010</v>
      </c>
      <c r="F1023" s="7">
        <v>44998.0</v>
      </c>
      <c r="H1023" s="11"/>
      <c r="J1023" s="18"/>
      <c r="L1023" s="18"/>
      <c r="M1023" s="23"/>
    </row>
    <row r="1024">
      <c r="A1024" s="10" t="s">
        <v>1033</v>
      </c>
      <c r="B1024" s="17" t="s">
        <v>1034</v>
      </c>
      <c r="C1024" s="4" t="s">
        <v>3</v>
      </c>
      <c r="D1024" s="5" t="s">
        <v>6</v>
      </c>
      <c r="E1024" s="6" t="s">
        <v>1037</v>
      </c>
      <c r="F1024" s="7">
        <v>45021.0</v>
      </c>
      <c r="H1024" s="11"/>
      <c r="J1024" s="18"/>
      <c r="L1024" s="18"/>
      <c r="M1024" s="23"/>
    </row>
    <row r="1025">
      <c r="A1025" s="10" t="s">
        <v>1033</v>
      </c>
      <c r="B1025" s="17" t="s">
        <v>1034</v>
      </c>
      <c r="C1025" s="4" t="s">
        <v>8</v>
      </c>
      <c r="D1025" s="5" t="s">
        <v>13</v>
      </c>
      <c r="E1025" s="6" t="s">
        <v>1038</v>
      </c>
      <c r="F1025" s="7">
        <v>45102.0</v>
      </c>
      <c r="H1025" s="11"/>
      <c r="J1025" s="18"/>
      <c r="L1025" s="18"/>
      <c r="M1025" s="23"/>
    </row>
    <row r="1026">
      <c r="A1026" s="10" t="s">
        <v>1033</v>
      </c>
      <c r="B1026" s="17" t="s">
        <v>1034</v>
      </c>
      <c r="C1026" s="4" t="s">
        <v>3</v>
      </c>
      <c r="D1026" s="5" t="s">
        <v>51</v>
      </c>
      <c r="E1026" s="6" t="s">
        <v>1039</v>
      </c>
      <c r="F1026" s="7">
        <v>45122.0</v>
      </c>
      <c r="H1026" s="11"/>
      <c r="J1026" s="18"/>
      <c r="L1026" s="18"/>
      <c r="M1026" s="23"/>
    </row>
    <row r="1027">
      <c r="A1027" s="10" t="s">
        <v>1033</v>
      </c>
      <c r="B1027" s="17" t="s">
        <v>1034</v>
      </c>
      <c r="C1027" s="4" t="s">
        <v>3</v>
      </c>
      <c r="D1027" s="5" t="s">
        <v>51</v>
      </c>
      <c r="E1027" s="6" t="s">
        <v>1040</v>
      </c>
      <c r="F1027" s="7">
        <v>45143.0</v>
      </c>
      <c r="H1027" s="11"/>
      <c r="J1027" s="18"/>
      <c r="L1027" s="18"/>
      <c r="M1027" s="23"/>
    </row>
    <row r="1028">
      <c r="A1028" s="10" t="s">
        <v>1033</v>
      </c>
      <c r="B1028" s="17" t="s">
        <v>1034</v>
      </c>
      <c r="C1028" s="4" t="s">
        <v>8</v>
      </c>
      <c r="D1028" s="5" t="s">
        <v>35</v>
      </c>
      <c r="E1028" s="6" t="s">
        <v>112</v>
      </c>
      <c r="F1028" s="7">
        <v>45150.0</v>
      </c>
      <c r="H1028" s="11"/>
      <c r="J1028" s="18"/>
      <c r="L1028" s="18"/>
      <c r="M1028" s="23"/>
    </row>
    <row r="1029">
      <c r="A1029" s="10" t="s">
        <v>1033</v>
      </c>
      <c r="B1029" s="17" t="s">
        <v>1034</v>
      </c>
      <c r="C1029" s="4" t="s">
        <v>3</v>
      </c>
      <c r="D1029" s="5" t="s">
        <v>71</v>
      </c>
      <c r="E1029" s="6" t="s">
        <v>799</v>
      </c>
      <c r="F1029" s="7">
        <v>45158.0</v>
      </c>
      <c r="H1029" s="11"/>
      <c r="J1029" s="18"/>
      <c r="L1029" s="18"/>
      <c r="M1029" s="23"/>
    </row>
    <row r="1030">
      <c r="A1030" s="10" t="s">
        <v>1033</v>
      </c>
      <c r="B1030" s="17" t="s">
        <v>1034</v>
      </c>
      <c r="C1030" s="4" t="s">
        <v>3</v>
      </c>
      <c r="D1030" s="5" t="s">
        <v>39</v>
      </c>
      <c r="E1030" s="6" t="s">
        <v>1041</v>
      </c>
      <c r="F1030" s="7">
        <v>45159.0</v>
      </c>
      <c r="H1030" s="11"/>
      <c r="J1030" s="18"/>
      <c r="L1030" s="18"/>
      <c r="M1030" s="23"/>
    </row>
    <row r="1031">
      <c r="A1031" s="10" t="s">
        <v>1033</v>
      </c>
      <c r="B1031" s="17" t="s">
        <v>1034</v>
      </c>
      <c r="C1031" s="4" t="s">
        <v>8</v>
      </c>
      <c r="D1031" s="5" t="s">
        <v>76</v>
      </c>
      <c r="E1031" s="6" t="s">
        <v>1042</v>
      </c>
      <c r="F1031" s="7">
        <v>45200.0</v>
      </c>
      <c r="H1031" s="11"/>
      <c r="J1031" s="18"/>
      <c r="L1031" s="18"/>
      <c r="M1031" s="23"/>
    </row>
    <row r="1032">
      <c r="A1032" s="10" t="s">
        <v>1033</v>
      </c>
      <c r="B1032" s="17" t="s">
        <v>1034</v>
      </c>
      <c r="C1032" s="4" t="s">
        <v>8</v>
      </c>
      <c r="D1032" s="5" t="s">
        <v>23</v>
      </c>
      <c r="E1032" s="6" t="s">
        <v>1043</v>
      </c>
      <c r="F1032" s="7">
        <v>45212.0</v>
      </c>
      <c r="H1032" s="11"/>
      <c r="J1032" s="18"/>
      <c r="L1032" s="18"/>
      <c r="M1032" s="23"/>
    </row>
    <row r="1033">
      <c r="A1033" s="10" t="s">
        <v>1033</v>
      </c>
      <c r="B1033" s="17" t="s">
        <v>1034</v>
      </c>
      <c r="C1033" s="4" t="s">
        <v>3</v>
      </c>
      <c r="D1033" s="5" t="s">
        <v>76</v>
      </c>
      <c r="E1033" s="6" t="s">
        <v>1044</v>
      </c>
      <c r="F1033" s="7">
        <v>45220.0</v>
      </c>
      <c r="H1033" s="11"/>
      <c r="J1033" s="18"/>
      <c r="L1033" s="18"/>
      <c r="M1033" s="23"/>
    </row>
    <row r="1034">
      <c r="A1034" s="10" t="s">
        <v>1033</v>
      </c>
      <c r="B1034" s="17" t="s">
        <v>1034</v>
      </c>
      <c r="C1034" s="4" t="s">
        <v>8</v>
      </c>
      <c r="D1034" s="5" t="s">
        <v>17</v>
      </c>
      <c r="E1034" s="6" t="s">
        <v>338</v>
      </c>
      <c r="F1034" s="7">
        <v>45225.0</v>
      </c>
      <c r="H1034" s="11"/>
      <c r="J1034" s="18"/>
      <c r="L1034" s="18"/>
      <c r="M1034" s="23"/>
    </row>
    <row r="1035">
      <c r="A1035" s="10" t="s">
        <v>1033</v>
      </c>
      <c r="B1035" s="17" t="s">
        <v>1034</v>
      </c>
      <c r="C1035" s="4" t="s">
        <v>3</v>
      </c>
      <c r="D1035" s="5" t="s">
        <v>28</v>
      </c>
      <c r="E1035" s="6" t="s">
        <v>1045</v>
      </c>
      <c r="F1035" s="7">
        <v>45232.0</v>
      </c>
      <c r="H1035" s="11"/>
      <c r="J1035" s="18"/>
      <c r="L1035" s="18"/>
      <c r="M1035" s="23"/>
    </row>
    <row r="1036">
      <c r="A1036" s="10" t="s">
        <v>1033</v>
      </c>
      <c r="B1036" s="17" t="s">
        <v>1034</v>
      </c>
      <c r="C1036" s="4" t="s">
        <v>3</v>
      </c>
      <c r="D1036" s="5" t="s">
        <v>39</v>
      </c>
      <c r="E1036" s="6" t="s">
        <v>1046</v>
      </c>
      <c r="F1036" s="7">
        <v>45232.0</v>
      </c>
      <c r="H1036" s="11"/>
      <c r="J1036" s="18"/>
      <c r="L1036" s="18"/>
      <c r="M1036" s="23"/>
    </row>
    <row r="1037">
      <c r="A1037" s="10" t="s">
        <v>1033</v>
      </c>
      <c r="B1037" s="17" t="s">
        <v>1034</v>
      </c>
      <c r="C1037" s="4" t="s">
        <v>3</v>
      </c>
      <c r="D1037" s="5" t="s">
        <v>96</v>
      </c>
      <c r="E1037" s="6" t="s">
        <v>1047</v>
      </c>
      <c r="F1037" s="7">
        <v>45247.0</v>
      </c>
      <c r="H1037" s="11"/>
      <c r="J1037" s="18"/>
      <c r="L1037" s="18"/>
      <c r="M1037" s="23"/>
    </row>
    <row r="1038">
      <c r="A1038" s="10" t="s">
        <v>1033</v>
      </c>
      <c r="B1038" s="17" t="s">
        <v>1034</v>
      </c>
      <c r="C1038" s="4" t="s">
        <v>3</v>
      </c>
      <c r="D1038" s="5" t="s">
        <v>28</v>
      </c>
      <c r="E1038" s="6" t="s">
        <v>1048</v>
      </c>
      <c r="F1038" s="7">
        <v>45254.0</v>
      </c>
      <c r="H1038" s="11"/>
      <c r="J1038" s="18"/>
      <c r="L1038" s="18"/>
      <c r="M1038" s="23"/>
    </row>
    <row r="1039">
      <c r="A1039" s="10" t="s">
        <v>1033</v>
      </c>
      <c r="B1039" s="17" t="s">
        <v>1034</v>
      </c>
      <c r="C1039" s="4" t="s">
        <v>8</v>
      </c>
      <c r="D1039" s="5" t="s">
        <v>76</v>
      </c>
      <c r="E1039" s="6" t="s">
        <v>1049</v>
      </c>
      <c r="F1039" s="7">
        <v>45261.0</v>
      </c>
      <c r="H1039" s="11"/>
      <c r="J1039" s="18"/>
      <c r="L1039" s="18"/>
      <c r="M1039" s="23"/>
    </row>
    <row r="1040">
      <c r="A1040" s="10" t="s">
        <v>1033</v>
      </c>
      <c r="B1040" s="17" t="s">
        <v>1034</v>
      </c>
      <c r="C1040" s="4" t="s">
        <v>3</v>
      </c>
      <c r="D1040" s="5" t="s">
        <v>35</v>
      </c>
      <c r="E1040" s="6" t="s">
        <v>1050</v>
      </c>
      <c r="F1040" s="7">
        <v>45277.0</v>
      </c>
      <c r="H1040" s="11"/>
      <c r="J1040" s="18"/>
      <c r="L1040" s="18"/>
      <c r="M1040" s="23"/>
    </row>
    <row r="1041">
      <c r="A1041" s="10" t="s">
        <v>1051</v>
      </c>
      <c r="B1041" s="17" t="s">
        <v>1052</v>
      </c>
      <c r="C1041" s="4" t="s">
        <v>3</v>
      </c>
      <c r="D1041" s="5" t="s">
        <v>45</v>
      </c>
      <c r="E1041" s="6" t="s">
        <v>1053</v>
      </c>
      <c r="F1041" s="7">
        <v>44983.0</v>
      </c>
      <c r="H1041" s="11"/>
      <c r="J1041" s="18"/>
      <c r="L1041" s="18"/>
      <c r="M1041" s="23"/>
    </row>
    <row r="1042">
      <c r="A1042" s="10" t="s">
        <v>1051</v>
      </c>
      <c r="B1042" s="17" t="s">
        <v>1052</v>
      </c>
      <c r="C1042" s="4" t="s">
        <v>3</v>
      </c>
      <c r="D1042" s="5" t="s">
        <v>42</v>
      </c>
      <c r="E1042" s="6" t="s">
        <v>505</v>
      </c>
      <c r="F1042" s="7">
        <v>44986.0</v>
      </c>
      <c r="H1042" s="11"/>
      <c r="J1042" s="18"/>
      <c r="L1042" s="18"/>
      <c r="M1042" s="23"/>
    </row>
    <row r="1043">
      <c r="A1043" s="10" t="s">
        <v>1051</v>
      </c>
      <c r="B1043" s="17" t="s">
        <v>1052</v>
      </c>
      <c r="C1043" s="4" t="s">
        <v>3</v>
      </c>
      <c r="D1043" s="5" t="s">
        <v>9</v>
      </c>
      <c r="E1043" s="6" t="s">
        <v>1054</v>
      </c>
      <c r="F1043" s="7">
        <v>45027.0</v>
      </c>
      <c r="H1043" s="11"/>
      <c r="J1043" s="18"/>
      <c r="L1043" s="18"/>
      <c r="M1043" s="23"/>
    </row>
    <row r="1044">
      <c r="A1044" s="10" t="s">
        <v>1051</v>
      </c>
      <c r="B1044" s="17" t="s">
        <v>1052</v>
      </c>
      <c r="C1044" s="4" t="s">
        <v>8</v>
      </c>
      <c r="D1044" s="5" t="s">
        <v>21</v>
      </c>
      <c r="E1044" s="6" t="s">
        <v>1055</v>
      </c>
      <c r="F1044" s="7">
        <v>45039.0</v>
      </c>
      <c r="H1044" s="11"/>
      <c r="J1044" s="18"/>
      <c r="L1044" s="18"/>
      <c r="M1044" s="23"/>
    </row>
    <row r="1045">
      <c r="A1045" s="10" t="s">
        <v>1051</v>
      </c>
      <c r="B1045" s="17" t="s">
        <v>1052</v>
      </c>
      <c r="C1045" s="4" t="s">
        <v>3</v>
      </c>
      <c r="D1045" s="5" t="s">
        <v>51</v>
      </c>
      <c r="E1045" s="6" t="s">
        <v>727</v>
      </c>
      <c r="F1045" s="7">
        <v>45044.0</v>
      </c>
      <c r="H1045" s="11"/>
      <c r="J1045" s="18"/>
      <c r="L1045" s="18"/>
      <c r="M1045" s="23"/>
    </row>
    <row r="1046">
      <c r="A1046" s="10" t="s">
        <v>1051</v>
      </c>
      <c r="B1046" s="17" t="s">
        <v>1052</v>
      </c>
      <c r="C1046" s="4" t="s">
        <v>8</v>
      </c>
      <c r="D1046" s="5" t="s">
        <v>15</v>
      </c>
      <c r="E1046" s="6" t="s">
        <v>321</v>
      </c>
      <c r="F1046" s="7">
        <v>45058.0</v>
      </c>
      <c r="H1046" s="11"/>
      <c r="J1046" s="18"/>
      <c r="L1046" s="18"/>
      <c r="M1046" s="23"/>
    </row>
    <row r="1047">
      <c r="A1047" s="10" t="s">
        <v>1051</v>
      </c>
      <c r="B1047" s="17" t="s">
        <v>1052</v>
      </c>
      <c r="C1047" s="4" t="s">
        <v>3</v>
      </c>
      <c r="D1047" s="5" t="s">
        <v>4</v>
      </c>
      <c r="E1047" s="6" t="s">
        <v>1056</v>
      </c>
      <c r="F1047" s="7">
        <v>45065.0</v>
      </c>
      <c r="H1047" s="11"/>
      <c r="J1047" s="18"/>
      <c r="L1047" s="18"/>
      <c r="M1047" s="23"/>
    </row>
    <row r="1048">
      <c r="A1048" s="10" t="s">
        <v>1051</v>
      </c>
      <c r="B1048" s="17" t="s">
        <v>1052</v>
      </c>
      <c r="C1048" s="4" t="s">
        <v>8</v>
      </c>
      <c r="D1048" s="5" t="s">
        <v>13</v>
      </c>
      <c r="E1048" s="6" t="s">
        <v>1057</v>
      </c>
      <c r="F1048" s="7">
        <v>45081.0</v>
      </c>
      <c r="H1048" s="11"/>
      <c r="J1048" s="18"/>
      <c r="L1048" s="18"/>
      <c r="M1048" s="23"/>
    </row>
    <row r="1049">
      <c r="A1049" s="10" t="s">
        <v>1051</v>
      </c>
      <c r="B1049" s="17" t="s">
        <v>1052</v>
      </c>
      <c r="C1049" s="4" t="s">
        <v>8</v>
      </c>
      <c r="D1049" s="5" t="s">
        <v>76</v>
      </c>
      <c r="E1049" s="6" t="s">
        <v>1058</v>
      </c>
      <c r="F1049" s="7">
        <v>45091.0</v>
      </c>
      <c r="H1049" s="11"/>
      <c r="J1049" s="18"/>
      <c r="L1049" s="18"/>
      <c r="M1049" s="23"/>
    </row>
    <row r="1050">
      <c r="A1050" s="10" t="s">
        <v>1051</v>
      </c>
      <c r="B1050" s="17" t="s">
        <v>1052</v>
      </c>
      <c r="C1050" s="4" t="s">
        <v>8</v>
      </c>
      <c r="D1050" s="5" t="s">
        <v>35</v>
      </c>
      <c r="E1050" s="6" t="s">
        <v>1059</v>
      </c>
      <c r="F1050" s="7">
        <v>45133.0</v>
      </c>
      <c r="H1050" s="11"/>
      <c r="J1050" s="18"/>
      <c r="L1050" s="18"/>
      <c r="M1050" s="23"/>
    </row>
    <row r="1051">
      <c r="A1051" s="10" t="s">
        <v>1051</v>
      </c>
      <c r="B1051" s="17" t="s">
        <v>1052</v>
      </c>
      <c r="C1051" s="4" t="s">
        <v>8</v>
      </c>
      <c r="D1051" s="5" t="s">
        <v>17</v>
      </c>
      <c r="E1051" s="6" t="s">
        <v>366</v>
      </c>
      <c r="F1051" s="7">
        <v>45146.0</v>
      </c>
      <c r="H1051" s="11"/>
      <c r="J1051" s="18"/>
      <c r="L1051" s="18"/>
      <c r="M1051" s="23"/>
    </row>
    <row r="1052">
      <c r="A1052" s="10" t="s">
        <v>1051</v>
      </c>
      <c r="B1052" s="17" t="s">
        <v>1052</v>
      </c>
      <c r="C1052" s="4" t="s">
        <v>3</v>
      </c>
      <c r="D1052" s="5" t="s">
        <v>71</v>
      </c>
      <c r="E1052" s="6" t="s">
        <v>1060</v>
      </c>
      <c r="F1052" s="7">
        <v>45148.0</v>
      </c>
      <c r="H1052" s="11"/>
      <c r="J1052" s="18"/>
      <c r="L1052" s="18"/>
      <c r="M1052" s="23"/>
    </row>
    <row r="1053">
      <c r="A1053" s="10" t="s">
        <v>1051</v>
      </c>
      <c r="B1053" s="17" t="s">
        <v>1052</v>
      </c>
      <c r="C1053" s="4" t="s">
        <v>3</v>
      </c>
      <c r="D1053" s="5" t="s">
        <v>4</v>
      </c>
      <c r="E1053" s="6" t="s">
        <v>1061</v>
      </c>
      <c r="F1053" s="7">
        <v>45153.0</v>
      </c>
      <c r="H1053" s="11"/>
      <c r="J1053" s="18"/>
      <c r="L1053" s="18"/>
      <c r="M1053" s="23"/>
    </row>
    <row r="1054">
      <c r="A1054" s="10" t="s">
        <v>1051</v>
      </c>
      <c r="B1054" s="17" t="s">
        <v>1052</v>
      </c>
      <c r="C1054" s="4" t="s">
        <v>8</v>
      </c>
      <c r="D1054" s="5" t="s">
        <v>51</v>
      </c>
      <c r="E1054" s="6" t="s">
        <v>1062</v>
      </c>
      <c r="F1054" s="7">
        <v>45155.0</v>
      </c>
      <c r="H1054" s="11"/>
      <c r="J1054" s="18"/>
      <c r="L1054" s="18"/>
      <c r="M1054" s="23"/>
    </row>
    <row r="1055">
      <c r="A1055" s="10" t="s">
        <v>1051</v>
      </c>
      <c r="B1055" s="17" t="s">
        <v>1052</v>
      </c>
      <c r="C1055" s="4" t="s">
        <v>8</v>
      </c>
      <c r="D1055" s="5" t="s">
        <v>51</v>
      </c>
      <c r="E1055" s="6" t="s">
        <v>1063</v>
      </c>
      <c r="F1055" s="7">
        <v>45187.0</v>
      </c>
      <c r="H1055" s="11"/>
      <c r="J1055" s="18"/>
      <c r="L1055" s="18"/>
      <c r="M1055" s="23"/>
    </row>
    <row r="1056">
      <c r="A1056" s="10" t="s">
        <v>1051</v>
      </c>
      <c r="B1056" s="17" t="s">
        <v>1052</v>
      </c>
      <c r="C1056" s="4" t="s">
        <v>8</v>
      </c>
      <c r="D1056" s="5" t="s">
        <v>11</v>
      </c>
      <c r="E1056" s="6" t="s">
        <v>1064</v>
      </c>
      <c r="F1056" s="7">
        <v>45189.0</v>
      </c>
      <c r="H1056" s="11"/>
      <c r="J1056" s="18"/>
      <c r="L1056" s="18"/>
      <c r="M1056" s="23"/>
    </row>
    <row r="1057">
      <c r="A1057" s="10" t="s">
        <v>1051</v>
      </c>
      <c r="B1057" s="17" t="s">
        <v>1052</v>
      </c>
      <c r="C1057" s="4" t="s">
        <v>8</v>
      </c>
      <c r="D1057" s="5" t="s">
        <v>13</v>
      </c>
      <c r="E1057" s="6" t="s">
        <v>1065</v>
      </c>
      <c r="F1057" s="7">
        <v>45216.0</v>
      </c>
      <c r="H1057" s="11"/>
      <c r="J1057" s="18"/>
      <c r="L1057" s="18"/>
      <c r="M1057" s="23"/>
    </row>
    <row r="1058">
      <c r="A1058" s="10" t="s">
        <v>1051</v>
      </c>
      <c r="B1058" s="17" t="s">
        <v>1052</v>
      </c>
      <c r="C1058" s="4" t="s">
        <v>3</v>
      </c>
      <c r="D1058" s="5" t="s">
        <v>4</v>
      </c>
      <c r="E1058" s="6" t="s">
        <v>1066</v>
      </c>
      <c r="F1058" s="7">
        <v>45250.0</v>
      </c>
      <c r="H1058" s="11"/>
      <c r="J1058" s="18"/>
      <c r="L1058" s="18"/>
      <c r="M1058" s="23"/>
    </row>
    <row r="1059">
      <c r="A1059" s="10" t="s">
        <v>1051</v>
      </c>
      <c r="B1059" s="17" t="s">
        <v>1052</v>
      </c>
      <c r="C1059" s="4" t="s">
        <v>8</v>
      </c>
      <c r="D1059" s="5" t="s">
        <v>6</v>
      </c>
      <c r="E1059" s="6" t="s">
        <v>1067</v>
      </c>
      <c r="F1059" s="7">
        <v>45261.0</v>
      </c>
      <c r="H1059" s="11"/>
      <c r="J1059" s="18"/>
      <c r="L1059" s="18"/>
      <c r="M1059" s="23"/>
    </row>
    <row r="1060">
      <c r="A1060" s="10" t="s">
        <v>1051</v>
      </c>
      <c r="B1060" s="17" t="s">
        <v>1052</v>
      </c>
      <c r="C1060" s="4" t="s">
        <v>8</v>
      </c>
      <c r="D1060" s="5" t="s">
        <v>4</v>
      </c>
      <c r="E1060" s="6" t="s">
        <v>1068</v>
      </c>
      <c r="F1060" s="7">
        <v>45261.0</v>
      </c>
      <c r="H1060" s="11"/>
      <c r="J1060" s="18"/>
      <c r="L1060" s="18"/>
      <c r="M1060" s="23"/>
    </row>
    <row r="1061">
      <c r="A1061" s="10" t="s">
        <v>1069</v>
      </c>
      <c r="B1061" s="17" t="s">
        <v>1070</v>
      </c>
      <c r="C1061" s="4" t="s">
        <v>3</v>
      </c>
      <c r="D1061" s="5" t="s">
        <v>13</v>
      </c>
      <c r="E1061" s="6" t="s">
        <v>1071</v>
      </c>
      <c r="F1061" s="7">
        <v>44930.0</v>
      </c>
      <c r="H1061" s="11"/>
      <c r="J1061" s="18"/>
      <c r="L1061" s="18"/>
      <c r="M1061" s="23"/>
    </row>
    <row r="1062">
      <c r="A1062" s="10" t="s">
        <v>1069</v>
      </c>
      <c r="B1062" s="17" t="s">
        <v>1070</v>
      </c>
      <c r="C1062" s="4" t="s">
        <v>3</v>
      </c>
      <c r="D1062" s="5" t="s">
        <v>96</v>
      </c>
      <c r="E1062" s="6" t="s">
        <v>1072</v>
      </c>
      <c r="F1062" s="7">
        <v>44945.0</v>
      </c>
      <c r="H1062" s="11"/>
      <c r="J1062" s="18"/>
      <c r="L1062" s="18"/>
      <c r="M1062" s="23"/>
    </row>
    <row r="1063">
      <c r="A1063" s="10" t="s">
        <v>1069</v>
      </c>
      <c r="B1063" s="17" t="s">
        <v>1070</v>
      </c>
      <c r="C1063" s="4" t="s">
        <v>3</v>
      </c>
      <c r="D1063" s="5" t="s">
        <v>28</v>
      </c>
      <c r="E1063" s="6" t="s">
        <v>1073</v>
      </c>
      <c r="F1063" s="7">
        <v>44960.0</v>
      </c>
      <c r="H1063" s="11"/>
      <c r="J1063" s="18"/>
      <c r="L1063" s="18"/>
      <c r="M1063" s="23"/>
    </row>
    <row r="1064">
      <c r="A1064" s="10" t="s">
        <v>1069</v>
      </c>
      <c r="B1064" s="17" t="s">
        <v>1070</v>
      </c>
      <c r="C1064" s="4" t="s">
        <v>8</v>
      </c>
      <c r="D1064" s="5" t="s">
        <v>120</v>
      </c>
      <c r="E1064" s="6" t="s">
        <v>1074</v>
      </c>
      <c r="F1064" s="7">
        <v>44965.0</v>
      </c>
      <c r="H1064" s="11"/>
      <c r="J1064" s="18"/>
      <c r="L1064" s="18"/>
      <c r="M1064" s="23"/>
    </row>
    <row r="1065">
      <c r="A1065" s="10" t="s">
        <v>1069</v>
      </c>
      <c r="B1065" s="17" t="s">
        <v>1070</v>
      </c>
      <c r="C1065" s="4" t="s">
        <v>8</v>
      </c>
      <c r="D1065" s="5" t="s">
        <v>4</v>
      </c>
      <c r="E1065" s="6" t="s">
        <v>1075</v>
      </c>
      <c r="F1065" s="7">
        <v>44979.0</v>
      </c>
      <c r="H1065" s="11"/>
      <c r="J1065" s="18"/>
      <c r="L1065" s="18"/>
      <c r="M1065" s="23"/>
    </row>
    <row r="1066">
      <c r="A1066" s="10" t="s">
        <v>1069</v>
      </c>
      <c r="B1066" s="17" t="s">
        <v>1070</v>
      </c>
      <c r="C1066" s="4" t="s">
        <v>8</v>
      </c>
      <c r="D1066" s="5" t="s">
        <v>28</v>
      </c>
      <c r="E1066" s="6" t="s">
        <v>128</v>
      </c>
      <c r="F1066" s="7">
        <v>44988.0</v>
      </c>
      <c r="H1066" s="11"/>
      <c r="J1066" s="18"/>
      <c r="L1066" s="18"/>
      <c r="M1066" s="23"/>
    </row>
    <row r="1067">
      <c r="A1067" s="10" t="s">
        <v>1069</v>
      </c>
      <c r="B1067" s="17" t="s">
        <v>1070</v>
      </c>
      <c r="C1067" s="4" t="s">
        <v>8</v>
      </c>
      <c r="D1067" s="5" t="s">
        <v>13</v>
      </c>
      <c r="E1067" s="6" t="s">
        <v>1076</v>
      </c>
      <c r="F1067" s="7">
        <v>45005.0</v>
      </c>
      <c r="H1067" s="11"/>
      <c r="J1067" s="18"/>
      <c r="L1067" s="18"/>
      <c r="M1067" s="23"/>
    </row>
    <row r="1068">
      <c r="A1068" s="10" t="s">
        <v>1069</v>
      </c>
      <c r="B1068" s="17" t="s">
        <v>1070</v>
      </c>
      <c r="C1068" s="4" t="s">
        <v>8</v>
      </c>
      <c r="D1068" s="5" t="s">
        <v>42</v>
      </c>
      <c r="E1068" s="6" t="s">
        <v>1014</v>
      </c>
      <c r="F1068" s="7">
        <v>45009.0</v>
      </c>
      <c r="H1068" s="11"/>
      <c r="J1068" s="18"/>
      <c r="L1068" s="18"/>
      <c r="M1068" s="23"/>
    </row>
    <row r="1069">
      <c r="A1069" s="10" t="s">
        <v>1069</v>
      </c>
      <c r="B1069" s="17" t="s">
        <v>1070</v>
      </c>
      <c r="C1069" s="4" t="s">
        <v>8</v>
      </c>
      <c r="D1069" s="5" t="s">
        <v>4</v>
      </c>
      <c r="E1069" s="6" t="s">
        <v>1077</v>
      </c>
      <c r="F1069" s="7">
        <v>45051.0</v>
      </c>
      <c r="H1069" s="11"/>
      <c r="J1069" s="18"/>
      <c r="L1069" s="18"/>
      <c r="M1069" s="23"/>
    </row>
    <row r="1070">
      <c r="A1070" s="10" t="s">
        <v>1069</v>
      </c>
      <c r="B1070" s="17" t="s">
        <v>1070</v>
      </c>
      <c r="C1070" s="4" t="s">
        <v>3</v>
      </c>
      <c r="D1070" s="5" t="s">
        <v>17</v>
      </c>
      <c r="E1070" s="6" t="s">
        <v>1078</v>
      </c>
      <c r="F1070" s="7">
        <v>45071.0</v>
      </c>
      <c r="H1070" s="11"/>
      <c r="J1070" s="18"/>
      <c r="L1070" s="18"/>
      <c r="M1070" s="23"/>
    </row>
    <row r="1071">
      <c r="A1071" s="10" t="s">
        <v>1069</v>
      </c>
      <c r="B1071" s="17" t="s">
        <v>1070</v>
      </c>
      <c r="C1071" s="4" t="s">
        <v>8</v>
      </c>
      <c r="D1071" s="5" t="s">
        <v>15</v>
      </c>
      <c r="E1071" s="6" t="s">
        <v>644</v>
      </c>
      <c r="F1071" s="7">
        <v>45091.0</v>
      </c>
      <c r="H1071" s="11"/>
      <c r="J1071" s="18"/>
      <c r="L1071" s="18"/>
      <c r="M1071" s="23"/>
    </row>
    <row r="1072">
      <c r="A1072" s="10" t="s">
        <v>1069</v>
      </c>
      <c r="B1072" s="17" t="s">
        <v>1070</v>
      </c>
      <c r="C1072" s="4" t="s">
        <v>3</v>
      </c>
      <c r="D1072" s="5" t="s">
        <v>17</v>
      </c>
      <c r="E1072" s="6" t="s">
        <v>1079</v>
      </c>
      <c r="F1072" s="7">
        <v>45126.0</v>
      </c>
      <c r="H1072" s="11"/>
      <c r="J1072" s="18"/>
      <c r="L1072" s="18"/>
      <c r="M1072" s="23"/>
    </row>
    <row r="1073">
      <c r="A1073" s="10" t="s">
        <v>1069</v>
      </c>
      <c r="B1073" s="17" t="s">
        <v>1070</v>
      </c>
      <c r="C1073" s="4" t="s">
        <v>8</v>
      </c>
      <c r="D1073" s="5" t="s">
        <v>13</v>
      </c>
      <c r="E1073" s="6" t="s">
        <v>679</v>
      </c>
      <c r="F1073" s="7">
        <v>45144.0</v>
      </c>
      <c r="H1073" s="11"/>
      <c r="J1073" s="18"/>
      <c r="L1073" s="18"/>
      <c r="M1073" s="23"/>
    </row>
    <row r="1074">
      <c r="A1074" s="10" t="s">
        <v>1069</v>
      </c>
      <c r="B1074" s="17" t="s">
        <v>1070</v>
      </c>
      <c r="C1074" s="4" t="s">
        <v>3</v>
      </c>
      <c r="D1074" s="5" t="s">
        <v>28</v>
      </c>
      <c r="E1074" s="6" t="s">
        <v>1073</v>
      </c>
      <c r="F1074" s="7">
        <v>45145.0</v>
      </c>
      <c r="H1074" s="11"/>
      <c r="J1074" s="18"/>
      <c r="L1074" s="18"/>
      <c r="M1074" s="23"/>
    </row>
    <row r="1075">
      <c r="A1075" s="10" t="s">
        <v>1069</v>
      </c>
      <c r="B1075" s="17" t="s">
        <v>1070</v>
      </c>
      <c r="C1075" s="4" t="s">
        <v>3</v>
      </c>
      <c r="D1075" s="5" t="s">
        <v>6</v>
      </c>
      <c r="E1075" s="6" t="s">
        <v>1080</v>
      </c>
      <c r="F1075" s="7">
        <v>45148.0</v>
      </c>
      <c r="H1075" s="11"/>
      <c r="J1075" s="18"/>
      <c r="L1075" s="18"/>
      <c r="M1075" s="23"/>
    </row>
    <row r="1076">
      <c r="A1076" s="10" t="s">
        <v>1069</v>
      </c>
      <c r="B1076" s="17" t="s">
        <v>1070</v>
      </c>
      <c r="C1076" s="4" t="s">
        <v>8</v>
      </c>
      <c r="D1076" s="5" t="s">
        <v>19</v>
      </c>
      <c r="E1076" s="6" t="s">
        <v>1081</v>
      </c>
      <c r="F1076" s="7">
        <v>45184.0</v>
      </c>
      <c r="H1076" s="11"/>
      <c r="J1076" s="18"/>
      <c r="L1076" s="18"/>
      <c r="M1076" s="23"/>
    </row>
    <row r="1077">
      <c r="A1077" s="10" t="s">
        <v>1069</v>
      </c>
      <c r="B1077" s="17" t="s">
        <v>1070</v>
      </c>
      <c r="C1077" s="4" t="s">
        <v>3</v>
      </c>
      <c r="D1077" s="5" t="s">
        <v>19</v>
      </c>
      <c r="E1077" s="6" t="s">
        <v>234</v>
      </c>
      <c r="F1077" s="7">
        <v>45188.0</v>
      </c>
      <c r="H1077" s="11"/>
      <c r="J1077" s="18"/>
      <c r="L1077" s="18"/>
      <c r="M1077" s="23"/>
    </row>
    <row r="1078">
      <c r="A1078" s="10" t="s">
        <v>1069</v>
      </c>
      <c r="B1078" s="17" t="s">
        <v>1070</v>
      </c>
      <c r="C1078" s="4" t="s">
        <v>8</v>
      </c>
      <c r="D1078" s="5" t="s">
        <v>96</v>
      </c>
      <c r="E1078" s="6" t="s">
        <v>1082</v>
      </c>
      <c r="F1078" s="7">
        <v>45202.0</v>
      </c>
      <c r="H1078" s="11"/>
      <c r="J1078" s="18"/>
      <c r="L1078" s="18"/>
      <c r="M1078" s="23"/>
    </row>
    <row r="1079">
      <c r="A1079" s="10" t="s">
        <v>1069</v>
      </c>
      <c r="B1079" s="17" t="s">
        <v>1070</v>
      </c>
      <c r="C1079" s="4" t="s">
        <v>3</v>
      </c>
      <c r="D1079" s="5" t="s">
        <v>23</v>
      </c>
      <c r="E1079" s="6" t="s">
        <v>1083</v>
      </c>
      <c r="F1079" s="7">
        <v>45242.0</v>
      </c>
      <c r="H1079" s="11"/>
      <c r="J1079" s="18"/>
      <c r="L1079" s="18"/>
      <c r="M1079" s="23"/>
    </row>
    <row r="1080">
      <c r="A1080" s="10" t="s">
        <v>1069</v>
      </c>
      <c r="B1080" s="17" t="s">
        <v>1070</v>
      </c>
      <c r="C1080" s="4" t="s">
        <v>8</v>
      </c>
      <c r="D1080" s="5" t="s">
        <v>28</v>
      </c>
      <c r="E1080" s="6" t="s">
        <v>43</v>
      </c>
      <c r="F1080" s="7">
        <v>45267.0</v>
      </c>
      <c r="H1080" s="11"/>
      <c r="J1080" s="18"/>
      <c r="L1080" s="18"/>
      <c r="M1080" s="23"/>
    </row>
    <row r="1081">
      <c r="A1081" s="10" t="s">
        <v>1084</v>
      </c>
      <c r="B1081" s="17" t="s">
        <v>1085</v>
      </c>
      <c r="C1081" s="4" t="s">
        <v>3</v>
      </c>
      <c r="D1081" s="5" t="s">
        <v>4</v>
      </c>
      <c r="E1081" s="6" t="s">
        <v>1086</v>
      </c>
      <c r="F1081" s="7">
        <v>44953.0</v>
      </c>
      <c r="H1081" s="11"/>
      <c r="J1081" s="18"/>
      <c r="L1081" s="18"/>
      <c r="M1081" s="23"/>
    </row>
    <row r="1082">
      <c r="A1082" s="10" t="s">
        <v>1084</v>
      </c>
      <c r="B1082" s="17" t="s">
        <v>1085</v>
      </c>
      <c r="C1082" s="4" t="s">
        <v>3</v>
      </c>
      <c r="D1082" s="5" t="s">
        <v>15</v>
      </c>
      <c r="E1082" s="6" t="s">
        <v>488</v>
      </c>
      <c r="F1082" s="7">
        <v>44959.0</v>
      </c>
      <c r="H1082" s="11"/>
      <c r="J1082" s="18"/>
      <c r="L1082" s="18"/>
      <c r="M1082" s="23"/>
    </row>
    <row r="1083">
      <c r="A1083" s="10" t="s">
        <v>1084</v>
      </c>
      <c r="B1083" s="17" t="s">
        <v>1085</v>
      </c>
      <c r="C1083" s="4" t="s">
        <v>3</v>
      </c>
      <c r="D1083" s="5" t="s">
        <v>42</v>
      </c>
      <c r="E1083" s="6" t="s">
        <v>1087</v>
      </c>
      <c r="F1083" s="7">
        <v>44985.0</v>
      </c>
      <c r="H1083" s="11"/>
      <c r="J1083" s="18"/>
      <c r="L1083" s="18"/>
      <c r="M1083" s="23"/>
    </row>
    <row r="1084">
      <c r="A1084" s="10" t="s">
        <v>1084</v>
      </c>
      <c r="B1084" s="17" t="s">
        <v>1085</v>
      </c>
      <c r="C1084" s="4" t="s">
        <v>8</v>
      </c>
      <c r="D1084" s="5" t="s">
        <v>19</v>
      </c>
      <c r="E1084" s="6" t="s">
        <v>1088</v>
      </c>
      <c r="F1084" s="7">
        <v>45009.0</v>
      </c>
      <c r="H1084" s="11"/>
      <c r="J1084" s="18"/>
      <c r="L1084" s="18"/>
      <c r="M1084" s="23"/>
    </row>
    <row r="1085">
      <c r="A1085" s="10" t="s">
        <v>1084</v>
      </c>
      <c r="B1085" s="17" t="s">
        <v>1085</v>
      </c>
      <c r="C1085" s="4" t="s">
        <v>8</v>
      </c>
      <c r="D1085" s="5" t="s">
        <v>13</v>
      </c>
      <c r="E1085" s="6" t="s">
        <v>1089</v>
      </c>
      <c r="F1085" s="7">
        <v>45025.0</v>
      </c>
      <c r="H1085" s="11"/>
      <c r="J1085" s="18"/>
      <c r="L1085" s="18"/>
      <c r="M1085" s="23"/>
    </row>
    <row r="1086">
      <c r="A1086" s="10" t="s">
        <v>1084</v>
      </c>
      <c r="B1086" s="17" t="s">
        <v>1085</v>
      </c>
      <c r="C1086" s="4" t="s">
        <v>8</v>
      </c>
      <c r="D1086" s="5" t="s">
        <v>4</v>
      </c>
      <c r="E1086" s="6" t="s">
        <v>1090</v>
      </c>
      <c r="F1086" s="7">
        <v>45036.0</v>
      </c>
      <c r="H1086" s="11"/>
      <c r="J1086" s="18"/>
      <c r="L1086" s="18"/>
      <c r="M1086" s="23"/>
    </row>
    <row r="1087">
      <c r="A1087" s="10" t="s">
        <v>1084</v>
      </c>
      <c r="B1087" s="17" t="s">
        <v>1085</v>
      </c>
      <c r="C1087" s="4" t="s">
        <v>3</v>
      </c>
      <c r="D1087" s="5" t="s">
        <v>96</v>
      </c>
      <c r="E1087" s="6" t="s">
        <v>1091</v>
      </c>
      <c r="F1087" s="7">
        <v>45094.0</v>
      </c>
      <c r="H1087" s="11"/>
      <c r="J1087" s="18"/>
      <c r="L1087" s="18"/>
      <c r="M1087" s="23"/>
    </row>
    <row r="1088">
      <c r="A1088" s="10" t="s">
        <v>1084</v>
      </c>
      <c r="B1088" s="17" t="s">
        <v>1085</v>
      </c>
      <c r="C1088" s="4" t="s">
        <v>8</v>
      </c>
      <c r="D1088" s="5" t="s">
        <v>19</v>
      </c>
      <c r="E1088" s="6" t="s">
        <v>1092</v>
      </c>
      <c r="F1088" s="7">
        <v>45108.0</v>
      </c>
      <c r="H1088" s="11"/>
      <c r="J1088" s="18"/>
      <c r="L1088" s="18"/>
      <c r="M1088" s="23"/>
    </row>
    <row r="1089">
      <c r="A1089" s="10" t="s">
        <v>1084</v>
      </c>
      <c r="B1089" s="17" t="s">
        <v>1085</v>
      </c>
      <c r="C1089" s="4" t="s">
        <v>8</v>
      </c>
      <c r="D1089" s="5" t="s">
        <v>42</v>
      </c>
      <c r="E1089" s="6" t="s">
        <v>1054</v>
      </c>
      <c r="F1089" s="7">
        <v>45113.0</v>
      </c>
      <c r="H1089" s="11"/>
      <c r="J1089" s="18"/>
      <c r="L1089" s="18"/>
      <c r="M1089" s="23"/>
    </row>
    <row r="1090">
      <c r="A1090" s="10" t="s">
        <v>1084</v>
      </c>
      <c r="B1090" s="17" t="s">
        <v>1085</v>
      </c>
      <c r="C1090" s="4" t="s">
        <v>3</v>
      </c>
      <c r="D1090" s="5" t="s">
        <v>9</v>
      </c>
      <c r="E1090" s="6" t="s">
        <v>696</v>
      </c>
      <c r="F1090" s="7">
        <v>45123.0</v>
      </c>
      <c r="H1090" s="11"/>
      <c r="J1090" s="18"/>
      <c r="L1090" s="18"/>
      <c r="M1090" s="23"/>
    </row>
    <row r="1091">
      <c r="A1091" s="10" t="s">
        <v>1084</v>
      </c>
      <c r="B1091" s="17" t="s">
        <v>1085</v>
      </c>
      <c r="C1091" s="4" t="s">
        <v>3</v>
      </c>
      <c r="D1091" s="5" t="s">
        <v>17</v>
      </c>
      <c r="E1091" s="6" t="s">
        <v>1012</v>
      </c>
      <c r="F1091" s="7">
        <v>45160.0</v>
      </c>
      <c r="H1091" s="11"/>
      <c r="J1091" s="18"/>
      <c r="L1091" s="18"/>
      <c r="M1091" s="23"/>
    </row>
    <row r="1092">
      <c r="A1092" s="10" t="s">
        <v>1084</v>
      </c>
      <c r="B1092" s="17" t="s">
        <v>1085</v>
      </c>
      <c r="C1092" s="4" t="s">
        <v>8</v>
      </c>
      <c r="D1092" s="5" t="s">
        <v>120</v>
      </c>
      <c r="E1092" s="6" t="s">
        <v>1093</v>
      </c>
      <c r="F1092" s="7">
        <v>45177.0</v>
      </c>
      <c r="H1092" s="11"/>
      <c r="J1092" s="18"/>
      <c r="L1092" s="18"/>
      <c r="M1092" s="23"/>
    </row>
    <row r="1093">
      <c r="A1093" s="10" t="s">
        <v>1084</v>
      </c>
      <c r="B1093" s="17" t="s">
        <v>1085</v>
      </c>
      <c r="C1093" s="4" t="s">
        <v>8</v>
      </c>
      <c r="D1093" s="5" t="s">
        <v>28</v>
      </c>
      <c r="E1093" s="6" t="s">
        <v>345</v>
      </c>
      <c r="F1093" s="7">
        <v>45183.0</v>
      </c>
      <c r="H1093" s="11"/>
      <c r="J1093" s="18"/>
      <c r="L1093" s="18"/>
      <c r="M1093" s="23"/>
    </row>
    <row r="1094">
      <c r="A1094" s="10" t="s">
        <v>1084</v>
      </c>
      <c r="B1094" s="17" t="s">
        <v>1085</v>
      </c>
      <c r="C1094" s="4" t="s">
        <v>3</v>
      </c>
      <c r="D1094" s="5" t="s">
        <v>39</v>
      </c>
      <c r="E1094" s="6" t="s">
        <v>1094</v>
      </c>
      <c r="F1094" s="7">
        <v>45186.0</v>
      </c>
      <c r="H1094" s="11"/>
      <c r="J1094" s="18"/>
      <c r="L1094" s="18"/>
      <c r="M1094" s="23"/>
    </row>
    <row r="1095">
      <c r="A1095" s="10" t="s">
        <v>1084</v>
      </c>
      <c r="B1095" s="17" t="s">
        <v>1085</v>
      </c>
      <c r="C1095" s="4" t="s">
        <v>8</v>
      </c>
      <c r="D1095" s="5" t="s">
        <v>15</v>
      </c>
      <c r="E1095" s="6" t="s">
        <v>733</v>
      </c>
      <c r="F1095" s="7">
        <v>45202.0</v>
      </c>
      <c r="H1095" s="11"/>
      <c r="J1095" s="18"/>
      <c r="L1095" s="18"/>
      <c r="M1095" s="23"/>
    </row>
    <row r="1096">
      <c r="A1096" s="10" t="s">
        <v>1084</v>
      </c>
      <c r="B1096" s="17" t="s">
        <v>1085</v>
      </c>
      <c r="C1096" s="4" t="s">
        <v>8</v>
      </c>
      <c r="D1096" s="5" t="s">
        <v>35</v>
      </c>
      <c r="E1096" s="6" t="s">
        <v>1095</v>
      </c>
      <c r="F1096" s="7">
        <v>45234.0</v>
      </c>
      <c r="H1096" s="11"/>
      <c r="J1096" s="18"/>
      <c r="L1096" s="18"/>
      <c r="M1096" s="23"/>
    </row>
    <row r="1097">
      <c r="A1097" s="10" t="s">
        <v>1084</v>
      </c>
      <c r="B1097" s="17" t="s">
        <v>1085</v>
      </c>
      <c r="C1097" s="4" t="s">
        <v>8</v>
      </c>
      <c r="D1097" s="5" t="s">
        <v>23</v>
      </c>
      <c r="E1097" s="6" t="s">
        <v>1096</v>
      </c>
      <c r="F1097" s="7">
        <v>45235.0</v>
      </c>
      <c r="H1097" s="11"/>
      <c r="J1097" s="18"/>
      <c r="L1097" s="18"/>
      <c r="M1097" s="23"/>
    </row>
    <row r="1098">
      <c r="A1098" s="10" t="s">
        <v>1084</v>
      </c>
      <c r="B1098" s="17" t="s">
        <v>1085</v>
      </c>
      <c r="C1098" s="4" t="s">
        <v>8</v>
      </c>
      <c r="D1098" s="5" t="s">
        <v>15</v>
      </c>
      <c r="E1098" s="6" t="s">
        <v>1097</v>
      </c>
      <c r="F1098" s="7">
        <v>45237.0</v>
      </c>
      <c r="H1098" s="11"/>
      <c r="J1098" s="18"/>
      <c r="L1098" s="18"/>
      <c r="M1098" s="23"/>
    </row>
    <row r="1099">
      <c r="A1099" s="10" t="s">
        <v>1084</v>
      </c>
      <c r="B1099" s="17" t="s">
        <v>1085</v>
      </c>
      <c r="C1099" s="4" t="s">
        <v>3</v>
      </c>
      <c r="D1099" s="5" t="s">
        <v>19</v>
      </c>
      <c r="E1099" s="6" t="s">
        <v>1098</v>
      </c>
      <c r="F1099" s="7">
        <v>45240.0</v>
      </c>
      <c r="H1099" s="11"/>
      <c r="J1099" s="18"/>
      <c r="L1099" s="18"/>
      <c r="M1099" s="23"/>
    </row>
    <row r="1100">
      <c r="A1100" s="10" t="s">
        <v>1084</v>
      </c>
      <c r="B1100" s="17" t="s">
        <v>1085</v>
      </c>
      <c r="C1100" s="4" t="s">
        <v>8</v>
      </c>
      <c r="D1100" s="5" t="s">
        <v>4</v>
      </c>
      <c r="E1100" s="6" t="s">
        <v>1099</v>
      </c>
      <c r="F1100" s="7">
        <v>45287.0</v>
      </c>
      <c r="H1100" s="11"/>
      <c r="J1100" s="18"/>
      <c r="L1100" s="18"/>
      <c r="M1100" s="23"/>
    </row>
    <row r="1101">
      <c r="A1101" s="10" t="s">
        <v>1100</v>
      </c>
      <c r="B1101" s="17" t="s">
        <v>1101</v>
      </c>
      <c r="C1101" s="4" t="s">
        <v>3</v>
      </c>
      <c r="D1101" s="5" t="s">
        <v>96</v>
      </c>
      <c r="E1101" s="6" t="s">
        <v>1102</v>
      </c>
      <c r="F1101" s="7">
        <v>44937.0</v>
      </c>
      <c r="H1101" s="11"/>
      <c r="J1101" s="18"/>
      <c r="L1101" s="18"/>
      <c r="M1101" s="23"/>
    </row>
    <row r="1102">
      <c r="A1102" s="10" t="s">
        <v>1100</v>
      </c>
      <c r="B1102" s="17" t="s">
        <v>1101</v>
      </c>
      <c r="C1102" s="4" t="s">
        <v>3</v>
      </c>
      <c r="D1102" s="5" t="s">
        <v>13</v>
      </c>
      <c r="E1102" s="6" t="s">
        <v>1103</v>
      </c>
      <c r="F1102" s="7">
        <v>44964.0</v>
      </c>
      <c r="H1102" s="11"/>
      <c r="J1102" s="18"/>
      <c r="L1102" s="18"/>
      <c r="M1102" s="23"/>
    </row>
    <row r="1103">
      <c r="A1103" s="10" t="s">
        <v>1100</v>
      </c>
      <c r="B1103" s="17" t="s">
        <v>1101</v>
      </c>
      <c r="C1103" s="4" t="s">
        <v>8</v>
      </c>
      <c r="D1103" s="5" t="s">
        <v>13</v>
      </c>
      <c r="E1103" s="6" t="s">
        <v>1104</v>
      </c>
      <c r="F1103" s="7">
        <v>44989.0</v>
      </c>
      <c r="H1103" s="11"/>
      <c r="J1103" s="18"/>
      <c r="L1103" s="18"/>
      <c r="M1103" s="23"/>
    </row>
    <row r="1104">
      <c r="A1104" s="10" t="s">
        <v>1100</v>
      </c>
      <c r="B1104" s="17" t="s">
        <v>1101</v>
      </c>
      <c r="C1104" s="4" t="s">
        <v>3</v>
      </c>
      <c r="D1104" s="5" t="s">
        <v>4</v>
      </c>
      <c r="E1104" s="6" t="s">
        <v>1105</v>
      </c>
      <c r="F1104" s="7">
        <v>44999.0</v>
      </c>
      <c r="H1104" s="11"/>
      <c r="J1104" s="18"/>
      <c r="L1104" s="18"/>
      <c r="M1104" s="23"/>
    </row>
    <row r="1105">
      <c r="A1105" s="10" t="s">
        <v>1100</v>
      </c>
      <c r="B1105" s="17" t="s">
        <v>1101</v>
      </c>
      <c r="C1105" s="4" t="s">
        <v>8</v>
      </c>
      <c r="D1105" s="5" t="s">
        <v>35</v>
      </c>
      <c r="E1105" s="6" t="s">
        <v>1106</v>
      </c>
      <c r="F1105" s="7">
        <v>45038.0</v>
      </c>
      <c r="H1105" s="11"/>
      <c r="J1105" s="18"/>
      <c r="L1105" s="18"/>
      <c r="M1105" s="23"/>
    </row>
    <row r="1106">
      <c r="A1106" s="10" t="s">
        <v>1100</v>
      </c>
      <c r="B1106" s="17" t="s">
        <v>1101</v>
      </c>
      <c r="C1106" s="4" t="s">
        <v>3</v>
      </c>
      <c r="D1106" s="5" t="s">
        <v>120</v>
      </c>
      <c r="E1106" s="6" t="s">
        <v>1107</v>
      </c>
      <c r="F1106" s="7">
        <v>45058.0</v>
      </c>
      <c r="H1106" s="11"/>
      <c r="J1106" s="18"/>
      <c r="L1106" s="18"/>
      <c r="M1106" s="23"/>
    </row>
    <row r="1107">
      <c r="A1107" s="10" t="s">
        <v>1100</v>
      </c>
      <c r="B1107" s="17" t="s">
        <v>1101</v>
      </c>
      <c r="C1107" s="4" t="s">
        <v>8</v>
      </c>
      <c r="D1107" s="5" t="s">
        <v>45</v>
      </c>
      <c r="E1107" s="6" t="s">
        <v>1108</v>
      </c>
      <c r="F1107" s="7">
        <v>45073.0</v>
      </c>
      <c r="H1107" s="11"/>
      <c r="J1107" s="18"/>
      <c r="L1107" s="18"/>
      <c r="M1107" s="23"/>
    </row>
    <row r="1108">
      <c r="A1108" s="10" t="s">
        <v>1100</v>
      </c>
      <c r="B1108" s="17" t="s">
        <v>1101</v>
      </c>
      <c r="C1108" s="4" t="s">
        <v>8</v>
      </c>
      <c r="D1108" s="5" t="s">
        <v>15</v>
      </c>
      <c r="E1108" s="6" t="s">
        <v>1109</v>
      </c>
      <c r="F1108" s="7">
        <v>45084.0</v>
      </c>
      <c r="H1108" s="11"/>
      <c r="J1108" s="18"/>
      <c r="L1108" s="18"/>
      <c r="M1108" s="23"/>
    </row>
    <row r="1109">
      <c r="A1109" s="10" t="s">
        <v>1100</v>
      </c>
      <c r="B1109" s="17" t="s">
        <v>1101</v>
      </c>
      <c r="C1109" s="4" t="s">
        <v>3</v>
      </c>
      <c r="D1109" s="5" t="s">
        <v>120</v>
      </c>
      <c r="E1109" s="6" t="s">
        <v>861</v>
      </c>
      <c r="F1109" s="7">
        <v>45103.0</v>
      </c>
      <c r="H1109" s="11"/>
      <c r="J1109" s="18"/>
      <c r="L1109" s="18"/>
      <c r="M1109" s="23"/>
    </row>
    <row r="1110">
      <c r="A1110" s="10" t="s">
        <v>1100</v>
      </c>
      <c r="B1110" s="17" t="s">
        <v>1101</v>
      </c>
      <c r="C1110" s="4" t="s">
        <v>8</v>
      </c>
      <c r="D1110" s="5" t="s">
        <v>21</v>
      </c>
      <c r="E1110" s="6" t="s">
        <v>647</v>
      </c>
      <c r="F1110" s="7">
        <v>45110.0</v>
      </c>
      <c r="H1110" s="11"/>
      <c r="J1110" s="18"/>
      <c r="L1110" s="18"/>
      <c r="M1110" s="23"/>
    </row>
    <row r="1111">
      <c r="A1111" s="10" t="s">
        <v>1100</v>
      </c>
      <c r="B1111" s="17" t="s">
        <v>1101</v>
      </c>
      <c r="C1111" s="4" t="s">
        <v>8</v>
      </c>
      <c r="D1111" s="5" t="s">
        <v>21</v>
      </c>
      <c r="E1111" s="6" t="s">
        <v>1110</v>
      </c>
      <c r="F1111" s="7">
        <v>45182.0</v>
      </c>
      <c r="H1111" s="11"/>
      <c r="J1111" s="18"/>
      <c r="L1111" s="18"/>
      <c r="M1111" s="23"/>
    </row>
    <row r="1112">
      <c r="A1112" s="10" t="s">
        <v>1100</v>
      </c>
      <c r="B1112" s="17" t="s">
        <v>1101</v>
      </c>
      <c r="C1112" s="4" t="s">
        <v>3</v>
      </c>
      <c r="D1112" s="5" t="s">
        <v>21</v>
      </c>
      <c r="E1112" s="6" t="s">
        <v>1111</v>
      </c>
      <c r="F1112" s="7">
        <v>45212.0</v>
      </c>
      <c r="H1112" s="11"/>
      <c r="J1112" s="18"/>
      <c r="L1112" s="18"/>
      <c r="M1112" s="23"/>
    </row>
    <row r="1113">
      <c r="A1113" s="10" t="s">
        <v>1100</v>
      </c>
      <c r="B1113" s="17" t="s">
        <v>1101</v>
      </c>
      <c r="C1113" s="4" t="s">
        <v>8</v>
      </c>
      <c r="D1113" s="5" t="s">
        <v>9</v>
      </c>
      <c r="E1113" s="6" t="s">
        <v>768</v>
      </c>
      <c r="F1113" s="7">
        <v>45217.0</v>
      </c>
      <c r="H1113" s="11"/>
      <c r="J1113" s="18"/>
      <c r="L1113" s="18"/>
      <c r="M1113" s="23"/>
    </row>
    <row r="1114">
      <c r="A1114" s="10" t="s">
        <v>1100</v>
      </c>
      <c r="B1114" s="17" t="s">
        <v>1101</v>
      </c>
      <c r="C1114" s="4" t="s">
        <v>8</v>
      </c>
      <c r="D1114" s="5" t="s">
        <v>45</v>
      </c>
      <c r="E1114" s="6" t="s">
        <v>1112</v>
      </c>
      <c r="F1114" s="7">
        <v>45219.0</v>
      </c>
      <c r="H1114" s="11"/>
      <c r="J1114" s="18"/>
      <c r="L1114" s="18"/>
      <c r="M1114" s="23"/>
    </row>
    <row r="1115">
      <c r="A1115" s="10" t="s">
        <v>1100</v>
      </c>
      <c r="B1115" s="17" t="s">
        <v>1101</v>
      </c>
      <c r="C1115" s="4" t="s">
        <v>3</v>
      </c>
      <c r="D1115" s="5" t="s">
        <v>17</v>
      </c>
      <c r="E1115" s="6" t="s">
        <v>1113</v>
      </c>
      <c r="F1115" s="7">
        <v>45220.0</v>
      </c>
      <c r="H1115" s="11"/>
      <c r="J1115" s="18"/>
      <c r="L1115" s="18"/>
      <c r="M1115" s="23"/>
    </row>
    <row r="1116">
      <c r="A1116" s="10" t="s">
        <v>1100</v>
      </c>
      <c r="B1116" s="17" t="s">
        <v>1101</v>
      </c>
      <c r="C1116" s="4" t="s">
        <v>3</v>
      </c>
      <c r="D1116" s="5" t="s">
        <v>13</v>
      </c>
      <c r="E1116" s="6" t="s">
        <v>234</v>
      </c>
      <c r="F1116" s="7">
        <v>45238.0</v>
      </c>
      <c r="H1116" s="11"/>
      <c r="J1116" s="18"/>
      <c r="L1116" s="18"/>
      <c r="M1116" s="23"/>
    </row>
    <row r="1117">
      <c r="A1117" s="10" t="s">
        <v>1100</v>
      </c>
      <c r="B1117" s="17" t="s">
        <v>1101</v>
      </c>
      <c r="C1117" s="4" t="s">
        <v>8</v>
      </c>
      <c r="D1117" s="5" t="s">
        <v>76</v>
      </c>
      <c r="E1117" s="6" t="s">
        <v>1114</v>
      </c>
      <c r="F1117" s="7">
        <v>45257.0</v>
      </c>
      <c r="H1117" s="11"/>
      <c r="J1117" s="18"/>
      <c r="L1117" s="18"/>
      <c r="M1117" s="23"/>
    </row>
    <row r="1118">
      <c r="A1118" s="10" t="s">
        <v>1100</v>
      </c>
      <c r="B1118" s="17" t="s">
        <v>1101</v>
      </c>
      <c r="C1118" s="4" t="s">
        <v>8</v>
      </c>
      <c r="D1118" s="5" t="s">
        <v>39</v>
      </c>
      <c r="E1118" s="6" t="s">
        <v>1036</v>
      </c>
      <c r="F1118" s="7">
        <v>45261.0</v>
      </c>
      <c r="H1118" s="11"/>
      <c r="J1118" s="18"/>
      <c r="L1118" s="18"/>
      <c r="M1118" s="23"/>
    </row>
    <row r="1119">
      <c r="A1119" s="10" t="s">
        <v>1100</v>
      </c>
      <c r="B1119" s="17" t="s">
        <v>1101</v>
      </c>
      <c r="C1119" s="4" t="s">
        <v>3</v>
      </c>
      <c r="D1119" s="5" t="s">
        <v>45</v>
      </c>
      <c r="E1119" s="6" t="s">
        <v>1115</v>
      </c>
      <c r="F1119" s="7">
        <v>45281.0</v>
      </c>
      <c r="H1119" s="11"/>
      <c r="J1119" s="18"/>
      <c r="L1119" s="18"/>
      <c r="M1119" s="23"/>
    </row>
    <row r="1120">
      <c r="A1120" s="10" t="s">
        <v>1100</v>
      </c>
      <c r="B1120" s="17" t="s">
        <v>1101</v>
      </c>
      <c r="C1120" s="4" t="s">
        <v>3</v>
      </c>
      <c r="D1120" s="5" t="s">
        <v>76</v>
      </c>
      <c r="E1120" s="6" t="s">
        <v>1116</v>
      </c>
      <c r="F1120" s="7">
        <v>45287.0</v>
      </c>
      <c r="H1120" s="11"/>
      <c r="J1120" s="18"/>
      <c r="L1120" s="18"/>
      <c r="M1120" s="23"/>
    </row>
    <row r="1121">
      <c r="A1121" s="10" t="s">
        <v>741</v>
      </c>
      <c r="B1121" s="17" t="s">
        <v>1117</v>
      </c>
      <c r="C1121" s="4" t="s">
        <v>3</v>
      </c>
      <c r="D1121" s="5" t="s">
        <v>39</v>
      </c>
      <c r="E1121" s="6" t="s">
        <v>1118</v>
      </c>
      <c r="F1121" s="7">
        <v>44948.0</v>
      </c>
      <c r="H1121" s="11"/>
      <c r="J1121" s="18"/>
      <c r="L1121" s="18"/>
      <c r="M1121" s="23"/>
    </row>
    <row r="1122">
      <c r="A1122" s="10" t="s">
        <v>741</v>
      </c>
      <c r="B1122" s="17" t="s">
        <v>1117</v>
      </c>
      <c r="C1122" s="4" t="s">
        <v>3</v>
      </c>
      <c r="D1122" s="5" t="s">
        <v>15</v>
      </c>
      <c r="E1122" s="6" t="s">
        <v>1119</v>
      </c>
      <c r="F1122" s="7">
        <v>44971.0</v>
      </c>
      <c r="H1122" s="11"/>
      <c r="J1122" s="18"/>
      <c r="L1122" s="18"/>
      <c r="M1122" s="23"/>
    </row>
    <row r="1123">
      <c r="A1123" s="10" t="s">
        <v>741</v>
      </c>
      <c r="B1123" s="17" t="s">
        <v>1117</v>
      </c>
      <c r="C1123" s="4" t="s">
        <v>8</v>
      </c>
      <c r="D1123" s="5" t="s">
        <v>51</v>
      </c>
      <c r="E1123" s="6" t="s">
        <v>1120</v>
      </c>
      <c r="F1123" s="7">
        <v>44971.0</v>
      </c>
      <c r="H1123" s="11"/>
      <c r="J1123" s="18"/>
      <c r="L1123" s="18"/>
      <c r="M1123" s="23"/>
    </row>
    <row r="1124">
      <c r="A1124" s="10" t="s">
        <v>741</v>
      </c>
      <c r="B1124" s="17" t="s">
        <v>1117</v>
      </c>
      <c r="C1124" s="4" t="s">
        <v>3</v>
      </c>
      <c r="D1124" s="5" t="s">
        <v>42</v>
      </c>
      <c r="E1124" s="6" t="s">
        <v>504</v>
      </c>
      <c r="F1124" s="7">
        <v>44992.0</v>
      </c>
      <c r="H1124" s="11"/>
      <c r="J1124" s="18"/>
      <c r="L1124" s="18"/>
      <c r="M1124" s="23"/>
    </row>
    <row r="1125">
      <c r="A1125" s="10" t="s">
        <v>741</v>
      </c>
      <c r="B1125" s="17" t="s">
        <v>1117</v>
      </c>
      <c r="C1125" s="4" t="s">
        <v>3</v>
      </c>
      <c r="D1125" s="5" t="s">
        <v>15</v>
      </c>
      <c r="E1125" s="6" t="s">
        <v>499</v>
      </c>
      <c r="F1125" s="7">
        <v>45009.0</v>
      </c>
      <c r="H1125" s="11"/>
      <c r="J1125" s="18"/>
      <c r="L1125" s="18"/>
      <c r="M1125" s="23"/>
    </row>
    <row r="1126">
      <c r="A1126" s="10" t="s">
        <v>741</v>
      </c>
      <c r="B1126" s="17" t="s">
        <v>1117</v>
      </c>
      <c r="C1126" s="4" t="s">
        <v>8</v>
      </c>
      <c r="D1126" s="5" t="s">
        <v>11</v>
      </c>
      <c r="E1126" s="6" t="s">
        <v>70</v>
      </c>
      <c r="F1126" s="7">
        <v>45032.0</v>
      </c>
      <c r="H1126" s="11"/>
      <c r="J1126" s="18"/>
      <c r="L1126" s="18"/>
      <c r="M1126" s="23"/>
    </row>
    <row r="1127">
      <c r="A1127" s="10" t="s">
        <v>741</v>
      </c>
      <c r="B1127" s="17" t="s">
        <v>1117</v>
      </c>
      <c r="C1127" s="4" t="s">
        <v>8</v>
      </c>
      <c r="D1127" s="5" t="s">
        <v>4</v>
      </c>
      <c r="E1127" s="6" t="s">
        <v>1121</v>
      </c>
      <c r="F1127" s="7">
        <v>45042.0</v>
      </c>
      <c r="H1127" s="11"/>
      <c r="J1127" s="18"/>
      <c r="L1127" s="18"/>
      <c r="M1127" s="23"/>
    </row>
    <row r="1128">
      <c r="A1128" s="10" t="s">
        <v>741</v>
      </c>
      <c r="B1128" s="17" t="s">
        <v>1117</v>
      </c>
      <c r="C1128" s="4" t="s">
        <v>3</v>
      </c>
      <c r="D1128" s="5" t="s">
        <v>45</v>
      </c>
      <c r="E1128" s="6" t="s">
        <v>1122</v>
      </c>
      <c r="F1128" s="7">
        <v>45044.0</v>
      </c>
      <c r="H1128" s="11"/>
      <c r="J1128" s="18"/>
      <c r="L1128" s="18"/>
      <c r="M1128" s="23"/>
    </row>
    <row r="1129">
      <c r="A1129" s="10" t="s">
        <v>741</v>
      </c>
      <c r="B1129" s="17" t="s">
        <v>1117</v>
      </c>
      <c r="C1129" s="4" t="s">
        <v>3</v>
      </c>
      <c r="D1129" s="5" t="s">
        <v>42</v>
      </c>
      <c r="E1129" s="6" t="s">
        <v>631</v>
      </c>
      <c r="F1129" s="7">
        <v>45052.0</v>
      </c>
      <c r="H1129" s="11"/>
      <c r="J1129" s="18"/>
      <c r="L1129" s="18"/>
      <c r="M1129" s="23"/>
    </row>
    <row r="1130">
      <c r="A1130" s="10" t="s">
        <v>741</v>
      </c>
      <c r="B1130" s="17" t="s">
        <v>1117</v>
      </c>
      <c r="C1130" s="4" t="s">
        <v>8</v>
      </c>
      <c r="D1130" s="5" t="s">
        <v>71</v>
      </c>
      <c r="E1130" s="6" t="s">
        <v>815</v>
      </c>
      <c r="F1130" s="7">
        <v>45100.0</v>
      </c>
      <c r="H1130" s="11"/>
      <c r="J1130" s="18"/>
      <c r="L1130" s="18"/>
      <c r="M1130" s="23"/>
    </row>
    <row r="1131">
      <c r="A1131" s="10" t="s">
        <v>741</v>
      </c>
      <c r="B1131" s="17" t="s">
        <v>1117</v>
      </c>
      <c r="C1131" s="4" t="s">
        <v>3</v>
      </c>
      <c r="D1131" s="5" t="s">
        <v>51</v>
      </c>
      <c r="E1131" s="6" t="s">
        <v>1123</v>
      </c>
      <c r="F1131" s="7">
        <v>45115.0</v>
      </c>
      <c r="H1131" s="11"/>
      <c r="J1131" s="18"/>
      <c r="L1131" s="18"/>
      <c r="M1131" s="23"/>
    </row>
    <row r="1132">
      <c r="A1132" s="10" t="s">
        <v>741</v>
      </c>
      <c r="B1132" s="17" t="s">
        <v>1117</v>
      </c>
      <c r="C1132" s="4" t="s">
        <v>8</v>
      </c>
      <c r="D1132" s="5" t="s">
        <v>51</v>
      </c>
      <c r="E1132" s="6" t="s">
        <v>1124</v>
      </c>
      <c r="F1132" s="7">
        <v>45144.0</v>
      </c>
      <c r="H1132" s="11"/>
      <c r="J1132" s="18"/>
      <c r="L1132" s="18"/>
      <c r="M1132" s="23"/>
    </row>
    <row r="1133">
      <c r="A1133" s="10" t="s">
        <v>741</v>
      </c>
      <c r="B1133" s="17" t="s">
        <v>1117</v>
      </c>
      <c r="C1133" s="4" t="s">
        <v>8</v>
      </c>
      <c r="D1133" s="5" t="s">
        <v>17</v>
      </c>
      <c r="E1133" s="6" t="s">
        <v>1125</v>
      </c>
      <c r="F1133" s="7">
        <v>45146.0</v>
      </c>
      <c r="H1133" s="11"/>
      <c r="J1133" s="18"/>
      <c r="L1133" s="18"/>
      <c r="M1133" s="23"/>
    </row>
    <row r="1134">
      <c r="A1134" s="10" t="s">
        <v>741</v>
      </c>
      <c r="B1134" s="17" t="s">
        <v>1117</v>
      </c>
      <c r="C1134" s="4" t="s">
        <v>8</v>
      </c>
      <c r="D1134" s="5" t="s">
        <v>11</v>
      </c>
      <c r="E1134" s="6" t="s">
        <v>1126</v>
      </c>
      <c r="F1134" s="7">
        <v>45166.0</v>
      </c>
      <c r="H1134" s="11"/>
      <c r="J1134" s="18"/>
      <c r="L1134" s="18"/>
      <c r="M1134" s="23"/>
    </row>
    <row r="1135">
      <c r="A1135" s="10" t="s">
        <v>741</v>
      </c>
      <c r="B1135" s="17" t="s">
        <v>1117</v>
      </c>
      <c r="C1135" s="4" t="s">
        <v>8</v>
      </c>
      <c r="D1135" s="5" t="s">
        <v>120</v>
      </c>
      <c r="E1135" s="6" t="s">
        <v>1127</v>
      </c>
      <c r="F1135" s="7">
        <v>45181.0</v>
      </c>
      <c r="H1135" s="11"/>
      <c r="J1135" s="18"/>
      <c r="L1135" s="18"/>
      <c r="M1135" s="23"/>
    </row>
    <row r="1136">
      <c r="A1136" s="10" t="s">
        <v>741</v>
      </c>
      <c r="B1136" s="17" t="s">
        <v>1117</v>
      </c>
      <c r="C1136" s="4" t="s">
        <v>3</v>
      </c>
      <c r="D1136" s="5" t="s">
        <v>21</v>
      </c>
      <c r="E1136" s="6" t="s">
        <v>338</v>
      </c>
      <c r="F1136" s="7">
        <v>45221.0</v>
      </c>
      <c r="H1136" s="11"/>
      <c r="J1136" s="18"/>
      <c r="L1136" s="18"/>
      <c r="M1136" s="23"/>
    </row>
    <row r="1137">
      <c r="A1137" s="10" t="s">
        <v>741</v>
      </c>
      <c r="B1137" s="17" t="s">
        <v>1117</v>
      </c>
      <c r="C1137" s="4" t="s">
        <v>8</v>
      </c>
      <c r="D1137" s="5" t="s">
        <v>13</v>
      </c>
      <c r="E1137" s="6" t="s">
        <v>1128</v>
      </c>
      <c r="F1137" s="7">
        <v>45222.0</v>
      </c>
      <c r="H1137" s="11"/>
      <c r="J1137" s="18"/>
      <c r="L1137" s="18"/>
      <c r="M1137" s="23"/>
    </row>
    <row r="1138">
      <c r="A1138" s="10" t="s">
        <v>741</v>
      </c>
      <c r="B1138" s="17" t="s">
        <v>1117</v>
      </c>
      <c r="C1138" s="4" t="s">
        <v>8</v>
      </c>
      <c r="D1138" s="5" t="s">
        <v>19</v>
      </c>
      <c r="E1138" s="6" t="s">
        <v>902</v>
      </c>
      <c r="F1138" s="7">
        <v>45268.0</v>
      </c>
      <c r="H1138" s="11"/>
      <c r="J1138" s="18"/>
      <c r="L1138" s="18"/>
      <c r="M1138" s="23"/>
    </row>
    <row r="1139">
      <c r="A1139" s="10" t="s">
        <v>741</v>
      </c>
      <c r="B1139" s="17" t="s">
        <v>1117</v>
      </c>
      <c r="C1139" s="4" t="s">
        <v>3</v>
      </c>
      <c r="D1139" s="5" t="s">
        <v>71</v>
      </c>
      <c r="E1139" s="6" t="s">
        <v>1129</v>
      </c>
      <c r="F1139" s="7">
        <v>45274.0</v>
      </c>
      <c r="H1139" s="11"/>
      <c r="J1139" s="18"/>
      <c r="L1139" s="18"/>
      <c r="M1139" s="23"/>
    </row>
    <row r="1140">
      <c r="A1140" s="10" t="s">
        <v>741</v>
      </c>
      <c r="B1140" s="17" t="s">
        <v>1117</v>
      </c>
      <c r="C1140" s="4" t="s">
        <v>8</v>
      </c>
      <c r="D1140" s="5" t="s">
        <v>6</v>
      </c>
      <c r="E1140" s="6" t="s">
        <v>1130</v>
      </c>
      <c r="F1140" s="7">
        <v>45281.0</v>
      </c>
      <c r="H1140" s="11"/>
      <c r="J1140" s="18"/>
      <c r="L1140" s="18"/>
      <c r="M1140" s="23"/>
    </row>
    <row r="1141">
      <c r="A1141" s="10" t="s">
        <v>1131</v>
      </c>
      <c r="B1141" s="17" t="s">
        <v>1132</v>
      </c>
      <c r="C1141" s="4" t="s">
        <v>3</v>
      </c>
      <c r="D1141" s="5" t="s">
        <v>4</v>
      </c>
      <c r="E1141" s="6" t="s">
        <v>1133</v>
      </c>
      <c r="F1141" s="7">
        <v>44942.0</v>
      </c>
      <c r="H1141" s="11"/>
      <c r="J1141" s="18"/>
      <c r="L1141" s="18"/>
      <c r="M1141" s="23"/>
    </row>
    <row r="1142">
      <c r="A1142" s="10" t="s">
        <v>1131</v>
      </c>
      <c r="B1142" s="17" t="s">
        <v>1132</v>
      </c>
      <c r="C1142" s="4" t="s">
        <v>8</v>
      </c>
      <c r="D1142" s="5" t="s">
        <v>9</v>
      </c>
      <c r="E1142" s="6" t="s">
        <v>647</v>
      </c>
      <c r="F1142" s="7">
        <v>44975.0</v>
      </c>
      <c r="H1142" s="11"/>
      <c r="J1142" s="18"/>
      <c r="L1142" s="18"/>
      <c r="M1142" s="23"/>
    </row>
    <row r="1143">
      <c r="A1143" s="10" t="s">
        <v>1131</v>
      </c>
      <c r="B1143" s="17" t="s">
        <v>1132</v>
      </c>
      <c r="C1143" s="4" t="s">
        <v>8</v>
      </c>
      <c r="D1143" s="5" t="s">
        <v>15</v>
      </c>
      <c r="E1143" s="6" t="s">
        <v>696</v>
      </c>
      <c r="F1143" s="7">
        <v>45032.0</v>
      </c>
      <c r="H1143" s="11"/>
      <c r="J1143" s="18"/>
      <c r="L1143" s="18"/>
      <c r="M1143" s="23"/>
    </row>
    <row r="1144">
      <c r="A1144" s="10" t="s">
        <v>1131</v>
      </c>
      <c r="B1144" s="17" t="s">
        <v>1132</v>
      </c>
      <c r="C1144" s="4" t="s">
        <v>3</v>
      </c>
      <c r="D1144" s="5" t="s">
        <v>96</v>
      </c>
      <c r="E1144" s="6" t="s">
        <v>1134</v>
      </c>
      <c r="F1144" s="7">
        <v>45072.0</v>
      </c>
      <c r="H1144" s="11"/>
      <c r="J1144" s="18"/>
      <c r="L1144" s="18"/>
      <c r="M1144" s="23"/>
    </row>
    <row r="1145">
      <c r="A1145" s="10" t="s">
        <v>1131</v>
      </c>
      <c r="B1145" s="17" t="s">
        <v>1132</v>
      </c>
      <c r="C1145" s="4" t="s">
        <v>8</v>
      </c>
      <c r="D1145" s="5" t="s">
        <v>9</v>
      </c>
      <c r="E1145" s="6" t="s">
        <v>1135</v>
      </c>
      <c r="F1145" s="7">
        <v>45091.0</v>
      </c>
      <c r="H1145" s="11"/>
      <c r="J1145" s="18"/>
      <c r="L1145" s="18"/>
      <c r="M1145" s="23"/>
    </row>
    <row r="1146">
      <c r="A1146" s="10" t="s">
        <v>1131</v>
      </c>
      <c r="B1146" s="17" t="s">
        <v>1132</v>
      </c>
      <c r="C1146" s="4" t="s">
        <v>8</v>
      </c>
      <c r="D1146" s="5" t="s">
        <v>11</v>
      </c>
      <c r="E1146" s="6" t="s">
        <v>1136</v>
      </c>
      <c r="F1146" s="7">
        <v>45112.0</v>
      </c>
      <c r="H1146" s="11"/>
      <c r="J1146" s="18"/>
      <c r="L1146" s="18"/>
      <c r="M1146" s="23"/>
    </row>
    <row r="1147">
      <c r="A1147" s="10" t="s">
        <v>1131</v>
      </c>
      <c r="B1147" s="17" t="s">
        <v>1132</v>
      </c>
      <c r="C1147" s="4" t="s">
        <v>3</v>
      </c>
      <c r="D1147" s="5" t="s">
        <v>45</v>
      </c>
      <c r="E1147" s="6" t="s">
        <v>1137</v>
      </c>
      <c r="F1147" s="7">
        <v>45113.0</v>
      </c>
      <c r="H1147" s="11"/>
      <c r="J1147" s="18"/>
      <c r="L1147" s="18"/>
      <c r="M1147" s="23"/>
    </row>
    <row r="1148">
      <c r="A1148" s="10" t="s">
        <v>1131</v>
      </c>
      <c r="B1148" s="17" t="s">
        <v>1132</v>
      </c>
      <c r="C1148" s="4" t="s">
        <v>3</v>
      </c>
      <c r="D1148" s="5" t="s">
        <v>13</v>
      </c>
      <c r="E1148" s="6" t="s">
        <v>1030</v>
      </c>
      <c r="F1148" s="7">
        <v>45121.0</v>
      </c>
      <c r="H1148" s="11"/>
      <c r="J1148" s="18"/>
      <c r="L1148" s="18"/>
      <c r="M1148" s="23"/>
    </row>
    <row r="1149">
      <c r="A1149" s="10" t="s">
        <v>1131</v>
      </c>
      <c r="B1149" s="17" t="s">
        <v>1132</v>
      </c>
      <c r="C1149" s="4" t="s">
        <v>3</v>
      </c>
      <c r="D1149" s="5" t="s">
        <v>39</v>
      </c>
      <c r="E1149" s="6" t="s">
        <v>1138</v>
      </c>
      <c r="F1149" s="7">
        <v>45125.0</v>
      </c>
      <c r="H1149" s="11"/>
      <c r="J1149" s="18"/>
      <c r="L1149" s="18"/>
      <c r="M1149" s="23"/>
    </row>
    <row r="1150">
      <c r="A1150" s="10" t="s">
        <v>1131</v>
      </c>
      <c r="B1150" s="17" t="s">
        <v>1132</v>
      </c>
      <c r="C1150" s="4" t="s">
        <v>3</v>
      </c>
      <c r="D1150" s="5" t="s">
        <v>17</v>
      </c>
      <c r="E1150" s="6" t="s">
        <v>1139</v>
      </c>
      <c r="F1150" s="7">
        <v>45128.0</v>
      </c>
      <c r="H1150" s="11"/>
      <c r="J1150" s="18"/>
      <c r="L1150" s="18"/>
      <c r="M1150" s="23"/>
    </row>
    <row r="1151">
      <c r="A1151" s="10" t="s">
        <v>1131</v>
      </c>
      <c r="B1151" s="17" t="s">
        <v>1132</v>
      </c>
      <c r="C1151" s="4" t="s">
        <v>3</v>
      </c>
      <c r="D1151" s="5" t="s">
        <v>51</v>
      </c>
      <c r="E1151" s="6" t="s">
        <v>1140</v>
      </c>
      <c r="F1151" s="7">
        <v>45143.0</v>
      </c>
      <c r="H1151" s="11"/>
      <c r="J1151" s="18"/>
      <c r="L1151" s="18"/>
      <c r="M1151" s="23"/>
    </row>
    <row r="1152">
      <c r="A1152" s="10" t="s">
        <v>1131</v>
      </c>
      <c r="B1152" s="17" t="s">
        <v>1132</v>
      </c>
      <c r="C1152" s="4" t="s">
        <v>3</v>
      </c>
      <c r="D1152" s="5" t="s">
        <v>76</v>
      </c>
      <c r="E1152" s="6" t="s">
        <v>1141</v>
      </c>
      <c r="F1152" s="7">
        <v>45153.0</v>
      </c>
      <c r="H1152" s="11"/>
      <c r="J1152" s="18"/>
      <c r="L1152" s="18"/>
      <c r="M1152" s="23"/>
    </row>
    <row r="1153">
      <c r="A1153" s="10" t="s">
        <v>1131</v>
      </c>
      <c r="B1153" s="17" t="s">
        <v>1132</v>
      </c>
      <c r="C1153" s="4" t="s">
        <v>3</v>
      </c>
      <c r="D1153" s="5" t="s">
        <v>39</v>
      </c>
      <c r="E1153" s="6" t="s">
        <v>1142</v>
      </c>
      <c r="F1153" s="7">
        <v>45155.0</v>
      </c>
      <c r="H1153" s="11"/>
      <c r="J1153" s="18"/>
      <c r="L1153" s="18"/>
      <c r="M1153" s="23"/>
    </row>
    <row r="1154">
      <c r="A1154" s="10" t="s">
        <v>1131</v>
      </c>
      <c r="B1154" s="17" t="s">
        <v>1132</v>
      </c>
      <c r="C1154" s="4" t="s">
        <v>3</v>
      </c>
      <c r="D1154" s="5" t="s">
        <v>45</v>
      </c>
      <c r="E1154" s="6" t="s">
        <v>1143</v>
      </c>
      <c r="F1154" s="7">
        <v>45160.0</v>
      </c>
      <c r="H1154" s="11"/>
      <c r="J1154" s="18"/>
      <c r="L1154" s="18"/>
      <c r="M1154" s="23"/>
    </row>
    <row r="1155">
      <c r="A1155" s="10" t="s">
        <v>1131</v>
      </c>
      <c r="B1155" s="17" t="s">
        <v>1132</v>
      </c>
      <c r="C1155" s="4" t="s">
        <v>8</v>
      </c>
      <c r="D1155" s="5" t="s">
        <v>17</v>
      </c>
      <c r="E1155" s="6" t="s">
        <v>1144</v>
      </c>
      <c r="F1155" s="7">
        <v>45184.0</v>
      </c>
      <c r="H1155" s="11"/>
      <c r="J1155" s="18"/>
      <c r="L1155" s="18"/>
      <c r="M1155" s="23"/>
    </row>
    <row r="1156">
      <c r="A1156" s="10" t="s">
        <v>1131</v>
      </c>
      <c r="B1156" s="17" t="s">
        <v>1132</v>
      </c>
      <c r="C1156" s="4" t="s">
        <v>3</v>
      </c>
      <c r="D1156" s="5" t="s">
        <v>23</v>
      </c>
      <c r="E1156" s="6" t="s">
        <v>1145</v>
      </c>
      <c r="F1156" s="7">
        <v>45236.0</v>
      </c>
      <c r="H1156" s="11"/>
      <c r="J1156" s="18"/>
      <c r="L1156" s="18"/>
      <c r="M1156" s="23"/>
    </row>
    <row r="1157">
      <c r="A1157" s="10" t="s">
        <v>1131</v>
      </c>
      <c r="B1157" s="17" t="s">
        <v>1132</v>
      </c>
      <c r="C1157" s="4" t="s">
        <v>3</v>
      </c>
      <c r="D1157" s="5" t="s">
        <v>17</v>
      </c>
      <c r="E1157" s="6" t="s">
        <v>1146</v>
      </c>
      <c r="F1157" s="7">
        <v>45246.0</v>
      </c>
      <c r="H1157" s="11"/>
      <c r="J1157" s="18"/>
      <c r="L1157" s="18"/>
      <c r="M1157" s="23"/>
    </row>
    <row r="1158">
      <c r="A1158" s="10" t="s">
        <v>1131</v>
      </c>
      <c r="B1158" s="17" t="s">
        <v>1132</v>
      </c>
      <c r="C1158" s="4" t="s">
        <v>8</v>
      </c>
      <c r="D1158" s="5" t="s">
        <v>71</v>
      </c>
      <c r="E1158" s="6" t="s">
        <v>1147</v>
      </c>
      <c r="F1158" s="7">
        <v>45265.0</v>
      </c>
      <c r="H1158" s="11"/>
      <c r="J1158" s="18"/>
      <c r="L1158" s="18"/>
      <c r="M1158" s="23"/>
    </row>
    <row r="1159">
      <c r="A1159" s="10" t="s">
        <v>1131</v>
      </c>
      <c r="B1159" s="17" t="s">
        <v>1132</v>
      </c>
      <c r="C1159" s="4" t="s">
        <v>8</v>
      </c>
      <c r="D1159" s="5" t="s">
        <v>42</v>
      </c>
      <c r="E1159" s="6" t="s">
        <v>1148</v>
      </c>
      <c r="F1159" s="7">
        <v>45270.0</v>
      </c>
      <c r="H1159" s="11"/>
      <c r="J1159" s="18"/>
      <c r="L1159" s="18"/>
      <c r="M1159" s="23"/>
    </row>
    <row r="1160">
      <c r="A1160" s="10" t="s">
        <v>1131</v>
      </c>
      <c r="B1160" s="17" t="s">
        <v>1132</v>
      </c>
      <c r="C1160" s="4" t="s">
        <v>8</v>
      </c>
      <c r="D1160" s="5" t="s">
        <v>45</v>
      </c>
      <c r="E1160" s="6" t="s">
        <v>1137</v>
      </c>
      <c r="F1160" s="7">
        <v>45284.0</v>
      </c>
      <c r="H1160" s="11"/>
      <c r="J1160" s="18"/>
      <c r="L1160" s="18"/>
      <c r="M1160" s="23"/>
    </row>
    <row r="1161">
      <c r="A1161" s="10" t="s">
        <v>1149</v>
      </c>
      <c r="B1161" s="17" t="s">
        <v>1150</v>
      </c>
      <c r="C1161" s="4" t="s">
        <v>3</v>
      </c>
      <c r="D1161" s="5" t="s">
        <v>39</v>
      </c>
      <c r="E1161" s="6" t="s">
        <v>1151</v>
      </c>
      <c r="F1161" s="7">
        <v>44932.0</v>
      </c>
      <c r="H1161" s="11"/>
      <c r="J1161" s="18"/>
      <c r="L1161" s="18"/>
      <c r="M1161" s="23"/>
    </row>
    <row r="1162">
      <c r="A1162" s="10" t="s">
        <v>1149</v>
      </c>
      <c r="B1162" s="17" t="s">
        <v>1150</v>
      </c>
      <c r="C1162" s="4" t="s">
        <v>8</v>
      </c>
      <c r="D1162" s="5" t="s">
        <v>4</v>
      </c>
      <c r="E1162" s="6" t="s">
        <v>1152</v>
      </c>
      <c r="F1162" s="7">
        <v>44936.0</v>
      </c>
      <c r="H1162" s="11"/>
      <c r="J1162" s="18"/>
      <c r="L1162" s="18"/>
      <c r="M1162" s="23"/>
    </row>
    <row r="1163">
      <c r="A1163" s="10" t="s">
        <v>1149</v>
      </c>
      <c r="B1163" s="17" t="s">
        <v>1150</v>
      </c>
      <c r="C1163" s="4" t="s">
        <v>8</v>
      </c>
      <c r="D1163" s="5" t="s">
        <v>23</v>
      </c>
      <c r="E1163" s="6" t="s">
        <v>1153</v>
      </c>
      <c r="F1163" s="7">
        <v>44937.0</v>
      </c>
      <c r="H1163" s="11"/>
      <c r="J1163" s="18"/>
      <c r="L1163" s="18"/>
      <c r="M1163" s="23"/>
    </row>
    <row r="1164">
      <c r="A1164" s="10" t="s">
        <v>1149</v>
      </c>
      <c r="B1164" s="17" t="s">
        <v>1150</v>
      </c>
      <c r="C1164" s="4" t="s">
        <v>3</v>
      </c>
      <c r="D1164" s="5" t="s">
        <v>45</v>
      </c>
      <c r="E1164" s="6" t="s">
        <v>1127</v>
      </c>
      <c r="F1164" s="7">
        <v>44954.0</v>
      </c>
      <c r="H1164" s="11"/>
      <c r="J1164" s="18"/>
      <c r="L1164" s="18"/>
      <c r="M1164" s="23"/>
    </row>
    <row r="1165">
      <c r="A1165" s="10" t="s">
        <v>1149</v>
      </c>
      <c r="B1165" s="17" t="s">
        <v>1150</v>
      </c>
      <c r="C1165" s="4" t="s">
        <v>8</v>
      </c>
      <c r="D1165" s="5" t="s">
        <v>13</v>
      </c>
      <c r="E1165" s="6" t="s">
        <v>1154</v>
      </c>
      <c r="F1165" s="7">
        <v>44968.0</v>
      </c>
      <c r="H1165" s="11"/>
      <c r="J1165" s="18"/>
      <c r="L1165" s="18"/>
      <c r="M1165" s="23"/>
    </row>
    <row r="1166">
      <c r="A1166" s="10" t="s">
        <v>1149</v>
      </c>
      <c r="B1166" s="17" t="s">
        <v>1150</v>
      </c>
      <c r="C1166" s="4" t="s">
        <v>3</v>
      </c>
      <c r="D1166" s="5" t="s">
        <v>51</v>
      </c>
      <c r="E1166" s="6" t="s">
        <v>1155</v>
      </c>
      <c r="F1166" s="7">
        <v>44979.0</v>
      </c>
      <c r="H1166" s="11"/>
      <c r="J1166" s="18"/>
      <c r="L1166" s="18"/>
      <c r="M1166" s="23"/>
    </row>
    <row r="1167">
      <c r="A1167" s="10" t="s">
        <v>1149</v>
      </c>
      <c r="B1167" s="17" t="s">
        <v>1150</v>
      </c>
      <c r="C1167" s="4" t="s">
        <v>8</v>
      </c>
      <c r="D1167" s="5" t="s">
        <v>6</v>
      </c>
      <c r="E1167" s="6" t="s">
        <v>1156</v>
      </c>
      <c r="F1167" s="7">
        <v>44983.0</v>
      </c>
      <c r="H1167" s="11"/>
      <c r="J1167" s="18"/>
      <c r="L1167" s="18"/>
      <c r="M1167" s="23"/>
    </row>
    <row r="1168">
      <c r="A1168" s="10" t="s">
        <v>1149</v>
      </c>
      <c r="B1168" s="17" t="s">
        <v>1150</v>
      </c>
      <c r="C1168" s="4" t="s">
        <v>8</v>
      </c>
      <c r="D1168" s="5" t="s">
        <v>23</v>
      </c>
      <c r="E1168" s="6" t="s">
        <v>1157</v>
      </c>
      <c r="F1168" s="7">
        <v>45013.0</v>
      </c>
      <c r="H1168" s="11"/>
      <c r="J1168" s="18"/>
      <c r="L1168" s="18"/>
      <c r="M1168" s="23"/>
    </row>
    <row r="1169">
      <c r="A1169" s="10" t="s">
        <v>1149</v>
      </c>
      <c r="B1169" s="17" t="s">
        <v>1150</v>
      </c>
      <c r="C1169" s="4" t="s">
        <v>8</v>
      </c>
      <c r="D1169" s="5" t="s">
        <v>19</v>
      </c>
      <c r="E1169" s="6" t="s">
        <v>1158</v>
      </c>
      <c r="F1169" s="7">
        <v>45031.0</v>
      </c>
      <c r="H1169" s="11"/>
      <c r="J1169" s="18"/>
      <c r="L1169" s="18"/>
      <c r="M1169" s="23"/>
    </row>
    <row r="1170">
      <c r="A1170" s="10" t="s">
        <v>1149</v>
      </c>
      <c r="B1170" s="17" t="s">
        <v>1150</v>
      </c>
      <c r="C1170" s="4" t="s">
        <v>8</v>
      </c>
      <c r="D1170" s="5" t="s">
        <v>51</v>
      </c>
      <c r="E1170" s="6" t="s">
        <v>1159</v>
      </c>
      <c r="F1170" s="7">
        <v>45058.0</v>
      </c>
      <c r="H1170" s="11"/>
      <c r="J1170" s="18"/>
      <c r="L1170" s="18"/>
      <c r="M1170" s="23"/>
    </row>
    <row r="1171">
      <c r="A1171" s="10" t="s">
        <v>1149</v>
      </c>
      <c r="B1171" s="17" t="s">
        <v>1150</v>
      </c>
      <c r="C1171" s="4" t="s">
        <v>8</v>
      </c>
      <c r="D1171" s="5" t="s">
        <v>19</v>
      </c>
      <c r="E1171" s="6" t="s">
        <v>202</v>
      </c>
      <c r="F1171" s="7">
        <v>45069.0</v>
      </c>
      <c r="H1171" s="11"/>
      <c r="J1171" s="18"/>
      <c r="L1171" s="18"/>
      <c r="M1171" s="23"/>
    </row>
    <row r="1172">
      <c r="A1172" s="10" t="s">
        <v>1149</v>
      </c>
      <c r="B1172" s="17" t="s">
        <v>1150</v>
      </c>
      <c r="C1172" s="4" t="s">
        <v>3</v>
      </c>
      <c r="D1172" s="5" t="s">
        <v>21</v>
      </c>
      <c r="E1172" s="6" t="s">
        <v>1160</v>
      </c>
      <c r="F1172" s="7">
        <v>45081.0</v>
      </c>
      <c r="H1172" s="11"/>
      <c r="J1172" s="18"/>
      <c r="L1172" s="18"/>
      <c r="M1172" s="23"/>
    </row>
    <row r="1173">
      <c r="A1173" s="10" t="s">
        <v>1149</v>
      </c>
      <c r="B1173" s="17" t="s">
        <v>1150</v>
      </c>
      <c r="C1173" s="4" t="s">
        <v>8</v>
      </c>
      <c r="D1173" s="5" t="s">
        <v>6</v>
      </c>
      <c r="E1173" s="6" t="s">
        <v>1161</v>
      </c>
      <c r="F1173" s="7">
        <v>45105.0</v>
      </c>
      <c r="H1173" s="11"/>
      <c r="J1173" s="18"/>
      <c r="L1173" s="18"/>
      <c r="M1173" s="23"/>
    </row>
    <row r="1174">
      <c r="A1174" s="10" t="s">
        <v>1149</v>
      </c>
      <c r="B1174" s="17" t="s">
        <v>1150</v>
      </c>
      <c r="C1174" s="4" t="s">
        <v>3</v>
      </c>
      <c r="D1174" s="5" t="s">
        <v>51</v>
      </c>
      <c r="E1174" s="6" t="s">
        <v>1162</v>
      </c>
      <c r="F1174" s="7">
        <v>45123.0</v>
      </c>
      <c r="H1174" s="11"/>
      <c r="J1174" s="18"/>
      <c r="L1174" s="18"/>
      <c r="M1174" s="23"/>
    </row>
    <row r="1175">
      <c r="A1175" s="10" t="s">
        <v>1149</v>
      </c>
      <c r="B1175" s="17" t="s">
        <v>1150</v>
      </c>
      <c r="C1175" s="4" t="s">
        <v>3</v>
      </c>
      <c r="D1175" s="5" t="s">
        <v>11</v>
      </c>
      <c r="E1175" s="6" t="s">
        <v>108</v>
      </c>
      <c r="F1175" s="7">
        <v>45147.0</v>
      </c>
      <c r="H1175" s="11"/>
      <c r="J1175" s="18"/>
      <c r="L1175" s="18"/>
      <c r="M1175" s="23"/>
    </row>
    <row r="1176">
      <c r="A1176" s="10" t="s">
        <v>1149</v>
      </c>
      <c r="B1176" s="17" t="s">
        <v>1150</v>
      </c>
      <c r="C1176" s="4" t="s">
        <v>3</v>
      </c>
      <c r="D1176" s="5" t="s">
        <v>35</v>
      </c>
      <c r="E1176" s="6" t="s">
        <v>665</v>
      </c>
      <c r="F1176" s="7">
        <v>45160.0</v>
      </c>
      <c r="H1176" s="11"/>
      <c r="J1176" s="18"/>
      <c r="L1176" s="18"/>
      <c r="M1176" s="23"/>
    </row>
    <row r="1177">
      <c r="A1177" s="10" t="s">
        <v>1149</v>
      </c>
      <c r="B1177" s="17" t="s">
        <v>1150</v>
      </c>
      <c r="C1177" s="4" t="s">
        <v>8</v>
      </c>
      <c r="D1177" s="5" t="s">
        <v>13</v>
      </c>
      <c r="E1177" s="6" t="s">
        <v>1163</v>
      </c>
      <c r="F1177" s="7">
        <v>45165.0</v>
      </c>
      <c r="H1177" s="11"/>
      <c r="J1177" s="18"/>
      <c r="L1177" s="18"/>
      <c r="M1177" s="23"/>
    </row>
    <row r="1178">
      <c r="A1178" s="10" t="s">
        <v>1149</v>
      </c>
      <c r="B1178" s="17" t="s">
        <v>1150</v>
      </c>
      <c r="C1178" s="4" t="s">
        <v>3</v>
      </c>
      <c r="D1178" s="5" t="s">
        <v>96</v>
      </c>
      <c r="E1178" s="6" t="s">
        <v>1164</v>
      </c>
      <c r="F1178" s="7">
        <v>45190.0</v>
      </c>
      <c r="H1178" s="11"/>
      <c r="J1178" s="18"/>
      <c r="L1178" s="18"/>
      <c r="M1178" s="23"/>
    </row>
    <row r="1179">
      <c r="A1179" s="10" t="s">
        <v>1149</v>
      </c>
      <c r="B1179" s="17" t="s">
        <v>1150</v>
      </c>
      <c r="C1179" s="4" t="s">
        <v>3</v>
      </c>
      <c r="D1179" s="5" t="s">
        <v>35</v>
      </c>
      <c r="E1179" s="6" t="s">
        <v>1165</v>
      </c>
      <c r="F1179" s="7">
        <v>45201.0</v>
      </c>
      <c r="H1179" s="11"/>
      <c r="J1179" s="18"/>
      <c r="L1179" s="18"/>
      <c r="M1179" s="23"/>
    </row>
    <row r="1180">
      <c r="A1180" s="10" t="s">
        <v>1149</v>
      </c>
      <c r="B1180" s="17" t="s">
        <v>1150</v>
      </c>
      <c r="C1180" s="4" t="s">
        <v>8</v>
      </c>
      <c r="D1180" s="5" t="s">
        <v>51</v>
      </c>
      <c r="E1180" s="6" t="s">
        <v>1166</v>
      </c>
      <c r="F1180" s="7">
        <v>45232.0</v>
      </c>
      <c r="H1180" s="11"/>
      <c r="J1180" s="18"/>
      <c r="L1180" s="18"/>
      <c r="M1180" s="23"/>
    </row>
    <row r="1181">
      <c r="A1181" s="10" t="s">
        <v>1167</v>
      </c>
      <c r="B1181" s="17" t="s">
        <v>1168</v>
      </c>
      <c r="C1181" s="4" t="s">
        <v>3</v>
      </c>
      <c r="D1181" s="5" t="s">
        <v>39</v>
      </c>
      <c r="E1181" s="6" t="s">
        <v>1169</v>
      </c>
      <c r="F1181" s="7">
        <v>44929.0</v>
      </c>
      <c r="H1181" s="11"/>
      <c r="J1181" s="18"/>
      <c r="L1181" s="18"/>
      <c r="M1181" s="23"/>
    </row>
    <row r="1182">
      <c r="A1182" s="10" t="s">
        <v>1167</v>
      </c>
      <c r="B1182" s="17" t="s">
        <v>1168</v>
      </c>
      <c r="C1182" s="4" t="s">
        <v>3</v>
      </c>
      <c r="D1182" s="5" t="s">
        <v>19</v>
      </c>
      <c r="E1182" s="6" t="s">
        <v>161</v>
      </c>
      <c r="F1182" s="7">
        <v>44936.0</v>
      </c>
      <c r="H1182" s="11"/>
      <c r="J1182" s="18"/>
      <c r="L1182" s="18"/>
      <c r="M1182" s="23"/>
    </row>
    <row r="1183">
      <c r="A1183" s="10" t="s">
        <v>1167</v>
      </c>
      <c r="B1183" s="17" t="s">
        <v>1168</v>
      </c>
      <c r="C1183" s="4" t="s">
        <v>3</v>
      </c>
      <c r="D1183" s="5" t="s">
        <v>96</v>
      </c>
      <c r="E1183" s="6" t="s">
        <v>1170</v>
      </c>
      <c r="F1183" s="7">
        <v>44939.0</v>
      </c>
      <c r="H1183" s="11"/>
      <c r="J1183" s="18"/>
      <c r="L1183" s="18"/>
      <c r="M1183" s="23"/>
    </row>
    <row r="1184">
      <c r="A1184" s="10" t="s">
        <v>1167</v>
      </c>
      <c r="B1184" s="17" t="s">
        <v>1168</v>
      </c>
      <c r="C1184" s="4" t="s">
        <v>8</v>
      </c>
      <c r="D1184" s="5" t="s">
        <v>35</v>
      </c>
      <c r="E1184" s="6" t="s">
        <v>1171</v>
      </c>
      <c r="F1184" s="7">
        <v>44960.0</v>
      </c>
      <c r="H1184" s="11"/>
      <c r="J1184" s="18"/>
      <c r="L1184" s="18"/>
      <c r="M1184" s="23"/>
    </row>
    <row r="1185">
      <c r="A1185" s="10" t="s">
        <v>1167</v>
      </c>
      <c r="B1185" s="17" t="s">
        <v>1168</v>
      </c>
      <c r="C1185" s="4" t="s">
        <v>3</v>
      </c>
      <c r="D1185" s="5" t="s">
        <v>13</v>
      </c>
      <c r="E1185" s="6" t="s">
        <v>1089</v>
      </c>
      <c r="F1185" s="7">
        <v>45019.0</v>
      </c>
      <c r="H1185" s="11"/>
      <c r="J1185" s="18"/>
      <c r="L1185" s="18"/>
      <c r="M1185" s="23"/>
    </row>
    <row r="1186">
      <c r="A1186" s="10" t="s">
        <v>1167</v>
      </c>
      <c r="B1186" s="17" t="s">
        <v>1168</v>
      </c>
      <c r="C1186" s="4" t="s">
        <v>3</v>
      </c>
      <c r="D1186" s="5" t="s">
        <v>13</v>
      </c>
      <c r="E1186" s="6" t="s">
        <v>1172</v>
      </c>
      <c r="F1186" s="7">
        <v>45037.0</v>
      </c>
      <c r="H1186" s="11"/>
      <c r="J1186" s="18"/>
      <c r="L1186" s="18"/>
      <c r="M1186" s="23"/>
    </row>
    <row r="1187">
      <c r="A1187" s="10" t="s">
        <v>1167</v>
      </c>
      <c r="B1187" s="17" t="s">
        <v>1168</v>
      </c>
      <c r="C1187" s="4" t="s">
        <v>3</v>
      </c>
      <c r="D1187" s="5" t="s">
        <v>23</v>
      </c>
      <c r="E1187" s="6" t="s">
        <v>1173</v>
      </c>
      <c r="F1187" s="7">
        <v>45042.0</v>
      </c>
      <c r="H1187" s="11"/>
      <c r="J1187" s="18"/>
      <c r="L1187" s="18"/>
      <c r="M1187" s="23"/>
    </row>
    <row r="1188">
      <c r="A1188" s="10" t="s">
        <v>1167</v>
      </c>
      <c r="B1188" s="17" t="s">
        <v>1168</v>
      </c>
      <c r="C1188" s="4" t="s">
        <v>8</v>
      </c>
      <c r="D1188" s="5" t="s">
        <v>42</v>
      </c>
      <c r="E1188" s="6" t="s">
        <v>606</v>
      </c>
      <c r="F1188" s="7">
        <v>45056.0</v>
      </c>
      <c r="H1188" s="11"/>
      <c r="J1188" s="18"/>
      <c r="L1188" s="18"/>
      <c r="M1188" s="23"/>
    </row>
    <row r="1189">
      <c r="A1189" s="10" t="s">
        <v>1167</v>
      </c>
      <c r="B1189" s="17" t="s">
        <v>1168</v>
      </c>
      <c r="C1189" s="4" t="s">
        <v>3</v>
      </c>
      <c r="D1189" s="5" t="s">
        <v>28</v>
      </c>
      <c r="E1189" s="6" t="s">
        <v>1174</v>
      </c>
      <c r="F1189" s="7">
        <v>45096.0</v>
      </c>
      <c r="H1189" s="11"/>
      <c r="J1189" s="18"/>
      <c r="L1189" s="18"/>
      <c r="M1189" s="23"/>
    </row>
    <row r="1190">
      <c r="A1190" s="10" t="s">
        <v>1167</v>
      </c>
      <c r="B1190" s="17" t="s">
        <v>1168</v>
      </c>
      <c r="C1190" s="4" t="s">
        <v>8</v>
      </c>
      <c r="D1190" s="5" t="s">
        <v>15</v>
      </c>
      <c r="E1190" s="6" t="s">
        <v>34</v>
      </c>
      <c r="F1190" s="7">
        <v>45134.0</v>
      </c>
      <c r="H1190" s="11"/>
      <c r="J1190" s="18"/>
      <c r="L1190" s="18"/>
      <c r="M1190" s="23"/>
    </row>
    <row r="1191">
      <c r="A1191" s="10" t="s">
        <v>1167</v>
      </c>
      <c r="B1191" s="17" t="s">
        <v>1168</v>
      </c>
      <c r="C1191" s="4" t="s">
        <v>3</v>
      </c>
      <c r="D1191" s="5" t="s">
        <v>71</v>
      </c>
      <c r="E1191" s="6" t="s">
        <v>1175</v>
      </c>
      <c r="F1191" s="7">
        <v>45140.0</v>
      </c>
      <c r="H1191" s="11"/>
      <c r="J1191" s="18"/>
      <c r="L1191" s="18"/>
      <c r="M1191" s="23"/>
    </row>
    <row r="1192">
      <c r="A1192" s="10" t="s">
        <v>1167</v>
      </c>
      <c r="B1192" s="17" t="s">
        <v>1168</v>
      </c>
      <c r="C1192" s="4" t="s">
        <v>3</v>
      </c>
      <c r="D1192" s="5" t="s">
        <v>96</v>
      </c>
      <c r="E1192" s="6" t="s">
        <v>892</v>
      </c>
      <c r="F1192" s="7">
        <v>45155.0</v>
      </c>
      <c r="H1192" s="11"/>
      <c r="J1192" s="18"/>
      <c r="L1192" s="18"/>
      <c r="M1192" s="23"/>
    </row>
    <row r="1193">
      <c r="A1193" s="10" t="s">
        <v>1167</v>
      </c>
      <c r="B1193" s="17" t="s">
        <v>1168</v>
      </c>
      <c r="C1193" s="4" t="s">
        <v>3</v>
      </c>
      <c r="D1193" s="5" t="s">
        <v>15</v>
      </c>
      <c r="E1193" s="6" t="s">
        <v>1176</v>
      </c>
      <c r="F1193" s="7">
        <v>45180.0</v>
      </c>
      <c r="H1193" s="11"/>
      <c r="J1193" s="18"/>
      <c r="L1193" s="18"/>
      <c r="M1193" s="23"/>
    </row>
    <row r="1194">
      <c r="A1194" s="10" t="s">
        <v>1167</v>
      </c>
      <c r="B1194" s="17" t="s">
        <v>1168</v>
      </c>
      <c r="C1194" s="4" t="s">
        <v>3</v>
      </c>
      <c r="D1194" s="5" t="s">
        <v>42</v>
      </c>
      <c r="E1194" s="6" t="s">
        <v>10</v>
      </c>
      <c r="F1194" s="7">
        <v>45214.0</v>
      </c>
      <c r="H1194" s="11"/>
      <c r="J1194" s="18"/>
      <c r="L1194" s="18"/>
      <c r="M1194" s="23"/>
    </row>
    <row r="1195">
      <c r="A1195" s="10" t="s">
        <v>1167</v>
      </c>
      <c r="B1195" s="17" t="s">
        <v>1168</v>
      </c>
      <c r="C1195" s="4" t="s">
        <v>8</v>
      </c>
      <c r="D1195" s="5" t="s">
        <v>6</v>
      </c>
      <c r="E1195" s="6" t="s">
        <v>1177</v>
      </c>
      <c r="F1195" s="7">
        <v>45232.0</v>
      </c>
      <c r="H1195" s="11"/>
      <c r="J1195" s="18"/>
      <c r="L1195" s="18"/>
      <c r="M1195" s="23"/>
    </row>
    <row r="1196">
      <c r="A1196" s="10" t="s">
        <v>1167</v>
      </c>
      <c r="B1196" s="17" t="s">
        <v>1168</v>
      </c>
      <c r="C1196" s="4" t="s">
        <v>3</v>
      </c>
      <c r="D1196" s="5" t="s">
        <v>15</v>
      </c>
      <c r="E1196" s="6" t="s">
        <v>1178</v>
      </c>
      <c r="F1196" s="7">
        <v>45238.0</v>
      </c>
      <c r="H1196" s="11"/>
      <c r="J1196" s="18"/>
      <c r="L1196" s="18"/>
      <c r="M1196" s="23"/>
    </row>
    <row r="1197">
      <c r="A1197" s="10" t="s">
        <v>1167</v>
      </c>
      <c r="B1197" s="17" t="s">
        <v>1168</v>
      </c>
      <c r="C1197" s="4" t="s">
        <v>8</v>
      </c>
      <c r="D1197" s="5" t="s">
        <v>23</v>
      </c>
      <c r="E1197" s="6" t="s">
        <v>1179</v>
      </c>
      <c r="F1197" s="7">
        <v>45243.0</v>
      </c>
      <c r="H1197" s="11"/>
      <c r="J1197" s="18"/>
      <c r="L1197" s="18"/>
      <c r="M1197" s="23"/>
    </row>
    <row r="1198">
      <c r="A1198" s="10" t="s">
        <v>1167</v>
      </c>
      <c r="B1198" s="17" t="s">
        <v>1168</v>
      </c>
      <c r="C1198" s="4" t="s">
        <v>8</v>
      </c>
      <c r="D1198" s="5" t="s">
        <v>120</v>
      </c>
      <c r="E1198" s="6" t="s">
        <v>1180</v>
      </c>
      <c r="F1198" s="7">
        <v>45253.0</v>
      </c>
      <c r="H1198" s="11"/>
      <c r="J1198" s="18"/>
      <c r="L1198" s="18"/>
      <c r="M1198" s="23"/>
    </row>
    <row r="1199">
      <c r="A1199" s="10" t="s">
        <v>1167</v>
      </c>
      <c r="B1199" s="17" t="s">
        <v>1168</v>
      </c>
      <c r="C1199" s="4" t="s">
        <v>8</v>
      </c>
      <c r="D1199" s="5" t="s">
        <v>17</v>
      </c>
      <c r="E1199" s="6" t="s">
        <v>975</v>
      </c>
      <c r="F1199" s="7">
        <v>45273.0</v>
      </c>
      <c r="H1199" s="11"/>
      <c r="J1199" s="18"/>
      <c r="L1199" s="18"/>
      <c r="M1199" s="23"/>
    </row>
    <row r="1200">
      <c r="A1200" s="10" t="s">
        <v>1167</v>
      </c>
      <c r="B1200" s="17" t="s">
        <v>1168</v>
      </c>
      <c r="C1200" s="4" t="s">
        <v>3</v>
      </c>
      <c r="D1200" s="5" t="s">
        <v>15</v>
      </c>
      <c r="E1200" s="6" t="s">
        <v>349</v>
      </c>
      <c r="F1200" s="7">
        <v>45286.0</v>
      </c>
      <c r="H1200" s="11"/>
      <c r="J1200" s="18"/>
      <c r="L1200" s="18"/>
      <c r="M1200" s="23"/>
    </row>
    <row r="1201">
      <c r="A1201" s="10" t="s">
        <v>1181</v>
      </c>
      <c r="B1201" s="17" t="s">
        <v>1182</v>
      </c>
      <c r="C1201" s="4" t="s">
        <v>8</v>
      </c>
      <c r="D1201" s="5" t="s">
        <v>120</v>
      </c>
      <c r="E1201" s="6" t="s">
        <v>1183</v>
      </c>
      <c r="F1201" s="7">
        <v>44932.0</v>
      </c>
      <c r="H1201" s="11"/>
      <c r="J1201" s="18"/>
      <c r="L1201" s="18"/>
      <c r="M1201" s="23"/>
    </row>
    <row r="1202">
      <c r="A1202" s="10" t="s">
        <v>1181</v>
      </c>
      <c r="B1202" s="17" t="s">
        <v>1182</v>
      </c>
      <c r="C1202" s="4" t="s">
        <v>8</v>
      </c>
      <c r="D1202" s="5" t="s">
        <v>6</v>
      </c>
      <c r="E1202" s="6" t="s">
        <v>1184</v>
      </c>
      <c r="F1202" s="7">
        <v>44946.0</v>
      </c>
      <c r="H1202" s="11"/>
      <c r="J1202" s="18"/>
      <c r="L1202" s="18"/>
      <c r="M1202" s="23"/>
    </row>
    <row r="1203">
      <c r="A1203" s="10" t="s">
        <v>1181</v>
      </c>
      <c r="B1203" s="17" t="s">
        <v>1182</v>
      </c>
      <c r="C1203" s="4" t="s">
        <v>3</v>
      </c>
      <c r="D1203" s="5" t="s">
        <v>120</v>
      </c>
      <c r="E1203" s="6" t="s">
        <v>239</v>
      </c>
      <c r="F1203" s="7">
        <v>44971.0</v>
      </c>
      <c r="H1203" s="11"/>
      <c r="J1203" s="18"/>
      <c r="L1203" s="18"/>
      <c r="M1203" s="23"/>
    </row>
    <row r="1204">
      <c r="A1204" s="10" t="s">
        <v>1181</v>
      </c>
      <c r="B1204" s="17" t="s">
        <v>1182</v>
      </c>
      <c r="C1204" s="4" t="s">
        <v>3</v>
      </c>
      <c r="D1204" s="5" t="s">
        <v>42</v>
      </c>
      <c r="E1204" s="6" t="s">
        <v>1185</v>
      </c>
      <c r="F1204" s="7">
        <v>44971.0</v>
      </c>
      <c r="H1204" s="11"/>
      <c r="J1204" s="18"/>
      <c r="L1204" s="18"/>
      <c r="M1204" s="23"/>
    </row>
    <row r="1205">
      <c r="A1205" s="10" t="s">
        <v>1181</v>
      </c>
      <c r="B1205" s="17" t="s">
        <v>1182</v>
      </c>
      <c r="C1205" s="4" t="s">
        <v>3</v>
      </c>
      <c r="D1205" s="5" t="s">
        <v>4</v>
      </c>
      <c r="E1205" s="6" t="s">
        <v>1186</v>
      </c>
      <c r="F1205" s="7">
        <v>44985.0</v>
      </c>
      <c r="H1205" s="11"/>
      <c r="J1205" s="18"/>
      <c r="L1205" s="18"/>
      <c r="M1205" s="23"/>
    </row>
    <row r="1206">
      <c r="A1206" s="10" t="s">
        <v>1181</v>
      </c>
      <c r="B1206" s="17" t="s">
        <v>1182</v>
      </c>
      <c r="C1206" s="4" t="s">
        <v>8</v>
      </c>
      <c r="D1206" s="5" t="s">
        <v>35</v>
      </c>
      <c r="E1206" s="6" t="s">
        <v>1187</v>
      </c>
      <c r="F1206" s="7">
        <v>44997.0</v>
      </c>
      <c r="H1206" s="11"/>
      <c r="J1206" s="18"/>
      <c r="L1206" s="18"/>
      <c r="M1206" s="23"/>
    </row>
    <row r="1207">
      <c r="A1207" s="10" t="s">
        <v>1181</v>
      </c>
      <c r="B1207" s="17" t="s">
        <v>1182</v>
      </c>
      <c r="C1207" s="4" t="s">
        <v>8</v>
      </c>
      <c r="D1207" s="5" t="s">
        <v>19</v>
      </c>
      <c r="E1207" s="6" t="s">
        <v>1188</v>
      </c>
      <c r="F1207" s="7">
        <v>45000.0</v>
      </c>
      <c r="H1207" s="11"/>
      <c r="J1207" s="18"/>
      <c r="L1207" s="18"/>
      <c r="M1207" s="23"/>
    </row>
    <row r="1208">
      <c r="A1208" s="10" t="s">
        <v>1181</v>
      </c>
      <c r="B1208" s="17" t="s">
        <v>1182</v>
      </c>
      <c r="C1208" s="4" t="s">
        <v>3</v>
      </c>
      <c r="D1208" s="5" t="s">
        <v>6</v>
      </c>
      <c r="E1208" s="6" t="s">
        <v>1189</v>
      </c>
      <c r="F1208" s="7">
        <v>45005.0</v>
      </c>
      <c r="H1208" s="11"/>
      <c r="J1208" s="18"/>
      <c r="L1208" s="18"/>
      <c r="M1208" s="23"/>
    </row>
    <row r="1209">
      <c r="A1209" s="10" t="s">
        <v>1181</v>
      </c>
      <c r="B1209" s="17" t="s">
        <v>1182</v>
      </c>
      <c r="C1209" s="4" t="s">
        <v>3</v>
      </c>
      <c r="D1209" s="5" t="s">
        <v>6</v>
      </c>
      <c r="E1209" s="6" t="s">
        <v>1190</v>
      </c>
      <c r="F1209" s="7">
        <v>45033.0</v>
      </c>
      <c r="H1209" s="11"/>
      <c r="J1209" s="18"/>
      <c r="L1209" s="18"/>
      <c r="M1209" s="23"/>
    </row>
    <row r="1210">
      <c r="A1210" s="10" t="s">
        <v>1181</v>
      </c>
      <c r="B1210" s="17" t="s">
        <v>1182</v>
      </c>
      <c r="C1210" s="4" t="s">
        <v>8</v>
      </c>
      <c r="D1210" s="5" t="s">
        <v>11</v>
      </c>
      <c r="E1210" s="6" t="s">
        <v>1191</v>
      </c>
      <c r="F1210" s="7">
        <v>45110.0</v>
      </c>
      <c r="H1210" s="11"/>
      <c r="J1210" s="18"/>
      <c r="L1210" s="18"/>
      <c r="M1210" s="23"/>
    </row>
    <row r="1211">
      <c r="A1211" s="10" t="s">
        <v>1181</v>
      </c>
      <c r="B1211" s="17" t="s">
        <v>1182</v>
      </c>
      <c r="C1211" s="4" t="s">
        <v>8</v>
      </c>
      <c r="D1211" s="5" t="s">
        <v>28</v>
      </c>
      <c r="E1211" s="6" t="s">
        <v>1192</v>
      </c>
      <c r="F1211" s="7">
        <v>45127.0</v>
      </c>
      <c r="H1211" s="11"/>
      <c r="J1211" s="18"/>
      <c r="L1211" s="18"/>
      <c r="M1211" s="23"/>
    </row>
    <row r="1212">
      <c r="A1212" s="10" t="s">
        <v>1181</v>
      </c>
      <c r="B1212" s="17" t="s">
        <v>1182</v>
      </c>
      <c r="C1212" s="4" t="s">
        <v>3</v>
      </c>
      <c r="D1212" s="5" t="s">
        <v>45</v>
      </c>
      <c r="E1212" s="6" t="s">
        <v>1193</v>
      </c>
      <c r="F1212" s="7">
        <v>45131.0</v>
      </c>
      <c r="H1212" s="11"/>
      <c r="J1212" s="18"/>
      <c r="L1212" s="18"/>
      <c r="M1212" s="23"/>
    </row>
    <row r="1213">
      <c r="A1213" s="10" t="s">
        <v>1181</v>
      </c>
      <c r="B1213" s="17" t="s">
        <v>1182</v>
      </c>
      <c r="C1213" s="4" t="s">
        <v>3</v>
      </c>
      <c r="D1213" s="5" t="s">
        <v>9</v>
      </c>
      <c r="E1213" s="6" t="s">
        <v>107</v>
      </c>
      <c r="F1213" s="7">
        <v>45151.0</v>
      </c>
      <c r="H1213" s="11"/>
      <c r="J1213" s="18"/>
      <c r="L1213" s="18"/>
      <c r="M1213" s="23"/>
    </row>
    <row r="1214">
      <c r="A1214" s="10" t="s">
        <v>1181</v>
      </c>
      <c r="B1214" s="17" t="s">
        <v>1182</v>
      </c>
      <c r="C1214" s="4" t="s">
        <v>3</v>
      </c>
      <c r="D1214" s="5" t="s">
        <v>39</v>
      </c>
      <c r="E1214" s="6" t="s">
        <v>1194</v>
      </c>
      <c r="F1214" s="7">
        <v>45170.0</v>
      </c>
      <c r="H1214" s="11"/>
      <c r="J1214" s="18"/>
      <c r="L1214" s="18"/>
      <c r="M1214" s="23"/>
    </row>
    <row r="1215">
      <c r="A1215" s="10" t="s">
        <v>1181</v>
      </c>
      <c r="B1215" s="17" t="s">
        <v>1182</v>
      </c>
      <c r="C1215" s="4" t="s">
        <v>8</v>
      </c>
      <c r="D1215" s="5" t="s">
        <v>15</v>
      </c>
      <c r="E1215" s="6" t="s">
        <v>1195</v>
      </c>
      <c r="F1215" s="7">
        <v>45191.0</v>
      </c>
      <c r="H1215" s="11"/>
      <c r="J1215" s="18"/>
      <c r="L1215" s="18"/>
      <c r="M1215" s="23"/>
    </row>
    <row r="1216">
      <c r="A1216" s="10" t="s">
        <v>1181</v>
      </c>
      <c r="B1216" s="17" t="s">
        <v>1182</v>
      </c>
      <c r="C1216" s="4" t="s">
        <v>8</v>
      </c>
      <c r="D1216" s="5" t="s">
        <v>17</v>
      </c>
      <c r="E1216" s="6" t="s">
        <v>1196</v>
      </c>
      <c r="F1216" s="7">
        <v>45225.0</v>
      </c>
      <c r="H1216" s="11"/>
      <c r="J1216" s="18"/>
      <c r="L1216" s="18"/>
      <c r="M1216" s="23"/>
    </row>
    <row r="1217">
      <c r="A1217" s="10" t="s">
        <v>1181</v>
      </c>
      <c r="B1217" s="17" t="s">
        <v>1182</v>
      </c>
      <c r="C1217" s="4" t="s">
        <v>8</v>
      </c>
      <c r="D1217" s="5" t="s">
        <v>17</v>
      </c>
      <c r="E1217" s="6" t="s">
        <v>852</v>
      </c>
      <c r="F1217" s="7">
        <v>45243.0</v>
      </c>
      <c r="H1217" s="11"/>
      <c r="J1217" s="18"/>
      <c r="L1217" s="18"/>
      <c r="M1217" s="23"/>
    </row>
    <row r="1218">
      <c r="A1218" s="10" t="s">
        <v>1181</v>
      </c>
      <c r="B1218" s="17" t="s">
        <v>1182</v>
      </c>
      <c r="C1218" s="4" t="s">
        <v>3</v>
      </c>
      <c r="D1218" s="5" t="s">
        <v>120</v>
      </c>
      <c r="E1218" s="6" t="s">
        <v>1197</v>
      </c>
      <c r="F1218" s="7">
        <v>45246.0</v>
      </c>
      <c r="H1218" s="11"/>
      <c r="J1218" s="18"/>
      <c r="L1218" s="18"/>
      <c r="M1218" s="23"/>
    </row>
    <row r="1219">
      <c r="A1219" s="10" t="s">
        <v>1181</v>
      </c>
      <c r="B1219" s="17" t="s">
        <v>1182</v>
      </c>
      <c r="C1219" s="4" t="s">
        <v>3</v>
      </c>
      <c r="D1219" s="5" t="s">
        <v>42</v>
      </c>
      <c r="E1219" s="6" t="s">
        <v>606</v>
      </c>
      <c r="F1219" s="7">
        <v>45249.0</v>
      </c>
      <c r="H1219" s="11"/>
      <c r="J1219" s="18"/>
      <c r="L1219" s="18"/>
      <c r="M1219" s="23"/>
    </row>
    <row r="1220">
      <c r="A1220" s="10" t="s">
        <v>1181</v>
      </c>
      <c r="B1220" s="17" t="s">
        <v>1182</v>
      </c>
      <c r="C1220" s="4" t="s">
        <v>3</v>
      </c>
      <c r="D1220" s="5" t="s">
        <v>76</v>
      </c>
      <c r="E1220" s="6" t="s">
        <v>1153</v>
      </c>
      <c r="F1220" s="7">
        <v>45268.0</v>
      </c>
      <c r="H1220" s="11"/>
      <c r="J1220" s="18"/>
      <c r="L1220" s="18"/>
      <c r="M1220" s="23"/>
    </row>
    <row r="1221">
      <c r="A1221" s="10" t="s">
        <v>1198</v>
      </c>
      <c r="B1221" s="17" t="s">
        <v>1199</v>
      </c>
      <c r="C1221" s="4" t="s">
        <v>8</v>
      </c>
      <c r="D1221" s="5" t="s">
        <v>17</v>
      </c>
      <c r="E1221" s="6" t="s">
        <v>343</v>
      </c>
      <c r="F1221" s="7">
        <v>44941.0</v>
      </c>
      <c r="H1221" s="11"/>
      <c r="J1221" s="18"/>
      <c r="L1221" s="18"/>
      <c r="M1221" s="23"/>
    </row>
    <row r="1222">
      <c r="A1222" s="10" t="s">
        <v>1198</v>
      </c>
      <c r="B1222" s="17" t="s">
        <v>1199</v>
      </c>
      <c r="C1222" s="4" t="s">
        <v>8</v>
      </c>
      <c r="D1222" s="5" t="s">
        <v>42</v>
      </c>
      <c r="E1222" s="6" t="s">
        <v>842</v>
      </c>
      <c r="F1222" s="7">
        <v>44942.0</v>
      </c>
      <c r="H1222" s="11"/>
      <c r="J1222" s="18"/>
      <c r="L1222" s="18"/>
      <c r="M1222" s="23"/>
    </row>
    <row r="1223">
      <c r="A1223" s="10" t="s">
        <v>1198</v>
      </c>
      <c r="B1223" s="17" t="s">
        <v>1199</v>
      </c>
      <c r="C1223" s="4" t="s">
        <v>3</v>
      </c>
      <c r="D1223" s="5" t="s">
        <v>13</v>
      </c>
      <c r="E1223" s="6" t="s">
        <v>1200</v>
      </c>
      <c r="F1223" s="7">
        <v>44946.0</v>
      </c>
      <c r="H1223" s="11"/>
      <c r="J1223" s="18"/>
      <c r="L1223" s="18"/>
      <c r="M1223" s="23"/>
    </row>
    <row r="1224">
      <c r="A1224" s="10" t="s">
        <v>1198</v>
      </c>
      <c r="B1224" s="17" t="s">
        <v>1199</v>
      </c>
      <c r="C1224" s="4" t="s">
        <v>3</v>
      </c>
      <c r="D1224" s="5" t="s">
        <v>76</v>
      </c>
      <c r="E1224" s="6" t="s">
        <v>1201</v>
      </c>
      <c r="F1224" s="7">
        <v>44952.0</v>
      </c>
      <c r="H1224" s="11"/>
      <c r="J1224" s="18"/>
      <c r="L1224" s="18"/>
      <c r="M1224" s="23"/>
    </row>
    <row r="1225">
      <c r="A1225" s="10" t="s">
        <v>1198</v>
      </c>
      <c r="B1225" s="17" t="s">
        <v>1199</v>
      </c>
      <c r="C1225" s="4" t="s">
        <v>8</v>
      </c>
      <c r="D1225" s="5" t="s">
        <v>23</v>
      </c>
      <c r="E1225" s="6" t="s">
        <v>1202</v>
      </c>
      <c r="F1225" s="7">
        <v>45018.0</v>
      </c>
      <c r="H1225" s="11"/>
      <c r="J1225" s="18"/>
      <c r="L1225" s="18"/>
      <c r="M1225" s="23"/>
    </row>
    <row r="1226">
      <c r="A1226" s="10" t="s">
        <v>1198</v>
      </c>
      <c r="B1226" s="17" t="s">
        <v>1199</v>
      </c>
      <c r="C1226" s="4" t="s">
        <v>8</v>
      </c>
      <c r="D1226" s="5" t="s">
        <v>6</v>
      </c>
      <c r="E1226" s="6" t="s">
        <v>1203</v>
      </c>
      <c r="F1226" s="7">
        <v>45048.0</v>
      </c>
      <c r="H1226" s="11"/>
      <c r="J1226" s="18"/>
      <c r="L1226" s="18"/>
      <c r="M1226" s="23"/>
    </row>
    <row r="1227">
      <c r="A1227" s="10" t="s">
        <v>1198</v>
      </c>
      <c r="B1227" s="17" t="s">
        <v>1199</v>
      </c>
      <c r="C1227" s="4" t="s">
        <v>3</v>
      </c>
      <c r="D1227" s="5" t="s">
        <v>35</v>
      </c>
      <c r="E1227" s="6" t="s">
        <v>1204</v>
      </c>
      <c r="F1227" s="7">
        <v>45049.0</v>
      </c>
      <c r="H1227" s="11"/>
      <c r="J1227" s="18"/>
      <c r="L1227" s="18"/>
      <c r="M1227" s="23"/>
    </row>
    <row r="1228">
      <c r="A1228" s="10" t="s">
        <v>1198</v>
      </c>
      <c r="B1228" s="17" t="s">
        <v>1199</v>
      </c>
      <c r="C1228" s="4" t="s">
        <v>8</v>
      </c>
      <c r="D1228" s="5" t="s">
        <v>51</v>
      </c>
      <c r="E1228" s="6" t="s">
        <v>1205</v>
      </c>
      <c r="F1228" s="7">
        <v>45062.0</v>
      </c>
      <c r="H1228" s="11"/>
      <c r="J1228" s="18"/>
      <c r="L1228" s="18"/>
      <c r="M1228" s="23"/>
    </row>
    <row r="1229">
      <c r="A1229" s="10" t="s">
        <v>1198</v>
      </c>
      <c r="B1229" s="17" t="s">
        <v>1199</v>
      </c>
      <c r="C1229" s="4" t="s">
        <v>3</v>
      </c>
      <c r="D1229" s="5" t="s">
        <v>71</v>
      </c>
      <c r="E1229" s="6" t="s">
        <v>1206</v>
      </c>
      <c r="F1229" s="7">
        <v>45065.0</v>
      </c>
      <c r="H1229" s="11"/>
      <c r="J1229" s="18"/>
      <c r="L1229" s="18"/>
      <c r="M1229" s="23"/>
    </row>
    <row r="1230">
      <c r="A1230" s="10" t="s">
        <v>1198</v>
      </c>
      <c r="B1230" s="17" t="s">
        <v>1199</v>
      </c>
      <c r="C1230" s="4" t="s">
        <v>8</v>
      </c>
      <c r="D1230" s="5" t="s">
        <v>42</v>
      </c>
      <c r="E1230" s="6" t="s">
        <v>1207</v>
      </c>
      <c r="F1230" s="7">
        <v>45083.0</v>
      </c>
      <c r="H1230" s="11"/>
      <c r="J1230" s="18"/>
      <c r="L1230" s="18"/>
      <c r="M1230" s="23"/>
    </row>
    <row r="1231">
      <c r="A1231" s="10" t="s">
        <v>1198</v>
      </c>
      <c r="B1231" s="17" t="s">
        <v>1199</v>
      </c>
      <c r="C1231" s="4" t="s">
        <v>8</v>
      </c>
      <c r="D1231" s="5" t="s">
        <v>15</v>
      </c>
      <c r="E1231" s="6" t="s">
        <v>452</v>
      </c>
      <c r="F1231" s="7">
        <v>45085.0</v>
      </c>
      <c r="H1231" s="11"/>
      <c r="J1231" s="18"/>
      <c r="L1231" s="18"/>
      <c r="M1231" s="23"/>
    </row>
    <row r="1232">
      <c r="A1232" s="10" t="s">
        <v>1198</v>
      </c>
      <c r="B1232" s="17" t="s">
        <v>1199</v>
      </c>
      <c r="C1232" s="4" t="s">
        <v>3</v>
      </c>
      <c r="D1232" s="5" t="s">
        <v>13</v>
      </c>
      <c r="E1232" s="6" t="s">
        <v>1208</v>
      </c>
      <c r="F1232" s="7">
        <v>45113.0</v>
      </c>
      <c r="H1232" s="11"/>
      <c r="J1232" s="18"/>
      <c r="L1232" s="18"/>
      <c r="M1232" s="23"/>
    </row>
    <row r="1233">
      <c r="A1233" s="10" t="s">
        <v>1198</v>
      </c>
      <c r="B1233" s="17" t="s">
        <v>1199</v>
      </c>
      <c r="C1233" s="4" t="s">
        <v>3</v>
      </c>
      <c r="D1233" s="5" t="s">
        <v>17</v>
      </c>
      <c r="E1233" s="6" t="s">
        <v>878</v>
      </c>
      <c r="F1233" s="7">
        <v>45114.0</v>
      </c>
      <c r="H1233" s="11"/>
      <c r="J1233" s="18"/>
      <c r="L1233" s="18"/>
      <c r="M1233" s="23"/>
    </row>
    <row r="1234">
      <c r="A1234" s="10" t="s">
        <v>1198</v>
      </c>
      <c r="B1234" s="17" t="s">
        <v>1199</v>
      </c>
      <c r="C1234" s="4" t="s">
        <v>3</v>
      </c>
      <c r="D1234" s="5" t="s">
        <v>35</v>
      </c>
      <c r="E1234" s="6" t="s">
        <v>1209</v>
      </c>
      <c r="F1234" s="7">
        <v>45117.0</v>
      </c>
      <c r="H1234" s="11"/>
      <c r="J1234" s="18"/>
      <c r="L1234" s="18"/>
      <c r="M1234" s="23"/>
    </row>
    <row r="1235">
      <c r="A1235" s="10" t="s">
        <v>1198</v>
      </c>
      <c r="B1235" s="17" t="s">
        <v>1199</v>
      </c>
      <c r="C1235" s="4" t="s">
        <v>3</v>
      </c>
      <c r="D1235" s="5" t="s">
        <v>19</v>
      </c>
      <c r="E1235" s="6" t="s">
        <v>1210</v>
      </c>
      <c r="F1235" s="7">
        <v>45152.0</v>
      </c>
      <c r="H1235" s="11"/>
      <c r="J1235" s="18"/>
      <c r="L1235" s="18"/>
      <c r="M1235" s="23"/>
    </row>
    <row r="1236">
      <c r="A1236" s="10" t="s">
        <v>1198</v>
      </c>
      <c r="B1236" s="17" t="s">
        <v>1199</v>
      </c>
      <c r="C1236" s="4" t="s">
        <v>8</v>
      </c>
      <c r="D1236" s="5" t="s">
        <v>120</v>
      </c>
      <c r="E1236" s="6" t="s">
        <v>1211</v>
      </c>
      <c r="F1236" s="7">
        <v>45160.0</v>
      </c>
      <c r="H1236" s="11"/>
      <c r="J1236" s="18"/>
      <c r="L1236" s="18"/>
      <c r="M1236" s="23"/>
    </row>
    <row r="1237">
      <c r="A1237" s="10" t="s">
        <v>1198</v>
      </c>
      <c r="B1237" s="17" t="s">
        <v>1199</v>
      </c>
      <c r="C1237" s="4" t="s">
        <v>8</v>
      </c>
      <c r="D1237" s="5" t="s">
        <v>9</v>
      </c>
      <c r="E1237" s="6" t="s">
        <v>552</v>
      </c>
      <c r="F1237" s="7">
        <v>45208.0</v>
      </c>
      <c r="H1237" s="11"/>
      <c r="J1237" s="18"/>
      <c r="L1237" s="18"/>
      <c r="M1237" s="23"/>
    </row>
    <row r="1238">
      <c r="A1238" s="10" t="s">
        <v>1198</v>
      </c>
      <c r="B1238" s="17" t="s">
        <v>1199</v>
      </c>
      <c r="C1238" s="4" t="s">
        <v>3</v>
      </c>
      <c r="D1238" s="5" t="s">
        <v>9</v>
      </c>
      <c r="E1238" s="6" t="s">
        <v>916</v>
      </c>
      <c r="F1238" s="7">
        <v>45231.0</v>
      </c>
      <c r="H1238" s="11"/>
      <c r="J1238" s="18"/>
      <c r="L1238" s="18"/>
      <c r="M1238" s="23"/>
    </row>
    <row r="1239">
      <c r="A1239" s="10" t="s">
        <v>1198</v>
      </c>
      <c r="B1239" s="17" t="s">
        <v>1199</v>
      </c>
      <c r="C1239" s="4" t="s">
        <v>8</v>
      </c>
      <c r="D1239" s="5" t="s">
        <v>42</v>
      </c>
      <c r="E1239" s="6" t="s">
        <v>1207</v>
      </c>
      <c r="F1239" s="7">
        <v>45249.0</v>
      </c>
      <c r="H1239" s="11"/>
      <c r="J1239" s="18"/>
      <c r="L1239" s="18"/>
      <c r="M1239" s="23"/>
    </row>
    <row r="1240">
      <c r="A1240" s="10" t="s">
        <v>1198</v>
      </c>
      <c r="B1240" s="17" t="s">
        <v>1199</v>
      </c>
      <c r="C1240" s="4" t="s">
        <v>8</v>
      </c>
      <c r="D1240" s="5" t="s">
        <v>11</v>
      </c>
      <c r="E1240" s="6" t="s">
        <v>1212</v>
      </c>
      <c r="F1240" s="7">
        <v>45256.0</v>
      </c>
      <c r="H1240" s="11"/>
      <c r="J1240" s="18"/>
      <c r="L1240" s="18"/>
      <c r="M1240" s="23"/>
    </row>
    <row r="1241">
      <c r="A1241" s="10" t="s">
        <v>1213</v>
      </c>
      <c r="B1241" s="17" t="s">
        <v>1214</v>
      </c>
      <c r="C1241" s="4" t="s">
        <v>3</v>
      </c>
      <c r="D1241" s="5" t="s">
        <v>35</v>
      </c>
      <c r="E1241" s="6" t="s">
        <v>1215</v>
      </c>
      <c r="F1241" s="7">
        <v>44970.0</v>
      </c>
      <c r="H1241" s="11"/>
      <c r="J1241" s="18"/>
      <c r="L1241" s="18"/>
      <c r="M1241" s="23"/>
    </row>
    <row r="1242">
      <c r="A1242" s="10" t="s">
        <v>1213</v>
      </c>
      <c r="B1242" s="17" t="s">
        <v>1214</v>
      </c>
      <c r="C1242" s="4" t="s">
        <v>8</v>
      </c>
      <c r="D1242" s="5" t="s">
        <v>15</v>
      </c>
      <c r="E1242" s="6" t="s">
        <v>202</v>
      </c>
      <c r="F1242" s="7">
        <v>44972.0</v>
      </c>
      <c r="H1242" s="11"/>
      <c r="J1242" s="18"/>
      <c r="L1242" s="18"/>
      <c r="M1242" s="23"/>
    </row>
    <row r="1243">
      <c r="A1243" s="10" t="s">
        <v>1213</v>
      </c>
      <c r="B1243" s="17" t="s">
        <v>1214</v>
      </c>
      <c r="C1243" s="4" t="s">
        <v>3</v>
      </c>
      <c r="D1243" s="5" t="s">
        <v>120</v>
      </c>
      <c r="E1243" s="6" t="s">
        <v>1216</v>
      </c>
      <c r="F1243" s="7">
        <v>44985.0</v>
      </c>
      <c r="H1243" s="11"/>
      <c r="J1243" s="18"/>
      <c r="L1243" s="18"/>
      <c r="M1243" s="23"/>
    </row>
    <row r="1244">
      <c r="A1244" s="10" t="s">
        <v>1213</v>
      </c>
      <c r="B1244" s="17" t="s">
        <v>1214</v>
      </c>
      <c r="C1244" s="4" t="s">
        <v>8</v>
      </c>
      <c r="D1244" s="5" t="s">
        <v>96</v>
      </c>
      <c r="E1244" s="6" t="s">
        <v>1217</v>
      </c>
      <c r="F1244" s="7">
        <v>45000.0</v>
      </c>
      <c r="H1244" s="11"/>
      <c r="J1244" s="18"/>
      <c r="L1244" s="18"/>
      <c r="M1244" s="23"/>
    </row>
    <row r="1245">
      <c r="A1245" s="10" t="s">
        <v>1213</v>
      </c>
      <c r="B1245" s="17" t="s">
        <v>1214</v>
      </c>
      <c r="C1245" s="4" t="s">
        <v>8</v>
      </c>
      <c r="D1245" s="5" t="s">
        <v>15</v>
      </c>
      <c r="E1245" s="6" t="s">
        <v>609</v>
      </c>
      <c r="F1245" s="7">
        <v>45023.0</v>
      </c>
      <c r="H1245" s="11"/>
      <c r="J1245" s="18"/>
      <c r="L1245" s="18"/>
      <c r="M1245" s="23"/>
    </row>
    <row r="1246">
      <c r="A1246" s="10" t="s">
        <v>1213</v>
      </c>
      <c r="B1246" s="17" t="s">
        <v>1214</v>
      </c>
      <c r="C1246" s="4" t="s">
        <v>8</v>
      </c>
      <c r="D1246" s="5" t="s">
        <v>15</v>
      </c>
      <c r="E1246" s="6" t="s">
        <v>1218</v>
      </c>
      <c r="F1246" s="7">
        <v>45025.0</v>
      </c>
      <c r="H1246" s="11"/>
      <c r="J1246" s="18"/>
      <c r="L1246" s="18"/>
      <c r="M1246" s="23"/>
    </row>
    <row r="1247">
      <c r="A1247" s="10" t="s">
        <v>1213</v>
      </c>
      <c r="B1247" s="17" t="s">
        <v>1214</v>
      </c>
      <c r="C1247" s="4" t="s">
        <v>8</v>
      </c>
      <c r="D1247" s="5" t="s">
        <v>23</v>
      </c>
      <c r="E1247" s="6" t="s">
        <v>1219</v>
      </c>
      <c r="F1247" s="7">
        <v>45028.0</v>
      </c>
      <c r="H1247" s="11"/>
      <c r="J1247" s="18"/>
      <c r="L1247" s="18"/>
      <c r="M1247" s="23"/>
    </row>
    <row r="1248">
      <c r="A1248" s="10" t="s">
        <v>1213</v>
      </c>
      <c r="B1248" s="17" t="s">
        <v>1214</v>
      </c>
      <c r="C1248" s="4" t="s">
        <v>3</v>
      </c>
      <c r="D1248" s="5" t="s">
        <v>17</v>
      </c>
      <c r="E1248" s="6" t="s">
        <v>1220</v>
      </c>
      <c r="F1248" s="7">
        <v>45035.0</v>
      </c>
      <c r="H1248" s="11"/>
      <c r="J1248" s="18"/>
      <c r="L1248" s="18"/>
      <c r="M1248" s="23"/>
    </row>
    <row r="1249">
      <c r="A1249" s="10" t="s">
        <v>1213</v>
      </c>
      <c r="B1249" s="17" t="s">
        <v>1214</v>
      </c>
      <c r="C1249" s="4" t="s">
        <v>3</v>
      </c>
      <c r="D1249" s="5" t="s">
        <v>45</v>
      </c>
      <c r="E1249" s="6" t="s">
        <v>1221</v>
      </c>
      <c r="F1249" s="7">
        <v>45038.0</v>
      </c>
      <c r="H1249" s="11"/>
      <c r="J1249" s="18"/>
      <c r="L1249" s="18"/>
      <c r="M1249" s="23"/>
    </row>
    <row r="1250">
      <c r="A1250" s="10" t="s">
        <v>1213</v>
      </c>
      <c r="B1250" s="17" t="s">
        <v>1214</v>
      </c>
      <c r="C1250" s="4" t="s">
        <v>3</v>
      </c>
      <c r="D1250" s="5" t="s">
        <v>45</v>
      </c>
      <c r="E1250" s="6" t="s">
        <v>1222</v>
      </c>
      <c r="F1250" s="7">
        <v>45044.0</v>
      </c>
      <c r="H1250" s="11"/>
      <c r="J1250" s="18"/>
      <c r="L1250" s="18"/>
      <c r="M1250" s="23"/>
    </row>
    <row r="1251">
      <c r="A1251" s="10" t="s">
        <v>1213</v>
      </c>
      <c r="B1251" s="17" t="s">
        <v>1214</v>
      </c>
      <c r="C1251" s="4" t="s">
        <v>3</v>
      </c>
      <c r="D1251" s="5" t="s">
        <v>76</v>
      </c>
      <c r="E1251" s="6" t="s">
        <v>618</v>
      </c>
      <c r="F1251" s="7">
        <v>45072.0</v>
      </c>
      <c r="H1251" s="11"/>
      <c r="J1251" s="18"/>
      <c r="L1251" s="18"/>
      <c r="M1251" s="23"/>
    </row>
    <row r="1252">
      <c r="A1252" s="10" t="s">
        <v>1213</v>
      </c>
      <c r="B1252" s="17" t="s">
        <v>1214</v>
      </c>
      <c r="C1252" s="4" t="s">
        <v>8</v>
      </c>
      <c r="D1252" s="5" t="s">
        <v>28</v>
      </c>
      <c r="E1252" s="6" t="s">
        <v>1223</v>
      </c>
      <c r="F1252" s="7">
        <v>45079.0</v>
      </c>
      <c r="H1252" s="11"/>
      <c r="J1252" s="18"/>
      <c r="L1252" s="18"/>
      <c r="M1252" s="23"/>
    </row>
    <row r="1253">
      <c r="A1253" s="10" t="s">
        <v>1213</v>
      </c>
      <c r="B1253" s="17" t="s">
        <v>1214</v>
      </c>
      <c r="C1253" s="4" t="s">
        <v>3</v>
      </c>
      <c r="D1253" s="5" t="s">
        <v>13</v>
      </c>
      <c r="E1253" s="6" t="s">
        <v>654</v>
      </c>
      <c r="F1253" s="7">
        <v>45095.0</v>
      </c>
      <c r="H1253" s="11"/>
      <c r="J1253" s="18"/>
      <c r="L1253" s="18"/>
      <c r="M1253" s="23"/>
    </row>
    <row r="1254">
      <c r="A1254" s="10" t="s">
        <v>1213</v>
      </c>
      <c r="B1254" s="17" t="s">
        <v>1214</v>
      </c>
      <c r="C1254" s="4" t="s">
        <v>8</v>
      </c>
      <c r="D1254" s="5" t="s">
        <v>71</v>
      </c>
      <c r="E1254" s="6" t="s">
        <v>1224</v>
      </c>
      <c r="F1254" s="7">
        <v>45097.0</v>
      </c>
      <c r="H1254" s="11"/>
      <c r="J1254" s="18"/>
      <c r="L1254" s="18"/>
      <c r="M1254" s="23"/>
    </row>
    <row r="1255">
      <c r="A1255" s="10" t="s">
        <v>1213</v>
      </c>
      <c r="B1255" s="17" t="s">
        <v>1214</v>
      </c>
      <c r="C1255" s="4" t="s">
        <v>8</v>
      </c>
      <c r="D1255" s="5" t="s">
        <v>13</v>
      </c>
      <c r="E1255" s="6" t="s">
        <v>1225</v>
      </c>
      <c r="F1255" s="7">
        <v>45103.0</v>
      </c>
      <c r="H1255" s="11"/>
      <c r="J1255" s="18"/>
      <c r="L1255" s="18"/>
      <c r="M1255" s="23"/>
    </row>
    <row r="1256">
      <c r="A1256" s="10" t="s">
        <v>1213</v>
      </c>
      <c r="B1256" s="17" t="s">
        <v>1214</v>
      </c>
      <c r="C1256" s="4" t="s">
        <v>8</v>
      </c>
      <c r="D1256" s="5" t="s">
        <v>39</v>
      </c>
      <c r="E1256" s="6" t="s">
        <v>914</v>
      </c>
      <c r="F1256" s="7">
        <v>45111.0</v>
      </c>
      <c r="H1256" s="11"/>
      <c r="J1256" s="18"/>
      <c r="L1256" s="18"/>
      <c r="M1256" s="23"/>
    </row>
    <row r="1257">
      <c r="A1257" s="10" t="s">
        <v>1213</v>
      </c>
      <c r="B1257" s="17" t="s">
        <v>1214</v>
      </c>
      <c r="C1257" s="4" t="s">
        <v>8</v>
      </c>
      <c r="D1257" s="5" t="s">
        <v>17</v>
      </c>
      <c r="E1257" s="6" t="s">
        <v>1226</v>
      </c>
      <c r="F1257" s="7">
        <v>45142.0</v>
      </c>
      <c r="H1257" s="11"/>
      <c r="J1257" s="18"/>
      <c r="L1257" s="18"/>
      <c r="M1257" s="23"/>
    </row>
    <row r="1258">
      <c r="A1258" s="10" t="s">
        <v>1213</v>
      </c>
      <c r="B1258" s="17" t="s">
        <v>1214</v>
      </c>
      <c r="C1258" s="4" t="s">
        <v>8</v>
      </c>
      <c r="D1258" s="5" t="s">
        <v>15</v>
      </c>
      <c r="E1258" s="6" t="s">
        <v>452</v>
      </c>
      <c r="F1258" s="7">
        <v>45147.0</v>
      </c>
      <c r="H1258" s="11"/>
      <c r="J1258" s="18"/>
      <c r="L1258" s="18"/>
      <c r="M1258" s="23"/>
    </row>
    <row r="1259">
      <c r="A1259" s="10" t="s">
        <v>1213</v>
      </c>
      <c r="B1259" s="17" t="s">
        <v>1214</v>
      </c>
      <c r="C1259" s="4" t="s">
        <v>8</v>
      </c>
      <c r="D1259" s="5" t="s">
        <v>15</v>
      </c>
      <c r="E1259" s="6" t="s">
        <v>396</v>
      </c>
      <c r="F1259" s="7">
        <v>45157.0</v>
      </c>
      <c r="H1259" s="11"/>
      <c r="J1259" s="18"/>
      <c r="L1259" s="18"/>
      <c r="M1259" s="23"/>
    </row>
    <row r="1260">
      <c r="A1260" s="10" t="s">
        <v>1213</v>
      </c>
      <c r="B1260" s="17" t="s">
        <v>1214</v>
      </c>
      <c r="C1260" s="4" t="s">
        <v>8</v>
      </c>
      <c r="D1260" s="5" t="s">
        <v>23</v>
      </c>
      <c r="E1260" s="6" t="s">
        <v>1227</v>
      </c>
      <c r="F1260" s="7">
        <v>45232.0</v>
      </c>
      <c r="H1260" s="11"/>
      <c r="J1260" s="18"/>
      <c r="L1260" s="18"/>
      <c r="M1260" s="23"/>
    </row>
    <row r="1261">
      <c r="A1261" s="10" t="s">
        <v>1228</v>
      </c>
      <c r="B1261" s="17" t="s">
        <v>1229</v>
      </c>
      <c r="C1261" s="4" t="s">
        <v>3</v>
      </c>
      <c r="D1261" s="5" t="s">
        <v>19</v>
      </c>
      <c r="E1261" s="6" t="s">
        <v>1174</v>
      </c>
      <c r="F1261" s="7">
        <v>44941.0</v>
      </c>
      <c r="H1261" s="11"/>
      <c r="J1261" s="18"/>
      <c r="L1261" s="18"/>
      <c r="M1261" s="23"/>
    </row>
    <row r="1262">
      <c r="A1262" s="10" t="s">
        <v>1228</v>
      </c>
      <c r="B1262" s="17" t="s">
        <v>1229</v>
      </c>
      <c r="C1262" s="4" t="s">
        <v>8</v>
      </c>
      <c r="D1262" s="5" t="s">
        <v>9</v>
      </c>
      <c r="E1262" s="6" t="s">
        <v>1230</v>
      </c>
      <c r="F1262" s="7">
        <v>44995.0</v>
      </c>
      <c r="H1262" s="11"/>
      <c r="J1262" s="18"/>
      <c r="L1262" s="18"/>
      <c r="M1262" s="23"/>
    </row>
    <row r="1263">
      <c r="A1263" s="10" t="s">
        <v>1228</v>
      </c>
      <c r="B1263" s="17" t="s">
        <v>1229</v>
      </c>
      <c r="C1263" s="4" t="s">
        <v>8</v>
      </c>
      <c r="D1263" s="5" t="s">
        <v>96</v>
      </c>
      <c r="E1263" s="6" t="s">
        <v>382</v>
      </c>
      <c r="F1263" s="7">
        <v>45004.0</v>
      </c>
      <c r="H1263" s="11"/>
      <c r="J1263" s="18"/>
      <c r="L1263" s="18"/>
      <c r="M1263" s="23"/>
    </row>
    <row r="1264">
      <c r="A1264" s="10" t="s">
        <v>1228</v>
      </c>
      <c r="B1264" s="17" t="s">
        <v>1229</v>
      </c>
      <c r="C1264" s="4" t="s">
        <v>8</v>
      </c>
      <c r="D1264" s="5" t="s">
        <v>4</v>
      </c>
      <c r="E1264" s="6" t="s">
        <v>1231</v>
      </c>
      <c r="F1264" s="7">
        <v>45012.0</v>
      </c>
      <c r="H1264" s="11"/>
      <c r="J1264" s="18"/>
      <c r="L1264" s="18"/>
      <c r="M1264" s="23"/>
    </row>
    <row r="1265">
      <c r="A1265" s="10" t="s">
        <v>1228</v>
      </c>
      <c r="B1265" s="17" t="s">
        <v>1229</v>
      </c>
      <c r="C1265" s="4" t="s">
        <v>8</v>
      </c>
      <c r="D1265" s="5" t="s">
        <v>35</v>
      </c>
      <c r="E1265" s="6" t="s">
        <v>1232</v>
      </c>
      <c r="F1265" s="7">
        <v>45032.0</v>
      </c>
      <c r="H1265" s="11"/>
      <c r="J1265" s="18"/>
      <c r="L1265" s="18"/>
      <c r="M1265" s="23"/>
    </row>
    <row r="1266">
      <c r="A1266" s="10" t="s">
        <v>1228</v>
      </c>
      <c r="B1266" s="17" t="s">
        <v>1229</v>
      </c>
      <c r="C1266" s="4" t="s">
        <v>3</v>
      </c>
      <c r="D1266" s="5" t="s">
        <v>17</v>
      </c>
      <c r="E1266" s="6" t="s">
        <v>1001</v>
      </c>
      <c r="F1266" s="7">
        <v>45033.0</v>
      </c>
      <c r="H1266" s="11"/>
      <c r="J1266" s="18"/>
      <c r="L1266" s="18"/>
      <c r="M1266" s="23"/>
    </row>
    <row r="1267">
      <c r="A1267" s="10" t="s">
        <v>1228</v>
      </c>
      <c r="B1267" s="17" t="s">
        <v>1229</v>
      </c>
      <c r="C1267" s="4" t="s">
        <v>3</v>
      </c>
      <c r="D1267" s="5" t="s">
        <v>23</v>
      </c>
      <c r="E1267" s="6" t="s">
        <v>163</v>
      </c>
      <c r="F1267" s="7">
        <v>45056.0</v>
      </c>
      <c r="H1267" s="11"/>
      <c r="J1267" s="18"/>
      <c r="L1267" s="18"/>
      <c r="M1267" s="23"/>
    </row>
    <row r="1268">
      <c r="A1268" s="10" t="s">
        <v>1228</v>
      </c>
      <c r="B1268" s="17" t="s">
        <v>1229</v>
      </c>
      <c r="C1268" s="4" t="s">
        <v>3</v>
      </c>
      <c r="D1268" s="5" t="s">
        <v>21</v>
      </c>
      <c r="E1268" s="6" t="s">
        <v>58</v>
      </c>
      <c r="F1268" s="7">
        <v>45061.0</v>
      </c>
      <c r="H1268" s="11"/>
      <c r="J1268" s="18"/>
      <c r="L1268" s="18"/>
      <c r="M1268" s="23"/>
    </row>
    <row r="1269">
      <c r="A1269" s="10" t="s">
        <v>1228</v>
      </c>
      <c r="B1269" s="17" t="s">
        <v>1229</v>
      </c>
      <c r="C1269" s="4" t="s">
        <v>8</v>
      </c>
      <c r="D1269" s="5" t="s">
        <v>13</v>
      </c>
      <c r="E1269" s="6" t="s">
        <v>1233</v>
      </c>
      <c r="F1269" s="7">
        <v>45091.0</v>
      </c>
      <c r="H1269" s="11"/>
      <c r="J1269" s="18"/>
      <c r="L1269" s="18"/>
      <c r="M1269" s="23"/>
    </row>
    <row r="1270">
      <c r="A1270" s="10" t="s">
        <v>1228</v>
      </c>
      <c r="B1270" s="17" t="s">
        <v>1229</v>
      </c>
      <c r="C1270" s="4" t="s">
        <v>8</v>
      </c>
      <c r="D1270" s="5" t="s">
        <v>96</v>
      </c>
      <c r="E1270" s="6" t="s">
        <v>1234</v>
      </c>
      <c r="F1270" s="7">
        <v>45100.0</v>
      </c>
      <c r="H1270" s="11"/>
      <c r="J1270" s="18"/>
      <c r="L1270" s="18"/>
      <c r="M1270" s="23"/>
    </row>
    <row r="1271">
      <c r="A1271" s="10" t="s">
        <v>1228</v>
      </c>
      <c r="B1271" s="17" t="s">
        <v>1229</v>
      </c>
      <c r="C1271" s="4" t="s">
        <v>3</v>
      </c>
      <c r="D1271" s="5" t="s">
        <v>96</v>
      </c>
      <c r="E1271" s="6" t="s">
        <v>894</v>
      </c>
      <c r="F1271" s="7">
        <v>45140.0</v>
      </c>
      <c r="H1271" s="11"/>
      <c r="J1271" s="18"/>
      <c r="L1271" s="18"/>
      <c r="M1271" s="23"/>
    </row>
    <row r="1272">
      <c r="A1272" s="10" t="s">
        <v>1228</v>
      </c>
      <c r="B1272" s="17" t="s">
        <v>1229</v>
      </c>
      <c r="C1272" s="4" t="s">
        <v>8</v>
      </c>
      <c r="D1272" s="5" t="s">
        <v>51</v>
      </c>
      <c r="E1272" s="6" t="s">
        <v>97</v>
      </c>
      <c r="F1272" s="7">
        <v>45154.0</v>
      </c>
      <c r="H1272" s="11"/>
      <c r="J1272" s="18"/>
      <c r="L1272" s="18"/>
      <c r="M1272" s="23"/>
    </row>
    <row r="1273">
      <c r="A1273" s="10" t="s">
        <v>1228</v>
      </c>
      <c r="B1273" s="17" t="s">
        <v>1229</v>
      </c>
      <c r="C1273" s="4" t="s">
        <v>8</v>
      </c>
      <c r="D1273" s="5" t="s">
        <v>120</v>
      </c>
      <c r="E1273" s="6" t="s">
        <v>1235</v>
      </c>
      <c r="F1273" s="7">
        <v>45161.0</v>
      </c>
      <c r="H1273" s="11"/>
      <c r="J1273" s="18"/>
      <c r="L1273" s="18"/>
      <c r="M1273" s="23"/>
    </row>
    <row r="1274">
      <c r="A1274" s="10" t="s">
        <v>1228</v>
      </c>
      <c r="B1274" s="17" t="s">
        <v>1229</v>
      </c>
      <c r="C1274" s="4" t="s">
        <v>8</v>
      </c>
      <c r="D1274" s="5" t="s">
        <v>76</v>
      </c>
      <c r="E1274" s="6" t="s">
        <v>1236</v>
      </c>
      <c r="F1274" s="7">
        <v>45204.0</v>
      </c>
      <c r="H1274" s="11"/>
      <c r="J1274" s="18"/>
      <c r="L1274" s="18"/>
      <c r="M1274" s="23"/>
    </row>
    <row r="1275">
      <c r="A1275" s="10" t="s">
        <v>1228</v>
      </c>
      <c r="B1275" s="17" t="s">
        <v>1229</v>
      </c>
      <c r="C1275" s="4" t="s">
        <v>8</v>
      </c>
      <c r="D1275" s="5" t="s">
        <v>42</v>
      </c>
      <c r="E1275" s="6" t="s">
        <v>196</v>
      </c>
      <c r="F1275" s="7">
        <v>45213.0</v>
      </c>
      <c r="H1275" s="11"/>
      <c r="J1275" s="18"/>
      <c r="L1275" s="18"/>
      <c r="M1275" s="23"/>
    </row>
    <row r="1276">
      <c r="A1276" s="10" t="s">
        <v>1228</v>
      </c>
      <c r="B1276" s="17" t="s">
        <v>1229</v>
      </c>
      <c r="C1276" s="4" t="s">
        <v>8</v>
      </c>
      <c r="D1276" s="5" t="s">
        <v>51</v>
      </c>
      <c r="E1276" s="6" t="s">
        <v>1237</v>
      </c>
      <c r="F1276" s="7">
        <v>45216.0</v>
      </c>
      <c r="H1276" s="11"/>
      <c r="J1276" s="18"/>
      <c r="L1276" s="18"/>
      <c r="M1276" s="23"/>
    </row>
    <row r="1277">
      <c r="A1277" s="10" t="s">
        <v>1228</v>
      </c>
      <c r="B1277" s="17" t="s">
        <v>1229</v>
      </c>
      <c r="C1277" s="4" t="s">
        <v>8</v>
      </c>
      <c r="D1277" s="5" t="s">
        <v>15</v>
      </c>
      <c r="E1277" s="6" t="s">
        <v>422</v>
      </c>
      <c r="F1277" s="7">
        <v>45220.0</v>
      </c>
      <c r="H1277" s="11"/>
      <c r="J1277" s="18"/>
      <c r="L1277" s="18"/>
      <c r="M1277" s="23"/>
    </row>
    <row r="1278">
      <c r="A1278" s="10" t="s">
        <v>1228</v>
      </c>
      <c r="B1278" s="17" t="s">
        <v>1229</v>
      </c>
      <c r="C1278" s="4" t="s">
        <v>3</v>
      </c>
      <c r="D1278" s="5" t="s">
        <v>21</v>
      </c>
      <c r="E1278" s="6" t="s">
        <v>193</v>
      </c>
      <c r="F1278" s="7">
        <v>45235.0</v>
      </c>
      <c r="H1278" s="11"/>
      <c r="J1278" s="18"/>
      <c r="L1278" s="18"/>
      <c r="M1278" s="23"/>
    </row>
    <row r="1279">
      <c r="A1279" s="10" t="s">
        <v>1228</v>
      </c>
      <c r="B1279" s="17" t="s">
        <v>1229</v>
      </c>
      <c r="C1279" s="4" t="s">
        <v>3</v>
      </c>
      <c r="D1279" s="5" t="s">
        <v>71</v>
      </c>
      <c r="E1279" s="6" t="s">
        <v>1238</v>
      </c>
      <c r="F1279" s="7">
        <v>45271.0</v>
      </c>
      <c r="H1279" s="11"/>
      <c r="J1279" s="18"/>
      <c r="L1279" s="18"/>
      <c r="M1279" s="23"/>
    </row>
    <row r="1280">
      <c r="A1280" s="10" t="s">
        <v>1228</v>
      </c>
      <c r="B1280" s="17" t="s">
        <v>1229</v>
      </c>
      <c r="C1280" s="4" t="s">
        <v>3</v>
      </c>
      <c r="D1280" s="5" t="s">
        <v>28</v>
      </c>
      <c r="E1280" s="6" t="s">
        <v>1239</v>
      </c>
      <c r="F1280" s="7">
        <v>45273.0</v>
      </c>
      <c r="H1280" s="11"/>
      <c r="J1280" s="18"/>
      <c r="L1280" s="18"/>
      <c r="M1280" s="23"/>
    </row>
    <row r="1281">
      <c r="A1281" s="10" t="s">
        <v>1240</v>
      </c>
      <c r="B1281" s="17" t="s">
        <v>1241</v>
      </c>
      <c r="C1281" s="4" t="s">
        <v>3</v>
      </c>
      <c r="D1281" s="5" t="s">
        <v>39</v>
      </c>
      <c r="E1281" s="6" t="s">
        <v>1242</v>
      </c>
      <c r="F1281" s="7">
        <v>44960.0</v>
      </c>
      <c r="H1281" s="11"/>
      <c r="J1281" s="18"/>
      <c r="L1281" s="18"/>
      <c r="M1281" s="23"/>
    </row>
    <row r="1282">
      <c r="A1282" s="10" t="s">
        <v>1240</v>
      </c>
      <c r="B1282" s="17" t="s">
        <v>1241</v>
      </c>
      <c r="C1282" s="4" t="s">
        <v>3</v>
      </c>
      <c r="D1282" s="5" t="s">
        <v>76</v>
      </c>
      <c r="E1282" s="6" t="s">
        <v>1127</v>
      </c>
      <c r="F1282" s="7">
        <v>44980.0</v>
      </c>
      <c r="H1282" s="11"/>
      <c r="J1282" s="18"/>
      <c r="L1282" s="18"/>
      <c r="M1282" s="23"/>
    </row>
    <row r="1283">
      <c r="A1283" s="10" t="s">
        <v>1240</v>
      </c>
      <c r="B1283" s="17" t="s">
        <v>1241</v>
      </c>
      <c r="C1283" s="4" t="s">
        <v>8</v>
      </c>
      <c r="D1283" s="5" t="s">
        <v>120</v>
      </c>
      <c r="E1283" s="6" t="s">
        <v>1243</v>
      </c>
      <c r="F1283" s="7">
        <v>44998.0</v>
      </c>
      <c r="H1283" s="11"/>
      <c r="J1283" s="18"/>
      <c r="L1283" s="18"/>
      <c r="M1283" s="23"/>
    </row>
    <row r="1284">
      <c r="A1284" s="10" t="s">
        <v>1240</v>
      </c>
      <c r="B1284" s="17" t="s">
        <v>1241</v>
      </c>
      <c r="C1284" s="4" t="s">
        <v>3</v>
      </c>
      <c r="D1284" s="5" t="s">
        <v>51</v>
      </c>
      <c r="E1284" s="6" t="s">
        <v>1244</v>
      </c>
      <c r="F1284" s="7">
        <v>44999.0</v>
      </c>
      <c r="H1284" s="11"/>
      <c r="J1284" s="18"/>
      <c r="L1284" s="18"/>
      <c r="M1284" s="23"/>
    </row>
    <row r="1285">
      <c r="A1285" s="10" t="s">
        <v>1240</v>
      </c>
      <c r="B1285" s="17" t="s">
        <v>1241</v>
      </c>
      <c r="C1285" s="4" t="s">
        <v>8</v>
      </c>
      <c r="D1285" s="5" t="s">
        <v>9</v>
      </c>
      <c r="E1285" s="6" t="s">
        <v>1245</v>
      </c>
      <c r="F1285" s="7">
        <v>45048.0</v>
      </c>
      <c r="H1285" s="11"/>
      <c r="J1285" s="18"/>
      <c r="L1285" s="18"/>
      <c r="M1285" s="23"/>
    </row>
    <row r="1286">
      <c r="A1286" s="10" t="s">
        <v>1240</v>
      </c>
      <c r="B1286" s="17" t="s">
        <v>1241</v>
      </c>
      <c r="C1286" s="4" t="s">
        <v>8</v>
      </c>
      <c r="D1286" s="5" t="s">
        <v>21</v>
      </c>
      <c r="E1286" s="6" t="s">
        <v>1246</v>
      </c>
      <c r="F1286" s="7">
        <v>45051.0</v>
      </c>
      <c r="H1286" s="11"/>
      <c r="J1286" s="18"/>
      <c r="L1286" s="18"/>
      <c r="M1286" s="23"/>
    </row>
    <row r="1287">
      <c r="A1287" s="10" t="s">
        <v>1240</v>
      </c>
      <c r="B1287" s="17" t="s">
        <v>1241</v>
      </c>
      <c r="C1287" s="4" t="s">
        <v>8</v>
      </c>
      <c r="D1287" s="5" t="s">
        <v>23</v>
      </c>
      <c r="E1287" s="6" t="s">
        <v>1247</v>
      </c>
      <c r="F1287" s="7">
        <v>45052.0</v>
      </c>
      <c r="H1287" s="11"/>
      <c r="J1287" s="18"/>
      <c r="L1287" s="18"/>
      <c r="M1287" s="23"/>
    </row>
    <row r="1288">
      <c r="A1288" s="10" t="s">
        <v>1240</v>
      </c>
      <c r="B1288" s="17" t="s">
        <v>1241</v>
      </c>
      <c r="C1288" s="4" t="s">
        <v>8</v>
      </c>
      <c r="D1288" s="5" t="s">
        <v>15</v>
      </c>
      <c r="E1288" s="6" t="s">
        <v>1248</v>
      </c>
      <c r="F1288" s="7">
        <v>45053.0</v>
      </c>
      <c r="H1288" s="11"/>
      <c r="J1288" s="18"/>
      <c r="L1288" s="18"/>
      <c r="M1288" s="23"/>
    </row>
    <row r="1289">
      <c r="A1289" s="10" t="s">
        <v>1240</v>
      </c>
      <c r="B1289" s="17" t="s">
        <v>1241</v>
      </c>
      <c r="C1289" s="4" t="s">
        <v>8</v>
      </c>
      <c r="D1289" s="5" t="s">
        <v>35</v>
      </c>
      <c r="E1289" s="6" t="s">
        <v>1249</v>
      </c>
      <c r="F1289" s="7">
        <v>45079.0</v>
      </c>
      <c r="H1289" s="11"/>
      <c r="J1289" s="18"/>
      <c r="L1289" s="18"/>
      <c r="M1289" s="23"/>
    </row>
    <row r="1290">
      <c r="A1290" s="10" t="s">
        <v>1240</v>
      </c>
      <c r="B1290" s="17" t="s">
        <v>1241</v>
      </c>
      <c r="C1290" s="4" t="s">
        <v>8</v>
      </c>
      <c r="D1290" s="5" t="s">
        <v>35</v>
      </c>
      <c r="E1290" s="6" t="s">
        <v>1250</v>
      </c>
      <c r="F1290" s="7">
        <v>45091.0</v>
      </c>
      <c r="H1290" s="11"/>
      <c r="J1290" s="18"/>
      <c r="L1290" s="18"/>
      <c r="M1290" s="23"/>
    </row>
    <row r="1291">
      <c r="A1291" s="10" t="s">
        <v>1240</v>
      </c>
      <c r="B1291" s="17" t="s">
        <v>1241</v>
      </c>
      <c r="C1291" s="4" t="s">
        <v>8</v>
      </c>
      <c r="D1291" s="5" t="s">
        <v>19</v>
      </c>
      <c r="E1291" s="6" t="s">
        <v>1251</v>
      </c>
      <c r="F1291" s="7">
        <v>45101.0</v>
      </c>
      <c r="H1291" s="11"/>
      <c r="J1291" s="18"/>
      <c r="L1291" s="18"/>
      <c r="M1291" s="23"/>
    </row>
    <row r="1292">
      <c r="A1292" s="10" t="s">
        <v>1240</v>
      </c>
      <c r="B1292" s="17" t="s">
        <v>1241</v>
      </c>
      <c r="C1292" s="4" t="s">
        <v>8</v>
      </c>
      <c r="D1292" s="5" t="s">
        <v>23</v>
      </c>
      <c r="E1292" s="6" t="s">
        <v>1252</v>
      </c>
      <c r="F1292" s="7">
        <v>45108.0</v>
      </c>
      <c r="H1292" s="11"/>
      <c r="J1292" s="18"/>
      <c r="L1292" s="18"/>
      <c r="M1292" s="23"/>
    </row>
    <row r="1293">
      <c r="A1293" s="10" t="s">
        <v>1240</v>
      </c>
      <c r="B1293" s="17" t="s">
        <v>1241</v>
      </c>
      <c r="C1293" s="4" t="s">
        <v>3</v>
      </c>
      <c r="D1293" s="5" t="s">
        <v>120</v>
      </c>
      <c r="E1293" s="6" t="s">
        <v>1253</v>
      </c>
      <c r="F1293" s="7">
        <v>45112.0</v>
      </c>
      <c r="H1293" s="11"/>
      <c r="J1293" s="18"/>
      <c r="L1293" s="18"/>
      <c r="M1293" s="23"/>
    </row>
    <row r="1294">
      <c r="A1294" s="10" t="s">
        <v>1240</v>
      </c>
      <c r="B1294" s="17" t="s">
        <v>1241</v>
      </c>
      <c r="C1294" s="4" t="s">
        <v>3</v>
      </c>
      <c r="D1294" s="5" t="s">
        <v>120</v>
      </c>
      <c r="E1294" s="6" t="s">
        <v>1254</v>
      </c>
      <c r="F1294" s="7">
        <v>45203.0</v>
      </c>
      <c r="H1294" s="11"/>
      <c r="J1294" s="18"/>
      <c r="L1294" s="18"/>
      <c r="M1294" s="23"/>
    </row>
    <row r="1295">
      <c r="A1295" s="10" t="s">
        <v>1240</v>
      </c>
      <c r="B1295" s="17" t="s">
        <v>1241</v>
      </c>
      <c r="C1295" s="4" t="s">
        <v>8</v>
      </c>
      <c r="D1295" s="5" t="s">
        <v>39</v>
      </c>
      <c r="E1295" s="6" t="s">
        <v>1255</v>
      </c>
      <c r="F1295" s="7">
        <v>45220.0</v>
      </c>
      <c r="H1295" s="11"/>
      <c r="J1295" s="18"/>
      <c r="L1295" s="18"/>
      <c r="M1295" s="23"/>
    </row>
    <row r="1296">
      <c r="A1296" s="10" t="s">
        <v>1240</v>
      </c>
      <c r="B1296" s="17" t="s">
        <v>1241</v>
      </c>
      <c r="C1296" s="4" t="s">
        <v>8</v>
      </c>
      <c r="D1296" s="5" t="s">
        <v>17</v>
      </c>
      <c r="E1296" s="6" t="s">
        <v>686</v>
      </c>
      <c r="F1296" s="7">
        <v>45223.0</v>
      </c>
      <c r="H1296" s="11"/>
      <c r="J1296" s="18"/>
      <c r="L1296" s="18"/>
      <c r="M1296" s="23"/>
    </row>
    <row r="1297">
      <c r="A1297" s="10" t="s">
        <v>1240</v>
      </c>
      <c r="B1297" s="17" t="s">
        <v>1241</v>
      </c>
      <c r="C1297" s="4" t="s">
        <v>3</v>
      </c>
      <c r="D1297" s="5" t="s">
        <v>28</v>
      </c>
      <c r="E1297" s="6" t="s">
        <v>1256</v>
      </c>
      <c r="F1297" s="7">
        <v>45225.0</v>
      </c>
      <c r="H1297" s="11"/>
      <c r="J1297" s="18"/>
      <c r="L1297" s="18"/>
      <c r="M1297" s="23"/>
    </row>
    <row r="1298">
      <c r="A1298" s="10" t="s">
        <v>1240</v>
      </c>
      <c r="B1298" s="17" t="s">
        <v>1241</v>
      </c>
      <c r="C1298" s="4" t="s">
        <v>3</v>
      </c>
      <c r="D1298" s="5" t="s">
        <v>76</v>
      </c>
      <c r="E1298" s="6" t="s">
        <v>1257</v>
      </c>
      <c r="F1298" s="7">
        <v>45236.0</v>
      </c>
      <c r="H1298" s="11"/>
      <c r="J1298" s="18"/>
      <c r="L1298" s="18"/>
      <c r="M1298" s="23"/>
    </row>
    <row r="1299">
      <c r="A1299" s="10" t="s">
        <v>1240</v>
      </c>
      <c r="B1299" s="17" t="s">
        <v>1241</v>
      </c>
      <c r="C1299" s="4" t="s">
        <v>3</v>
      </c>
      <c r="D1299" s="5" t="s">
        <v>21</v>
      </c>
      <c r="E1299" s="6" t="s">
        <v>1218</v>
      </c>
      <c r="F1299" s="7">
        <v>45249.0</v>
      </c>
      <c r="H1299" s="11"/>
      <c r="J1299" s="18"/>
      <c r="L1299" s="18"/>
      <c r="M1299" s="23"/>
    </row>
    <row r="1300">
      <c r="A1300" s="10" t="s">
        <v>1240</v>
      </c>
      <c r="B1300" s="17" t="s">
        <v>1241</v>
      </c>
      <c r="C1300" s="4" t="s">
        <v>3</v>
      </c>
      <c r="D1300" s="5" t="s">
        <v>35</v>
      </c>
      <c r="E1300" s="6" t="s">
        <v>893</v>
      </c>
      <c r="F1300" s="7">
        <v>45271.0</v>
      </c>
      <c r="H1300" s="11"/>
      <c r="J1300" s="18"/>
      <c r="L1300" s="18"/>
      <c r="M1300" s="23"/>
    </row>
    <row r="1301">
      <c r="A1301" s="10" t="s">
        <v>1258</v>
      </c>
      <c r="B1301" s="17" t="s">
        <v>1259</v>
      </c>
      <c r="C1301" s="4" t="s">
        <v>8</v>
      </c>
      <c r="D1301" s="5" t="s">
        <v>51</v>
      </c>
      <c r="E1301" s="6" t="s">
        <v>1260</v>
      </c>
      <c r="F1301" s="7">
        <v>44941.0</v>
      </c>
      <c r="H1301" s="11"/>
      <c r="J1301" s="18"/>
      <c r="L1301" s="18"/>
      <c r="M1301" s="23"/>
    </row>
    <row r="1302">
      <c r="A1302" s="10" t="s">
        <v>1258</v>
      </c>
      <c r="B1302" s="17" t="s">
        <v>1259</v>
      </c>
      <c r="C1302" s="4" t="s">
        <v>3</v>
      </c>
      <c r="D1302" s="5" t="s">
        <v>120</v>
      </c>
      <c r="E1302" s="6" t="s">
        <v>1261</v>
      </c>
      <c r="F1302" s="7">
        <v>44949.0</v>
      </c>
      <c r="H1302" s="11"/>
      <c r="J1302" s="18"/>
      <c r="L1302" s="18"/>
      <c r="M1302" s="23"/>
    </row>
    <row r="1303">
      <c r="A1303" s="10" t="s">
        <v>1258</v>
      </c>
      <c r="B1303" s="17" t="s">
        <v>1259</v>
      </c>
      <c r="C1303" s="4" t="s">
        <v>8</v>
      </c>
      <c r="D1303" s="5" t="s">
        <v>96</v>
      </c>
      <c r="E1303" s="6" t="s">
        <v>1262</v>
      </c>
      <c r="F1303" s="7">
        <v>44962.0</v>
      </c>
      <c r="H1303" s="11"/>
      <c r="J1303" s="18"/>
      <c r="L1303" s="18"/>
      <c r="M1303" s="23"/>
    </row>
    <row r="1304">
      <c r="A1304" s="10" t="s">
        <v>1258</v>
      </c>
      <c r="B1304" s="17" t="s">
        <v>1259</v>
      </c>
      <c r="C1304" s="4" t="s">
        <v>8</v>
      </c>
      <c r="D1304" s="5" t="s">
        <v>11</v>
      </c>
      <c r="E1304" s="6" t="s">
        <v>1263</v>
      </c>
      <c r="F1304" s="7">
        <v>44972.0</v>
      </c>
      <c r="H1304" s="11"/>
      <c r="J1304" s="18"/>
      <c r="L1304" s="18"/>
      <c r="M1304" s="23"/>
    </row>
    <row r="1305">
      <c r="A1305" s="10" t="s">
        <v>1258</v>
      </c>
      <c r="B1305" s="17" t="s">
        <v>1259</v>
      </c>
      <c r="C1305" s="4" t="s">
        <v>3</v>
      </c>
      <c r="D1305" s="5" t="s">
        <v>4</v>
      </c>
      <c r="E1305" s="6" t="s">
        <v>1264</v>
      </c>
      <c r="F1305" s="7">
        <v>44984.0</v>
      </c>
      <c r="H1305" s="11"/>
      <c r="J1305" s="18"/>
      <c r="L1305" s="18"/>
      <c r="M1305" s="23"/>
    </row>
    <row r="1306">
      <c r="A1306" s="10" t="s">
        <v>1258</v>
      </c>
      <c r="B1306" s="17" t="s">
        <v>1259</v>
      </c>
      <c r="C1306" s="4" t="s">
        <v>8</v>
      </c>
      <c r="D1306" s="5" t="s">
        <v>23</v>
      </c>
      <c r="E1306" s="6" t="s">
        <v>1265</v>
      </c>
      <c r="F1306" s="7">
        <v>44994.0</v>
      </c>
      <c r="H1306" s="11"/>
      <c r="J1306" s="18"/>
      <c r="L1306" s="18"/>
      <c r="M1306" s="23"/>
    </row>
    <row r="1307">
      <c r="A1307" s="10" t="s">
        <v>1258</v>
      </c>
      <c r="B1307" s="17" t="s">
        <v>1259</v>
      </c>
      <c r="C1307" s="4" t="s">
        <v>3</v>
      </c>
      <c r="D1307" s="5" t="s">
        <v>6</v>
      </c>
      <c r="E1307" s="6" t="s">
        <v>1266</v>
      </c>
      <c r="F1307" s="7">
        <v>45009.0</v>
      </c>
      <c r="H1307" s="11"/>
      <c r="J1307" s="18"/>
      <c r="L1307" s="18"/>
      <c r="M1307" s="23"/>
    </row>
    <row r="1308">
      <c r="A1308" s="10" t="s">
        <v>1258</v>
      </c>
      <c r="B1308" s="17" t="s">
        <v>1259</v>
      </c>
      <c r="C1308" s="4" t="s">
        <v>8</v>
      </c>
      <c r="D1308" s="5" t="s">
        <v>71</v>
      </c>
      <c r="E1308" s="6" t="s">
        <v>1267</v>
      </c>
      <c r="F1308" s="7">
        <v>45011.0</v>
      </c>
      <c r="H1308" s="11"/>
      <c r="J1308" s="18"/>
      <c r="L1308" s="18"/>
      <c r="M1308" s="23"/>
    </row>
    <row r="1309">
      <c r="A1309" s="10" t="s">
        <v>1258</v>
      </c>
      <c r="B1309" s="17" t="s">
        <v>1259</v>
      </c>
      <c r="C1309" s="4" t="s">
        <v>8</v>
      </c>
      <c r="D1309" s="5" t="s">
        <v>4</v>
      </c>
      <c r="E1309" s="6" t="s">
        <v>1268</v>
      </c>
      <c r="F1309" s="7">
        <v>45041.0</v>
      </c>
      <c r="H1309" s="11"/>
      <c r="J1309" s="18"/>
      <c r="L1309" s="18"/>
      <c r="M1309" s="23"/>
    </row>
    <row r="1310">
      <c r="A1310" s="10" t="s">
        <v>1258</v>
      </c>
      <c r="B1310" s="17" t="s">
        <v>1259</v>
      </c>
      <c r="C1310" s="4" t="s">
        <v>8</v>
      </c>
      <c r="D1310" s="5" t="s">
        <v>39</v>
      </c>
      <c r="E1310" s="6" t="s">
        <v>1269</v>
      </c>
      <c r="F1310" s="7">
        <v>45069.0</v>
      </c>
      <c r="H1310" s="11"/>
      <c r="J1310" s="18"/>
      <c r="L1310" s="18"/>
      <c r="M1310" s="23"/>
    </row>
    <row r="1311">
      <c r="A1311" s="10" t="s">
        <v>1258</v>
      </c>
      <c r="B1311" s="17" t="s">
        <v>1259</v>
      </c>
      <c r="C1311" s="4" t="s">
        <v>3</v>
      </c>
      <c r="D1311" s="5" t="s">
        <v>23</v>
      </c>
      <c r="E1311" s="6" t="s">
        <v>1042</v>
      </c>
      <c r="F1311" s="7">
        <v>45073.0</v>
      </c>
      <c r="H1311" s="11"/>
      <c r="J1311" s="18"/>
      <c r="L1311" s="18"/>
      <c r="M1311" s="23"/>
    </row>
    <row r="1312">
      <c r="A1312" s="10" t="s">
        <v>1258</v>
      </c>
      <c r="B1312" s="17" t="s">
        <v>1259</v>
      </c>
      <c r="C1312" s="4" t="s">
        <v>8</v>
      </c>
      <c r="D1312" s="5" t="s">
        <v>17</v>
      </c>
      <c r="E1312" s="6" t="s">
        <v>1270</v>
      </c>
      <c r="F1312" s="7">
        <v>45086.0</v>
      </c>
      <c r="H1312" s="11"/>
      <c r="J1312" s="18"/>
      <c r="L1312" s="18"/>
      <c r="M1312" s="23"/>
    </row>
    <row r="1313">
      <c r="A1313" s="10" t="s">
        <v>1258</v>
      </c>
      <c r="B1313" s="17" t="s">
        <v>1259</v>
      </c>
      <c r="C1313" s="4" t="s">
        <v>8</v>
      </c>
      <c r="D1313" s="5" t="s">
        <v>4</v>
      </c>
      <c r="E1313" s="6" t="s">
        <v>1271</v>
      </c>
      <c r="F1313" s="7">
        <v>45089.0</v>
      </c>
      <c r="H1313" s="11"/>
      <c r="J1313" s="18"/>
      <c r="L1313" s="18"/>
      <c r="M1313" s="23"/>
    </row>
    <row r="1314">
      <c r="A1314" s="10" t="s">
        <v>1258</v>
      </c>
      <c r="B1314" s="17" t="s">
        <v>1259</v>
      </c>
      <c r="C1314" s="4" t="s">
        <v>8</v>
      </c>
      <c r="D1314" s="5" t="s">
        <v>51</v>
      </c>
      <c r="E1314" s="6" t="s">
        <v>1272</v>
      </c>
      <c r="F1314" s="7">
        <v>45148.0</v>
      </c>
      <c r="H1314" s="11"/>
      <c r="J1314" s="18"/>
      <c r="L1314" s="18"/>
      <c r="M1314" s="23"/>
    </row>
    <row r="1315">
      <c r="A1315" s="10" t="s">
        <v>1258</v>
      </c>
      <c r="B1315" s="17" t="s">
        <v>1259</v>
      </c>
      <c r="C1315" s="4" t="s">
        <v>3</v>
      </c>
      <c r="D1315" s="5" t="s">
        <v>13</v>
      </c>
      <c r="E1315" s="6" t="s">
        <v>1273</v>
      </c>
      <c r="F1315" s="7">
        <v>45170.0</v>
      </c>
      <c r="H1315" s="11"/>
      <c r="J1315" s="18"/>
      <c r="L1315" s="18"/>
      <c r="M1315" s="23"/>
    </row>
    <row r="1316">
      <c r="A1316" s="10" t="s">
        <v>1258</v>
      </c>
      <c r="B1316" s="17" t="s">
        <v>1259</v>
      </c>
      <c r="C1316" s="4" t="s">
        <v>3</v>
      </c>
      <c r="D1316" s="5" t="s">
        <v>51</v>
      </c>
      <c r="E1316" s="6" t="s">
        <v>1274</v>
      </c>
      <c r="F1316" s="7">
        <v>45173.0</v>
      </c>
      <c r="H1316" s="11"/>
      <c r="J1316" s="18"/>
      <c r="L1316" s="18"/>
      <c r="M1316" s="23"/>
    </row>
    <row r="1317">
      <c r="A1317" s="10" t="s">
        <v>1258</v>
      </c>
      <c r="B1317" s="17" t="s">
        <v>1259</v>
      </c>
      <c r="C1317" s="4" t="s">
        <v>3</v>
      </c>
      <c r="D1317" s="5" t="s">
        <v>6</v>
      </c>
      <c r="E1317" s="6" t="s">
        <v>1275</v>
      </c>
      <c r="F1317" s="7">
        <v>45245.0</v>
      </c>
      <c r="H1317" s="11"/>
      <c r="J1317" s="18"/>
      <c r="L1317" s="18"/>
      <c r="M1317" s="23"/>
    </row>
    <row r="1318">
      <c r="A1318" s="10" t="s">
        <v>1258</v>
      </c>
      <c r="B1318" s="17" t="s">
        <v>1259</v>
      </c>
      <c r="C1318" s="4" t="s">
        <v>3</v>
      </c>
      <c r="D1318" s="5" t="s">
        <v>45</v>
      </c>
      <c r="E1318" s="6" t="s">
        <v>1276</v>
      </c>
      <c r="F1318" s="7">
        <v>45251.0</v>
      </c>
      <c r="H1318" s="11"/>
      <c r="J1318" s="18"/>
      <c r="L1318" s="18"/>
      <c r="M1318" s="23"/>
    </row>
    <row r="1319">
      <c r="A1319" s="10" t="s">
        <v>1258</v>
      </c>
      <c r="B1319" s="17" t="s">
        <v>1259</v>
      </c>
      <c r="C1319" s="4" t="s">
        <v>3</v>
      </c>
      <c r="D1319" s="5" t="s">
        <v>13</v>
      </c>
      <c r="E1319" s="6" t="s">
        <v>1277</v>
      </c>
      <c r="F1319" s="7">
        <v>45255.0</v>
      </c>
      <c r="H1319" s="11"/>
      <c r="J1319" s="18"/>
      <c r="L1319" s="18"/>
      <c r="M1319" s="23"/>
    </row>
    <row r="1320">
      <c r="A1320" s="10" t="s">
        <v>1258</v>
      </c>
      <c r="B1320" s="17" t="s">
        <v>1259</v>
      </c>
      <c r="C1320" s="4" t="s">
        <v>8</v>
      </c>
      <c r="D1320" s="5" t="s">
        <v>15</v>
      </c>
      <c r="E1320" s="6" t="s">
        <v>782</v>
      </c>
      <c r="F1320" s="7">
        <v>45270.0</v>
      </c>
      <c r="H1320" s="11"/>
      <c r="J1320" s="18"/>
      <c r="L1320" s="18"/>
      <c r="M1320" s="23"/>
    </row>
    <row r="1321">
      <c r="A1321" s="10" t="s">
        <v>1278</v>
      </c>
      <c r="B1321" s="17" t="s">
        <v>1279</v>
      </c>
      <c r="C1321" s="4" t="s">
        <v>3</v>
      </c>
      <c r="D1321" s="5" t="s">
        <v>9</v>
      </c>
      <c r="E1321" s="6" t="s">
        <v>1280</v>
      </c>
      <c r="F1321" s="7">
        <v>44953.0</v>
      </c>
      <c r="H1321" s="11"/>
      <c r="J1321" s="18"/>
      <c r="L1321" s="18"/>
      <c r="M1321" s="23"/>
    </row>
    <row r="1322">
      <c r="A1322" s="10" t="s">
        <v>1278</v>
      </c>
      <c r="B1322" s="17" t="s">
        <v>1279</v>
      </c>
      <c r="C1322" s="4" t="s">
        <v>8</v>
      </c>
      <c r="D1322" s="5" t="s">
        <v>39</v>
      </c>
      <c r="E1322" s="6" t="s">
        <v>1281</v>
      </c>
      <c r="F1322" s="7">
        <v>44959.0</v>
      </c>
      <c r="H1322" s="11"/>
      <c r="J1322" s="18"/>
      <c r="L1322" s="18"/>
      <c r="M1322" s="23"/>
    </row>
    <row r="1323">
      <c r="A1323" s="10" t="s">
        <v>1278</v>
      </c>
      <c r="B1323" s="17" t="s">
        <v>1279</v>
      </c>
      <c r="C1323" s="4" t="s">
        <v>3</v>
      </c>
      <c r="D1323" s="5" t="s">
        <v>6</v>
      </c>
      <c r="E1323" s="6" t="s">
        <v>1282</v>
      </c>
      <c r="F1323" s="7">
        <v>44967.0</v>
      </c>
      <c r="H1323" s="11"/>
      <c r="J1323" s="18"/>
      <c r="L1323" s="18"/>
      <c r="M1323" s="23"/>
    </row>
    <row r="1324">
      <c r="A1324" s="10" t="s">
        <v>1278</v>
      </c>
      <c r="B1324" s="17" t="s">
        <v>1279</v>
      </c>
      <c r="C1324" s="4" t="s">
        <v>3</v>
      </c>
      <c r="D1324" s="5" t="s">
        <v>23</v>
      </c>
      <c r="E1324" s="6" t="s">
        <v>1283</v>
      </c>
      <c r="F1324" s="7">
        <v>44971.0</v>
      </c>
      <c r="H1324" s="11"/>
      <c r="J1324" s="18"/>
      <c r="L1324" s="18"/>
      <c r="M1324" s="23"/>
    </row>
    <row r="1325">
      <c r="A1325" s="10" t="s">
        <v>1278</v>
      </c>
      <c r="B1325" s="17" t="s">
        <v>1279</v>
      </c>
      <c r="C1325" s="4" t="s">
        <v>8</v>
      </c>
      <c r="D1325" s="5" t="s">
        <v>76</v>
      </c>
      <c r="E1325" s="6" t="s">
        <v>1284</v>
      </c>
      <c r="F1325" s="7">
        <v>44974.0</v>
      </c>
      <c r="H1325" s="11"/>
      <c r="J1325" s="18"/>
      <c r="L1325" s="18"/>
      <c r="M1325" s="23"/>
    </row>
    <row r="1326">
      <c r="A1326" s="10" t="s">
        <v>1278</v>
      </c>
      <c r="B1326" s="17" t="s">
        <v>1279</v>
      </c>
      <c r="C1326" s="4" t="s">
        <v>8</v>
      </c>
      <c r="D1326" s="5" t="s">
        <v>21</v>
      </c>
      <c r="E1326" s="6" t="s">
        <v>1285</v>
      </c>
      <c r="F1326" s="7">
        <v>45003.0</v>
      </c>
      <c r="H1326" s="11"/>
      <c r="J1326" s="18"/>
      <c r="L1326" s="18"/>
      <c r="M1326" s="23"/>
    </row>
    <row r="1327">
      <c r="A1327" s="10" t="s">
        <v>1278</v>
      </c>
      <c r="B1327" s="17" t="s">
        <v>1279</v>
      </c>
      <c r="C1327" s="4" t="s">
        <v>8</v>
      </c>
      <c r="D1327" s="5" t="s">
        <v>23</v>
      </c>
      <c r="E1327" s="6" t="s">
        <v>1286</v>
      </c>
      <c r="F1327" s="7">
        <v>45004.0</v>
      </c>
      <c r="H1327" s="11"/>
      <c r="J1327" s="18"/>
      <c r="L1327" s="18"/>
      <c r="M1327" s="23"/>
    </row>
    <row r="1328">
      <c r="A1328" s="10" t="s">
        <v>1278</v>
      </c>
      <c r="B1328" s="17" t="s">
        <v>1279</v>
      </c>
      <c r="C1328" s="4" t="s">
        <v>3</v>
      </c>
      <c r="D1328" s="5" t="s">
        <v>76</v>
      </c>
      <c r="E1328" s="6" t="s">
        <v>1287</v>
      </c>
      <c r="F1328" s="7">
        <v>45023.0</v>
      </c>
      <c r="H1328" s="11"/>
      <c r="J1328" s="18"/>
      <c r="L1328" s="18"/>
      <c r="M1328" s="23"/>
    </row>
    <row r="1329">
      <c r="A1329" s="10" t="s">
        <v>1278</v>
      </c>
      <c r="B1329" s="17" t="s">
        <v>1279</v>
      </c>
      <c r="C1329" s="4" t="s">
        <v>8</v>
      </c>
      <c r="D1329" s="5" t="s">
        <v>6</v>
      </c>
      <c r="E1329" s="6" t="s">
        <v>1288</v>
      </c>
      <c r="F1329" s="7">
        <v>45051.0</v>
      </c>
      <c r="H1329" s="11"/>
      <c r="J1329" s="18"/>
      <c r="L1329" s="18"/>
      <c r="M1329" s="23"/>
    </row>
    <row r="1330">
      <c r="A1330" s="10" t="s">
        <v>1278</v>
      </c>
      <c r="B1330" s="17" t="s">
        <v>1279</v>
      </c>
      <c r="C1330" s="4" t="s">
        <v>3</v>
      </c>
      <c r="D1330" s="5" t="s">
        <v>96</v>
      </c>
      <c r="E1330" s="6" t="s">
        <v>774</v>
      </c>
      <c r="F1330" s="7">
        <v>45082.0</v>
      </c>
      <c r="H1330" s="11"/>
      <c r="J1330" s="18"/>
      <c r="L1330" s="18"/>
      <c r="M1330" s="23"/>
    </row>
    <row r="1331">
      <c r="A1331" s="10" t="s">
        <v>1278</v>
      </c>
      <c r="B1331" s="17" t="s">
        <v>1279</v>
      </c>
      <c r="C1331" s="4" t="s">
        <v>8</v>
      </c>
      <c r="D1331" s="5" t="s">
        <v>15</v>
      </c>
      <c r="E1331" s="6" t="s">
        <v>1289</v>
      </c>
      <c r="F1331" s="7">
        <v>45086.0</v>
      </c>
      <c r="H1331" s="11"/>
      <c r="J1331" s="18"/>
      <c r="L1331" s="18"/>
      <c r="M1331" s="23"/>
    </row>
    <row r="1332">
      <c r="A1332" s="10" t="s">
        <v>1278</v>
      </c>
      <c r="B1332" s="17" t="s">
        <v>1279</v>
      </c>
      <c r="C1332" s="4" t="s">
        <v>8</v>
      </c>
      <c r="D1332" s="5" t="s">
        <v>15</v>
      </c>
      <c r="E1332" s="6" t="s">
        <v>1290</v>
      </c>
      <c r="F1332" s="7">
        <v>45089.0</v>
      </c>
      <c r="H1332" s="11"/>
      <c r="J1332" s="18"/>
      <c r="L1332" s="18"/>
      <c r="M1332" s="23"/>
    </row>
    <row r="1333">
      <c r="A1333" s="10" t="s">
        <v>1278</v>
      </c>
      <c r="B1333" s="17" t="s">
        <v>1279</v>
      </c>
      <c r="C1333" s="4" t="s">
        <v>3</v>
      </c>
      <c r="D1333" s="5" t="s">
        <v>9</v>
      </c>
      <c r="E1333" s="6" t="s">
        <v>1291</v>
      </c>
      <c r="F1333" s="7">
        <v>45105.0</v>
      </c>
      <c r="H1333" s="11"/>
      <c r="J1333" s="18"/>
      <c r="L1333" s="18"/>
      <c r="M1333" s="23"/>
    </row>
    <row r="1334">
      <c r="A1334" s="10" t="s">
        <v>1278</v>
      </c>
      <c r="B1334" s="17" t="s">
        <v>1279</v>
      </c>
      <c r="C1334" s="4" t="s">
        <v>3</v>
      </c>
      <c r="D1334" s="5" t="s">
        <v>17</v>
      </c>
      <c r="E1334" s="6" t="s">
        <v>1292</v>
      </c>
      <c r="F1334" s="7">
        <v>45193.0</v>
      </c>
      <c r="H1334" s="11"/>
      <c r="J1334" s="18"/>
      <c r="L1334" s="18"/>
      <c r="M1334" s="23"/>
    </row>
    <row r="1335">
      <c r="A1335" s="10" t="s">
        <v>1278</v>
      </c>
      <c r="B1335" s="17" t="s">
        <v>1279</v>
      </c>
      <c r="C1335" s="4" t="s">
        <v>3</v>
      </c>
      <c r="D1335" s="5" t="s">
        <v>17</v>
      </c>
      <c r="E1335" s="6" t="s">
        <v>335</v>
      </c>
      <c r="F1335" s="7">
        <v>45216.0</v>
      </c>
      <c r="H1335" s="11"/>
      <c r="J1335" s="18"/>
      <c r="L1335" s="18"/>
      <c r="M1335" s="23"/>
    </row>
    <row r="1336">
      <c r="A1336" s="10" t="s">
        <v>1278</v>
      </c>
      <c r="B1336" s="17" t="s">
        <v>1279</v>
      </c>
      <c r="C1336" s="4" t="s">
        <v>3</v>
      </c>
      <c r="D1336" s="5" t="s">
        <v>21</v>
      </c>
      <c r="E1336" s="6" t="s">
        <v>802</v>
      </c>
      <c r="F1336" s="7">
        <v>45255.0</v>
      </c>
      <c r="H1336" s="11"/>
      <c r="J1336" s="18"/>
      <c r="L1336" s="18"/>
      <c r="M1336" s="23"/>
    </row>
    <row r="1337">
      <c r="A1337" s="10" t="s">
        <v>1278</v>
      </c>
      <c r="B1337" s="17" t="s">
        <v>1279</v>
      </c>
      <c r="C1337" s="4" t="s">
        <v>3</v>
      </c>
      <c r="D1337" s="5" t="s">
        <v>35</v>
      </c>
      <c r="E1337" s="6" t="s">
        <v>1293</v>
      </c>
      <c r="F1337" s="7">
        <v>45273.0</v>
      </c>
      <c r="H1337" s="11"/>
      <c r="J1337" s="18"/>
      <c r="L1337" s="18"/>
      <c r="M1337" s="23"/>
    </row>
    <row r="1338">
      <c r="A1338" s="10" t="s">
        <v>1278</v>
      </c>
      <c r="B1338" s="17" t="s">
        <v>1279</v>
      </c>
      <c r="C1338" s="4" t="s">
        <v>3</v>
      </c>
      <c r="D1338" s="5" t="s">
        <v>19</v>
      </c>
      <c r="E1338" s="6" t="s">
        <v>1294</v>
      </c>
      <c r="F1338" s="7">
        <v>45275.0</v>
      </c>
      <c r="H1338" s="11"/>
      <c r="J1338" s="18"/>
      <c r="L1338" s="18"/>
      <c r="M1338" s="23"/>
    </row>
    <row r="1339">
      <c r="A1339" s="10" t="s">
        <v>1278</v>
      </c>
      <c r="B1339" s="17" t="s">
        <v>1279</v>
      </c>
      <c r="C1339" s="4" t="s">
        <v>8</v>
      </c>
      <c r="D1339" s="5" t="s">
        <v>21</v>
      </c>
      <c r="E1339" s="6" t="s">
        <v>1295</v>
      </c>
      <c r="F1339" s="7">
        <v>45280.0</v>
      </c>
      <c r="H1339" s="11"/>
      <c r="J1339" s="18"/>
      <c r="L1339" s="18"/>
      <c r="M1339" s="23"/>
    </row>
    <row r="1340">
      <c r="A1340" s="10" t="s">
        <v>1278</v>
      </c>
      <c r="B1340" s="17" t="s">
        <v>1279</v>
      </c>
      <c r="C1340" s="4" t="s">
        <v>8</v>
      </c>
      <c r="D1340" s="5" t="s">
        <v>21</v>
      </c>
      <c r="E1340" s="6" t="s">
        <v>58</v>
      </c>
      <c r="F1340" s="7">
        <v>45287.0</v>
      </c>
      <c r="H1340" s="11"/>
      <c r="J1340" s="18"/>
      <c r="L1340" s="18"/>
      <c r="M1340" s="23"/>
    </row>
    <row r="1341">
      <c r="A1341" s="10" t="s">
        <v>408</v>
      </c>
      <c r="B1341" s="17" t="s">
        <v>1296</v>
      </c>
      <c r="C1341" s="4" t="s">
        <v>8</v>
      </c>
      <c r="D1341" s="5" t="s">
        <v>11</v>
      </c>
      <c r="E1341" s="6" t="s">
        <v>1297</v>
      </c>
      <c r="F1341" s="7">
        <v>44928.0</v>
      </c>
      <c r="H1341" s="11"/>
      <c r="J1341" s="18"/>
      <c r="L1341" s="18"/>
      <c r="M1341" s="23"/>
    </row>
    <row r="1342">
      <c r="A1342" s="10" t="s">
        <v>408</v>
      </c>
      <c r="B1342" s="17" t="s">
        <v>1296</v>
      </c>
      <c r="C1342" s="4" t="s">
        <v>3</v>
      </c>
      <c r="D1342" s="5" t="s">
        <v>51</v>
      </c>
      <c r="E1342" s="6" t="s">
        <v>1298</v>
      </c>
      <c r="F1342" s="7">
        <v>44953.0</v>
      </c>
      <c r="H1342" s="11"/>
      <c r="J1342" s="18"/>
      <c r="L1342" s="18"/>
      <c r="M1342" s="23"/>
    </row>
    <row r="1343">
      <c r="A1343" s="10" t="s">
        <v>408</v>
      </c>
      <c r="B1343" s="17" t="s">
        <v>1296</v>
      </c>
      <c r="C1343" s="4" t="s">
        <v>3</v>
      </c>
      <c r="D1343" s="5" t="s">
        <v>51</v>
      </c>
      <c r="E1343" s="6" t="s">
        <v>811</v>
      </c>
      <c r="F1343" s="7">
        <v>44965.0</v>
      </c>
      <c r="H1343" s="11"/>
      <c r="J1343" s="18"/>
      <c r="L1343" s="18"/>
      <c r="M1343" s="23"/>
    </row>
    <row r="1344">
      <c r="A1344" s="10" t="s">
        <v>408</v>
      </c>
      <c r="B1344" s="17" t="s">
        <v>1296</v>
      </c>
      <c r="C1344" s="4" t="s">
        <v>8</v>
      </c>
      <c r="D1344" s="5" t="s">
        <v>19</v>
      </c>
      <c r="E1344" s="6" t="s">
        <v>1299</v>
      </c>
      <c r="F1344" s="7">
        <v>45002.0</v>
      </c>
      <c r="H1344" s="11"/>
      <c r="J1344" s="18"/>
      <c r="L1344" s="18"/>
      <c r="M1344" s="23"/>
    </row>
    <row r="1345">
      <c r="A1345" s="10" t="s">
        <v>408</v>
      </c>
      <c r="B1345" s="17" t="s">
        <v>1296</v>
      </c>
      <c r="C1345" s="4" t="s">
        <v>3</v>
      </c>
      <c r="D1345" s="5" t="s">
        <v>51</v>
      </c>
      <c r="E1345" s="6" t="s">
        <v>1300</v>
      </c>
      <c r="F1345" s="7">
        <v>45004.0</v>
      </c>
      <c r="H1345" s="11"/>
      <c r="J1345" s="18"/>
      <c r="L1345" s="18"/>
      <c r="M1345" s="23"/>
    </row>
    <row r="1346">
      <c r="A1346" s="10" t="s">
        <v>408</v>
      </c>
      <c r="B1346" s="17" t="s">
        <v>1296</v>
      </c>
      <c r="C1346" s="4" t="s">
        <v>8</v>
      </c>
      <c r="D1346" s="5" t="s">
        <v>23</v>
      </c>
      <c r="E1346" s="6" t="s">
        <v>1002</v>
      </c>
      <c r="F1346" s="7">
        <v>45033.0</v>
      </c>
      <c r="H1346" s="11"/>
      <c r="J1346" s="18"/>
      <c r="L1346" s="18"/>
      <c r="M1346" s="23"/>
    </row>
    <row r="1347">
      <c r="A1347" s="10" t="s">
        <v>408</v>
      </c>
      <c r="B1347" s="17" t="s">
        <v>1296</v>
      </c>
      <c r="C1347" s="4" t="s">
        <v>8</v>
      </c>
      <c r="D1347" s="5" t="s">
        <v>23</v>
      </c>
      <c r="E1347" s="6" t="s">
        <v>1301</v>
      </c>
      <c r="F1347" s="7">
        <v>45058.0</v>
      </c>
      <c r="H1347" s="11"/>
      <c r="J1347" s="18"/>
      <c r="L1347" s="18"/>
      <c r="M1347" s="23"/>
    </row>
    <row r="1348">
      <c r="A1348" s="10" t="s">
        <v>408</v>
      </c>
      <c r="B1348" s="17" t="s">
        <v>1296</v>
      </c>
      <c r="C1348" s="4" t="s">
        <v>8</v>
      </c>
      <c r="D1348" s="5" t="s">
        <v>76</v>
      </c>
      <c r="E1348" s="6" t="s">
        <v>1302</v>
      </c>
      <c r="F1348" s="7">
        <v>45065.0</v>
      </c>
      <c r="H1348" s="11"/>
      <c r="J1348" s="18"/>
      <c r="L1348" s="18"/>
      <c r="M1348" s="23"/>
    </row>
    <row r="1349">
      <c r="A1349" s="10" t="s">
        <v>408</v>
      </c>
      <c r="B1349" s="17" t="s">
        <v>1296</v>
      </c>
      <c r="C1349" s="4" t="s">
        <v>8</v>
      </c>
      <c r="D1349" s="5" t="s">
        <v>39</v>
      </c>
      <c r="E1349" s="6" t="s">
        <v>1231</v>
      </c>
      <c r="F1349" s="7">
        <v>45065.0</v>
      </c>
      <c r="H1349" s="11"/>
      <c r="J1349" s="18"/>
      <c r="L1349" s="18"/>
      <c r="M1349" s="23"/>
    </row>
    <row r="1350">
      <c r="A1350" s="10" t="s">
        <v>408</v>
      </c>
      <c r="B1350" s="17" t="s">
        <v>1296</v>
      </c>
      <c r="C1350" s="4" t="s">
        <v>3</v>
      </c>
      <c r="D1350" s="5" t="s">
        <v>13</v>
      </c>
      <c r="E1350" s="6" t="s">
        <v>1303</v>
      </c>
      <c r="F1350" s="7">
        <v>45082.0</v>
      </c>
      <c r="H1350" s="11"/>
      <c r="J1350" s="18"/>
      <c r="L1350" s="18"/>
      <c r="M1350" s="23"/>
    </row>
    <row r="1351">
      <c r="A1351" s="10" t="s">
        <v>408</v>
      </c>
      <c r="B1351" s="17" t="s">
        <v>1296</v>
      </c>
      <c r="C1351" s="4" t="s">
        <v>3</v>
      </c>
      <c r="D1351" s="5" t="s">
        <v>42</v>
      </c>
      <c r="E1351" s="6" t="s">
        <v>905</v>
      </c>
      <c r="F1351" s="7">
        <v>45092.0</v>
      </c>
      <c r="H1351" s="11"/>
      <c r="J1351" s="18"/>
      <c r="L1351" s="18"/>
      <c r="M1351" s="23"/>
    </row>
    <row r="1352">
      <c r="A1352" s="10" t="s">
        <v>408</v>
      </c>
      <c r="B1352" s="17" t="s">
        <v>1296</v>
      </c>
      <c r="C1352" s="4" t="s">
        <v>3</v>
      </c>
      <c r="D1352" s="5" t="s">
        <v>35</v>
      </c>
      <c r="E1352" s="6" t="s">
        <v>1304</v>
      </c>
      <c r="F1352" s="7">
        <v>45104.0</v>
      </c>
      <c r="H1352" s="11"/>
      <c r="J1352" s="18"/>
      <c r="L1352" s="18"/>
      <c r="M1352" s="23"/>
    </row>
    <row r="1353">
      <c r="A1353" s="10" t="s">
        <v>408</v>
      </c>
      <c r="B1353" s="17" t="s">
        <v>1296</v>
      </c>
      <c r="C1353" s="4" t="s">
        <v>8</v>
      </c>
      <c r="D1353" s="5" t="s">
        <v>39</v>
      </c>
      <c r="E1353" s="6" t="s">
        <v>1305</v>
      </c>
      <c r="F1353" s="7">
        <v>45120.0</v>
      </c>
      <c r="H1353" s="11"/>
      <c r="J1353" s="18"/>
      <c r="L1353" s="18"/>
      <c r="M1353" s="23"/>
    </row>
    <row r="1354">
      <c r="A1354" s="10" t="s">
        <v>408</v>
      </c>
      <c r="B1354" s="17" t="s">
        <v>1296</v>
      </c>
      <c r="C1354" s="4" t="s">
        <v>8</v>
      </c>
      <c r="D1354" s="5" t="s">
        <v>17</v>
      </c>
      <c r="E1354" s="6" t="s">
        <v>743</v>
      </c>
      <c r="F1354" s="7">
        <v>45189.0</v>
      </c>
      <c r="H1354" s="11"/>
      <c r="J1354" s="18"/>
      <c r="L1354" s="18"/>
      <c r="M1354" s="23"/>
    </row>
    <row r="1355">
      <c r="A1355" s="10" t="s">
        <v>408</v>
      </c>
      <c r="B1355" s="17" t="s">
        <v>1296</v>
      </c>
      <c r="C1355" s="4" t="s">
        <v>8</v>
      </c>
      <c r="D1355" s="5" t="s">
        <v>35</v>
      </c>
      <c r="E1355" s="6" t="s">
        <v>808</v>
      </c>
      <c r="F1355" s="7">
        <v>45195.0</v>
      </c>
      <c r="H1355" s="11"/>
      <c r="J1355" s="18"/>
      <c r="L1355" s="18"/>
      <c r="M1355" s="23"/>
    </row>
    <row r="1356">
      <c r="A1356" s="10" t="s">
        <v>408</v>
      </c>
      <c r="B1356" s="17" t="s">
        <v>1296</v>
      </c>
      <c r="C1356" s="4" t="s">
        <v>3</v>
      </c>
      <c r="D1356" s="5" t="s">
        <v>23</v>
      </c>
      <c r="E1356" s="6" t="s">
        <v>1306</v>
      </c>
      <c r="F1356" s="7">
        <v>45197.0</v>
      </c>
      <c r="H1356" s="11"/>
      <c r="J1356" s="18"/>
      <c r="L1356" s="18"/>
      <c r="M1356" s="23"/>
    </row>
    <row r="1357">
      <c r="A1357" s="10" t="s">
        <v>408</v>
      </c>
      <c r="B1357" s="17" t="s">
        <v>1296</v>
      </c>
      <c r="C1357" s="4" t="s">
        <v>3</v>
      </c>
      <c r="D1357" s="5" t="s">
        <v>17</v>
      </c>
      <c r="E1357" s="6" t="s">
        <v>915</v>
      </c>
      <c r="F1357" s="7">
        <v>45224.0</v>
      </c>
      <c r="H1357" s="11"/>
      <c r="J1357" s="18"/>
      <c r="L1357" s="18"/>
      <c r="M1357" s="23"/>
    </row>
    <row r="1358">
      <c r="A1358" s="10" t="s">
        <v>408</v>
      </c>
      <c r="B1358" s="17" t="s">
        <v>1296</v>
      </c>
      <c r="C1358" s="4" t="s">
        <v>3</v>
      </c>
      <c r="D1358" s="5" t="s">
        <v>45</v>
      </c>
      <c r="E1358" s="6" t="s">
        <v>1307</v>
      </c>
      <c r="F1358" s="7">
        <v>45231.0</v>
      </c>
      <c r="H1358" s="11"/>
      <c r="J1358" s="18"/>
      <c r="L1358" s="18"/>
      <c r="M1358" s="23"/>
    </row>
    <row r="1359">
      <c r="A1359" s="10" t="s">
        <v>408</v>
      </c>
      <c r="B1359" s="17" t="s">
        <v>1296</v>
      </c>
      <c r="C1359" s="4" t="s">
        <v>3</v>
      </c>
      <c r="D1359" s="5" t="s">
        <v>19</v>
      </c>
      <c r="E1359" s="6" t="s">
        <v>1185</v>
      </c>
      <c r="F1359" s="7">
        <v>45274.0</v>
      </c>
      <c r="H1359" s="11"/>
      <c r="J1359" s="18"/>
      <c r="L1359" s="18"/>
      <c r="M1359" s="23"/>
    </row>
    <row r="1360">
      <c r="A1360" s="10" t="s">
        <v>408</v>
      </c>
      <c r="B1360" s="17" t="s">
        <v>1296</v>
      </c>
      <c r="C1360" s="4" t="s">
        <v>3</v>
      </c>
      <c r="D1360" s="5" t="s">
        <v>45</v>
      </c>
      <c r="E1360" s="6" t="s">
        <v>1308</v>
      </c>
      <c r="F1360" s="7">
        <v>45277.0</v>
      </c>
      <c r="H1360" s="11"/>
      <c r="J1360" s="18"/>
      <c r="L1360" s="18"/>
      <c r="M1360" s="23"/>
    </row>
    <row r="1361">
      <c r="A1361" s="10" t="s">
        <v>177</v>
      </c>
      <c r="B1361" s="17" t="s">
        <v>1309</v>
      </c>
      <c r="C1361" s="4" t="s">
        <v>8</v>
      </c>
      <c r="D1361" s="5" t="s">
        <v>9</v>
      </c>
      <c r="E1361" s="6" t="s">
        <v>1310</v>
      </c>
      <c r="F1361" s="7">
        <v>44940.0</v>
      </c>
      <c r="H1361" s="11"/>
      <c r="J1361" s="18"/>
      <c r="L1361" s="18"/>
      <c r="M1361" s="23"/>
    </row>
    <row r="1362">
      <c r="A1362" s="10" t="s">
        <v>177</v>
      </c>
      <c r="B1362" s="17" t="s">
        <v>1309</v>
      </c>
      <c r="C1362" s="4" t="s">
        <v>8</v>
      </c>
      <c r="D1362" s="5" t="s">
        <v>28</v>
      </c>
      <c r="E1362" s="6" t="s">
        <v>495</v>
      </c>
      <c r="F1362" s="7">
        <v>44946.0</v>
      </c>
      <c r="H1362" s="11"/>
      <c r="J1362" s="18"/>
      <c r="L1362" s="18"/>
      <c r="M1362" s="23"/>
    </row>
    <row r="1363">
      <c r="A1363" s="10" t="s">
        <v>177</v>
      </c>
      <c r="B1363" s="17" t="s">
        <v>1309</v>
      </c>
      <c r="C1363" s="4" t="s">
        <v>3</v>
      </c>
      <c r="D1363" s="5" t="s">
        <v>51</v>
      </c>
      <c r="E1363" s="6" t="s">
        <v>1311</v>
      </c>
      <c r="F1363" s="7">
        <v>44950.0</v>
      </c>
      <c r="H1363" s="11"/>
      <c r="J1363" s="18"/>
      <c r="L1363" s="18"/>
      <c r="M1363" s="23"/>
    </row>
    <row r="1364">
      <c r="A1364" s="10" t="s">
        <v>177</v>
      </c>
      <c r="B1364" s="17" t="s">
        <v>1309</v>
      </c>
      <c r="C1364" s="4" t="s">
        <v>8</v>
      </c>
      <c r="D1364" s="5" t="s">
        <v>13</v>
      </c>
      <c r="E1364" s="6" t="s">
        <v>1312</v>
      </c>
      <c r="F1364" s="7">
        <v>45026.0</v>
      </c>
      <c r="H1364" s="11"/>
      <c r="J1364" s="18"/>
      <c r="L1364" s="18"/>
      <c r="M1364" s="23"/>
    </row>
    <row r="1365">
      <c r="A1365" s="10" t="s">
        <v>177</v>
      </c>
      <c r="B1365" s="17" t="s">
        <v>1309</v>
      </c>
      <c r="C1365" s="4" t="s">
        <v>3</v>
      </c>
      <c r="D1365" s="5" t="s">
        <v>42</v>
      </c>
      <c r="E1365" s="6" t="s">
        <v>504</v>
      </c>
      <c r="F1365" s="7">
        <v>45036.0</v>
      </c>
      <c r="H1365" s="11"/>
      <c r="J1365" s="18"/>
      <c r="L1365" s="18"/>
      <c r="M1365" s="23"/>
    </row>
    <row r="1366">
      <c r="A1366" s="10" t="s">
        <v>177</v>
      </c>
      <c r="B1366" s="17" t="s">
        <v>1309</v>
      </c>
      <c r="C1366" s="4" t="s">
        <v>8</v>
      </c>
      <c r="D1366" s="5" t="s">
        <v>17</v>
      </c>
      <c r="E1366" s="6" t="s">
        <v>884</v>
      </c>
      <c r="F1366" s="7">
        <v>45041.0</v>
      </c>
      <c r="H1366" s="11"/>
      <c r="J1366" s="18"/>
      <c r="L1366" s="18"/>
      <c r="M1366" s="23"/>
    </row>
    <row r="1367">
      <c r="A1367" s="10" t="s">
        <v>177</v>
      </c>
      <c r="B1367" s="17" t="s">
        <v>1309</v>
      </c>
      <c r="C1367" s="4" t="s">
        <v>3</v>
      </c>
      <c r="D1367" s="5" t="s">
        <v>35</v>
      </c>
      <c r="E1367" s="6" t="s">
        <v>1313</v>
      </c>
      <c r="F1367" s="7">
        <v>45052.0</v>
      </c>
      <c r="H1367" s="11"/>
      <c r="J1367" s="18"/>
      <c r="L1367" s="18"/>
      <c r="M1367" s="23"/>
    </row>
    <row r="1368">
      <c r="A1368" s="10" t="s">
        <v>177</v>
      </c>
      <c r="B1368" s="17" t="s">
        <v>1309</v>
      </c>
      <c r="C1368" s="4" t="s">
        <v>8</v>
      </c>
      <c r="D1368" s="5" t="s">
        <v>42</v>
      </c>
      <c r="E1368" s="6" t="s">
        <v>208</v>
      </c>
      <c r="F1368" s="7">
        <v>45061.0</v>
      </c>
      <c r="H1368" s="11"/>
      <c r="J1368" s="18"/>
      <c r="L1368" s="18"/>
      <c r="M1368" s="23"/>
    </row>
    <row r="1369">
      <c r="A1369" s="10" t="s">
        <v>177</v>
      </c>
      <c r="B1369" s="17" t="s">
        <v>1309</v>
      </c>
      <c r="C1369" s="4" t="s">
        <v>3</v>
      </c>
      <c r="D1369" s="5" t="s">
        <v>96</v>
      </c>
      <c r="E1369" s="6" t="s">
        <v>1314</v>
      </c>
      <c r="F1369" s="7">
        <v>45061.0</v>
      </c>
      <c r="H1369" s="11"/>
      <c r="J1369" s="18"/>
      <c r="L1369" s="18"/>
      <c r="M1369" s="23"/>
    </row>
    <row r="1370">
      <c r="A1370" s="10" t="s">
        <v>177</v>
      </c>
      <c r="B1370" s="17" t="s">
        <v>1309</v>
      </c>
      <c r="C1370" s="4" t="s">
        <v>8</v>
      </c>
      <c r="D1370" s="5" t="s">
        <v>21</v>
      </c>
      <c r="E1370" s="6" t="s">
        <v>1315</v>
      </c>
      <c r="F1370" s="7">
        <v>45079.0</v>
      </c>
      <c r="H1370" s="11"/>
      <c r="J1370" s="18"/>
      <c r="L1370" s="18"/>
      <c r="M1370" s="23"/>
    </row>
    <row r="1371">
      <c r="A1371" s="10" t="s">
        <v>177</v>
      </c>
      <c r="B1371" s="17" t="s">
        <v>1309</v>
      </c>
      <c r="C1371" s="4" t="s">
        <v>3</v>
      </c>
      <c r="D1371" s="5" t="s">
        <v>51</v>
      </c>
      <c r="E1371" s="6" t="s">
        <v>1316</v>
      </c>
      <c r="F1371" s="7">
        <v>45096.0</v>
      </c>
      <c r="H1371" s="11"/>
      <c r="J1371" s="18"/>
      <c r="L1371" s="18"/>
      <c r="M1371" s="23"/>
    </row>
    <row r="1372">
      <c r="A1372" s="10" t="s">
        <v>177</v>
      </c>
      <c r="B1372" s="17" t="s">
        <v>1309</v>
      </c>
      <c r="C1372" s="4" t="s">
        <v>3</v>
      </c>
      <c r="D1372" s="5" t="s">
        <v>42</v>
      </c>
      <c r="E1372" s="6" t="s">
        <v>1317</v>
      </c>
      <c r="F1372" s="7">
        <v>45120.0</v>
      </c>
      <c r="H1372" s="11"/>
      <c r="J1372" s="18"/>
      <c r="L1372" s="18"/>
      <c r="M1372" s="23"/>
    </row>
    <row r="1373">
      <c r="A1373" s="10" t="s">
        <v>177</v>
      </c>
      <c r="B1373" s="17" t="s">
        <v>1309</v>
      </c>
      <c r="C1373" s="4" t="s">
        <v>8</v>
      </c>
      <c r="D1373" s="5" t="s">
        <v>9</v>
      </c>
      <c r="E1373" s="6" t="s">
        <v>1318</v>
      </c>
      <c r="F1373" s="7">
        <v>45144.0</v>
      </c>
      <c r="H1373" s="11"/>
      <c r="J1373" s="18"/>
      <c r="L1373" s="18"/>
      <c r="M1373" s="23"/>
    </row>
    <row r="1374">
      <c r="A1374" s="10" t="s">
        <v>177</v>
      </c>
      <c r="B1374" s="17" t="s">
        <v>1309</v>
      </c>
      <c r="C1374" s="4" t="s">
        <v>3</v>
      </c>
      <c r="D1374" s="5" t="s">
        <v>45</v>
      </c>
      <c r="E1374" s="6" t="s">
        <v>1319</v>
      </c>
      <c r="F1374" s="7">
        <v>45188.0</v>
      </c>
      <c r="H1374" s="11"/>
      <c r="J1374" s="18"/>
      <c r="L1374" s="18"/>
      <c r="M1374" s="23"/>
    </row>
    <row r="1375">
      <c r="A1375" s="10" t="s">
        <v>177</v>
      </c>
      <c r="B1375" s="17" t="s">
        <v>1309</v>
      </c>
      <c r="C1375" s="4" t="s">
        <v>8</v>
      </c>
      <c r="D1375" s="5" t="s">
        <v>96</v>
      </c>
      <c r="E1375" s="6" t="s">
        <v>1320</v>
      </c>
      <c r="F1375" s="7">
        <v>45213.0</v>
      </c>
      <c r="H1375" s="11"/>
      <c r="J1375" s="18"/>
      <c r="L1375" s="18"/>
      <c r="M1375" s="23"/>
    </row>
    <row r="1376">
      <c r="A1376" s="10" t="s">
        <v>177</v>
      </c>
      <c r="B1376" s="17" t="s">
        <v>1309</v>
      </c>
      <c r="C1376" s="4" t="s">
        <v>3</v>
      </c>
      <c r="D1376" s="5" t="s">
        <v>28</v>
      </c>
      <c r="E1376" s="6" t="s">
        <v>1321</v>
      </c>
      <c r="F1376" s="7">
        <v>45217.0</v>
      </c>
      <c r="H1376" s="11"/>
      <c r="J1376" s="18"/>
      <c r="L1376" s="18"/>
      <c r="M1376" s="23"/>
    </row>
    <row r="1377">
      <c r="A1377" s="10" t="s">
        <v>177</v>
      </c>
      <c r="B1377" s="17" t="s">
        <v>1309</v>
      </c>
      <c r="C1377" s="4" t="s">
        <v>3</v>
      </c>
      <c r="D1377" s="5" t="s">
        <v>71</v>
      </c>
      <c r="E1377" s="6" t="s">
        <v>1322</v>
      </c>
      <c r="F1377" s="7">
        <v>45223.0</v>
      </c>
      <c r="H1377" s="11"/>
      <c r="J1377" s="18"/>
      <c r="L1377" s="18"/>
      <c r="M1377" s="23"/>
    </row>
    <row r="1378">
      <c r="A1378" s="10" t="s">
        <v>177</v>
      </c>
      <c r="B1378" s="17" t="s">
        <v>1309</v>
      </c>
      <c r="C1378" s="4" t="s">
        <v>8</v>
      </c>
      <c r="D1378" s="5" t="s">
        <v>6</v>
      </c>
      <c r="E1378" s="6" t="s">
        <v>1323</v>
      </c>
      <c r="F1378" s="7">
        <v>45227.0</v>
      </c>
      <c r="H1378" s="11"/>
      <c r="J1378" s="18"/>
      <c r="L1378" s="18"/>
      <c r="M1378" s="23"/>
    </row>
    <row r="1379">
      <c r="A1379" s="10" t="s">
        <v>177</v>
      </c>
      <c r="B1379" s="17" t="s">
        <v>1309</v>
      </c>
      <c r="C1379" s="4" t="s">
        <v>8</v>
      </c>
      <c r="D1379" s="5" t="s">
        <v>71</v>
      </c>
      <c r="E1379" s="6" t="s">
        <v>1324</v>
      </c>
      <c r="F1379" s="7">
        <v>45249.0</v>
      </c>
      <c r="H1379" s="11"/>
      <c r="J1379" s="18"/>
      <c r="L1379" s="18"/>
      <c r="M1379" s="23"/>
    </row>
    <row r="1380">
      <c r="A1380" s="10" t="s">
        <v>177</v>
      </c>
      <c r="B1380" s="17" t="s">
        <v>1309</v>
      </c>
      <c r="C1380" s="4" t="s">
        <v>8</v>
      </c>
      <c r="D1380" s="5" t="s">
        <v>23</v>
      </c>
      <c r="E1380" s="6" t="s">
        <v>259</v>
      </c>
      <c r="F1380" s="7">
        <v>45283.0</v>
      </c>
      <c r="H1380" s="11"/>
      <c r="J1380" s="18"/>
      <c r="L1380" s="18"/>
      <c r="M1380" s="23"/>
    </row>
    <row r="1381">
      <c r="A1381" s="10" t="s">
        <v>1325</v>
      </c>
      <c r="B1381" s="17" t="s">
        <v>1326</v>
      </c>
      <c r="C1381" s="4" t="s">
        <v>3</v>
      </c>
      <c r="D1381" s="5" t="s">
        <v>42</v>
      </c>
      <c r="E1381" s="6" t="s">
        <v>714</v>
      </c>
      <c r="F1381" s="7">
        <v>44940.0</v>
      </c>
      <c r="H1381" s="11"/>
      <c r="J1381" s="18"/>
      <c r="L1381" s="18"/>
      <c r="M1381" s="23"/>
    </row>
    <row r="1382">
      <c r="A1382" s="10" t="s">
        <v>1325</v>
      </c>
      <c r="B1382" s="17" t="s">
        <v>1326</v>
      </c>
      <c r="C1382" s="4" t="s">
        <v>8</v>
      </c>
      <c r="D1382" s="5" t="s">
        <v>96</v>
      </c>
      <c r="E1382" s="6" t="s">
        <v>374</v>
      </c>
      <c r="F1382" s="7">
        <v>44966.0</v>
      </c>
      <c r="H1382" s="11"/>
      <c r="J1382" s="18"/>
      <c r="L1382" s="18"/>
      <c r="M1382" s="23"/>
    </row>
    <row r="1383">
      <c r="A1383" s="10" t="s">
        <v>1325</v>
      </c>
      <c r="B1383" s="17" t="s">
        <v>1326</v>
      </c>
      <c r="C1383" s="4" t="s">
        <v>3</v>
      </c>
      <c r="D1383" s="5" t="s">
        <v>17</v>
      </c>
      <c r="E1383" s="6" t="s">
        <v>1327</v>
      </c>
      <c r="F1383" s="7">
        <v>44984.0</v>
      </c>
      <c r="H1383" s="11"/>
      <c r="J1383" s="18"/>
      <c r="L1383" s="18"/>
      <c r="M1383" s="23"/>
    </row>
    <row r="1384">
      <c r="A1384" s="10" t="s">
        <v>1325</v>
      </c>
      <c r="B1384" s="17" t="s">
        <v>1326</v>
      </c>
      <c r="C1384" s="4" t="s">
        <v>8</v>
      </c>
      <c r="D1384" s="5" t="s">
        <v>28</v>
      </c>
      <c r="E1384" s="6" t="s">
        <v>676</v>
      </c>
      <c r="F1384" s="7">
        <v>45033.0</v>
      </c>
      <c r="H1384" s="11"/>
      <c r="J1384" s="18"/>
      <c r="L1384" s="18"/>
      <c r="M1384" s="23"/>
    </row>
    <row r="1385">
      <c r="A1385" s="10" t="s">
        <v>1325</v>
      </c>
      <c r="B1385" s="17" t="s">
        <v>1326</v>
      </c>
      <c r="C1385" s="4" t="s">
        <v>8</v>
      </c>
      <c r="D1385" s="5" t="s">
        <v>96</v>
      </c>
      <c r="E1385" s="6" t="s">
        <v>1328</v>
      </c>
      <c r="F1385" s="7">
        <v>45041.0</v>
      </c>
      <c r="H1385" s="11"/>
      <c r="J1385" s="18"/>
      <c r="L1385" s="18"/>
      <c r="M1385" s="23"/>
    </row>
    <row r="1386">
      <c r="A1386" s="10" t="s">
        <v>1325</v>
      </c>
      <c r="B1386" s="17" t="s">
        <v>1326</v>
      </c>
      <c r="C1386" s="4" t="s">
        <v>8</v>
      </c>
      <c r="D1386" s="5" t="s">
        <v>23</v>
      </c>
      <c r="E1386" s="6" t="s">
        <v>1329</v>
      </c>
      <c r="F1386" s="7">
        <v>45056.0</v>
      </c>
      <c r="H1386" s="11"/>
      <c r="J1386" s="18"/>
      <c r="L1386" s="18"/>
      <c r="M1386" s="23"/>
    </row>
    <row r="1387">
      <c r="A1387" s="10" t="s">
        <v>1325</v>
      </c>
      <c r="B1387" s="17" t="s">
        <v>1326</v>
      </c>
      <c r="C1387" s="4" t="s">
        <v>8</v>
      </c>
      <c r="D1387" s="5" t="s">
        <v>21</v>
      </c>
      <c r="E1387" s="6" t="s">
        <v>1176</v>
      </c>
      <c r="F1387" s="7">
        <v>45071.0</v>
      </c>
      <c r="H1387" s="11"/>
      <c r="J1387" s="18"/>
      <c r="L1387" s="18"/>
      <c r="M1387" s="23"/>
    </row>
    <row r="1388">
      <c r="A1388" s="10" t="s">
        <v>1325</v>
      </c>
      <c r="B1388" s="17" t="s">
        <v>1326</v>
      </c>
      <c r="C1388" s="4" t="s">
        <v>8</v>
      </c>
      <c r="D1388" s="5" t="s">
        <v>11</v>
      </c>
      <c r="E1388" s="6" t="s">
        <v>1330</v>
      </c>
      <c r="F1388" s="7">
        <v>45074.0</v>
      </c>
      <c r="H1388" s="11"/>
      <c r="J1388" s="18"/>
      <c r="L1388" s="18"/>
      <c r="M1388" s="23"/>
    </row>
    <row r="1389">
      <c r="A1389" s="10" t="s">
        <v>1325</v>
      </c>
      <c r="B1389" s="17" t="s">
        <v>1326</v>
      </c>
      <c r="C1389" s="4" t="s">
        <v>8</v>
      </c>
      <c r="D1389" s="5" t="s">
        <v>42</v>
      </c>
      <c r="E1389" s="6" t="s">
        <v>302</v>
      </c>
      <c r="F1389" s="7">
        <v>45085.0</v>
      </c>
      <c r="H1389" s="11"/>
      <c r="J1389" s="18"/>
      <c r="L1389" s="18"/>
      <c r="M1389" s="23"/>
    </row>
    <row r="1390">
      <c r="A1390" s="10" t="s">
        <v>1325</v>
      </c>
      <c r="B1390" s="17" t="s">
        <v>1326</v>
      </c>
      <c r="C1390" s="4" t="s">
        <v>3</v>
      </c>
      <c r="D1390" s="5" t="s">
        <v>19</v>
      </c>
      <c r="E1390" s="6" t="s">
        <v>1331</v>
      </c>
      <c r="F1390" s="7">
        <v>45092.0</v>
      </c>
      <c r="H1390" s="11"/>
      <c r="J1390" s="18"/>
      <c r="L1390" s="18"/>
      <c r="M1390" s="23"/>
    </row>
    <row r="1391">
      <c r="A1391" s="10" t="s">
        <v>1325</v>
      </c>
      <c r="B1391" s="17" t="s">
        <v>1326</v>
      </c>
      <c r="C1391" s="4" t="s">
        <v>3</v>
      </c>
      <c r="D1391" s="5" t="s">
        <v>39</v>
      </c>
      <c r="E1391" s="6" t="s">
        <v>1332</v>
      </c>
      <c r="F1391" s="7">
        <v>45113.0</v>
      </c>
      <c r="H1391" s="11"/>
      <c r="J1391" s="18"/>
      <c r="L1391" s="18"/>
      <c r="M1391" s="23"/>
    </row>
    <row r="1392">
      <c r="A1392" s="10" t="s">
        <v>1325</v>
      </c>
      <c r="B1392" s="17" t="s">
        <v>1326</v>
      </c>
      <c r="C1392" s="4" t="s">
        <v>8</v>
      </c>
      <c r="D1392" s="5" t="s">
        <v>15</v>
      </c>
      <c r="E1392" s="6" t="s">
        <v>16</v>
      </c>
      <c r="F1392" s="7">
        <v>45132.0</v>
      </c>
      <c r="H1392" s="11"/>
      <c r="J1392" s="18"/>
      <c r="L1392" s="18"/>
      <c r="M1392" s="23"/>
    </row>
    <row r="1393">
      <c r="A1393" s="10" t="s">
        <v>1325</v>
      </c>
      <c r="B1393" s="17" t="s">
        <v>1326</v>
      </c>
      <c r="C1393" s="4" t="s">
        <v>8</v>
      </c>
      <c r="D1393" s="5" t="s">
        <v>13</v>
      </c>
      <c r="E1393" s="6" t="s">
        <v>1333</v>
      </c>
      <c r="F1393" s="7">
        <v>45155.0</v>
      </c>
      <c r="H1393" s="11"/>
      <c r="J1393" s="18"/>
      <c r="L1393" s="18"/>
      <c r="M1393" s="23"/>
    </row>
    <row r="1394">
      <c r="A1394" s="10" t="s">
        <v>1325</v>
      </c>
      <c r="B1394" s="17" t="s">
        <v>1326</v>
      </c>
      <c r="C1394" s="4" t="s">
        <v>8</v>
      </c>
      <c r="D1394" s="5" t="s">
        <v>4</v>
      </c>
      <c r="E1394" s="6" t="s">
        <v>1334</v>
      </c>
      <c r="F1394" s="7">
        <v>45162.0</v>
      </c>
      <c r="H1394" s="11"/>
      <c r="J1394" s="18"/>
      <c r="L1394" s="18"/>
      <c r="M1394" s="23"/>
    </row>
    <row r="1395">
      <c r="A1395" s="10" t="s">
        <v>1325</v>
      </c>
      <c r="B1395" s="17" t="s">
        <v>1326</v>
      </c>
      <c r="C1395" s="4" t="s">
        <v>3</v>
      </c>
      <c r="D1395" s="5" t="s">
        <v>6</v>
      </c>
      <c r="E1395" s="6" t="s">
        <v>1335</v>
      </c>
      <c r="F1395" s="7">
        <v>45166.0</v>
      </c>
      <c r="H1395" s="11"/>
      <c r="J1395" s="18"/>
      <c r="L1395" s="18"/>
      <c r="M1395" s="23"/>
    </row>
    <row r="1396">
      <c r="A1396" s="10" t="s">
        <v>1325</v>
      </c>
      <c r="B1396" s="17" t="s">
        <v>1326</v>
      </c>
      <c r="C1396" s="4" t="s">
        <v>8</v>
      </c>
      <c r="D1396" s="5" t="s">
        <v>51</v>
      </c>
      <c r="E1396" s="6" t="s">
        <v>1336</v>
      </c>
      <c r="F1396" s="7">
        <v>45172.0</v>
      </c>
      <c r="H1396" s="11"/>
      <c r="J1396" s="18"/>
      <c r="L1396" s="18"/>
      <c r="M1396" s="23"/>
    </row>
    <row r="1397">
      <c r="A1397" s="10" t="s">
        <v>1325</v>
      </c>
      <c r="B1397" s="17" t="s">
        <v>1326</v>
      </c>
      <c r="C1397" s="4" t="s">
        <v>8</v>
      </c>
      <c r="D1397" s="5" t="s">
        <v>35</v>
      </c>
      <c r="E1397" s="6" t="s">
        <v>1337</v>
      </c>
      <c r="F1397" s="7">
        <v>45174.0</v>
      </c>
      <c r="H1397" s="11"/>
      <c r="J1397" s="18"/>
      <c r="L1397" s="18"/>
      <c r="M1397" s="23"/>
    </row>
    <row r="1398">
      <c r="A1398" s="10" t="s">
        <v>1325</v>
      </c>
      <c r="B1398" s="17" t="s">
        <v>1326</v>
      </c>
      <c r="C1398" s="4" t="s">
        <v>3</v>
      </c>
      <c r="D1398" s="5" t="s">
        <v>21</v>
      </c>
      <c r="E1398" s="6" t="s">
        <v>1338</v>
      </c>
      <c r="F1398" s="7">
        <v>45181.0</v>
      </c>
      <c r="H1398" s="11"/>
      <c r="J1398" s="18"/>
      <c r="L1398" s="18"/>
      <c r="M1398" s="23"/>
    </row>
    <row r="1399">
      <c r="A1399" s="10" t="s">
        <v>1325</v>
      </c>
      <c r="B1399" s="17" t="s">
        <v>1326</v>
      </c>
      <c r="C1399" s="4" t="s">
        <v>3</v>
      </c>
      <c r="D1399" s="5" t="s">
        <v>13</v>
      </c>
      <c r="E1399" s="6" t="s">
        <v>1339</v>
      </c>
      <c r="F1399" s="7">
        <v>45207.0</v>
      </c>
      <c r="H1399" s="11"/>
      <c r="J1399" s="18"/>
      <c r="L1399" s="18"/>
      <c r="M1399" s="23"/>
    </row>
    <row r="1400">
      <c r="A1400" s="10" t="s">
        <v>1325</v>
      </c>
      <c r="B1400" s="17" t="s">
        <v>1326</v>
      </c>
      <c r="C1400" s="4" t="s">
        <v>3</v>
      </c>
      <c r="D1400" s="5" t="s">
        <v>35</v>
      </c>
      <c r="E1400" s="6" t="s">
        <v>1201</v>
      </c>
      <c r="F1400" s="7">
        <v>45210.0</v>
      </c>
      <c r="H1400" s="11"/>
      <c r="J1400" s="18"/>
      <c r="L1400" s="18"/>
      <c r="M1400" s="23"/>
    </row>
    <row r="1401">
      <c r="A1401" s="10" t="s">
        <v>1258</v>
      </c>
      <c r="B1401" s="17" t="s">
        <v>1340</v>
      </c>
      <c r="C1401" s="4" t="s">
        <v>3</v>
      </c>
      <c r="D1401" s="5" t="s">
        <v>42</v>
      </c>
      <c r="E1401" s="6" t="s">
        <v>86</v>
      </c>
      <c r="F1401" s="7">
        <v>44940.0</v>
      </c>
      <c r="H1401" s="11"/>
      <c r="J1401" s="18"/>
      <c r="L1401" s="18"/>
      <c r="M1401" s="23"/>
    </row>
    <row r="1402">
      <c r="A1402" s="10" t="s">
        <v>1258</v>
      </c>
      <c r="B1402" s="17" t="s">
        <v>1340</v>
      </c>
      <c r="C1402" s="4" t="s">
        <v>8</v>
      </c>
      <c r="D1402" s="5" t="s">
        <v>19</v>
      </c>
      <c r="E1402" s="6" t="s">
        <v>1341</v>
      </c>
      <c r="F1402" s="7">
        <v>44948.0</v>
      </c>
      <c r="H1402" s="11"/>
      <c r="J1402" s="18"/>
      <c r="L1402" s="18"/>
      <c r="M1402" s="23"/>
    </row>
    <row r="1403">
      <c r="A1403" s="10" t="s">
        <v>1258</v>
      </c>
      <c r="B1403" s="17" t="s">
        <v>1340</v>
      </c>
      <c r="C1403" s="4" t="s">
        <v>3</v>
      </c>
      <c r="D1403" s="5" t="s">
        <v>71</v>
      </c>
      <c r="E1403" s="6" t="s">
        <v>1342</v>
      </c>
      <c r="F1403" s="7">
        <v>44949.0</v>
      </c>
      <c r="H1403" s="11"/>
      <c r="J1403" s="18"/>
      <c r="L1403" s="18"/>
      <c r="M1403" s="23"/>
    </row>
    <row r="1404">
      <c r="A1404" s="10" t="s">
        <v>1258</v>
      </c>
      <c r="B1404" s="17" t="s">
        <v>1340</v>
      </c>
      <c r="C1404" s="4" t="s">
        <v>3</v>
      </c>
      <c r="D1404" s="5" t="s">
        <v>21</v>
      </c>
      <c r="E1404" s="6" t="s">
        <v>943</v>
      </c>
      <c r="F1404" s="7">
        <v>44988.0</v>
      </c>
      <c r="H1404" s="11"/>
      <c r="J1404" s="18"/>
      <c r="L1404" s="18"/>
      <c r="M1404" s="23"/>
    </row>
    <row r="1405">
      <c r="A1405" s="10" t="s">
        <v>1258</v>
      </c>
      <c r="B1405" s="17" t="s">
        <v>1340</v>
      </c>
      <c r="C1405" s="4" t="s">
        <v>8</v>
      </c>
      <c r="D1405" s="5" t="s">
        <v>21</v>
      </c>
      <c r="E1405" s="6" t="s">
        <v>966</v>
      </c>
      <c r="F1405" s="7">
        <v>45002.0</v>
      </c>
      <c r="H1405" s="11"/>
      <c r="J1405" s="18"/>
      <c r="L1405" s="18"/>
      <c r="M1405" s="23"/>
    </row>
    <row r="1406">
      <c r="A1406" s="10" t="s">
        <v>1258</v>
      </c>
      <c r="B1406" s="17" t="s">
        <v>1340</v>
      </c>
      <c r="C1406" s="4" t="s">
        <v>3</v>
      </c>
      <c r="D1406" s="5" t="s">
        <v>39</v>
      </c>
      <c r="E1406" s="6" t="s">
        <v>1343</v>
      </c>
      <c r="F1406" s="7">
        <v>45007.0</v>
      </c>
      <c r="H1406" s="11"/>
      <c r="J1406" s="18"/>
      <c r="L1406" s="18"/>
      <c r="M1406" s="23"/>
    </row>
    <row r="1407">
      <c r="A1407" s="10" t="s">
        <v>1258</v>
      </c>
      <c r="B1407" s="17" t="s">
        <v>1340</v>
      </c>
      <c r="C1407" s="4" t="s">
        <v>8</v>
      </c>
      <c r="D1407" s="5" t="s">
        <v>6</v>
      </c>
      <c r="E1407" s="6" t="s">
        <v>1344</v>
      </c>
      <c r="F1407" s="7">
        <v>45044.0</v>
      </c>
      <c r="H1407" s="11"/>
      <c r="J1407" s="18"/>
      <c r="L1407" s="18"/>
      <c r="M1407" s="23"/>
    </row>
    <row r="1408">
      <c r="A1408" s="10" t="s">
        <v>1258</v>
      </c>
      <c r="B1408" s="17" t="s">
        <v>1340</v>
      </c>
      <c r="C1408" s="4" t="s">
        <v>3</v>
      </c>
      <c r="D1408" s="5" t="s">
        <v>17</v>
      </c>
      <c r="E1408" s="6" t="s">
        <v>716</v>
      </c>
      <c r="F1408" s="7">
        <v>45066.0</v>
      </c>
      <c r="H1408" s="11"/>
      <c r="J1408" s="18"/>
      <c r="L1408" s="18"/>
      <c r="M1408" s="23"/>
    </row>
    <row r="1409">
      <c r="A1409" s="10" t="s">
        <v>1258</v>
      </c>
      <c r="B1409" s="17" t="s">
        <v>1340</v>
      </c>
      <c r="C1409" s="4" t="s">
        <v>3</v>
      </c>
      <c r="D1409" s="5" t="s">
        <v>35</v>
      </c>
      <c r="E1409" s="6" t="s">
        <v>1345</v>
      </c>
      <c r="F1409" s="7">
        <v>45073.0</v>
      </c>
      <c r="H1409" s="11"/>
      <c r="J1409" s="18"/>
      <c r="L1409" s="18"/>
      <c r="M1409" s="23"/>
    </row>
    <row r="1410">
      <c r="A1410" s="10" t="s">
        <v>1258</v>
      </c>
      <c r="B1410" s="17" t="s">
        <v>1340</v>
      </c>
      <c r="C1410" s="4" t="s">
        <v>8</v>
      </c>
      <c r="D1410" s="5" t="s">
        <v>39</v>
      </c>
      <c r="E1410" s="6" t="s">
        <v>1346</v>
      </c>
      <c r="F1410" s="7">
        <v>45089.0</v>
      </c>
      <c r="H1410" s="11"/>
      <c r="J1410" s="18"/>
      <c r="L1410" s="18"/>
      <c r="M1410" s="23"/>
    </row>
    <row r="1411">
      <c r="A1411" s="10" t="s">
        <v>1258</v>
      </c>
      <c r="B1411" s="17" t="s">
        <v>1340</v>
      </c>
      <c r="C1411" s="4" t="s">
        <v>8</v>
      </c>
      <c r="D1411" s="5" t="s">
        <v>6</v>
      </c>
      <c r="E1411" s="6" t="s">
        <v>1347</v>
      </c>
      <c r="F1411" s="7">
        <v>45095.0</v>
      </c>
      <c r="H1411" s="11"/>
      <c r="J1411" s="18"/>
      <c r="L1411" s="18"/>
      <c r="M1411" s="23"/>
    </row>
    <row r="1412">
      <c r="A1412" s="10" t="s">
        <v>1258</v>
      </c>
      <c r="B1412" s="17" t="s">
        <v>1340</v>
      </c>
      <c r="C1412" s="4" t="s">
        <v>3</v>
      </c>
      <c r="D1412" s="5" t="s">
        <v>4</v>
      </c>
      <c r="E1412" s="6" t="s">
        <v>1348</v>
      </c>
      <c r="F1412" s="7">
        <v>45103.0</v>
      </c>
      <c r="H1412" s="11"/>
      <c r="J1412" s="18"/>
      <c r="L1412" s="18"/>
      <c r="M1412" s="23"/>
    </row>
    <row r="1413">
      <c r="A1413" s="10" t="s">
        <v>1258</v>
      </c>
      <c r="B1413" s="17" t="s">
        <v>1340</v>
      </c>
      <c r="C1413" s="4" t="s">
        <v>3</v>
      </c>
      <c r="D1413" s="5" t="s">
        <v>71</v>
      </c>
      <c r="E1413" s="6" t="s">
        <v>1349</v>
      </c>
      <c r="F1413" s="7">
        <v>45157.0</v>
      </c>
      <c r="H1413" s="11"/>
      <c r="J1413" s="18"/>
      <c r="L1413" s="18"/>
      <c r="M1413" s="23"/>
    </row>
    <row r="1414">
      <c r="A1414" s="10" t="s">
        <v>1258</v>
      </c>
      <c r="B1414" s="17" t="s">
        <v>1340</v>
      </c>
      <c r="C1414" s="4" t="s">
        <v>8</v>
      </c>
      <c r="D1414" s="5" t="s">
        <v>17</v>
      </c>
      <c r="E1414" s="6" t="s">
        <v>203</v>
      </c>
      <c r="F1414" s="7">
        <v>45163.0</v>
      </c>
      <c r="H1414" s="11"/>
      <c r="J1414" s="18"/>
      <c r="L1414" s="18"/>
      <c r="M1414" s="23"/>
    </row>
    <row r="1415">
      <c r="A1415" s="10" t="s">
        <v>1258</v>
      </c>
      <c r="B1415" s="17" t="s">
        <v>1340</v>
      </c>
      <c r="C1415" s="4" t="s">
        <v>3</v>
      </c>
      <c r="D1415" s="5" t="s">
        <v>45</v>
      </c>
      <c r="E1415" s="6" t="s">
        <v>1350</v>
      </c>
      <c r="F1415" s="7">
        <v>45181.0</v>
      </c>
      <c r="H1415" s="11"/>
      <c r="J1415" s="18"/>
      <c r="L1415" s="18"/>
      <c r="M1415" s="23"/>
    </row>
    <row r="1416">
      <c r="A1416" s="10" t="s">
        <v>1258</v>
      </c>
      <c r="B1416" s="17" t="s">
        <v>1340</v>
      </c>
      <c r="C1416" s="4" t="s">
        <v>8</v>
      </c>
      <c r="D1416" s="5" t="s">
        <v>51</v>
      </c>
      <c r="E1416" s="6" t="s">
        <v>1351</v>
      </c>
      <c r="F1416" s="7">
        <v>45189.0</v>
      </c>
      <c r="H1416" s="11"/>
      <c r="J1416" s="18"/>
      <c r="L1416" s="18"/>
      <c r="M1416" s="23"/>
    </row>
    <row r="1417">
      <c r="A1417" s="10" t="s">
        <v>1258</v>
      </c>
      <c r="B1417" s="17" t="s">
        <v>1340</v>
      </c>
      <c r="C1417" s="4" t="s">
        <v>3</v>
      </c>
      <c r="D1417" s="5" t="s">
        <v>76</v>
      </c>
      <c r="E1417" s="6" t="s">
        <v>1352</v>
      </c>
      <c r="F1417" s="7">
        <v>45193.0</v>
      </c>
      <c r="H1417" s="11"/>
      <c r="J1417" s="18"/>
      <c r="L1417" s="18"/>
      <c r="M1417" s="23"/>
    </row>
    <row r="1418">
      <c r="A1418" s="10" t="s">
        <v>1258</v>
      </c>
      <c r="B1418" s="17" t="s">
        <v>1340</v>
      </c>
      <c r="C1418" s="4" t="s">
        <v>3</v>
      </c>
      <c r="D1418" s="5" t="s">
        <v>4</v>
      </c>
      <c r="E1418" s="6" t="s">
        <v>1353</v>
      </c>
      <c r="F1418" s="7">
        <v>45231.0</v>
      </c>
      <c r="H1418" s="11"/>
      <c r="J1418" s="18"/>
      <c r="L1418" s="18"/>
      <c r="M1418" s="23"/>
    </row>
    <row r="1419">
      <c r="A1419" s="10" t="s">
        <v>1258</v>
      </c>
      <c r="B1419" s="17" t="s">
        <v>1340</v>
      </c>
      <c r="C1419" s="4" t="s">
        <v>3</v>
      </c>
      <c r="D1419" s="5" t="s">
        <v>21</v>
      </c>
      <c r="E1419" s="6" t="s">
        <v>1354</v>
      </c>
      <c r="F1419" s="7">
        <v>45255.0</v>
      </c>
      <c r="H1419" s="11"/>
      <c r="J1419" s="18"/>
      <c r="L1419" s="18"/>
      <c r="M1419" s="23"/>
    </row>
    <row r="1420">
      <c r="A1420" s="10" t="s">
        <v>1258</v>
      </c>
      <c r="B1420" s="17" t="s">
        <v>1340</v>
      </c>
      <c r="C1420" s="4" t="s">
        <v>3</v>
      </c>
      <c r="D1420" s="5" t="s">
        <v>13</v>
      </c>
      <c r="E1420" s="6" t="s">
        <v>1355</v>
      </c>
      <c r="F1420" s="7">
        <v>45268.0</v>
      </c>
      <c r="H1420" s="11"/>
      <c r="J1420" s="18"/>
      <c r="L1420" s="18"/>
      <c r="M1420" s="23"/>
    </row>
    <row r="1421">
      <c r="A1421" s="10" t="s">
        <v>1356</v>
      </c>
      <c r="B1421" s="17" t="s">
        <v>1357</v>
      </c>
      <c r="C1421" s="4" t="s">
        <v>8</v>
      </c>
      <c r="D1421" s="5" t="s">
        <v>4</v>
      </c>
      <c r="E1421" s="6" t="s">
        <v>1358</v>
      </c>
      <c r="F1421" s="7">
        <v>44938.0</v>
      </c>
      <c r="H1421" s="11"/>
      <c r="J1421" s="18"/>
      <c r="L1421" s="18"/>
      <c r="M1421" s="23"/>
    </row>
    <row r="1422">
      <c r="A1422" s="10" t="s">
        <v>1356</v>
      </c>
      <c r="B1422" s="17" t="s">
        <v>1357</v>
      </c>
      <c r="C1422" s="4" t="s">
        <v>3</v>
      </c>
      <c r="D1422" s="5" t="s">
        <v>51</v>
      </c>
      <c r="E1422" s="6" t="s">
        <v>162</v>
      </c>
      <c r="F1422" s="7">
        <v>44971.0</v>
      </c>
      <c r="H1422" s="11"/>
      <c r="J1422" s="18"/>
      <c r="L1422" s="18"/>
      <c r="M1422" s="23"/>
    </row>
    <row r="1423">
      <c r="A1423" s="10" t="s">
        <v>1356</v>
      </c>
      <c r="B1423" s="17" t="s">
        <v>1357</v>
      </c>
      <c r="C1423" s="4" t="s">
        <v>8</v>
      </c>
      <c r="D1423" s="5" t="s">
        <v>45</v>
      </c>
      <c r="E1423" s="6" t="s">
        <v>1359</v>
      </c>
      <c r="F1423" s="7">
        <v>44980.0</v>
      </c>
      <c r="H1423" s="11"/>
      <c r="J1423" s="18"/>
      <c r="L1423" s="18"/>
      <c r="M1423" s="23"/>
    </row>
    <row r="1424">
      <c r="A1424" s="10" t="s">
        <v>1356</v>
      </c>
      <c r="B1424" s="17" t="s">
        <v>1357</v>
      </c>
      <c r="C1424" s="4" t="s">
        <v>8</v>
      </c>
      <c r="D1424" s="5" t="s">
        <v>71</v>
      </c>
      <c r="E1424" s="6" t="s">
        <v>1360</v>
      </c>
      <c r="F1424" s="7">
        <v>44994.0</v>
      </c>
      <c r="H1424" s="11"/>
      <c r="J1424" s="18"/>
      <c r="L1424" s="18"/>
      <c r="M1424" s="23"/>
    </row>
    <row r="1425">
      <c r="A1425" s="10" t="s">
        <v>1356</v>
      </c>
      <c r="B1425" s="17" t="s">
        <v>1357</v>
      </c>
      <c r="C1425" s="4" t="s">
        <v>3</v>
      </c>
      <c r="D1425" s="5" t="s">
        <v>9</v>
      </c>
      <c r="E1425" s="6" t="s">
        <v>403</v>
      </c>
      <c r="F1425" s="7">
        <v>45018.0</v>
      </c>
      <c r="H1425" s="11"/>
      <c r="J1425" s="18"/>
      <c r="L1425" s="18"/>
      <c r="M1425" s="23"/>
    </row>
    <row r="1426">
      <c r="A1426" s="10" t="s">
        <v>1356</v>
      </c>
      <c r="B1426" s="17" t="s">
        <v>1357</v>
      </c>
      <c r="C1426" s="4" t="s">
        <v>8</v>
      </c>
      <c r="D1426" s="5" t="s">
        <v>23</v>
      </c>
      <c r="E1426" s="6" t="s">
        <v>1361</v>
      </c>
      <c r="F1426" s="7">
        <v>45040.0</v>
      </c>
      <c r="H1426" s="11"/>
      <c r="J1426" s="18"/>
      <c r="L1426" s="18"/>
      <c r="M1426" s="23"/>
    </row>
    <row r="1427">
      <c r="A1427" s="10" t="s">
        <v>1356</v>
      </c>
      <c r="B1427" s="17" t="s">
        <v>1357</v>
      </c>
      <c r="C1427" s="4" t="s">
        <v>3</v>
      </c>
      <c r="D1427" s="5" t="s">
        <v>15</v>
      </c>
      <c r="E1427" s="6" t="s">
        <v>1362</v>
      </c>
      <c r="F1427" s="7">
        <v>45043.0</v>
      </c>
      <c r="H1427" s="11"/>
      <c r="J1427" s="18"/>
      <c r="L1427" s="18"/>
      <c r="M1427" s="23"/>
    </row>
    <row r="1428">
      <c r="A1428" s="10" t="s">
        <v>1356</v>
      </c>
      <c r="B1428" s="17" t="s">
        <v>1357</v>
      </c>
      <c r="C1428" s="4" t="s">
        <v>3</v>
      </c>
      <c r="D1428" s="5" t="s">
        <v>96</v>
      </c>
      <c r="E1428" s="6" t="s">
        <v>1363</v>
      </c>
      <c r="F1428" s="7">
        <v>45044.0</v>
      </c>
      <c r="H1428" s="11"/>
      <c r="J1428" s="18"/>
      <c r="L1428" s="18"/>
      <c r="M1428" s="23"/>
    </row>
    <row r="1429">
      <c r="A1429" s="10" t="s">
        <v>1356</v>
      </c>
      <c r="B1429" s="17" t="s">
        <v>1357</v>
      </c>
      <c r="C1429" s="4" t="s">
        <v>8</v>
      </c>
      <c r="D1429" s="5" t="s">
        <v>19</v>
      </c>
      <c r="E1429" s="6" t="s">
        <v>1364</v>
      </c>
      <c r="F1429" s="7">
        <v>45078.0</v>
      </c>
      <c r="H1429" s="11"/>
      <c r="J1429" s="18"/>
      <c r="L1429" s="18"/>
      <c r="M1429" s="23"/>
    </row>
    <row r="1430">
      <c r="A1430" s="10" t="s">
        <v>1356</v>
      </c>
      <c r="B1430" s="17" t="s">
        <v>1357</v>
      </c>
      <c r="C1430" s="4" t="s">
        <v>3</v>
      </c>
      <c r="D1430" s="5" t="s">
        <v>51</v>
      </c>
      <c r="E1430" s="6" t="s">
        <v>929</v>
      </c>
      <c r="F1430" s="7">
        <v>45080.0</v>
      </c>
      <c r="H1430" s="11"/>
      <c r="J1430" s="18"/>
      <c r="L1430" s="18"/>
      <c r="M1430" s="23"/>
    </row>
    <row r="1431">
      <c r="A1431" s="10" t="s">
        <v>1356</v>
      </c>
      <c r="B1431" s="17" t="s">
        <v>1357</v>
      </c>
      <c r="C1431" s="4" t="s">
        <v>8</v>
      </c>
      <c r="D1431" s="5" t="s">
        <v>42</v>
      </c>
      <c r="E1431" s="6" t="s">
        <v>859</v>
      </c>
      <c r="F1431" s="7">
        <v>45130.0</v>
      </c>
      <c r="H1431" s="11"/>
      <c r="J1431" s="18"/>
      <c r="L1431" s="18"/>
      <c r="M1431" s="23"/>
    </row>
    <row r="1432">
      <c r="A1432" s="10" t="s">
        <v>1356</v>
      </c>
      <c r="B1432" s="17" t="s">
        <v>1357</v>
      </c>
      <c r="C1432" s="4" t="s">
        <v>3</v>
      </c>
      <c r="D1432" s="5" t="s">
        <v>23</v>
      </c>
      <c r="E1432" s="6" t="s">
        <v>1365</v>
      </c>
      <c r="F1432" s="7">
        <v>45144.0</v>
      </c>
      <c r="H1432" s="11"/>
      <c r="J1432" s="18"/>
      <c r="L1432" s="18"/>
      <c r="M1432" s="23"/>
    </row>
    <row r="1433">
      <c r="A1433" s="10" t="s">
        <v>1356</v>
      </c>
      <c r="B1433" s="17" t="s">
        <v>1357</v>
      </c>
      <c r="C1433" s="4" t="s">
        <v>3</v>
      </c>
      <c r="D1433" s="5" t="s">
        <v>120</v>
      </c>
      <c r="E1433" s="6" t="s">
        <v>69</v>
      </c>
      <c r="F1433" s="7">
        <v>45160.0</v>
      </c>
      <c r="H1433" s="11"/>
      <c r="J1433" s="18"/>
      <c r="L1433" s="18"/>
      <c r="M1433" s="23"/>
    </row>
    <row r="1434">
      <c r="A1434" s="10" t="s">
        <v>1356</v>
      </c>
      <c r="B1434" s="17" t="s">
        <v>1357</v>
      </c>
      <c r="C1434" s="4" t="s">
        <v>8</v>
      </c>
      <c r="D1434" s="5" t="s">
        <v>71</v>
      </c>
      <c r="E1434" s="6" t="s">
        <v>484</v>
      </c>
      <c r="F1434" s="7">
        <v>45179.0</v>
      </c>
      <c r="H1434" s="11"/>
      <c r="J1434" s="18"/>
      <c r="L1434" s="18"/>
      <c r="M1434" s="23"/>
    </row>
    <row r="1435">
      <c r="A1435" s="10" t="s">
        <v>1356</v>
      </c>
      <c r="B1435" s="17" t="s">
        <v>1357</v>
      </c>
      <c r="C1435" s="4" t="s">
        <v>3</v>
      </c>
      <c r="D1435" s="5" t="s">
        <v>11</v>
      </c>
      <c r="E1435" s="6" t="s">
        <v>1366</v>
      </c>
      <c r="F1435" s="7">
        <v>45180.0</v>
      </c>
      <c r="H1435" s="11"/>
      <c r="J1435" s="18"/>
      <c r="L1435" s="18"/>
      <c r="M1435" s="23"/>
    </row>
    <row r="1436">
      <c r="A1436" s="10" t="s">
        <v>1356</v>
      </c>
      <c r="B1436" s="17" t="s">
        <v>1357</v>
      </c>
      <c r="C1436" s="4" t="s">
        <v>3</v>
      </c>
      <c r="D1436" s="5" t="s">
        <v>19</v>
      </c>
      <c r="E1436" s="6" t="s">
        <v>1367</v>
      </c>
      <c r="F1436" s="7">
        <v>45200.0</v>
      </c>
      <c r="H1436" s="11"/>
      <c r="J1436" s="18"/>
      <c r="L1436" s="18"/>
      <c r="M1436" s="23"/>
    </row>
    <row r="1437">
      <c r="A1437" s="10" t="s">
        <v>1356</v>
      </c>
      <c r="B1437" s="17" t="s">
        <v>1357</v>
      </c>
      <c r="C1437" s="4" t="s">
        <v>3</v>
      </c>
      <c r="D1437" s="5" t="s">
        <v>19</v>
      </c>
      <c r="E1437" s="6" t="s">
        <v>273</v>
      </c>
      <c r="F1437" s="7">
        <v>45234.0</v>
      </c>
      <c r="H1437" s="11"/>
      <c r="J1437" s="18"/>
      <c r="L1437" s="18"/>
      <c r="M1437" s="23"/>
    </row>
    <row r="1438">
      <c r="A1438" s="10" t="s">
        <v>1356</v>
      </c>
      <c r="B1438" s="17" t="s">
        <v>1357</v>
      </c>
      <c r="C1438" s="4" t="s">
        <v>8</v>
      </c>
      <c r="D1438" s="5" t="s">
        <v>76</v>
      </c>
      <c r="E1438" s="6" t="s">
        <v>1368</v>
      </c>
      <c r="F1438" s="7">
        <v>45262.0</v>
      </c>
      <c r="H1438" s="11"/>
      <c r="J1438" s="18"/>
      <c r="L1438" s="18"/>
      <c r="M1438" s="23"/>
    </row>
    <row r="1439">
      <c r="A1439" s="10" t="s">
        <v>1356</v>
      </c>
      <c r="B1439" s="17" t="s">
        <v>1357</v>
      </c>
      <c r="C1439" s="4" t="s">
        <v>8</v>
      </c>
      <c r="D1439" s="5" t="s">
        <v>35</v>
      </c>
      <c r="E1439" s="6" t="s">
        <v>1369</v>
      </c>
      <c r="F1439" s="7">
        <v>45263.0</v>
      </c>
      <c r="H1439" s="11"/>
      <c r="J1439" s="18"/>
      <c r="L1439" s="18"/>
      <c r="M1439" s="23"/>
    </row>
    <row r="1440">
      <c r="A1440" s="10" t="s">
        <v>1356</v>
      </c>
      <c r="B1440" s="17" t="s">
        <v>1357</v>
      </c>
      <c r="C1440" s="4" t="s">
        <v>3</v>
      </c>
      <c r="D1440" s="5" t="s">
        <v>13</v>
      </c>
      <c r="E1440" s="6" t="s">
        <v>1249</v>
      </c>
      <c r="F1440" s="7">
        <v>45277.0</v>
      </c>
      <c r="H1440" s="11"/>
      <c r="J1440" s="18"/>
      <c r="L1440" s="18"/>
      <c r="M1440" s="23"/>
    </row>
    <row r="1441">
      <c r="A1441" s="10" t="s">
        <v>1370</v>
      </c>
      <c r="B1441" s="17" t="s">
        <v>1371</v>
      </c>
      <c r="C1441" s="4" t="s">
        <v>3</v>
      </c>
      <c r="D1441" s="5" t="s">
        <v>15</v>
      </c>
      <c r="E1441" s="6" t="s">
        <v>541</v>
      </c>
      <c r="F1441" s="7">
        <v>44969.0</v>
      </c>
      <c r="H1441" s="11"/>
      <c r="J1441" s="18"/>
      <c r="L1441" s="18"/>
      <c r="M1441" s="23"/>
    </row>
    <row r="1442">
      <c r="A1442" s="10" t="s">
        <v>1370</v>
      </c>
      <c r="B1442" s="17" t="s">
        <v>1371</v>
      </c>
      <c r="C1442" s="4" t="s">
        <v>8</v>
      </c>
      <c r="D1442" s="5" t="s">
        <v>96</v>
      </c>
      <c r="E1442" s="6" t="s">
        <v>1372</v>
      </c>
      <c r="F1442" s="7">
        <v>44977.0</v>
      </c>
      <c r="H1442" s="11"/>
      <c r="J1442" s="18"/>
      <c r="L1442" s="18"/>
      <c r="M1442" s="23"/>
    </row>
    <row r="1443">
      <c r="A1443" s="10" t="s">
        <v>1370</v>
      </c>
      <c r="B1443" s="17" t="s">
        <v>1371</v>
      </c>
      <c r="C1443" s="4" t="s">
        <v>8</v>
      </c>
      <c r="D1443" s="5" t="s">
        <v>42</v>
      </c>
      <c r="E1443" s="6" t="s">
        <v>905</v>
      </c>
      <c r="F1443" s="7">
        <v>44988.0</v>
      </c>
      <c r="H1443" s="11"/>
      <c r="J1443" s="18"/>
      <c r="L1443" s="18"/>
      <c r="M1443" s="23"/>
    </row>
    <row r="1444">
      <c r="A1444" s="10" t="s">
        <v>1370</v>
      </c>
      <c r="B1444" s="17" t="s">
        <v>1371</v>
      </c>
      <c r="C1444" s="4" t="s">
        <v>8</v>
      </c>
      <c r="D1444" s="5" t="s">
        <v>120</v>
      </c>
      <c r="E1444" s="6" t="s">
        <v>1373</v>
      </c>
      <c r="F1444" s="7">
        <v>45002.0</v>
      </c>
      <c r="H1444" s="11"/>
      <c r="J1444" s="18"/>
      <c r="L1444" s="18"/>
      <c r="M1444" s="23"/>
    </row>
    <row r="1445">
      <c r="A1445" s="10" t="s">
        <v>1370</v>
      </c>
      <c r="B1445" s="17" t="s">
        <v>1371</v>
      </c>
      <c r="C1445" s="4" t="s">
        <v>3</v>
      </c>
      <c r="D1445" s="5" t="s">
        <v>76</v>
      </c>
      <c r="E1445" s="6" t="s">
        <v>1374</v>
      </c>
      <c r="F1445" s="7">
        <v>45010.0</v>
      </c>
      <c r="H1445" s="11"/>
      <c r="J1445" s="18"/>
      <c r="L1445" s="18"/>
      <c r="M1445" s="23"/>
    </row>
    <row r="1446">
      <c r="A1446" s="10" t="s">
        <v>1370</v>
      </c>
      <c r="B1446" s="17" t="s">
        <v>1371</v>
      </c>
      <c r="C1446" s="4" t="s">
        <v>8</v>
      </c>
      <c r="D1446" s="5" t="s">
        <v>42</v>
      </c>
      <c r="E1446" s="6" t="s">
        <v>208</v>
      </c>
      <c r="F1446" s="7">
        <v>45022.0</v>
      </c>
      <c r="H1446" s="11"/>
      <c r="J1446" s="18"/>
      <c r="L1446" s="18"/>
      <c r="M1446" s="23"/>
    </row>
    <row r="1447">
      <c r="A1447" s="10" t="s">
        <v>1370</v>
      </c>
      <c r="B1447" s="17" t="s">
        <v>1371</v>
      </c>
      <c r="C1447" s="4" t="s">
        <v>8</v>
      </c>
      <c r="D1447" s="5" t="s">
        <v>9</v>
      </c>
      <c r="E1447" s="6" t="s">
        <v>842</v>
      </c>
      <c r="F1447" s="7">
        <v>45029.0</v>
      </c>
      <c r="H1447" s="11"/>
      <c r="J1447" s="18"/>
      <c r="L1447" s="18"/>
      <c r="M1447" s="23"/>
    </row>
    <row r="1448">
      <c r="A1448" s="10" t="s">
        <v>1370</v>
      </c>
      <c r="B1448" s="17" t="s">
        <v>1371</v>
      </c>
      <c r="C1448" s="4" t="s">
        <v>3</v>
      </c>
      <c r="D1448" s="5" t="s">
        <v>4</v>
      </c>
      <c r="E1448" s="6" t="s">
        <v>1375</v>
      </c>
      <c r="F1448" s="7">
        <v>45044.0</v>
      </c>
      <c r="H1448" s="11"/>
      <c r="J1448" s="18"/>
      <c r="L1448" s="18"/>
      <c r="M1448" s="23"/>
    </row>
    <row r="1449">
      <c r="A1449" s="10" t="s">
        <v>1370</v>
      </c>
      <c r="B1449" s="17" t="s">
        <v>1371</v>
      </c>
      <c r="C1449" s="4" t="s">
        <v>8</v>
      </c>
      <c r="D1449" s="5" t="s">
        <v>19</v>
      </c>
      <c r="E1449" s="6" t="s">
        <v>1376</v>
      </c>
      <c r="F1449" s="7">
        <v>45049.0</v>
      </c>
      <c r="H1449" s="11"/>
      <c r="J1449" s="18"/>
      <c r="L1449" s="18"/>
      <c r="M1449" s="23"/>
    </row>
    <row r="1450">
      <c r="A1450" s="10" t="s">
        <v>1370</v>
      </c>
      <c r="B1450" s="17" t="s">
        <v>1371</v>
      </c>
      <c r="C1450" s="4" t="s">
        <v>3</v>
      </c>
      <c r="D1450" s="5" t="s">
        <v>39</v>
      </c>
      <c r="E1450" s="6" t="s">
        <v>1377</v>
      </c>
      <c r="F1450" s="7">
        <v>45052.0</v>
      </c>
      <c r="H1450" s="11"/>
      <c r="J1450" s="18"/>
      <c r="L1450" s="18"/>
      <c r="M1450" s="23"/>
    </row>
    <row r="1451">
      <c r="A1451" s="10" t="s">
        <v>1370</v>
      </c>
      <c r="B1451" s="17" t="s">
        <v>1371</v>
      </c>
      <c r="C1451" s="4" t="s">
        <v>8</v>
      </c>
      <c r="D1451" s="5" t="s">
        <v>19</v>
      </c>
      <c r="E1451" s="6" t="s">
        <v>1378</v>
      </c>
      <c r="F1451" s="7">
        <v>45062.0</v>
      </c>
      <c r="H1451" s="11"/>
      <c r="J1451" s="18"/>
      <c r="L1451" s="18"/>
      <c r="M1451" s="23"/>
    </row>
    <row r="1452">
      <c r="A1452" s="10" t="s">
        <v>1370</v>
      </c>
      <c r="B1452" s="17" t="s">
        <v>1371</v>
      </c>
      <c r="C1452" s="4" t="s">
        <v>8</v>
      </c>
      <c r="D1452" s="5" t="s">
        <v>71</v>
      </c>
      <c r="E1452" s="6" t="s">
        <v>1379</v>
      </c>
      <c r="F1452" s="7">
        <v>45066.0</v>
      </c>
      <c r="H1452" s="11"/>
      <c r="J1452" s="18"/>
      <c r="L1452" s="18"/>
      <c r="M1452" s="23"/>
    </row>
    <row r="1453">
      <c r="A1453" s="10" t="s">
        <v>1370</v>
      </c>
      <c r="B1453" s="17" t="s">
        <v>1371</v>
      </c>
      <c r="C1453" s="4" t="s">
        <v>3</v>
      </c>
      <c r="D1453" s="5" t="s">
        <v>39</v>
      </c>
      <c r="E1453" s="6" t="s">
        <v>1380</v>
      </c>
      <c r="F1453" s="7">
        <v>45084.0</v>
      </c>
      <c r="H1453" s="11"/>
      <c r="J1453" s="18"/>
      <c r="L1453" s="18"/>
      <c r="M1453" s="23"/>
    </row>
    <row r="1454">
      <c r="A1454" s="10" t="s">
        <v>1370</v>
      </c>
      <c r="B1454" s="17" t="s">
        <v>1371</v>
      </c>
      <c r="C1454" s="4" t="s">
        <v>8</v>
      </c>
      <c r="D1454" s="5" t="s">
        <v>35</v>
      </c>
      <c r="E1454" s="6" t="s">
        <v>1381</v>
      </c>
      <c r="F1454" s="7">
        <v>45108.0</v>
      </c>
      <c r="H1454" s="11"/>
      <c r="J1454" s="18"/>
      <c r="L1454" s="18"/>
      <c r="M1454" s="23"/>
    </row>
    <row r="1455">
      <c r="A1455" s="10" t="s">
        <v>1370</v>
      </c>
      <c r="B1455" s="17" t="s">
        <v>1371</v>
      </c>
      <c r="C1455" s="4" t="s">
        <v>3</v>
      </c>
      <c r="D1455" s="5" t="s">
        <v>21</v>
      </c>
      <c r="E1455" s="6" t="s">
        <v>612</v>
      </c>
      <c r="F1455" s="7">
        <v>45134.0</v>
      </c>
      <c r="H1455" s="11"/>
      <c r="J1455" s="18"/>
      <c r="L1455" s="18"/>
      <c r="M1455" s="23"/>
    </row>
    <row r="1456">
      <c r="A1456" s="10" t="s">
        <v>1370</v>
      </c>
      <c r="B1456" s="17" t="s">
        <v>1371</v>
      </c>
      <c r="C1456" s="4" t="s">
        <v>8</v>
      </c>
      <c r="D1456" s="5" t="s">
        <v>15</v>
      </c>
      <c r="E1456" s="6" t="s">
        <v>1376</v>
      </c>
      <c r="F1456" s="7">
        <v>45140.0</v>
      </c>
      <c r="H1456" s="11"/>
      <c r="J1456" s="18"/>
      <c r="L1456" s="18"/>
      <c r="M1456" s="23"/>
    </row>
    <row r="1457">
      <c r="A1457" s="10" t="s">
        <v>1370</v>
      </c>
      <c r="B1457" s="17" t="s">
        <v>1371</v>
      </c>
      <c r="C1457" s="4" t="s">
        <v>8</v>
      </c>
      <c r="D1457" s="5" t="s">
        <v>120</v>
      </c>
      <c r="E1457" s="6" t="s">
        <v>1382</v>
      </c>
      <c r="F1457" s="7">
        <v>45175.0</v>
      </c>
      <c r="H1457" s="11"/>
      <c r="J1457" s="18"/>
      <c r="L1457" s="18"/>
      <c r="M1457" s="23"/>
    </row>
    <row r="1458">
      <c r="A1458" s="10" t="s">
        <v>1370</v>
      </c>
      <c r="B1458" s="17" t="s">
        <v>1371</v>
      </c>
      <c r="C1458" s="4" t="s">
        <v>3</v>
      </c>
      <c r="D1458" s="5" t="s">
        <v>76</v>
      </c>
      <c r="E1458" s="6" t="s">
        <v>1383</v>
      </c>
      <c r="F1458" s="7">
        <v>45193.0</v>
      </c>
      <c r="H1458" s="11"/>
      <c r="J1458" s="18"/>
      <c r="L1458" s="18"/>
      <c r="M1458" s="23"/>
    </row>
    <row r="1459">
      <c r="A1459" s="10" t="s">
        <v>1370</v>
      </c>
      <c r="B1459" s="17" t="s">
        <v>1371</v>
      </c>
      <c r="C1459" s="4" t="s">
        <v>3</v>
      </c>
      <c r="D1459" s="5" t="s">
        <v>42</v>
      </c>
      <c r="E1459" s="6" t="s">
        <v>643</v>
      </c>
      <c r="F1459" s="7">
        <v>45211.0</v>
      </c>
      <c r="H1459" s="11"/>
      <c r="J1459" s="18"/>
      <c r="L1459" s="18"/>
      <c r="M1459" s="23"/>
    </row>
    <row r="1460">
      <c r="A1460" s="10" t="s">
        <v>1370</v>
      </c>
      <c r="B1460" s="17" t="s">
        <v>1371</v>
      </c>
      <c r="C1460" s="4" t="s">
        <v>3</v>
      </c>
      <c r="D1460" s="5" t="s">
        <v>19</v>
      </c>
      <c r="E1460" s="6" t="s">
        <v>1384</v>
      </c>
      <c r="F1460" s="7">
        <v>45251.0</v>
      </c>
      <c r="H1460" s="11"/>
      <c r="J1460" s="18"/>
      <c r="L1460" s="18"/>
      <c r="M1460" s="23"/>
    </row>
    <row r="1461">
      <c r="A1461" s="10" t="s">
        <v>632</v>
      </c>
      <c r="B1461" s="17" t="s">
        <v>1385</v>
      </c>
      <c r="C1461" s="4" t="s">
        <v>3</v>
      </c>
      <c r="D1461" s="5" t="s">
        <v>13</v>
      </c>
      <c r="E1461" s="6" t="s">
        <v>1386</v>
      </c>
      <c r="F1461" s="7">
        <v>44936.0</v>
      </c>
      <c r="H1461" s="11"/>
      <c r="J1461" s="18"/>
      <c r="L1461" s="18"/>
      <c r="M1461" s="23"/>
    </row>
    <row r="1462">
      <c r="A1462" s="10" t="s">
        <v>632</v>
      </c>
      <c r="B1462" s="17" t="s">
        <v>1385</v>
      </c>
      <c r="C1462" s="4" t="s">
        <v>3</v>
      </c>
      <c r="D1462" s="5" t="s">
        <v>39</v>
      </c>
      <c r="E1462" s="6" t="s">
        <v>1387</v>
      </c>
      <c r="F1462" s="7">
        <v>44938.0</v>
      </c>
      <c r="H1462" s="11"/>
      <c r="J1462" s="18"/>
      <c r="L1462" s="18"/>
      <c r="M1462" s="23"/>
    </row>
    <row r="1463">
      <c r="A1463" s="10" t="s">
        <v>632</v>
      </c>
      <c r="B1463" s="17" t="s">
        <v>1385</v>
      </c>
      <c r="C1463" s="4" t="s">
        <v>3</v>
      </c>
      <c r="D1463" s="5" t="s">
        <v>17</v>
      </c>
      <c r="E1463" s="6" t="s">
        <v>1388</v>
      </c>
      <c r="F1463" s="7">
        <v>44967.0</v>
      </c>
      <c r="H1463" s="11"/>
      <c r="J1463" s="18"/>
      <c r="L1463" s="18"/>
      <c r="M1463" s="23"/>
    </row>
    <row r="1464">
      <c r="A1464" s="10" t="s">
        <v>632</v>
      </c>
      <c r="B1464" s="17" t="s">
        <v>1385</v>
      </c>
      <c r="C1464" s="4" t="s">
        <v>3</v>
      </c>
      <c r="D1464" s="5" t="s">
        <v>39</v>
      </c>
      <c r="E1464" s="6" t="s">
        <v>1389</v>
      </c>
      <c r="F1464" s="7">
        <v>44974.0</v>
      </c>
      <c r="H1464" s="11"/>
      <c r="J1464" s="18"/>
      <c r="L1464" s="18"/>
      <c r="M1464" s="23"/>
    </row>
    <row r="1465">
      <c r="A1465" s="10" t="s">
        <v>632</v>
      </c>
      <c r="B1465" s="17" t="s">
        <v>1385</v>
      </c>
      <c r="C1465" s="4" t="s">
        <v>3</v>
      </c>
      <c r="D1465" s="5" t="s">
        <v>76</v>
      </c>
      <c r="E1465" s="6" t="s">
        <v>227</v>
      </c>
      <c r="F1465" s="7">
        <v>45024.0</v>
      </c>
      <c r="H1465" s="11"/>
      <c r="J1465" s="18"/>
      <c r="L1465" s="18"/>
      <c r="M1465" s="23"/>
    </row>
    <row r="1466">
      <c r="A1466" s="10" t="s">
        <v>632</v>
      </c>
      <c r="B1466" s="17" t="s">
        <v>1385</v>
      </c>
      <c r="C1466" s="4" t="s">
        <v>8</v>
      </c>
      <c r="D1466" s="5" t="s">
        <v>96</v>
      </c>
      <c r="E1466" s="6" t="s">
        <v>215</v>
      </c>
      <c r="F1466" s="7">
        <v>45038.0</v>
      </c>
      <c r="H1466" s="11"/>
      <c r="J1466" s="18"/>
      <c r="L1466" s="18"/>
      <c r="M1466" s="23"/>
    </row>
    <row r="1467">
      <c r="A1467" s="10" t="s">
        <v>632</v>
      </c>
      <c r="B1467" s="17" t="s">
        <v>1385</v>
      </c>
      <c r="C1467" s="4" t="s">
        <v>8</v>
      </c>
      <c r="D1467" s="5" t="s">
        <v>39</v>
      </c>
      <c r="E1467" s="6" t="s">
        <v>1390</v>
      </c>
      <c r="F1467" s="7">
        <v>45061.0</v>
      </c>
      <c r="H1467" s="11"/>
      <c r="J1467" s="18"/>
      <c r="L1467" s="18"/>
      <c r="M1467" s="23"/>
    </row>
    <row r="1468">
      <c r="A1468" s="10" t="s">
        <v>632</v>
      </c>
      <c r="B1468" s="17" t="s">
        <v>1385</v>
      </c>
      <c r="C1468" s="4" t="s">
        <v>3</v>
      </c>
      <c r="D1468" s="5" t="s">
        <v>96</v>
      </c>
      <c r="E1468" s="6" t="s">
        <v>1391</v>
      </c>
      <c r="F1468" s="7">
        <v>45080.0</v>
      </c>
      <c r="H1468" s="11"/>
      <c r="J1468" s="18"/>
      <c r="L1468" s="18"/>
      <c r="M1468" s="23"/>
    </row>
    <row r="1469">
      <c r="A1469" s="10" t="s">
        <v>632</v>
      </c>
      <c r="B1469" s="17" t="s">
        <v>1385</v>
      </c>
      <c r="C1469" s="4" t="s">
        <v>8</v>
      </c>
      <c r="D1469" s="5" t="s">
        <v>96</v>
      </c>
      <c r="E1469" s="6" t="s">
        <v>501</v>
      </c>
      <c r="F1469" s="7">
        <v>45082.0</v>
      </c>
      <c r="H1469" s="11"/>
      <c r="J1469" s="18"/>
      <c r="L1469" s="18"/>
      <c r="M1469" s="23"/>
    </row>
    <row r="1470">
      <c r="A1470" s="10" t="s">
        <v>632</v>
      </c>
      <c r="B1470" s="17" t="s">
        <v>1385</v>
      </c>
      <c r="C1470" s="4" t="s">
        <v>8</v>
      </c>
      <c r="D1470" s="5" t="s">
        <v>28</v>
      </c>
      <c r="E1470" s="6" t="s">
        <v>1392</v>
      </c>
      <c r="F1470" s="7">
        <v>45119.0</v>
      </c>
      <c r="H1470" s="11"/>
      <c r="J1470" s="18"/>
      <c r="L1470" s="18"/>
      <c r="M1470" s="23"/>
    </row>
    <row r="1471">
      <c r="A1471" s="10" t="s">
        <v>632</v>
      </c>
      <c r="B1471" s="17" t="s">
        <v>1385</v>
      </c>
      <c r="C1471" s="4" t="s">
        <v>8</v>
      </c>
      <c r="D1471" s="5" t="s">
        <v>11</v>
      </c>
      <c r="E1471" s="6" t="s">
        <v>570</v>
      </c>
      <c r="F1471" s="7">
        <v>45132.0</v>
      </c>
      <c r="H1471" s="11"/>
      <c r="J1471" s="18"/>
      <c r="L1471" s="18"/>
      <c r="M1471" s="23"/>
    </row>
    <row r="1472">
      <c r="A1472" s="10" t="s">
        <v>632</v>
      </c>
      <c r="B1472" s="17" t="s">
        <v>1385</v>
      </c>
      <c r="C1472" s="4" t="s">
        <v>8</v>
      </c>
      <c r="D1472" s="5" t="s">
        <v>51</v>
      </c>
      <c r="E1472" s="6" t="s">
        <v>201</v>
      </c>
      <c r="F1472" s="7">
        <v>45173.0</v>
      </c>
      <c r="H1472" s="11"/>
      <c r="J1472" s="18"/>
      <c r="L1472" s="18"/>
      <c r="M1472" s="23"/>
    </row>
    <row r="1473">
      <c r="A1473" s="10" t="s">
        <v>632</v>
      </c>
      <c r="B1473" s="17" t="s">
        <v>1385</v>
      </c>
      <c r="C1473" s="4" t="s">
        <v>8</v>
      </c>
      <c r="D1473" s="5" t="s">
        <v>17</v>
      </c>
      <c r="E1473" s="6" t="s">
        <v>1393</v>
      </c>
      <c r="F1473" s="7">
        <v>45174.0</v>
      </c>
      <c r="H1473" s="11"/>
      <c r="J1473" s="18"/>
      <c r="L1473" s="18"/>
      <c r="M1473" s="23"/>
    </row>
    <row r="1474">
      <c r="A1474" s="10" t="s">
        <v>632</v>
      </c>
      <c r="B1474" s="17" t="s">
        <v>1385</v>
      </c>
      <c r="C1474" s="4" t="s">
        <v>3</v>
      </c>
      <c r="D1474" s="5" t="s">
        <v>51</v>
      </c>
      <c r="E1474" s="6" t="s">
        <v>1244</v>
      </c>
      <c r="F1474" s="7">
        <v>45181.0</v>
      </c>
      <c r="H1474" s="11"/>
      <c r="J1474" s="18"/>
      <c r="L1474" s="18"/>
      <c r="M1474" s="23"/>
    </row>
    <row r="1475">
      <c r="A1475" s="10" t="s">
        <v>632</v>
      </c>
      <c r="B1475" s="17" t="s">
        <v>1385</v>
      </c>
      <c r="C1475" s="4" t="s">
        <v>8</v>
      </c>
      <c r="D1475" s="5" t="s">
        <v>51</v>
      </c>
      <c r="E1475" s="6" t="s">
        <v>1394</v>
      </c>
      <c r="F1475" s="7">
        <v>45186.0</v>
      </c>
      <c r="H1475" s="11"/>
      <c r="J1475" s="18"/>
      <c r="L1475" s="18"/>
      <c r="M1475" s="23"/>
    </row>
    <row r="1476">
      <c r="A1476" s="10" t="s">
        <v>632</v>
      </c>
      <c r="B1476" s="17" t="s">
        <v>1385</v>
      </c>
      <c r="C1476" s="4" t="s">
        <v>8</v>
      </c>
      <c r="D1476" s="5" t="s">
        <v>51</v>
      </c>
      <c r="E1476" s="6" t="s">
        <v>1395</v>
      </c>
      <c r="F1476" s="7">
        <v>45197.0</v>
      </c>
      <c r="H1476" s="11"/>
      <c r="J1476" s="18"/>
      <c r="L1476" s="18"/>
      <c r="M1476" s="23"/>
    </row>
    <row r="1477">
      <c r="A1477" s="10" t="s">
        <v>632</v>
      </c>
      <c r="B1477" s="17" t="s">
        <v>1385</v>
      </c>
      <c r="C1477" s="4" t="s">
        <v>3</v>
      </c>
      <c r="D1477" s="5" t="s">
        <v>71</v>
      </c>
      <c r="E1477" s="6" t="s">
        <v>756</v>
      </c>
      <c r="F1477" s="7">
        <v>45214.0</v>
      </c>
      <c r="H1477" s="11"/>
      <c r="J1477" s="18"/>
      <c r="L1477" s="18"/>
      <c r="M1477" s="23"/>
    </row>
    <row r="1478">
      <c r="A1478" s="10" t="s">
        <v>632</v>
      </c>
      <c r="B1478" s="17" t="s">
        <v>1385</v>
      </c>
      <c r="C1478" s="4" t="s">
        <v>8</v>
      </c>
      <c r="D1478" s="5" t="s">
        <v>4</v>
      </c>
      <c r="E1478" s="6" t="s">
        <v>1396</v>
      </c>
      <c r="F1478" s="7">
        <v>45222.0</v>
      </c>
      <c r="H1478" s="11"/>
      <c r="J1478" s="18"/>
      <c r="L1478" s="18"/>
      <c r="M1478" s="23"/>
    </row>
    <row r="1479">
      <c r="A1479" s="10" t="s">
        <v>632</v>
      </c>
      <c r="B1479" s="17" t="s">
        <v>1385</v>
      </c>
      <c r="C1479" s="4" t="s">
        <v>3</v>
      </c>
      <c r="D1479" s="5" t="s">
        <v>6</v>
      </c>
      <c r="E1479" s="6" t="s">
        <v>1397</v>
      </c>
      <c r="F1479" s="7">
        <v>45234.0</v>
      </c>
      <c r="H1479" s="11"/>
      <c r="J1479" s="18"/>
      <c r="L1479" s="18"/>
      <c r="M1479" s="23"/>
    </row>
    <row r="1480">
      <c r="A1480" s="10" t="s">
        <v>632</v>
      </c>
      <c r="B1480" s="17" t="s">
        <v>1385</v>
      </c>
      <c r="C1480" s="4" t="s">
        <v>8</v>
      </c>
      <c r="D1480" s="5" t="s">
        <v>120</v>
      </c>
      <c r="E1480" s="6" t="s">
        <v>143</v>
      </c>
      <c r="F1480" s="7">
        <v>45247.0</v>
      </c>
      <c r="H1480" s="11"/>
      <c r="J1480" s="18"/>
      <c r="L1480" s="18"/>
      <c r="M1480" s="23"/>
    </row>
    <row r="1481">
      <c r="A1481" s="10" t="s">
        <v>1398</v>
      </c>
      <c r="B1481" s="17" t="s">
        <v>1399</v>
      </c>
      <c r="C1481" s="4" t="s">
        <v>8</v>
      </c>
      <c r="D1481" s="5" t="s">
        <v>6</v>
      </c>
      <c r="E1481" s="6" t="s">
        <v>1400</v>
      </c>
      <c r="F1481" s="7">
        <v>44981.0</v>
      </c>
      <c r="H1481" s="11"/>
      <c r="J1481" s="18"/>
      <c r="L1481" s="18"/>
      <c r="M1481" s="23"/>
    </row>
    <row r="1482">
      <c r="A1482" s="10" t="s">
        <v>1398</v>
      </c>
      <c r="B1482" s="17" t="s">
        <v>1399</v>
      </c>
      <c r="C1482" s="4" t="s">
        <v>3</v>
      </c>
      <c r="D1482" s="5" t="s">
        <v>15</v>
      </c>
      <c r="E1482" s="6" t="s">
        <v>1401</v>
      </c>
      <c r="F1482" s="7">
        <v>44992.0</v>
      </c>
      <c r="H1482" s="11"/>
      <c r="J1482" s="18"/>
      <c r="L1482" s="18"/>
      <c r="M1482" s="23"/>
    </row>
    <row r="1483">
      <c r="A1483" s="10" t="s">
        <v>1398</v>
      </c>
      <c r="B1483" s="17" t="s">
        <v>1399</v>
      </c>
      <c r="C1483" s="4" t="s">
        <v>3</v>
      </c>
      <c r="D1483" s="5" t="s">
        <v>39</v>
      </c>
      <c r="E1483" s="6" t="s">
        <v>1402</v>
      </c>
      <c r="F1483" s="7">
        <v>45008.0</v>
      </c>
      <c r="H1483" s="11"/>
      <c r="J1483" s="18"/>
      <c r="L1483" s="18"/>
      <c r="M1483" s="23"/>
    </row>
    <row r="1484">
      <c r="A1484" s="10" t="s">
        <v>1398</v>
      </c>
      <c r="B1484" s="17" t="s">
        <v>1399</v>
      </c>
      <c r="C1484" s="4" t="s">
        <v>3</v>
      </c>
      <c r="D1484" s="5" t="s">
        <v>39</v>
      </c>
      <c r="E1484" s="6" t="s">
        <v>1403</v>
      </c>
      <c r="F1484" s="7">
        <v>45021.0</v>
      </c>
      <c r="H1484" s="11"/>
      <c r="J1484" s="18"/>
      <c r="L1484" s="18"/>
      <c r="M1484" s="23"/>
    </row>
    <row r="1485">
      <c r="A1485" s="10" t="s">
        <v>1398</v>
      </c>
      <c r="B1485" s="17" t="s">
        <v>1399</v>
      </c>
      <c r="C1485" s="4" t="s">
        <v>8</v>
      </c>
      <c r="D1485" s="5" t="s">
        <v>23</v>
      </c>
      <c r="E1485" s="6" t="s">
        <v>1404</v>
      </c>
      <c r="F1485" s="7">
        <v>45058.0</v>
      </c>
      <c r="H1485" s="11"/>
      <c r="J1485" s="18"/>
      <c r="L1485" s="18"/>
      <c r="M1485" s="23"/>
    </row>
    <row r="1486">
      <c r="A1486" s="10" t="s">
        <v>1398</v>
      </c>
      <c r="B1486" s="17" t="s">
        <v>1399</v>
      </c>
      <c r="C1486" s="4" t="s">
        <v>8</v>
      </c>
      <c r="D1486" s="5" t="s">
        <v>71</v>
      </c>
      <c r="E1486" s="6" t="s">
        <v>515</v>
      </c>
      <c r="F1486" s="7">
        <v>45068.0</v>
      </c>
      <c r="H1486" s="11"/>
      <c r="J1486" s="18"/>
      <c r="L1486" s="18"/>
      <c r="M1486" s="23"/>
    </row>
    <row r="1487">
      <c r="A1487" s="10" t="s">
        <v>1398</v>
      </c>
      <c r="B1487" s="17" t="s">
        <v>1399</v>
      </c>
      <c r="C1487" s="4" t="s">
        <v>8</v>
      </c>
      <c r="D1487" s="5" t="s">
        <v>28</v>
      </c>
      <c r="E1487" s="6" t="s">
        <v>1405</v>
      </c>
      <c r="F1487" s="7">
        <v>45139.0</v>
      </c>
      <c r="H1487" s="11"/>
      <c r="J1487" s="18"/>
      <c r="L1487" s="18"/>
      <c r="M1487" s="23"/>
    </row>
    <row r="1488">
      <c r="A1488" s="10" t="s">
        <v>1398</v>
      </c>
      <c r="B1488" s="17" t="s">
        <v>1399</v>
      </c>
      <c r="C1488" s="4" t="s">
        <v>8</v>
      </c>
      <c r="D1488" s="5" t="s">
        <v>21</v>
      </c>
      <c r="E1488" s="6" t="s">
        <v>1248</v>
      </c>
      <c r="F1488" s="7">
        <v>45161.0</v>
      </c>
      <c r="H1488" s="11"/>
      <c r="J1488" s="18"/>
      <c r="L1488" s="18"/>
      <c r="M1488" s="23"/>
    </row>
    <row r="1489">
      <c r="A1489" s="10" t="s">
        <v>1398</v>
      </c>
      <c r="B1489" s="17" t="s">
        <v>1399</v>
      </c>
      <c r="C1489" s="4" t="s">
        <v>8</v>
      </c>
      <c r="D1489" s="5" t="s">
        <v>45</v>
      </c>
      <c r="E1489" s="6" t="s">
        <v>1406</v>
      </c>
      <c r="F1489" s="7">
        <v>45180.0</v>
      </c>
      <c r="H1489" s="11"/>
      <c r="J1489" s="18"/>
      <c r="L1489" s="18"/>
      <c r="M1489" s="23"/>
    </row>
    <row r="1490">
      <c r="A1490" s="10" t="s">
        <v>1398</v>
      </c>
      <c r="B1490" s="17" t="s">
        <v>1399</v>
      </c>
      <c r="C1490" s="4" t="s">
        <v>8</v>
      </c>
      <c r="D1490" s="5" t="s">
        <v>23</v>
      </c>
      <c r="E1490" s="6" t="s">
        <v>1407</v>
      </c>
      <c r="F1490" s="7">
        <v>45190.0</v>
      </c>
      <c r="H1490" s="11"/>
      <c r="J1490" s="18"/>
      <c r="L1490" s="18"/>
      <c r="M1490" s="23"/>
    </row>
    <row r="1491">
      <c r="A1491" s="10" t="s">
        <v>1398</v>
      </c>
      <c r="B1491" s="17" t="s">
        <v>1399</v>
      </c>
      <c r="C1491" s="4" t="s">
        <v>3</v>
      </c>
      <c r="D1491" s="5" t="s">
        <v>4</v>
      </c>
      <c r="E1491" s="6" t="s">
        <v>1408</v>
      </c>
      <c r="F1491" s="7">
        <v>45196.0</v>
      </c>
      <c r="H1491" s="11"/>
      <c r="J1491" s="18"/>
      <c r="L1491" s="18"/>
      <c r="M1491" s="23"/>
    </row>
    <row r="1492">
      <c r="A1492" s="10" t="s">
        <v>1398</v>
      </c>
      <c r="B1492" s="17" t="s">
        <v>1399</v>
      </c>
      <c r="C1492" s="4" t="s">
        <v>8</v>
      </c>
      <c r="D1492" s="5" t="s">
        <v>19</v>
      </c>
      <c r="E1492" s="6" t="s">
        <v>1333</v>
      </c>
      <c r="F1492" s="7">
        <v>45201.0</v>
      </c>
      <c r="H1492" s="11"/>
      <c r="J1492" s="18"/>
      <c r="L1492" s="18"/>
      <c r="M1492" s="23"/>
    </row>
    <row r="1493">
      <c r="A1493" s="10" t="s">
        <v>1398</v>
      </c>
      <c r="B1493" s="17" t="s">
        <v>1399</v>
      </c>
      <c r="C1493" s="4" t="s">
        <v>3</v>
      </c>
      <c r="D1493" s="5" t="s">
        <v>21</v>
      </c>
      <c r="E1493" s="6" t="s">
        <v>649</v>
      </c>
      <c r="F1493" s="7">
        <v>45204.0</v>
      </c>
      <c r="H1493" s="11"/>
      <c r="J1493" s="18"/>
      <c r="L1493" s="18"/>
      <c r="M1493" s="23"/>
    </row>
    <row r="1494">
      <c r="A1494" s="10" t="s">
        <v>1398</v>
      </c>
      <c r="B1494" s="17" t="s">
        <v>1399</v>
      </c>
      <c r="C1494" s="4" t="s">
        <v>8</v>
      </c>
      <c r="D1494" s="5" t="s">
        <v>13</v>
      </c>
      <c r="E1494" s="6" t="s">
        <v>1409</v>
      </c>
      <c r="F1494" s="7">
        <v>45215.0</v>
      </c>
      <c r="H1494" s="11"/>
      <c r="J1494" s="18"/>
      <c r="L1494" s="18"/>
      <c r="M1494" s="23"/>
    </row>
    <row r="1495">
      <c r="A1495" s="10" t="s">
        <v>1398</v>
      </c>
      <c r="B1495" s="17" t="s">
        <v>1399</v>
      </c>
      <c r="C1495" s="4" t="s">
        <v>8</v>
      </c>
      <c r="D1495" s="5" t="s">
        <v>23</v>
      </c>
      <c r="E1495" s="6" t="s">
        <v>1293</v>
      </c>
      <c r="F1495" s="7">
        <v>45222.0</v>
      </c>
      <c r="H1495" s="11"/>
      <c r="J1495" s="18"/>
      <c r="L1495" s="18"/>
      <c r="M1495" s="23"/>
    </row>
    <row r="1496">
      <c r="A1496" s="10" t="s">
        <v>1398</v>
      </c>
      <c r="B1496" s="17" t="s">
        <v>1399</v>
      </c>
      <c r="C1496" s="4" t="s">
        <v>3</v>
      </c>
      <c r="D1496" s="5" t="s">
        <v>23</v>
      </c>
      <c r="E1496" s="6" t="s">
        <v>1410</v>
      </c>
      <c r="F1496" s="7">
        <v>45245.0</v>
      </c>
      <c r="H1496" s="11"/>
      <c r="J1496" s="18"/>
      <c r="L1496" s="18"/>
      <c r="M1496" s="23"/>
    </row>
    <row r="1497">
      <c r="A1497" s="10" t="s">
        <v>1398</v>
      </c>
      <c r="B1497" s="17" t="s">
        <v>1399</v>
      </c>
      <c r="C1497" s="4" t="s">
        <v>3</v>
      </c>
      <c r="D1497" s="5" t="s">
        <v>21</v>
      </c>
      <c r="E1497" s="6" t="s">
        <v>1411</v>
      </c>
      <c r="F1497" s="7">
        <v>45254.0</v>
      </c>
      <c r="H1497" s="11"/>
      <c r="J1497" s="18"/>
      <c r="L1497" s="18"/>
      <c r="M1497" s="23"/>
    </row>
    <row r="1498">
      <c r="A1498" s="10" t="s">
        <v>1398</v>
      </c>
      <c r="B1498" s="17" t="s">
        <v>1399</v>
      </c>
      <c r="C1498" s="4" t="s">
        <v>8</v>
      </c>
      <c r="D1498" s="5" t="s">
        <v>71</v>
      </c>
      <c r="E1498" s="6" t="s">
        <v>1412</v>
      </c>
      <c r="F1498" s="7">
        <v>45265.0</v>
      </c>
      <c r="H1498" s="11"/>
      <c r="J1498" s="18"/>
      <c r="L1498" s="18"/>
      <c r="M1498" s="23"/>
    </row>
    <row r="1499">
      <c r="A1499" s="10" t="s">
        <v>1398</v>
      </c>
      <c r="B1499" s="17" t="s">
        <v>1399</v>
      </c>
      <c r="C1499" s="4" t="s">
        <v>8</v>
      </c>
      <c r="D1499" s="5" t="s">
        <v>11</v>
      </c>
      <c r="E1499" s="6" t="s">
        <v>1413</v>
      </c>
      <c r="F1499" s="7">
        <v>45277.0</v>
      </c>
      <c r="H1499" s="11"/>
      <c r="J1499" s="18"/>
      <c r="L1499" s="18"/>
      <c r="M1499" s="23"/>
    </row>
    <row r="1500">
      <c r="A1500" s="10" t="s">
        <v>1398</v>
      </c>
      <c r="B1500" s="17" t="s">
        <v>1399</v>
      </c>
      <c r="C1500" s="4" t="s">
        <v>3</v>
      </c>
      <c r="D1500" s="5" t="s">
        <v>21</v>
      </c>
      <c r="E1500" s="6" t="s">
        <v>1285</v>
      </c>
      <c r="F1500" s="7">
        <v>45278.0</v>
      </c>
      <c r="H1500" s="11"/>
      <c r="J1500" s="18"/>
      <c r="L1500" s="18"/>
      <c r="M1500" s="23"/>
    </row>
    <row r="1501">
      <c r="A1501" s="10" t="s">
        <v>1414</v>
      </c>
      <c r="B1501" s="17" t="s">
        <v>1415</v>
      </c>
      <c r="C1501" s="4" t="s">
        <v>3</v>
      </c>
      <c r="D1501" s="5" t="s">
        <v>96</v>
      </c>
      <c r="E1501" s="6" t="s">
        <v>1217</v>
      </c>
      <c r="F1501" s="7">
        <v>44961.0</v>
      </c>
      <c r="H1501" s="11"/>
      <c r="J1501" s="18"/>
      <c r="L1501" s="18"/>
      <c r="M1501" s="23"/>
    </row>
    <row r="1502">
      <c r="A1502" s="10" t="s">
        <v>1414</v>
      </c>
      <c r="B1502" s="17" t="s">
        <v>1415</v>
      </c>
      <c r="C1502" s="4" t="s">
        <v>3</v>
      </c>
      <c r="D1502" s="5" t="s">
        <v>45</v>
      </c>
      <c r="E1502" s="6" t="s">
        <v>579</v>
      </c>
      <c r="F1502" s="7">
        <v>44965.0</v>
      </c>
      <c r="H1502" s="11"/>
      <c r="J1502" s="18"/>
      <c r="L1502" s="18"/>
      <c r="M1502" s="23"/>
    </row>
    <row r="1503">
      <c r="A1503" s="10" t="s">
        <v>1414</v>
      </c>
      <c r="B1503" s="17" t="s">
        <v>1415</v>
      </c>
      <c r="C1503" s="4" t="s">
        <v>8</v>
      </c>
      <c r="D1503" s="5" t="s">
        <v>13</v>
      </c>
      <c r="E1503" s="6" t="s">
        <v>1416</v>
      </c>
      <c r="F1503" s="7">
        <v>44995.0</v>
      </c>
      <c r="H1503" s="11"/>
      <c r="J1503" s="18"/>
      <c r="L1503" s="18"/>
      <c r="M1503" s="23"/>
    </row>
    <row r="1504">
      <c r="A1504" s="10" t="s">
        <v>1414</v>
      </c>
      <c r="B1504" s="17" t="s">
        <v>1415</v>
      </c>
      <c r="C1504" s="4" t="s">
        <v>8</v>
      </c>
      <c r="D1504" s="5" t="s">
        <v>19</v>
      </c>
      <c r="E1504" s="6" t="s">
        <v>771</v>
      </c>
      <c r="F1504" s="7">
        <v>45003.0</v>
      </c>
      <c r="H1504" s="11"/>
      <c r="J1504" s="18"/>
      <c r="L1504" s="18"/>
      <c r="M1504" s="23"/>
    </row>
    <row r="1505">
      <c r="A1505" s="10" t="s">
        <v>1414</v>
      </c>
      <c r="B1505" s="17" t="s">
        <v>1415</v>
      </c>
      <c r="C1505" s="4" t="s">
        <v>3</v>
      </c>
      <c r="D1505" s="5" t="s">
        <v>17</v>
      </c>
      <c r="E1505" s="6" t="s">
        <v>1417</v>
      </c>
      <c r="F1505" s="7">
        <v>45007.0</v>
      </c>
      <c r="H1505" s="11"/>
      <c r="J1505" s="18"/>
      <c r="L1505" s="18"/>
      <c r="M1505" s="23"/>
    </row>
    <row r="1506">
      <c r="A1506" s="10" t="s">
        <v>1414</v>
      </c>
      <c r="B1506" s="17" t="s">
        <v>1415</v>
      </c>
      <c r="C1506" s="4" t="s">
        <v>3</v>
      </c>
      <c r="D1506" s="5" t="s">
        <v>9</v>
      </c>
      <c r="E1506" s="6" t="s">
        <v>344</v>
      </c>
      <c r="F1506" s="7">
        <v>45044.0</v>
      </c>
      <c r="H1506" s="11"/>
      <c r="J1506" s="18"/>
      <c r="L1506" s="18"/>
      <c r="M1506" s="23"/>
    </row>
    <row r="1507">
      <c r="A1507" s="10" t="s">
        <v>1414</v>
      </c>
      <c r="B1507" s="17" t="s">
        <v>1415</v>
      </c>
      <c r="C1507" s="4" t="s">
        <v>8</v>
      </c>
      <c r="D1507" s="5" t="s">
        <v>4</v>
      </c>
      <c r="E1507" s="6" t="s">
        <v>1418</v>
      </c>
      <c r="F1507" s="7">
        <v>45054.0</v>
      </c>
      <c r="H1507" s="11"/>
      <c r="J1507" s="18"/>
      <c r="L1507" s="18"/>
      <c r="M1507" s="23"/>
    </row>
    <row r="1508">
      <c r="A1508" s="10" t="s">
        <v>1414</v>
      </c>
      <c r="B1508" s="17" t="s">
        <v>1415</v>
      </c>
      <c r="C1508" s="4" t="s">
        <v>8</v>
      </c>
      <c r="D1508" s="5" t="s">
        <v>13</v>
      </c>
      <c r="E1508" s="6" t="s">
        <v>1419</v>
      </c>
      <c r="F1508" s="7">
        <v>45058.0</v>
      </c>
      <c r="H1508" s="11"/>
      <c r="J1508" s="18"/>
      <c r="L1508" s="18"/>
      <c r="M1508" s="23"/>
    </row>
    <row r="1509">
      <c r="A1509" s="10" t="s">
        <v>1414</v>
      </c>
      <c r="B1509" s="17" t="s">
        <v>1415</v>
      </c>
      <c r="C1509" s="4" t="s">
        <v>3</v>
      </c>
      <c r="D1509" s="5" t="s">
        <v>6</v>
      </c>
      <c r="E1509" s="6" t="s">
        <v>1420</v>
      </c>
      <c r="F1509" s="7">
        <v>45078.0</v>
      </c>
      <c r="H1509" s="11"/>
      <c r="J1509" s="18"/>
      <c r="L1509" s="18"/>
      <c r="M1509" s="23"/>
    </row>
    <row r="1510">
      <c r="A1510" s="10" t="s">
        <v>1414</v>
      </c>
      <c r="B1510" s="17" t="s">
        <v>1415</v>
      </c>
      <c r="C1510" s="4" t="s">
        <v>8</v>
      </c>
      <c r="D1510" s="5" t="s">
        <v>76</v>
      </c>
      <c r="E1510" s="6" t="s">
        <v>1421</v>
      </c>
      <c r="F1510" s="7">
        <v>45082.0</v>
      </c>
      <c r="H1510" s="11"/>
      <c r="J1510" s="18"/>
      <c r="L1510" s="18"/>
      <c r="M1510" s="23"/>
    </row>
    <row r="1511">
      <c r="A1511" s="10" t="s">
        <v>1414</v>
      </c>
      <c r="B1511" s="17" t="s">
        <v>1415</v>
      </c>
      <c r="C1511" s="4" t="s">
        <v>8</v>
      </c>
      <c r="D1511" s="5" t="s">
        <v>19</v>
      </c>
      <c r="E1511" s="6" t="s">
        <v>197</v>
      </c>
      <c r="F1511" s="7">
        <v>45090.0</v>
      </c>
      <c r="H1511" s="11"/>
      <c r="J1511" s="18"/>
      <c r="L1511" s="18"/>
      <c r="M1511" s="23"/>
    </row>
    <row r="1512">
      <c r="A1512" s="10" t="s">
        <v>1414</v>
      </c>
      <c r="B1512" s="17" t="s">
        <v>1415</v>
      </c>
      <c r="C1512" s="4" t="s">
        <v>8</v>
      </c>
      <c r="D1512" s="5" t="s">
        <v>71</v>
      </c>
      <c r="E1512" s="6" t="s">
        <v>1422</v>
      </c>
      <c r="F1512" s="7">
        <v>45102.0</v>
      </c>
      <c r="H1512" s="11"/>
      <c r="J1512" s="18"/>
      <c r="L1512" s="18"/>
      <c r="M1512" s="23"/>
    </row>
    <row r="1513">
      <c r="A1513" s="10" t="s">
        <v>1414</v>
      </c>
      <c r="B1513" s="17" t="s">
        <v>1415</v>
      </c>
      <c r="C1513" s="4" t="s">
        <v>8</v>
      </c>
      <c r="D1513" s="5" t="s">
        <v>6</v>
      </c>
      <c r="E1513" s="6" t="s">
        <v>1423</v>
      </c>
      <c r="F1513" s="7">
        <v>45126.0</v>
      </c>
      <c r="H1513" s="11"/>
      <c r="J1513" s="18"/>
      <c r="L1513" s="18"/>
      <c r="M1513" s="23"/>
    </row>
    <row r="1514">
      <c r="A1514" s="10" t="s">
        <v>1414</v>
      </c>
      <c r="B1514" s="17" t="s">
        <v>1415</v>
      </c>
      <c r="C1514" s="4" t="s">
        <v>3</v>
      </c>
      <c r="D1514" s="5" t="s">
        <v>9</v>
      </c>
      <c r="E1514" s="6" t="s">
        <v>344</v>
      </c>
      <c r="F1514" s="7">
        <v>45142.0</v>
      </c>
      <c r="H1514" s="11"/>
      <c r="J1514" s="18"/>
      <c r="L1514" s="18"/>
      <c r="M1514" s="23"/>
    </row>
    <row r="1515">
      <c r="A1515" s="10" t="s">
        <v>1414</v>
      </c>
      <c r="B1515" s="17" t="s">
        <v>1415</v>
      </c>
      <c r="C1515" s="4" t="s">
        <v>8</v>
      </c>
      <c r="D1515" s="5" t="s">
        <v>42</v>
      </c>
      <c r="E1515" s="6" t="s">
        <v>1424</v>
      </c>
      <c r="F1515" s="7">
        <v>45163.0</v>
      </c>
      <c r="H1515" s="11"/>
      <c r="J1515" s="18"/>
      <c r="L1515" s="18"/>
      <c r="M1515" s="23"/>
    </row>
    <row r="1516">
      <c r="A1516" s="10" t="s">
        <v>1414</v>
      </c>
      <c r="B1516" s="17" t="s">
        <v>1415</v>
      </c>
      <c r="C1516" s="4" t="s">
        <v>8</v>
      </c>
      <c r="D1516" s="5" t="s">
        <v>17</v>
      </c>
      <c r="E1516" s="6" t="s">
        <v>734</v>
      </c>
      <c r="F1516" s="7">
        <v>45184.0</v>
      </c>
      <c r="H1516" s="11"/>
      <c r="J1516" s="18"/>
      <c r="L1516" s="18"/>
      <c r="M1516" s="23"/>
    </row>
    <row r="1517">
      <c r="A1517" s="10" t="s">
        <v>1414</v>
      </c>
      <c r="B1517" s="17" t="s">
        <v>1415</v>
      </c>
      <c r="C1517" s="4" t="s">
        <v>8</v>
      </c>
      <c r="D1517" s="5" t="s">
        <v>35</v>
      </c>
      <c r="E1517" s="6" t="s">
        <v>1425</v>
      </c>
      <c r="F1517" s="7">
        <v>45209.0</v>
      </c>
      <c r="H1517" s="11"/>
      <c r="J1517" s="18"/>
      <c r="L1517" s="18"/>
      <c r="M1517" s="23"/>
    </row>
    <row r="1518">
      <c r="A1518" s="10" t="s">
        <v>1414</v>
      </c>
      <c r="B1518" s="17" t="s">
        <v>1415</v>
      </c>
      <c r="C1518" s="4" t="s">
        <v>3</v>
      </c>
      <c r="D1518" s="5" t="s">
        <v>28</v>
      </c>
      <c r="E1518" s="6" t="s">
        <v>1426</v>
      </c>
      <c r="F1518" s="7">
        <v>45272.0</v>
      </c>
      <c r="H1518" s="11"/>
      <c r="J1518" s="18"/>
      <c r="L1518" s="18"/>
      <c r="M1518" s="23"/>
    </row>
    <row r="1519">
      <c r="A1519" s="10" t="s">
        <v>1414</v>
      </c>
      <c r="B1519" s="17" t="s">
        <v>1415</v>
      </c>
      <c r="C1519" s="4" t="s">
        <v>3</v>
      </c>
      <c r="D1519" s="5" t="s">
        <v>9</v>
      </c>
      <c r="E1519" s="6" t="s">
        <v>1427</v>
      </c>
      <c r="F1519" s="7">
        <v>45276.0</v>
      </c>
      <c r="H1519" s="11"/>
      <c r="J1519" s="18"/>
      <c r="L1519" s="18"/>
      <c r="M1519" s="23"/>
    </row>
    <row r="1520">
      <c r="A1520" s="10" t="s">
        <v>1414</v>
      </c>
      <c r="B1520" s="17" t="s">
        <v>1415</v>
      </c>
      <c r="C1520" s="4" t="s">
        <v>3</v>
      </c>
      <c r="D1520" s="5" t="s">
        <v>13</v>
      </c>
      <c r="E1520" s="6" t="s">
        <v>30</v>
      </c>
      <c r="F1520" s="7">
        <v>45283.0</v>
      </c>
      <c r="H1520" s="11"/>
      <c r="J1520" s="18"/>
      <c r="L1520" s="18"/>
      <c r="M1520" s="23"/>
    </row>
    <row r="1521">
      <c r="A1521" s="10" t="s">
        <v>632</v>
      </c>
      <c r="B1521" s="17" t="s">
        <v>1428</v>
      </c>
      <c r="C1521" s="4" t="s">
        <v>3</v>
      </c>
      <c r="D1521" s="5" t="s">
        <v>96</v>
      </c>
      <c r="E1521" s="6" t="s">
        <v>822</v>
      </c>
      <c r="F1521" s="7">
        <v>44943.0</v>
      </c>
      <c r="H1521" s="11"/>
      <c r="J1521" s="18"/>
      <c r="L1521" s="18"/>
      <c r="M1521" s="23"/>
    </row>
    <row r="1522">
      <c r="A1522" s="10" t="s">
        <v>632</v>
      </c>
      <c r="B1522" s="17" t="s">
        <v>1428</v>
      </c>
      <c r="C1522" s="4" t="s">
        <v>8</v>
      </c>
      <c r="D1522" s="5" t="s">
        <v>21</v>
      </c>
      <c r="E1522" s="6" t="s">
        <v>1429</v>
      </c>
      <c r="F1522" s="7">
        <v>44968.0</v>
      </c>
      <c r="H1522" s="11"/>
      <c r="J1522" s="18"/>
      <c r="L1522" s="18"/>
      <c r="M1522" s="23"/>
    </row>
    <row r="1523">
      <c r="A1523" s="10" t="s">
        <v>632</v>
      </c>
      <c r="B1523" s="17" t="s">
        <v>1428</v>
      </c>
      <c r="C1523" s="4" t="s">
        <v>8</v>
      </c>
      <c r="D1523" s="5" t="s">
        <v>6</v>
      </c>
      <c r="E1523" s="6" t="s">
        <v>1430</v>
      </c>
      <c r="F1523" s="7">
        <v>44975.0</v>
      </c>
      <c r="H1523" s="11"/>
      <c r="J1523" s="18"/>
      <c r="L1523" s="18"/>
      <c r="M1523" s="23"/>
    </row>
    <row r="1524">
      <c r="A1524" s="10" t="s">
        <v>632</v>
      </c>
      <c r="B1524" s="17" t="s">
        <v>1428</v>
      </c>
      <c r="C1524" s="4" t="s">
        <v>3</v>
      </c>
      <c r="D1524" s="5" t="s">
        <v>21</v>
      </c>
      <c r="E1524" s="6" t="s">
        <v>1057</v>
      </c>
      <c r="F1524" s="7">
        <v>44986.0</v>
      </c>
      <c r="H1524" s="11"/>
      <c r="J1524" s="18"/>
      <c r="L1524" s="18"/>
      <c r="M1524" s="23"/>
    </row>
    <row r="1525">
      <c r="A1525" s="10" t="s">
        <v>632</v>
      </c>
      <c r="B1525" s="17" t="s">
        <v>1428</v>
      </c>
      <c r="C1525" s="4" t="s">
        <v>3</v>
      </c>
      <c r="D1525" s="5" t="s">
        <v>120</v>
      </c>
      <c r="E1525" s="6" t="s">
        <v>1431</v>
      </c>
      <c r="F1525" s="7">
        <v>45037.0</v>
      </c>
      <c r="H1525" s="11"/>
      <c r="J1525" s="18"/>
      <c r="L1525" s="18"/>
      <c r="M1525" s="23"/>
    </row>
    <row r="1526">
      <c r="A1526" s="10" t="s">
        <v>632</v>
      </c>
      <c r="B1526" s="17" t="s">
        <v>1428</v>
      </c>
      <c r="C1526" s="4" t="s">
        <v>3</v>
      </c>
      <c r="D1526" s="5" t="s">
        <v>76</v>
      </c>
      <c r="E1526" s="6" t="s">
        <v>1412</v>
      </c>
      <c r="F1526" s="7">
        <v>45060.0</v>
      </c>
      <c r="H1526" s="11"/>
      <c r="J1526" s="18"/>
      <c r="L1526" s="18"/>
      <c r="M1526" s="23"/>
    </row>
    <row r="1527">
      <c r="A1527" s="10" t="s">
        <v>632</v>
      </c>
      <c r="B1527" s="17" t="s">
        <v>1428</v>
      </c>
      <c r="C1527" s="4" t="s">
        <v>3</v>
      </c>
      <c r="D1527" s="5" t="s">
        <v>23</v>
      </c>
      <c r="E1527" s="6" t="s">
        <v>1432</v>
      </c>
      <c r="F1527" s="7">
        <v>45109.0</v>
      </c>
      <c r="H1527" s="11"/>
      <c r="J1527" s="18"/>
      <c r="L1527" s="18"/>
      <c r="M1527" s="23"/>
    </row>
    <row r="1528">
      <c r="A1528" s="10" t="s">
        <v>632</v>
      </c>
      <c r="B1528" s="17" t="s">
        <v>1428</v>
      </c>
      <c r="C1528" s="4" t="s">
        <v>3</v>
      </c>
      <c r="D1528" s="5" t="s">
        <v>11</v>
      </c>
      <c r="E1528" s="6" t="s">
        <v>1433</v>
      </c>
      <c r="F1528" s="7">
        <v>45134.0</v>
      </c>
      <c r="H1528" s="11"/>
      <c r="J1528" s="18"/>
      <c r="L1528" s="18"/>
      <c r="M1528" s="23"/>
    </row>
    <row r="1529">
      <c r="A1529" s="10" t="s">
        <v>632</v>
      </c>
      <c r="B1529" s="17" t="s">
        <v>1428</v>
      </c>
      <c r="C1529" s="4" t="s">
        <v>3</v>
      </c>
      <c r="D1529" s="5" t="s">
        <v>13</v>
      </c>
      <c r="E1529" s="6" t="s">
        <v>1434</v>
      </c>
      <c r="F1529" s="7">
        <v>45153.0</v>
      </c>
      <c r="H1529" s="11"/>
      <c r="J1529" s="18"/>
      <c r="L1529" s="18"/>
      <c r="M1529" s="23"/>
    </row>
    <row r="1530">
      <c r="A1530" s="10" t="s">
        <v>632</v>
      </c>
      <c r="B1530" s="17" t="s">
        <v>1428</v>
      </c>
      <c r="C1530" s="4" t="s">
        <v>3</v>
      </c>
      <c r="D1530" s="5" t="s">
        <v>51</v>
      </c>
      <c r="E1530" s="6" t="s">
        <v>1435</v>
      </c>
      <c r="F1530" s="7">
        <v>45175.0</v>
      </c>
      <c r="H1530" s="11"/>
      <c r="J1530" s="18"/>
      <c r="L1530" s="18"/>
      <c r="M1530" s="23"/>
    </row>
    <row r="1531">
      <c r="A1531" s="10" t="s">
        <v>632</v>
      </c>
      <c r="B1531" s="17" t="s">
        <v>1428</v>
      </c>
      <c r="C1531" s="4" t="s">
        <v>3</v>
      </c>
      <c r="D1531" s="5" t="s">
        <v>11</v>
      </c>
      <c r="E1531" s="6" t="s">
        <v>1436</v>
      </c>
      <c r="F1531" s="7">
        <v>45187.0</v>
      </c>
      <c r="H1531" s="11"/>
      <c r="J1531" s="18"/>
      <c r="L1531" s="18"/>
      <c r="M1531" s="23"/>
    </row>
    <row r="1532">
      <c r="A1532" s="10" t="s">
        <v>632</v>
      </c>
      <c r="B1532" s="17" t="s">
        <v>1428</v>
      </c>
      <c r="C1532" s="4" t="s">
        <v>3</v>
      </c>
      <c r="D1532" s="5" t="s">
        <v>76</v>
      </c>
      <c r="E1532" s="6" t="s">
        <v>1437</v>
      </c>
      <c r="F1532" s="7">
        <v>45195.0</v>
      </c>
      <c r="H1532" s="11"/>
      <c r="J1532" s="18"/>
      <c r="L1532" s="18"/>
      <c r="M1532" s="23"/>
    </row>
    <row r="1533">
      <c r="A1533" s="10" t="s">
        <v>632</v>
      </c>
      <c r="B1533" s="17" t="s">
        <v>1428</v>
      </c>
      <c r="C1533" s="4" t="s">
        <v>8</v>
      </c>
      <c r="D1533" s="5" t="s">
        <v>15</v>
      </c>
      <c r="E1533" s="6" t="s">
        <v>1438</v>
      </c>
      <c r="F1533" s="7">
        <v>45208.0</v>
      </c>
      <c r="H1533" s="11"/>
      <c r="J1533" s="18"/>
      <c r="L1533" s="18"/>
      <c r="M1533" s="23"/>
    </row>
    <row r="1534">
      <c r="A1534" s="10" t="s">
        <v>632</v>
      </c>
      <c r="B1534" s="17" t="s">
        <v>1428</v>
      </c>
      <c r="C1534" s="4" t="s">
        <v>8</v>
      </c>
      <c r="D1534" s="5" t="s">
        <v>120</v>
      </c>
      <c r="E1534" s="6" t="s">
        <v>695</v>
      </c>
      <c r="F1534" s="7">
        <v>45209.0</v>
      </c>
      <c r="H1534" s="11"/>
      <c r="J1534" s="18"/>
      <c r="L1534" s="18"/>
      <c r="M1534" s="23"/>
    </row>
    <row r="1535">
      <c r="A1535" s="10" t="s">
        <v>632</v>
      </c>
      <c r="B1535" s="17" t="s">
        <v>1428</v>
      </c>
      <c r="C1535" s="4" t="s">
        <v>3</v>
      </c>
      <c r="D1535" s="5" t="s">
        <v>96</v>
      </c>
      <c r="E1535" s="6" t="s">
        <v>1439</v>
      </c>
      <c r="F1535" s="7">
        <v>45217.0</v>
      </c>
      <c r="H1535" s="11"/>
      <c r="J1535" s="18"/>
      <c r="L1535" s="18"/>
      <c r="M1535" s="23"/>
    </row>
    <row r="1536">
      <c r="A1536" s="10" t="s">
        <v>632</v>
      </c>
      <c r="B1536" s="17" t="s">
        <v>1428</v>
      </c>
      <c r="C1536" s="4" t="s">
        <v>8</v>
      </c>
      <c r="D1536" s="5" t="s">
        <v>15</v>
      </c>
      <c r="E1536" s="6" t="s">
        <v>1440</v>
      </c>
      <c r="F1536" s="7">
        <v>45223.0</v>
      </c>
      <c r="H1536" s="11"/>
      <c r="J1536" s="18"/>
      <c r="L1536" s="18"/>
      <c r="M1536" s="23"/>
    </row>
    <row r="1537">
      <c r="A1537" s="10" t="s">
        <v>632</v>
      </c>
      <c r="B1537" s="17" t="s">
        <v>1428</v>
      </c>
      <c r="C1537" s="4" t="s">
        <v>8</v>
      </c>
      <c r="D1537" s="5" t="s">
        <v>6</v>
      </c>
      <c r="E1537" s="6" t="s">
        <v>1441</v>
      </c>
      <c r="F1537" s="7">
        <v>45241.0</v>
      </c>
      <c r="H1537" s="11"/>
      <c r="J1537" s="18"/>
      <c r="L1537" s="18"/>
      <c r="M1537" s="23"/>
    </row>
    <row r="1538">
      <c r="A1538" s="10" t="s">
        <v>632</v>
      </c>
      <c r="B1538" s="17" t="s">
        <v>1428</v>
      </c>
      <c r="C1538" s="4" t="s">
        <v>8</v>
      </c>
      <c r="D1538" s="5" t="s">
        <v>9</v>
      </c>
      <c r="E1538" s="6" t="s">
        <v>1442</v>
      </c>
      <c r="F1538" s="7">
        <v>45252.0</v>
      </c>
      <c r="H1538" s="11"/>
      <c r="J1538" s="18"/>
      <c r="L1538" s="18"/>
      <c r="M1538" s="23"/>
    </row>
    <row r="1539">
      <c r="A1539" s="10" t="s">
        <v>632</v>
      </c>
      <c r="B1539" s="17" t="s">
        <v>1428</v>
      </c>
      <c r="C1539" s="4" t="s">
        <v>8</v>
      </c>
      <c r="D1539" s="5" t="s">
        <v>76</v>
      </c>
      <c r="E1539" s="6" t="s">
        <v>1304</v>
      </c>
      <c r="F1539" s="7">
        <v>45258.0</v>
      </c>
      <c r="H1539" s="11"/>
      <c r="J1539" s="18"/>
      <c r="L1539" s="18"/>
      <c r="M1539" s="23"/>
    </row>
    <row r="1540">
      <c r="A1540" s="10" t="s">
        <v>632</v>
      </c>
      <c r="B1540" s="17" t="s">
        <v>1428</v>
      </c>
      <c r="C1540" s="4" t="s">
        <v>3</v>
      </c>
      <c r="D1540" s="5" t="s">
        <v>9</v>
      </c>
      <c r="E1540" s="6" t="s">
        <v>1207</v>
      </c>
      <c r="F1540" s="7">
        <v>45280.0</v>
      </c>
      <c r="H1540" s="11"/>
      <c r="J1540" s="18"/>
      <c r="L1540" s="18"/>
      <c r="M1540" s="23"/>
    </row>
    <row r="1541">
      <c r="A1541" s="10" t="s">
        <v>1443</v>
      </c>
      <c r="B1541" s="17" t="s">
        <v>1444</v>
      </c>
      <c r="C1541" s="4" t="s">
        <v>3</v>
      </c>
      <c r="D1541" s="5" t="s">
        <v>6</v>
      </c>
      <c r="E1541" s="6" t="s">
        <v>1035</v>
      </c>
      <c r="F1541" s="7">
        <v>44927.0</v>
      </c>
      <c r="H1541" s="11"/>
      <c r="J1541" s="18"/>
      <c r="L1541" s="18"/>
      <c r="M1541" s="23"/>
    </row>
    <row r="1542">
      <c r="A1542" s="10" t="s">
        <v>1443</v>
      </c>
      <c r="B1542" s="17" t="s">
        <v>1444</v>
      </c>
      <c r="C1542" s="4" t="s">
        <v>8</v>
      </c>
      <c r="D1542" s="5" t="s">
        <v>23</v>
      </c>
      <c r="E1542" s="6" t="s">
        <v>1445</v>
      </c>
      <c r="F1542" s="7">
        <v>44934.0</v>
      </c>
      <c r="H1542" s="11"/>
      <c r="J1542" s="18"/>
      <c r="L1542" s="18"/>
      <c r="M1542" s="23"/>
    </row>
    <row r="1543">
      <c r="A1543" s="10" t="s">
        <v>1443</v>
      </c>
      <c r="B1543" s="17" t="s">
        <v>1444</v>
      </c>
      <c r="C1543" s="4" t="s">
        <v>8</v>
      </c>
      <c r="D1543" s="5" t="s">
        <v>35</v>
      </c>
      <c r="E1543" s="6" t="s">
        <v>1446</v>
      </c>
      <c r="F1543" s="7">
        <v>44980.0</v>
      </c>
      <c r="H1543" s="11"/>
      <c r="J1543" s="18"/>
      <c r="L1543" s="18"/>
      <c r="M1543" s="23"/>
    </row>
    <row r="1544">
      <c r="A1544" s="10" t="s">
        <v>1443</v>
      </c>
      <c r="B1544" s="17" t="s">
        <v>1444</v>
      </c>
      <c r="C1544" s="4" t="s">
        <v>8</v>
      </c>
      <c r="D1544" s="5" t="s">
        <v>9</v>
      </c>
      <c r="E1544" s="6" t="s">
        <v>772</v>
      </c>
      <c r="F1544" s="7">
        <v>44993.0</v>
      </c>
      <c r="H1544" s="11"/>
      <c r="J1544" s="18"/>
      <c r="L1544" s="18"/>
      <c r="M1544" s="23"/>
    </row>
    <row r="1545">
      <c r="A1545" s="10" t="s">
        <v>1443</v>
      </c>
      <c r="B1545" s="17" t="s">
        <v>1444</v>
      </c>
      <c r="C1545" s="4" t="s">
        <v>3</v>
      </c>
      <c r="D1545" s="5" t="s">
        <v>13</v>
      </c>
      <c r="E1545" s="6" t="s">
        <v>1447</v>
      </c>
      <c r="F1545" s="7">
        <v>45002.0</v>
      </c>
      <c r="H1545" s="11"/>
      <c r="J1545" s="18"/>
      <c r="L1545" s="18"/>
      <c r="M1545" s="23"/>
    </row>
    <row r="1546">
      <c r="A1546" s="10" t="s">
        <v>1443</v>
      </c>
      <c r="B1546" s="17" t="s">
        <v>1444</v>
      </c>
      <c r="C1546" s="4" t="s">
        <v>3</v>
      </c>
      <c r="D1546" s="5" t="s">
        <v>6</v>
      </c>
      <c r="E1546" s="6" t="s">
        <v>1448</v>
      </c>
      <c r="F1546" s="7">
        <v>45019.0</v>
      </c>
      <c r="H1546" s="11"/>
      <c r="J1546" s="18"/>
      <c r="L1546" s="18"/>
      <c r="M1546" s="23"/>
    </row>
    <row r="1547">
      <c r="A1547" s="10" t="s">
        <v>1443</v>
      </c>
      <c r="B1547" s="17" t="s">
        <v>1444</v>
      </c>
      <c r="C1547" s="4" t="s">
        <v>3</v>
      </c>
      <c r="D1547" s="5" t="s">
        <v>96</v>
      </c>
      <c r="E1547" s="6" t="s">
        <v>758</v>
      </c>
      <c r="F1547" s="7">
        <v>45043.0</v>
      </c>
      <c r="H1547" s="11"/>
      <c r="J1547" s="18"/>
      <c r="L1547" s="18"/>
      <c r="M1547" s="23"/>
    </row>
    <row r="1548">
      <c r="A1548" s="10" t="s">
        <v>1443</v>
      </c>
      <c r="B1548" s="17" t="s">
        <v>1444</v>
      </c>
      <c r="C1548" s="4" t="s">
        <v>3</v>
      </c>
      <c r="D1548" s="5" t="s">
        <v>19</v>
      </c>
      <c r="E1548" s="6" t="s">
        <v>1025</v>
      </c>
      <c r="F1548" s="7">
        <v>45051.0</v>
      </c>
      <c r="H1548" s="11"/>
      <c r="J1548" s="18"/>
      <c r="L1548" s="18"/>
      <c r="M1548" s="23"/>
    </row>
    <row r="1549">
      <c r="A1549" s="10" t="s">
        <v>1443</v>
      </c>
      <c r="B1549" s="17" t="s">
        <v>1444</v>
      </c>
      <c r="C1549" s="4" t="s">
        <v>8</v>
      </c>
      <c r="D1549" s="5" t="s">
        <v>96</v>
      </c>
      <c r="E1549" s="6" t="s">
        <v>296</v>
      </c>
      <c r="F1549" s="7">
        <v>45102.0</v>
      </c>
      <c r="H1549" s="11"/>
      <c r="J1549" s="18"/>
      <c r="L1549" s="18"/>
      <c r="M1549" s="23"/>
    </row>
    <row r="1550">
      <c r="A1550" s="10" t="s">
        <v>1443</v>
      </c>
      <c r="B1550" s="17" t="s">
        <v>1444</v>
      </c>
      <c r="C1550" s="4" t="s">
        <v>3</v>
      </c>
      <c r="D1550" s="5" t="s">
        <v>39</v>
      </c>
      <c r="E1550" s="6" t="s">
        <v>1449</v>
      </c>
      <c r="F1550" s="7">
        <v>45111.0</v>
      </c>
      <c r="H1550" s="11"/>
      <c r="J1550" s="18"/>
      <c r="L1550" s="18"/>
      <c r="M1550" s="23"/>
    </row>
    <row r="1551">
      <c r="A1551" s="10" t="s">
        <v>1443</v>
      </c>
      <c r="B1551" s="17" t="s">
        <v>1444</v>
      </c>
      <c r="C1551" s="4" t="s">
        <v>3</v>
      </c>
      <c r="D1551" s="5" t="s">
        <v>51</v>
      </c>
      <c r="E1551" s="6" t="s">
        <v>255</v>
      </c>
      <c r="F1551" s="7">
        <v>45123.0</v>
      </c>
      <c r="H1551" s="11"/>
      <c r="J1551" s="18"/>
      <c r="L1551" s="18"/>
      <c r="M1551" s="23"/>
    </row>
    <row r="1552">
      <c r="A1552" s="10" t="s">
        <v>1443</v>
      </c>
      <c r="B1552" s="17" t="s">
        <v>1444</v>
      </c>
      <c r="C1552" s="4" t="s">
        <v>8</v>
      </c>
      <c r="D1552" s="5" t="s">
        <v>21</v>
      </c>
      <c r="E1552" s="6" t="s">
        <v>197</v>
      </c>
      <c r="F1552" s="7">
        <v>45189.0</v>
      </c>
      <c r="H1552" s="11"/>
      <c r="J1552" s="18"/>
      <c r="L1552" s="18"/>
      <c r="M1552" s="23"/>
    </row>
    <row r="1553">
      <c r="A1553" s="10" t="s">
        <v>1443</v>
      </c>
      <c r="B1553" s="17" t="s">
        <v>1444</v>
      </c>
      <c r="C1553" s="4" t="s">
        <v>3</v>
      </c>
      <c r="D1553" s="5" t="s">
        <v>39</v>
      </c>
      <c r="E1553" s="6" t="s">
        <v>1377</v>
      </c>
      <c r="F1553" s="7">
        <v>45202.0</v>
      </c>
      <c r="H1553" s="11"/>
      <c r="J1553" s="18"/>
      <c r="L1553" s="18"/>
      <c r="M1553" s="23"/>
    </row>
    <row r="1554">
      <c r="A1554" s="10" t="s">
        <v>1443</v>
      </c>
      <c r="B1554" s="17" t="s">
        <v>1444</v>
      </c>
      <c r="C1554" s="4" t="s">
        <v>8</v>
      </c>
      <c r="D1554" s="5" t="s">
        <v>96</v>
      </c>
      <c r="E1554" s="6" t="s">
        <v>1450</v>
      </c>
      <c r="F1554" s="7">
        <v>45215.0</v>
      </c>
      <c r="H1554" s="11"/>
      <c r="J1554" s="18"/>
      <c r="L1554" s="18"/>
      <c r="M1554" s="23"/>
    </row>
    <row r="1555">
      <c r="A1555" s="10" t="s">
        <v>1443</v>
      </c>
      <c r="B1555" s="17" t="s">
        <v>1444</v>
      </c>
      <c r="C1555" s="4" t="s">
        <v>8</v>
      </c>
      <c r="D1555" s="5" t="s">
        <v>42</v>
      </c>
      <c r="E1555" s="6" t="s">
        <v>1045</v>
      </c>
      <c r="F1555" s="7">
        <v>45222.0</v>
      </c>
      <c r="H1555" s="11"/>
      <c r="J1555" s="18"/>
      <c r="L1555" s="18"/>
      <c r="M1555" s="23"/>
    </row>
    <row r="1556">
      <c r="A1556" s="10" t="s">
        <v>1443</v>
      </c>
      <c r="B1556" s="17" t="s">
        <v>1444</v>
      </c>
      <c r="C1556" s="4" t="s">
        <v>8</v>
      </c>
      <c r="D1556" s="5" t="s">
        <v>15</v>
      </c>
      <c r="E1556" s="6" t="s">
        <v>1451</v>
      </c>
      <c r="F1556" s="7">
        <v>45256.0</v>
      </c>
      <c r="H1556" s="11"/>
      <c r="J1556" s="18"/>
      <c r="L1556" s="18"/>
      <c r="M1556" s="23"/>
    </row>
    <row r="1557">
      <c r="A1557" s="10" t="s">
        <v>1443</v>
      </c>
      <c r="B1557" s="17" t="s">
        <v>1444</v>
      </c>
      <c r="C1557" s="4" t="s">
        <v>8</v>
      </c>
      <c r="D1557" s="5" t="s">
        <v>96</v>
      </c>
      <c r="E1557" s="6" t="s">
        <v>255</v>
      </c>
      <c r="F1557" s="7">
        <v>45270.0</v>
      </c>
      <c r="H1557" s="11"/>
      <c r="J1557" s="18"/>
      <c r="L1557" s="18"/>
      <c r="M1557" s="23"/>
    </row>
    <row r="1558">
      <c r="A1558" s="10" t="s">
        <v>1443</v>
      </c>
      <c r="B1558" s="17" t="s">
        <v>1444</v>
      </c>
      <c r="C1558" s="4" t="s">
        <v>8</v>
      </c>
      <c r="D1558" s="5" t="s">
        <v>21</v>
      </c>
      <c r="E1558" s="6" t="s">
        <v>793</v>
      </c>
      <c r="F1558" s="7">
        <v>45271.0</v>
      </c>
      <c r="H1558" s="11"/>
      <c r="J1558" s="18"/>
      <c r="L1558" s="18"/>
      <c r="M1558" s="23"/>
    </row>
    <row r="1559">
      <c r="A1559" s="10" t="s">
        <v>1443</v>
      </c>
      <c r="B1559" s="17" t="s">
        <v>1444</v>
      </c>
      <c r="C1559" s="4" t="s">
        <v>8</v>
      </c>
      <c r="D1559" s="5" t="s">
        <v>15</v>
      </c>
      <c r="E1559" s="6" t="s">
        <v>548</v>
      </c>
      <c r="F1559" s="7">
        <v>45272.0</v>
      </c>
      <c r="H1559" s="11"/>
      <c r="J1559" s="18"/>
      <c r="L1559" s="18"/>
      <c r="M1559" s="23"/>
    </row>
    <row r="1560">
      <c r="A1560" s="10" t="s">
        <v>1443</v>
      </c>
      <c r="B1560" s="17" t="s">
        <v>1444</v>
      </c>
      <c r="C1560" s="4" t="s">
        <v>8</v>
      </c>
      <c r="D1560" s="5" t="s">
        <v>15</v>
      </c>
      <c r="E1560" s="6" t="s">
        <v>1452</v>
      </c>
      <c r="F1560" s="7">
        <v>45281.0</v>
      </c>
      <c r="H1560" s="11"/>
      <c r="J1560" s="18"/>
      <c r="L1560" s="18"/>
      <c r="M1560" s="23"/>
    </row>
    <row r="1561">
      <c r="A1561" s="10" t="s">
        <v>1453</v>
      </c>
      <c r="B1561" s="17" t="s">
        <v>1454</v>
      </c>
      <c r="C1561" s="4" t="s">
        <v>8</v>
      </c>
      <c r="D1561" s="5" t="s">
        <v>39</v>
      </c>
      <c r="E1561" s="6" t="s">
        <v>1455</v>
      </c>
      <c r="F1561" s="7">
        <v>44932.0</v>
      </c>
      <c r="H1561" s="11"/>
      <c r="J1561" s="18"/>
      <c r="L1561" s="18"/>
      <c r="M1561" s="23"/>
    </row>
    <row r="1562">
      <c r="A1562" s="10" t="s">
        <v>1453</v>
      </c>
      <c r="B1562" s="17" t="s">
        <v>1454</v>
      </c>
      <c r="C1562" s="4" t="s">
        <v>3</v>
      </c>
      <c r="D1562" s="5" t="s">
        <v>76</v>
      </c>
      <c r="E1562" s="6" t="s">
        <v>1456</v>
      </c>
      <c r="F1562" s="7">
        <v>44938.0</v>
      </c>
      <c r="H1562" s="11"/>
      <c r="J1562" s="18"/>
      <c r="L1562" s="18"/>
      <c r="M1562" s="23"/>
    </row>
    <row r="1563">
      <c r="A1563" s="10" t="s">
        <v>1453</v>
      </c>
      <c r="B1563" s="17" t="s">
        <v>1454</v>
      </c>
      <c r="C1563" s="4" t="s">
        <v>8</v>
      </c>
      <c r="D1563" s="5" t="s">
        <v>4</v>
      </c>
      <c r="E1563" s="6" t="s">
        <v>1457</v>
      </c>
      <c r="F1563" s="7">
        <v>44963.0</v>
      </c>
      <c r="H1563" s="11"/>
      <c r="J1563" s="18"/>
      <c r="L1563" s="18"/>
      <c r="M1563" s="23"/>
    </row>
    <row r="1564">
      <c r="A1564" s="10" t="s">
        <v>1453</v>
      </c>
      <c r="B1564" s="17" t="s">
        <v>1454</v>
      </c>
      <c r="C1564" s="4" t="s">
        <v>8</v>
      </c>
      <c r="D1564" s="5" t="s">
        <v>42</v>
      </c>
      <c r="E1564" s="6" t="s">
        <v>208</v>
      </c>
      <c r="F1564" s="7">
        <v>44990.0</v>
      </c>
      <c r="H1564" s="11"/>
      <c r="J1564" s="18"/>
      <c r="L1564" s="18"/>
      <c r="M1564" s="23"/>
    </row>
    <row r="1565">
      <c r="A1565" s="10" t="s">
        <v>1453</v>
      </c>
      <c r="B1565" s="17" t="s">
        <v>1454</v>
      </c>
      <c r="C1565" s="4" t="s">
        <v>8</v>
      </c>
      <c r="D1565" s="5" t="s">
        <v>28</v>
      </c>
      <c r="E1565" s="6" t="s">
        <v>1458</v>
      </c>
      <c r="F1565" s="7">
        <v>45038.0</v>
      </c>
      <c r="H1565" s="11"/>
      <c r="J1565" s="18"/>
      <c r="L1565" s="18"/>
      <c r="M1565" s="23"/>
    </row>
    <row r="1566">
      <c r="A1566" s="10" t="s">
        <v>1453</v>
      </c>
      <c r="B1566" s="17" t="s">
        <v>1454</v>
      </c>
      <c r="C1566" s="4" t="s">
        <v>8</v>
      </c>
      <c r="D1566" s="5" t="s">
        <v>19</v>
      </c>
      <c r="E1566" s="6" t="s">
        <v>1160</v>
      </c>
      <c r="F1566" s="7">
        <v>45043.0</v>
      </c>
      <c r="H1566" s="11"/>
      <c r="J1566" s="18"/>
      <c r="L1566" s="18"/>
      <c r="M1566" s="23"/>
    </row>
    <row r="1567">
      <c r="A1567" s="10" t="s">
        <v>1453</v>
      </c>
      <c r="B1567" s="17" t="s">
        <v>1454</v>
      </c>
      <c r="C1567" s="4" t="s">
        <v>8</v>
      </c>
      <c r="D1567" s="5" t="s">
        <v>96</v>
      </c>
      <c r="E1567" s="6" t="s">
        <v>160</v>
      </c>
      <c r="F1567" s="7">
        <v>45071.0</v>
      </c>
      <c r="H1567" s="11"/>
      <c r="J1567" s="18"/>
      <c r="L1567" s="18"/>
      <c r="M1567" s="23"/>
    </row>
    <row r="1568">
      <c r="A1568" s="10" t="s">
        <v>1453</v>
      </c>
      <c r="B1568" s="17" t="s">
        <v>1454</v>
      </c>
      <c r="C1568" s="4" t="s">
        <v>3</v>
      </c>
      <c r="D1568" s="5" t="s">
        <v>17</v>
      </c>
      <c r="E1568" s="6" t="s">
        <v>1459</v>
      </c>
      <c r="F1568" s="7">
        <v>45099.0</v>
      </c>
      <c r="H1568" s="11"/>
      <c r="J1568" s="18"/>
      <c r="L1568" s="18"/>
      <c r="M1568" s="23"/>
    </row>
    <row r="1569">
      <c r="A1569" s="10" t="s">
        <v>1453</v>
      </c>
      <c r="B1569" s="17" t="s">
        <v>1454</v>
      </c>
      <c r="C1569" s="4" t="s">
        <v>8</v>
      </c>
      <c r="D1569" s="5" t="s">
        <v>120</v>
      </c>
      <c r="E1569" s="6" t="s">
        <v>1460</v>
      </c>
      <c r="F1569" s="7">
        <v>45119.0</v>
      </c>
      <c r="H1569" s="11"/>
      <c r="J1569" s="18"/>
      <c r="L1569" s="18"/>
      <c r="M1569" s="23"/>
    </row>
    <row r="1570">
      <c r="A1570" s="10" t="s">
        <v>1453</v>
      </c>
      <c r="B1570" s="17" t="s">
        <v>1454</v>
      </c>
      <c r="C1570" s="4" t="s">
        <v>8</v>
      </c>
      <c r="D1570" s="5" t="s">
        <v>11</v>
      </c>
      <c r="E1570" s="6" t="s">
        <v>1461</v>
      </c>
      <c r="F1570" s="7">
        <v>45119.0</v>
      </c>
      <c r="H1570" s="11"/>
      <c r="J1570" s="18"/>
      <c r="L1570" s="18"/>
      <c r="M1570" s="23"/>
    </row>
    <row r="1571">
      <c r="A1571" s="10" t="s">
        <v>1453</v>
      </c>
      <c r="B1571" s="17" t="s">
        <v>1454</v>
      </c>
      <c r="C1571" s="4" t="s">
        <v>3</v>
      </c>
      <c r="D1571" s="5" t="s">
        <v>71</v>
      </c>
      <c r="E1571" s="6" t="s">
        <v>1462</v>
      </c>
      <c r="F1571" s="7">
        <v>45148.0</v>
      </c>
      <c r="H1571" s="11"/>
      <c r="J1571" s="18"/>
      <c r="L1571" s="18"/>
      <c r="M1571" s="23"/>
    </row>
    <row r="1572">
      <c r="A1572" s="10" t="s">
        <v>1453</v>
      </c>
      <c r="B1572" s="17" t="s">
        <v>1454</v>
      </c>
      <c r="C1572" s="4" t="s">
        <v>3</v>
      </c>
      <c r="D1572" s="5" t="s">
        <v>42</v>
      </c>
      <c r="E1572" s="6" t="s">
        <v>439</v>
      </c>
      <c r="F1572" s="7">
        <v>45149.0</v>
      </c>
      <c r="H1572" s="11"/>
      <c r="J1572" s="18"/>
      <c r="L1572" s="18"/>
      <c r="M1572" s="23"/>
    </row>
    <row r="1573">
      <c r="A1573" s="10" t="s">
        <v>1453</v>
      </c>
      <c r="B1573" s="17" t="s">
        <v>1454</v>
      </c>
      <c r="C1573" s="4" t="s">
        <v>3</v>
      </c>
      <c r="D1573" s="5" t="s">
        <v>21</v>
      </c>
      <c r="E1573" s="6" t="s">
        <v>1436</v>
      </c>
      <c r="F1573" s="7">
        <v>45151.0</v>
      </c>
      <c r="H1573" s="11"/>
      <c r="J1573" s="18"/>
      <c r="L1573" s="18"/>
      <c r="M1573" s="23"/>
    </row>
    <row r="1574">
      <c r="A1574" s="10" t="s">
        <v>1453</v>
      </c>
      <c r="B1574" s="17" t="s">
        <v>1454</v>
      </c>
      <c r="C1574" s="4" t="s">
        <v>8</v>
      </c>
      <c r="D1574" s="5" t="s">
        <v>17</v>
      </c>
      <c r="E1574" s="6" t="s">
        <v>1463</v>
      </c>
      <c r="F1574" s="7">
        <v>45152.0</v>
      </c>
      <c r="H1574" s="11"/>
      <c r="J1574" s="18"/>
      <c r="L1574" s="18"/>
      <c r="M1574" s="23"/>
    </row>
    <row r="1575">
      <c r="A1575" s="10" t="s">
        <v>1453</v>
      </c>
      <c r="B1575" s="17" t="s">
        <v>1454</v>
      </c>
      <c r="C1575" s="4" t="s">
        <v>8</v>
      </c>
      <c r="D1575" s="5" t="s">
        <v>23</v>
      </c>
      <c r="E1575" s="6" t="s">
        <v>1464</v>
      </c>
      <c r="F1575" s="7">
        <v>45182.0</v>
      </c>
      <c r="H1575" s="11"/>
      <c r="J1575" s="18"/>
      <c r="L1575" s="18"/>
      <c r="M1575" s="23"/>
    </row>
    <row r="1576">
      <c r="A1576" s="10" t="s">
        <v>1453</v>
      </c>
      <c r="B1576" s="17" t="s">
        <v>1454</v>
      </c>
      <c r="C1576" s="4" t="s">
        <v>8</v>
      </c>
      <c r="D1576" s="5" t="s">
        <v>6</v>
      </c>
      <c r="E1576" s="6" t="s">
        <v>1465</v>
      </c>
      <c r="F1576" s="7">
        <v>45231.0</v>
      </c>
      <c r="H1576" s="11"/>
      <c r="J1576" s="18"/>
      <c r="L1576" s="18"/>
      <c r="M1576" s="23"/>
    </row>
    <row r="1577">
      <c r="A1577" s="10" t="s">
        <v>1453</v>
      </c>
      <c r="B1577" s="17" t="s">
        <v>1454</v>
      </c>
      <c r="C1577" s="4" t="s">
        <v>3</v>
      </c>
      <c r="D1577" s="5" t="s">
        <v>42</v>
      </c>
      <c r="E1577" s="6" t="s">
        <v>333</v>
      </c>
      <c r="F1577" s="7">
        <v>45249.0</v>
      </c>
      <c r="H1577" s="11"/>
      <c r="J1577" s="18"/>
      <c r="L1577" s="18"/>
      <c r="M1577" s="23"/>
    </row>
    <row r="1578">
      <c r="A1578" s="10" t="s">
        <v>1453</v>
      </c>
      <c r="B1578" s="17" t="s">
        <v>1454</v>
      </c>
      <c r="C1578" s="4" t="s">
        <v>3</v>
      </c>
      <c r="D1578" s="5" t="s">
        <v>71</v>
      </c>
      <c r="E1578" s="6" t="s">
        <v>1308</v>
      </c>
      <c r="F1578" s="7">
        <v>45257.0</v>
      </c>
      <c r="H1578" s="11"/>
      <c r="J1578" s="18"/>
      <c r="L1578" s="18"/>
      <c r="M1578" s="23"/>
    </row>
    <row r="1579">
      <c r="A1579" s="10" t="s">
        <v>1453</v>
      </c>
      <c r="B1579" s="17" t="s">
        <v>1454</v>
      </c>
      <c r="C1579" s="4" t="s">
        <v>3</v>
      </c>
      <c r="D1579" s="5" t="s">
        <v>15</v>
      </c>
      <c r="E1579" s="6" t="s">
        <v>1429</v>
      </c>
      <c r="F1579" s="7">
        <v>45257.0</v>
      </c>
      <c r="H1579" s="11"/>
      <c r="J1579" s="18"/>
      <c r="L1579" s="18"/>
      <c r="M1579" s="23"/>
    </row>
    <row r="1580">
      <c r="A1580" s="10" t="s">
        <v>1453</v>
      </c>
      <c r="B1580" s="17" t="s">
        <v>1454</v>
      </c>
      <c r="C1580" s="4" t="s">
        <v>3</v>
      </c>
      <c r="D1580" s="5" t="s">
        <v>9</v>
      </c>
      <c r="E1580" s="6" t="s">
        <v>1392</v>
      </c>
      <c r="F1580" s="7">
        <v>45267.0</v>
      </c>
      <c r="H1580" s="11"/>
      <c r="J1580" s="18"/>
      <c r="L1580" s="18"/>
      <c r="M1580" s="23"/>
    </row>
    <row r="1581">
      <c r="A1581" s="10" t="s">
        <v>1466</v>
      </c>
      <c r="B1581" s="17" t="s">
        <v>1467</v>
      </c>
      <c r="C1581" s="4" t="s">
        <v>3</v>
      </c>
      <c r="D1581" s="5" t="s">
        <v>76</v>
      </c>
      <c r="E1581" s="6" t="s">
        <v>1468</v>
      </c>
      <c r="F1581" s="7">
        <v>44928.0</v>
      </c>
      <c r="H1581" s="11"/>
      <c r="J1581" s="18"/>
      <c r="L1581" s="18"/>
      <c r="M1581" s="23"/>
    </row>
    <row r="1582">
      <c r="A1582" s="10" t="s">
        <v>1466</v>
      </c>
      <c r="B1582" s="17" t="s">
        <v>1467</v>
      </c>
      <c r="C1582" s="4" t="s">
        <v>3</v>
      </c>
      <c r="D1582" s="5" t="s">
        <v>9</v>
      </c>
      <c r="E1582" s="6" t="s">
        <v>1469</v>
      </c>
      <c r="F1582" s="7">
        <v>44932.0</v>
      </c>
      <c r="H1582" s="11"/>
      <c r="J1582" s="18"/>
      <c r="L1582" s="18"/>
      <c r="M1582" s="23"/>
    </row>
    <row r="1583">
      <c r="A1583" s="10" t="s">
        <v>1466</v>
      </c>
      <c r="B1583" s="17" t="s">
        <v>1467</v>
      </c>
      <c r="C1583" s="4" t="s">
        <v>8</v>
      </c>
      <c r="D1583" s="5" t="s">
        <v>4</v>
      </c>
      <c r="E1583" s="6" t="s">
        <v>1470</v>
      </c>
      <c r="F1583" s="7">
        <v>44946.0</v>
      </c>
      <c r="H1583" s="11"/>
      <c r="J1583" s="18"/>
      <c r="L1583" s="18"/>
      <c r="M1583" s="23"/>
    </row>
    <row r="1584">
      <c r="A1584" s="10" t="s">
        <v>1466</v>
      </c>
      <c r="B1584" s="17" t="s">
        <v>1467</v>
      </c>
      <c r="C1584" s="4" t="s">
        <v>3</v>
      </c>
      <c r="D1584" s="5" t="s">
        <v>9</v>
      </c>
      <c r="E1584" s="6" t="s">
        <v>1471</v>
      </c>
      <c r="F1584" s="7">
        <v>44964.0</v>
      </c>
      <c r="H1584" s="11"/>
      <c r="J1584" s="18"/>
      <c r="L1584" s="18"/>
      <c r="M1584" s="23"/>
    </row>
    <row r="1585">
      <c r="A1585" s="10" t="s">
        <v>1466</v>
      </c>
      <c r="B1585" s="17" t="s">
        <v>1467</v>
      </c>
      <c r="C1585" s="4" t="s">
        <v>3</v>
      </c>
      <c r="D1585" s="5" t="s">
        <v>15</v>
      </c>
      <c r="E1585" s="6" t="s">
        <v>615</v>
      </c>
      <c r="F1585" s="7">
        <v>44978.0</v>
      </c>
      <c r="H1585" s="11"/>
      <c r="J1585" s="18"/>
      <c r="L1585" s="18"/>
      <c r="M1585" s="23"/>
    </row>
    <row r="1586">
      <c r="A1586" s="10" t="s">
        <v>1466</v>
      </c>
      <c r="B1586" s="17" t="s">
        <v>1467</v>
      </c>
      <c r="C1586" s="4" t="s">
        <v>8</v>
      </c>
      <c r="D1586" s="5" t="s">
        <v>120</v>
      </c>
      <c r="E1586" s="6" t="s">
        <v>1472</v>
      </c>
      <c r="F1586" s="7">
        <v>44985.0</v>
      </c>
      <c r="H1586" s="11"/>
      <c r="J1586" s="18"/>
      <c r="L1586" s="18"/>
      <c r="M1586" s="23"/>
    </row>
    <row r="1587">
      <c r="A1587" s="10" t="s">
        <v>1466</v>
      </c>
      <c r="B1587" s="17" t="s">
        <v>1467</v>
      </c>
      <c r="C1587" s="4" t="s">
        <v>3</v>
      </c>
      <c r="D1587" s="5" t="s">
        <v>17</v>
      </c>
      <c r="E1587" s="6" t="s">
        <v>1473</v>
      </c>
      <c r="F1587" s="7">
        <v>45030.0</v>
      </c>
      <c r="H1587" s="11"/>
      <c r="J1587" s="18"/>
      <c r="L1587" s="18"/>
      <c r="M1587" s="23"/>
    </row>
    <row r="1588">
      <c r="A1588" s="10" t="s">
        <v>1466</v>
      </c>
      <c r="B1588" s="17" t="s">
        <v>1467</v>
      </c>
      <c r="C1588" s="4" t="s">
        <v>3</v>
      </c>
      <c r="D1588" s="5" t="s">
        <v>21</v>
      </c>
      <c r="E1588" s="6" t="s">
        <v>1474</v>
      </c>
      <c r="F1588" s="7">
        <v>45037.0</v>
      </c>
      <c r="H1588" s="11"/>
      <c r="J1588" s="18"/>
      <c r="L1588" s="18"/>
      <c r="M1588" s="23"/>
    </row>
    <row r="1589">
      <c r="A1589" s="10" t="s">
        <v>1466</v>
      </c>
      <c r="B1589" s="17" t="s">
        <v>1467</v>
      </c>
      <c r="C1589" s="4" t="s">
        <v>8</v>
      </c>
      <c r="D1589" s="5" t="s">
        <v>13</v>
      </c>
      <c r="E1589" s="6" t="s">
        <v>1475</v>
      </c>
      <c r="F1589" s="7">
        <v>45050.0</v>
      </c>
      <c r="H1589" s="11"/>
      <c r="J1589" s="18"/>
      <c r="L1589" s="18"/>
      <c r="M1589" s="23"/>
    </row>
    <row r="1590">
      <c r="A1590" s="10" t="s">
        <v>1466</v>
      </c>
      <c r="B1590" s="17" t="s">
        <v>1467</v>
      </c>
      <c r="C1590" s="4" t="s">
        <v>3</v>
      </c>
      <c r="D1590" s="5" t="s">
        <v>45</v>
      </c>
      <c r="E1590" s="6" t="s">
        <v>1476</v>
      </c>
      <c r="F1590" s="7">
        <v>45072.0</v>
      </c>
      <c r="H1590" s="11"/>
      <c r="J1590" s="18"/>
      <c r="L1590" s="18"/>
      <c r="M1590" s="23"/>
    </row>
    <row r="1591">
      <c r="A1591" s="10" t="s">
        <v>1466</v>
      </c>
      <c r="B1591" s="17" t="s">
        <v>1467</v>
      </c>
      <c r="C1591" s="4" t="s">
        <v>3</v>
      </c>
      <c r="D1591" s="5" t="s">
        <v>28</v>
      </c>
      <c r="E1591" s="6" t="s">
        <v>1477</v>
      </c>
      <c r="F1591" s="7">
        <v>45082.0</v>
      </c>
      <c r="H1591" s="11"/>
      <c r="J1591" s="18"/>
      <c r="L1591" s="18"/>
      <c r="M1591" s="23"/>
    </row>
    <row r="1592">
      <c r="A1592" s="10" t="s">
        <v>1466</v>
      </c>
      <c r="B1592" s="17" t="s">
        <v>1467</v>
      </c>
      <c r="C1592" s="4" t="s">
        <v>8</v>
      </c>
      <c r="D1592" s="5" t="s">
        <v>120</v>
      </c>
      <c r="E1592" s="6" t="s">
        <v>1478</v>
      </c>
      <c r="F1592" s="7">
        <v>45130.0</v>
      </c>
      <c r="H1592" s="11"/>
      <c r="J1592" s="18"/>
      <c r="L1592" s="18"/>
      <c r="M1592" s="23"/>
    </row>
    <row r="1593">
      <c r="A1593" s="10" t="s">
        <v>1466</v>
      </c>
      <c r="B1593" s="17" t="s">
        <v>1467</v>
      </c>
      <c r="C1593" s="4" t="s">
        <v>3</v>
      </c>
      <c r="D1593" s="5" t="s">
        <v>13</v>
      </c>
      <c r="E1593" s="6" t="s">
        <v>1479</v>
      </c>
      <c r="F1593" s="7">
        <v>45145.0</v>
      </c>
      <c r="H1593" s="11"/>
      <c r="J1593" s="18"/>
      <c r="L1593" s="18"/>
      <c r="M1593" s="23"/>
    </row>
    <row r="1594">
      <c r="A1594" s="10" t="s">
        <v>1466</v>
      </c>
      <c r="B1594" s="17" t="s">
        <v>1467</v>
      </c>
      <c r="C1594" s="4" t="s">
        <v>8</v>
      </c>
      <c r="D1594" s="5" t="s">
        <v>13</v>
      </c>
      <c r="E1594" s="6" t="s">
        <v>1480</v>
      </c>
      <c r="F1594" s="7">
        <v>45148.0</v>
      </c>
      <c r="H1594" s="11"/>
      <c r="J1594" s="18"/>
      <c r="L1594" s="18"/>
      <c r="M1594" s="23"/>
    </row>
    <row r="1595">
      <c r="A1595" s="10" t="s">
        <v>1466</v>
      </c>
      <c r="B1595" s="17" t="s">
        <v>1467</v>
      </c>
      <c r="C1595" s="4" t="s">
        <v>3</v>
      </c>
      <c r="D1595" s="5" t="s">
        <v>19</v>
      </c>
      <c r="E1595" s="6" t="s">
        <v>1481</v>
      </c>
      <c r="F1595" s="7">
        <v>45219.0</v>
      </c>
      <c r="H1595" s="11"/>
      <c r="J1595" s="18"/>
      <c r="L1595" s="18"/>
      <c r="M1595" s="23"/>
    </row>
    <row r="1596">
      <c r="A1596" s="10" t="s">
        <v>1466</v>
      </c>
      <c r="B1596" s="17" t="s">
        <v>1467</v>
      </c>
      <c r="C1596" s="4" t="s">
        <v>3</v>
      </c>
      <c r="D1596" s="5" t="s">
        <v>42</v>
      </c>
      <c r="E1596" s="6" t="s">
        <v>105</v>
      </c>
      <c r="F1596" s="7">
        <v>45238.0</v>
      </c>
      <c r="H1596" s="11"/>
      <c r="J1596" s="18"/>
      <c r="L1596" s="18"/>
      <c r="M1596" s="23"/>
    </row>
    <row r="1597">
      <c r="A1597" s="10" t="s">
        <v>1466</v>
      </c>
      <c r="B1597" s="17" t="s">
        <v>1467</v>
      </c>
      <c r="C1597" s="4" t="s">
        <v>3</v>
      </c>
      <c r="D1597" s="5" t="s">
        <v>51</v>
      </c>
      <c r="E1597" s="6" t="s">
        <v>1482</v>
      </c>
      <c r="F1597" s="7">
        <v>45240.0</v>
      </c>
      <c r="H1597" s="11"/>
      <c r="J1597" s="18"/>
      <c r="L1597" s="18"/>
      <c r="M1597" s="23"/>
    </row>
    <row r="1598">
      <c r="A1598" s="10" t="s">
        <v>1466</v>
      </c>
      <c r="B1598" s="17" t="s">
        <v>1467</v>
      </c>
      <c r="C1598" s="4" t="s">
        <v>8</v>
      </c>
      <c r="D1598" s="5" t="s">
        <v>6</v>
      </c>
      <c r="E1598" s="6" t="s">
        <v>474</v>
      </c>
      <c r="F1598" s="7">
        <v>45240.0</v>
      </c>
      <c r="H1598" s="11"/>
      <c r="J1598" s="18"/>
      <c r="L1598" s="18"/>
      <c r="M1598" s="23"/>
    </row>
    <row r="1599">
      <c r="A1599" s="10" t="s">
        <v>1466</v>
      </c>
      <c r="B1599" s="17" t="s">
        <v>1467</v>
      </c>
      <c r="C1599" s="4" t="s">
        <v>3</v>
      </c>
      <c r="D1599" s="5" t="s">
        <v>120</v>
      </c>
      <c r="E1599" s="6" t="s">
        <v>74</v>
      </c>
      <c r="F1599" s="7">
        <v>45248.0</v>
      </c>
      <c r="H1599" s="11"/>
      <c r="J1599" s="18"/>
      <c r="L1599" s="18"/>
      <c r="M1599" s="23"/>
    </row>
    <row r="1600">
      <c r="A1600" s="10" t="s">
        <v>1466</v>
      </c>
      <c r="B1600" s="17" t="s">
        <v>1467</v>
      </c>
      <c r="C1600" s="4" t="s">
        <v>3</v>
      </c>
      <c r="D1600" s="5" t="s">
        <v>19</v>
      </c>
      <c r="E1600" s="6" t="s">
        <v>615</v>
      </c>
      <c r="F1600" s="7">
        <v>45263.0</v>
      </c>
      <c r="H1600" s="11"/>
      <c r="J1600" s="18"/>
      <c r="L1600" s="18"/>
      <c r="M1600" s="23"/>
    </row>
    <row r="1601">
      <c r="A1601" s="10" t="s">
        <v>1483</v>
      </c>
      <c r="B1601" s="17" t="s">
        <v>1484</v>
      </c>
      <c r="C1601" s="4" t="s">
        <v>3</v>
      </c>
      <c r="D1601" s="5" t="s">
        <v>39</v>
      </c>
      <c r="E1601" s="6" t="s">
        <v>1485</v>
      </c>
      <c r="F1601" s="7">
        <v>44928.0</v>
      </c>
      <c r="H1601" s="11"/>
      <c r="J1601" s="18"/>
      <c r="L1601" s="18"/>
      <c r="M1601" s="23"/>
    </row>
    <row r="1602">
      <c r="A1602" s="10" t="s">
        <v>1483</v>
      </c>
      <c r="B1602" s="17" t="s">
        <v>1484</v>
      </c>
      <c r="C1602" s="4" t="s">
        <v>8</v>
      </c>
      <c r="D1602" s="5" t="s">
        <v>42</v>
      </c>
      <c r="E1602" s="6" t="s">
        <v>1014</v>
      </c>
      <c r="F1602" s="7">
        <v>44935.0</v>
      </c>
      <c r="H1602" s="11"/>
      <c r="J1602" s="18"/>
      <c r="L1602" s="18"/>
      <c r="M1602" s="23"/>
    </row>
    <row r="1603">
      <c r="A1603" s="10" t="s">
        <v>1483</v>
      </c>
      <c r="B1603" s="17" t="s">
        <v>1484</v>
      </c>
      <c r="C1603" s="4" t="s">
        <v>3</v>
      </c>
      <c r="D1603" s="5" t="s">
        <v>13</v>
      </c>
      <c r="E1603" s="6" t="s">
        <v>1393</v>
      </c>
      <c r="F1603" s="7">
        <v>44997.0</v>
      </c>
      <c r="H1603" s="11"/>
      <c r="J1603" s="18"/>
      <c r="L1603" s="18"/>
      <c r="M1603" s="23"/>
    </row>
    <row r="1604">
      <c r="A1604" s="10" t="s">
        <v>1483</v>
      </c>
      <c r="B1604" s="17" t="s">
        <v>1484</v>
      </c>
      <c r="C1604" s="4" t="s">
        <v>3</v>
      </c>
      <c r="D1604" s="5" t="s">
        <v>9</v>
      </c>
      <c r="E1604" s="6" t="s">
        <v>1486</v>
      </c>
      <c r="F1604" s="7">
        <v>45012.0</v>
      </c>
      <c r="H1604" s="11"/>
      <c r="J1604" s="18"/>
      <c r="L1604" s="18"/>
      <c r="M1604" s="23"/>
    </row>
    <row r="1605">
      <c r="A1605" s="10" t="s">
        <v>1483</v>
      </c>
      <c r="B1605" s="17" t="s">
        <v>1484</v>
      </c>
      <c r="C1605" s="4" t="s">
        <v>8</v>
      </c>
      <c r="D1605" s="5" t="s">
        <v>9</v>
      </c>
      <c r="E1605" s="6" t="s">
        <v>1487</v>
      </c>
      <c r="F1605" s="7">
        <v>45028.0</v>
      </c>
      <c r="H1605" s="11"/>
      <c r="J1605" s="18"/>
      <c r="L1605" s="18"/>
      <c r="M1605" s="23"/>
    </row>
    <row r="1606">
      <c r="A1606" s="10" t="s">
        <v>1483</v>
      </c>
      <c r="B1606" s="17" t="s">
        <v>1484</v>
      </c>
      <c r="C1606" s="4" t="s">
        <v>3</v>
      </c>
      <c r="D1606" s="5" t="s">
        <v>28</v>
      </c>
      <c r="E1606" s="6" t="s">
        <v>771</v>
      </c>
      <c r="F1606" s="7">
        <v>45035.0</v>
      </c>
      <c r="H1606" s="11"/>
      <c r="J1606" s="18"/>
      <c r="L1606" s="18"/>
      <c r="M1606" s="23"/>
    </row>
    <row r="1607">
      <c r="A1607" s="10" t="s">
        <v>1483</v>
      </c>
      <c r="B1607" s="17" t="s">
        <v>1484</v>
      </c>
      <c r="C1607" s="4" t="s">
        <v>3</v>
      </c>
      <c r="D1607" s="5" t="s">
        <v>45</v>
      </c>
      <c r="E1607" s="6" t="s">
        <v>1488</v>
      </c>
      <c r="F1607" s="7">
        <v>45072.0</v>
      </c>
      <c r="H1607" s="11"/>
      <c r="J1607" s="18"/>
      <c r="L1607" s="18"/>
      <c r="M1607" s="23"/>
    </row>
    <row r="1608">
      <c r="A1608" s="10" t="s">
        <v>1483</v>
      </c>
      <c r="B1608" s="17" t="s">
        <v>1484</v>
      </c>
      <c r="C1608" s="4" t="s">
        <v>3</v>
      </c>
      <c r="D1608" s="5" t="s">
        <v>76</v>
      </c>
      <c r="E1608" s="6" t="s">
        <v>1489</v>
      </c>
      <c r="F1608" s="7">
        <v>45089.0</v>
      </c>
      <c r="H1608" s="11"/>
      <c r="J1608" s="18"/>
      <c r="L1608" s="18"/>
      <c r="M1608" s="23"/>
    </row>
    <row r="1609">
      <c r="A1609" s="10" t="s">
        <v>1483</v>
      </c>
      <c r="B1609" s="17" t="s">
        <v>1484</v>
      </c>
      <c r="C1609" s="4" t="s">
        <v>8</v>
      </c>
      <c r="D1609" s="5" t="s">
        <v>9</v>
      </c>
      <c r="E1609" s="6" t="s">
        <v>1291</v>
      </c>
      <c r="F1609" s="7">
        <v>45110.0</v>
      </c>
      <c r="H1609" s="11"/>
      <c r="J1609" s="18"/>
      <c r="L1609" s="18"/>
      <c r="M1609" s="23"/>
    </row>
    <row r="1610">
      <c r="A1610" s="10" t="s">
        <v>1483</v>
      </c>
      <c r="B1610" s="17" t="s">
        <v>1484</v>
      </c>
      <c r="C1610" s="4" t="s">
        <v>8</v>
      </c>
      <c r="D1610" s="5" t="s">
        <v>51</v>
      </c>
      <c r="E1610" s="6" t="s">
        <v>1490</v>
      </c>
      <c r="F1610" s="7">
        <v>45122.0</v>
      </c>
      <c r="H1610" s="11"/>
      <c r="J1610" s="18"/>
      <c r="L1610" s="18"/>
      <c r="M1610" s="23"/>
    </row>
    <row r="1611">
      <c r="A1611" s="10" t="s">
        <v>1483</v>
      </c>
      <c r="B1611" s="17" t="s">
        <v>1484</v>
      </c>
      <c r="C1611" s="4" t="s">
        <v>3</v>
      </c>
      <c r="D1611" s="5" t="s">
        <v>28</v>
      </c>
      <c r="E1611" s="6" t="s">
        <v>753</v>
      </c>
      <c r="F1611" s="7">
        <v>45134.0</v>
      </c>
      <c r="H1611" s="11"/>
      <c r="J1611" s="18"/>
      <c r="L1611" s="18"/>
      <c r="M1611" s="23"/>
    </row>
    <row r="1612">
      <c r="A1612" s="10" t="s">
        <v>1483</v>
      </c>
      <c r="B1612" s="17" t="s">
        <v>1484</v>
      </c>
      <c r="C1612" s="4" t="s">
        <v>3</v>
      </c>
      <c r="D1612" s="5" t="s">
        <v>39</v>
      </c>
      <c r="E1612" s="6" t="s">
        <v>1491</v>
      </c>
      <c r="F1612" s="7">
        <v>45135.0</v>
      </c>
      <c r="H1612" s="11"/>
      <c r="J1612" s="18"/>
      <c r="L1612" s="18"/>
      <c r="M1612" s="23"/>
    </row>
    <row r="1613">
      <c r="A1613" s="10" t="s">
        <v>1483</v>
      </c>
      <c r="B1613" s="17" t="s">
        <v>1484</v>
      </c>
      <c r="C1613" s="4" t="s">
        <v>3</v>
      </c>
      <c r="D1613" s="5" t="s">
        <v>23</v>
      </c>
      <c r="E1613" s="6" t="s">
        <v>1492</v>
      </c>
      <c r="F1613" s="7">
        <v>45166.0</v>
      </c>
      <c r="H1613" s="11"/>
      <c r="J1613" s="18"/>
      <c r="L1613" s="18"/>
      <c r="M1613" s="23"/>
    </row>
    <row r="1614">
      <c r="A1614" s="10" t="s">
        <v>1483</v>
      </c>
      <c r="B1614" s="17" t="s">
        <v>1484</v>
      </c>
      <c r="C1614" s="4" t="s">
        <v>3</v>
      </c>
      <c r="D1614" s="5" t="s">
        <v>45</v>
      </c>
      <c r="E1614" s="6" t="s">
        <v>1493</v>
      </c>
      <c r="F1614" s="7">
        <v>45195.0</v>
      </c>
      <c r="H1614" s="11"/>
      <c r="J1614" s="18"/>
      <c r="L1614" s="18"/>
      <c r="M1614" s="23"/>
    </row>
    <row r="1615">
      <c r="A1615" s="10" t="s">
        <v>1483</v>
      </c>
      <c r="B1615" s="17" t="s">
        <v>1484</v>
      </c>
      <c r="C1615" s="4" t="s">
        <v>3</v>
      </c>
      <c r="D1615" s="5" t="s">
        <v>71</v>
      </c>
      <c r="E1615" s="6" t="s">
        <v>1494</v>
      </c>
      <c r="F1615" s="7">
        <v>45196.0</v>
      </c>
      <c r="H1615" s="11"/>
      <c r="J1615" s="18"/>
      <c r="L1615" s="18"/>
      <c r="M1615" s="23"/>
    </row>
    <row r="1616">
      <c r="A1616" s="10" t="s">
        <v>1483</v>
      </c>
      <c r="B1616" s="17" t="s">
        <v>1484</v>
      </c>
      <c r="C1616" s="4" t="s">
        <v>8</v>
      </c>
      <c r="D1616" s="5" t="s">
        <v>42</v>
      </c>
      <c r="E1616" s="6" t="s">
        <v>951</v>
      </c>
      <c r="F1616" s="7">
        <v>45217.0</v>
      </c>
      <c r="H1616" s="11"/>
      <c r="J1616" s="18"/>
      <c r="L1616" s="18"/>
      <c r="M1616" s="23"/>
    </row>
    <row r="1617">
      <c r="A1617" s="10" t="s">
        <v>1483</v>
      </c>
      <c r="B1617" s="17" t="s">
        <v>1484</v>
      </c>
      <c r="C1617" s="4" t="s">
        <v>3</v>
      </c>
      <c r="D1617" s="5" t="s">
        <v>96</v>
      </c>
      <c r="E1617" s="6" t="s">
        <v>1495</v>
      </c>
      <c r="F1617" s="7">
        <v>45217.0</v>
      </c>
      <c r="H1617" s="11"/>
      <c r="J1617" s="18"/>
      <c r="L1617" s="18"/>
      <c r="M1617" s="23"/>
    </row>
    <row r="1618">
      <c r="A1618" s="10" t="s">
        <v>1483</v>
      </c>
      <c r="B1618" s="17" t="s">
        <v>1484</v>
      </c>
      <c r="C1618" s="4" t="s">
        <v>3</v>
      </c>
      <c r="D1618" s="5" t="s">
        <v>42</v>
      </c>
      <c r="E1618" s="6" t="s">
        <v>455</v>
      </c>
      <c r="F1618" s="7">
        <v>45224.0</v>
      </c>
      <c r="H1618" s="11"/>
      <c r="J1618" s="18"/>
      <c r="L1618" s="18"/>
      <c r="M1618" s="23"/>
    </row>
    <row r="1619">
      <c r="A1619" s="10" t="s">
        <v>1483</v>
      </c>
      <c r="B1619" s="17" t="s">
        <v>1484</v>
      </c>
      <c r="C1619" s="4" t="s">
        <v>3</v>
      </c>
      <c r="D1619" s="5" t="s">
        <v>35</v>
      </c>
      <c r="E1619" s="6" t="s">
        <v>1496</v>
      </c>
      <c r="F1619" s="7">
        <v>45249.0</v>
      </c>
      <c r="H1619" s="11"/>
      <c r="J1619" s="18"/>
      <c r="L1619" s="18"/>
      <c r="M1619" s="23"/>
    </row>
    <row r="1620">
      <c r="A1620" s="10" t="s">
        <v>1483</v>
      </c>
      <c r="B1620" s="17" t="s">
        <v>1484</v>
      </c>
      <c r="C1620" s="4" t="s">
        <v>8</v>
      </c>
      <c r="D1620" s="5" t="s">
        <v>9</v>
      </c>
      <c r="E1620" s="6" t="s">
        <v>1280</v>
      </c>
      <c r="F1620" s="7">
        <v>45251.0</v>
      </c>
      <c r="H1620" s="11"/>
      <c r="J1620" s="18"/>
      <c r="L1620" s="18"/>
      <c r="M1620" s="23"/>
    </row>
    <row r="1621">
      <c r="A1621" s="10" t="s">
        <v>1497</v>
      </c>
      <c r="B1621" s="17" t="s">
        <v>1498</v>
      </c>
      <c r="C1621" s="4" t="s">
        <v>8</v>
      </c>
      <c r="D1621" s="5" t="s">
        <v>96</v>
      </c>
      <c r="E1621" s="6" t="s">
        <v>1499</v>
      </c>
      <c r="F1621" s="7">
        <v>44974.0</v>
      </c>
      <c r="H1621" s="11"/>
      <c r="J1621" s="18"/>
      <c r="L1621" s="18"/>
      <c r="M1621" s="23"/>
    </row>
    <row r="1622">
      <c r="A1622" s="10" t="s">
        <v>1497</v>
      </c>
      <c r="B1622" s="17" t="s">
        <v>1498</v>
      </c>
      <c r="C1622" s="4" t="s">
        <v>3</v>
      </c>
      <c r="D1622" s="5" t="s">
        <v>71</v>
      </c>
      <c r="E1622" s="6" t="s">
        <v>1500</v>
      </c>
      <c r="F1622" s="7">
        <v>45024.0</v>
      </c>
      <c r="H1622" s="11"/>
      <c r="J1622" s="18"/>
      <c r="L1622" s="18"/>
      <c r="M1622" s="23"/>
    </row>
    <row r="1623">
      <c r="A1623" s="10" t="s">
        <v>1497</v>
      </c>
      <c r="B1623" s="17" t="s">
        <v>1498</v>
      </c>
      <c r="C1623" s="4" t="s">
        <v>3</v>
      </c>
      <c r="D1623" s="5" t="s">
        <v>9</v>
      </c>
      <c r="E1623" s="6" t="s">
        <v>915</v>
      </c>
      <c r="F1623" s="7">
        <v>45035.0</v>
      </c>
      <c r="H1623" s="11"/>
      <c r="J1623" s="18"/>
      <c r="L1623" s="18"/>
      <c r="M1623" s="23"/>
    </row>
    <row r="1624">
      <c r="A1624" s="10" t="s">
        <v>1497</v>
      </c>
      <c r="B1624" s="17" t="s">
        <v>1498</v>
      </c>
      <c r="C1624" s="4" t="s">
        <v>8</v>
      </c>
      <c r="D1624" s="5" t="s">
        <v>96</v>
      </c>
      <c r="E1624" s="6" t="s">
        <v>114</v>
      </c>
      <c r="F1624" s="7">
        <v>45044.0</v>
      </c>
      <c r="H1624" s="11"/>
      <c r="J1624" s="18"/>
      <c r="L1624" s="18"/>
      <c r="M1624" s="23"/>
    </row>
    <row r="1625">
      <c r="A1625" s="10" t="s">
        <v>1497</v>
      </c>
      <c r="B1625" s="17" t="s">
        <v>1498</v>
      </c>
      <c r="C1625" s="4" t="s">
        <v>8</v>
      </c>
      <c r="D1625" s="5" t="s">
        <v>19</v>
      </c>
      <c r="E1625" s="6" t="s">
        <v>1501</v>
      </c>
      <c r="F1625" s="7">
        <v>45050.0</v>
      </c>
      <c r="H1625" s="11"/>
      <c r="J1625" s="18"/>
      <c r="L1625" s="18"/>
      <c r="M1625" s="23"/>
    </row>
    <row r="1626">
      <c r="A1626" s="10" t="s">
        <v>1497</v>
      </c>
      <c r="B1626" s="17" t="s">
        <v>1498</v>
      </c>
      <c r="C1626" s="4" t="s">
        <v>8</v>
      </c>
      <c r="D1626" s="5" t="s">
        <v>96</v>
      </c>
      <c r="E1626" s="6" t="s">
        <v>655</v>
      </c>
      <c r="F1626" s="7">
        <v>45055.0</v>
      </c>
      <c r="H1626" s="11"/>
      <c r="J1626" s="18"/>
      <c r="L1626" s="18"/>
      <c r="M1626" s="23"/>
    </row>
    <row r="1627">
      <c r="A1627" s="10" t="s">
        <v>1497</v>
      </c>
      <c r="B1627" s="17" t="s">
        <v>1498</v>
      </c>
      <c r="C1627" s="4" t="s">
        <v>8</v>
      </c>
      <c r="D1627" s="5" t="s">
        <v>96</v>
      </c>
      <c r="E1627" s="6" t="s">
        <v>1502</v>
      </c>
      <c r="F1627" s="7">
        <v>45080.0</v>
      </c>
      <c r="H1627" s="11"/>
      <c r="J1627" s="18"/>
      <c r="L1627" s="18"/>
      <c r="M1627" s="23"/>
    </row>
    <row r="1628">
      <c r="A1628" s="10" t="s">
        <v>1497</v>
      </c>
      <c r="B1628" s="17" t="s">
        <v>1498</v>
      </c>
      <c r="C1628" s="4" t="s">
        <v>8</v>
      </c>
      <c r="D1628" s="5" t="s">
        <v>13</v>
      </c>
      <c r="E1628" s="6" t="s">
        <v>1503</v>
      </c>
      <c r="F1628" s="7">
        <v>45102.0</v>
      </c>
      <c r="H1628" s="11"/>
      <c r="J1628" s="18"/>
      <c r="L1628" s="18"/>
      <c r="M1628" s="23"/>
    </row>
    <row r="1629">
      <c r="A1629" s="10" t="s">
        <v>1497</v>
      </c>
      <c r="B1629" s="17" t="s">
        <v>1498</v>
      </c>
      <c r="C1629" s="4" t="s">
        <v>3</v>
      </c>
      <c r="D1629" s="5" t="s">
        <v>23</v>
      </c>
      <c r="E1629" s="6" t="s">
        <v>1504</v>
      </c>
      <c r="F1629" s="7">
        <v>45103.0</v>
      </c>
      <c r="H1629" s="11"/>
      <c r="J1629" s="18"/>
      <c r="L1629" s="18"/>
      <c r="M1629" s="23"/>
    </row>
    <row r="1630">
      <c r="A1630" s="10" t="s">
        <v>1497</v>
      </c>
      <c r="B1630" s="17" t="s">
        <v>1498</v>
      </c>
      <c r="C1630" s="4" t="s">
        <v>3</v>
      </c>
      <c r="D1630" s="5" t="s">
        <v>11</v>
      </c>
      <c r="E1630" s="6" t="s">
        <v>1505</v>
      </c>
      <c r="F1630" s="7">
        <v>45111.0</v>
      </c>
      <c r="H1630" s="11"/>
      <c r="J1630" s="18"/>
      <c r="L1630" s="18"/>
      <c r="M1630" s="23"/>
    </row>
    <row r="1631">
      <c r="A1631" s="10" t="s">
        <v>1497</v>
      </c>
      <c r="B1631" s="17" t="s">
        <v>1498</v>
      </c>
      <c r="C1631" s="4" t="s">
        <v>3</v>
      </c>
      <c r="D1631" s="5" t="s">
        <v>45</v>
      </c>
      <c r="E1631" s="6" t="s">
        <v>1506</v>
      </c>
      <c r="F1631" s="7">
        <v>45111.0</v>
      </c>
      <c r="H1631" s="11"/>
      <c r="J1631" s="18"/>
      <c r="L1631" s="18"/>
      <c r="M1631" s="23"/>
    </row>
    <row r="1632">
      <c r="A1632" s="10" t="s">
        <v>1497</v>
      </c>
      <c r="B1632" s="17" t="s">
        <v>1498</v>
      </c>
      <c r="C1632" s="4" t="s">
        <v>8</v>
      </c>
      <c r="D1632" s="5" t="s">
        <v>39</v>
      </c>
      <c r="E1632" s="6" t="s">
        <v>1507</v>
      </c>
      <c r="F1632" s="7">
        <v>45154.0</v>
      </c>
      <c r="H1632" s="11"/>
      <c r="J1632" s="18"/>
      <c r="L1632" s="18"/>
      <c r="M1632" s="23"/>
    </row>
    <row r="1633">
      <c r="A1633" s="10" t="s">
        <v>1497</v>
      </c>
      <c r="B1633" s="17" t="s">
        <v>1498</v>
      </c>
      <c r="C1633" s="4" t="s">
        <v>3</v>
      </c>
      <c r="D1633" s="5" t="s">
        <v>13</v>
      </c>
      <c r="E1633" s="6" t="s">
        <v>1508</v>
      </c>
      <c r="F1633" s="7">
        <v>45166.0</v>
      </c>
      <c r="H1633" s="11"/>
      <c r="J1633" s="18"/>
      <c r="L1633" s="18"/>
      <c r="M1633" s="23"/>
    </row>
    <row r="1634">
      <c r="A1634" s="10" t="s">
        <v>1497</v>
      </c>
      <c r="B1634" s="17" t="s">
        <v>1498</v>
      </c>
      <c r="C1634" s="4" t="s">
        <v>3</v>
      </c>
      <c r="D1634" s="5" t="s">
        <v>39</v>
      </c>
      <c r="E1634" s="6" t="s">
        <v>1509</v>
      </c>
      <c r="F1634" s="7">
        <v>45182.0</v>
      </c>
      <c r="H1634" s="11"/>
      <c r="J1634" s="18"/>
      <c r="L1634" s="18"/>
      <c r="M1634" s="23"/>
    </row>
    <row r="1635">
      <c r="A1635" s="10" t="s">
        <v>1497</v>
      </c>
      <c r="B1635" s="17" t="s">
        <v>1498</v>
      </c>
      <c r="C1635" s="4" t="s">
        <v>3</v>
      </c>
      <c r="D1635" s="5" t="s">
        <v>76</v>
      </c>
      <c r="E1635" s="6" t="s">
        <v>1510</v>
      </c>
      <c r="F1635" s="7">
        <v>45186.0</v>
      </c>
      <c r="H1635" s="11"/>
      <c r="J1635" s="18"/>
      <c r="L1635" s="18"/>
      <c r="M1635" s="23"/>
    </row>
    <row r="1636">
      <c r="A1636" s="10" t="s">
        <v>1497</v>
      </c>
      <c r="B1636" s="17" t="s">
        <v>1498</v>
      </c>
      <c r="C1636" s="4" t="s">
        <v>3</v>
      </c>
      <c r="D1636" s="5" t="s">
        <v>11</v>
      </c>
      <c r="E1636" s="6" t="s">
        <v>1511</v>
      </c>
      <c r="F1636" s="7">
        <v>45191.0</v>
      </c>
      <c r="H1636" s="11"/>
      <c r="J1636" s="18"/>
      <c r="L1636" s="18"/>
      <c r="M1636" s="23"/>
    </row>
    <row r="1637">
      <c r="A1637" s="10" t="s">
        <v>1497</v>
      </c>
      <c r="B1637" s="17" t="s">
        <v>1498</v>
      </c>
      <c r="C1637" s="4" t="s">
        <v>8</v>
      </c>
      <c r="D1637" s="5" t="s">
        <v>9</v>
      </c>
      <c r="E1637" s="6" t="s">
        <v>1512</v>
      </c>
      <c r="F1637" s="7">
        <v>45236.0</v>
      </c>
      <c r="H1637" s="11"/>
      <c r="J1637" s="18"/>
      <c r="L1637" s="18"/>
      <c r="M1637" s="23"/>
    </row>
    <row r="1638">
      <c r="A1638" s="10" t="s">
        <v>1497</v>
      </c>
      <c r="B1638" s="17" t="s">
        <v>1498</v>
      </c>
      <c r="C1638" s="4" t="s">
        <v>8</v>
      </c>
      <c r="D1638" s="5" t="s">
        <v>19</v>
      </c>
      <c r="E1638" s="6" t="s">
        <v>1513</v>
      </c>
      <c r="F1638" s="7">
        <v>45250.0</v>
      </c>
      <c r="H1638" s="11"/>
      <c r="J1638" s="18"/>
      <c r="L1638" s="18"/>
      <c r="M1638" s="23"/>
    </row>
    <row r="1639">
      <c r="A1639" s="10" t="s">
        <v>1497</v>
      </c>
      <c r="B1639" s="17" t="s">
        <v>1498</v>
      </c>
      <c r="C1639" s="4" t="s">
        <v>8</v>
      </c>
      <c r="D1639" s="5" t="s">
        <v>9</v>
      </c>
      <c r="E1639" s="6" t="s">
        <v>737</v>
      </c>
      <c r="F1639" s="7">
        <v>45264.0</v>
      </c>
      <c r="H1639" s="11"/>
      <c r="J1639" s="18"/>
      <c r="L1639" s="18"/>
      <c r="M1639" s="23"/>
    </row>
    <row r="1640">
      <c r="A1640" s="10" t="s">
        <v>1497</v>
      </c>
      <c r="B1640" s="17" t="s">
        <v>1498</v>
      </c>
      <c r="C1640" s="4" t="s">
        <v>8</v>
      </c>
      <c r="D1640" s="5" t="s">
        <v>42</v>
      </c>
      <c r="E1640" s="6" t="s">
        <v>1185</v>
      </c>
      <c r="F1640" s="7">
        <v>45279.0</v>
      </c>
      <c r="H1640" s="11"/>
      <c r="J1640" s="18"/>
      <c r="L1640" s="18"/>
      <c r="M1640" s="23"/>
    </row>
    <row r="1641">
      <c r="A1641" s="10" t="s">
        <v>1514</v>
      </c>
      <c r="B1641" s="17" t="s">
        <v>1515</v>
      </c>
      <c r="C1641" s="4" t="s">
        <v>3</v>
      </c>
      <c r="D1641" s="5" t="s">
        <v>4</v>
      </c>
      <c r="E1641" s="6" t="s">
        <v>1516</v>
      </c>
      <c r="F1641" s="7">
        <v>44931.0</v>
      </c>
      <c r="H1641" s="11"/>
      <c r="J1641" s="18"/>
      <c r="L1641" s="18"/>
      <c r="M1641" s="23"/>
    </row>
    <row r="1642">
      <c r="A1642" s="10" t="s">
        <v>1514</v>
      </c>
      <c r="B1642" s="17" t="s">
        <v>1515</v>
      </c>
      <c r="C1642" s="4" t="s">
        <v>3</v>
      </c>
      <c r="D1642" s="5" t="s">
        <v>39</v>
      </c>
      <c r="E1642" s="6" t="s">
        <v>1517</v>
      </c>
      <c r="F1642" s="7">
        <v>44942.0</v>
      </c>
      <c r="H1642" s="11"/>
      <c r="J1642" s="18"/>
      <c r="L1642" s="18"/>
      <c r="M1642" s="23"/>
    </row>
    <row r="1643">
      <c r="A1643" s="10" t="s">
        <v>1514</v>
      </c>
      <c r="B1643" s="17" t="s">
        <v>1515</v>
      </c>
      <c r="C1643" s="4" t="s">
        <v>3</v>
      </c>
      <c r="D1643" s="5" t="s">
        <v>42</v>
      </c>
      <c r="E1643" s="6" t="s">
        <v>521</v>
      </c>
      <c r="F1643" s="7">
        <v>44946.0</v>
      </c>
      <c r="H1643" s="11"/>
      <c r="J1643" s="18"/>
      <c r="L1643" s="18"/>
      <c r="M1643" s="23"/>
    </row>
    <row r="1644">
      <c r="A1644" s="10" t="s">
        <v>1514</v>
      </c>
      <c r="B1644" s="17" t="s">
        <v>1515</v>
      </c>
      <c r="C1644" s="4" t="s">
        <v>8</v>
      </c>
      <c r="D1644" s="5" t="s">
        <v>120</v>
      </c>
      <c r="E1644" s="6" t="s">
        <v>1518</v>
      </c>
      <c r="F1644" s="7">
        <v>44963.0</v>
      </c>
      <c r="H1644" s="11"/>
      <c r="J1644" s="18"/>
      <c r="L1644" s="18"/>
      <c r="M1644" s="23"/>
    </row>
    <row r="1645">
      <c r="A1645" s="10" t="s">
        <v>1514</v>
      </c>
      <c r="B1645" s="17" t="s">
        <v>1515</v>
      </c>
      <c r="C1645" s="4" t="s">
        <v>8</v>
      </c>
      <c r="D1645" s="5" t="s">
        <v>17</v>
      </c>
      <c r="E1645" s="6" t="s">
        <v>1519</v>
      </c>
      <c r="F1645" s="7">
        <v>45011.0</v>
      </c>
      <c r="H1645" s="11"/>
      <c r="J1645" s="18"/>
      <c r="L1645" s="18"/>
      <c r="M1645" s="23"/>
    </row>
    <row r="1646">
      <c r="A1646" s="10" t="s">
        <v>1514</v>
      </c>
      <c r="B1646" s="17" t="s">
        <v>1515</v>
      </c>
      <c r="C1646" s="4" t="s">
        <v>8</v>
      </c>
      <c r="D1646" s="5" t="s">
        <v>71</v>
      </c>
      <c r="E1646" s="6" t="s">
        <v>1520</v>
      </c>
      <c r="F1646" s="7">
        <v>45013.0</v>
      </c>
      <c r="H1646" s="11"/>
      <c r="J1646" s="18"/>
      <c r="L1646" s="18"/>
      <c r="M1646" s="23"/>
    </row>
    <row r="1647">
      <c r="A1647" s="10" t="s">
        <v>1514</v>
      </c>
      <c r="B1647" s="17" t="s">
        <v>1515</v>
      </c>
      <c r="C1647" s="4" t="s">
        <v>3</v>
      </c>
      <c r="D1647" s="5" t="s">
        <v>17</v>
      </c>
      <c r="E1647" s="6" t="s">
        <v>353</v>
      </c>
      <c r="F1647" s="7">
        <v>45034.0</v>
      </c>
      <c r="H1647" s="11"/>
      <c r="J1647" s="18"/>
      <c r="L1647" s="18"/>
      <c r="M1647" s="23"/>
    </row>
    <row r="1648">
      <c r="A1648" s="10" t="s">
        <v>1514</v>
      </c>
      <c r="B1648" s="17" t="s">
        <v>1515</v>
      </c>
      <c r="C1648" s="4" t="s">
        <v>3</v>
      </c>
      <c r="D1648" s="5" t="s">
        <v>71</v>
      </c>
      <c r="E1648" s="6" t="s">
        <v>910</v>
      </c>
      <c r="F1648" s="7">
        <v>45081.0</v>
      </c>
      <c r="H1648" s="11"/>
      <c r="J1648" s="18"/>
      <c r="L1648" s="18"/>
      <c r="M1648" s="23"/>
    </row>
    <row r="1649">
      <c r="A1649" s="10" t="s">
        <v>1514</v>
      </c>
      <c r="B1649" s="17" t="s">
        <v>1515</v>
      </c>
      <c r="C1649" s="4" t="s">
        <v>8</v>
      </c>
      <c r="D1649" s="5" t="s">
        <v>6</v>
      </c>
      <c r="E1649" s="6" t="s">
        <v>1521</v>
      </c>
      <c r="F1649" s="7">
        <v>45101.0</v>
      </c>
      <c r="H1649" s="11"/>
      <c r="J1649" s="18"/>
      <c r="L1649" s="18"/>
      <c r="M1649" s="23"/>
    </row>
    <row r="1650">
      <c r="A1650" s="10" t="s">
        <v>1514</v>
      </c>
      <c r="B1650" s="17" t="s">
        <v>1515</v>
      </c>
      <c r="C1650" s="4" t="s">
        <v>8</v>
      </c>
      <c r="D1650" s="5" t="s">
        <v>71</v>
      </c>
      <c r="E1650" s="6" t="s">
        <v>1522</v>
      </c>
      <c r="F1650" s="7">
        <v>45108.0</v>
      </c>
      <c r="H1650" s="11"/>
      <c r="J1650" s="18"/>
      <c r="L1650" s="18"/>
      <c r="M1650" s="23"/>
    </row>
    <row r="1651">
      <c r="A1651" s="10" t="s">
        <v>1514</v>
      </c>
      <c r="B1651" s="17" t="s">
        <v>1515</v>
      </c>
      <c r="C1651" s="4" t="s">
        <v>8</v>
      </c>
      <c r="D1651" s="5" t="s">
        <v>120</v>
      </c>
      <c r="E1651" s="6" t="s">
        <v>1523</v>
      </c>
      <c r="F1651" s="7">
        <v>45143.0</v>
      </c>
      <c r="H1651" s="11"/>
      <c r="J1651" s="18"/>
      <c r="L1651" s="18"/>
      <c r="M1651" s="23"/>
    </row>
    <row r="1652">
      <c r="A1652" s="10" t="s">
        <v>1514</v>
      </c>
      <c r="B1652" s="17" t="s">
        <v>1515</v>
      </c>
      <c r="C1652" s="4" t="s">
        <v>3</v>
      </c>
      <c r="D1652" s="5" t="s">
        <v>71</v>
      </c>
      <c r="E1652" s="6" t="s">
        <v>1524</v>
      </c>
      <c r="F1652" s="7">
        <v>45150.0</v>
      </c>
      <c r="H1652" s="11"/>
      <c r="J1652" s="18"/>
      <c r="L1652" s="18"/>
      <c r="M1652" s="23"/>
    </row>
    <row r="1653">
      <c r="A1653" s="10" t="s">
        <v>1514</v>
      </c>
      <c r="B1653" s="17" t="s">
        <v>1515</v>
      </c>
      <c r="C1653" s="4" t="s">
        <v>3</v>
      </c>
      <c r="D1653" s="5" t="s">
        <v>120</v>
      </c>
      <c r="E1653" s="6" t="s">
        <v>1525</v>
      </c>
      <c r="F1653" s="7">
        <v>45152.0</v>
      </c>
      <c r="H1653" s="11"/>
      <c r="J1653" s="18"/>
      <c r="L1653" s="18"/>
      <c r="M1653" s="23"/>
    </row>
    <row r="1654">
      <c r="A1654" s="10" t="s">
        <v>1514</v>
      </c>
      <c r="B1654" s="17" t="s">
        <v>1515</v>
      </c>
      <c r="C1654" s="4" t="s">
        <v>8</v>
      </c>
      <c r="D1654" s="5" t="s">
        <v>120</v>
      </c>
      <c r="E1654" s="6" t="s">
        <v>1526</v>
      </c>
      <c r="F1654" s="7">
        <v>45237.0</v>
      </c>
      <c r="H1654" s="11"/>
      <c r="J1654" s="18"/>
      <c r="L1654" s="18"/>
      <c r="M1654" s="23"/>
    </row>
    <row r="1655">
      <c r="A1655" s="10" t="s">
        <v>1514</v>
      </c>
      <c r="B1655" s="17" t="s">
        <v>1515</v>
      </c>
      <c r="C1655" s="4" t="s">
        <v>3</v>
      </c>
      <c r="D1655" s="5" t="s">
        <v>96</v>
      </c>
      <c r="E1655" s="6" t="s">
        <v>857</v>
      </c>
      <c r="F1655" s="7">
        <v>45238.0</v>
      </c>
      <c r="H1655" s="11"/>
      <c r="J1655" s="18"/>
      <c r="L1655" s="18"/>
      <c r="M1655" s="23"/>
    </row>
    <row r="1656">
      <c r="A1656" s="10" t="s">
        <v>1514</v>
      </c>
      <c r="B1656" s="17" t="s">
        <v>1515</v>
      </c>
      <c r="C1656" s="4" t="s">
        <v>3</v>
      </c>
      <c r="D1656" s="5" t="s">
        <v>15</v>
      </c>
      <c r="E1656" s="6" t="s">
        <v>325</v>
      </c>
      <c r="F1656" s="7">
        <v>45245.0</v>
      </c>
      <c r="H1656" s="11"/>
      <c r="J1656" s="18"/>
      <c r="L1656" s="18"/>
      <c r="M1656" s="23"/>
    </row>
    <row r="1657">
      <c r="A1657" s="10" t="s">
        <v>1514</v>
      </c>
      <c r="B1657" s="17" t="s">
        <v>1515</v>
      </c>
      <c r="C1657" s="4" t="s">
        <v>8</v>
      </c>
      <c r="D1657" s="5" t="s">
        <v>21</v>
      </c>
      <c r="E1657" s="6" t="s">
        <v>1527</v>
      </c>
      <c r="F1657" s="7">
        <v>45261.0</v>
      </c>
      <c r="H1657" s="11"/>
      <c r="J1657" s="18"/>
      <c r="L1657" s="18"/>
      <c r="M1657" s="23"/>
    </row>
    <row r="1658">
      <c r="A1658" s="10" t="s">
        <v>1514</v>
      </c>
      <c r="B1658" s="17" t="s">
        <v>1515</v>
      </c>
      <c r="C1658" s="4" t="s">
        <v>3</v>
      </c>
      <c r="D1658" s="5" t="s">
        <v>23</v>
      </c>
      <c r="E1658" s="6" t="s">
        <v>1528</v>
      </c>
      <c r="F1658" s="7">
        <v>45266.0</v>
      </c>
      <c r="H1658" s="11"/>
      <c r="J1658" s="18"/>
      <c r="L1658" s="18"/>
      <c r="M1658" s="23"/>
    </row>
    <row r="1659">
      <c r="A1659" s="10" t="s">
        <v>1514</v>
      </c>
      <c r="B1659" s="17" t="s">
        <v>1515</v>
      </c>
      <c r="C1659" s="4" t="s">
        <v>8</v>
      </c>
      <c r="D1659" s="5" t="s">
        <v>6</v>
      </c>
      <c r="E1659" s="6" t="s">
        <v>1529</v>
      </c>
      <c r="F1659" s="7">
        <v>45270.0</v>
      </c>
      <c r="H1659" s="11"/>
      <c r="J1659" s="18"/>
      <c r="L1659" s="18"/>
      <c r="M1659" s="23"/>
    </row>
    <row r="1660">
      <c r="A1660" s="10" t="s">
        <v>1514</v>
      </c>
      <c r="B1660" s="17" t="s">
        <v>1515</v>
      </c>
      <c r="C1660" s="4" t="s">
        <v>3</v>
      </c>
      <c r="D1660" s="5" t="s">
        <v>39</v>
      </c>
      <c r="E1660" s="6" t="s">
        <v>1068</v>
      </c>
      <c r="F1660" s="7">
        <v>45283.0</v>
      </c>
      <c r="H1660" s="11"/>
      <c r="J1660" s="18"/>
      <c r="L1660" s="18"/>
      <c r="M1660" s="23"/>
    </row>
    <row r="1661">
      <c r="A1661" s="10" t="s">
        <v>1530</v>
      </c>
      <c r="B1661" s="17" t="s">
        <v>1531</v>
      </c>
      <c r="C1661" s="4" t="s">
        <v>8</v>
      </c>
      <c r="D1661" s="5" t="s">
        <v>23</v>
      </c>
      <c r="E1661" s="6" t="s">
        <v>1532</v>
      </c>
      <c r="F1661" s="7">
        <v>44938.0</v>
      </c>
      <c r="H1661" s="11"/>
      <c r="J1661" s="18"/>
      <c r="L1661" s="18"/>
      <c r="M1661" s="23"/>
    </row>
    <row r="1662">
      <c r="A1662" s="10" t="s">
        <v>1530</v>
      </c>
      <c r="B1662" s="17" t="s">
        <v>1531</v>
      </c>
      <c r="C1662" s="4" t="s">
        <v>8</v>
      </c>
      <c r="D1662" s="5" t="s">
        <v>120</v>
      </c>
      <c r="E1662" s="6" t="s">
        <v>1533</v>
      </c>
      <c r="F1662" s="7">
        <v>44940.0</v>
      </c>
      <c r="H1662" s="11"/>
      <c r="J1662" s="18"/>
      <c r="L1662" s="18"/>
      <c r="M1662" s="23"/>
    </row>
    <row r="1663">
      <c r="A1663" s="10" t="s">
        <v>1530</v>
      </c>
      <c r="B1663" s="17" t="s">
        <v>1531</v>
      </c>
      <c r="C1663" s="4" t="s">
        <v>8</v>
      </c>
      <c r="D1663" s="5" t="s">
        <v>71</v>
      </c>
      <c r="E1663" s="6" t="s">
        <v>1534</v>
      </c>
      <c r="F1663" s="7">
        <v>44968.0</v>
      </c>
      <c r="H1663" s="11"/>
      <c r="J1663" s="18"/>
      <c r="L1663" s="18"/>
      <c r="M1663" s="23"/>
    </row>
    <row r="1664">
      <c r="A1664" s="10" t="s">
        <v>1530</v>
      </c>
      <c r="B1664" s="17" t="s">
        <v>1531</v>
      </c>
      <c r="C1664" s="4" t="s">
        <v>8</v>
      </c>
      <c r="D1664" s="5" t="s">
        <v>120</v>
      </c>
      <c r="E1664" s="6" t="s">
        <v>1535</v>
      </c>
      <c r="F1664" s="7">
        <v>44973.0</v>
      </c>
      <c r="H1664" s="11"/>
      <c r="J1664" s="18"/>
      <c r="L1664" s="18"/>
      <c r="M1664" s="23"/>
    </row>
    <row r="1665">
      <c r="A1665" s="10" t="s">
        <v>1530</v>
      </c>
      <c r="B1665" s="17" t="s">
        <v>1531</v>
      </c>
      <c r="C1665" s="4" t="s">
        <v>3</v>
      </c>
      <c r="D1665" s="5" t="s">
        <v>96</v>
      </c>
      <c r="E1665" s="6" t="s">
        <v>1536</v>
      </c>
      <c r="F1665" s="7">
        <v>45000.0</v>
      </c>
      <c r="H1665" s="11"/>
      <c r="J1665" s="18"/>
      <c r="L1665" s="18"/>
      <c r="M1665" s="23"/>
    </row>
    <row r="1666">
      <c r="A1666" s="10" t="s">
        <v>1530</v>
      </c>
      <c r="B1666" s="17" t="s">
        <v>1531</v>
      </c>
      <c r="C1666" s="4" t="s">
        <v>8</v>
      </c>
      <c r="D1666" s="5" t="s">
        <v>21</v>
      </c>
      <c r="E1666" s="6" t="s">
        <v>764</v>
      </c>
      <c r="F1666" s="7">
        <v>45033.0</v>
      </c>
      <c r="H1666" s="11"/>
      <c r="J1666" s="18"/>
      <c r="L1666" s="18"/>
      <c r="M1666" s="23"/>
    </row>
    <row r="1667">
      <c r="A1667" s="10" t="s">
        <v>1530</v>
      </c>
      <c r="B1667" s="17" t="s">
        <v>1531</v>
      </c>
      <c r="C1667" s="4" t="s">
        <v>8</v>
      </c>
      <c r="D1667" s="5" t="s">
        <v>4</v>
      </c>
      <c r="E1667" s="6" t="s">
        <v>1537</v>
      </c>
      <c r="F1667" s="7">
        <v>45049.0</v>
      </c>
      <c r="H1667" s="11"/>
      <c r="J1667" s="18"/>
      <c r="L1667" s="18"/>
      <c r="M1667" s="23"/>
    </row>
    <row r="1668">
      <c r="A1668" s="10" t="s">
        <v>1530</v>
      </c>
      <c r="B1668" s="17" t="s">
        <v>1531</v>
      </c>
      <c r="C1668" s="4" t="s">
        <v>8</v>
      </c>
      <c r="D1668" s="5" t="s">
        <v>17</v>
      </c>
      <c r="E1668" s="6" t="s">
        <v>1538</v>
      </c>
      <c r="F1668" s="7">
        <v>45083.0</v>
      </c>
      <c r="H1668" s="11"/>
      <c r="J1668" s="18"/>
      <c r="L1668" s="18"/>
      <c r="M1668" s="23"/>
    </row>
    <row r="1669">
      <c r="A1669" s="10" t="s">
        <v>1530</v>
      </c>
      <c r="B1669" s="17" t="s">
        <v>1531</v>
      </c>
      <c r="C1669" s="4" t="s">
        <v>3</v>
      </c>
      <c r="D1669" s="5" t="s">
        <v>17</v>
      </c>
      <c r="E1669" s="6" t="s">
        <v>611</v>
      </c>
      <c r="F1669" s="7">
        <v>45085.0</v>
      </c>
      <c r="H1669" s="11"/>
      <c r="J1669" s="18"/>
      <c r="L1669" s="18"/>
      <c r="M1669" s="23"/>
    </row>
    <row r="1670">
      <c r="A1670" s="10" t="s">
        <v>1530</v>
      </c>
      <c r="B1670" s="17" t="s">
        <v>1531</v>
      </c>
      <c r="C1670" s="4" t="s">
        <v>8</v>
      </c>
      <c r="D1670" s="5" t="s">
        <v>21</v>
      </c>
      <c r="E1670" s="6" t="s">
        <v>1539</v>
      </c>
      <c r="F1670" s="7">
        <v>45101.0</v>
      </c>
      <c r="H1670" s="11"/>
      <c r="J1670" s="18"/>
      <c r="L1670" s="18"/>
      <c r="M1670" s="23"/>
    </row>
    <row r="1671">
      <c r="A1671" s="10" t="s">
        <v>1530</v>
      </c>
      <c r="B1671" s="17" t="s">
        <v>1531</v>
      </c>
      <c r="C1671" s="4" t="s">
        <v>3</v>
      </c>
      <c r="D1671" s="5" t="s">
        <v>39</v>
      </c>
      <c r="E1671" s="6" t="s">
        <v>1540</v>
      </c>
      <c r="F1671" s="7">
        <v>45108.0</v>
      </c>
      <c r="H1671" s="11"/>
      <c r="J1671" s="18"/>
      <c r="L1671" s="18"/>
      <c r="M1671" s="23"/>
    </row>
    <row r="1672">
      <c r="A1672" s="10" t="s">
        <v>1530</v>
      </c>
      <c r="B1672" s="17" t="s">
        <v>1531</v>
      </c>
      <c r="C1672" s="4" t="s">
        <v>8</v>
      </c>
      <c r="D1672" s="5" t="s">
        <v>23</v>
      </c>
      <c r="E1672" s="6" t="s">
        <v>1541</v>
      </c>
      <c r="F1672" s="7">
        <v>45148.0</v>
      </c>
      <c r="H1672" s="11"/>
      <c r="J1672" s="18"/>
      <c r="L1672" s="18"/>
      <c r="M1672" s="23"/>
    </row>
    <row r="1673">
      <c r="A1673" s="10" t="s">
        <v>1530</v>
      </c>
      <c r="B1673" s="17" t="s">
        <v>1531</v>
      </c>
      <c r="C1673" s="4" t="s">
        <v>3</v>
      </c>
      <c r="D1673" s="5" t="s">
        <v>96</v>
      </c>
      <c r="E1673" s="6" t="s">
        <v>1542</v>
      </c>
      <c r="F1673" s="7">
        <v>45173.0</v>
      </c>
      <c r="H1673" s="11"/>
      <c r="J1673" s="18"/>
      <c r="L1673" s="18"/>
      <c r="M1673" s="23"/>
    </row>
    <row r="1674">
      <c r="A1674" s="10" t="s">
        <v>1530</v>
      </c>
      <c r="B1674" s="17" t="s">
        <v>1531</v>
      </c>
      <c r="C1674" s="4" t="s">
        <v>3</v>
      </c>
      <c r="D1674" s="5" t="s">
        <v>51</v>
      </c>
      <c r="E1674" s="6" t="s">
        <v>1543</v>
      </c>
      <c r="F1674" s="7">
        <v>45188.0</v>
      </c>
      <c r="H1674" s="11"/>
      <c r="J1674" s="18"/>
      <c r="L1674" s="18"/>
      <c r="M1674" s="23"/>
    </row>
    <row r="1675">
      <c r="A1675" s="10" t="s">
        <v>1530</v>
      </c>
      <c r="B1675" s="17" t="s">
        <v>1531</v>
      </c>
      <c r="C1675" s="4" t="s">
        <v>8</v>
      </c>
      <c r="D1675" s="5" t="s">
        <v>15</v>
      </c>
      <c r="E1675" s="6" t="s">
        <v>1230</v>
      </c>
      <c r="F1675" s="7">
        <v>45193.0</v>
      </c>
      <c r="H1675" s="11"/>
      <c r="J1675" s="18"/>
      <c r="L1675" s="18"/>
      <c r="M1675" s="23"/>
    </row>
    <row r="1676">
      <c r="A1676" s="10" t="s">
        <v>1530</v>
      </c>
      <c r="B1676" s="17" t="s">
        <v>1531</v>
      </c>
      <c r="C1676" s="4" t="s">
        <v>3</v>
      </c>
      <c r="D1676" s="5" t="s">
        <v>15</v>
      </c>
      <c r="E1676" s="6" t="s">
        <v>1178</v>
      </c>
      <c r="F1676" s="7">
        <v>45216.0</v>
      </c>
      <c r="H1676" s="11"/>
      <c r="J1676" s="18"/>
      <c r="L1676" s="18"/>
      <c r="M1676" s="23"/>
    </row>
    <row r="1677">
      <c r="A1677" s="10" t="s">
        <v>1530</v>
      </c>
      <c r="B1677" s="17" t="s">
        <v>1531</v>
      </c>
      <c r="C1677" s="4" t="s">
        <v>8</v>
      </c>
      <c r="D1677" s="5" t="s">
        <v>39</v>
      </c>
      <c r="E1677" s="6" t="s">
        <v>1544</v>
      </c>
      <c r="F1677" s="7">
        <v>45222.0</v>
      </c>
      <c r="H1677" s="11"/>
      <c r="J1677" s="18"/>
      <c r="L1677" s="18"/>
      <c r="M1677" s="23"/>
    </row>
    <row r="1678">
      <c r="A1678" s="10" t="s">
        <v>1530</v>
      </c>
      <c r="B1678" s="17" t="s">
        <v>1531</v>
      </c>
      <c r="C1678" s="4" t="s">
        <v>8</v>
      </c>
      <c r="D1678" s="5" t="s">
        <v>42</v>
      </c>
      <c r="E1678" s="6" t="s">
        <v>504</v>
      </c>
      <c r="F1678" s="7">
        <v>45222.0</v>
      </c>
      <c r="H1678" s="11"/>
      <c r="J1678" s="18"/>
      <c r="L1678" s="18"/>
      <c r="M1678" s="23"/>
    </row>
    <row r="1679">
      <c r="A1679" s="10" t="s">
        <v>1530</v>
      </c>
      <c r="B1679" s="17" t="s">
        <v>1531</v>
      </c>
      <c r="C1679" s="4" t="s">
        <v>8</v>
      </c>
      <c r="D1679" s="5" t="s">
        <v>39</v>
      </c>
      <c r="E1679" s="6" t="s">
        <v>1545</v>
      </c>
      <c r="F1679" s="7">
        <v>45262.0</v>
      </c>
      <c r="H1679" s="11"/>
      <c r="J1679" s="18"/>
      <c r="L1679" s="18"/>
      <c r="M1679" s="23"/>
    </row>
    <row r="1680">
      <c r="A1680" s="10" t="s">
        <v>1530</v>
      </c>
      <c r="B1680" s="17" t="s">
        <v>1531</v>
      </c>
      <c r="C1680" s="4" t="s">
        <v>3</v>
      </c>
      <c r="D1680" s="5" t="s">
        <v>76</v>
      </c>
      <c r="E1680" s="6" t="s">
        <v>1546</v>
      </c>
      <c r="F1680" s="7">
        <v>45266.0</v>
      </c>
      <c r="H1680" s="11"/>
      <c r="J1680" s="18"/>
      <c r="L1680" s="18"/>
      <c r="M1680" s="23"/>
    </row>
    <row r="1681">
      <c r="A1681" s="10" t="s">
        <v>1547</v>
      </c>
      <c r="B1681" s="17" t="s">
        <v>1548</v>
      </c>
      <c r="C1681" s="4" t="s">
        <v>8</v>
      </c>
      <c r="D1681" s="5" t="s">
        <v>76</v>
      </c>
      <c r="E1681" s="6" t="s">
        <v>329</v>
      </c>
      <c r="F1681" s="7">
        <v>44952.0</v>
      </c>
      <c r="H1681" s="11"/>
      <c r="J1681" s="18"/>
      <c r="L1681" s="18"/>
      <c r="M1681" s="23"/>
    </row>
    <row r="1682">
      <c r="A1682" s="10" t="s">
        <v>1547</v>
      </c>
      <c r="B1682" s="17" t="s">
        <v>1548</v>
      </c>
      <c r="C1682" s="4" t="s">
        <v>3</v>
      </c>
      <c r="D1682" s="5" t="s">
        <v>17</v>
      </c>
      <c r="E1682" s="6" t="s">
        <v>1549</v>
      </c>
      <c r="F1682" s="7">
        <v>44958.0</v>
      </c>
      <c r="H1682" s="11"/>
      <c r="J1682" s="18"/>
      <c r="L1682" s="18"/>
      <c r="M1682" s="23"/>
    </row>
    <row r="1683">
      <c r="A1683" s="10" t="s">
        <v>1547</v>
      </c>
      <c r="B1683" s="17" t="s">
        <v>1548</v>
      </c>
      <c r="C1683" s="4" t="s">
        <v>8</v>
      </c>
      <c r="D1683" s="5" t="s">
        <v>71</v>
      </c>
      <c r="E1683" s="6" t="s">
        <v>1550</v>
      </c>
      <c r="F1683" s="7">
        <v>44961.0</v>
      </c>
      <c r="H1683" s="11"/>
      <c r="J1683" s="18"/>
      <c r="L1683" s="18"/>
      <c r="M1683" s="23"/>
    </row>
    <row r="1684">
      <c r="A1684" s="10" t="s">
        <v>1547</v>
      </c>
      <c r="B1684" s="17" t="s">
        <v>1548</v>
      </c>
      <c r="C1684" s="4" t="s">
        <v>8</v>
      </c>
      <c r="D1684" s="5" t="s">
        <v>28</v>
      </c>
      <c r="E1684" s="6" t="s">
        <v>1426</v>
      </c>
      <c r="F1684" s="7">
        <v>44980.0</v>
      </c>
      <c r="H1684" s="11"/>
      <c r="J1684" s="18"/>
      <c r="L1684" s="18"/>
      <c r="M1684" s="23"/>
    </row>
    <row r="1685">
      <c r="A1685" s="10" t="s">
        <v>1547</v>
      </c>
      <c r="B1685" s="17" t="s">
        <v>1548</v>
      </c>
      <c r="C1685" s="4" t="s">
        <v>3</v>
      </c>
      <c r="D1685" s="5" t="s">
        <v>4</v>
      </c>
      <c r="E1685" s="6" t="s">
        <v>1551</v>
      </c>
      <c r="F1685" s="7">
        <v>45031.0</v>
      </c>
      <c r="H1685" s="11"/>
      <c r="J1685" s="18"/>
      <c r="L1685" s="18"/>
      <c r="M1685" s="23"/>
    </row>
    <row r="1686">
      <c r="A1686" s="10" t="s">
        <v>1547</v>
      </c>
      <c r="B1686" s="17" t="s">
        <v>1548</v>
      </c>
      <c r="C1686" s="4" t="s">
        <v>3</v>
      </c>
      <c r="D1686" s="5" t="s">
        <v>39</v>
      </c>
      <c r="E1686" s="6" t="s">
        <v>1552</v>
      </c>
      <c r="F1686" s="7">
        <v>45039.0</v>
      </c>
      <c r="H1686" s="11"/>
      <c r="J1686" s="18"/>
      <c r="L1686" s="18"/>
      <c r="M1686" s="23"/>
    </row>
    <row r="1687">
      <c r="A1687" s="10" t="s">
        <v>1547</v>
      </c>
      <c r="B1687" s="17" t="s">
        <v>1548</v>
      </c>
      <c r="C1687" s="4" t="s">
        <v>8</v>
      </c>
      <c r="D1687" s="5" t="s">
        <v>35</v>
      </c>
      <c r="E1687" s="6" t="s">
        <v>267</v>
      </c>
      <c r="F1687" s="7">
        <v>45064.0</v>
      </c>
      <c r="H1687" s="11"/>
      <c r="J1687" s="18"/>
      <c r="L1687" s="18"/>
      <c r="M1687" s="23"/>
    </row>
    <row r="1688">
      <c r="A1688" s="10" t="s">
        <v>1547</v>
      </c>
      <c r="B1688" s="17" t="s">
        <v>1548</v>
      </c>
      <c r="C1688" s="4" t="s">
        <v>3</v>
      </c>
      <c r="D1688" s="5" t="s">
        <v>15</v>
      </c>
      <c r="E1688" s="6" t="s">
        <v>615</v>
      </c>
      <c r="F1688" s="7">
        <v>45123.0</v>
      </c>
      <c r="H1688" s="11"/>
      <c r="J1688" s="18"/>
      <c r="L1688" s="18"/>
      <c r="M1688" s="23"/>
    </row>
    <row r="1689">
      <c r="A1689" s="10" t="s">
        <v>1547</v>
      </c>
      <c r="B1689" s="17" t="s">
        <v>1548</v>
      </c>
      <c r="C1689" s="4" t="s">
        <v>3</v>
      </c>
      <c r="D1689" s="5" t="s">
        <v>42</v>
      </c>
      <c r="E1689" s="6" t="s">
        <v>950</v>
      </c>
      <c r="F1689" s="7">
        <v>45127.0</v>
      </c>
      <c r="H1689" s="11"/>
      <c r="J1689" s="18"/>
      <c r="L1689" s="18"/>
      <c r="M1689" s="23"/>
    </row>
    <row r="1690">
      <c r="A1690" s="10" t="s">
        <v>1547</v>
      </c>
      <c r="B1690" s="17" t="s">
        <v>1548</v>
      </c>
      <c r="C1690" s="4" t="s">
        <v>8</v>
      </c>
      <c r="D1690" s="5" t="s">
        <v>51</v>
      </c>
      <c r="E1690" s="6" t="s">
        <v>135</v>
      </c>
      <c r="F1690" s="7">
        <v>45130.0</v>
      </c>
      <c r="H1690" s="11"/>
      <c r="J1690" s="18"/>
      <c r="L1690" s="18"/>
      <c r="M1690" s="23"/>
    </row>
    <row r="1691">
      <c r="A1691" s="10" t="s">
        <v>1547</v>
      </c>
      <c r="B1691" s="17" t="s">
        <v>1548</v>
      </c>
      <c r="C1691" s="4" t="s">
        <v>8</v>
      </c>
      <c r="D1691" s="5" t="s">
        <v>23</v>
      </c>
      <c r="E1691" s="6" t="s">
        <v>1553</v>
      </c>
      <c r="F1691" s="7">
        <v>45135.0</v>
      </c>
      <c r="H1691" s="11"/>
      <c r="J1691" s="18"/>
      <c r="L1691" s="18"/>
      <c r="M1691" s="23"/>
    </row>
    <row r="1692">
      <c r="A1692" s="10" t="s">
        <v>1547</v>
      </c>
      <c r="B1692" s="17" t="s">
        <v>1548</v>
      </c>
      <c r="C1692" s="4" t="s">
        <v>3</v>
      </c>
      <c r="D1692" s="5" t="s">
        <v>35</v>
      </c>
      <c r="E1692" s="6" t="s">
        <v>1554</v>
      </c>
      <c r="F1692" s="7">
        <v>45152.0</v>
      </c>
      <c r="H1692" s="11"/>
      <c r="J1692" s="18"/>
      <c r="L1692" s="18"/>
      <c r="M1692" s="23"/>
    </row>
    <row r="1693">
      <c r="A1693" s="10" t="s">
        <v>1547</v>
      </c>
      <c r="B1693" s="17" t="s">
        <v>1548</v>
      </c>
      <c r="C1693" s="4" t="s">
        <v>3</v>
      </c>
      <c r="D1693" s="5" t="s">
        <v>45</v>
      </c>
      <c r="E1693" s="6" t="s">
        <v>116</v>
      </c>
      <c r="F1693" s="7">
        <v>45156.0</v>
      </c>
      <c r="H1693" s="11"/>
      <c r="J1693" s="18"/>
      <c r="L1693" s="18"/>
      <c r="M1693" s="23"/>
    </row>
    <row r="1694">
      <c r="A1694" s="10" t="s">
        <v>1547</v>
      </c>
      <c r="B1694" s="17" t="s">
        <v>1548</v>
      </c>
      <c r="C1694" s="4" t="s">
        <v>8</v>
      </c>
      <c r="D1694" s="5" t="s">
        <v>11</v>
      </c>
      <c r="E1694" s="6" t="s">
        <v>903</v>
      </c>
      <c r="F1694" s="7">
        <v>45159.0</v>
      </c>
      <c r="H1694" s="11"/>
      <c r="J1694" s="18"/>
      <c r="L1694" s="18"/>
      <c r="M1694" s="23"/>
    </row>
    <row r="1695">
      <c r="A1695" s="10" t="s">
        <v>1547</v>
      </c>
      <c r="B1695" s="17" t="s">
        <v>1548</v>
      </c>
      <c r="C1695" s="4" t="s">
        <v>8</v>
      </c>
      <c r="D1695" s="5" t="s">
        <v>28</v>
      </c>
      <c r="E1695" s="6" t="s">
        <v>1555</v>
      </c>
      <c r="F1695" s="7">
        <v>45172.0</v>
      </c>
      <c r="H1695" s="11"/>
      <c r="J1695" s="18"/>
      <c r="L1695" s="18"/>
      <c r="M1695" s="23"/>
    </row>
    <row r="1696">
      <c r="A1696" s="10" t="s">
        <v>1547</v>
      </c>
      <c r="B1696" s="17" t="s">
        <v>1548</v>
      </c>
      <c r="C1696" s="4" t="s">
        <v>3</v>
      </c>
      <c r="D1696" s="5" t="s">
        <v>96</v>
      </c>
      <c r="E1696" s="6" t="s">
        <v>1556</v>
      </c>
      <c r="F1696" s="7">
        <v>45249.0</v>
      </c>
      <c r="H1696" s="11"/>
      <c r="J1696" s="18"/>
      <c r="L1696" s="18"/>
      <c r="M1696" s="23"/>
    </row>
    <row r="1697">
      <c r="A1697" s="10" t="s">
        <v>1547</v>
      </c>
      <c r="B1697" s="17" t="s">
        <v>1548</v>
      </c>
      <c r="C1697" s="4" t="s">
        <v>3</v>
      </c>
      <c r="D1697" s="5" t="s">
        <v>19</v>
      </c>
      <c r="E1697" s="6" t="s">
        <v>905</v>
      </c>
      <c r="F1697" s="7">
        <v>45254.0</v>
      </c>
      <c r="H1697" s="11"/>
      <c r="J1697" s="18"/>
      <c r="L1697" s="18"/>
      <c r="M1697" s="23"/>
    </row>
    <row r="1698">
      <c r="A1698" s="10" t="s">
        <v>1547</v>
      </c>
      <c r="B1698" s="17" t="s">
        <v>1548</v>
      </c>
      <c r="C1698" s="4" t="s">
        <v>8</v>
      </c>
      <c r="D1698" s="5" t="s">
        <v>23</v>
      </c>
      <c r="E1698" s="6" t="s">
        <v>1492</v>
      </c>
      <c r="F1698" s="7">
        <v>45254.0</v>
      </c>
      <c r="H1698" s="11"/>
      <c r="J1698" s="18"/>
      <c r="L1698" s="18"/>
      <c r="M1698" s="23"/>
    </row>
    <row r="1699">
      <c r="A1699" s="10" t="s">
        <v>1547</v>
      </c>
      <c r="B1699" s="17" t="s">
        <v>1548</v>
      </c>
      <c r="C1699" s="4" t="s">
        <v>3</v>
      </c>
      <c r="D1699" s="5" t="s">
        <v>28</v>
      </c>
      <c r="E1699" s="6" t="s">
        <v>585</v>
      </c>
      <c r="F1699" s="7">
        <v>45284.0</v>
      </c>
      <c r="H1699" s="11"/>
      <c r="J1699" s="18"/>
      <c r="L1699" s="18"/>
      <c r="M1699" s="23"/>
    </row>
    <row r="1700">
      <c r="A1700" s="10" t="s">
        <v>1547</v>
      </c>
      <c r="B1700" s="17" t="s">
        <v>1548</v>
      </c>
      <c r="C1700" s="4" t="s">
        <v>8</v>
      </c>
      <c r="D1700" s="5" t="s">
        <v>45</v>
      </c>
      <c r="E1700" s="6" t="s">
        <v>1557</v>
      </c>
      <c r="F1700" s="7">
        <v>45288.0</v>
      </c>
      <c r="H1700" s="11"/>
      <c r="J1700" s="18"/>
      <c r="L1700" s="18"/>
      <c r="M1700" s="23"/>
    </row>
    <row r="1701">
      <c r="A1701" s="10" t="s">
        <v>1558</v>
      </c>
      <c r="B1701" s="17" t="s">
        <v>1559</v>
      </c>
      <c r="C1701" s="4" t="s">
        <v>3</v>
      </c>
      <c r="D1701" s="5" t="s">
        <v>76</v>
      </c>
      <c r="E1701" s="6" t="s">
        <v>1560</v>
      </c>
      <c r="F1701" s="7">
        <v>44929.0</v>
      </c>
      <c r="H1701" s="11"/>
      <c r="J1701" s="18"/>
      <c r="L1701" s="18"/>
      <c r="M1701" s="23"/>
    </row>
    <row r="1702">
      <c r="A1702" s="10" t="s">
        <v>1558</v>
      </c>
      <c r="B1702" s="17" t="s">
        <v>1559</v>
      </c>
      <c r="C1702" s="4" t="s">
        <v>8</v>
      </c>
      <c r="D1702" s="5" t="s">
        <v>21</v>
      </c>
      <c r="E1702" s="6" t="s">
        <v>1561</v>
      </c>
      <c r="F1702" s="7">
        <v>44933.0</v>
      </c>
      <c r="H1702" s="11"/>
      <c r="J1702" s="18"/>
      <c r="L1702" s="18"/>
      <c r="M1702" s="23"/>
    </row>
    <row r="1703">
      <c r="A1703" s="10" t="s">
        <v>1558</v>
      </c>
      <c r="B1703" s="17" t="s">
        <v>1559</v>
      </c>
      <c r="C1703" s="4" t="s">
        <v>8</v>
      </c>
      <c r="D1703" s="5" t="s">
        <v>76</v>
      </c>
      <c r="E1703" s="6" t="s">
        <v>1562</v>
      </c>
      <c r="F1703" s="7">
        <v>44962.0</v>
      </c>
      <c r="H1703" s="11"/>
      <c r="J1703" s="18"/>
      <c r="L1703" s="18"/>
      <c r="M1703" s="23"/>
    </row>
    <row r="1704">
      <c r="A1704" s="10" t="s">
        <v>1558</v>
      </c>
      <c r="B1704" s="17" t="s">
        <v>1559</v>
      </c>
      <c r="C1704" s="4" t="s">
        <v>8</v>
      </c>
      <c r="D1704" s="5" t="s">
        <v>4</v>
      </c>
      <c r="E1704" s="6" t="s">
        <v>1563</v>
      </c>
      <c r="F1704" s="7">
        <v>45029.0</v>
      </c>
      <c r="H1704" s="11"/>
      <c r="J1704" s="18"/>
      <c r="L1704" s="18"/>
      <c r="M1704" s="23"/>
    </row>
    <row r="1705">
      <c r="A1705" s="10" t="s">
        <v>1558</v>
      </c>
      <c r="B1705" s="17" t="s">
        <v>1559</v>
      </c>
      <c r="C1705" s="4" t="s">
        <v>3</v>
      </c>
      <c r="D1705" s="5" t="s">
        <v>15</v>
      </c>
      <c r="E1705" s="6" t="s">
        <v>1564</v>
      </c>
      <c r="F1705" s="7">
        <v>45041.0</v>
      </c>
      <c r="H1705" s="11"/>
      <c r="J1705" s="18"/>
      <c r="L1705" s="18"/>
      <c r="M1705" s="23"/>
    </row>
    <row r="1706">
      <c r="A1706" s="10" t="s">
        <v>1558</v>
      </c>
      <c r="B1706" s="17" t="s">
        <v>1559</v>
      </c>
      <c r="C1706" s="4" t="s">
        <v>3</v>
      </c>
      <c r="D1706" s="5" t="s">
        <v>13</v>
      </c>
      <c r="E1706" s="6" t="s">
        <v>487</v>
      </c>
      <c r="F1706" s="7">
        <v>45047.0</v>
      </c>
      <c r="H1706" s="11"/>
      <c r="J1706" s="18"/>
      <c r="L1706" s="18"/>
      <c r="M1706" s="23"/>
    </row>
    <row r="1707">
      <c r="A1707" s="10" t="s">
        <v>1558</v>
      </c>
      <c r="B1707" s="17" t="s">
        <v>1559</v>
      </c>
      <c r="C1707" s="4" t="s">
        <v>8</v>
      </c>
      <c r="D1707" s="5" t="s">
        <v>71</v>
      </c>
      <c r="E1707" s="6" t="s">
        <v>807</v>
      </c>
      <c r="F1707" s="7">
        <v>45096.0</v>
      </c>
      <c r="H1707" s="11"/>
      <c r="J1707" s="18"/>
      <c r="L1707" s="18"/>
      <c r="M1707" s="23"/>
    </row>
    <row r="1708">
      <c r="A1708" s="10" t="s">
        <v>1558</v>
      </c>
      <c r="B1708" s="17" t="s">
        <v>1559</v>
      </c>
      <c r="C1708" s="4" t="s">
        <v>3</v>
      </c>
      <c r="D1708" s="5" t="s">
        <v>42</v>
      </c>
      <c r="E1708" s="6" t="s">
        <v>309</v>
      </c>
      <c r="F1708" s="7">
        <v>45102.0</v>
      </c>
      <c r="H1708" s="11"/>
      <c r="J1708" s="18"/>
      <c r="L1708" s="18"/>
      <c r="M1708" s="23"/>
    </row>
    <row r="1709">
      <c r="A1709" s="10" t="s">
        <v>1558</v>
      </c>
      <c r="B1709" s="17" t="s">
        <v>1559</v>
      </c>
      <c r="C1709" s="4" t="s">
        <v>8</v>
      </c>
      <c r="D1709" s="5" t="s">
        <v>19</v>
      </c>
      <c r="E1709" s="6" t="s">
        <v>1565</v>
      </c>
      <c r="F1709" s="7">
        <v>45105.0</v>
      </c>
      <c r="H1709" s="11"/>
      <c r="J1709" s="18"/>
      <c r="L1709" s="18"/>
      <c r="M1709" s="23"/>
    </row>
    <row r="1710">
      <c r="A1710" s="10" t="s">
        <v>1558</v>
      </c>
      <c r="B1710" s="17" t="s">
        <v>1559</v>
      </c>
      <c r="C1710" s="4" t="s">
        <v>8</v>
      </c>
      <c r="D1710" s="5" t="s">
        <v>4</v>
      </c>
      <c r="E1710" s="6" t="s">
        <v>1068</v>
      </c>
      <c r="F1710" s="7">
        <v>45113.0</v>
      </c>
      <c r="H1710" s="11"/>
      <c r="J1710" s="18"/>
      <c r="L1710" s="18"/>
      <c r="M1710" s="23"/>
    </row>
    <row r="1711">
      <c r="A1711" s="10" t="s">
        <v>1558</v>
      </c>
      <c r="B1711" s="17" t="s">
        <v>1559</v>
      </c>
      <c r="C1711" s="4" t="s">
        <v>3</v>
      </c>
      <c r="D1711" s="5" t="s">
        <v>17</v>
      </c>
      <c r="E1711" s="6" t="s">
        <v>1566</v>
      </c>
      <c r="F1711" s="7">
        <v>45120.0</v>
      </c>
      <c r="H1711" s="11"/>
      <c r="J1711" s="18"/>
      <c r="L1711" s="18"/>
      <c r="M1711" s="23"/>
    </row>
    <row r="1712">
      <c r="A1712" s="10" t="s">
        <v>1558</v>
      </c>
      <c r="B1712" s="17" t="s">
        <v>1559</v>
      </c>
      <c r="C1712" s="4" t="s">
        <v>8</v>
      </c>
      <c r="D1712" s="5" t="s">
        <v>9</v>
      </c>
      <c r="E1712" s="6" t="s">
        <v>938</v>
      </c>
      <c r="F1712" s="7">
        <v>45124.0</v>
      </c>
      <c r="H1712" s="11"/>
      <c r="J1712" s="18"/>
      <c r="L1712" s="18"/>
      <c r="M1712" s="23"/>
    </row>
    <row r="1713">
      <c r="A1713" s="10" t="s">
        <v>1558</v>
      </c>
      <c r="B1713" s="17" t="s">
        <v>1559</v>
      </c>
      <c r="C1713" s="4" t="s">
        <v>3</v>
      </c>
      <c r="D1713" s="5" t="s">
        <v>28</v>
      </c>
      <c r="E1713" s="6" t="s">
        <v>1567</v>
      </c>
      <c r="F1713" s="7">
        <v>45149.0</v>
      </c>
      <c r="H1713" s="11"/>
      <c r="J1713" s="18"/>
      <c r="L1713" s="18"/>
      <c r="M1713" s="23"/>
    </row>
    <row r="1714">
      <c r="A1714" s="10" t="s">
        <v>1558</v>
      </c>
      <c r="B1714" s="17" t="s">
        <v>1559</v>
      </c>
      <c r="C1714" s="4" t="s">
        <v>3</v>
      </c>
      <c r="D1714" s="5" t="s">
        <v>11</v>
      </c>
      <c r="E1714" s="6" t="s">
        <v>1568</v>
      </c>
      <c r="F1714" s="7">
        <v>45156.0</v>
      </c>
      <c r="H1714" s="11"/>
      <c r="J1714" s="18"/>
      <c r="L1714" s="18"/>
      <c r="M1714" s="23"/>
    </row>
    <row r="1715">
      <c r="A1715" s="10" t="s">
        <v>1558</v>
      </c>
      <c r="B1715" s="17" t="s">
        <v>1559</v>
      </c>
      <c r="C1715" s="4" t="s">
        <v>3</v>
      </c>
      <c r="D1715" s="5" t="s">
        <v>4</v>
      </c>
      <c r="E1715" s="6" t="s">
        <v>1569</v>
      </c>
      <c r="F1715" s="7">
        <v>45213.0</v>
      </c>
      <c r="H1715" s="11"/>
      <c r="J1715" s="18"/>
      <c r="L1715" s="18"/>
      <c r="M1715" s="23"/>
    </row>
    <row r="1716">
      <c r="A1716" s="10" t="s">
        <v>1558</v>
      </c>
      <c r="B1716" s="17" t="s">
        <v>1559</v>
      </c>
      <c r="C1716" s="4" t="s">
        <v>8</v>
      </c>
      <c r="D1716" s="5" t="s">
        <v>21</v>
      </c>
      <c r="E1716" s="6" t="s">
        <v>570</v>
      </c>
      <c r="F1716" s="7">
        <v>45214.0</v>
      </c>
      <c r="H1716" s="11"/>
      <c r="J1716" s="18"/>
      <c r="L1716" s="18"/>
      <c r="M1716" s="23"/>
    </row>
    <row r="1717">
      <c r="A1717" s="10" t="s">
        <v>1558</v>
      </c>
      <c r="B1717" s="17" t="s">
        <v>1559</v>
      </c>
      <c r="C1717" s="4" t="s">
        <v>3</v>
      </c>
      <c r="D1717" s="5" t="s">
        <v>15</v>
      </c>
      <c r="E1717" s="6" t="s">
        <v>1570</v>
      </c>
      <c r="F1717" s="7">
        <v>45219.0</v>
      </c>
      <c r="H1717" s="11"/>
      <c r="J1717" s="18"/>
      <c r="L1717" s="18"/>
      <c r="M1717" s="23"/>
    </row>
    <row r="1718">
      <c r="A1718" s="10" t="s">
        <v>1558</v>
      </c>
      <c r="B1718" s="17" t="s">
        <v>1559</v>
      </c>
      <c r="C1718" s="4" t="s">
        <v>3</v>
      </c>
      <c r="D1718" s="5" t="s">
        <v>120</v>
      </c>
      <c r="E1718" s="6" t="s">
        <v>1571</v>
      </c>
      <c r="F1718" s="7">
        <v>45234.0</v>
      </c>
      <c r="H1718" s="11"/>
      <c r="J1718" s="18"/>
      <c r="L1718" s="18"/>
      <c r="M1718" s="23"/>
    </row>
    <row r="1719">
      <c r="A1719" s="10" t="s">
        <v>1558</v>
      </c>
      <c r="B1719" s="17" t="s">
        <v>1559</v>
      </c>
      <c r="C1719" s="4" t="s">
        <v>8</v>
      </c>
      <c r="D1719" s="5" t="s">
        <v>13</v>
      </c>
      <c r="E1719" s="6" t="s">
        <v>1572</v>
      </c>
      <c r="F1719" s="7">
        <v>45237.0</v>
      </c>
      <c r="H1719" s="11"/>
      <c r="J1719" s="18"/>
      <c r="L1719" s="18"/>
      <c r="M1719" s="23"/>
    </row>
    <row r="1720">
      <c r="A1720" s="10" t="s">
        <v>1558</v>
      </c>
      <c r="B1720" s="17" t="s">
        <v>1559</v>
      </c>
      <c r="C1720" s="4" t="s">
        <v>8</v>
      </c>
      <c r="D1720" s="5" t="s">
        <v>120</v>
      </c>
      <c r="E1720" s="6" t="s">
        <v>1573</v>
      </c>
      <c r="F1720" s="7">
        <v>45278.0</v>
      </c>
      <c r="H1720" s="11"/>
      <c r="J1720" s="18"/>
      <c r="L1720" s="18"/>
      <c r="M1720" s="23"/>
    </row>
    <row r="1721">
      <c r="A1721" s="10" t="s">
        <v>1574</v>
      </c>
      <c r="B1721" s="17" t="s">
        <v>1575</v>
      </c>
      <c r="C1721" s="4" t="s">
        <v>8</v>
      </c>
      <c r="D1721" s="5" t="s">
        <v>9</v>
      </c>
      <c r="E1721" s="6" t="s">
        <v>1098</v>
      </c>
      <c r="F1721" s="7">
        <v>44986.0</v>
      </c>
      <c r="H1721" s="11"/>
      <c r="J1721" s="18"/>
      <c r="L1721" s="18"/>
      <c r="M1721" s="23"/>
    </row>
    <row r="1722">
      <c r="A1722" s="10" t="s">
        <v>1574</v>
      </c>
      <c r="B1722" s="17" t="s">
        <v>1575</v>
      </c>
      <c r="C1722" s="4" t="s">
        <v>3</v>
      </c>
      <c r="D1722" s="5" t="s">
        <v>71</v>
      </c>
      <c r="E1722" s="6" t="s">
        <v>1576</v>
      </c>
      <c r="F1722" s="7">
        <v>44992.0</v>
      </c>
      <c r="H1722" s="11"/>
      <c r="J1722" s="18"/>
      <c r="L1722" s="18"/>
      <c r="M1722" s="23"/>
    </row>
    <row r="1723">
      <c r="A1723" s="10" t="s">
        <v>1574</v>
      </c>
      <c r="B1723" s="17" t="s">
        <v>1575</v>
      </c>
      <c r="C1723" s="4" t="s">
        <v>8</v>
      </c>
      <c r="D1723" s="5" t="s">
        <v>13</v>
      </c>
      <c r="E1723" s="6" t="s">
        <v>900</v>
      </c>
      <c r="F1723" s="7">
        <v>45034.0</v>
      </c>
      <c r="H1723" s="11"/>
      <c r="J1723" s="18"/>
      <c r="L1723" s="18"/>
      <c r="M1723" s="23"/>
    </row>
    <row r="1724">
      <c r="A1724" s="10" t="s">
        <v>1574</v>
      </c>
      <c r="B1724" s="17" t="s">
        <v>1575</v>
      </c>
      <c r="C1724" s="4" t="s">
        <v>3</v>
      </c>
      <c r="D1724" s="5" t="s">
        <v>23</v>
      </c>
      <c r="E1724" s="6" t="s">
        <v>46</v>
      </c>
      <c r="F1724" s="7">
        <v>45042.0</v>
      </c>
      <c r="H1724" s="11"/>
      <c r="J1724" s="18"/>
      <c r="L1724" s="18"/>
      <c r="M1724" s="23"/>
    </row>
    <row r="1725">
      <c r="A1725" s="10" t="s">
        <v>1574</v>
      </c>
      <c r="B1725" s="17" t="s">
        <v>1575</v>
      </c>
      <c r="C1725" s="4" t="s">
        <v>8</v>
      </c>
      <c r="D1725" s="5" t="s">
        <v>23</v>
      </c>
      <c r="E1725" s="6" t="s">
        <v>626</v>
      </c>
      <c r="F1725" s="7">
        <v>45049.0</v>
      </c>
      <c r="H1725" s="11"/>
      <c r="J1725" s="18"/>
      <c r="L1725" s="18"/>
      <c r="M1725" s="23"/>
    </row>
    <row r="1726">
      <c r="A1726" s="10" t="s">
        <v>1574</v>
      </c>
      <c r="B1726" s="17" t="s">
        <v>1575</v>
      </c>
      <c r="C1726" s="4" t="s">
        <v>8</v>
      </c>
      <c r="D1726" s="5" t="s">
        <v>71</v>
      </c>
      <c r="E1726" s="6" t="s">
        <v>1577</v>
      </c>
      <c r="F1726" s="7">
        <v>45069.0</v>
      </c>
      <c r="H1726" s="11"/>
      <c r="J1726" s="18"/>
      <c r="L1726" s="18"/>
      <c r="M1726" s="23"/>
    </row>
    <row r="1727">
      <c r="A1727" s="10" t="s">
        <v>1574</v>
      </c>
      <c r="B1727" s="17" t="s">
        <v>1575</v>
      </c>
      <c r="C1727" s="4" t="s">
        <v>8</v>
      </c>
      <c r="D1727" s="5" t="s">
        <v>23</v>
      </c>
      <c r="E1727" s="6" t="s">
        <v>1578</v>
      </c>
      <c r="F1727" s="7">
        <v>45087.0</v>
      </c>
      <c r="H1727" s="11"/>
      <c r="J1727" s="18"/>
      <c r="L1727" s="18"/>
      <c r="M1727" s="23"/>
    </row>
    <row r="1728">
      <c r="A1728" s="10" t="s">
        <v>1574</v>
      </c>
      <c r="B1728" s="17" t="s">
        <v>1575</v>
      </c>
      <c r="C1728" s="4" t="s">
        <v>8</v>
      </c>
      <c r="D1728" s="5" t="s">
        <v>13</v>
      </c>
      <c r="E1728" s="6" t="s">
        <v>1579</v>
      </c>
      <c r="F1728" s="7">
        <v>45105.0</v>
      </c>
      <c r="H1728" s="11"/>
      <c r="J1728" s="18"/>
      <c r="L1728" s="18"/>
      <c r="M1728" s="23"/>
    </row>
    <row r="1729">
      <c r="A1729" s="10" t="s">
        <v>1574</v>
      </c>
      <c r="B1729" s="17" t="s">
        <v>1575</v>
      </c>
      <c r="C1729" s="4" t="s">
        <v>3</v>
      </c>
      <c r="D1729" s="5" t="s">
        <v>42</v>
      </c>
      <c r="E1729" s="6" t="s">
        <v>439</v>
      </c>
      <c r="F1729" s="7">
        <v>45108.0</v>
      </c>
      <c r="H1729" s="11"/>
      <c r="J1729" s="18"/>
      <c r="L1729" s="18"/>
      <c r="M1729" s="23"/>
    </row>
    <row r="1730">
      <c r="A1730" s="10" t="s">
        <v>1574</v>
      </c>
      <c r="B1730" s="17" t="s">
        <v>1575</v>
      </c>
      <c r="C1730" s="4" t="s">
        <v>3</v>
      </c>
      <c r="D1730" s="5" t="s">
        <v>9</v>
      </c>
      <c r="E1730" s="6" t="s">
        <v>1580</v>
      </c>
      <c r="F1730" s="7">
        <v>45134.0</v>
      </c>
      <c r="H1730" s="11"/>
      <c r="J1730" s="18"/>
      <c r="L1730" s="18"/>
      <c r="M1730" s="23"/>
    </row>
    <row r="1731">
      <c r="A1731" s="10" t="s">
        <v>1574</v>
      </c>
      <c r="B1731" s="17" t="s">
        <v>1575</v>
      </c>
      <c r="C1731" s="4" t="s">
        <v>8</v>
      </c>
      <c r="D1731" s="5" t="s">
        <v>21</v>
      </c>
      <c r="E1731" s="6" t="s">
        <v>649</v>
      </c>
      <c r="F1731" s="7">
        <v>45166.0</v>
      </c>
      <c r="H1731" s="11"/>
      <c r="J1731" s="18"/>
      <c r="L1731" s="18"/>
      <c r="M1731" s="23"/>
    </row>
    <row r="1732">
      <c r="A1732" s="10" t="s">
        <v>1574</v>
      </c>
      <c r="B1732" s="17" t="s">
        <v>1575</v>
      </c>
      <c r="C1732" s="4" t="s">
        <v>3</v>
      </c>
      <c r="D1732" s="5" t="s">
        <v>51</v>
      </c>
      <c r="E1732" s="6" t="s">
        <v>1581</v>
      </c>
      <c r="F1732" s="7">
        <v>45181.0</v>
      </c>
      <c r="H1732" s="11"/>
      <c r="J1732" s="18"/>
      <c r="L1732" s="18"/>
      <c r="M1732" s="23"/>
    </row>
    <row r="1733">
      <c r="A1733" s="10" t="s">
        <v>1574</v>
      </c>
      <c r="B1733" s="17" t="s">
        <v>1575</v>
      </c>
      <c r="C1733" s="4" t="s">
        <v>3</v>
      </c>
      <c r="D1733" s="5" t="s">
        <v>15</v>
      </c>
      <c r="E1733" s="6" t="s">
        <v>1440</v>
      </c>
      <c r="F1733" s="7">
        <v>45196.0</v>
      </c>
      <c r="H1733" s="11"/>
      <c r="J1733" s="18"/>
      <c r="L1733" s="18"/>
      <c r="M1733" s="23"/>
    </row>
    <row r="1734">
      <c r="A1734" s="10" t="s">
        <v>1574</v>
      </c>
      <c r="B1734" s="17" t="s">
        <v>1575</v>
      </c>
      <c r="C1734" s="4" t="s">
        <v>3</v>
      </c>
      <c r="D1734" s="5" t="s">
        <v>76</v>
      </c>
      <c r="E1734" s="6" t="s">
        <v>1582</v>
      </c>
      <c r="F1734" s="7">
        <v>45210.0</v>
      </c>
      <c r="H1734" s="11"/>
      <c r="J1734" s="18"/>
      <c r="L1734" s="18"/>
      <c r="M1734" s="23"/>
    </row>
    <row r="1735">
      <c r="A1735" s="10" t="s">
        <v>1574</v>
      </c>
      <c r="B1735" s="17" t="s">
        <v>1575</v>
      </c>
      <c r="C1735" s="4" t="s">
        <v>3</v>
      </c>
      <c r="D1735" s="5" t="s">
        <v>6</v>
      </c>
      <c r="E1735" s="6" t="s">
        <v>1583</v>
      </c>
      <c r="F1735" s="7">
        <v>45211.0</v>
      </c>
      <c r="H1735" s="11"/>
      <c r="J1735" s="18"/>
      <c r="L1735" s="18"/>
      <c r="M1735" s="23"/>
    </row>
    <row r="1736">
      <c r="A1736" s="10" t="s">
        <v>1574</v>
      </c>
      <c r="B1736" s="17" t="s">
        <v>1575</v>
      </c>
      <c r="C1736" s="4" t="s">
        <v>3</v>
      </c>
      <c r="D1736" s="5" t="s">
        <v>28</v>
      </c>
      <c r="E1736" s="6" t="s">
        <v>1055</v>
      </c>
      <c r="F1736" s="7">
        <v>45217.0</v>
      </c>
      <c r="H1736" s="11"/>
      <c r="J1736" s="18"/>
      <c r="L1736" s="18"/>
      <c r="M1736" s="23"/>
    </row>
    <row r="1737">
      <c r="A1737" s="10" t="s">
        <v>1574</v>
      </c>
      <c r="B1737" s="17" t="s">
        <v>1575</v>
      </c>
      <c r="C1737" s="4" t="s">
        <v>3</v>
      </c>
      <c r="D1737" s="5" t="s">
        <v>21</v>
      </c>
      <c r="E1737" s="6" t="s">
        <v>1584</v>
      </c>
      <c r="F1737" s="7">
        <v>45222.0</v>
      </c>
      <c r="H1737" s="11"/>
      <c r="J1737" s="18"/>
      <c r="L1737" s="18"/>
      <c r="M1737" s="23"/>
    </row>
    <row r="1738">
      <c r="A1738" s="10" t="s">
        <v>1574</v>
      </c>
      <c r="B1738" s="17" t="s">
        <v>1575</v>
      </c>
      <c r="C1738" s="4" t="s">
        <v>3</v>
      </c>
      <c r="D1738" s="5" t="s">
        <v>9</v>
      </c>
      <c r="E1738" s="6" t="s">
        <v>644</v>
      </c>
      <c r="F1738" s="7">
        <v>45239.0</v>
      </c>
      <c r="H1738" s="11"/>
      <c r="J1738" s="18"/>
      <c r="L1738" s="18"/>
      <c r="M1738" s="23"/>
    </row>
    <row r="1739">
      <c r="A1739" s="10" t="s">
        <v>1574</v>
      </c>
      <c r="B1739" s="17" t="s">
        <v>1575</v>
      </c>
      <c r="C1739" s="4" t="s">
        <v>8</v>
      </c>
      <c r="D1739" s="5" t="s">
        <v>15</v>
      </c>
      <c r="E1739" s="6" t="s">
        <v>509</v>
      </c>
      <c r="F1739" s="7">
        <v>45255.0</v>
      </c>
      <c r="H1739" s="11"/>
      <c r="J1739" s="18"/>
      <c r="L1739" s="18"/>
      <c r="M1739" s="23"/>
    </row>
    <row r="1740">
      <c r="A1740" s="10" t="s">
        <v>1574</v>
      </c>
      <c r="B1740" s="17" t="s">
        <v>1575</v>
      </c>
      <c r="C1740" s="4" t="s">
        <v>3</v>
      </c>
      <c r="D1740" s="5" t="s">
        <v>19</v>
      </c>
      <c r="E1740" s="6" t="s">
        <v>1585</v>
      </c>
      <c r="F1740" s="7">
        <v>45277.0</v>
      </c>
      <c r="H1740" s="11"/>
      <c r="J1740" s="18"/>
      <c r="L1740" s="18"/>
      <c r="M1740" s="23"/>
    </row>
    <row r="1741">
      <c r="A1741" s="10" t="s">
        <v>367</v>
      </c>
      <c r="B1741" s="17" t="s">
        <v>1586</v>
      </c>
      <c r="C1741" s="4" t="s">
        <v>8</v>
      </c>
      <c r="D1741" s="5" t="s">
        <v>76</v>
      </c>
      <c r="E1741" s="6" t="s">
        <v>1587</v>
      </c>
      <c r="F1741" s="7">
        <v>44954.0</v>
      </c>
      <c r="H1741" s="11"/>
      <c r="J1741" s="18"/>
      <c r="L1741" s="18"/>
      <c r="M1741" s="23"/>
    </row>
    <row r="1742">
      <c r="A1742" s="10" t="s">
        <v>367</v>
      </c>
      <c r="B1742" s="17" t="s">
        <v>1586</v>
      </c>
      <c r="C1742" s="4" t="s">
        <v>3</v>
      </c>
      <c r="D1742" s="5" t="s">
        <v>15</v>
      </c>
      <c r="E1742" s="6" t="s">
        <v>1588</v>
      </c>
      <c r="F1742" s="7">
        <v>44963.0</v>
      </c>
      <c r="H1742" s="11"/>
      <c r="J1742" s="18"/>
      <c r="L1742" s="18"/>
      <c r="M1742" s="23"/>
    </row>
    <row r="1743">
      <c r="A1743" s="10" t="s">
        <v>367</v>
      </c>
      <c r="B1743" s="17" t="s">
        <v>1586</v>
      </c>
      <c r="C1743" s="4" t="s">
        <v>8</v>
      </c>
      <c r="D1743" s="5" t="s">
        <v>35</v>
      </c>
      <c r="E1743" s="6" t="s">
        <v>266</v>
      </c>
      <c r="F1743" s="7">
        <v>44996.0</v>
      </c>
      <c r="H1743" s="11"/>
      <c r="J1743" s="18"/>
      <c r="L1743" s="18"/>
      <c r="M1743" s="23"/>
    </row>
    <row r="1744">
      <c r="A1744" s="10" t="s">
        <v>367</v>
      </c>
      <c r="B1744" s="17" t="s">
        <v>1586</v>
      </c>
      <c r="C1744" s="4" t="s">
        <v>8</v>
      </c>
      <c r="D1744" s="5" t="s">
        <v>17</v>
      </c>
      <c r="E1744" s="6" t="s">
        <v>949</v>
      </c>
      <c r="F1744" s="7">
        <v>45028.0</v>
      </c>
      <c r="H1744" s="11"/>
      <c r="J1744" s="18"/>
      <c r="L1744" s="18"/>
      <c r="M1744" s="23"/>
    </row>
    <row r="1745">
      <c r="A1745" s="10" t="s">
        <v>367</v>
      </c>
      <c r="B1745" s="17" t="s">
        <v>1586</v>
      </c>
      <c r="C1745" s="4" t="s">
        <v>3</v>
      </c>
      <c r="D1745" s="5" t="s">
        <v>19</v>
      </c>
      <c r="E1745" s="6" t="s">
        <v>1589</v>
      </c>
      <c r="F1745" s="7">
        <v>45035.0</v>
      </c>
      <c r="H1745" s="11"/>
      <c r="J1745" s="18"/>
      <c r="L1745" s="18"/>
      <c r="M1745" s="23"/>
    </row>
    <row r="1746">
      <c r="A1746" s="10" t="s">
        <v>367</v>
      </c>
      <c r="B1746" s="17" t="s">
        <v>1586</v>
      </c>
      <c r="C1746" s="4" t="s">
        <v>8</v>
      </c>
      <c r="D1746" s="5" t="s">
        <v>19</v>
      </c>
      <c r="E1746" s="6" t="s">
        <v>1367</v>
      </c>
      <c r="F1746" s="7">
        <v>45038.0</v>
      </c>
      <c r="H1746" s="11"/>
      <c r="J1746" s="18"/>
      <c r="L1746" s="18"/>
      <c r="M1746" s="23"/>
    </row>
    <row r="1747">
      <c r="A1747" s="10" t="s">
        <v>367</v>
      </c>
      <c r="B1747" s="17" t="s">
        <v>1586</v>
      </c>
      <c r="C1747" s="4" t="s">
        <v>8</v>
      </c>
      <c r="D1747" s="5" t="s">
        <v>35</v>
      </c>
      <c r="E1747" s="6" t="s">
        <v>1590</v>
      </c>
      <c r="F1747" s="7">
        <v>45043.0</v>
      </c>
      <c r="H1747" s="11"/>
      <c r="J1747" s="18"/>
      <c r="L1747" s="18"/>
      <c r="M1747" s="23"/>
    </row>
    <row r="1748">
      <c r="A1748" s="10" t="s">
        <v>367</v>
      </c>
      <c r="B1748" s="17" t="s">
        <v>1586</v>
      </c>
      <c r="C1748" s="4" t="s">
        <v>3</v>
      </c>
      <c r="D1748" s="5" t="s">
        <v>17</v>
      </c>
      <c r="E1748" s="6" t="s">
        <v>1591</v>
      </c>
      <c r="F1748" s="7">
        <v>45048.0</v>
      </c>
      <c r="H1748" s="11"/>
      <c r="J1748" s="18"/>
      <c r="L1748" s="18"/>
      <c r="M1748" s="23"/>
    </row>
    <row r="1749">
      <c r="A1749" s="10" t="s">
        <v>367</v>
      </c>
      <c r="B1749" s="17" t="s">
        <v>1586</v>
      </c>
      <c r="C1749" s="4" t="s">
        <v>3</v>
      </c>
      <c r="D1749" s="5" t="s">
        <v>76</v>
      </c>
      <c r="E1749" s="6" t="s">
        <v>1592</v>
      </c>
      <c r="F1749" s="7">
        <v>45065.0</v>
      </c>
      <c r="H1749" s="11"/>
      <c r="J1749" s="18"/>
      <c r="L1749" s="18"/>
      <c r="M1749" s="23"/>
    </row>
    <row r="1750">
      <c r="A1750" s="10" t="s">
        <v>367</v>
      </c>
      <c r="B1750" s="17" t="s">
        <v>1586</v>
      </c>
      <c r="C1750" s="4" t="s">
        <v>3</v>
      </c>
      <c r="D1750" s="5" t="s">
        <v>21</v>
      </c>
      <c r="E1750" s="6" t="s">
        <v>1593</v>
      </c>
      <c r="F1750" s="7">
        <v>45070.0</v>
      </c>
      <c r="H1750" s="11"/>
      <c r="J1750" s="18"/>
      <c r="L1750" s="18"/>
      <c r="M1750" s="23"/>
    </row>
    <row r="1751">
      <c r="A1751" s="10" t="s">
        <v>367</v>
      </c>
      <c r="B1751" s="17" t="s">
        <v>1586</v>
      </c>
      <c r="C1751" s="4" t="s">
        <v>3</v>
      </c>
      <c r="D1751" s="5" t="s">
        <v>6</v>
      </c>
      <c r="E1751" s="6" t="s">
        <v>1594</v>
      </c>
      <c r="F1751" s="7">
        <v>45083.0</v>
      </c>
      <c r="H1751" s="11"/>
      <c r="J1751" s="18"/>
      <c r="L1751" s="18"/>
      <c r="M1751" s="23"/>
    </row>
    <row r="1752">
      <c r="A1752" s="10" t="s">
        <v>367</v>
      </c>
      <c r="B1752" s="17" t="s">
        <v>1586</v>
      </c>
      <c r="C1752" s="4" t="s">
        <v>8</v>
      </c>
      <c r="D1752" s="5" t="s">
        <v>6</v>
      </c>
      <c r="E1752" s="6" t="s">
        <v>1595</v>
      </c>
      <c r="F1752" s="7">
        <v>45117.0</v>
      </c>
      <c r="H1752" s="11"/>
      <c r="J1752" s="18"/>
      <c r="L1752" s="18"/>
      <c r="M1752" s="23"/>
    </row>
    <row r="1753">
      <c r="A1753" s="10" t="s">
        <v>367</v>
      </c>
      <c r="B1753" s="17" t="s">
        <v>1586</v>
      </c>
      <c r="C1753" s="4" t="s">
        <v>3</v>
      </c>
      <c r="D1753" s="5" t="s">
        <v>19</v>
      </c>
      <c r="E1753" s="6" t="s">
        <v>26</v>
      </c>
      <c r="F1753" s="7">
        <v>45125.0</v>
      </c>
      <c r="H1753" s="11"/>
      <c r="J1753" s="18"/>
      <c r="L1753" s="18"/>
      <c r="M1753" s="23"/>
    </row>
    <row r="1754">
      <c r="A1754" s="10" t="s">
        <v>367</v>
      </c>
      <c r="B1754" s="17" t="s">
        <v>1586</v>
      </c>
      <c r="C1754" s="4" t="s">
        <v>3</v>
      </c>
      <c r="D1754" s="5" t="s">
        <v>6</v>
      </c>
      <c r="E1754" s="6" t="s">
        <v>1596</v>
      </c>
      <c r="F1754" s="7">
        <v>45129.0</v>
      </c>
      <c r="H1754" s="11"/>
      <c r="J1754" s="18"/>
      <c r="L1754" s="18"/>
      <c r="M1754" s="23"/>
    </row>
    <row r="1755">
      <c r="A1755" s="10" t="s">
        <v>367</v>
      </c>
      <c r="B1755" s="17" t="s">
        <v>1586</v>
      </c>
      <c r="C1755" s="4" t="s">
        <v>3</v>
      </c>
      <c r="D1755" s="5" t="s">
        <v>9</v>
      </c>
      <c r="E1755" s="6" t="s">
        <v>1597</v>
      </c>
      <c r="F1755" s="7">
        <v>45144.0</v>
      </c>
      <c r="H1755" s="11"/>
      <c r="J1755" s="18"/>
      <c r="L1755" s="18"/>
      <c r="M1755" s="23"/>
    </row>
    <row r="1756">
      <c r="A1756" s="10" t="s">
        <v>367</v>
      </c>
      <c r="B1756" s="17" t="s">
        <v>1586</v>
      </c>
      <c r="C1756" s="4" t="s">
        <v>3</v>
      </c>
      <c r="D1756" s="5" t="s">
        <v>120</v>
      </c>
      <c r="E1756" s="6" t="s">
        <v>971</v>
      </c>
      <c r="F1756" s="7">
        <v>45162.0</v>
      </c>
      <c r="H1756" s="11"/>
      <c r="J1756" s="18"/>
      <c r="L1756" s="18"/>
      <c r="M1756" s="23"/>
    </row>
    <row r="1757">
      <c r="A1757" s="10" t="s">
        <v>367</v>
      </c>
      <c r="B1757" s="17" t="s">
        <v>1586</v>
      </c>
      <c r="C1757" s="4" t="s">
        <v>8</v>
      </c>
      <c r="D1757" s="5" t="s">
        <v>96</v>
      </c>
      <c r="E1757" s="6" t="s">
        <v>1598</v>
      </c>
      <c r="F1757" s="7">
        <v>45214.0</v>
      </c>
      <c r="H1757" s="11"/>
      <c r="J1757" s="18"/>
      <c r="L1757" s="18"/>
      <c r="M1757" s="23"/>
    </row>
    <row r="1758">
      <c r="A1758" s="10" t="s">
        <v>367</v>
      </c>
      <c r="B1758" s="17" t="s">
        <v>1586</v>
      </c>
      <c r="C1758" s="4" t="s">
        <v>8</v>
      </c>
      <c r="D1758" s="5" t="s">
        <v>35</v>
      </c>
      <c r="E1758" s="6" t="s">
        <v>1599</v>
      </c>
      <c r="F1758" s="7">
        <v>45218.0</v>
      </c>
      <c r="H1758" s="11"/>
      <c r="J1758" s="18"/>
      <c r="L1758" s="18"/>
      <c r="M1758" s="23"/>
    </row>
    <row r="1759">
      <c r="A1759" s="10" t="s">
        <v>367</v>
      </c>
      <c r="B1759" s="17" t="s">
        <v>1586</v>
      </c>
      <c r="C1759" s="4" t="s">
        <v>3</v>
      </c>
      <c r="D1759" s="5" t="s">
        <v>45</v>
      </c>
      <c r="E1759" s="6" t="s">
        <v>1600</v>
      </c>
      <c r="F1759" s="7">
        <v>45243.0</v>
      </c>
      <c r="H1759" s="11"/>
      <c r="J1759" s="18"/>
      <c r="L1759" s="18"/>
      <c r="M1759" s="23"/>
    </row>
    <row r="1760">
      <c r="A1760" s="10" t="s">
        <v>367</v>
      </c>
      <c r="B1760" s="17" t="s">
        <v>1586</v>
      </c>
      <c r="C1760" s="4" t="s">
        <v>8</v>
      </c>
      <c r="D1760" s="5" t="s">
        <v>23</v>
      </c>
      <c r="E1760" s="6" t="s">
        <v>1601</v>
      </c>
      <c r="F1760" s="7">
        <v>45257.0</v>
      </c>
      <c r="H1760" s="11"/>
      <c r="J1760" s="18"/>
      <c r="L1760" s="18"/>
      <c r="M1760" s="23"/>
    </row>
    <row r="1761">
      <c r="A1761" s="10" t="s">
        <v>1602</v>
      </c>
      <c r="B1761" s="17" t="s">
        <v>1603</v>
      </c>
      <c r="C1761" s="4" t="s">
        <v>3</v>
      </c>
      <c r="D1761" s="5" t="s">
        <v>71</v>
      </c>
      <c r="E1761" s="6" t="s">
        <v>702</v>
      </c>
      <c r="F1761" s="7">
        <v>44938.0</v>
      </c>
      <c r="H1761" s="11"/>
      <c r="J1761" s="18"/>
      <c r="L1761" s="18"/>
      <c r="M1761" s="23"/>
    </row>
    <row r="1762">
      <c r="A1762" s="10" t="s">
        <v>1602</v>
      </c>
      <c r="B1762" s="17" t="s">
        <v>1603</v>
      </c>
      <c r="C1762" s="4" t="s">
        <v>8</v>
      </c>
      <c r="D1762" s="5" t="s">
        <v>6</v>
      </c>
      <c r="E1762" s="6" t="s">
        <v>1604</v>
      </c>
      <c r="F1762" s="7">
        <v>44943.0</v>
      </c>
      <c r="H1762" s="11"/>
      <c r="J1762" s="18"/>
      <c r="L1762" s="18"/>
      <c r="M1762" s="23"/>
    </row>
    <row r="1763">
      <c r="A1763" s="10" t="s">
        <v>1602</v>
      </c>
      <c r="B1763" s="17" t="s">
        <v>1603</v>
      </c>
      <c r="C1763" s="4" t="s">
        <v>3</v>
      </c>
      <c r="D1763" s="5" t="s">
        <v>19</v>
      </c>
      <c r="E1763" s="6" t="s">
        <v>1471</v>
      </c>
      <c r="F1763" s="7">
        <v>44985.0</v>
      </c>
      <c r="H1763" s="11"/>
      <c r="J1763" s="18"/>
      <c r="L1763" s="18"/>
      <c r="M1763" s="23"/>
    </row>
    <row r="1764">
      <c r="A1764" s="10" t="s">
        <v>1602</v>
      </c>
      <c r="B1764" s="17" t="s">
        <v>1603</v>
      </c>
      <c r="C1764" s="4" t="s">
        <v>3</v>
      </c>
      <c r="D1764" s="5" t="s">
        <v>6</v>
      </c>
      <c r="E1764" s="6" t="s">
        <v>290</v>
      </c>
      <c r="F1764" s="7">
        <v>44992.0</v>
      </c>
      <c r="H1764" s="11"/>
      <c r="J1764" s="18"/>
      <c r="L1764" s="18"/>
      <c r="M1764" s="23"/>
    </row>
    <row r="1765">
      <c r="A1765" s="10" t="s">
        <v>1602</v>
      </c>
      <c r="B1765" s="17" t="s">
        <v>1603</v>
      </c>
      <c r="C1765" s="4" t="s">
        <v>8</v>
      </c>
      <c r="D1765" s="5" t="s">
        <v>51</v>
      </c>
      <c r="E1765" s="6" t="s">
        <v>840</v>
      </c>
      <c r="F1765" s="7">
        <v>45026.0</v>
      </c>
      <c r="H1765" s="11"/>
      <c r="J1765" s="18"/>
      <c r="L1765" s="18"/>
      <c r="M1765" s="23"/>
    </row>
    <row r="1766">
      <c r="A1766" s="10" t="s">
        <v>1602</v>
      </c>
      <c r="B1766" s="17" t="s">
        <v>1603</v>
      </c>
      <c r="C1766" s="4" t="s">
        <v>3</v>
      </c>
      <c r="D1766" s="5" t="s">
        <v>42</v>
      </c>
      <c r="E1766" s="6" t="s">
        <v>43</v>
      </c>
      <c r="F1766" s="7">
        <v>45035.0</v>
      </c>
      <c r="H1766" s="11"/>
      <c r="J1766" s="18"/>
      <c r="L1766" s="18"/>
      <c r="M1766" s="23"/>
    </row>
    <row r="1767">
      <c r="A1767" s="10" t="s">
        <v>1602</v>
      </c>
      <c r="B1767" s="17" t="s">
        <v>1603</v>
      </c>
      <c r="C1767" s="4" t="s">
        <v>3</v>
      </c>
      <c r="D1767" s="5" t="s">
        <v>21</v>
      </c>
      <c r="E1767" s="6" t="s">
        <v>1605</v>
      </c>
      <c r="F1767" s="7">
        <v>45041.0</v>
      </c>
      <c r="H1767" s="11"/>
      <c r="J1767" s="18"/>
      <c r="L1767" s="18"/>
      <c r="M1767" s="23"/>
    </row>
    <row r="1768">
      <c r="A1768" s="10" t="s">
        <v>1602</v>
      </c>
      <c r="B1768" s="17" t="s">
        <v>1603</v>
      </c>
      <c r="C1768" s="4" t="s">
        <v>3</v>
      </c>
      <c r="D1768" s="5" t="s">
        <v>28</v>
      </c>
      <c r="E1768" s="6" t="s">
        <v>352</v>
      </c>
      <c r="F1768" s="7">
        <v>45050.0</v>
      </c>
      <c r="H1768" s="11"/>
      <c r="J1768" s="18"/>
      <c r="L1768" s="18"/>
      <c r="M1768" s="23"/>
    </row>
    <row r="1769">
      <c r="A1769" s="10" t="s">
        <v>1602</v>
      </c>
      <c r="B1769" s="17" t="s">
        <v>1603</v>
      </c>
      <c r="C1769" s="4" t="s">
        <v>8</v>
      </c>
      <c r="D1769" s="5" t="s">
        <v>35</v>
      </c>
      <c r="E1769" s="6" t="s">
        <v>1606</v>
      </c>
      <c r="F1769" s="7">
        <v>45053.0</v>
      </c>
      <c r="H1769" s="11"/>
      <c r="J1769" s="18"/>
      <c r="L1769" s="18"/>
      <c r="M1769" s="23"/>
    </row>
    <row r="1770">
      <c r="A1770" s="10" t="s">
        <v>1602</v>
      </c>
      <c r="B1770" s="17" t="s">
        <v>1603</v>
      </c>
      <c r="C1770" s="4" t="s">
        <v>3</v>
      </c>
      <c r="D1770" s="5" t="s">
        <v>76</v>
      </c>
      <c r="E1770" s="6" t="s">
        <v>1607</v>
      </c>
      <c r="F1770" s="7">
        <v>45073.0</v>
      </c>
      <c r="H1770" s="11"/>
      <c r="J1770" s="18"/>
      <c r="L1770" s="18"/>
      <c r="M1770" s="23"/>
    </row>
    <row r="1771">
      <c r="A1771" s="10" t="s">
        <v>1602</v>
      </c>
      <c r="B1771" s="17" t="s">
        <v>1603</v>
      </c>
      <c r="C1771" s="4" t="s">
        <v>3</v>
      </c>
      <c r="D1771" s="5" t="s">
        <v>17</v>
      </c>
      <c r="E1771" s="6" t="s">
        <v>1608</v>
      </c>
      <c r="F1771" s="7">
        <v>45084.0</v>
      </c>
      <c r="H1771" s="11"/>
      <c r="J1771" s="18"/>
      <c r="L1771" s="18"/>
      <c r="M1771" s="23"/>
    </row>
    <row r="1772">
      <c r="A1772" s="10" t="s">
        <v>1602</v>
      </c>
      <c r="B1772" s="17" t="s">
        <v>1603</v>
      </c>
      <c r="C1772" s="4" t="s">
        <v>8</v>
      </c>
      <c r="D1772" s="5" t="s">
        <v>51</v>
      </c>
      <c r="E1772" s="6" t="s">
        <v>1609</v>
      </c>
      <c r="F1772" s="7">
        <v>45099.0</v>
      </c>
      <c r="H1772" s="11"/>
      <c r="J1772" s="18"/>
      <c r="L1772" s="18"/>
      <c r="M1772" s="23"/>
    </row>
    <row r="1773">
      <c r="A1773" s="10" t="s">
        <v>1602</v>
      </c>
      <c r="B1773" s="17" t="s">
        <v>1603</v>
      </c>
      <c r="C1773" s="4" t="s">
        <v>8</v>
      </c>
      <c r="D1773" s="5" t="s">
        <v>76</v>
      </c>
      <c r="E1773" s="6" t="s">
        <v>690</v>
      </c>
      <c r="F1773" s="7">
        <v>45108.0</v>
      </c>
      <c r="H1773" s="11"/>
      <c r="J1773" s="18"/>
      <c r="L1773" s="18"/>
      <c r="M1773" s="23"/>
    </row>
    <row r="1774">
      <c r="A1774" s="10" t="s">
        <v>1602</v>
      </c>
      <c r="B1774" s="17" t="s">
        <v>1603</v>
      </c>
      <c r="C1774" s="4" t="s">
        <v>3</v>
      </c>
      <c r="D1774" s="5" t="s">
        <v>39</v>
      </c>
      <c r="E1774" s="6" t="s">
        <v>1610</v>
      </c>
      <c r="F1774" s="7">
        <v>45126.0</v>
      </c>
      <c r="H1774" s="11"/>
      <c r="J1774" s="18"/>
      <c r="L1774" s="18"/>
      <c r="M1774" s="23"/>
    </row>
    <row r="1775">
      <c r="A1775" s="10" t="s">
        <v>1602</v>
      </c>
      <c r="B1775" s="17" t="s">
        <v>1603</v>
      </c>
      <c r="C1775" s="4" t="s">
        <v>8</v>
      </c>
      <c r="D1775" s="5" t="s">
        <v>6</v>
      </c>
      <c r="E1775" s="6" t="s">
        <v>1611</v>
      </c>
      <c r="F1775" s="7">
        <v>45176.0</v>
      </c>
      <c r="H1775" s="11"/>
      <c r="J1775" s="18"/>
      <c r="L1775" s="18"/>
      <c r="M1775" s="23"/>
    </row>
    <row r="1776">
      <c r="A1776" s="10" t="s">
        <v>1602</v>
      </c>
      <c r="B1776" s="17" t="s">
        <v>1603</v>
      </c>
      <c r="C1776" s="4" t="s">
        <v>3</v>
      </c>
      <c r="D1776" s="5" t="s">
        <v>71</v>
      </c>
      <c r="E1776" s="6" t="s">
        <v>1612</v>
      </c>
      <c r="F1776" s="7">
        <v>45181.0</v>
      </c>
      <c r="H1776" s="11"/>
      <c r="J1776" s="18"/>
      <c r="L1776" s="18"/>
      <c r="M1776" s="23"/>
    </row>
    <row r="1777">
      <c r="A1777" s="10" t="s">
        <v>1602</v>
      </c>
      <c r="B1777" s="17" t="s">
        <v>1603</v>
      </c>
      <c r="C1777" s="4" t="s">
        <v>8</v>
      </c>
      <c r="D1777" s="5" t="s">
        <v>4</v>
      </c>
      <c r="E1777" s="6" t="s">
        <v>1613</v>
      </c>
      <c r="F1777" s="7">
        <v>45221.0</v>
      </c>
      <c r="H1777" s="11"/>
      <c r="J1777" s="18"/>
      <c r="L1777" s="18"/>
      <c r="M1777" s="23"/>
    </row>
    <row r="1778">
      <c r="A1778" s="10" t="s">
        <v>1602</v>
      </c>
      <c r="B1778" s="17" t="s">
        <v>1603</v>
      </c>
      <c r="C1778" s="4" t="s">
        <v>3</v>
      </c>
      <c r="D1778" s="5" t="s">
        <v>76</v>
      </c>
      <c r="E1778" s="6" t="s">
        <v>1379</v>
      </c>
      <c r="F1778" s="7">
        <v>45279.0</v>
      </c>
      <c r="H1778" s="11"/>
      <c r="J1778" s="18"/>
      <c r="L1778" s="18"/>
      <c r="M1778" s="23"/>
    </row>
    <row r="1779">
      <c r="A1779" s="10" t="s">
        <v>1602</v>
      </c>
      <c r="B1779" s="17" t="s">
        <v>1603</v>
      </c>
      <c r="C1779" s="4" t="s">
        <v>3</v>
      </c>
      <c r="D1779" s="5" t="s">
        <v>13</v>
      </c>
      <c r="E1779" s="6" t="s">
        <v>707</v>
      </c>
      <c r="F1779" s="7">
        <v>45286.0</v>
      </c>
      <c r="H1779" s="11"/>
      <c r="J1779" s="18"/>
      <c r="L1779" s="18"/>
      <c r="M1779" s="23"/>
    </row>
    <row r="1780">
      <c r="A1780" s="10" t="s">
        <v>1602</v>
      </c>
      <c r="B1780" s="17" t="s">
        <v>1603</v>
      </c>
      <c r="C1780" s="4" t="s">
        <v>8</v>
      </c>
      <c r="D1780" s="5" t="s">
        <v>9</v>
      </c>
      <c r="E1780" s="6" t="s">
        <v>1614</v>
      </c>
      <c r="F1780" s="7">
        <v>45286.0</v>
      </c>
      <c r="H1780" s="11"/>
      <c r="J1780" s="18"/>
      <c r="L1780" s="18"/>
      <c r="M1780" s="23"/>
    </row>
    <row r="1781">
      <c r="A1781" s="10" t="s">
        <v>1615</v>
      </c>
      <c r="B1781" s="17" t="s">
        <v>1616</v>
      </c>
      <c r="C1781" s="4" t="s">
        <v>3</v>
      </c>
      <c r="D1781" s="5" t="s">
        <v>4</v>
      </c>
      <c r="E1781" s="6" t="s">
        <v>1617</v>
      </c>
      <c r="F1781" s="7">
        <v>44967.0</v>
      </c>
      <c r="H1781" s="11"/>
      <c r="J1781" s="18"/>
      <c r="L1781" s="18"/>
      <c r="M1781" s="23"/>
    </row>
    <row r="1782">
      <c r="A1782" s="10" t="s">
        <v>1615</v>
      </c>
      <c r="B1782" s="17" t="s">
        <v>1616</v>
      </c>
      <c r="C1782" s="4" t="s">
        <v>8</v>
      </c>
      <c r="D1782" s="5" t="s">
        <v>21</v>
      </c>
      <c r="E1782" s="6" t="s">
        <v>1618</v>
      </c>
      <c r="F1782" s="7">
        <v>44982.0</v>
      </c>
      <c r="H1782" s="11"/>
      <c r="J1782" s="18"/>
      <c r="L1782" s="18"/>
      <c r="M1782" s="23"/>
    </row>
    <row r="1783">
      <c r="A1783" s="10" t="s">
        <v>1615</v>
      </c>
      <c r="B1783" s="17" t="s">
        <v>1616</v>
      </c>
      <c r="C1783" s="4" t="s">
        <v>3</v>
      </c>
      <c r="D1783" s="5" t="s">
        <v>4</v>
      </c>
      <c r="E1783" s="6" t="s">
        <v>1619</v>
      </c>
      <c r="F1783" s="7">
        <v>45047.0</v>
      </c>
      <c r="H1783" s="11"/>
      <c r="J1783" s="18"/>
      <c r="L1783" s="18"/>
      <c r="M1783" s="23"/>
    </row>
    <row r="1784">
      <c r="A1784" s="10" t="s">
        <v>1615</v>
      </c>
      <c r="B1784" s="17" t="s">
        <v>1616</v>
      </c>
      <c r="C1784" s="4" t="s">
        <v>3</v>
      </c>
      <c r="D1784" s="5" t="s">
        <v>17</v>
      </c>
      <c r="E1784" s="6" t="s">
        <v>1620</v>
      </c>
      <c r="F1784" s="7">
        <v>45061.0</v>
      </c>
      <c r="H1784" s="11"/>
      <c r="J1784" s="18"/>
      <c r="L1784" s="18"/>
      <c r="M1784" s="23"/>
    </row>
    <row r="1785">
      <c r="A1785" s="10" t="s">
        <v>1615</v>
      </c>
      <c r="B1785" s="17" t="s">
        <v>1616</v>
      </c>
      <c r="C1785" s="4" t="s">
        <v>3</v>
      </c>
      <c r="D1785" s="5" t="s">
        <v>19</v>
      </c>
      <c r="E1785" s="6" t="s">
        <v>113</v>
      </c>
      <c r="F1785" s="7">
        <v>45063.0</v>
      </c>
      <c r="H1785" s="11"/>
      <c r="J1785" s="18"/>
      <c r="L1785" s="18"/>
      <c r="M1785" s="23"/>
    </row>
    <row r="1786">
      <c r="A1786" s="10" t="s">
        <v>1615</v>
      </c>
      <c r="B1786" s="17" t="s">
        <v>1616</v>
      </c>
      <c r="C1786" s="4" t="s">
        <v>3</v>
      </c>
      <c r="D1786" s="5" t="s">
        <v>6</v>
      </c>
      <c r="E1786" s="6" t="s">
        <v>1621</v>
      </c>
      <c r="F1786" s="7">
        <v>45120.0</v>
      </c>
      <c r="H1786" s="11"/>
      <c r="J1786" s="18"/>
      <c r="L1786" s="18"/>
      <c r="M1786" s="23"/>
    </row>
    <row r="1787">
      <c r="A1787" s="10" t="s">
        <v>1615</v>
      </c>
      <c r="B1787" s="17" t="s">
        <v>1616</v>
      </c>
      <c r="C1787" s="4" t="s">
        <v>8</v>
      </c>
      <c r="D1787" s="5" t="s">
        <v>19</v>
      </c>
      <c r="E1787" s="6" t="s">
        <v>1622</v>
      </c>
      <c r="F1787" s="7">
        <v>45144.0</v>
      </c>
      <c r="H1787" s="11"/>
      <c r="J1787" s="18"/>
      <c r="L1787" s="18"/>
      <c r="M1787" s="23"/>
    </row>
    <row r="1788">
      <c r="A1788" s="10" t="s">
        <v>1615</v>
      </c>
      <c r="B1788" s="17" t="s">
        <v>1616</v>
      </c>
      <c r="C1788" s="4" t="s">
        <v>3</v>
      </c>
      <c r="D1788" s="5" t="s">
        <v>45</v>
      </c>
      <c r="E1788" s="6" t="s">
        <v>1623</v>
      </c>
      <c r="F1788" s="7">
        <v>45155.0</v>
      </c>
      <c r="H1788" s="11"/>
      <c r="J1788" s="18"/>
      <c r="L1788" s="18"/>
      <c r="M1788" s="23"/>
    </row>
    <row r="1789">
      <c r="A1789" s="10" t="s">
        <v>1615</v>
      </c>
      <c r="B1789" s="17" t="s">
        <v>1616</v>
      </c>
      <c r="C1789" s="4" t="s">
        <v>3</v>
      </c>
      <c r="D1789" s="5" t="s">
        <v>23</v>
      </c>
      <c r="E1789" s="6" t="s">
        <v>1624</v>
      </c>
      <c r="F1789" s="7">
        <v>45159.0</v>
      </c>
      <c r="H1789" s="11"/>
      <c r="J1789" s="18"/>
      <c r="L1789" s="18"/>
      <c r="M1789" s="23"/>
    </row>
    <row r="1790">
      <c r="A1790" s="10" t="s">
        <v>1615</v>
      </c>
      <c r="B1790" s="17" t="s">
        <v>1616</v>
      </c>
      <c r="C1790" s="4" t="s">
        <v>3</v>
      </c>
      <c r="D1790" s="5" t="s">
        <v>19</v>
      </c>
      <c r="E1790" s="6" t="s">
        <v>1625</v>
      </c>
      <c r="F1790" s="7">
        <v>45184.0</v>
      </c>
      <c r="H1790" s="11"/>
      <c r="J1790" s="18"/>
      <c r="L1790" s="18"/>
      <c r="M1790" s="23"/>
    </row>
    <row r="1791">
      <c r="A1791" s="10" t="s">
        <v>1615</v>
      </c>
      <c r="B1791" s="17" t="s">
        <v>1616</v>
      </c>
      <c r="C1791" s="4" t="s">
        <v>8</v>
      </c>
      <c r="D1791" s="5" t="s">
        <v>19</v>
      </c>
      <c r="E1791" s="6" t="s">
        <v>1626</v>
      </c>
      <c r="F1791" s="7">
        <v>45190.0</v>
      </c>
      <c r="H1791" s="11"/>
      <c r="J1791" s="18"/>
      <c r="L1791" s="18"/>
      <c r="M1791" s="23"/>
    </row>
    <row r="1792">
      <c r="A1792" s="10" t="s">
        <v>1615</v>
      </c>
      <c r="B1792" s="17" t="s">
        <v>1616</v>
      </c>
      <c r="C1792" s="4" t="s">
        <v>8</v>
      </c>
      <c r="D1792" s="5" t="s">
        <v>23</v>
      </c>
      <c r="E1792" s="6" t="s">
        <v>1627</v>
      </c>
      <c r="F1792" s="7">
        <v>45190.0</v>
      </c>
      <c r="H1792" s="11"/>
      <c r="J1792" s="18"/>
      <c r="L1792" s="18"/>
      <c r="M1792" s="23"/>
    </row>
    <row r="1793">
      <c r="A1793" s="10" t="s">
        <v>1615</v>
      </c>
      <c r="B1793" s="17" t="s">
        <v>1616</v>
      </c>
      <c r="C1793" s="4" t="s">
        <v>3</v>
      </c>
      <c r="D1793" s="5" t="s">
        <v>17</v>
      </c>
      <c r="E1793" s="6" t="s">
        <v>1628</v>
      </c>
      <c r="F1793" s="7">
        <v>45211.0</v>
      </c>
      <c r="H1793" s="11"/>
      <c r="J1793" s="18"/>
      <c r="L1793" s="18"/>
      <c r="M1793" s="23"/>
    </row>
    <row r="1794">
      <c r="A1794" s="10" t="s">
        <v>1615</v>
      </c>
      <c r="B1794" s="17" t="s">
        <v>1616</v>
      </c>
      <c r="C1794" s="4" t="s">
        <v>3</v>
      </c>
      <c r="D1794" s="5" t="s">
        <v>17</v>
      </c>
      <c r="E1794" s="6" t="s">
        <v>911</v>
      </c>
      <c r="F1794" s="7">
        <v>45212.0</v>
      </c>
      <c r="H1794" s="11"/>
      <c r="J1794" s="18"/>
      <c r="L1794" s="18"/>
      <c r="M1794" s="23"/>
    </row>
    <row r="1795">
      <c r="A1795" s="10" t="s">
        <v>1615</v>
      </c>
      <c r="B1795" s="17" t="s">
        <v>1616</v>
      </c>
      <c r="C1795" s="4" t="s">
        <v>8</v>
      </c>
      <c r="D1795" s="5" t="s">
        <v>23</v>
      </c>
      <c r="E1795" s="6" t="s">
        <v>1373</v>
      </c>
      <c r="F1795" s="7">
        <v>45233.0</v>
      </c>
      <c r="H1795" s="11"/>
      <c r="J1795" s="18"/>
      <c r="L1795" s="18"/>
      <c r="M1795" s="23"/>
    </row>
    <row r="1796">
      <c r="A1796" s="10" t="s">
        <v>1615</v>
      </c>
      <c r="B1796" s="17" t="s">
        <v>1616</v>
      </c>
      <c r="C1796" s="4" t="s">
        <v>3</v>
      </c>
      <c r="D1796" s="5" t="s">
        <v>13</v>
      </c>
      <c r="E1796" s="6" t="s">
        <v>1629</v>
      </c>
      <c r="F1796" s="7">
        <v>45245.0</v>
      </c>
      <c r="H1796" s="11"/>
      <c r="J1796" s="18"/>
      <c r="L1796" s="18"/>
      <c r="M1796" s="23"/>
    </row>
    <row r="1797">
      <c r="A1797" s="10" t="s">
        <v>1615</v>
      </c>
      <c r="B1797" s="17" t="s">
        <v>1616</v>
      </c>
      <c r="C1797" s="4" t="s">
        <v>8</v>
      </c>
      <c r="D1797" s="5" t="s">
        <v>11</v>
      </c>
      <c r="E1797" s="6" t="s">
        <v>1029</v>
      </c>
      <c r="F1797" s="7">
        <v>45254.0</v>
      </c>
      <c r="H1797" s="11"/>
      <c r="J1797" s="18"/>
      <c r="L1797" s="18"/>
      <c r="M1797" s="23"/>
    </row>
    <row r="1798">
      <c r="A1798" s="10" t="s">
        <v>1615</v>
      </c>
      <c r="B1798" s="17" t="s">
        <v>1616</v>
      </c>
      <c r="C1798" s="4" t="s">
        <v>8</v>
      </c>
      <c r="D1798" s="5" t="s">
        <v>120</v>
      </c>
      <c r="E1798" s="6" t="s">
        <v>1630</v>
      </c>
      <c r="F1798" s="7">
        <v>45261.0</v>
      </c>
      <c r="H1798" s="11"/>
      <c r="J1798" s="18"/>
      <c r="L1798" s="18"/>
      <c r="M1798" s="23"/>
    </row>
    <row r="1799">
      <c r="A1799" s="10" t="s">
        <v>1615</v>
      </c>
      <c r="B1799" s="17" t="s">
        <v>1616</v>
      </c>
      <c r="C1799" s="4" t="s">
        <v>3</v>
      </c>
      <c r="D1799" s="5" t="s">
        <v>4</v>
      </c>
      <c r="E1799" s="6" t="s">
        <v>1631</v>
      </c>
      <c r="F1799" s="7">
        <v>45269.0</v>
      </c>
      <c r="H1799" s="11"/>
      <c r="J1799" s="18"/>
      <c r="L1799" s="18"/>
      <c r="M1799" s="23"/>
    </row>
    <row r="1800">
      <c r="A1800" s="10" t="s">
        <v>1615</v>
      </c>
      <c r="B1800" s="17" t="s">
        <v>1616</v>
      </c>
      <c r="C1800" s="4" t="s">
        <v>8</v>
      </c>
      <c r="D1800" s="5" t="s">
        <v>9</v>
      </c>
      <c r="E1800" s="6" t="s">
        <v>714</v>
      </c>
      <c r="F1800" s="7">
        <v>45275.0</v>
      </c>
      <c r="H1800" s="11"/>
      <c r="J1800" s="18"/>
      <c r="L1800" s="18"/>
      <c r="M1800" s="23"/>
    </row>
    <row r="1801">
      <c r="A1801" s="10" t="s">
        <v>1632</v>
      </c>
      <c r="B1801" s="17" t="s">
        <v>1633</v>
      </c>
      <c r="C1801" s="4" t="s">
        <v>3</v>
      </c>
      <c r="D1801" s="5" t="s">
        <v>19</v>
      </c>
      <c r="E1801" s="6" t="s">
        <v>1634</v>
      </c>
      <c r="F1801" s="7">
        <v>44934.0</v>
      </c>
      <c r="H1801" s="11"/>
      <c r="J1801" s="18"/>
      <c r="L1801" s="18"/>
      <c r="M1801" s="23"/>
    </row>
    <row r="1802">
      <c r="A1802" s="10" t="s">
        <v>1632</v>
      </c>
      <c r="B1802" s="17" t="s">
        <v>1633</v>
      </c>
      <c r="C1802" s="4" t="s">
        <v>8</v>
      </c>
      <c r="D1802" s="5" t="s">
        <v>17</v>
      </c>
      <c r="E1802" s="6" t="s">
        <v>1635</v>
      </c>
      <c r="F1802" s="7">
        <v>44949.0</v>
      </c>
      <c r="H1802" s="11"/>
      <c r="J1802" s="18"/>
      <c r="L1802" s="18"/>
      <c r="M1802" s="23"/>
    </row>
    <row r="1803">
      <c r="A1803" s="10" t="s">
        <v>1632</v>
      </c>
      <c r="B1803" s="17" t="s">
        <v>1633</v>
      </c>
      <c r="C1803" s="4" t="s">
        <v>8</v>
      </c>
      <c r="D1803" s="5" t="s">
        <v>96</v>
      </c>
      <c r="E1803" s="6" t="s">
        <v>1636</v>
      </c>
      <c r="F1803" s="7">
        <v>44968.0</v>
      </c>
      <c r="H1803" s="11"/>
      <c r="J1803" s="18"/>
      <c r="L1803" s="18"/>
      <c r="M1803" s="23"/>
    </row>
    <row r="1804">
      <c r="A1804" s="10" t="s">
        <v>1632</v>
      </c>
      <c r="B1804" s="17" t="s">
        <v>1633</v>
      </c>
      <c r="C1804" s="4" t="s">
        <v>3</v>
      </c>
      <c r="D1804" s="5" t="s">
        <v>96</v>
      </c>
      <c r="E1804" s="6" t="s">
        <v>374</v>
      </c>
      <c r="F1804" s="7">
        <v>44968.0</v>
      </c>
      <c r="H1804" s="11"/>
      <c r="J1804" s="18"/>
      <c r="L1804" s="18"/>
      <c r="M1804" s="23"/>
    </row>
    <row r="1805">
      <c r="A1805" s="10" t="s">
        <v>1632</v>
      </c>
      <c r="B1805" s="17" t="s">
        <v>1633</v>
      </c>
      <c r="C1805" s="4" t="s">
        <v>8</v>
      </c>
      <c r="D1805" s="5" t="s">
        <v>15</v>
      </c>
      <c r="E1805" s="6" t="s">
        <v>1637</v>
      </c>
      <c r="F1805" s="7">
        <v>44982.0</v>
      </c>
      <c r="H1805" s="11"/>
      <c r="J1805" s="18"/>
      <c r="L1805" s="18"/>
      <c r="M1805" s="23"/>
    </row>
    <row r="1806">
      <c r="A1806" s="10" t="s">
        <v>1632</v>
      </c>
      <c r="B1806" s="17" t="s">
        <v>1633</v>
      </c>
      <c r="C1806" s="4" t="s">
        <v>3</v>
      </c>
      <c r="D1806" s="5" t="s">
        <v>17</v>
      </c>
      <c r="E1806" s="6" t="s">
        <v>1638</v>
      </c>
      <c r="F1806" s="7">
        <v>45023.0</v>
      </c>
      <c r="H1806" s="11"/>
      <c r="J1806" s="18"/>
      <c r="L1806" s="18"/>
      <c r="M1806" s="23"/>
    </row>
    <row r="1807">
      <c r="A1807" s="10" t="s">
        <v>1632</v>
      </c>
      <c r="B1807" s="17" t="s">
        <v>1633</v>
      </c>
      <c r="C1807" s="4" t="s">
        <v>3</v>
      </c>
      <c r="D1807" s="5" t="s">
        <v>15</v>
      </c>
      <c r="E1807" s="6" t="s">
        <v>1098</v>
      </c>
      <c r="F1807" s="7">
        <v>45038.0</v>
      </c>
      <c r="H1807" s="11"/>
      <c r="J1807" s="18"/>
      <c r="L1807" s="18"/>
      <c r="M1807" s="23"/>
    </row>
    <row r="1808">
      <c r="A1808" s="10" t="s">
        <v>1632</v>
      </c>
      <c r="B1808" s="17" t="s">
        <v>1633</v>
      </c>
      <c r="C1808" s="4" t="s">
        <v>8</v>
      </c>
      <c r="D1808" s="5" t="s">
        <v>39</v>
      </c>
      <c r="E1808" s="6" t="s">
        <v>1639</v>
      </c>
      <c r="F1808" s="7">
        <v>45055.0</v>
      </c>
      <c r="H1808" s="11"/>
      <c r="J1808" s="18"/>
      <c r="L1808" s="18"/>
      <c r="M1808" s="23"/>
    </row>
    <row r="1809">
      <c r="A1809" s="10" t="s">
        <v>1632</v>
      </c>
      <c r="B1809" s="17" t="s">
        <v>1633</v>
      </c>
      <c r="C1809" s="4" t="s">
        <v>8</v>
      </c>
      <c r="D1809" s="5" t="s">
        <v>23</v>
      </c>
      <c r="E1809" s="6" t="s">
        <v>1112</v>
      </c>
      <c r="F1809" s="7">
        <v>45094.0</v>
      </c>
      <c r="H1809" s="11"/>
      <c r="J1809" s="18"/>
      <c r="L1809" s="18"/>
      <c r="M1809" s="23"/>
    </row>
    <row r="1810">
      <c r="A1810" s="10" t="s">
        <v>1632</v>
      </c>
      <c r="B1810" s="17" t="s">
        <v>1633</v>
      </c>
      <c r="C1810" s="4" t="s">
        <v>8</v>
      </c>
      <c r="D1810" s="5" t="s">
        <v>19</v>
      </c>
      <c r="E1810" s="6" t="s">
        <v>1640</v>
      </c>
      <c r="F1810" s="7">
        <v>45099.0</v>
      </c>
      <c r="H1810" s="11"/>
      <c r="J1810" s="18"/>
      <c r="L1810" s="18"/>
      <c r="M1810" s="23"/>
    </row>
    <row r="1811">
      <c r="A1811" s="10" t="s">
        <v>1632</v>
      </c>
      <c r="B1811" s="17" t="s">
        <v>1633</v>
      </c>
      <c r="C1811" s="4" t="s">
        <v>3</v>
      </c>
      <c r="D1811" s="5" t="s">
        <v>96</v>
      </c>
      <c r="E1811" s="6" t="s">
        <v>501</v>
      </c>
      <c r="F1811" s="7">
        <v>45119.0</v>
      </c>
      <c r="H1811" s="11"/>
      <c r="J1811" s="18"/>
      <c r="L1811" s="18"/>
      <c r="M1811" s="23"/>
    </row>
    <row r="1812">
      <c r="A1812" s="10" t="s">
        <v>1632</v>
      </c>
      <c r="B1812" s="17" t="s">
        <v>1633</v>
      </c>
      <c r="C1812" s="4" t="s">
        <v>3</v>
      </c>
      <c r="D1812" s="5" t="s">
        <v>96</v>
      </c>
      <c r="E1812" s="6" t="s">
        <v>341</v>
      </c>
      <c r="F1812" s="7">
        <v>45124.0</v>
      </c>
      <c r="H1812" s="11"/>
      <c r="J1812" s="18"/>
      <c r="L1812" s="18"/>
      <c r="M1812" s="23"/>
    </row>
    <row r="1813">
      <c r="A1813" s="10" t="s">
        <v>1632</v>
      </c>
      <c r="B1813" s="17" t="s">
        <v>1633</v>
      </c>
      <c r="C1813" s="4" t="s">
        <v>3</v>
      </c>
      <c r="D1813" s="5" t="s">
        <v>4</v>
      </c>
      <c r="E1813" s="6" t="s">
        <v>1641</v>
      </c>
      <c r="F1813" s="7">
        <v>45131.0</v>
      </c>
      <c r="H1813" s="11"/>
      <c r="J1813" s="18"/>
      <c r="L1813" s="18"/>
      <c r="M1813" s="23"/>
    </row>
    <row r="1814">
      <c r="A1814" s="10" t="s">
        <v>1632</v>
      </c>
      <c r="B1814" s="17" t="s">
        <v>1633</v>
      </c>
      <c r="C1814" s="4" t="s">
        <v>8</v>
      </c>
      <c r="D1814" s="5" t="s">
        <v>6</v>
      </c>
      <c r="E1814" s="6" t="s">
        <v>1642</v>
      </c>
      <c r="F1814" s="7">
        <v>45131.0</v>
      </c>
      <c r="H1814" s="11"/>
      <c r="J1814" s="18"/>
      <c r="L1814" s="18"/>
      <c r="M1814" s="23"/>
    </row>
    <row r="1815">
      <c r="A1815" s="10" t="s">
        <v>1632</v>
      </c>
      <c r="B1815" s="17" t="s">
        <v>1633</v>
      </c>
      <c r="C1815" s="4" t="s">
        <v>8</v>
      </c>
      <c r="D1815" s="5" t="s">
        <v>11</v>
      </c>
      <c r="E1815" s="6" t="s">
        <v>1146</v>
      </c>
      <c r="F1815" s="7">
        <v>45148.0</v>
      </c>
      <c r="H1815" s="11"/>
      <c r="J1815" s="18"/>
      <c r="L1815" s="18"/>
      <c r="M1815" s="23"/>
    </row>
    <row r="1816">
      <c r="A1816" s="10" t="s">
        <v>1632</v>
      </c>
      <c r="B1816" s="17" t="s">
        <v>1633</v>
      </c>
      <c r="C1816" s="4" t="s">
        <v>8</v>
      </c>
      <c r="D1816" s="5" t="s">
        <v>35</v>
      </c>
      <c r="E1816" s="6" t="s">
        <v>1643</v>
      </c>
      <c r="F1816" s="7">
        <v>45202.0</v>
      </c>
      <c r="H1816" s="11"/>
      <c r="J1816" s="18"/>
      <c r="L1816" s="18"/>
      <c r="M1816" s="23"/>
    </row>
    <row r="1817">
      <c r="A1817" s="10" t="s">
        <v>1632</v>
      </c>
      <c r="B1817" s="17" t="s">
        <v>1633</v>
      </c>
      <c r="C1817" s="4" t="s">
        <v>3</v>
      </c>
      <c r="D1817" s="5" t="s">
        <v>9</v>
      </c>
      <c r="E1817" s="6" t="s">
        <v>333</v>
      </c>
      <c r="F1817" s="7">
        <v>45238.0</v>
      </c>
      <c r="H1817" s="11"/>
      <c r="J1817" s="18"/>
      <c r="L1817" s="18"/>
      <c r="M1817" s="23"/>
    </row>
    <row r="1818">
      <c r="A1818" s="10" t="s">
        <v>1632</v>
      </c>
      <c r="B1818" s="17" t="s">
        <v>1633</v>
      </c>
      <c r="C1818" s="4" t="s">
        <v>3</v>
      </c>
      <c r="D1818" s="5" t="s">
        <v>21</v>
      </c>
      <c r="E1818" s="6" t="s">
        <v>235</v>
      </c>
      <c r="F1818" s="7">
        <v>45246.0</v>
      </c>
      <c r="H1818" s="11"/>
      <c r="J1818" s="18"/>
      <c r="L1818" s="18"/>
      <c r="M1818" s="23"/>
    </row>
    <row r="1819">
      <c r="A1819" s="10" t="s">
        <v>1632</v>
      </c>
      <c r="B1819" s="17" t="s">
        <v>1633</v>
      </c>
      <c r="C1819" s="4" t="s">
        <v>3</v>
      </c>
      <c r="D1819" s="5" t="s">
        <v>45</v>
      </c>
      <c r="E1819" s="6" t="s">
        <v>141</v>
      </c>
      <c r="F1819" s="7">
        <v>45270.0</v>
      </c>
      <c r="H1819" s="11"/>
      <c r="J1819" s="18"/>
      <c r="L1819" s="18"/>
      <c r="M1819" s="23"/>
    </row>
    <row r="1820">
      <c r="A1820" s="10" t="s">
        <v>1632</v>
      </c>
      <c r="B1820" s="17" t="s">
        <v>1633</v>
      </c>
      <c r="C1820" s="4" t="s">
        <v>8</v>
      </c>
      <c r="D1820" s="5" t="s">
        <v>11</v>
      </c>
      <c r="E1820" s="6" t="s">
        <v>1026</v>
      </c>
      <c r="F1820" s="7">
        <v>45282.0</v>
      </c>
      <c r="H1820" s="11"/>
      <c r="J1820" s="18"/>
      <c r="L1820" s="18"/>
      <c r="M1820" s="23"/>
    </row>
    <row r="1821">
      <c r="A1821" s="10" t="s">
        <v>1632</v>
      </c>
      <c r="B1821" s="17" t="s">
        <v>1644</v>
      </c>
      <c r="C1821" s="4" t="s">
        <v>3</v>
      </c>
      <c r="D1821" s="5" t="s">
        <v>76</v>
      </c>
      <c r="E1821" s="6" t="s">
        <v>1645</v>
      </c>
      <c r="F1821" s="7">
        <v>44950.0</v>
      </c>
      <c r="H1821" s="11"/>
      <c r="J1821" s="18"/>
      <c r="L1821" s="18"/>
      <c r="M1821" s="23"/>
    </row>
    <row r="1822">
      <c r="A1822" s="10" t="s">
        <v>1632</v>
      </c>
      <c r="B1822" s="17" t="s">
        <v>1644</v>
      </c>
      <c r="C1822" s="4" t="s">
        <v>8</v>
      </c>
      <c r="D1822" s="5" t="s">
        <v>11</v>
      </c>
      <c r="E1822" s="6" t="s">
        <v>1646</v>
      </c>
      <c r="F1822" s="7">
        <v>44984.0</v>
      </c>
      <c r="H1822" s="11"/>
      <c r="J1822" s="18"/>
      <c r="L1822" s="18"/>
      <c r="M1822" s="23"/>
    </row>
    <row r="1823">
      <c r="A1823" s="10" t="s">
        <v>1632</v>
      </c>
      <c r="B1823" s="17" t="s">
        <v>1644</v>
      </c>
      <c r="C1823" s="4" t="s">
        <v>3</v>
      </c>
      <c r="D1823" s="5" t="s">
        <v>71</v>
      </c>
      <c r="E1823" s="6" t="s">
        <v>1206</v>
      </c>
      <c r="F1823" s="7">
        <v>44988.0</v>
      </c>
      <c r="H1823" s="11"/>
      <c r="J1823" s="18"/>
      <c r="L1823" s="18"/>
      <c r="M1823" s="23"/>
    </row>
    <row r="1824">
      <c r="A1824" s="10" t="s">
        <v>1632</v>
      </c>
      <c r="B1824" s="17" t="s">
        <v>1644</v>
      </c>
      <c r="C1824" s="4" t="s">
        <v>3</v>
      </c>
      <c r="D1824" s="5" t="s">
        <v>42</v>
      </c>
      <c r="E1824" s="6" t="s">
        <v>505</v>
      </c>
      <c r="F1824" s="7">
        <v>45012.0</v>
      </c>
      <c r="H1824" s="11"/>
      <c r="J1824" s="18"/>
      <c r="L1824" s="18"/>
      <c r="M1824" s="23"/>
    </row>
    <row r="1825">
      <c r="A1825" s="10" t="s">
        <v>1632</v>
      </c>
      <c r="B1825" s="17" t="s">
        <v>1644</v>
      </c>
      <c r="C1825" s="4" t="s">
        <v>3</v>
      </c>
      <c r="D1825" s="5" t="s">
        <v>96</v>
      </c>
      <c r="E1825" s="6" t="s">
        <v>604</v>
      </c>
      <c r="F1825" s="7">
        <v>45020.0</v>
      </c>
      <c r="H1825" s="11"/>
      <c r="J1825" s="18"/>
      <c r="L1825" s="18"/>
      <c r="M1825" s="23"/>
    </row>
    <row r="1826">
      <c r="A1826" s="10" t="s">
        <v>1632</v>
      </c>
      <c r="B1826" s="17" t="s">
        <v>1644</v>
      </c>
      <c r="C1826" s="4" t="s">
        <v>3</v>
      </c>
      <c r="D1826" s="5" t="s">
        <v>39</v>
      </c>
      <c r="E1826" s="6" t="s">
        <v>1647</v>
      </c>
      <c r="F1826" s="7">
        <v>45024.0</v>
      </c>
      <c r="H1826" s="11"/>
      <c r="J1826" s="18"/>
      <c r="L1826" s="18"/>
      <c r="M1826" s="23"/>
    </row>
    <row r="1827">
      <c r="A1827" s="10" t="s">
        <v>1632</v>
      </c>
      <c r="B1827" s="17" t="s">
        <v>1644</v>
      </c>
      <c r="C1827" s="4" t="s">
        <v>8</v>
      </c>
      <c r="D1827" s="5" t="s">
        <v>51</v>
      </c>
      <c r="E1827" s="6" t="s">
        <v>1648</v>
      </c>
      <c r="F1827" s="7">
        <v>45032.0</v>
      </c>
      <c r="H1827" s="11"/>
      <c r="J1827" s="18"/>
      <c r="L1827" s="18"/>
      <c r="M1827" s="23"/>
    </row>
    <row r="1828">
      <c r="A1828" s="10" t="s">
        <v>1632</v>
      </c>
      <c r="B1828" s="17" t="s">
        <v>1644</v>
      </c>
      <c r="C1828" s="4" t="s">
        <v>3</v>
      </c>
      <c r="D1828" s="5" t="s">
        <v>4</v>
      </c>
      <c r="E1828" s="6" t="s">
        <v>1649</v>
      </c>
      <c r="F1828" s="7">
        <v>45080.0</v>
      </c>
      <c r="H1828" s="11"/>
      <c r="J1828" s="18"/>
      <c r="L1828" s="18"/>
      <c r="M1828" s="23"/>
    </row>
    <row r="1829">
      <c r="A1829" s="10" t="s">
        <v>1632</v>
      </c>
      <c r="B1829" s="17" t="s">
        <v>1644</v>
      </c>
      <c r="C1829" s="4" t="s">
        <v>3</v>
      </c>
      <c r="D1829" s="5" t="s">
        <v>6</v>
      </c>
      <c r="E1829" s="6" t="s">
        <v>1397</v>
      </c>
      <c r="F1829" s="7">
        <v>45082.0</v>
      </c>
      <c r="H1829" s="11"/>
      <c r="J1829" s="18"/>
      <c r="L1829" s="18"/>
      <c r="M1829" s="23"/>
    </row>
    <row r="1830">
      <c r="A1830" s="10" t="s">
        <v>1632</v>
      </c>
      <c r="B1830" s="17" t="s">
        <v>1644</v>
      </c>
      <c r="C1830" s="4" t="s">
        <v>8</v>
      </c>
      <c r="D1830" s="5" t="s">
        <v>51</v>
      </c>
      <c r="E1830" s="6" t="s">
        <v>1650</v>
      </c>
      <c r="F1830" s="7">
        <v>45083.0</v>
      </c>
      <c r="H1830" s="11"/>
      <c r="J1830" s="18"/>
      <c r="L1830" s="18"/>
      <c r="M1830" s="23"/>
    </row>
    <row r="1831">
      <c r="A1831" s="10" t="s">
        <v>1632</v>
      </c>
      <c r="B1831" s="17" t="s">
        <v>1644</v>
      </c>
      <c r="C1831" s="4" t="s">
        <v>3</v>
      </c>
      <c r="D1831" s="5" t="s">
        <v>13</v>
      </c>
      <c r="E1831" s="6" t="s">
        <v>1125</v>
      </c>
      <c r="F1831" s="7">
        <v>45089.0</v>
      </c>
      <c r="H1831" s="11"/>
      <c r="J1831" s="18"/>
      <c r="L1831" s="18"/>
      <c r="M1831" s="23"/>
    </row>
    <row r="1832">
      <c r="A1832" s="10" t="s">
        <v>1632</v>
      </c>
      <c r="B1832" s="17" t="s">
        <v>1644</v>
      </c>
      <c r="C1832" s="4" t="s">
        <v>3</v>
      </c>
      <c r="D1832" s="5" t="s">
        <v>19</v>
      </c>
      <c r="E1832" s="6" t="s">
        <v>1651</v>
      </c>
      <c r="F1832" s="7">
        <v>45092.0</v>
      </c>
      <c r="H1832" s="11"/>
      <c r="J1832" s="18"/>
      <c r="L1832" s="18"/>
      <c r="M1832" s="23"/>
    </row>
    <row r="1833">
      <c r="A1833" s="10" t="s">
        <v>1632</v>
      </c>
      <c r="B1833" s="17" t="s">
        <v>1644</v>
      </c>
      <c r="C1833" s="4" t="s">
        <v>8</v>
      </c>
      <c r="D1833" s="5" t="s">
        <v>21</v>
      </c>
      <c r="E1833" s="6" t="s">
        <v>106</v>
      </c>
      <c r="F1833" s="7">
        <v>45114.0</v>
      </c>
      <c r="H1833" s="11"/>
      <c r="J1833" s="18"/>
      <c r="L1833" s="18"/>
      <c r="M1833" s="23"/>
    </row>
    <row r="1834">
      <c r="A1834" s="10" t="s">
        <v>1632</v>
      </c>
      <c r="B1834" s="17" t="s">
        <v>1644</v>
      </c>
      <c r="C1834" s="4" t="s">
        <v>3</v>
      </c>
      <c r="D1834" s="5" t="s">
        <v>35</v>
      </c>
      <c r="E1834" s="6" t="s">
        <v>1652</v>
      </c>
      <c r="F1834" s="7">
        <v>45128.0</v>
      </c>
      <c r="H1834" s="11"/>
      <c r="J1834" s="18"/>
      <c r="L1834" s="18"/>
      <c r="M1834" s="23"/>
    </row>
    <row r="1835">
      <c r="A1835" s="10" t="s">
        <v>1632</v>
      </c>
      <c r="B1835" s="17" t="s">
        <v>1644</v>
      </c>
      <c r="C1835" s="4" t="s">
        <v>3</v>
      </c>
      <c r="D1835" s="5" t="s">
        <v>17</v>
      </c>
      <c r="E1835" s="6" t="s">
        <v>225</v>
      </c>
      <c r="F1835" s="7">
        <v>45131.0</v>
      </c>
      <c r="H1835" s="11"/>
      <c r="J1835" s="18"/>
      <c r="L1835" s="18"/>
      <c r="M1835" s="23"/>
    </row>
    <row r="1836">
      <c r="A1836" s="10" t="s">
        <v>1632</v>
      </c>
      <c r="B1836" s="17" t="s">
        <v>1644</v>
      </c>
      <c r="C1836" s="4" t="s">
        <v>8</v>
      </c>
      <c r="D1836" s="5" t="s">
        <v>9</v>
      </c>
      <c r="E1836" s="6" t="s">
        <v>903</v>
      </c>
      <c r="F1836" s="7">
        <v>45176.0</v>
      </c>
      <c r="H1836" s="11"/>
      <c r="J1836" s="18"/>
      <c r="L1836" s="18"/>
      <c r="M1836" s="23"/>
    </row>
    <row r="1837">
      <c r="A1837" s="10" t="s">
        <v>1632</v>
      </c>
      <c r="B1837" s="17" t="s">
        <v>1644</v>
      </c>
      <c r="C1837" s="4" t="s">
        <v>8</v>
      </c>
      <c r="D1837" s="5" t="s">
        <v>76</v>
      </c>
      <c r="E1837" s="6" t="s">
        <v>1653</v>
      </c>
      <c r="F1837" s="7">
        <v>45209.0</v>
      </c>
      <c r="H1837" s="11"/>
      <c r="J1837" s="18"/>
      <c r="L1837" s="18"/>
      <c r="M1837" s="23"/>
    </row>
    <row r="1838">
      <c r="A1838" s="10" t="s">
        <v>1632</v>
      </c>
      <c r="B1838" s="17" t="s">
        <v>1644</v>
      </c>
      <c r="C1838" s="4" t="s">
        <v>3</v>
      </c>
      <c r="D1838" s="5" t="s">
        <v>76</v>
      </c>
      <c r="E1838" s="6" t="s">
        <v>1654</v>
      </c>
      <c r="F1838" s="7">
        <v>45231.0</v>
      </c>
      <c r="H1838" s="11"/>
      <c r="J1838" s="18"/>
      <c r="L1838" s="18"/>
      <c r="M1838" s="23"/>
    </row>
    <row r="1839">
      <c r="A1839" s="10" t="s">
        <v>1632</v>
      </c>
      <c r="B1839" s="17" t="s">
        <v>1644</v>
      </c>
      <c r="C1839" s="4" t="s">
        <v>3</v>
      </c>
      <c r="D1839" s="5" t="s">
        <v>71</v>
      </c>
      <c r="E1839" s="6" t="s">
        <v>1655</v>
      </c>
      <c r="F1839" s="7">
        <v>45271.0</v>
      </c>
      <c r="H1839" s="11"/>
      <c r="J1839" s="18"/>
      <c r="L1839" s="18"/>
      <c r="M1839" s="23"/>
    </row>
    <row r="1840">
      <c r="A1840" s="10" t="s">
        <v>1632</v>
      </c>
      <c r="B1840" s="17" t="s">
        <v>1644</v>
      </c>
      <c r="C1840" s="4" t="s">
        <v>3</v>
      </c>
      <c r="D1840" s="5" t="s">
        <v>71</v>
      </c>
      <c r="E1840" s="6" t="s">
        <v>1656</v>
      </c>
      <c r="F1840" s="7">
        <v>45272.0</v>
      </c>
      <c r="H1840" s="11"/>
      <c r="J1840" s="18"/>
      <c r="L1840" s="18"/>
      <c r="M1840" s="23"/>
    </row>
    <row r="1841">
      <c r="A1841" s="10" t="s">
        <v>1657</v>
      </c>
      <c r="B1841" s="17" t="s">
        <v>1658</v>
      </c>
      <c r="C1841" s="4" t="s">
        <v>8</v>
      </c>
      <c r="D1841" s="5" t="s">
        <v>23</v>
      </c>
      <c r="E1841" s="6" t="s">
        <v>1659</v>
      </c>
      <c r="F1841" s="7">
        <v>44937.0</v>
      </c>
      <c r="H1841" s="11"/>
      <c r="J1841" s="18"/>
      <c r="L1841" s="18"/>
      <c r="M1841" s="23"/>
    </row>
    <row r="1842">
      <c r="A1842" s="10" t="s">
        <v>1657</v>
      </c>
      <c r="B1842" s="17" t="s">
        <v>1658</v>
      </c>
      <c r="C1842" s="4" t="s">
        <v>3</v>
      </c>
      <c r="D1842" s="5" t="s">
        <v>35</v>
      </c>
      <c r="E1842" s="6" t="s">
        <v>1660</v>
      </c>
      <c r="F1842" s="7">
        <v>44939.0</v>
      </c>
      <c r="H1842" s="11"/>
      <c r="J1842" s="18"/>
      <c r="L1842" s="18"/>
      <c r="M1842" s="23"/>
    </row>
    <row r="1843">
      <c r="A1843" s="10" t="s">
        <v>1657</v>
      </c>
      <c r="B1843" s="17" t="s">
        <v>1658</v>
      </c>
      <c r="C1843" s="4" t="s">
        <v>8</v>
      </c>
      <c r="D1843" s="5" t="s">
        <v>9</v>
      </c>
      <c r="E1843" s="6" t="s">
        <v>208</v>
      </c>
      <c r="F1843" s="7">
        <v>44944.0</v>
      </c>
      <c r="H1843" s="11"/>
      <c r="J1843" s="18"/>
      <c r="L1843" s="18"/>
      <c r="M1843" s="23"/>
    </row>
    <row r="1844">
      <c r="A1844" s="10" t="s">
        <v>1657</v>
      </c>
      <c r="B1844" s="17" t="s">
        <v>1658</v>
      </c>
      <c r="C1844" s="4" t="s">
        <v>8</v>
      </c>
      <c r="D1844" s="5" t="s">
        <v>51</v>
      </c>
      <c r="E1844" s="6" t="s">
        <v>1134</v>
      </c>
      <c r="F1844" s="7">
        <v>44949.0</v>
      </c>
      <c r="H1844" s="11"/>
      <c r="J1844" s="18"/>
      <c r="L1844" s="18"/>
      <c r="M1844" s="23"/>
    </row>
    <row r="1845">
      <c r="A1845" s="10" t="s">
        <v>1657</v>
      </c>
      <c r="B1845" s="17" t="s">
        <v>1658</v>
      </c>
      <c r="C1845" s="4" t="s">
        <v>3</v>
      </c>
      <c r="D1845" s="5" t="s">
        <v>23</v>
      </c>
      <c r="E1845" s="6" t="s">
        <v>1661</v>
      </c>
      <c r="F1845" s="7">
        <v>45005.0</v>
      </c>
      <c r="H1845" s="11"/>
      <c r="J1845" s="18"/>
      <c r="L1845" s="18"/>
      <c r="M1845" s="23"/>
    </row>
    <row r="1846">
      <c r="A1846" s="10" t="s">
        <v>1657</v>
      </c>
      <c r="B1846" s="17" t="s">
        <v>1658</v>
      </c>
      <c r="C1846" s="4" t="s">
        <v>8</v>
      </c>
      <c r="D1846" s="5" t="s">
        <v>45</v>
      </c>
      <c r="E1846" s="6" t="s">
        <v>1662</v>
      </c>
      <c r="F1846" s="7">
        <v>45033.0</v>
      </c>
      <c r="H1846" s="11"/>
      <c r="J1846" s="18"/>
      <c r="L1846" s="18"/>
      <c r="M1846" s="23"/>
    </row>
    <row r="1847">
      <c r="A1847" s="10" t="s">
        <v>1657</v>
      </c>
      <c r="B1847" s="17" t="s">
        <v>1658</v>
      </c>
      <c r="C1847" s="4" t="s">
        <v>8</v>
      </c>
      <c r="D1847" s="5" t="s">
        <v>9</v>
      </c>
      <c r="E1847" s="6" t="s">
        <v>1663</v>
      </c>
      <c r="F1847" s="7">
        <v>45090.0</v>
      </c>
      <c r="H1847" s="11"/>
      <c r="J1847" s="18"/>
      <c r="L1847" s="18"/>
      <c r="M1847" s="23"/>
    </row>
    <row r="1848">
      <c r="A1848" s="10" t="s">
        <v>1657</v>
      </c>
      <c r="B1848" s="17" t="s">
        <v>1658</v>
      </c>
      <c r="C1848" s="4" t="s">
        <v>3</v>
      </c>
      <c r="D1848" s="5" t="s">
        <v>76</v>
      </c>
      <c r="E1848" s="6" t="s">
        <v>1664</v>
      </c>
      <c r="F1848" s="7">
        <v>45101.0</v>
      </c>
      <c r="H1848" s="11"/>
      <c r="J1848" s="18"/>
      <c r="L1848" s="18"/>
      <c r="M1848" s="23"/>
    </row>
    <row r="1849">
      <c r="A1849" s="10" t="s">
        <v>1657</v>
      </c>
      <c r="B1849" s="17" t="s">
        <v>1658</v>
      </c>
      <c r="C1849" s="4" t="s">
        <v>8</v>
      </c>
      <c r="D1849" s="5" t="s">
        <v>35</v>
      </c>
      <c r="E1849" s="6" t="s">
        <v>896</v>
      </c>
      <c r="F1849" s="7">
        <v>45101.0</v>
      </c>
      <c r="H1849" s="11"/>
      <c r="J1849" s="18"/>
      <c r="L1849" s="18"/>
      <c r="M1849" s="23"/>
    </row>
    <row r="1850">
      <c r="A1850" s="10" t="s">
        <v>1657</v>
      </c>
      <c r="B1850" s="17" t="s">
        <v>1658</v>
      </c>
      <c r="C1850" s="4" t="s">
        <v>3</v>
      </c>
      <c r="D1850" s="5" t="s">
        <v>11</v>
      </c>
      <c r="E1850" s="6" t="s">
        <v>1665</v>
      </c>
      <c r="F1850" s="7">
        <v>45105.0</v>
      </c>
      <c r="H1850" s="11"/>
      <c r="J1850" s="18"/>
      <c r="L1850" s="18"/>
      <c r="M1850" s="23"/>
    </row>
    <row r="1851">
      <c r="A1851" s="10" t="s">
        <v>1657</v>
      </c>
      <c r="B1851" s="17" t="s">
        <v>1658</v>
      </c>
      <c r="C1851" s="4" t="s">
        <v>3</v>
      </c>
      <c r="D1851" s="5" t="s">
        <v>45</v>
      </c>
      <c r="E1851" s="6" t="s">
        <v>1666</v>
      </c>
      <c r="F1851" s="7">
        <v>45122.0</v>
      </c>
      <c r="H1851" s="11"/>
      <c r="J1851" s="18"/>
      <c r="L1851" s="18"/>
      <c r="M1851" s="23"/>
    </row>
    <row r="1852">
      <c r="A1852" s="10" t="s">
        <v>1657</v>
      </c>
      <c r="B1852" s="17" t="s">
        <v>1658</v>
      </c>
      <c r="C1852" s="4" t="s">
        <v>8</v>
      </c>
      <c r="D1852" s="5" t="s">
        <v>19</v>
      </c>
      <c r="E1852" s="6" t="s">
        <v>1667</v>
      </c>
      <c r="F1852" s="7">
        <v>45176.0</v>
      </c>
      <c r="H1852" s="11"/>
      <c r="J1852" s="18"/>
      <c r="L1852" s="18"/>
      <c r="M1852" s="23"/>
    </row>
    <row r="1853">
      <c r="A1853" s="10" t="s">
        <v>1657</v>
      </c>
      <c r="B1853" s="17" t="s">
        <v>1658</v>
      </c>
      <c r="C1853" s="4" t="s">
        <v>8</v>
      </c>
      <c r="D1853" s="5" t="s">
        <v>17</v>
      </c>
      <c r="E1853" s="6" t="s">
        <v>1001</v>
      </c>
      <c r="F1853" s="7">
        <v>45182.0</v>
      </c>
      <c r="H1853" s="11"/>
      <c r="J1853" s="18"/>
      <c r="L1853" s="18"/>
      <c r="M1853" s="23"/>
    </row>
    <row r="1854">
      <c r="A1854" s="10" t="s">
        <v>1657</v>
      </c>
      <c r="B1854" s="17" t="s">
        <v>1658</v>
      </c>
      <c r="C1854" s="4" t="s">
        <v>8</v>
      </c>
      <c r="D1854" s="5" t="s">
        <v>17</v>
      </c>
      <c r="E1854" s="6" t="s">
        <v>1668</v>
      </c>
      <c r="F1854" s="7">
        <v>45193.0</v>
      </c>
      <c r="H1854" s="11"/>
      <c r="J1854" s="18"/>
      <c r="L1854" s="18"/>
      <c r="M1854" s="23"/>
    </row>
    <row r="1855">
      <c r="A1855" s="10" t="s">
        <v>1657</v>
      </c>
      <c r="B1855" s="17" t="s">
        <v>1658</v>
      </c>
      <c r="C1855" s="4" t="s">
        <v>3</v>
      </c>
      <c r="D1855" s="5" t="s">
        <v>19</v>
      </c>
      <c r="E1855" s="6" t="s">
        <v>1669</v>
      </c>
      <c r="F1855" s="7">
        <v>45255.0</v>
      </c>
      <c r="H1855" s="11"/>
      <c r="J1855" s="18"/>
      <c r="L1855" s="18"/>
      <c r="M1855" s="23"/>
    </row>
    <row r="1856">
      <c r="A1856" s="10" t="s">
        <v>1657</v>
      </c>
      <c r="B1856" s="17" t="s">
        <v>1658</v>
      </c>
      <c r="C1856" s="4" t="s">
        <v>3</v>
      </c>
      <c r="D1856" s="5" t="s">
        <v>6</v>
      </c>
      <c r="E1856" s="6" t="s">
        <v>1670</v>
      </c>
      <c r="F1856" s="7">
        <v>45261.0</v>
      </c>
      <c r="H1856" s="11"/>
      <c r="J1856" s="18"/>
      <c r="L1856" s="18"/>
      <c r="M1856" s="23"/>
    </row>
    <row r="1857">
      <c r="A1857" s="10" t="s">
        <v>1657</v>
      </c>
      <c r="B1857" s="17" t="s">
        <v>1658</v>
      </c>
      <c r="C1857" s="4" t="s">
        <v>8</v>
      </c>
      <c r="D1857" s="5" t="s">
        <v>28</v>
      </c>
      <c r="E1857" s="6" t="s">
        <v>1392</v>
      </c>
      <c r="F1857" s="7">
        <v>45269.0</v>
      </c>
      <c r="H1857" s="11"/>
      <c r="J1857" s="18"/>
      <c r="L1857" s="18"/>
      <c r="M1857" s="23"/>
    </row>
    <row r="1858">
      <c r="A1858" s="10" t="s">
        <v>1657</v>
      </c>
      <c r="B1858" s="17" t="s">
        <v>1658</v>
      </c>
      <c r="C1858" s="4" t="s">
        <v>8</v>
      </c>
      <c r="D1858" s="5" t="s">
        <v>23</v>
      </c>
      <c r="E1858" s="6" t="s">
        <v>1671</v>
      </c>
      <c r="F1858" s="7">
        <v>45276.0</v>
      </c>
      <c r="H1858" s="11"/>
      <c r="J1858" s="18"/>
      <c r="L1858" s="18"/>
      <c r="M1858" s="23"/>
    </row>
    <row r="1859">
      <c r="A1859" s="10" t="s">
        <v>1657</v>
      </c>
      <c r="B1859" s="17" t="s">
        <v>1658</v>
      </c>
      <c r="C1859" s="4" t="s">
        <v>3</v>
      </c>
      <c r="D1859" s="5" t="s">
        <v>21</v>
      </c>
      <c r="E1859" s="6" t="s">
        <v>933</v>
      </c>
      <c r="F1859" s="7">
        <v>45277.0</v>
      </c>
      <c r="H1859" s="11"/>
      <c r="J1859" s="18"/>
      <c r="L1859" s="18"/>
      <c r="M1859" s="23"/>
    </row>
    <row r="1860">
      <c r="A1860" s="10" t="s">
        <v>1657</v>
      </c>
      <c r="B1860" s="17" t="s">
        <v>1658</v>
      </c>
      <c r="C1860" s="4" t="s">
        <v>3</v>
      </c>
      <c r="D1860" s="5" t="s">
        <v>4</v>
      </c>
      <c r="E1860" s="6" t="s">
        <v>279</v>
      </c>
      <c r="F1860" s="7">
        <v>45283.0</v>
      </c>
      <c r="H1860" s="11"/>
      <c r="J1860" s="18"/>
      <c r="L1860" s="18"/>
      <c r="M1860" s="23"/>
    </row>
    <row r="1861">
      <c r="A1861" s="10" t="s">
        <v>199</v>
      </c>
      <c r="B1861" s="17" t="s">
        <v>1672</v>
      </c>
      <c r="C1861" s="4" t="s">
        <v>8</v>
      </c>
      <c r="D1861" s="5" t="s">
        <v>45</v>
      </c>
      <c r="E1861" s="6" t="s">
        <v>1673</v>
      </c>
      <c r="F1861" s="7">
        <v>44980.0</v>
      </c>
      <c r="H1861" s="11"/>
      <c r="J1861" s="18"/>
      <c r="L1861" s="18"/>
      <c r="M1861" s="23"/>
    </row>
    <row r="1862">
      <c r="A1862" s="10" t="s">
        <v>199</v>
      </c>
      <c r="B1862" s="17" t="s">
        <v>1672</v>
      </c>
      <c r="C1862" s="4" t="s">
        <v>3</v>
      </c>
      <c r="D1862" s="5" t="s">
        <v>45</v>
      </c>
      <c r="E1862" s="6" t="s">
        <v>282</v>
      </c>
      <c r="F1862" s="7">
        <v>44982.0</v>
      </c>
      <c r="H1862" s="11"/>
      <c r="J1862" s="18"/>
      <c r="L1862" s="18"/>
      <c r="M1862" s="23"/>
    </row>
    <row r="1863">
      <c r="A1863" s="10" t="s">
        <v>199</v>
      </c>
      <c r="B1863" s="17" t="s">
        <v>1672</v>
      </c>
      <c r="C1863" s="4" t="s">
        <v>3</v>
      </c>
      <c r="D1863" s="5" t="s">
        <v>4</v>
      </c>
      <c r="E1863" s="6" t="s">
        <v>1674</v>
      </c>
      <c r="F1863" s="7">
        <v>45018.0</v>
      </c>
      <c r="H1863" s="11"/>
      <c r="J1863" s="18"/>
      <c r="L1863" s="18"/>
      <c r="M1863" s="23"/>
    </row>
    <row r="1864">
      <c r="A1864" s="10" t="s">
        <v>199</v>
      </c>
      <c r="B1864" s="17" t="s">
        <v>1672</v>
      </c>
      <c r="C1864" s="4" t="s">
        <v>3</v>
      </c>
      <c r="D1864" s="5" t="s">
        <v>96</v>
      </c>
      <c r="E1864" s="6" t="s">
        <v>1675</v>
      </c>
      <c r="F1864" s="7">
        <v>45026.0</v>
      </c>
      <c r="H1864" s="11"/>
      <c r="J1864" s="18"/>
      <c r="L1864" s="18"/>
      <c r="M1864" s="23"/>
    </row>
    <row r="1865">
      <c r="A1865" s="10" t="s">
        <v>199</v>
      </c>
      <c r="B1865" s="17" t="s">
        <v>1672</v>
      </c>
      <c r="C1865" s="4" t="s">
        <v>3</v>
      </c>
      <c r="D1865" s="5" t="s">
        <v>15</v>
      </c>
      <c r="E1865" s="6" t="s">
        <v>1676</v>
      </c>
      <c r="F1865" s="7">
        <v>45030.0</v>
      </c>
      <c r="H1865" s="11"/>
      <c r="J1865" s="18"/>
      <c r="L1865" s="18"/>
      <c r="M1865" s="23"/>
    </row>
    <row r="1866">
      <c r="A1866" s="10" t="s">
        <v>199</v>
      </c>
      <c r="B1866" s="17" t="s">
        <v>1672</v>
      </c>
      <c r="C1866" s="4" t="s">
        <v>8</v>
      </c>
      <c r="D1866" s="5" t="s">
        <v>39</v>
      </c>
      <c r="E1866" s="6" t="s">
        <v>1677</v>
      </c>
      <c r="F1866" s="7">
        <v>45030.0</v>
      </c>
      <c r="H1866" s="11"/>
      <c r="J1866" s="18"/>
      <c r="L1866" s="18"/>
      <c r="M1866" s="23"/>
    </row>
    <row r="1867">
      <c r="A1867" s="10" t="s">
        <v>199</v>
      </c>
      <c r="B1867" s="17" t="s">
        <v>1672</v>
      </c>
      <c r="C1867" s="4" t="s">
        <v>8</v>
      </c>
      <c r="D1867" s="5" t="s">
        <v>6</v>
      </c>
      <c r="E1867" s="6" t="s">
        <v>357</v>
      </c>
      <c r="F1867" s="7">
        <v>45062.0</v>
      </c>
      <c r="H1867" s="11"/>
      <c r="J1867" s="18"/>
      <c r="L1867" s="18"/>
      <c r="M1867" s="23"/>
    </row>
    <row r="1868">
      <c r="A1868" s="10" t="s">
        <v>199</v>
      </c>
      <c r="B1868" s="17" t="s">
        <v>1672</v>
      </c>
      <c r="C1868" s="4" t="s">
        <v>3</v>
      </c>
      <c r="D1868" s="5" t="s">
        <v>23</v>
      </c>
      <c r="E1868" s="6" t="s">
        <v>1678</v>
      </c>
      <c r="F1868" s="7">
        <v>45096.0</v>
      </c>
      <c r="H1868" s="11"/>
      <c r="J1868" s="18"/>
      <c r="L1868" s="18"/>
      <c r="M1868" s="23"/>
    </row>
    <row r="1869">
      <c r="A1869" s="10" t="s">
        <v>199</v>
      </c>
      <c r="B1869" s="17" t="s">
        <v>1672</v>
      </c>
      <c r="C1869" s="4" t="s">
        <v>8</v>
      </c>
      <c r="D1869" s="5" t="s">
        <v>11</v>
      </c>
      <c r="E1869" s="6" t="s">
        <v>1679</v>
      </c>
      <c r="F1869" s="7">
        <v>45097.0</v>
      </c>
      <c r="H1869" s="11"/>
      <c r="J1869" s="18"/>
      <c r="L1869" s="18"/>
      <c r="M1869" s="23"/>
    </row>
    <row r="1870">
      <c r="A1870" s="10" t="s">
        <v>199</v>
      </c>
      <c r="B1870" s="17" t="s">
        <v>1672</v>
      </c>
      <c r="C1870" s="4" t="s">
        <v>3</v>
      </c>
      <c r="D1870" s="5" t="s">
        <v>120</v>
      </c>
      <c r="E1870" s="6" t="s">
        <v>1680</v>
      </c>
      <c r="F1870" s="7">
        <v>45116.0</v>
      </c>
      <c r="H1870" s="11"/>
      <c r="J1870" s="18"/>
      <c r="L1870" s="18"/>
      <c r="M1870" s="23"/>
    </row>
    <row r="1871">
      <c r="A1871" s="10" t="s">
        <v>199</v>
      </c>
      <c r="B1871" s="17" t="s">
        <v>1672</v>
      </c>
      <c r="C1871" s="4" t="s">
        <v>3</v>
      </c>
      <c r="D1871" s="5" t="s">
        <v>35</v>
      </c>
      <c r="E1871" s="6" t="s">
        <v>1681</v>
      </c>
      <c r="F1871" s="7">
        <v>45118.0</v>
      </c>
      <c r="H1871" s="11"/>
      <c r="J1871" s="18"/>
      <c r="L1871" s="18"/>
      <c r="M1871" s="23"/>
    </row>
    <row r="1872">
      <c r="A1872" s="10" t="s">
        <v>199</v>
      </c>
      <c r="B1872" s="17" t="s">
        <v>1672</v>
      </c>
      <c r="C1872" s="4" t="s">
        <v>3</v>
      </c>
      <c r="D1872" s="5" t="s">
        <v>17</v>
      </c>
      <c r="E1872" s="6" t="s">
        <v>771</v>
      </c>
      <c r="F1872" s="7">
        <v>45119.0</v>
      </c>
      <c r="H1872" s="11"/>
      <c r="J1872" s="18"/>
      <c r="L1872" s="18"/>
      <c r="M1872" s="23"/>
    </row>
    <row r="1873">
      <c r="A1873" s="10" t="s">
        <v>199</v>
      </c>
      <c r="B1873" s="17" t="s">
        <v>1672</v>
      </c>
      <c r="C1873" s="4" t="s">
        <v>3</v>
      </c>
      <c r="D1873" s="5" t="s">
        <v>42</v>
      </c>
      <c r="E1873" s="6" t="s">
        <v>1087</v>
      </c>
      <c r="F1873" s="7">
        <v>45127.0</v>
      </c>
      <c r="H1873" s="11"/>
      <c r="J1873" s="18"/>
      <c r="L1873" s="18"/>
      <c r="M1873" s="23"/>
    </row>
    <row r="1874">
      <c r="A1874" s="10" t="s">
        <v>199</v>
      </c>
      <c r="B1874" s="17" t="s">
        <v>1672</v>
      </c>
      <c r="C1874" s="4" t="s">
        <v>8</v>
      </c>
      <c r="D1874" s="5" t="s">
        <v>23</v>
      </c>
      <c r="E1874" s="6" t="s">
        <v>1682</v>
      </c>
      <c r="F1874" s="7">
        <v>45197.0</v>
      </c>
      <c r="H1874" s="11"/>
      <c r="J1874" s="18"/>
      <c r="L1874" s="18"/>
      <c r="M1874" s="23"/>
    </row>
    <row r="1875">
      <c r="A1875" s="10" t="s">
        <v>199</v>
      </c>
      <c r="B1875" s="17" t="s">
        <v>1672</v>
      </c>
      <c r="C1875" s="4" t="s">
        <v>3</v>
      </c>
      <c r="D1875" s="5" t="s">
        <v>6</v>
      </c>
      <c r="E1875" s="6" t="s">
        <v>1683</v>
      </c>
      <c r="F1875" s="7">
        <v>45200.0</v>
      </c>
      <c r="H1875" s="11"/>
      <c r="J1875" s="18"/>
      <c r="L1875" s="18"/>
      <c r="M1875" s="23"/>
    </row>
    <row r="1876">
      <c r="A1876" s="10" t="s">
        <v>199</v>
      </c>
      <c r="B1876" s="17" t="s">
        <v>1672</v>
      </c>
      <c r="C1876" s="4" t="s">
        <v>3</v>
      </c>
      <c r="D1876" s="5" t="s">
        <v>45</v>
      </c>
      <c r="E1876" s="6" t="s">
        <v>1684</v>
      </c>
      <c r="F1876" s="7">
        <v>45224.0</v>
      </c>
      <c r="H1876" s="11"/>
      <c r="J1876" s="18"/>
      <c r="L1876" s="18"/>
      <c r="M1876" s="23"/>
    </row>
    <row r="1877">
      <c r="A1877" s="10" t="s">
        <v>199</v>
      </c>
      <c r="B1877" s="17" t="s">
        <v>1672</v>
      </c>
      <c r="C1877" s="4" t="s">
        <v>8</v>
      </c>
      <c r="D1877" s="5" t="s">
        <v>28</v>
      </c>
      <c r="E1877" s="6" t="s">
        <v>476</v>
      </c>
      <c r="F1877" s="7">
        <v>45237.0</v>
      </c>
      <c r="H1877" s="11"/>
      <c r="J1877" s="18"/>
      <c r="L1877" s="18"/>
      <c r="M1877" s="23"/>
    </row>
    <row r="1878">
      <c r="A1878" s="10" t="s">
        <v>199</v>
      </c>
      <c r="B1878" s="17" t="s">
        <v>1672</v>
      </c>
      <c r="C1878" s="4" t="s">
        <v>3</v>
      </c>
      <c r="D1878" s="5" t="s">
        <v>42</v>
      </c>
      <c r="E1878" s="6" t="s">
        <v>842</v>
      </c>
      <c r="F1878" s="7">
        <v>45252.0</v>
      </c>
      <c r="H1878" s="11"/>
      <c r="J1878" s="18"/>
      <c r="L1878" s="18"/>
      <c r="M1878" s="23"/>
    </row>
    <row r="1879">
      <c r="A1879" s="10" t="s">
        <v>199</v>
      </c>
      <c r="B1879" s="17" t="s">
        <v>1672</v>
      </c>
      <c r="C1879" s="4" t="s">
        <v>3</v>
      </c>
      <c r="D1879" s="5" t="s">
        <v>35</v>
      </c>
      <c r="E1879" s="6" t="s">
        <v>1685</v>
      </c>
      <c r="F1879" s="7">
        <v>45276.0</v>
      </c>
      <c r="H1879" s="11"/>
      <c r="J1879" s="18"/>
      <c r="L1879" s="18"/>
      <c r="M1879" s="23"/>
    </row>
    <row r="1880">
      <c r="A1880" s="10" t="s">
        <v>199</v>
      </c>
      <c r="B1880" s="17" t="s">
        <v>1672</v>
      </c>
      <c r="C1880" s="4" t="s">
        <v>3</v>
      </c>
      <c r="D1880" s="5" t="s">
        <v>6</v>
      </c>
      <c r="E1880" s="6" t="s">
        <v>1686</v>
      </c>
      <c r="F1880" s="7">
        <v>45285.0</v>
      </c>
      <c r="H1880" s="11"/>
      <c r="J1880" s="18"/>
      <c r="L1880" s="18"/>
      <c r="M1880" s="23"/>
    </row>
    <row r="1881">
      <c r="A1881" s="10" t="s">
        <v>1687</v>
      </c>
      <c r="B1881" s="17" t="s">
        <v>1688</v>
      </c>
      <c r="C1881" s="4" t="s">
        <v>3</v>
      </c>
      <c r="D1881" s="5" t="s">
        <v>6</v>
      </c>
      <c r="E1881" s="6" t="s">
        <v>1689</v>
      </c>
      <c r="F1881" s="7">
        <v>44933.0</v>
      </c>
      <c r="H1881" s="11"/>
      <c r="J1881" s="18"/>
      <c r="L1881" s="18"/>
      <c r="M1881" s="23"/>
    </row>
    <row r="1882">
      <c r="A1882" s="10" t="s">
        <v>1687</v>
      </c>
      <c r="B1882" s="17" t="s">
        <v>1688</v>
      </c>
      <c r="C1882" s="4" t="s">
        <v>8</v>
      </c>
      <c r="D1882" s="5" t="s">
        <v>4</v>
      </c>
      <c r="E1882" s="6" t="s">
        <v>1690</v>
      </c>
      <c r="F1882" s="7">
        <v>44947.0</v>
      </c>
      <c r="H1882" s="11"/>
      <c r="J1882" s="18"/>
      <c r="L1882" s="18"/>
      <c r="M1882" s="23"/>
    </row>
    <row r="1883">
      <c r="A1883" s="10" t="s">
        <v>1687</v>
      </c>
      <c r="B1883" s="17" t="s">
        <v>1688</v>
      </c>
      <c r="C1883" s="4" t="s">
        <v>8</v>
      </c>
      <c r="D1883" s="5" t="s">
        <v>23</v>
      </c>
      <c r="E1883" s="6" t="s">
        <v>1691</v>
      </c>
      <c r="F1883" s="7">
        <v>44959.0</v>
      </c>
      <c r="H1883" s="11"/>
      <c r="J1883" s="18"/>
      <c r="L1883" s="18"/>
      <c r="M1883" s="23"/>
    </row>
    <row r="1884">
      <c r="A1884" s="10" t="s">
        <v>1687</v>
      </c>
      <c r="B1884" s="17" t="s">
        <v>1688</v>
      </c>
      <c r="C1884" s="4" t="s">
        <v>3</v>
      </c>
      <c r="D1884" s="5" t="s">
        <v>19</v>
      </c>
      <c r="E1884" s="6" t="s">
        <v>1692</v>
      </c>
      <c r="F1884" s="7">
        <v>44968.0</v>
      </c>
      <c r="H1884" s="11"/>
      <c r="J1884" s="18"/>
      <c r="L1884" s="18"/>
      <c r="M1884" s="23"/>
    </row>
    <row r="1885">
      <c r="A1885" s="10" t="s">
        <v>1687</v>
      </c>
      <c r="B1885" s="17" t="s">
        <v>1688</v>
      </c>
      <c r="C1885" s="4" t="s">
        <v>8</v>
      </c>
      <c r="D1885" s="5" t="s">
        <v>11</v>
      </c>
      <c r="E1885" s="6" t="s">
        <v>1693</v>
      </c>
      <c r="F1885" s="7">
        <v>44988.0</v>
      </c>
      <c r="H1885" s="11"/>
      <c r="J1885" s="18"/>
      <c r="L1885" s="18"/>
      <c r="M1885" s="23"/>
    </row>
    <row r="1886">
      <c r="A1886" s="10" t="s">
        <v>1687</v>
      </c>
      <c r="B1886" s="17" t="s">
        <v>1688</v>
      </c>
      <c r="C1886" s="4" t="s">
        <v>8</v>
      </c>
      <c r="D1886" s="5" t="s">
        <v>13</v>
      </c>
      <c r="E1886" s="6" t="s">
        <v>1694</v>
      </c>
      <c r="F1886" s="7">
        <v>45005.0</v>
      </c>
      <c r="H1886" s="11"/>
      <c r="J1886" s="18"/>
      <c r="L1886" s="18"/>
      <c r="M1886" s="23"/>
    </row>
    <row r="1887">
      <c r="A1887" s="10" t="s">
        <v>1687</v>
      </c>
      <c r="B1887" s="17" t="s">
        <v>1688</v>
      </c>
      <c r="C1887" s="4" t="s">
        <v>3</v>
      </c>
      <c r="D1887" s="5" t="s">
        <v>51</v>
      </c>
      <c r="E1887" s="6" t="s">
        <v>1695</v>
      </c>
      <c r="F1887" s="7">
        <v>45020.0</v>
      </c>
      <c r="H1887" s="11"/>
      <c r="J1887" s="18"/>
      <c r="L1887" s="18"/>
      <c r="M1887" s="23"/>
    </row>
    <row r="1888">
      <c r="A1888" s="10" t="s">
        <v>1687</v>
      </c>
      <c r="B1888" s="17" t="s">
        <v>1688</v>
      </c>
      <c r="C1888" s="4" t="s">
        <v>3</v>
      </c>
      <c r="D1888" s="5" t="s">
        <v>15</v>
      </c>
      <c r="E1888" s="6" t="s">
        <v>943</v>
      </c>
      <c r="F1888" s="7">
        <v>45027.0</v>
      </c>
      <c r="H1888" s="11"/>
      <c r="J1888" s="18"/>
      <c r="L1888" s="18"/>
      <c r="M1888" s="23"/>
    </row>
    <row r="1889">
      <c r="A1889" s="10" t="s">
        <v>1687</v>
      </c>
      <c r="B1889" s="17" t="s">
        <v>1688</v>
      </c>
      <c r="C1889" s="4" t="s">
        <v>8</v>
      </c>
      <c r="D1889" s="5" t="s">
        <v>15</v>
      </c>
      <c r="E1889" s="6" t="s">
        <v>1218</v>
      </c>
      <c r="F1889" s="7">
        <v>45043.0</v>
      </c>
      <c r="H1889" s="11"/>
      <c r="J1889" s="18"/>
      <c r="L1889" s="18"/>
      <c r="M1889" s="23"/>
    </row>
    <row r="1890">
      <c r="A1890" s="10" t="s">
        <v>1687</v>
      </c>
      <c r="B1890" s="17" t="s">
        <v>1688</v>
      </c>
      <c r="C1890" s="4" t="s">
        <v>8</v>
      </c>
      <c r="D1890" s="5" t="s">
        <v>96</v>
      </c>
      <c r="E1890" s="6" t="s">
        <v>415</v>
      </c>
      <c r="F1890" s="7">
        <v>45051.0</v>
      </c>
      <c r="H1890" s="11"/>
      <c r="J1890" s="18"/>
      <c r="L1890" s="18"/>
      <c r="M1890" s="23"/>
    </row>
    <row r="1891">
      <c r="A1891" s="10" t="s">
        <v>1687</v>
      </c>
      <c r="B1891" s="17" t="s">
        <v>1688</v>
      </c>
      <c r="C1891" s="4" t="s">
        <v>8</v>
      </c>
      <c r="D1891" s="5" t="s">
        <v>71</v>
      </c>
      <c r="E1891" s="6" t="s">
        <v>1696</v>
      </c>
      <c r="F1891" s="7">
        <v>45162.0</v>
      </c>
      <c r="H1891" s="11"/>
      <c r="J1891" s="18"/>
      <c r="L1891" s="18"/>
      <c r="M1891" s="23"/>
    </row>
    <row r="1892">
      <c r="A1892" s="10" t="s">
        <v>1687</v>
      </c>
      <c r="B1892" s="17" t="s">
        <v>1688</v>
      </c>
      <c r="C1892" s="4" t="s">
        <v>8</v>
      </c>
      <c r="D1892" s="5" t="s">
        <v>96</v>
      </c>
      <c r="E1892" s="6" t="s">
        <v>1697</v>
      </c>
      <c r="F1892" s="7">
        <v>45166.0</v>
      </c>
      <c r="H1892" s="11"/>
      <c r="J1892" s="18"/>
      <c r="L1892" s="18"/>
      <c r="M1892" s="23"/>
    </row>
    <row r="1893">
      <c r="A1893" s="10" t="s">
        <v>1687</v>
      </c>
      <c r="B1893" s="17" t="s">
        <v>1688</v>
      </c>
      <c r="C1893" s="4" t="s">
        <v>8</v>
      </c>
      <c r="D1893" s="5" t="s">
        <v>71</v>
      </c>
      <c r="E1893" s="6" t="s">
        <v>847</v>
      </c>
      <c r="F1893" s="7">
        <v>45193.0</v>
      </c>
      <c r="H1893" s="11"/>
      <c r="J1893" s="18"/>
      <c r="L1893" s="18"/>
      <c r="M1893" s="23"/>
    </row>
    <row r="1894">
      <c r="A1894" s="10" t="s">
        <v>1687</v>
      </c>
      <c r="B1894" s="17" t="s">
        <v>1688</v>
      </c>
      <c r="C1894" s="4" t="s">
        <v>8</v>
      </c>
      <c r="D1894" s="5" t="s">
        <v>42</v>
      </c>
      <c r="E1894" s="6" t="s">
        <v>1014</v>
      </c>
      <c r="F1894" s="7">
        <v>45201.0</v>
      </c>
      <c r="H1894" s="11"/>
      <c r="J1894" s="18"/>
      <c r="L1894" s="18"/>
      <c r="M1894" s="23"/>
    </row>
    <row r="1895">
      <c r="A1895" s="10" t="s">
        <v>1687</v>
      </c>
      <c r="B1895" s="17" t="s">
        <v>1688</v>
      </c>
      <c r="C1895" s="4" t="s">
        <v>8</v>
      </c>
      <c r="D1895" s="5" t="s">
        <v>28</v>
      </c>
      <c r="E1895" s="6" t="s">
        <v>1698</v>
      </c>
      <c r="F1895" s="7">
        <v>45203.0</v>
      </c>
      <c r="H1895" s="11"/>
      <c r="J1895" s="18"/>
      <c r="L1895" s="18"/>
      <c r="M1895" s="23"/>
    </row>
    <row r="1896">
      <c r="A1896" s="10" t="s">
        <v>1687</v>
      </c>
      <c r="B1896" s="17" t="s">
        <v>1688</v>
      </c>
      <c r="C1896" s="4" t="s">
        <v>3</v>
      </c>
      <c r="D1896" s="5" t="s">
        <v>13</v>
      </c>
      <c r="E1896" s="6" t="s">
        <v>496</v>
      </c>
      <c r="F1896" s="7">
        <v>45206.0</v>
      </c>
      <c r="H1896" s="11"/>
      <c r="J1896" s="18"/>
      <c r="L1896" s="18"/>
      <c r="M1896" s="23"/>
    </row>
    <row r="1897">
      <c r="A1897" s="10" t="s">
        <v>1687</v>
      </c>
      <c r="B1897" s="17" t="s">
        <v>1688</v>
      </c>
      <c r="C1897" s="4" t="s">
        <v>8</v>
      </c>
      <c r="D1897" s="5" t="s">
        <v>23</v>
      </c>
      <c r="E1897" s="6" t="s">
        <v>1699</v>
      </c>
      <c r="F1897" s="7">
        <v>45248.0</v>
      </c>
      <c r="H1897" s="11"/>
      <c r="J1897" s="18"/>
      <c r="L1897" s="18"/>
      <c r="M1897" s="23"/>
    </row>
    <row r="1898">
      <c r="A1898" s="10" t="s">
        <v>1687</v>
      </c>
      <c r="B1898" s="17" t="s">
        <v>1688</v>
      </c>
      <c r="C1898" s="4" t="s">
        <v>8</v>
      </c>
      <c r="D1898" s="5" t="s">
        <v>17</v>
      </c>
      <c r="E1898" s="6" t="s">
        <v>961</v>
      </c>
      <c r="F1898" s="7">
        <v>45264.0</v>
      </c>
      <c r="H1898" s="11"/>
      <c r="J1898" s="18"/>
      <c r="L1898" s="18"/>
      <c r="M1898" s="23"/>
    </row>
    <row r="1899">
      <c r="A1899" s="10" t="s">
        <v>1687</v>
      </c>
      <c r="B1899" s="17" t="s">
        <v>1688</v>
      </c>
      <c r="C1899" s="4" t="s">
        <v>8</v>
      </c>
      <c r="D1899" s="5" t="s">
        <v>15</v>
      </c>
      <c r="E1899" s="6" t="s">
        <v>1700</v>
      </c>
      <c r="F1899" s="7">
        <v>45267.0</v>
      </c>
      <c r="H1899" s="11"/>
      <c r="J1899" s="18"/>
      <c r="L1899" s="18"/>
      <c r="M1899" s="23"/>
    </row>
    <row r="1900">
      <c r="A1900" s="10" t="s">
        <v>1687</v>
      </c>
      <c r="B1900" s="17" t="s">
        <v>1688</v>
      </c>
      <c r="C1900" s="4" t="s">
        <v>3</v>
      </c>
      <c r="D1900" s="5" t="s">
        <v>35</v>
      </c>
      <c r="E1900" s="6" t="s">
        <v>1701</v>
      </c>
      <c r="F1900" s="7">
        <v>45270.0</v>
      </c>
      <c r="H1900" s="11"/>
      <c r="J1900" s="18"/>
      <c r="L1900" s="18"/>
      <c r="M1900" s="23"/>
    </row>
    <row r="1901">
      <c r="A1901" s="10" t="s">
        <v>389</v>
      </c>
      <c r="B1901" s="17" t="s">
        <v>1702</v>
      </c>
      <c r="C1901" s="4" t="s">
        <v>8</v>
      </c>
      <c r="D1901" s="5" t="s">
        <v>76</v>
      </c>
      <c r="E1901" s="6" t="s">
        <v>1703</v>
      </c>
      <c r="F1901" s="7">
        <v>44942.0</v>
      </c>
      <c r="H1901" s="11"/>
      <c r="J1901" s="18"/>
      <c r="L1901" s="18"/>
      <c r="M1901" s="23"/>
    </row>
    <row r="1902">
      <c r="A1902" s="10" t="s">
        <v>389</v>
      </c>
      <c r="B1902" s="17" t="s">
        <v>1702</v>
      </c>
      <c r="C1902" s="4" t="s">
        <v>3</v>
      </c>
      <c r="D1902" s="5" t="s">
        <v>71</v>
      </c>
      <c r="E1902" s="6" t="s">
        <v>1704</v>
      </c>
      <c r="F1902" s="7">
        <v>44943.0</v>
      </c>
      <c r="H1902" s="11"/>
      <c r="J1902" s="18"/>
      <c r="L1902" s="18"/>
      <c r="M1902" s="23"/>
    </row>
    <row r="1903">
      <c r="A1903" s="10" t="s">
        <v>389</v>
      </c>
      <c r="B1903" s="17" t="s">
        <v>1702</v>
      </c>
      <c r="C1903" s="4" t="s">
        <v>3</v>
      </c>
      <c r="D1903" s="5" t="s">
        <v>15</v>
      </c>
      <c r="E1903" s="6" t="s">
        <v>27</v>
      </c>
      <c r="F1903" s="7">
        <v>44950.0</v>
      </c>
      <c r="H1903" s="11"/>
      <c r="J1903" s="18"/>
      <c r="L1903" s="18"/>
      <c r="M1903" s="23"/>
    </row>
    <row r="1904">
      <c r="A1904" s="10" t="s">
        <v>389</v>
      </c>
      <c r="B1904" s="17" t="s">
        <v>1702</v>
      </c>
      <c r="C1904" s="4" t="s">
        <v>8</v>
      </c>
      <c r="D1904" s="5" t="s">
        <v>4</v>
      </c>
      <c r="E1904" s="6" t="s">
        <v>1705</v>
      </c>
      <c r="F1904" s="7">
        <v>44961.0</v>
      </c>
      <c r="H1904" s="11"/>
      <c r="J1904" s="18"/>
      <c r="L1904" s="18"/>
      <c r="M1904" s="23"/>
    </row>
    <row r="1905">
      <c r="A1905" s="10" t="s">
        <v>389</v>
      </c>
      <c r="B1905" s="17" t="s">
        <v>1702</v>
      </c>
      <c r="C1905" s="4" t="s">
        <v>8</v>
      </c>
      <c r="D1905" s="5" t="s">
        <v>11</v>
      </c>
      <c r="E1905" s="6" t="s">
        <v>1706</v>
      </c>
      <c r="F1905" s="7">
        <v>44999.0</v>
      </c>
      <c r="H1905" s="11"/>
      <c r="J1905" s="18"/>
      <c r="L1905" s="18"/>
      <c r="M1905" s="23"/>
    </row>
    <row r="1906">
      <c r="A1906" s="10" t="s">
        <v>389</v>
      </c>
      <c r="B1906" s="17" t="s">
        <v>1702</v>
      </c>
      <c r="C1906" s="4" t="s">
        <v>3</v>
      </c>
      <c r="D1906" s="5" t="s">
        <v>35</v>
      </c>
      <c r="E1906" s="6" t="s">
        <v>1707</v>
      </c>
      <c r="F1906" s="7">
        <v>45004.0</v>
      </c>
      <c r="H1906" s="11"/>
      <c r="J1906" s="18"/>
      <c r="L1906" s="18"/>
      <c r="M1906" s="23"/>
    </row>
    <row r="1907">
      <c r="A1907" s="10" t="s">
        <v>389</v>
      </c>
      <c r="B1907" s="17" t="s">
        <v>1702</v>
      </c>
      <c r="C1907" s="4" t="s">
        <v>8</v>
      </c>
      <c r="D1907" s="5" t="s">
        <v>35</v>
      </c>
      <c r="E1907" s="6" t="s">
        <v>1708</v>
      </c>
      <c r="F1907" s="7">
        <v>45012.0</v>
      </c>
      <c r="H1907" s="11"/>
      <c r="J1907" s="18"/>
      <c r="L1907" s="18"/>
      <c r="M1907" s="23"/>
    </row>
    <row r="1908">
      <c r="A1908" s="10" t="s">
        <v>389</v>
      </c>
      <c r="B1908" s="17" t="s">
        <v>1702</v>
      </c>
      <c r="C1908" s="4" t="s">
        <v>8</v>
      </c>
      <c r="D1908" s="5" t="s">
        <v>17</v>
      </c>
      <c r="E1908" s="6" t="s">
        <v>1327</v>
      </c>
      <c r="F1908" s="7">
        <v>45013.0</v>
      </c>
      <c r="H1908" s="11"/>
      <c r="J1908" s="18"/>
      <c r="L1908" s="18"/>
      <c r="M1908" s="23"/>
    </row>
    <row r="1909">
      <c r="A1909" s="10" t="s">
        <v>389</v>
      </c>
      <c r="B1909" s="17" t="s">
        <v>1702</v>
      </c>
      <c r="C1909" s="4" t="s">
        <v>3</v>
      </c>
      <c r="D1909" s="5" t="s">
        <v>42</v>
      </c>
      <c r="E1909" s="6" t="s">
        <v>1709</v>
      </c>
      <c r="F1909" s="7">
        <v>45029.0</v>
      </c>
      <c r="H1909" s="11"/>
      <c r="J1909" s="18"/>
      <c r="L1909" s="18"/>
      <c r="M1909" s="23"/>
    </row>
    <row r="1910">
      <c r="A1910" s="10" t="s">
        <v>389</v>
      </c>
      <c r="B1910" s="17" t="s">
        <v>1702</v>
      </c>
      <c r="C1910" s="4" t="s">
        <v>3</v>
      </c>
      <c r="D1910" s="5" t="s">
        <v>45</v>
      </c>
      <c r="E1910" s="6" t="s">
        <v>1710</v>
      </c>
      <c r="F1910" s="7">
        <v>45054.0</v>
      </c>
      <c r="H1910" s="11"/>
      <c r="J1910" s="18"/>
      <c r="L1910" s="18"/>
      <c r="M1910" s="23"/>
    </row>
    <row r="1911">
      <c r="A1911" s="10" t="s">
        <v>389</v>
      </c>
      <c r="B1911" s="17" t="s">
        <v>1702</v>
      </c>
      <c r="C1911" s="4" t="s">
        <v>3</v>
      </c>
      <c r="D1911" s="5" t="s">
        <v>23</v>
      </c>
      <c r="E1911" s="6" t="s">
        <v>1711</v>
      </c>
      <c r="F1911" s="7">
        <v>45060.0</v>
      </c>
      <c r="H1911" s="11"/>
      <c r="J1911" s="18"/>
      <c r="L1911" s="18"/>
      <c r="M1911" s="23"/>
    </row>
    <row r="1912">
      <c r="A1912" s="10" t="s">
        <v>389</v>
      </c>
      <c r="B1912" s="17" t="s">
        <v>1702</v>
      </c>
      <c r="C1912" s="4" t="s">
        <v>3</v>
      </c>
      <c r="D1912" s="5" t="s">
        <v>76</v>
      </c>
      <c r="E1912" s="6" t="s">
        <v>1712</v>
      </c>
      <c r="F1912" s="7">
        <v>45071.0</v>
      </c>
      <c r="H1912" s="11"/>
      <c r="J1912" s="18"/>
      <c r="L1912" s="18"/>
      <c r="M1912" s="23"/>
    </row>
    <row r="1913">
      <c r="A1913" s="10" t="s">
        <v>389</v>
      </c>
      <c r="B1913" s="17" t="s">
        <v>1702</v>
      </c>
      <c r="C1913" s="4" t="s">
        <v>8</v>
      </c>
      <c r="D1913" s="5" t="s">
        <v>42</v>
      </c>
      <c r="E1913" s="6" t="s">
        <v>775</v>
      </c>
      <c r="F1913" s="7">
        <v>45086.0</v>
      </c>
      <c r="H1913" s="11"/>
      <c r="J1913" s="18"/>
      <c r="L1913" s="18"/>
      <c r="M1913" s="23"/>
    </row>
    <row r="1914">
      <c r="A1914" s="10" t="s">
        <v>389</v>
      </c>
      <c r="B1914" s="17" t="s">
        <v>1702</v>
      </c>
      <c r="C1914" s="4" t="s">
        <v>8</v>
      </c>
      <c r="D1914" s="5" t="s">
        <v>19</v>
      </c>
      <c r="E1914" s="6" t="s">
        <v>248</v>
      </c>
      <c r="F1914" s="7">
        <v>45087.0</v>
      </c>
      <c r="H1914" s="11"/>
      <c r="J1914" s="18"/>
      <c r="L1914" s="18"/>
      <c r="M1914" s="23"/>
    </row>
    <row r="1915">
      <c r="A1915" s="10" t="s">
        <v>389</v>
      </c>
      <c r="B1915" s="17" t="s">
        <v>1702</v>
      </c>
      <c r="C1915" s="4" t="s">
        <v>8</v>
      </c>
      <c r="D1915" s="5" t="s">
        <v>19</v>
      </c>
      <c r="E1915" s="6" t="s">
        <v>323</v>
      </c>
      <c r="F1915" s="7">
        <v>45122.0</v>
      </c>
      <c r="H1915" s="11"/>
      <c r="J1915" s="18"/>
      <c r="L1915" s="18"/>
      <c r="M1915" s="23"/>
    </row>
    <row r="1916">
      <c r="A1916" s="10" t="s">
        <v>389</v>
      </c>
      <c r="B1916" s="17" t="s">
        <v>1702</v>
      </c>
      <c r="C1916" s="4" t="s">
        <v>8</v>
      </c>
      <c r="D1916" s="5" t="s">
        <v>21</v>
      </c>
      <c r="E1916" s="6" t="s">
        <v>1713</v>
      </c>
      <c r="F1916" s="7">
        <v>45200.0</v>
      </c>
      <c r="H1916" s="11"/>
      <c r="J1916" s="18"/>
      <c r="L1916" s="18"/>
      <c r="M1916" s="23"/>
    </row>
    <row r="1917">
      <c r="A1917" s="10" t="s">
        <v>389</v>
      </c>
      <c r="B1917" s="17" t="s">
        <v>1702</v>
      </c>
      <c r="C1917" s="4" t="s">
        <v>3</v>
      </c>
      <c r="D1917" s="5" t="s">
        <v>120</v>
      </c>
      <c r="E1917" s="6" t="s">
        <v>1714</v>
      </c>
      <c r="F1917" s="7">
        <v>45255.0</v>
      </c>
      <c r="H1917" s="11"/>
      <c r="J1917" s="18"/>
      <c r="L1917" s="18"/>
      <c r="M1917" s="23"/>
    </row>
    <row r="1918">
      <c r="A1918" s="10" t="s">
        <v>389</v>
      </c>
      <c r="B1918" s="17" t="s">
        <v>1702</v>
      </c>
      <c r="C1918" s="4" t="s">
        <v>3</v>
      </c>
      <c r="D1918" s="5" t="s">
        <v>96</v>
      </c>
      <c r="E1918" s="6" t="s">
        <v>1715</v>
      </c>
      <c r="F1918" s="7">
        <v>45264.0</v>
      </c>
      <c r="H1918" s="11"/>
      <c r="J1918" s="18"/>
      <c r="L1918" s="18"/>
      <c r="M1918" s="23"/>
    </row>
    <row r="1919">
      <c r="A1919" s="10" t="s">
        <v>389</v>
      </c>
      <c r="B1919" s="17" t="s">
        <v>1702</v>
      </c>
      <c r="C1919" s="4" t="s">
        <v>3</v>
      </c>
      <c r="D1919" s="5" t="s">
        <v>15</v>
      </c>
      <c r="E1919" s="6" t="s">
        <v>1716</v>
      </c>
      <c r="F1919" s="7">
        <v>45264.0</v>
      </c>
      <c r="H1919" s="11"/>
      <c r="J1919" s="18"/>
      <c r="L1919" s="18"/>
      <c r="M1919" s="23"/>
    </row>
    <row r="1920">
      <c r="A1920" s="10" t="s">
        <v>389</v>
      </c>
      <c r="B1920" s="17" t="s">
        <v>1702</v>
      </c>
      <c r="C1920" s="4" t="s">
        <v>8</v>
      </c>
      <c r="D1920" s="5" t="s">
        <v>76</v>
      </c>
      <c r="E1920" s="6" t="s">
        <v>1717</v>
      </c>
      <c r="F1920" s="7">
        <v>45269.0</v>
      </c>
      <c r="H1920" s="11"/>
      <c r="J1920" s="18"/>
      <c r="L1920" s="18"/>
      <c r="M1920" s="23"/>
    </row>
    <row r="1921">
      <c r="A1921" s="10" t="s">
        <v>1718</v>
      </c>
      <c r="B1921" s="17" t="s">
        <v>1719</v>
      </c>
      <c r="C1921" s="4" t="s">
        <v>3</v>
      </c>
      <c r="D1921" s="5" t="s">
        <v>35</v>
      </c>
      <c r="E1921" s="6" t="s">
        <v>1720</v>
      </c>
      <c r="F1921" s="7">
        <v>44929.0</v>
      </c>
      <c r="H1921" s="11"/>
      <c r="J1921" s="18"/>
      <c r="L1921" s="18"/>
      <c r="M1921" s="23"/>
    </row>
    <row r="1922">
      <c r="A1922" s="10" t="s">
        <v>1718</v>
      </c>
      <c r="B1922" s="17" t="s">
        <v>1719</v>
      </c>
      <c r="C1922" s="4" t="s">
        <v>8</v>
      </c>
      <c r="D1922" s="5" t="s">
        <v>6</v>
      </c>
      <c r="E1922" s="6" t="s">
        <v>1721</v>
      </c>
      <c r="F1922" s="7">
        <v>44995.0</v>
      </c>
      <c r="H1922" s="11"/>
      <c r="J1922" s="18"/>
      <c r="L1922" s="18"/>
      <c r="M1922" s="23"/>
    </row>
    <row r="1923">
      <c r="A1923" s="10" t="s">
        <v>1718</v>
      </c>
      <c r="B1923" s="17" t="s">
        <v>1719</v>
      </c>
      <c r="C1923" s="4" t="s">
        <v>8</v>
      </c>
      <c r="D1923" s="5" t="s">
        <v>19</v>
      </c>
      <c r="E1923" s="6" t="s">
        <v>1722</v>
      </c>
      <c r="F1923" s="7">
        <v>45025.0</v>
      </c>
      <c r="H1923" s="11"/>
      <c r="J1923" s="18"/>
      <c r="L1923" s="18"/>
      <c r="M1923" s="23"/>
    </row>
    <row r="1924">
      <c r="A1924" s="10" t="s">
        <v>1718</v>
      </c>
      <c r="B1924" s="17" t="s">
        <v>1719</v>
      </c>
      <c r="C1924" s="4" t="s">
        <v>8</v>
      </c>
      <c r="D1924" s="5" t="s">
        <v>6</v>
      </c>
      <c r="E1924" s="6" t="s">
        <v>1723</v>
      </c>
      <c r="F1924" s="7">
        <v>45034.0</v>
      </c>
      <c r="H1924" s="11"/>
      <c r="J1924" s="18"/>
      <c r="L1924" s="18"/>
      <c r="M1924" s="23"/>
    </row>
    <row r="1925">
      <c r="A1925" s="10" t="s">
        <v>1718</v>
      </c>
      <c r="B1925" s="17" t="s">
        <v>1719</v>
      </c>
      <c r="C1925" s="4" t="s">
        <v>8</v>
      </c>
      <c r="D1925" s="5" t="s">
        <v>45</v>
      </c>
      <c r="E1925" s="6" t="s">
        <v>1724</v>
      </c>
      <c r="F1925" s="7">
        <v>45073.0</v>
      </c>
      <c r="H1925" s="11"/>
      <c r="J1925" s="18"/>
      <c r="L1925" s="18"/>
      <c r="M1925" s="23"/>
    </row>
    <row r="1926">
      <c r="A1926" s="10" t="s">
        <v>1718</v>
      </c>
      <c r="B1926" s="17" t="s">
        <v>1719</v>
      </c>
      <c r="C1926" s="4" t="s">
        <v>8</v>
      </c>
      <c r="D1926" s="5" t="s">
        <v>51</v>
      </c>
      <c r="E1926" s="6" t="s">
        <v>967</v>
      </c>
      <c r="F1926" s="7">
        <v>45079.0</v>
      </c>
      <c r="H1926" s="11"/>
      <c r="J1926" s="18"/>
      <c r="L1926" s="18"/>
      <c r="M1926" s="23"/>
    </row>
    <row r="1927">
      <c r="A1927" s="10" t="s">
        <v>1718</v>
      </c>
      <c r="B1927" s="17" t="s">
        <v>1719</v>
      </c>
      <c r="C1927" s="4" t="s">
        <v>8</v>
      </c>
      <c r="D1927" s="5" t="s">
        <v>9</v>
      </c>
      <c r="E1927" s="6" t="s">
        <v>1725</v>
      </c>
      <c r="F1927" s="7">
        <v>45085.0</v>
      </c>
      <c r="H1927" s="11"/>
      <c r="J1927" s="18"/>
      <c r="L1927" s="18"/>
      <c r="M1927" s="23"/>
    </row>
    <row r="1928">
      <c r="A1928" s="10" t="s">
        <v>1718</v>
      </c>
      <c r="B1928" s="17" t="s">
        <v>1719</v>
      </c>
      <c r="C1928" s="4" t="s">
        <v>8</v>
      </c>
      <c r="D1928" s="5" t="s">
        <v>19</v>
      </c>
      <c r="E1928" s="6" t="s">
        <v>1726</v>
      </c>
      <c r="F1928" s="7">
        <v>45088.0</v>
      </c>
      <c r="H1928" s="11"/>
      <c r="J1928" s="18"/>
      <c r="L1928" s="18"/>
      <c r="M1928" s="23"/>
    </row>
    <row r="1929">
      <c r="A1929" s="10" t="s">
        <v>1718</v>
      </c>
      <c r="B1929" s="17" t="s">
        <v>1719</v>
      </c>
      <c r="C1929" s="4" t="s">
        <v>8</v>
      </c>
      <c r="D1929" s="5" t="s">
        <v>13</v>
      </c>
      <c r="E1929" s="6" t="s">
        <v>1727</v>
      </c>
      <c r="F1929" s="7">
        <v>45095.0</v>
      </c>
      <c r="H1929" s="11"/>
      <c r="J1929" s="18"/>
      <c r="L1929" s="18"/>
      <c r="M1929" s="23"/>
    </row>
    <row r="1930">
      <c r="A1930" s="10" t="s">
        <v>1718</v>
      </c>
      <c r="B1930" s="17" t="s">
        <v>1719</v>
      </c>
      <c r="C1930" s="4" t="s">
        <v>3</v>
      </c>
      <c r="D1930" s="5" t="s">
        <v>13</v>
      </c>
      <c r="E1930" s="6" t="s">
        <v>1030</v>
      </c>
      <c r="F1930" s="7">
        <v>45101.0</v>
      </c>
      <c r="H1930" s="11"/>
      <c r="J1930" s="18"/>
      <c r="L1930" s="18"/>
      <c r="M1930" s="23"/>
    </row>
    <row r="1931">
      <c r="A1931" s="10" t="s">
        <v>1718</v>
      </c>
      <c r="B1931" s="17" t="s">
        <v>1719</v>
      </c>
      <c r="C1931" s="4" t="s">
        <v>3</v>
      </c>
      <c r="D1931" s="5" t="s">
        <v>96</v>
      </c>
      <c r="E1931" s="6" t="s">
        <v>1728</v>
      </c>
      <c r="F1931" s="7">
        <v>45102.0</v>
      </c>
      <c r="H1931" s="11"/>
      <c r="J1931" s="18"/>
      <c r="L1931" s="18"/>
      <c r="M1931" s="23"/>
    </row>
    <row r="1932">
      <c r="A1932" s="10" t="s">
        <v>1718</v>
      </c>
      <c r="B1932" s="17" t="s">
        <v>1719</v>
      </c>
      <c r="C1932" s="4" t="s">
        <v>8</v>
      </c>
      <c r="D1932" s="5" t="s">
        <v>15</v>
      </c>
      <c r="E1932" s="6" t="s">
        <v>441</v>
      </c>
      <c r="F1932" s="7">
        <v>45139.0</v>
      </c>
      <c r="H1932" s="11"/>
      <c r="J1932" s="18"/>
      <c r="L1932" s="18"/>
      <c r="M1932" s="23"/>
    </row>
    <row r="1933">
      <c r="A1933" s="10" t="s">
        <v>1718</v>
      </c>
      <c r="B1933" s="17" t="s">
        <v>1719</v>
      </c>
      <c r="C1933" s="4" t="s">
        <v>8</v>
      </c>
      <c r="D1933" s="5" t="s">
        <v>6</v>
      </c>
      <c r="E1933" s="6" t="s">
        <v>1729</v>
      </c>
      <c r="F1933" s="7">
        <v>45172.0</v>
      </c>
      <c r="H1933" s="11"/>
      <c r="J1933" s="18"/>
      <c r="L1933" s="18"/>
      <c r="M1933" s="23"/>
    </row>
    <row r="1934">
      <c r="A1934" s="10" t="s">
        <v>1718</v>
      </c>
      <c r="B1934" s="17" t="s">
        <v>1719</v>
      </c>
      <c r="C1934" s="4" t="s">
        <v>8</v>
      </c>
      <c r="D1934" s="5" t="s">
        <v>71</v>
      </c>
      <c r="E1934" s="6" t="s">
        <v>1730</v>
      </c>
      <c r="F1934" s="7">
        <v>45178.0</v>
      </c>
      <c r="H1934" s="11"/>
      <c r="J1934" s="18"/>
      <c r="L1934" s="18"/>
      <c r="M1934" s="23"/>
    </row>
    <row r="1935">
      <c r="A1935" s="10" t="s">
        <v>1718</v>
      </c>
      <c r="B1935" s="17" t="s">
        <v>1719</v>
      </c>
      <c r="C1935" s="4" t="s">
        <v>3</v>
      </c>
      <c r="D1935" s="5" t="s">
        <v>76</v>
      </c>
      <c r="E1935" s="6" t="s">
        <v>1201</v>
      </c>
      <c r="F1935" s="7">
        <v>45255.0</v>
      </c>
      <c r="H1935" s="11"/>
      <c r="J1935" s="18"/>
      <c r="L1935" s="18"/>
      <c r="M1935" s="23"/>
    </row>
    <row r="1936">
      <c r="A1936" s="10" t="s">
        <v>1718</v>
      </c>
      <c r="B1936" s="17" t="s">
        <v>1719</v>
      </c>
      <c r="C1936" s="4" t="s">
        <v>3</v>
      </c>
      <c r="D1936" s="5" t="s">
        <v>35</v>
      </c>
      <c r="E1936" s="6" t="s">
        <v>1731</v>
      </c>
      <c r="F1936" s="7">
        <v>45261.0</v>
      </c>
      <c r="H1936" s="11"/>
      <c r="J1936" s="18"/>
      <c r="L1936" s="18"/>
      <c r="M1936" s="23"/>
    </row>
    <row r="1937">
      <c r="A1937" s="10" t="s">
        <v>1718</v>
      </c>
      <c r="B1937" s="17" t="s">
        <v>1719</v>
      </c>
      <c r="C1937" s="4" t="s">
        <v>8</v>
      </c>
      <c r="D1937" s="5" t="s">
        <v>15</v>
      </c>
      <c r="E1937" s="6" t="s">
        <v>975</v>
      </c>
      <c r="F1937" s="7">
        <v>45275.0</v>
      </c>
      <c r="H1937" s="11"/>
      <c r="J1937" s="18"/>
      <c r="L1937" s="18"/>
      <c r="M1937" s="23"/>
    </row>
    <row r="1938">
      <c r="A1938" s="10" t="s">
        <v>1718</v>
      </c>
      <c r="B1938" s="17" t="s">
        <v>1719</v>
      </c>
      <c r="C1938" s="4" t="s">
        <v>8</v>
      </c>
      <c r="D1938" s="5" t="s">
        <v>6</v>
      </c>
      <c r="E1938" s="6" t="s">
        <v>1732</v>
      </c>
      <c r="F1938" s="7">
        <v>45276.0</v>
      </c>
      <c r="H1938" s="11"/>
      <c r="J1938" s="18"/>
      <c r="L1938" s="18"/>
      <c r="M1938" s="23"/>
    </row>
    <row r="1939">
      <c r="A1939" s="10" t="s">
        <v>1718</v>
      </c>
      <c r="B1939" s="17" t="s">
        <v>1719</v>
      </c>
      <c r="C1939" s="4" t="s">
        <v>3</v>
      </c>
      <c r="D1939" s="5" t="s">
        <v>35</v>
      </c>
      <c r="E1939" s="6" t="s">
        <v>1733</v>
      </c>
      <c r="F1939" s="7">
        <v>45278.0</v>
      </c>
      <c r="H1939" s="11"/>
      <c r="J1939" s="18"/>
      <c r="L1939" s="18"/>
      <c r="M1939" s="23"/>
    </row>
    <row r="1940">
      <c r="A1940" s="10" t="s">
        <v>1718</v>
      </c>
      <c r="B1940" s="17" t="s">
        <v>1719</v>
      </c>
      <c r="C1940" s="4" t="s">
        <v>8</v>
      </c>
      <c r="D1940" s="5" t="s">
        <v>6</v>
      </c>
      <c r="E1940" s="6" t="s">
        <v>1734</v>
      </c>
      <c r="F1940" s="7">
        <v>45281.0</v>
      </c>
      <c r="H1940" s="11"/>
      <c r="J1940" s="18"/>
      <c r="L1940" s="18"/>
      <c r="M1940" s="23"/>
    </row>
    <row r="1941">
      <c r="A1941" s="10" t="s">
        <v>1228</v>
      </c>
      <c r="B1941" s="17" t="s">
        <v>1735</v>
      </c>
      <c r="C1941" s="4" t="s">
        <v>3</v>
      </c>
      <c r="D1941" s="5" t="s">
        <v>21</v>
      </c>
      <c r="E1941" s="6" t="s">
        <v>1078</v>
      </c>
      <c r="F1941" s="7">
        <v>44949.0</v>
      </c>
      <c r="H1941" s="11"/>
      <c r="J1941" s="18"/>
      <c r="L1941" s="18"/>
      <c r="M1941" s="23"/>
    </row>
    <row r="1942">
      <c r="A1942" s="10" t="s">
        <v>1228</v>
      </c>
      <c r="B1942" s="17" t="s">
        <v>1735</v>
      </c>
      <c r="C1942" s="4" t="s">
        <v>8</v>
      </c>
      <c r="D1942" s="5" t="s">
        <v>45</v>
      </c>
      <c r="E1942" s="6" t="s">
        <v>1736</v>
      </c>
      <c r="F1942" s="7">
        <v>44953.0</v>
      </c>
      <c r="H1942" s="11"/>
      <c r="J1942" s="18"/>
      <c r="L1942" s="18"/>
      <c r="M1942" s="23"/>
    </row>
    <row r="1943">
      <c r="A1943" s="10" t="s">
        <v>1228</v>
      </c>
      <c r="B1943" s="17" t="s">
        <v>1735</v>
      </c>
      <c r="C1943" s="4" t="s">
        <v>3</v>
      </c>
      <c r="D1943" s="5" t="s">
        <v>120</v>
      </c>
      <c r="E1943" s="6" t="s">
        <v>288</v>
      </c>
      <c r="F1943" s="7">
        <v>44971.0</v>
      </c>
      <c r="H1943" s="11"/>
      <c r="J1943" s="18"/>
      <c r="L1943" s="18"/>
      <c r="M1943" s="23"/>
    </row>
    <row r="1944">
      <c r="A1944" s="10" t="s">
        <v>1228</v>
      </c>
      <c r="B1944" s="17" t="s">
        <v>1735</v>
      </c>
      <c r="C1944" s="4" t="s">
        <v>8</v>
      </c>
      <c r="D1944" s="5" t="s">
        <v>15</v>
      </c>
      <c r="E1944" s="6" t="s">
        <v>1737</v>
      </c>
      <c r="F1944" s="7">
        <v>45005.0</v>
      </c>
      <c r="H1944" s="11"/>
      <c r="J1944" s="18"/>
      <c r="L1944" s="18"/>
      <c r="M1944" s="23"/>
    </row>
    <row r="1945">
      <c r="A1945" s="10" t="s">
        <v>1228</v>
      </c>
      <c r="B1945" s="17" t="s">
        <v>1735</v>
      </c>
      <c r="C1945" s="4" t="s">
        <v>8</v>
      </c>
      <c r="D1945" s="5" t="s">
        <v>39</v>
      </c>
      <c r="E1945" s="6" t="s">
        <v>1738</v>
      </c>
      <c r="F1945" s="7">
        <v>45007.0</v>
      </c>
      <c r="H1945" s="11"/>
      <c r="J1945" s="18"/>
      <c r="L1945" s="18"/>
      <c r="M1945" s="23"/>
    </row>
    <row r="1946">
      <c r="A1946" s="10" t="s">
        <v>1228</v>
      </c>
      <c r="B1946" s="17" t="s">
        <v>1735</v>
      </c>
      <c r="C1946" s="4" t="s">
        <v>8</v>
      </c>
      <c r="D1946" s="5" t="s">
        <v>13</v>
      </c>
      <c r="E1946" s="6" t="s">
        <v>1739</v>
      </c>
      <c r="F1946" s="7">
        <v>45031.0</v>
      </c>
      <c r="H1946" s="11"/>
      <c r="J1946" s="18"/>
      <c r="L1946" s="18"/>
      <c r="M1946" s="23"/>
    </row>
    <row r="1947">
      <c r="A1947" s="10" t="s">
        <v>1228</v>
      </c>
      <c r="B1947" s="17" t="s">
        <v>1735</v>
      </c>
      <c r="C1947" s="4" t="s">
        <v>3</v>
      </c>
      <c r="D1947" s="5" t="s">
        <v>51</v>
      </c>
      <c r="E1947" s="6" t="s">
        <v>1740</v>
      </c>
      <c r="F1947" s="7">
        <v>45042.0</v>
      </c>
      <c r="H1947" s="11"/>
      <c r="J1947" s="18"/>
      <c r="L1947" s="18"/>
      <c r="M1947" s="23"/>
    </row>
    <row r="1948">
      <c r="A1948" s="10" t="s">
        <v>1228</v>
      </c>
      <c r="B1948" s="17" t="s">
        <v>1735</v>
      </c>
      <c r="C1948" s="4" t="s">
        <v>8</v>
      </c>
      <c r="D1948" s="5" t="s">
        <v>17</v>
      </c>
      <c r="E1948" s="6" t="s">
        <v>1741</v>
      </c>
      <c r="F1948" s="7">
        <v>45070.0</v>
      </c>
      <c r="H1948" s="11"/>
      <c r="J1948" s="18"/>
      <c r="L1948" s="18"/>
      <c r="M1948" s="23"/>
    </row>
    <row r="1949">
      <c r="A1949" s="10" t="s">
        <v>1228</v>
      </c>
      <c r="B1949" s="17" t="s">
        <v>1735</v>
      </c>
      <c r="C1949" s="4" t="s">
        <v>8</v>
      </c>
      <c r="D1949" s="5" t="s">
        <v>9</v>
      </c>
      <c r="E1949" s="6" t="s">
        <v>1742</v>
      </c>
      <c r="F1949" s="7">
        <v>45135.0</v>
      </c>
      <c r="H1949" s="11"/>
      <c r="J1949" s="18"/>
      <c r="L1949" s="18"/>
      <c r="M1949" s="23"/>
    </row>
    <row r="1950">
      <c r="A1950" s="10" t="s">
        <v>1228</v>
      </c>
      <c r="B1950" s="17" t="s">
        <v>1735</v>
      </c>
      <c r="C1950" s="4" t="s">
        <v>8</v>
      </c>
      <c r="D1950" s="5" t="s">
        <v>51</v>
      </c>
      <c r="E1950" s="6" t="s">
        <v>1743</v>
      </c>
      <c r="F1950" s="7">
        <v>45148.0</v>
      </c>
      <c r="H1950" s="11"/>
      <c r="J1950" s="18"/>
      <c r="L1950" s="18"/>
      <c r="M1950" s="23"/>
    </row>
    <row r="1951">
      <c r="A1951" s="10" t="s">
        <v>1228</v>
      </c>
      <c r="B1951" s="17" t="s">
        <v>1735</v>
      </c>
      <c r="C1951" s="4" t="s">
        <v>3</v>
      </c>
      <c r="D1951" s="5" t="s">
        <v>96</v>
      </c>
      <c r="E1951" s="6" t="s">
        <v>215</v>
      </c>
      <c r="F1951" s="7">
        <v>45190.0</v>
      </c>
      <c r="H1951" s="11"/>
      <c r="J1951" s="18"/>
      <c r="L1951" s="18"/>
      <c r="M1951" s="23"/>
    </row>
    <row r="1952">
      <c r="A1952" s="10" t="s">
        <v>1228</v>
      </c>
      <c r="B1952" s="17" t="s">
        <v>1735</v>
      </c>
      <c r="C1952" s="4" t="s">
        <v>3</v>
      </c>
      <c r="D1952" s="5" t="s">
        <v>23</v>
      </c>
      <c r="E1952" s="6" t="s">
        <v>1744</v>
      </c>
      <c r="F1952" s="7">
        <v>45192.0</v>
      </c>
      <c r="H1952" s="11"/>
      <c r="J1952" s="18"/>
      <c r="L1952" s="18"/>
      <c r="M1952" s="23"/>
    </row>
    <row r="1953">
      <c r="A1953" s="10" t="s">
        <v>1228</v>
      </c>
      <c r="B1953" s="17" t="s">
        <v>1735</v>
      </c>
      <c r="C1953" s="4" t="s">
        <v>8</v>
      </c>
      <c r="D1953" s="5" t="s">
        <v>17</v>
      </c>
      <c r="E1953" s="6" t="s">
        <v>1745</v>
      </c>
      <c r="F1953" s="7">
        <v>45203.0</v>
      </c>
      <c r="H1953" s="11"/>
      <c r="J1953" s="18"/>
      <c r="L1953" s="18"/>
      <c r="M1953" s="23"/>
    </row>
    <row r="1954">
      <c r="A1954" s="10" t="s">
        <v>1228</v>
      </c>
      <c r="B1954" s="17" t="s">
        <v>1735</v>
      </c>
      <c r="C1954" s="4" t="s">
        <v>8</v>
      </c>
      <c r="D1954" s="5" t="s">
        <v>11</v>
      </c>
      <c r="E1954" s="6" t="s">
        <v>1746</v>
      </c>
      <c r="F1954" s="7">
        <v>45211.0</v>
      </c>
      <c r="H1954" s="11"/>
      <c r="J1954" s="18"/>
      <c r="L1954" s="18"/>
      <c r="M1954" s="23"/>
    </row>
    <row r="1955">
      <c r="A1955" s="10" t="s">
        <v>1228</v>
      </c>
      <c r="B1955" s="17" t="s">
        <v>1735</v>
      </c>
      <c r="C1955" s="4" t="s">
        <v>3</v>
      </c>
      <c r="D1955" s="5" t="s">
        <v>39</v>
      </c>
      <c r="E1955" s="6" t="s">
        <v>1747</v>
      </c>
      <c r="F1955" s="7">
        <v>45252.0</v>
      </c>
      <c r="H1955" s="11"/>
      <c r="J1955" s="18"/>
      <c r="L1955" s="18"/>
      <c r="M1955" s="23"/>
    </row>
    <row r="1956">
      <c r="A1956" s="10" t="s">
        <v>1228</v>
      </c>
      <c r="B1956" s="17" t="s">
        <v>1735</v>
      </c>
      <c r="C1956" s="4" t="s">
        <v>8</v>
      </c>
      <c r="D1956" s="5" t="s">
        <v>15</v>
      </c>
      <c r="E1956" s="6" t="s">
        <v>1513</v>
      </c>
      <c r="F1956" s="7">
        <v>45253.0</v>
      </c>
      <c r="H1956" s="11"/>
      <c r="J1956" s="18"/>
      <c r="L1956" s="18"/>
      <c r="M1956" s="23"/>
    </row>
    <row r="1957">
      <c r="A1957" s="10" t="s">
        <v>1228</v>
      </c>
      <c r="B1957" s="17" t="s">
        <v>1735</v>
      </c>
      <c r="C1957" s="4" t="s">
        <v>8</v>
      </c>
      <c r="D1957" s="5" t="s">
        <v>19</v>
      </c>
      <c r="E1957" s="6" t="s">
        <v>1748</v>
      </c>
      <c r="F1957" s="7">
        <v>45257.0</v>
      </c>
      <c r="H1957" s="11"/>
      <c r="J1957" s="18"/>
      <c r="L1957" s="18"/>
      <c r="M1957" s="23"/>
    </row>
    <row r="1958">
      <c r="A1958" s="10" t="s">
        <v>1228</v>
      </c>
      <c r="B1958" s="17" t="s">
        <v>1735</v>
      </c>
      <c r="C1958" s="4" t="s">
        <v>3</v>
      </c>
      <c r="D1958" s="5" t="s">
        <v>15</v>
      </c>
      <c r="E1958" s="6" t="s">
        <v>514</v>
      </c>
      <c r="F1958" s="7">
        <v>45267.0</v>
      </c>
      <c r="H1958" s="11"/>
      <c r="J1958" s="18"/>
      <c r="L1958" s="18"/>
      <c r="M1958" s="23"/>
    </row>
    <row r="1959">
      <c r="A1959" s="10" t="s">
        <v>1228</v>
      </c>
      <c r="B1959" s="17" t="s">
        <v>1735</v>
      </c>
      <c r="C1959" s="4" t="s">
        <v>8</v>
      </c>
      <c r="D1959" s="5" t="s">
        <v>15</v>
      </c>
      <c r="E1959" s="6" t="s">
        <v>1651</v>
      </c>
      <c r="F1959" s="7">
        <v>45276.0</v>
      </c>
      <c r="H1959" s="11"/>
      <c r="J1959" s="18"/>
      <c r="L1959" s="18"/>
      <c r="M1959" s="23"/>
    </row>
    <row r="1960">
      <c r="A1960" s="10" t="s">
        <v>1228</v>
      </c>
      <c r="B1960" s="17" t="s">
        <v>1735</v>
      </c>
      <c r="C1960" s="4" t="s">
        <v>8</v>
      </c>
      <c r="D1960" s="5" t="s">
        <v>11</v>
      </c>
      <c r="E1960" s="6" t="s">
        <v>592</v>
      </c>
      <c r="F1960" s="7">
        <v>45277.0</v>
      </c>
      <c r="H1960" s="11"/>
      <c r="J1960" s="18"/>
      <c r="L1960" s="18"/>
      <c r="M1960" s="23"/>
    </row>
    <row r="1961">
      <c r="A1961" s="10" t="s">
        <v>1749</v>
      </c>
      <c r="B1961" s="17" t="s">
        <v>1750</v>
      </c>
      <c r="C1961" s="4" t="s">
        <v>3</v>
      </c>
      <c r="D1961" s="5" t="s">
        <v>19</v>
      </c>
      <c r="E1961" s="6" t="s">
        <v>959</v>
      </c>
      <c r="F1961" s="7">
        <v>44930.0</v>
      </c>
      <c r="H1961" s="11"/>
      <c r="J1961" s="18"/>
      <c r="L1961" s="18"/>
      <c r="M1961" s="23"/>
    </row>
    <row r="1962">
      <c r="A1962" s="10" t="s">
        <v>1749</v>
      </c>
      <c r="B1962" s="17" t="s">
        <v>1750</v>
      </c>
      <c r="C1962" s="4" t="s">
        <v>3</v>
      </c>
      <c r="D1962" s="5" t="s">
        <v>11</v>
      </c>
      <c r="E1962" s="6" t="s">
        <v>1751</v>
      </c>
      <c r="F1962" s="7">
        <v>44941.0</v>
      </c>
      <c r="H1962" s="11"/>
      <c r="J1962" s="18"/>
      <c r="L1962" s="18"/>
      <c r="M1962" s="23"/>
    </row>
    <row r="1963">
      <c r="A1963" s="10" t="s">
        <v>1749</v>
      </c>
      <c r="B1963" s="17" t="s">
        <v>1750</v>
      </c>
      <c r="C1963" s="4" t="s">
        <v>3</v>
      </c>
      <c r="D1963" s="5" t="s">
        <v>28</v>
      </c>
      <c r="E1963" s="6" t="s">
        <v>1752</v>
      </c>
      <c r="F1963" s="7">
        <v>44971.0</v>
      </c>
      <c r="H1963" s="11"/>
      <c r="J1963" s="18"/>
      <c r="L1963" s="18"/>
      <c r="M1963" s="23"/>
    </row>
    <row r="1964">
      <c r="A1964" s="10" t="s">
        <v>1749</v>
      </c>
      <c r="B1964" s="17" t="s">
        <v>1750</v>
      </c>
      <c r="C1964" s="4" t="s">
        <v>8</v>
      </c>
      <c r="D1964" s="5" t="s">
        <v>51</v>
      </c>
      <c r="E1964" s="6" t="s">
        <v>1753</v>
      </c>
      <c r="F1964" s="7">
        <v>45008.0</v>
      </c>
      <c r="H1964" s="11"/>
      <c r="J1964" s="18"/>
      <c r="L1964" s="18"/>
      <c r="M1964" s="23"/>
    </row>
    <row r="1965">
      <c r="A1965" s="10" t="s">
        <v>1749</v>
      </c>
      <c r="B1965" s="17" t="s">
        <v>1750</v>
      </c>
      <c r="C1965" s="4" t="s">
        <v>8</v>
      </c>
      <c r="D1965" s="5" t="s">
        <v>13</v>
      </c>
      <c r="E1965" s="6" t="s">
        <v>1754</v>
      </c>
      <c r="F1965" s="7">
        <v>45024.0</v>
      </c>
      <c r="H1965" s="11"/>
      <c r="J1965" s="18"/>
      <c r="L1965" s="18"/>
      <c r="M1965" s="23"/>
    </row>
    <row r="1966">
      <c r="A1966" s="10" t="s">
        <v>1749</v>
      </c>
      <c r="B1966" s="17" t="s">
        <v>1750</v>
      </c>
      <c r="C1966" s="4" t="s">
        <v>8</v>
      </c>
      <c r="D1966" s="5" t="s">
        <v>71</v>
      </c>
      <c r="E1966" s="6" t="s">
        <v>1755</v>
      </c>
      <c r="F1966" s="7">
        <v>45028.0</v>
      </c>
      <c r="H1966" s="11"/>
      <c r="J1966" s="18"/>
      <c r="L1966" s="18"/>
      <c r="M1966" s="23"/>
    </row>
    <row r="1967">
      <c r="A1967" s="10" t="s">
        <v>1749</v>
      </c>
      <c r="B1967" s="17" t="s">
        <v>1750</v>
      </c>
      <c r="C1967" s="4" t="s">
        <v>8</v>
      </c>
      <c r="D1967" s="5" t="s">
        <v>17</v>
      </c>
      <c r="E1967" s="6" t="s">
        <v>1756</v>
      </c>
      <c r="F1967" s="7">
        <v>45096.0</v>
      </c>
      <c r="H1967" s="11"/>
      <c r="J1967" s="18"/>
      <c r="L1967" s="18"/>
      <c r="M1967" s="23"/>
    </row>
    <row r="1968">
      <c r="A1968" s="10" t="s">
        <v>1749</v>
      </c>
      <c r="B1968" s="17" t="s">
        <v>1750</v>
      </c>
      <c r="C1968" s="4" t="s">
        <v>3</v>
      </c>
      <c r="D1968" s="5" t="s">
        <v>11</v>
      </c>
      <c r="E1968" s="6" t="s">
        <v>852</v>
      </c>
      <c r="F1968" s="7">
        <v>45100.0</v>
      </c>
      <c r="H1968" s="11"/>
      <c r="J1968" s="18"/>
      <c r="L1968" s="18"/>
      <c r="M1968" s="23"/>
    </row>
    <row r="1969">
      <c r="A1969" s="10" t="s">
        <v>1749</v>
      </c>
      <c r="B1969" s="17" t="s">
        <v>1750</v>
      </c>
      <c r="C1969" s="4" t="s">
        <v>8</v>
      </c>
      <c r="D1969" s="5" t="s">
        <v>76</v>
      </c>
      <c r="E1969" s="6" t="s">
        <v>1757</v>
      </c>
      <c r="F1969" s="7">
        <v>45109.0</v>
      </c>
      <c r="H1969" s="11"/>
      <c r="J1969" s="18"/>
      <c r="L1969" s="18"/>
      <c r="M1969" s="23"/>
    </row>
    <row r="1970">
      <c r="A1970" s="10" t="s">
        <v>1749</v>
      </c>
      <c r="B1970" s="17" t="s">
        <v>1750</v>
      </c>
      <c r="C1970" s="4" t="s">
        <v>8</v>
      </c>
      <c r="D1970" s="5" t="s">
        <v>96</v>
      </c>
      <c r="E1970" s="6" t="s">
        <v>1499</v>
      </c>
      <c r="F1970" s="7">
        <v>45144.0</v>
      </c>
      <c r="H1970" s="11"/>
      <c r="J1970" s="18"/>
      <c r="L1970" s="18"/>
      <c r="M1970" s="23"/>
    </row>
    <row r="1971">
      <c r="A1971" s="10" t="s">
        <v>1749</v>
      </c>
      <c r="B1971" s="17" t="s">
        <v>1750</v>
      </c>
      <c r="C1971" s="4" t="s">
        <v>8</v>
      </c>
      <c r="D1971" s="5" t="s">
        <v>23</v>
      </c>
      <c r="E1971" s="6" t="s">
        <v>1758</v>
      </c>
      <c r="F1971" s="7">
        <v>45161.0</v>
      </c>
      <c r="H1971" s="11"/>
      <c r="J1971" s="18"/>
      <c r="L1971" s="18"/>
      <c r="M1971" s="23"/>
    </row>
    <row r="1972">
      <c r="A1972" s="10" t="s">
        <v>1749</v>
      </c>
      <c r="B1972" s="17" t="s">
        <v>1750</v>
      </c>
      <c r="C1972" s="4" t="s">
        <v>8</v>
      </c>
      <c r="D1972" s="5" t="s">
        <v>23</v>
      </c>
      <c r="E1972" s="6" t="s">
        <v>1759</v>
      </c>
      <c r="F1972" s="7">
        <v>45165.0</v>
      </c>
      <c r="H1972" s="11"/>
      <c r="J1972" s="18"/>
      <c r="L1972" s="18"/>
      <c r="M1972" s="23"/>
    </row>
    <row r="1973">
      <c r="A1973" s="10" t="s">
        <v>1749</v>
      </c>
      <c r="B1973" s="17" t="s">
        <v>1750</v>
      </c>
      <c r="C1973" s="4" t="s">
        <v>3</v>
      </c>
      <c r="D1973" s="5" t="s">
        <v>6</v>
      </c>
      <c r="E1973" s="6" t="s">
        <v>1760</v>
      </c>
      <c r="F1973" s="7">
        <v>45173.0</v>
      </c>
      <c r="H1973" s="11"/>
      <c r="J1973" s="18"/>
      <c r="L1973" s="18"/>
      <c r="M1973" s="23"/>
    </row>
    <row r="1974">
      <c r="A1974" s="10" t="s">
        <v>1749</v>
      </c>
      <c r="B1974" s="17" t="s">
        <v>1750</v>
      </c>
      <c r="C1974" s="4" t="s">
        <v>8</v>
      </c>
      <c r="D1974" s="5" t="s">
        <v>23</v>
      </c>
      <c r="E1974" s="6" t="s">
        <v>1678</v>
      </c>
      <c r="F1974" s="7">
        <v>45187.0</v>
      </c>
      <c r="H1974" s="11"/>
      <c r="J1974" s="18"/>
      <c r="L1974" s="18"/>
      <c r="M1974" s="23"/>
    </row>
    <row r="1975">
      <c r="A1975" s="10" t="s">
        <v>1749</v>
      </c>
      <c r="B1975" s="17" t="s">
        <v>1750</v>
      </c>
      <c r="C1975" s="4" t="s">
        <v>3</v>
      </c>
      <c r="D1975" s="5" t="s">
        <v>96</v>
      </c>
      <c r="E1975" s="6" t="s">
        <v>1761</v>
      </c>
      <c r="F1975" s="7">
        <v>45197.0</v>
      </c>
      <c r="H1975" s="11"/>
      <c r="J1975" s="18"/>
      <c r="L1975" s="18"/>
      <c r="M1975" s="23"/>
    </row>
    <row r="1976">
      <c r="A1976" s="10" t="s">
        <v>1749</v>
      </c>
      <c r="B1976" s="17" t="s">
        <v>1750</v>
      </c>
      <c r="C1976" s="4" t="s">
        <v>3</v>
      </c>
      <c r="D1976" s="5" t="s">
        <v>120</v>
      </c>
      <c r="E1976" s="6" t="s">
        <v>1762</v>
      </c>
      <c r="F1976" s="7">
        <v>45217.0</v>
      </c>
      <c r="H1976" s="11"/>
      <c r="J1976" s="18"/>
      <c r="L1976" s="18"/>
      <c r="M1976" s="23"/>
    </row>
    <row r="1977">
      <c r="A1977" s="10" t="s">
        <v>1749</v>
      </c>
      <c r="B1977" s="17" t="s">
        <v>1750</v>
      </c>
      <c r="C1977" s="4" t="s">
        <v>8</v>
      </c>
      <c r="D1977" s="5" t="s">
        <v>17</v>
      </c>
      <c r="E1977" s="6" t="s">
        <v>1384</v>
      </c>
      <c r="F1977" s="7">
        <v>45249.0</v>
      </c>
      <c r="H1977" s="11"/>
      <c r="J1977" s="18"/>
      <c r="L1977" s="18"/>
      <c r="M1977" s="23"/>
    </row>
    <row r="1978">
      <c r="A1978" s="10" t="s">
        <v>1749</v>
      </c>
      <c r="B1978" s="17" t="s">
        <v>1750</v>
      </c>
      <c r="C1978" s="4" t="s">
        <v>8</v>
      </c>
      <c r="D1978" s="5" t="s">
        <v>45</v>
      </c>
      <c r="E1978" s="6" t="s">
        <v>1763</v>
      </c>
      <c r="F1978" s="7">
        <v>45252.0</v>
      </c>
      <c r="H1978" s="11"/>
      <c r="J1978" s="18"/>
      <c r="L1978" s="18"/>
      <c r="M1978" s="23"/>
    </row>
    <row r="1979">
      <c r="A1979" s="10" t="s">
        <v>1749</v>
      </c>
      <c r="B1979" s="17" t="s">
        <v>1750</v>
      </c>
      <c r="C1979" s="4" t="s">
        <v>8</v>
      </c>
      <c r="D1979" s="5" t="s">
        <v>51</v>
      </c>
      <c r="E1979" s="6" t="s">
        <v>1764</v>
      </c>
      <c r="F1979" s="7">
        <v>45262.0</v>
      </c>
      <c r="H1979" s="11"/>
      <c r="J1979" s="18"/>
      <c r="L1979" s="18"/>
      <c r="M1979" s="23"/>
    </row>
    <row r="1980">
      <c r="A1980" s="10" t="s">
        <v>1749</v>
      </c>
      <c r="B1980" s="17" t="s">
        <v>1750</v>
      </c>
      <c r="C1980" s="4" t="s">
        <v>8</v>
      </c>
      <c r="D1980" s="5" t="s">
        <v>96</v>
      </c>
      <c r="E1980" s="6" t="s">
        <v>1636</v>
      </c>
      <c r="F1980" s="7">
        <v>45262.0</v>
      </c>
      <c r="H1980" s="11"/>
      <c r="J1980" s="18"/>
      <c r="L1980" s="18"/>
      <c r="M1980" s="23"/>
    </row>
    <row r="1981">
      <c r="A1981" s="10" t="s">
        <v>1765</v>
      </c>
      <c r="B1981" s="17" t="s">
        <v>1766</v>
      </c>
      <c r="C1981" s="4" t="s">
        <v>8</v>
      </c>
      <c r="D1981" s="5" t="s">
        <v>35</v>
      </c>
      <c r="E1981" s="6" t="s">
        <v>1767</v>
      </c>
      <c r="F1981" s="7">
        <v>44928.0</v>
      </c>
      <c r="H1981" s="11"/>
      <c r="J1981" s="18"/>
      <c r="L1981" s="18"/>
      <c r="M1981" s="23"/>
    </row>
    <row r="1982">
      <c r="A1982" s="10" t="s">
        <v>1765</v>
      </c>
      <c r="B1982" s="17" t="s">
        <v>1766</v>
      </c>
      <c r="C1982" s="4" t="s">
        <v>3</v>
      </c>
      <c r="D1982" s="5" t="s">
        <v>120</v>
      </c>
      <c r="E1982" s="6" t="s">
        <v>1768</v>
      </c>
      <c r="F1982" s="7">
        <v>44936.0</v>
      </c>
      <c r="H1982" s="11"/>
      <c r="J1982" s="18"/>
      <c r="L1982" s="18"/>
      <c r="M1982" s="23"/>
    </row>
    <row r="1983">
      <c r="A1983" s="10" t="s">
        <v>1765</v>
      </c>
      <c r="B1983" s="17" t="s">
        <v>1766</v>
      </c>
      <c r="C1983" s="4" t="s">
        <v>3</v>
      </c>
      <c r="D1983" s="5" t="s">
        <v>42</v>
      </c>
      <c r="E1983" s="6" t="s">
        <v>309</v>
      </c>
      <c r="F1983" s="7">
        <v>44954.0</v>
      </c>
      <c r="H1983" s="11"/>
      <c r="J1983" s="18"/>
      <c r="L1983" s="18"/>
      <c r="M1983" s="23"/>
    </row>
    <row r="1984">
      <c r="A1984" s="10" t="s">
        <v>1765</v>
      </c>
      <c r="B1984" s="17" t="s">
        <v>1766</v>
      </c>
      <c r="C1984" s="4" t="s">
        <v>3</v>
      </c>
      <c r="D1984" s="5" t="s">
        <v>13</v>
      </c>
      <c r="E1984" s="6" t="s">
        <v>1769</v>
      </c>
      <c r="F1984" s="7">
        <v>44961.0</v>
      </c>
      <c r="H1984" s="11"/>
      <c r="J1984" s="18"/>
      <c r="L1984" s="18"/>
      <c r="M1984" s="23"/>
    </row>
    <row r="1985">
      <c r="A1985" s="10" t="s">
        <v>1765</v>
      </c>
      <c r="B1985" s="17" t="s">
        <v>1766</v>
      </c>
      <c r="C1985" s="4" t="s">
        <v>3</v>
      </c>
      <c r="D1985" s="5" t="s">
        <v>51</v>
      </c>
      <c r="E1985" s="6" t="s">
        <v>1124</v>
      </c>
      <c r="F1985" s="7">
        <v>44962.0</v>
      </c>
      <c r="H1985" s="11"/>
      <c r="J1985" s="18"/>
      <c r="L1985" s="18"/>
      <c r="M1985" s="23"/>
    </row>
    <row r="1986">
      <c r="A1986" s="10" t="s">
        <v>1765</v>
      </c>
      <c r="B1986" s="17" t="s">
        <v>1766</v>
      </c>
      <c r="C1986" s="4" t="s">
        <v>8</v>
      </c>
      <c r="D1986" s="5" t="s">
        <v>23</v>
      </c>
      <c r="E1986" s="6" t="s">
        <v>1464</v>
      </c>
      <c r="F1986" s="7">
        <v>44968.0</v>
      </c>
      <c r="H1986" s="11"/>
      <c r="J1986" s="18"/>
      <c r="L1986" s="18"/>
      <c r="M1986" s="23"/>
    </row>
    <row r="1987">
      <c r="A1987" s="10" t="s">
        <v>1765</v>
      </c>
      <c r="B1987" s="17" t="s">
        <v>1766</v>
      </c>
      <c r="C1987" s="4" t="s">
        <v>3</v>
      </c>
      <c r="D1987" s="5" t="s">
        <v>21</v>
      </c>
      <c r="E1987" s="6" t="s">
        <v>359</v>
      </c>
      <c r="F1987" s="7">
        <v>45022.0</v>
      </c>
      <c r="H1987" s="11"/>
      <c r="J1987" s="18"/>
      <c r="L1987" s="18"/>
      <c r="M1987" s="23"/>
    </row>
    <row r="1988">
      <c r="A1988" s="10" t="s">
        <v>1765</v>
      </c>
      <c r="B1988" s="17" t="s">
        <v>1766</v>
      </c>
      <c r="C1988" s="4" t="s">
        <v>8</v>
      </c>
      <c r="D1988" s="5" t="s">
        <v>13</v>
      </c>
      <c r="E1988" s="6" t="s">
        <v>383</v>
      </c>
      <c r="F1988" s="7">
        <v>45030.0</v>
      </c>
      <c r="H1988" s="11"/>
      <c r="J1988" s="18"/>
      <c r="L1988" s="18"/>
      <c r="M1988" s="23"/>
    </row>
    <row r="1989">
      <c r="A1989" s="10" t="s">
        <v>1765</v>
      </c>
      <c r="B1989" s="17" t="s">
        <v>1766</v>
      </c>
      <c r="C1989" s="4" t="s">
        <v>3</v>
      </c>
      <c r="D1989" s="5" t="s">
        <v>15</v>
      </c>
      <c r="E1989" s="6" t="s">
        <v>1076</v>
      </c>
      <c r="F1989" s="7">
        <v>45058.0</v>
      </c>
      <c r="H1989" s="11"/>
      <c r="J1989" s="18"/>
      <c r="L1989" s="18"/>
      <c r="M1989" s="23"/>
    </row>
    <row r="1990">
      <c r="A1990" s="10" t="s">
        <v>1765</v>
      </c>
      <c r="B1990" s="17" t="s">
        <v>1766</v>
      </c>
      <c r="C1990" s="4" t="s">
        <v>8</v>
      </c>
      <c r="D1990" s="5" t="s">
        <v>13</v>
      </c>
      <c r="E1990" s="6" t="s">
        <v>1741</v>
      </c>
      <c r="F1990" s="7">
        <v>45093.0</v>
      </c>
      <c r="H1990" s="11"/>
      <c r="J1990" s="18"/>
      <c r="L1990" s="18"/>
      <c r="M1990" s="23"/>
    </row>
    <row r="1991">
      <c r="A1991" s="10" t="s">
        <v>1765</v>
      </c>
      <c r="B1991" s="17" t="s">
        <v>1766</v>
      </c>
      <c r="C1991" s="4" t="s">
        <v>8</v>
      </c>
      <c r="D1991" s="5" t="s">
        <v>4</v>
      </c>
      <c r="E1991" s="6" t="s">
        <v>1418</v>
      </c>
      <c r="F1991" s="7">
        <v>45093.0</v>
      </c>
      <c r="H1991" s="11"/>
      <c r="J1991" s="18"/>
      <c r="L1991" s="18"/>
      <c r="M1991" s="23"/>
    </row>
    <row r="1992">
      <c r="A1992" s="10" t="s">
        <v>1765</v>
      </c>
      <c r="B1992" s="17" t="s">
        <v>1766</v>
      </c>
      <c r="C1992" s="4" t="s">
        <v>8</v>
      </c>
      <c r="D1992" s="5" t="s">
        <v>120</v>
      </c>
      <c r="E1992" s="6" t="s">
        <v>1770</v>
      </c>
      <c r="F1992" s="7">
        <v>45117.0</v>
      </c>
      <c r="H1992" s="11"/>
      <c r="J1992" s="18"/>
      <c r="L1992" s="18"/>
      <c r="M1992" s="23"/>
    </row>
    <row r="1993">
      <c r="A1993" s="10" t="s">
        <v>1765</v>
      </c>
      <c r="B1993" s="17" t="s">
        <v>1766</v>
      </c>
      <c r="C1993" s="4" t="s">
        <v>3</v>
      </c>
      <c r="D1993" s="5" t="s">
        <v>9</v>
      </c>
      <c r="E1993" s="6" t="s">
        <v>829</v>
      </c>
      <c r="F1993" s="7">
        <v>45174.0</v>
      </c>
      <c r="H1993" s="11"/>
      <c r="J1993" s="18"/>
      <c r="L1993" s="18"/>
      <c r="M1993" s="23"/>
    </row>
    <row r="1994">
      <c r="A1994" s="10" t="s">
        <v>1765</v>
      </c>
      <c r="B1994" s="17" t="s">
        <v>1766</v>
      </c>
      <c r="C1994" s="4" t="s">
        <v>8</v>
      </c>
      <c r="D1994" s="5" t="s">
        <v>45</v>
      </c>
      <c r="E1994" s="6" t="s">
        <v>1771</v>
      </c>
      <c r="F1994" s="7">
        <v>45203.0</v>
      </c>
      <c r="H1994" s="11"/>
      <c r="J1994" s="18"/>
      <c r="L1994" s="18"/>
      <c r="M1994" s="23"/>
    </row>
    <row r="1995">
      <c r="A1995" s="10" t="s">
        <v>1765</v>
      </c>
      <c r="B1995" s="17" t="s">
        <v>1766</v>
      </c>
      <c r="C1995" s="4" t="s">
        <v>8</v>
      </c>
      <c r="D1995" s="5" t="s">
        <v>17</v>
      </c>
      <c r="E1995" s="6" t="s">
        <v>1772</v>
      </c>
      <c r="F1995" s="7">
        <v>45219.0</v>
      </c>
      <c r="H1995" s="11"/>
      <c r="J1995" s="18"/>
      <c r="L1995" s="18"/>
      <c r="M1995" s="23"/>
    </row>
    <row r="1996">
      <c r="A1996" s="10" t="s">
        <v>1765</v>
      </c>
      <c r="B1996" s="17" t="s">
        <v>1766</v>
      </c>
      <c r="C1996" s="4" t="s">
        <v>8</v>
      </c>
      <c r="D1996" s="5" t="s">
        <v>15</v>
      </c>
      <c r="E1996" s="6" t="s">
        <v>612</v>
      </c>
      <c r="F1996" s="7">
        <v>45244.0</v>
      </c>
      <c r="H1996" s="11"/>
      <c r="J1996" s="18"/>
      <c r="L1996" s="18"/>
      <c r="M1996" s="23"/>
    </row>
    <row r="1997">
      <c r="A1997" s="10" t="s">
        <v>1765</v>
      </c>
      <c r="B1997" s="17" t="s">
        <v>1766</v>
      </c>
      <c r="C1997" s="4" t="s">
        <v>3</v>
      </c>
      <c r="D1997" s="5" t="s">
        <v>51</v>
      </c>
      <c r="E1997" s="6" t="s">
        <v>382</v>
      </c>
      <c r="F1997" s="7">
        <v>45269.0</v>
      </c>
      <c r="H1997" s="11"/>
      <c r="J1997" s="18"/>
      <c r="L1997" s="18"/>
      <c r="M1997" s="23"/>
    </row>
    <row r="1998">
      <c r="A1998" s="10" t="s">
        <v>1765</v>
      </c>
      <c r="B1998" s="17" t="s">
        <v>1766</v>
      </c>
      <c r="C1998" s="4" t="s">
        <v>8</v>
      </c>
      <c r="D1998" s="5" t="s">
        <v>9</v>
      </c>
      <c r="E1998" s="6" t="s">
        <v>1773</v>
      </c>
      <c r="F1998" s="7">
        <v>45273.0</v>
      </c>
      <c r="H1998" s="11"/>
      <c r="J1998" s="18"/>
      <c r="L1998" s="18"/>
      <c r="M1998" s="23"/>
    </row>
    <row r="1999">
      <c r="A1999" s="10" t="s">
        <v>1765</v>
      </c>
      <c r="B1999" s="17" t="s">
        <v>1766</v>
      </c>
      <c r="C1999" s="4" t="s">
        <v>3</v>
      </c>
      <c r="D1999" s="5" t="s">
        <v>13</v>
      </c>
      <c r="E1999" s="6" t="s">
        <v>936</v>
      </c>
      <c r="F1999" s="7">
        <v>45283.0</v>
      </c>
      <c r="H1999" s="11"/>
      <c r="J1999" s="18"/>
      <c r="L1999" s="18"/>
      <c r="M1999" s="23"/>
    </row>
    <row r="2000">
      <c r="A2000" s="10" t="s">
        <v>1765</v>
      </c>
      <c r="B2000" s="17" t="s">
        <v>1766</v>
      </c>
      <c r="C2000" s="4" t="s">
        <v>3</v>
      </c>
      <c r="D2000" s="5" t="s">
        <v>71</v>
      </c>
      <c r="E2000" s="6" t="s">
        <v>175</v>
      </c>
      <c r="F2000" s="7">
        <v>45286.0</v>
      </c>
      <c r="H2000" s="11"/>
      <c r="J2000" s="18"/>
      <c r="L2000" s="18"/>
      <c r="M2000" s="23"/>
    </row>
    <row r="2001">
      <c r="A2001" s="10" t="s">
        <v>1775</v>
      </c>
      <c r="B2001" s="3" t="s">
        <v>1776</v>
      </c>
      <c r="C2001" s="4" t="s">
        <v>1777</v>
      </c>
      <c r="D2001" s="5" t="s">
        <v>1778</v>
      </c>
      <c r="E2001" s="6" t="s">
        <v>1779</v>
      </c>
      <c r="F2001" s="7" t="s">
        <v>1780</v>
      </c>
      <c r="H2001" s="11"/>
      <c r="J2001" s="18"/>
      <c r="L2001" s="18"/>
      <c r="M2001" s="23"/>
    </row>
    <row r="2002">
      <c r="A2002" s="11"/>
      <c r="B2002" s="12"/>
      <c r="C2002" s="13"/>
      <c r="E2002" s="6"/>
      <c r="F2002" s="7"/>
      <c r="H2002" s="11"/>
      <c r="J2002" s="18"/>
      <c r="L2002" s="18"/>
      <c r="M2002" s="23"/>
    </row>
    <row r="2003">
      <c r="A2003" s="11"/>
      <c r="B2003" s="12"/>
      <c r="C2003" s="13"/>
      <c r="E2003" s="6"/>
      <c r="F2003" s="7"/>
      <c r="H2003" s="11"/>
      <c r="J2003" s="18"/>
      <c r="L2003" s="18"/>
      <c r="M2003" s="23"/>
    </row>
    <row r="2004">
      <c r="A2004" s="11"/>
      <c r="B2004" s="12"/>
      <c r="C2004" s="13"/>
      <c r="E2004" s="6"/>
      <c r="F2004" s="7"/>
      <c r="H2004" s="11"/>
      <c r="J2004" s="18"/>
      <c r="L2004" s="18"/>
      <c r="M2004" s="23"/>
    </row>
    <row r="2005">
      <c r="A2005" s="11"/>
      <c r="B2005" s="12"/>
      <c r="C2005" s="13"/>
      <c r="E2005" s="6"/>
      <c r="F2005" s="7"/>
      <c r="H2005" s="11"/>
      <c r="J2005" s="18"/>
      <c r="L2005" s="18"/>
      <c r="M2005" s="23"/>
    </row>
    <row r="2006">
      <c r="A2006" s="11"/>
      <c r="B2006" s="12"/>
      <c r="C2006" s="13"/>
      <c r="E2006" s="6"/>
      <c r="F2006" s="7"/>
      <c r="H2006" s="11"/>
      <c r="J2006" s="18"/>
      <c r="L2006" s="18"/>
      <c r="M2006" s="23"/>
    </row>
    <row r="2007">
      <c r="A2007" s="11"/>
      <c r="B2007" s="12"/>
      <c r="C2007" s="13"/>
      <c r="E2007" s="6"/>
      <c r="F2007" s="7"/>
      <c r="H2007" s="11"/>
      <c r="J2007" s="18"/>
      <c r="L2007" s="18"/>
      <c r="M2007" s="23"/>
    </row>
    <row r="2008">
      <c r="A2008" s="11"/>
      <c r="B2008" s="12"/>
      <c r="C2008" s="13"/>
      <c r="E2008" s="6"/>
      <c r="F2008" s="7"/>
      <c r="H2008" s="11"/>
      <c r="J2008" s="18"/>
      <c r="L2008" s="18"/>
      <c r="M2008" s="23"/>
    </row>
    <row r="2009">
      <c r="A2009" s="11"/>
      <c r="B2009" s="12"/>
      <c r="C2009" s="13"/>
      <c r="E2009" s="6"/>
      <c r="F2009" s="7"/>
      <c r="H2009" s="11"/>
      <c r="J2009" s="18"/>
      <c r="L2009" s="18"/>
      <c r="M2009" s="23"/>
    </row>
    <row r="2010">
      <c r="A2010" s="11"/>
      <c r="B2010" s="12"/>
      <c r="C2010" s="13"/>
      <c r="E2010" s="6"/>
      <c r="F2010" s="7"/>
      <c r="H2010" s="11"/>
      <c r="J2010" s="18"/>
      <c r="L2010" s="18"/>
      <c r="M2010" s="23"/>
    </row>
    <row r="2011">
      <c r="A2011" s="11"/>
      <c r="B2011" s="12"/>
      <c r="C2011" s="13"/>
      <c r="E2011" s="6"/>
      <c r="F2011" s="7"/>
      <c r="H2011" s="11"/>
      <c r="J2011" s="18"/>
      <c r="L2011" s="18"/>
      <c r="M2011" s="23"/>
    </row>
    <row r="2012">
      <c r="A2012" s="11"/>
      <c r="B2012" s="12"/>
      <c r="C2012" s="13"/>
      <c r="E2012" s="6"/>
      <c r="F2012" s="7"/>
      <c r="H2012" s="11"/>
      <c r="J2012" s="18"/>
      <c r="L2012" s="18"/>
      <c r="M2012" s="23"/>
    </row>
    <row r="2013">
      <c r="A2013" s="11"/>
      <c r="B2013" s="12"/>
      <c r="C2013" s="13"/>
      <c r="E2013" s="6"/>
      <c r="F2013" s="7"/>
      <c r="H2013" s="11"/>
      <c r="J2013" s="18"/>
      <c r="L2013" s="18"/>
      <c r="M2013" s="23"/>
    </row>
    <row r="2014">
      <c r="A2014" s="11"/>
      <c r="B2014" s="12"/>
      <c r="C2014" s="13"/>
      <c r="E2014" s="6"/>
      <c r="F2014" s="7"/>
      <c r="H2014" s="11"/>
      <c r="J2014" s="18"/>
      <c r="L2014" s="18"/>
      <c r="M2014" s="23"/>
    </row>
    <row r="2015">
      <c r="A2015" s="11"/>
      <c r="B2015" s="12"/>
      <c r="C2015" s="13"/>
      <c r="E2015" s="6"/>
      <c r="F2015" s="7"/>
      <c r="H2015" s="11"/>
      <c r="J2015" s="18"/>
      <c r="L2015" s="18"/>
      <c r="M2015" s="23"/>
    </row>
    <row r="2016">
      <c r="A2016" s="11"/>
      <c r="B2016" s="12"/>
      <c r="C2016" s="13"/>
      <c r="E2016" s="6"/>
      <c r="F2016" s="7"/>
      <c r="H2016" s="11"/>
      <c r="J2016" s="18"/>
      <c r="L2016" s="18"/>
      <c r="M2016" s="23"/>
    </row>
    <row r="2017">
      <c r="A2017" s="11"/>
      <c r="B2017" s="12"/>
      <c r="C2017" s="13"/>
      <c r="E2017" s="6"/>
      <c r="F2017" s="7"/>
      <c r="H2017" s="11"/>
      <c r="J2017" s="18"/>
      <c r="L2017" s="18"/>
      <c r="M2017" s="23"/>
    </row>
    <row r="2018">
      <c r="A2018" s="11"/>
      <c r="B2018" s="12"/>
      <c r="C2018" s="13"/>
      <c r="E2018" s="6"/>
      <c r="F2018" s="7"/>
      <c r="H2018" s="11"/>
      <c r="J2018" s="18"/>
      <c r="L2018" s="18"/>
      <c r="M2018" s="23"/>
    </row>
    <row r="2019">
      <c r="A2019" s="11"/>
      <c r="B2019" s="12"/>
      <c r="C2019" s="13"/>
      <c r="E2019" s="6"/>
      <c r="F2019" s="7"/>
      <c r="H2019" s="11"/>
      <c r="J2019" s="18"/>
      <c r="L2019" s="18"/>
      <c r="M2019" s="23"/>
    </row>
    <row r="2020">
      <c r="A2020" s="11"/>
      <c r="B2020" s="12"/>
      <c r="C2020" s="13"/>
      <c r="E2020" s="6"/>
      <c r="F2020" s="7"/>
      <c r="H2020" s="11"/>
      <c r="J2020" s="18"/>
      <c r="L2020" s="18"/>
      <c r="M2020" s="23"/>
    </row>
    <row r="2021">
      <c r="A2021" s="11"/>
      <c r="B2021" s="12"/>
      <c r="C2021" s="13"/>
      <c r="E2021" s="6"/>
      <c r="F2021" s="7"/>
      <c r="H2021" s="11"/>
      <c r="J2021" s="18"/>
      <c r="L2021" s="18"/>
      <c r="M2021" s="23"/>
    </row>
    <row r="2022">
      <c r="A2022" s="11"/>
      <c r="B2022" s="12"/>
      <c r="C2022" s="13"/>
      <c r="E2022" s="6"/>
      <c r="F2022" s="7"/>
      <c r="H2022" s="11"/>
      <c r="J2022" s="18"/>
      <c r="L2022" s="18"/>
      <c r="M2022" s="23"/>
    </row>
    <row r="2023">
      <c r="A2023" s="11"/>
      <c r="B2023" s="12"/>
      <c r="C2023" s="13"/>
      <c r="E2023" s="6"/>
      <c r="F2023" s="7"/>
      <c r="H2023" s="11"/>
      <c r="J2023" s="18"/>
      <c r="L2023" s="18"/>
      <c r="M2023" s="23"/>
    </row>
    <row r="2024">
      <c r="A2024" s="11"/>
      <c r="B2024" s="12"/>
      <c r="C2024" s="13"/>
      <c r="E2024" s="6"/>
      <c r="F2024" s="7"/>
      <c r="H2024" s="11"/>
      <c r="J2024" s="18"/>
      <c r="L2024" s="18"/>
      <c r="M2024" s="23"/>
    </row>
    <row r="2025">
      <c r="A2025" s="11"/>
      <c r="B2025" s="12"/>
      <c r="C2025" s="13"/>
      <c r="E2025" s="6"/>
      <c r="F2025" s="7"/>
      <c r="H2025" s="11"/>
      <c r="J2025" s="18"/>
      <c r="L2025" s="18"/>
      <c r="M2025" s="23"/>
    </row>
    <row r="2026">
      <c r="A2026" s="11"/>
      <c r="B2026" s="12"/>
      <c r="C2026" s="13"/>
      <c r="E2026" s="6"/>
      <c r="F2026" s="7"/>
      <c r="H2026" s="11"/>
      <c r="J2026" s="18"/>
      <c r="L2026" s="18"/>
      <c r="M2026" s="23"/>
    </row>
    <row r="2027">
      <c r="A2027" s="11"/>
      <c r="B2027" s="12"/>
      <c r="C2027" s="13"/>
      <c r="E2027" s="6"/>
      <c r="F2027" s="7"/>
      <c r="H2027" s="11"/>
      <c r="J2027" s="18"/>
      <c r="L2027" s="18"/>
      <c r="M2027" s="23"/>
    </row>
    <row r="2028">
      <c r="A2028" s="11"/>
      <c r="B2028" s="12"/>
      <c r="C2028" s="13"/>
      <c r="E2028" s="6"/>
      <c r="F2028" s="7"/>
      <c r="H2028" s="11"/>
      <c r="J2028" s="18"/>
      <c r="L2028" s="18"/>
      <c r="M2028" s="23"/>
    </row>
    <row r="2029">
      <c r="A2029" s="11"/>
      <c r="B2029" s="12"/>
      <c r="C2029" s="13"/>
      <c r="E2029" s="6"/>
      <c r="F2029" s="7"/>
      <c r="H2029" s="11"/>
      <c r="J2029" s="18"/>
      <c r="L2029" s="18"/>
      <c r="M2029" s="23"/>
    </row>
    <row r="2030">
      <c r="A2030" s="11"/>
      <c r="B2030" s="12"/>
      <c r="C2030" s="13"/>
      <c r="E2030" s="6"/>
      <c r="F2030" s="7"/>
      <c r="H2030" s="11"/>
      <c r="J2030" s="18"/>
      <c r="L2030" s="18"/>
      <c r="M2030" s="23"/>
    </row>
    <row r="2031">
      <c r="A2031" s="11"/>
      <c r="B2031" s="12"/>
      <c r="C2031" s="13"/>
      <c r="E2031" s="6"/>
      <c r="F2031" s="7"/>
      <c r="H2031" s="11"/>
      <c r="J2031" s="18"/>
      <c r="L2031" s="18"/>
      <c r="M2031" s="23"/>
    </row>
    <row r="2032">
      <c r="A2032" s="11"/>
      <c r="B2032" s="12"/>
      <c r="C2032" s="13"/>
      <c r="E2032" s="6"/>
      <c r="F2032" s="7"/>
      <c r="H2032" s="11"/>
      <c r="J2032" s="18"/>
      <c r="L2032" s="18"/>
      <c r="M2032" s="23"/>
    </row>
    <row r="2033">
      <c r="A2033" s="11"/>
      <c r="B2033" s="12"/>
      <c r="C2033" s="13"/>
      <c r="E2033" s="6"/>
      <c r="F2033" s="7"/>
      <c r="H2033" s="11"/>
      <c r="J2033" s="18"/>
      <c r="L2033" s="18"/>
      <c r="M2033" s="23"/>
    </row>
    <row r="2034">
      <c r="A2034" s="11"/>
      <c r="B2034" s="12"/>
      <c r="C2034" s="13"/>
      <c r="E2034" s="6"/>
      <c r="F2034" s="7"/>
      <c r="H2034" s="11"/>
      <c r="J2034" s="18"/>
      <c r="L2034" s="18"/>
      <c r="M2034" s="23"/>
    </row>
    <row r="2035">
      <c r="A2035" s="11"/>
      <c r="B2035" s="12"/>
      <c r="C2035" s="13"/>
      <c r="E2035" s="6"/>
      <c r="F2035" s="7"/>
      <c r="H2035" s="11"/>
      <c r="J2035" s="18"/>
      <c r="L2035" s="18"/>
      <c r="M2035" s="23"/>
    </row>
    <row r="2036">
      <c r="A2036" s="11"/>
      <c r="B2036" s="12"/>
      <c r="C2036" s="13"/>
      <c r="E2036" s="6"/>
      <c r="F2036" s="7"/>
      <c r="H2036" s="11"/>
      <c r="J2036" s="18"/>
      <c r="L2036" s="18"/>
      <c r="M2036" s="23"/>
    </row>
    <row r="2037">
      <c r="A2037" s="11"/>
      <c r="B2037" s="12"/>
      <c r="C2037" s="13"/>
      <c r="E2037" s="6"/>
      <c r="F2037" s="7"/>
      <c r="H2037" s="11"/>
      <c r="J2037" s="18"/>
      <c r="L2037" s="18"/>
      <c r="M2037" s="23"/>
    </row>
    <row r="2038">
      <c r="A2038" s="11"/>
      <c r="B2038" s="12"/>
      <c r="C2038" s="13"/>
      <c r="E2038" s="6"/>
      <c r="F2038" s="7"/>
      <c r="H2038" s="11"/>
      <c r="J2038" s="18"/>
      <c r="L2038" s="18"/>
      <c r="M2038" s="23"/>
    </row>
    <row r="2039">
      <c r="A2039" s="11"/>
      <c r="B2039" s="12"/>
      <c r="C2039" s="13"/>
      <c r="E2039" s="6"/>
      <c r="F2039" s="7"/>
      <c r="H2039" s="11"/>
      <c r="J2039" s="18"/>
      <c r="L2039" s="18"/>
      <c r="M2039" s="23"/>
    </row>
    <row r="2040">
      <c r="A2040" s="11"/>
      <c r="B2040" s="12"/>
      <c r="C2040" s="13"/>
      <c r="E2040" s="6"/>
      <c r="F2040" s="7"/>
      <c r="H2040" s="11"/>
      <c r="J2040" s="18"/>
      <c r="L2040" s="18"/>
      <c r="M2040" s="23"/>
    </row>
    <row r="2041">
      <c r="A2041" s="11"/>
      <c r="B2041" s="12"/>
      <c r="C2041" s="13"/>
      <c r="E2041" s="6"/>
      <c r="F2041" s="7"/>
      <c r="H2041" s="11"/>
      <c r="J2041" s="18"/>
      <c r="L2041" s="18"/>
      <c r="M2041" s="23"/>
    </row>
    <row r="2042">
      <c r="A2042" s="11"/>
      <c r="B2042" s="12"/>
      <c r="C2042" s="13"/>
      <c r="E2042" s="6"/>
      <c r="F2042" s="7"/>
      <c r="H2042" s="11"/>
      <c r="J2042" s="18"/>
      <c r="L2042" s="18"/>
      <c r="M2042" s="23"/>
    </row>
    <row r="2043">
      <c r="A2043" s="11"/>
      <c r="B2043" s="12"/>
      <c r="C2043" s="13"/>
      <c r="E2043" s="6"/>
      <c r="F2043" s="7"/>
      <c r="H2043" s="11"/>
      <c r="J2043" s="18"/>
      <c r="L2043" s="18"/>
      <c r="M2043" s="23"/>
    </row>
    <row r="2044">
      <c r="A2044" s="11"/>
      <c r="B2044" s="12"/>
      <c r="C2044" s="13"/>
      <c r="E2044" s="6"/>
      <c r="F2044" s="7"/>
      <c r="H2044" s="11"/>
      <c r="J2044" s="18"/>
      <c r="L2044" s="18"/>
      <c r="M2044" s="23"/>
    </row>
    <row r="2045">
      <c r="A2045" s="11"/>
      <c r="B2045" s="12"/>
      <c r="C2045" s="13"/>
      <c r="E2045" s="6"/>
      <c r="F2045" s="7"/>
      <c r="H2045" s="11"/>
      <c r="J2045" s="18"/>
      <c r="L2045" s="18"/>
      <c r="M2045" s="23"/>
    </row>
    <row r="2046">
      <c r="A2046" s="11"/>
      <c r="B2046" s="12"/>
      <c r="C2046" s="13"/>
      <c r="E2046" s="6"/>
      <c r="F2046" s="7"/>
      <c r="H2046" s="11"/>
      <c r="J2046" s="18"/>
      <c r="L2046" s="18"/>
      <c r="M2046" s="23"/>
    </row>
    <row r="2047">
      <c r="A2047" s="11"/>
      <c r="B2047" s="12"/>
      <c r="C2047" s="13"/>
      <c r="E2047" s="6"/>
      <c r="F2047" s="7"/>
      <c r="H2047" s="11"/>
      <c r="J2047" s="18"/>
      <c r="L2047" s="18"/>
      <c r="M2047" s="23"/>
    </row>
    <row r="2048">
      <c r="A2048" s="11"/>
      <c r="B2048" s="12"/>
      <c r="C2048" s="13"/>
      <c r="E2048" s="6"/>
      <c r="F2048" s="7"/>
      <c r="H2048" s="11"/>
      <c r="J2048" s="18"/>
      <c r="L2048" s="18"/>
      <c r="M2048" s="23"/>
    </row>
    <row r="2049">
      <c r="A2049" s="11"/>
      <c r="B2049" s="12"/>
      <c r="C2049" s="13"/>
      <c r="E2049" s="6"/>
      <c r="F2049" s="7"/>
      <c r="H2049" s="11"/>
      <c r="J2049" s="18"/>
      <c r="L2049" s="18"/>
      <c r="M2049" s="23"/>
    </row>
    <row r="2050">
      <c r="A2050" s="11"/>
      <c r="B2050" s="12"/>
      <c r="C2050" s="13"/>
      <c r="E2050" s="6"/>
      <c r="F2050" s="7"/>
      <c r="H2050" s="11"/>
      <c r="J2050" s="18"/>
      <c r="L2050" s="18"/>
      <c r="M2050" s="23"/>
    </row>
    <row r="2051">
      <c r="A2051" s="11"/>
      <c r="B2051" s="12"/>
      <c r="C2051" s="13"/>
      <c r="E2051" s="6"/>
      <c r="F2051" s="7"/>
      <c r="H2051" s="11"/>
      <c r="J2051" s="18"/>
      <c r="L2051" s="18"/>
      <c r="M2051" s="23"/>
    </row>
    <row r="2052">
      <c r="A2052" s="11"/>
      <c r="B2052" s="12"/>
      <c r="C2052" s="13"/>
      <c r="E2052" s="6"/>
      <c r="F2052" s="7"/>
      <c r="H2052" s="11"/>
      <c r="J2052" s="18"/>
      <c r="L2052" s="18"/>
      <c r="M2052" s="23"/>
    </row>
    <row r="2053">
      <c r="A2053" s="11"/>
      <c r="B2053" s="12"/>
      <c r="C2053" s="13"/>
      <c r="E2053" s="6"/>
      <c r="F2053" s="7"/>
      <c r="H2053" s="11"/>
      <c r="J2053" s="18"/>
      <c r="L2053" s="18"/>
      <c r="M2053" s="23"/>
    </row>
    <row r="2054">
      <c r="A2054" s="11"/>
      <c r="B2054" s="12"/>
      <c r="C2054" s="13"/>
      <c r="E2054" s="6"/>
      <c r="F2054" s="7"/>
      <c r="H2054" s="11"/>
      <c r="J2054" s="18"/>
      <c r="L2054" s="18"/>
      <c r="M2054" s="23"/>
    </row>
    <row r="2055">
      <c r="A2055" s="11"/>
      <c r="B2055" s="12"/>
      <c r="C2055" s="13"/>
      <c r="E2055" s="6"/>
      <c r="F2055" s="7"/>
      <c r="H2055" s="11"/>
      <c r="J2055" s="18"/>
      <c r="L2055" s="18"/>
      <c r="M2055" s="23"/>
    </row>
    <row r="2056">
      <c r="A2056" s="11"/>
      <c r="B2056" s="12"/>
      <c r="C2056" s="13"/>
      <c r="E2056" s="6"/>
      <c r="F2056" s="7"/>
      <c r="H2056" s="11"/>
      <c r="J2056" s="18"/>
      <c r="L2056" s="18"/>
      <c r="M2056" s="23"/>
    </row>
    <row r="2057">
      <c r="A2057" s="11"/>
      <c r="B2057" s="12"/>
      <c r="C2057" s="13"/>
      <c r="E2057" s="6"/>
      <c r="F2057" s="7"/>
      <c r="H2057" s="11"/>
      <c r="J2057" s="18"/>
      <c r="L2057" s="18"/>
      <c r="M2057" s="23"/>
    </row>
    <row r="2058">
      <c r="A2058" s="11"/>
      <c r="B2058" s="12"/>
      <c r="C2058" s="13"/>
      <c r="E2058" s="6"/>
      <c r="F2058" s="7"/>
      <c r="H2058" s="11"/>
      <c r="J2058" s="18"/>
      <c r="L2058" s="18"/>
      <c r="M2058" s="23"/>
    </row>
    <row r="2059">
      <c r="A2059" s="11"/>
      <c r="B2059" s="12"/>
      <c r="C2059" s="13"/>
      <c r="E2059" s="6"/>
      <c r="F2059" s="7"/>
      <c r="H2059" s="11"/>
      <c r="J2059" s="18"/>
      <c r="L2059" s="18"/>
      <c r="M2059" s="23"/>
    </row>
    <row r="2060">
      <c r="A2060" s="11"/>
      <c r="B2060" s="12"/>
      <c r="C2060" s="13"/>
      <c r="E2060" s="6"/>
      <c r="F2060" s="7"/>
      <c r="H2060" s="11"/>
      <c r="J2060" s="18"/>
      <c r="L2060" s="18"/>
      <c r="M2060" s="23"/>
    </row>
    <row r="2061">
      <c r="A2061" s="11"/>
      <c r="B2061" s="12"/>
      <c r="C2061" s="13"/>
      <c r="E2061" s="6"/>
      <c r="F2061" s="7"/>
      <c r="H2061" s="11"/>
      <c r="J2061" s="18"/>
      <c r="L2061" s="18"/>
      <c r="M2061" s="23"/>
    </row>
    <row r="2062">
      <c r="A2062" s="11"/>
      <c r="B2062" s="12"/>
      <c r="C2062" s="13"/>
      <c r="E2062" s="6"/>
      <c r="F2062" s="7"/>
      <c r="H2062" s="11"/>
      <c r="J2062" s="18"/>
      <c r="L2062" s="18"/>
      <c r="M2062" s="23"/>
    </row>
    <row r="2063">
      <c r="A2063" s="11"/>
      <c r="B2063" s="12"/>
      <c r="C2063" s="13"/>
      <c r="E2063" s="6"/>
      <c r="F2063" s="7"/>
      <c r="H2063" s="11"/>
      <c r="J2063" s="18"/>
      <c r="L2063" s="18"/>
      <c r="M2063" s="23"/>
    </row>
    <row r="2064">
      <c r="A2064" s="11"/>
      <c r="B2064" s="12"/>
      <c r="C2064" s="13"/>
      <c r="E2064" s="6"/>
      <c r="F2064" s="7"/>
      <c r="H2064" s="11"/>
      <c r="J2064" s="18"/>
      <c r="L2064" s="18"/>
      <c r="M2064" s="23"/>
    </row>
    <row r="2065">
      <c r="A2065" s="11"/>
      <c r="B2065" s="12"/>
      <c r="C2065" s="13"/>
      <c r="E2065" s="6"/>
      <c r="F2065" s="7"/>
      <c r="H2065" s="11"/>
      <c r="J2065" s="18"/>
      <c r="L2065" s="18"/>
      <c r="M2065" s="23"/>
    </row>
    <row r="2066">
      <c r="A2066" s="11"/>
      <c r="B2066" s="12"/>
      <c r="C2066" s="13"/>
      <c r="E2066" s="6"/>
      <c r="F2066" s="7"/>
      <c r="H2066" s="11"/>
      <c r="J2066" s="18"/>
      <c r="L2066" s="18"/>
      <c r="M2066" s="23"/>
    </row>
    <row r="2067">
      <c r="A2067" s="11"/>
      <c r="B2067" s="12"/>
      <c r="C2067" s="13"/>
      <c r="E2067" s="6"/>
      <c r="F2067" s="7"/>
      <c r="H2067" s="11"/>
      <c r="J2067" s="18"/>
      <c r="L2067" s="18"/>
      <c r="M2067" s="23"/>
    </row>
    <row r="2068">
      <c r="A2068" s="11"/>
      <c r="B2068" s="12"/>
      <c r="C2068" s="13"/>
      <c r="E2068" s="6"/>
      <c r="F2068" s="7"/>
      <c r="H2068" s="11"/>
      <c r="J2068" s="18"/>
      <c r="L2068" s="18"/>
      <c r="M2068" s="23"/>
    </row>
    <row r="2069">
      <c r="A2069" s="11"/>
      <c r="B2069" s="12"/>
      <c r="C2069" s="13"/>
      <c r="E2069" s="6"/>
      <c r="F2069" s="7"/>
      <c r="H2069" s="11"/>
      <c r="J2069" s="18"/>
      <c r="L2069" s="18"/>
      <c r="M2069" s="23"/>
    </row>
    <row r="2070">
      <c r="A2070" s="11"/>
      <c r="B2070" s="12"/>
      <c r="C2070" s="13"/>
      <c r="E2070" s="6"/>
      <c r="F2070" s="7"/>
      <c r="H2070" s="11"/>
      <c r="J2070" s="18"/>
      <c r="L2070" s="18"/>
      <c r="M2070" s="23"/>
    </row>
    <row r="2071">
      <c r="A2071" s="11"/>
      <c r="B2071" s="12"/>
      <c r="C2071" s="13"/>
      <c r="E2071" s="6"/>
      <c r="F2071" s="7"/>
      <c r="H2071" s="11"/>
      <c r="J2071" s="18"/>
      <c r="L2071" s="18"/>
      <c r="M2071" s="23"/>
    </row>
    <row r="2072">
      <c r="A2072" s="11"/>
      <c r="B2072" s="12"/>
      <c r="C2072" s="13"/>
      <c r="E2072" s="6"/>
      <c r="F2072" s="7"/>
      <c r="H2072" s="11"/>
      <c r="J2072" s="18"/>
      <c r="L2072" s="18"/>
      <c r="M2072" s="23"/>
    </row>
    <row r="2073">
      <c r="A2073" s="11"/>
      <c r="B2073" s="12"/>
      <c r="C2073" s="13"/>
      <c r="E2073" s="6"/>
      <c r="F2073" s="7"/>
      <c r="H2073" s="11"/>
      <c r="J2073" s="18"/>
      <c r="L2073" s="18"/>
      <c r="M2073" s="23"/>
    </row>
    <row r="2074">
      <c r="A2074" s="11"/>
      <c r="B2074" s="12"/>
      <c r="C2074" s="13"/>
      <c r="E2074" s="6"/>
      <c r="F2074" s="7"/>
      <c r="H2074" s="11"/>
      <c r="J2074" s="18"/>
      <c r="L2074" s="18"/>
      <c r="M2074" s="23"/>
    </row>
    <row r="2075">
      <c r="A2075" s="11"/>
      <c r="B2075" s="12"/>
      <c r="C2075" s="13"/>
      <c r="E2075" s="6"/>
      <c r="F2075" s="7"/>
      <c r="H2075" s="11"/>
      <c r="J2075" s="18"/>
      <c r="L2075" s="18"/>
      <c r="M2075" s="23"/>
    </row>
    <row r="2076">
      <c r="A2076" s="11"/>
      <c r="B2076" s="12"/>
      <c r="C2076" s="13"/>
      <c r="E2076" s="6"/>
      <c r="F2076" s="7"/>
      <c r="H2076" s="11"/>
      <c r="J2076" s="18"/>
      <c r="L2076" s="18"/>
      <c r="M2076" s="23"/>
    </row>
    <row r="2077">
      <c r="A2077" s="11"/>
      <c r="B2077" s="12"/>
      <c r="C2077" s="13"/>
      <c r="E2077" s="6"/>
      <c r="F2077" s="7"/>
      <c r="H2077" s="11"/>
      <c r="J2077" s="18"/>
      <c r="L2077" s="18"/>
      <c r="M2077" s="23"/>
    </row>
    <row r="2078">
      <c r="A2078" s="11"/>
      <c r="B2078" s="12"/>
      <c r="C2078" s="13"/>
      <c r="E2078" s="6"/>
      <c r="F2078" s="7"/>
      <c r="H2078" s="11"/>
      <c r="J2078" s="18"/>
      <c r="L2078" s="18"/>
      <c r="M2078" s="23"/>
    </row>
    <row r="2079">
      <c r="A2079" s="11"/>
      <c r="B2079" s="12"/>
      <c r="C2079" s="13"/>
      <c r="E2079" s="6"/>
      <c r="F2079" s="7"/>
      <c r="H2079" s="11"/>
      <c r="J2079" s="18"/>
      <c r="L2079" s="18"/>
      <c r="M2079" s="23"/>
    </row>
    <row r="2080">
      <c r="A2080" s="11"/>
      <c r="B2080" s="12"/>
      <c r="C2080" s="13"/>
      <c r="E2080" s="6"/>
      <c r="F2080" s="7"/>
      <c r="H2080" s="11"/>
      <c r="J2080" s="18"/>
      <c r="L2080" s="18"/>
      <c r="M2080" s="23"/>
    </row>
    <row r="2081">
      <c r="A2081" s="11"/>
      <c r="B2081" s="12"/>
      <c r="C2081" s="13"/>
      <c r="E2081" s="6"/>
      <c r="F2081" s="7"/>
      <c r="H2081" s="11"/>
      <c r="J2081" s="18"/>
      <c r="L2081" s="18"/>
      <c r="M2081" s="23"/>
    </row>
    <row r="2082">
      <c r="A2082" s="11"/>
      <c r="B2082" s="12"/>
      <c r="C2082" s="13"/>
      <c r="E2082" s="6"/>
      <c r="F2082" s="7"/>
      <c r="H2082" s="11"/>
      <c r="J2082" s="18"/>
      <c r="L2082" s="18"/>
      <c r="M2082" s="23"/>
    </row>
    <row r="2083">
      <c r="A2083" s="11"/>
      <c r="B2083" s="12"/>
      <c r="C2083" s="13"/>
      <c r="E2083" s="6"/>
      <c r="F2083" s="7"/>
      <c r="H2083" s="11"/>
      <c r="J2083" s="18"/>
      <c r="L2083" s="18"/>
      <c r="M2083" s="23"/>
    </row>
    <row r="2084">
      <c r="A2084" s="11"/>
      <c r="B2084" s="12"/>
      <c r="C2084" s="13"/>
      <c r="E2084" s="6"/>
      <c r="F2084" s="7"/>
      <c r="H2084" s="11"/>
      <c r="J2084" s="18"/>
      <c r="L2084" s="18"/>
      <c r="M2084" s="23"/>
    </row>
    <row r="2085">
      <c r="A2085" s="11"/>
      <c r="B2085" s="12"/>
      <c r="C2085" s="13"/>
      <c r="E2085" s="6"/>
      <c r="F2085" s="7"/>
      <c r="H2085" s="11"/>
      <c r="J2085" s="18"/>
      <c r="L2085" s="18"/>
      <c r="M2085" s="23"/>
    </row>
    <row r="2086">
      <c r="A2086" s="11"/>
      <c r="B2086" s="12"/>
      <c r="C2086" s="13"/>
      <c r="E2086" s="6"/>
      <c r="F2086" s="7"/>
      <c r="H2086" s="11"/>
      <c r="J2086" s="18"/>
      <c r="L2086" s="18"/>
      <c r="M2086" s="23"/>
    </row>
    <row r="2087">
      <c r="A2087" s="11"/>
      <c r="B2087" s="12"/>
      <c r="C2087" s="13"/>
      <c r="E2087" s="6"/>
      <c r="F2087" s="7"/>
      <c r="H2087" s="11"/>
      <c r="J2087" s="18"/>
      <c r="L2087" s="18"/>
      <c r="M2087" s="23"/>
    </row>
    <row r="2088">
      <c r="A2088" s="11"/>
      <c r="B2088" s="12"/>
      <c r="C2088" s="13"/>
      <c r="E2088" s="6"/>
      <c r="F2088" s="7"/>
      <c r="H2088" s="11"/>
      <c r="J2088" s="18"/>
      <c r="L2088" s="18"/>
      <c r="M2088" s="23"/>
    </row>
    <row r="2089">
      <c r="A2089" s="11"/>
      <c r="B2089" s="12"/>
      <c r="C2089" s="13"/>
      <c r="E2089" s="6"/>
      <c r="F2089" s="7"/>
      <c r="H2089" s="11"/>
      <c r="J2089" s="18"/>
      <c r="L2089" s="18"/>
      <c r="M2089" s="23"/>
    </row>
    <row r="2090">
      <c r="A2090" s="11"/>
      <c r="B2090" s="12"/>
      <c r="C2090" s="13"/>
      <c r="E2090" s="6"/>
      <c r="F2090" s="7"/>
      <c r="H2090" s="11"/>
      <c r="J2090" s="18"/>
      <c r="L2090" s="18"/>
      <c r="M2090" s="23"/>
    </row>
    <row r="2091">
      <c r="A2091" s="11"/>
      <c r="B2091" s="12"/>
      <c r="C2091" s="13"/>
      <c r="E2091" s="6"/>
      <c r="F2091" s="7"/>
      <c r="H2091" s="11"/>
      <c r="J2091" s="18"/>
      <c r="L2091" s="18"/>
      <c r="M2091" s="23"/>
    </row>
    <row r="2092">
      <c r="A2092" s="11"/>
      <c r="B2092" s="12"/>
      <c r="C2092" s="13"/>
      <c r="E2092" s="6"/>
      <c r="F2092" s="7"/>
      <c r="H2092" s="11"/>
      <c r="J2092" s="18"/>
      <c r="L2092" s="18"/>
      <c r="M2092" s="23"/>
    </row>
    <row r="2093">
      <c r="A2093" s="11"/>
      <c r="B2093" s="12"/>
      <c r="C2093" s="13"/>
      <c r="E2093" s="6"/>
      <c r="F2093" s="7"/>
      <c r="H2093" s="11"/>
      <c r="J2093" s="18"/>
      <c r="L2093" s="18"/>
      <c r="M2093" s="23"/>
    </row>
    <row r="2094">
      <c r="A2094" s="11"/>
      <c r="B2094" s="12"/>
      <c r="C2094" s="13"/>
      <c r="E2094" s="6"/>
      <c r="F2094" s="7"/>
      <c r="H2094" s="11"/>
      <c r="J2094" s="18"/>
      <c r="L2094" s="18"/>
      <c r="M2094" s="23"/>
    </row>
    <row r="2095">
      <c r="A2095" s="11"/>
      <c r="B2095" s="12"/>
      <c r="C2095" s="13"/>
      <c r="E2095" s="6"/>
      <c r="F2095" s="7"/>
      <c r="H2095" s="11"/>
      <c r="J2095" s="18"/>
      <c r="L2095" s="18"/>
      <c r="M2095" s="23"/>
    </row>
    <row r="2096">
      <c r="A2096" s="11"/>
      <c r="B2096" s="12"/>
      <c r="C2096" s="13"/>
      <c r="E2096" s="6"/>
      <c r="F2096" s="7"/>
      <c r="H2096" s="11"/>
      <c r="J2096" s="18"/>
      <c r="L2096" s="18"/>
      <c r="M2096" s="23"/>
    </row>
    <row r="2097">
      <c r="A2097" s="11"/>
      <c r="B2097" s="12"/>
      <c r="C2097" s="13"/>
      <c r="E2097" s="6"/>
      <c r="F2097" s="7"/>
      <c r="H2097" s="11"/>
      <c r="J2097" s="18"/>
      <c r="L2097" s="18"/>
      <c r="M2097" s="23"/>
    </row>
    <row r="2098">
      <c r="A2098" s="11"/>
      <c r="B2098" s="12"/>
      <c r="C2098" s="13"/>
      <c r="E2098" s="6"/>
      <c r="F2098" s="7"/>
      <c r="H2098" s="11"/>
      <c r="J2098" s="18"/>
      <c r="L2098" s="18"/>
      <c r="M2098" s="23"/>
    </row>
    <row r="2099">
      <c r="A2099" s="11"/>
      <c r="B2099" s="12"/>
      <c r="C2099" s="13"/>
      <c r="E2099" s="6"/>
      <c r="F2099" s="7"/>
      <c r="H2099" s="11"/>
      <c r="J2099" s="18"/>
      <c r="L2099" s="18"/>
      <c r="M2099" s="23"/>
    </row>
    <row r="2100">
      <c r="A2100" s="11"/>
      <c r="B2100" s="12"/>
      <c r="C2100" s="13"/>
      <c r="E2100" s="6"/>
      <c r="F2100" s="7"/>
      <c r="H2100" s="11"/>
      <c r="J2100" s="18"/>
      <c r="L2100" s="18"/>
      <c r="M2100" s="23"/>
    </row>
    <row r="2101">
      <c r="A2101" s="11"/>
      <c r="B2101" s="12"/>
      <c r="C2101" s="13"/>
      <c r="E2101" s="6"/>
      <c r="F2101" s="7"/>
      <c r="H2101" s="11"/>
      <c r="J2101" s="18"/>
      <c r="L2101" s="18"/>
      <c r="M2101" s="23"/>
    </row>
    <row r="2102">
      <c r="A2102" s="11"/>
      <c r="B2102" s="12"/>
      <c r="C2102" s="13"/>
      <c r="E2102" s="6"/>
      <c r="F2102" s="7"/>
      <c r="H2102" s="11"/>
      <c r="J2102" s="18"/>
      <c r="L2102" s="18"/>
      <c r="M2102" s="23"/>
    </row>
    <row r="2103">
      <c r="A2103" s="11"/>
      <c r="B2103" s="12"/>
      <c r="C2103" s="13"/>
      <c r="E2103" s="6"/>
      <c r="F2103" s="7"/>
      <c r="H2103" s="11"/>
      <c r="J2103" s="18"/>
      <c r="L2103" s="18"/>
      <c r="M2103" s="23"/>
    </row>
    <row r="2104">
      <c r="A2104" s="11"/>
      <c r="B2104" s="12"/>
      <c r="C2104" s="13"/>
      <c r="E2104" s="6"/>
      <c r="F2104" s="7"/>
      <c r="H2104" s="11"/>
      <c r="J2104" s="18"/>
      <c r="L2104" s="18"/>
      <c r="M2104" s="23"/>
    </row>
    <row r="2105">
      <c r="A2105" s="11"/>
      <c r="B2105" s="12"/>
      <c r="C2105" s="13"/>
      <c r="E2105" s="6"/>
      <c r="F2105" s="7"/>
      <c r="H2105" s="11"/>
      <c r="J2105" s="18"/>
      <c r="L2105" s="18"/>
      <c r="M2105" s="23"/>
    </row>
    <row r="2106">
      <c r="A2106" s="11"/>
      <c r="B2106" s="12"/>
      <c r="C2106" s="13"/>
      <c r="E2106" s="6"/>
      <c r="F2106" s="7"/>
      <c r="H2106" s="11"/>
      <c r="J2106" s="18"/>
      <c r="L2106" s="18"/>
      <c r="M2106" s="23"/>
    </row>
    <row r="2107">
      <c r="A2107" s="11"/>
      <c r="B2107" s="12"/>
      <c r="C2107" s="13"/>
      <c r="E2107" s="6"/>
      <c r="F2107" s="7"/>
      <c r="H2107" s="11"/>
      <c r="J2107" s="18"/>
      <c r="L2107" s="18"/>
      <c r="M2107" s="23"/>
    </row>
    <row r="2108">
      <c r="A2108" s="11"/>
      <c r="B2108" s="12"/>
      <c r="C2108" s="13"/>
      <c r="E2108" s="6"/>
      <c r="F2108" s="7"/>
      <c r="H2108" s="11"/>
      <c r="J2108" s="18"/>
      <c r="L2108" s="18"/>
      <c r="M2108" s="23"/>
    </row>
    <row r="2109">
      <c r="A2109" s="11"/>
      <c r="B2109" s="12"/>
      <c r="C2109" s="13"/>
      <c r="E2109" s="6"/>
      <c r="F2109" s="7"/>
      <c r="H2109" s="11"/>
      <c r="J2109" s="18"/>
      <c r="L2109" s="18"/>
      <c r="M2109" s="23"/>
    </row>
    <row r="2110">
      <c r="A2110" s="11"/>
      <c r="B2110" s="12"/>
      <c r="C2110" s="13"/>
      <c r="E2110" s="6"/>
      <c r="F2110" s="7"/>
      <c r="H2110" s="11"/>
      <c r="J2110" s="18"/>
      <c r="L2110" s="18"/>
      <c r="M2110" s="23"/>
    </row>
    <row r="2111">
      <c r="A2111" s="11"/>
      <c r="B2111" s="12"/>
      <c r="C2111" s="13"/>
      <c r="E2111" s="6"/>
      <c r="F2111" s="7"/>
      <c r="H2111" s="11"/>
      <c r="J2111" s="18"/>
      <c r="L2111" s="18"/>
      <c r="M2111" s="23"/>
    </row>
    <row r="2112">
      <c r="A2112" s="11"/>
      <c r="B2112" s="12"/>
      <c r="C2112" s="13"/>
      <c r="E2112" s="6"/>
      <c r="F2112" s="7"/>
      <c r="H2112" s="11"/>
      <c r="J2112" s="18"/>
      <c r="L2112" s="18"/>
      <c r="M2112" s="23"/>
    </row>
    <row r="2113">
      <c r="A2113" s="11"/>
      <c r="B2113" s="12"/>
      <c r="C2113" s="13"/>
      <c r="E2113" s="6"/>
      <c r="F2113" s="7"/>
      <c r="H2113" s="11"/>
      <c r="J2113" s="18"/>
      <c r="L2113" s="18"/>
      <c r="M2113" s="23"/>
    </row>
    <row r="2114">
      <c r="A2114" s="11"/>
      <c r="B2114" s="12"/>
      <c r="C2114" s="13"/>
      <c r="E2114" s="6"/>
      <c r="F2114" s="7"/>
      <c r="H2114" s="11"/>
      <c r="J2114" s="18"/>
      <c r="L2114" s="18"/>
      <c r="M2114" s="23"/>
    </row>
    <row r="2115">
      <c r="A2115" s="11"/>
      <c r="B2115" s="12"/>
      <c r="C2115" s="13"/>
      <c r="E2115" s="6"/>
      <c r="F2115" s="7"/>
      <c r="H2115" s="11"/>
      <c r="J2115" s="18"/>
      <c r="L2115" s="18"/>
      <c r="M2115" s="23"/>
    </row>
    <row r="2116">
      <c r="A2116" s="11"/>
      <c r="B2116" s="12"/>
      <c r="C2116" s="13"/>
      <c r="E2116" s="6"/>
      <c r="F2116" s="7"/>
      <c r="H2116" s="11"/>
      <c r="J2116" s="18"/>
      <c r="L2116" s="18"/>
      <c r="M2116" s="23"/>
    </row>
    <row r="2117">
      <c r="A2117" s="11"/>
      <c r="B2117" s="12"/>
      <c r="C2117" s="13"/>
      <c r="E2117" s="6"/>
      <c r="F2117" s="7"/>
      <c r="H2117" s="11"/>
      <c r="J2117" s="18"/>
      <c r="L2117" s="18"/>
      <c r="M2117" s="23"/>
    </row>
    <row r="2118">
      <c r="A2118" s="11"/>
      <c r="B2118" s="12"/>
      <c r="C2118" s="13"/>
      <c r="E2118" s="6"/>
      <c r="F2118" s="7"/>
      <c r="H2118" s="11"/>
      <c r="J2118" s="18"/>
      <c r="L2118" s="18"/>
      <c r="M2118" s="23"/>
    </row>
    <row r="2119">
      <c r="A2119" s="11"/>
      <c r="B2119" s="12"/>
      <c r="C2119" s="13"/>
      <c r="E2119" s="6"/>
      <c r="F2119" s="7"/>
      <c r="H2119" s="11"/>
      <c r="J2119" s="18"/>
      <c r="L2119" s="18"/>
      <c r="M2119" s="23"/>
    </row>
    <row r="2120">
      <c r="A2120" s="11"/>
      <c r="B2120" s="12"/>
      <c r="C2120" s="13"/>
      <c r="E2120" s="6"/>
      <c r="F2120" s="7"/>
      <c r="H2120" s="11"/>
      <c r="J2120" s="18"/>
      <c r="L2120" s="18"/>
      <c r="M2120" s="23"/>
    </row>
    <row r="2121">
      <c r="A2121" s="11"/>
      <c r="B2121" s="12"/>
      <c r="C2121" s="13"/>
      <c r="E2121" s="6"/>
      <c r="F2121" s="7"/>
      <c r="H2121" s="11"/>
      <c r="J2121" s="18"/>
      <c r="L2121" s="18"/>
      <c r="M2121" s="23"/>
    </row>
    <row r="2122">
      <c r="A2122" s="11"/>
      <c r="B2122" s="12"/>
      <c r="C2122" s="13"/>
      <c r="E2122" s="6"/>
      <c r="F2122" s="7"/>
      <c r="H2122" s="11"/>
      <c r="J2122" s="18"/>
      <c r="L2122" s="18"/>
      <c r="M2122" s="23"/>
    </row>
    <row r="2123">
      <c r="A2123" s="11"/>
      <c r="B2123" s="12"/>
      <c r="C2123" s="13"/>
      <c r="E2123" s="6"/>
      <c r="F2123" s="7"/>
      <c r="H2123" s="11"/>
      <c r="J2123" s="18"/>
      <c r="L2123" s="18"/>
      <c r="M2123" s="23"/>
    </row>
    <row r="2124">
      <c r="A2124" s="11"/>
      <c r="B2124" s="12"/>
      <c r="C2124" s="13"/>
      <c r="E2124" s="6"/>
      <c r="F2124" s="7"/>
      <c r="H2124" s="11"/>
      <c r="J2124" s="18"/>
      <c r="L2124" s="18"/>
      <c r="M2124" s="23"/>
    </row>
    <row r="2125">
      <c r="A2125" s="11"/>
      <c r="B2125" s="12"/>
      <c r="C2125" s="13"/>
      <c r="E2125" s="6"/>
      <c r="F2125" s="7"/>
      <c r="H2125" s="11"/>
      <c r="J2125" s="18"/>
      <c r="L2125" s="18"/>
      <c r="M2125" s="23"/>
    </row>
    <row r="2126">
      <c r="A2126" s="11"/>
      <c r="B2126" s="12"/>
      <c r="C2126" s="13"/>
      <c r="E2126" s="6"/>
      <c r="F2126" s="7"/>
      <c r="H2126" s="11"/>
      <c r="J2126" s="18"/>
      <c r="L2126" s="18"/>
      <c r="M2126" s="23"/>
    </row>
    <row r="2127">
      <c r="A2127" s="11"/>
      <c r="B2127" s="12"/>
      <c r="C2127" s="13"/>
      <c r="E2127" s="6"/>
      <c r="F2127" s="7"/>
      <c r="H2127" s="11"/>
      <c r="J2127" s="18"/>
      <c r="L2127" s="18"/>
      <c r="M2127" s="23"/>
    </row>
    <row r="2128">
      <c r="A2128" s="11"/>
      <c r="B2128" s="12"/>
      <c r="C2128" s="13"/>
      <c r="E2128" s="6"/>
      <c r="F2128" s="7"/>
      <c r="H2128" s="11"/>
      <c r="J2128" s="18"/>
      <c r="L2128" s="18"/>
      <c r="M2128" s="23"/>
    </row>
    <row r="2129">
      <c r="A2129" s="11"/>
      <c r="B2129" s="12"/>
      <c r="C2129" s="13"/>
      <c r="E2129" s="6"/>
      <c r="F2129" s="7"/>
      <c r="H2129" s="11"/>
      <c r="J2129" s="18"/>
      <c r="L2129" s="18"/>
      <c r="M2129" s="23"/>
    </row>
    <row r="2130">
      <c r="A2130" s="11"/>
      <c r="B2130" s="12"/>
      <c r="C2130" s="13"/>
      <c r="E2130" s="6"/>
      <c r="F2130" s="7"/>
      <c r="H2130" s="11"/>
      <c r="J2130" s="18"/>
      <c r="L2130" s="18"/>
      <c r="M2130" s="23"/>
    </row>
    <row r="2131">
      <c r="A2131" s="11"/>
      <c r="B2131" s="12"/>
      <c r="C2131" s="13"/>
      <c r="E2131" s="6"/>
      <c r="F2131" s="7"/>
      <c r="H2131" s="11"/>
      <c r="J2131" s="18"/>
      <c r="L2131" s="18"/>
      <c r="M2131" s="23"/>
    </row>
    <row r="2132">
      <c r="A2132" s="11"/>
      <c r="B2132" s="12"/>
      <c r="C2132" s="13"/>
      <c r="E2132" s="6"/>
      <c r="F2132" s="7"/>
      <c r="H2132" s="11"/>
      <c r="J2132" s="18"/>
      <c r="L2132" s="18"/>
      <c r="M2132" s="23"/>
    </row>
    <row r="2133">
      <c r="A2133" s="11"/>
      <c r="B2133" s="12"/>
      <c r="C2133" s="13"/>
      <c r="E2133" s="6"/>
      <c r="F2133" s="7"/>
      <c r="H2133" s="11"/>
      <c r="J2133" s="18"/>
      <c r="L2133" s="18"/>
      <c r="M2133" s="23"/>
    </row>
    <row r="2134">
      <c r="A2134" s="11"/>
      <c r="B2134" s="12"/>
      <c r="C2134" s="13"/>
      <c r="E2134" s="6"/>
      <c r="F2134" s="7"/>
      <c r="H2134" s="11"/>
      <c r="J2134" s="18"/>
      <c r="L2134" s="18"/>
      <c r="M2134" s="23"/>
    </row>
    <row r="2135">
      <c r="A2135" s="11"/>
      <c r="B2135" s="12"/>
      <c r="C2135" s="13"/>
      <c r="E2135" s="6"/>
      <c r="F2135" s="7"/>
      <c r="H2135" s="11"/>
      <c r="J2135" s="18"/>
      <c r="L2135" s="18"/>
      <c r="M2135" s="23"/>
    </row>
    <row r="2136">
      <c r="A2136" s="11"/>
      <c r="B2136" s="12"/>
      <c r="C2136" s="13"/>
      <c r="E2136" s="6"/>
      <c r="F2136" s="7"/>
      <c r="H2136" s="11"/>
      <c r="J2136" s="18"/>
      <c r="L2136" s="18"/>
      <c r="M2136" s="23"/>
    </row>
    <row r="2137">
      <c r="A2137" s="11"/>
      <c r="B2137" s="12"/>
      <c r="C2137" s="13"/>
      <c r="E2137" s="6"/>
      <c r="F2137" s="7"/>
      <c r="H2137" s="11"/>
      <c r="J2137" s="18"/>
      <c r="L2137" s="18"/>
      <c r="M2137" s="23"/>
    </row>
    <row r="2138">
      <c r="A2138" s="11"/>
      <c r="B2138" s="12"/>
      <c r="C2138" s="13"/>
      <c r="E2138" s="6"/>
      <c r="F2138" s="7"/>
      <c r="H2138" s="11"/>
      <c r="J2138" s="18"/>
      <c r="L2138" s="18"/>
      <c r="M2138" s="23"/>
    </row>
    <row r="2139">
      <c r="A2139" s="11"/>
      <c r="B2139" s="12"/>
      <c r="C2139" s="13"/>
      <c r="E2139" s="6"/>
      <c r="F2139" s="7"/>
      <c r="H2139" s="11"/>
      <c r="J2139" s="18"/>
      <c r="L2139" s="18"/>
      <c r="M2139" s="23"/>
    </row>
    <row r="2140">
      <c r="A2140" s="11"/>
      <c r="B2140" s="12"/>
      <c r="C2140" s="13"/>
      <c r="E2140" s="6"/>
      <c r="F2140" s="7"/>
      <c r="H2140" s="11"/>
      <c r="J2140" s="18"/>
      <c r="L2140" s="18"/>
      <c r="M2140" s="23"/>
    </row>
    <row r="2141">
      <c r="A2141" s="11"/>
      <c r="B2141" s="12"/>
      <c r="C2141" s="13"/>
      <c r="E2141" s="6"/>
      <c r="F2141" s="7"/>
      <c r="H2141" s="11"/>
      <c r="J2141" s="18"/>
      <c r="L2141" s="18"/>
      <c r="M2141" s="23"/>
    </row>
    <row r="2142">
      <c r="A2142" s="11"/>
      <c r="B2142" s="12"/>
      <c r="C2142" s="13"/>
      <c r="E2142" s="6"/>
      <c r="F2142" s="7"/>
      <c r="H2142" s="11"/>
      <c r="J2142" s="18"/>
      <c r="L2142" s="18"/>
      <c r="M2142" s="23"/>
    </row>
    <row r="2143">
      <c r="A2143" s="11"/>
      <c r="B2143" s="12"/>
      <c r="C2143" s="13"/>
      <c r="E2143" s="6"/>
      <c r="F2143" s="7"/>
      <c r="H2143" s="11"/>
      <c r="J2143" s="18"/>
      <c r="L2143" s="18"/>
      <c r="M2143" s="23"/>
    </row>
    <row r="2144">
      <c r="A2144" s="11"/>
      <c r="B2144" s="12"/>
      <c r="C2144" s="13"/>
      <c r="E2144" s="6"/>
      <c r="F2144" s="7"/>
      <c r="H2144" s="11"/>
      <c r="J2144" s="18"/>
      <c r="L2144" s="18"/>
      <c r="M2144" s="23"/>
    </row>
    <row r="2145">
      <c r="A2145" s="11"/>
      <c r="B2145" s="12"/>
      <c r="C2145" s="13"/>
      <c r="E2145" s="6"/>
      <c r="F2145" s="7"/>
      <c r="H2145" s="11"/>
      <c r="J2145" s="18"/>
      <c r="L2145" s="18"/>
      <c r="M2145" s="23"/>
    </row>
    <row r="2146">
      <c r="A2146" s="11"/>
      <c r="B2146" s="12"/>
      <c r="C2146" s="13"/>
      <c r="E2146" s="6"/>
      <c r="F2146" s="7"/>
      <c r="H2146" s="11"/>
      <c r="J2146" s="18"/>
      <c r="L2146" s="18"/>
      <c r="M2146" s="23"/>
    </row>
    <row r="2147">
      <c r="A2147" s="11"/>
      <c r="B2147" s="12"/>
      <c r="C2147" s="13"/>
      <c r="E2147" s="6"/>
      <c r="F2147" s="7"/>
      <c r="H2147" s="11"/>
      <c r="J2147" s="18"/>
      <c r="L2147" s="18"/>
      <c r="M2147" s="23"/>
    </row>
    <row r="2148">
      <c r="A2148" s="11"/>
      <c r="B2148" s="12"/>
      <c r="C2148" s="13"/>
      <c r="E2148" s="6"/>
      <c r="F2148" s="7"/>
      <c r="H2148" s="11"/>
      <c r="J2148" s="18"/>
      <c r="L2148" s="18"/>
      <c r="M2148" s="23"/>
    </row>
    <row r="2149">
      <c r="A2149" s="11"/>
      <c r="B2149" s="12"/>
      <c r="C2149" s="13"/>
      <c r="E2149" s="6"/>
      <c r="F2149" s="7"/>
      <c r="H2149" s="11"/>
      <c r="J2149" s="18"/>
      <c r="L2149" s="18"/>
      <c r="M2149" s="23"/>
    </row>
    <row r="2150">
      <c r="A2150" s="11"/>
      <c r="B2150" s="12"/>
      <c r="C2150" s="13"/>
      <c r="E2150" s="6"/>
      <c r="F2150" s="7"/>
      <c r="H2150" s="11"/>
      <c r="J2150" s="18"/>
      <c r="L2150" s="18"/>
      <c r="M2150" s="23"/>
    </row>
    <row r="2151">
      <c r="A2151" s="11"/>
      <c r="B2151" s="12"/>
      <c r="C2151" s="13"/>
      <c r="E2151" s="6"/>
      <c r="F2151" s="7"/>
      <c r="H2151" s="11"/>
      <c r="J2151" s="18"/>
      <c r="L2151" s="18"/>
      <c r="M2151" s="23"/>
    </row>
    <row r="2152">
      <c r="A2152" s="11"/>
      <c r="B2152" s="12"/>
      <c r="C2152" s="13"/>
      <c r="E2152" s="6"/>
      <c r="F2152" s="7"/>
      <c r="H2152" s="11"/>
      <c r="J2152" s="18"/>
      <c r="L2152" s="18"/>
      <c r="M2152" s="23"/>
    </row>
    <row r="2153">
      <c r="A2153" s="11"/>
      <c r="B2153" s="12"/>
      <c r="C2153" s="13"/>
      <c r="E2153" s="6"/>
      <c r="F2153" s="7"/>
      <c r="H2153" s="11"/>
      <c r="J2153" s="18"/>
      <c r="L2153" s="18"/>
      <c r="M2153" s="23"/>
    </row>
    <row r="2154">
      <c r="A2154" s="11"/>
      <c r="B2154" s="12"/>
      <c r="C2154" s="13"/>
      <c r="E2154" s="6"/>
      <c r="F2154" s="7"/>
      <c r="H2154" s="11"/>
      <c r="J2154" s="18"/>
      <c r="L2154" s="18"/>
      <c r="M2154" s="23"/>
    </row>
    <row r="2155">
      <c r="A2155" s="11"/>
      <c r="B2155" s="12"/>
      <c r="C2155" s="13"/>
      <c r="E2155" s="6"/>
      <c r="F2155" s="7"/>
      <c r="H2155" s="11"/>
      <c r="J2155" s="18"/>
      <c r="L2155" s="18"/>
      <c r="M2155" s="23"/>
    </row>
    <row r="2156">
      <c r="A2156" s="11"/>
      <c r="B2156" s="12"/>
      <c r="C2156" s="13"/>
      <c r="E2156" s="6"/>
      <c r="F2156" s="7"/>
      <c r="H2156" s="11"/>
      <c r="J2156" s="18"/>
      <c r="L2156" s="18"/>
      <c r="M2156" s="23"/>
    </row>
    <row r="2157">
      <c r="A2157" s="11"/>
      <c r="B2157" s="12"/>
      <c r="C2157" s="13"/>
      <c r="E2157" s="6"/>
      <c r="F2157" s="7"/>
      <c r="H2157" s="11"/>
      <c r="J2157" s="18"/>
      <c r="L2157" s="18"/>
      <c r="M2157" s="23"/>
    </row>
    <row r="2158">
      <c r="A2158" s="11"/>
      <c r="B2158" s="12"/>
      <c r="C2158" s="13"/>
      <c r="E2158" s="6"/>
      <c r="F2158" s="7"/>
      <c r="H2158" s="11"/>
      <c r="J2158" s="18"/>
      <c r="L2158" s="18"/>
      <c r="M2158" s="23"/>
    </row>
    <row r="2159">
      <c r="A2159" s="11"/>
      <c r="B2159" s="12"/>
      <c r="C2159" s="13"/>
      <c r="E2159" s="6"/>
      <c r="F2159" s="7"/>
      <c r="H2159" s="11"/>
      <c r="J2159" s="18"/>
      <c r="L2159" s="18"/>
      <c r="M2159" s="23"/>
    </row>
    <row r="2160">
      <c r="A2160" s="11"/>
      <c r="B2160" s="12"/>
      <c r="C2160" s="13"/>
      <c r="E2160" s="6"/>
      <c r="F2160" s="7"/>
      <c r="H2160" s="11"/>
      <c r="J2160" s="18"/>
      <c r="L2160" s="18"/>
      <c r="M2160" s="23"/>
    </row>
    <row r="2161">
      <c r="A2161" s="11"/>
      <c r="B2161" s="12"/>
      <c r="C2161" s="13"/>
      <c r="E2161" s="6"/>
      <c r="F2161" s="7"/>
      <c r="H2161" s="11"/>
      <c r="J2161" s="18"/>
      <c r="L2161" s="18"/>
      <c r="M2161" s="23"/>
    </row>
    <row r="2162">
      <c r="A2162" s="11"/>
      <c r="B2162" s="12"/>
      <c r="C2162" s="13"/>
      <c r="E2162" s="6"/>
      <c r="F2162" s="7"/>
      <c r="H2162" s="11"/>
      <c r="J2162" s="18"/>
      <c r="L2162" s="18"/>
      <c r="M2162" s="23"/>
    </row>
    <row r="2163">
      <c r="A2163" s="11"/>
      <c r="B2163" s="12"/>
      <c r="C2163" s="13"/>
      <c r="E2163" s="6"/>
      <c r="F2163" s="7"/>
      <c r="H2163" s="11"/>
      <c r="J2163" s="18"/>
      <c r="L2163" s="18"/>
      <c r="M2163" s="23"/>
    </row>
    <row r="2164">
      <c r="A2164" s="11"/>
      <c r="B2164" s="12"/>
      <c r="C2164" s="13"/>
      <c r="E2164" s="6"/>
      <c r="F2164" s="7"/>
      <c r="H2164" s="11"/>
      <c r="J2164" s="18"/>
      <c r="L2164" s="18"/>
      <c r="M2164" s="23"/>
    </row>
    <row r="2165">
      <c r="A2165" s="11"/>
      <c r="B2165" s="12"/>
      <c r="C2165" s="13"/>
      <c r="E2165" s="6"/>
      <c r="F2165" s="7"/>
      <c r="H2165" s="11"/>
      <c r="J2165" s="18"/>
      <c r="L2165" s="18"/>
      <c r="M2165" s="23"/>
    </row>
    <row r="2166">
      <c r="A2166" s="11"/>
      <c r="B2166" s="12"/>
      <c r="C2166" s="13"/>
      <c r="E2166" s="6"/>
      <c r="F2166" s="7"/>
      <c r="H2166" s="11"/>
      <c r="J2166" s="18"/>
      <c r="L2166" s="18"/>
      <c r="M2166" s="23"/>
    </row>
    <row r="2167">
      <c r="A2167" s="11"/>
      <c r="B2167" s="12"/>
      <c r="C2167" s="13"/>
      <c r="E2167" s="6"/>
      <c r="F2167" s="7"/>
      <c r="H2167" s="11"/>
      <c r="J2167" s="18"/>
      <c r="L2167" s="18"/>
      <c r="M2167" s="23"/>
    </row>
    <row r="2168">
      <c r="A2168" s="11"/>
      <c r="B2168" s="12"/>
      <c r="C2168" s="13"/>
      <c r="E2168" s="6"/>
      <c r="F2168" s="7"/>
      <c r="H2168" s="11"/>
      <c r="J2168" s="18"/>
      <c r="L2168" s="18"/>
      <c r="M2168" s="23"/>
    </row>
    <row r="2169">
      <c r="A2169" s="11"/>
      <c r="B2169" s="12"/>
      <c r="C2169" s="13"/>
      <c r="E2169" s="6"/>
      <c r="F2169" s="7"/>
      <c r="H2169" s="11"/>
      <c r="J2169" s="18"/>
      <c r="L2169" s="18"/>
      <c r="M2169" s="23"/>
    </row>
    <row r="2170">
      <c r="A2170" s="11"/>
      <c r="B2170" s="12"/>
      <c r="C2170" s="13"/>
      <c r="E2170" s="6"/>
      <c r="F2170" s="7"/>
      <c r="H2170" s="11"/>
      <c r="J2170" s="18"/>
      <c r="L2170" s="18"/>
      <c r="M2170" s="23"/>
    </row>
    <row r="2171">
      <c r="A2171" s="11"/>
      <c r="B2171" s="12"/>
      <c r="C2171" s="13"/>
      <c r="E2171" s="6"/>
      <c r="F2171" s="7"/>
      <c r="H2171" s="11"/>
      <c r="J2171" s="18"/>
      <c r="L2171" s="18"/>
      <c r="M2171" s="23"/>
    </row>
    <row r="2172">
      <c r="A2172" s="11"/>
      <c r="B2172" s="12"/>
      <c r="C2172" s="13"/>
      <c r="E2172" s="6"/>
      <c r="F2172" s="7"/>
      <c r="H2172" s="11"/>
      <c r="J2172" s="18"/>
      <c r="L2172" s="18"/>
      <c r="M2172" s="23"/>
    </row>
    <row r="2173">
      <c r="A2173" s="11"/>
      <c r="B2173" s="12"/>
      <c r="C2173" s="13"/>
      <c r="E2173" s="6"/>
      <c r="F2173" s="7"/>
      <c r="H2173" s="11"/>
      <c r="J2173" s="18"/>
      <c r="L2173" s="18"/>
      <c r="M2173" s="23"/>
    </row>
    <row r="2174">
      <c r="A2174" s="11"/>
      <c r="B2174" s="12"/>
      <c r="C2174" s="13"/>
      <c r="E2174" s="6"/>
      <c r="F2174" s="7"/>
      <c r="H2174" s="11"/>
      <c r="J2174" s="18"/>
      <c r="L2174" s="18"/>
      <c r="M2174" s="23"/>
    </row>
    <row r="2175">
      <c r="A2175" s="11"/>
      <c r="B2175" s="12"/>
      <c r="C2175" s="13"/>
      <c r="E2175" s="6"/>
      <c r="F2175" s="7"/>
      <c r="H2175" s="11"/>
      <c r="J2175" s="18"/>
      <c r="L2175" s="18"/>
      <c r="M2175" s="23"/>
    </row>
    <row r="2176">
      <c r="A2176" s="11"/>
      <c r="B2176" s="12"/>
      <c r="C2176" s="13"/>
      <c r="E2176" s="6"/>
      <c r="F2176" s="7"/>
      <c r="H2176" s="11"/>
      <c r="J2176" s="18"/>
      <c r="L2176" s="18"/>
      <c r="M2176" s="23"/>
    </row>
    <row r="2177">
      <c r="A2177" s="11"/>
      <c r="B2177" s="12"/>
      <c r="C2177" s="13"/>
      <c r="E2177" s="6"/>
      <c r="F2177" s="7"/>
      <c r="H2177" s="11"/>
      <c r="J2177" s="18"/>
      <c r="L2177" s="18"/>
      <c r="M2177" s="23"/>
    </row>
    <row r="2178">
      <c r="A2178" s="11"/>
      <c r="B2178" s="12"/>
      <c r="C2178" s="13"/>
      <c r="E2178" s="6"/>
      <c r="F2178" s="7"/>
      <c r="H2178" s="11"/>
      <c r="J2178" s="18"/>
      <c r="L2178" s="18"/>
      <c r="M2178" s="23"/>
    </row>
    <row r="2179">
      <c r="A2179" s="11"/>
      <c r="B2179" s="12"/>
      <c r="C2179" s="13"/>
      <c r="E2179" s="6"/>
      <c r="F2179" s="7"/>
      <c r="H2179" s="11"/>
      <c r="J2179" s="18"/>
      <c r="L2179" s="18"/>
      <c r="M2179" s="23"/>
    </row>
    <row r="2180">
      <c r="A2180" s="11"/>
      <c r="B2180" s="12"/>
      <c r="C2180" s="13"/>
      <c r="E2180" s="6"/>
      <c r="F2180" s="7"/>
      <c r="H2180" s="11"/>
      <c r="J2180" s="18"/>
      <c r="L2180" s="18"/>
      <c r="M2180" s="23"/>
    </row>
    <row r="2181">
      <c r="A2181" s="11"/>
      <c r="B2181" s="12"/>
      <c r="C2181" s="13"/>
      <c r="E2181" s="6"/>
      <c r="F2181" s="7"/>
      <c r="H2181" s="11"/>
      <c r="J2181" s="18"/>
      <c r="L2181" s="18"/>
      <c r="M2181" s="23"/>
    </row>
    <row r="2182">
      <c r="A2182" s="11"/>
      <c r="B2182" s="12"/>
      <c r="C2182" s="13"/>
      <c r="E2182" s="6"/>
      <c r="F2182" s="7"/>
      <c r="H2182" s="11"/>
      <c r="J2182" s="18"/>
      <c r="L2182" s="18"/>
      <c r="M2182" s="23"/>
    </row>
    <row r="2183">
      <c r="A2183" s="11"/>
      <c r="B2183" s="12"/>
      <c r="C2183" s="13"/>
      <c r="E2183" s="6"/>
      <c r="F2183" s="7"/>
      <c r="H2183" s="11"/>
      <c r="J2183" s="18"/>
      <c r="L2183" s="18"/>
      <c r="M2183" s="23"/>
    </row>
    <row r="2184">
      <c r="A2184" s="11"/>
      <c r="B2184" s="12"/>
      <c r="C2184" s="13"/>
      <c r="E2184" s="6"/>
      <c r="F2184" s="7"/>
      <c r="H2184" s="11"/>
      <c r="J2184" s="18"/>
      <c r="L2184" s="18"/>
      <c r="M2184" s="23"/>
    </row>
    <row r="2185">
      <c r="A2185" s="11"/>
      <c r="B2185" s="12"/>
      <c r="C2185" s="13"/>
      <c r="E2185" s="6"/>
      <c r="F2185" s="7"/>
      <c r="H2185" s="11"/>
      <c r="J2185" s="18"/>
      <c r="L2185" s="18"/>
      <c r="M2185" s="23"/>
    </row>
    <row r="2186">
      <c r="A2186" s="11"/>
      <c r="B2186" s="12"/>
      <c r="C2186" s="13"/>
      <c r="E2186" s="6"/>
      <c r="F2186" s="7"/>
      <c r="H2186" s="11"/>
      <c r="J2186" s="18"/>
      <c r="L2186" s="18"/>
      <c r="M2186" s="23"/>
    </row>
    <row r="2187">
      <c r="A2187" s="11"/>
      <c r="B2187" s="12"/>
      <c r="C2187" s="13"/>
      <c r="E2187" s="6"/>
      <c r="F2187" s="7"/>
      <c r="H2187" s="11"/>
      <c r="J2187" s="18"/>
      <c r="L2187" s="18"/>
      <c r="M2187" s="23"/>
    </row>
    <row r="2188">
      <c r="A2188" s="11"/>
      <c r="B2188" s="12"/>
      <c r="C2188" s="13"/>
      <c r="E2188" s="6"/>
      <c r="F2188" s="7"/>
      <c r="H2188" s="11"/>
      <c r="J2188" s="18"/>
      <c r="L2188" s="18"/>
      <c r="M2188" s="23"/>
    </row>
    <row r="2189">
      <c r="A2189" s="11"/>
      <c r="B2189" s="12"/>
      <c r="C2189" s="13"/>
      <c r="E2189" s="6"/>
      <c r="F2189" s="7"/>
      <c r="H2189" s="11"/>
      <c r="J2189" s="18"/>
      <c r="L2189" s="18"/>
      <c r="M2189" s="23"/>
    </row>
    <row r="2190">
      <c r="A2190" s="11"/>
      <c r="B2190" s="12"/>
      <c r="C2190" s="13"/>
      <c r="E2190" s="6"/>
      <c r="F2190" s="7"/>
      <c r="H2190" s="11"/>
      <c r="J2190" s="18"/>
      <c r="L2190" s="18"/>
      <c r="M2190" s="23"/>
    </row>
    <row r="2191">
      <c r="A2191" s="11"/>
      <c r="B2191" s="12"/>
      <c r="C2191" s="13"/>
      <c r="E2191" s="6"/>
      <c r="F2191" s="7"/>
      <c r="H2191" s="11"/>
      <c r="J2191" s="18"/>
      <c r="L2191" s="18"/>
      <c r="M2191" s="23"/>
    </row>
    <row r="2192">
      <c r="A2192" s="11"/>
      <c r="B2192" s="12"/>
      <c r="C2192" s="13"/>
      <c r="E2192" s="6"/>
      <c r="F2192" s="7"/>
      <c r="H2192" s="11"/>
      <c r="J2192" s="18"/>
      <c r="L2192" s="18"/>
      <c r="M2192" s="23"/>
    </row>
    <row r="2193">
      <c r="A2193" s="11"/>
      <c r="B2193" s="12"/>
      <c r="C2193" s="13"/>
      <c r="E2193" s="6"/>
      <c r="F2193" s="7"/>
      <c r="H2193" s="11"/>
      <c r="J2193" s="18"/>
      <c r="L2193" s="18"/>
      <c r="M2193" s="23"/>
    </row>
    <row r="2194">
      <c r="A2194" s="11"/>
      <c r="B2194" s="12"/>
      <c r="C2194" s="13"/>
      <c r="E2194" s="6"/>
      <c r="F2194" s="7"/>
      <c r="H2194" s="11"/>
      <c r="J2194" s="18"/>
      <c r="L2194" s="18"/>
      <c r="M2194" s="23"/>
    </row>
    <row r="2195">
      <c r="A2195" s="11"/>
      <c r="B2195" s="12"/>
      <c r="C2195" s="13"/>
      <c r="E2195" s="6"/>
      <c r="F2195" s="7"/>
      <c r="H2195" s="11"/>
      <c r="J2195" s="18"/>
      <c r="L2195" s="18"/>
      <c r="M2195" s="23"/>
    </row>
    <row r="2196">
      <c r="A2196" s="11"/>
      <c r="B2196" s="12"/>
      <c r="C2196" s="13"/>
      <c r="E2196" s="6"/>
      <c r="F2196" s="7"/>
      <c r="H2196" s="11"/>
      <c r="J2196" s="18"/>
      <c r="L2196" s="18"/>
      <c r="M2196" s="23"/>
    </row>
    <row r="2197">
      <c r="A2197" s="11"/>
      <c r="B2197" s="12"/>
      <c r="C2197" s="13"/>
      <c r="E2197" s="6"/>
      <c r="F2197" s="7"/>
      <c r="H2197" s="11"/>
      <c r="J2197" s="18"/>
      <c r="L2197" s="18"/>
      <c r="M2197" s="23"/>
    </row>
    <row r="2198">
      <c r="A2198" s="11"/>
      <c r="B2198" s="12"/>
      <c r="C2198" s="13"/>
      <c r="E2198" s="6"/>
      <c r="F2198" s="7"/>
      <c r="H2198" s="11"/>
      <c r="J2198" s="18"/>
      <c r="L2198" s="18"/>
      <c r="M2198" s="23"/>
    </row>
    <row r="2199">
      <c r="A2199" s="11"/>
      <c r="B2199" s="12"/>
      <c r="C2199" s="13"/>
      <c r="E2199" s="6"/>
      <c r="F2199" s="7"/>
      <c r="H2199" s="11"/>
      <c r="J2199" s="18"/>
      <c r="L2199" s="18"/>
      <c r="M2199" s="23"/>
    </row>
    <row r="2200">
      <c r="A2200" s="11"/>
      <c r="B2200" s="12"/>
      <c r="C2200" s="13"/>
      <c r="E2200" s="6"/>
      <c r="F2200" s="7"/>
      <c r="H2200" s="11"/>
      <c r="J2200" s="18"/>
      <c r="L2200" s="18"/>
      <c r="M2200" s="23"/>
    </row>
    <row r="2201">
      <c r="A2201" s="11"/>
      <c r="B2201" s="12"/>
      <c r="C2201" s="13"/>
      <c r="E2201" s="6"/>
      <c r="F2201" s="7"/>
      <c r="H2201" s="11"/>
      <c r="J2201" s="18"/>
      <c r="L2201" s="18"/>
      <c r="M2201" s="23"/>
    </row>
    <row r="2202">
      <c r="A2202" s="11"/>
      <c r="B2202" s="12"/>
      <c r="C2202" s="13"/>
      <c r="E2202" s="6"/>
      <c r="F2202" s="7"/>
      <c r="H2202" s="11"/>
      <c r="J2202" s="18"/>
      <c r="L2202" s="18"/>
      <c r="M2202" s="23"/>
    </row>
    <row r="2203">
      <c r="A2203" s="11"/>
      <c r="B2203" s="12"/>
      <c r="C2203" s="13"/>
      <c r="E2203" s="6"/>
      <c r="F2203" s="7"/>
      <c r="H2203" s="11"/>
      <c r="J2203" s="18"/>
      <c r="L2203" s="18"/>
      <c r="M2203" s="23"/>
    </row>
    <row r="2204">
      <c r="A2204" s="11"/>
      <c r="B2204" s="12"/>
      <c r="C2204" s="13"/>
      <c r="E2204" s="6"/>
      <c r="F2204" s="7"/>
      <c r="H2204" s="11"/>
      <c r="J2204" s="18"/>
      <c r="L2204" s="18"/>
      <c r="M2204" s="23"/>
    </row>
    <row r="2205">
      <c r="A2205" s="11"/>
      <c r="B2205" s="12"/>
      <c r="C2205" s="13"/>
      <c r="E2205" s="6"/>
      <c r="F2205" s="7"/>
      <c r="H2205" s="11"/>
      <c r="J2205" s="18"/>
      <c r="L2205" s="18"/>
      <c r="M2205" s="23"/>
    </row>
    <row r="2206">
      <c r="A2206" s="11"/>
      <c r="B2206" s="12"/>
      <c r="C2206" s="13"/>
      <c r="E2206" s="6"/>
      <c r="F2206" s="7"/>
      <c r="H2206" s="11"/>
      <c r="J2206" s="18"/>
      <c r="L2206" s="18"/>
      <c r="M2206" s="23"/>
    </row>
    <row r="2207">
      <c r="A2207" s="11"/>
      <c r="B2207" s="12"/>
      <c r="C2207" s="13"/>
      <c r="E2207" s="6"/>
      <c r="F2207" s="7"/>
      <c r="H2207" s="11"/>
      <c r="J2207" s="18"/>
      <c r="L2207" s="18"/>
      <c r="M2207" s="23"/>
    </row>
    <row r="2208">
      <c r="A2208" s="11"/>
      <c r="B2208" s="12"/>
      <c r="C2208" s="13"/>
      <c r="E2208" s="6"/>
      <c r="F2208" s="7"/>
      <c r="H2208" s="11"/>
      <c r="J2208" s="18"/>
      <c r="L2208" s="18"/>
      <c r="M2208" s="23"/>
    </row>
    <row r="2209">
      <c r="A2209" s="11"/>
      <c r="B2209" s="12"/>
      <c r="C2209" s="13"/>
      <c r="E2209" s="6"/>
      <c r="F2209" s="7"/>
      <c r="H2209" s="11"/>
      <c r="J2209" s="18"/>
      <c r="L2209" s="18"/>
      <c r="M2209" s="23"/>
    </row>
    <row r="2210">
      <c r="A2210" s="11"/>
      <c r="B2210" s="12"/>
      <c r="C2210" s="13"/>
      <c r="E2210" s="6"/>
      <c r="F2210" s="7"/>
      <c r="H2210" s="11"/>
      <c r="J2210" s="18"/>
      <c r="L2210" s="18"/>
      <c r="M2210" s="23"/>
    </row>
    <row r="2211">
      <c r="A2211" s="11"/>
      <c r="B2211" s="12"/>
      <c r="C2211" s="13"/>
      <c r="E2211" s="6"/>
      <c r="F2211" s="7"/>
      <c r="H2211" s="11"/>
      <c r="J2211" s="18"/>
      <c r="L2211" s="18"/>
      <c r="M2211" s="23"/>
    </row>
    <row r="2212">
      <c r="A2212" s="11"/>
      <c r="B2212" s="12"/>
      <c r="C2212" s="13"/>
      <c r="E2212" s="6"/>
      <c r="F2212" s="7"/>
      <c r="H2212" s="11"/>
      <c r="J2212" s="18"/>
      <c r="L2212" s="18"/>
      <c r="M2212" s="23"/>
    </row>
    <row r="2213">
      <c r="A2213" s="11"/>
      <c r="B2213" s="12"/>
      <c r="C2213" s="13"/>
      <c r="E2213" s="6"/>
      <c r="F2213" s="7"/>
      <c r="H2213" s="11"/>
      <c r="J2213" s="18"/>
      <c r="L2213" s="18"/>
      <c r="M2213" s="23"/>
    </row>
    <row r="2214">
      <c r="A2214" s="11"/>
      <c r="B2214" s="12"/>
      <c r="C2214" s="13"/>
      <c r="E2214" s="6"/>
      <c r="F2214" s="7"/>
      <c r="H2214" s="11"/>
      <c r="J2214" s="18"/>
      <c r="L2214" s="18"/>
      <c r="M2214" s="23"/>
    </row>
    <row r="2215">
      <c r="A2215" s="11"/>
      <c r="B2215" s="12"/>
      <c r="C2215" s="13"/>
      <c r="E2215" s="6"/>
      <c r="F2215" s="7"/>
      <c r="H2215" s="11"/>
      <c r="J2215" s="18"/>
      <c r="L2215" s="18"/>
      <c r="M2215" s="23"/>
    </row>
    <row r="2216">
      <c r="A2216" s="11"/>
      <c r="B2216" s="12"/>
      <c r="C2216" s="13"/>
      <c r="E2216" s="6"/>
      <c r="F2216" s="7"/>
      <c r="H2216" s="11"/>
      <c r="J2216" s="18"/>
      <c r="L2216" s="18"/>
      <c r="M2216" s="23"/>
    </row>
    <row r="2217">
      <c r="A2217" s="11"/>
      <c r="B2217" s="12"/>
      <c r="C2217" s="13"/>
      <c r="E2217" s="6"/>
      <c r="F2217" s="7"/>
      <c r="H2217" s="11"/>
      <c r="J2217" s="18"/>
      <c r="L2217" s="18"/>
      <c r="M2217" s="23"/>
    </row>
    <row r="2218">
      <c r="A2218" s="11"/>
      <c r="B2218" s="12"/>
      <c r="C2218" s="13"/>
      <c r="E2218" s="6"/>
      <c r="F2218" s="7"/>
      <c r="H2218" s="11"/>
      <c r="J2218" s="18"/>
      <c r="L2218" s="18"/>
      <c r="M2218" s="23"/>
    </row>
    <row r="2219">
      <c r="A2219" s="11"/>
      <c r="B2219" s="12"/>
      <c r="C2219" s="13"/>
      <c r="E2219" s="6"/>
      <c r="F2219" s="7"/>
      <c r="H2219" s="11"/>
      <c r="J2219" s="18"/>
      <c r="L2219" s="18"/>
      <c r="M2219" s="23"/>
    </row>
    <row r="2220">
      <c r="A2220" s="11"/>
      <c r="B2220" s="12"/>
      <c r="C2220" s="13"/>
      <c r="E2220" s="6"/>
      <c r="F2220" s="7"/>
      <c r="H2220" s="11"/>
      <c r="J2220" s="18"/>
      <c r="L2220" s="18"/>
      <c r="M2220" s="23"/>
    </row>
    <row r="2221">
      <c r="A2221" s="11"/>
      <c r="B2221" s="12"/>
      <c r="C2221" s="13"/>
      <c r="E2221" s="6"/>
      <c r="F2221" s="7"/>
      <c r="H2221" s="11"/>
      <c r="J2221" s="18"/>
      <c r="L2221" s="18"/>
      <c r="M2221" s="23"/>
    </row>
    <row r="2222">
      <c r="A2222" s="11"/>
      <c r="B2222" s="12"/>
      <c r="C2222" s="13"/>
      <c r="E2222" s="6"/>
      <c r="F2222" s="7"/>
      <c r="H2222" s="11"/>
      <c r="J2222" s="18"/>
      <c r="L2222" s="18"/>
      <c r="M2222" s="23"/>
    </row>
    <row r="2223">
      <c r="A2223" s="11"/>
      <c r="B2223" s="12"/>
      <c r="C2223" s="13"/>
      <c r="E2223" s="6"/>
      <c r="F2223" s="7"/>
      <c r="H2223" s="11"/>
      <c r="J2223" s="18"/>
      <c r="L2223" s="18"/>
      <c r="M2223" s="23"/>
    </row>
    <row r="2224">
      <c r="A2224" s="11"/>
      <c r="B2224" s="12"/>
      <c r="C2224" s="13"/>
      <c r="E2224" s="6"/>
      <c r="F2224" s="7"/>
      <c r="H2224" s="11"/>
      <c r="J2224" s="18"/>
      <c r="L2224" s="18"/>
      <c r="M2224" s="23"/>
    </row>
    <row r="2225">
      <c r="A2225" s="11"/>
      <c r="B2225" s="12"/>
      <c r="C2225" s="13"/>
      <c r="E2225" s="6"/>
      <c r="F2225" s="7"/>
      <c r="H2225" s="11"/>
      <c r="J2225" s="18"/>
      <c r="L2225" s="18"/>
      <c r="M2225" s="23"/>
    </row>
    <row r="2226">
      <c r="A2226" s="11"/>
      <c r="B2226" s="12"/>
      <c r="C2226" s="13"/>
      <c r="E2226" s="6"/>
      <c r="F2226" s="7"/>
      <c r="H2226" s="11"/>
      <c r="J2226" s="18"/>
      <c r="L2226" s="18"/>
      <c r="M2226" s="23"/>
    </row>
    <row r="2227">
      <c r="A2227" s="11"/>
      <c r="B2227" s="12"/>
      <c r="C2227" s="13"/>
      <c r="E2227" s="6"/>
      <c r="F2227" s="7"/>
      <c r="H2227" s="11"/>
      <c r="J2227" s="18"/>
      <c r="L2227" s="18"/>
      <c r="M2227" s="23"/>
    </row>
    <row r="2228">
      <c r="A2228" s="11"/>
      <c r="B2228" s="12"/>
      <c r="C2228" s="13"/>
      <c r="E2228" s="6"/>
      <c r="F2228" s="7"/>
      <c r="H2228" s="11"/>
      <c r="J2228" s="18"/>
      <c r="L2228" s="18"/>
      <c r="M2228" s="23"/>
    </row>
    <row r="2229">
      <c r="A2229" s="11"/>
      <c r="B2229" s="12"/>
      <c r="C2229" s="13"/>
      <c r="E2229" s="6"/>
      <c r="F2229" s="7"/>
      <c r="H2229" s="11"/>
      <c r="J2229" s="18"/>
      <c r="L2229" s="18"/>
      <c r="M2229" s="23"/>
    </row>
    <row r="2230">
      <c r="A2230" s="11"/>
      <c r="B2230" s="12"/>
      <c r="C2230" s="13"/>
      <c r="E2230" s="6"/>
      <c r="F2230" s="7"/>
      <c r="H2230" s="11"/>
      <c r="J2230" s="18"/>
      <c r="L2230" s="18"/>
      <c r="M2230" s="23"/>
    </row>
    <row r="2231">
      <c r="A2231" s="11"/>
      <c r="B2231" s="12"/>
      <c r="C2231" s="13"/>
      <c r="E2231" s="6"/>
      <c r="F2231" s="7"/>
      <c r="H2231" s="11"/>
      <c r="J2231" s="18"/>
      <c r="L2231" s="18"/>
      <c r="M2231" s="23"/>
    </row>
    <row r="2232">
      <c r="A2232" s="11"/>
      <c r="B2232" s="12"/>
      <c r="C2232" s="13"/>
      <c r="E2232" s="6"/>
      <c r="F2232" s="7"/>
      <c r="H2232" s="11"/>
      <c r="J2232" s="18"/>
      <c r="L2232" s="18"/>
      <c r="M2232" s="23"/>
    </row>
    <row r="2233">
      <c r="A2233" s="11"/>
      <c r="B2233" s="12"/>
      <c r="C2233" s="13"/>
      <c r="E2233" s="6"/>
      <c r="F2233" s="7"/>
      <c r="H2233" s="11"/>
      <c r="J2233" s="18"/>
      <c r="L2233" s="18"/>
      <c r="M2233" s="23"/>
    </row>
    <row r="2234">
      <c r="A2234" s="11"/>
      <c r="B2234" s="12"/>
      <c r="C2234" s="13"/>
      <c r="E2234" s="6"/>
      <c r="F2234" s="7"/>
      <c r="H2234" s="11"/>
      <c r="J2234" s="18"/>
      <c r="L2234" s="18"/>
      <c r="M2234" s="23"/>
    </row>
    <row r="2235">
      <c r="A2235" s="11"/>
      <c r="B2235" s="12"/>
      <c r="C2235" s="13"/>
      <c r="E2235" s="6"/>
      <c r="F2235" s="7"/>
      <c r="H2235" s="11"/>
      <c r="J2235" s="18"/>
      <c r="L2235" s="18"/>
      <c r="M2235" s="23"/>
    </row>
    <row r="2236">
      <c r="A2236" s="11"/>
      <c r="B2236" s="12"/>
      <c r="C2236" s="13"/>
      <c r="E2236" s="6"/>
      <c r="F2236" s="7"/>
      <c r="H2236" s="11"/>
      <c r="J2236" s="18"/>
      <c r="L2236" s="18"/>
      <c r="M2236" s="23"/>
    </row>
    <row r="2237">
      <c r="A2237" s="11"/>
      <c r="B2237" s="12"/>
      <c r="C2237" s="13"/>
      <c r="E2237" s="6"/>
      <c r="F2237" s="7"/>
      <c r="H2237" s="11"/>
      <c r="J2237" s="18"/>
      <c r="L2237" s="18"/>
      <c r="M2237" s="23"/>
    </row>
    <row r="2238">
      <c r="A2238" s="11"/>
      <c r="B2238" s="12"/>
      <c r="C2238" s="13"/>
      <c r="E2238" s="6"/>
      <c r="F2238" s="7"/>
      <c r="H2238" s="11"/>
      <c r="J2238" s="18"/>
      <c r="L2238" s="18"/>
      <c r="M2238" s="23"/>
    </row>
    <row r="2239">
      <c r="A2239" s="11"/>
      <c r="B2239" s="12"/>
      <c r="C2239" s="13"/>
      <c r="E2239" s="6"/>
      <c r="F2239" s="7"/>
      <c r="H2239" s="11"/>
      <c r="J2239" s="18"/>
      <c r="L2239" s="18"/>
      <c r="M2239" s="23"/>
    </row>
    <row r="2240">
      <c r="A2240" s="11"/>
      <c r="B2240" s="12"/>
      <c r="C2240" s="13"/>
      <c r="E2240" s="6"/>
      <c r="F2240" s="7"/>
      <c r="H2240" s="11"/>
      <c r="J2240" s="18"/>
      <c r="L2240" s="18"/>
      <c r="M2240" s="23"/>
    </row>
    <row r="2241">
      <c r="A2241" s="11"/>
      <c r="B2241" s="12"/>
      <c r="C2241" s="13"/>
      <c r="E2241" s="6"/>
      <c r="F2241" s="7"/>
      <c r="H2241" s="11"/>
      <c r="J2241" s="18"/>
      <c r="L2241" s="18"/>
      <c r="M2241" s="23"/>
    </row>
    <row r="2242">
      <c r="A2242" s="11"/>
      <c r="B2242" s="12"/>
      <c r="C2242" s="13"/>
      <c r="E2242" s="6"/>
      <c r="F2242" s="7"/>
      <c r="H2242" s="11"/>
      <c r="J2242" s="18"/>
      <c r="L2242" s="18"/>
      <c r="M2242" s="23"/>
    </row>
    <row r="2243">
      <c r="A2243" s="11"/>
      <c r="B2243" s="12"/>
      <c r="C2243" s="13"/>
      <c r="E2243" s="6"/>
      <c r="F2243" s="7"/>
      <c r="H2243" s="11"/>
      <c r="J2243" s="18"/>
      <c r="L2243" s="18"/>
      <c r="M2243" s="23"/>
    </row>
    <row r="2244">
      <c r="A2244" s="11"/>
      <c r="B2244" s="12"/>
      <c r="C2244" s="13"/>
      <c r="E2244" s="6"/>
      <c r="F2244" s="7"/>
      <c r="H2244" s="11"/>
      <c r="J2244" s="18"/>
      <c r="L2244" s="18"/>
      <c r="M2244" s="23"/>
    </row>
    <row r="2245">
      <c r="A2245" s="11"/>
      <c r="B2245" s="12"/>
      <c r="C2245" s="13"/>
      <c r="E2245" s="6"/>
      <c r="F2245" s="7"/>
      <c r="H2245" s="11"/>
      <c r="J2245" s="18"/>
      <c r="L2245" s="18"/>
      <c r="M2245" s="23"/>
    </row>
    <row r="2246">
      <c r="A2246" s="11"/>
      <c r="B2246" s="12"/>
      <c r="C2246" s="13"/>
      <c r="E2246" s="6"/>
      <c r="F2246" s="7"/>
      <c r="H2246" s="11"/>
      <c r="J2246" s="18"/>
      <c r="L2246" s="18"/>
      <c r="M2246" s="23"/>
    </row>
    <row r="2247">
      <c r="A2247" s="11"/>
      <c r="B2247" s="12"/>
      <c r="C2247" s="13"/>
      <c r="E2247" s="6"/>
      <c r="F2247" s="7"/>
      <c r="H2247" s="11"/>
      <c r="J2247" s="18"/>
      <c r="L2247" s="18"/>
      <c r="M2247" s="23"/>
    </row>
    <row r="2248">
      <c r="A2248" s="11"/>
      <c r="B2248" s="12"/>
      <c r="C2248" s="13"/>
      <c r="E2248" s="6"/>
      <c r="F2248" s="7"/>
      <c r="H2248" s="11"/>
      <c r="J2248" s="18"/>
      <c r="L2248" s="18"/>
      <c r="M2248" s="23"/>
    </row>
    <row r="2249">
      <c r="A2249" s="11"/>
      <c r="B2249" s="12"/>
      <c r="C2249" s="13"/>
      <c r="E2249" s="6"/>
      <c r="F2249" s="7"/>
      <c r="H2249" s="11"/>
      <c r="J2249" s="18"/>
      <c r="L2249" s="18"/>
      <c r="M2249" s="23"/>
    </row>
    <row r="2250">
      <c r="A2250" s="11"/>
      <c r="B2250" s="12"/>
      <c r="C2250" s="13"/>
      <c r="E2250" s="6"/>
      <c r="F2250" s="7"/>
      <c r="H2250" s="11"/>
      <c r="J2250" s="18"/>
      <c r="L2250" s="18"/>
      <c r="M2250" s="23"/>
    </row>
    <row r="2251">
      <c r="A2251" s="11"/>
      <c r="B2251" s="12"/>
      <c r="C2251" s="13"/>
      <c r="E2251" s="6"/>
      <c r="F2251" s="7"/>
      <c r="H2251" s="11"/>
      <c r="J2251" s="18"/>
      <c r="L2251" s="18"/>
      <c r="M2251" s="23"/>
    </row>
    <row r="2252">
      <c r="A2252" s="11"/>
      <c r="B2252" s="12"/>
      <c r="C2252" s="13"/>
      <c r="E2252" s="6"/>
      <c r="F2252" s="7"/>
      <c r="H2252" s="11"/>
      <c r="J2252" s="18"/>
      <c r="L2252" s="18"/>
      <c r="M2252" s="23"/>
    </row>
    <row r="2253">
      <c r="A2253" s="11"/>
      <c r="B2253" s="12"/>
      <c r="C2253" s="13"/>
      <c r="E2253" s="6"/>
      <c r="F2253" s="7"/>
      <c r="H2253" s="11"/>
      <c r="J2253" s="18"/>
      <c r="L2253" s="18"/>
      <c r="M2253" s="23"/>
    </row>
    <row r="2254">
      <c r="A2254" s="11"/>
      <c r="B2254" s="12"/>
      <c r="C2254" s="13"/>
      <c r="E2254" s="6"/>
      <c r="F2254" s="7"/>
      <c r="H2254" s="11"/>
      <c r="J2254" s="18"/>
      <c r="L2254" s="18"/>
      <c r="M2254" s="23"/>
    </row>
    <row r="2255">
      <c r="A2255" s="11"/>
      <c r="B2255" s="12"/>
      <c r="C2255" s="13"/>
      <c r="E2255" s="6"/>
      <c r="F2255" s="7"/>
      <c r="H2255" s="11"/>
      <c r="J2255" s="18"/>
      <c r="L2255" s="18"/>
      <c r="M2255" s="23"/>
    </row>
    <row r="2256">
      <c r="A2256" s="11"/>
      <c r="B2256" s="12"/>
      <c r="C2256" s="13"/>
      <c r="E2256" s="6"/>
      <c r="F2256" s="7"/>
      <c r="H2256" s="11"/>
      <c r="J2256" s="18"/>
      <c r="L2256" s="18"/>
      <c r="M2256" s="23"/>
    </row>
    <row r="2257">
      <c r="A2257" s="11"/>
      <c r="B2257" s="12"/>
      <c r="C2257" s="13"/>
      <c r="E2257" s="6"/>
      <c r="F2257" s="7"/>
      <c r="H2257" s="11"/>
      <c r="J2257" s="18"/>
      <c r="L2257" s="18"/>
      <c r="M2257" s="23"/>
    </row>
    <row r="2258">
      <c r="A2258" s="11"/>
      <c r="B2258" s="12"/>
      <c r="C2258" s="13"/>
      <c r="E2258" s="6"/>
      <c r="F2258" s="7"/>
      <c r="H2258" s="11"/>
      <c r="J2258" s="18"/>
      <c r="L2258" s="18"/>
      <c r="M2258" s="23"/>
    </row>
    <row r="2259">
      <c r="A2259" s="11"/>
      <c r="B2259" s="12"/>
      <c r="C2259" s="13"/>
      <c r="E2259" s="6"/>
      <c r="F2259" s="7"/>
      <c r="H2259" s="11"/>
      <c r="J2259" s="18"/>
      <c r="L2259" s="18"/>
      <c r="M2259" s="23"/>
    </row>
    <row r="2260">
      <c r="A2260" s="11"/>
      <c r="B2260" s="12"/>
      <c r="C2260" s="13"/>
      <c r="E2260" s="6"/>
      <c r="F2260" s="7"/>
      <c r="H2260" s="11"/>
      <c r="J2260" s="18"/>
      <c r="L2260" s="18"/>
      <c r="M2260" s="23"/>
    </row>
    <row r="2261">
      <c r="A2261" s="11"/>
      <c r="B2261" s="12"/>
      <c r="C2261" s="13"/>
      <c r="E2261" s="6"/>
      <c r="F2261" s="7"/>
      <c r="H2261" s="11"/>
      <c r="J2261" s="18"/>
      <c r="L2261" s="18"/>
      <c r="M2261" s="23"/>
    </row>
    <row r="2262">
      <c r="A2262" s="11"/>
      <c r="B2262" s="12"/>
      <c r="C2262" s="13"/>
      <c r="E2262" s="6"/>
      <c r="F2262" s="7"/>
      <c r="H2262" s="11"/>
      <c r="J2262" s="18"/>
      <c r="L2262" s="18"/>
      <c r="M2262" s="23"/>
    </row>
    <row r="2263">
      <c r="A2263" s="11"/>
      <c r="B2263" s="12"/>
      <c r="C2263" s="13"/>
      <c r="E2263" s="6"/>
      <c r="F2263" s="7"/>
      <c r="H2263" s="11"/>
      <c r="J2263" s="18"/>
      <c r="L2263" s="18"/>
      <c r="M2263" s="23"/>
    </row>
    <row r="2264">
      <c r="A2264" s="11"/>
      <c r="B2264" s="12"/>
      <c r="C2264" s="13"/>
      <c r="E2264" s="6"/>
      <c r="F2264" s="7"/>
      <c r="H2264" s="11"/>
      <c r="J2264" s="18"/>
      <c r="L2264" s="18"/>
      <c r="M2264" s="23"/>
    </row>
    <row r="2265">
      <c r="A2265" s="11"/>
      <c r="B2265" s="12"/>
      <c r="C2265" s="13"/>
      <c r="E2265" s="6"/>
      <c r="F2265" s="7"/>
      <c r="H2265" s="11"/>
      <c r="J2265" s="18"/>
      <c r="L2265" s="18"/>
      <c r="M2265" s="23"/>
    </row>
    <row r="2266">
      <c r="A2266" s="11"/>
      <c r="B2266" s="12"/>
      <c r="C2266" s="13"/>
      <c r="E2266" s="6"/>
      <c r="F2266" s="7"/>
      <c r="H2266" s="11"/>
      <c r="J2266" s="18"/>
      <c r="L2266" s="18"/>
      <c r="M2266" s="23"/>
    </row>
    <row r="2267">
      <c r="A2267" s="11"/>
      <c r="B2267" s="12"/>
      <c r="C2267" s="13"/>
      <c r="E2267" s="6"/>
      <c r="F2267" s="7"/>
      <c r="H2267" s="11"/>
      <c r="J2267" s="18"/>
      <c r="L2267" s="18"/>
      <c r="M2267" s="23"/>
    </row>
    <row r="2268">
      <c r="A2268" s="11"/>
      <c r="B2268" s="12"/>
      <c r="C2268" s="13"/>
      <c r="E2268" s="6"/>
      <c r="F2268" s="7"/>
      <c r="H2268" s="11"/>
      <c r="J2268" s="18"/>
      <c r="L2268" s="18"/>
      <c r="M2268" s="23"/>
    </row>
    <row r="2269">
      <c r="A2269" s="11"/>
      <c r="B2269" s="12"/>
      <c r="C2269" s="13"/>
      <c r="E2269" s="6"/>
      <c r="F2269" s="7"/>
      <c r="H2269" s="11"/>
      <c r="J2269" s="18"/>
      <c r="L2269" s="18"/>
      <c r="M2269" s="23"/>
    </row>
    <row r="2270">
      <c r="A2270" s="11"/>
      <c r="B2270" s="12"/>
      <c r="C2270" s="13"/>
      <c r="E2270" s="6"/>
      <c r="F2270" s="7"/>
      <c r="H2270" s="11"/>
      <c r="J2270" s="18"/>
      <c r="L2270" s="18"/>
      <c r="M2270" s="23"/>
    </row>
    <row r="2271">
      <c r="A2271" s="11"/>
      <c r="B2271" s="12"/>
      <c r="C2271" s="13"/>
      <c r="E2271" s="6"/>
      <c r="F2271" s="7"/>
      <c r="H2271" s="11"/>
      <c r="J2271" s="18"/>
      <c r="L2271" s="18"/>
      <c r="M2271" s="23"/>
    </row>
    <row r="2272">
      <c r="A2272" s="11"/>
      <c r="B2272" s="12"/>
      <c r="C2272" s="13"/>
      <c r="E2272" s="6"/>
      <c r="F2272" s="7"/>
      <c r="H2272" s="11"/>
      <c r="J2272" s="18"/>
      <c r="L2272" s="18"/>
      <c r="M2272" s="23"/>
    </row>
    <row r="2273">
      <c r="A2273" s="11"/>
      <c r="B2273" s="12"/>
      <c r="C2273" s="13"/>
      <c r="E2273" s="6"/>
      <c r="F2273" s="7"/>
      <c r="H2273" s="11"/>
      <c r="J2273" s="18"/>
      <c r="L2273" s="18"/>
      <c r="M2273" s="23"/>
    </row>
    <row r="2274">
      <c r="A2274" s="11"/>
      <c r="B2274" s="12"/>
      <c r="C2274" s="13"/>
      <c r="E2274" s="6"/>
      <c r="F2274" s="7"/>
      <c r="H2274" s="11"/>
      <c r="J2274" s="18"/>
      <c r="L2274" s="18"/>
      <c r="M2274" s="23"/>
    </row>
    <row r="2275">
      <c r="A2275" s="11"/>
      <c r="B2275" s="12"/>
      <c r="C2275" s="13"/>
      <c r="E2275" s="6"/>
      <c r="F2275" s="7"/>
      <c r="H2275" s="11"/>
      <c r="J2275" s="18"/>
      <c r="L2275" s="18"/>
      <c r="M2275" s="23"/>
    </row>
    <row r="2276">
      <c r="A2276" s="11"/>
      <c r="B2276" s="12"/>
      <c r="C2276" s="13"/>
      <c r="E2276" s="6"/>
      <c r="F2276" s="7"/>
      <c r="H2276" s="11"/>
      <c r="J2276" s="18"/>
      <c r="L2276" s="18"/>
      <c r="M2276" s="23"/>
    </row>
    <row r="2277">
      <c r="A2277" s="11"/>
      <c r="B2277" s="12"/>
      <c r="C2277" s="13"/>
      <c r="E2277" s="6"/>
      <c r="F2277" s="7"/>
      <c r="H2277" s="11"/>
      <c r="J2277" s="18"/>
      <c r="L2277" s="18"/>
      <c r="M2277" s="23"/>
    </row>
    <row r="2278">
      <c r="A2278" s="11"/>
      <c r="B2278" s="12"/>
      <c r="C2278" s="13"/>
      <c r="E2278" s="6"/>
      <c r="F2278" s="7"/>
      <c r="H2278" s="11"/>
      <c r="J2278" s="18"/>
      <c r="L2278" s="18"/>
      <c r="M2278" s="23"/>
    </row>
    <row r="2279">
      <c r="A2279" s="11"/>
      <c r="B2279" s="12"/>
      <c r="C2279" s="13"/>
      <c r="E2279" s="6"/>
      <c r="F2279" s="7"/>
      <c r="H2279" s="11"/>
      <c r="J2279" s="18"/>
      <c r="L2279" s="18"/>
      <c r="M2279" s="23"/>
    </row>
    <row r="2280">
      <c r="A2280" s="11"/>
      <c r="B2280" s="12"/>
      <c r="C2280" s="13"/>
      <c r="E2280" s="6"/>
      <c r="F2280" s="7"/>
      <c r="H2280" s="11"/>
      <c r="J2280" s="18"/>
      <c r="L2280" s="18"/>
      <c r="M2280" s="23"/>
    </row>
    <row r="2281">
      <c r="A2281" s="11"/>
      <c r="B2281" s="12"/>
      <c r="C2281" s="13"/>
      <c r="E2281" s="6"/>
      <c r="F2281" s="7"/>
      <c r="H2281" s="11"/>
      <c r="J2281" s="18"/>
      <c r="L2281" s="18"/>
      <c r="M2281" s="23"/>
    </row>
    <row r="2282">
      <c r="A2282" s="11"/>
      <c r="B2282" s="12"/>
      <c r="C2282" s="13"/>
      <c r="E2282" s="6"/>
      <c r="F2282" s="7"/>
      <c r="H2282" s="11"/>
      <c r="J2282" s="18"/>
      <c r="L2282" s="18"/>
      <c r="M2282" s="23"/>
    </row>
    <row r="2283">
      <c r="A2283" s="11"/>
      <c r="B2283" s="12"/>
      <c r="C2283" s="13"/>
      <c r="E2283" s="6"/>
      <c r="F2283" s="7"/>
      <c r="H2283" s="11"/>
      <c r="J2283" s="18"/>
      <c r="L2283" s="18"/>
      <c r="M2283" s="23"/>
    </row>
    <row r="2284">
      <c r="A2284" s="11"/>
      <c r="B2284" s="12"/>
      <c r="C2284" s="13"/>
      <c r="E2284" s="6"/>
      <c r="F2284" s="7"/>
      <c r="H2284" s="11"/>
      <c r="J2284" s="18"/>
      <c r="L2284" s="18"/>
      <c r="M2284" s="23"/>
    </row>
    <row r="2285">
      <c r="A2285" s="11"/>
      <c r="B2285" s="12"/>
      <c r="C2285" s="13"/>
      <c r="E2285" s="6"/>
      <c r="F2285" s="7"/>
      <c r="H2285" s="11"/>
      <c r="J2285" s="18"/>
      <c r="L2285" s="18"/>
      <c r="M2285" s="23"/>
    </row>
    <row r="2286">
      <c r="A2286" s="11"/>
      <c r="B2286" s="12"/>
      <c r="C2286" s="13"/>
      <c r="E2286" s="6"/>
      <c r="F2286" s="7"/>
      <c r="H2286" s="11"/>
      <c r="J2286" s="18"/>
      <c r="L2286" s="18"/>
      <c r="M2286" s="23"/>
    </row>
    <row r="2287">
      <c r="A2287" s="11"/>
      <c r="B2287" s="12"/>
      <c r="C2287" s="13"/>
      <c r="E2287" s="6"/>
      <c r="F2287" s="7"/>
      <c r="H2287" s="11"/>
      <c r="J2287" s="18"/>
      <c r="L2287" s="18"/>
      <c r="M2287" s="23"/>
    </row>
    <row r="2288">
      <c r="A2288" s="11"/>
      <c r="B2288" s="12"/>
      <c r="C2288" s="13"/>
      <c r="E2288" s="6"/>
      <c r="F2288" s="7"/>
      <c r="H2288" s="11"/>
      <c r="J2288" s="18"/>
      <c r="L2288" s="18"/>
      <c r="M2288" s="23"/>
    </row>
    <row r="2289">
      <c r="A2289" s="11"/>
      <c r="B2289" s="12"/>
      <c r="C2289" s="13"/>
      <c r="E2289" s="6"/>
      <c r="F2289" s="7"/>
      <c r="H2289" s="11"/>
      <c r="J2289" s="18"/>
      <c r="L2289" s="18"/>
      <c r="M2289" s="23"/>
    </row>
    <row r="2290">
      <c r="A2290" s="11"/>
      <c r="B2290" s="12"/>
      <c r="C2290" s="13"/>
      <c r="E2290" s="6"/>
      <c r="F2290" s="7"/>
      <c r="H2290" s="11"/>
      <c r="J2290" s="18"/>
      <c r="L2290" s="18"/>
      <c r="M2290" s="23"/>
    </row>
    <row r="2291">
      <c r="A2291" s="11"/>
      <c r="B2291" s="12"/>
      <c r="C2291" s="13"/>
      <c r="E2291" s="6"/>
      <c r="F2291" s="7"/>
      <c r="H2291" s="11"/>
      <c r="J2291" s="18"/>
      <c r="L2291" s="18"/>
      <c r="M2291" s="23"/>
    </row>
    <row r="2292">
      <c r="A2292" s="11"/>
      <c r="B2292" s="12"/>
      <c r="C2292" s="13"/>
      <c r="E2292" s="6"/>
      <c r="F2292" s="7"/>
      <c r="H2292" s="11"/>
      <c r="J2292" s="18"/>
      <c r="L2292" s="18"/>
      <c r="M2292" s="23"/>
    </row>
    <row r="2293">
      <c r="A2293" s="11"/>
      <c r="B2293" s="12"/>
      <c r="C2293" s="13"/>
      <c r="E2293" s="6"/>
      <c r="F2293" s="7"/>
      <c r="H2293" s="11"/>
      <c r="J2293" s="18"/>
      <c r="L2293" s="18"/>
      <c r="M2293" s="23"/>
    </row>
    <row r="2294">
      <c r="A2294" s="11"/>
      <c r="B2294" s="12"/>
      <c r="C2294" s="13"/>
      <c r="E2294" s="6"/>
      <c r="F2294" s="7"/>
      <c r="H2294" s="11"/>
      <c r="J2294" s="18"/>
      <c r="L2294" s="18"/>
      <c r="M2294" s="23"/>
    </row>
    <row r="2295">
      <c r="A2295" s="11"/>
      <c r="B2295" s="12"/>
      <c r="C2295" s="13"/>
      <c r="E2295" s="6"/>
      <c r="F2295" s="7"/>
      <c r="H2295" s="11"/>
      <c r="J2295" s="18"/>
      <c r="L2295" s="18"/>
      <c r="M2295" s="23"/>
    </row>
    <row r="2296">
      <c r="A2296" s="11"/>
      <c r="B2296" s="12"/>
      <c r="C2296" s="13"/>
      <c r="E2296" s="6"/>
      <c r="F2296" s="7"/>
      <c r="H2296" s="11"/>
      <c r="J2296" s="18"/>
      <c r="L2296" s="18"/>
      <c r="M2296" s="23"/>
    </row>
    <row r="2297">
      <c r="A2297" s="11"/>
      <c r="B2297" s="12"/>
      <c r="C2297" s="13"/>
      <c r="E2297" s="6"/>
      <c r="F2297" s="7"/>
      <c r="H2297" s="11"/>
      <c r="J2297" s="18"/>
      <c r="L2297" s="18"/>
      <c r="M2297" s="23"/>
    </row>
    <row r="2298">
      <c r="A2298" s="11"/>
      <c r="B2298" s="12"/>
      <c r="C2298" s="13"/>
      <c r="E2298" s="6"/>
      <c r="F2298" s="7"/>
      <c r="H2298" s="11"/>
      <c r="J2298" s="18"/>
      <c r="L2298" s="18"/>
      <c r="M2298" s="23"/>
    </row>
    <row r="2299">
      <c r="A2299" s="11"/>
      <c r="B2299" s="12"/>
      <c r="C2299" s="13"/>
      <c r="E2299" s="6"/>
      <c r="F2299" s="7"/>
      <c r="H2299" s="11"/>
      <c r="J2299" s="18"/>
      <c r="L2299" s="18"/>
      <c r="M2299" s="23"/>
    </row>
    <row r="2300">
      <c r="A2300" s="11"/>
      <c r="B2300" s="12"/>
      <c r="C2300" s="13"/>
      <c r="E2300" s="6"/>
      <c r="F2300" s="7"/>
      <c r="H2300" s="11"/>
      <c r="J2300" s="18"/>
      <c r="L2300" s="18"/>
      <c r="M2300" s="23"/>
    </row>
    <row r="2301">
      <c r="A2301" s="11"/>
      <c r="B2301" s="12"/>
      <c r="C2301" s="13"/>
      <c r="E2301" s="6"/>
      <c r="F2301" s="7"/>
      <c r="H2301" s="11"/>
      <c r="J2301" s="18"/>
      <c r="L2301" s="18"/>
      <c r="M2301" s="23"/>
    </row>
    <row r="2302">
      <c r="A2302" s="11"/>
      <c r="B2302" s="12"/>
      <c r="C2302" s="13"/>
      <c r="E2302" s="6"/>
      <c r="F2302" s="7"/>
      <c r="H2302" s="11"/>
      <c r="J2302" s="18"/>
      <c r="L2302" s="18"/>
      <c r="M2302" s="23"/>
    </row>
    <row r="2303">
      <c r="A2303" s="11"/>
      <c r="B2303" s="12"/>
      <c r="C2303" s="13"/>
      <c r="E2303" s="6"/>
      <c r="F2303" s="7"/>
      <c r="H2303" s="11"/>
      <c r="J2303" s="18"/>
      <c r="L2303" s="18"/>
      <c r="M2303" s="23"/>
    </row>
    <row r="2304">
      <c r="A2304" s="11"/>
      <c r="B2304" s="12"/>
      <c r="C2304" s="13"/>
      <c r="E2304" s="6"/>
      <c r="F2304" s="7"/>
      <c r="H2304" s="11"/>
      <c r="J2304" s="18"/>
      <c r="L2304" s="18"/>
      <c r="M2304" s="23"/>
    </row>
    <row r="2305">
      <c r="A2305" s="11"/>
      <c r="B2305" s="12"/>
      <c r="C2305" s="13"/>
      <c r="E2305" s="6"/>
      <c r="F2305" s="7"/>
      <c r="H2305" s="11"/>
      <c r="J2305" s="18"/>
      <c r="L2305" s="18"/>
      <c r="M2305" s="23"/>
    </row>
    <row r="2306">
      <c r="A2306" s="11"/>
      <c r="B2306" s="12"/>
      <c r="C2306" s="13"/>
      <c r="E2306" s="6"/>
      <c r="F2306" s="7"/>
      <c r="H2306" s="11"/>
      <c r="J2306" s="18"/>
      <c r="L2306" s="18"/>
      <c r="M2306" s="23"/>
    </row>
    <row r="2307">
      <c r="A2307" s="11"/>
      <c r="B2307" s="12"/>
      <c r="C2307" s="13"/>
      <c r="E2307" s="6"/>
      <c r="F2307" s="7"/>
      <c r="H2307" s="11"/>
      <c r="J2307" s="18"/>
      <c r="L2307" s="18"/>
      <c r="M2307" s="23"/>
    </row>
    <row r="2308">
      <c r="A2308" s="11"/>
      <c r="B2308" s="12"/>
      <c r="C2308" s="13"/>
      <c r="E2308" s="6"/>
      <c r="F2308" s="7"/>
      <c r="H2308" s="11"/>
      <c r="J2308" s="18"/>
      <c r="L2308" s="18"/>
      <c r="M2308" s="23"/>
    </row>
    <row r="2309">
      <c r="A2309" s="11"/>
      <c r="B2309" s="12"/>
      <c r="C2309" s="13"/>
      <c r="E2309" s="6"/>
      <c r="F2309" s="7"/>
      <c r="H2309" s="11"/>
      <c r="J2309" s="18"/>
      <c r="L2309" s="18"/>
      <c r="M2309" s="23"/>
    </row>
    <row r="2310">
      <c r="A2310" s="11"/>
      <c r="B2310" s="12"/>
      <c r="C2310" s="13"/>
      <c r="E2310" s="6"/>
      <c r="F2310" s="7"/>
      <c r="H2310" s="11"/>
      <c r="J2310" s="18"/>
      <c r="L2310" s="18"/>
      <c r="M2310" s="23"/>
    </row>
    <row r="2311">
      <c r="A2311" s="11"/>
      <c r="B2311" s="12"/>
      <c r="C2311" s="13"/>
      <c r="E2311" s="6"/>
      <c r="F2311" s="7"/>
      <c r="H2311" s="11"/>
      <c r="J2311" s="18"/>
      <c r="L2311" s="18"/>
      <c r="M2311" s="23"/>
    </row>
    <row r="2312">
      <c r="A2312" s="11"/>
      <c r="B2312" s="12"/>
      <c r="C2312" s="13"/>
      <c r="E2312" s="6"/>
      <c r="F2312" s="7"/>
      <c r="H2312" s="11"/>
      <c r="J2312" s="18"/>
      <c r="L2312" s="18"/>
      <c r="M2312" s="23"/>
    </row>
    <row r="2313">
      <c r="A2313" s="11"/>
      <c r="B2313" s="12"/>
      <c r="C2313" s="13"/>
      <c r="E2313" s="6"/>
      <c r="F2313" s="7"/>
      <c r="H2313" s="11"/>
      <c r="J2313" s="18"/>
      <c r="L2313" s="18"/>
      <c r="M2313" s="23"/>
    </row>
    <row r="2314">
      <c r="A2314" s="11"/>
      <c r="B2314" s="12"/>
      <c r="C2314" s="13"/>
      <c r="E2314" s="6"/>
      <c r="F2314" s="7"/>
      <c r="H2314" s="11"/>
      <c r="J2314" s="18"/>
      <c r="L2314" s="18"/>
      <c r="M2314" s="23"/>
    </row>
    <row r="2315">
      <c r="A2315" s="11"/>
      <c r="B2315" s="12"/>
      <c r="C2315" s="13"/>
      <c r="E2315" s="6"/>
      <c r="F2315" s="7"/>
      <c r="H2315" s="11"/>
      <c r="J2315" s="18"/>
      <c r="L2315" s="18"/>
      <c r="M2315" s="23"/>
    </row>
    <row r="2316">
      <c r="A2316" s="11"/>
      <c r="B2316" s="12"/>
      <c r="C2316" s="13"/>
      <c r="E2316" s="6"/>
      <c r="F2316" s="7"/>
      <c r="H2316" s="11"/>
      <c r="J2316" s="18"/>
      <c r="L2316" s="18"/>
      <c r="M2316" s="23"/>
    </row>
    <row r="2317">
      <c r="A2317" s="11"/>
      <c r="B2317" s="12"/>
      <c r="C2317" s="13"/>
      <c r="E2317" s="6"/>
      <c r="F2317" s="7"/>
      <c r="H2317" s="11"/>
      <c r="J2317" s="18"/>
      <c r="L2317" s="18"/>
      <c r="M2317" s="23"/>
    </row>
    <row r="2318">
      <c r="A2318" s="11"/>
      <c r="B2318" s="12"/>
      <c r="C2318" s="13"/>
      <c r="E2318" s="6"/>
      <c r="F2318" s="7"/>
      <c r="H2318" s="11"/>
      <c r="J2318" s="18"/>
      <c r="L2318" s="18"/>
      <c r="M2318" s="23"/>
    </row>
    <row r="2319">
      <c r="A2319" s="11"/>
      <c r="B2319" s="12"/>
      <c r="C2319" s="13"/>
      <c r="E2319" s="6"/>
      <c r="F2319" s="7"/>
      <c r="H2319" s="11"/>
      <c r="J2319" s="18"/>
      <c r="L2319" s="18"/>
      <c r="M2319" s="23"/>
    </row>
    <row r="2320">
      <c r="A2320" s="11"/>
      <c r="B2320" s="12"/>
      <c r="C2320" s="13"/>
      <c r="E2320" s="6"/>
      <c r="F2320" s="7"/>
      <c r="H2320" s="11"/>
      <c r="J2320" s="18"/>
      <c r="L2320" s="18"/>
      <c r="M2320" s="23"/>
    </row>
    <row r="2321">
      <c r="A2321" s="11"/>
      <c r="B2321" s="12"/>
      <c r="C2321" s="13"/>
      <c r="E2321" s="6"/>
      <c r="F2321" s="7"/>
      <c r="H2321" s="11"/>
      <c r="J2321" s="18"/>
      <c r="L2321" s="18"/>
      <c r="M2321" s="23"/>
    </row>
    <row r="2322">
      <c r="A2322" s="11"/>
      <c r="B2322" s="12"/>
      <c r="C2322" s="13"/>
      <c r="E2322" s="6"/>
      <c r="F2322" s="7"/>
      <c r="H2322" s="11"/>
      <c r="J2322" s="18"/>
      <c r="L2322" s="18"/>
      <c r="M2322" s="23"/>
    </row>
    <row r="2323">
      <c r="A2323" s="11"/>
      <c r="B2323" s="12"/>
      <c r="C2323" s="13"/>
      <c r="E2323" s="6"/>
      <c r="F2323" s="7"/>
      <c r="H2323" s="11"/>
      <c r="J2323" s="18"/>
      <c r="L2323" s="18"/>
      <c r="M2323" s="23"/>
    </row>
    <row r="2324">
      <c r="A2324" s="11"/>
      <c r="B2324" s="12"/>
      <c r="C2324" s="13"/>
      <c r="E2324" s="6"/>
      <c r="F2324" s="7"/>
      <c r="H2324" s="11"/>
      <c r="J2324" s="18"/>
      <c r="L2324" s="18"/>
      <c r="M2324" s="23"/>
    </row>
    <row r="2325">
      <c r="A2325" s="11"/>
      <c r="B2325" s="12"/>
      <c r="C2325" s="13"/>
      <c r="E2325" s="6"/>
      <c r="F2325" s="7"/>
      <c r="H2325" s="11"/>
      <c r="J2325" s="18"/>
      <c r="L2325" s="18"/>
      <c r="M2325" s="23"/>
    </row>
    <row r="2326">
      <c r="A2326" s="11"/>
      <c r="B2326" s="12"/>
      <c r="C2326" s="13"/>
      <c r="E2326" s="6"/>
      <c r="F2326" s="7"/>
      <c r="H2326" s="11"/>
      <c r="J2326" s="18"/>
      <c r="L2326" s="18"/>
      <c r="M2326" s="23"/>
    </row>
    <row r="2327">
      <c r="A2327" s="11"/>
      <c r="B2327" s="12"/>
      <c r="C2327" s="13"/>
      <c r="E2327" s="6"/>
      <c r="F2327" s="7"/>
      <c r="H2327" s="11"/>
      <c r="J2327" s="18"/>
      <c r="L2327" s="18"/>
      <c r="M2327" s="23"/>
    </row>
    <row r="2328">
      <c r="A2328" s="11"/>
      <c r="B2328" s="12"/>
      <c r="C2328" s="13"/>
      <c r="E2328" s="6"/>
      <c r="F2328" s="7"/>
      <c r="H2328" s="11"/>
      <c r="J2328" s="18"/>
      <c r="L2328" s="18"/>
      <c r="M2328" s="23"/>
    </row>
    <row r="2329">
      <c r="A2329" s="11"/>
      <c r="B2329" s="12"/>
      <c r="C2329" s="13"/>
      <c r="E2329" s="6"/>
      <c r="F2329" s="7"/>
      <c r="H2329" s="11"/>
      <c r="J2329" s="18"/>
      <c r="L2329" s="18"/>
      <c r="M2329" s="23"/>
    </row>
    <row r="2330">
      <c r="A2330" s="11"/>
      <c r="B2330" s="12"/>
      <c r="C2330" s="13"/>
      <c r="E2330" s="6"/>
      <c r="F2330" s="7"/>
      <c r="H2330" s="11"/>
      <c r="J2330" s="18"/>
      <c r="L2330" s="18"/>
      <c r="M2330" s="23"/>
    </row>
    <row r="2331">
      <c r="A2331" s="11"/>
      <c r="B2331" s="12"/>
      <c r="C2331" s="13"/>
      <c r="E2331" s="6"/>
      <c r="F2331" s="7"/>
      <c r="H2331" s="11"/>
      <c r="J2331" s="18"/>
      <c r="L2331" s="18"/>
      <c r="M2331" s="23"/>
    </row>
    <row r="2332">
      <c r="A2332" s="11"/>
      <c r="B2332" s="12"/>
      <c r="C2332" s="13"/>
      <c r="E2332" s="6"/>
      <c r="F2332" s="7"/>
      <c r="H2332" s="11"/>
      <c r="J2332" s="18"/>
      <c r="L2332" s="18"/>
      <c r="M2332" s="23"/>
    </row>
    <row r="2333">
      <c r="A2333" s="11"/>
      <c r="B2333" s="12"/>
      <c r="C2333" s="13"/>
      <c r="E2333" s="6"/>
      <c r="F2333" s="7"/>
      <c r="H2333" s="11"/>
      <c r="J2333" s="18"/>
      <c r="L2333" s="18"/>
      <c r="M2333" s="23"/>
    </row>
    <row r="2334">
      <c r="A2334" s="11"/>
      <c r="B2334" s="12"/>
      <c r="C2334" s="13"/>
      <c r="E2334" s="6"/>
      <c r="F2334" s="7"/>
      <c r="H2334" s="11"/>
      <c r="J2334" s="18"/>
      <c r="L2334" s="18"/>
      <c r="M2334" s="23"/>
    </row>
    <row r="2335">
      <c r="A2335" s="11"/>
      <c r="B2335" s="12"/>
      <c r="C2335" s="13"/>
      <c r="E2335" s="6"/>
      <c r="F2335" s="7"/>
      <c r="H2335" s="11"/>
      <c r="J2335" s="18"/>
      <c r="L2335" s="18"/>
      <c r="M2335" s="23"/>
    </row>
    <row r="2336">
      <c r="A2336" s="11"/>
      <c r="B2336" s="12"/>
      <c r="C2336" s="13"/>
      <c r="E2336" s="6"/>
      <c r="F2336" s="7"/>
      <c r="H2336" s="11"/>
      <c r="J2336" s="18"/>
      <c r="L2336" s="18"/>
      <c r="M2336" s="23"/>
    </row>
    <row r="2337">
      <c r="A2337" s="11"/>
      <c r="B2337" s="12"/>
      <c r="C2337" s="13"/>
      <c r="E2337" s="6"/>
      <c r="F2337" s="7"/>
      <c r="H2337" s="11"/>
      <c r="J2337" s="18"/>
      <c r="L2337" s="18"/>
      <c r="M2337" s="23"/>
    </row>
    <row r="2338">
      <c r="A2338" s="11"/>
      <c r="B2338" s="12"/>
      <c r="C2338" s="13"/>
      <c r="E2338" s="6"/>
      <c r="F2338" s="7"/>
      <c r="H2338" s="11"/>
      <c r="J2338" s="18"/>
      <c r="L2338" s="18"/>
      <c r="M2338" s="23"/>
    </row>
    <row r="2339">
      <c r="A2339" s="11"/>
      <c r="B2339" s="12"/>
      <c r="C2339" s="13"/>
      <c r="E2339" s="6"/>
      <c r="F2339" s="7"/>
      <c r="H2339" s="11"/>
      <c r="J2339" s="18"/>
      <c r="L2339" s="18"/>
      <c r="M2339" s="23"/>
    </row>
    <row r="2340">
      <c r="A2340" s="11"/>
      <c r="B2340" s="12"/>
      <c r="C2340" s="13"/>
      <c r="E2340" s="6"/>
      <c r="F2340" s="7"/>
      <c r="H2340" s="11"/>
      <c r="J2340" s="18"/>
      <c r="L2340" s="18"/>
      <c r="M2340" s="23"/>
    </row>
    <row r="2341">
      <c r="A2341" s="11"/>
      <c r="B2341" s="12"/>
      <c r="C2341" s="13"/>
      <c r="E2341" s="6"/>
      <c r="F2341" s="7"/>
      <c r="H2341" s="11"/>
      <c r="J2341" s="18"/>
      <c r="L2341" s="18"/>
      <c r="M2341" s="23"/>
    </row>
    <row r="2342">
      <c r="A2342" s="11"/>
      <c r="B2342" s="12"/>
      <c r="C2342" s="13"/>
      <c r="E2342" s="6"/>
      <c r="F2342" s="7"/>
      <c r="H2342" s="11"/>
      <c r="J2342" s="18"/>
      <c r="L2342" s="18"/>
      <c r="M2342" s="23"/>
    </row>
    <row r="2343">
      <c r="A2343" s="11"/>
      <c r="B2343" s="12"/>
      <c r="C2343" s="13"/>
      <c r="E2343" s="6"/>
      <c r="F2343" s="7"/>
      <c r="H2343" s="11"/>
      <c r="J2343" s="18"/>
      <c r="L2343" s="18"/>
      <c r="M2343" s="23"/>
    </row>
    <row r="2344">
      <c r="A2344" s="11"/>
      <c r="B2344" s="12"/>
      <c r="C2344" s="13"/>
      <c r="E2344" s="6"/>
      <c r="F2344" s="7"/>
      <c r="H2344" s="11"/>
      <c r="J2344" s="18"/>
      <c r="L2344" s="18"/>
      <c r="M2344" s="23"/>
    </row>
    <row r="2345">
      <c r="A2345" s="11"/>
      <c r="B2345" s="12"/>
      <c r="C2345" s="13"/>
      <c r="E2345" s="6"/>
      <c r="F2345" s="7"/>
      <c r="H2345" s="11"/>
      <c r="J2345" s="18"/>
      <c r="L2345" s="18"/>
      <c r="M2345" s="23"/>
    </row>
    <row r="2346">
      <c r="A2346" s="11"/>
      <c r="B2346" s="12"/>
      <c r="C2346" s="13"/>
      <c r="E2346" s="6"/>
      <c r="F2346" s="7"/>
      <c r="H2346" s="11"/>
      <c r="J2346" s="18"/>
      <c r="L2346" s="18"/>
      <c r="M2346" s="23"/>
    </row>
    <row r="2347">
      <c r="A2347" s="11"/>
      <c r="B2347" s="12"/>
      <c r="C2347" s="13"/>
      <c r="E2347" s="6"/>
      <c r="F2347" s="7"/>
      <c r="H2347" s="11"/>
      <c r="J2347" s="18"/>
      <c r="L2347" s="18"/>
      <c r="M2347" s="23"/>
    </row>
    <row r="2348">
      <c r="A2348" s="11"/>
      <c r="B2348" s="12"/>
      <c r="C2348" s="13"/>
      <c r="E2348" s="6"/>
      <c r="F2348" s="7"/>
      <c r="H2348" s="11"/>
      <c r="J2348" s="18"/>
      <c r="L2348" s="18"/>
      <c r="M2348" s="23"/>
    </row>
    <row r="2349">
      <c r="A2349" s="11"/>
      <c r="B2349" s="12"/>
      <c r="C2349" s="13"/>
      <c r="E2349" s="6"/>
      <c r="F2349" s="7"/>
      <c r="H2349" s="11"/>
      <c r="J2349" s="18"/>
      <c r="L2349" s="18"/>
      <c r="M2349" s="23"/>
    </row>
    <row r="2350">
      <c r="A2350" s="11"/>
      <c r="B2350" s="12"/>
      <c r="C2350" s="13"/>
      <c r="E2350" s="6"/>
      <c r="F2350" s="7"/>
      <c r="H2350" s="11"/>
      <c r="J2350" s="18"/>
      <c r="L2350" s="18"/>
      <c r="M2350" s="23"/>
    </row>
    <row r="2351">
      <c r="A2351" s="11"/>
      <c r="B2351" s="12"/>
      <c r="C2351" s="13"/>
      <c r="E2351" s="6"/>
      <c r="F2351" s="7"/>
      <c r="H2351" s="11"/>
      <c r="J2351" s="18"/>
      <c r="L2351" s="18"/>
      <c r="M2351" s="23"/>
    </row>
    <row r="2352">
      <c r="A2352" s="11"/>
      <c r="B2352" s="12"/>
      <c r="C2352" s="13"/>
      <c r="E2352" s="6"/>
      <c r="F2352" s="7"/>
      <c r="H2352" s="11"/>
      <c r="J2352" s="18"/>
      <c r="L2352" s="18"/>
      <c r="M2352" s="23"/>
    </row>
    <row r="2353">
      <c r="A2353" s="11"/>
      <c r="B2353" s="12"/>
      <c r="C2353" s="13"/>
      <c r="E2353" s="6"/>
      <c r="F2353" s="7"/>
      <c r="H2353" s="11"/>
      <c r="J2353" s="18"/>
      <c r="L2353" s="18"/>
      <c r="M2353" s="23"/>
    </row>
    <row r="2354">
      <c r="A2354" s="11"/>
      <c r="B2354" s="12"/>
      <c r="C2354" s="13"/>
      <c r="E2354" s="6"/>
      <c r="F2354" s="7"/>
      <c r="H2354" s="11"/>
      <c r="J2354" s="18"/>
      <c r="L2354" s="18"/>
      <c r="M2354" s="23"/>
    </row>
    <row r="2355">
      <c r="A2355" s="11"/>
      <c r="B2355" s="12"/>
      <c r="C2355" s="13"/>
      <c r="E2355" s="6"/>
      <c r="F2355" s="7"/>
      <c r="H2355" s="11"/>
      <c r="J2355" s="18"/>
      <c r="L2355" s="18"/>
      <c r="M2355" s="23"/>
    </row>
    <row r="2356">
      <c r="A2356" s="11"/>
      <c r="B2356" s="12"/>
      <c r="C2356" s="13"/>
      <c r="E2356" s="6"/>
      <c r="F2356" s="7"/>
      <c r="H2356" s="11"/>
      <c r="J2356" s="18"/>
      <c r="L2356" s="18"/>
      <c r="M2356" s="23"/>
    </row>
    <row r="2357">
      <c r="A2357" s="11"/>
      <c r="B2357" s="12"/>
      <c r="C2357" s="13"/>
      <c r="E2357" s="6"/>
      <c r="F2357" s="7"/>
      <c r="H2357" s="11"/>
      <c r="J2357" s="18"/>
      <c r="L2357" s="18"/>
      <c r="M2357" s="23"/>
    </row>
    <row r="2358">
      <c r="A2358" s="11"/>
      <c r="B2358" s="12"/>
      <c r="C2358" s="13"/>
      <c r="E2358" s="6"/>
      <c r="F2358" s="7"/>
      <c r="H2358" s="11"/>
      <c r="J2358" s="18"/>
      <c r="L2358" s="18"/>
      <c r="M2358" s="23"/>
    </row>
    <row r="2359">
      <c r="A2359" s="11"/>
      <c r="B2359" s="12"/>
      <c r="C2359" s="13"/>
      <c r="E2359" s="6"/>
      <c r="F2359" s="7"/>
      <c r="H2359" s="11"/>
      <c r="J2359" s="18"/>
      <c r="L2359" s="18"/>
      <c r="M2359" s="23"/>
    </row>
    <row r="2360">
      <c r="A2360" s="11"/>
      <c r="B2360" s="12"/>
      <c r="C2360" s="13"/>
      <c r="E2360" s="6"/>
      <c r="F2360" s="7"/>
      <c r="H2360" s="11"/>
      <c r="J2360" s="18"/>
      <c r="L2360" s="18"/>
      <c r="M2360" s="23"/>
    </row>
    <row r="2361">
      <c r="A2361" s="11"/>
      <c r="B2361" s="12"/>
      <c r="C2361" s="13"/>
      <c r="E2361" s="6"/>
      <c r="F2361" s="7"/>
      <c r="H2361" s="11"/>
      <c r="J2361" s="18"/>
      <c r="L2361" s="18"/>
      <c r="M2361" s="23"/>
    </row>
    <row r="2362">
      <c r="A2362" s="11"/>
      <c r="B2362" s="12"/>
      <c r="C2362" s="13"/>
      <c r="E2362" s="6"/>
      <c r="F2362" s="7"/>
      <c r="H2362" s="11"/>
      <c r="J2362" s="18"/>
      <c r="L2362" s="18"/>
      <c r="M2362" s="23"/>
    </row>
    <row r="2363">
      <c r="A2363" s="11"/>
      <c r="B2363" s="12"/>
      <c r="C2363" s="13"/>
      <c r="E2363" s="6"/>
      <c r="F2363" s="7"/>
      <c r="H2363" s="11"/>
      <c r="J2363" s="18"/>
      <c r="L2363" s="18"/>
      <c r="M2363" s="23"/>
    </row>
    <row r="2364">
      <c r="A2364" s="11"/>
      <c r="B2364" s="12"/>
      <c r="C2364" s="13"/>
      <c r="E2364" s="6"/>
      <c r="F2364" s="7"/>
      <c r="H2364" s="11"/>
      <c r="J2364" s="18"/>
      <c r="L2364" s="18"/>
      <c r="M2364" s="23"/>
    </row>
    <row r="2365">
      <c r="A2365" s="11"/>
      <c r="B2365" s="12"/>
      <c r="C2365" s="13"/>
      <c r="E2365" s="6"/>
      <c r="F2365" s="7"/>
      <c r="H2365" s="11"/>
      <c r="J2365" s="18"/>
      <c r="L2365" s="18"/>
      <c r="M2365" s="23"/>
    </row>
    <row r="2366">
      <c r="A2366" s="11"/>
      <c r="B2366" s="12"/>
      <c r="C2366" s="13"/>
      <c r="E2366" s="6"/>
      <c r="F2366" s="7"/>
      <c r="H2366" s="11"/>
      <c r="J2366" s="18"/>
      <c r="L2366" s="18"/>
      <c r="M2366" s="23"/>
    </row>
    <row r="2367">
      <c r="A2367" s="11"/>
      <c r="B2367" s="12"/>
      <c r="C2367" s="13"/>
      <c r="E2367" s="6"/>
      <c r="F2367" s="7"/>
      <c r="H2367" s="11"/>
      <c r="J2367" s="18"/>
      <c r="L2367" s="18"/>
      <c r="M2367" s="23"/>
    </row>
    <row r="2368">
      <c r="A2368" s="11"/>
      <c r="B2368" s="12"/>
      <c r="C2368" s="13"/>
      <c r="E2368" s="6"/>
      <c r="F2368" s="7"/>
      <c r="H2368" s="11"/>
      <c r="J2368" s="18"/>
      <c r="L2368" s="18"/>
      <c r="M2368" s="23"/>
    </row>
    <row r="2369">
      <c r="A2369" s="11"/>
      <c r="B2369" s="12"/>
      <c r="C2369" s="13"/>
      <c r="E2369" s="6"/>
      <c r="F2369" s="7"/>
      <c r="H2369" s="11"/>
      <c r="J2369" s="18"/>
      <c r="L2369" s="18"/>
      <c r="M2369" s="23"/>
    </row>
    <row r="2370">
      <c r="A2370" s="11"/>
      <c r="B2370" s="12"/>
      <c r="C2370" s="13"/>
      <c r="E2370" s="6"/>
      <c r="F2370" s="7"/>
      <c r="H2370" s="11"/>
      <c r="J2370" s="18"/>
      <c r="L2370" s="18"/>
      <c r="M2370" s="23"/>
    </row>
    <row r="2371">
      <c r="A2371" s="11"/>
      <c r="B2371" s="12"/>
      <c r="C2371" s="13"/>
      <c r="E2371" s="6"/>
      <c r="F2371" s="7"/>
      <c r="H2371" s="11"/>
      <c r="J2371" s="18"/>
      <c r="L2371" s="18"/>
      <c r="M2371" s="23"/>
    </row>
    <row r="2372">
      <c r="A2372" s="11"/>
      <c r="B2372" s="12"/>
      <c r="C2372" s="13"/>
      <c r="E2372" s="6"/>
      <c r="F2372" s="7"/>
      <c r="H2372" s="11"/>
      <c r="J2372" s="18"/>
      <c r="L2372" s="18"/>
      <c r="M2372" s="23"/>
    </row>
    <row r="2373">
      <c r="A2373" s="11"/>
      <c r="B2373" s="12"/>
      <c r="C2373" s="13"/>
      <c r="E2373" s="6"/>
      <c r="F2373" s="7"/>
      <c r="H2373" s="11"/>
      <c r="J2373" s="18"/>
      <c r="L2373" s="18"/>
      <c r="M2373" s="23"/>
    </row>
    <row r="2374">
      <c r="A2374" s="11"/>
      <c r="B2374" s="12"/>
      <c r="C2374" s="13"/>
      <c r="E2374" s="6"/>
      <c r="F2374" s="7"/>
      <c r="H2374" s="11"/>
      <c r="J2374" s="18"/>
      <c r="L2374" s="18"/>
      <c r="M2374" s="23"/>
    </row>
    <row r="2375">
      <c r="A2375" s="11"/>
      <c r="B2375" s="12"/>
      <c r="C2375" s="13"/>
      <c r="E2375" s="6"/>
      <c r="F2375" s="7"/>
      <c r="H2375" s="11"/>
      <c r="J2375" s="18"/>
      <c r="L2375" s="18"/>
      <c r="M2375" s="23"/>
    </row>
    <row r="2376">
      <c r="A2376" s="11"/>
      <c r="B2376" s="12"/>
      <c r="C2376" s="13"/>
      <c r="E2376" s="6"/>
      <c r="F2376" s="7"/>
      <c r="H2376" s="11"/>
      <c r="J2376" s="18"/>
      <c r="L2376" s="18"/>
      <c r="M2376" s="23"/>
    </row>
    <row r="2377">
      <c r="A2377" s="11"/>
      <c r="B2377" s="12"/>
      <c r="C2377" s="13"/>
      <c r="E2377" s="6"/>
      <c r="F2377" s="7"/>
      <c r="H2377" s="11"/>
      <c r="J2377" s="18"/>
      <c r="L2377" s="18"/>
      <c r="M2377" s="23"/>
    </row>
    <row r="2378">
      <c r="A2378" s="11"/>
      <c r="B2378" s="12"/>
      <c r="C2378" s="13"/>
      <c r="E2378" s="6"/>
      <c r="F2378" s="7"/>
      <c r="H2378" s="11"/>
      <c r="J2378" s="18"/>
      <c r="L2378" s="18"/>
      <c r="M2378" s="23"/>
    </row>
    <row r="2379">
      <c r="A2379" s="11"/>
      <c r="B2379" s="12"/>
      <c r="C2379" s="13"/>
      <c r="E2379" s="6"/>
      <c r="F2379" s="7"/>
      <c r="H2379" s="11"/>
      <c r="J2379" s="18"/>
      <c r="L2379" s="18"/>
      <c r="M2379" s="23"/>
    </row>
    <row r="2380">
      <c r="A2380" s="11"/>
      <c r="B2380" s="12"/>
      <c r="C2380" s="13"/>
      <c r="E2380" s="6"/>
      <c r="F2380" s="7"/>
      <c r="H2380" s="11"/>
      <c r="J2380" s="18"/>
      <c r="L2380" s="18"/>
      <c r="M2380" s="23"/>
    </row>
    <row r="2381">
      <c r="A2381" s="11"/>
      <c r="B2381" s="12"/>
      <c r="C2381" s="13"/>
      <c r="E2381" s="6"/>
      <c r="F2381" s="7"/>
      <c r="H2381" s="11"/>
      <c r="J2381" s="18"/>
      <c r="L2381" s="18"/>
      <c r="M2381" s="23"/>
    </row>
    <row r="2382">
      <c r="A2382" s="11"/>
      <c r="B2382" s="12"/>
      <c r="C2382" s="13"/>
      <c r="E2382" s="6"/>
      <c r="F2382" s="7"/>
      <c r="H2382" s="11"/>
      <c r="J2382" s="18"/>
      <c r="L2382" s="18"/>
      <c r="M2382" s="23"/>
    </row>
    <row r="2383">
      <c r="A2383" s="11"/>
      <c r="B2383" s="12"/>
      <c r="C2383" s="13"/>
      <c r="E2383" s="6"/>
      <c r="F2383" s="7"/>
      <c r="H2383" s="11"/>
      <c r="J2383" s="18"/>
      <c r="L2383" s="18"/>
      <c r="M2383" s="23"/>
    </row>
    <row r="2384">
      <c r="A2384" s="11"/>
      <c r="B2384" s="12"/>
      <c r="C2384" s="13"/>
      <c r="E2384" s="6"/>
      <c r="F2384" s="7"/>
      <c r="H2384" s="11"/>
      <c r="J2384" s="18"/>
      <c r="L2384" s="18"/>
      <c r="M2384" s="23"/>
    </row>
    <row r="2385">
      <c r="A2385" s="11"/>
      <c r="B2385" s="12"/>
      <c r="C2385" s="13"/>
      <c r="E2385" s="6"/>
      <c r="F2385" s="7"/>
      <c r="H2385" s="11"/>
      <c r="J2385" s="18"/>
      <c r="L2385" s="18"/>
      <c r="M2385" s="23"/>
    </row>
    <row r="2386">
      <c r="A2386" s="11"/>
      <c r="B2386" s="12"/>
      <c r="C2386" s="13"/>
      <c r="E2386" s="6"/>
      <c r="F2386" s="7"/>
      <c r="H2386" s="11"/>
      <c r="J2386" s="18"/>
      <c r="L2386" s="18"/>
      <c r="M2386" s="23"/>
    </row>
    <row r="2387">
      <c r="A2387" s="11"/>
      <c r="B2387" s="12"/>
      <c r="C2387" s="13"/>
      <c r="E2387" s="6"/>
      <c r="F2387" s="7"/>
      <c r="H2387" s="11"/>
      <c r="J2387" s="18"/>
      <c r="L2387" s="18"/>
      <c r="M2387" s="23"/>
    </row>
    <row r="2388">
      <c r="A2388" s="11"/>
      <c r="B2388" s="12"/>
      <c r="C2388" s="13"/>
      <c r="E2388" s="6"/>
      <c r="F2388" s="7"/>
      <c r="H2388" s="11"/>
      <c r="J2388" s="18"/>
      <c r="L2388" s="18"/>
      <c r="M2388" s="23"/>
    </row>
    <row r="2389">
      <c r="A2389" s="11"/>
      <c r="B2389" s="12"/>
      <c r="C2389" s="13"/>
      <c r="E2389" s="6"/>
      <c r="F2389" s="7"/>
      <c r="H2389" s="11"/>
      <c r="J2389" s="18"/>
      <c r="L2389" s="18"/>
      <c r="M2389" s="23"/>
    </row>
    <row r="2390">
      <c r="A2390" s="11"/>
      <c r="B2390" s="12"/>
      <c r="C2390" s="13"/>
      <c r="E2390" s="6"/>
      <c r="F2390" s="7"/>
      <c r="H2390" s="11"/>
      <c r="J2390" s="18"/>
      <c r="L2390" s="18"/>
      <c r="M2390" s="23"/>
    </row>
    <row r="2391">
      <c r="A2391" s="11"/>
      <c r="B2391" s="12"/>
      <c r="C2391" s="13"/>
      <c r="E2391" s="6"/>
      <c r="F2391" s="7"/>
      <c r="H2391" s="11"/>
      <c r="J2391" s="18"/>
      <c r="L2391" s="18"/>
      <c r="M2391" s="23"/>
    </row>
    <row r="2392">
      <c r="A2392" s="11"/>
      <c r="B2392" s="12"/>
      <c r="C2392" s="13"/>
      <c r="E2392" s="6"/>
      <c r="F2392" s="7"/>
      <c r="H2392" s="11"/>
      <c r="J2392" s="18"/>
      <c r="L2392" s="18"/>
      <c r="M2392" s="23"/>
    </row>
    <row r="2393">
      <c r="A2393" s="11"/>
      <c r="B2393" s="12"/>
      <c r="C2393" s="13"/>
      <c r="E2393" s="6"/>
      <c r="F2393" s="7"/>
      <c r="H2393" s="11"/>
      <c r="J2393" s="18"/>
      <c r="L2393" s="18"/>
      <c r="M2393" s="23"/>
    </row>
    <row r="2394">
      <c r="A2394" s="11"/>
      <c r="B2394" s="12"/>
      <c r="C2394" s="13"/>
      <c r="E2394" s="6"/>
      <c r="F2394" s="7"/>
      <c r="H2394" s="11"/>
      <c r="J2394" s="18"/>
      <c r="L2394" s="18"/>
      <c r="M2394" s="23"/>
    </row>
    <row r="2395">
      <c r="A2395" s="11"/>
      <c r="B2395" s="12"/>
      <c r="C2395" s="13"/>
      <c r="E2395" s="6"/>
      <c r="F2395" s="7"/>
      <c r="H2395" s="11"/>
      <c r="J2395" s="18"/>
      <c r="L2395" s="18"/>
      <c r="M2395" s="23"/>
    </row>
    <row r="2396">
      <c r="A2396" s="11"/>
      <c r="B2396" s="12"/>
      <c r="C2396" s="13"/>
      <c r="E2396" s="6"/>
      <c r="F2396" s="7"/>
      <c r="H2396" s="11"/>
      <c r="J2396" s="18"/>
      <c r="L2396" s="18"/>
      <c r="M2396" s="23"/>
    </row>
    <row r="2397">
      <c r="A2397" s="11"/>
      <c r="B2397" s="12"/>
      <c r="C2397" s="13"/>
      <c r="E2397" s="6"/>
      <c r="F2397" s="7"/>
      <c r="H2397" s="11"/>
      <c r="J2397" s="18"/>
      <c r="L2397" s="18"/>
      <c r="M2397" s="23"/>
    </row>
    <row r="2398">
      <c r="A2398" s="11"/>
      <c r="B2398" s="12"/>
      <c r="C2398" s="13"/>
      <c r="E2398" s="6"/>
      <c r="F2398" s="7"/>
      <c r="H2398" s="11"/>
      <c r="J2398" s="18"/>
      <c r="L2398" s="18"/>
      <c r="M2398" s="23"/>
    </row>
    <row r="2399">
      <c r="A2399" s="11"/>
      <c r="B2399" s="12"/>
      <c r="C2399" s="13"/>
      <c r="E2399" s="6"/>
      <c r="F2399" s="7"/>
      <c r="H2399" s="11"/>
      <c r="J2399" s="18"/>
      <c r="L2399" s="18"/>
      <c r="M2399" s="23"/>
    </row>
    <row r="2400">
      <c r="A2400" s="11"/>
      <c r="B2400" s="12"/>
      <c r="C2400" s="13"/>
      <c r="E2400" s="6"/>
      <c r="F2400" s="7"/>
      <c r="H2400" s="11"/>
      <c r="J2400" s="18"/>
      <c r="L2400" s="18"/>
      <c r="M2400" s="23"/>
    </row>
    <row r="2401">
      <c r="A2401" s="11"/>
      <c r="B2401" s="12"/>
      <c r="C2401" s="13"/>
      <c r="E2401" s="6"/>
      <c r="F2401" s="7"/>
      <c r="H2401" s="11"/>
      <c r="J2401" s="18"/>
      <c r="L2401" s="18"/>
      <c r="M2401" s="23"/>
    </row>
    <row r="2402">
      <c r="A2402" s="11"/>
      <c r="B2402" s="12"/>
      <c r="C2402" s="13"/>
      <c r="E2402" s="6"/>
      <c r="F2402" s="7"/>
      <c r="H2402" s="11"/>
      <c r="J2402" s="18"/>
      <c r="L2402" s="18"/>
      <c r="M2402" s="23"/>
    </row>
    <row r="2403">
      <c r="A2403" s="11"/>
      <c r="B2403" s="12"/>
      <c r="C2403" s="13"/>
      <c r="E2403" s="6"/>
      <c r="F2403" s="7"/>
      <c r="H2403" s="11"/>
      <c r="J2403" s="18"/>
      <c r="L2403" s="18"/>
      <c r="M2403" s="23"/>
    </row>
    <row r="2404">
      <c r="A2404" s="11"/>
      <c r="B2404" s="12"/>
      <c r="C2404" s="13"/>
      <c r="E2404" s="6"/>
      <c r="F2404" s="7"/>
      <c r="H2404" s="11"/>
      <c r="J2404" s="18"/>
      <c r="L2404" s="18"/>
      <c r="M2404" s="23"/>
    </row>
    <row r="2405">
      <c r="A2405" s="11"/>
      <c r="B2405" s="12"/>
      <c r="C2405" s="13"/>
      <c r="E2405" s="6"/>
      <c r="F2405" s="7"/>
      <c r="H2405" s="11"/>
      <c r="J2405" s="18"/>
      <c r="L2405" s="18"/>
      <c r="M2405" s="23"/>
    </row>
    <row r="2406">
      <c r="A2406" s="11"/>
      <c r="B2406" s="12"/>
      <c r="C2406" s="13"/>
      <c r="E2406" s="6"/>
      <c r="F2406" s="7"/>
      <c r="H2406" s="11"/>
      <c r="J2406" s="18"/>
      <c r="L2406" s="18"/>
      <c r="M2406" s="23"/>
    </row>
    <row r="2407">
      <c r="A2407" s="11"/>
      <c r="B2407" s="12"/>
      <c r="C2407" s="13"/>
      <c r="E2407" s="6"/>
      <c r="F2407" s="7"/>
      <c r="H2407" s="11"/>
      <c r="J2407" s="18"/>
      <c r="L2407" s="18"/>
      <c r="M2407" s="23"/>
    </row>
    <row r="2408">
      <c r="A2408" s="11"/>
      <c r="B2408" s="12"/>
      <c r="C2408" s="13"/>
      <c r="E2408" s="6"/>
      <c r="F2408" s="7"/>
      <c r="H2408" s="11"/>
      <c r="J2408" s="18"/>
      <c r="L2408" s="18"/>
      <c r="M2408" s="23"/>
    </row>
    <row r="2409">
      <c r="A2409" s="11"/>
      <c r="B2409" s="12"/>
      <c r="C2409" s="13"/>
      <c r="E2409" s="6"/>
      <c r="F2409" s="7"/>
      <c r="H2409" s="11"/>
      <c r="J2409" s="18"/>
      <c r="L2409" s="18"/>
      <c r="M2409" s="23"/>
    </row>
    <row r="2410">
      <c r="A2410" s="11"/>
      <c r="B2410" s="12"/>
      <c r="C2410" s="13"/>
      <c r="E2410" s="6"/>
      <c r="F2410" s="7"/>
      <c r="H2410" s="11"/>
      <c r="J2410" s="18"/>
      <c r="L2410" s="18"/>
      <c r="M2410" s="23"/>
    </row>
    <row r="2411">
      <c r="A2411" s="11"/>
      <c r="B2411" s="12"/>
      <c r="C2411" s="13"/>
      <c r="E2411" s="6"/>
      <c r="F2411" s="7"/>
      <c r="H2411" s="11"/>
      <c r="J2411" s="18"/>
      <c r="L2411" s="18"/>
      <c r="M2411" s="23"/>
    </row>
    <row r="2412">
      <c r="A2412" s="11"/>
      <c r="B2412" s="12"/>
      <c r="C2412" s="13"/>
      <c r="E2412" s="6"/>
      <c r="F2412" s="7"/>
      <c r="H2412" s="11"/>
      <c r="J2412" s="18"/>
      <c r="L2412" s="18"/>
      <c r="M2412" s="23"/>
    </row>
    <row r="2413">
      <c r="A2413" s="11"/>
      <c r="B2413" s="12"/>
      <c r="C2413" s="13"/>
      <c r="E2413" s="6"/>
      <c r="F2413" s="7"/>
      <c r="H2413" s="11"/>
      <c r="J2413" s="18"/>
      <c r="L2413" s="18"/>
      <c r="M2413" s="23"/>
    </row>
    <row r="2414">
      <c r="A2414" s="11"/>
      <c r="B2414" s="12"/>
      <c r="C2414" s="13"/>
      <c r="E2414" s="6"/>
      <c r="F2414" s="7"/>
      <c r="H2414" s="11"/>
      <c r="J2414" s="18"/>
      <c r="L2414" s="18"/>
      <c r="M2414" s="23"/>
    </row>
    <row r="2415">
      <c r="A2415" s="11"/>
      <c r="B2415" s="12"/>
      <c r="C2415" s="13"/>
      <c r="E2415" s="6"/>
      <c r="F2415" s="7"/>
      <c r="H2415" s="11"/>
      <c r="J2415" s="18"/>
      <c r="L2415" s="18"/>
      <c r="M2415" s="23"/>
    </row>
    <row r="2416">
      <c r="A2416" s="11"/>
      <c r="B2416" s="12"/>
      <c r="C2416" s="13"/>
      <c r="E2416" s="6"/>
      <c r="F2416" s="7"/>
      <c r="H2416" s="11"/>
      <c r="J2416" s="18"/>
      <c r="L2416" s="18"/>
      <c r="M2416" s="23"/>
    </row>
    <row r="2417">
      <c r="A2417" s="11"/>
      <c r="B2417" s="12"/>
      <c r="C2417" s="13"/>
      <c r="E2417" s="6"/>
      <c r="F2417" s="7"/>
      <c r="H2417" s="11"/>
      <c r="J2417" s="18"/>
      <c r="L2417" s="18"/>
      <c r="M2417" s="23"/>
    </row>
    <row r="2418">
      <c r="A2418" s="11"/>
      <c r="B2418" s="12"/>
      <c r="C2418" s="13"/>
      <c r="E2418" s="6"/>
      <c r="F2418" s="7"/>
      <c r="H2418" s="11"/>
      <c r="J2418" s="18"/>
      <c r="L2418" s="18"/>
      <c r="M2418" s="23"/>
    </row>
    <row r="2419">
      <c r="A2419" s="11"/>
      <c r="B2419" s="12"/>
      <c r="C2419" s="13"/>
      <c r="E2419" s="6"/>
      <c r="F2419" s="7"/>
      <c r="H2419" s="11"/>
      <c r="J2419" s="18"/>
      <c r="L2419" s="18"/>
      <c r="M2419" s="23"/>
    </row>
    <row r="2420">
      <c r="A2420" s="11"/>
      <c r="B2420" s="12"/>
      <c r="C2420" s="13"/>
      <c r="E2420" s="6"/>
      <c r="F2420" s="7"/>
      <c r="H2420" s="11"/>
      <c r="J2420" s="18"/>
      <c r="L2420" s="18"/>
      <c r="M2420" s="23"/>
    </row>
    <row r="2421">
      <c r="A2421" s="11"/>
      <c r="B2421" s="12"/>
      <c r="C2421" s="13"/>
      <c r="E2421" s="6"/>
      <c r="F2421" s="7"/>
      <c r="H2421" s="11"/>
      <c r="J2421" s="18"/>
      <c r="L2421" s="18"/>
      <c r="M2421" s="23"/>
    </row>
    <row r="2422">
      <c r="A2422" s="11"/>
      <c r="B2422" s="12"/>
      <c r="C2422" s="13"/>
      <c r="E2422" s="6"/>
      <c r="F2422" s="7"/>
      <c r="H2422" s="11"/>
      <c r="J2422" s="18"/>
      <c r="L2422" s="18"/>
      <c r="M2422" s="23"/>
    </row>
    <row r="2423">
      <c r="A2423" s="11"/>
      <c r="B2423" s="12"/>
      <c r="C2423" s="13"/>
      <c r="E2423" s="6"/>
      <c r="F2423" s="7"/>
      <c r="H2423" s="11"/>
      <c r="J2423" s="18"/>
      <c r="L2423" s="18"/>
      <c r="M2423" s="23"/>
    </row>
    <row r="2424">
      <c r="A2424" s="11"/>
      <c r="B2424" s="12"/>
      <c r="C2424" s="13"/>
      <c r="E2424" s="6"/>
      <c r="F2424" s="7"/>
      <c r="H2424" s="11"/>
      <c r="J2424" s="18"/>
      <c r="L2424" s="18"/>
      <c r="M2424" s="23"/>
    </row>
    <row r="2425">
      <c r="A2425" s="11"/>
      <c r="B2425" s="12"/>
      <c r="C2425" s="13"/>
      <c r="E2425" s="6"/>
      <c r="F2425" s="7"/>
      <c r="H2425" s="11"/>
      <c r="J2425" s="18"/>
      <c r="L2425" s="18"/>
      <c r="M2425" s="23"/>
    </row>
    <row r="2426">
      <c r="A2426" s="11"/>
      <c r="B2426" s="12"/>
      <c r="C2426" s="13"/>
      <c r="E2426" s="6"/>
      <c r="F2426" s="7"/>
      <c r="H2426" s="11"/>
      <c r="J2426" s="18"/>
      <c r="L2426" s="18"/>
      <c r="M2426" s="23"/>
    </row>
    <row r="2427">
      <c r="A2427" s="11"/>
      <c r="B2427" s="12"/>
      <c r="C2427" s="13"/>
      <c r="E2427" s="6"/>
      <c r="F2427" s="7"/>
      <c r="H2427" s="11"/>
      <c r="J2427" s="18"/>
      <c r="L2427" s="18"/>
      <c r="M2427" s="23"/>
    </row>
    <row r="2428">
      <c r="A2428" s="11"/>
      <c r="B2428" s="12"/>
      <c r="C2428" s="13"/>
      <c r="E2428" s="6"/>
      <c r="F2428" s="7"/>
      <c r="H2428" s="11"/>
      <c r="J2428" s="18"/>
      <c r="L2428" s="18"/>
      <c r="M2428" s="23"/>
    </row>
    <row r="2429">
      <c r="A2429" s="11"/>
      <c r="B2429" s="12"/>
      <c r="C2429" s="13"/>
      <c r="E2429" s="6"/>
      <c r="F2429" s="7"/>
      <c r="H2429" s="11"/>
      <c r="J2429" s="18"/>
      <c r="L2429" s="18"/>
      <c r="M2429" s="23"/>
    </row>
    <row r="2430">
      <c r="A2430" s="11"/>
      <c r="B2430" s="12"/>
      <c r="C2430" s="13"/>
      <c r="E2430" s="6"/>
      <c r="F2430" s="7"/>
      <c r="H2430" s="11"/>
      <c r="J2430" s="18"/>
      <c r="L2430" s="18"/>
      <c r="M2430" s="23"/>
    </row>
    <row r="2431">
      <c r="A2431" s="11"/>
      <c r="B2431" s="12"/>
      <c r="C2431" s="13"/>
      <c r="E2431" s="6"/>
      <c r="F2431" s="7"/>
      <c r="H2431" s="11"/>
      <c r="J2431" s="18"/>
      <c r="L2431" s="18"/>
      <c r="M2431" s="23"/>
    </row>
    <row r="2432">
      <c r="A2432" s="11"/>
      <c r="B2432" s="12"/>
      <c r="C2432" s="13"/>
      <c r="E2432" s="6"/>
      <c r="F2432" s="7"/>
      <c r="H2432" s="11"/>
      <c r="J2432" s="18"/>
      <c r="L2432" s="18"/>
      <c r="M2432" s="23"/>
    </row>
    <row r="2433">
      <c r="A2433" s="11"/>
      <c r="B2433" s="12"/>
      <c r="C2433" s="13"/>
      <c r="E2433" s="6"/>
      <c r="F2433" s="7"/>
      <c r="H2433" s="11"/>
      <c r="J2433" s="18"/>
      <c r="L2433" s="18"/>
      <c r="M2433" s="23"/>
    </row>
    <row r="2434">
      <c r="A2434" s="11"/>
      <c r="B2434" s="12"/>
      <c r="C2434" s="13"/>
      <c r="E2434" s="6"/>
      <c r="F2434" s="7"/>
      <c r="H2434" s="11"/>
      <c r="J2434" s="18"/>
      <c r="L2434" s="18"/>
      <c r="M2434" s="23"/>
    </row>
    <row r="2435">
      <c r="A2435" s="11"/>
      <c r="B2435" s="12"/>
      <c r="C2435" s="13"/>
      <c r="E2435" s="6"/>
      <c r="F2435" s="7"/>
      <c r="H2435" s="11"/>
      <c r="J2435" s="18"/>
      <c r="L2435" s="18"/>
      <c r="M2435" s="23"/>
    </row>
    <row r="2436">
      <c r="A2436" s="11"/>
      <c r="B2436" s="12"/>
      <c r="C2436" s="13"/>
      <c r="E2436" s="6"/>
      <c r="F2436" s="7"/>
      <c r="H2436" s="11"/>
      <c r="J2436" s="18"/>
      <c r="L2436" s="18"/>
      <c r="M2436" s="23"/>
    </row>
    <row r="2437">
      <c r="A2437" s="11"/>
      <c r="B2437" s="12"/>
      <c r="C2437" s="13"/>
      <c r="E2437" s="6"/>
      <c r="F2437" s="7"/>
      <c r="H2437" s="11"/>
      <c r="J2437" s="18"/>
      <c r="L2437" s="18"/>
      <c r="M2437" s="23"/>
    </row>
    <row r="2438">
      <c r="A2438" s="11"/>
      <c r="B2438" s="12"/>
      <c r="C2438" s="13"/>
      <c r="E2438" s="6"/>
      <c r="F2438" s="7"/>
      <c r="H2438" s="11"/>
      <c r="J2438" s="18"/>
      <c r="L2438" s="18"/>
      <c r="M2438" s="23"/>
    </row>
    <row r="2439">
      <c r="A2439" s="11"/>
      <c r="B2439" s="12"/>
      <c r="C2439" s="13"/>
      <c r="E2439" s="6"/>
      <c r="F2439" s="7"/>
      <c r="H2439" s="11"/>
      <c r="J2439" s="18"/>
      <c r="L2439" s="18"/>
      <c r="M2439" s="23"/>
    </row>
    <row r="2440">
      <c r="A2440" s="11"/>
      <c r="B2440" s="12"/>
      <c r="C2440" s="13"/>
      <c r="E2440" s="6"/>
      <c r="F2440" s="7"/>
      <c r="H2440" s="11"/>
      <c r="J2440" s="18"/>
      <c r="L2440" s="18"/>
      <c r="M2440" s="23"/>
    </row>
    <row r="2441">
      <c r="A2441" s="11"/>
      <c r="B2441" s="12"/>
      <c r="C2441" s="13"/>
      <c r="E2441" s="6"/>
      <c r="F2441" s="7"/>
      <c r="H2441" s="11"/>
      <c r="J2441" s="18"/>
      <c r="L2441" s="18"/>
      <c r="M2441" s="23"/>
    </row>
    <row r="2442">
      <c r="A2442" s="11"/>
      <c r="B2442" s="12"/>
      <c r="C2442" s="13"/>
      <c r="E2442" s="6"/>
      <c r="F2442" s="7"/>
      <c r="H2442" s="11"/>
      <c r="J2442" s="18"/>
      <c r="L2442" s="18"/>
      <c r="M2442" s="23"/>
    </row>
    <row r="2443">
      <c r="A2443" s="11"/>
      <c r="B2443" s="12"/>
      <c r="C2443" s="13"/>
      <c r="E2443" s="6"/>
      <c r="F2443" s="7"/>
      <c r="H2443" s="11"/>
      <c r="J2443" s="18"/>
      <c r="L2443" s="18"/>
      <c r="M2443" s="23"/>
    </row>
    <row r="2444">
      <c r="A2444" s="11"/>
      <c r="B2444" s="12"/>
      <c r="C2444" s="13"/>
      <c r="E2444" s="6"/>
      <c r="F2444" s="7"/>
      <c r="H2444" s="11"/>
      <c r="J2444" s="18"/>
      <c r="L2444" s="18"/>
      <c r="M2444" s="23"/>
    </row>
    <row r="2445">
      <c r="A2445" s="11"/>
      <c r="B2445" s="12"/>
      <c r="C2445" s="13"/>
      <c r="E2445" s="6"/>
      <c r="F2445" s="7"/>
      <c r="H2445" s="11"/>
      <c r="J2445" s="18"/>
      <c r="L2445" s="18"/>
      <c r="M2445" s="23"/>
    </row>
    <row r="2446">
      <c r="A2446" s="11"/>
      <c r="B2446" s="12"/>
      <c r="C2446" s="13"/>
      <c r="E2446" s="6"/>
      <c r="F2446" s="7"/>
      <c r="H2446" s="11"/>
      <c r="J2446" s="18"/>
      <c r="L2446" s="18"/>
      <c r="M2446" s="23"/>
    </row>
    <row r="2447">
      <c r="A2447" s="11"/>
      <c r="B2447" s="12"/>
      <c r="C2447" s="13"/>
      <c r="E2447" s="6"/>
      <c r="F2447" s="7"/>
      <c r="H2447" s="11"/>
      <c r="J2447" s="18"/>
      <c r="L2447" s="18"/>
      <c r="M2447" s="23"/>
    </row>
    <row r="2448">
      <c r="A2448" s="11"/>
      <c r="B2448" s="12"/>
      <c r="C2448" s="13"/>
      <c r="E2448" s="6"/>
      <c r="F2448" s="7"/>
      <c r="H2448" s="11"/>
      <c r="J2448" s="18"/>
      <c r="L2448" s="18"/>
      <c r="M2448" s="23"/>
    </row>
    <row r="2449">
      <c r="A2449" s="11"/>
      <c r="B2449" s="12"/>
      <c r="C2449" s="13"/>
      <c r="E2449" s="6"/>
      <c r="F2449" s="7"/>
      <c r="H2449" s="11"/>
      <c r="J2449" s="18"/>
      <c r="L2449" s="18"/>
      <c r="M2449" s="23"/>
    </row>
    <row r="2450">
      <c r="A2450" s="11"/>
      <c r="B2450" s="12"/>
      <c r="C2450" s="13"/>
      <c r="E2450" s="6"/>
      <c r="F2450" s="7"/>
      <c r="H2450" s="11"/>
      <c r="J2450" s="18"/>
      <c r="L2450" s="18"/>
      <c r="M2450" s="23"/>
    </row>
    <row r="2451">
      <c r="A2451" s="11"/>
      <c r="B2451" s="12"/>
      <c r="C2451" s="13"/>
      <c r="E2451" s="6"/>
      <c r="F2451" s="7"/>
      <c r="H2451" s="11"/>
      <c r="J2451" s="18"/>
      <c r="L2451" s="18"/>
      <c r="M2451" s="23"/>
    </row>
    <row r="2452">
      <c r="A2452" s="11"/>
      <c r="B2452" s="12"/>
      <c r="C2452" s="13"/>
      <c r="E2452" s="6"/>
      <c r="F2452" s="7"/>
      <c r="H2452" s="11"/>
      <c r="J2452" s="18"/>
      <c r="L2452" s="18"/>
      <c r="M2452" s="23"/>
    </row>
    <row r="2453">
      <c r="A2453" s="11"/>
      <c r="B2453" s="12"/>
      <c r="C2453" s="13"/>
      <c r="E2453" s="6"/>
      <c r="F2453" s="7"/>
      <c r="H2453" s="11"/>
      <c r="J2453" s="18"/>
      <c r="L2453" s="18"/>
      <c r="M2453" s="23"/>
    </row>
    <row r="2454">
      <c r="A2454" s="11"/>
      <c r="B2454" s="12"/>
      <c r="C2454" s="13"/>
      <c r="E2454" s="6"/>
      <c r="F2454" s="7"/>
      <c r="H2454" s="11"/>
      <c r="J2454" s="18"/>
      <c r="L2454" s="18"/>
      <c r="M2454" s="23"/>
    </row>
    <row r="2455">
      <c r="A2455" s="11"/>
      <c r="B2455" s="12"/>
      <c r="C2455" s="13"/>
      <c r="E2455" s="6"/>
      <c r="F2455" s="7"/>
      <c r="H2455" s="11"/>
      <c r="J2455" s="18"/>
      <c r="L2455" s="18"/>
      <c r="M2455" s="23"/>
    </row>
    <row r="2456">
      <c r="A2456" s="11"/>
      <c r="B2456" s="12"/>
      <c r="C2456" s="13"/>
      <c r="E2456" s="6"/>
      <c r="F2456" s="7"/>
      <c r="H2456" s="11"/>
      <c r="J2456" s="18"/>
      <c r="L2456" s="18"/>
      <c r="M2456" s="23"/>
    </row>
    <row r="2457">
      <c r="A2457" s="11"/>
      <c r="B2457" s="12"/>
      <c r="C2457" s="13"/>
      <c r="E2457" s="6"/>
      <c r="F2457" s="7"/>
      <c r="H2457" s="11"/>
      <c r="J2457" s="18"/>
      <c r="L2457" s="18"/>
      <c r="M2457" s="23"/>
    </row>
    <row r="2458">
      <c r="A2458" s="11"/>
      <c r="B2458" s="12"/>
      <c r="C2458" s="13"/>
      <c r="E2458" s="6"/>
      <c r="F2458" s="7"/>
      <c r="H2458" s="11"/>
      <c r="J2458" s="18"/>
      <c r="L2458" s="18"/>
      <c r="M2458" s="23"/>
    </row>
    <row r="2459">
      <c r="A2459" s="11"/>
      <c r="B2459" s="12"/>
      <c r="C2459" s="13"/>
      <c r="E2459" s="6"/>
      <c r="F2459" s="7"/>
      <c r="H2459" s="11"/>
      <c r="J2459" s="18"/>
      <c r="L2459" s="18"/>
      <c r="M2459" s="23"/>
    </row>
    <row r="2460">
      <c r="A2460" s="11"/>
      <c r="B2460" s="12"/>
      <c r="C2460" s="13"/>
      <c r="E2460" s="6"/>
      <c r="F2460" s="7"/>
      <c r="H2460" s="11"/>
      <c r="J2460" s="18"/>
      <c r="L2460" s="18"/>
      <c r="M2460" s="23"/>
    </row>
    <row r="2461">
      <c r="A2461" s="11"/>
      <c r="B2461" s="12"/>
      <c r="C2461" s="13"/>
      <c r="E2461" s="6"/>
      <c r="F2461" s="7"/>
      <c r="H2461" s="11"/>
      <c r="J2461" s="18"/>
      <c r="L2461" s="18"/>
      <c r="M2461" s="23"/>
    </row>
    <row r="2462">
      <c r="A2462" s="11"/>
      <c r="B2462" s="12"/>
      <c r="C2462" s="13"/>
      <c r="E2462" s="6"/>
      <c r="F2462" s="7"/>
      <c r="H2462" s="11"/>
      <c r="J2462" s="18"/>
      <c r="L2462" s="18"/>
      <c r="M2462" s="23"/>
    </row>
    <row r="2463">
      <c r="A2463" s="11"/>
      <c r="B2463" s="12"/>
      <c r="C2463" s="13"/>
      <c r="E2463" s="6"/>
      <c r="F2463" s="7"/>
      <c r="H2463" s="11"/>
      <c r="J2463" s="18"/>
      <c r="L2463" s="18"/>
      <c r="M2463" s="23"/>
    </row>
    <row r="2464">
      <c r="A2464" s="11"/>
      <c r="B2464" s="12"/>
      <c r="C2464" s="13"/>
      <c r="E2464" s="6"/>
      <c r="F2464" s="7"/>
      <c r="H2464" s="11"/>
      <c r="J2464" s="18"/>
      <c r="L2464" s="18"/>
      <c r="M2464" s="23"/>
    </row>
    <row r="2465">
      <c r="A2465" s="11"/>
      <c r="B2465" s="12"/>
      <c r="C2465" s="13"/>
      <c r="E2465" s="6"/>
      <c r="F2465" s="7"/>
      <c r="H2465" s="11"/>
      <c r="J2465" s="18"/>
      <c r="L2465" s="18"/>
      <c r="M2465" s="23"/>
    </row>
    <row r="2466">
      <c r="A2466" s="11"/>
      <c r="B2466" s="12"/>
      <c r="C2466" s="13"/>
      <c r="E2466" s="6"/>
      <c r="F2466" s="7"/>
      <c r="H2466" s="11"/>
      <c r="J2466" s="18"/>
      <c r="L2466" s="18"/>
      <c r="M2466" s="23"/>
    </row>
    <row r="2467">
      <c r="A2467" s="11"/>
      <c r="B2467" s="12"/>
      <c r="C2467" s="13"/>
      <c r="E2467" s="6"/>
      <c r="F2467" s="7"/>
      <c r="H2467" s="11"/>
      <c r="J2467" s="18"/>
      <c r="L2467" s="18"/>
      <c r="M2467" s="23"/>
    </row>
    <row r="2468">
      <c r="A2468" s="11"/>
      <c r="B2468" s="12"/>
      <c r="C2468" s="13"/>
      <c r="E2468" s="6"/>
      <c r="F2468" s="7"/>
      <c r="H2468" s="11"/>
      <c r="J2468" s="18"/>
      <c r="L2468" s="18"/>
      <c r="M2468" s="23"/>
    </row>
    <row r="2469">
      <c r="A2469" s="11"/>
      <c r="B2469" s="12"/>
      <c r="C2469" s="13"/>
      <c r="E2469" s="6"/>
      <c r="F2469" s="7"/>
      <c r="H2469" s="11"/>
      <c r="J2469" s="18"/>
      <c r="L2469" s="18"/>
      <c r="M2469" s="23"/>
    </row>
    <row r="2470">
      <c r="A2470" s="11"/>
      <c r="B2470" s="12"/>
      <c r="C2470" s="13"/>
      <c r="E2470" s="6"/>
      <c r="F2470" s="7"/>
      <c r="H2470" s="11"/>
      <c r="J2470" s="18"/>
      <c r="L2470" s="18"/>
      <c r="M2470" s="23"/>
    </row>
    <row r="2471">
      <c r="A2471" s="11"/>
      <c r="B2471" s="12"/>
      <c r="C2471" s="13"/>
      <c r="E2471" s="6"/>
      <c r="F2471" s="7"/>
      <c r="H2471" s="11"/>
      <c r="J2471" s="18"/>
      <c r="L2471" s="18"/>
      <c r="M2471" s="23"/>
    </row>
    <row r="2472">
      <c r="A2472" s="11"/>
      <c r="B2472" s="12"/>
      <c r="C2472" s="13"/>
      <c r="E2472" s="6"/>
      <c r="F2472" s="7"/>
      <c r="H2472" s="11"/>
      <c r="J2472" s="18"/>
      <c r="L2472" s="18"/>
      <c r="M2472" s="23"/>
    </row>
    <row r="2473">
      <c r="A2473" s="11"/>
      <c r="B2473" s="12"/>
      <c r="C2473" s="13"/>
      <c r="E2473" s="6"/>
      <c r="F2473" s="7"/>
      <c r="H2473" s="11"/>
      <c r="J2473" s="18"/>
      <c r="L2473" s="18"/>
      <c r="M2473" s="23"/>
    </row>
    <row r="2474">
      <c r="A2474" s="11"/>
      <c r="B2474" s="12"/>
      <c r="C2474" s="13"/>
      <c r="E2474" s="6"/>
      <c r="F2474" s="7"/>
      <c r="H2474" s="11"/>
      <c r="J2474" s="18"/>
      <c r="L2474" s="18"/>
      <c r="M2474" s="23"/>
    </row>
    <row r="2475">
      <c r="A2475" s="11"/>
      <c r="B2475" s="12"/>
      <c r="C2475" s="13"/>
      <c r="E2475" s="6"/>
      <c r="F2475" s="7"/>
      <c r="H2475" s="11"/>
      <c r="J2475" s="18"/>
      <c r="L2475" s="18"/>
      <c r="M2475" s="23"/>
    </row>
    <row r="2476">
      <c r="A2476" s="11"/>
      <c r="B2476" s="12"/>
      <c r="C2476" s="13"/>
      <c r="E2476" s="6"/>
      <c r="F2476" s="7"/>
      <c r="H2476" s="11"/>
      <c r="J2476" s="18"/>
      <c r="L2476" s="18"/>
      <c r="M2476" s="23"/>
    </row>
    <row r="2477">
      <c r="A2477" s="11"/>
      <c r="B2477" s="12"/>
      <c r="C2477" s="13"/>
      <c r="E2477" s="6"/>
      <c r="F2477" s="7"/>
      <c r="H2477" s="11"/>
      <c r="J2477" s="18"/>
      <c r="L2477" s="18"/>
      <c r="M2477" s="23"/>
    </row>
    <row r="2478">
      <c r="A2478" s="11"/>
      <c r="B2478" s="12"/>
      <c r="C2478" s="13"/>
      <c r="E2478" s="6"/>
      <c r="F2478" s="7"/>
      <c r="H2478" s="11"/>
      <c r="J2478" s="18"/>
      <c r="L2478" s="18"/>
      <c r="M2478" s="23"/>
    </row>
    <row r="2479">
      <c r="A2479" s="11"/>
      <c r="B2479" s="12"/>
      <c r="C2479" s="13"/>
      <c r="E2479" s="6"/>
      <c r="F2479" s="7"/>
      <c r="H2479" s="11"/>
      <c r="J2479" s="18"/>
      <c r="L2479" s="18"/>
      <c r="M2479" s="23"/>
    </row>
    <row r="2480">
      <c r="A2480" s="11"/>
      <c r="B2480" s="12"/>
      <c r="C2480" s="13"/>
      <c r="E2480" s="6"/>
      <c r="F2480" s="7"/>
      <c r="H2480" s="11"/>
      <c r="J2480" s="18"/>
      <c r="L2480" s="18"/>
      <c r="M2480" s="23"/>
    </row>
    <row r="2481">
      <c r="A2481" s="11"/>
      <c r="B2481" s="12"/>
      <c r="C2481" s="13"/>
      <c r="E2481" s="6"/>
      <c r="F2481" s="7"/>
      <c r="H2481" s="11"/>
      <c r="J2481" s="18"/>
      <c r="L2481" s="18"/>
      <c r="M2481" s="23"/>
    </row>
    <row r="2482">
      <c r="A2482" s="11"/>
      <c r="B2482" s="12"/>
      <c r="C2482" s="13"/>
      <c r="E2482" s="6"/>
      <c r="F2482" s="7"/>
      <c r="H2482" s="11"/>
      <c r="J2482" s="18"/>
      <c r="L2482" s="18"/>
      <c r="M2482" s="23"/>
    </row>
    <row r="2483">
      <c r="A2483" s="11"/>
      <c r="B2483" s="12"/>
      <c r="C2483" s="13"/>
      <c r="E2483" s="6"/>
      <c r="F2483" s="7"/>
      <c r="H2483" s="11"/>
      <c r="J2483" s="18"/>
      <c r="L2483" s="18"/>
      <c r="M2483" s="23"/>
    </row>
    <row r="2484">
      <c r="A2484" s="11"/>
      <c r="B2484" s="12"/>
      <c r="C2484" s="13"/>
      <c r="E2484" s="6"/>
      <c r="F2484" s="7"/>
      <c r="H2484" s="11"/>
      <c r="J2484" s="18"/>
      <c r="L2484" s="18"/>
      <c r="M2484" s="23"/>
    </row>
    <row r="2485">
      <c r="A2485" s="11"/>
      <c r="B2485" s="12"/>
      <c r="C2485" s="13"/>
      <c r="E2485" s="6"/>
      <c r="F2485" s="7"/>
      <c r="H2485" s="11"/>
      <c r="J2485" s="18"/>
      <c r="L2485" s="18"/>
      <c r="M2485" s="23"/>
    </row>
    <row r="2486">
      <c r="A2486" s="11"/>
      <c r="B2486" s="12"/>
      <c r="C2486" s="13"/>
      <c r="E2486" s="6"/>
      <c r="F2486" s="7"/>
      <c r="H2486" s="11"/>
      <c r="J2486" s="18"/>
      <c r="L2486" s="18"/>
      <c r="M2486" s="23"/>
    </row>
    <row r="2487">
      <c r="A2487" s="11"/>
      <c r="B2487" s="12"/>
      <c r="C2487" s="13"/>
      <c r="E2487" s="6"/>
      <c r="F2487" s="7"/>
      <c r="H2487" s="11"/>
      <c r="J2487" s="18"/>
      <c r="L2487" s="18"/>
      <c r="M2487" s="23"/>
    </row>
    <row r="2488">
      <c r="A2488" s="11"/>
      <c r="B2488" s="12"/>
      <c r="C2488" s="13"/>
      <c r="E2488" s="6"/>
      <c r="F2488" s="7"/>
      <c r="H2488" s="11"/>
      <c r="J2488" s="18"/>
      <c r="L2488" s="18"/>
      <c r="M2488" s="23"/>
    </row>
    <row r="2489">
      <c r="A2489" s="11"/>
      <c r="B2489" s="12"/>
      <c r="C2489" s="13"/>
      <c r="E2489" s="6"/>
      <c r="F2489" s="7"/>
      <c r="H2489" s="11"/>
      <c r="J2489" s="18"/>
      <c r="L2489" s="18"/>
      <c r="M2489" s="23"/>
    </row>
    <row r="2490">
      <c r="A2490" s="11"/>
      <c r="B2490" s="12"/>
      <c r="C2490" s="13"/>
      <c r="E2490" s="6"/>
      <c r="F2490" s="7"/>
      <c r="H2490" s="11"/>
      <c r="J2490" s="18"/>
      <c r="L2490" s="18"/>
      <c r="M2490" s="23"/>
    </row>
    <row r="2491">
      <c r="A2491" s="11"/>
      <c r="B2491" s="12"/>
      <c r="C2491" s="13"/>
      <c r="E2491" s="6"/>
      <c r="F2491" s="7"/>
      <c r="H2491" s="11"/>
      <c r="J2491" s="18"/>
      <c r="L2491" s="18"/>
      <c r="M2491" s="23"/>
    </row>
    <row r="2492">
      <c r="A2492" s="11"/>
      <c r="B2492" s="12"/>
      <c r="C2492" s="13"/>
      <c r="E2492" s="6"/>
      <c r="F2492" s="7"/>
      <c r="H2492" s="11"/>
      <c r="J2492" s="18"/>
      <c r="L2492" s="18"/>
      <c r="M2492" s="23"/>
    </row>
    <row r="2493">
      <c r="A2493" s="11"/>
      <c r="B2493" s="12"/>
      <c r="C2493" s="13"/>
      <c r="E2493" s="6"/>
      <c r="F2493" s="7"/>
      <c r="H2493" s="11"/>
      <c r="J2493" s="18"/>
      <c r="L2493" s="18"/>
      <c r="M2493" s="23"/>
    </row>
    <row r="2494">
      <c r="A2494" s="11"/>
      <c r="B2494" s="12"/>
      <c r="C2494" s="13"/>
      <c r="E2494" s="6"/>
      <c r="F2494" s="7"/>
      <c r="H2494" s="11"/>
      <c r="J2494" s="18"/>
      <c r="L2494" s="18"/>
      <c r="M2494" s="23"/>
    </row>
    <row r="2495">
      <c r="A2495" s="11"/>
      <c r="B2495" s="12"/>
      <c r="C2495" s="13"/>
      <c r="E2495" s="6"/>
      <c r="F2495" s="7"/>
      <c r="H2495" s="11"/>
      <c r="J2495" s="18"/>
      <c r="L2495" s="18"/>
      <c r="M2495" s="23"/>
    </row>
    <row r="2496">
      <c r="A2496" s="11"/>
      <c r="B2496" s="12"/>
      <c r="C2496" s="13"/>
      <c r="E2496" s="6"/>
      <c r="F2496" s="7"/>
      <c r="H2496" s="11"/>
      <c r="J2496" s="18"/>
      <c r="L2496" s="18"/>
      <c r="M2496" s="23"/>
    </row>
    <row r="2497">
      <c r="A2497" s="11"/>
      <c r="B2497" s="12"/>
      <c r="C2497" s="13"/>
      <c r="E2497" s="6"/>
      <c r="F2497" s="7"/>
      <c r="H2497" s="11"/>
      <c r="J2497" s="18"/>
      <c r="L2497" s="18"/>
      <c r="M2497" s="23"/>
    </row>
    <row r="2498">
      <c r="A2498" s="11"/>
      <c r="B2498" s="12"/>
      <c r="C2498" s="13"/>
      <c r="E2498" s="6"/>
      <c r="F2498" s="7"/>
      <c r="H2498" s="11"/>
      <c r="J2498" s="18"/>
      <c r="L2498" s="18"/>
      <c r="M2498" s="23"/>
    </row>
    <row r="2499">
      <c r="A2499" s="11"/>
      <c r="B2499" s="12"/>
      <c r="C2499" s="13"/>
      <c r="E2499" s="6"/>
      <c r="F2499" s="7"/>
      <c r="H2499" s="11"/>
      <c r="J2499" s="18"/>
      <c r="L2499" s="18"/>
      <c r="M2499" s="23"/>
    </row>
    <row r="2500">
      <c r="A2500" s="11"/>
      <c r="B2500" s="12"/>
      <c r="C2500" s="13"/>
      <c r="E2500" s="6"/>
      <c r="F2500" s="7"/>
      <c r="H2500" s="11"/>
      <c r="J2500" s="18"/>
      <c r="L2500" s="18"/>
      <c r="M2500" s="23"/>
    </row>
    <row r="2501">
      <c r="A2501" s="11"/>
      <c r="B2501" s="12"/>
      <c r="C2501" s="13"/>
      <c r="E2501" s="6"/>
      <c r="F2501" s="7"/>
      <c r="H2501" s="11"/>
      <c r="J2501" s="18"/>
      <c r="L2501" s="18"/>
      <c r="M2501" s="23"/>
    </row>
    <row r="2502">
      <c r="A2502" s="11"/>
      <c r="B2502" s="12"/>
      <c r="C2502" s="13"/>
      <c r="E2502" s="6"/>
      <c r="F2502" s="7"/>
      <c r="H2502" s="11"/>
      <c r="J2502" s="18"/>
      <c r="L2502" s="18"/>
      <c r="M2502" s="23"/>
    </row>
    <row r="2503">
      <c r="A2503" s="11"/>
      <c r="B2503" s="12"/>
      <c r="C2503" s="13"/>
      <c r="E2503" s="6"/>
      <c r="F2503" s="7"/>
      <c r="H2503" s="11"/>
      <c r="J2503" s="18"/>
      <c r="L2503" s="18"/>
      <c r="M2503" s="23"/>
    </row>
    <row r="2504">
      <c r="A2504" s="11"/>
      <c r="B2504" s="12"/>
      <c r="C2504" s="13"/>
      <c r="E2504" s="6"/>
      <c r="F2504" s="7"/>
      <c r="H2504" s="11"/>
      <c r="J2504" s="18"/>
      <c r="L2504" s="18"/>
      <c r="M2504" s="23"/>
    </row>
    <row r="2505">
      <c r="A2505" s="11"/>
      <c r="B2505" s="12"/>
      <c r="C2505" s="13"/>
      <c r="E2505" s="6"/>
      <c r="F2505" s="7"/>
      <c r="H2505" s="11"/>
      <c r="J2505" s="18"/>
      <c r="L2505" s="18"/>
      <c r="M2505" s="23"/>
    </row>
    <row r="2506">
      <c r="A2506" s="11"/>
      <c r="B2506" s="12"/>
      <c r="C2506" s="13"/>
      <c r="E2506" s="6"/>
      <c r="F2506" s="7"/>
      <c r="H2506" s="11"/>
      <c r="J2506" s="18"/>
      <c r="L2506" s="18"/>
      <c r="M2506" s="23"/>
    </row>
    <row r="2507">
      <c r="A2507" s="11"/>
      <c r="B2507" s="12"/>
      <c r="C2507" s="13"/>
      <c r="E2507" s="6"/>
      <c r="F2507" s="7"/>
      <c r="H2507" s="11"/>
      <c r="J2507" s="18"/>
      <c r="L2507" s="18"/>
      <c r="M2507" s="23"/>
    </row>
    <row r="2508">
      <c r="A2508" s="11"/>
      <c r="B2508" s="12"/>
      <c r="C2508" s="13"/>
      <c r="E2508" s="6"/>
      <c r="F2508" s="7"/>
      <c r="H2508" s="11"/>
      <c r="J2508" s="18"/>
      <c r="L2508" s="18"/>
      <c r="M2508" s="23"/>
    </row>
    <row r="2509">
      <c r="A2509" s="11"/>
      <c r="B2509" s="12"/>
      <c r="C2509" s="13"/>
      <c r="E2509" s="6"/>
      <c r="F2509" s="7"/>
      <c r="H2509" s="11"/>
      <c r="J2509" s="18"/>
      <c r="L2509" s="18"/>
      <c r="M2509" s="23"/>
    </row>
    <row r="2510">
      <c r="A2510" s="11"/>
      <c r="B2510" s="12"/>
      <c r="C2510" s="13"/>
      <c r="E2510" s="6"/>
      <c r="F2510" s="7"/>
      <c r="H2510" s="11"/>
      <c r="J2510" s="18"/>
      <c r="L2510" s="18"/>
      <c r="M2510" s="23"/>
    </row>
    <row r="2511">
      <c r="A2511" s="11"/>
      <c r="B2511" s="12"/>
      <c r="C2511" s="13"/>
      <c r="E2511" s="6"/>
      <c r="F2511" s="7"/>
      <c r="H2511" s="11"/>
      <c r="J2511" s="18"/>
      <c r="L2511" s="18"/>
      <c r="M2511" s="23"/>
    </row>
    <row r="2512">
      <c r="A2512" s="11"/>
      <c r="B2512" s="12"/>
      <c r="C2512" s="13"/>
      <c r="E2512" s="6"/>
      <c r="F2512" s="7"/>
      <c r="H2512" s="11"/>
      <c r="J2512" s="18"/>
      <c r="L2512" s="18"/>
      <c r="M2512" s="23"/>
    </row>
    <row r="2513">
      <c r="A2513" s="11"/>
      <c r="B2513" s="12"/>
      <c r="C2513" s="13"/>
      <c r="E2513" s="6"/>
      <c r="F2513" s="7"/>
      <c r="H2513" s="11"/>
      <c r="J2513" s="18"/>
      <c r="L2513" s="18"/>
      <c r="M2513" s="23"/>
    </row>
    <row r="2514">
      <c r="A2514" s="11"/>
      <c r="B2514" s="12"/>
      <c r="C2514" s="13"/>
      <c r="E2514" s="6"/>
      <c r="F2514" s="7"/>
      <c r="H2514" s="11"/>
      <c r="J2514" s="18"/>
      <c r="L2514" s="18"/>
      <c r="M2514" s="23"/>
    </row>
    <row r="2515">
      <c r="A2515" s="11"/>
      <c r="B2515" s="12"/>
      <c r="C2515" s="13"/>
      <c r="E2515" s="6"/>
      <c r="F2515" s="7"/>
      <c r="H2515" s="11"/>
      <c r="J2515" s="18"/>
      <c r="L2515" s="18"/>
      <c r="M2515" s="23"/>
    </row>
    <row r="2516">
      <c r="A2516" s="11"/>
      <c r="B2516" s="12"/>
      <c r="C2516" s="13"/>
      <c r="E2516" s="6"/>
      <c r="F2516" s="7"/>
      <c r="H2516" s="11"/>
      <c r="J2516" s="18"/>
      <c r="L2516" s="18"/>
      <c r="M2516" s="23"/>
    </row>
    <row r="2517">
      <c r="A2517" s="11"/>
      <c r="B2517" s="12"/>
      <c r="C2517" s="13"/>
      <c r="E2517" s="6"/>
      <c r="F2517" s="7"/>
      <c r="H2517" s="11"/>
      <c r="J2517" s="18"/>
      <c r="L2517" s="18"/>
      <c r="M2517" s="23"/>
    </row>
    <row r="2518">
      <c r="A2518" s="11"/>
      <c r="B2518" s="12"/>
      <c r="C2518" s="13"/>
      <c r="E2518" s="6"/>
      <c r="F2518" s="7"/>
      <c r="H2518" s="11"/>
      <c r="J2518" s="18"/>
      <c r="L2518" s="18"/>
      <c r="M2518" s="23"/>
    </row>
    <row r="2519">
      <c r="A2519" s="11"/>
      <c r="B2519" s="12"/>
      <c r="C2519" s="13"/>
      <c r="E2519" s="6"/>
      <c r="F2519" s="7"/>
      <c r="H2519" s="11"/>
      <c r="J2519" s="18"/>
      <c r="L2519" s="18"/>
      <c r="M2519" s="23"/>
    </row>
    <row r="2520">
      <c r="A2520" s="11"/>
      <c r="B2520" s="12"/>
      <c r="C2520" s="13"/>
      <c r="E2520" s="6"/>
      <c r="F2520" s="7"/>
      <c r="H2520" s="11"/>
      <c r="J2520" s="18"/>
      <c r="L2520" s="18"/>
      <c r="M2520" s="23"/>
    </row>
    <row r="2521">
      <c r="A2521" s="11"/>
      <c r="B2521" s="12"/>
      <c r="C2521" s="13"/>
      <c r="E2521" s="6"/>
      <c r="F2521" s="7"/>
      <c r="H2521" s="11"/>
      <c r="J2521" s="18"/>
      <c r="L2521" s="18"/>
      <c r="M2521" s="23"/>
    </row>
    <row r="2522">
      <c r="A2522" s="11"/>
      <c r="B2522" s="12"/>
      <c r="C2522" s="13"/>
      <c r="E2522" s="6"/>
      <c r="F2522" s="7"/>
      <c r="H2522" s="11"/>
      <c r="J2522" s="18"/>
      <c r="L2522" s="18"/>
      <c r="M2522" s="23"/>
    </row>
    <row r="2523">
      <c r="A2523" s="11"/>
      <c r="B2523" s="12"/>
      <c r="C2523" s="13"/>
      <c r="E2523" s="6"/>
      <c r="F2523" s="7"/>
      <c r="H2523" s="11"/>
      <c r="J2523" s="18"/>
      <c r="L2523" s="18"/>
      <c r="M2523" s="23"/>
    </row>
    <row r="2524">
      <c r="A2524" s="11"/>
      <c r="B2524" s="12"/>
      <c r="C2524" s="13"/>
      <c r="E2524" s="6"/>
      <c r="F2524" s="7"/>
      <c r="H2524" s="11"/>
      <c r="J2524" s="18"/>
      <c r="L2524" s="18"/>
      <c r="M2524" s="23"/>
    </row>
    <row r="2525">
      <c r="A2525" s="11"/>
      <c r="B2525" s="12"/>
      <c r="C2525" s="13"/>
      <c r="E2525" s="6"/>
      <c r="F2525" s="7"/>
      <c r="H2525" s="11"/>
      <c r="J2525" s="18"/>
      <c r="L2525" s="18"/>
      <c r="M2525" s="23"/>
    </row>
    <row r="2526">
      <c r="A2526" s="11"/>
      <c r="B2526" s="12"/>
      <c r="C2526" s="13"/>
      <c r="E2526" s="6"/>
      <c r="F2526" s="7"/>
      <c r="H2526" s="11"/>
      <c r="J2526" s="18"/>
      <c r="L2526" s="18"/>
      <c r="M2526" s="23"/>
    </row>
    <row r="2527">
      <c r="A2527" s="11"/>
      <c r="B2527" s="12"/>
      <c r="C2527" s="13"/>
      <c r="E2527" s="6"/>
      <c r="F2527" s="7"/>
      <c r="H2527" s="11"/>
      <c r="J2527" s="18"/>
      <c r="L2527" s="18"/>
      <c r="M2527" s="23"/>
    </row>
    <row r="2528">
      <c r="A2528" s="11"/>
      <c r="B2528" s="12"/>
      <c r="C2528" s="13"/>
      <c r="E2528" s="6"/>
      <c r="F2528" s="7"/>
      <c r="H2528" s="11"/>
      <c r="J2528" s="18"/>
      <c r="L2528" s="18"/>
      <c r="M2528" s="23"/>
    </row>
    <row r="2529">
      <c r="A2529" s="11"/>
      <c r="B2529" s="12"/>
      <c r="C2529" s="13"/>
      <c r="E2529" s="6"/>
      <c r="F2529" s="7"/>
      <c r="H2529" s="11"/>
      <c r="J2529" s="18"/>
      <c r="L2529" s="18"/>
      <c r="M2529" s="23"/>
    </row>
    <row r="2530">
      <c r="A2530" s="11"/>
      <c r="B2530" s="12"/>
      <c r="C2530" s="13"/>
      <c r="E2530" s="6"/>
      <c r="F2530" s="7"/>
      <c r="H2530" s="11"/>
      <c r="J2530" s="18"/>
      <c r="L2530" s="18"/>
      <c r="M2530" s="23"/>
    </row>
    <row r="2531">
      <c r="A2531" s="11"/>
      <c r="B2531" s="12"/>
      <c r="C2531" s="13"/>
      <c r="E2531" s="6"/>
      <c r="F2531" s="7"/>
      <c r="H2531" s="11"/>
      <c r="J2531" s="18"/>
      <c r="L2531" s="18"/>
      <c r="M2531" s="23"/>
    </row>
    <row r="2532">
      <c r="A2532" s="11"/>
      <c r="B2532" s="12"/>
      <c r="C2532" s="13"/>
      <c r="E2532" s="6"/>
      <c r="F2532" s="7"/>
      <c r="H2532" s="11"/>
      <c r="J2532" s="18"/>
      <c r="L2532" s="18"/>
      <c r="M2532" s="23"/>
    </row>
    <row r="2533">
      <c r="A2533" s="11"/>
      <c r="B2533" s="12"/>
      <c r="C2533" s="13"/>
      <c r="E2533" s="6"/>
      <c r="F2533" s="7"/>
      <c r="H2533" s="11"/>
      <c r="J2533" s="18"/>
      <c r="L2533" s="18"/>
      <c r="M2533" s="23"/>
    </row>
    <row r="2534">
      <c r="A2534" s="11"/>
      <c r="B2534" s="12"/>
      <c r="C2534" s="13"/>
      <c r="E2534" s="6"/>
      <c r="F2534" s="7"/>
      <c r="H2534" s="11"/>
      <c r="J2534" s="18"/>
      <c r="L2534" s="18"/>
      <c r="M2534" s="23"/>
    </row>
    <row r="2535">
      <c r="A2535" s="11"/>
      <c r="B2535" s="12"/>
      <c r="C2535" s="13"/>
      <c r="E2535" s="6"/>
      <c r="F2535" s="7"/>
      <c r="H2535" s="11"/>
      <c r="J2535" s="18"/>
      <c r="L2535" s="18"/>
      <c r="M2535" s="23"/>
    </row>
    <row r="2536">
      <c r="A2536" s="11"/>
      <c r="B2536" s="12"/>
      <c r="C2536" s="13"/>
      <c r="E2536" s="6"/>
      <c r="F2536" s="7"/>
      <c r="H2536" s="11"/>
      <c r="J2536" s="18"/>
      <c r="L2536" s="18"/>
      <c r="M2536" s="23"/>
    </row>
    <row r="2537">
      <c r="A2537" s="11"/>
      <c r="B2537" s="12"/>
      <c r="C2537" s="13"/>
      <c r="E2537" s="6"/>
      <c r="F2537" s="7"/>
      <c r="H2537" s="11"/>
      <c r="J2537" s="18"/>
      <c r="L2537" s="18"/>
      <c r="M2537" s="23"/>
    </row>
    <row r="2538">
      <c r="A2538" s="11"/>
      <c r="B2538" s="12"/>
      <c r="C2538" s="13"/>
      <c r="E2538" s="6"/>
      <c r="F2538" s="7"/>
      <c r="H2538" s="11"/>
      <c r="J2538" s="18"/>
      <c r="L2538" s="18"/>
      <c r="M2538" s="23"/>
    </row>
    <row r="2539">
      <c r="A2539" s="11"/>
      <c r="B2539" s="12"/>
      <c r="C2539" s="13"/>
      <c r="E2539" s="6"/>
      <c r="F2539" s="7"/>
      <c r="H2539" s="11"/>
      <c r="J2539" s="18"/>
      <c r="L2539" s="18"/>
      <c r="M2539" s="23"/>
    </row>
    <row r="2540">
      <c r="A2540" s="11"/>
      <c r="B2540" s="12"/>
      <c r="C2540" s="13"/>
      <c r="E2540" s="6"/>
      <c r="F2540" s="7"/>
      <c r="H2540" s="11"/>
      <c r="J2540" s="18"/>
      <c r="L2540" s="18"/>
      <c r="M2540" s="23"/>
    </row>
    <row r="2541">
      <c r="A2541" s="11"/>
      <c r="B2541" s="12"/>
      <c r="C2541" s="13"/>
      <c r="E2541" s="6"/>
      <c r="F2541" s="7"/>
      <c r="H2541" s="11"/>
      <c r="J2541" s="18"/>
      <c r="L2541" s="18"/>
      <c r="M2541" s="23"/>
    </row>
    <row r="2542">
      <c r="A2542" s="11"/>
      <c r="B2542" s="12"/>
      <c r="C2542" s="13"/>
      <c r="E2542" s="6"/>
      <c r="F2542" s="7"/>
      <c r="H2542" s="11"/>
      <c r="J2542" s="18"/>
      <c r="L2542" s="18"/>
      <c r="M2542" s="23"/>
    </row>
    <row r="2543">
      <c r="A2543" s="11"/>
      <c r="B2543" s="12"/>
      <c r="C2543" s="13"/>
      <c r="E2543" s="6"/>
      <c r="F2543" s="7"/>
      <c r="H2543" s="11"/>
      <c r="J2543" s="18"/>
      <c r="L2543" s="18"/>
      <c r="M2543" s="23"/>
    </row>
    <row r="2544">
      <c r="A2544" s="11"/>
      <c r="B2544" s="12"/>
      <c r="C2544" s="13"/>
      <c r="E2544" s="6"/>
      <c r="F2544" s="7"/>
      <c r="H2544" s="11"/>
      <c r="J2544" s="18"/>
      <c r="L2544" s="18"/>
      <c r="M2544" s="23"/>
    </row>
    <row r="2545">
      <c r="A2545" s="11"/>
      <c r="B2545" s="12"/>
      <c r="C2545" s="13"/>
      <c r="E2545" s="6"/>
      <c r="F2545" s="7"/>
      <c r="H2545" s="11"/>
      <c r="J2545" s="18"/>
      <c r="L2545" s="18"/>
      <c r="M2545" s="23"/>
    </row>
    <row r="2546">
      <c r="A2546" s="11"/>
      <c r="B2546" s="12"/>
      <c r="C2546" s="13"/>
      <c r="E2546" s="6"/>
      <c r="F2546" s="7"/>
      <c r="H2546" s="11"/>
      <c r="J2546" s="18"/>
      <c r="L2546" s="18"/>
      <c r="M2546" s="23"/>
    </row>
    <row r="2547">
      <c r="A2547" s="11"/>
      <c r="B2547" s="12"/>
      <c r="C2547" s="13"/>
      <c r="E2547" s="6"/>
      <c r="F2547" s="7"/>
      <c r="H2547" s="11"/>
      <c r="J2547" s="18"/>
      <c r="L2547" s="18"/>
      <c r="M2547" s="23"/>
    </row>
    <row r="2548">
      <c r="A2548" s="11"/>
      <c r="B2548" s="12"/>
      <c r="C2548" s="13"/>
      <c r="E2548" s="6"/>
      <c r="F2548" s="7"/>
      <c r="H2548" s="11"/>
      <c r="J2548" s="18"/>
      <c r="L2548" s="18"/>
      <c r="M2548" s="23"/>
    </row>
    <row r="2549">
      <c r="A2549" s="11"/>
      <c r="B2549" s="12"/>
      <c r="C2549" s="13"/>
      <c r="E2549" s="6"/>
      <c r="F2549" s="7"/>
      <c r="H2549" s="11"/>
      <c r="J2549" s="18"/>
      <c r="L2549" s="18"/>
      <c r="M2549" s="23"/>
    </row>
    <row r="2550">
      <c r="A2550" s="11"/>
      <c r="B2550" s="12"/>
      <c r="C2550" s="13"/>
      <c r="E2550" s="6"/>
      <c r="F2550" s="7"/>
      <c r="H2550" s="11"/>
      <c r="J2550" s="18"/>
      <c r="L2550" s="18"/>
      <c r="M2550" s="23"/>
    </row>
    <row r="2551">
      <c r="A2551" s="11"/>
      <c r="B2551" s="12"/>
      <c r="C2551" s="13"/>
      <c r="E2551" s="6"/>
      <c r="F2551" s="7"/>
      <c r="H2551" s="11"/>
      <c r="J2551" s="18"/>
      <c r="L2551" s="18"/>
      <c r="M2551" s="23"/>
    </row>
    <row r="2552">
      <c r="A2552" s="11"/>
      <c r="B2552" s="12"/>
      <c r="C2552" s="13"/>
      <c r="E2552" s="6"/>
      <c r="F2552" s="7"/>
      <c r="H2552" s="11"/>
      <c r="J2552" s="18"/>
      <c r="L2552" s="18"/>
      <c r="M2552" s="23"/>
    </row>
    <row r="2553">
      <c r="A2553" s="11"/>
      <c r="B2553" s="12"/>
      <c r="C2553" s="13"/>
      <c r="E2553" s="6"/>
      <c r="F2553" s="7"/>
      <c r="H2553" s="11"/>
      <c r="J2553" s="18"/>
      <c r="L2553" s="18"/>
      <c r="M2553" s="23"/>
    </row>
    <row r="2554">
      <c r="A2554" s="11"/>
      <c r="B2554" s="12"/>
      <c r="C2554" s="13"/>
      <c r="E2554" s="6"/>
      <c r="F2554" s="7"/>
      <c r="H2554" s="11"/>
      <c r="J2554" s="18"/>
      <c r="L2554" s="18"/>
      <c r="M2554" s="23"/>
    </row>
    <row r="2555">
      <c r="A2555" s="11"/>
      <c r="B2555" s="12"/>
      <c r="C2555" s="13"/>
      <c r="E2555" s="6"/>
      <c r="F2555" s="7"/>
      <c r="H2555" s="11"/>
      <c r="J2555" s="18"/>
      <c r="L2555" s="18"/>
      <c r="M2555" s="23"/>
    </row>
    <row r="2556">
      <c r="A2556" s="11"/>
      <c r="B2556" s="12"/>
      <c r="C2556" s="13"/>
      <c r="E2556" s="6"/>
      <c r="F2556" s="7"/>
      <c r="H2556" s="11"/>
      <c r="J2556" s="18"/>
      <c r="L2556" s="18"/>
      <c r="M2556" s="23"/>
    </row>
    <row r="2557">
      <c r="A2557" s="11"/>
      <c r="B2557" s="12"/>
      <c r="C2557" s="13"/>
      <c r="E2557" s="6"/>
      <c r="F2557" s="7"/>
      <c r="H2557" s="11"/>
      <c r="J2557" s="18"/>
      <c r="L2557" s="18"/>
      <c r="M2557" s="23"/>
    </row>
    <row r="2558">
      <c r="A2558" s="11"/>
      <c r="B2558" s="12"/>
      <c r="C2558" s="13"/>
      <c r="E2558" s="6"/>
      <c r="F2558" s="7"/>
      <c r="H2558" s="11"/>
      <c r="J2558" s="18"/>
      <c r="L2558" s="18"/>
      <c r="M2558" s="23"/>
    </row>
    <row r="2559">
      <c r="A2559" s="11"/>
      <c r="B2559" s="12"/>
      <c r="C2559" s="13"/>
      <c r="E2559" s="6"/>
      <c r="F2559" s="7"/>
      <c r="H2559" s="11"/>
      <c r="J2559" s="18"/>
      <c r="L2559" s="18"/>
      <c r="M2559" s="23"/>
    </row>
    <row r="2560">
      <c r="A2560" s="11"/>
      <c r="B2560" s="12"/>
      <c r="C2560" s="13"/>
      <c r="E2560" s="6"/>
      <c r="F2560" s="7"/>
      <c r="H2560" s="11"/>
      <c r="J2560" s="18"/>
      <c r="L2560" s="18"/>
      <c r="M2560" s="23"/>
    </row>
    <row r="2561">
      <c r="A2561" s="11"/>
      <c r="B2561" s="12"/>
      <c r="C2561" s="13"/>
      <c r="E2561" s="6"/>
      <c r="F2561" s="7"/>
      <c r="H2561" s="11"/>
      <c r="J2561" s="18"/>
      <c r="L2561" s="18"/>
      <c r="M2561" s="23"/>
    </row>
    <row r="2562">
      <c r="A2562" s="11"/>
      <c r="B2562" s="12"/>
      <c r="C2562" s="13"/>
      <c r="E2562" s="6"/>
      <c r="F2562" s="7"/>
      <c r="H2562" s="11"/>
      <c r="J2562" s="18"/>
      <c r="L2562" s="18"/>
      <c r="M2562" s="23"/>
    </row>
    <row r="2563">
      <c r="A2563" s="11"/>
      <c r="B2563" s="12"/>
      <c r="C2563" s="13"/>
      <c r="E2563" s="6"/>
      <c r="F2563" s="7"/>
      <c r="H2563" s="11"/>
      <c r="J2563" s="18"/>
      <c r="L2563" s="18"/>
      <c r="M2563" s="23"/>
    </row>
    <row r="2564">
      <c r="A2564" s="11"/>
      <c r="B2564" s="12"/>
      <c r="C2564" s="13"/>
      <c r="E2564" s="6"/>
      <c r="F2564" s="7"/>
      <c r="H2564" s="11"/>
      <c r="J2564" s="18"/>
      <c r="L2564" s="18"/>
      <c r="M2564" s="23"/>
    </row>
    <row r="2565">
      <c r="A2565" s="11"/>
      <c r="B2565" s="12"/>
      <c r="C2565" s="13"/>
      <c r="E2565" s="6"/>
      <c r="F2565" s="7"/>
      <c r="H2565" s="11"/>
      <c r="J2565" s="18"/>
      <c r="L2565" s="18"/>
      <c r="M2565" s="23"/>
    </row>
    <row r="2566">
      <c r="A2566" s="11"/>
      <c r="B2566" s="12"/>
      <c r="C2566" s="13"/>
      <c r="E2566" s="6"/>
      <c r="F2566" s="7"/>
      <c r="H2566" s="11"/>
      <c r="J2566" s="18"/>
      <c r="L2566" s="18"/>
      <c r="M2566" s="23"/>
    </row>
    <row r="2567">
      <c r="A2567" s="11"/>
      <c r="B2567" s="12"/>
      <c r="C2567" s="13"/>
      <c r="E2567" s="6"/>
      <c r="F2567" s="7"/>
      <c r="H2567" s="11"/>
      <c r="J2567" s="18"/>
      <c r="L2567" s="18"/>
      <c r="M2567" s="23"/>
    </row>
    <row r="2568">
      <c r="A2568" s="11"/>
      <c r="B2568" s="12"/>
      <c r="C2568" s="13"/>
      <c r="E2568" s="6"/>
      <c r="F2568" s="7"/>
      <c r="H2568" s="11"/>
      <c r="J2568" s="18"/>
      <c r="L2568" s="18"/>
      <c r="M2568" s="23"/>
    </row>
    <row r="2569">
      <c r="A2569" s="11"/>
      <c r="B2569" s="12"/>
      <c r="C2569" s="13"/>
      <c r="E2569" s="6"/>
      <c r="F2569" s="7"/>
      <c r="H2569" s="11"/>
      <c r="J2569" s="18"/>
      <c r="L2569" s="18"/>
      <c r="M2569" s="23"/>
    </row>
    <row r="2570">
      <c r="A2570" s="11"/>
      <c r="B2570" s="12"/>
      <c r="C2570" s="13"/>
      <c r="E2570" s="6"/>
      <c r="F2570" s="7"/>
      <c r="H2570" s="11"/>
      <c r="J2570" s="18"/>
      <c r="L2570" s="18"/>
      <c r="M2570" s="23"/>
    </row>
    <row r="2571">
      <c r="A2571" s="11"/>
      <c r="B2571" s="12"/>
      <c r="C2571" s="13"/>
      <c r="E2571" s="6"/>
      <c r="F2571" s="7"/>
      <c r="H2571" s="11"/>
      <c r="J2571" s="18"/>
      <c r="L2571" s="18"/>
      <c r="M2571" s="23"/>
    </row>
    <row r="2572">
      <c r="A2572" s="11"/>
      <c r="B2572" s="12"/>
      <c r="C2572" s="13"/>
      <c r="E2572" s="6"/>
      <c r="F2572" s="7"/>
      <c r="H2572" s="11"/>
      <c r="J2572" s="18"/>
      <c r="L2572" s="18"/>
      <c r="M2572" s="23"/>
    </row>
    <row r="2573">
      <c r="A2573" s="11"/>
      <c r="B2573" s="12"/>
      <c r="C2573" s="13"/>
      <c r="E2573" s="6"/>
      <c r="F2573" s="7"/>
      <c r="H2573" s="11"/>
      <c r="J2573" s="18"/>
      <c r="L2573" s="18"/>
      <c r="M2573" s="23"/>
    </row>
    <row r="2574">
      <c r="A2574" s="11"/>
      <c r="B2574" s="12"/>
      <c r="C2574" s="13"/>
      <c r="E2574" s="6"/>
      <c r="F2574" s="7"/>
      <c r="H2574" s="11"/>
      <c r="J2574" s="18"/>
      <c r="L2574" s="18"/>
      <c r="M2574" s="23"/>
    </row>
    <row r="2575">
      <c r="A2575" s="11"/>
      <c r="B2575" s="12"/>
      <c r="C2575" s="13"/>
      <c r="E2575" s="6"/>
      <c r="F2575" s="7"/>
      <c r="H2575" s="11"/>
      <c r="J2575" s="18"/>
      <c r="L2575" s="18"/>
      <c r="M2575" s="23"/>
    </row>
    <row r="2576">
      <c r="A2576" s="11"/>
      <c r="B2576" s="12"/>
      <c r="C2576" s="13"/>
      <c r="E2576" s="6"/>
      <c r="F2576" s="7"/>
      <c r="H2576" s="11"/>
      <c r="J2576" s="18"/>
      <c r="L2576" s="18"/>
      <c r="M2576" s="23"/>
    </row>
    <row r="2577">
      <c r="A2577" s="11"/>
      <c r="B2577" s="12"/>
      <c r="C2577" s="13"/>
      <c r="E2577" s="6"/>
      <c r="F2577" s="7"/>
      <c r="H2577" s="11"/>
      <c r="J2577" s="18"/>
      <c r="L2577" s="18"/>
      <c r="M2577" s="23"/>
    </row>
    <row r="2578">
      <c r="A2578" s="11"/>
      <c r="B2578" s="12"/>
      <c r="C2578" s="13"/>
      <c r="E2578" s="6"/>
      <c r="F2578" s="7"/>
      <c r="H2578" s="11"/>
      <c r="J2578" s="18"/>
      <c r="L2578" s="18"/>
      <c r="M2578" s="23"/>
    </row>
    <row r="2579">
      <c r="A2579" s="11"/>
      <c r="B2579" s="12"/>
      <c r="C2579" s="13"/>
      <c r="E2579" s="6"/>
      <c r="F2579" s="7"/>
      <c r="H2579" s="11"/>
      <c r="J2579" s="18"/>
      <c r="L2579" s="18"/>
      <c r="M2579" s="23"/>
    </row>
    <row r="2580">
      <c r="A2580" s="11"/>
      <c r="B2580" s="12"/>
      <c r="C2580" s="13"/>
      <c r="E2580" s="6"/>
      <c r="F2580" s="7"/>
      <c r="H2580" s="11"/>
      <c r="J2580" s="18"/>
      <c r="L2580" s="18"/>
      <c r="M2580" s="23"/>
    </row>
    <row r="2581">
      <c r="A2581" s="11"/>
      <c r="B2581" s="12"/>
      <c r="C2581" s="13"/>
      <c r="E2581" s="6"/>
      <c r="F2581" s="7"/>
      <c r="H2581" s="11"/>
      <c r="J2581" s="18"/>
      <c r="L2581" s="18"/>
      <c r="M2581" s="23"/>
    </row>
    <row r="2582">
      <c r="A2582" s="11"/>
      <c r="B2582" s="12"/>
      <c r="C2582" s="13"/>
      <c r="E2582" s="6"/>
      <c r="F2582" s="7"/>
      <c r="H2582" s="11"/>
      <c r="J2582" s="18"/>
      <c r="L2582" s="18"/>
      <c r="M2582" s="23"/>
    </row>
    <row r="2583">
      <c r="A2583" s="11"/>
      <c r="B2583" s="12"/>
      <c r="C2583" s="13"/>
      <c r="E2583" s="6"/>
      <c r="F2583" s="7"/>
      <c r="H2583" s="11"/>
      <c r="J2583" s="18"/>
      <c r="L2583" s="18"/>
      <c r="M2583" s="23"/>
    </row>
    <row r="2584">
      <c r="A2584" s="11"/>
      <c r="B2584" s="12"/>
      <c r="C2584" s="13"/>
      <c r="E2584" s="6"/>
      <c r="F2584" s="7"/>
      <c r="H2584" s="11"/>
      <c r="J2584" s="18"/>
      <c r="L2584" s="18"/>
      <c r="M2584" s="23"/>
    </row>
    <row r="2585">
      <c r="A2585" s="11"/>
      <c r="B2585" s="12"/>
      <c r="C2585" s="13"/>
      <c r="E2585" s="6"/>
      <c r="F2585" s="7"/>
      <c r="H2585" s="11"/>
      <c r="J2585" s="18"/>
      <c r="L2585" s="18"/>
      <c r="M2585" s="23"/>
    </row>
    <row r="2586">
      <c r="A2586" s="11"/>
      <c r="B2586" s="12"/>
      <c r="C2586" s="13"/>
      <c r="E2586" s="6"/>
      <c r="F2586" s="7"/>
      <c r="H2586" s="11"/>
      <c r="J2586" s="18"/>
      <c r="L2586" s="18"/>
      <c r="M2586" s="23"/>
    </row>
    <row r="2587">
      <c r="A2587" s="11"/>
      <c r="B2587" s="12"/>
      <c r="C2587" s="13"/>
      <c r="E2587" s="6"/>
      <c r="F2587" s="7"/>
      <c r="H2587" s="11"/>
      <c r="J2587" s="18"/>
      <c r="L2587" s="18"/>
      <c r="M2587" s="23"/>
    </row>
    <row r="2588">
      <c r="A2588" s="11"/>
      <c r="B2588" s="12"/>
      <c r="C2588" s="13"/>
      <c r="E2588" s="6"/>
      <c r="F2588" s="7"/>
      <c r="H2588" s="11"/>
      <c r="J2588" s="18"/>
      <c r="L2588" s="18"/>
      <c r="M2588" s="23"/>
    </row>
    <row r="2589">
      <c r="A2589" s="11"/>
      <c r="B2589" s="12"/>
      <c r="C2589" s="13"/>
      <c r="E2589" s="6"/>
      <c r="F2589" s="7"/>
      <c r="H2589" s="11"/>
      <c r="J2589" s="18"/>
      <c r="L2589" s="18"/>
      <c r="M2589" s="23"/>
    </row>
    <row r="2590">
      <c r="A2590" s="11"/>
      <c r="B2590" s="12"/>
      <c r="C2590" s="13"/>
      <c r="E2590" s="6"/>
      <c r="F2590" s="7"/>
      <c r="H2590" s="11"/>
      <c r="J2590" s="18"/>
      <c r="L2590" s="18"/>
      <c r="M2590" s="23"/>
    </row>
    <row r="2591">
      <c r="A2591" s="11"/>
      <c r="B2591" s="12"/>
      <c r="C2591" s="13"/>
      <c r="E2591" s="6"/>
      <c r="F2591" s="7"/>
      <c r="H2591" s="11"/>
      <c r="J2591" s="18"/>
      <c r="L2591" s="18"/>
      <c r="M2591" s="23"/>
    </row>
    <row r="2592">
      <c r="A2592" s="11"/>
      <c r="B2592" s="12"/>
      <c r="C2592" s="13"/>
      <c r="E2592" s="6"/>
      <c r="F2592" s="7"/>
      <c r="H2592" s="11"/>
      <c r="J2592" s="18"/>
      <c r="L2592" s="18"/>
      <c r="M2592" s="23"/>
    </row>
    <row r="2593">
      <c r="A2593" s="11"/>
      <c r="B2593" s="12"/>
      <c r="C2593" s="13"/>
      <c r="E2593" s="6"/>
      <c r="F2593" s="7"/>
      <c r="H2593" s="11"/>
      <c r="J2593" s="18"/>
      <c r="L2593" s="18"/>
      <c r="M2593" s="23"/>
    </row>
    <row r="2594">
      <c r="A2594" s="11"/>
      <c r="B2594" s="12"/>
      <c r="C2594" s="13"/>
      <c r="E2594" s="6"/>
      <c r="F2594" s="7"/>
      <c r="H2594" s="11"/>
      <c r="J2594" s="18"/>
      <c r="L2594" s="18"/>
      <c r="M2594" s="23"/>
    </row>
    <row r="2595">
      <c r="A2595" s="11"/>
      <c r="B2595" s="12"/>
      <c r="C2595" s="13"/>
      <c r="E2595" s="6"/>
      <c r="F2595" s="7"/>
      <c r="H2595" s="11"/>
      <c r="J2595" s="18"/>
      <c r="L2595" s="18"/>
      <c r="M2595" s="23"/>
    </row>
    <row r="2596">
      <c r="A2596" s="11"/>
      <c r="B2596" s="12"/>
      <c r="C2596" s="13"/>
      <c r="E2596" s="6"/>
      <c r="F2596" s="7"/>
      <c r="H2596" s="11"/>
      <c r="J2596" s="18"/>
      <c r="L2596" s="18"/>
      <c r="M2596" s="23"/>
    </row>
    <row r="2597">
      <c r="A2597" s="11"/>
      <c r="B2597" s="12"/>
      <c r="C2597" s="13"/>
      <c r="E2597" s="6"/>
      <c r="F2597" s="7"/>
      <c r="H2597" s="11"/>
      <c r="J2597" s="18"/>
      <c r="L2597" s="18"/>
      <c r="M2597" s="23"/>
    </row>
    <row r="2598">
      <c r="A2598" s="11"/>
      <c r="B2598" s="12"/>
      <c r="C2598" s="13"/>
      <c r="E2598" s="6"/>
      <c r="F2598" s="7"/>
      <c r="H2598" s="11"/>
      <c r="J2598" s="18"/>
      <c r="L2598" s="18"/>
      <c r="M2598" s="23"/>
    </row>
    <row r="2599">
      <c r="A2599" s="11"/>
      <c r="B2599" s="12"/>
      <c r="C2599" s="13"/>
      <c r="E2599" s="6"/>
      <c r="F2599" s="7"/>
      <c r="H2599" s="11"/>
      <c r="J2599" s="18"/>
      <c r="L2599" s="18"/>
      <c r="M2599" s="23"/>
    </row>
    <row r="2600">
      <c r="A2600" s="11"/>
      <c r="B2600" s="12"/>
      <c r="C2600" s="13"/>
      <c r="E2600" s="6"/>
      <c r="F2600" s="7"/>
      <c r="H2600" s="11"/>
      <c r="J2600" s="18"/>
      <c r="L2600" s="18"/>
      <c r="M2600" s="23"/>
    </row>
    <row r="2601">
      <c r="A2601" s="11"/>
      <c r="B2601" s="12"/>
      <c r="C2601" s="13"/>
      <c r="E2601" s="6"/>
      <c r="F2601" s="7"/>
      <c r="H2601" s="11"/>
      <c r="J2601" s="18"/>
      <c r="L2601" s="18"/>
      <c r="M2601" s="23"/>
    </row>
    <row r="2602">
      <c r="A2602" s="11"/>
      <c r="B2602" s="12"/>
      <c r="C2602" s="13"/>
      <c r="E2602" s="6"/>
      <c r="F2602" s="7"/>
      <c r="H2602" s="11"/>
      <c r="J2602" s="18"/>
      <c r="L2602" s="18"/>
      <c r="M2602" s="23"/>
    </row>
    <row r="2603">
      <c r="A2603" s="11"/>
      <c r="B2603" s="12"/>
      <c r="C2603" s="13"/>
      <c r="E2603" s="6"/>
      <c r="F2603" s="7"/>
      <c r="H2603" s="11"/>
      <c r="J2603" s="18"/>
      <c r="L2603" s="18"/>
      <c r="M2603" s="23"/>
    </row>
    <row r="2604">
      <c r="A2604" s="11"/>
      <c r="B2604" s="12"/>
      <c r="C2604" s="13"/>
      <c r="E2604" s="6"/>
      <c r="F2604" s="7"/>
      <c r="H2604" s="11"/>
      <c r="J2604" s="18"/>
      <c r="L2604" s="18"/>
      <c r="M2604" s="23"/>
    </row>
    <row r="2605">
      <c r="A2605" s="11"/>
      <c r="B2605" s="12"/>
      <c r="C2605" s="13"/>
      <c r="E2605" s="6"/>
      <c r="F2605" s="7"/>
      <c r="H2605" s="11"/>
      <c r="J2605" s="18"/>
      <c r="L2605" s="18"/>
      <c r="M2605" s="23"/>
    </row>
    <row r="2606">
      <c r="A2606" s="11"/>
      <c r="B2606" s="12"/>
      <c r="C2606" s="13"/>
      <c r="E2606" s="6"/>
      <c r="F2606" s="7"/>
      <c r="H2606" s="11"/>
      <c r="J2606" s="18"/>
      <c r="L2606" s="18"/>
      <c r="M2606" s="23"/>
    </row>
    <row r="2607">
      <c r="A2607" s="11"/>
      <c r="B2607" s="12"/>
      <c r="C2607" s="13"/>
      <c r="E2607" s="6"/>
      <c r="F2607" s="7"/>
      <c r="H2607" s="11"/>
      <c r="J2607" s="18"/>
      <c r="L2607" s="18"/>
      <c r="M2607" s="23"/>
    </row>
    <row r="2608">
      <c r="A2608" s="11"/>
      <c r="B2608" s="12"/>
      <c r="C2608" s="13"/>
      <c r="E2608" s="6"/>
      <c r="F2608" s="7"/>
      <c r="H2608" s="11"/>
      <c r="J2608" s="18"/>
      <c r="L2608" s="18"/>
      <c r="M2608" s="23"/>
    </row>
    <row r="2609">
      <c r="A2609" s="11"/>
      <c r="B2609" s="12"/>
      <c r="C2609" s="13"/>
      <c r="E2609" s="6"/>
      <c r="F2609" s="7"/>
      <c r="H2609" s="11"/>
      <c r="J2609" s="18"/>
      <c r="L2609" s="18"/>
      <c r="M2609" s="23"/>
    </row>
    <row r="2610">
      <c r="A2610" s="11"/>
      <c r="B2610" s="12"/>
      <c r="C2610" s="13"/>
      <c r="E2610" s="6"/>
      <c r="F2610" s="7"/>
      <c r="H2610" s="11"/>
      <c r="J2610" s="18"/>
      <c r="L2610" s="18"/>
      <c r="M2610" s="23"/>
    </row>
    <row r="2611">
      <c r="A2611" s="11"/>
      <c r="B2611" s="12"/>
      <c r="C2611" s="13"/>
      <c r="E2611" s="6"/>
      <c r="F2611" s="7"/>
      <c r="H2611" s="11"/>
      <c r="J2611" s="18"/>
      <c r="L2611" s="18"/>
      <c r="M2611" s="23"/>
    </row>
    <row r="2612">
      <c r="A2612" s="11"/>
      <c r="B2612" s="12"/>
      <c r="C2612" s="13"/>
      <c r="E2612" s="6"/>
      <c r="F2612" s="7"/>
      <c r="H2612" s="11"/>
      <c r="J2612" s="18"/>
      <c r="L2612" s="18"/>
      <c r="M2612" s="23"/>
    </row>
    <row r="2613">
      <c r="A2613" s="11"/>
      <c r="B2613" s="12"/>
      <c r="C2613" s="13"/>
      <c r="E2613" s="6"/>
      <c r="F2613" s="7"/>
      <c r="H2613" s="11"/>
      <c r="J2613" s="18"/>
      <c r="L2613" s="18"/>
      <c r="M2613" s="23"/>
    </row>
    <row r="2614">
      <c r="A2614" s="11"/>
      <c r="B2614" s="12"/>
      <c r="C2614" s="13"/>
      <c r="E2614" s="6"/>
      <c r="F2614" s="7"/>
      <c r="H2614" s="11"/>
      <c r="J2614" s="18"/>
      <c r="L2614" s="18"/>
      <c r="M2614" s="23"/>
    </row>
    <row r="2615">
      <c r="A2615" s="11"/>
      <c r="B2615" s="12"/>
      <c r="C2615" s="13"/>
      <c r="E2615" s="6"/>
      <c r="F2615" s="7"/>
      <c r="H2615" s="11"/>
      <c r="J2615" s="18"/>
      <c r="L2615" s="18"/>
      <c r="M2615" s="23"/>
    </row>
    <row r="2616">
      <c r="A2616" s="11"/>
      <c r="B2616" s="12"/>
      <c r="C2616" s="13"/>
      <c r="E2616" s="6"/>
      <c r="F2616" s="7"/>
      <c r="H2616" s="11"/>
      <c r="J2616" s="18"/>
      <c r="L2616" s="18"/>
      <c r="M2616" s="23"/>
    </row>
    <row r="2617">
      <c r="A2617" s="11"/>
      <c r="B2617" s="12"/>
      <c r="C2617" s="13"/>
      <c r="E2617" s="6"/>
      <c r="F2617" s="7"/>
      <c r="H2617" s="11"/>
      <c r="J2617" s="18"/>
      <c r="L2617" s="18"/>
      <c r="M2617" s="23"/>
    </row>
    <row r="2618">
      <c r="A2618" s="11"/>
      <c r="B2618" s="12"/>
      <c r="C2618" s="13"/>
      <c r="E2618" s="6"/>
      <c r="F2618" s="7"/>
      <c r="H2618" s="11"/>
      <c r="J2618" s="18"/>
      <c r="L2618" s="18"/>
      <c r="M2618" s="23"/>
    </row>
    <row r="2619">
      <c r="A2619" s="11"/>
      <c r="B2619" s="12"/>
      <c r="C2619" s="13"/>
      <c r="E2619" s="6"/>
      <c r="F2619" s="7"/>
      <c r="H2619" s="11"/>
      <c r="J2619" s="18"/>
      <c r="L2619" s="18"/>
      <c r="M2619" s="23"/>
    </row>
    <row r="2620">
      <c r="A2620" s="11"/>
      <c r="B2620" s="12"/>
      <c r="C2620" s="13"/>
      <c r="E2620" s="6"/>
      <c r="F2620" s="7"/>
      <c r="H2620" s="11"/>
      <c r="J2620" s="18"/>
      <c r="L2620" s="18"/>
      <c r="M2620" s="23"/>
    </row>
    <row r="2621">
      <c r="A2621" s="11"/>
      <c r="B2621" s="12"/>
      <c r="C2621" s="13"/>
      <c r="E2621" s="6"/>
      <c r="F2621" s="7"/>
      <c r="H2621" s="11"/>
      <c r="J2621" s="18"/>
      <c r="L2621" s="18"/>
      <c r="M2621" s="23"/>
    </row>
    <row r="2622">
      <c r="A2622" s="11"/>
      <c r="B2622" s="12"/>
      <c r="C2622" s="13"/>
      <c r="E2622" s="6"/>
      <c r="F2622" s="7"/>
      <c r="H2622" s="11"/>
      <c r="J2622" s="18"/>
      <c r="L2622" s="18"/>
      <c r="M2622" s="23"/>
    </row>
    <row r="2623">
      <c r="A2623" s="11"/>
      <c r="B2623" s="12"/>
      <c r="C2623" s="13"/>
      <c r="E2623" s="6"/>
      <c r="F2623" s="7"/>
      <c r="H2623" s="11"/>
      <c r="J2623" s="18"/>
      <c r="L2623" s="18"/>
      <c r="M2623" s="23"/>
    </row>
    <row r="2624">
      <c r="A2624" s="11"/>
      <c r="B2624" s="12"/>
      <c r="C2624" s="13"/>
      <c r="E2624" s="6"/>
      <c r="F2624" s="7"/>
      <c r="H2624" s="11"/>
      <c r="J2624" s="18"/>
      <c r="L2624" s="18"/>
      <c r="M2624" s="23"/>
    </row>
    <row r="2625">
      <c r="A2625" s="11"/>
      <c r="B2625" s="12"/>
      <c r="C2625" s="13"/>
      <c r="E2625" s="6"/>
      <c r="F2625" s="7"/>
      <c r="H2625" s="11"/>
      <c r="J2625" s="18"/>
      <c r="L2625" s="18"/>
      <c r="M2625" s="23"/>
    </row>
    <row r="2626">
      <c r="A2626" s="11"/>
      <c r="B2626" s="12"/>
      <c r="C2626" s="13"/>
      <c r="E2626" s="6"/>
      <c r="F2626" s="7"/>
      <c r="H2626" s="11"/>
      <c r="J2626" s="18"/>
      <c r="L2626" s="18"/>
      <c r="M2626" s="23"/>
    </row>
    <row r="2627">
      <c r="A2627" s="11"/>
      <c r="B2627" s="12"/>
      <c r="C2627" s="13"/>
      <c r="E2627" s="6"/>
      <c r="F2627" s="7"/>
      <c r="H2627" s="11"/>
      <c r="J2627" s="18"/>
      <c r="L2627" s="18"/>
      <c r="M2627" s="23"/>
    </row>
    <row r="2628">
      <c r="A2628" s="11"/>
      <c r="B2628" s="12"/>
      <c r="C2628" s="13"/>
      <c r="E2628" s="6"/>
      <c r="F2628" s="7"/>
      <c r="H2628" s="11"/>
      <c r="J2628" s="18"/>
      <c r="L2628" s="18"/>
      <c r="M2628" s="23"/>
    </row>
    <row r="2629">
      <c r="A2629" s="11"/>
      <c r="B2629" s="12"/>
      <c r="C2629" s="13"/>
      <c r="E2629" s="6"/>
      <c r="F2629" s="7"/>
      <c r="H2629" s="11"/>
      <c r="J2629" s="18"/>
      <c r="L2629" s="18"/>
      <c r="M2629" s="23"/>
    </row>
    <row r="2630">
      <c r="A2630" s="11"/>
      <c r="B2630" s="12"/>
      <c r="C2630" s="13"/>
      <c r="E2630" s="6"/>
      <c r="F2630" s="7"/>
      <c r="H2630" s="11"/>
      <c r="J2630" s="18"/>
      <c r="L2630" s="18"/>
      <c r="M2630" s="23"/>
    </row>
    <row r="2631">
      <c r="A2631" s="11"/>
      <c r="B2631" s="12"/>
      <c r="C2631" s="13"/>
      <c r="E2631" s="6"/>
      <c r="F2631" s="7"/>
      <c r="H2631" s="11"/>
      <c r="J2631" s="18"/>
      <c r="L2631" s="18"/>
      <c r="M2631" s="23"/>
    </row>
    <row r="2632">
      <c r="A2632" s="11"/>
      <c r="B2632" s="12"/>
      <c r="C2632" s="13"/>
      <c r="E2632" s="6"/>
      <c r="F2632" s="7"/>
      <c r="H2632" s="11"/>
      <c r="J2632" s="18"/>
      <c r="L2632" s="18"/>
      <c r="M2632" s="23"/>
    </row>
    <row r="2633">
      <c r="A2633" s="11"/>
      <c r="B2633" s="12"/>
      <c r="C2633" s="13"/>
      <c r="E2633" s="6"/>
      <c r="F2633" s="7"/>
      <c r="H2633" s="11"/>
      <c r="J2633" s="18"/>
      <c r="L2633" s="18"/>
      <c r="M2633" s="23"/>
    </row>
    <row r="2634">
      <c r="A2634" s="11"/>
      <c r="B2634" s="12"/>
      <c r="C2634" s="13"/>
      <c r="E2634" s="6"/>
      <c r="F2634" s="7"/>
      <c r="H2634" s="11"/>
      <c r="J2634" s="18"/>
      <c r="L2634" s="18"/>
      <c r="M2634" s="23"/>
    </row>
    <row r="2635">
      <c r="A2635" s="11"/>
      <c r="B2635" s="12"/>
      <c r="C2635" s="13"/>
      <c r="E2635" s="6"/>
      <c r="F2635" s="7"/>
      <c r="H2635" s="11"/>
      <c r="J2635" s="18"/>
      <c r="L2635" s="18"/>
      <c r="M2635" s="23"/>
    </row>
    <row r="2636">
      <c r="A2636" s="11"/>
      <c r="B2636" s="12"/>
      <c r="C2636" s="13"/>
      <c r="E2636" s="6"/>
      <c r="F2636" s="7"/>
      <c r="H2636" s="11"/>
      <c r="J2636" s="18"/>
      <c r="L2636" s="18"/>
      <c r="M2636" s="23"/>
    </row>
    <row r="2637">
      <c r="A2637" s="11"/>
      <c r="B2637" s="12"/>
      <c r="C2637" s="13"/>
      <c r="E2637" s="6"/>
      <c r="F2637" s="7"/>
      <c r="H2637" s="11"/>
      <c r="J2637" s="18"/>
      <c r="L2637" s="18"/>
      <c r="M2637" s="23"/>
    </row>
    <row r="2638">
      <c r="A2638" s="11"/>
      <c r="B2638" s="12"/>
      <c r="C2638" s="13"/>
      <c r="E2638" s="6"/>
      <c r="F2638" s="7"/>
      <c r="H2638" s="11"/>
      <c r="J2638" s="18"/>
      <c r="L2638" s="18"/>
      <c r="M2638" s="23"/>
    </row>
    <row r="2639">
      <c r="A2639" s="11"/>
      <c r="B2639" s="12"/>
      <c r="C2639" s="13"/>
      <c r="E2639" s="6"/>
      <c r="F2639" s="7"/>
      <c r="H2639" s="11"/>
      <c r="J2639" s="18"/>
      <c r="L2639" s="18"/>
      <c r="M2639" s="23"/>
    </row>
    <row r="2640">
      <c r="A2640" s="11"/>
      <c r="B2640" s="12"/>
      <c r="C2640" s="13"/>
      <c r="E2640" s="6"/>
      <c r="F2640" s="7"/>
      <c r="H2640" s="11"/>
      <c r="J2640" s="18"/>
      <c r="L2640" s="18"/>
      <c r="M2640" s="23"/>
    </row>
    <row r="2641">
      <c r="A2641" s="11"/>
      <c r="B2641" s="12"/>
      <c r="C2641" s="13"/>
      <c r="E2641" s="6"/>
      <c r="F2641" s="7"/>
      <c r="H2641" s="11"/>
      <c r="J2641" s="18"/>
      <c r="L2641" s="18"/>
      <c r="M2641" s="23"/>
    </row>
    <row r="2642">
      <c r="A2642" s="11"/>
      <c r="B2642" s="12"/>
      <c r="C2642" s="13"/>
      <c r="E2642" s="6"/>
      <c r="F2642" s="7"/>
      <c r="H2642" s="11"/>
      <c r="J2642" s="18"/>
      <c r="L2642" s="18"/>
      <c r="M2642" s="23"/>
    </row>
    <row r="2643">
      <c r="A2643" s="11"/>
      <c r="B2643" s="12"/>
      <c r="C2643" s="13"/>
      <c r="E2643" s="6"/>
      <c r="F2643" s="7"/>
      <c r="H2643" s="11"/>
      <c r="J2643" s="18"/>
      <c r="L2643" s="18"/>
      <c r="M2643" s="23"/>
    </row>
    <row r="2644">
      <c r="A2644" s="11"/>
      <c r="B2644" s="12"/>
      <c r="C2644" s="13"/>
      <c r="E2644" s="6"/>
      <c r="F2644" s="7"/>
      <c r="H2644" s="11"/>
      <c r="J2644" s="18"/>
      <c r="L2644" s="18"/>
      <c r="M2644" s="23"/>
    </row>
    <row r="2645">
      <c r="A2645" s="11"/>
      <c r="B2645" s="12"/>
      <c r="C2645" s="13"/>
      <c r="E2645" s="6"/>
      <c r="F2645" s="7"/>
      <c r="H2645" s="11"/>
      <c r="J2645" s="18"/>
      <c r="L2645" s="18"/>
      <c r="M2645" s="23"/>
    </row>
    <row r="2646">
      <c r="A2646" s="11"/>
      <c r="B2646" s="12"/>
      <c r="C2646" s="13"/>
      <c r="E2646" s="6"/>
      <c r="F2646" s="7"/>
      <c r="H2646" s="11"/>
      <c r="J2646" s="18"/>
      <c r="L2646" s="18"/>
      <c r="M2646" s="23"/>
    </row>
    <row r="2647">
      <c r="A2647" s="11"/>
      <c r="B2647" s="12"/>
      <c r="C2647" s="13"/>
      <c r="E2647" s="6"/>
      <c r="F2647" s="7"/>
      <c r="H2647" s="11"/>
      <c r="J2647" s="18"/>
      <c r="L2647" s="18"/>
      <c r="M2647" s="23"/>
    </row>
    <row r="2648">
      <c r="A2648" s="11"/>
      <c r="B2648" s="12"/>
      <c r="C2648" s="13"/>
      <c r="E2648" s="6"/>
      <c r="F2648" s="7"/>
      <c r="H2648" s="11"/>
      <c r="J2648" s="18"/>
      <c r="L2648" s="18"/>
      <c r="M2648" s="23"/>
    </row>
    <row r="2649">
      <c r="A2649" s="11"/>
      <c r="B2649" s="12"/>
      <c r="C2649" s="13"/>
      <c r="E2649" s="6"/>
      <c r="F2649" s="7"/>
      <c r="H2649" s="11"/>
      <c r="J2649" s="18"/>
      <c r="L2649" s="18"/>
      <c r="M2649" s="23"/>
    </row>
    <row r="2650">
      <c r="A2650" s="11"/>
      <c r="B2650" s="12"/>
      <c r="C2650" s="13"/>
      <c r="E2650" s="6"/>
      <c r="F2650" s="7"/>
      <c r="H2650" s="11"/>
      <c r="J2650" s="18"/>
      <c r="L2650" s="18"/>
      <c r="M2650" s="23"/>
    </row>
    <row r="2651">
      <c r="A2651" s="11"/>
      <c r="B2651" s="12"/>
      <c r="C2651" s="13"/>
      <c r="E2651" s="6"/>
      <c r="F2651" s="7"/>
      <c r="H2651" s="11"/>
      <c r="J2651" s="18"/>
      <c r="L2651" s="18"/>
      <c r="M2651" s="23"/>
    </row>
    <row r="2652">
      <c r="A2652" s="11"/>
      <c r="B2652" s="12"/>
      <c r="C2652" s="13"/>
      <c r="E2652" s="6"/>
      <c r="F2652" s="7"/>
      <c r="H2652" s="11"/>
      <c r="J2652" s="18"/>
      <c r="L2652" s="18"/>
      <c r="M2652" s="23"/>
    </row>
    <row r="2653">
      <c r="A2653" s="11"/>
      <c r="B2653" s="12"/>
      <c r="C2653" s="13"/>
      <c r="E2653" s="6"/>
      <c r="F2653" s="7"/>
      <c r="H2653" s="11"/>
      <c r="J2653" s="18"/>
      <c r="L2653" s="18"/>
      <c r="M2653" s="23"/>
    </row>
    <row r="2654">
      <c r="A2654" s="11"/>
      <c r="B2654" s="12"/>
      <c r="C2654" s="13"/>
      <c r="E2654" s="6"/>
      <c r="F2654" s="7"/>
      <c r="H2654" s="11"/>
      <c r="J2654" s="18"/>
      <c r="L2654" s="18"/>
      <c r="M2654" s="23"/>
    </row>
    <row r="2655">
      <c r="A2655" s="11"/>
      <c r="B2655" s="12"/>
      <c r="C2655" s="13"/>
      <c r="E2655" s="6"/>
      <c r="F2655" s="7"/>
      <c r="H2655" s="11"/>
      <c r="J2655" s="18"/>
      <c r="L2655" s="18"/>
      <c r="M2655" s="23"/>
    </row>
    <row r="2656">
      <c r="A2656" s="11"/>
      <c r="B2656" s="12"/>
      <c r="C2656" s="13"/>
      <c r="E2656" s="6"/>
      <c r="F2656" s="7"/>
      <c r="H2656" s="11"/>
      <c r="J2656" s="18"/>
      <c r="L2656" s="18"/>
      <c r="M2656" s="23"/>
    </row>
    <row r="2657">
      <c r="A2657" s="11"/>
      <c r="B2657" s="12"/>
      <c r="C2657" s="13"/>
      <c r="E2657" s="6"/>
      <c r="F2657" s="7"/>
      <c r="H2657" s="11"/>
      <c r="J2657" s="18"/>
      <c r="L2657" s="18"/>
      <c r="M2657" s="23"/>
    </row>
    <row r="2658">
      <c r="A2658" s="11"/>
      <c r="B2658" s="12"/>
      <c r="C2658" s="13"/>
      <c r="E2658" s="6"/>
      <c r="F2658" s="7"/>
      <c r="H2658" s="11"/>
      <c r="J2658" s="18"/>
      <c r="L2658" s="18"/>
      <c r="M2658" s="23"/>
    </row>
    <row r="2659">
      <c r="A2659" s="11"/>
      <c r="B2659" s="12"/>
      <c r="C2659" s="13"/>
      <c r="E2659" s="6"/>
      <c r="F2659" s="7"/>
      <c r="H2659" s="11"/>
      <c r="J2659" s="18"/>
      <c r="L2659" s="18"/>
      <c r="M2659" s="23"/>
    </row>
    <row r="2660">
      <c r="A2660" s="11"/>
      <c r="B2660" s="12"/>
      <c r="C2660" s="13"/>
      <c r="E2660" s="6"/>
      <c r="F2660" s="7"/>
      <c r="H2660" s="11"/>
      <c r="J2660" s="18"/>
      <c r="L2660" s="18"/>
      <c r="M2660" s="23"/>
    </row>
    <row r="2661">
      <c r="A2661" s="11"/>
      <c r="B2661" s="12"/>
      <c r="C2661" s="13"/>
      <c r="E2661" s="6"/>
      <c r="F2661" s="7"/>
      <c r="H2661" s="11"/>
      <c r="J2661" s="18"/>
      <c r="L2661" s="18"/>
      <c r="M2661" s="23"/>
    </row>
    <row r="2662">
      <c r="A2662" s="11"/>
      <c r="B2662" s="12"/>
      <c r="C2662" s="13"/>
      <c r="E2662" s="6"/>
      <c r="F2662" s="7"/>
      <c r="H2662" s="11"/>
      <c r="J2662" s="18"/>
      <c r="L2662" s="18"/>
      <c r="M2662" s="23"/>
    </row>
    <row r="2663">
      <c r="A2663" s="11"/>
      <c r="B2663" s="12"/>
      <c r="C2663" s="13"/>
      <c r="E2663" s="6"/>
      <c r="F2663" s="7"/>
      <c r="H2663" s="11"/>
      <c r="J2663" s="18"/>
      <c r="L2663" s="18"/>
      <c r="M2663" s="23"/>
    </row>
    <row r="2664">
      <c r="A2664" s="11"/>
      <c r="B2664" s="12"/>
      <c r="C2664" s="13"/>
      <c r="E2664" s="6"/>
      <c r="F2664" s="7"/>
      <c r="H2664" s="11"/>
      <c r="J2664" s="18"/>
      <c r="L2664" s="18"/>
      <c r="M2664" s="23"/>
    </row>
    <row r="2665">
      <c r="A2665" s="11"/>
      <c r="B2665" s="12"/>
      <c r="C2665" s="13"/>
      <c r="E2665" s="6"/>
      <c r="F2665" s="7"/>
      <c r="H2665" s="11"/>
      <c r="J2665" s="18"/>
      <c r="L2665" s="18"/>
      <c r="M2665" s="23"/>
    </row>
    <row r="2666">
      <c r="A2666" s="11"/>
      <c r="B2666" s="12"/>
      <c r="C2666" s="13"/>
      <c r="E2666" s="6"/>
      <c r="F2666" s="7"/>
      <c r="H2666" s="11"/>
      <c r="J2666" s="18"/>
      <c r="L2666" s="18"/>
      <c r="M2666" s="23"/>
    </row>
    <row r="2667">
      <c r="A2667" s="11"/>
      <c r="B2667" s="12"/>
      <c r="C2667" s="13"/>
      <c r="E2667" s="6"/>
      <c r="F2667" s="7"/>
      <c r="H2667" s="11"/>
      <c r="J2667" s="18"/>
      <c r="L2667" s="18"/>
      <c r="M2667" s="23"/>
    </row>
    <row r="2668">
      <c r="A2668" s="11"/>
      <c r="B2668" s="12"/>
      <c r="C2668" s="13"/>
      <c r="E2668" s="6"/>
      <c r="F2668" s="7"/>
      <c r="H2668" s="11"/>
      <c r="J2668" s="18"/>
      <c r="L2668" s="18"/>
      <c r="M2668" s="23"/>
    </row>
    <row r="2669">
      <c r="A2669" s="11"/>
      <c r="B2669" s="12"/>
      <c r="C2669" s="13"/>
      <c r="E2669" s="6"/>
      <c r="F2669" s="7"/>
      <c r="H2669" s="11"/>
      <c r="J2669" s="18"/>
      <c r="L2669" s="18"/>
      <c r="M2669" s="23"/>
    </row>
    <row r="2670">
      <c r="A2670" s="11"/>
      <c r="B2670" s="12"/>
      <c r="C2670" s="13"/>
      <c r="E2670" s="6"/>
      <c r="F2670" s="7"/>
      <c r="H2670" s="11"/>
      <c r="J2670" s="18"/>
      <c r="L2670" s="18"/>
      <c r="M2670" s="23"/>
    </row>
    <row r="2671">
      <c r="A2671" s="11"/>
      <c r="B2671" s="12"/>
      <c r="C2671" s="13"/>
      <c r="E2671" s="6"/>
      <c r="F2671" s="7"/>
      <c r="H2671" s="11"/>
      <c r="J2671" s="18"/>
      <c r="L2671" s="18"/>
      <c r="M2671" s="23"/>
    </row>
    <row r="2672">
      <c r="A2672" s="11"/>
      <c r="B2672" s="12"/>
      <c r="C2672" s="13"/>
      <c r="E2672" s="6"/>
      <c r="F2672" s="7"/>
      <c r="H2672" s="11"/>
      <c r="J2672" s="18"/>
      <c r="L2672" s="18"/>
      <c r="M2672" s="23"/>
    </row>
    <row r="2673">
      <c r="A2673" s="11"/>
      <c r="B2673" s="12"/>
      <c r="C2673" s="13"/>
      <c r="E2673" s="6"/>
      <c r="F2673" s="7"/>
      <c r="H2673" s="11"/>
      <c r="J2673" s="18"/>
      <c r="L2673" s="18"/>
      <c r="M2673" s="23"/>
    </row>
    <row r="2674">
      <c r="A2674" s="11"/>
      <c r="B2674" s="12"/>
      <c r="C2674" s="13"/>
      <c r="E2674" s="6"/>
      <c r="F2674" s="7"/>
      <c r="H2674" s="11"/>
      <c r="J2674" s="18"/>
      <c r="L2674" s="18"/>
      <c r="M2674" s="23"/>
    </row>
    <row r="2675">
      <c r="A2675" s="11"/>
      <c r="B2675" s="12"/>
      <c r="C2675" s="13"/>
      <c r="E2675" s="6"/>
      <c r="F2675" s="7"/>
      <c r="H2675" s="11"/>
      <c r="J2675" s="18"/>
      <c r="L2675" s="18"/>
      <c r="M2675" s="23"/>
    </row>
    <row r="2676">
      <c r="A2676" s="11"/>
      <c r="B2676" s="12"/>
      <c r="C2676" s="13"/>
      <c r="E2676" s="6"/>
      <c r="F2676" s="7"/>
      <c r="H2676" s="11"/>
      <c r="J2676" s="18"/>
      <c r="L2676" s="18"/>
      <c r="M2676" s="23"/>
    </row>
    <row r="2677">
      <c r="A2677" s="11"/>
      <c r="B2677" s="12"/>
      <c r="C2677" s="13"/>
      <c r="E2677" s="6"/>
      <c r="F2677" s="7"/>
      <c r="H2677" s="11"/>
      <c r="J2677" s="18"/>
      <c r="L2677" s="18"/>
      <c r="M2677" s="23"/>
    </row>
    <row r="2678">
      <c r="A2678" s="11"/>
      <c r="B2678" s="12"/>
      <c r="C2678" s="13"/>
      <c r="E2678" s="6"/>
      <c r="F2678" s="7"/>
      <c r="H2678" s="11"/>
      <c r="J2678" s="18"/>
      <c r="L2678" s="18"/>
      <c r="M2678" s="23"/>
    </row>
    <row r="2679">
      <c r="A2679" s="11"/>
      <c r="B2679" s="12"/>
      <c r="C2679" s="13"/>
      <c r="E2679" s="6"/>
      <c r="F2679" s="7"/>
      <c r="H2679" s="11"/>
      <c r="J2679" s="18"/>
      <c r="L2679" s="18"/>
      <c r="M2679" s="23"/>
    </row>
    <row r="2680">
      <c r="A2680" s="11"/>
      <c r="B2680" s="12"/>
      <c r="C2680" s="13"/>
      <c r="E2680" s="6"/>
      <c r="F2680" s="7"/>
      <c r="H2680" s="11"/>
      <c r="J2680" s="18"/>
      <c r="L2680" s="18"/>
      <c r="M2680" s="23"/>
    </row>
    <row r="2681">
      <c r="A2681" s="11"/>
      <c r="B2681" s="12"/>
      <c r="C2681" s="13"/>
      <c r="E2681" s="6"/>
      <c r="F2681" s="7"/>
      <c r="H2681" s="11"/>
      <c r="J2681" s="18"/>
      <c r="L2681" s="18"/>
      <c r="M2681" s="23"/>
    </row>
    <row r="2682">
      <c r="A2682" s="11"/>
      <c r="B2682" s="12"/>
      <c r="C2682" s="13"/>
      <c r="E2682" s="6"/>
      <c r="F2682" s="7"/>
      <c r="H2682" s="11"/>
      <c r="J2682" s="18"/>
      <c r="L2682" s="18"/>
      <c r="M2682" s="23"/>
    </row>
    <row r="2683">
      <c r="A2683" s="11"/>
      <c r="B2683" s="12"/>
      <c r="C2683" s="13"/>
      <c r="E2683" s="6"/>
      <c r="F2683" s="7"/>
      <c r="H2683" s="11"/>
      <c r="J2683" s="18"/>
      <c r="L2683" s="18"/>
      <c r="M2683" s="23"/>
    </row>
    <row r="2684">
      <c r="A2684" s="11"/>
      <c r="B2684" s="12"/>
      <c r="C2684" s="13"/>
      <c r="E2684" s="6"/>
      <c r="F2684" s="7"/>
      <c r="H2684" s="11"/>
      <c r="J2684" s="18"/>
      <c r="L2684" s="18"/>
      <c r="M2684" s="23"/>
    </row>
    <row r="2685">
      <c r="A2685" s="11"/>
      <c r="B2685" s="12"/>
      <c r="C2685" s="13"/>
      <c r="E2685" s="6"/>
      <c r="F2685" s="7"/>
      <c r="H2685" s="11"/>
      <c r="J2685" s="18"/>
      <c r="L2685" s="18"/>
      <c r="M2685" s="23"/>
    </row>
    <row r="2686">
      <c r="A2686" s="11"/>
      <c r="B2686" s="12"/>
      <c r="C2686" s="13"/>
      <c r="E2686" s="6"/>
      <c r="F2686" s="7"/>
      <c r="H2686" s="11"/>
      <c r="J2686" s="18"/>
      <c r="L2686" s="18"/>
      <c r="M2686" s="23"/>
    </row>
    <row r="2687">
      <c r="A2687" s="11"/>
      <c r="B2687" s="12"/>
      <c r="C2687" s="13"/>
      <c r="E2687" s="6"/>
      <c r="F2687" s="7"/>
      <c r="H2687" s="11"/>
      <c r="J2687" s="18"/>
      <c r="L2687" s="18"/>
      <c r="M2687" s="23"/>
    </row>
    <row r="2688">
      <c r="A2688" s="11"/>
      <c r="B2688" s="12"/>
      <c r="C2688" s="13"/>
      <c r="E2688" s="6"/>
      <c r="F2688" s="7"/>
      <c r="H2688" s="11"/>
      <c r="J2688" s="18"/>
      <c r="L2688" s="18"/>
      <c r="M2688" s="23"/>
    </row>
    <row r="2689">
      <c r="A2689" s="11"/>
      <c r="B2689" s="12"/>
      <c r="C2689" s="13"/>
      <c r="E2689" s="6"/>
      <c r="F2689" s="7"/>
      <c r="H2689" s="11"/>
      <c r="J2689" s="18"/>
      <c r="L2689" s="18"/>
      <c r="M2689" s="23"/>
    </row>
    <row r="2690">
      <c r="A2690" s="11"/>
      <c r="B2690" s="12"/>
      <c r="C2690" s="13"/>
      <c r="E2690" s="6"/>
      <c r="F2690" s="7"/>
      <c r="H2690" s="11"/>
      <c r="J2690" s="18"/>
      <c r="L2690" s="18"/>
      <c r="M2690" s="23"/>
    </row>
    <row r="2691">
      <c r="A2691" s="11"/>
      <c r="B2691" s="12"/>
      <c r="C2691" s="13"/>
      <c r="E2691" s="6"/>
      <c r="F2691" s="7"/>
      <c r="H2691" s="11"/>
      <c r="J2691" s="18"/>
      <c r="L2691" s="18"/>
      <c r="M2691" s="23"/>
    </row>
    <row r="2692">
      <c r="A2692" s="11"/>
      <c r="B2692" s="12"/>
      <c r="C2692" s="13"/>
      <c r="E2692" s="6"/>
      <c r="F2692" s="7"/>
      <c r="H2692" s="11"/>
      <c r="J2692" s="18"/>
      <c r="L2692" s="18"/>
      <c r="M2692" s="23"/>
    </row>
    <row r="2693">
      <c r="A2693" s="11"/>
      <c r="B2693" s="12"/>
      <c r="C2693" s="13"/>
      <c r="E2693" s="6"/>
      <c r="F2693" s="7"/>
      <c r="H2693" s="11"/>
      <c r="J2693" s="18"/>
      <c r="L2693" s="18"/>
      <c r="M2693" s="23"/>
    </row>
    <row r="2694">
      <c r="A2694" s="11"/>
      <c r="B2694" s="12"/>
      <c r="C2694" s="13"/>
      <c r="E2694" s="6"/>
      <c r="F2694" s="7"/>
      <c r="H2694" s="11"/>
      <c r="J2694" s="18"/>
      <c r="L2694" s="18"/>
      <c r="M2694" s="23"/>
    </row>
    <row r="2695">
      <c r="A2695" s="11"/>
      <c r="B2695" s="12"/>
      <c r="C2695" s="13"/>
      <c r="E2695" s="6"/>
      <c r="F2695" s="7"/>
      <c r="H2695" s="11"/>
      <c r="J2695" s="18"/>
      <c r="L2695" s="18"/>
      <c r="M2695" s="23"/>
    </row>
    <row r="2696">
      <c r="A2696" s="11"/>
      <c r="B2696" s="12"/>
      <c r="C2696" s="13"/>
      <c r="E2696" s="6"/>
      <c r="F2696" s="7"/>
      <c r="H2696" s="11"/>
      <c r="J2696" s="18"/>
      <c r="L2696" s="18"/>
      <c r="M2696" s="23"/>
    </row>
    <row r="2697">
      <c r="A2697" s="11"/>
      <c r="B2697" s="12"/>
      <c r="C2697" s="13"/>
      <c r="E2697" s="6"/>
      <c r="F2697" s="7"/>
      <c r="H2697" s="11"/>
      <c r="J2697" s="18"/>
      <c r="L2697" s="18"/>
      <c r="M2697" s="23"/>
    </row>
    <row r="2698">
      <c r="A2698" s="11"/>
      <c r="B2698" s="12"/>
      <c r="C2698" s="13"/>
      <c r="E2698" s="6"/>
      <c r="F2698" s="7"/>
      <c r="H2698" s="11"/>
      <c r="J2698" s="18"/>
      <c r="L2698" s="18"/>
      <c r="M2698" s="23"/>
    </row>
    <row r="2699">
      <c r="A2699" s="11"/>
      <c r="B2699" s="12"/>
      <c r="C2699" s="13"/>
      <c r="E2699" s="6"/>
      <c r="F2699" s="7"/>
      <c r="H2699" s="11"/>
      <c r="J2699" s="18"/>
      <c r="L2699" s="18"/>
      <c r="M2699" s="23"/>
    </row>
    <row r="2700">
      <c r="A2700" s="11"/>
      <c r="B2700" s="12"/>
      <c r="C2700" s="13"/>
      <c r="E2700" s="6"/>
      <c r="F2700" s="7"/>
      <c r="H2700" s="11"/>
      <c r="J2700" s="18"/>
      <c r="L2700" s="18"/>
      <c r="M2700" s="23"/>
    </row>
    <row r="2701">
      <c r="A2701" s="11"/>
      <c r="B2701" s="12"/>
      <c r="C2701" s="13"/>
      <c r="E2701" s="6"/>
      <c r="F2701" s="7"/>
      <c r="H2701" s="11"/>
      <c r="J2701" s="18"/>
      <c r="L2701" s="18"/>
      <c r="M2701" s="23"/>
    </row>
    <row r="2702">
      <c r="A2702" s="11"/>
      <c r="B2702" s="12"/>
      <c r="C2702" s="13"/>
      <c r="E2702" s="6"/>
      <c r="F2702" s="7"/>
      <c r="H2702" s="11"/>
      <c r="J2702" s="18"/>
      <c r="L2702" s="18"/>
      <c r="M2702" s="23"/>
    </row>
    <row r="2703">
      <c r="A2703" s="11"/>
      <c r="B2703" s="12"/>
      <c r="C2703" s="13"/>
      <c r="E2703" s="6"/>
      <c r="F2703" s="7"/>
      <c r="H2703" s="11"/>
      <c r="J2703" s="18"/>
      <c r="L2703" s="18"/>
      <c r="M2703" s="23"/>
    </row>
    <row r="2704">
      <c r="A2704" s="11"/>
      <c r="B2704" s="12"/>
      <c r="C2704" s="13"/>
      <c r="E2704" s="6"/>
      <c r="F2704" s="7"/>
      <c r="H2704" s="11"/>
      <c r="J2704" s="18"/>
      <c r="L2704" s="18"/>
      <c r="M2704" s="23"/>
    </row>
    <row r="2705">
      <c r="A2705" s="11"/>
      <c r="B2705" s="12"/>
      <c r="C2705" s="13"/>
      <c r="E2705" s="6"/>
      <c r="F2705" s="7"/>
      <c r="H2705" s="11"/>
      <c r="J2705" s="18"/>
      <c r="L2705" s="18"/>
      <c r="M2705" s="23"/>
    </row>
    <row r="2706">
      <c r="A2706" s="11"/>
      <c r="B2706" s="12"/>
      <c r="C2706" s="13"/>
      <c r="E2706" s="6"/>
      <c r="F2706" s="7"/>
      <c r="H2706" s="11"/>
      <c r="J2706" s="18"/>
      <c r="L2706" s="18"/>
      <c r="M2706" s="23"/>
    </row>
    <row r="2707">
      <c r="A2707" s="11"/>
      <c r="B2707" s="12"/>
      <c r="C2707" s="13"/>
      <c r="E2707" s="6"/>
      <c r="F2707" s="7"/>
      <c r="H2707" s="11"/>
      <c r="J2707" s="18"/>
      <c r="L2707" s="18"/>
      <c r="M2707" s="23"/>
    </row>
    <row r="2708">
      <c r="A2708" s="11"/>
      <c r="B2708" s="12"/>
      <c r="C2708" s="13"/>
      <c r="E2708" s="6"/>
      <c r="F2708" s="7"/>
      <c r="H2708" s="11"/>
      <c r="J2708" s="18"/>
      <c r="L2708" s="18"/>
      <c r="M2708" s="23"/>
    </row>
    <row r="2709">
      <c r="A2709" s="11"/>
      <c r="B2709" s="12"/>
      <c r="C2709" s="13"/>
      <c r="E2709" s="6"/>
      <c r="F2709" s="7"/>
      <c r="H2709" s="11"/>
      <c r="J2709" s="18"/>
      <c r="L2709" s="18"/>
      <c r="M2709" s="23"/>
    </row>
    <row r="2710">
      <c r="A2710" s="11"/>
      <c r="B2710" s="12"/>
      <c r="C2710" s="13"/>
      <c r="E2710" s="6"/>
      <c r="F2710" s="7"/>
      <c r="H2710" s="11"/>
      <c r="J2710" s="18"/>
      <c r="L2710" s="18"/>
      <c r="M2710" s="23"/>
    </row>
    <row r="2711">
      <c r="A2711" s="11"/>
      <c r="B2711" s="12"/>
      <c r="C2711" s="13"/>
      <c r="E2711" s="6"/>
      <c r="F2711" s="7"/>
      <c r="H2711" s="11"/>
      <c r="J2711" s="18"/>
      <c r="L2711" s="18"/>
      <c r="M2711" s="23"/>
    </row>
    <row r="2712">
      <c r="A2712" s="11"/>
      <c r="B2712" s="12"/>
      <c r="C2712" s="13"/>
      <c r="E2712" s="6"/>
      <c r="F2712" s="7"/>
      <c r="H2712" s="11"/>
      <c r="J2712" s="18"/>
      <c r="L2712" s="18"/>
      <c r="M2712" s="23"/>
    </row>
    <row r="2713">
      <c r="A2713" s="11"/>
      <c r="B2713" s="12"/>
      <c r="C2713" s="13"/>
      <c r="E2713" s="6"/>
      <c r="F2713" s="7"/>
      <c r="H2713" s="11"/>
      <c r="J2713" s="18"/>
      <c r="L2713" s="18"/>
      <c r="M2713" s="23"/>
    </row>
    <row r="2714">
      <c r="A2714" s="11"/>
      <c r="B2714" s="12"/>
      <c r="C2714" s="13"/>
      <c r="E2714" s="6"/>
      <c r="F2714" s="7"/>
      <c r="H2714" s="11"/>
      <c r="J2714" s="18"/>
      <c r="L2714" s="18"/>
      <c r="M2714" s="23"/>
    </row>
    <row r="2715">
      <c r="A2715" s="11"/>
      <c r="B2715" s="12"/>
      <c r="C2715" s="13"/>
      <c r="E2715" s="6"/>
      <c r="F2715" s="7"/>
      <c r="H2715" s="11"/>
      <c r="J2715" s="18"/>
      <c r="L2715" s="18"/>
      <c r="M2715" s="23"/>
    </row>
    <row r="2716">
      <c r="A2716" s="11"/>
      <c r="B2716" s="12"/>
      <c r="C2716" s="13"/>
      <c r="E2716" s="6"/>
      <c r="F2716" s="7"/>
      <c r="H2716" s="11"/>
      <c r="J2716" s="18"/>
      <c r="L2716" s="18"/>
      <c r="M2716" s="23"/>
    </row>
    <row r="2717">
      <c r="A2717" s="11"/>
      <c r="B2717" s="12"/>
      <c r="C2717" s="13"/>
      <c r="E2717" s="6"/>
      <c r="F2717" s="7"/>
      <c r="H2717" s="11"/>
      <c r="J2717" s="18"/>
      <c r="L2717" s="18"/>
      <c r="M2717" s="23"/>
    </row>
    <row r="2718">
      <c r="A2718" s="11"/>
      <c r="B2718" s="12"/>
      <c r="C2718" s="13"/>
      <c r="E2718" s="6"/>
      <c r="F2718" s="7"/>
      <c r="H2718" s="11"/>
      <c r="J2718" s="18"/>
      <c r="L2718" s="18"/>
      <c r="M2718" s="23"/>
    </row>
    <row r="2719">
      <c r="A2719" s="11"/>
      <c r="B2719" s="12"/>
      <c r="C2719" s="13"/>
      <c r="E2719" s="6"/>
      <c r="F2719" s="7"/>
      <c r="H2719" s="11"/>
      <c r="J2719" s="18"/>
      <c r="L2719" s="18"/>
      <c r="M2719" s="23"/>
    </row>
    <row r="2720">
      <c r="A2720" s="11"/>
      <c r="B2720" s="12"/>
      <c r="C2720" s="13"/>
      <c r="E2720" s="6"/>
      <c r="F2720" s="7"/>
      <c r="H2720" s="11"/>
      <c r="J2720" s="18"/>
      <c r="L2720" s="18"/>
      <c r="M2720" s="23"/>
    </row>
    <row r="2721">
      <c r="A2721" s="11"/>
      <c r="B2721" s="12"/>
      <c r="C2721" s="13"/>
      <c r="E2721" s="6"/>
      <c r="F2721" s="7"/>
      <c r="H2721" s="11"/>
      <c r="J2721" s="18"/>
      <c r="L2721" s="18"/>
      <c r="M2721" s="23"/>
    </row>
    <row r="2722">
      <c r="A2722" s="11"/>
      <c r="B2722" s="12"/>
      <c r="C2722" s="13"/>
      <c r="E2722" s="6"/>
      <c r="F2722" s="7"/>
      <c r="H2722" s="11"/>
      <c r="J2722" s="18"/>
      <c r="L2722" s="18"/>
      <c r="M2722" s="23"/>
    </row>
    <row r="2723">
      <c r="A2723" s="11"/>
      <c r="B2723" s="12"/>
      <c r="C2723" s="13"/>
      <c r="E2723" s="6"/>
      <c r="F2723" s="7"/>
      <c r="H2723" s="11"/>
      <c r="J2723" s="18"/>
      <c r="L2723" s="18"/>
      <c r="M2723" s="23"/>
    </row>
    <row r="2724">
      <c r="A2724" s="11"/>
      <c r="B2724" s="12"/>
      <c r="C2724" s="13"/>
      <c r="E2724" s="6"/>
      <c r="F2724" s="7"/>
      <c r="H2724" s="11"/>
      <c r="J2724" s="18"/>
      <c r="L2724" s="18"/>
      <c r="M2724" s="23"/>
    </row>
    <row r="2725">
      <c r="A2725" s="11"/>
      <c r="B2725" s="12"/>
      <c r="C2725" s="13"/>
      <c r="E2725" s="6"/>
      <c r="F2725" s="7"/>
      <c r="H2725" s="11"/>
      <c r="J2725" s="18"/>
      <c r="L2725" s="18"/>
      <c r="M2725" s="23"/>
    </row>
    <row r="2726">
      <c r="A2726" s="11"/>
      <c r="B2726" s="12"/>
      <c r="C2726" s="13"/>
      <c r="E2726" s="6"/>
      <c r="F2726" s="7"/>
      <c r="H2726" s="11"/>
      <c r="J2726" s="18"/>
      <c r="L2726" s="18"/>
      <c r="M2726" s="23"/>
    </row>
    <row r="2727">
      <c r="A2727" s="11"/>
      <c r="B2727" s="12"/>
      <c r="C2727" s="13"/>
      <c r="E2727" s="6"/>
      <c r="F2727" s="7"/>
      <c r="H2727" s="11"/>
      <c r="J2727" s="18"/>
      <c r="L2727" s="18"/>
      <c r="M2727" s="23"/>
    </row>
    <row r="2728">
      <c r="A2728" s="11"/>
      <c r="B2728" s="12"/>
      <c r="C2728" s="13"/>
      <c r="E2728" s="6"/>
      <c r="F2728" s="7"/>
      <c r="H2728" s="11"/>
      <c r="J2728" s="18"/>
      <c r="L2728" s="18"/>
      <c r="M2728" s="23"/>
    </row>
    <row r="2729">
      <c r="A2729" s="11"/>
      <c r="B2729" s="12"/>
      <c r="C2729" s="13"/>
      <c r="E2729" s="6"/>
      <c r="F2729" s="7"/>
      <c r="H2729" s="11"/>
      <c r="J2729" s="18"/>
      <c r="L2729" s="18"/>
      <c r="M2729" s="23"/>
    </row>
    <row r="2730">
      <c r="A2730" s="11"/>
      <c r="B2730" s="12"/>
      <c r="C2730" s="13"/>
      <c r="E2730" s="6"/>
      <c r="F2730" s="7"/>
      <c r="H2730" s="11"/>
      <c r="J2730" s="18"/>
      <c r="L2730" s="18"/>
      <c r="M2730" s="23"/>
    </row>
    <row r="2731">
      <c r="A2731" s="11"/>
      <c r="B2731" s="12"/>
      <c r="C2731" s="13"/>
      <c r="E2731" s="6"/>
      <c r="F2731" s="7"/>
      <c r="H2731" s="11"/>
      <c r="J2731" s="18"/>
      <c r="L2731" s="18"/>
      <c r="M2731" s="23"/>
    </row>
    <row r="2732">
      <c r="A2732" s="11"/>
      <c r="B2732" s="12"/>
      <c r="C2732" s="13"/>
      <c r="E2732" s="6"/>
      <c r="F2732" s="7"/>
      <c r="H2732" s="11"/>
      <c r="J2732" s="18"/>
      <c r="L2732" s="18"/>
      <c r="M2732" s="23"/>
    </row>
    <row r="2733">
      <c r="A2733" s="11"/>
      <c r="B2733" s="12"/>
      <c r="C2733" s="13"/>
      <c r="E2733" s="6"/>
      <c r="F2733" s="7"/>
      <c r="H2733" s="11"/>
      <c r="J2733" s="18"/>
      <c r="L2733" s="18"/>
      <c r="M2733" s="23"/>
    </row>
    <row r="2734">
      <c r="A2734" s="11"/>
      <c r="B2734" s="12"/>
      <c r="C2734" s="13"/>
      <c r="E2734" s="6"/>
      <c r="F2734" s="7"/>
      <c r="H2734" s="11"/>
      <c r="J2734" s="18"/>
      <c r="L2734" s="18"/>
      <c r="M2734" s="23"/>
    </row>
    <row r="2735">
      <c r="A2735" s="11"/>
      <c r="B2735" s="12"/>
      <c r="C2735" s="13"/>
      <c r="E2735" s="6"/>
      <c r="F2735" s="7"/>
      <c r="H2735" s="11"/>
      <c r="J2735" s="18"/>
      <c r="L2735" s="18"/>
      <c r="M2735" s="23"/>
    </row>
    <row r="2736">
      <c r="A2736" s="11"/>
      <c r="B2736" s="12"/>
      <c r="C2736" s="13"/>
      <c r="E2736" s="6"/>
      <c r="F2736" s="7"/>
      <c r="H2736" s="11"/>
      <c r="J2736" s="18"/>
      <c r="L2736" s="18"/>
      <c r="M2736" s="23"/>
    </row>
    <row r="2737">
      <c r="A2737" s="11"/>
      <c r="B2737" s="12"/>
      <c r="C2737" s="13"/>
      <c r="E2737" s="6"/>
      <c r="F2737" s="7"/>
      <c r="H2737" s="11"/>
      <c r="J2737" s="18"/>
      <c r="L2737" s="18"/>
      <c r="M2737" s="23"/>
    </row>
    <row r="2738">
      <c r="A2738" s="11"/>
      <c r="B2738" s="12"/>
      <c r="C2738" s="13"/>
      <c r="E2738" s="6"/>
      <c r="F2738" s="7"/>
      <c r="H2738" s="11"/>
      <c r="J2738" s="18"/>
      <c r="L2738" s="18"/>
      <c r="M2738" s="23"/>
    </row>
    <row r="2739">
      <c r="A2739" s="11"/>
      <c r="B2739" s="12"/>
      <c r="C2739" s="13"/>
      <c r="E2739" s="6"/>
      <c r="F2739" s="7"/>
      <c r="H2739" s="11"/>
      <c r="J2739" s="18"/>
      <c r="L2739" s="18"/>
      <c r="M2739" s="23"/>
    </row>
    <row r="2740">
      <c r="A2740" s="11"/>
      <c r="B2740" s="12"/>
      <c r="C2740" s="13"/>
      <c r="E2740" s="6"/>
      <c r="F2740" s="7"/>
      <c r="H2740" s="11"/>
      <c r="J2740" s="18"/>
      <c r="L2740" s="18"/>
      <c r="M2740" s="23"/>
    </row>
    <row r="2741">
      <c r="A2741" s="11"/>
      <c r="B2741" s="12"/>
      <c r="C2741" s="13"/>
      <c r="E2741" s="6"/>
      <c r="F2741" s="7"/>
      <c r="H2741" s="11"/>
      <c r="J2741" s="18"/>
      <c r="L2741" s="18"/>
      <c r="M2741" s="23"/>
    </row>
    <row r="2742">
      <c r="A2742" s="11"/>
      <c r="B2742" s="12"/>
      <c r="C2742" s="13"/>
      <c r="E2742" s="6"/>
      <c r="F2742" s="7"/>
      <c r="H2742" s="11"/>
      <c r="J2742" s="18"/>
      <c r="L2742" s="18"/>
      <c r="M2742" s="23"/>
    </row>
    <row r="2743">
      <c r="A2743" s="11"/>
      <c r="B2743" s="12"/>
      <c r="C2743" s="13"/>
      <c r="E2743" s="6"/>
      <c r="F2743" s="7"/>
      <c r="H2743" s="11"/>
      <c r="J2743" s="18"/>
      <c r="L2743" s="18"/>
      <c r="M2743" s="23"/>
    </row>
    <row r="2744">
      <c r="A2744" s="11"/>
      <c r="B2744" s="12"/>
      <c r="C2744" s="13"/>
      <c r="E2744" s="6"/>
      <c r="F2744" s="7"/>
      <c r="H2744" s="11"/>
      <c r="J2744" s="18"/>
      <c r="L2744" s="18"/>
      <c r="M2744" s="23"/>
    </row>
    <row r="2745">
      <c r="A2745" s="11"/>
      <c r="B2745" s="12"/>
      <c r="C2745" s="13"/>
      <c r="E2745" s="6"/>
      <c r="F2745" s="7"/>
      <c r="H2745" s="11"/>
      <c r="J2745" s="18"/>
      <c r="L2745" s="18"/>
      <c r="M2745" s="23"/>
    </row>
    <row r="2746">
      <c r="A2746" s="11"/>
      <c r="B2746" s="12"/>
      <c r="C2746" s="13"/>
      <c r="E2746" s="6"/>
      <c r="F2746" s="7"/>
      <c r="H2746" s="11"/>
      <c r="J2746" s="18"/>
      <c r="L2746" s="18"/>
      <c r="M2746" s="23"/>
    </row>
    <row r="2747">
      <c r="A2747" s="11"/>
      <c r="B2747" s="12"/>
      <c r="C2747" s="13"/>
      <c r="E2747" s="6"/>
      <c r="F2747" s="7"/>
      <c r="H2747" s="11"/>
      <c r="J2747" s="18"/>
      <c r="L2747" s="18"/>
      <c r="M2747" s="23"/>
    </row>
    <row r="2748">
      <c r="A2748" s="11"/>
      <c r="B2748" s="12"/>
      <c r="C2748" s="13"/>
      <c r="E2748" s="6"/>
      <c r="F2748" s="7"/>
      <c r="H2748" s="11"/>
      <c r="J2748" s="18"/>
      <c r="L2748" s="18"/>
      <c r="M2748" s="23"/>
    </row>
    <row r="2749">
      <c r="A2749" s="11"/>
      <c r="B2749" s="12"/>
      <c r="C2749" s="13"/>
      <c r="E2749" s="6"/>
      <c r="F2749" s="7"/>
      <c r="H2749" s="11"/>
      <c r="J2749" s="18"/>
      <c r="L2749" s="18"/>
      <c r="M2749" s="23"/>
    </row>
    <row r="2750">
      <c r="A2750" s="11"/>
      <c r="B2750" s="12"/>
      <c r="C2750" s="13"/>
      <c r="E2750" s="6"/>
      <c r="F2750" s="7"/>
      <c r="H2750" s="11"/>
      <c r="J2750" s="18"/>
      <c r="L2750" s="18"/>
      <c r="M2750" s="23"/>
    </row>
    <row r="2751">
      <c r="A2751" s="11"/>
      <c r="B2751" s="12"/>
      <c r="C2751" s="13"/>
      <c r="E2751" s="6"/>
      <c r="F2751" s="7"/>
      <c r="H2751" s="11"/>
      <c r="J2751" s="18"/>
      <c r="L2751" s="18"/>
      <c r="M2751" s="23"/>
    </row>
    <row r="2752">
      <c r="A2752" s="11"/>
      <c r="B2752" s="12"/>
      <c r="C2752" s="13"/>
      <c r="E2752" s="6"/>
      <c r="F2752" s="7"/>
      <c r="H2752" s="11"/>
      <c r="J2752" s="18"/>
      <c r="L2752" s="18"/>
      <c r="M2752" s="23"/>
    </row>
    <row r="2753">
      <c r="A2753" s="11"/>
      <c r="B2753" s="12"/>
      <c r="C2753" s="13"/>
      <c r="E2753" s="6"/>
      <c r="F2753" s="7"/>
      <c r="H2753" s="11"/>
      <c r="J2753" s="18"/>
      <c r="L2753" s="18"/>
      <c r="M2753" s="23"/>
    </row>
    <row r="2754">
      <c r="A2754" s="11"/>
      <c r="B2754" s="12"/>
      <c r="C2754" s="13"/>
      <c r="E2754" s="6"/>
      <c r="F2754" s="7"/>
      <c r="H2754" s="11"/>
      <c r="J2754" s="18"/>
      <c r="L2754" s="18"/>
      <c r="M2754" s="23"/>
    </row>
    <row r="2755">
      <c r="A2755" s="11"/>
      <c r="B2755" s="12"/>
      <c r="C2755" s="13"/>
      <c r="E2755" s="6"/>
      <c r="F2755" s="7"/>
      <c r="H2755" s="11"/>
      <c r="J2755" s="18"/>
      <c r="L2755" s="18"/>
      <c r="M2755" s="23"/>
    </row>
    <row r="2756">
      <c r="A2756" s="11"/>
      <c r="B2756" s="12"/>
      <c r="C2756" s="13"/>
      <c r="E2756" s="6"/>
      <c r="F2756" s="7"/>
      <c r="H2756" s="11"/>
      <c r="J2756" s="18"/>
      <c r="L2756" s="18"/>
      <c r="M2756" s="23"/>
    </row>
    <row r="2757">
      <c r="A2757" s="11"/>
      <c r="B2757" s="12"/>
      <c r="C2757" s="13"/>
      <c r="E2757" s="6"/>
      <c r="F2757" s="7"/>
      <c r="H2757" s="11"/>
      <c r="J2757" s="18"/>
      <c r="L2757" s="18"/>
      <c r="M2757" s="23"/>
    </row>
    <row r="2758">
      <c r="A2758" s="11"/>
      <c r="B2758" s="12"/>
      <c r="C2758" s="13"/>
      <c r="E2758" s="6"/>
      <c r="F2758" s="7"/>
      <c r="H2758" s="11"/>
      <c r="J2758" s="18"/>
      <c r="L2758" s="18"/>
      <c r="M2758" s="23"/>
    </row>
    <row r="2759">
      <c r="A2759" s="11"/>
      <c r="B2759" s="12"/>
      <c r="C2759" s="13"/>
      <c r="E2759" s="6"/>
      <c r="F2759" s="7"/>
      <c r="H2759" s="11"/>
      <c r="J2759" s="18"/>
      <c r="L2759" s="18"/>
      <c r="M2759" s="23"/>
    </row>
    <row r="2760">
      <c r="A2760" s="11"/>
      <c r="B2760" s="12"/>
      <c r="C2760" s="13"/>
      <c r="E2760" s="6"/>
      <c r="F2760" s="7"/>
      <c r="H2760" s="11"/>
      <c r="J2760" s="18"/>
      <c r="L2760" s="18"/>
      <c r="M2760" s="23"/>
    </row>
    <row r="2761">
      <c r="A2761" s="11"/>
      <c r="B2761" s="12"/>
      <c r="C2761" s="13"/>
      <c r="E2761" s="6"/>
      <c r="F2761" s="7"/>
      <c r="H2761" s="11"/>
      <c r="J2761" s="18"/>
      <c r="L2761" s="18"/>
      <c r="M2761" s="23"/>
    </row>
    <row r="2762">
      <c r="A2762" s="11"/>
      <c r="B2762" s="12"/>
      <c r="C2762" s="13"/>
      <c r="E2762" s="6"/>
      <c r="F2762" s="7"/>
      <c r="H2762" s="11"/>
      <c r="J2762" s="18"/>
      <c r="L2762" s="18"/>
      <c r="M2762" s="23"/>
    </row>
    <row r="2763">
      <c r="A2763" s="11"/>
      <c r="B2763" s="12"/>
      <c r="C2763" s="13"/>
      <c r="E2763" s="6"/>
      <c r="F2763" s="7"/>
      <c r="H2763" s="11"/>
      <c r="J2763" s="18"/>
      <c r="L2763" s="18"/>
      <c r="M2763" s="23"/>
    </row>
    <row r="2764">
      <c r="A2764" s="11"/>
      <c r="B2764" s="12"/>
      <c r="C2764" s="13"/>
      <c r="E2764" s="6"/>
      <c r="F2764" s="7"/>
      <c r="H2764" s="11"/>
      <c r="J2764" s="18"/>
      <c r="L2764" s="18"/>
      <c r="M2764" s="23"/>
    </row>
    <row r="2765">
      <c r="A2765" s="11"/>
      <c r="B2765" s="12"/>
      <c r="C2765" s="13"/>
      <c r="E2765" s="6"/>
      <c r="F2765" s="7"/>
      <c r="H2765" s="11"/>
      <c r="J2765" s="18"/>
      <c r="L2765" s="18"/>
      <c r="M2765" s="23"/>
    </row>
    <row r="2766">
      <c r="A2766" s="11"/>
      <c r="B2766" s="12"/>
      <c r="C2766" s="13"/>
      <c r="E2766" s="6"/>
      <c r="F2766" s="7"/>
      <c r="H2766" s="11"/>
      <c r="J2766" s="18"/>
      <c r="L2766" s="18"/>
      <c r="M2766" s="23"/>
    </row>
    <row r="2767">
      <c r="A2767" s="11"/>
      <c r="B2767" s="12"/>
      <c r="C2767" s="13"/>
      <c r="E2767" s="6"/>
      <c r="F2767" s="7"/>
      <c r="H2767" s="11"/>
      <c r="J2767" s="18"/>
      <c r="L2767" s="18"/>
      <c r="M2767" s="23"/>
    </row>
    <row r="2768">
      <c r="A2768" s="11"/>
      <c r="B2768" s="12"/>
      <c r="C2768" s="13"/>
      <c r="E2768" s="6"/>
      <c r="F2768" s="7"/>
      <c r="H2768" s="11"/>
      <c r="J2768" s="18"/>
      <c r="L2768" s="18"/>
      <c r="M2768" s="23"/>
    </row>
    <row r="2769">
      <c r="A2769" s="11"/>
      <c r="B2769" s="12"/>
      <c r="C2769" s="13"/>
      <c r="E2769" s="6"/>
      <c r="F2769" s="7"/>
      <c r="H2769" s="11"/>
      <c r="J2769" s="18"/>
      <c r="L2769" s="18"/>
      <c r="M2769" s="23"/>
    </row>
    <row r="2770">
      <c r="A2770" s="11"/>
      <c r="B2770" s="12"/>
      <c r="C2770" s="13"/>
      <c r="E2770" s="6"/>
      <c r="F2770" s="7"/>
      <c r="H2770" s="11"/>
      <c r="J2770" s="18"/>
      <c r="L2770" s="18"/>
      <c r="M2770" s="23"/>
    </row>
    <row r="2771">
      <c r="A2771" s="11"/>
      <c r="B2771" s="12"/>
      <c r="C2771" s="13"/>
      <c r="E2771" s="6"/>
      <c r="F2771" s="7"/>
      <c r="H2771" s="11"/>
      <c r="J2771" s="18"/>
      <c r="L2771" s="18"/>
      <c r="M2771" s="23"/>
    </row>
    <row r="2772">
      <c r="A2772" s="11"/>
      <c r="B2772" s="12"/>
      <c r="C2772" s="13"/>
      <c r="E2772" s="6"/>
      <c r="F2772" s="7"/>
      <c r="H2772" s="11"/>
      <c r="J2772" s="18"/>
      <c r="L2772" s="18"/>
      <c r="M2772" s="23"/>
    </row>
    <row r="2773">
      <c r="A2773" s="11"/>
      <c r="B2773" s="12"/>
      <c r="C2773" s="13"/>
      <c r="E2773" s="6"/>
      <c r="F2773" s="7"/>
      <c r="H2773" s="11"/>
      <c r="J2773" s="18"/>
      <c r="L2773" s="18"/>
      <c r="M2773" s="23"/>
    </row>
    <row r="2774">
      <c r="A2774" s="11"/>
      <c r="B2774" s="12"/>
      <c r="C2774" s="13"/>
      <c r="E2774" s="6"/>
      <c r="F2774" s="7"/>
      <c r="H2774" s="11"/>
      <c r="J2774" s="18"/>
      <c r="L2774" s="18"/>
      <c r="M2774" s="23"/>
    </row>
    <row r="2775">
      <c r="A2775" s="11"/>
      <c r="B2775" s="12"/>
      <c r="C2775" s="13"/>
      <c r="E2775" s="6"/>
      <c r="F2775" s="7"/>
      <c r="H2775" s="11"/>
      <c r="J2775" s="18"/>
      <c r="L2775" s="18"/>
      <c r="M2775" s="23"/>
    </row>
    <row r="2776">
      <c r="A2776" s="11"/>
      <c r="B2776" s="12"/>
      <c r="C2776" s="13"/>
      <c r="E2776" s="6"/>
      <c r="F2776" s="7"/>
      <c r="H2776" s="11"/>
      <c r="J2776" s="18"/>
      <c r="L2776" s="18"/>
      <c r="M2776" s="23"/>
    </row>
    <row r="2777">
      <c r="A2777" s="11"/>
      <c r="B2777" s="12"/>
      <c r="C2777" s="13"/>
      <c r="E2777" s="6"/>
      <c r="F2777" s="7"/>
      <c r="H2777" s="11"/>
      <c r="J2777" s="18"/>
      <c r="L2777" s="18"/>
      <c r="M2777" s="23"/>
    </row>
    <row r="2778">
      <c r="A2778" s="11"/>
      <c r="B2778" s="12"/>
      <c r="C2778" s="13"/>
      <c r="E2778" s="6"/>
      <c r="F2778" s="7"/>
      <c r="H2778" s="11"/>
      <c r="J2778" s="18"/>
      <c r="L2778" s="18"/>
      <c r="M2778" s="23"/>
    </row>
    <row r="2779">
      <c r="A2779" s="11"/>
      <c r="B2779" s="12"/>
      <c r="C2779" s="13"/>
      <c r="E2779" s="6"/>
      <c r="F2779" s="7"/>
      <c r="H2779" s="11"/>
      <c r="J2779" s="18"/>
      <c r="L2779" s="18"/>
      <c r="M2779" s="23"/>
    </row>
    <row r="2780">
      <c r="A2780" s="11"/>
      <c r="B2780" s="12"/>
      <c r="C2780" s="13"/>
      <c r="E2780" s="6"/>
      <c r="F2780" s="7"/>
      <c r="H2780" s="11"/>
      <c r="J2780" s="18"/>
      <c r="L2780" s="18"/>
      <c r="M2780" s="23"/>
    </row>
    <row r="2781">
      <c r="A2781" s="11"/>
      <c r="B2781" s="12"/>
      <c r="C2781" s="13"/>
      <c r="E2781" s="6"/>
      <c r="F2781" s="7"/>
      <c r="H2781" s="11"/>
      <c r="J2781" s="18"/>
      <c r="L2781" s="18"/>
      <c r="M2781" s="23"/>
    </row>
    <row r="2782">
      <c r="A2782" s="11"/>
      <c r="B2782" s="12"/>
      <c r="C2782" s="13"/>
      <c r="E2782" s="6"/>
      <c r="F2782" s="7"/>
      <c r="H2782" s="11"/>
      <c r="J2782" s="18"/>
      <c r="L2782" s="18"/>
      <c r="M2782" s="23"/>
    </row>
    <row r="2783">
      <c r="A2783" s="11"/>
      <c r="B2783" s="12"/>
      <c r="C2783" s="13"/>
      <c r="E2783" s="6"/>
      <c r="F2783" s="7"/>
      <c r="H2783" s="11"/>
      <c r="J2783" s="18"/>
      <c r="L2783" s="18"/>
      <c r="M2783" s="23"/>
    </row>
    <row r="2784">
      <c r="A2784" s="11"/>
      <c r="B2784" s="12"/>
      <c r="C2784" s="13"/>
      <c r="E2784" s="6"/>
      <c r="F2784" s="7"/>
      <c r="H2784" s="11"/>
      <c r="J2784" s="18"/>
      <c r="L2784" s="18"/>
      <c r="M2784" s="23"/>
    </row>
    <row r="2785">
      <c r="A2785" s="11"/>
      <c r="B2785" s="12"/>
      <c r="C2785" s="13"/>
      <c r="E2785" s="6"/>
      <c r="F2785" s="7"/>
      <c r="H2785" s="11"/>
      <c r="J2785" s="18"/>
      <c r="L2785" s="18"/>
      <c r="M2785" s="23"/>
    </row>
    <row r="2786">
      <c r="A2786" s="11"/>
      <c r="B2786" s="12"/>
      <c r="C2786" s="13"/>
      <c r="E2786" s="6"/>
      <c r="F2786" s="7"/>
      <c r="H2786" s="11"/>
      <c r="J2786" s="18"/>
      <c r="L2786" s="18"/>
      <c r="M2786" s="23"/>
    </row>
    <row r="2787">
      <c r="A2787" s="11"/>
      <c r="B2787" s="12"/>
      <c r="C2787" s="13"/>
      <c r="E2787" s="6"/>
      <c r="F2787" s="7"/>
      <c r="H2787" s="11"/>
      <c r="J2787" s="18"/>
      <c r="L2787" s="18"/>
      <c r="M2787" s="23"/>
    </row>
    <row r="2788">
      <c r="A2788" s="11"/>
      <c r="B2788" s="12"/>
      <c r="C2788" s="13"/>
      <c r="E2788" s="6"/>
      <c r="F2788" s="7"/>
      <c r="H2788" s="11"/>
      <c r="J2788" s="18"/>
      <c r="L2788" s="18"/>
      <c r="M2788" s="23"/>
    </row>
    <row r="2789">
      <c r="A2789" s="11"/>
      <c r="B2789" s="12"/>
      <c r="C2789" s="13"/>
      <c r="E2789" s="6"/>
      <c r="F2789" s="7"/>
      <c r="H2789" s="11"/>
      <c r="J2789" s="18"/>
      <c r="L2789" s="18"/>
      <c r="M2789" s="23"/>
    </row>
    <row r="2790">
      <c r="A2790" s="11"/>
      <c r="B2790" s="12"/>
      <c r="C2790" s="13"/>
      <c r="E2790" s="6"/>
      <c r="F2790" s="7"/>
      <c r="H2790" s="11"/>
      <c r="J2790" s="18"/>
      <c r="L2790" s="18"/>
      <c r="M2790" s="23"/>
    </row>
    <row r="2791">
      <c r="A2791" s="11"/>
      <c r="B2791" s="12"/>
      <c r="C2791" s="13"/>
      <c r="E2791" s="6"/>
      <c r="F2791" s="7"/>
      <c r="H2791" s="11"/>
      <c r="J2791" s="18"/>
      <c r="L2791" s="18"/>
      <c r="M2791" s="23"/>
    </row>
    <row r="2792">
      <c r="A2792" s="11"/>
      <c r="B2792" s="12"/>
      <c r="C2792" s="13"/>
      <c r="E2792" s="6"/>
      <c r="F2792" s="7"/>
      <c r="H2792" s="11"/>
      <c r="J2792" s="18"/>
      <c r="L2792" s="18"/>
      <c r="M2792" s="23"/>
    </row>
    <row r="2793">
      <c r="A2793" s="11"/>
      <c r="B2793" s="12"/>
      <c r="C2793" s="13"/>
      <c r="E2793" s="6"/>
      <c r="F2793" s="7"/>
      <c r="H2793" s="11"/>
      <c r="J2793" s="18"/>
      <c r="L2793" s="18"/>
      <c r="M2793" s="23"/>
    </row>
    <row r="2794">
      <c r="A2794" s="11"/>
      <c r="B2794" s="12"/>
      <c r="C2794" s="13"/>
      <c r="E2794" s="6"/>
      <c r="F2794" s="7"/>
      <c r="H2794" s="11"/>
      <c r="J2794" s="18"/>
      <c r="L2794" s="18"/>
      <c r="M2794" s="23"/>
    </row>
    <row r="2795">
      <c r="A2795" s="11"/>
      <c r="B2795" s="12"/>
      <c r="C2795" s="13"/>
      <c r="E2795" s="6"/>
      <c r="F2795" s="7"/>
      <c r="H2795" s="11"/>
      <c r="J2795" s="18"/>
      <c r="L2795" s="18"/>
      <c r="M2795" s="23"/>
    </row>
    <row r="2796">
      <c r="A2796" s="11"/>
      <c r="B2796" s="12"/>
      <c r="C2796" s="13"/>
      <c r="E2796" s="6"/>
      <c r="F2796" s="7"/>
      <c r="H2796" s="11"/>
      <c r="J2796" s="18"/>
      <c r="L2796" s="18"/>
      <c r="M2796" s="23"/>
    </row>
    <row r="2797">
      <c r="A2797" s="11"/>
      <c r="B2797" s="12"/>
      <c r="C2797" s="13"/>
      <c r="E2797" s="6"/>
      <c r="F2797" s="7"/>
      <c r="H2797" s="11"/>
      <c r="J2797" s="18"/>
      <c r="L2797" s="18"/>
      <c r="M2797" s="23"/>
    </row>
    <row r="2798">
      <c r="A2798" s="11"/>
      <c r="B2798" s="12"/>
      <c r="C2798" s="13"/>
      <c r="E2798" s="6"/>
      <c r="F2798" s="7"/>
      <c r="H2798" s="11"/>
      <c r="J2798" s="18"/>
      <c r="L2798" s="18"/>
      <c r="M2798" s="23"/>
    </row>
    <row r="2799">
      <c r="A2799" s="11"/>
      <c r="B2799" s="12"/>
      <c r="C2799" s="13"/>
      <c r="E2799" s="6"/>
      <c r="F2799" s="7"/>
      <c r="H2799" s="11"/>
      <c r="J2799" s="18"/>
      <c r="L2799" s="18"/>
      <c r="M2799" s="23"/>
    </row>
    <row r="2800">
      <c r="A2800" s="11"/>
      <c r="B2800" s="12"/>
      <c r="C2800" s="13"/>
      <c r="E2800" s="6"/>
      <c r="F2800" s="7"/>
      <c r="H2800" s="11"/>
      <c r="J2800" s="18"/>
      <c r="L2800" s="18"/>
      <c r="M2800" s="23"/>
    </row>
    <row r="2801">
      <c r="A2801" s="11"/>
      <c r="B2801" s="12"/>
      <c r="C2801" s="13"/>
      <c r="E2801" s="6"/>
      <c r="F2801" s="7"/>
      <c r="H2801" s="11"/>
      <c r="J2801" s="18"/>
      <c r="L2801" s="18"/>
      <c r="M2801" s="23"/>
    </row>
    <row r="2802">
      <c r="A2802" s="11"/>
      <c r="B2802" s="12"/>
      <c r="C2802" s="13"/>
      <c r="E2802" s="6"/>
      <c r="F2802" s="7"/>
      <c r="H2802" s="11"/>
      <c r="J2802" s="18"/>
      <c r="L2802" s="18"/>
      <c r="M2802" s="23"/>
    </row>
    <row r="2803">
      <c r="A2803" s="11"/>
      <c r="B2803" s="12"/>
      <c r="C2803" s="13"/>
      <c r="E2803" s="6"/>
      <c r="F2803" s="7"/>
      <c r="H2803" s="11"/>
      <c r="J2803" s="18"/>
      <c r="L2803" s="18"/>
      <c r="M2803" s="23"/>
    </row>
    <row r="2804">
      <c r="A2804" s="11"/>
      <c r="B2804" s="12"/>
      <c r="C2804" s="13"/>
      <c r="E2804" s="6"/>
      <c r="F2804" s="7"/>
      <c r="H2804" s="11"/>
      <c r="J2804" s="18"/>
      <c r="L2804" s="18"/>
      <c r="M2804" s="23"/>
    </row>
    <row r="2805">
      <c r="A2805" s="11"/>
      <c r="B2805" s="12"/>
      <c r="C2805" s="13"/>
      <c r="E2805" s="6"/>
      <c r="F2805" s="7"/>
      <c r="H2805" s="11"/>
      <c r="J2805" s="18"/>
      <c r="L2805" s="18"/>
      <c r="M2805" s="23"/>
    </row>
    <row r="2806">
      <c r="A2806" s="11"/>
      <c r="B2806" s="12"/>
      <c r="C2806" s="13"/>
      <c r="E2806" s="6"/>
      <c r="F2806" s="7"/>
      <c r="H2806" s="11"/>
      <c r="J2806" s="18"/>
      <c r="L2806" s="18"/>
      <c r="M2806" s="23"/>
    </row>
    <row r="2807">
      <c r="A2807" s="11"/>
      <c r="B2807" s="12"/>
      <c r="C2807" s="13"/>
      <c r="E2807" s="6"/>
      <c r="F2807" s="7"/>
      <c r="H2807" s="11"/>
      <c r="J2807" s="18"/>
      <c r="L2807" s="18"/>
      <c r="M2807" s="23"/>
    </row>
    <row r="2808">
      <c r="A2808" s="11"/>
      <c r="B2808" s="12"/>
      <c r="C2808" s="13"/>
      <c r="E2808" s="6"/>
      <c r="F2808" s="7"/>
      <c r="H2808" s="11"/>
      <c r="J2808" s="18"/>
      <c r="L2808" s="18"/>
      <c r="M2808" s="23"/>
    </row>
    <row r="2809">
      <c r="A2809" s="11"/>
      <c r="B2809" s="12"/>
      <c r="C2809" s="13"/>
      <c r="E2809" s="6"/>
      <c r="F2809" s="7"/>
      <c r="H2809" s="11"/>
      <c r="J2809" s="18"/>
      <c r="L2809" s="18"/>
      <c r="M2809" s="23"/>
    </row>
    <row r="2810">
      <c r="A2810" s="11"/>
      <c r="B2810" s="12"/>
      <c r="C2810" s="13"/>
      <c r="E2810" s="6"/>
      <c r="F2810" s="7"/>
      <c r="H2810" s="11"/>
      <c r="J2810" s="18"/>
      <c r="L2810" s="18"/>
      <c r="M2810" s="23"/>
    </row>
    <row r="2811">
      <c r="A2811" s="11"/>
      <c r="B2811" s="12"/>
      <c r="C2811" s="13"/>
      <c r="E2811" s="6"/>
      <c r="F2811" s="7"/>
      <c r="H2811" s="11"/>
      <c r="J2811" s="18"/>
      <c r="L2811" s="18"/>
      <c r="M2811" s="23"/>
    </row>
    <row r="2812">
      <c r="A2812" s="11"/>
      <c r="B2812" s="12"/>
      <c r="C2812" s="13"/>
      <c r="E2812" s="6"/>
      <c r="F2812" s="7"/>
      <c r="H2812" s="11"/>
      <c r="J2812" s="18"/>
      <c r="L2812" s="18"/>
      <c r="M2812" s="23"/>
    </row>
    <row r="2813">
      <c r="A2813" s="11"/>
      <c r="B2813" s="12"/>
      <c r="C2813" s="13"/>
      <c r="E2813" s="6"/>
      <c r="F2813" s="7"/>
      <c r="H2813" s="11"/>
      <c r="J2813" s="18"/>
      <c r="L2813" s="18"/>
      <c r="M2813" s="23"/>
    </row>
    <row r="2814">
      <c r="A2814" s="11"/>
      <c r="B2814" s="12"/>
      <c r="C2814" s="13"/>
      <c r="E2814" s="6"/>
      <c r="F2814" s="7"/>
      <c r="H2814" s="11"/>
      <c r="J2814" s="18"/>
      <c r="L2814" s="18"/>
      <c r="M2814" s="23"/>
    </row>
    <row r="2815">
      <c r="A2815" s="11"/>
      <c r="B2815" s="12"/>
      <c r="C2815" s="13"/>
      <c r="E2815" s="6"/>
      <c r="F2815" s="7"/>
      <c r="H2815" s="11"/>
      <c r="J2815" s="18"/>
      <c r="L2815" s="18"/>
      <c r="M2815" s="23"/>
    </row>
    <row r="2816">
      <c r="A2816" s="11"/>
      <c r="B2816" s="12"/>
      <c r="C2816" s="13"/>
      <c r="E2816" s="6"/>
      <c r="F2816" s="7"/>
      <c r="H2816" s="11"/>
      <c r="J2816" s="18"/>
      <c r="L2816" s="18"/>
      <c r="M2816" s="23"/>
    </row>
    <row r="2817">
      <c r="A2817" s="11"/>
      <c r="B2817" s="12"/>
      <c r="C2817" s="13"/>
      <c r="E2817" s="6"/>
      <c r="F2817" s="7"/>
      <c r="H2817" s="11"/>
      <c r="J2817" s="18"/>
      <c r="L2817" s="18"/>
      <c r="M2817" s="23"/>
    </row>
    <row r="2818">
      <c r="A2818" s="11"/>
      <c r="B2818" s="12"/>
      <c r="C2818" s="13"/>
      <c r="E2818" s="6"/>
      <c r="F2818" s="7"/>
      <c r="H2818" s="11"/>
      <c r="J2818" s="18"/>
      <c r="L2818" s="18"/>
      <c r="M2818" s="23"/>
    </row>
    <row r="2819">
      <c r="A2819" s="11"/>
      <c r="B2819" s="12"/>
      <c r="C2819" s="13"/>
      <c r="E2819" s="6"/>
      <c r="F2819" s="7"/>
      <c r="H2819" s="11"/>
      <c r="J2819" s="18"/>
      <c r="L2819" s="18"/>
      <c r="M2819" s="23"/>
    </row>
    <row r="2820">
      <c r="A2820" s="11"/>
      <c r="B2820" s="12"/>
      <c r="C2820" s="13"/>
      <c r="E2820" s="6"/>
      <c r="F2820" s="7"/>
      <c r="H2820" s="11"/>
      <c r="J2820" s="18"/>
      <c r="L2820" s="18"/>
      <c r="M2820" s="23"/>
    </row>
    <row r="2821">
      <c r="A2821" s="11"/>
      <c r="B2821" s="12"/>
      <c r="C2821" s="13"/>
      <c r="E2821" s="6"/>
      <c r="F2821" s="7"/>
      <c r="H2821" s="11"/>
      <c r="J2821" s="18"/>
      <c r="L2821" s="18"/>
      <c r="M2821" s="23"/>
    </row>
    <row r="2822">
      <c r="A2822" s="11"/>
      <c r="B2822" s="12"/>
      <c r="C2822" s="13"/>
      <c r="E2822" s="6"/>
      <c r="F2822" s="7"/>
      <c r="H2822" s="11"/>
      <c r="J2822" s="18"/>
      <c r="L2822" s="18"/>
      <c r="M2822" s="23"/>
    </row>
    <row r="2823">
      <c r="A2823" s="11"/>
      <c r="B2823" s="12"/>
      <c r="C2823" s="13"/>
      <c r="E2823" s="6"/>
      <c r="F2823" s="7"/>
      <c r="H2823" s="11"/>
      <c r="J2823" s="18"/>
      <c r="L2823" s="18"/>
      <c r="M2823" s="23"/>
    </row>
    <row r="2824">
      <c r="A2824" s="11"/>
      <c r="B2824" s="12"/>
      <c r="C2824" s="13"/>
      <c r="E2824" s="6"/>
      <c r="F2824" s="7"/>
      <c r="H2824" s="11"/>
      <c r="J2824" s="18"/>
      <c r="L2824" s="18"/>
      <c r="M2824" s="23"/>
    </row>
    <row r="2825">
      <c r="A2825" s="11"/>
      <c r="B2825" s="12"/>
      <c r="C2825" s="13"/>
      <c r="E2825" s="6"/>
      <c r="F2825" s="7"/>
      <c r="H2825" s="11"/>
      <c r="J2825" s="18"/>
      <c r="L2825" s="18"/>
      <c r="M2825" s="23"/>
    </row>
    <row r="2826">
      <c r="A2826" s="11"/>
      <c r="B2826" s="12"/>
      <c r="C2826" s="13"/>
      <c r="E2826" s="6"/>
      <c r="F2826" s="7"/>
      <c r="H2826" s="11"/>
      <c r="J2826" s="18"/>
      <c r="L2826" s="18"/>
      <c r="M2826" s="23"/>
    </row>
    <row r="2827">
      <c r="A2827" s="11"/>
      <c r="B2827" s="12"/>
      <c r="C2827" s="13"/>
      <c r="E2827" s="6"/>
      <c r="F2827" s="7"/>
      <c r="H2827" s="11"/>
      <c r="J2827" s="18"/>
      <c r="L2827" s="18"/>
      <c r="M2827" s="23"/>
    </row>
    <row r="2828">
      <c r="A2828" s="11"/>
      <c r="B2828" s="12"/>
      <c r="C2828" s="13"/>
      <c r="E2828" s="6"/>
      <c r="F2828" s="7"/>
      <c r="H2828" s="11"/>
      <c r="J2828" s="18"/>
      <c r="L2828" s="18"/>
      <c r="M2828" s="23"/>
    </row>
    <row r="2829">
      <c r="A2829" s="11"/>
      <c r="B2829" s="12"/>
      <c r="C2829" s="13"/>
      <c r="E2829" s="6"/>
      <c r="F2829" s="7"/>
      <c r="H2829" s="11"/>
      <c r="J2829" s="18"/>
      <c r="L2829" s="18"/>
      <c r="M2829" s="23"/>
    </row>
    <row r="2830">
      <c r="A2830" s="11"/>
      <c r="B2830" s="12"/>
      <c r="C2830" s="13"/>
      <c r="E2830" s="6"/>
      <c r="F2830" s="7"/>
      <c r="H2830" s="11"/>
      <c r="J2830" s="18"/>
      <c r="L2830" s="18"/>
      <c r="M2830" s="23"/>
    </row>
    <row r="2831">
      <c r="A2831" s="11"/>
      <c r="B2831" s="12"/>
      <c r="C2831" s="13"/>
      <c r="E2831" s="6"/>
      <c r="F2831" s="7"/>
      <c r="H2831" s="11"/>
      <c r="J2831" s="18"/>
      <c r="L2831" s="18"/>
      <c r="M2831" s="23"/>
    </row>
    <row r="2832">
      <c r="A2832" s="11"/>
      <c r="B2832" s="12"/>
      <c r="C2832" s="13"/>
      <c r="E2832" s="6"/>
      <c r="F2832" s="7"/>
      <c r="H2832" s="11"/>
      <c r="J2832" s="18"/>
      <c r="L2832" s="18"/>
      <c r="M2832" s="23"/>
    </row>
    <row r="2833">
      <c r="A2833" s="11"/>
      <c r="B2833" s="12"/>
      <c r="C2833" s="13"/>
      <c r="E2833" s="6"/>
      <c r="F2833" s="7"/>
      <c r="H2833" s="11"/>
      <c r="J2833" s="18"/>
      <c r="L2833" s="18"/>
      <c r="M2833" s="23"/>
    </row>
    <row r="2834">
      <c r="A2834" s="11"/>
      <c r="B2834" s="12"/>
      <c r="C2834" s="13"/>
      <c r="E2834" s="6"/>
      <c r="F2834" s="7"/>
      <c r="H2834" s="11"/>
      <c r="J2834" s="18"/>
      <c r="L2834" s="18"/>
      <c r="M2834" s="23"/>
    </row>
    <row r="2835">
      <c r="A2835" s="11"/>
      <c r="B2835" s="12"/>
      <c r="C2835" s="13"/>
      <c r="E2835" s="6"/>
      <c r="F2835" s="7"/>
      <c r="H2835" s="11"/>
      <c r="J2835" s="18"/>
      <c r="L2835" s="18"/>
      <c r="M2835" s="23"/>
    </row>
    <row r="2836">
      <c r="A2836" s="11"/>
      <c r="B2836" s="12"/>
      <c r="C2836" s="13"/>
      <c r="E2836" s="6"/>
      <c r="F2836" s="7"/>
      <c r="H2836" s="11"/>
      <c r="J2836" s="18"/>
      <c r="L2836" s="18"/>
      <c r="M2836" s="23"/>
    </row>
    <row r="2837">
      <c r="A2837" s="11"/>
      <c r="B2837" s="12"/>
      <c r="C2837" s="13"/>
      <c r="E2837" s="6"/>
      <c r="F2837" s="7"/>
      <c r="H2837" s="11"/>
      <c r="J2837" s="18"/>
      <c r="L2837" s="18"/>
      <c r="M2837" s="23"/>
    </row>
    <row r="2838">
      <c r="A2838" s="11"/>
      <c r="B2838" s="12"/>
      <c r="C2838" s="13"/>
      <c r="E2838" s="6"/>
      <c r="F2838" s="7"/>
      <c r="H2838" s="11"/>
      <c r="J2838" s="18"/>
      <c r="L2838" s="18"/>
      <c r="M2838" s="23"/>
    </row>
    <row r="2839">
      <c r="A2839" s="11"/>
      <c r="B2839" s="12"/>
      <c r="C2839" s="13"/>
      <c r="E2839" s="6"/>
      <c r="F2839" s="7"/>
      <c r="H2839" s="11"/>
      <c r="J2839" s="18"/>
      <c r="L2839" s="18"/>
      <c r="M2839" s="23"/>
    </row>
    <row r="2840">
      <c r="A2840" s="11"/>
      <c r="B2840" s="12"/>
      <c r="C2840" s="13"/>
      <c r="E2840" s="6"/>
      <c r="F2840" s="7"/>
      <c r="H2840" s="11"/>
      <c r="J2840" s="18"/>
      <c r="L2840" s="18"/>
      <c r="M2840" s="23"/>
    </row>
    <row r="2841">
      <c r="A2841" s="11"/>
      <c r="B2841" s="12"/>
      <c r="C2841" s="13"/>
      <c r="E2841" s="6"/>
      <c r="F2841" s="7"/>
      <c r="H2841" s="11"/>
      <c r="J2841" s="18"/>
      <c r="L2841" s="18"/>
      <c r="M2841" s="23"/>
    </row>
    <row r="2842">
      <c r="A2842" s="11"/>
      <c r="B2842" s="12"/>
      <c r="C2842" s="13"/>
      <c r="E2842" s="6"/>
      <c r="F2842" s="7"/>
      <c r="H2842" s="11"/>
      <c r="J2842" s="18"/>
      <c r="L2842" s="18"/>
      <c r="M2842" s="23"/>
    </row>
    <row r="2843">
      <c r="A2843" s="11"/>
      <c r="B2843" s="12"/>
      <c r="C2843" s="13"/>
      <c r="E2843" s="6"/>
      <c r="F2843" s="7"/>
      <c r="H2843" s="11"/>
      <c r="J2843" s="18"/>
      <c r="L2843" s="18"/>
      <c r="M2843" s="23"/>
    </row>
    <row r="2844">
      <c r="A2844" s="11"/>
      <c r="B2844" s="12"/>
      <c r="C2844" s="13"/>
      <c r="E2844" s="6"/>
      <c r="F2844" s="7"/>
      <c r="H2844" s="11"/>
      <c r="J2844" s="18"/>
      <c r="L2844" s="18"/>
      <c r="M2844" s="23"/>
    </row>
    <row r="2845">
      <c r="A2845" s="11"/>
      <c r="B2845" s="12"/>
      <c r="C2845" s="13"/>
      <c r="E2845" s="6"/>
      <c r="F2845" s="7"/>
      <c r="H2845" s="11"/>
      <c r="J2845" s="18"/>
      <c r="L2845" s="18"/>
      <c r="M2845" s="23"/>
    </row>
    <row r="2846">
      <c r="A2846" s="11"/>
      <c r="B2846" s="12"/>
      <c r="C2846" s="13"/>
      <c r="E2846" s="6"/>
      <c r="F2846" s="7"/>
      <c r="H2846" s="11"/>
      <c r="J2846" s="18"/>
      <c r="L2846" s="18"/>
      <c r="M2846" s="23"/>
    </row>
    <row r="2847">
      <c r="A2847" s="11"/>
      <c r="B2847" s="12"/>
      <c r="C2847" s="13"/>
      <c r="E2847" s="6"/>
      <c r="F2847" s="7"/>
      <c r="H2847" s="11"/>
      <c r="J2847" s="18"/>
      <c r="L2847" s="18"/>
      <c r="M2847" s="23"/>
    </row>
    <row r="2848">
      <c r="A2848" s="11"/>
      <c r="B2848" s="12"/>
      <c r="C2848" s="13"/>
      <c r="E2848" s="6"/>
      <c r="F2848" s="7"/>
      <c r="H2848" s="11"/>
      <c r="J2848" s="18"/>
      <c r="L2848" s="18"/>
      <c r="M2848" s="23"/>
    </row>
    <row r="2849">
      <c r="A2849" s="11"/>
      <c r="B2849" s="12"/>
      <c r="C2849" s="13"/>
      <c r="E2849" s="6"/>
      <c r="F2849" s="7"/>
      <c r="H2849" s="11"/>
      <c r="J2849" s="18"/>
      <c r="L2849" s="18"/>
      <c r="M2849" s="23"/>
    </row>
    <row r="2850">
      <c r="A2850" s="11"/>
      <c r="B2850" s="12"/>
      <c r="C2850" s="13"/>
      <c r="E2850" s="6"/>
      <c r="F2850" s="7"/>
      <c r="H2850" s="11"/>
      <c r="J2850" s="18"/>
      <c r="L2850" s="18"/>
      <c r="M2850" s="23"/>
    </row>
    <row r="2851">
      <c r="A2851" s="11"/>
      <c r="B2851" s="12"/>
      <c r="C2851" s="13"/>
      <c r="E2851" s="6"/>
      <c r="F2851" s="7"/>
      <c r="H2851" s="11"/>
      <c r="J2851" s="18"/>
      <c r="L2851" s="18"/>
      <c r="M2851" s="23"/>
    </row>
    <row r="2852">
      <c r="A2852" s="11"/>
      <c r="B2852" s="12"/>
      <c r="C2852" s="13"/>
      <c r="E2852" s="6"/>
      <c r="F2852" s="7"/>
      <c r="H2852" s="11"/>
      <c r="J2852" s="18"/>
      <c r="L2852" s="18"/>
      <c r="M2852" s="23"/>
    </row>
    <row r="2853">
      <c r="A2853" s="11"/>
      <c r="B2853" s="12"/>
      <c r="C2853" s="13"/>
      <c r="E2853" s="6"/>
      <c r="F2853" s="7"/>
      <c r="H2853" s="11"/>
      <c r="J2853" s="18"/>
      <c r="L2853" s="18"/>
      <c r="M2853" s="23"/>
    </row>
    <row r="2854">
      <c r="A2854" s="11"/>
      <c r="B2854" s="12"/>
      <c r="C2854" s="13"/>
      <c r="E2854" s="6"/>
      <c r="F2854" s="7"/>
      <c r="H2854" s="11"/>
      <c r="J2854" s="18"/>
      <c r="L2854" s="18"/>
      <c r="M2854" s="23"/>
    </row>
    <row r="2855">
      <c r="A2855" s="11"/>
      <c r="B2855" s="12"/>
      <c r="C2855" s="13"/>
      <c r="E2855" s="6"/>
      <c r="F2855" s="7"/>
      <c r="H2855" s="11"/>
      <c r="J2855" s="18"/>
      <c r="L2855" s="18"/>
      <c r="M2855" s="23"/>
    </row>
    <row r="2856">
      <c r="A2856" s="11"/>
      <c r="B2856" s="12"/>
      <c r="C2856" s="13"/>
      <c r="E2856" s="6"/>
      <c r="F2856" s="7"/>
      <c r="H2856" s="11"/>
      <c r="J2856" s="18"/>
      <c r="L2856" s="18"/>
      <c r="M2856" s="23"/>
    </row>
    <row r="2857">
      <c r="A2857" s="11"/>
      <c r="B2857" s="12"/>
      <c r="C2857" s="13"/>
      <c r="E2857" s="6"/>
      <c r="F2857" s="7"/>
      <c r="H2857" s="11"/>
      <c r="J2857" s="18"/>
      <c r="L2857" s="18"/>
      <c r="M2857" s="23"/>
    </row>
    <row r="2858">
      <c r="A2858" s="11"/>
      <c r="B2858" s="12"/>
      <c r="C2858" s="13"/>
      <c r="E2858" s="6"/>
      <c r="F2858" s="7"/>
      <c r="H2858" s="11"/>
      <c r="J2858" s="18"/>
      <c r="L2858" s="18"/>
      <c r="M2858" s="23"/>
    </row>
    <row r="2859">
      <c r="A2859" s="11"/>
      <c r="B2859" s="12"/>
      <c r="C2859" s="13"/>
      <c r="E2859" s="6"/>
      <c r="F2859" s="7"/>
      <c r="H2859" s="11"/>
      <c r="J2859" s="18"/>
      <c r="L2859" s="18"/>
      <c r="M2859" s="23"/>
    </row>
    <row r="2860">
      <c r="A2860" s="11"/>
      <c r="B2860" s="12"/>
      <c r="C2860" s="13"/>
      <c r="E2860" s="6"/>
      <c r="F2860" s="7"/>
      <c r="H2860" s="11"/>
      <c r="J2860" s="18"/>
      <c r="L2860" s="18"/>
      <c r="M2860" s="23"/>
    </row>
    <row r="2861">
      <c r="A2861" s="11"/>
      <c r="B2861" s="12"/>
      <c r="C2861" s="13"/>
      <c r="E2861" s="6"/>
      <c r="F2861" s="7"/>
      <c r="H2861" s="11"/>
      <c r="J2861" s="18"/>
      <c r="L2861" s="18"/>
      <c r="M2861" s="23"/>
    </row>
    <row r="2862">
      <c r="A2862" s="11"/>
      <c r="B2862" s="12"/>
      <c r="C2862" s="13"/>
      <c r="E2862" s="6"/>
      <c r="F2862" s="7"/>
      <c r="H2862" s="11"/>
      <c r="J2862" s="18"/>
      <c r="L2862" s="18"/>
      <c r="M2862" s="23"/>
    </row>
    <row r="2863">
      <c r="A2863" s="11"/>
      <c r="B2863" s="12"/>
      <c r="C2863" s="13"/>
      <c r="E2863" s="6"/>
      <c r="F2863" s="7"/>
      <c r="H2863" s="11"/>
      <c r="J2863" s="18"/>
      <c r="L2863" s="18"/>
      <c r="M2863" s="23"/>
    </row>
    <row r="2864">
      <c r="A2864" s="11"/>
      <c r="B2864" s="12"/>
      <c r="C2864" s="13"/>
      <c r="E2864" s="6"/>
      <c r="F2864" s="7"/>
      <c r="H2864" s="11"/>
      <c r="J2864" s="18"/>
      <c r="L2864" s="18"/>
      <c r="M2864" s="23"/>
    </row>
    <row r="2865">
      <c r="A2865" s="11"/>
      <c r="B2865" s="12"/>
      <c r="C2865" s="13"/>
      <c r="E2865" s="6"/>
      <c r="F2865" s="7"/>
      <c r="H2865" s="11"/>
      <c r="J2865" s="18"/>
      <c r="L2865" s="18"/>
      <c r="M2865" s="23"/>
    </row>
    <row r="2866">
      <c r="A2866" s="11"/>
      <c r="B2866" s="12"/>
      <c r="C2866" s="13"/>
      <c r="E2866" s="6"/>
      <c r="F2866" s="7"/>
      <c r="H2866" s="11"/>
      <c r="J2866" s="18"/>
      <c r="L2866" s="18"/>
      <c r="M2866" s="23"/>
    </row>
    <row r="2867">
      <c r="A2867" s="11"/>
      <c r="B2867" s="12"/>
      <c r="C2867" s="13"/>
      <c r="E2867" s="6"/>
      <c r="F2867" s="7"/>
      <c r="H2867" s="11"/>
      <c r="J2867" s="18"/>
      <c r="L2867" s="18"/>
      <c r="M2867" s="23"/>
    </row>
    <row r="2868">
      <c r="A2868" s="11"/>
      <c r="B2868" s="12"/>
      <c r="C2868" s="13"/>
      <c r="E2868" s="6"/>
      <c r="F2868" s="7"/>
      <c r="H2868" s="11"/>
      <c r="J2868" s="18"/>
      <c r="L2868" s="18"/>
      <c r="M2868" s="23"/>
    </row>
    <row r="2869">
      <c r="A2869" s="11"/>
      <c r="B2869" s="12"/>
      <c r="C2869" s="13"/>
      <c r="E2869" s="6"/>
      <c r="F2869" s="7"/>
      <c r="H2869" s="11"/>
      <c r="J2869" s="18"/>
      <c r="L2869" s="18"/>
      <c r="M2869" s="23"/>
    </row>
    <row r="2870">
      <c r="A2870" s="11"/>
      <c r="B2870" s="12"/>
      <c r="C2870" s="13"/>
      <c r="E2870" s="6"/>
      <c r="F2870" s="7"/>
      <c r="H2870" s="11"/>
      <c r="J2870" s="18"/>
      <c r="L2870" s="18"/>
      <c r="M2870" s="23"/>
    </row>
    <row r="2871">
      <c r="A2871" s="11"/>
      <c r="B2871" s="12"/>
      <c r="C2871" s="13"/>
      <c r="E2871" s="6"/>
      <c r="F2871" s="7"/>
      <c r="H2871" s="11"/>
      <c r="J2871" s="18"/>
      <c r="L2871" s="18"/>
      <c r="M2871" s="23"/>
    </row>
    <row r="2872">
      <c r="A2872" s="11"/>
      <c r="B2872" s="12"/>
      <c r="C2872" s="13"/>
      <c r="E2872" s="6"/>
      <c r="F2872" s="7"/>
      <c r="H2872" s="11"/>
      <c r="J2872" s="18"/>
      <c r="L2872" s="18"/>
      <c r="M2872" s="23"/>
    </row>
    <row r="2873">
      <c r="A2873" s="11"/>
      <c r="B2873" s="12"/>
      <c r="C2873" s="13"/>
      <c r="E2873" s="6"/>
      <c r="F2873" s="7"/>
      <c r="H2873" s="11"/>
      <c r="J2873" s="18"/>
      <c r="L2873" s="18"/>
      <c r="M2873" s="23"/>
    </row>
    <row r="2874">
      <c r="A2874" s="11"/>
      <c r="B2874" s="12"/>
      <c r="C2874" s="13"/>
      <c r="E2874" s="6"/>
      <c r="F2874" s="7"/>
      <c r="H2874" s="11"/>
      <c r="J2874" s="18"/>
      <c r="L2874" s="18"/>
      <c r="M2874" s="23"/>
    </row>
    <row r="2875">
      <c r="A2875" s="11"/>
      <c r="B2875" s="12"/>
      <c r="C2875" s="13"/>
      <c r="E2875" s="6"/>
      <c r="F2875" s="7"/>
      <c r="H2875" s="11"/>
      <c r="J2875" s="18"/>
      <c r="L2875" s="18"/>
      <c r="M2875" s="23"/>
    </row>
    <row r="2876">
      <c r="A2876" s="11"/>
      <c r="B2876" s="12"/>
      <c r="C2876" s="13"/>
      <c r="E2876" s="6"/>
      <c r="F2876" s="7"/>
      <c r="H2876" s="11"/>
      <c r="J2876" s="18"/>
      <c r="L2876" s="18"/>
      <c r="M2876" s="23"/>
    </row>
    <row r="2877">
      <c r="A2877" s="11"/>
      <c r="B2877" s="12"/>
      <c r="C2877" s="13"/>
      <c r="E2877" s="6"/>
      <c r="F2877" s="7"/>
      <c r="H2877" s="11"/>
      <c r="J2877" s="18"/>
      <c r="L2877" s="18"/>
      <c r="M2877" s="23"/>
    </row>
    <row r="2878">
      <c r="A2878" s="11"/>
      <c r="B2878" s="12"/>
      <c r="C2878" s="13"/>
      <c r="E2878" s="6"/>
      <c r="F2878" s="7"/>
      <c r="H2878" s="11"/>
      <c r="J2878" s="18"/>
      <c r="L2878" s="18"/>
      <c r="M2878" s="23"/>
    </row>
    <row r="2879">
      <c r="A2879" s="11"/>
      <c r="B2879" s="12"/>
      <c r="C2879" s="13"/>
      <c r="E2879" s="6"/>
      <c r="F2879" s="7"/>
      <c r="H2879" s="11"/>
      <c r="J2879" s="18"/>
      <c r="L2879" s="18"/>
      <c r="M2879" s="23"/>
    </row>
    <row r="2880">
      <c r="A2880" s="11"/>
      <c r="B2880" s="12"/>
      <c r="C2880" s="13"/>
      <c r="E2880" s="6"/>
      <c r="F2880" s="7"/>
      <c r="H2880" s="11"/>
      <c r="J2880" s="18"/>
      <c r="L2880" s="18"/>
      <c r="M2880" s="23"/>
    </row>
    <row r="2881">
      <c r="A2881" s="11"/>
      <c r="B2881" s="12"/>
      <c r="C2881" s="13"/>
      <c r="E2881" s="6"/>
      <c r="F2881" s="7"/>
      <c r="H2881" s="11"/>
      <c r="J2881" s="18"/>
      <c r="L2881" s="18"/>
      <c r="M2881" s="23"/>
    </row>
    <row r="2882">
      <c r="A2882" s="11"/>
      <c r="B2882" s="12"/>
      <c r="C2882" s="13"/>
      <c r="E2882" s="6"/>
      <c r="F2882" s="7"/>
      <c r="H2882" s="11"/>
      <c r="J2882" s="18"/>
      <c r="L2882" s="18"/>
      <c r="M2882" s="23"/>
    </row>
    <row r="2883">
      <c r="A2883" s="11"/>
      <c r="B2883" s="12"/>
      <c r="C2883" s="13"/>
      <c r="E2883" s="6"/>
      <c r="F2883" s="7"/>
      <c r="H2883" s="11"/>
      <c r="J2883" s="18"/>
      <c r="L2883" s="18"/>
      <c r="M2883" s="23"/>
    </row>
    <row r="2884">
      <c r="A2884" s="11"/>
      <c r="B2884" s="12"/>
      <c r="C2884" s="13"/>
      <c r="E2884" s="6"/>
      <c r="F2884" s="7"/>
      <c r="H2884" s="11"/>
      <c r="J2884" s="18"/>
      <c r="L2884" s="18"/>
      <c r="M2884" s="23"/>
    </row>
    <row r="2885">
      <c r="A2885" s="11"/>
      <c r="B2885" s="12"/>
      <c r="C2885" s="13"/>
      <c r="E2885" s="6"/>
      <c r="F2885" s="7"/>
      <c r="H2885" s="11"/>
      <c r="J2885" s="18"/>
      <c r="L2885" s="18"/>
      <c r="M2885" s="23"/>
    </row>
    <row r="2886">
      <c r="A2886" s="11"/>
      <c r="B2886" s="12"/>
      <c r="C2886" s="13"/>
      <c r="E2886" s="6"/>
      <c r="F2886" s="7"/>
      <c r="H2886" s="11"/>
      <c r="J2886" s="18"/>
      <c r="L2886" s="18"/>
      <c r="M2886" s="23"/>
    </row>
    <row r="2887">
      <c r="A2887" s="11"/>
      <c r="B2887" s="12"/>
      <c r="C2887" s="13"/>
      <c r="E2887" s="6"/>
      <c r="F2887" s="7"/>
      <c r="H2887" s="11"/>
      <c r="J2887" s="18"/>
      <c r="L2887" s="18"/>
      <c r="M2887" s="23"/>
    </row>
    <row r="2888">
      <c r="A2888" s="11"/>
      <c r="B2888" s="12"/>
      <c r="C2888" s="13"/>
      <c r="E2888" s="6"/>
      <c r="F2888" s="7"/>
      <c r="H2888" s="11"/>
      <c r="J2888" s="18"/>
      <c r="L2888" s="18"/>
      <c r="M2888" s="23"/>
    </row>
    <row r="2889">
      <c r="A2889" s="11"/>
      <c r="B2889" s="12"/>
      <c r="C2889" s="13"/>
      <c r="E2889" s="6"/>
      <c r="F2889" s="7"/>
      <c r="H2889" s="11"/>
      <c r="J2889" s="18"/>
      <c r="L2889" s="18"/>
      <c r="M2889" s="23"/>
    </row>
    <row r="2890">
      <c r="A2890" s="11"/>
      <c r="B2890" s="12"/>
      <c r="C2890" s="13"/>
      <c r="E2890" s="6"/>
      <c r="F2890" s="7"/>
      <c r="H2890" s="11"/>
      <c r="J2890" s="18"/>
      <c r="L2890" s="18"/>
      <c r="M2890" s="23"/>
    </row>
    <row r="2891">
      <c r="A2891" s="11"/>
      <c r="B2891" s="12"/>
      <c r="C2891" s="13"/>
      <c r="E2891" s="6"/>
      <c r="F2891" s="7"/>
      <c r="H2891" s="11"/>
      <c r="J2891" s="18"/>
      <c r="L2891" s="18"/>
      <c r="M2891" s="23"/>
    </row>
    <row r="2892">
      <c r="A2892" s="11"/>
      <c r="B2892" s="12"/>
      <c r="C2892" s="13"/>
      <c r="E2892" s="6"/>
      <c r="F2892" s="7"/>
      <c r="H2892" s="11"/>
      <c r="J2892" s="18"/>
      <c r="L2892" s="18"/>
      <c r="M2892" s="23"/>
    </row>
    <row r="2893">
      <c r="A2893" s="11"/>
      <c r="B2893" s="12"/>
      <c r="C2893" s="13"/>
      <c r="E2893" s="6"/>
      <c r="F2893" s="7"/>
      <c r="H2893" s="11"/>
      <c r="J2893" s="18"/>
      <c r="L2893" s="18"/>
      <c r="M2893" s="23"/>
    </row>
    <row r="2894">
      <c r="A2894" s="11"/>
      <c r="B2894" s="12"/>
      <c r="C2894" s="13"/>
      <c r="E2894" s="6"/>
      <c r="F2894" s="7"/>
      <c r="H2894" s="11"/>
      <c r="J2894" s="18"/>
      <c r="L2894" s="18"/>
      <c r="M2894" s="23"/>
    </row>
    <row r="2895">
      <c r="A2895" s="11"/>
      <c r="B2895" s="12"/>
      <c r="C2895" s="13"/>
      <c r="E2895" s="6"/>
      <c r="F2895" s="7"/>
      <c r="H2895" s="11"/>
      <c r="J2895" s="18"/>
      <c r="L2895" s="18"/>
      <c r="M2895" s="23"/>
    </row>
    <row r="2896">
      <c r="A2896" s="11"/>
      <c r="B2896" s="12"/>
      <c r="C2896" s="13"/>
      <c r="E2896" s="6"/>
      <c r="F2896" s="7"/>
      <c r="H2896" s="11"/>
      <c r="J2896" s="18"/>
      <c r="L2896" s="18"/>
      <c r="M2896" s="23"/>
    </row>
    <row r="2897">
      <c r="A2897" s="11"/>
      <c r="B2897" s="12"/>
      <c r="C2897" s="13"/>
      <c r="E2897" s="6"/>
      <c r="F2897" s="7"/>
      <c r="H2897" s="11"/>
      <c r="J2897" s="18"/>
      <c r="L2897" s="18"/>
      <c r="M2897" s="23"/>
    </row>
    <row r="2898">
      <c r="A2898" s="11"/>
      <c r="B2898" s="12"/>
      <c r="C2898" s="13"/>
      <c r="E2898" s="6"/>
      <c r="F2898" s="7"/>
      <c r="H2898" s="11"/>
      <c r="J2898" s="18"/>
      <c r="L2898" s="18"/>
      <c r="M2898" s="23"/>
    </row>
    <row r="2899">
      <c r="A2899" s="11"/>
      <c r="B2899" s="12"/>
      <c r="C2899" s="13"/>
      <c r="E2899" s="6"/>
      <c r="F2899" s="7"/>
      <c r="H2899" s="11"/>
      <c r="J2899" s="18"/>
      <c r="L2899" s="18"/>
      <c r="M2899" s="23"/>
    </row>
    <row r="2900">
      <c r="A2900" s="11"/>
      <c r="B2900" s="12"/>
      <c r="C2900" s="13"/>
      <c r="E2900" s="6"/>
      <c r="F2900" s="7"/>
      <c r="H2900" s="11"/>
      <c r="J2900" s="18"/>
      <c r="L2900" s="18"/>
      <c r="M2900" s="23"/>
    </row>
    <row r="2901">
      <c r="A2901" s="11"/>
      <c r="B2901" s="12"/>
      <c r="C2901" s="13"/>
      <c r="E2901" s="6"/>
      <c r="F2901" s="7"/>
      <c r="H2901" s="11"/>
      <c r="J2901" s="18"/>
      <c r="L2901" s="18"/>
      <c r="M2901" s="23"/>
    </row>
    <row r="2902">
      <c r="A2902" s="11"/>
      <c r="B2902" s="12"/>
      <c r="C2902" s="13"/>
      <c r="E2902" s="6"/>
      <c r="F2902" s="7"/>
      <c r="H2902" s="11"/>
      <c r="J2902" s="18"/>
      <c r="L2902" s="18"/>
      <c r="M2902" s="23"/>
    </row>
    <row r="2903">
      <c r="A2903" s="11"/>
      <c r="B2903" s="12"/>
      <c r="C2903" s="13"/>
      <c r="E2903" s="6"/>
      <c r="F2903" s="7"/>
      <c r="H2903" s="11"/>
      <c r="J2903" s="18"/>
      <c r="L2903" s="18"/>
      <c r="M2903" s="23"/>
    </row>
    <row r="2904">
      <c r="A2904" s="11"/>
      <c r="B2904" s="12"/>
      <c r="C2904" s="13"/>
      <c r="E2904" s="6"/>
      <c r="F2904" s="7"/>
      <c r="H2904" s="11"/>
      <c r="J2904" s="18"/>
      <c r="L2904" s="18"/>
      <c r="M2904" s="23"/>
    </row>
    <row r="2905">
      <c r="A2905" s="11"/>
      <c r="B2905" s="12"/>
      <c r="C2905" s="13"/>
      <c r="E2905" s="6"/>
      <c r="F2905" s="7"/>
      <c r="H2905" s="11"/>
      <c r="J2905" s="18"/>
      <c r="L2905" s="18"/>
      <c r="M2905" s="23"/>
    </row>
    <row r="2906">
      <c r="A2906" s="11"/>
      <c r="B2906" s="12"/>
      <c r="C2906" s="13"/>
      <c r="E2906" s="6"/>
      <c r="F2906" s="7"/>
      <c r="H2906" s="11"/>
      <c r="J2906" s="18"/>
      <c r="L2906" s="18"/>
      <c r="M2906" s="23"/>
    </row>
    <row r="2907">
      <c r="A2907" s="11"/>
      <c r="B2907" s="12"/>
      <c r="C2907" s="13"/>
      <c r="E2907" s="6"/>
      <c r="F2907" s="7"/>
      <c r="H2907" s="11"/>
      <c r="J2907" s="18"/>
      <c r="L2907" s="18"/>
      <c r="M2907" s="23"/>
    </row>
    <row r="2908">
      <c r="A2908" s="11"/>
      <c r="B2908" s="12"/>
      <c r="C2908" s="13"/>
      <c r="E2908" s="6"/>
      <c r="F2908" s="7"/>
      <c r="H2908" s="11"/>
      <c r="J2908" s="18"/>
      <c r="L2908" s="18"/>
      <c r="M2908" s="23"/>
    </row>
    <row r="2909">
      <c r="A2909" s="11"/>
      <c r="B2909" s="12"/>
      <c r="C2909" s="13"/>
      <c r="E2909" s="6"/>
      <c r="F2909" s="7"/>
      <c r="H2909" s="11"/>
      <c r="J2909" s="18"/>
      <c r="L2909" s="18"/>
      <c r="M2909" s="23"/>
    </row>
    <row r="2910">
      <c r="A2910" s="11"/>
      <c r="B2910" s="12"/>
      <c r="C2910" s="13"/>
      <c r="E2910" s="6"/>
      <c r="F2910" s="7"/>
      <c r="H2910" s="11"/>
      <c r="J2910" s="18"/>
      <c r="L2910" s="18"/>
      <c r="M2910" s="23"/>
    </row>
    <row r="2911">
      <c r="A2911" s="11"/>
      <c r="B2911" s="12"/>
      <c r="C2911" s="13"/>
      <c r="E2911" s="6"/>
      <c r="F2911" s="7"/>
      <c r="H2911" s="11"/>
      <c r="J2911" s="18"/>
      <c r="L2911" s="18"/>
      <c r="M2911" s="23"/>
    </row>
    <row r="2912">
      <c r="A2912" s="11"/>
      <c r="B2912" s="12"/>
      <c r="C2912" s="13"/>
      <c r="E2912" s="6"/>
      <c r="F2912" s="7"/>
      <c r="H2912" s="11"/>
      <c r="J2912" s="18"/>
      <c r="L2912" s="18"/>
      <c r="M2912" s="23"/>
    </row>
    <row r="2913">
      <c r="A2913" s="11"/>
      <c r="B2913" s="12"/>
      <c r="C2913" s="13"/>
      <c r="E2913" s="6"/>
      <c r="F2913" s="7"/>
      <c r="H2913" s="11"/>
      <c r="J2913" s="18"/>
      <c r="L2913" s="18"/>
      <c r="M2913" s="23"/>
    </row>
    <row r="2914">
      <c r="A2914" s="11"/>
      <c r="B2914" s="12"/>
      <c r="C2914" s="13"/>
      <c r="E2914" s="6"/>
      <c r="F2914" s="7"/>
      <c r="H2914" s="11"/>
      <c r="J2914" s="18"/>
      <c r="L2914" s="18"/>
      <c r="M2914" s="23"/>
    </row>
    <row r="2915">
      <c r="A2915" s="11"/>
      <c r="B2915" s="12"/>
      <c r="C2915" s="13"/>
      <c r="E2915" s="6"/>
      <c r="F2915" s="7"/>
      <c r="H2915" s="11"/>
      <c r="J2915" s="18"/>
      <c r="L2915" s="18"/>
      <c r="M2915" s="23"/>
    </row>
    <row r="2916">
      <c r="A2916" s="11"/>
      <c r="B2916" s="12"/>
      <c r="C2916" s="13"/>
      <c r="E2916" s="6"/>
      <c r="F2916" s="7"/>
      <c r="H2916" s="11"/>
      <c r="J2916" s="18"/>
      <c r="L2916" s="18"/>
      <c r="M2916" s="23"/>
    </row>
    <row r="2917">
      <c r="A2917" s="11"/>
      <c r="B2917" s="12"/>
      <c r="C2917" s="13"/>
      <c r="E2917" s="6"/>
      <c r="F2917" s="7"/>
      <c r="H2917" s="11"/>
      <c r="J2917" s="18"/>
      <c r="L2917" s="18"/>
      <c r="M2917" s="23"/>
    </row>
    <row r="2918">
      <c r="A2918" s="11"/>
      <c r="B2918" s="12"/>
      <c r="C2918" s="13"/>
      <c r="E2918" s="6"/>
      <c r="F2918" s="7"/>
      <c r="H2918" s="11"/>
      <c r="J2918" s="18"/>
      <c r="L2918" s="18"/>
      <c r="M2918" s="23"/>
    </row>
    <row r="2919">
      <c r="A2919" s="11"/>
      <c r="B2919" s="12"/>
      <c r="C2919" s="13"/>
      <c r="E2919" s="6"/>
      <c r="F2919" s="7"/>
      <c r="H2919" s="11"/>
      <c r="J2919" s="18"/>
      <c r="L2919" s="18"/>
      <c r="M2919" s="23"/>
    </row>
    <row r="2920">
      <c r="A2920" s="11"/>
      <c r="B2920" s="12"/>
      <c r="C2920" s="13"/>
      <c r="E2920" s="6"/>
      <c r="F2920" s="7"/>
      <c r="H2920" s="11"/>
      <c r="J2920" s="18"/>
      <c r="L2920" s="18"/>
      <c r="M2920" s="23"/>
    </row>
    <row r="2921">
      <c r="A2921" s="11"/>
      <c r="B2921" s="12"/>
      <c r="C2921" s="13"/>
      <c r="E2921" s="6"/>
      <c r="F2921" s="7"/>
      <c r="H2921" s="11"/>
      <c r="J2921" s="18"/>
      <c r="L2921" s="18"/>
      <c r="M2921" s="23"/>
    </row>
    <row r="2922">
      <c r="A2922" s="11"/>
      <c r="B2922" s="12"/>
      <c r="C2922" s="13"/>
      <c r="E2922" s="6"/>
      <c r="F2922" s="7"/>
      <c r="H2922" s="11"/>
      <c r="J2922" s="18"/>
      <c r="L2922" s="18"/>
      <c r="M2922" s="23"/>
    </row>
    <row r="2923">
      <c r="A2923" s="11"/>
      <c r="B2923" s="12"/>
      <c r="C2923" s="13"/>
      <c r="E2923" s="6"/>
      <c r="F2923" s="7"/>
      <c r="H2923" s="11"/>
      <c r="J2923" s="18"/>
      <c r="L2923" s="18"/>
      <c r="M2923" s="23"/>
    </row>
    <row r="2924">
      <c r="A2924" s="11"/>
      <c r="B2924" s="12"/>
      <c r="C2924" s="13"/>
      <c r="E2924" s="6"/>
      <c r="F2924" s="7"/>
      <c r="H2924" s="11"/>
      <c r="J2924" s="18"/>
      <c r="L2924" s="18"/>
      <c r="M2924" s="23"/>
    </row>
    <row r="2925">
      <c r="A2925" s="11"/>
      <c r="B2925" s="12"/>
      <c r="C2925" s="13"/>
      <c r="E2925" s="6"/>
      <c r="F2925" s="7"/>
      <c r="H2925" s="11"/>
      <c r="J2925" s="18"/>
      <c r="L2925" s="18"/>
      <c r="M2925" s="23"/>
    </row>
    <row r="2926">
      <c r="A2926" s="11"/>
      <c r="B2926" s="12"/>
      <c r="C2926" s="13"/>
      <c r="E2926" s="6"/>
      <c r="F2926" s="7"/>
      <c r="H2926" s="11"/>
      <c r="J2926" s="18"/>
      <c r="L2926" s="18"/>
      <c r="M2926" s="23"/>
    </row>
    <row r="2927">
      <c r="A2927" s="11"/>
      <c r="B2927" s="12"/>
      <c r="C2927" s="13"/>
      <c r="E2927" s="6"/>
      <c r="F2927" s="7"/>
      <c r="H2927" s="11"/>
      <c r="J2927" s="18"/>
      <c r="L2927" s="18"/>
      <c r="M2927" s="23"/>
    </row>
    <row r="2928">
      <c r="A2928" s="11"/>
      <c r="B2928" s="12"/>
      <c r="C2928" s="13"/>
      <c r="E2928" s="6"/>
      <c r="F2928" s="7"/>
      <c r="H2928" s="11"/>
      <c r="J2928" s="18"/>
      <c r="L2928" s="18"/>
      <c r="M2928" s="23"/>
    </row>
    <row r="2929">
      <c r="A2929" s="11"/>
      <c r="B2929" s="12"/>
      <c r="C2929" s="13"/>
      <c r="E2929" s="6"/>
      <c r="F2929" s="7"/>
      <c r="H2929" s="11"/>
      <c r="J2929" s="18"/>
      <c r="L2929" s="18"/>
      <c r="M2929" s="23"/>
    </row>
    <row r="2930">
      <c r="A2930" s="11"/>
      <c r="B2930" s="12"/>
      <c r="C2930" s="13"/>
      <c r="E2930" s="6"/>
      <c r="F2930" s="7"/>
      <c r="H2930" s="11"/>
      <c r="J2930" s="18"/>
      <c r="L2930" s="18"/>
      <c r="M2930" s="23"/>
    </row>
    <row r="2931">
      <c r="A2931" s="11"/>
      <c r="B2931" s="12"/>
      <c r="C2931" s="13"/>
      <c r="E2931" s="6"/>
      <c r="F2931" s="7"/>
      <c r="H2931" s="11"/>
      <c r="J2931" s="18"/>
      <c r="L2931" s="18"/>
      <c r="M2931" s="23"/>
    </row>
    <row r="2932">
      <c r="A2932" s="11"/>
      <c r="B2932" s="12"/>
      <c r="C2932" s="13"/>
      <c r="E2932" s="6"/>
      <c r="F2932" s="7"/>
      <c r="H2932" s="11"/>
      <c r="J2932" s="18"/>
      <c r="L2932" s="18"/>
      <c r="M2932" s="23"/>
    </row>
    <row r="2933">
      <c r="A2933" s="11"/>
      <c r="B2933" s="12"/>
      <c r="C2933" s="13"/>
      <c r="E2933" s="6"/>
      <c r="F2933" s="7"/>
      <c r="H2933" s="11"/>
      <c r="J2933" s="18"/>
      <c r="L2933" s="18"/>
      <c r="M2933" s="23"/>
    </row>
    <row r="2934">
      <c r="A2934" s="11"/>
      <c r="B2934" s="12"/>
      <c r="C2934" s="13"/>
      <c r="E2934" s="6"/>
      <c r="F2934" s="7"/>
      <c r="H2934" s="11"/>
      <c r="J2934" s="18"/>
      <c r="L2934" s="18"/>
      <c r="M2934" s="23"/>
    </row>
    <row r="2935">
      <c r="A2935" s="11"/>
      <c r="B2935" s="12"/>
      <c r="C2935" s="13"/>
      <c r="E2935" s="6"/>
      <c r="F2935" s="7"/>
      <c r="H2935" s="11"/>
      <c r="J2935" s="18"/>
      <c r="L2935" s="18"/>
      <c r="M2935" s="23"/>
    </row>
    <row r="2936">
      <c r="A2936" s="11"/>
      <c r="B2936" s="12"/>
      <c r="C2936" s="13"/>
      <c r="E2936" s="6"/>
      <c r="F2936" s="7"/>
      <c r="H2936" s="11"/>
      <c r="J2936" s="18"/>
      <c r="L2936" s="18"/>
      <c r="M2936" s="23"/>
    </row>
    <row r="2937">
      <c r="A2937" s="11"/>
      <c r="B2937" s="12"/>
      <c r="C2937" s="13"/>
      <c r="E2937" s="6"/>
      <c r="F2937" s="7"/>
      <c r="H2937" s="11"/>
      <c r="J2937" s="18"/>
      <c r="L2937" s="18"/>
      <c r="M2937" s="23"/>
    </row>
    <row r="2938">
      <c r="A2938" s="11"/>
      <c r="B2938" s="12"/>
      <c r="C2938" s="13"/>
      <c r="E2938" s="6"/>
      <c r="F2938" s="7"/>
      <c r="H2938" s="11"/>
      <c r="J2938" s="18"/>
      <c r="L2938" s="18"/>
      <c r="M2938" s="23"/>
    </row>
    <row r="2939">
      <c r="A2939" s="11"/>
      <c r="B2939" s="12"/>
      <c r="C2939" s="13"/>
      <c r="E2939" s="6"/>
      <c r="F2939" s="7"/>
      <c r="H2939" s="11"/>
      <c r="J2939" s="18"/>
      <c r="L2939" s="18"/>
      <c r="M2939" s="23"/>
    </row>
    <row r="2940">
      <c r="A2940" s="11"/>
      <c r="B2940" s="12"/>
      <c r="C2940" s="13"/>
      <c r="E2940" s="6"/>
      <c r="F2940" s="7"/>
      <c r="H2940" s="11"/>
      <c r="J2940" s="18"/>
      <c r="L2940" s="18"/>
      <c r="M2940" s="23"/>
    </row>
    <row r="2941">
      <c r="A2941" s="11"/>
      <c r="B2941" s="12"/>
      <c r="C2941" s="13"/>
      <c r="E2941" s="6"/>
      <c r="F2941" s="7"/>
      <c r="H2941" s="11"/>
      <c r="J2941" s="18"/>
      <c r="L2941" s="18"/>
      <c r="M2941" s="23"/>
    </row>
    <row r="2942">
      <c r="A2942" s="11"/>
      <c r="B2942" s="12"/>
      <c r="C2942" s="13"/>
      <c r="E2942" s="6"/>
      <c r="F2942" s="7"/>
      <c r="H2942" s="11"/>
      <c r="J2942" s="18"/>
      <c r="L2942" s="18"/>
      <c r="M2942" s="23"/>
    </row>
    <row r="2943">
      <c r="A2943" s="11"/>
      <c r="B2943" s="12"/>
      <c r="C2943" s="13"/>
      <c r="E2943" s="6"/>
      <c r="F2943" s="7"/>
      <c r="H2943" s="11"/>
      <c r="J2943" s="18"/>
      <c r="L2943" s="18"/>
      <c r="M2943" s="23"/>
    </row>
    <row r="2944">
      <c r="A2944" s="11"/>
      <c r="B2944" s="12"/>
      <c r="C2944" s="13"/>
      <c r="E2944" s="6"/>
      <c r="F2944" s="7"/>
      <c r="H2944" s="11"/>
      <c r="J2944" s="18"/>
      <c r="L2944" s="18"/>
      <c r="M2944" s="23"/>
    </row>
    <row r="2945">
      <c r="A2945" s="11"/>
      <c r="B2945" s="12"/>
      <c r="C2945" s="13"/>
      <c r="E2945" s="6"/>
      <c r="F2945" s="7"/>
      <c r="H2945" s="11"/>
      <c r="J2945" s="18"/>
      <c r="L2945" s="18"/>
      <c r="M2945" s="23"/>
    </row>
    <row r="2946">
      <c r="A2946" s="11"/>
      <c r="B2946" s="12"/>
      <c r="C2946" s="13"/>
      <c r="E2946" s="6"/>
      <c r="F2946" s="7"/>
      <c r="H2946" s="11"/>
      <c r="J2946" s="18"/>
      <c r="L2946" s="18"/>
      <c r="M2946" s="23"/>
    </row>
    <row r="2947">
      <c r="A2947" s="11"/>
      <c r="B2947" s="12"/>
      <c r="C2947" s="13"/>
      <c r="E2947" s="6"/>
      <c r="F2947" s="7"/>
      <c r="H2947" s="11"/>
      <c r="J2947" s="18"/>
      <c r="L2947" s="18"/>
      <c r="M2947" s="23"/>
    </row>
    <row r="2948">
      <c r="A2948" s="11"/>
      <c r="B2948" s="12"/>
      <c r="C2948" s="13"/>
      <c r="E2948" s="6"/>
      <c r="F2948" s="7"/>
      <c r="H2948" s="11"/>
      <c r="J2948" s="18"/>
      <c r="L2948" s="18"/>
      <c r="M2948" s="23"/>
    </row>
    <row r="2949">
      <c r="A2949" s="11"/>
      <c r="B2949" s="12"/>
      <c r="C2949" s="13"/>
      <c r="E2949" s="6"/>
      <c r="F2949" s="7"/>
      <c r="H2949" s="11"/>
      <c r="J2949" s="18"/>
      <c r="L2949" s="18"/>
      <c r="M2949" s="23"/>
    </row>
    <row r="2950">
      <c r="A2950" s="11"/>
      <c r="B2950" s="12"/>
      <c r="C2950" s="13"/>
      <c r="E2950" s="6"/>
      <c r="F2950" s="7"/>
      <c r="H2950" s="11"/>
      <c r="J2950" s="18"/>
      <c r="L2950" s="18"/>
      <c r="M2950" s="23"/>
    </row>
    <row r="2951">
      <c r="A2951" s="11"/>
      <c r="B2951" s="12"/>
      <c r="C2951" s="13"/>
      <c r="E2951" s="6"/>
      <c r="F2951" s="7"/>
      <c r="H2951" s="11"/>
      <c r="J2951" s="18"/>
      <c r="L2951" s="18"/>
      <c r="M2951" s="23"/>
    </row>
    <row r="2952">
      <c r="A2952" s="11"/>
      <c r="B2952" s="12"/>
      <c r="C2952" s="13"/>
      <c r="E2952" s="6"/>
      <c r="F2952" s="7"/>
      <c r="H2952" s="11"/>
      <c r="J2952" s="18"/>
      <c r="L2952" s="18"/>
      <c r="M2952" s="23"/>
    </row>
    <row r="2953">
      <c r="A2953" s="11"/>
      <c r="B2953" s="12"/>
      <c r="C2953" s="13"/>
      <c r="E2953" s="6"/>
      <c r="F2953" s="7"/>
      <c r="H2953" s="11"/>
      <c r="J2953" s="18"/>
      <c r="L2953" s="18"/>
      <c r="M2953" s="23"/>
    </row>
    <row r="2954">
      <c r="A2954" s="11"/>
      <c r="B2954" s="12"/>
      <c r="C2954" s="13"/>
      <c r="E2954" s="6"/>
      <c r="F2954" s="7"/>
      <c r="H2954" s="11"/>
      <c r="J2954" s="18"/>
      <c r="L2954" s="18"/>
      <c r="M2954" s="23"/>
    </row>
    <row r="2955">
      <c r="A2955" s="11"/>
      <c r="B2955" s="12"/>
      <c r="C2955" s="13"/>
      <c r="E2955" s="6"/>
      <c r="F2955" s="7"/>
      <c r="H2955" s="11"/>
      <c r="J2955" s="18"/>
      <c r="L2955" s="18"/>
      <c r="M2955" s="23"/>
    </row>
    <row r="2956">
      <c r="A2956" s="11"/>
      <c r="B2956" s="12"/>
      <c r="C2956" s="13"/>
      <c r="E2956" s="6"/>
      <c r="F2956" s="7"/>
      <c r="H2956" s="11"/>
      <c r="J2956" s="18"/>
      <c r="L2956" s="18"/>
      <c r="M2956" s="23"/>
    </row>
    <row r="2957">
      <c r="A2957" s="11"/>
      <c r="B2957" s="12"/>
      <c r="C2957" s="13"/>
      <c r="E2957" s="6"/>
      <c r="F2957" s="7"/>
      <c r="H2957" s="11"/>
      <c r="J2957" s="18"/>
      <c r="L2957" s="18"/>
      <c r="M2957" s="23"/>
    </row>
    <row r="2958">
      <c r="A2958" s="11"/>
      <c r="B2958" s="12"/>
      <c r="C2958" s="13"/>
      <c r="E2958" s="6"/>
      <c r="F2958" s="7"/>
      <c r="H2958" s="11"/>
      <c r="J2958" s="18"/>
      <c r="L2958" s="18"/>
      <c r="M2958" s="23"/>
    </row>
    <row r="2959">
      <c r="A2959" s="11"/>
      <c r="B2959" s="12"/>
      <c r="C2959" s="13"/>
      <c r="E2959" s="6"/>
      <c r="F2959" s="7"/>
      <c r="H2959" s="11"/>
      <c r="J2959" s="18"/>
      <c r="L2959" s="18"/>
      <c r="M2959" s="23"/>
    </row>
    <row r="2960">
      <c r="A2960" s="11"/>
      <c r="B2960" s="12"/>
      <c r="C2960" s="13"/>
      <c r="E2960" s="6"/>
      <c r="F2960" s="7"/>
      <c r="H2960" s="11"/>
      <c r="J2960" s="18"/>
      <c r="L2960" s="18"/>
      <c r="M2960" s="23"/>
    </row>
    <row r="2961">
      <c r="A2961" s="11"/>
      <c r="B2961" s="12"/>
      <c r="C2961" s="13"/>
      <c r="E2961" s="6"/>
      <c r="F2961" s="7"/>
      <c r="H2961" s="11"/>
      <c r="J2961" s="18"/>
      <c r="L2961" s="18"/>
      <c r="M2961" s="23"/>
    </row>
    <row r="2962">
      <c r="A2962" s="11"/>
      <c r="B2962" s="12"/>
      <c r="C2962" s="13"/>
      <c r="E2962" s="6"/>
      <c r="F2962" s="7"/>
      <c r="H2962" s="11"/>
      <c r="J2962" s="18"/>
      <c r="L2962" s="18"/>
      <c r="M2962" s="23"/>
    </row>
    <row r="2963">
      <c r="A2963" s="11"/>
      <c r="B2963" s="12"/>
      <c r="C2963" s="13"/>
      <c r="E2963" s="6"/>
      <c r="F2963" s="7"/>
      <c r="H2963" s="11"/>
      <c r="J2963" s="18"/>
      <c r="L2963" s="18"/>
      <c r="M2963" s="23"/>
    </row>
    <row r="2964">
      <c r="A2964" s="11"/>
      <c r="B2964" s="12"/>
      <c r="C2964" s="13"/>
      <c r="E2964" s="6"/>
      <c r="F2964" s="7"/>
      <c r="H2964" s="11"/>
      <c r="J2964" s="18"/>
      <c r="L2964" s="18"/>
      <c r="M2964" s="23"/>
    </row>
    <row r="2965">
      <c r="A2965" s="11"/>
      <c r="B2965" s="12"/>
      <c r="C2965" s="13"/>
      <c r="E2965" s="6"/>
      <c r="F2965" s="7"/>
      <c r="H2965" s="11"/>
      <c r="J2965" s="18"/>
      <c r="L2965" s="18"/>
      <c r="M2965" s="23"/>
    </row>
    <row r="2966">
      <c r="A2966" s="11"/>
      <c r="B2966" s="12"/>
      <c r="C2966" s="13"/>
      <c r="E2966" s="6"/>
      <c r="F2966" s="7"/>
      <c r="H2966" s="11"/>
      <c r="J2966" s="18"/>
      <c r="L2966" s="18"/>
      <c r="M2966" s="23"/>
    </row>
    <row r="2967">
      <c r="A2967" s="11"/>
      <c r="B2967" s="12"/>
      <c r="C2967" s="13"/>
      <c r="E2967" s="6"/>
      <c r="F2967" s="7"/>
      <c r="H2967" s="11"/>
      <c r="J2967" s="18"/>
      <c r="L2967" s="18"/>
      <c r="M2967" s="23"/>
    </row>
    <row r="2968">
      <c r="A2968" s="11"/>
      <c r="B2968" s="12"/>
      <c r="C2968" s="13"/>
      <c r="E2968" s="6"/>
      <c r="F2968" s="7"/>
      <c r="H2968" s="11"/>
      <c r="J2968" s="18"/>
      <c r="L2968" s="18"/>
      <c r="M2968" s="23"/>
    </row>
    <row r="2969">
      <c r="A2969" s="11"/>
      <c r="B2969" s="12"/>
      <c r="C2969" s="13"/>
      <c r="E2969" s="6"/>
      <c r="F2969" s="7"/>
      <c r="H2969" s="11"/>
      <c r="J2969" s="18"/>
      <c r="L2969" s="18"/>
      <c r="M2969" s="23"/>
    </row>
    <row r="2970">
      <c r="A2970" s="11"/>
      <c r="B2970" s="12"/>
      <c r="C2970" s="13"/>
      <c r="E2970" s="6"/>
      <c r="F2970" s="7"/>
      <c r="H2970" s="11"/>
      <c r="J2970" s="18"/>
      <c r="L2970" s="18"/>
      <c r="M2970" s="23"/>
    </row>
    <row r="2971">
      <c r="A2971" s="11"/>
      <c r="B2971" s="12"/>
      <c r="C2971" s="13"/>
      <c r="E2971" s="6"/>
      <c r="F2971" s="7"/>
      <c r="H2971" s="11"/>
      <c r="J2971" s="18"/>
      <c r="L2971" s="18"/>
      <c r="M2971" s="23"/>
    </row>
    <row r="2972">
      <c r="A2972" s="11"/>
      <c r="B2972" s="12"/>
      <c r="C2972" s="13"/>
      <c r="E2972" s="6"/>
      <c r="F2972" s="7"/>
      <c r="H2972" s="11"/>
      <c r="J2972" s="18"/>
      <c r="L2972" s="18"/>
      <c r="M2972" s="23"/>
    </row>
    <row r="2973">
      <c r="A2973" s="11"/>
      <c r="B2973" s="12"/>
      <c r="C2973" s="13"/>
      <c r="E2973" s="6"/>
      <c r="F2973" s="7"/>
      <c r="H2973" s="11"/>
      <c r="J2973" s="18"/>
      <c r="L2973" s="18"/>
      <c r="M2973" s="23"/>
    </row>
    <row r="2974">
      <c r="A2974" s="11"/>
      <c r="B2974" s="12"/>
      <c r="C2974" s="13"/>
      <c r="E2974" s="6"/>
      <c r="F2974" s="7"/>
      <c r="H2974" s="11"/>
      <c r="J2974" s="18"/>
      <c r="L2974" s="18"/>
      <c r="M2974" s="23"/>
    </row>
    <row r="2975">
      <c r="A2975" s="11"/>
      <c r="B2975" s="12"/>
      <c r="C2975" s="13"/>
      <c r="E2975" s="6"/>
      <c r="F2975" s="7"/>
      <c r="H2975" s="11"/>
      <c r="J2975" s="18"/>
      <c r="L2975" s="18"/>
      <c r="M2975" s="23"/>
    </row>
    <row r="2976">
      <c r="A2976" s="11"/>
      <c r="B2976" s="12"/>
      <c r="C2976" s="13"/>
      <c r="E2976" s="6"/>
      <c r="F2976" s="7"/>
      <c r="H2976" s="11"/>
      <c r="J2976" s="18"/>
      <c r="L2976" s="18"/>
      <c r="M2976" s="23"/>
    </row>
    <row r="2977">
      <c r="A2977" s="11"/>
      <c r="B2977" s="12"/>
      <c r="C2977" s="13"/>
      <c r="E2977" s="6"/>
      <c r="F2977" s="7"/>
      <c r="H2977" s="11"/>
      <c r="J2977" s="18"/>
      <c r="L2977" s="18"/>
      <c r="M2977" s="23"/>
    </row>
    <row r="2978">
      <c r="A2978" s="11"/>
      <c r="B2978" s="12"/>
      <c r="C2978" s="13"/>
      <c r="E2978" s="6"/>
      <c r="F2978" s="7"/>
      <c r="H2978" s="11"/>
      <c r="J2978" s="18"/>
      <c r="L2978" s="18"/>
      <c r="M2978" s="23"/>
    </row>
    <row r="2979">
      <c r="A2979" s="11"/>
      <c r="B2979" s="12"/>
      <c r="C2979" s="13"/>
      <c r="E2979" s="6"/>
      <c r="F2979" s="7"/>
      <c r="H2979" s="11"/>
      <c r="J2979" s="18"/>
      <c r="L2979" s="18"/>
      <c r="M2979" s="23"/>
    </row>
    <row r="2980">
      <c r="A2980" s="11"/>
      <c r="B2980" s="12"/>
      <c r="C2980" s="13"/>
      <c r="E2980" s="6"/>
      <c r="F2980" s="7"/>
      <c r="H2980" s="11"/>
      <c r="J2980" s="18"/>
      <c r="L2980" s="18"/>
      <c r="M2980" s="23"/>
    </row>
    <row r="2981">
      <c r="A2981" s="11"/>
      <c r="B2981" s="12"/>
      <c r="C2981" s="13"/>
      <c r="E2981" s="6"/>
      <c r="F2981" s="7"/>
      <c r="H2981" s="11"/>
      <c r="J2981" s="18"/>
      <c r="L2981" s="18"/>
      <c r="M2981" s="23"/>
    </row>
    <row r="2982">
      <c r="A2982" s="11"/>
      <c r="B2982" s="12"/>
      <c r="C2982" s="13"/>
      <c r="E2982" s="6"/>
      <c r="F2982" s="7"/>
      <c r="H2982" s="11"/>
      <c r="J2982" s="18"/>
      <c r="L2982" s="18"/>
      <c r="M2982" s="23"/>
    </row>
    <row r="2983">
      <c r="A2983" s="11"/>
      <c r="B2983" s="12"/>
      <c r="C2983" s="13"/>
      <c r="E2983" s="6"/>
      <c r="F2983" s="7"/>
      <c r="H2983" s="11"/>
      <c r="J2983" s="18"/>
      <c r="L2983" s="18"/>
      <c r="M2983" s="23"/>
    </row>
    <row r="2984">
      <c r="A2984" s="11"/>
      <c r="B2984" s="12"/>
      <c r="C2984" s="13"/>
      <c r="E2984" s="6"/>
      <c r="F2984" s="7"/>
      <c r="H2984" s="11"/>
      <c r="J2984" s="18"/>
      <c r="L2984" s="18"/>
      <c r="M2984" s="23"/>
    </row>
    <row r="2985">
      <c r="A2985" s="11"/>
      <c r="B2985" s="12"/>
      <c r="C2985" s="13"/>
      <c r="E2985" s="6"/>
      <c r="F2985" s="7"/>
      <c r="H2985" s="11"/>
      <c r="J2985" s="18"/>
      <c r="L2985" s="18"/>
      <c r="M2985" s="23"/>
    </row>
    <row r="2986">
      <c r="A2986" s="11"/>
      <c r="B2986" s="12"/>
      <c r="C2986" s="13"/>
      <c r="E2986" s="6"/>
      <c r="F2986" s="7"/>
      <c r="H2986" s="11"/>
      <c r="J2986" s="18"/>
      <c r="L2986" s="18"/>
      <c r="M2986" s="23"/>
    </row>
    <row r="2987">
      <c r="A2987" s="11"/>
      <c r="B2987" s="12"/>
      <c r="C2987" s="13"/>
      <c r="E2987" s="6"/>
      <c r="F2987" s="7"/>
      <c r="H2987" s="11"/>
      <c r="J2987" s="18"/>
      <c r="L2987" s="18"/>
      <c r="M2987" s="23"/>
    </row>
    <row r="2988">
      <c r="A2988" s="11"/>
      <c r="B2988" s="12"/>
      <c r="C2988" s="13"/>
      <c r="E2988" s="6"/>
      <c r="F2988" s="7"/>
      <c r="H2988" s="11"/>
      <c r="J2988" s="18"/>
      <c r="L2988" s="18"/>
      <c r="M2988" s="23"/>
    </row>
    <row r="2989">
      <c r="A2989" s="11"/>
      <c r="B2989" s="12"/>
      <c r="C2989" s="13"/>
      <c r="E2989" s="6"/>
      <c r="F2989" s="7"/>
      <c r="H2989" s="11"/>
      <c r="J2989" s="18"/>
      <c r="L2989" s="18"/>
      <c r="M2989" s="23"/>
    </row>
    <row r="2990">
      <c r="A2990" s="11"/>
      <c r="B2990" s="12"/>
      <c r="C2990" s="13"/>
      <c r="E2990" s="6"/>
      <c r="F2990" s="7"/>
      <c r="H2990" s="11"/>
      <c r="J2990" s="18"/>
      <c r="L2990" s="18"/>
      <c r="M2990" s="23"/>
    </row>
    <row r="2991">
      <c r="A2991" s="11"/>
      <c r="B2991" s="12"/>
      <c r="C2991" s="13"/>
      <c r="E2991" s="6"/>
      <c r="F2991" s="7"/>
      <c r="H2991" s="11"/>
      <c r="J2991" s="18"/>
      <c r="L2991" s="18"/>
      <c r="M2991" s="23"/>
    </row>
    <row r="2992">
      <c r="A2992" s="11"/>
      <c r="B2992" s="12"/>
      <c r="C2992" s="13"/>
      <c r="E2992" s="6"/>
      <c r="F2992" s="7"/>
      <c r="H2992" s="11"/>
      <c r="J2992" s="18"/>
      <c r="L2992" s="18"/>
      <c r="M2992" s="23"/>
    </row>
    <row r="2993">
      <c r="A2993" s="11"/>
      <c r="B2993" s="12"/>
      <c r="C2993" s="13"/>
      <c r="E2993" s="6"/>
      <c r="F2993" s="7"/>
      <c r="H2993" s="11"/>
      <c r="J2993" s="18"/>
      <c r="L2993" s="18"/>
      <c r="M2993" s="23"/>
    </row>
    <row r="2994">
      <c r="A2994" s="11"/>
      <c r="B2994" s="12"/>
      <c r="C2994" s="13"/>
      <c r="E2994" s="6"/>
      <c r="F2994" s="7"/>
      <c r="H2994" s="11"/>
      <c r="J2994" s="18"/>
      <c r="L2994" s="18"/>
      <c r="M2994" s="23"/>
    </row>
    <row r="2995">
      <c r="A2995" s="11"/>
      <c r="B2995" s="12"/>
      <c r="C2995" s="13"/>
      <c r="E2995" s="6"/>
      <c r="F2995" s="7"/>
      <c r="H2995" s="11"/>
      <c r="J2995" s="18"/>
      <c r="L2995" s="18"/>
      <c r="M2995" s="23"/>
    </row>
    <row r="2996">
      <c r="A2996" s="11"/>
      <c r="B2996" s="12"/>
      <c r="C2996" s="13"/>
      <c r="E2996" s="6"/>
      <c r="F2996" s="7"/>
      <c r="H2996" s="11"/>
      <c r="J2996" s="18"/>
      <c r="L2996" s="18"/>
      <c r="M2996" s="23"/>
    </row>
    <row r="2997">
      <c r="A2997" s="11"/>
      <c r="B2997" s="12"/>
      <c r="C2997" s="13"/>
      <c r="E2997" s="6"/>
      <c r="F2997" s="7"/>
      <c r="H2997" s="11"/>
      <c r="J2997" s="18"/>
      <c r="L2997" s="18"/>
      <c r="M2997" s="23"/>
    </row>
    <row r="2998">
      <c r="A2998" s="11"/>
      <c r="B2998" s="12"/>
      <c r="C2998" s="13"/>
      <c r="E2998" s="6"/>
      <c r="F2998" s="7"/>
      <c r="H2998" s="11"/>
      <c r="J2998" s="18"/>
      <c r="L2998" s="18"/>
      <c r="M2998" s="23"/>
    </row>
    <row r="2999">
      <c r="A2999" s="11"/>
      <c r="B2999" s="12"/>
      <c r="C2999" s="13"/>
      <c r="E2999" s="6"/>
      <c r="F2999" s="7"/>
      <c r="H2999" s="11"/>
      <c r="J2999" s="18"/>
      <c r="L2999" s="18"/>
      <c r="M2999" s="23"/>
    </row>
    <row r="3000">
      <c r="A3000" s="11"/>
      <c r="B3000" s="12"/>
      <c r="C3000" s="13"/>
      <c r="E3000" s="6"/>
      <c r="F3000" s="7"/>
      <c r="H3000" s="11"/>
      <c r="J3000" s="18"/>
      <c r="L3000" s="18"/>
      <c r="M3000" s="23"/>
    </row>
    <row r="3001">
      <c r="A3001" s="11"/>
      <c r="B3001" s="12"/>
      <c r="C3001" s="13"/>
      <c r="E3001" s="6"/>
      <c r="F3001" s="7"/>
      <c r="H3001" s="11"/>
      <c r="J3001" s="18"/>
      <c r="L3001" s="18"/>
      <c r="M3001" s="23"/>
    </row>
    <row r="3002">
      <c r="A3002" s="11"/>
      <c r="B3002" s="12"/>
      <c r="C3002" s="13"/>
      <c r="E3002" s="6"/>
      <c r="F3002" s="7"/>
      <c r="H3002" s="11"/>
      <c r="J3002" s="18"/>
      <c r="L3002" s="18"/>
      <c r="M3002" s="23"/>
    </row>
    <row r="3003">
      <c r="A3003" s="11"/>
      <c r="B3003" s="12"/>
      <c r="C3003" s="13"/>
      <c r="E3003" s="6"/>
      <c r="F3003" s="7"/>
      <c r="H3003" s="11"/>
      <c r="J3003" s="18"/>
      <c r="L3003" s="18"/>
      <c r="M3003" s="23"/>
    </row>
    <row r="3004">
      <c r="A3004" s="11"/>
      <c r="B3004" s="12"/>
      <c r="C3004" s="13"/>
      <c r="E3004" s="6"/>
      <c r="F3004" s="7"/>
      <c r="H3004" s="11"/>
      <c r="J3004" s="18"/>
      <c r="L3004" s="18"/>
      <c r="M3004" s="23"/>
    </row>
    <row r="3005">
      <c r="A3005" s="11"/>
      <c r="B3005" s="12"/>
      <c r="C3005" s="13"/>
      <c r="E3005" s="6"/>
      <c r="F3005" s="7"/>
      <c r="H3005" s="11"/>
      <c r="J3005" s="18"/>
      <c r="L3005" s="18"/>
      <c r="M3005" s="23"/>
    </row>
    <row r="3006">
      <c r="A3006" s="11"/>
      <c r="B3006" s="12"/>
      <c r="C3006" s="13"/>
      <c r="E3006" s="6"/>
      <c r="F3006" s="7"/>
      <c r="H3006" s="11"/>
      <c r="J3006" s="18"/>
      <c r="L3006" s="18"/>
      <c r="M3006" s="23"/>
    </row>
    <row r="3007">
      <c r="A3007" s="11"/>
      <c r="B3007" s="12"/>
      <c r="C3007" s="13"/>
      <c r="E3007" s="6"/>
      <c r="F3007" s="7"/>
      <c r="H3007" s="11"/>
      <c r="J3007" s="18"/>
      <c r="L3007" s="18"/>
      <c r="M3007" s="23"/>
    </row>
    <row r="3008">
      <c r="A3008" s="11"/>
      <c r="B3008" s="12"/>
      <c r="C3008" s="13"/>
      <c r="E3008" s="6"/>
      <c r="F3008" s="7"/>
      <c r="H3008" s="11"/>
      <c r="J3008" s="18"/>
      <c r="L3008" s="18"/>
      <c r="M3008" s="23"/>
    </row>
    <row r="3009">
      <c r="A3009" s="11"/>
      <c r="B3009" s="12"/>
      <c r="C3009" s="13"/>
      <c r="E3009" s="6"/>
      <c r="F3009" s="7"/>
      <c r="H3009" s="11"/>
      <c r="J3009" s="18"/>
      <c r="L3009" s="18"/>
      <c r="M3009" s="23"/>
    </row>
    <row r="3010">
      <c r="A3010" s="11"/>
      <c r="B3010" s="12"/>
      <c r="C3010" s="13"/>
      <c r="E3010" s="6"/>
      <c r="F3010" s="7"/>
      <c r="H3010" s="11"/>
      <c r="J3010" s="18"/>
      <c r="L3010" s="18"/>
      <c r="M3010" s="23"/>
    </row>
    <row r="3011">
      <c r="A3011" s="11"/>
      <c r="B3011" s="12"/>
      <c r="C3011" s="13"/>
      <c r="E3011" s="6"/>
      <c r="F3011" s="7"/>
      <c r="H3011" s="11"/>
      <c r="J3011" s="18"/>
      <c r="L3011" s="18"/>
      <c r="M3011" s="23"/>
    </row>
    <row r="3012">
      <c r="A3012" s="11"/>
      <c r="B3012" s="12"/>
      <c r="C3012" s="13"/>
      <c r="E3012" s="6"/>
      <c r="F3012" s="7"/>
      <c r="H3012" s="11"/>
      <c r="J3012" s="18"/>
      <c r="L3012" s="18"/>
      <c r="M3012" s="23"/>
    </row>
    <row r="3013">
      <c r="A3013" s="11"/>
      <c r="B3013" s="12"/>
      <c r="C3013" s="13"/>
      <c r="E3013" s="6"/>
      <c r="F3013" s="7"/>
      <c r="H3013" s="11"/>
      <c r="J3013" s="18"/>
      <c r="L3013" s="18"/>
      <c r="M3013" s="23"/>
    </row>
    <row r="3014">
      <c r="A3014" s="11"/>
      <c r="B3014" s="12"/>
      <c r="C3014" s="13"/>
      <c r="E3014" s="6"/>
      <c r="F3014" s="7"/>
      <c r="H3014" s="11"/>
      <c r="J3014" s="18"/>
      <c r="L3014" s="18"/>
      <c r="M3014" s="23"/>
    </row>
    <row r="3015">
      <c r="A3015" s="11"/>
      <c r="B3015" s="12"/>
      <c r="C3015" s="13"/>
      <c r="E3015" s="6"/>
      <c r="F3015" s="7"/>
      <c r="H3015" s="11"/>
      <c r="J3015" s="18"/>
      <c r="L3015" s="18"/>
      <c r="M3015" s="23"/>
    </row>
    <row r="3016">
      <c r="A3016" s="11"/>
      <c r="B3016" s="12"/>
      <c r="C3016" s="13"/>
      <c r="E3016" s="6"/>
      <c r="F3016" s="7"/>
      <c r="H3016" s="11"/>
      <c r="J3016" s="18"/>
      <c r="L3016" s="18"/>
      <c r="M3016" s="23"/>
    </row>
    <row r="3017">
      <c r="A3017" s="11"/>
      <c r="B3017" s="12"/>
      <c r="C3017" s="13"/>
      <c r="E3017" s="6"/>
      <c r="F3017" s="7"/>
      <c r="H3017" s="11"/>
      <c r="J3017" s="18"/>
      <c r="L3017" s="18"/>
      <c r="M3017" s="23"/>
    </row>
    <row r="3018">
      <c r="A3018" s="11"/>
      <c r="B3018" s="12"/>
      <c r="C3018" s="13"/>
      <c r="E3018" s="6"/>
      <c r="F3018" s="7"/>
      <c r="H3018" s="11"/>
      <c r="J3018" s="18"/>
      <c r="L3018" s="18"/>
      <c r="M3018" s="23"/>
    </row>
    <row r="3019">
      <c r="A3019" s="11"/>
      <c r="B3019" s="12"/>
      <c r="C3019" s="13"/>
      <c r="E3019" s="6"/>
      <c r="F3019" s="7"/>
      <c r="H3019" s="11"/>
      <c r="J3019" s="18"/>
      <c r="L3019" s="18"/>
      <c r="M3019" s="23"/>
    </row>
    <row r="3020">
      <c r="A3020" s="11"/>
      <c r="B3020" s="12"/>
      <c r="C3020" s="13"/>
      <c r="E3020" s="6"/>
      <c r="F3020" s="7"/>
      <c r="H3020" s="11"/>
      <c r="J3020" s="18"/>
      <c r="L3020" s="18"/>
      <c r="M3020" s="23"/>
    </row>
    <row r="3021">
      <c r="A3021" s="11"/>
      <c r="B3021" s="12"/>
      <c r="C3021" s="13"/>
      <c r="E3021" s="6"/>
      <c r="F3021" s="7"/>
      <c r="H3021" s="11"/>
      <c r="J3021" s="18"/>
      <c r="L3021" s="18"/>
      <c r="M3021" s="23"/>
    </row>
    <row r="3022">
      <c r="A3022" s="11"/>
      <c r="B3022" s="12"/>
      <c r="C3022" s="13"/>
      <c r="E3022" s="6"/>
      <c r="F3022" s="7"/>
      <c r="H3022" s="11"/>
      <c r="J3022" s="18"/>
      <c r="L3022" s="18"/>
      <c r="M3022" s="23"/>
    </row>
    <row r="3023">
      <c r="A3023" s="11"/>
      <c r="B3023" s="12"/>
      <c r="C3023" s="13"/>
      <c r="E3023" s="6"/>
      <c r="F3023" s="7"/>
      <c r="H3023" s="11"/>
      <c r="J3023" s="18"/>
      <c r="L3023" s="18"/>
      <c r="M3023" s="23"/>
    </row>
    <row r="3024">
      <c r="A3024" s="11"/>
      <c r="B3024" s="12"/>
      <c r="C3024" s="13"/>
      <c r="E3024" s="6"/>
      <c r="F3024" s="7"/>
      <c r="H3024" s="11"/>
      <c r="J3024" s="18"/>
      <c r="L3024" s="18"/>
      <c r="M3024" s="23"/>
    </row>
    <row r="3025">
      <c r="A3025" s="11"/>
      <c r="B3025" s="12"/>
      <c r="C3025" s="13"/>
      <c r="E3025" s="6"/>
      <c r="F3025" s="7"/>
      <c r="H3025" s="11"/>
      <c r="J3025" s="18"/>
      <c r="L3025" s="18"/>
      <c r="M3025" s="23"/>
    </row>
    <row r="3026">
      <c r="A3026" s="11"/>
      <c r="B3026" s="12"/>
      <c r="C3026" s="13"/>
      <c r="E3026" s="6"/>
      <c r="F3026" s="7"/>
      <c r="H3026" s="11"/>
      <c r="J3026" s="18"/>
      <c r="L3026" s="18"/>
      <c r="M3026" s="23"/>
    </row>
    <row r="3027">
      <c r="A3027" s="11"/>
      <c r="B3027" s="12"/>
      <c r="C3027" s="13"/>
      <c r="E3027" s="6"/>
      <c r="F3027" s="7"/>
      <c r="H3027" s="11"/>
      <c r="J3027" s="18"/>
      <c r="L3027" s="18"/>
      <c r="M3027" s="23"/>
    </row>
    <row r="3028">
      <c r="A3028" s="11"/>
      <c r="B3028" s="12"/>
      <c r="C3028" s="13"/>
      <c r="E3028" s="6"/>
      <c r="F3028" s="7"/>
      <c r="H3028" s="11"/>
      <c r="J3028" s="18"/>
      <c r="L3028" s="18"/>
      <c r="M3028" s="23"/>
    </row>
    <row r="3029">
      <c r="A3029" s="11"/>
      <c r="B3029" s="12"/>
      <c r="C3029" s="13"/>
      <c r="E3029" s="6"/>
      <c r="F3029" s="7"/>
      <c r="H3029" s="11"/>
      <c r="J3029" s="18"/>
      <c r="L3029" s="18"/>
      <c r="M3029" s="23"/>
    </row>
    <row r="3030">
      <c r="A3030" s="11"/>
      <c r="B3030" s="12"/>
      <c r="C3030" s="13"/>
      <c r="E3030" s="6"/>
      <c r="F3030" s="7"/>
      <c r="H3030" s="11"/>
      <c r="J3030" s="18"/>
      <c r="L3030" s="18"/>
      <c r="M3030" s="23"/>
    </row>
    <row r="3031">
      <c r="A3031" s="11"/>
      <c r="B3031" s="12"/>
      <c r="C3031" s="13"/>
      <c r="E3031" s="6"/>
      <c r="F3031" s="7"/>
      <c r="H3031" s="11"/>
      <c r="J3031" s="18"/>
      <c r="L3031" s="18"/>
      <c r="M3031" s="23"/>
    </row>
    <row r="3032">
      <c r="A3032" s="11"/>
      <c r="B3032" s="12"/>
      <c r="C3032" s="13"/>
      <c r="E3032" s="6"/>
      <c r="F3032" s="7"/>
      <c r="H3032" s="11"/>
      <c r="J3032" s="18"/>
      <c r="L3032" s="18"/>
      <c r="M3032" s="23"/>
    </row>
    <row r="3033">
      <c r="A3033" s="11"/>
      <c r="B3033" s="12"/>
      <c r="C3033" s="13"/>
      <c r="E3033" s="6"/>
      <c r="F3033" s="7"/>
      <c r="H3033" s="11"/>
      <c r="J3033" s="18"/>
      <c r="L3033" s="18"/>
      <c r="M3033" s="23"/>
    </row>
    <row r="3034">
      <c r="A3034" s="11"/>
      <c r="B3034" s="12"/>
      <c r="C3034" s="13"/>
      <c r="E3034" s="6"/>
      <c r="F3034" s="7"/>
      <c r="H3034" s="11"/>
      <c r="J3034" s="18"/>
      <c r="L3034" s="18"/>
      <c r="M3034" s="23"/>
    </row>
    <row r="3035">
      <c r="A3035" s="11"/>
      <c r="B3035" s="12"/>
      <c r="C3035" s="13"/>
      <c r="E3035" s="6"/>
      <c r="F3035" s="7"/>
      <c r="H3035" s="11"/>
      <c r="J3035" s="18"/>
      <c r="L3035" s="18"/>
      <c r="M3035" s="23"/>
    </row>
    <row r="3036">
      <c r="A3036" s="11"/>
      <c r="B3036" s="12"/>
      <c r="C3036" s="13"/>
      <c r="E3036" s="6"/>
      <c r="F3036" s="7"/>
      <c r="H3036" s="11"/>
      <c r="J3036" s="18"/>
      <c r="L3036" s="18"/>
      <c r="M3036" s="23"/>
    </row>
    <row r="3037">
      <c r="A3037" s="11"/>
      <c r="B3037" s="12"/>
      <c r="C3037" s="13"/>
      <c r="E3037" s="6"/>
      <c r="F3037" s="7"/>
      <c r="H3037" s="11"/>
      <c r="J3037" s="18"/>
      <c r="L3037" s="18"/>
      <c r="M3037" s="23"/>
    </row>
    <row r="3038">
      <c r="A3038" s="11"/>
      <c r="B3038" s="12"/>
      <c r="C3038" s="13"/>
      <c r="E3038" s="6"/>
      <c r="F3038" s="7"/>
      <c r="H3038" s="11"/>
      <c r="J3038" s="18"/>
      <c r="L3038" s="18"/>
      <c r="M3038" s="23"/>
    </row>
    <row r="3039">
      <c r="A3039" s="11"/>
      <c r="B3039" s="12"/>
      <c r="C3039" s="13"/>
      <c r="E3039" s="6"/>
      <c r="F3039" s="7"/>
      <c r="H3039" s="11"/>
      <c r="J3039" s="18"/>
      <c r="L3039" s="18"/>
      <c r="M3039" s="23"/>
    </row>
    <row r="3040">
      <c r="A3040" s="11"/>
      <c r="B3040" s="12"/>
      <c r="C3040" s="13"/>
      <c r="E3040" s="6"/>
      <c r="F3040" s="7"/>
      <c r="H3040" s="11"/>
      <c r="J3040" s="18"/>
      <c r="L3040" s="18"/>
      <c r="M3040" s="23"/>
    </row>
    <row r="3041">
      <c r="A3041" s="11"/>
      <c r="B3041" s="12"/>
      <c r="C3041" s="13"/>
      <c r="E3041" s="6"/>
      <c r="F3041" s="7"/>
      <c r="H3041" s="11"/>
      <c r="J3041" s="18"/>
      <c r="L3041" s="18"/>
      <c r="M3041" s="23"/>
    </row>
    <row r="3042">
      <c r="A3042" s="11"/>
      <c r="B3042" s="12"/>
      <c r="C3042" s="13"/>
      <c r="E3042" s="6"/>
      <c r="F3042" s="7"/>
      <c r="H3042" s="11"/>
      <c r="J3042" s="18"/>
      <c r="L3042" s="18"/>
      <c r="M3042" s="23"/>
    </row>
    <row r="3043">
      <c r="A3043" s="11"/>
      <c r="B3043" s="12"/>
      <c r="C3043" s="13"/>
      <c r="E3043" s="6"/>
      <c r="F3043" s="7"/>
      <c r="H3043" s="11"/>
      <c r="J3043" s="18"/>
      <c r="L3043" s="18"/>
      <c r="M3043" s="23"/>
    </row>
    <row r="3044">
      <c r="A3044" s="11"/>
      <c r="B3044" s="12"/>
      <c r="C3044" s="13"/>
      <c r="E3044" s="6"/>
      <c r="F3044" s="7"/>
      <c r="H3044" s="11"/>
      <c r="J3044" s="18"/>
      <c r="L3044" s="18"/>
      <c r="M3044" s="23"/>
    </row>
    <row r="3045">
      <c r="A3045" s="11"/>
      <c r="B3045" s="12"/>
      <c r="C3045" s="13"/>
      <c r="E3045" s="6"/>
      <c r="F3045" s="7"/>
      <c r="H3045" s="11"/>
      <c r="J3045" s="18"/>
      <c r="L3045" s="18"/>
      <c r="M3045" s="23"/>
    </row>
    <row r="3046">
      <c r="A3046" s="11"/>
      <c r="B3046" s="12"/>
      <c r="C3046" s="13"/>
      <c r="E3046" s="6"/>
      <c r="F3046" s="7"/>
      <c r="H3046" s="11"/>
      <c r="J3046" s="18"/>
      <c r="L3046" s="18"/>
      <c r="M3046" s="23"/>
    </row>
    <row r="3047">
      <c r="A3047" s="11"/>
      <c r="B3047" s="12"/>
      <c r="C3047" s="13"/>
      <c r="E3047" s="6"/>
      <c r="F3047" s="7"/>
      <c r="H3047" s="11"/>
      <c r="J3047" s="18"/>
      <c r="L3047" s="18"/>
      <c r="M3047" s="23"/>
    </row>
    <row r="3048">
      <c r="A3048" s="11"/>
      <c r="B3048" s="12"/>
      <c r="C3048" s="13"/>
      <c r="E3048" s="6"/>
      <c r="F3048" s="7"/>
      <c r="H3048" s="11"/>
      <c r="J3048" s="18"/>
      <c r="L3048" s="18"/>
      <c r="M3048" s="23"/>
    </row>
    <row r="3049">
      <c r="A3049" s="11"/>
      <c r="B3049" s="12"/>
      <c r="C3049" s="13"/>
      <c r="E3049" s="6"/>
      <c r="F3049" s="7"/>
      <c r="H3049" s="11"/>
      <c r="J3049" s="18"/>
      <c r="L3049" s="18"/>
      <c r="M3049" s="23"/>
    </row>
    <row r="3050">
      <c r="A3050" s="11"/>
      <c r="B3050" s="12"/>
      <c r="C3050" s="13"/>
      <c r="E3050" s="6"/>
      <c r="F3050" s="7"/>
      <c r="H3050" s="11"/>
      <c r="J3050" s="18"/>
      <c r="L3050" s="18"/>
      <c r="M3050" s="23"/>
    </row>
    <row r="3051">
      <c r="A3051" s="11"/>
      <c r="B3051" s="12"/>
      <c r="C3051" s="13"/>
      <c r="E3051" s="6"/>
      <c r="F3051" s="7"/>
      <c r="H3051" s="11"/>
      <c r="J3051" s="18"/>
      <c r="L3051" s="18"/>
      <c r="M3051" s="23"/>
    </row>
    <row r="3052">
      <c r="A3052" s="11"/>
      <c r="B3052" s="12"/>
      <c r="C3052" s="13"/>
      <c r="E3052" s="6"/>
      <c r="F3052" s="7"/>
      <c r="H3052" s="11"/>
      <c r="J3052" s="18"/>
      <c r="L3052" s="18"/>
      <c r="M3052" s="23"/>
    </row>
    <row r="3053">
      <c r="A3053" s="11"/>
      <c r="B3053" s="12"/>
      <c r="C3053" s="13"/>
      <c r="E3053" s="6"/>
      <c r="F3053" s="7"/>
      <c r="H3053" s="11"/>
      <c r="J3053" s="18"/>
      <c r="L3053" s="18"/>
      <c r="M3053" s="23"/>
    </row>
    <row r="3054">
      <c r="A3054" s="11"/>
      <c r="B3054" s="12"/>
      <c r="C3054" s="13"/>
      <c r="E3054" s="6"/>
      <c r="F3054" s="7"/>
      <c r="H3054" s="11"/>
      <c r="J3054" s="18"/>
      <c r="L3054" s="18"/>
      <c r="M3054" s="23"/>
    </row>
    <row r="3055">
      <c r="A3055" s="11"/>
      <c r="B3055" s="12"/>
      <c r="C3055" s="13"/>
      <c r="E3055" s="6"/>
      <c r="F3055" s="7"/>
      <c r="H3055" s="11"/>
      <c r="J3055" s="18"/>
      <c r="L3055" s="18"/>
      <c r="M3055" s="23"/>
    </row>
    <row r="3056">
      <c r="A3056" s="11"/>
      <c r="B3056" s="12"/>
      <c r="C3056" s="13"/>
      <c r="E3056" s="6"/>
      <c r="F3056" s="7"/>
      <c r="H3056" s="11"/>
      <c r="J3056" s="18"/>
      <c r="L3056" s="18"/>
      <c r="M3056" s="23"/>
    </row>
    <row r="3057">
      <c r="A3057" s="11"/>
      <c r="B3057" s="12"/>
      <c r="C3057" s="13"/>
      <c r="E3057" s="6"/>
      <c r="F3057" s="7"/>
      <c r="H3057" s="11"/>
      <c r="J3057" s="18"/>
      <c r="L3057" s="18"/>
      <c r="M3057" s="23"/>
    </row>
    <row r="3058">
      <c r="A3058" s="11"/>
      <c r="B3058" s="12"/>
      <c r="C3058" s="13"/>
      <c r="E3058" s="6"/>
      <c r="F3058" s="7"/>
      <c r="H3058" s="11"/>
      <c r="J3058" s="18"/>
      <c r="L3058" s="18"/>
      <c r="M3058" s="23"/>
    </row>
    <row r="3059">
      <c r="A3059" s="11"/>
      <c r="B3059" s="12"/>
      <c r="C3059" s="13"/>
      <c r="E3059" s="6"/>
      <c r="F3059" s="7"/>
      <c r="H3059" s="11"/>
      <c r="J3059" s="18"/>
      <c r="L3059" s="18"/>
      <c r="M3059" s="23"/>
    </row>
    <row r="3060">
      <c r="A3060" s="11"/>
      <c r="B3060" s="12"/>
      <c r="C3060" s="13"/>
      <c r="E3060" s="6"/>
      <c r="F3060" s="7"/>
      <c r="H3060" s="11"/>
      <c r="J3060" s="18"/>
      <c r="L3060" s="18"/>
      <c r="M3060" s="23"/>
    </row>
    <row r="3061">
      <c r="A3061" s="11"/>
      <c r="B3061" s="12"/>
      <c r="C3061" s="13"/>
      <c r="E3061" s="6"/>
      <c r="F3061" s="7"/>
      <c r="H3061" s="11"/>
      <c r="J3061" s="18"/>
      <c r="L3061" s="18"/>
      <c r="M3061" s="23"/>
    </row>
    <row r="3062">
      <c r="A3062" s="11"/>
      <c r="B3062" s="12"/>
      <c r="C3062" s="13"/>
      <c r="E3062" s="6"/>
      <c r="F3062" s="7"/>
      <c r="H3062" s="11"/>
      <c r="J3062" s="18"/>
      <c r="L3062" s="18"/>
      <c r="M3062" s="23"/>
    </row>
    <row r="3063">
      <c r="A3063" s="11"/>
      <c r="B3063" s="12"/>
      <c r="C3063" s="13"/>
      <c r="E3063" s="6"/>
      <c r="F3063" s="7"/>
      <c r="H3063" s="11"/>
      <c r="J3063" s="18"/>
      <c r="L3063" s="18"/>
      <c r="M3063" s="23"/>
    </row>
    <row r="3064">
      <c r="A3064" s="11"/>
      <c r="B3064" s="12"/>
      <c r="C3064" s="13"/>
      <c r="E3064" s="6"/>
      <c r="F3064" s="7"/>
      <c r="H3064" s="11"/>
      <c r="J3064" s="18"/>
      <c r="L3064" s="18"/>
      <c r="M3064" s="23"/>
    </row>
    <row r="3065">
      <c r="A3065" s="11"/>
      <c r="B3065" s="12"/>
      <c r="C3065" s="13"/>
      <c r="E3065" s="6"/>
      <c r="F3065" s="7"/>
      <c r="H3065" s="11"/>
      <c r="J3065" s="18"/>
      <c r="L3065" s="18"/>
      <c r="M3065" s="23"/>
    </row>
    <row r="3066">
      <c r="A3066" s="11"/>
      <c r="B3066" s="12"/>
      <c r="C3066" s="13"/>
      <c r="E3066" s="6"/>
      <c r="F3066" s="7"/>
      <c r="H3066" s="11"/>
      <c r="J3066" s="18"/>
      <c r="L3066" s="18"/>
      <c r="M3066" s="23"/>
    </row>
    <row r="3067">
      <c r="A3067" s="11"/>
      <c r="B3067" s="12"/>
      <c r="C3067" s="13"/>
      <c r="E3067" s="6"/>
      <c r="F3067" s="7"/>
      <c r="H3067" s="11"/>
      <c r="J3067" s="18"/>
      <c r="L3067" s="18"/>
      <c r="M3067" s="23"/>
    </row>
    <row r="3068">
      <c r="A3068" s="11"/>
      <c r="B3068" s="12"/>
      <c r="C3068" s="13"/>
      <c r="E3068" s="6"/>
      <c r="F3068" s="7"/>
      <c r="H3068" s="11"/>
      <c r="J3068" s="18"/>
      <c r="L3068" s="18"/>
      <c r="M3068" s="23"/>
    </row>
    <row r="3069">
      <c r="A3069" s="11"/>
      <c r="B3069" s="12"/>
      <c r="C3069" s="13"/>
      <c r="E3069" s="6"/>
      <c r="F3069" s="7"/>
      <c r="H3069" s="11"/>
      <c r="J3069" s="18"/>
      <c r="L3069" s="18"/>
      <c r="M3069" s="23"/>
    </row>
    <row r="3070">
      <c r="A3070" s="11"/>
      <c r="B3070" s="12"/>
      <c r="C3070" s="13"/>
      <c r="E3070" s="6"/>
      <c r="F3070" s="7"/>
      <c r="H3070" s="11"/>
      <c r="J3070" s="18"/>
      <c r="L3070" s="18"/>
      <c r="M3070" s="23"/>
    </row>
    <row r="3071">
      <c r="A3071" s="11"/>
      <c r="B3071" s="12"/>
      <c r="C3071" s="13"/>
      <c r="E3071" s="6"/>
      <c r="F3071" s="7"/>
      <c r="H3071" s="11"/>
      <c r="J3071" s="18"/>
      <c r="L3071" s="18"/>
      <c r="M3071" s="23"/>
    </row>
    <row r="3072">
      <c r="A3072" s="11"/>
      <c r="B3072" s="12"/>
      <c r="C3072" s="13"/>
      <c r="E3072" s="6"/>
      <c r="F3072" s="7"/>
      <c r="H3072" s="11"/>
      <c r="J3072" s="18"/>
      <c r="L3072" s="18"/>
      <c r="M3072" s="23"/>
    </row>
    <row r="3073">
      <c r="A3073" s="11"/>
      <c r="B3073" s="12"/>
      <c r="C3073" s="13"/>
      <c r="E3073" s="6"/>
      <c r="F3073" s="7"/>
      <c r="H3073" s="11"/>
      <c r="J3073" s="18"/>
      <c r="L3073" s="18"/>
      <c r="M3073" s="23"/>
    </row>
    <row r="3074">
      <c r="A3074" s="11"/>
      <c r="B3074" s="12"/>
      <c r="C3074" s="13"/>
      <c r="E3074" s="6"/>
      <c r="F3074" s="7"/>
      <c r="H3074" s="11"/>
      <c r="J3074" s="18"/>
      <c r="L3074" s="18"/>
      <c r="M3074" s="23"/>
    </row>
    <row r="3075">
      <c r="A3075" s="11"/>
      <c r="B3075" s="12"/>
      <c r="C3075" s="13"/>
      <c r="E3075" s="6"/>
      <c r="F3075" s="7"/>
      <c r="H3075" s="11"/>
      <c r="J3075" s="18"/>
      <c r="L3075" s="18"/>
      <c r="M3075" s="23"/>
    </row>
    <row r="3076">
      <c r="A3076" s="11"/>
      <c r="B3076" s="12"/>
      <c r="C3076" s="13"/>
      <c r="E3076" s="6"/>
      <c r="F3076" s="7"/>
      <c r="H3076" s="11"/>
      <c r="J3076" s="18"/>
      <c r="L3076" s="18"/>
      <c r="M3076" s="23"/>
    </row>
    <row r="3077">
      <c r="A3077" s="11"/>
      <c r="B3077" s="12"/>
      <c r="C3077" s="13"/>
      <c r="E3077" s="6"/>
      <c r="F3077" s="7"/>
      <c r="H3077" s="11"/>
      <c r="J3077" s="18"/>
      <c r="L3077" s="18"/>
      <c r="M3077" s="23"/>
    </row>
    <row r="3078">
      <c r="A3078" s="11"/>
      <c r="B3078" s="12"/>
      <c r="C3078" s="13"/>
      <c r="E3078" s="6"/>
      <c r="F3078" s="7"/>
      <c r="H3078" s="11"/>
      <c r="J3078" s="18"/>
      <c r="L3078" s="18"/>
      <c r="M3078" s="23"/>
    </row>
    <row r="3079">
      <c r="A3079" s="11"/>
      <c r="B3079" s="12"/>
      <c r="C3079" s="13"/>
      <c r="E3079" s="6"/>
      <c r="F3079" s="7"/>
      <c r="H3079" s="11"/>
      <c r="J3079" s="18"/>
      <c r="L3079" s="18"/>
      <c r="M3079" s="23"/>
    </row>
    <row r="3080">
      <c r="A3080" s="11"/>
      <c r="B3080" s="12"/>
      <c r="C3080" s="13"/>
      <c r="E3080" s="6"/>
      <c r="F3080" s="7"/>
      <c r="H3080" s="11"/>
      <c r="J3080" s="18"/>
      <c r="L3080" s="18"/>
      <c r="M3080" s="23"/>
    </row>
    <row r="3081">
      <c r="A3081" s="11"/>
      <c r="B3081" s="12"/>
      <c r="C3081" s="13"/>
      <c r="E3081" s="6"/>
      <c r="F3081" s="7"/>
      <c r="H3081" s="11"/>
      <c r="J3081" s="18"/>
      <c r="L3081" s="18"/>
      <c r="M3081" s="23"/>
    </row>
    <row r="3082">
      <c r="A3082" s="11"/>
      <c r="B3082" s="12"/>
      <c r="C3082" s="13"/>
      <c r="E3082" s="6"/>
      <c r="F3082" s="7"/>
      <c r="H3082" s="11"/>
      <c r="J3082" s="18"/>
      <c r="L3082" s="18"/>
      <c r="M3082" s="23"/>
    </row>
    <row r="3083">
      <c r="A3083" s="11"/>
      <c r="B3083" s="12"/>
      <c r="C3083" s="13"/>
      <c r="E3083" s="6"/>
      <c r="F3083" s="7"/>
      <c r="H3083" s="11"/>
      <c r="J3083" s="18"/>
      <c r="L3083" s="18"/>
      <c r="M3083" s="23"/>
    </row>
    <row r="3084">
      <c r="A3084" s="11"/>
      <c r="B3084" s="12"/>
      <c r="C3084" s="13"/>
      <c r="E3084" s="6"/>
      <c r="F3084" s="7"/>
      <c r="H3084" s="11"/>
      <c r="J3084" s="18"/>
      <c r="L3084" s="18"/>
      <c r="M3084" s="23"/>
    </row>
    <row r="3085">
      <c r="A3085" s="11"/>
      <c r="B3085" s="12"/>
      <c r="C3085" s="13"/>
      <c r="E3085" s="6"/>
      <c r="F3085" s="7"/>
      <c r="H3085" s="11"/>
      <c r="J3085" s="18"/>
      <c r="L3085" s="18"/>
      <c r="M3085" s="23"/>
    </row>
    <row r="3086">
      <c r="A3086" s="11"/>
      <c r="B3086" s="12"/>
      <c r="C3086" s="13"/>
      <c r="E3086" s="6"/>
      <c r="F3086" s="7"/>
      <c r="H3086" s="11"/>
      <c r="J3086" s="18"/>
      <c r="L3086" s="18"/>
      <c r="M3086" s="23"/>
    </row>
    <row r="3087">
      <c r="A3087" s="11"/>
      <c r="B3087" s="12"/>
      <c r="C3087" s="13"/>
      <c r="E3087" s="6"/>
      <c r="F3087" s="7"/>
      <c r="H3087" s="11"/>
      <c r="J3087" s="18"/>
      <c r="L3087" s="18"/>
      <c r="M3087" s="23"/>
    </row>
    <row r="3088">
      <c r="A3088" s="11"/>
      <c r="B3088" s="12"/>
      <c r="C3088" s="13"/>
      <c r="E3088" s="6"/>
      <c r="F3088" s="7"/>
      <c r="H3088" s="11"/>
      <c r="J3088" s="18"/>
      <c r="L3088" s="18"/>
      <c r="M3088" s="23"/>
    </row>
    <row r="3089">
      <c r="A3089" s="11"/>
      <c r="B3089" s="12"/>
      <c r="C3089" s="13"/>
      <c r="E3089" s="6"/>
      <c r="F3089" s="7"/>
      <c r="H3089" s="11"/>
      <c r="J3089" s="18"/>
      <c r="L3089" s="18"/>
      <c r="M3089" s="23"/>
    </row>
    <row r="3090">
      <c r="A3090" s="11"/>
      <c r="B3090" s="12"/>
      <c r="C3090" s="13"/>
      <c r="E3090" s="6"/>
      <c r="F3090" s="7"/>
      <c r="H3090" s="11"/>
      <c r="J3090" s="18"/>
      <c r="L3090" s="18"/>
      <c r="M3090" s="23"/>
    </row>
    <row r="3091">
      <c r="A3091" s="11"/>
      <c r="B3091" s="12"/>
      <c r="C3091" s="13"/>
      <c r="E3091" s="6"/>
      <c r="F3091" s="7"/>
      <c r="H3091" s="11"/>
      <c r="J3091" s="18"/>
      <c r="L3091" s="18"/>
      <c r="M3091" s="23"/>
    </row>
    <row r="3092">
      <c r="A3092" s="11"/>
      <c r="B3092" s="12"/>
      <c r="C3092" s="13"/>
      <c r="E3092" s="6"/>
      <c r="F3092" s="7"/>
      <c r="H3092" s="11"/>
      <c r="J3092" s="18"/>
      <c r="L3092" s="18"/>
      <c r="M3092" s="23"/>
    </row>
    <row r="3093">
      <c r="A3093" s="11"/>
      <c r="B3093" s="12"/>
      <c r="C3093" s="13"/>
      <c r="E3093" s="6"/>
      <c r="F3093" s="7"/>
      <c r="H3093" s="11"/>
      <c r="J3093" s="18"/>
      <c r="L3093" s="18"/>
      <c r="M3093" s="23"/>
    </row>
    <row r="3094">
      <c r="A3094" s="11"/>
      <c r="B3094" s="12"/>
      <c r="C3094" s="13"/>
      <c r="E3094" s="6"/>
      <c r="F3094" s="7"/>
      <c r="H3094" s="11"/>
      <c r="J3094" s="18"/>
      <c r="L3094" s="18"/>
      <c r="M3094" s="23"/>
    </row>
    <row r="3095">
      <c r="A3095" s="11"/>
      <c r="B3095" s="12"/>
      <c r="C3095" s="13"/>
      <c r="E3095" s="6"/>
      <c r="F3095" s="7"/>
      <c r="H3095" s="11"/>
      <c r="J3095" s="18"/>
      <c r="L3095" s="18"/>
      <c r="M3095" s="23"/>
    </row>
    <row r="3096">
      <c r="A3096" s="11"/>
      <c r="B3096" s="12"/>
      <c r="C3096" s="13"/>
      <c r="E3096" s="6"/>
      <c r="F3096" s="7"/>
      <c r="H3096" s="11"/>
      <c r="J3096" s="18"/>
      <c r="L3096" s="18"/>
      <c r="M3096" s="23"/>
    </row>
    <row r="3097">
      <c r="A3097" s="11"/>
      <c r="B3097" s="12"/>
      <c r="C3097" s="13"/>
      <c r="E3097" s="6"/>
      <c r="F3097" s="7"/>
      <c r="H3097" s="11"/>
      <c r="J3097" s="18"/>
      <c r="L3097" s="18"/>
      <c r="M3097" s="23"/>
    </row>
    <row r="3098">
      <c r="A3098" s="11"/>
      <c r="B3098" s="12"/>
      <c r="C3098" s="13"/>
      <c r="E3098" s="6"/>
      <c r="F3098" s="7"/>
      <c r="H3098" s="11"/>
      <c r="J3098" s="18"/>
      <c r="L3098" s="18"/>
      <c r="M3098" s="23"/>
    </row>
    <row r="3099">
      <c r="A3099" s="11"/>
      <c r="B3099" s="12"/>
      <c r="C3099" s="13"/>
      <c r="E3099" s="6"/>
      <c r="F3099" s="7"/>
      <c r="H3099" s="11"/>
      <c r="J3099" s="18"/>
      <c r="L3099" s="18"/>
      <c r="M3099" s="23"/>
    </row>
    <row r="3100">
      <c r="A3100" s="11"/>
      <c r="B3100" s="12"/>
      <c r="C3100" s="13"/>
      <c r="E3100" s="6"/>
      <c r="F3100" s="7"/>
      <c r="H3100" s="11"/>
      <c r="J3100" s="18"/>
      <c r="L3100" s="18"/>
      <c r="M3100" s="23"/>
    </row>
    <row r="3101">
      <c r="A3101" s="11"/>
      <c r="B3101" s="12"/>
      <c r="C3101" s="13"/>
      <c r="E3101" s="6"/>
      <c r="F3101" s="7"/>
      <c r="H3101" s="11"/>
      <c r="J3101" s="18"/>
      <c r="L3101" s="18"/>
      <c r="M3101" s="23"/>
    </row>
    <row r="3102">
      <c r="A3102" s="11"/>
      <c r="B3102" s="12"/>
      <c r="C3102" s="13"/>
      <c r="E3102" s="6"/>
      <c r="F3102" s="7"/>
      <c r="H3102" s="11"/>
      <c r="J3102" s="18"/>
      <c r="L3102" s="18"/>
      <c r="M3102" s="23"/>
    </row>
    <row r="3103">
      <c r="A3103" s="11"/>
      <c r="B3103" s="12"/>
      <c r="C3103" s="13"/>
      <c r="E3103" s="6"/>
      <c r="F3103" s="7"/>
      <c r="H3103" s="11"/>
      <c r="J3103" s="18"/>
      <c r="L3103" s="18"/>
      <c r="M3103" s="23"/>
    </row>
    <row r="3104">
      <c r="A3104" s="11"/>
      <c r="B3104" s="12"/>
      <c r="C3104" s="13"/>
      <c r="E3104" s="6"/>
      <c r="F3104" s="7"/>
      <c r="H3104" s="11"/>
      <c r="J3104" s="18"/>
      <c r="L3104" s="18"/>
      <c r="M3104" s="23"/>
    </row>
    <row r="3105">
      <c r="A3105" s="11"/>
      <c r="B3105" s="12"/>
      <c r="C3105" s="13"/>
      <c r="E3105" s="6"/>
      <c r="F3105" s="7"/>
      <c r="H3105" s="11"/>
      <c r="J3105" s="18"/>
      <c r="L3105" s="18"/>
      <c r="M3105" s="23"/>
    </row>
    <row r="3106">
      <c r="A3106" s="11"/>
      <c r="B3106" s="12"/>
      <c r="C3106" s="13"/>
      <c r="E3106" s="6"/>
      <c r="F3106" s="7"/>
      <c r="H3106" s="11"/>
      <c r="J3106" s="18"/>
      <c r="L3106" s="18"/>
      <c r="M3106" s="23"/>
    </row>
    <row r="3107">
      <c r="A3107" s="11"/>
      <c r="B3107" s="12"/>
      <c r="C3107" s="13"/>
      <c r="E3107" s="6"/>
      <c r="F3107" s="7"/>
      <c r="H3107" s="11"/>
      <c r="J3107" s="18"/>
      <c r="L3107" s="18"/>
      <c r="M3107" s="23"/>
    </row>
    <row r="3108">
      <c r="A3108" s="11"/>
      <c r="B3108" s="12"/>
      <c r="C3108" s="13"/>
      <c r="E3108" s="6"/>
      <c r="F3108" s="7"/>
      <c r="H3108" s="11"/>
      <c r="J3108" s="18"/>
      <c r="L3108" s="18"/>
      <c r="M3108" s="23"/>
    </row>
    <row r="3109">
      <c r="A3109" s="11"/>
      <c r="B3109" s="12"/>
      <c r="C3109" s="13"/>
      <c r="E3109" s="6"/>
      <c r="F3109" s="7"/>
      <c r="H3109" s="11"/>
      <c r="J3109" s="18"/>
      <c r="L3109" s="18"/>
      <c r="M3109" s="23"/>
    </row>
    <row r="3110">
      <c r="A3110" s="11"/>
      <c r="B3110" s="12"/>
      <c r="C3110" s="13"/>
      <c r="E3110" s="6"/>
      <c r="F3110" s="7"/>
      <c r="H3110" s="11"/>
      <c r="J3110" s="18"/>
      <c r="L3110" s="18"/>
      <c r="M3110" s="23"/>
    </row>
    <row r="3111">
      <c r="A3111" s="11"/>
      <c r="B3111" s="12"/>
      <c r="C3111" s="13"/>
      <c r="E3111" s="6"/>
      <c r="F3111" s="7"/>
      <c r="H3111" s="11"/>
      <c r="J3111" s="18"/>
      <c r="L3111" s="18"/>
      <c r="M3111" s="23"/>
    </row>
    <row r="3112">
      <c r="A3112" s="11"/>
      <c r="B3112" s="12"/>
      <c r="C3112" s="13"/>
      <c r="E3112" s="6"/>
      <c r="F3112" s="7"/>
      <c r="H3112" s="11"/>
      <c r="J3112" s="18"/>
      <c r="L3112" s="18"/>
      <c r="M3112" s="23"/>
    </row>
    <row r="3113">
      <c r="A3113" s="11"/>
      <c r="B3113" s="12"/>
      <c r="C3113" s="13"/>
      <c r="E3113" s="6"/>
      <c r="F3113" s="7"/>
      <c r="H3113" s="11"/>
      <c r="J3113" s="18"/>
      <c r="L3113" s="18"/>
      <c r="M3113" s="23"/>
    </row>
    <row r="3114">
      <c r="A3114" s="11"/>
      <c r="B3114" s="12"/>
      <c r="C3114" s="13"/>
      <c r="E3114" s="6"/>
      <c r="F3114" s="7"/>
      <c r="H3114" s="11"/>
      <c r="J3114" s="18"/>
      <c r="L3114" s="18"/>
      <c r="M3114" s="23"/>
    </row>
    <row r="3115">
      <c r="A3115" s="11"/>
      <c r="B3115" s="12"/>
      <c r="C3115" s="13"/>
      <c r="E3115" s="6"/>
      <c r="F3115" s="7"/>
      <c r="H3115" s="11"/>
      <c r="J3115" s="18"/>
      <c r="L3115" s="18"/>
      <c r="M3115" s="23"/>
    </row>
    <row r="3116">
      <c r="A3116" s="11"/>
      <c r="B3116" s="12"/>
      <c r="C3116" s="13"/>
      <c r="E3116" s="6"/>
      <c r="F3116" s="7"/>
      <c r="H3116" s="11"/>
      <c r="J3116" s="18"/>
      <c r="L3116" s="18"/>
      <c r="M3116" s="23"/>
    </row>
    <row r="3117">
      <c r="A3117" s="11"/>
      <c r="B3117" s="12"/>
      <c r="C3117" s="13"/>
      <c r="E3117" s="6"/>
      <c r="F3117" s="7"/>
      <c r="H3117" s="11"/>
      <c r="J3117" s="18"/>
      <c r="L3117" s="18"/>
      <c r="M3117" s="23"/>
    </row>
    <row r="3118">
      <c r="A3118" s="11"/>
      <c r="B3118" s="12"/>
      <c r="C3118" s="13"/>
      <c r="E3118" s="6"/>
      <c r="F3118" s="7"/>
      <c r="H3118" s="11"/>
      <c r="J3118" s="18"/>
      <c r="L3118" s="18"/>
      <c r="M3118" s="23"/>
    </row>
    <row r="3119">
      <c r="A3119" s="11"/>
      <c r="B3119" s="12"/>
      <c r="C3119" s="13"/>
      <c r="E3119" s="6"/>
      <c r="F3119" s="7"/>
      <c r="H3119" s="11"/>
      <c r="J3119" s="18"/>
      <c r="L3119" s="18"/>
      <c r="M3119" s="23"/>
    </row>
    <row r="3120">
      <c r="A3120" s="11"/>
      <c r="B3120" s="12"/>
      <c r="C3120" s="13"/>
      <c r="E3120" s="6"/>
      <c r="F3120" s="7"/>
      <c r="H3120" s="11"/>
      <c r="J3120" s="18"/>
      <c r="L3120" s="18"/>
      <c r="M3120" s="23"/>
    </row>
    <row r="3121">
      <c r="A3121" s="11"/>
      <c r="B3121" s="12"/>
      <c r="C3121" s="13"/>
      <c r="E3121" s="6"/>
      <c r="F3121" s="7"/>
      <c r="H3121" s="11"/>
      <c r="J3121" s="18"/>
      <c r="L3121" s="18"/>
      <c r="M3121" s="23"/>
    </row>
    <row r="3122">
      <c r="A3122" s="11"/>
      <c r="B3122" s="12"/>
      <c r="C3122" s="13"/>
      <c r="E3122" s="6"/>
      <c r="F3122" s="7"/>
      <c r="H3122" s="11"/>
      <c r="J3122" s="18"/>
      <c r="L3122" s="18"/>
      <c r="M3122" s="23"/>
    </row>
    <row r="3123">
      <c r="A3123" s="11"/>
      <c r="B3123" s="12"/>
      <c r="C3123" s="13"/>
      <c r="E3123" s="6"/>
      <c r="F3123" s="7"/>
      <c r="H3123" s="11"/>
      <c r="J3123" s="18"/>
      <c r="L3123" s="18"/>
      <c r="M3123" s="23"/>
    </row>
    <row r="3124">
      <c r="A3124" s="11"/>
      <c r="B3124" s="12"/>
      <c r="C3124" s="13"/>
      <c r="E3124" s="6"/>
      <c r="F3124" s="7"/>
      <c r="H3124" s="11"/>
      <c r="J3124" s="18"/>
      <c r="L3124" s="18"/>
      <c r="M3124" s="23"/>
    </row>
    <row r="3125">
      <c r="A3125" s="11"/>
      <c r="B3125" s="12"/>
      <c r="C3125" s="13"/>
      <c r="E3125" s="6"/>
      <c r="F3125" s="7"/>
      <c r="H3125" s="11"/>
      <c r="J3125" s="18"/>
      <c r="L3125" s="18"/>
      <c r="M3125" s="23"/>
    </row>
    <row r="3126">
      <c r="A3126" s="11"/>
      <c r="B3126" s="12"/>
      <c r="C3126" s="13"/>
      <c r="E3126" s="6"/>
      <c r="F3126" s="7"/>
      <c r="H3126" s="11"/>
      <c r="J3126" s="18"/>
      <c r="L3126" s="18"/>
      <c r="M3126" s="23"/>
    </row>
    <row r="3127">
      <c r="A3127" s="11"/>
      <c r="B3127" s="12"/>
      <c r="C3127" s="13"/>
      <c r="E3127" s="6"/>
      <c r="F3127" s="7"/>
      <c r="H3127" s="11"/>
      <c r="J3127" s="18"/>
      <c r="L3127" s="18"/>
      <c r="M3127" s="23"/>
    </row>
    <row r="3128">
      <c r="A3128" s="11"/>
      <c r="B3128" s="12"/>
      <c r="C3128" s="13"/>
      <c r="E3128" s="6"/>
      <c r="F3128" s="7"/>
      <c r="H3128" s="11"/>
      <c r="J3128" s="18"/>
      <c r="L3128" s="18"/>
      <c r="M3128" s="23"/>
    </row>
    <row r="3129">
      <c r="A3129" s="11"/>
      <c r="B3129" s="12"/>
      <c r="C3129" s="13"/>
      <c r="E3129" s="6"/>
      <c r="F3129" s="7"/>
      <c r="H3129" s="11"/>
      <c r="J3129" s="18"/>
      <c r="L3129" s="18"/>
      <c r="M3129" s="23"/>
    </row>
    <row r="3130">
      <c r="A3130" s="11"/>
      <c r="B3130" s="12"/>
      <c r="C3130" s="13"/>
      <c r="E3130" s="6"/>
      <c r="F3130" s="7"/>
      <c r="H3130" s="11"/>
      <c r="J3130" s="18"/>
      <c r="L3130" s="18"/>
      <c r="M3130" s="23"/>
    </row>
    <row r="3131">
      <c r="A3131" s="11"/>
      <c r="B3131" s="12"/>
      <c r="C3131" s="13"/>
      <c r="E3131" s="6"/>
      <c r="F3131" s="7"/>
      <c r="H3131" s="11"/>
      <c r="J3131" s="18"/>
      <c r="L3131" s="18"/>
      <c r="M3131" s="23"/>
    </row>
    <row r="3132">
      <c r="A3132" s="11"/>
      <c r="B3132" s="12"/>
      <c r="C3132" s="13"/>
      <c r="E3132" s="6"/>
      <c r="F3132" s="7"/>
      <c r="H3132" s="11"/>
      <c r="J3132" s="18"/>
      <c r="L3132" s="18"/>
      <c r="M3132" s="23"/>
    </row>
    <row r="3133">
      <c r="A3133" s="11"/>
      <c r="B3133" s="12"/>
      <c r="C3133" s="13"/>
      <c r="E3133" s="6"/>
      <c r="F3133" s="7"/>
      <c r="H3133" s="11"/>
      <c r="J3133" s="18"/>
      <c r="L3133" s="18"/>
      <c r="M3133" s="23"/>
    </row>
    <row r="3134">
      <c r="A3134" s="11"/>
      <c r="B3134" s="12"/>
      <c r="C3134" s="13"/>
      <c r="E3134" s="6"/>
      <c r="F3134" s="7"/>
      <c r="H3134" s="11"/>
      <c r="J3134" s="18"/>
      <c r="L3134" s="18"/>
      <c r="M3134" s="23"/>
    </row>
    <row r="3135">
      <c r="A3135" s="11"/>
      <c r="B3135" s="12"/>
      <c r="C3135" s="13"/>
      <c r="E3135" s="6"/>
      <c r="F3135" s="7"/>
      <c r="H3135" s="11"/>
      <c r="J3135" s="18"/>
      <c r="L3135" s="18"/>
      <c r="M3135" s="23"/>
    </row>
    <row r="3136">
      <c r="A3136" s="11"/>
      <c r="B3136" s="12"/>
      <c r="C3136" s="13"/>
      <c r="E3136" s="6"/>
      <c r="F3136" s="7"/>
      <c r="H3136" s="11"/>
      <c r="J3136" s="18"/>
      <c r="L3136" s="18"/>
      <c r="M3136" s="23"/>
    </row>
    <row r="3137">
      <c r="A3137" s="11"/>
      <c r="B3137" s="12"/>
      <c r="C3137" s="13"/>
      <c r="E3137" s="6"/>
      <c r="F3137" s="7"/>
      <c r="H3137" s="11"/>
      <c r="J3137" s="18"/>
      <c r="L3137" s="18"/>
      <c r="M3137" s="23"/>
    </row>
    <row r="3138">
      <c r="A3138" s="11"/>
      <c r="B3138" s="12"/>
      <c r="C3138" s="13"/>
      <c r="E3138" s="6"/>
      <c r="F3138" s="7"/>
      <c r="H3138" s="11"/>
      <c r="J3138" s="18"/>
      <c r="L3138" s="18"/>
      <c r="M3138" s="23"/>
    </row>
    <row r="3139">
      <c r="A3139" s="11"/>
      <c r="B3139" s="12"/>
      <c r="C3139" s="13"/>
      <c r="E3139" s="6"/>
      <c r="F3139" s="7"/>
      <c r="H3139" s="11"/>
      <c r="J3139" s="18"/>
      <c r="L3139" s="18"/>
      <c r="M3139" s="23"/>
    </row>
    <row r="3140">
      <c r="A3140" s="11"/>
      <c r="B3140" s="12"/>
      <c r="C3140" s="13"/>
      <c r="E3140" s="6"/>
      <c r="F3140" s="7"/>
      <c r="H3140" s="11"/>
      <c r="J3140" s="18"/>
      <c r="L3140" s="18"/>
      <c r="M3140" s="23"/>
    </row>
    <row r="3141">
      <c r="A3141" s="11"/>
      <c r="B3141" s="12"/>
      <c r="C3141" s="13"/>
      <c r="E3141" s="6"/>
      <c r="F3141" s="7"/>
      <c r="H3141" s="11"/>
      <c r="J3141" s="18"/>
      <c r="L3141" s="18"/>
      <c r="M3141" s="23"/>
    </row>
    <row r="3142">
      <c r="A3142" s="11"/>
      <c r="B3142" s="12"/>
      <c r="C3142" s="13"/>
      <c r="E3142" s="6"/>
      <c r="F3142" s="7"/>
      <c r="H3142" s="11"/>
      <c r="J3142" s="18"/>
      <c r="L3142" s="18"/>
      <c r="M3142" s="23"/>
    </row>
    <row r="3143">
      <c r="A3143" s="11"/>
      <c r="B3143" s="12"/>
      <c r="C3143" s="13"/>
      <c r="E3143" s="6"/>
      <c r="F3143" s="7"/>
      <c r="H3143" s="11"/>
      <c r="J3143" s="18"/>
      <c r="L3143" s="18"/>
      <c r="M3143" s="23"/>
    </row>
    <row r="3144">
      <c r="A3144" s="11"/>
      <c r="B3144" s="12"/>
      <c r="C3144" s="13"/>
      <c r="E3144" s="6"/>
      <c r="F3144" s="7"/>
      <c r="H3144" s="11"/>
      <c r="J3144" s="18"/>
      <c r="L3144" s="18"/>
      <c r="M3144" s="23"/>
    </row>
    <row r="3145">
      <c r="A3145" s="11"/>
      <c r="B3145" s="12"/>
      <c r="C3145" s="13"/>
      <c r="E3145" s="6"/>
      <c r="F3145" s="7"/>
      <c r="H3145" s="11"/>
      <c r="J3145" s="18"/>
      <c r="L3145" s="18"/>
      <c r="M3145" s="23"/>
    </row>
    <row r="3146">
      <c r="A3146" s="11"/>
      <c r="B3146" s="12"/>
      <c r="C3146" s="13"/>
      <c r="E3146" s="6"/>
      <c r="F3146" s="7"/>
      <c r="H3146" s="11"/>
      <c r="J3146" s="18"/>
      <c r="L3146" s="18"/>
      <c r="M3146" s="23"/>
    </row>
    <row r="3147">
      <c r="A3147" s="11"/>
      <c r="B3147" s="12"/>
      <c r="C3147" s="13"/>
      <c r="E3147" s="6"/>
      <c r="F3147" s="7"/>
      <c r="H3147" s="11"/>
      <c r="J3147" s="18"/>
      <c r="L3147" s="18"/>
      <c r="M3147" s="23"/>
    </row>
    <row r="3148">
      <c r="A3148" s="11"/>
      <c r="B3148" s="12"/>
      <c r="C3148" s="13"/>
      <c r="E3148" s="6"/>
      <c r="F3148" s="7"/>
      <c r="H3148" s="11"/>
      <c r="J3148" s="18"/>
      <c r="L3148" s="18"/>
      <c r="M3148" s="23"/>
    </row>
    <row r="3149">
      <c r="A3149" s="11"/>
      <c r="B3149" s="12"/>
      <c r="C3149" s="13"/>
      <c r="E3149" s="6"/>
      <c r="F3149" s="7"/>
      <c r="H3149" s="11"/>
      <c r="J3149" s="18"/>
      <c r="L3149" s="18"/>
      <c r="M3149" s="23"/>
    </row>
    <row r="3150">
      <c r="A3150" s="11"/>
      <c r="B3150" s="12"/>
      <c r="C3150" s="13"/>
      <c r="E3150" s="6"/>
      <c r="F3150" s="7"/>
      <c r="H3150" s="11"/>
      <c r="J3150" s="18"/>
      <c r="L3150" s="18"/>
      <c r="M3150" s="23"/>
    </row>
    <row r="3151">
      <c r="A3151" s="11"/>
      <c r="B3151" s="12"/>
      <c r="C3151" s="13"/>
      <c r="E3151" s="6"/>
      <c r="F3151" s="7"/>
      <c r="H3151" s="11"/>
      <c r="J3151" s="18"/>
      <c r="L3151" s="18"/>
      <c r="M3151" s="23"/>
    </row>
    <row r="3152">
      <c r="A3152" s="11"/>
      <c r="B3152" s="12"/>
      <c r="C3152" s="13"/>
      <c r="E3152" s="6"/>
      <c r="F3152" s="7"/>
      <c r="H3152" s="11"/>
      <c r="J3152" s="18"/>
      <c r="L3152" s="18"/>
      <c r="M3152" s="23"/>
    </row>
    <row r="3153">
      <c r="A3153" s="11"/>
      <c r="B3153" s="12"/>
      <c r="C3153" s="13"/>
      <c r="E3153" s="6"/>
      <c r="F3153" s="7"/>
      <c r="H3153" s="11"/>
      <c r="J3153" s="18"/>
      <c r="L3153" s="18"/>
      <c r="M3153" s="23"/>
    </row>
    <row r="3154">
      <c r="A3154" s="11"/>
      <c r="B3154" s="12"/>
      <c r="C3154" s="13"/>
      <c r="E3154" s="6"/>
      <c r="F3154" s="7"/>
      <c r="H3154" s="11"/>
      <c r="J3154" s="18"/>
      <c r="L3154" s="18"/>
      <c r="M3154" s="23"/>
    </row>
    <row r="3155">
      <c r="A3155" s="11"/>
      <c r="B3155" s="12"/>
      <c r="C3155" s="13"/>
      <c r="E3155" s="6"/>
      <c r="F3155" s="7"/>
      <c r="H3155" s="11"/>
      <c r="J3155" s="18"/>
      <c r="L3155" s="18"/>
      <c r="M3155" s="23"/>
    </row>
    <row r="3156">
      <c r="A3156" s="11"/>
      <c r="B3156" s="12"/>
      <c r="C3156" s="13"/>
      <c r="E3156" s="6"/>
      <c r="F3156" s="7"/>
      <c r="H3156" s="11"/>
      <c r="J3156" s="18"/>
      <c r="L3156" s="18"/>
      <c r="M3156" s="23"/>
    </row>
    <row r="3157">
      <c r="A3157" s="11"/>
      <c r="B3157" s="12"/>
      <c r="C3157" s="13"/>
      <c r="E3157" s="6"/>
      <c r="F3157" s="7"/>
      <c r="H3157" s="11"/>
      <c r="J3157" s="18"/>
      <c r="L3157" s="18"/>
      <c r="M3157" s="23"/>
    </row>
    <row r="3158">
      <c r="A3158" s="11"/>
      <c r="B3158" s="12"/>
      <c r="C3158" s="13"/>
      <c r="E3158" s="6"/>
      <c r="F3158" s="7"/>
      <c r="H3158" s="11"/>
      <c r="J3158" s="18"/>
      <c r="L3158" s="18"/>
      <c r="M3158" s="23"/>
    </row>
    <row r="3159">
      <c r="A3159" s="11"/>
      <c r="B3159" s="12"/>
      <c r="C3159" s="13"/>
      <c r="E3159" s="6"/>
      <c r="F3159" s="7"/>
      <c r="H3159" s="11"/>
      <c r="J3159" s="18"/>
      <c r="L3159" s="18"/>
      <c r="M3159" s="23"/>
    </row>
    <row r="3160">
      <c r="A3160" s="11"/>
      <c r="B3160" s="12"/>
      <c r="C3160" s="13"/>
      <c r="E3160" s="6"/>
      <c r="F3160" s="7"/>
      <c r="H3160" s="11"/>
      <c r="J3160" s="18"/>
      <c r="L3160" s="18"/>
      <c r="M3160" s="23"/>
    </row>
    <row r="3161">
      <c r="A3161" s="11"/>
      <c r="B3161" s="12"/>
      <c r="C3161" s="13"/>
      <c r="E3161" s="6"/>
      <c r="F3161" s="7"/>
      <c r="H3161" s="11"/>
      <c r="J3161" s="18"/>
      <c r="L3161" s="18"/>
      <c r="M3161" s="23"/>
    </row>
    <row r="3162">
      <c r="A3162" s="11"/>
      <c r="B3162" s="12"/>
      <c r="C3162" s="13"/>
      <c r="E3162" s="6"/>
      <c r="F3162" s="7"/>
      <c r="H3162" s="11"/>
      <c r="J3162" s="18"/>
      <c r="L3162" s="18"/>
      <c r="M3162" s="23"/>
    </row>
    <row r="3163">
      <c r="A3163" s="11"/>
      <c r="B3163" s="12"/>
      <c r="C3163" s="13"/>
      <c r="E3163" s="6"/>
      <c r="F3163" s="7"/>
      <c r="H3163" s="11"/>
      <c r="J3163" s="18"/>
      <c r="L3163" s="18"/>
      <c r="M3163" s="23"/>
    </row>
    <row r="3164">
      <c r="A3164" s="11"/>
      <c r="B3164" s="12"/>
      <c r="C3164" s="13"/>
      <c r="E3164" s="6"/>
      <c r="F3164" s="7"/>
      <c r="H3164" s="11"/>
      <c r="J3164" s="18"/>
      <c r="L3164" s="18"/>
      <c r="M3164" s="23"/>
    </row>
    <row r="3165">
      <c r="A3165" s="11"/>
      <c r="B3165" s="12"/>
      <c r="C3165" s="13"/>
      <c r="E3165" s="6"/>
      <c r="F3165" s="7"/>
      <c r="H3165" s="11"/>
      <c r="J3165" s="18"/>
      <c r="L3165" s="18"/>
      <c r="M3165" s="23"/>
    </row>
    <row r="3166">
      <c r="A3166" s="11"/>
      <c r="B3166" s="12"/>
      <c r="C3166" s="13"/>
      <c r="E3166" s="6"/>
      <c r="F3166" s="7"/>
      <c r="H3166" s="11"/>
      <c r="J3166" s="18"/>
      <c r="L3166" s="18"/>
      <c r="M3166" s="23"/>
    </row>
    <row r="3167">
      <c r="A3167" s="11"/>
      <c r="B3167" s="12"/>
      <c r="C3167" s="13"/>
      <c r="E3167" s="6"/>
      <c r="F3167" s="7"/>
      <c r="H3167" s="11"/>
      <c r="J3167" s="18"/>
      <c r="L3167" s="18"/>
      <c r="M3167" s="23"/>
    </row>
    <row r="3168">
      <c r="A3168" s="11"/>
      <c r="B3168" s="12"/>
      <c r="C3168" s="13"/>
      <c r="E3168" s="6"/>
      <c r="F3168" s="7"/>
      <c r="H3168" s="11"/>
      <c r="J3168" s="18"/>
      <c r="L3168" s="18"/>
      <c r="M3168" s="23"/>
    </row>
    <row r="3169">
      <c r="A3169" s="11"/>
      <c r="B3169" s="12"/>
      <c r="C3169" s="13"/>
      <c r="E3169" s="6"/>
      <c r="F3169" s="7"/>
      <c r="H3169" s="11"/>
      <c r="J3169" s="18"/>
      <c r="L3169" s="18"/>
      <c r="M3169" s="23"/>
    </row>
    <row r="3170">
      <c r="A3170" s="11"/>
      <c r="B3170" s="12"/>
      <c r="C3170" s="13"/>
      <c r="E3170" s="6"/>
      <c r="F3170" s="7"/>
      <c r="H3170" s="11"/>
      <c r="J3170" s="18"/>
      <c r="L3170" s="18"/>
      <c r="M3170" s="23"/>
    </row>
    <row r="3171">
      <c r="A3171" s="11"/>
      <c r="B3171" s="12"/>
      <c r="C3171" s="13"/>
      <c r="E3171" s="6"/>
      <c r="F3171" s="7"/>
      <c r="H3171" s="11"/>
      <c r="J3171" s="18"/>
      <c r="L3171" s="18"/>
      <c r="M3171" s="23"/>
    </row>
    <row r="3172">
      <c r="A3172" s="11"/>
      <c r="B3172" s="12"/>
      <c r="C3172" s="13"/>
      <c r="E3172" s="6"/>
      <c r="F3172" s="7"/>
      <c r="H3172" s="11"/>
      <c r="J3172" s="18"/>
      <c r="L3172" s="18"/>
      <c r="M3172" s="23"/>
    </row>
    <row r="3173">
      <c r="A3173" s="11"/>
      <c r="B3173" s="12"/>
      <c r="C3173" s="13"/>
      <c r="E3173" s="6"/>
      <c r="F3173" s="7"/>
      <c r="H3173" s="11"/>
      <c r="J3173" s="18"/>
      <c r="L3173" s="18"/>
      <c r="M3173" s="23"/>
    </row>
    <row r="3174">
      <c r="A3174" s="11"/>
      <c r="B3174" s="12"/>
      <c r="C3174" s="13"/>
      <c r="E3174" s="6"/>
      <c r="F3174" s="7"/>
      <c r="H3174" s="11"/>
      <c r="J3174" s="18"/>
      <c r="L3174" s="18"/>
      <c r="M3174" s="23"/>
    </row>
    <row r="3175">
      <c r="A3175" s="11"/>
      <c r="B3175" s="12"/>
      <c r="C3175" s="13"/>
      <c r="E3175" s="6"/>
      <c r="F3175" s="7"/>
      <c r="H3175" s="11"/>
      <c r="J3175" s="18"/>
      <c r="L3175" s="18"/>
      <c r="M3175" s="23"/>
    </row>
    <row r="3176">
      <c r="A3176" s="11"/>
      <c r="B3176" s="12"/>
      <c r="C3176" s="13"/>
      <c r="E3176" s="6"/>
      <c r="F3176" s="7"/>
      <c r="H3176" s="11"/>
      <c r="J3176" s="18"/>
      <c r="L3176" s="18"/>
      <c r="M3176" s="23"/>
    </row>
    <row r="3177">
      <c r="A3177" s="11"/>
      <c r="B3177" s="12"/>
      <c r="C3177" s="13"/>
      <c r="E3177" s="6"/>
      <c r="F3177" s="7"/>
      <c r="H3177" s="11"/>
      <c r="J3177" s="18"/>
      <c r="L3177" s="18"/>
      <c r="M3177" s="23"/>
    </row>
    <row r="3178">
      <c r="A3178" s="11"/>
      <c r="B3178" s="12"/>
      <c r="C3178" s="13"/>
      <c r="E3178" s="6"/>
      <c r="F3178" s="7"/>
      <c r="H3178" s="11"/>
      <c r="J3178" s="18"/>
      <c r="L3178" s="18"/>
      <c r="M3178" s="23"/>
    </row>
    <row r="3179">
      <c r="A3179" s="11"/>
      <c r="B3179" s="12"/>
      <c r="C3179" s="13"/>
      <c r="E3179" s="6"/>
      <c r="F3179" s="7"/>
      <c r="H3179" s="11"/>
      <c r="J3179" s="18"/>
      <c r="L3179" s="18"/>
      <c r="M3179" s="23"/>
    </row>
    <row r="3180">
      <c r="A3180" s="11"/>
      <c r="B3180" s="12"/>
      <c r="C3180" s="13"/>
      <c r="E3180" s="6"/>
      <c r="F3180" s="7"/>
      <c r="H3180" s="11"/>
      <c r="J3180" s="18"/>
      <c r="L3180" s="18"/>
      <c r="M3180" s="23"/>
    </row>
    <row r="3181">
      <c r="A3181" s="11"/>
      <c r="B3181" s="12"/>
      <c r="C3181" s="13"/>
      <c r="E3181" s="6"/>
      <c r="F3181" s="7"/>
      <c r="H3181" s="11"/>
      <c r="J3181" s="18"/>
      <c r="L3181" s="18"/>
      <c r="M3181" s="23"/>
    </row>
    <row r="3182">
      <c r="A3182" s="11"/>
      <c r="B3182" s="12"/>
      <c r="C3182" s="13"/>
      <c r="E3182" s="6"/>
      <c r="F3182" s="7"/>
      <c r="H3182" s="11"/>
      <c r="J3182" s="18"/>
      <c r="L3182" s="18"/>
      <c r="M3182" s="23"/>
    </row>
    <row r="3183">
      <c r="A3183" s="11"/>
      <c r="B3183" s="12"/>
      <c r="C3183" s="13"/>
      <c r="E3183" s="6"/>
      <c r="F3183" s="7"/>
      <c r="H3183" s="11"/>
      <c r="J3183" s="18"/>
      <c r="L3183" s="18"/>
      <c r="M3183" s="23"/>
    </row>
    <row r="3184">
      <c r="A3184" s="11"/>
      <c r="B3184" s="12"/>
      <c r="C3184" s="13"/>
      <c r="E3184" s="6"/>
      <c r="F3184" s="7"/>
      <c r="H3184" s="11"/>
      <c r="J3184" s="18"/>
      <c r="L3184" s="18"/>
      <c r="M3184" s="23"/>
    </row>
    <row r="3185">
      <c r="A3185" s="11"/>
      <c r="B3185" s="12"/>
      <c r="C3185" s="13"/>
      <c r="E3185" s="6"/>
      <c r="F3185" s="7"/>
      <c r="H3185" s="11"/>
      <c r="J3185" s="18"/>
      <c r="L3185" s="18"/>
      <c r="M3185" s="23"/>
    </row>
    <row r="3186">
      <c r="A3186" s="11"/>
      <c r="B3186" s="12"/>
      <c r="C3186" s="13"/>
      <c r="E3186" s="6"/>
      <c r="F3186" s="7"/>
      <c r="H3186" s="11"/>
      <c r="J3186" s="18"/>
      <c r="L3186" s="18"/>
      <c r="M3186" s="23"/>
    </row>
    <row r="3187">
      <c r="A3187" s="11"/>
      <c r="B3187" s="12"/>
      <c r="C3187" s="13"/>
      <c r="E3187" s="6"/>
      <c r="F3187" s="7"/>
      <c r="H3187" s="11"/>
      <c r="J3187" s="18"/>
      <c r="L3187" s="18"/>
      <c r="M3187" s="23"/>
    </row>
    <row r="3188">
      <c r="A3188" s="11"/>
      <c r="B3188" s="12"/>
      <c r="C3188" s="13"/>
      <c r="E3188" s="6"/>
      <c r="F3188" s="7"/>
      <c r="H3188" s="11"/>
      <c r="J3188" s="18"/>
      <c r="L3188" s="18"/>
      <c r="M3188" s="23"/>
    </row>
    <row r="3189">
      <c r="A3189" s="11"/>
      <c r="B3189" s="12"/>
      <c r="C3189" s="13"/>
      <c r="E3189" s="6"/>
      <c r="F3189" s="7"/>
      <c r="H3189" s="11"/>
      <c r="J3189" s="18"/>
      <c r="L3189" s="18"/>
      <c r="M3189" s="23"/>
    </row>
    <row r="3190">
      <c r="A3190" s="11"/>
      <c r="B3190" s="12"/>
      <c r="C3190" s="13"/>
      <c r="E3190" s="6"/>
      <c r="F3190" s="7"/>
      <c r="H3190" s="11"/>
      <c r="J3190" s="18"/>
      <c r="L3190" s="18"/>
      <c r="M3190" s="23"/>
    </row>
    <row r="3191">
      <c r="A3191" s="11"/>
      <c r="B3191" s="12"/>
      <c r="C3191" s="13"/>
      <c r="E3191" s="6"/>
      <c r="F3191" s="7"/>
      <c r="H3191" s="11"/>
      <c r="J3191" s="18"/>
      <c r="L3191" s="18"/>
      <c r="M3191" s="23"/>
    </row>
    <row r="3192">
      <c r="A3192" s="11"/>
      <c r="B3192" s="12"/>
      <c r="C3192" s="13"/>
      <c r="E3192" s="6"/>
      <c r="F3192" s="7"/>
      <c r="H3192" s="11"/>
      <c r="J3192" s="18"/>
      <c r="L3192" s="18"/>
      <c r="M3192" s="23"/>
    </row>
    <row r="3193">
      <c r="A3193" s="11"/>
      <c r="B3193" s="12"/>
      <c r="C3193" s="13"/>
      <c r="E3193" s="6"/>
      <c r="F3193" s="7"/>
      <c r="H3193" s="11"/>
      <c r="J3193" s="18"/>
      <c r="L3193" s="18"/>
      <c r="M3193" s="23"/>
    </row>
    <row r="3194">
      <c r="A3194" s="11"/>
      <c r="B3194" s="12"/>
      <c r="C3194" s="13"/>
      <c r="E3194" s="6"/>
      <c r="F3194" s="7"/>
      <c r="H3194" s="11"/>
      <c r="J3194" s="18"/>
      <c r="L3194" s="18"/>
      <c r="M3194" s="23"/>
    </row>
    <row r="3195">
      <c r="A3195" s="11"/>
      <c r="B3195" s="12"/>
      <c r="C3195" s="13"/>
      <c r="E3195" s="6"/>
      <c r="F3195" s="7"/>
      <c r="H3195" s="11"/>
      <c r="J3195" s="18"/>
      <c r="L3195" s="18"/>
      <c r="M3195" s="23"/>
    </row>
    <row r="3196">
      <c r="A3196" s="11"/>
      <c r="B3196" s="12"/>
      <c r="C3196" s="13"/>
      <c r="E3196" s="6"/>
      <c r="F3196" s="7"/>
      <c r="H3196" s="11"/>
      <c r="J3196" s="18"/>
      <c r="L3196" s="18"/>
      <c r="M3196" s="23"/>
    </row>
    <row r="3197">
      <c r="A3197" s="11"/>
      <c r="B3197" s="12"/>
      <c r="C3197" s="13"/>
      <c r="E3197" s="6"/>
      <c r="F3197" s="7"/>
      <c r="H3197" s="11"/>
      <c r="J3197" s="18"/>
      <c r="L3197" s="18"/>
      <c r="M3197" s="23"/>
    </row>
    <row r="3198">
      <c r="A3198" s="11"/>
      <c r="B3198" s="12"/>
      <c r="C3198" s="13"/>
      <c r="E3198" s="6"/>
      <c r="F3198" s="7"/>
      <c r="H3198" s="11"/>
      <c r="J3198" s="18"/>
      <c r="L3198" s="18"/>
      <c r="M3198" s="23"/>
    </row>
    <row r="3199">
      <c r="A3199" s="11"/>
      <c r="B3199" s="12"/>
      <c r="C3199" s="13"/>
      <c r="E3199" s="6"/>
      <c r="F3199" s="7"/>
      <c r="H3199" s="11"/>
      <c r="J3199" s="18"/>
      <c r="L3199" s="18"/>
      <c r="M3199" s="23"/>
    </row>
    <row r="3200">
      <c r="A3200" s="11"/>
      <c r="B3200" s="12"/>
      <c r="C3200" s="13"/>
      <c r="E3200" s="6"/>
      <c r="F3200" s="7"/>
      <c r="H3200" s="11"/>
      <c r="J3200" s="18"/>
      <c r="L3200" s="18"/>
      <c r="M3200" s="23"/>
    </row>
    <row r="3201">
      <c r="A3201" s="11"/>
      <c r="B3201" s="12"/>
      <c r="C3201" s="13"/>
      <c r="E3201" s="6"/>
      <c r="F3201" s="7"/>
      <c r="H3201" s="11"/>
      <c r="J3201" s="18"/>
      <c r="L3201" s="18"/>
      <c r="M3201" s="23"/>
    </row>
    <row r="3202">
      <c r="A3202" s="11"/>
      <c r="B3202" s="12"/>
      <c r="C3202" s="13"/>
      <c r="E3202" s="6"/>
      <c r="F3202" s="7"/>
      <c r="H3202" s="11"/>
      <c r="J3202" s="18"/>
      <c r="L3202" s="18"/>
      <c r="M3202" s="23"/>
    </row>
    <row r="3203">
      <c r="A3203" s="11"/>
      <c r="B3203" s="12"/>
      <c r="C3203" s="13"/>
      <c r="E3203" s="6"/>
      <c r="F3203" s="7"/>
      <c r="H3203" s="11"/>
      <c r="J3203" s="18"/>
      <c r="L3203" s="18"/>
      <c r="M3203" s="23"/>
    </row>
    <row r="3204">
      <c r="A3204" s="11"/>
      <c r="B3204" s="12"/>
      <c r="C3204" s="13"/>
      <c r="E3204" s="6"/>
      <c r="F3204" s="7"/>
      <c r="H3204" s="11"/>
      <c r="J3204" s="18"/>
      <c r="L3204" s="18"/>
      <c r="M3204" s="23"/>
    </row>
    <row r="3205">
      <c r="A3205" s="11"/>
      <c r="B3205" s="12"/>
      <c r="C3205" s="13"/>
      <c r="E3205" s="6"/>
      <c r="F3205" s="7"/>
      <c r="H3205" s="11"/>
      <c r="J3205" s="18"/>
      <c r="L3205" s="18"/>
      <c r="M3205" s="23"/>
    </row>
    <row r="3206">
      <c r="A3206" s="11"/>
      <c r="B3206" s="12"/>
      <c r="C3206" s="13"/>
      <c r="E3206" s="6"/>
      <c r="F3206" s="7"/>
      <c r="H3206" s="11"/>
      <c r="J3206" s="18"/>
      <c r="L3206" s="18"/>
      <c r="M3206" s="23"/>
    </row>
    <row r="3207">
      <c r="A3207" s="11"/>
      <c r="B3207" s="12"/>
      <c r="C3207" s="13"/>
      <c r="E3207" s="6"/>
      <c r="F3207" s="7"/>
      <c r="H3207" s="11"/>
      <c r="J3207" s="18"/>
      <c r="L3207" s="18"/>
      <c r="M3207" s="23"/>
    </row>
    <row r="3208">
      <c r="A3208" s="11"/>
      <c r="B3208" s="12"/>
      <c r="C3208" s="13"/>
      <c r="E3208" s="6"/>
      <c r="F3208" s="7"/>
      <c r="H3208" s="11"/>
      <c r="J3208" s="18"/>
      <c r="L3208" s="18"/>
      <c r="M3208" s="23"/>
    </row>
    <row r="3209">
      <c r="A3209" s="11"/>
      <c r="B3209" s="12"/>
      <c r="C3209" s="13"/>
      <c r="E3209" s="6"/>
      <c r="F3209" s="7"/>
      <c r="H3209" s="11"/>
      <c r="J3209" s="18"/>
      <c r="L3209" s="18"/>
      <c r="M3209" s="23"/>
    </row>
    <row r="3210">
      <c r="A3210" s="11"/>
      <c r="B3210" s="12"/>
      <c r="C3210" s="13"/>
      <c r="E3210" s="6"/>
      <c r="F3210" s="7"/>
      <c r="H3210" s="11"/>
      <c r="J3210" s="18"/>
      <c r="L3210" s="18"/>
      <c r="M3210" s="23"/>
    </row>
    <row r="3211">
      <c r="A3211" s="11"/>
      <c r="B3211" s="12"/>
      <c r="C3211" s="13"/>
      <c r="E3211" s="6"/>
      <c r="F3211" s="7"/>
      <c r="H3211" s="11"/>
      <c r="J3211" s="18"/>
      <c r="L3211" s="18"/>
      <c r="M3211" s="23"/>
    </row>
    <row r="3212">
      <c r="A3212" s="11"/>
      <c r="B3212" s="12"/>
      <c r="C3212" s="13"/>
      <c r="E3212" s="6"/>
      <c r="F3212" s="7"/>
      <c r="H3212" s="11"/>
      <c r="J3212" s="18"/>
      <c r="L3212" s="18"/>
      <c r="M3212" s="23"/>
    </row>
    <row r="3213">
      <c r="A3213" s="11"/>
      <c r="B3213" s="12"/>
      <c r="C3213" s="13"/>
      <c r="E3213" s="6"/>
      <c r="F3213" s="7"/>
      <c r="H3213" s="11"/>
      <c r="J3213" s="18"/>
      <c r="L3213" s="18"/>
      <c r="M3213" s="23"/>
    </row>
    <row r="3214">
      <c r="A3214" s="11"/>
      <c r="B3214" s="12"/>
      <c r="C3214" s="13"/>
      <c r="E3214" s="6"/>
      <c r="F3214" s="7"/>
      <c r="H3214" s="11"/>
      <c r="J3214" s="18"/>
      <c r="L3214" s="18"/>
      <c r="M3214" s="23"/>
    </row>
    <row r="3215">
      <c r="A3215" s="11"/>
      <c r="B3215" s="12"/>
      <c r="C3215" s="13"/>
      <c r="E3215" s="6"/>
      <c r="F3215" s="7"/>
      <c r="H3215" s="11"/>
      <c r="J3215" s="18"/>
      <c r="L3215" s="18"/>
      <c r="M3215" s="23"/>
    </row>
    <row r="3216">
      <c r="A3216" s="11"/>
      <c r="B3216" s="12"/>
      <c r="C3216" s="13"/>
      <c r="E3216" s="6"/>
      <c r="F3216" s="7"/>
      <c r="H3216" s="11"/>
      <c r="J3216" s="18"/>
      <c r="L3216" s="18"/>
      <c r="M3216" s="23"/>
    </row>
    <row r="3217">
      <c r="A3217" s="11"/>
      <c r="B3217" s="12"/>
      <c r="C3217" s="13"/>
      <c r="E3217" s="6"/>
      <c r="F3217" s="7"/>
      <c r="H3217" s="11"/>
      <c r="J3217" s="18"/>
      <c r="L3217" s="18"/>
      <c r="M3217" s="23"/>
    </row>
    <row r="3218">
      <c r="A3218" s="11"/>
      <c r="B3218" s="12"/>
      <c r="C3218" s="13"/>
      <c r="E3218" s="6"/>
      <c r="F3218" s="7"/>
      <c r="H3218" s="11"/>
      <c r="J3218" s="18"/>
      <c r="L3218" s="18"/>
      <c r="M3218" s="23"/>
    </row>
    <row r="3219">
      <c r="A3219" s="11"/>
      <c r="B3219" s="12"/>
      <c r="C3219" s="13"/>
      <c r="E3219" s="6"/>
      <c r="F3219" s="7"/>
      <c r="H3219" s="11"/>
      <c r="J3219" s="18"/>
      <c r="L3219" s="18"/>
      <c r="M3219" s="23"/>
    </row>
    <row r="3220">
      <c r="A3220" s="11"/>
      <c r="B3220" s="12"/>
      <c r="C3220" s="13"/>
      <c r="E3220" s="6"/>
      <c r="F3220" s="7"/>
      <c r="H3220" s="11"/>
      <c r="J3220" s="18"/>
      <c r="L3220" s="18"/>
      <c r="M3220" s="23"/>
    </row>
    <row r="3221">
      <c r="A3221" s="11"/>
      <c r="B3221" s="12"/>
      <c r="C3221" s="13"/>
      <c r="E3221" s="6"/>
      <c r="F3221" s="7"/>
      <c r="H3221" s="11"/>
      <c r="J3221" s="18"/>
      <c r="L3221" s="18"/>
      <c r="M3221" s="23"/>
    </row>
    <row r="3222">
      <c r="A3222" s="11"/>
      <c r="B3222" s="12"/>
      <c r="C3222" s="13"/>
      <c r="E3222" s="6"/>
      <c r="F3222" s="7"/>
      <c r="H3222" s="11"/>
      <c r="J3222" s="18"/>
      <c r="L3222" s="18"/>
      <c r="M3222" s="23"/>
    </row>
    <row r="3223">
      <c r="A3223" s="11"/>
      <c r="B3223" s="12"/>
      <c r="C3223" s="13"/>
      <c r="E3223" s="6"/>
      <c r="F3223" s="7"/>
      <c r="H3223" s="11"/>
      <c r="J3223" s="18"/>
      <c r="L3223" s="18"/>
      <c r="M3223" s="23"/>
    </row>
    <row r="3224">
      <c r="A3224" s="11"/>
      <c r="B3224" s="12"/>
      <c r="C3224" s="13"/>
      <c r="E3224" s="6"/>
      <c r="F3224" s="7"/>
      <c r="H3224" s="11"/>
      <c r="J3224" s="18"/>
      <c r="L3224" s="18"/>
      <c r="M3224" s="23"/>
    </row>
    <row r="3225">
      <c r="A3225" s="11"/>
      <c r="B3225" s="12"/>
      <c r="C3225" s="13"/>
      <c r="E3225" s="6"/>
      <c r="F3225" s="7"/>
      <c r="H3225" s="11"/>
      <c r="J3225" s="18"/>
      <c r="L3225" s="18"/>
      <c r="M3225" s="23"/>
    </row>
    <row r="3226">
      <c r="A3226" s="11"/>
      <c r="B3226" s="12"/>
      <c r="C3226" s="13"/>
      <c r="E3226" s="6"/>
      <c r="F3226" s="7"/>
      <c r="H3226" s="11"/>
      <c r="J3226" s="18"/>
      <c r="L3226" s="18"/>
      <c r="M3226" s="23"/>
    </row>
    <row r="3227">
      <c r="A3227" s="11"/>
      <c r="B3227" s="12"/>
      <c r="C3227" s="13"/>
      <c r="E3227" s="6"/>
      <c r="F3227" s="7"/>
      <c r="H3227" s="11"/>
      <c r="J3227" s="18"/>
      <c r="L3227" s="18"/>
      <c r="M3227" s="23"/>
    </row>
    <row r="3228">
      <c r="A3228" s="11"/>
      <c r="B3228" s="12"/>
      <c r="C3228" s="13"/>
      <c r="E3228" s="6"/>
      <c r="F3228" s="7"/>
      <c r="H3228" s="11"/>
      <c r="J3228" s="18"/>
      <c r="L3228" s="18"/>
      <c r="M3228" s="23"/>
    </row>
    <row r="3229">
      <c r="A3229" s="11"/>
      <c r="B3229" s="12"/>
      <c r="C3229" s="13"/>
      <c r="E3229" s="6"/>
      <c r="F3229" s="7"/>
      <c r="H3229" s="11"/>
      <c r="J3229" s="18"/>
      <c r="L3229" s="18"/>
      <c r="M3229" s="23"/>
    </row>
    <row r="3230">
      <c r="A3230" s="11"/>
      <c r="B3230" s="12"/>
      <c r="C3230" s="13"/>
      <c r="E3230" s="6"/>
      <c r="F3230" s="7"/>
      <c r="H3230" s="11"/>
      <c r="J3230" s="18"/>
      <c r="L3230" s="18"/>
      <c r="M3230" s="23"/>
    </row>
    <row r="3231">
      <c r="A3231" s="11"/>
      <c r="B3231" s="12"/>
      <c r="C3231" s="13"/>
      <c r="E3231" s="6"/>
      <c r="F3231" s="7"/>
      <c r="H3231" s="11"/>
      <c r="J3231" s="18"/>
      <c r="L3231" s="18"/>
      <c r="M3231" s="23"/>
    </row>
    <row r="3232">
      <c r="A3232" s="11"/>
      <c r="B3232" s="12"/>
      <c r="C3232" s="13"/>
      <c r="E3232" s="6"/>
      <c r="F3232" s="7"/>
      <c r="H3232" s="11"/>
      <c r="J3232" s="18"/>
      <c r="L3232" s="18"/>
      <c r="M3232" s="23"/>
    </row>
    <row r="3233">
      <c r="A3233" s="11"/>
      <c r="B3233" s="12"/>
      <c r="C3233" s="13"/>
      <c r="E3233" s="6"/>
      <c r="F3233" s="7"/>
      <c r="H3233" s="11"/>
      <c r="J3233" s="18"/>
      <c r="L3233" s="18"/>
      <c r="M3233" s="23"/>
    </row>
    <row r="3234">
      <c r="A3234" s="11"/>
      <c r="B3234" s="12"/>
      <c r="C3234" s="13"/>
      <c r="E3234" s="6"/>
      <c r="F3234" s="7"/>
      <c r="H3234" s="11"/>
      <c r="J3234" s="18"/>
      <c r="L3234" s="18"/>
      <c r="M3234" s="23"/>
    </row>
    <row r="3235">
      <c r="A3235" s="11"/>
      <c r="B3235" s="12"/>
      <c r="C3235" s="13"/>
      <c r="E3235" s="6"/>
      <c r="F3235" s="7"/>
      <c r="H3235" s="11"/>
      <c r="J3235" s="18"/>
      <c r="L3235" s="18"/>
      <c r="M3235" s="23"/>
    </row>
    <row r="3236">
      <c r="A3236" s="11"/>
      <c r="B3236" s="12"/>
      <c r="C3236" s="13"/>
      <c r="E3236" s="6"/>
      <c r="F3236" s="7"/>
      <c r="H3236" s="11"/>
      <c r="J3236" s="18"/>
      <c r="L3236" s="18"/>
      <c r="M3236" s="23"/>
    </row>
    <row r="3237">
      <c r="A3237" s="11"/>
      <c r="B3237" s="12"/>
      <c r="C3237" s="13"/>
      <c r="E3237" s="6"/>
      <c r="F3237" s="7"/>
      <c r="H3237" s="11"/>
      <c r="J3237" s="18"/>
      <c r="L3237" s="18"/>
      <c r="M3237" s="23"/>
    </row>
    <row r="3238">
      <c r="A3238" s="11"/>
      <c r="B3238" s="12"/>
      <c r="C3238" s="13"/>
      <c r="E3238" s="6"/>
      <c r="F3238" s="7"/>
      <c r="H3238" s="11"/>
      <c r="J3238" s="18"/>
      <c r="L3238" s="18"/>
      <c r="M3238" s="23"/>
    </row>
    <row r="3239">
      <c r="A3239" s="11"/>
      <c r="B3239" s="12"/>
      <c r="C3239" s="13"/>
      <c r="E3239" s="6"/>
      <c r="F3239" s="7"/>
      <c r="H3239" s="11"/>
      <c r="J3239" s="18"/>
      <c r="L3239" s="18"/>
      <c r="M3239" s="23"/>
    </row>
    <row r="3240">
      <c r="A3240" s="11"/>
      <c r="B3240" s="12"/>
      <c r="C3240" s="13"/>
      <c r="E3240" s="6"/>
      <c r="F3240" s="7"/>
      <c r="H3240" s="11"/>
      <c r="J3240" s="18"/>
      <c r="L3240" s="18"/>
      <c r="M3240" s="23"/>
    </row>
    <row r="3241">
      <c r="A3241" s="11"/>
      <c r="B3241" s="12"/>
      <c r="C3241" s="13"/>
      <c r="E3241" s="6"/>
      <c r="F3241" s="7"/>
      <c r="H3241" s="11"/>
      <c r="J3241" s="18"/>
      <c r="L3241" s="18"/>
      <c r="M3241" s="23"/>
    </row>
    <row r="3242">
      <c r="A3242" s="11"/>
      <c r="B3242" s="12"/>
      <c r="C3242" s="13"/>
      <c r="E3242" s="6"/>
      <c r="F3242" s="7"/>
      <c r="H3242" s="11"/>
      <c r="J3242" s="18"/>
      <c r="L3242" s="18"/>
      <c r="M3242" s="23"/>
    </row>
    <row r="3243">
      <c r="A3243" s="11"/>
      <c r="B3243" s="12"/>
      <c r="C3243" s="13"/>
      <c r="E3243" s="6"/>
      <c r="F3243" s="7"/>
      <c r="H3243" s="11"/>
      <c r="J3243" s="18"/>
      <c r="L3243" s="18"/>
      <c r="M3243" s="23"/>
    </row>
    <row r="3244">
      <c r="A3244" s="11"/>
      <c r="B3244" s="12"/>
      <c r="C3244" s="13"/>
      <c r="E3244" s="6"/>
      <c r="F3244" s="7"/>
      <c r="H3244" s="11"/>
      <c r="J3244" s="18"/>
      <c r="L3244" s="18"/>
      <c r="M3244" s="23"/>
    </row>
    <row r="3245">
      <c r="A3245" s="11"/>
      <c r="B3245" s="12"/>
      <c r="C3245" s="13"/>
      <c r="E3245" s="6"/>
      <c r="F3245" s="7"/>
      <c r="H3245" s="11"/>
      <c r="J3245" s="18"/>
      <c r="L3245" s="18"/>
      <c r="M3245" s="23"/>
    </row>
    <row r="3246">
      <c r="A3246" s="11"/>
      <c r="B3246" s="12"/>
      <c r="C3246" s="13"/>
      <c r="E3246" s="6"/>
      <c r="F3246" s="7"/>
      <c r="H3246" s="11"/>
      <c r="J3246" s="18"/>
      <c r="L3246" s="18"/>
      <c r="M3246" s="23"/>
    </row>
    <row r="3247">
      <c r="A3247" s="11"/>
      <c r="B3247" s="12"/>
      <c r="C3247" s="13"/>
      <c r="E3247" s="6"/>
      <c r="F3247" s="7"/>
      <c r="H3247" s="11"/>
      <c r="J3247" s="18"/>
      <c r="L3247" s="18"/>
      <c r="M3247" s="23"/>
    </row>
    <row r="3248">
      <c r="A3248" s="11"/>
      <c r="B3248" s="12"/>
      <c r="C3248" s="13"/>
      <c r="E3248" s="6"/>
      <c r="F3248" s="7"/>
      <c r="H3248" s="11"/>
      <c r="J3248" s="18"/>
      <c r="L3248" s="18"/>
      <c r="M3248" s="23"/>
    </row>
    <row r="3249">
      <c r="A3249" s="11"/>
      <c r="B3249" s="12"/>
      <c r="C3249" s="13"/>
      <c r="E3249" s="6"/>
      <c r="F3249" s="7"/>
      <c r="H3249" s="11"/>
      <c r="J3249" s="18"/>
      <c r="L3249" s="18"/>
      <c r="M3249" s="23"/>
    </row>
    <row r="3250">
      <c r="A3250" s="11"/>
      <c r="B3250" s="12"/>
      <c r="C3250" s="13"/>
      <c r="E3250" s="6"/>
      <c r="F3250" s="7"/>
      <c r="H3250" s="11"/>
      <c r="J3250" s="18"/>
      <c r="L3250" s="18"/>
      <c r="M3250" s="23"/>
    </row>
    <row r="3251">
      <c r="A3251" s="11"/>
      <c r="B3251" s="12"/>
      <c r="C3251" s="13"/>
      <c r="E3251" s="6"/>
      <c r="F3251" s="7"/>
      <c r="H3251" s="11"/>
      <c r="J3251" s="18"/>
      <c r="L3251" s="18"/>
      <c r="M3251" s="23"/>
    </row>
    <row r="3252">
      <c r="A3252" s="11"/>
      <c r="B3252" s="12"/>
      <c r="C3252" s="13"/>
      <c r="E3252" s="6"/>
      <c r="F3252" s="7"/>
      <c r="H3252" s="11"/>
      <c r="J3252" s="18"/>
      <c r="L3252" s="18"/>
      <c r="M3252" s="23"/>
    </row>
    <row r="3253">
      <c r="A3253" s="11"/>
      <c r="B3253" s="12"/>
      <c r="C3253" s="13"/>
      <c r="E3253" s="6"/>
      <c r="F3253" s="7"/>
      <c r="H3253" s="11"/>
      <c r="J3253" s="18"/>
      <c r="L3253" s="18"/>
      <c r="M3253" s="23"/>
    </row>
    <row r="3254">
      <c r="A3254" s="11"/>
      <c r="B3254" s="12"/>
      <c r="C3254" s="13"/>
      <c r="E3254" s="6"/>
      <c r="F3254" s="7"/>
      <c r="H3254" s="11"/>
      <c r="J3254" s="18"/>
      <c r="L3254" s="18"/>
      <c r="M3254" s="23"/>
    </row>
    <row r="3255">
      <c r="A3255" s="11"/>
      <c r="B3255" s="12"/>
      <c r="C3255" s="13"/>
      <c r="E3255" s="6"/>
      <c r="F3255" s="7"/>
      <c r="H3255" s="11"/>
      <c r="J3255" s="18"/>
      <c r="L3255" s="18"/>
      <c r="M3255" s="23"/>
    </row>
    <row r="3256">
      <c r="A3256" s="11"/>
      <c r="B3256" s="12"/>
      <c r="C3256" s="13"/>
      <c r="E3256" s="6"/>
      <c r="F3256" s="7"/>
      <c r="H3256" s="11"/>
      <c r="J3256" s="18"/>
      <c r="L3256" s="18"/>
      <c r="M3256" s="23"/>
    </row>
    <row r="3257">
      <c r="A3257" s="11"/>
      <c r="B3257" s="12"/>
      <c r="C3257" s="13"/>
      <c r="E3257" s="6"/>
      <c r="F3257" s="7"/>
      <c r="H3257" s="11"/>
      <c r="J3257" s="18"/>
      <c r="L3257" s="18"/>
      <c r="M3257" s="23"/>
    </row>
    <row r="3258">
      <c r="A3258" s="11"/>
      <c r="B3258" s="12"/>
      <c r="C3258" s="13"/>
      <c r="E3258" s="6"/>
      <c r="F3258" s="7"/>
      <c r="H3258" s="11"/>
      <c r="J3258" s="18"/>
      <c r="L3258" s="18"/>
      <c r="M3258" s="23"/>
    </row>
    <row r="3259">
      <c r="A3259" s="11"/>
      <c r="B3259" s="12"/>
      <c r="C3259" s="13"/>
      <c r="E3259" s="6"/>
      <c r="F3259" s="7"/>
      <c r="H3259" s="11"/>
      <c r="J3259" s="18"/>
      <c r="L3259" s="18"/>
      <c r="M3259" s="23"/>
    </row>
    <row r="3260">
      <c r="A3260" s="11"/>
      <c r="B3260" s="12"/>
      <c r="C3260" s="13"/>
      <c r="E3260" s="6"/>
      <c r="F3260" s="7"/>
      <c r="H3260" s="11"/>
      <c r="J3260" s="18"/>
      <c r="L3260" s="18"/>
      <c r="M3260" s="23"/>
    </row>
    <row r="3261">
      <c r="A3261" s="11"/>
      <c r="B3261" s="12"/>
      <c r="C3261" s="13"/>
      <c r="E3261" s="6"/>
      <c r="F3261" s="7"/>
      <c r="H3261" s="11"/>
      <c r="J3261" s="18"/>
      <c r="L3261" s="18"/>
      <c r="M3261" s="23"/>
    </row>
    <row r="3262">
      <c r="A3262" s="11"/>
      <c r="B3262" s="12"/>
      <c r="C3262" s="13"/>
      <c r="E3262" s="6"/>
      <c r="F3262" s="7"/>
      <c r="H3262" s="11"/>
      <c r="J3262" s="18"/>
      <c r="L3262" s="18"/>
      <c r="M3262" s="23"/>
    </row>
    <row r="3263">
      <c r="A3263" s="11"/>
      <c r="B3263" s="12"/>
      <c r="C3263" s="13"/>
      <c r="E3263" s="6"/>
      <c r="F3263" s="7"/>
      <c r="H3263" s="11"/>
      <c r="J3263" s="18"/>
      <c r="L3263" s="18"/>
      <c r="M3263" s="23"/>
    </row>
    <row r="3264">
      <c r="A3264" s="11"/>
      <c r="B3264" s="12"/>
      <c r="C3264" s="13"/>
      <c r="E3264" s="6"/>
      <c r="F3264" s="7"/>
      <c r="H3264" s="11"/>
      <c r="J3264" s="18"/>
      <c r="L3264" s="18"/>
      <c r="M3264" s="23"/>
    </row>
    <row r="3265">
      <c r="A3265" s="11"/>
      <c r="B3265" s="12"/>
      <c r="C3265" s="13"/>
      <c r="E3265" s="6"/>
      <c r="F3265" s="7"/>
      <c r="H3265" s="11"/>
      <c r="J3265" s="18"/>
      <c r="L3265" s="18"/>
      <c r="M3265" s="23"/>
    </row>
    <row r="3266">
      <c r="A3266" s="11"/>
      <c r="B3266" s="12"/>
      <c r="C3266" s="13"/>
      <c r="E3266" s="6"/>
      <c r="F3266" s="7"/>
      <c r="H3266" s="11"/>
      <c r="J3266" s="18"/>
      <c r="L3266" s="18"/>
      <c r="M3266" s="23"/>
    </row>
    <row r="3267">
      <c r="A3267" s="11"/>
      <c r="B3267" s="12"/>
      <c r="C3267" s="13"/>
      <c r="E3267" s="6"/>
      <c r="F3267" s="7"/>
      <c r="H3267" s="11"/>
      <c r="J3267" s="18"/>
      <c r="L3267" s="18"/>
      <c r="M3267" s="23"/>
    </row>
    <row r="3268">
      <c r="A3268" s="11"/>
      <c r="B3268" s="12"/>
      <c r="C3268" s="13"/>
      <c r="E3268" s="6"/>
      <c r="F3268" s="7"/>
      <c r="H3268" s="11"/>
      <c r="J3268" s="18"/>
      <c r="L3268" s="18"/>
      <c r="M3268" s="23"/>
    </row>
    <row r="3269">
      <c r="A3269" s="11"/>
      <c r="B3269" s="12"/>
      <c r="C3269" s="13"/>
      <c r="E3269" s="6"/>
      <c r="F3269" s="7"/>
      <c r="H3269" s="11"/>
      <c r="J3269" s="18"/>
      <c r="L3269" s="18"/>
      <c r="M3269" s="23"/>
    </row>
    <row r="3270">
      <c r="A3270" s="11"/>
      <c r="B3270" s="12"/>
      <c r="C3270" s="13"/>
      <c r="E3270" s="6"/>
      <c r="F3270" s="7"/>
      <c r="H3270" s="11"/>
      <c r="J3270" s="18"/>
      <c r="L3270" s="18"/>
      <c r="M3270" s="23"/>
    </row>
    <row r="3271">
      <c r="A3271" s="11"/>
      <c r="B3271" s="12"/>
      <c r="C3271" s="13"/>
      <c r="E3271" s="6"/>
      <c r="F3271" s="7"/>
      <c r="H3271" s="11"/>
      <c r="J3271" s="18"/>
      <c r="L3271" s="18"/>
      <c r="M3271" s="23"/>
    </row>
    <row r="3272">
      <c r="A3272" s="11"/>
      <c r="B3272" s="12"/>
      <c r="C3272" s="13"/>
      <c r="E3272" s="6"/>
      <c r="F3272" s="7"/>
      <c r="H3272" s="11"/>
      <c r="J3272" s="18"/>
      <c r="L3272" s="18"/>
      <c r="M3272" s="23"/>
    </row>
    <row r="3273">
      <c r="A3273" s="11"/>
      <c r="B3273" s="12"/>
      <c r="C3273" s="13"/>
      <c r="E3273" s="6"/>
      <c r="F3273" s="7"/>
      <c r="H3273" s="11"/>
      <c r="J3273" s="18"/>
      <c r="L3273" s="18"/>
      <c r="M3273" s="23"/>
    </row>
    <row r="3274">
      <c r="A3274" s="11"/>
      <c r="B3274" s="12"/>
      <c r="C3274" s="13"/>
      <c r="E3274" s="6"/>
      <c r="F3274" s="7"/>
      <c r="H3274" s="11"/>
      <c r="J3274" s="18"/>
      <c r="L3274" s="18"/>
      <c r="M3274" s="23"/>
    </row>
    <row r="3275">
      <c r="A3275" s="11"/>
      <c r="B3275" s="12"/>
      <c r="C3275" s="13"/>
      <c r="E3275" s="6"/>
      <c r="F3275" s="7"/>
      <c r="H3275" s="11"/>
      <c r="J3275" s="18"/>
      <c r="L3275" s="18"/>
      <c r="M3275" s="23"/>
    </row>
    <row r="3276">
      <c r="A3276" s="11"/>
      <c r="B3276" s="12"/>
      <c r="C3276" s="13"/>
      <c r="E3276" s="6"/>
      <c r="F3276" s="7"/>
      <c r="H3276" s="11"/>
      <c r="J3276" s="18"/>
      <c r="L3276" s="18"/>
      <c r="M3276" s="23"/>
    </row>
    <row r="3277">
      <c r="A3277" s="11"/>
      <c r="B3277" s="12"/>
      <c r="C3277" s="13"/>
      <c r="E3277" s="6"/>
      <c r="F3277" s="7"/>
      <c r="H3277" s="11"/>
      <c r="J3277" s="18"/>
      <c r="L3277" s="18"/>
      <c r="M3277" s="23"/>
    </row>
    <row r="3278">
      <c r="A3278" s="11"/>
      <c r="B3278" s="12"/>
      <c r="C3278" s="13"/>
      <c r="E3278" s="6"/>
      <c r="F3278" s="7"/>
      <c r="H3278" s="11"/>
      <c r="J3278" s="18"/>
      <c r="L3278" s="18"/>
      <c r="M3278" s="23"/>
    </row>
    <row r="3279">
      <c r="A3279" s="11"/>
      <c r="B3279" s="12"/>
      <c r="C3279" s="13"/>
      <c r="E3279" s="6"/>
      <c r="F3279" s="7"/>
      <c r="H3279" s="11"/>
      <c r="J3279" s="18"/>
      <c r="L3279" s="18"/>
      <c r="M3279" s="23"/>
    </row>
    <row r="3280">
      <c r="A3280" s="11"/>
      <c r="B3280" s="12"/>
      <c r="C3280" s="13"/>
      <c r="E3280" s="6"/>
      <c r="F3280" s="7"/>
      <c r="H3280" s="11"/>
      <c r="J3280" s="18"/>
      <c r="L3280" s="18"/>
      <c r="M3280" s="23"/>
    </row>
    <row r="3281">
      <c r="A3281" s="11"/>
      <c r="B3281" s="12"/>
      <c r="C3281" s="13"/>
      <c r="E3281" s="6"/>
      <c r="F3281" s="7"/>
      <c r="H3281" s="11"/>
      <c r="J3281" s="18"/>
      <c r="L3281" s="18"/>
      <c r="M3281" s="23"/>
    </row>
    <row r="3282">
      <c r="A3282" s="11"/>
      <c r="B3282" s="12"/>
      <c r="C3282" s="13"/>
      <c r="E3282" s="6"/>
      <c r="F3282" s="7"/>
      <c r="H3282" s="11"/>
      <c r="J3282" s="18"/>
      <c r="L3282" s="18"/>
      <c r="M3282" s="23"/>
    </row>
    <row r="3283">
      <c r="A3283" s="11"/>
      <c r="B3283" s="12"/>
      <c r="C3283" s="13"/>
      <c r="E3283" s="6"/>
      <c r="F3283" s="7"/>
      <c r="H3283" s="11"/>
      <c r="J3283" s="18"/>
      <c r="L3283" s="18"/>
      <c r="M3283" s="23"/>
    </row>
    <row r="3284">
      <c r="A3284" s="11"/>
      <c r="B3284" s="12"/>
      <c r="C3284" s="13"/>
      <c r="E3284" s="6"/>
      <c r="F3284" s="7"/>
      <c r="H3284" s="11"/>
      <c r="J3284" s="18"/>
      <c r="L3284" s="18"/>
      <c r="M3284" s="23"/>
    </row>
    <row r="3285">
      <c r="A3285" s="11"/>
      <c r="B3285" s="12"/>
      <c r="C3285" s="13"/>
      <c r="E3285" s="6"/>
      <c r="F3285" s="7"/>
      <c r="H3285" s="11"/>
      <c r="J3285" s="18"/>
      <c r="L3285" s="18"/>
      <c r="M3285" s="23"/>
    </row>
    <row r="3286">
      <c r="A3286" s="11"/>
      <c r="B3286" s="12"/>
      <c r="C3286" s="13"/>
      <c r="E3286" s="6"/>
      <c r="F3286" s="7"/>
      <c r="H3286" s="11"/>
      <c r="J3286" s="18"/>
      <c r="L3286" s="18"/>
      <c r="M3286" s="23"/>
    </row>
    <row r="3287">
      <c r="A3287" s="11"/>
      <c r="B3287" s="12"/>
      <c r="C3287" s="13"/>
      <c r="E3287" s="6"/>
      <c r="F3287" s="7"/>
      <c r="H3287" s="11"/>
      <c r="J3287" s="18"/>
      <c r="L3287" s="18"/>
      <c r="M3287" s="23"/>
    </row>
    <row r="3288">
      <c r="A3288" s="11"/>
      <c r="B3288" s="12"/>
      <c r="C3288" s="13"/>
      <c r="E3288" s="6"/>
      <c r="F3288" s="7"/>
      <c r="H3288" s="11"/>
      <c r="J3288" s="18"/>
      <c r="L3288" s="18"/>
      <c r="M3288" s="23"/>
    </row>
    <row r="3289">
      <c r="A3289" s="11"/>
      <c r="B3289" s="12"/>
      <c r="C3289" s="13"/>
      <c r="E3289" s="6"/>
      <c r="F3289" s="7"/>
      <c r="H3289" s="11"/>
      <c r="J3289" s="18"/>
      <c r="L3289" s="18"/>
      <c r="M3289" s="23"/>
    </row>
    <row r="3290">
      <c r="A3290" s="11"/>
      <c r="B3290" s="12"/>
      <c r="C3290" s="13"/>
      <c r="E3290" s="6"/>
      <c r="F3290" s="7"/>
      <c r="H3290" s="11"/>
      <c r="J3290" s="18"/>
      <c r="L3290" s="18"/>
      <c r="M3290" s="23"/>
    </row>
    <row r="3291">
      <c r="A3291" s="11"/>
      <c r="B3291" s="12"/>
      <c r="C3291" s="13"/>
      <c r="E3291" s="6"/>
      <c r="F3291" s="7"/>
      <c r="H3291" s="11"/>
      <c r="J3291" s="18"/>
      <c r="L3291" s="18"/>
      <c r="M3291" s="23"/>
    </row>
    <row r="3292">
      <c r="A3292" s="11"/>
      <c r="B3292" s="12"/>
      <c r="C3292" s="13"/>
      <c r="E3292" s="6"/>
      <c r="F3292" s="7"/>
      <c r="H3292" s="11"/>
      <c r="J3292" s="18"/>
      <c r="L3292" s="18"/>
      <c r="M3292" s="23"/>
    </row>
    <row r="3293">
      <c r="A3293" s="11"/>
      <c r="B3293" s="12"/>
      <c r="C3293" s="13"/>
      <c r="E3293" s="6"/>
      <c r="F3293" s="7"/>
      <c r="H3293" s="11"/>
      <c r="J3293" s="18"/>
      <c r="L3293" s="18"/>
      <c r="M3293" s="23"/>
    </row>
    <row r="3294">
      <c r="A3294" s="11"/>
      <c r="B3294" s="12"/>
      <c r="C3294" s="13"/>
      <c r="E3294" s="6"/>
      <c r="F3294" s="7"/>
      <c r="H3294" s="11"/>
      <c r="J3294" s="18"/>
      <c r="L3294" s="18"/>
      <c r="M3294" s="23"/>
    </row>
    <row r="3295">
      <c r="A3295" s="11"/>
      <c r="B3295" s="12"/>
      <c r="C3295" s="13"/>
      <c r="E3295" s="6"/>
      <c r="F3295" s="7"/>
      <c r="H3295" s="11"/>
      <c r="J3295" s="18"/>
      <c r="L3295" s="18"/>
      <c r="M3295" s="23"/>
    </row>
    <row r="3296">
      <c r="A3296" s="11"/>
      <c r="B3296" s="12"/>
      <c r="C3296" s="13"/>
      <c r="E3296" s="6"/>
      <c r="F3296" s="7"/>
      <c r="H3296" s="11"/>
      <c r="J3296" s="18"/>
      <c r="L3296" s="18"/>
      <c r="M3296" s="23"/>
    </row>
    <row r="3297">
      <c r="A3297" s="11"/>
      <c r="B3297" s="12"/>
      <c r="C3297" s="13"/>
      <c r="E3297" s="6"/>
      <c r="F3297" s="7"/>
      <c r="H3297" s="11"/>
      <c r="J3297" s="18"/>
      <c r="L3297" s="18"/>
      <c r="M3297" s="23"/>
    </row>
    <row r="3298">
      <c r="A3298" s="11"/>
      <c r="B3298" s="12"/>
      <c r="C3298" s="13"/>
      <c r="E3298" s="6"/>
      <c r="F3298" s="7"/>
      <c r="H3298" s="11"/>
      <c r="J3298" s="18"/>
      <c r="L3298" s="18"/>
      <c r="M3298" s="23"/>
    </row>
    <row r="3299">
      <c r="A3299" s="11"/>
      <c r="B3299" s="12"/>
      <c r="C3299" s="13"/>
      <c r="E3299" s="6"/>
      <c r="F3299" s="7"/>
      <c r="H3299" s="11"/>
      <c r="J3299" s="18"/>
      <c r="L3299" s="18"/>
      <c r="M3299" s="23"/>
    </row>
    <row r="3300">
      <c r="A3300" s="11"/>
      <c r="B3300" s="12"/>
      <c r="C3300" s="13"/>
      <c r="E3300" s="6"/>
      <c r="F3300" s="7"/>
      <c r="H3300" s="11"/>
      <c r="J3300" s="18"/>
      <c r="L3300" s="18"/>
      <c r="M3300" s="23"/>
    </row>
    <row r="3301">
      <c r="A3301" s="11"/>
      <c r="B3301" s="12"/>
      <c r="C3301" s="13"/>
      <c r="E3301" s="6"/>
      <c r="F3301" s="7"/>
      <c r="H3301" s="11"/>
      <c r="J3301" s="18"/>
      <c r="L3301" s="18"/>
      <c r="M3301" s="23"/>
    </row>
    <row r="3302">
      <c r="A3302" s="11"/>
      <c r="B3302" s="12"/>
      <c r="C3302" s="13"/>
      <c r="E3302" s="6"/>
      <c r="F3302" s="7"/>
      <c r="H3302" s="11"/>
      <c r="J3302" s="18"/>
      <c r="L3302" s="18"/>
      <c r="M3302" s="23"/>
    </row>
    <row r="3303">
      <c r="A3303" s="11"/>
      <c r="B3303" s="12"/>
      <c r="C3303" s="13"/>
      <c r="E3303" s="6"/>
      <c r="F3303" s="7"/>
      <c r="H3303" s="11"/>
      <c r="J3303" s="18"/>
      <c r="L3303" s="18"/>
      <c r="M3303" s="23"/>
    </row>
    <row r="3304">
      <c r="A3304" s="11"/>
      <c r="B3304" s="12"/>
      <c r="C3304" s="13"/>
      <c r="E3304" s="6"/>
      <c r="F3304" s="7"/>
      <c r="H3304" s="11"/>
      <c r="J3304" s="18"/>
      <c r="L3304" s="18"/>
      <c r="M3304" s="23"/>
    </row>
    <row r="3305">
      <c r="A3305" s="11"/>
      <c r="B3305" s="12"/>
      <c r="C3305" s="13"/>
      <c r="E3305" s="6"/>
      <c r="F3305" s="7"/>
      <c r="H3305" s="11"/>
      <c r="J3305" s="18"/>
      <c r="L3305" s="18"/>
      <c r="M3305" s="23"/>
    </row>
    <row r="3306">
      <c r="A3306" s="11"/>
      <c r="B3306" s="12"/>
      <c r="C3306" s="13"/>
      <c r="E3306" s="6"/>
      <c r="F3306" s="7"/>
      <c r="H3306" s="11"/>
      <c r="J3306" s="18"/>
      <c r="L3306" s="18"/>
      <c r="M3306" s="23"/>
    </row>
    <row r="3307">
      <c r="A3307" s="11"/>
      <c r="B3307" s="12"/>
      <c r="C3307" s="13"/>
      <c r="E3307" s="6"/>
      <c r="F3307" s="7"/>
      <c r="H3307" s="11"/>
      <c r="J3307" s="18"/>
      <c r="L3307" s="18"/>
      <c r="M3307" s="23"/>
    </row>
    <row r="3308">
      <c r="A3308" s="11"/>
      <c r="B3308" s="12"/>
      <c r="C3308" s="13"/>
      <c r="E3308" s="6"/>
      <c r="F3308" s="7"/>
      <c r="H3308" s="11"/>
      <c r="J3308" s="18"/>
      <c r="L3308" s="18"/>
      <c r="M3308" s="23"/>
    </row>
    <row r="3309">
      <c r="A3309" s="11"/>
      <c r="B3309" s="12"/>
      <c r="C3309" s="13"/>
      <c r="E3309" s="6"/>
      <c r="F3309" s="7"/>
      <c r="H3309" s="11"/>
      <c r="J3309" s="18"/>
      <c r="L3309" s="18"/>
      <c r="M3309" s="23"/>
    </row>
    <row r="3310">
      <c r="A3310" s="11"/>
      <c r="B3310" s="12"/>
      <c r="C3310" s="13"/>
      <c r="E3310" s="6"/>
      <c r="F3310" s="7"/>
      <c r="H3310" s="11"/>
      <c r="J3310" s="18"/>
      <c r="L3310" s="18"/>
      <c r="M3310" s="23"/>
    </row>
    <row r="3311">
      <c r="A3311" s="11"/>
      <c r="B3311" s="12"/>
      <c r="C3311" s="13"/>
      <c r="E3311" s="6"/>
      <c r="F3311" s="7"/>
      <c r="H3311" s="11"/>
      <c r="J3311" s="18"/>
      <c r="L3311" s="18"/>
      <c r="M3311" s="23"/>
    </row>
    <row r="3312">
      <c r="A3312" s="11"/>
      <c r="B3312" s="12"/>
      <c r="C3312" s="13"/>
      <c r="E3312" s="6"/>
      <c r="F3312" s="7"/>
      <c r="H3312" s="11"/>
      <c r="J3312" s="18"/>
      <c r="L3312" s="18"/>
      <c r="M3312" s="23"/>
    </row>
    <row r="3313">
      <c r="A3313" s="11"/>
      <c r="B3313" s="12"/>
      <c r="C3313" s="13"/>
      <c r="E3313" s="6"/>
      <c r="F3313" s="7"/>
      <c r="H3313" s="11"/>
      <c r="J3313" s="18"/>
      <c r="L3313" s="18"/>
      <c r="M3313" s="23"/>
    </row>
    <row r="3314">
      <c r="A3314" s="11"/>
      <c r="B3314" s="12"/>
      <c r="C3314" s="13"/>
      <c r="E3314" s="6"/>
      <c r="F3314" s="7"/>
      <c r="H3314" s="11"/>
      <c r="J3314" s="18"/>
      <c r="L3314" s="18"/>
      <c r="M3314" s="23"/>
    </row>
    <row r="3315">
      <c r="A3315" s="11"/>
      <c r="B3315" s="12"/>
      <c r="C3315" s="13"/>
      <c r="E3315" s="6"/>
      <c r="F3315" s="7"/>
      <c r="H3315" s="11"/>
      <c r="J3315" s="18"/>
      <c r="L3315" s="18"/>
      <c r="M3315" s="23"/>
    </row>
    <row r="3316">
      <c r="A3316" s="11"/>
      <c r="B3316" s="12"/>
      <c r="C3316" s="13"/>
      <c r="E3316" s="6"/>
      <c r="F3316" s="7"/>
      <c r="H3316" s="11"/>
      <c r="J3316" s="18"/>
      <c r="L3316" s="18"/>
      <c r="M3316" s="23"/>
    </row>
    <row r="3317">
      <c r="A3317" s="11"/>
      <c r="B3317" s="12"/>
      <c r="C3317" s="13"/>
      <c r="E3317" s="6"/>
      <c r="F3317" s="7"/>
      <c r="H3317" s="11"/>
      <c r="J3317" s="18"/>
      <c r="L3317" s="18"/>
      <c r="M3317" s="23"/>
    </row>
    <row r="3318">
      <c r="A3318" s="11"/>
      <c r="B3318" s="12"/>
      <c r="C3318" s="13"/>
      <c r="E3318" s="6"/>
      <c r="F3318" s="7"/>
      <c r="H3318" s="11"/>
      <c r="J3318" s="18"/>
      <c r="L3318" s="18"/>
      <c r="M3318" s="23"/>
    </row>
    <row r="3319">
      <c r="A3319" s="11"/>
      <c r="B3319" s="12"/>
      <c r="C3319" s="13"/>
      <c r="E3319" s="6"/>
      <c r="F3319" s="7"/>
      <c r="H3319" s="11"/>
      <c r="J3319" s="18"/>
      <c r="L3319" s="18"/>
      <c r="M3319" s="23"/>
    </row>
    <row r="3320">
      <c r="A3320" s="11"/>
      <c r="B3320" s="12"/>
      <c r="C3320" s="13"/>
      <c r="E3320" s="6"/>
      <c r="F3320" s="7"/>
      <c r="H3320" s="11"/>
      <c r="J3320" s="18"/>
      <c r="L3320" s="18"/>
      <c r="M3320" s="23"/>
    </row>
    <row r="3321">
      <c r="A3321" s="11"/>
      <c r="B3321" s="12"/>
      <c r="C3321" s="13"/>
      <c r="E3321" s="6"/>
      <c r="F3321" s="7"/>
      <c r="H3321" s="11"/>
      <c r="J3321" s="18"/>
      <c r="L3321" s="18"/>
      <c r="M3321" s="23"/>
    </row>
    <row r="3322">
      <c r="A3322" s="11"/>
      <c r="B3322" s="12"/>
      <c r="C3322" s="13"/>
      <c r="E3322" s="6"/>
      <c r="F3322" s="7"/>
      <c r="H3322" s="11"/>
      <c r="J3322" s="18"/>
      <c r="L3322" s="18"/>
      <c r="M3322" s="23"/>
    </row>
    <row r="3323">
      <c r="A3323" s="11"/>
      <c r="B3323" s="12"/>
      <c r="C3323" s="13"/>
      <c r="E3323" s="6"/>
      <c r="F3323" s="7"/>
      <c r="H3323" s="11"/>
      <c r="J3323" s="18"/>
      <c r="L3323" s="18"/>
      <c r="M3323" s="23"/>
    </row>
    <row r="3324">
      <c r="A3324" s="11"/>
      <c r="B3324" s="12"/>
      <c r="C3324" s="13"/>
      <c r="E3324" s="6"/>
      <c r="F3324" s="7"/>
      <c r="H3324" s="11"/>
      <c r="J3324" s="18"/>
      <c r="L3324" s="18"/>
      <c r="M3324" s="23"/>
    </row>
    <row r="3325">
      <c r="A3325" s="11"/>
      <c r="B3325" s="12"/>
      <c r="C3325" s="13"/>
      <c r="E3325" s="6"/>
      <c r="F3325" s="7"/>
      <c r="H3325" s="11"/>
      <c r="J3325" s="18"/>
      <c r="L3325" s="18"/>
      <c r="M3325" s="23"/>
    </row>
    <row r="3326">
      <c r="A3326" s="11"/>
      <c r="B3326" s="12"/>
      <c r="C3326" s="13"/>
      <c r="E3326" s="6"/>
      <c r="F3326" s="7"/>
      <c r="H3326" s="11"/>
      <c r="J3326" s="18"/>
      <c r="L3326" s="18"/>
      <c r="M3326" s="23"/>
    </row>
    <row r="3327">
      <c r="A3327" s="11"/>
      <c r="B3327" s="12"/>
      <c r="C3327" s="13"/>
      <c r="E3327" s="6"/>
      <c r="F3327" s="7"/>
      <c r="H3327" s="11"/>
      <c r="J3327" s="18"/>
      <c r="L3327" s="18"/>
      <c r="M3327" s="23"/>
    </row>
    <row r="3328">
      <c r="A3328" s="11"/>
      <c r="B3328" s="12"/>
      <c r="C3328" s="13"/>
      <c r="E3328" s="6"/>
      <c r="F3328" s="7"/>
      <c r="H3328" s="11"/>
      <c r="J3328" s="18"/>
      <c r="L3328" s="18"/>
      <c r="M3328" s="23"/>
    </row>
    <row r="3329">
      <c r="A3329" s="11"/>
      <c r="B3329" s="12"/>
      <c r="C3329" s="13"/>
      <c r="E3329" s="6"/>
      <c r="F3329" s="7"/>
      <c r="H3329" s="11"/>
      <c r="J3329" s="18"/>
      <c r="L3329" s="18"/>
      <c r="M3329" s="23"/>
    </row>
    <row r="3330">
      <c r="A3330" s="11"/>
      <c r="B3330" s="12"/>
      <c r="C3330" s="13"/>
      <c r="E3330" s="6"/>
      <c r="F3330" s="7"/>
      <c r="H3330" s="11"/>
      <c r="J3330" s="18"/>
      <c r="L3330" s="18"/>
      <c r="M3330" s="23"/>
    </row>
    <row r="3331">
      <c r="A3331" s="11"/>
      <c r="B3331" s="12"/>
      <c r="C3331" s="13"/>
      <c r="E3331" s="6"/>
      <c r="F3331" s="7"/>
      <c r="H3331" s="11"/>
      <c r="J3331" s="18"/>
      <c r="L3331" s="18"/>
      <c r="M3331" s="23"/>
    </row>
    <row r="3332">
      <c r="A3332" s="11"/>
      <c r="B3332" s="12"/>
      <c r="C3332" s="13"/>
      <c r="E3332" s="6"/>
      <c r="F3332" s="7"/>
      <c r="H3332" s="11"/>
      <c r="J3332" s="18"/>
      <c r="L3332" s="18"/>
      <c r="M3332" s="23"/>
    </row>
    <row r="3333">
      <c r="A3333" s="11"/>
      <c r="B3333" s="12"/>
      <c r="C3333" s="13"/>
      <c r="E3333" s="6"/>
      <c r="F3333" s="7"/>
      <c r="H3333" s="11"/>
      <c r="J3333" s="18"/>
      <c r="L3333" s="18"/>
      <c r="M3333" s="23"/>
    </row>
    <row r="3334">
      <c r="A3334" s="11"/>
      <c r="B3334" s="12"/>
      <c r="C3334" s="13"/>
      <c r="E3334" s="6"/>
      <c r="F3334" s="7"/>
      <c r="H3334" s="11"/>
      <c r="J3334" s="18"/>
      <c r="L3334" s="18"/>
      <c r="M3334" s="23"/>
    </row>
    <row r="3335">
      <c r="A3335" s="11"/>
      <c r="B3335" s="12"/>
      <c r="C3335" s="13"/>
      <c r="E3335" s="6"/>
      <c r="F3335" s="7"/>
      <c r="H3335" s="11"/>
      <c r="J3335" s="18"/>
      <c r="L3335" s="18"/>
      <c r="M3335" s="23"/>
    </row>
    <row r="3336">
      <c r="A3336" s="11"/>
      <c r="B3336" s="12"/>
      <c r="C3336" s="13"/>
      <c r="E3336" s="6"/>
      <c r="F3336" s="7"/>
      <c r="H3336" s="11"/>
      <c r="J3336" s="18"/>
      <c r="L3336" s="18"/>
      <c r="M3336" s="23"/>
    </row>
    <row r="3337">
      <c r="A3337" s="11"/>
      <c r="B3337" s="12"/>
      <c r="C3337" s="13"/>
      <c r="E3337" s="6"/>
      <c r="F3337" s="7"/>
      <c r="H3337" s="11"/>
      <c r="J3337" s="18"/>
      <c r="L3337" s="18"/>
      <c r="M3337" s="23"/>
    </row>
    <row r="3338">
      <c r="A3338" s="11"/>
      <c r="B3338" s="12"/>
      <c r="C3338" s="13"/>
      <c r="E3338" s="6"/>
      <c r="F3338" s="7"/>
      <c r="H3338" s="11"/>
      <c r="J3338" s="18"/>
      <c r="L3338" s="18"/>
      <c r="M3338" s="23"/>
    </row>
    <row r="3339">
      <c r="A3339" s="11"/>
      <c r="B3339" s="12"/>
      <c r="C3339" s="13"/>
      <c r="E3339" s="6"/>
      <c r="F3339" s="7"/>
      <c r="H3339" s="11"/>
      <c r="J3339" s="18"/>
      <c r="L3339" s="18"/>
      <c r="M3339" s="23"/>
    </row>
    <row r="3340">
      <c r="A3340" s="11"/>
      <c r="B3340" s="12"/>
      <c r="C3340" s="13"/>
      <c r="E3340" s="6"/>
      <c r="F3340" s="7"/>
      <c r="H3340" s="11"/>
      <c r="J3340" s="18"/>
      <c r="L3340" s="18"/>
      <c r="M3340" s="23"/>
    </row>
    <row r="3341">
      <c r="A3341" s="11"/>
      <c r="B3341" s="12"/>
      <c r="C3341" s="13"/>
      <c r="E3341" s="6"/>
      <c r="F3341" s="7"/>
      <c r="H3341" s="11"/>
      <c r="J3341" s="18"/>
      <c r="L3341" s="18"/>
      <c r="M3341" s="23"/>
    </row>
    <row r="3342">
      <c r="A3342" s="11"/>
      <c r="B3342" s="12"/>
      <c r="C3342" s="13"/>
      <c r="E3342" s="6"/>
      <c r="F3342" s="7"/>
      <c r="H3342" s="11"/>
      <c r="J3342" s="18"/>
      <c r="L3342" s="18"/>
      <c r="M3342" s="23"/>
    </row>
    <row r="3343">
      <c r="A3343" s="11"/>
      <c r="B3343" s="12"/>
      <c r="C3343" s="13"/>
      <c r="E3343" s="6"/>
      <c r="F3343" s="7"/>
      <c r="H3343" s="11"/>
      <c r="J3343" s="18"/>
      <c r="L3343" s="18"/>
      <c r="M3343" s="23"/>
    </row>
    <row r="3344">
      <c r="A3344" s="11"/>
      <c r="B3344" s="12"/>
      <c r="C3344" s="13"/>
      <c r="E3344" s="6"/>
      <c r="F3344" s="7"/>
      <c r="H3344" s="11"/>
      <c r="J3344" s="18"/>
      <c r="L3344" s="18"/>
      <c r="M3344" s="23"/>
    </row>
    <row r="3345">
      <c r="A3345" s="11"/>
      <c r="B3345" s="12"/>
      <c r="C3345" s="13"/>
      <c r="E3345" s="6"/>
      <c r="F3345" s="7"/>
      <c r="H3345" s="11"/>
      <c r="J3345" s="18"/>
      <c r="L3345" s="18"/>
      <c r="M3345" s="23"/>
    </row>
    <row r="3346">
      <c r="A3346" s="11"/>
      <c r="B3346" s="12"/>
      <c r="C3346" s="13"/>
      <c r="E3346" s="6"/>
      <c r="F3346" s="7"/>
      <c r="H3346" s="11"/>
      <c r="J3346" s="18"/>
      <c r="L3346" s="18"/>
      <c r="M3346" s="23"/>
    </row>
    <row r="3347">
      <c r="A3347" s="11"/>
      <c r="B3347" s="12"/>
      <c r="C3347" s="13"/>
      <c r="E3347" s="6"/>
      <c r="F3347" s="7"/>
      <c r="H3347" s="11"/>
      <c r="J3347" s="18"/>
      <c r="L3347" s="18"/>
      <c r="M3347" s="23"/>
    </row>
    <row r="3348">
      <c r="A3348" s="11"/>
      <c r="B3348" s="12"/>
      <c r="C3348" s="13"/>
      <c r="E3348" s="6"/>
      <c r="F3348" s="7"/>
      <c r="H3348" s="11"/>
      <c r="J3348" s="18"/>
      <c r="L3348" s="18"/>
      <c r="M3348" s="23"/>
    </row>
    <row r="3349">
      <c r="A3349" s="11"/>
      <c r="B3349" s="12"/>
      <c r="C3349" s="13"/>
      <c r="E3349" s="6"/>
      <c r="F3349" s="7"/>
      <c r="H3349" s="11"/>
      <c r="J3349" s="18"/>
      <c r="L3349" s="18"/>
      <c r="M3349" s="23"/>
    </row>
    <row r="3350">
      <c r="A3350" s="11"/>
      <c r="B3350" s="12"/>
      <c r="C3350" s="13"/>
      <c r="E3350" s="6"/>
      <c r="F3350" s="7"/>
      <c r="H3350" s="11"/>
      <c r="J3350" s="18"/>
      <c r="L3350" s="18"/>
      <c r="M3350" s="23"/>
    </row>
    <row r="3351">
      <c r="A3351" s="11"/>
      <c r="B3351" s="12"/>
      <c r="C3351" s="13"/>
      <c r="E3351" s="6"/>
      <c r="F3351" s="7"/>
      <c r="H3351" s="11"/>
      <c r="J3351" s="18"/>
      <c r="L3351" s="18"/>
      <c r="M3351" s="23"/>
    </row>
    <row r="3352">
      <c r="A3352" s="11"/>
      <c r="B3352" s="12"/>
      <c r="C3352" s="13"/>
      <c r="E3352" s="6"/>
      <c r="F3352" s="7"/>
      <c r="H3352" s="11"/>
      <c r="J3352" s="18"/>
      <c r="L3352" s="18"/>
      <c r="M3352" s="23"/>
    </row>
    <row r="3353">
      <c r="A3353" s="11"/>
      <c r="B3353" s="12"/>
      <c r="C3353" s="13"/>
      <c r="E3353" s="6"/>
      <c r="F3353" s="7"/>
      <c r="H3353" s="11"/>
      <c r="J3353" s="18"/>
      <c r="L3353" s="18"/>
      <c r="M3353" s="23"/>
    </row>
    <row r="3354">
      <c r="A3354" s="11"/>
      <c r="B3354" s="12"/>
      <c r="C3354" s="13"/>
      <c r="E3354" s="6"/>
      <c r="F3354" s="7"/>
      <c r="H3354" s="11"/>
      <c r="J3354" s="18"/>
      <c r="L3354" s="18"/>
      <c r="M3354" s="23"/>
    </row>
    <row r="3355">
      <c r="A3355" s="11"/>
      <c r="B3355" s="12"/>
      <c r="C3355" s="13"/>
      <c r="E3355" s="6"/>
      <c r="F3355" s="7"/>
      <c r="H3355" s="11"/>
      <c r="J3355" s="18"/>
      <c r="L3355" s="18"/>
      <c r="M3355" s="23"/>
    </row>
    <row r="3356">
      <c r="A3356" s="11"/>
      <c r="B3356" s="12"/>
      <c r="C3356" s="13"/>
      <c r="E3356" s="6"/>
      <c r="F3356" s="7"/>
      <c r="H3356" s="11"/>
      <c r="J3356" s="18"/>
      <c r="L3356" s="18"/>
      <c r="M3356" s="23"/>
    </row>
    <row r="3357">
      <c r="A3357" s="11"/>
      <c r="B3357" s="12"/>
      <c r="C3357" s="13"/>
      <c r="E3357" s="6"/>
      <c r="F3357" s="7"/>
      <c r="H3357" s="11"/>
      <c r="J3357" s="18"/>
      <c r="L3357" s="18"/>
      <c r="M3357" s="23"/>
    </row>
    <row r="3358">
      <c r="A3358" s="11"/>
      <c r="B3358" s="12"/>
      <c r="C3358" s="13"/>
      <c r="E3358" s="6"/>
      <c r="F3358" s="7"/>
      <c r="H3358" s="11"/>
      <c r="J3358" s="18"/>
      <c r="L3358" s="18"/>
      <c r="M3358" s="23"/>
    </row>
    <row r="3359">
      <c r="A3359" s="11"/>
      <c r="B3359" s="12"/>
      <c r="C3359" s="13"/>
      <c r="E3359" s="6"/>
      <c r="F3359" s="7"/>
      <c r="H3359" s="11"/>
      <c r="J3359" s="18"/>
      <c r="L3359" s="18"/>
      <c r="M3359" s="23"/>
    </row>
    <row r="3360">
      <c r="A3360" s="11"/>
      <c r="B3360" s="12"/>
      <c r="C3360" s="13"/>
      <c r="E3360" s="6"/>
      <c r="F3360" s="7"/>
      <c r="H3360" s="11"/>
      <c r="J3360" s="18"/>
      <c r="L3360" s="18"/>
      <c r="M3360" s="23"/>
    </row>
    <row r="3361">
      <c r="A3361" s="11"/>
      <c r="B3361" s="12"/>
      <c r="C3361" s="13"/>
      <c r="E3361" s="6"/>
      <c r="F3361" s="7"/>
      <c r="H3361" s="11"/>
      <c r="J3361" s="18"/>
      <c r="L3361" s="18"/>
      <c r="M3361" s="23"/>
    </row>
    <row r="3362">
      <c r="A3362" s="11"/>
      <c r="B3362" s="12"/>
      <c r="C3362" s="13"/>
      <c r="E3362" s="6"/>
      <c r="F3362" s="7"/>
      <c r="H3362" s="11"/>
      <c r="J3362" s="18"/>
      <c r="L3362" s="18"/>
      <c r="M3362" s="23"/>
    </row>
    <row r="3363">
      <c r="A3363" s="11"/>
      <c r="B3363" s="12"/>
      <c r="C3363" s="13"/>
      <c r="E3363" s="6"/>
      <c r="F3363" s="7"/>
      <c r="H3363" s="11"/>
      <c r="J3363" s="18"/>
      <c r="L3363" s="18"/>
      <c r="M3363" s="23"/>
    </row>
    <row r="3364">
      <c r="A3364" s="11"/>
      <c r="B3364" s="12"/>
      <c r="C3364" s="13"/>
      <c r="E3364" s="6"/>
      <c r="F3364" s="7"/>
      <c r="H3364" s="11"/>
      <c r="J3364" s="18"/>
      <c r="L3364" s="18"/>
      <c r="M3364" s="23"/>
    </row>
    <row r="3365">
      <c r="A3365" s="11"/>
      <c r="B3365" s="12"/>
      <c r="C3365" s="13"/>
      <c r="E3365" s="6"/>
      <c r="F3365" s="7"/>
      <c r="H3365" s="11"/>
      <c r="J3365" s="18"/>
      <c r="L3365" s="18"/>
      <c r="M3365" s="23"/>
    </row>
    <row r="3366">
      <c r="A3366" s="11"/>
      <c r="B3366" s="12"/>
      <c r="C3366" s="13"/>
      <c r="E3366" s="6"/>
      <c r="F3366" s="7"/>
      <c r="H3366" s="11"/>
      <c r="J3366" s="18"/>
      <c r="L3366" s="18"/>
      <c r="M3366" s="23"/>
    </row>
    <row r="3367">
      <c r="A3367" s="11"/>
      <c r="B3367" s="12"/>
      <c r="C3367" s="13"/>
      <c r="E3367" s="6"/>
      <c r="F3367" s="7"/>
      <c r="H3367" s="11"/>
      <c r="J3367" s="18"/>
      <c r="L3367" s="18"/>
      <c r="M3367" s="23"/>
    </row>
    <row r="3368">
      <c r="A3368" s="11"/>
      <c r="B3368" s="12"/>
      <c r="C3368" s="13"/>
      <c r="E3368" s="6"/>
      <c r="F3368" s="7"/>
      <c r="H3368" s="11"/>
      <c r="J3368" s="18"/>
      <c r="L3368" s="18"/>
      <c r="M3368" s="23"/>
    </row>
    <row r="3369">
      <c r="A3369" s="11"/>
      <c r="B3369" s="12"/>
      <c r="C3369" s="13"/>
      <c r="E3369" s="6"/>
      <c r="F3369" s="7"/>
      <c r="H3369" s="11"/>
      <c r="J3369" s="18"/>
      <c r="L3369" s="18"/>
      <c r="M3369" s="23"/>
    </row>
    <row r="3370">
      <c r="A3370" s="11"/>
      <c r="B3370" s="12"/>
      <c r="C3370" s="13"/>
      <c r="E3370" s="6"/>
      <c r="F3370" s="7"/>
      <c r="H3370" s="11"/>
      <c r="J3370" s="18"/>
      <c r="L3370" s="18"/>
      <c r="M3370" s="23"/>
    </row>
    <row r="3371">
      <c r="A3371" s="11"/>
      <c r="B3371" s="12"/>
      <c r="C3371" s="13"/>
      <c r="E3371" s="6"/>
      <c r="F3371" s="7"/>
      <c r="H3371" s="11"/>
      <c r="J3371" s="18"/>
      <c r="L3371" s="18"/>
      <c r="M3371" s="23"/>
    </row>
    <row r="3372">
      <c r="A3372" s="11"/>
      <c r="B3372" s="12"/>
      <c r="C3372" s="13"/>
      <c r="E3372" s="6"/>
      <c r="F3372" s="7"/>
      <c r="H3372" s="11"/>
      <c r="J3372" s="18"/>
      <c r="L3372" s="18"/>
      <c r="M3372" s="23"/>
    </row>
    <row r="3373">
      <c r="A3373" s="11"/>
      <c r="B3373" s="12"/>
      <c r="C3373" s="13"/>
      <c r="E3373" s="6"/>
      <c r="F3373" s="7"/>
      <c r="H3373" s="11"/>
      <c r="J3373" s="18"/>
      <c r="L3373" s="18"/>
      <c r="M3373" s="23"/>
    </row>
    <row r="3374">
      <c r="A3374" s="11"/>
      <c r="B3374" s="12"/>
      <c r="C3374" s="13"/>
      <c r="E3374" s="6"/>
      <c r="F3374" s="7"/>
      <c r="H3374" s="11"/>
      <c r="J3374" s="18"/>
      <c r="L3374" s="18"/>
      <c r="M3374" s="23"/>
    </row>
    <row r="3375">
      <c r="A3375" s="11"/>
      <c r="B3375" s="12"/>
      <c r="C3375" s="13"/>
      <c r="E3375" s="6"/>
      <c r="F3375" s="7"/>
      <c r="H3375" s="11"/>
      <c r="J3375" s="18"/>
      <c r="L3375" s="18"/>
      <c r="M3375" s="23"/>
    </row>
    <row r="3376">
      <c r="A3376" s="11"/>
      <c r="B3376" s="12"/>
      <c r="C3376" s="13"/>
      <c r="E3376" s="6"/>
      <c r="F3376" s="7"/>
      <c r="H3376" s="11"/>
      <c r="J3376" s="18"/>
      <c r="L3376" s="18"/>
      <c r="M3376" s="23"/>
    </row>
    <row r="3377">
      <c r="A3377" s="11"/>
      <c r="B3377" s="12"/>
      <c r="C3377" s="13"/>
      <c r="E3377" s="6"/>
      <c r="F3377" s="7"/>
      <c r="H3377" s="11"/>
      <c r="J3377" s="18"/>
      <c r="L3377" s="18"/>
      <c r="M3377" s="23"/>
    </row>
    <row r="3378">
      <c r="A3378" s="11"/>
      <c r="B3378" s="12"/>
      <c r="C3378" s="13"/>
      <c r="E3378" s="6"/>
      <c r="F3378" s="7"/>
      <c r="H3378" s="11"/>
      <c r="J3378" s="18"/>
      <c r="L3378" s="18"/>
      <c r="M3378" s="23"/>
    </row>
    <row r="3379">
      <c r="A3379" s="11"/>
      <c r="B3379" s="12"/>
      <c r="C3379" s="13"/>
      <c r="E3379" s="6"/>
      <c r="F3379" s="7"/>
      <c r="H3379" s="11"/>
      <c r="J3379" s="18"/>
      <c r="L3379" s="18"/>
      <c r="M3379" s="23"/>
    </row>
    <row r="3380">
      <c r="A3380" s="11"/>
      <c r="B3380" s="12"/>
      <c r="C3380" s="13"/>
      <c r="E3380" s="6"/>
      <c r="F3380" s="7"/>
      <c r="H3380" s="11"/>
      <c r="J3380" s="18"/>
      <c r="L3380" s="18"/>
      <c r="M3380" s="23"/>
    </row>
    <row r="3381">
      <c r="A3381" s="11"/>
      <c r="B3381" s="12"/>
      <c r="C3381" s="13"/>
      <c r="E3381" s="6"/>
      <c r="F3381" s="7"/>
      <c r="H3381" s="11"/>
      <c r="J3381" s="18"/>
      <c r="L3381" s="18"/>
      <c r="M3381" s="23"/>
    </row>
    <row r="3382">
      <c r="A3382" s="11"/>
      <c r="B3382" s="12"/>
      <c r="C3382" s="13"/>
      <c r="E3382" s="6"/>
      <c r="F3382" s="7"/>
      <c r="H3382" s="11"/>
      <c r="J3382" s="18"/>
      <c r="L3382" s="18"/>
      <c r="M3382" s="23"/>
    </row>
    <row r="3383">
      <c r="A3383" s="11"/>
      <c r="B3383" s="12"/>
      <c r="C3383" s="13"/>
      <c r="E3383" s="6"/>
      <c r="F3383" s="7"/>
      <c r="H3383" s="11"/>
      <c r="J3383" s="18"/>
      <c r="L3383" s="18"/>
      <c r="M3383" s="23"/>
    </row>
    <row r="3384">
      <c r="A3384" s="11"/>
      <c r="B3384" s="12"/>
      <c r="C3384" s="13"/>
      <c r="E3384" s="6"/>
      <c r="F3384" s="7"/>
      <c r="H3384" s="11"/>
      <c r="J3384" s="18"/>
      <c r="L3384" s="18"/>
      <c r="M3384" s="23"/>
    </row>
    <row r="3385">
      <c r="A3385" s="11"/>
      <c r="B3385" s="12"/>
      <c r="C3385" s="13"/>
      <c r="E3385" s="6"/>
      <c r="F3385" s="7"/>
      <c r="H3385" s="11"/>
      <c r="J3385" s="18"/>
      <c r="L3385" s="18"/>
      <c r="M3385" s="23"/>
    </row>
    <row r="3386">
      <c r="A3386" s="11"/>
      <c r="B3386" s="12"/>
      <c r="C3386" s="13"/>
      <c r="E3386" s="6"/>
      <c r="F3386" s="7"/>
      <c r="H3386" s="11"/>
      <c r="J3386" s="18"/>
      <c r="L3386" s="18"/>
      <c r="M3386" s="23"/>
    </row>
    <row r="3387">
      <c r="A3387" s="11"/>
      <c r="B3387" s="12"/>
      <c r="C3387" s="13"/>
      <c r="E3387" s="6"/>
      <c r="F3387" s="7"/>
      <c r="H3387" s="11"/>
      <c r="J3387" s="18"/>
      <c r="L3387" s="18"/>
      <c r="M3387" s="23"/>
    </row>
    <row r="3388">
      <c r="A3388" s="11"/>
      <c r="B3388" s="12"/>
      <c r="C3388" s="13"/>
      <c r="E3388" s="6"/>
      <c r="F3388" s="7"/>
      <c r="H3388" s="11"/>
      <c r="J3388" s="18"/>
      <c r="L3388" s="18"/>
      <c r="M3388" s="23"/>
    </row>
    <row r="3389">
      <c r="A3389" s="11"/>
      <c r="B3389" s="12"/>
      <c r="C3389" s="13"/>
      <c r="E3389" s="6"/>
      <c r="F3389" s="7"/>
      <c r="H3389" s="11"/>
      <c r="J3389" s="18"/>
      <c r="L3389" s="18"/>
      <c r="M3389" s="23"/>
    </row>
    <row r="3390">
      <c r="A3390" s="11"/>
      <c r="B3390" s="12"/>
      <c r="C3390" s="13"/>
      <c r="E3390" s="6"/>
      <c r="F3390" s="7"/>
      <c r="H3390" s="11"/>
      <c r="J3390" s="18"/>
      <c r="L3390" s="18"/>
      <c r="M3390" s="23"/>
    </row>
    <row r="3391">
      <c r="A3391" s="11"/>
      <c r="B3391" s="12"/>
      <c r="C3391" s="13"/>
      <c r="E3391" s="6"/>
      <c r="F3391" s="7"/>
      <c r="H3391" s="11"/>
      <c r="J3391" s="18"/>
      <c r="L3391" s="18"/>
      <c r="M3391" s="23"/>
    </row>
    <row r="3392">
      <c r="A3392" s="11"/>
      <c r="B3392" s="12"/>
      <c r="C3392" s="13"/>
      <c r="E3392" s="6"/>
      <c r="F3392" s="7"/>
      <c r="H3392" s="11"/>
      <c r="J3392" s="18"/>
      <c r="L3392" s="18"/>
      <c r="M3392" s="23"/>
    </row>
    <row r="3393">
      <c r="A3393" s="11"/>
      <c r="B3393" s="12"/>
      <c r="C3393" s="13"/>
      <c r="E3393" s="6"/>
      <c r="F3393" s="7"/>
      <c r="H3393" s="11"/>
      <c r="J3393" s="18"/>
      <c r="L3393" s="18"/>
      <c r="M3393" s="23"/>
    </row>
    <row r="3394">
      <c r="A3394" s="11"/>
      <c r="B3394" s="12"/>
      <c r="C3394" s="13"/>
      <c r="E3394" s="6"/>
      <c r="F3394" s="7"/>
      <c r="H3394" s="11"/>
      <c r="J3394" s="18"/>
      <c r="L3394" s="18"/>
      <c r="M3394" s="23"/>
    </row>
    <row r="3395">
      <c r="A3395" s="11"/>
      <c r="B3395" s="12"/>
      <c r="C3395" s="13"/>
      <c r="E3395" s="6"/>
      <c r="F3395" s="7"/>
      <c r="H3395" s="11"/>
      <c r="J3395" s="18"/>
      <c r="L3395" s="18"/>
      <c r="M3395" s="23"/>
    </row>
    <row r="3396">
      <c r="A3396" s="11"/>
      <c r="B3396" s="12"/>
      <c r="C3396" s="13"/>
      <c r="E3396" s="6"/>
      <c r="F3396" s="7"/>
      <c r="H3396" s="11"/>
      <c r="J3396" s="18"/>
      <c r="L3396" s="18"/>
      <c r="M3396" s="23"/>
    </row>
    <row r="3397">
      <c r="A3397" s="11"/>
      <c r="B3397" s="12"/>
      <c r="C3397" s="13"/>
      <c r="E3397" s="6"/>
      <c r="F3397" s="7"/>
      <c r="H3397" s="11"/>
      <c r="J3397" s="18"/>
      <c r="L3397" s="18"/>
      <c r="M3397" s="23"/>
    </row>
    <row r="3398">
      <c r="A3398" s="11"/>
      <c r="B3398" s="12"/>
      <c r="C3398" s="13"/>
      <c r="E3398" s="6"/>
      <c r="F3398" s="7"/>
      <c r="H3398" s="11"/>
      <c r="J3398" s="18"/>
      <c r="L3398" s="18"/>
      <c r="M3398" s="23"/>
    </row>
    <row r="3399">
      <c r="A3399" s="11"/>
      <c r="B3399" s="12"/>
      <c r="C3399" s="13"/>
      <c r="E3399" s="6"/>
      <c r="F3399" s="7"/>
      <c r="H3399" s="11"/>
      <c r="J3399" s="18"/>
      <c r="L3399" s="18"/>
      <c r="M3399" s="23"/>
    </row>
    <row r="3400">
      <c r="A3400" s="11"/>
      <c r="B3400" s="12"/>
      <c r="C3400" s="13"/>
      <c r="E3400" s="6"/>
      <c r="F3400" s="7"/>
      <c r="H3400" s="11"/>
      <c r="J3400" s="18"/>
      <c r="L3400" s="18"/>
      <c r="M3400" s="23"/>
    </row>
    <row r="3401">
      <c r="A3401" s="11"/>
      <c r="B3401" s="12"/>
      <c r="C3401" s="13"/>
      <c r="E3401" s="6"/>
      <c r="F3401" s="7"/>
      <c r="H3401" s="11"/>
      <c r="J3401" s="18"/>
      <c r="L3401" s="18"/>
      <c r="M3401" s="23"/>
    </row>
    <row r="3402">
      <c r="A3402" s="11"/>
      <c r="B3402" s="12"/>
      <c r="C3402" s="13"/>
      <c r="E3402" s="6"/>
      <c r="F3402" s="7"/>
      <c r="H3402" s="11"/>
      <c r="J3402" s="18"/>
      <c r="L3402" s="18"/>
      <c r="M3402" s="23"/>
    </row>
    <row r="3403">
      <c r="A3403" s="11"/>
      <c r="B3403" s="12"/>
      <c r="C3403" s="13"/>
      <c r="E3403" s="6"/>
      <c r="F3403" s="7"/>
      <c r="H3403" s="11"/>
      <c r="J3403" s="18"/>
      <c r="L3403" s="18"/>
      <c r="M3403" s="23"/>
    </row>
    <row r="3404">
      <c r="A3404" s="11"/>
      <c r="B3404" s="12"/>
      <c r="C3404" s="13"/>
      <c r="E3404" s="6"/>
      <c r="F3404" s="7"/>
      <c r="H3404" s="11"/>
      <c r="J3404" s="18"/>
      <c r="L3404" s="18"/>
      <c r="M3404" s="23"/>
    </row>
    <row r="3405">
      <c r="A3405" s="11"/>
      <c r="B3405" s="12"/>
      <c r="C3405" s="13"/>
      <c r="E3405" s="6"/>
      <c r="F3405" s="7"/>
      <c r="H3405" s="11"/>
      <c r="J3405" s="18"/>
      <c r="L3405" s="18"/>
      <c r="M3405" s="23"/>
    </row>
    <row r="3406">
      <c r="A3406" s="11"/>
      <c r="B3406" s="12"/>
      <c r="C3406" s="13"/>
      <c r="E3406" s="6"/>
      <c r="F3406" s="7"/>
      <c r="H3406" s="11"/>
      <c r="J3406" s="18"/>
      <c r="L3406" s="18"/>
      <c r="M3406" s="23"/>
    </row>
    <row r="3407">
      <c r="A3407" s="11"/>
      <c r="B3407" s="12"/>
      <c r="C3407" s="13"/>
      <c r="E3407" s="6"/>
      <c r="F3407" s="7"/>
      <c r="H3407" s="11"/>
      <c r="J3407" s="18"/>
      <c r="L3407" s="18"/>
      <c r="M3407" s="23"/>
    </row>
    <row r="3408">
      <c r="A3408" s="11"/>
      <c r="B3408" s="12"/>
      <c r="C3408" s="13"/>
      <c r="E3408" s="6"/>
      <c r="F3408" s="7"/>
      <c r="H3408" s="11"/>
      <c r="J3408" s="18"/>
      <c r="L3408" s="18"/>
      <c r="M3408" s="23"/>
    </row>
    <row r="3409">
      <c r="A3409" s="11"/>
      <c r="B3409" s="12"/>
      <c r="C3409" s="13"/>
      <c r="E3409" s="6"/>
      <c r="F3409" s="7"/>
      <c r="H3409" s="11"/>
      <c r="J3409" s="18"/>
      <c r="L3409" s="18"/>
      <c r="M3409" s="23"/>
    </row>
    <row r="3410">
      <c r="A3410" s="11"/>
      <c r="B3410" s="12"/>
      <c r="C3410" s="13"/>
      <c r="E3410" s="6"/>
      <c r="F3410" s="7"/>
      <c r="H3410" s="11"/>
      <c r="J3410" s="18"/>
      <c r="L3410" s="18"/>
      <c r="M3410" s="23"/>
    </row>
    <row r="3411">
      <c r="A3411" s="11"/>
      <c r="B3411" s="12"/>
      <c r="C3411" s="13"/>
      <c r="E3411" s="6"/>
      <c r="F3411" s="7"/>
      <c r="H3411" s="11"/>
      <c r="J3411" s="18"/>
      <c r="L3411" s="18"/>
      <c r="M3411" s="23"/>
    </row>
    <row r="3412">
      <c r="A3412" s="11"/>
      <c r="B3412" s="12"/>
      <c r="C3412" s="13"/>
      <c r="E3412" s="6"/>
      <c r="F3412" s="7"/>
      <c r="H3412" s="11"/>
      <c r="J3412" s="18"/>
      <c r="L3412" s="18"/>
      <c r="M3412" s="23"/>
    </row>
    <row r="3413">
      <c r="A3413" s="11"/>
      <c r="B3413" s="12"/>
      <c r="C3413" s="13"/>
      <c r="E3413" s="6"/>
      <c r="F3413" s="7"/>
      <c r="H3413" s="11"/>
      <c r="J3413" s="18"/>
      <c r="L3413" s="18"/>
      <c r="M3413" s="23"/>
    </row>
    <row r="3414">
      <c r="A3414" s="11"/>
      <c r="B3414" s="12"/>
      <c r="C3414" s="13"/>
      <c r="E3414" s="6"/>
      <c r="F3414" s="7"/>
      <c r="H3414" s="11"/>
      <c r="J3414" s="18"/>
      <c r="L3414" s="18"/>
      <c r="M3414" s="23"/>
    </row>
    <row r="3415">
      <c r="A3415" s="11"/>
      <c r="B3415" s="12"/>
      <c r="C3415" s="13"/>
      <c r="E3415" s="6"/>
      <c r="F3415" s="7"/>
      <c r="H3415" s="11"/>
      <c r="J3415" s="18"/>
      <c r="L3415" s="18"/>
      <c r="M3415" s="23"/>
    </row>
    <row r="3416">
      <c r="A3416" s="11"/>
      <c r="B3416" s="12"/>
      <c r="C3416" s="13"/>
      <c r="E3416" s="6"/>
      <c r="F3416" s="7"/>
      <c r="H3416" s="11"/>
      <c r="J3416" s="18"/>
      <c r="L3416" s="18"/>
      <c r="M3416" s="23"/>
    </row>
    <row r="3417">
      <c r="A3417" s="11"/>
      <c r="B3417" s="12"/>
      <c r="C3417" s="13"/>
      <c r="E3417" s="6"/>
      <c r="F3417" s="7"/>
      <c r="H3417" s="11"/>
      <c r="J3417" s="18"/>
      <c r="L3417" s="18"/>
      <c r="M3417" s="23"/>
    </row>
    <row r="3418">
      <c r="A3418" s="11"/>
      <c r="B3418" s="12"/>
      <c r="C3418" s="13"/>
      <c r="E3418" s="6"/>
      <c r="F3418" s="7"/>
      <c r="H3418" s="11"/>
      <c r="J3418" s="18"/>
      <c r="L3418" s="18"/>
      <c r="M3418" s="23"/>
    </row>
    <row r="3419">
      <c r="A3419" s="11"/>
      <c r="B3419" s="12"/>
      <c r="C3419" s="13"/>
      <c r="E3419" s="6"/>
      <c r="F3419" s="7"/>
      <c r="H3419" s="11"/>
      <c r="J3419" s="18"/>
      <c r="L3419" s="18"/>
      <c r="M3419" s="23"/>
    </row>
    <row r="3420">
      <c r="A3420" s="11"/>
      <c r="B3420" s="12"/>
      <c r="C3420" s="13"/>
      <c r="E3420" s="6"/>
      <c r="F3420" s="7"/>
      <c r="H3420" s="11"/>
      <c r="J3420" s="18"/>
      <c r="L3420" s="18"/>
      <c r="M3420" s="23"/>
    </row>
    <row r="3421">
      <c r="A3421" s="11"/>
      <c r="B3421" s="12"/>
      <c r="C3421" s="13"/>
      <c r="E3421" s="6"/>
      <c r="F3421" s="7"/>
      <c r="H3421" s="11"/>
      <c r="J3421" s="18"/>
      <c r="L3421" s="18"/>
      <c r="M3421" s="23"/>
    </row>
    <row r="3422">
      <c r="A3422" s="11"/>
      <c r="B3422" s="12"/>
      <c r="C3422" s="13"/>
      <c r="E3422" s="6"/>
      <c r="F3422" s="7"/>
      <c r="H3422" s="11"/>
      <c r="J3422" s="18"/>
      <c r="L3422" s="18"/>
      <c r="M3422" s="23"/>
    </row>
    <row r="3423">
      <c r="A3423" s="11"/>
      <c r="B3423" s="12"/>
      <c r="C3423" s="13"/>
      <c r="E3423" s="6"/>
      <c r="F3423" s="7"/>
      <c r="H3423" s="11"/>
      <c r="J3423" s="18"/>
      <c r="L3423" s="18"/>
      <c r="M3423" s="23"/>
    </row>
    <row r="3424">
      <c r="A3424" s="11"/>
      <c r="B3424" s="12"/>
      <c r="C3424" s="13"/>
      <c r="E3424" s="6"/>
      <c r="F3424" s="7"/>
      <c r="H3424" s="11"/>
      <c r="J3424" s="18"/>
      <c r="L3424" s="18"/>
      <c r="M3424" s="23"/>
    </row>
    <row r="3425">
      <c r="A3425" s="11"/>
      <c r="B3425" s="12"/>
      <c r="C3425" s="13"/>
      <c r="E3425" s="6"/>
      <c r="F3425" s="7"/>
      <c r="H3425" s="11"/>
      <c r="J3425" s="18"/>
      <c r="L3425" s="18"/>
      <c r="M3425" s="23"/>
    </row>
    <row r="3426">
      <c r="A3426" s="11"/>
      <c r="B3426" s="12"/>
      <c r="C3426" s="13"/>
      <c r="E3426" s="6"/>
      <c r="F3426" s="7"/>
      <c r="H3426" s="11"/>
      <c r="J3426" s="18"/>
      <c r="L3426" s="18"/>
      <c r="M3426" s="23"/>
    </row>
    <row r="3427">
      <c r="A3427" s="11"/>
      <c r="B3427" s="12"/>
      <c r="C3427" s="13"/>
      <c r="E3427" s="6"/>
      <c r="F3427" s="7"/>
      <c r="H3427" s="11"/>
      <c r="J3427" s="18"/>
      <c r="L3427" s="18"/>
      <c r="M3427" s="23"/>
    </row>
    <row r="3428">
      <c r="A3428" s="11"/>
      <c r="B3428" s="12"/>
      <c r="C3428" s="13"/>
      <c r="E3428" s="6"/>
      <c r="F3428" s="7"/>
      <c r="H3428" s="11"/>
      <c r="J3428" s="18"/>
      <c r="L3428" s="18"/>
      <c r="M3428" s="23"/>
    </row>
    <row r="3429">
      <c r="A3429" s="11"/>
      <c r="B3429" s="12"/>
      <c r="C3429" s="13"/>
      <c r="E3429" s="6"/>
      <c r="F3429" s="7"/>
      <c r="H3429" s="11"/>
      <c r="J3429" s="18"/>
      <c r="L3429" s="18"/>
      <c r="M3429" s="23"/>
    </row>
    <row r="3430">
      <c r="A3430" s="11"/>
      <c r="B3430" s="12"/>
      <c r="C3430" s="13"/>
      <c r="E3430" s="6"/>
      <c r="F3430" s="7"/>
      <c r="H3430" s="11"/>
      <c r="J3430" s="18"/>
      <c r="L3430" s="18"/>
      <c r="M3430" s="23"/>
    </row>
    <row r="3431">
      <c r="A3431" s="11"/>
      <c r="B3431" s="12"/>
      <c r="C3431" s="13"/>
      <c r="E3431" s="6"/>
      <c r="F3431" s="7"/>
      <c r="H3431" s="11"/>
      <c r="J3431" s="18"/>
      <c r="L3431" s="18"/>
      <c r="M3431" s="23"/>
    </row>
    <row r="3432">
      <c r="A3432" s="11"/>
      <c r="B3432" s="12"/>
      <c r="C3432" s="13"/>
      <c r="E3432" s="6"/>
      <c r="F3432" s="7"/>
      <c r="H3432" s="11"/>
      <c r="J3432" s="18"/>
      <c r="L3432" s="18"/>
      <c r="M3432" s="23"/>
    </row>
    <row r="3433">
      <c r="A3433" s="11"/>
      <c r="B3433" s="12"/>
      <c r="C3433" s="13"/>
      <c r="E3433" s="6"/>
      <c r="F3433" s="7"/>
      <c r="H3433" s="11"/>
      <c r="J3433" s="18"/>
      <c r="L3433" s="18"/>
      <c r="M3433" s="23"/>
    </row>
    <row r="3434">
      <c r="A3434" s="11"/>
      <c r="B3434" s="12"/>
      <c r="C3434" s="13"/>
      <c r="E3434" s="6"/>
      <c r="F3434" s="7"/>
      <c r="H3434" s="11"/>
      <c r="J3434" s="18"/>
      <c r="L3434" s="18"/>
      <c r="M3434" s="23"/>
    </row>
    <row r="3435">
      <c r="A3435" s="11"/>
      <c r="B3435" s="12"/>
      <c r="C3435" s="13"/>
      <c r="E3435" s="6"/>
      <c r="F3435" s="7"/>
      <c r="H3435" s="11"/>
      <c r="J3435" s="18"/>
      <c r="L3435" s="18"/>
      <c r="M3435" s="23"/>
    </row>
    <row r="3436">
      <c r="A3436" s="11"/>
      <c r="B3436" s="12"/>
      <c r="C3436" s="13"/>
      <c r="E3436" s="6"/>
      <c r="F3436" s="7"/>
      <c r="H3436" s="11"/>
      <c r="J3436" s="18"/>
      <c r="L3436" s="18"/>
      <c r="M3436" s="23"/>
    </row>
    <row r="3437">
      <c r="A3437" s="11"/>
      <c r="B3437" s="12"/>
      <c r="C3437" s="13"/>
      <c r="E3437" s="6"/>
      <c r="F3437" s="7"/>
      <c r="H3437" s="11"/>
      <c r="J3437" s="18"/>
      <c r="L3437" s="18"/>
      <c r="M3437" s="23"/>
    </row>
    <row r="3438">
      <c r="A3438" s="11"/>
      <c r="B3438" s="12"/>
      <c r="C3438" s="13"/>
      <c r="E3438" s="6"/>
      <c r="F3438" s="7"/>
      <c r="H3438" s="11"/>
      <c r="J3438" s="18"/>
      <c r="L3438" s="18"/>
      <c r="M3438" s="23"/>
    </row>
    <row r="3439">
      <c r="A3439" s="11"/>
      <c r="B3439" s="12"/>
      <c r="C3439" s="13"/>
      <c r="E3439" s="6"/>
      <c r="F3439" s="7"/>
      <c r="H3439" s="11"/>
      <c r="J3439" s="18"/>
      <c r="L3439" s="18"/>
      <c r="M3439" s="23"/>
    </row>
    <row r="3440">
      <c r="A3440" s="11"/>
      <c r="B3440" s="12"/>
      <c r="C3440" s="13"/>
      <c r="E3440" s="6"/>
      <c r="F3440" s="7"/>
      <c r="H3440" s="11"/>
      <c r="J3440" s="18"/>
      <c r="L3440" s="18"/>
      <c r="M3440" s="23"/>
    </row>
    <row r="3441">
      <c r="A3441" s="11"/>
      <c r="B3441" s="12"/>
      <c r="C3441" s="13"/>
      <c r="E3441" s="6"/>
      <c r="F3441" s="7"/>
      <c r="H3441" s="11"/>
      <c r="J3441" s="18"/>
      <c r="L3441" s="18"/>
      <c r="M3441" s="23"/>
    </row>
    <row r="3442">
      <c r="A3442" s="11"/>
      <c r="B3442" s="12"/>
      <c r="C3442" s="13"/>
      <c r="E3442" s="6"/>
      <c r="F3442" s="7"/>
      <c r="H3442" s="11"/>
      <c r="J3442" s="18"/>
      <c r="L3442" s="18"/>
      <c r="M3442" s="23"/>
    </row>
    <row r="3443">
      <c r="A3443" s="11"/>
      <c r="B3443" s="12"/>
      <c r="C3443" s="13"/>
      <c r="E3443" s="6"/>
      <c r="F3443" s="7"/>
      <c r="H3443" s="11"/>
      <c r="J3443" s="18"/>
      <c r="L3443" s="18"/>
      <c r="M3443" s="23"/>
    </row>
    <row r="3444">
      <c r="A3444" s="11"/>
      <c r="B3444" s="12"/>
      <c r="C3444" s="13"/>
      <c r="E3444" s="6"/>
      <c r="F3444" s="7"/>
      <c r="H3444" s="11"/>
      <c r="J3444" s="18"/>
      <c r="L3444" s="18"/>
      <c r="M3444" s="23"/>
    </row>
    <row r="3445">
      <c r="A3445" s="11"/>
      <c r="B3445" s="12"/>
      <c r="C3445" s="13"/>
      <c r="E3445" s="6"/>
      <c r="F3445" s="7"/>
      <c r="H3445" s="11"/>
      <c r="J3445" s="18"/>
      <c r="L3445" s="18"/>
      <c r="M3445" s="23"/>
    </row>
    <row r="3446">
      <c r="A3446" s="11"/>
      <c r="B3446" s="12"/>
      <c r="C3446" s="13"/>
      <c r="E3446" s="6"/>
      <c r="F3446" s="7"/>
      <c r="H3446" s="11"/>
      <c r="J3446" s="18"/>
      <c r="L3446" s="18"/>
      <c r="M3446" s="23"/>
    </row>
    <row r="3447">
      <c r="A3447" s="11"/>
      <c r="B3447" s="12"/>
      <c r="C3447" s="13"/>
      <c r="E3447" s="6"/>
      <c r="F3447" s="7"/>
      <c r="H3447" s="11"/>
      <c r="J3447" s="18"/>
      <c r="L3447" s="18"/>
      <c r="M3447" s="23"/>
    </row>
    <row r="3448">
      <c r="A3448" s="11"/>
      <c r="B3448" s="12"/>
      <c r="C3448" s="13"/>
      <c r="E3448" s="6"/>
      <c r="F3448" s="7"/>
      <c r="H3448" s="11"/>
      <c r="J3448" s="18"/>
      <c r="L3448" s="18"/>
      <c r="M3448" s="23"/>
    </row>
    <row r="3449">
      <c r="A3449" s="11"/>
      <c r="B3449" s="12"/>
      <c r="C3449" s="13"/>
      <c r="E3449" s="6"/>
      <c r="F3449" s="7"/>
      <c r="H3449" s="11"/>
      <c r="J3449" s="18"/>
      <c r="L3449" s="18"/>
      <c r="M3449" s="23"/>
    </row>
    <row r="3450">
      <c r="A3450" s="11"/>
      <c r="B3450" s="12"/>
      <c r="C3450" s="13"/>
      <c r="E3450" s="6"/>
      <c r="F3450" s="7"/>
      <c r="H3450" s="11"/>
      <c r="J3450" s="18"/>
      <c r="L3450" s="18"/>
      <c r="M3450" s="23"/>
    </row>
    <row r="3451">
      <c r="A3451" s="11"/>
      <c r="B3451" s="12"/>
      <c r="C3451" s="13"/>
      <c r="E3451" s="6"/>
      <c r="F3451" s="7"/>
      <c r="H3451" s="11"/>
      <c r="J3451" s="18"/>
      <c r="L3451" s="18"/>
      <c r="M3451" s="23"/>
    </row>
    <row r="3452">
      <c r="A3452" s="11"/>
      <c r="B3452" s="12"/>
      <c r="C3452" s="13"/>
      <c r="E3452" s="6"/>
      <c r="F3452" s="7"/>
      <c r="H3452" s="11"/>
      <c r="J3452" s="18"/>
      <c r="L3452" s="18"/>
      <c r="M3452" s="23"/>
    </row>
    <row r="3453">
      <c r="A3453" s="11"/>
      <c r="B3453" s="12"/>
      <c r="C3453" s="13"/>
      <c r="E3453" s="6"/>
      <c r="F3453" s="7"/>
      <c r="H3453" s="11"/>
      <c r="J3453" s="18"/>
      <c r="L3453" s="18"/>
      <c r="M3453" s="23"/>
    </row>
    <row r="3454">
      <c r="A3454" s="11"/>
      <c r="B3454" s="12"/>
      <c r="C3454" s="13"/>
      <c r="E3454" s="6"/>
      <c r="F3454" s="7"/>
      <c r="H3454" s="11"/>
      <c r="J3454" s="18"/>
      <c r="L3454" s="18"/>
      <c r="M3454" s="23"/>
    </row>
    <row r="3455">
      <c r="A3455" s="11"/>
      <c r="B3455" s="12"/>
      <c r="C3455" s="13"/>
      <c r="E3455" s="6"/>
      <c r="F3455" s="7"/>
      <c r="H3455" s="11"/>
      <c r="J3455" s="18"/>
      <c r="L3455" s="18"/>
      <c r="M3455" s="23"/>
    </row>
    <row r="3456">
      <c r="A3456" s="11"/>
      <c r="B3456" s="12"/>
      <c r="C3456" s="13"/>
      <c r="E3456" s="6"/>
      <c r="F3456" s="7"/>
      <c r="H3456" s="11"/>
      <c r="J3456" s="18"/>
      <c r="L3456" s="18"/>
      <c r="M3456" s="23"/>
    </row>
    <row r="3457">
      <c r="A3457" s="11"/>
      <c r="B3457" s="12"/>
      <c r="C3457" s="13"/>
      <c r="E3457" s="6"/>
      <c r="F3457" s="7"/>
      <c r="H3457" s="11"/>
      <c r="J3457" s="18"/>
      <c r="L3457" s="18"/>
      <c r="M3457" s="23"/>
    </row>
    <row r="3458">
      <c r="A3458" s="11"/>
      <c r="B3458" s="12"/>
      <c r="C3458" s="13"/>
      <c r="E3458" s="6"/>
      <c r="F3458" s="7"/>
      <c r="H3458" s="11"/>
      <c r="J3458" s="18"/>
      <c r="L3458" s="18"/>
      <c r="M3458" s="23"/>
    </row>
    <row r="3459">
      <c r="A3459" s="11"/>
      <c r="B3459" s="12"/>
      <c r="C3459" s="13"/>
      <c r="E3459" s="6"/>
      <c r="F3459" s="7"/>
      <c r="H3459" s="11"/>
      <c r="J3459" s="18"/>
      <c r="L3459" s="18"/>
      <c r="M3459" s="23"/>
    </row>
    <row r="3460">
      <c r="A3460" s="11"/>
      <c r="B3460" s="12"/>
      <c r="C3460" s="13"/>
      <c r="E3460" s="6"/>
      <c r="F3460" s="7"/>
      <c r="H3460" s="11"/>
      <c r="J3460" s="18"/>
      <c r="L3460" s="18"/>
      <c r="M3460" s="23"/>
    </row>
    <row r="3461">
      <c r="A3461" s="11"/>
      <c r="B3461" s="12"/>
      <c r="C3461" s="13"/>
      <c r="E3461" s="6"/>
      <c r="F3461" s="7"/>
      <c r="H3461" s="11"/>
      <c r="J3461" s="18"/>
      <c r="L3461" s="18"/>
      <c r="M3461" s="23"/>
    </row>
    <row r="3462">
      <c r="A3462" s="11"/>
      <c r="B3462" s="12"/>
      <c r="C3462" s="13"/>
      <c r="E3462" s="6"/>
      <c r="F3462" s="7"/>
      <c r="H3462" s="11"/>
      <c r="J3462" s="18"/>
      <c r="L3462" s="18"/>
      <c r="M3462" s="23"/>
    </row>
    <row r="3463">
      <c r="A3463" s="11"/>
      <c r="B3463" s="12"/>
      <c r="C3463" s="13"/>
      <c r="E3463" s="6"/>
      <c r="F3463" s="7"/>
      <c r="H3463" s="11"/>
      <c r="J3463" s="18"/>
      <c r="L3463" s="18"/>
      <c r="M3463" s="23"/>
    </row>
    <row r="3464">
      <c r="A3464" s="11"/>
      <c r="B3464" s="12"/>
      <c r="C3464" s="13"/>
      <c r="E3464" s="6"/>
      <c r="F3464" s="7"/>
      <c r="H3464" s="11"/>
      <c r="J3464" s="18"/>
      <c r="L3464" s="18"/>
      <c r="M3464" s="23"/>
    </row>
    <row r="3465">
      <c r="A3465" s="11"/>
      <c r="B3465" s="12"/>
      <c r="C3465" s="13"/>
      <c r="E3465" s="6"/>
      <c r="F3465" s="7"/>
      <c r="H3465" s="11"/>
      <c r="J3465" s="18"/>
      <c r="L3465" s="18"/>
      <c r="M3465" s="23"/>
    </row>
    <row r="3466">
      <c r="A3466" s="11"/>
      <c r="B3466" s="12"/>
      <c r="C3466" s="13"/>
      <c r="E3466" s="6"/>
      <c r="F3466" s="7"/>
      <c r="H3466" s="11"/>
      <c r="J3466" s="18"/>
      <c r="L3466" s="18"/>
      <c r="M3466" s="23"/>
    </row>
    <row r="3467">
      <c r="A3467" s="11"/>
      <c r="B3467" s="12"/>
      <c r="C3467" s="13"/>
      <c r="E3467" s="6"/>
      <c r="F3467" s="7"/>
      <c r="H3467" s="11"/>
      <c r="J3467" s="18"/>
      <c r="L3467" s="18"/>
      <c r="M3467" s="23"/>
    </row>
    <row r="3468">
      <c r="A3468" s="11"/>
      <c r="B3468" s="12"/>
      <c r="C3468" s="13"/>
      <c r="E3468" s="6"/>
      <c r="F3468" s="7"/>
      <c r="H3468" s="11"/>
      <c r="J3468" s="18"/>
      <c r="L3468" s="18"/>
      <c r="M3468" s="23"/>
    </row>
    <row r="3469">
      <c r="A3469" s="11"/>
      <c r="B3469" s="12"/>
      <c r="C3469" s="13"/>
      <c r="E3469" s="6"/>
      <c r="F3469" s="7"/>
      <c r="H3469" s="11"/>
      <c r="J3469" s="18"/>
      <c r="L3469" s="18"/>
      <c r="M3469" s="23"/>
    </row>
    <row r="3470">
      <c r="A3470" s="11"/>
      <c r="B3470" s="12"/>
      <c r="C3470" s="13"/>
      <c r="E3470" s="6"/>
      <c r="F3470" s="7"/>
      <c r="H3470" s="11"/>
      <c r="J3470" s="18"/>
      <c r="L3470" s="18"/>
      <c r="M3470" s="23"/>
    </row>
    <row r="3471">
      <c r="A3471" s="11"/>
      <c r="B3471" s="12"/>
      <c r="C3471" s="13"/>
      <c r="E3471" s="6"/>
      <c r="F3471" s="7"/>
      <c r="H3471" s="11"/>
      <c r="J3471" s="18"/>
      <c r="L3471" s="18"/>
      <c r="M3471" s="23"/>
    </row>
    <row r="3472">
      <c r="A3472" s="11"/>
      <c r="B3472" s="12"/>
      <c r="C3472" s="13"/>
      <c r="E3472" s="6"/>
      <c r="F3472" s="7"/>
      <c r="H3472" s="11"/>
      <c r="J3472" s="18"/>
      <c r="L3472" s="18"/>
      <c r="M3472" s="23"/>
    </row>
    <row r="3473">
      <c r="A3473" s="11"/>
      <c r="B3473" s="12"/>
      <c r="C3473" s="13"/>
      <c r="E3473" s="6"/>
      <c r="F3473" s="7"/>
      <c r="H3473" s="11"/>
      <c r="J3473" s="18"/>
      <c r="L3473" s="18"/>
      <c r="M3473" s="23"/>
    </row>
    <row r="3474">
      <c r="A3474" s="11"/>
      <c r="B3474" s="12"/>
      <c r="C3474" s="13"/>
      <c r="E3474" s="6"/>
      <c r="F3474" s="7"/>
      <c r="H3474" s="11"/>
      <c r="J3474" s="18"/>
      <c r="L3474" s="18"/>
      <c r="M3474" s="23"/>
    </row>
    <row r="3475">
      <c r="A3475" s="11"/>
      <c r="B3475" s="12"/>
      <c r="C3475" s="13"/>
      <c r="E3475" s="6"/>
      <c r="F3475" s="7"/>
      <c r="H3475" s="11"/>
      <c r="J3475" s="18"/>
      <c r="L3475" s="18"/>
      <c r="M3475" s="23"/>
    </row>
    <row r="3476">
      <c r="A3476" s="11"/>
      <c r="B3476" s="12"/>
      <c r="C3476" s="13"/>
      <c r="E3476" s="6"/>
      <c r="F3476" s="7"/>
      <c r="H3476" s="11"/>
      <c r="J3476" s="18"/>
      <c r="L3476" s="18"/>
      <c r="M3476" s="23"/>
    </row>
    <row r="3477">
      <c r="A3477" s="11"/>
      <c r="B3477" s="12"/>
      <c r="C3477" s="13"/>
      <c r="E3477" s="6"/>
      <c r="F3477" s="7"/>
      <c r="H3477" s="11"/>
      <c r="J3477" s="18"/>
      <c r="L3477" s="18"/>
      <c r="M3477" s="23"/>
    </row>
    <row r="3478">
      <c r="A3478" s="11"/>
      <c r="B3478" s="12"/>
      <c r="C3478" s="13"/>
      <c r="E3478" s="6"/>
      <c r="F3478" s="7"/>
      <c r="H3478" s="11"/>
      <c r="J3478" s="18"/>
      <c r="L3478" s="18"/>
      <c r="M3478" s="23"/>
    </row>
    <row r="3479">
      <c r="A3479" s="11"/>
      <c r="B3479" s="12"/>
      <c r="C3479" s="13"/>
      <c r="E3479" s="6"/>
      <c r="F3479" s="7"/>
      <c r="H3479" s="11"/>
      <c r="J3479" s="18"/>
      <c r="L3479" s="18"/>
      <c r="M3479" s="23"/>
    </row>
    <row r="3480">
      <c r="A3480" s="11"/>
      <c r="B3480" s="12"/>
      <c r="C3480" s="13"/>
      <c r="E3480" s="6"/>
      <c r="F3480" s="7"/>
      <c r="H3480" s="11"/>
      <c r="J3480" s="18"/>
      <c r="L3480" s="18"/>
      <c r="M3480" s="23"/>
    </row>
    <row r="3481">
      <c r="A3481" s="11"/>
      <c r="B3481" s="12"/>
      <c r="C3481" s="13"/>
      <c r="E3481" s="6"/>
      <c r="F3481" s="7"/>
      <c r="H3481" s="11"/>
      <c r="J3481" s="18"/>
      <c r="L3481" s="18"/>
      <c r="M3481" s="23"/>
    </row>
    <row r="3482">
      <c r="A3482" s="11"/>
      <c r="B3482" s="12"/>
      <c r="C3482" s="13"/>
      <c r="E3482" s="6"/>
      <c r="F3482" s="7"/>
      <c r="H3482" s="11"/>
      <c r="J3482" s="18"/>
      <c r="L3482" s="18"/>
      <c r="M3482" s="23"/>
    </row>
    <row r="3483">
      <c r="A3483" s="11"/>
      <c r="B3483" s="12"/>
      <c r="C3483" s="13"/>
      <c r="E3483" s="6"/>
      <c r="F3483" s="7"/>
      <c r="H3483" s="11"/>
      <c r="J3483" s="18"/>
      <c r="L3483" s="18"/>
      <c r="M3483" s="23"/>
    </row>
    <row r="3484">
      <c r="A3484" s="11"/>
      <c r="B3484" s="12"/>
      <c r="C3484" s="13"/>
      <c r="E3484" s="6"/>
      <c r="F3484" s="7"/>
      <c r="H3484" s="11"/>
      <c r="J3484" s="18"/>
      <c r="L3484" s="18"/>
      <c r="M3484" s="23"/>
    </row>
    <row r="3485">
      <c r="A3485" s="11"/>
      <c r="B3485" s="12"/>
      <c r="C3485" s="13"/>
      <c r="E3485" s="6"/>
      <c r="F3485" s="7"/>
      <c r="H3485" s="11"/>
      <c r="J3485" s="18"/>
      <c r="L3485" s="18"/>
      <c r="M3485" s="23"/>
    </row>
    <row r="3486">
      <c r="A3486" s="11"/>
      <c r="B3486" s="12"/>
      <c r="C3486" s="13"/>
      <c r="E3486" s="6"/>
      <c r="F3486" s="7"/>
      <c r="H3486" s="11"/>
      <c r="J3486" s="18"/>
      <c r="L3486" s="18"/>
      <c r="M3486" s="23"/>
    </row>
    <row r="3487">
      <c r="A3487" s="11"/>
      <c r="B3487" s="12"/>
      <c r="C3487" s="13"/>
      <c r="E3487" s="6"/>
      <c r="F3487" s="7"/>
      <c r="H3487" s="11"/>
      <c r="J3487" s="18"/>
      <c r="L3487" s="18"/>
      <c r="M3487" s="23"/>
    </row>
    <row r="3488">
      <c r="A3488" s="11"/>
      <c r="B3488" s="12"/>
      <c r="C3488" s="13"/>
      <c r="E3488" s="6"/>
      <c r="F3488" s="7"/>
      <c r="H3488" s="11"/>
      <c r="J3488" s="18"/>
      <c r="L3488" s="18"/>
      <c r="M3488" s="23"/>
    </row>
    <row r="3489">
      <c r="A3489" s="11"/>
      <c r="B3489" s="12"/>
      <c r="C3489" s="13"/>
      <c r="E3489" s="6"/>
      <c r="F3489" s="7"/>
      <c r="H3489" s="11"/>
      <c r="J3489" s="18"/>
      <c r="L3489" s="18"/>
      <c r="M3489" s="23"/>
    </row>
    <row r="3490">
      <c r="A3490" s="11"/>
      <c r="B3490" s="12"/>
      <c r="C3490" s="13"/>
      <c r="E3490" s="6"/>
      <c r="F3490" s="7"/>
      <c r="H3490" s="11"/>
      <c r="J3490" s="18"/>
      <c r="L3490" s="18"/>
      <c r="M3490" s="23"/>
    </row>
    <row r="3491">
      <c r="A3491" s="11"/>
      <c r="B3491" s="12"/>
      <c r="C3491" s="13"/>
      <c r="E3491" s="6"/>
      <c r="F3491" s="7"/>
      <c r="H3491" s="11"/>
      <c r="J3491" s="18"/>
      <c r="L3491" s="18"/>
      <c r="M3491" s="23"/>
    </row>
    <row r="3492">
      <c r="A3492" s="11"/>
      <c r="B3492" s="12"/>
      <c r="C3492" s="13"/>
      <c r="E3492" s="6"/>
      <c r="F3492" s="7"/>
      <c r="H3492" s="11"/>
      <c r="J3492" s="18"/>
      <c r="L3492" s="18"/>
      <c r="M3492" s="23"/>
    </row>
    <row r="3493">
      <c r="A3493" s="11"/>
      <c r="B3493" s="12"/>
      <c r="C3493" s="13"/>
      <c r="E3493" s="6"/>
      <c r="F3493" s="7"/>
      <c r="H3493" s="11"/>
      <c r="J3493" s="18"/>
      <c r="L3493" s="18"/>
      <c r="M3493" s="23"/>
    </row>
    <row r="3494">
      <c r="A3494" s="11"/>
      <c r="B3494" s="12"/>
      <c r="C3494" s="13"/>
      <c r="E3494" s="6"/>
      <c r="F3494" s="7"/>
      <c r="H3494" s="11"/>
      <c r="J3494" s="18"/>
      <c r="L3494" s="18"/>
      <c r="M3494" s="23"/>
    </row>
    <row r="3495">
      <c r="A3495" s="11"/>
      <c r="B3495" s="12"/>
      <c r="C3495" s="13"/>
      <c r="E3495" s="6"/>
      <c r="F3495" s="7"/>
      <c r="H3495" s="11"/>
      <c r="J3495" s="18"/>
      <c r="L3495" s="18"/>
      <c r="M3495" s="23"/>
    </row>
    <row r="3496">
      <c r="A3496" s="11"/>
      <c r="B3496" s="12"/>
      <c r="C3496" s="13"/>
      <c r="E3496" s="6"/>
      <c r="F3496" s="7"/>
      <c r="H3496" s="11"/>
      <c r="J3496" s="18"/>
      <c r="L3496" s="18"/>
      <c r="M3496" s="23"/>
    </row>
    <row r="3497">
      <c r="A3497" s="11"/>
      <c r="B3497" s="12"/>
      <c r="C3497" s="13"/>
      <c r="E3497" s="6"/>
      <c r="F3497" s="7"/>
      <c r="H3497" s="11"/>
      <c r="J3497" s="18"/>
      <c r="L3497" s="18"/>
      <c r="M3497" s="23"/>
    </row>
    <row r="3498">
      <c r="A3498" s="11"/>
      <c r="B3498" s="12"/>
      <c r="C3498" s="13"/>
      <c r="E3498" s="6"/>
      <c r="F3498" s="7"/>
      <c r="H3498" s="11"/>
      <c r="J3498" s="18"/>
      <c r="L3498" s="18"/>
      <c r="M3498" s="23"/>
    </row>
    <row r="3499">
      <c r="A3499" s="11"/>
      <c r="B3499" s="12"/>
      <c r="C3499" s="13"/>
      <c r="E3499" s="6"/>
      <c r="F3499" s="7"/>
      <c r="H3499" s="11"/>
      <c r="J3499" s="18"/>
      <c r="L3499" s="18"/>
      <c r="M3499" s="23"/>
    </row>
    <row r="3500">
      <c r="A3500" s="11"/>
      <c r="B3500" s="12"/>
      <c r="C3500" s="13"/>
      <c r="E3500" s="6"/>
      <c r="F3500" s="7"/>
      <c r="H3500" s="11"/>
      <c r="J3500" s="18"/>
      <c r="L3500" s="18"/>
      <c r="M3500" s="23"/>
    </row>
    <row r="3501">
      <c r="A3501" s="11"/>
      <c r="B3501" s="12"/>
      <c r="C3501" s="13"/>
      <c r="E3501" s="6"/>
      <c r="F3501" s="7"/>
      <c r="H3501" s="11"/>
      <c r="J3501" s="18"/>
      <c r="L3501" s="18"/>
      <c r="M3501" s="23"/>
    </row>
    <row r="3502">
      <c r="A3502" s="11"/>
      <c r="B3502" s="12"/>
      <c r="C3502" s="13"/>
      <c r="E3502" s="6"/>
      <c r="F3502" s="7"/>
      <c r="H3502" s="11"/>
      <c r="J3502" s="18"/>
      <c r="L3502" s="18"/>
      <c r="M3502" s="23"/>
    </row>
    <row r="3503">
      <c r="A3503" s="11"/>
      <c r="B3503" s="12"/>
      <c r="C3503" s="13"/>
      <c r="E3503" s="6"/>
      <c r="F3503" s="7"/>
      <c r="H3503" s="11"/>
      <c r="J3503" s="18"/>
      <c r="L3503" s="18"/>
      <c r="M3503" s="23"/>
    </row>
    <row r="3504">
      <c r="A3504" s="11"/>
      <c r="B3504" s="12"/>
      <c r="C3504" s="13"/>
      <c r="E3504" s="6"/>
      <c r="F3504" s="7"/>
      <c r="H3504" s="11"/>
      <c r="J3504" s="18"/>
      <c r="L3504" s="18"/>
      <c r="M3504" s="23"/>
    </row>
    <row r="3505">
      <c r="A3505" s="11"/>
      <c r="B3505" s="12"/>
      <c r="C3505" s="13"/>
      <c r="E3505" s="6"/>
      <c r="F3505" s="7"/>
      <c r="H3505" s="11"/>
      <c r="J3505" s="18"/>
      <c r="L3505" s="18"/>
      <c r="M3505" s="23"/>
    </row>
    <row r="3506">
      <c r="A3506" s="11"/>
      <c r="B3506" s="12"/>
      <c r="C3506" s="13"/>
      <c r="E3506" s="6"/>
      <c r="F3506" s="7"/>
      <c r="H3506" s="11"/>
      <c r="J3506" s="18"/>
      <c r="L3506" s="18"/>
      <c r="M3506" s="23"/>
    </row>
    <row r="3507">
      <c r="A3507" s="11"/>
      <c r="B3507" s="12"/>
      <c r="C3507" s="13"/>
      <c r="E3507" s="6"/>
      <c r="F3507" s="7"/>
      <c r="H3507" s="11"/>
      <c r="J3507" s="18"/>
      <c r="L3507" s="18"/>
      <c r="M3507" s="23"/>
    </row>
    <row r="3508">
      <c r="A3508" s="11"/>
      <c r="B3508" s="12"/>
      <c r="C3508" s="13"/>
      <c r="E3508" s="6"/>
      <c r="F3508" s="7"/>
      <c r="H3508" s="11"/>
      <c r="J3508" s="18"/>
      <c r="L3508" s="18"/>
      <c r="M3508" s="23"/>
    </row>
    <row r="3509">
      <c r="A3509" s="11"/>
      <c r="B3509" s="12"/>
      <c r="C3509" s="13"/>
      <c r="E3509" s="6"/>
      <c r="F3509" s="7"/>
      <c r="H3509" s="11"/>
      <c r="J3509" s="18"/>
      <c r="L3509" s="18"/>
      <c r="M3509" s="23"/>
    </row>
    <row r="3510">
      <c r="A3510" s="11"/>
      <c r="B3510" s="12"/>
      <c r="C3510" s="13"/>
      <c r="E3510" s="6"/>
      <c r="F3510" s="7"/>
      <c r="H3510" s="11"/>
      <c r="J3510" s="18"/>
      <c r="L3510" s="18"/>
      <c r="M3510" s="23"/>
    </row>
    <row r="3511">
      <c r="A3511" s="11"/>
      <c r="B3511" s="12"/>
      <c r="C3511" s="13"/>
      <c r="E3511" s="6"/>
      <c r="F3511" s="7"/>
      <c r="H3511" s="11"/>
      <c r="J3511" s="18"/>
      <c r="L3511" s="18"/>
      <c r="M3511" s="23"/>
    </row>
    <row r="3512">
      <c r="A3512" s="11"/>
      <c r="B3512" s="12"/>
      <c r="C3512" s="13"/>
      <c r="E3512" s="6"/>
      <c r="F3512" s="7"/>
      <c r="H3512" s="11"/>
      <c r="J3512" s="18"/>
      <c r="L3512" s="18"/>
      <c r="M3512" s="23"/>
    </row>
    <row r="3513">
      <c r="A3513" s="11"/>
      <c r="B3513" s="12"/>
      <c r="C3513" s="13"/>
      <c r="E3513" s="6"/>
      <c r="F3513" s="7"/>
      <c r="H3513" s="11"/>
      <c r="J3513" s="18"/>
      <c r="L3513" s="18"/>
      <c r="M3513" s="23"/>
    </row>
    <row r="3514">
      <c r="A3514" s="11"/>
      <c r="B3514" s="12"/>
      <c r="C3514" s="13"/>
      <c r="E3514" s="6"/>
      <c r="F3514" s="7"/>
      <c r="H3514" s="11"/>
      <c r="J3514" s="18"/>
      <c r="L3514" s="18"/>
      <c r="M3514" s="23"/>
    </row>
    <row r="3515">
      <c r="A3515" s="11"/>
      <c r="B3515" s="12"/>
      <c r="C3515" s="13"/>
      <c r="E3515" s="6"/>
      <c r="F3515" s="7"/>
      <c r="H3515" s="11"/>
      <c r="J3515" s="18"/>
      <c r="L3515" s="18"/>
      <c r="M3515" s="23"/>
    </row>
    <row r="3516">
      <c r="A3516" s="11"/>
      <c r="B3516" s="12"/>
      <c r="C3516" s="13"/>
      <c r="E3516" s="6"/>
      <c r="F3516" s="7"/>
      <c r="H3516" s="11"/>
      <c r="J3516" s="18"/>
      <c r="L3516" s="18"/>
      <c r="M3516" s="23"/>
    </row>
    <row r="3517">
      <c r="A3517" s="11"/>
      <c r="B3517" s="12"/>
      <c r="C3517" s="13"/>
      <c r="E3517" s="6"/>
      <c r="F3517" s="7"/>
      <c r="H3517" s="11"/>
      <c r="J3517" s="18"/>
      <c r="L3517" s="18"/>
      <c r="M3517" s="23"/>
    </row>
    <row r="3518">
      <c r="A3518" s="11"/>
      <c r="B3518" s="12"/>
      <c r="C3518" s="13"/>
      <c r="E3518" s="6"/>
      <c r="F3518" s="7"/>
      <c r="H3518" s="11"/>
      <c r="J3518" s="18"/>
      <c r="L3518" s="18"/>
      <c r="M3518" s="23"/>
    </row>
    <row r="3519">
      <c r="A3519" s="11"/>
      <c r="B3519" s="12"/>
      <c r="C3519" s="13"/>
      <c r="E3519" s="6"/>
      <c r="F3519" s="7"/>
      <c r="H3519" s="11"/>
      <c r="J3519" s="18"/>
      <c r="L3519" s="18"/>
      <c r="M3519" s="23"/>
    </row>
    <row r="3520">
      <c r="A3520" s="11"/>
      <c r="B3520" s="12"/>
      <c r="C3520" s="13"/>
      <c r="E3520" s="6"/>
      <c r="F3520" s="7"/>
      <c r="H3520" s="11"/>
      <c r="J3520" s="18"/>
      <c r="L3520" s="18"/>
      <c r="M3520" s="23"/>
    </row>
    <row r="3521">
      <c r="A3521" s="11"/>
      <c r="B3521" s="12"/>
      <c r="C3521" s="13"/>
      <c r="E3521" s="6"/>
      <c r="F3521" s="7"/>
      <c r="H3521" s="11"/>
      <c r="J3521" s="18"/>
      <c r="L3521" s="18"/>
      <c r="M3521" s="23"/>
    </row>
    <row r="3522">
      <c r="A3522" s="11"/>
      <c r="B3522" s="12"/>
      <c r="C3522" s="13"/>
      <c r="E3522" s="6"/>
      <c r="F3522" s="7"/>
      <c r="H3522" s="11"/>
      <c r="J3522" s="18"/>
      <c r="L3522" s="18"/>
      <c r="M3522" s="23"/>
    </row>
    <row r="3523">
      <c r="A3523" s="11"/>
      <c r="B3523" s="12"/>
      <c r="C3523" s="13"/>
      <c r="E3523" s="6"/>
      <c r="F3523" s="7"/>
      <c r="H3523" s="11"/>
      <c r="J3523" s="18"/>
      <c r="L3523" s="18"/>
      <c r="M3523" s="23"/>
    </row>
    <row r="3524">
      <c r="A3524" s="11"/>
      <c r="B3524" s="12"/>
      <c r="C3524" s="13"/>
      <c r="E3524" s="6"/>
      <c r="F3524" s="7"/>
      <c r="H3524" s="11"/>
      <c r="J3524" s="18"/>
      <c r="L3524" s="18"/>
      <c r="M3524" s="23"/>
    </row>
    <row r="3525">
      <c r="A3525" s="11"/>
      <c r="B3525" s="12"/>
      <c r="C3525" s="13"/>
      <c r="E3525" s="6"/>
      <c r="F3525" s="7"/>
      <c r="H3525" s="11"/>
      <c r="J3525" s="18"/>
      <c r="L3525" s="18"/>
      <c r="M3525" s="23"/>
    </row>
    <row r="3526">
      <c r="A3526" s="11"/>
      <c r="B3526" s="12"/>
      <c r="C3526" s="13"/>
      <c r="E3526" s="6"/>
      <c r="F3526" s="7"/>
      <c r="H3526" s="11"/>
      <c r="J3526" s="18"/>
      <c r="L3526" s="18"/>
      <c r="M3526" s="23"/>
    </row>
    <row r="3527">
      <c r="A3527" s="11"/>
      <c r="B3527" s="12"/>
      <c r="C3527" s="13"/>
      <c r="E3527" s="6"/>
      <c r="F3527" s="7"/>
      <c r="H3527" s="11"/>
      <c r="J3527" s="18"/>
      <c r="L3527" s="18"/>
      <c r="M3527" s="23"/>
    </row>
    <row r="3528">
      <c r="A3528" s="11"/>
      <c r="B3528" s="12"/>
      <c r="C3528" s="13"/>
      <c r="E3528" s="6"/>
      <c r="F3528" s="7"/>
      <c r="H3528" s="11"/>
      <c r="J3528" s="18"/>
      <c r="L3528" s="18"/>
      <c r="M3528" s="23"/>
    </row>
    <row r="3529">
      <c r="A3529" s="11"/>
      <c r="B3529" s="12"/>
      <c r="C3529" s="13"/>
      <c r="E3529" s="6"/>
      <c r="F3529" s="7"/>
      <c r="H3529" s="11"/>
      <c r="J3529" s="18"/>
      <c r="L3529" s="18"/>
      <c r="M3529" s="23"/>
    </row>
    <row r="3530">
      <c r="A3530" s="11"/>
      <c r="B3530" s="12"/>
      <c r="C3530" s="13"/>
      <c r="E3530" s="6"/>
      <c r="F3530" s="7"/>
      <c r="H3530" s="11"/>
      <c r="J3530" s="18"/>
      <c r="L3530" s="18"/>
      <c r="M3530" s="23"/>
    </row>
    <row r="3531">
      <c r="A3531" s="11"/>
      <c r="B3531" s="12"/>
      <c r="C3531" s="13"/>
      <c r="E3531" s="6"/>
      <c r="F3531" s="7"/>
      <c r="H3531" s="11"/>
      <c r="J3531" s="18"/>
      <c r="L3531" s="18"/>
      <c r="M3531" s="23"/>
    </row>
    <row r="3532">
      <c r="A3532" s="11"/>
      <c r="B3532" s="12"/>
      <c r="C3532" s="13"/>
      <c r="E3532" s="6"/>
      <c r="F3532" s="7"/>
      <c r="H3532" s="11"/>
      <c r="J3532" s="18"/>
      <c r="L3532" s="18"/>
      <c r="M3532" s="23"/>
    </row>
    <row r="3533">
      <c r="A3533" s="11"/>
      <c r="B3533" s="12"/>
      <c r="C3533" s="13"/>
      <c r="E3533" s="6"/>
      <c r="F3533" s="7"/>
      <c r="H3533" s="11"/>
      <c r="J3533" s="18"/>
      <c r="L3533" s="18"/>
      <c r="M3533" s="23"/>
    </row>
    <row r="3534">
      <c r="A3534" s="11"/>
      <c r="B3534" s="12"/>
      <c r="C3534" s="13"/>
      <c r="E3534" s="6"/>
      <c r="F3534" s="7"/>
      <c r="H3534" s="11"/>
      <c r="J3534" s="18"/>
      <c r="L3534" s="18"/>
      <c r="M3534" s="23"/>
    </row>
    <row r="3535">
      <c r="A3535" s="11"/>
      <c r="B3535" s="12"/>
      <c r="C3535" s="13"/>
      <c r="E3535" s="6"/>
      <c r="F3535" s="7"/>
      <c r="H3535" s="11"/>
      <c r="J3535" s="18"/>
      <c r="L3535" s="18"/>
      <c r="M3535" s="23"/>
    </row>
    <row r="3536">
      <c r="A3536" s="11"/>
      <c r="B3536" s="12"/>
      <c r="C3536" s="13"/>
      <c r="E3536" s="6"/>
      <c r="F3536" s="7"/>
      <c r="H3536" s="11"/>
      <c r="J3536" s="18"/>
      <c r="L3536" s="18"/>
      <c r="M3536" s="23"/>
    </row>
    <row r="3537">
      <c r="A3537" s="11"/>
      <c r="B3537" s="12"/>
      <c r="C3537" s="13"/>
      <c r="E3537" s="6"/>
      <c r="F3537" s="7"/>
      <c r="H3537" s="11"/>
      <c r="J3537" s="18"/>
      <c r="L3537" s="18"/>
      <c r="M3537" s="23"/>
    </row>
    <row r="3538">
      <c r="A3538" s="11"/>
      <c r="B3538" s="12"/>
      <c r="C3538" s="13"/>
      <c r="E3538" s="6"/>
      <c r="F3538" s="7"/>
      <c r="H3538" s="11"/>
      <c r="J3538" s="18"/>
      <c r="L3538" s="18"/>
      <c r="M3538" s="23"/>
    </row>
    <row r="3539">
      <c r="A3539" s="11"/>
      <c r="B3539" s="12"/>
      <c r="C3539" s="13"/>
      <c r="E3539" s="6"/>
      <c r="F3539" s="7"/>
      <c r="H3539" s="11"/>
      <c r="J3539" s="18"/>
      <c r="L3539" s="18"/>
      <c r="M3539" s="23"/>
    </row>
    <row r="3540">
      <c r="A3540" s="11"/>
      <c r="B3540" s="12"/>
      <c r="C3540" s="13"/>
      <c r="E3540" s="6"/>
      <c r="F3540" s="7"/>
      <c r="H3540" s="11"/>
      <c r="J3540" s="18"/>
      <c r="L3540" s="18"/>
      <c r="M3540" s="23"/>
    </row>
    <row r="3541">
      <c r="A3541" s="11"/>
      <c r="B3541" s="12"/>
      <c r="C3541" s="13"/>
      <c r="E3541" s="6"/>
      <c r="F3541" s="7"/>
      <c r="H3541" s="11"/>
      <c r="J3541" s="18"/>
      <c r="L3541" s="18"/>
      <c r="M3541" s="23"/>
    </row>
    <row r="3542">
      <c r="A3542" s="11"/>
      <c r="B3542" s="12"/>
      <c r="C3542" s="13"/>
      <c r="E3542" s="6"/>
      <c r="F3542" s="7"/>
      <c r="H3542" s="11"/>
      <c r="J3542" s="18"/>
      <c r="L3542" s="18"/>
      <c r="M3542" s="23"/>
    </row>
    <row r="3543">
      <c r="A3543" s="11"/>
      <c r="B3543" s="12"/>
      <c r="C3543" s="13"/>
      <c r="E3543" s="6"/>
      <c r="F3543" s="7"/>
      <c r="H3543" s="11"/>
      <c r="J3543" s="18"/>
      <c r="L3543" s="18"/>
      <c r="M3543" s="23"/>
    </row>
    <row r="3544">
      <c r="A3544" s="11"/>
      <c r="B3544" s="12"/>
      <c r="C3544" s="13"/>
      <c r="E3544" s="6"/>
      <c r="F3544" s="7"/>
      <c r="H3544" s="11"/>
      <c r="J3544" s="18"/>
      <c r="L3544" s="18"/>
      <c r="M3544" s="23"/>
    </row>
    <row r="3545">
      <c r="A3545" s="11"/>
      <c r="B3545" s="12"/>
      <c r="C3545" s="13"/>
      <c r="E3545" s="6"/>
      <c r="F3545" s="7"/>
      <c r="H3545" s="11"/>
      <c r="J3545" s="18"/>
      <c r="L3545" s="18"/>
      <c r="M3545" s="23"/>
    </row>
    <row r="3546">
      <c r="A3546" s="11"/>
      <c r="B3546" s="12"/>
      <c r="C3546" s="13"/>
      <c r="E3546" s="6"/>
      <c r="F3546" s="7"/>
      <c r="H3546" s="11"/>
      <c r="J3546" s="18"/>
      <c r="L3546" s="18"/>
      <c r="M3546" s="23"/>
    </row>
    <row r="3547">
      <c r="A3547" s="11"/>
      <c r="B3547" s="12"/>
      <c r="C3547" s="13"/>
      <c r="E3547" s="6"/>
      <c r="F3547" s="7"/>
      <c r="H3547" s="11"/>
      <c r="J3547" s="18"/>
      <c r="L3547" s="18"/>
      <c r="M3547" s="23"/>
    </row>
    <row r="3548">
      <c r="A3548" s="11"/>
      <c r="B3548" s="12"/>
      <c r="C3548" s="13"/>
      <c r="E3548" s="6"/>
      <c r="F3548" s="7"/>
      <c r="H3548" s="11"/>
      <c r="J3548" s="18"/>
      <c r="L3548" s="18"/>
      <c r="M3548" s="23"/>
    </row>
    <row r="3549">
      <c r="A3549" s="11"/>
      <c r="B3549" s="12"/>
      <c r="C3549" s="13"/>
      <c r="E3549" s="6"/>
      <c r="F3549" s="7"/>
      <c r="H3549" s="11"/>
      <c r="J3549" s="18"/>
      <c r="L3549" s="18"/>
      <c r="M3549" s="23"/>
    </row>
    <row r="3550">
      <c r="A3550" s="11"/>
      <c r="B3550" s="12"/>
      <c r="C3550" s="13"/>
      <c r="E3550" s="6"/>
      <c r="F3550" s="7"/>
      <c r="H3550" s="11"/>
      <c r="J3550" s="18"/>
      <c r="L3550" s="18"/>
      <c r="M3550" s="23"/>
    </row>
    <row r="3551">
      <c r="A3551" s="11"/>
      <c r="B3551" s="12"/>
      <c r="C3551" s="13"/>
      <c r="E3551" s="6"/>
      <c r="F3551" s="7"/>
      <c r="H3551" s="11"/>
      <c r="J3551" s="18"/>
      <c r="L3551" s="18"/>
      <c r="M3551" s="23"/>
    </row>
    <row r="3552">
      <c r="A3552" s="11"/>
      <c r="B3552" s="12"/>
      <c r="C3552" s="13"/>
      <c r="E3552" s="6"/>
      <c r="F3552" s="7"/>
      <c r="H3552" s="11"/>
      <c r="J3552" s="18"/>
      <c r="L3552" s="18"/>
      <c r="M3552" s="23"/>
    </row>
    <row r="3553">
      <c r="A3553" s="11"/>
      <c r="B3553" s="12"/>
      <c r="C3553" s="13"/>
      <c r="E3553" s="6"/>
      <c r="F3553" s="7"/>
      <c r="H3553" s="11"/>
      <c r="J3553" s="18"/>
      <c r="L3553" s="18"/>
      <c r="M3553" s="23"/>
    </row>
    <row r="3554">
      <c r="A3554" s="11"/>
      <c r="B3554" s="12"/>
      <c r="C3554" s="13"/>
      <c r="E3554" s="6"/>
      <c r="F3554" s="7"/>
      <c r="H3554" s="11"/>
      <c r="J3554" s="18"/>
      <c r="L3554" s="18"/>
      <c r="M3554" s="23"/>
    </row>
    <row r="3555">
      <c r="A3555" s="11"/>
      <c r="B3555" s="12"/>
      <c r="C3555" s="13"/>
      <c r="E3555" s="6"/>
      <c r="F3555" s="7"/>
      <c r="H3555" s="11"/>
      <c r="J3555" s="18"/>
      <c r="L3555" s="18"/>
      <c r="M3555" s="23"/>
    </row>
    <row r="3556">
      <c r="A3556" s="11"/>
      <c r="B3556" s="12"/>
      <c r="C3556" s="13"/>
      <c r="E3556" s="6"/>
      <c r="F3556" s="7"/>
      <c r="H3556" s="11"/>
      <c r="J3556" s="18"/>
      <c r="L3556" s="18"/>
      <c r="M3556" s="23"/>
    </row>
    <row r="3557">
      <c r="A3557" s="11"/>
      <c r="B3557" s="12"/>
      <c r="C3557" s="13"/>
      <c r="E3557" s="6"/>
      <c r="F3557" s="7"/>
      <c r="H3557" s="11"/>
      <c r="J3557" s="18"/>
      <c r="L3557" s="18"/>
      <c r="M3557" s="23"/>
    </row>
    <row r="3558">
      <c r="A3558" s="11"/>
      <c r="B3558" s="12"/>
      <c r="C3558" s="13"/>
      <c r="E3558" s="6"/>
      <c r="F3558" s="7"/>
      <c r="H3558" s="11"/>
      <c r="J3558" s="18"/>
      <c r="L3558" s="18"/>
      <c r="M3558" s="23"/>
    </row>
    <row r="3559">
      <c r="A3559" s="11"/>
      <c r="B3559" s="12"/>
      <c r="C3559" s="13"/>
      <c r="E3559" s="6"/>
      <c r="F3559" s="7"/>
      <c r="H3559" s="11"/>
      <c r="J3559" s="18"/>
      <c r="L3559" s="18"/>
      <c r="M3559" s="23"/>
    </row>
    <row r="3560">
      <c r="A3560" s="11"/>
      <c r="B3560" s="12"/>
      <c r="C3560" s="13"/>
      <c r="E3560" s="6"/>
      <c r="F3560" s="7"/>
      <c r="H3560" s="11"/>
      <c r="J3560" s="18"/>
      <c r="L3560" s="18"/>
      <c r="M3560" s="23"/>
    </row>
    <row r="3561">
      <c r="A3561" s="11"/>
      <c r="B3561" s="12"/>
      <c r="C3561" s="13"/>
      <c r="E3561" s="6"/>
      <c r="F3561" s="7"/>
      <c r="H3561" s="11"/>
      <c r="J3561" s="18"/>
      <c r="L3561" s="18"/>
      <c r="M3561" s="23"/>
    </row>
    <row r="3562">
      <c r="A3562" s="11"/>
      <c r="B3562" s="12"/>
      <c r="C3562" s="13"/>
      <c r="E3562" s="6"/>
      <c r="F3562" s="7"/>
      <c r="H3562" s="11"/>
      <c r="J3562" s="18"/>
      <c r="L3562" s="18"/>
      <c r="M3562" s="23"/>
    </row>
    <row r="3563">
      <c r="A3563" s="11"/>
      <c r="B3563" s="12"/>
      <c r="C3563" s="13"/>
      <c r="E3563" s="6"/>
      <c r="F3563" s="7"/>
      <c r="H3563" s="11"/>
      <c r="J3563" s="18"/>
      <c r="L3563" s="18"/>
      <c r="M3563" s="23"/>
    </row>
    <row r="3564">
      <c r="A3564" s="11"/>
      <c r="B3564" s="12"/>
      <c r="C3564" s="13"/>
      <c r="E3564" s="6"/>
      <c r="F3564" s="7"/>
      <c r="H3564" s="11"/>
      <c r="J3564" s="18"/>
      <c r="L3564" s="18"/>
      <c r="M3564" s="23"/>
    </row>
    <row r="3565">
      <c r="A3565" s="11"/>
      <c r="B3565" s="12"/>
      <c r="C3565" s="13"/>
      <c r="E3565" s="6"/>
      <c r="F3565" s="7"/>
      <c r="H3565" s="11"/>
      <c r="J3565" s="18"/>
      <c r="L3565" s="18"/>
      <c r="M3565" s="23"/>
    </row>
    <row r="3566">
      <c r="A3566" s="11"/>
      <c r="B3566" s="12"/>
      <c r="C3566" s="13"/>
      <c r="E3566" s="6"/>
      <c r="F3566" s="7"/>
      <c r="H3566" s="11"/>
      <c r="J3566" s="18"/>
      <c r="L3566" s="18"/>
      <c r="M3566" s="23"/>
    </row>
    <row r="3567">
      <c r="A3567" s="11"/>
      <c r="B3567" s="12"/>
      <c r="C3567" s="13"/>
      <c r="E3567" s="6"/>
      <c r="F3567" s="7"/>
      <c r="H3567" s="11"/>
      <c r="J3567" s="18"/>
      <c r="L3567" s="18"/>
      <c r="M3567" s="23"/>
    </row>
    <row r="3568">
      <c r="A3568" s="11"/>
      <c r="B3568" s="12"/>
      <c r="C3568" s="13"/>
      <c r="E3568" s="6"/>
      <c r="F3568" s="7"/>
      <c r="H3568" s="11"/>
      <c r="J3568" s="18"/>
      <c r="L3568" s="18"/>
      <c r="M3568" s="23"/>
    </row>
    <row r="3569">
      <c r="A3569" s="11"/>
      <c r="B3569" s="12"/>
      <c r="C3569" s="13"/>
      <c r="E3569" s="6"/>
      <c r="F3569" s="7"/>
      <c r="H3569" s="11"/>
      <c r="J3569" s="18"/>
      <c r="L3569" s="18"/>
      <c r="M3569" s="23"/>
    </row>
    <row r="3570">
      <c r="A3570" s="11"/>
      <c r="B3570" s="12"/>
      <c r="C3570" s="13"/>
      <c r="E3570" s="6"/>
      <c r="F3570" s="7"/>
      <c r="H3570" s="11"/>
      <c r="J3570" s="18"/>
      <c r="L3570" s="18"/>
      <c r="M3570" s="23"/>
    </row>
    <row r="3571">
      <c r="A3571" s="11"/>
      <c r="B3571" s="12"/>
      <c r="C3571" s="13"/>
      <c r="E3571" s="6"/>
      <c r="F3571" s="7"/>
      <c r="H3571" s="11"/>
      <c r="J3571" s="18"/>
      <c r="L3571" s="18"/>
      <c r="M3571" s="23"/>
    </row>
    <row r="3572">
      <c r="A3572" s="11"/>
      <c r="B3572" s="12"/>
      <c r="C3572" s="13"/>
      <c r="E3572" s="6"/>
      <c r="F3572" s="7"/>
      <c r="H3572" s="11"/>
      <c r="J3572" s="18"/>
      <c r="L3572" s="18"/>
      <c r="M3572" s="23"/>
    </row>
    <row r="3573">
      <c r="A3573" s="11"/>
      <c r="B3573" s="12"/>
      <c r="C3573" s="13"/>
      <c r="E3573" s="6"/>
      <c r="F3573" s="7"/>
      <c r="H3573" s="11"/>
      <c r="J3573" s="18"/>
      <c r="L3573" s="18"/>
      <c r="M3573" s="23"/>
    </row>
    <row r="3574">
      <c r="A3574" s="11"/>
      <c r="B3574" s="12"/>
      <c r="C3574" s="13"/>
      <c r="E3574" s="6"/>
      <c r="F3574" s="7"/>
      <c r="H3574" s="11"/>
      <c r="J3574" s="18"/>
      <c r="L3574" s="18"/>
      <c r="M3574" s="23"/>
    </row>
    <row r="3575">
      <c r="A3575" s="11"/>
      <c r="B3575" s="12"/>
      <c r="C3575" s="13"/>
      <c r="E3575" s="6"/>
      <c r="F3575" s="7"/>
      <c r="H3575" s="11"/>
      <c r="J3575" s="18"/>
      <c r="L3575" s="18"/>
      <c r="M3575" s="23"/>
    </row>
    <row r="3576">
      <c r="A3576" s="11"/>
      <c r="B3576" s="12"/>
      <c r="C3576" s="13"/>
      <c r="E3576" s="6"/>
      <c r="F3576" s="7"/>
      <c r="H3576" s="11"/>
      <c r="J3576" s="18"/>
      <c r="L3576" s="18"/>
      <c r="M3576" s="23"/>
    </row>
    <row r="3577">
      <c r="A3577" s="11"/>
      <c r="B3577" s="12"/>
      <c r="C3577" s="13"/>
      <c r="E3577" s="6"/>
      <c r="F3577" s="7"/>
      <c r="H3577" s="11"/>
      <c r="J3577" s="18"/>
      <c r="L3577" s="18"/>
      <c r="M3577" s="23"/>
    </row>
    <row r="3578">
      <c r="A3578" s="11"/>
      <c r="B3578" s="12"/>
      <c r="C3578" s="13"/>
      <c r="E3578" s="6"/>
      <c r="F3578" s="7"/>
      <c r="H3578" s="11"/>
      <c r="J3578" s="18"/>
      <c r="L3578" s="18"/>
      <c r="M3578" s="23"/>
    </row>
    <row r="3579">
      <c r="A3579" s="11"/>
      <c r="B3579" s="12"/>
      <c r="C3579" s="13"/>
      <c r="E3579" s="6"/>
      <c r="F3579" s="7"/>
      <c r="H3579" s="11"/>
      <c r="J3579" s="18"/>
      <c r="L3579" s="18"/>
      <c r="M3579" s="23"/>
    </row>
    <row r="3580">
      <c r="A3580" s="11"/>
      <c r="B3580" s="12"/>
      <c r="C3580" s="13"/>
      <c r="E3580" s="6"/>
      <c r="F3580" s="7"/>
      <c r="H3580" s="11"/>
      <c r="J3580" s="18"/>
      <c r="L3580" s="18"/>
      <c r="M3580" s="23"/>
    </row>
    <row r="3581">
      <c r="A3581" s="11"/>
      <c r="B3581" s="12"/>
      <c r="C3581" s="13"/>
      <c r="E3581" s="6"/>
      <c r="F3581" s="7"/>
      <c r="H3581" s="11"/>
      <c r="J3581" s="18"/>
      <c r="L3581" s="18"/>
      <c r="M3581" s="23"/>
    </row>
    <row r="3582">
      <c r="A3582" s="11"/>
      <c r="B3582" s="12"/>
      <c r="C3582" s="13"/>
      <c r="E3582" s="6"/>
      <c r="F3582" s="7"/>
      <c r="H3582" s="11"/>
      <c r="J3582" s="18"/>
      <c r="L3582" s="18"/>
      <c r="M3582" s="23"/>
    </row>
    <row r="3583">
      <c r="A3583" s="11"/>
      <c r="B3583" s="12"/>
      <c r="C3583" s="13"/>
      <c r="E3583" s="6"/>
      <c r="F3583" s="7"/>
      <c r="H3583" s="11"/>
      <c r="J3583" s="18"/>
      <c r="L3583" s="18"/>
      <c r="M3583" s="23"/>
    </row>
    <row r="3584">
      <c r="A3584" s="11"/>
      <c r="B3584" s="12"/>
      <c r="C3584" s="13"/>
      <c r="E3584" s="6"/>
      <c r="F3584" s="7"/>
      <c r="H3584" s="11"/>
      <c r="J3584" s="18"/>
      <c r="L3584" s="18"/>
      <c r="M3584" s="23"/>
    </row>
    <row r="3585">
      <c r="A3585" s="11"/>
      <c r="B3585" s="12"/>
      <c r="C3585" s="13"/>
      <c r="E3585" s="6"/>
      <c r="F3585" s="7"/>
      <c r="H3585" s="11"/>
      <c r="J3585" s="18"/>
      <c r="L3585" s="18"/>
      <c r="M3585" s="23"/>
    </row>
    <row r="3586">
      <c r="A3586" s="11"/>
      <c r="B3586" s="12"/>
      <c r="C3586" s="13"/>
      <c r="E3586" s="6"/>
      <c r="F3586" s="7"/>
      <c r="H3586" s="11"/>
      <c r="J3586" s="18"/>
      <c r="L3586" s="18"/>
      <c r="M3586" s="23"/>
    </row>
    <row r="3587">
      <c r="A3587" s="11"/>
      <c r="B3587" s="12"/>
      <c r="C3587" s="13"/>
      <c r="E3587" s="6"/>
      <c r="F3587" s="7"/>
      <c r="H3587" s="11"/>
      <c r="J3587" s="18"/>
      <c r="L3587" s="18"/>
      <c r="M3587" s="23"/>
    </row>
    <row r="3588">
      <c r="A3588" s="11"/>
      <c r="B3588" s="12"/>
      <c r="C3588" s="13"/>
      <c r="E3588" s="6"/>
      <c r="F3588" s="7"/>
      <c r="H3588" s="11"/>
      <c r="J3588" s="18"/>
      <c r="L3588" s="18"/>
      <c r="M3588" s="23"/>
    </row>
    <row r="3589">
      <c r="A3589" s="11"/>
      <c r="B3589" s="12"/>
      <c r="C3589" s="13"/>
      <c r="E3589" s="6"/>
      <c r="F3589" s="7"/>
      <c r="H3589" s="11"/>
      <c r="J3589" s="18"/>
      <c r="L3589" s="18"/>
      <c r="M3589" s="23"/>
    </row>
    <row r="3590">
      <c r="A3590" s="11"/>
      <c r="B3590" s="12"/>
      <c r="C3590" s="13"/>
      <c r="E3590" s="6"/>
      <c r="F3590" s="7"/>
      <c r="H3590" s="11"/>
      <c r="J3590" s="18"/>
      <c r="L3590" s="18"/>
      <c r="M3590" s="23"/>
    </row>
    <row r="3591">
      <c r="A3591" s="11"/>
      <c r="B3591" s="12"/>
      <c r="C3591" s="13"/>
      <c r="E3591" s="6"/>
      <c r="F3591" s="7"/>
      <c r="H3591" s="11"/>
      <c r="J3591" s="18"/>
      <c r="L3591" s="18"/>
      <c r="M3591" s="23"/>
    </row>
    <row r="3592">
      <c r="A3592" s="11"/>
      <c r="B3592" s="12"/>
      <c r="C3592" s="13"/>
      <c r="E3592" s="6"/>
      <c r="F3592" s="7"/>
      <c r="H3592" s="11"/>
      <c r="J3592" s="18"/>
      <c r="L3592" s="18"/>
      <c r="M3592" s="23"/>
    </row>
    <row r="3593">
      <c r="A3593" s="11"/>
      <c r="B3593" s="12"/>
      <c r="C3593" s="13"/>
      <c r="E3593" s="6"/>
      <c r="F3593" s="7"/>
      <c r="H3593" s="11"/>
      <c r="J3593" s="18"/>
      <c r="L3593" s="18"/>
      <c r="M3593" s="23"/>
    </row>
    <row r="3594">
      <c r="A3594" s="11"/>
      <c r="B3594" s="12"/>
      <c r="C3594" s="13"/>
      <c r="E3594" s="6"/>
      <c r="F3594" s="7"/>
      <c r="H3594" s="11"/>
      <c r="J3594" s="18"/>
      <c r="L3594" s="18"/>
      <c r="M3594" s="23"/>
    </row>
    <row r="3595">
      <c r="A3595" s="11"/>
      <c r="B3595" s="12"/>
      <c r="C3595" s="13"/>
      <c r="E3595" s="6"/>
      <c r="F3595" s="7"/>
      <c r="H3595" s="11"/>
      <c r="J3595" s="18"/>
      <c r="L3595" s="18"/>
      <c r="M3595" s="23"/>
    </row>
    <row r="3596">
      <c r="A3596" s="11"/>
      <c r="B3596" s="12"/>
      <c r="C3596" s="13"/>
      <c r="E3596" s="6"/>
      <c r="F3596" s="7"/>
      <c r="H3596" s="11"/>
      <c r="J3596" s="18"/>
      <c r="L3596" s="18"/>
      <c r="M3596" s="23"/>
    </row>
    <row r="3597">
      <c r="A3597" s="11"/>
      <c r="B3597" s="12"/>
      <c r="C3597" s="13"/>
      <c r="E3597" s="6"/>
      <c r="F3597" s="7"/>
      <c r="H3597" s="11"/>
      <c r="J3597" s="18"/>
      <c r="L3597" s="18"/>
      <c r="M3597" s="23"/>
    </row>
    <row r="3598">
      <c r="A3598" s="11"/>
      <c r="B3598" s="12"/>
      <c r="C3598" s="13"/>
      <c r="E3598" s="6"/>
      <c r="F3598" s="7"/>
      <c r="H3598" s="11"/>
      <c r="J3598" s="18"/>
      <c r="L3598" s="18"/>
      <c r="M3598" s="23"/>
    </row>
    <row r="3599">
      <c r="A3599" s="11"/>
      <c r="B3599" s="12"/>
      <c r="C3599" s="13"/>
      <c r="E3599" s="6"/>
      <c r="F3599" s="7"/>
      <c r="H3599" s="11"/>
      <c r="J3599" s="18"/>
      <c r="L3599" s="18"/>
      <c r="M3599" s="23"/>
    </row>
    <row r="3600">
      <c r="A3600" s="11"/>
      <c r="B3600" s="12"/>
      <c r="C3600" s="13"/>
      <c r="E3600" s="6"/>
      <c r="F3600" s="7"/>
      <c r="H3600" s="11"/>
      <c r="J3600" s="18"/>
      <c r="L3600" s="18"/>
      <c r="M3600" s="23"/>
    </row>
    <row r="3601">
      <c r="A3601" s="11"/>
      <c r="B3601" s="12"/>
      <c r="C3601" s="13"/>
      <c r="E3601" s="6"/>
      <c r="F3601" s="7"/>
      <c r="H3601" s="11"/>
      <c r="J3601" s="18"/>
      <c r="L3601" s="18"/>
      <c r="M3601" s="23"/>
    </row>
    <row r="3602">
      <c r="A3602" s="11"/>
      <c r="B3602" s="12"/>
      <c r="C3602" s="13"/>
      <c r="E3602" s="6"/>
      <c r="F3602" s="7"/>
      <c r="H3602" s="11"/>
      <c r="J3602" s="18"/>
      <c r="L3602" s="18"/>
      <c r="M3602" s="23"/>
    </row>
    <row r="3603">
      <c r="A3603" s="11"/>
      <c r="B3603" s="12"/>
      <c r="C3603" s="13"/>
      <c r="E3603" s="6"/>
      <c r="F3603" s="7"/>
      <c r="H3603" s="11"/>
      <c r="J3603" s="18"/>
      <c r="L3603" s="18"/>
      <c r="M3603" s="23"/>
    </row>
    <row r="3604">
      <c r="A3604" s="11"/>
      <c r="B3604" s="12"/>
      <c r="C3604" s="13"/>
      <c r="E3604" s="6"/>
      <c r="F3604" s="7"/>
      <c r="H3604" s="11"/>
      <c r="J3604" s="18"/>
      <c r="L3604" s="18"/>
      <c r="M3604" s="23"/>
    </row>
    <row r="3605">
      <c r="A3605" s="11"/>
      <c r="B3605" s="12"/>
      <c r="C3605" s="13"/>
      <c r="E3605" s="6"/>
      <c r="F3605" s="7"/>
      <c r="H3605" s="11"/>
      <c r="J3605" s="18"/>
      <c r="L3605" s="18"/>
      <c r="M3605" s="23"/>
    </row>
    <row r="3606">
      <c r="A3606" s="11"/>
      <c r="B3606" s="12"/>
      <c r="C3606" s="13"/>
      <c r="E3606" s="6"/>
      <c r="F3606" s="7"/>
      <c r="H3606" s="11"/>
      <c r="J3606" s="18"/>
      <c r="L3606" s="18"/>
      <c r="M3606" s="23"/>
    </row>
    <row r="3607">
      <c r="A3607" s="11"/>
      <c r="B3607" s="12"/>
      <c r="C3607" s="13"/>
      <c r="E3607" s="6"/>
      <c r="F3607" s="7"/>
      <c r="H3607" s="11"/>
      <c r="J3607" s="18"/>
      <c r="L3607" s="18"/>
      <c r="M3607" s="23"/>
    </row>
    <row r="3608">
      <c r="A3608" s="11"/>
      <c r="B3608" s="12"/>
      <c r="C3608" s="13"/>
      <c r="E3608" s="6"/>
      <c r="F3608" s="7"/>
      <c r="H3608" s="11"/>
      <c r="J3608" s="18"/>
      <c r="L3608" s="18"/>
      <c r="M3608" s="23"/>
    </row>
    <row r="3609">
      <c r="A3609" s="11"/>
      <c r="B3609" s="12"/>
      <c r="C3609" s="13"/>
      <c r="E3609" s="6"/>
      <c r="F3609" s="7"/>
      <c r="H3609" s="11"/>
      <c r="J3609" s="18"/>
      <c r="L3609" s="18"/>
      <c r="M3609" s="23"/>
    </row>
    <row r="3610">
      <c r="A3610" s="11"/>
      <c r="B3610" s="12"/>
      <c r="C3610" s="13"/>
      <c r="E3610" s="6"/>
      <c r="F3610" s="7"/>
      <c r="H3610" s="11"/>
      <c r="J3610" s="18"/>
      <c r="L3610" s="18"/>
      <c r="M3610" s="23"/>
    </row>
    <row r="3611">
      <c r="A3611" s="11"/>
      <c r="B3611" s="12"/>
      <c r="C3611" s="13"/>
      <c r="E3611" s="6"/>
      <c r="F3611" s="7"/>
      <c r="H3611" s="11"/>
      <c r="J3611" s="18"/>
      <c r="L3611" s="18"/>
      <c r="M3611" s="23"/>
    </row>
    <row r="3612">
      <c r="A3612" s="11"/>
      <c r="B3612" s="12"/>
      <c r="C3612" s="13"/>
      <c r="E3612" s="6"/>
      <c r="F3612" s="7"/>
      <c r="H3612" s="11"/>
      <c r="J3612" s="18"/>
      <c r="L3612" s="18"/>
      <c r="M3612" s="23"/>
    </row>
    <row r="3613">
      <c r="A3613" s="11"/>
      <c r="B3613" s="12"/>
      <c r="C3613" s="13"/>
      <c r="E3613" s="6"/>
      <c r="F3613" s="7"/>
      <c r="H3613" s="11"/>
      <c r="J3613" s="18"/>
      <c r="L3613" s="18"/>
      <c r="M3613" s="23"/>
    </row>
    <row r="3614">
      <c r="A3614" s="11"/>
      <c r="B3614" s="12"/>
      <c r="C3614" s="13"/>
      <c r="E3614" s="6"/>
      <c r="F3614" s="7"/>
      <c r="H3614" s="11"/>
      <c r="J3614" s="18"/>
      <c r="L3614" s="18"/>
      <c r="M3614" s="23"/>
    </row>
    <row r="3615">
      <c r="A3615" s="11"/>
      <c r="B3615" s="12"/>
      <c r="C3615" s="13"/>
      <c r="E3615" s="6"/>
      <c r="F3615" s="7"/>
      <c r="H3615" s="11"/>
      <c r="J3615" s="18"/>
      <c r="L3615" s="18"/>
      <c r="M3615" s="23"/>
    </row>
    <row r="3616">
      <c r="A3616" s="11"/>
      <c r="B3616" s="12"/>
      <c r="C3616" s="13"/>
      <c r="E3616" s="6"/>
      <c r="F3616" s="7"/>
      <c r="H3616" s="11"/>
      <c r="J3616" s="18"/>
      <c r="L3616" s="18"/>
      <c r="M3616" s="23"/>
    </row>
    <row r="3617">
      <c r="A3617" s="11"/>
      <c r="B3617" s="12"/>
      <c r="C3617" s="13"/>
      <c r="E3617" s="6"/>
      <c r="F3617" s="7"/>
      <c r="H3617" s="11"/>
      <c r="J3617" s="18"/>
      <c r="L3617" s="18"/>
      <c r="M3617" s="23"/>
    </row>
    <row r="3618">
      <c r="A3618" s="11"/>
      <c r="B3618" s="12"/>
      <c r="C3618" s="13"/>
      <c r="E3618" s="6"/>
      <c r="F3618" s="7"/>
      <c r="H3618" s="11"/>
      <c r="J3618" s="18"/>
      <c r="L3618" s="18"/>
      <c r="M3618" s="23"/>
    </row>
    <row r="3619">
      <c r="A3619" s="11"/>
      <c r="B3619" s="12"/>
      <c r="C3619" s="13"/>
      <c r="E3619" s="6"/>
      <c r="F3619" s="7"/>
      <c r="H3619" s="11"/>
      <c r="J3619" s="18"/>
      <c r="L3619" s="18"/>
      <c r="M3619" s="23"/>
    </row>
    <row r="3620">
      <c r="A3620" s="11"/>
      <c r="B3620" s="12"/>
      <c r="C3620" s="13"/>
      <c r="E3620" s="6"/>
      <c r="F3620" s="7"/>
      <c r="H3620" s="11"/>
      <c r="J3620" s="18"/>
      <c r="L3620" s="18"/>
      <c r="M3620" s="23"/>
    </row>
    <row r="3621">
      <c r="A3621" s="11"/>
      <c r="B3621" s="12"/>
      <c r="C3621" s="13"/>
      <c r="E3621" s="6"/>
      <c r="F3621" s="7"/>
      <c r="H3621" s="11"/>
      <c r="J3621" s="18"/>
      <c r="L3621" s="18"/>
      <c r="M3621" s="23"/>
    </row>
    <row r="3622">
      <c r="A3622" s="11"/>
      <c r="B3622" s="12"/>
      <c r="C3622" s="13"/>
      <c r="E3622" s="6"/>
      <c r="F3622" s="7"/>
      <c r="H3622" s="11"/>
      <c r="J3622" s="18"/>
      <c r="L3622" s="18"/>
      <c r="M3622" s="23"/>
    </row>
    <row r="3623">
      <c r="A3623" s="11"/>
      <c r="B3623" s="12"/>
      <c r="C3623" s="13"/>
      <c r="E3623" s="6"/>
      <c r="F3623" s="7"/>
      <c r="H3623" s="11"/>
      <c r="J3623" s="18"/>
      <c r="L3623" s="18"/>
      <c r="M3623" s="23"/>
    </row>
    <row r="3624">
      <c r="A3624" s="11"/>
      <c r="B3624" s="12"/>
      <c r="C3624" s="13"/>
      <c r="E3624" s="6"/>
      <c r="F3624" s="7"/>
      <c r="H3624" s="11"/>
      <c r="J3624" s="18"/>
      <c r="L3624" s="18"/>
      <c r="M3624" s="23"/>
    </row>
    <row r="3625">
      <c r="A3625" s="11"/>
      <c r="B3625" s="12"/>
      <c r="C3625" s="13"/>
      <c r="E3625" s="6"/>
      <c r="F3625" s="7"/>
      <c r="H3625" s="11"/>
      <c r="J3625" s="18"/>
      <c r="L3625" s="18"/>
      <c r="M3625" s="23"/>
    </row>
    <row r="3626">
      <c r="A3626" s="11"/>
      <c r="B3626" s="12"/>
      <c r="C3626" s="13"/>
      <c r="E3626" s="6"/>
      <c r="F3626" s="7"/>
      <c r="H3626" s="11"/>
      <c r="J3626" s="18"/>
      <c r="L3626" s="18"/>
      <c r="M3626" s="23"/>
    </row>
    <row r="3627">
      <c r="A3627" s="11"/>
      <c r="B3627" s="12"/>
      <c r="C3627" s="13"/>
      <c r="E3627" s="6"/>
      <c r="F3627" s="7"/>
      <c r="H3627" s="11"/>
      <c r="J3627" s="18"/>
      <c r="L3627" s="18"/>
      <c r="M3627" s="23"/>
    </row>
    <row r="3628">
      <c r="A3628" s="11"/>
      <c r="B3628" s="12"/>
      <c r="C3628" s="13"/>
      <c r="E3628" s="6"/>
      <c r="F3628" s="7"/>
      <c r="H3628" s="11"/>
      <c r="J3628" s="18"/>
      <c r="L3628" s="18"/>
      <c r="M3628" s="23"/>
    </row>
    <row r="3629">
      <c r="A3629" s="11"/>
      <c r="B3629" s="12"/>
      <c r="C3629" s="13"/>
      <c r="E3629" s="6"/>
      <c r="F3629" s="7"/>
      <c r="H3629" s="11"/>
      <c r="J3629" s="18"/>
      <c r="L3629" s="18"/>
      <c r="M3629" s="23"/>
    </row>
    <row r="3630">
      <c r="A3630" s="11"/>
      <c r="B3630" s="12"/>
      <c r="C3630" s="13"/>
      <c r="E3630" s="6"/>
      <c r="F3630" s="7"/>
      <c r="H3630" s="11"/>
      <c r="J3630" s="18"/>
      <c r="L3630" s="18"/>
      <c r="M3630" s="23"/>
    </row>
    <row r="3631">
      <c r="A3631" s="11"/>
      <c r="B3631" s="12"/>
      <c r="C3631" s="13"/>
      <c r="E3631" s="6"/>
      <c r="F3631" s="7"/>
      <c r="H3631" s="11"/>
      <c r="J3631" s="18"/>
      <c r="L3631" s="18"/>
      <c r="M3631" s="23"/>
    </row>
    <row r="3632">
      <c r="A3632" s="11"/>
      <c r="B3632" s="12"/>
      <c r="C3632" s="13"/>
      <c r="E3632" s="6"/>
      <c r="F3632" s="7"/>
      <c r="H3632" s="11"/>
      <c r="J3632" s="18"/>
      <c r="L3632" s="18"/>
      <c r="M3632" s="23"/>
    </row>
    <row r="3633">
      <c r="A3633" s="11"/>
      <c r="B3633" s="12"/>
      <c r="C3633" s="13"/>
      <c r="E3633" s="6"/>
      <c r="F3633" s="7"/>
      <c r="H3633" s="11"/>
      <c r="J3633" s="18"/>
      <c r="L3633" s="18"/>
      <c r="M3633" s="23"/>
    </row>
    <row r="3634">
      <c r="A3634" s="11"/>
      <c r="B3634" s="12"/>
      <c r="C3634" s="13"/>
      <c r="E3634" s="6"/>
      <c r="F3634" s="7"/>
      <c r="H3634" s="11"/>
      <c r="J3634" s="18"/>
      <c r="L3634" s="18"/>
      <c r="M3634" s="23"/>
    </row>
    <row r="3635">
      <c r="A3635" s="11"/>
      <c r="B3635" s="12"/>
      <c r="C3635" s="13"/>
      <c r="E3635" s="6"/>
      <c r="F3635" s="7"/>
      <c r="H3635" s="11"/>
      <c r="J3635" s="18"/>
      <c r="L3635" s="18"/>
      <c r="M3635" s="23"/>
    </row>
    <row r="3636">
      <c r="A3636" s="11"/>
      <c r="B3636" s="12"/>
      <c r="C3636" s="13"/>
      <c r="E3636" s="6"/>
      <c r="F3636" s="7"/>
      <c r="H3636" s="11"/>
      <c r="J3636" s="18"/>
      <c r="L3636" s="18"/>
      <c r="M3636" s="23"/>
    </row>
    <row r="3637">
      <c r="A3637" s="11"/>
      <c r="B3637" s="12"/>
      <c r="C3637" s="13"/>
      <c r="E3637" s="6"/>
      <c r="F3637" s="7"/>
      <c r="H3637" s="11"/>
      <c r="J3637" s="18"/>
      <c r="L3637" s="18"/>
      <c r="M3637" s="23"/>
    </row>
    <row r="3638">
      <c r="A3638" s="11"/>
      <c r="B3638" s="12"/>
      <c r="C3638" s="13"/>
      <c r="E3638" s="6"/>
      <c r="F3638" s="7"/>
      <c r="H3638" s="11"/>
      <c r="J3638" s="18"/>
      <c r="L3638" s="18"/>
      <c r="M3638" s="23"/>
    </row>
    <row r="3639">
      <c r="A3639" s="11"/>
      <c r="B3639" s="12"/>
      <c r="C3639" s="13"/>
      <c r="E3639" s="6"/>
      <c r="F3639" s="7"/>
      <c r="H3639" s="11"/>
      <c r="J3639" s="18"/>
      <c r="L3639" s="18"/>
      <c r="M3639" s="23"/>
    </row>
    <row r="3640">
      <c r="A3640" s="11"/>
      <c r="B3640" s="12"/>
      <c r="C3640" s="13"/>
      <c r="E3640" s="6"/>
      <c r="F3640" s="7"/>
      <c r="H3640" s="11"/>
      <c r="J3640" s="18"/>
      <c r="L3640" s="18"/>
      <c r="M3640" s="23"/>
    </row>
    <row r="3641">
      <c r="A3641" s="11"/>
      <c r="B3641" s="12"/>
      <c r="C3641" s="13"/>
      <c r="E3641" s="6"/>
      <c r="F3641" s="7"/>
      <c r="H3641" s="11"/>
      <c r="J3641" s="18"/>
      <c r="L3641" s="18"/>
      <c r="M3641" s="23"/>
    </row>
    <row r="3642">
      <c r="A3642" s="11"/>
      <c r="B3642" s="12"/>
      <c r="C3642" s="13"/>
      <c r="E3642" s="6"/>
      <c r="F3642" s="7"/>
      <c r="H3642" s="11"/>
      <c r="J3642" s="18"/>
      <c r="L3642" s="18"/>
      <c r="M3642" s="23"/>
    </row>
    <row r="3643">
      <c r="A3643" s="11"/>
      <c r="B3643" s="12"/>
      <c r="C3643" s="13"/>
      <c r="E3643" s="6"/>
      <c r="F3643" s="7"/>
      <c r="H3643" s="11"/>
      <c r="J3643" s="18"/>
      <c r="L3643" s="18"/>
      <c r="M3643" s="23"/>
    </row>
    <row r="3644">
      <c r="A3644" s="11"/>
      <c r="B3644" s="12"/>
      <c r="C3644" s="13"/>
      <c r="E3644" s="6"/>
      <c r="F3644" s="7"/>
      <c r="H3644" s="11"/>
      <c r="J3644" s="18"/>
      <c r="L3644" s="18"/>
      <c r="M3644" s="23"/>
    </row>
    <row r="3645">
      <c r="A3645" s="11"/>
      <c r="B3645" s="12"/>
      <c r="C3645" s="13"/>
      <c r="E3645" s="6"/>
      <c r="F3645" s="7"/>
      <c r="H3645" s="11"/>
      <c r="J3645" s="18"/>
      <c r="L3645" s="18"/>
      <c r="M3645" s="23"/>
    </row>
    <row r="3646">
      <c r="A3646" s="11"/>
      <c r="B3646" s="12"/>
      <c r="C3646" s="13"/>
      <c r="E3646" s="6"/>
      <c r="F3646" s="7"/>
      <c r="H3646" s="11"/>
      <c r="J3646" s="18"/>
      <c r="L3646" s="18"/>
      <c r="M3646" s="23"/>
    </row>
    <row r="3647">
      <c r="A3647" s="11"/>
      <c r="B3647" s="12"/>
      <c r="C3647" s="13"/>
      <c r="E3647" s="6"/>
      <c r="F3647" s="7"/>
      <c r="H3647" s="11"/>
      <c r="J3647" s="18"/>
      <c r="L3647" s="18"/>
      <c r="M3647" s="23"/>
    </row>
    <row r="3648">
      <c r="A3648" s="11"/>
      <c r="B3648" s="12"/>
      <c r="C3648" s="13"/>
      <c r="E3648" s="6"/>
      <c r="F3648" s="7"/>
      <c r="H3648" s="11"/>
      <c r="J3648" s="18"/>
      <c r="L3648" s="18"/>
      <c r="M3648" s="23"/>
    </row>
    <row r="3649">
      <c r="A3649" s="11"/>
      <c r="B3649" s="12"/>
      <c r="C3649" s="13"/>
      <c r="E3649" s="6"/>
      <c r="F3649" s="7"/>
      <c r="H3649" s="11"/>
      <c r="J3649" s="18"/>
      <c r="L3649" s="18"/>
      <c r="M3649" s="23"/>
    </row>
    <row r="3650">
      <c r="A3650" s="11"/>
      <c r="B3650" s="12"/>
      <c r="C3650" s="13"/>
      <c r="E3650" s="6"/>
      <c r="F3650" s="7"/>
      <c r="H3650" s="11"/>
      <c r="J3650" s="18"/>
      <c r="L3650" s="18"/>
      <c r="M3650" s="23"/>
    </row>
    <row r="3651">
      <c r="A3651" s="11"/>
      <c r="B3651" s="12"/>
      <c r="C3651" s="13"/>
      <c r="E3651" s="6"/>
      <c r="F3651" s="7"/>
      <c r="H3651" s="11"/>
      <c r="J3651" s="18"/>
      <c r="L3651" s="18"/>
      <c r="M3651" s="23"/>
    </row>
    <row r="3652">
      <c r="A3652" s="11"/>
      <c r="B3652" s="12"/>
      <c r="C3652" s="13"/>
      <c r="E3652" s="6"/>
      <c r="F3652" s="7"/>
      <c r="H3652" s="11"/>
      <c r="J3652" s="18"/>
      <c r="L3652" s="18"/>
      <c r="M3652" s="23"/>
    </row>
    <row r="3653">
      <c r="A3653" s="11"/>
      <c r="B3653" s="12"/>
      <c r="C3653" s="13"/>
      <c r="E3653" s="6"/>
      <c r="F3653" s="7"/>
      <c r="H3653" s="11"/>
      <c r="J3653" s="18"/>
      <c r="L3653" s="18"/>
      <c r="M3653" s="23"/>
    </row>
    <row r="3654">
      <c r="A3654" s="11"/>
      <c r="B3654" s="12"/>
      <c r="C3654" s="13"/>
      <c r="E3654" s="6"/>
      <c r="F3654" s="7"/>
      <c r="H3654" s="11"/>
      <c r="J3654" s="18"/>
      <c r="L3654" s="18"/>
      <c r="M3654" s="23"/>
    </row>
    <row r="3655">
      <c r="A3655" s="11"/>
      <c r="B3655" s="12"/>
      <c r="C3655" s="13"/>
      <c r="E3655" s="6"/>
      <c r="F3655" s="7"/>
      <c r="H3655" s="11"/>
      <c r="J3655" s="18"/>
      <c r="L3655" s="18"/>
      <c r="M3655" s="23"/>
    </row>
    <row r="3656">
      <c r="A3656" s="11"/>
      <c r="B3656" s="12"/>
      <c r="C3656" s="13"/>
      <c r="E3656" s="6"/>
      <c r="F3656" s="7"/>
      <c r="H3656" s="11"/>
      <c r="J3656" s="18"/>
      <c r="L3656" s="18"/>
      <c r="M3656" s="23"/>
    </row>
    <row r="3657">
      <c r="A3657" s="11"/>
      <c r="B3657" s="12"/>
      <c r="C3657" s="13"/>
      <c r="E3657" s="6"/>
      <c r="F3657" s="7"/>
      <c r="H3657" s="11"/>
      <c r="J3657" s="18"/>
      <c r="L3657" s="18"/>
      <c r="M3657" s="23"/>
    </row>
    <row r="3658">
      <c r="A3658" s="11"/>
      <c r="B3658" s="12"/>
      <c r="C3658" s="13"/>
      <c r="E3658" s="6"/>
      <c r="F3658" s="7"/>
      <c r="H3658" s="11"/>
      <c r="J3658" s="18"/>
      <c r="L3658" s="18"/>
      <c r="M3658" s="23"/>
    </row>
    <row r="3659">
      <c r="A3659" s="11"/>
      <c r="B3659" s="12"/>
      <c r="C3659" s="13"/>
      <c r="E3659" s="6"/>
      <c r="F3659" s="7"/>
      <c r="H3659" s="11"/>
      <c r="J3659" s="18"/>
      <c r="L3659" s="18"/>
      <c r="M3659" s="23"/>
    </row>
    <row r="3660">
      <c r="A3660" s="11"/>
      <c r="B3660" s="12"/>
      <c r="C3660" s="13"/>
      <c r="E3660" s="6"/>
      <c r="F3660" s="7"/>
      <c r="H3660" s="11"/>
      <c r="J3660" s="18"/>
      <c r="L3660" s="18"/>
      <c r="M3660" s="23"/>
    </row>
    <row r="3661">
      <c r="A3661" s="11"/>
      <c r="B3661" s="12"/>
      <c r="C3661" s="13"/>
      <c r="E3661" s="6"/>
      <c r="F3661" s="7"/>
      <c r="H3661" s="11"/>
      <c r="J3661" s="18"/>
      <c r="L3661" s="18"/>
      <c r="M3661" s="23"/>
    </row>
    <row r="3662">
      <c r="A3662" s="11"/>
      <c r="B3662" s="12"/>
      <c r="C3662" s="13"/>
      <c r="E3662" s="6"/>
      <c r="F3662" s="7"/>
      <c r="H3662" s="11"/>
      <c r="J3662" s="18"/>
      <c r="L3662" s="18"/>
      <c r="M3662" s="23"/>
    </row>
    <row r="3663">
      <c r="A3663" s="11"/>
      <c r="B3663" s="12"/>
      <c r="C3663" s="13"/>
      <c r="E3663" s="6"/>
      <c r="F3663" s="7"/>
      <c r="H3663" s="11"/>
      <c r="J3663" s="18"/>
      <c r="L3663" s="18"/>
      <c r="M3663" s="23"/>
    </row>
    <row r="3664">
      <c r="A3664" s="11"/>
      <c r="B3664" s="12"/>
      <c r="C3664" s="13"/>
      <c r="E3664" s="6"/>
      <c r="F3664" s="7"/>
      <c r="H3664" s="11"/>
      <c r="J3664" s="18"/>
      <c r="L3664" s="18"/>
      <c r="M3664" s="23"/>
    </row>
    <row r="3665">
      <c r="A3665" s="11"/>
      <c r="B3665" s="12"/>
      <c r="C3665" s="13"/>
      <c r="E3665" s="6"/>
      <c r="F3665" s="7"/>
      <c r="H3665" s="11"/>
      <c r="J3665" s="18"/>
      <c r="L3665" s="18"/>
      <c r="M3665" s="23"/>
    </row>
    <row r="3666">
      <c r="A3666" s="11"/>
      <c r="B3666" s="12"/>
      <c r="C3666" s="13"/>
      <c r="E3666" s="6"/>
      <c r="F3666" s="7"/>
      <c r="H3666" s="11"/>
      <c r="J3666" s="18"/>
      <c r="L3666" s="18"/>
      <c r="M3666" s="23"/>
    </row>
    <row r="3667">
      <c r="A3667" s="11"/>
      <c r="B3667" s="12"/>
      <c r="C3667" s="13"/>
      <c r="E3667" s="6"/>
      <c r="F3667" s="7"/>
      <c r="H3667" s="11"/>
      <c r="J3667" s="18"/>
      <c r="L3667" s="18"/>
      <c r="M3667" s="23"/>
    </row>
    <row r="3668">
      <c r="A3668" s="11"/>
      <c r="B3668" s="12"/>
      <c r="C3668" s="13"/>
      <c r="E3668" s="6"/>
      <c r="F3668" s="7"/>
      <c r="H3668" s="11"/>
      <c r="J3668" s="18"/>
      <c r="L3668" s="18"/>
      <c r="M3668" s="23"/>
    </row>
    <row r="3669">
      <c r="A3669" s="11"/>
      <c r="B3669" s="12"/>
      <c r="C3669" s="13"/>
      <c r="E3669" s="6"/>
      <c r="F3669" s="7"/>
      <c r="H3669" s="11"/>
      <c r="J3669" s="18"/>
      <c r="L3669" s="18"/>
      <c r="M3669" s="23"/>
    </row>
    <row r="3670">
      <c r="A3670" s="11"/>
      <c r="B3670" s="12"/>
      <c r="C3670" s="13"/>
      <c r="E3670" s="6"/>
      <c r="F3670" s="7"/>
      <c r="H3670" s="11"/>
      <c r="J3670" s="18"/>
      <c r="L3670" s="18"/>
      <c r="M3670" s="23"/>
    </row>
    <row r="3671">
      <c r="A3671" s="11"/>
      <c r="B3671" s="12"/>
      <c r="C3671" s="13"/>
      <c r="E3671" s="6"/>
      <c r="F3671" s="7"/>
      <c r="H3671" s="11"/>
      <c r="J3671" s="18"/>
      <c r="L3671" s="18"/>
      <c r="M3671" s="23"/>
    </row>
    <row r="3672">
      <c r="A3672" s="11"/>
      <c r="B3672" s="12"/>
      <c r="C3672" s="13"/>
      <c r="E3672" s="6"/>
      <c r="F3672" s="7"/>
      <c r="H3672" s="11"/>
      <c r="J3672" s="18"/>
      <c r="L3672" s="18"/>
      <c r="M3672" s="23"/>
    </row>
    <row r="3673">
      <c r="A3673" s="11"/>
      <c r="B3673" s="12"/>
      <c r="C3673" s="13"/>
      <c r="E3673" s="6"/>
      <c r="F3673" s="7"/>
      <c r="H3673" s="11"/>
      <c r="J3673" s="18"/>
      <c r="L3673" s="18"/>
      <c r="M3673" s="23"/>
    </row>
    <row r="3674">
      <c r="A3674" s="11"/>
      <c r="B3674" s="12"/>
      <c r="C3674" s="13"/>
      <c r="E3674" s="6"/>
      <c r="F3674" s="7"/>
      <c r="H3674" s="11"/>
      <c r="J3674" s="18"/>
      <c r="L3674" s="18"/>
      <c r="M3674" s="23"/>
    </row>
    <row r="3675">
      <c r="A3675" s="11"/>
      <c r="B3675" s="12"/>
      <c r="C3675" s="13"/>
      <c r="E3675" s="6"/>
      <c r="F3675" s="7"/>
      <c r="H3675" s="11"/>
      <c r="J3675" s="18"/>
      <c r="L3675" s="18"/>
      <c r="M3675" s="23"/>
    </row>
    <row r="3676">
      <c r="A3676" s="11"/>
      <c r="B3676" s="12"/>
      <c r="C3676" s="13"/>
      <c r="E3676" s="6"/>
      <c r="F3676" s="7"/>
      <c r="H3676" s="11"/>
      <c r="J3676" s="18"/>
      <c r="L3676" s="18"/>
      <c r="M3676" s="23"/>
    </row>
    <row r="3677">
      <c r="A3677" s="11"/>
      <c r="B3677" s="12"/>
      <c r="C3677" s="13"/>
      <c r="E3677" s="6"/>
      <c r="F3677" s="7"/>
      <c r="H3677" s="11"/>
      <c r="J3677" s="18"/>
      <c r="L3677" s="18"/>
      <c r="M3677" s="23"/>
    </row>
    <row r="3678">
      <c r="A3678" s="11"/>
      <c r="B3678" s="12"/>
      <c r="C3678" s="13"/>
      <c r="E3678" s="6"/>
      <c r="F3678" s="7"/>
      <c r="H3678" s="11"/>
      <c r="J3678" s="18"/>
      <c r="L3678" s="18"/>
      <c r="M3678" s="23"/>
    </row>
    <row r="3679">
      <c r="A3679" s="11"/>
      <c r="B3679" s="12"/>
      <c r="C3679" s="13"/>
      <c r="E3679" s="6"/>
      <c r="F3679" s="7"/>
      <c r="H3679" s="11"/>
      <c r="J3679" s="18"/>
      <c r="L3679" s="18"/>
      <c r="M3679" s="23"/>
    </row>
    <row r="3680">
      <c r="A3680" s="11"/>
      <c r="B3680" s="12"/>
      <c r="C3680" s="13"/>
      <c r="E3680" s="6"/>
      <c r="F3680" s="7"/>
      <c r="H3680" s="11"/>
      <c r="J3680" s="18"/>
      <c r="L3680" s="18"/>
      <c r="M3680" s="23"/>
    </row>
    <row r="3681">
      <c r="A3681" s="11"/>
      <c r="B3681" s="12"/>
      <c r="C3681" s="13"/>
      <c r="E3681" s="6"/>
      <c r="F3681" s="7"/>
      <c r="H3681" s="11"/>
      <c r="J3681" s="18"/>
      <c r="L3681" s="18"/>
      <c r="M3681" s="23"/>
    </row>
    <row r="3682">
      <c r="A3682" s="11"/>
      <c r="B3682" s="12"/>
      <c r="C3682" s="13"/>
      <c r="E3682" s="6"/>
      <c r="F3682" s="7"/>
      <c r="H3682" s="11"/>
      <c r="J3682" s="18"/>
      <c r="L3682" s="18"/>
      <c r="M3682" s="23"/>
    </row>
    <row r="3683">
      <c r="A3683" s="11"/>
      <c r="B3683" s="12"/>
      <c r="C3683" s="13"/>
      <c r="E3683" s="6"/>
      <c r="F3683" s="7"/>
      <c r="H3683" s="11"/>
      <c r="J3683" s="18"/>
      <c r="L3683" s="18"/>
      <c r="M3683" s="23"/>
    </row>
    <row r="3684">
      <c r="A3684" s="11"/>
      <c r="B3684" s="12"/>
      <c r="C3684" s="13"/>
      <c r="E3684" s="6"/>
      <c r="F3684" s="7"/>
      <c r="H3684" s="11"/>
      <c r="J3684" s="18"/>
      <c r="L3684" s="18"/>
      <c r="M3684" s="23"/>
    </row>
    <row r="3685">
      <c r="A3685" s="11"/>
      <c r="B3685" s="12"/>
      <c r="C3685" s="13"/>
      <c r="E3685" s="6"/>
      <c r="F3685" s="7"/>
      <c r="H3685" s="11"/>
      <c r="J3685" s="18"/>
      <c r="L3685" s="18"/>
      <c r="M3685" s="23"/>
    </row>
    <row r="3686">
      <c r="A3686" s="11"/>
      <c r="B3686" s="12"/>
      <c r="C3686" s="13"/>
      <c r="E3686" s="6"/>
      <c r="F3686" s="7"/>
      <c r="H3686" s="11"/>
      <c r="J3686" s="18"/>
      <c r="L3686" s="18"/>
      <c r="M3686" s="23"/>
    </row>
    <row r="3687">
      <c r="A3687" s="11"/>
      <c r="B3687" s="12"/>
      <c r="C3687" s="13"/>
      <c r="E3687" s="6"/>
      <c r="F3687" s="7"/>
      <c r="H3687" s="11"/>
      <c r="J3687" s="18"/>
      <c r="L3687" s="18"/>
      <c r="M3687" s="23"/>
    </row>
    <row r="3688">
      <c r="A3688" s="11"/>
      <c r="B3688" s="12"/>
      <c r="C3688" s="13"/>
      <c r="E3688" s="6"/>
      <c r="F3688" s="7"/>
      <c r="H3688" s="11"/>
      <c r="J3688" s="18"/>
      <c r="L3688" s="18"/>
      <c r="M3688" s="23"/>
    </row>
    <row r="3689">
      <c r="A3689" s="11"/>
      <c r="B3689" s="12"/>
      <c r="C3689" s="13"/>
      <c r="E3689" s="6"/>
      <c r="F3689" s="7"/>
      <c r="H3689" s="11"/>
      <c r="J3689" s="18"/>
      <c r="L3689" s="18"/>
      <c r="M3689" s="23"/>
    </row>
    <row r="3690">
      <c r="A3690" s="11"/>
      <c r="B3690" s="12"/>
      <c r="C3690" s="13"/>
      <c r="E3690" s="6"/>
      <c r="F3690" s="7"/>
      <c r="H3690" s="11"/>
      <c r="J3690" s="18"/>
      <c r="L3690" s="18"/>
      <c r="M3690" s="23"/>
    </row>
    <row r="3691">
      <c r="A3691" s="11"/>
      <c r="B3691" s="12"/>
      <c r="C3691" s="13"/>
      <c r="E3691" s="6"/>
      <c r="F3691" s="7"/>
      <c r="H3691" s="11"/>
      <c r="J3691" s="18"/>
      <c r="L3691" s="18"/>
      <c r="M3691" s="23"/>
    </row>
    <row r="3692">
      <c r="A3692" s="11"/>
      <c r="B3692" s="12"/>
      <c r="C3692" s="13"/>
      <c r="E3692" s="6"/>
      <c r="F3692" s="7"/>
      <c r="H3692" s="11"/>
      <c r="J3692" s="18"/>
      <c r="L3692" s="18"/>
      <c r="M3692" s="23"/>
    </row>
    <row r="3693">
      <c r="A3693" s="11"/>
      <c r="B3693" s="12"/>
      <c r="C3693" s="13"/>
      <c r="E3693" s="6"/>
      <c r="F3693" s="7"/>
      <c r="H3693" s="11"/>
      <c r="J3693" s="18"/>
      <c r="L3693" s="18"/>
      <c r="M3693" s="23"/>
    </row>
    <row r="3694">
      <c r="A3694" s="11"/>
      <c r="B3694" s="12"/>
      <c r="C3694" s="13"/>
      <c r="E3694" s="6"/>
      <c r="F3694" s="7"/>
      <c r="H3694" s="11"/>
      <c r="J3694" s="18"/>
      <c r="L3694" s="18"/>
      <c r="M3694" s="23"/>
    </row>
    <row r="3695">
      <c r="A3695" s="11"/>
      <c r="B3695" s="12"/>
      <c r="C3695" s="13"/>
      <c r="E3695" s="6"/>
      <c r="F3695" s="7"/>
      <c r="H3695" s="11"/>
      <c r="J3695" s="18"/>
      <c r="L3695" s="18"/>
      <c r="M3695" s="23"/>
    </row>
    <row r="3696">
      <c r="A3696" s="11"/>
      <c r="B3696" s="12"/>
      <c r="C3696" s="13"/>
      <c r="E3696" s="6"/>
      <c r="F3696" s="7"/>
      <c r="H3696" s="11"/>
      <c r="J3696" s="18"/>
      <c r="L3696" s="18"/>
      <c r="M3696" s="23"/>
    </row>
    <row r="3697">
      <c r="A3697" s="11"/>
      <c r="B3697" s="12"/>
      <c r="C3697" s="13"/>
      <c r="E3697" s="6"/>
      <c r="F3697" s="7"/>
      <c r="H3697" s="11"/>
      <c r="J3697" s="18"/>
      <c r="L3697" s="18"/>
      <c r="M3697" s="23"/>
    </row>
    <row r="3698">
      <c r="A3698" s="11"/>
      <c r="B3698" s="12"/>
      <c r="C3698" s="13"/>
      <c r="E3698" s="6"/>
      <c r="F3698" s="7"/>
      <c r="H3698" s="11"/>
      <c r="J3698" s="18"/>
      <c r="L3698" s="18"/>
      <c r="M3698" s="23"/>
    </row>
    <row r="3699">
      <c r="A3699" s="11"/>
      <c r="B3699" s="12"/>
      <c r="C3699" s="13"/>
      <c r="E3699" s="6"/>
      <c r="F3699" s="7"/>
      <c r="H3699" s="11"/>
      <c r="J3699" s="18"/>
      <c r="L3699" s="18"/>
      <c r="M3699" s="23"/>
    </row>
    <row r="3700">
      <c r="A3700" s="11"/>
      <c r="B3700" s="12"/>
      <c r="C3700" s="13"/>
      <c r="E3700" s="6"/>
      <c r="F3700" s="7"/>
      <c r="H3700" s="11"/>
      <c r="J3700" s="18"/>
      <c r="L3700" s="18"/>
      <c r="M3700" s="23"/>
    </row>
    <row r="3701">
      <c r="A3701" s="11"/>
      <c r="B3701" s="12"/>
      <c r="C3701" s="13"/>
      <c r="E3701" s="6"/>
      <c r="F3701" s="7"/>
      <c r="H3701" s="11"/>
      <c r="J3701" s="18"/>
      <c r="L3701" s="18"/>
      <c r="M3701" s="23"/>
    </row>
    <row r="3702">
      <c r="A3702" s="11"/>
      <c r="B3702" s="12"/>
      <c r="C3702" s="13"/>
      <c r="E3702" s="6"/>
      <c r="F3702" s="7"/>
      <c r="H3702" s="11"/>
      <c r="J3702" s="18"/>
      <c r="L3702" s="18"/>
      <c r="M3702" s="23"/>
    </row>
    <row r="3703">
      <c r="A3703" s="11"/>
      <c r="B3703" s="12"/>
      <c r="C3703" s="13"/>
      <c r="E3703" s="6"/>
      <c r="F3703" s="7"/>
      <c r="H3703" s="11"/>
      <c r="J3703" s="18"/>
      <c r="L3703" s="18"/>
      <c r="M3703" s="23"/>
    </row>
    <row r="3704">
      <c r="A3704" s="11"/>
      <c r="B3704" s="12"/>
      <c r="C3704" s="13"/>
      <c r="E3704" s="6"/>
      <c r="F3704" s="7"/>
      <c r="H3704" s="11"/>
      <c r="J3704" s="18"/>
      <c r="L3704" s="18"/>
      <c r="M3704" s="23"/>
    </row>
    <row r="3705">
      <c r="A3705" s="11"/>
      <c r="B3705" s="12"/>
      <c r="C3705" s="13"/>
      <c r="E3705" s="6"/>
      <c r="F3705" s="7"/>
      <c r="H3705" s="11"/>
      <c r="J3705" s="18"/>
      <c r="L3705" s="18"/>
      <c r="M3705" s="23"/>
    </row>
    <row r="3706">
      <c r="A3706" s="11"/>
      <c r="B3706" s="12"/>
      <c r="C3706" s="13"/>
      <c r="E3706" s="6"/>
      <c r="F3706" s="7"/>
      <c r="H3706" s="11"/>
      <c r="J3706" s="18"/>
      <c r="L3706" s="18"/>
      <c r="M3706" s="23"/>
    </row>
    <row r="3707">
      <c r="A3707" s="11"/>
      <c r="B3707" s="12"/>
      <c r="C3707" s="13"/>
      <c r="E3707" s="6"/>
      <c r="F3707" s="7"/>
      <c r="H3707" s="11"/>
      <c r="J3707" s="18"/>
      <c r="L3707" s="18"/>
      <c r="M3707" s="23"/>
    </row>
    <row r="3708">
      <c r="A3708" s="11"/>
      <c r="B3708" s="12"/>
      <c r="C3708" s="13"/>
      <c r="E3708" s="6"/>
      <c r="F3708" s="7"/>
      <c r="H3708" s="11"/>
      <c r="J3708" s="18"/>
      <c r="L3708" s="18"/>
      <c r="M3708" s="23"/>
    </row>
    <row r="3709">
      <c r="A3709" s="11"/>
      <c r="B3709" s="12"/>
      <c r="C3709" s="13"/>
      <c r="E3709" s="6"/>
      <c r="F3709" s="7"/>
      <c r="H3709" s="11"/>
      <c r="J3709" s="18"/>
      <c r="L3709" s="18"/>
      <c r="M3709" s="23"/>
    </row>
    <row r="3710">
      <c r="A3710" s="11"/>
      <c r="B3710" s="12"/>
      <c r="C3710" s="13"/>
      <c r="E3710" s="6"/>
      <c r="F3710" s="7"/>
      <c r="H3710" s="11"/>
      <c r="J3710" s="18"/>
      <c r="L3710" s="18"/>
      <c r="M3710" s="23"/>
    </row>
    <row r="3711">
      <c r="A3711" s="11"/>
      <c r="B3711" s="12"/>
      <c r="C3711" s="13"/>
      <c r="E3711" s="6"/>
      <c r="F3711" s="7"/>
      <c r="H3711" s="11"/>
      <c r="J3711" s="18"/>
      <c r="L3711" s="18"/>
      <c r="M3711" s="23"/>
    </row>
    <row r="3712">
      <c r="A3712" s="11"/>
      <c r="B3712" s="12"/>
      <c r="C3712" s="13"/>
      <c r="E3712" s="6"/>
      <c r="F3712" s="7"/>
      <c r="H3712" s="11"/>
      <c r="J3712" s="18"/>
      <c r="L3712" s="18"/>
      <c r="M3712" s="23"/>
    </row>
    <row r="3713">
      <c r="A3713" s="11"/>
      <c r="B3713" s="12"/>
      <c r="C3713" s="13"/>
      <c r="E3713" s="6"/>
      <c r="F3713" s="7"/>
      <c r="H3713" s="11"/>
      <c r="J3713" s="18"/>
      <c r="L3713" s="18"/>
      <c r="M3713" s="23"/>
    </row>
    <row r="3714">
      <c r="A3714" s="11"/>
      <c r="B3714" s="12"/>
      <c r="C3714" s="13"/>
      <c r="E3714" s="6"/>
      <c r="F3714" s="7"/>
      <c r="H3714" s="11"/>
      <c r="J3714" s="18"/>
      <c r="L3714" s="18"/>
      <c r="M3714" s="23"/>
    </row>
    <row r="3715">
      <c r="A3715" s="11"/>
      <c r="B3715" s="12"/>
      <c r="C3715" s="13"/>
      <c r="E3715" s="6"/>
      <c r="F3715" s="7"/>
      <c r="H3715" s="11"/>
      <c r="J3715" s="18"/>
      <c r="L3715" s="18"/>
      <c r="M3715" s="23"/>
    </row>
    <row r="3716">
      <c r="A3716" s="11"/>
      <c r="B3716" s="12"/>
      <c r="C3716" s="13"/>
      <c r="E3716" s="6"/>
      <c r="F3716" s="7"/>
      <c r="H3716" s="11"/>
      <c r="J3716" s="18"/>
      <c r="L3716" s="18"/>
      <c r="M3716" s="23"/>
    </row>
    <row r="3717">
      <c r="A3717" s="11"/>
      <c r="B3717" s="12"/>
      <c r="C3717" s="13"/>
      <c r="E3717" s="6"/>
      <c r="F3717" s="7"/>
      <c r="H3717" s="11"/>
      <c r="J3717" s="18"/>
      <c r="L3717" s="18"/>
      <c r="M3717" s="23"/>
    </row>
    <row r="3718">
      <c r="A3718" s="11"/>
      <c r="B3718" s="12"/>
      <c r="C3718" s="13"/>
      <c r="E3718" s="6"/>
      <c r="F3718" s="7"/>
      <c r="H3718" s="11"/>
      <c r="J3718" s="18"/>
      <c r="L3718" s="18"/>
      <c r="M3718" s="23"/>
    </row>
    <row r="3719">
      <c r="A3719" s="11"/>
      <c r="B3719" s="12"/>
      <c r="C3719" s="13"/>
      <c r="E3719" s="6"/>
      <c r="F3719" s="7"/>
      <c r="H3719" s="11"/>
      <c r="J3719" s="18"/>
      <c r="L3719" s="18"/>
      <c r="M3719" s="23"/>
    </row>
    <row r="3720">
      <c r="A3720" s="11"/>
      <c r="B3720" s="12"/>
      <c r="C3720" s="13"/>
      <c r="E3720" s="6"/>
      <c r="F3720" s="7"/>
      <c r="H3720" s="11"/>
      <c r="J3720" s="18"/>
      <c r="L3720" s="18"/>
      <c r="M3720" s="23"/>
    </row>
    <row r="3721">
      <c r="A3721" s="11"/>
      <c r="B3721" s="12"/>
      <c r="C3721" s="13"/>
      <c r="E3721" s="6"/>
      <c r="F3721" s="7"/>
      <c r="H3721" s="11"/>
      <c r="J3721" s="18"/>
      <c r="L3721" s="18"/>
      <c r="M3721" s="23"/>
    </row>
    <row r="3722">
      <c r="A3722" s="11"/>
      <c r="B3722" s="12"/>
      <c r="C3722" s="13"/>
      <c r="E3722" s="6"/>
      <c r="F3722" s="7"/>
      <c r="H3722" s="11"/>
      <c r="J3722" s="18"/>
      <c r="L3722" s="18"/>
      <c r="M3722" s="23"/>
    </row>
    <row r="3723">
      <c r="A3723" s="11"/>
      <c r="B3723" s="12"/>
      <c r="C3723" s="13"/>
      <c r="E3723" s="6"/>
      <c r="F3723" s="7"/>
      <c r="H3723" s="11"/>
      <c r="J3723" s="18"/>
      <c r="L3723" s="18"/>
      <c r="M3723" s="23"/>
    </row>
    <row r="3724">
      <c r="A3724" s="11"/>
      <c r="B3724" s="12"/>
      <c r="C3724" s="13"/>
      <c r="E3724" s="6"/>
      <c r="F3724" s="7"/>
      <c r="H3724" s="11"/>
      <c r="J3724" s="18"/>
      <c r="L3724" s="18"/>
      <c r="M3724" s="23"/>
    </row>
    <row r="3725">
      <c r="A3725" s="11"/>
      <c r="B3725" s="12"/>
      <c r="C3725" s="13"/>
      <c r="E3725" s="6"/>
      <c r="F3725" s="7"/>
      <c r="H3725" s="11"/>
      <c r="J3725" s="18"/>
      <c r="L3725" s="18"/>
      <c r="M3725" s="23"/>
    </row>
    <row r="3726">
      <c r="A3726" s="11"/>
      <c r="B3726" s="12"/>
      <c r="C3726" s="13"/>
      <c r="E3726" s="6"/>
      <c r="F3726" s="7"/>
      <c r="H3726" s="11"/>
      <c r="J3726" s="18"/>
      <c r="L3726" s="18"/>
      <c r="M3726" s="23"/>
    </row>
    <row r="3727">
      <c r="A3727" s="11"/>
      <c r="B3727" s="12"/>
      <c r="C3727" s="13"/>
      <c r="E3727" s="6"/>
      <c r="F3727" s="7"/>
      <c r="H3727" s="11"/>
      <c r="J3727" s="18"/>
      <c r="L3727" s="18"/>
      <c r="M3727" s="23"/>
    </row>
    <row r="3728">
      <c r="A3728" s="11"/>
      <c r="B3728" s="12"/>
      <c r="C3728" s="13"/>
      <c r="E3728" s="6"/>
      <c r="F3728" s="7"/>
      <c r="H3728" s="11"/>
      <c r="J3728" s="18"/>
      <c r="L3728" s="18"/>
      <c r="M3728" s="23"/>
    </row>
    <row r="3729">
      <c r="A3729" s="11"/>
      <c r="B3729" s="12"/>
      <c r="C3729" s="13"/>
      <c r="E3729" s="6"/>
      <c r="F3729" s="7"/>
      <c r="H3729" s="11"/>
      <c r="J3729" s="18"/>
      <c r="L3729" s="18"/>
      <c r="M3729" s="23"/>
    </row>
    <row r="3730">
      <c r="A3730" s="11"/>
      <c r="B3730" s="12"/>
      <c r="C3730" s="13"/>
      <c r="E3730" s="6"/>
      <c r="F3730" s="7"/>
      <c r="H3730" s="11"/>
      <c r="J3730" s="18"/>
      <c r="L3730" s="18"/>
      <c r="M3730" s="23"/>
    </row>
    <row r="3731">
      <c r="A3731" s="11"/>
      <c r="B3731" s="12"/>
      <c r="C3731" s="13"/>
      <c r="E3731" s="6"/>
      <c r="F3731" s="7"/>
      <c r="H3731" s="11"/>
      <c r="J3731" s="18"/>
      <c r="L3731" s="18"/>
      <c r="M3731" s="23"/>
    </row>
    <row r="3732">
      <c r="A3732" s="11"/>
      <c r="B3732" s="12"/>
      <c r="C3732" s="13"/>
      <c r="E3732" s="6"/>
      <c r="F3732" s="7"/>
      <c r="H3732" s="11"/>
      <c r="J3732" s="18"/>
      <c r="L3732" s="18"/>
      <c r="M3732" s="23"/>
    </row>
    <row r="3733">
      <c r="A3733" s="11"/>
      <c r="B3733" s="12"/>
      <c r="C3733" s="13"/>
      <c r="E3733" s="6"/>
      <c r="F3733" s="7"/>
      <c r="H3733" s="11"/>
      <c r="J3733" s="18"/>
      <c r="L3733" s="18"/>
      <c r="M3733" s="23"/>
    </row>
    <row r="3734">
      <c r="A3734" s="11"/>
      <c r="B3734" s="12"/>
      <c r="C3734" s="13"/>
      <c r="E3734" s="6"/>
      <c r="F3734" s="7"/>
      <c r="H3734" s="11"/>
      <c r="J3734" s="18"/>
      <c r="L3734" s="18"/>
      <c r="M3734" s="23"/>
    </row>
    <row r="3735">
      <c r="A3735" s="11"/>
      <c r="B3735" s="12"/>
      <c r="C3735" s="13"/>
      <c r="E3735" s="6"/>
      <c r="F3735" s="7"/>
      <c r="H3735" s="11"/>
      <c r="J3735" s="18"/>
      <c r="L3735" s="18"/>
      <c r="M3735" s="23"/>
    </row>
    <row r="3736">
      <c r="A3736" s="11"/>
      <c r="B3736" s="12"/>
      <c r="C3736" s="13"/>
      <c r="E3736" s="6"/>
      <c r="F3736" s="7"/>
      <c r="H3736" s="11"/>
      <c r="J3736" s="18"/>
      <c r="L3736" s="18"/>
      <c r="M3736" s="23"/>
    </row>
    <row r="3737">
      <c r="A3737" s="11"/>
      <c r="B3737" s="12"/>
      <c r="C3737" s="13"/>
      <c r="E3737" s="6"/>
      <c r="F3737" s="7"/>
      <c r="H3737" s="11"/>
      <c r="J3737" s="18"/>
      <c r="L3737" s="18"/>
      <c r="M3737" s="23"/>
    </row>
    <row r="3738">
      <c r="A3738" s="11"/>
      <c r="B3738" s="12"/>
      <c r="C3738" s="13"/>
      <c r="E3738" s="6"/>
      <c r="F3738" s="7"/>
      <c r="H3738" s="11"/>
      <c r="J3738" s="18"/>
      <c r="L3738" s="18"/>
      <c r="M3738" s="23"/>
    </row>
    <row r="3739">
      <c r="A3739" s="11"/>
      <c r="B3739" s="12"/>
      <c r="C3739" s="13"/>
      <c r="E3739" s="6"/>
      <c r="F3739" s="7"/>
      <c r="H3739" s="11"/>
      <c r="J3739" s="18"/>
      <c r="L3739" s="18"/>
      <c r="M3739" s="23"/>
    </row>
    <row r="3740">
      <c r="A3740" s="11"/>
      <c r="B3740" s="12"/>
      <c r="C3740" s="13"/>
      <c r="E3740" s="6"/>
      <c r="F3740" s="7"/>
      <c r="H3740" s="11"/>
      <c r="J3740" s="18"/>
      <c r="L3740" s="18"/>
      <c r="M3740" s="23"/>
    </row>
    <row r="3741">
      <c r="A3741" s="11"/>
      <c r="B3741" s="12"/>
      <c r="C3741" s="13"/>
      <c r="E3741" s="6"/>
      <c r="F3741" s="7"/>
      <c r="H3741" s="11"/>
      <c r="J3741" s="18"/>
      <c r="L3741" s="18"/>
      <c r="M3741" s="23"/>
    </row>
    <row r="3742">
      <c r="A3742" s="11"/>
      <c r="B3742" s="12"/>
      <c r="C3742" s="13"/>
      <c r="E3742" s="6"/>
      <c r="F3742" s="7"/>
      <c r="H3742" s="11"/>
      <c r="J3742" s="18"/>
      <c r="L3742" s="18"/>
      <c r="M3742" s="23"/>
    </row>
    <row r="3743">
      <c r="A3743" s="11"/>
      <c r="B3743" s="12"/>
      <c r="C3743" s="13"/>
      <c r="E3743" s="6"/>
      <c r="F3743" s="7"/>
      <c r="H3743" s="11"/>
      <c r="J3743" s="18"/>
      <c r="L3743" s="18"/>
      <c r="M3743" s="23"/>
    </row>
    <row r="3744">
      <c r="A3744" s="11"/>
      <c r="B3744" s="12"/>
      <c r="C3744" s="13"/>
      <c r="E3744" s="6"/>
      <c r="F3744" s="7"/>
      <c r="H3744" s="11"/>
      <c r="J3744" s="18"/>
      <c r="L3744" s="18"/>
      <c r="M3744" s="23"/>
    </row>
    <row r="3745">
      <c r="A3745" s="11"/>
      <c r="B3745" s="12"/>
      <c r="C3745" s="13"/>
      <c r="E3745" s="6"/>
      <c r="F3745" s="7"/>
      <c r="H3745" s="11"/>
      <c r="J3745" s="18"/>
      <c r="L3745" s="18"/>
      <c r="M3745" s="23"/>
    </row>
    <row r="3746">
      <c r="A3746" s="11"/>
      <c r="B3746" s="12"/>
      <c r="C3746" s="13"/>
      <c r="E3746" s="6"/>
      <c r="F3746" s="7"/>
      <c r="H3746" s="11"/>
      <c r="J3746" s="18"/>
      <c r="L3746" s="18"/>
      <c r="M3746" s="23"/>
    </row>
    <row r="3747">
      <c r="A3747" s="11"/>
      <c r="B3747" s="12"/>
      <c r="C3747" s="13"/>
      <c r="E3747" s="6"/>
      <c r="F3747" s="7"/>
      <c r="H3747" s="11"/>
      <c r="J3747" s="18"/>
      <c r="L3747" s="18"/>
      <c r="M3747" s="23"/>
    </row>
    <row r="3748">
      <c r="A3748" s="11"/>
      <c r="B3748" s="12"/>
      <c r="C3748" s="13"/>
      <c r="E3748" s="6"/>
      <c r="F3748" s="7"/>
      <c r="H3748" s="11"/>
      <c r="J3748" s="18"/>
      <c r="L3748" s="18"/>
      <c r="M3748" s="23"/>
    </row>
    <row r="3749">
      <c r="A3749" s="11"/>
      <c r="B3749" s="12"/>
      <c r="C3749" s="13"/>
      <c r="E3749" s="6"/>
      <c r="F3749" s="7"/>
      <c r="H3749" s="11"/>
      <c r="J3749" s="18"/>
      <c r="L3749" s="18"/>
      <c r="M3749" s="23"/>
    </row>
    <row r="3750">
      <c r="A3750" s="11"/>
      <c r="B3750" s="12"/>
      <c r="C3750" s="13"/>
      <c r="E3750" s="6"/>
      <c r="F3750" s="7"/>
      <c r="H3750" s="11"/>
      <c r="J3750" s="18"/>
      <c r="L3750" s="18"/>
      <c r="M3750" s="23"/>
    </row>
    <row r="3751">
      <c r="A3751" s="11"/>
      <c r="B3751" s="12"/>
      <c r="C3751" s="13"/>
      <c r="E3751" s="6"/>
      <c r="F3751" s="7"/>
      <c r="H3751" s="11"/>
      <c r="J3751" s="18"/>
      <c r="L3751" s="18"/>
      <c r="M3751" s="23"/>
    </row>
    <row r="3752">
      <c r="A3752" s="11"/>
      <c r="B3752" s="12"/>
      <c r="C3752" s="13"/>
      <c r="E3752" s="6"/>
      <c r="F3752" s="7"/>
      <c r="H3752" s="11"/>
      <c r="J3752" s="18"/>
      <c r="L3752" s="18"/>
      <c r="M3752" s="23"/>
    </row>
    <row r="3753">
      <c r="A3753" s="11"/>
      <c r="B3753" s="12"/>
      <c r="C3753" s="13"/>
      <c r="E3753" s="6"/>
      <c r="F3753" s="7"/>
      <c r="H3753" s="11"/>
      <c r="J3753" s="18"/>
      <c r="L3753" s="18"/>
      <c r="M3753" s="23"/>
    </row>
    <row r="3754">
      <c r="A3754" s="11"/>
      <c r="B3754" s="12"/>
      <c r="C3754" s="13"/>
      <c r="E3754" s="6"/>
      <c r="F3754" s="7"/>
      <c r="H3754" s="11"/>
      <c r="J3754" s="18"/>
      <c r="L3754" s="18"/>
      <c r="M3754" s="23"/>
    </row>
    <row r="3755">
      <c r="A3755" s="11"/>
      <c r="B3755" s="12"/>
      <c r="C3755" s="13"/>
      <c r="E3755" s="6"/>
      <c r="F3755" s="7"/>
      <c r="H3755" s="11"/>
      <c r="J3755" s="18"/>
      <c r="L3755" s="18"/>
      <c r="M3755" s="23"/>
    </row>
    <row r="3756">
      <c r="A3756" s="11"/>
      <c r="B3756" s="12"/>
      <c r="C3756" s="13"/>
      <c r="E3756" s="6"/>
      <c r="F3756" s="7"/>
      <c r="H3756" s="11"/>
      <c r="J3756" s="18"/>
      <c r="L3756" s="18"/>
      <c r="M3756" s="23"/>
    </row>
    <row r="3757">
      <c r="A3757" s="11"/>
      <c r="B3757" s="12"/>
      <c r="C3757" s="13"/>
      <c r="E3757" s="6"/>
      <c r="F3757" s="7"/>
      <c r="H3757" s="11"/>
      <c r="J3757" s="18"/>
      <c r="L3757" s="18"/>
      <c r="M3757" s="23"/>
    </row>
    <row r="3758">
      <c r="A3758" s="11"/>
      <c r="B3758" s="12"/>
      <c r="C3758" s="13"/>
      <c r="E3758" s="6"/>
      <c r="F3758" s="7"/>
      <c r="H3758" s="11"/>
      <c r="J3758" s="18"/>
      <c r="L3758" s="18"/>
      <c r="M3758" s="23"/>
    </row>
    <row r="3759">
      <c r="A3759" s="11"/>
      <c r="B3759" s="12"/>
      <c r="C3759" s="13"/>
      <c r="E3759" s="6"/>
      <c r="F3759" s="7"/>
      <c r="H3759" s="11"/>
      <c r="J3759" s="18"/>
      <c r="L3759" s="18"/>
      <c r="M3759" s="23"/>
    </row>
    <row r="3760">
      <c r="A3760" s="11"/>
      <c r="B3760" s="12"/>
      <c r="C3760" s="13"/>
      <c r="E3760" s="6"/>
      <c r="F3760" s="7"/>
      <c r="H3760" s="11"/>
      <c r="J3760" s="18"/>
      <c r="L3760" s="18"/>
      <c r="M3760" s="23"/>
    </row>
    <row r="3761">
      <c r="A3761" s="11"/>
      <c r="B3761" s="12"/>
      <c r="C3761" s="13"/>
      <c r="E3761" s="6"/>
      <c r="F3761" s="7"/>
      <c r="H3761" s="11"/>
      <c r="J3761" s="18"/>
      <c r="L3761" s="18"/>
      <c r="M3761" s="23"/>
    </row>
    <row r="3762">
      <c r="A3762" s="11"/>
      <c r="B3762" s="12"/>
      <c r="C3762" s="13"/>
      <c r="E3762" s="6"/>
      <c r="F3762" s="7"/>
      <c r="H3762" s="11"/>
      <c r="J3762" s="18"/>
      <c r="L3762" s="18"/>
      <c r="M3762" s="23"/>
    </row>
    <row r="3763">
      <c r="A3763" s="11"/>
      <c r="B3763" s="12"/>
      <c r="C3763" s="13"/>
      <c r="E3763" s="6"/>
      <c r="F3763" s="7"/>
      <c r="H3763" s="11"/>
      <c r="J3763" s="18"/>
      <c r="L3763" s="18"/>
      <c r="M3763" s="23"/>
    </row>
    <row r="3764">
      <c r="A3764" s="11"/>
      <c r="B3764" s="12"/>
      <c r="C3764" s="13"/>
      <c r="E3764" s="6"/>
      <c r="F3764" s="7"/>
      <c r="H3764" s="11"/>
      <c r="J3764" s="18"/>
      <c r="L3764" s="18"/>
      <c r="M3764" s="23"/>
    </row>
    <row r="3765">
      <c r="A3765" s="11"/>
      <c r="B3765" s="12"/>
      <c r="C3765" s="13"/>
      <c r="E3765" s="6"/>
      <c r="F3765" s="7"/>
      <c r="H3765" s="11"/>
      <c r="J3765" s="18"/>
      <c r="L3765" s="18"/>
      <c r="M3765" s="23"/>
    </row>
    <row r="3766">
      <c r="A3766" s="11"/>
      <c r="B3766" s="12"/>
      <c r="C3766" s="13"/>
      <c r="E3766" s="6"/>
      <c r="F3766" s="7"/>
      <c r="H3766" s="11"/>
      <c r="J3766" s="18"/>
      <c r="L3766" s="18"/>
      <c r="M3766" s="23"/>
    </row>
    <row r="3767">
      <c r="A3767" s="11"/>
      <c r="B3767" s="12"/>
      <c r="C3767" s="13"/>
      <c r="E3767" s="6"/>
      <c r="F3767" s="7"/>
      <c r="H3767" s="11"/>
      <c r="J3767" s="18"/>
      <c r="L3767" s="18"/>
      <c r="M3767" s="23"/>
    </row>
    <row r="3768">
      <c r="A3768" s="11"/>
      <c r="B3768" s="12"/>
      <c r="C3768" s="13"/>
      <c r="E3768" s="6"/>
      <c r="F3768" s="7"/>
      <c r="H3768" s="11"/>
      <c r="J3768" s="18"/>
      <c r="L3768" s="18"/>
      <c r="M3768" s="23"/>
    </row>
    <row r="3769">
      <c r="A3769" s="11"/>
      <c r="B3769" s="12"/>
      <c r="C3769" s="13"/>
      <c r="E3769" s="6"/>
      <c r="F3769" s="7"/>
      <c r="H3769" s="11"/>
      <c r="J3769" s="18"/>
      <c r="L3769" s="18"/>
      <c r="M3769" s="23"/>
    </row>
    <row r="3770">
      <c r="A3770" s="11"/>
      <c r="B3770" s="12"/>
      <c r="C3770" s="13"/>
      <c r="E3770" s="6"/>
      <c r="F3770" s="7"/>
      <c r="H3770" s="11"/>
      <c r="J3770" s="18"/>
      <c r="L3770" s="18"/>
      <c r="M3770" s="23"/>
    </row>
    <row r="3771">
      <c r="A3771" s="11"/>
      <c r="B3771" s="12"/>
      <c r="C3771" s="13"/>
      <c r="E3771" s="6"/>
      <c r="F3771" s="7"/>
      <c r="H3771" s="11"/>
      <c r="J3771" s="18"/>
      <c r="L3771" s="18"/>
      <c r="M3771" s="23"/>
    </row>
    <row r="3772">
      <c r="A3772" s="11"/>
      <c r="B3772" s="12"/>
      <c r="C3772" s="13"/>
      <c r="E3772" s="6"/>
      <c r="F3772" s="7"/>
      <c r="H3772" s="11"/>
      <c r="J3772" s="18"/>
      <c r="L3772" s="18"/>
      <c r="M3772" s="23"/>
    </row>
    <row r="3773">
      <c r="A3773" s="11"/>
      <c r="B3773" s="12"/>
      <c r="C3773" s="13"/>
      <c r="E3773" s="6"/>
      <c r="F3773" s="7"/>
      <c r="H3773" s="11"/>
      <c r="J3773" s="18"/>
      <c r="L3773" s="18"/>
      <c r="M3773" s="23"/>
    </row>
    <row r="3774">
      <c r="A3774" s="11"/>
      <c r="B3774" s="12"/>
      <c r="C3774" s="13"/>
      <c r="E3774" s="6"/>
      <c r="F3774" s="7"/>
      <c r="H3774" s="11"/>
      <c r="J3774" s="18"/>
      <c r="L3774" s="18"/>
      <c r="M3774" s="23"/>
    </row>
    <row r="3775">
      <c r="A3775" s="11"/>
      <c r="B3775" s="12"/>
      <c r="C3775" s="13"/>
      <c r="E3775" s="6"/>
      <c r="F3775" s="7"/>
      <c r="H3775" s="11"/>
      <c r="J3775" s="18"/>
      <c r="L3775" s="18"/>
      <c r="M3775" s="23"/>
    </row>
    <row r="3776">
      <c r="A3776" s="11"/>
      <c r="B3776" s="12"/>
      <c r="C3776" s="13"/>
      <c r="E3776" s="6"/>
      <c r="F3776" s="7"/>
      <c r="H3776" s="11"/>
      <c r="J3776" s="18"/>
      <c r="L3776" s="18"/>
      <c r="M3776" s="23"/>
    </row>
    <row r="3777">
      <c r="A3777" s="11"/>
      <c r="B3777" s="12"/>
      <c r="C3777" s="13"/>
      <c r="E3777" s="6"/>
      <c r="F3777" s="7"/>
      <c r="H3777" s="11"/>
      <c r="J3777" s="18"/>
      <c r="L3777" s="18"/>
      <c r="M3777" s="23"/>
    </row>
    <row r="3778">
      <c r="A3778" s="11"/>
      <c r="B3778" s="12"/>
      <c r="C3778" s="13"/>
      <c r="E3778" s="6"/>
      <c r="F3778" s="7"/>
      <c r="H3778" s="11"/>
      <c r="J3778" s="18"/>
      <c r="L3778" s="18"/>
      <c r="M3778" s="23"/>
    </row>
    <row r="3779">
      <c r="A3779" s="11"/>
      <c r="B3779" s="12"/>
      <c r="C3779" s="13"/>
      <c r="E3779" s="6"/>
      <c r="F3779" s="7"/>
      <c r="H3779" s="11"/>
      <c r="J3779" s="18"/>
      <c r="L3779" s="18"/>
      <c r="M3779" s="23"/>
    </row>
    <row r="3780">
      <c r="A3780" s="11"/>
      <c r="B3780" s="12"/>
      <c r="C3780" s="13"/>
      <c r="E3780" s="6"/>
      <c r="F3780" s="7"/>
      <c r="H3780" s="11"/>
      <c r="J3780" s="18"/>
      <c r="L3780" s="18"/>
      <c r="M3780" s="23"/>
    </row>
    <row r="3781">
      <c r="A3781" s="11"/>
      <c r="B3781" s="12"/>
      <c r="C3781" s="13"/>
      <c r="E3781" s="6"/>
      <c r="F3781" s="7"/>
      <c r="H3781" s="11"/>
      <c r="J3781" s="18"/>
      <c r="L3781" s="18"/>
      <c r="M3781" s="23"/>
    </row>
    <row r="3782">
      <c r="A3782" s="11"/>
      <c r="B3782" s="12"/>
      <c r="C3782" s="13"/>
      <c r="E3782" s="6"/>
      <c r="F3782" s="7"/>
      <c r="H3782" s="11"/>
      <c r="J3782" s="18"/>
      <c r="L3782" s="18"/>
      <c r="M3782" s="23"/>
    </row>
    <row r="3783">
      <c r="A3783" s="11"/>
      <c r="B3783" s="12"/>
      <c r="C3783" s="13"/>
      <c r="E3783" s="6"/>
      <c r="F3783" s="7"/>
      <c r="H3783" s="11"/>
      <c r="J3783" s="18"/>
      <c r="L3783" s="18"/>
      <c r="M3783" s="23"/>
    </row>
    <row r="3784">
      <c r="A3784" s="11"/>
      <c r="B3784" s="12"/>
      <c r="C3784" s="13"/>
      <c r="E3784" s="6"/>
      <c r="F3784" s="7"/>
      <c r="H3784" s="11"/>
      <c r="J3784" s="18"/>
      <c r="L3784" s="18"/>
      <c r="M3784" s="23"/>
    </row>
    <row r="3785">
      <c r="A3785" s="11"/>
      <c r="B3785" s="12"/>
      <c r="C3785" s="13"/>
      <c r="E3785" s="6"/>
      <c r="F3785" s="7"/>
      <c r="H3785" s="11"/>
      <c r="J3785" s="18"/>
      <c r="L3785" s="18"/>
      <c r="M3785" s="23"/>
    </row>
    <row r="3786">
      <c r="A3786" s="11"/>
      <c r="B3786" s="12"/>
      <c r="C3786" s="13"/>
      <c r="E3786" s="6"/>
      <c r="F3786" s="7"/>
      <c r="H3786" s="11"/>
      <c r="J3786" s="18"/>
      <c r="L3786" s="18"/>
      <c r="M3786" s="23"/>
    </row>
    <row r="3787">
      <c r="A3787" s="11"/>
      <c r="B3787" s="12"/>
      <c r="C3787" s="13"/>
      <c r="E3787" s="6"/>
      <c r="F3787" s="7"/>
      <c r="H3787" s="11"/>
      <c r="J3787" s="18"/>
      <c r="L3787" s="18"/>
      <c r="M3787" s="23"/>
    </row>
    <row r="3788">
      <c r="A3788" s="11"/>
      <c r="B3788" s="12"/>
      <c r="C3788" s="13"/>
      <c r="E3788" s="6"/>
      <c r="F3788" s="7"/>
      <c r="H3788" s="11"/>
      <c r="J3788" s="18"/>
      <c r="L3788" s="18"/>
      <c r="M3788" s="23"/>
    </row>
    <row r="3789">
      <c r="A3789" s="11"/>
      <c r="B3789" s="12"/>
      <c r="C3789" s="13"/>
      <c r="E3789" s="6"/>
      <c r="F3789" s="7"/>
      <c r="H3789" s="11"/>
      <c r="J3789" s="18"/>
      <c r="L3789" s="18"/>
      <c r="M3789" s="23"/>
    </row>
    <row r="3790">
      <c r="A3790" s="11"/>
      <c r="B3790" s="12"/>
      <c r="C3790" s="13"/>
      <c r="E3790" s="6"/>
      <c r="F3790" s="7"/>
      <c r="H3790" s="11"/>
      <c r="J3790" s="18"/>
      <c r="L3790" s="18"/>
      <c r="M3790" s="23"/>
    </row>
    <row r="3791">
      <c r="A3791" s="11"/>
      <c r="B3791" s="12"/>
      <c r="C3791" s="13"/>
      <c r="E3791" s="6"/>
      <c r="F3791" s="7"/>
      <c r="H3791" s="11"/>
      <c r="J3791" s="18"/>
      <c r="L3791" s="18"/>
      <c r="M3791" s="23"/>
    </row>
    <row r="3792">
      <c r="A3792" s="11"/>
      <c r="B3792" s="12"/>
      <c r="C3792" s="13"/>
      <c r="E3792" s="6"/>
      <c r="F3792" s="7"/>
      <c r="H3792" s="11"/>
      <c r="J3792" s="18"/>
      <c r="L3792" s="18"/>
      <c r="M3792" s="23"/>
    </row>
    <row r="3793">
      <c r="A3793" s="11"/>
      <c r="B3793" s="12"/>
      <c r="C3793" s="13"/>
      <c r="E3793" s="6"/>
      <c r="F3793" s="7"/>
      <c r="H3793" s="11"/>
      <c r="J3793" s="18"/>
      <c r="L3793" s="18"/>
      <c r="M3793" s="23"/>
    </row>
    <row r="3794">
      <c r="A3794" s="11"/>
      <c r="B3794" s="12"/>
      <c r="C3794" s="13"/>
      <c r="E3794" s="6"/>
      <c r="F3794" s="7"/>
      <c r="H3794" s="11"/>
      <c r="J3794" s="18"/>
      <c r="L3794" s="18"/>
      <c r="M3794" s="23"/>
    </row>
    <row r="3795">
      <c r="A3795" s="11"/>
      <c r="B3795" s="12"/>
      <c r="C3795" s="13"/>
      <c r="E3795" s="6"/>
      <c r="F3795" s="7"/>
      <c r="H3795" s="11"/>
      <c r="J3795" s="18"/>
      <c r="L3795" s="18"/>
      <c r="M3795" s="23"/>
    </row>
    <row r="3796">
      <c r="A3796" s="11"/>
      <c r="B3796" s="12"/>
      <c r="C3796" s="13"/>
      <c r="E3796" s="6"/>
      <c r="F3796" s="7"/>
      <c r="H3796" s="11"/>
      <c r="J3796" s="18"/>
      <c r="L3796" s="18"/>
      <c r="M3796" s="23"/>
    </row>
    <row r="3797">
      <c r="A3797" s="11"/>
      <c r="B3797" s="12"/>
      <c r="C3797" s="13"/>
      <c r="E3797" s="6"/>
      <c r="F3797" s="7"/>
      <c r="H3797" s="11"/>
      <c r="J3797" s="18"/>
      <c r="L3797" s="18"/>
      <c r="M3797" s="23"/>
    </row>
    <row r="3798">
      <c r="A3798" s="11"/>
      <c r="B3798" s="12"/>
      <c r="C3798" s="13"/>
      <c r="E3798" s="6"/>
      <c r="F3798" s="7"/>
      <c r="H3798" s="11"/>
      <c r="J3798" s="18"/>
      <c r="L3798" s="18"/>
      <c r="M3798" s="23"/>
    </row>
    <row r="3799">
      <c r="A3799" s="11"/>
      <c r="B3799" s="12"/>
      <c r="C3799" s="13"/>
      <c r="E3799" s="6"/>
      <c r="F3799" s="7"/>
      <c r="H3799" s="11"/>
      <c r="J3799" s="18"/>
      <c r="L3799" s="18"/>
      <c r="M3799" s="23"/>
    </row>
    <row r="3800">
      <c r="A3800" s="11"/>
      <c r="B3800" s="12"/>
      <c r="C3800" s="13"/>
      <c r="E3800" s="6"/>
      <c r="F3800" s="7"/>
      <c r="H3800" s="11"/>
      <c r="J3800" s="18"/>
      <c r="L3800" s="18"/>
      <c r="M3800" s="23"/>
    </row>
    <row r="3801">
      <c r="A3801" s="11"/>
      <c r="B3801" s="12"/>
      <c r="C3801" s="13"/>
      <c r="E3801" s="6"/>
      <c r="F3801" s="7"/>
      <c r="H3801" s="11"/>
      <c r="J3801" s="18"/>
      <c r="L3801" s="18"/>
      <c r="M3801" s="23"/>
    </row>
    <row r="3802">
      <c r="A3802" s="11"/>
      <c r="B3802" s="12"/>
      <c r="C3802" s="13"/>
      <c r="E3802" s="6"/>
      <c r="F3802" s="7"/>
      <c r="H3802" s="11"/>
      <c r="J3802" s="18"/>
      <c r="L3802" s="18"/>
      <c r="M3802" s="23"/>
    </row>
    <row r="3803">
      <c r="A3803" s="11"/>
      <c r="B3803" s="12"/>
      <c r="C3803" s="13"/>
      <c r="E3803" s="6"/>
      <c r="F3803" s="7"/>
      <c r="H3803" s="11"/>
      <c r="J3803" s="18"/>
      <c r="L3803" s="18"/>
      <c r="M3803" s="23"/>
    </row>
    <row r="3804">
      <c r="A3804" s="11"/>
      <c r="B3804" s="12"/>
      <c r="C3804" s="13"/>
      <c r="E3804" s="6"/>
      <c r="F3804" s="7"/>
      <c r="H3804" s="11"/>
      <c r="J3804" s="18"/>
      <c r="L3804" s="18"/>
      <c r="M3804" s="23"/>
    </row>
    <row r="3805">
      <c r="A3805" s="11"/>
      <c r="B3805" s="12"/>
      <c r="C3805" s="13"/>
      <c r="E3805" s="6"/>
      <c r="F3805" s="7"/>
      <c r="H3805" s="11"/>
      <c r="J3805" s="18"/>
      <c r="L3805" s="18"/>
      <c r="M3805" s="23"/>
    </row>
    <row r="3806">
      <c r="A3806" s="11"/>
      <c r="B3806" s="12"/>
      <c r="C3806" s="13"/>
      <c r="E3806" s="6"/>
      <c r="F3806" s="7"/>
      <c r="H3806" s="11"/>
      <c r="J3806" s="18"/>
      <c r="L3806" s="18"/>
      <c r="M3806" s="23"/>
    </row>
    <row r="3807">
      <c r="A3807" s="11"/>
      <c r="B3807" s="12"/>
      <c r="C3807" s="13"/>
      <c r="E3807" s="6"/>
      <c r="F3807" s="7"/>
      <c r="H3807" s="11"/>
      <c r="J3807" s="18"/>
      <c r="L3807" s="18"/>
      <c r="M3807" s="23"/>
    </row>
    <row r="3808">
      <c r="A3808" s="11"/>
      <c r="B3808" s="12"/>
      <c r="C3808" s="13"/>
      <c r="E3808" s="6"/>
      <c r="F3808" s="7"/>
      <c r="H3808" s="11"/>
      <c r="J3808" s="18"/>
      <c r="L3808" s="18"/>
      <c r="M3808" s="23"/>
    </row>
    <row r="3809">
      <c r="A3809" s="11"/>
      <c r="B3809" s="12"/>
      <c r="C3809" s="13"/>
      <c r="E3809" s="6"/>
      <c r="F3809" s="7"/>
      <c r="H3809" s="11"/>
      <c r="J3809" s="18"/>
      <c r="L3809" s="18"/>
      <c r="M3809" s="23"/>
    </row>
    <row r="3810">
      <c r="A3810" s="11"/>
      <c r="B3810" s="12"/>
      <c r="C3810" s="13"/>
      <c r="E3810" s="6"/>
      <c r="F3810" s="7"/>
      <c r="H3810" s="11"/>
      <c r="J3810" s="18"/>
      <c r="L3810" s="18"/>
      <c r="M3810" s="23"/>
    </row>
    <row r="3811">
      <c r="A3811" s="11"/>
      <c r="B3811" s="12"/>
      <c r="C3811" s="13"/>
      <c r="E3811" s="6"/>
      <c r="F3811" s="7"/>
      <c r="H3811" s="11"/>
      <c r="J3811" s="18"/>
      <c r="L3811" s="18"/>
      <c r="M3811" s="23"/>
    </row>
    <row r="3812">
      <c r="A3812" s="11"/>
      <c r="B3812" s="12"/>
      <c r="C3812" s="13"/>
      <c r="E3812" s="6"/>
      <c r="F3812" s="7"/>
      <c r="H3812" s="11"/>
      <c r="J3812" s="18"/>
      <c r="L3812" s="18"/>
      <c r="M3812" s="23"/>
    </row>
    <row r="3813">
      <c r="A3813" s="11"/>
      <c r="B3813" s="12"/>
      <c r="C3813" s="13"/>
      <c r="E3813" s="6"/>
      <c r="F3813" s="7"/>
      <c r="H3813" s="11"/>
      <c r="J3813" s="18"/>
      <c r="L3813" s="18"/>
      <c r="M3813" s="23"/>
    </row>
    <row r="3814">
      <c r="A3814" s="11"/>
      <c r="B3814" s="12"/>
      <c r="C3814" s="13"/>
      <c r="E3814" s="6"/>
      <c r="F3814" s="7"/>
      <c r="H3814" s="11"/>
      <c r="J3814" s="18"/>
      <c r="L3814" s="18"/>
      <c r="M3814" s="23"/>
    </row>
    <row r="3815">
      <c r="A3815" s="11"/>
      <c r="B3815" s="12"/>
      <c r="C3815" s="13"/>
      <c r="E3815" s="6"/>
      <c r="F3815" s="7"/>
      <c r="H3815" s="11"/>
      <c r="J3815" s="18"/>
      <c r="L3815" s="18"/>
      <c r="M3815" s="23"/>
    </row>
    <row r="3816">
      <c r="A3816" s="11"/>
      <c r="B3816" s="12"/>
      <c r="C3816" s="13"/>
      <c r="E3816" s="6"/>
      <c r="F3816" s="7"/>
      <c r="H3816" s="11"/>
      <c r="J3816" s="18"/>
      <c r="L3816" s="18"/>
      <c r="M3816" s="23"/>
    </row>
    <row r="3817">
      <c r="A3817" s="11"/>
      <c r="B3817" s="12"/>
      <c r="C3817" s="13"/>
      <c r="E3817" s="6"/>
      <c r="F3817" s="7"/>
      <c r="H3817" s="11"/>
      <c r="J3817" s="18"/>
      <c r="L3817" s="18"/>
      <c r="M3817" s="23"/>
    </row>
    <row r="3818">
      <c r="A3818" s="11"/>
      <c r="B3818" s="12"/>
      <c r="C3818" s="13"/>
      <c r="E3818" s="6"/>
      <c r="F3818" s="7"/>
      <c r="H3818" s="11"/>
      <c r="J3818" s="18"/>
      <c r="L3818" s="18"/>
      <c r="M3818" s="23"/>
    </row>
    <row r="3819">
      <c r="A3819" s="11"/>
      <c r="B3819" s="12"/>
      <c r="C3819" s="13"/>
      <c r="E3819" s="6"/>
      <c r="F3819" s="7"/>
      <c r="H3819" s="11"/>
      <c r="J3819" s="18"/>
      <c r="L3819" s="18"/>
      <c r="M3819" s="23"/>
    </row>
    <row r="3820">
      <c r="A3820" s="11"/>
      <c r="B3820" s="12"/>
      <c r="C3820" s="13"/>
      <c r="E3820" s="6"/>
      <c r="F3820" s="7"/>
      <c r="H3820" s="11"/>
      <c r="J3820" s="18"/>
      <c r="L3820" s="18"/>
      <c r="M3820" s="23"/>
    </row>
    <row r="3821">
      <c r="A3821" s="11"/>
      <c r="B3821" s="12"/>
      <c r="C3821" s="13"/>
      <c r="E3821" s="6"/>
      <c r="F3821" s="7"/>
      <c r="H3821" s="11"/>
      <c r="J3821" s="18"/>
      <c r="L3821" s="18"/>
      <c r="M3821" s="23"/>
    </row>
    <row r="3822">
      <c r="A3822" s="11"/>
      <c r="B3822" s="12"/>
      <c r="C3822" s="13"/>
      <c r="E3822" s="6"/>
      <c r="F3822" s="7"/>
      <c r="H3822" s="11"/>
      <c r="J3822" s="18"/>
      <c r="L3822" s="18"/>
      <c r="M3822" s="23"/>
    </row>
    <row r="3823">
      <c r="A3823" s="11"/>
      <c r="B3823" s="12"/>
      <c r="C3823" s="13"/>
      <c r="E3823" s="6"/>
      <c r="F3823" s="7"/>
      <c r="H3823" s="11"/>
      <c r="J3823" s="18"/>
      <c r="L3823" s="18"/>
      <c r="M3823" s="23"/>
    </row>
    <row r="3824">
      <c r="A3824" s="11"/>
      <c r="B3824" s="12"/>
      <c r="C3824" s="13"/>
      <c r="E3824" s="6"/>
      <c r="F3824" s="7"/>
      <c r="H3824" s="11"/>
      <c r="J3824" s="18"/>
      <c r="L3824" s="18"/>
      <c r="M3824" s="23"/>
    </row>
    <row r="3825">
      <c r="A3825" s="11"/>
      <c r="B3825" s="12"/>
      <c r="C3825" s="13"/>
      <c r="E3825" s="6"/>
      <c r="F3825" s="7"/>
      <c r="H3825" s="11"/>
      <c r="J3825" s="18"/>
      <c r="L3825" s="18"/>
      <c r="M3825" s="23"/>
    </row>
    <row r="3826">
      <c r="A3826" s="11"/>
      <c r="B3826" s="12"/>
      <c r="C3826" s="13"/>
      <c r="E3826" s="6"/>
      <c r="F3826" s="7"/>
      <c r="H3826" s="11"/>
      <c r="J3826" s="18"/>
      <c r="L3826" s="18"/>
      <c r="M3826" s="23"/>
    </row>
    <row r="3827">
      <c r="A3827" s="11"/>
      <c r="B3827" s="12"/>
      <c r="C3827" s="13"/>
      <c r="E3827" s="6"/>
      <c r="F3827" s="7"/>
      <c r="H3827" s="11"/>
      <c r="J3827" s="18"/>
      <c r="L3827" s="18"/>
      <c r="M3827" s="23"/>
    </row>
    <row r="3828">
      <c r="A3828" s="11"/>
      <c r="B3828" s="12"/>
      <c r="C3828" s="13"/>
      <c r="E3828" s="6"/>
      <c r="F3828" s="7"/>
      <c r="H3828" s="11"/>
      <c r="J3828" s="18"/>
      <c r="L3828" s="18"/>
      <c r="M3828" s="23"/>
    </row>
    <row r="3829">
      <c r="A3829" s="11"/>
      <c r="B3829" s="12"/>
      <c r="C3829" s="13"/>
      <c r="E3829" s="6"/>
      <c r="F3829" s="7"/>
      <c r="H3829" s="11"/>
      <c r="J3829" s="18"/>
      <c r="L3829" s="18"/>
      <c r="M3829" s="23"/>
    </row>
    <row r="3830">
      <c r="A3830" s="11"/>
      <c r="B3830" s="12"/>
      <c r="C3830" s="13"/>
      <c r="E3830" s="6"/>
      <c r="F3830" s="7"/>
      <c r="H3830" s="11"/>
      <c r="J3830" s="18"/>
      <c r="L3830" s="18"/>
      <c r="M3830" s="23"/>
    </row>
    <row r="3831">
      <c r="A3831" s="11"/>
      <c r="B3831" s="12"/>
      <c r="C3831" s="13"/>
      <c r="E3831" s="6"/>
      <c r="F3831" s="7"/>
      <c r="H3831" s="11"/>
      <c r="J3831" s="18"/>
      <c r="L3831" s="18"/>
      <c r="M3831" s="23"/>
    </row>
    <row r="3832">
      <c r="A3832" s="11"/>
      <c r="B3832" s="12"/>
      <c r="C3832" s="13"/>
      <c r="E3832" s="6"/>
      <c r="F3832" s="7"/>
      <c r="H3832" s="11"/>
      <c r="J3832" s="18"/>
      <c r="L3832" s="18"/>
      <c r="M3832" s="23"/>
    </row>
    <row r="3833">
      <c r="A3833" s="11"/>
      <c r="B3833" s="12"/>
      <c r="C3833" s="13"/>
      <c r="E3833" s="6"/>
      <c r="F3833" s="7"/>
      <c r="H3833" s="11"/>
      <c r="J3833" s="18"/>
      <c r="L3833" s="18"/>
      <c r="M3833" s="23"/>
    </row>
    <row r="3834">
      <c r="A3834" s="11"/>
      <c r="B3834" s="12"/>
      <c r="C3834" s="13"/>
      <c r="E3834" s="6"/>
      <c r="F3834" s="7"/>
      <c r="H3834" s="11"/>
      <c r="J3834" s="18"/>
      <c r="L3834" s="18"/>
      <c r="M3834" s="23"/>
    </row>
    <row r="3835">
      <c r="A3835" s="11"/>
      <c r="B3835" s="12"/>
      <c r="C3835" s="13"/>
      <c r="E3835" s="6"/>
      <c r="F3835" s="7"/>
      <c r="H3835" s="11"/>
      <c r="J3835" s="18"/>
      <c r="L3835" s="18"/>
      <c r="M3835" s="23"/>
    </row>
    <row r="3836">
      <c r="A3836" s="11"/>
      <c r="B3836" s="12"/>
      <c r="C3836" s="13"/>
      <c r="E3836" s="6"/>
      <c r="F3836" s="7"/>
      <c r="H3836" s="11"/>
      <c r="J3836" s="18"/>
      <c r="L3836" s="18"/>
      <c r="M3836" s="23"/>
    </row>
    <row r="3837">
      <c r="A3837" s="11"/>
      <c r="B3837" s="12"/>
      <c r="C3837" s="13"/>
      <c r="E3837" s="6"/>
      <c r="F3837" s="7"/>
      <c r="H3837" s="11"/>
      <c r="J3837" s="18"/>
      <c r="L3837" s="18"/>
      <c r="M3837" s="23"/>
    </row>
    <row r="3838">
      <c r="A3838" s="11"/>
      <c r="B3838" s="12"/>
      <c r="C3838" s="13"/>
      <c r="E3838" s="6"/>
      <c r="F3838" s="7"/>
      <c r="H3838" s="11"/>
      <c r="J3838" s="18"/>
      <c r="L3838" s="18"/>
      <c r="M3838" s="23"/>
    </row>
    <row r="3839">
      <c r="A3839" s="11"/>
      <c r="B3839" s="12"/>
      <c r="C3839" s="13"/>
      <c r="E3839" s="6"/>
      <c r="F3839" s="7"/>
      <c r="H3839" s="11"/>
      <c r="J3839" s="18"/>
      <c r="L3839" s="18"/>
      <c r="M3839" s="23"/>
    </row>
    <row r="3840">
      <c r="A3840" s="11"/>
      <c r="B3840" s="12"/>
      <c r="C3840" s="13"/>
      <c r="E3840" s="6"/>
      <c r="F3840" s="7"/>
      <c r="H3840" s="11"/>
      <c r="J3840" s="18"/>
      <c r="L3840" s="18"/>
      <c r="M3840" s="23"/>
    </row>
    <row r="3841">
      <c r="A3841" s="11"/>
      <c r="B3841" s="12"/>
      <c r="C3841" s="13"/>
      <c r="E3841" s="6"/>
      <c r="F3841" s="7"/>
      <c r="H3841" s="11"/>
      <c r="J3841" s="18"/>
      <c r="L3841" s="18"/>
      <c r="M3841" s="23"/>
    </row>
    <row r="3842">
      <c r="A3842" s="11"/>
      <c r="B3842" s="12"/>
      <c r="C3842" s="13"/>
      <c r="E3842" s="6"/>
      <c r="F3842" s="7"/>
      <c r="H3842" s="11"/>
      <c r="J3842" s="18"/>
      <c r="L3842" s="18"/>
      <c r="M3842" s="23"/>
    </row>
    <row r="3843">
      <c r="A3843" s="11"/>
      <c r="B3843" s="12"/>
      <c r="C3843" s="13"/>
      <c r="E3843" s="6"/>
      <c r="F3843" s="7"/>
      <c r="H3843" s="11"/>
      <c r="J3843" s="18"/>
      <c r="L3843" s="18"/>
      <c r="M3843" s="23"/>
    </row>
    <row r="3844">
      <c r="A3844" s="11"/>
      <c r="B3844" s="12"/>
      <c r="C3844" s="13"/>
      <c r="E3844" s="6"/>
      <c r="F3844" s="7"/>
      <c r="H3844" s="11"/>
      <c r="J3844" s="18"/>
      <c r="L3844" s="18"/>
      <c r="M3844" s="23"/>
    </row>
    <row r="3845">
      <c r="A3845" s="11"/>
      <c r="B3845" s="12"/>
      <c r="C3845" s="13"/>
      <c r="E3845" s="6"/>
      <c r="F3845" s="7"/>
      <c r="H3845" s="11"/>
      <c r="J3845" s="18"/>
      <c r="L3845" s="18"/>
      <c r="M3845" s="23"/>
    </row>
    <row r="3846">
      <c r="A3846" s="11"/>
      <c r="B3846" s="12"/>
      <c r="C3846" s="13"/>
      <c r="E3846" s="6"/>
      <c r="F3846" s="7"/>
      <c r="H3846" s="11"/>
      <c r="J3846" s="18"/>
      <c r="L3846" s="18"/>
      <c r="M3846" s="23"/>
    </row>
    <row r="3847">
      <c r="A3847" s="11"/>
      <c r="B3847" s="12"/>
      <c r="C3847" s="13"/>
      <c r="E3847" s="6"/>
      <c r="F3847" s="7"/>
      <c r="H3847" s="11"/>
      <c r="J3847" s="18"/>
      <c r="L3847" s="18"/>
      <c r="M3847" s="23"/>
    </row>
    <row r="3848">
      <c r="A3848" s="11"/>
      <c r="B3848" s="12"/>
      <c r="C3848" s="13"/>
      <c r="E3848" s="6"/>
      <c r="F3848" s="7"/>
      <c r="H3848" s="11"/>
      <c r="J3848" s="18"/>
      <c r="L3848" s="18"/>
      <c r="M3848" s="23"/>
    </row>
    <row r="3849">
      <c r="A3849" s="11"/>
      <c r="B3849" s="12"/>
      <c r="C3849" s="13"/>
      <c r="E3849" s="6"/>
      <c r="F3849" s="7"/>
      <c r="H3849" s="11"/>
      <c r="J3849" s="18"/>
      <c r="L3849" s="18"/>
      <c r="M3849" s="23"/>
    </row>
    <row r="3850">
      <c r="A3850" s="11"/>
      <c r="B3850" s="12"/>
      <c r="C3850" s="13"/>
      <c r="E3850" s="6"/>
      <c r="F3850" s="7"/>
      <c r="H3850" s="11"/>
      <c r="J3850" s="18"/>
      <c r="L3850" s="18"/>
      <c r="M3850" s="23"/>
    </row>
    <row r="3851">
      <c r="A3851" s="11"/>
      <c r="B3851" s="12"/>
      <c r="C3851" s="13"/>
      <c r="E3851" s="6"/>
      <c r="F3851" s="7"/>
      <c r="H3851" s="11"/>
      <c r="J3851" s="18"/>
      <c r="L3851" s="18"/>
      <c r="M3851" s="23"/>
    </row>
    <row r="3852">
      <c r="A3852" s="11"/>
      <c r="B3852" s="12"/>
      <c r="C3852" s="13"/>
      <c r="E3852" s="6"/>
      <c r="F3852" s="7"/>
      <c r="H3852" s="11"/>
      <c r="J3852" s="18"/>
      <c r="L3852" s="18"/>
      <c r="M3852" s="23"/>
    </row>
    <row r="3853">
      <c r="A3853" s="11"/>
      <c r="B3853" s="12"/>
      <c r="C3853" s="13"/>
      <c r="E3853" s="6"/>
      <c r="F3853" s="7"/>
      <c r="H3853" s="11"/>
      <c r="J3853" s="18"/>
      <c r="L3853" s="18"/>
      <c r="M3853" s="23"/>
    </row>
    <row r="3854">
      <c r="A3854" s="11"/>
      <c r="B3854" s="12"/>
      <c r="C3854" s="13"/>
      <c r="E3854" s="6"/>
      <c r="F3854" s="7"/>
      <c r="H3854" s="11"/>
      <c r="J3854" s="18"/>
      <c r="L3854" s="18"/>
      <c r="M3854" s="23"/>
    </row>
    <row r="3855">
      <c r="A3855" s="11"/>
      <c r="B3855" s="12"/>
      <c r="C3855" s="13"/>
      <c r="E3855" s="6"/>
      <c r="F3855" s="7"/>
      <c r="H3855" s="11"/>
      <c r="J3855" s="18"/>
      <c r="L3855" s="18"/>
      <c r="M3855" s="23"/>
    </row>
    <row r="3856">
      <c r="A3856" s="11"/>
      <c r="B3856" s="12"/>
      <c r="C3856" s="13"/>
      <c r="E3856" s="6"/>
      <c r="F3856" s="7"/>
      <c r="H3856" s="11"/>
      <c r="J3856" s="18"/>
      <c r="L3856" s="18"/>
      <c r="M3856" s="23"/>
    </row>
    <row r="3857">
      <c r="A3857" s="11"/>
      <c r="B3857" s="12"/>
      <c r="C3857" s="13"/>
      <c r="E3857" s="6"/>
      <c r="F3857" s="7"/>
      <c r="H3857" s="11"/>
      <c r="J3857" s="18"/>
      <c r="L3857" s="18"/>
      <c r="M3857" s="23"/>
    </row>
    <row r="3858">
      <c r="A3858" s="11"/>
      <c r="B3858" s="12"/>
      <c r="C3858" s="13"/>
      <c r="E3858" s="6"/>
      <c r="F3858" s="7"/>
      <c r="H3858" s="11"/>
      <c r="J3858" s="18"/>
      <c r="L3858" s="18"/>
      <c r="M3858" s="23"/>
    </row>
    <row r="3859">
      <c r="A3859" s="11"/>
      <c r="B3859" s="12"/>
      <c r="C3859" s="13"/>
      <c r="E3859" s="6"/>
      <c r="F3859" s="7"/>
      <c r="H3859" s="11"/>
      <c r="J3859" s="18"/>
      <c r="L3859" s="18"/>
      <c r="M3859" s="23"/>
    </row>
    <row r="3860">
      <c r="A3860" s="11"/>
      <c r="B3860" s="12"/>
      <c r="C3860" s="13"/>
      <c r="E3860" s="6"/>
      <c r="F3860" s="7"/>
      <c r="H3860" s="11"/>
      <c r="J3860" s="18"/>
      <c r="L3860" s="18"/>
      <c r="M3860" s="23"/>
    </row>
    <row r="3861">
      <c r="A3861" s="11"/>
      <c r="B3861" s="12"/>
      <c r="C3861" s="13"/>
      <c r="E3861" s="6"/>
      <c r="F3861" s="7"/>
      <c r="H3861" s="11"/>
      <c r="J3861" s="18"/>
      <c r="L3861" s="18"/>
      <c r="M3861" s="23"/>
    </row>
    <row r="3862">
      <c r="A3862" s="11"/>
      <c r="B3862" s="12"/>
      <c r="C3862" s="13"/>
      <c r="E3862" s="6"/>
      <c r="F3862" s="7"/>
      <c r="H3862" s="11"/>
      <c r="J3862" s="18"/>
      <c r="L3862" s="18"/>
      <c r="M3862" s="23"/>
    </row>
    <row r="3863">
      <c r="A3863" s="11"/>
      <c r="B3863" s="12"/>
      <c r="C3863" s="13"/>
      <c r="E3863" s="6"/>
      <c r="F3863" s="7"/>
      <c r="H3863" s="11"/>
      <c r="J3863" s="18"/>
      <c r="L3863" s="18"/>
      <c r="M3863" s="23"/>
    </row>
    <row r="3864">
      <c r="A3864" s="11"/>
      <c r="B3864" s="12"/>
      <c r="C3864" s="13"/>
      <c r="E3864" s="6"/>
      <c r="F3864" s="7"/>
      <c r="H3864" s="11"/>
      <c r="J3864" s="18"/>
      <c r="L3864" s="18"/>
      <c r="M3864" s="23"/>
    </row>
    <row r="3865">
      <c r="A3865" s="11"/>
      <c r="B3865" s="12"/>
      <c r="C3865" s="13"/>
      <c r="E3865" s="6"/>
      <c r="F3865" s="7"/>
      <c r="H3865" s="11"/>
      <c r="J3865" s="18"/>
      <c r="L3865" s="18"/>
      <c r="M3865" s="23"/>
    </row>
    <row r="3866">
      <c r="A3866" s="11"/>
      <c r="B3866" s="12"/>
      <c r="C3866" s="13"/>
      <c r="E3866" s="6"/>
      <c r="F3866" s="7"/>
      <c r="H3866" s="11"/>
      <c r="J3866" s="18"/>
      <c r="L3866" s="18"/>
      <c r="M3866" s="23"/>
    </row>
    <row r="3867">
      <c r="A3867" s="11"/>
      <c r="B3867" s="12"/>
      <c r="C3867" s="13"/>
      <c r="E3867" s="6"/>
      <c r="F3867" s="7"/>
      <c r="H3867" s="11"/>
      <c r="J3867" s="18"/>
      <c r="L3867" s="18"/>
      <c r="M3867" s="23"/>
    </row>
    <row r="3868">
      <c r="A3868" s="11"/>
      <c r="B3868" s="12"/>
      <c r="C3868" s="13"/>
      <c r="E3868" s="6"/>
      <c r="F3868" s="7"/>
      <c r="H3868" s="11"/>
      <c r="J3868" s="18"/>
      <c r="L3868" s="18"/>
      <c r="M3868" s="23"/>
    </row>
    <row r="3869">
      <c r="A3869" s="11"/>
      <c r="B3869" s="12"/>
      <c r="C3869" s="13"/>
      <c r="E3869" s="6"/>
      <c r="F3869" s="7"/>
      <c r="H3869" s="11"/>
      <c r="J3869" s="18"/>
      <c r="L3869" s="18"/>
      <c r="M3869" s="23"/>
    </row>
    <row r="3870">
      <c r="A3870" s="11"/>
      <c r="B3870" s="12"/>
      <c r="C3870" s="13"/>
      <c r="E3870" s="6"/>
      <c r="F3870" s="7"/>
      <c r="H3870" s="11"/>
      <c r="J3870" s="18"/>
      <c r="L3870" s="18"/>
      <c r="M3870" s="23"/>
    </row>
    <row r="3871">
      <c r="A3871" s="11"/>
      <c r="B3871" s="12"/>
      <c r="C3871" s="13"/>
      <c r="E3871" s="6"/>
      <c r="F3871" s="7"/>
      <c r="H3871" s="11"/>
      <c r="J3871" s="18"/>
      <c r="L3871" s="18"/>
      <c r="M3871" s="23"/>
    </row>
    <row r="3872">
      <c r="A3872" s="11"/>
      <c r="B3872" s="12"/>
      <c r="C3872" s="13"/>
      <c r="E3872" s="6"/>
      <c r="F3872" s="7"/>
      <c r="H3872" s="11"/>
      <c r="J3872" s="18"/>
      <c r="L3872" s="18"/>
      <c r="M3872" s="23"/>
    </row>
    <row r="3873">
      <c r="A3873" s="11"/>
      <c r="B3873" s="12"/>
      <c r="C3873" s="13"/>
      <c r="E3873" s="6"/>
      <c r="F3873" s="7"/>
      <c r="H3873" s="11"/>
      <c r="J3873" s="18"/>
      <c r="L3873" s="18"/>
      <c r="M3873" s="23"/>
    </row>
    <row r="3874">
      <c r="A3874" s="11"/>
      <c r="B3874" s="12"/>
      <c r="C3874" s="13"/>
      <c r="E3874" s="6"/>
      <c r="F3874" s="7"/>
      <c r="H3874" s="11"/>
      <c r="J3874" s="18"/>
      <c r="L3874" s="18"/>
      <c r="M3874" s="23"/>
    </row>
    <row r="3875">
      <c r="A3875" s="11"/>
      <c r="B3875" s="12"/>
      <c r="C3875" s="13"/>
      <c r="E3875" s="6"/>
      <c r="F3875" s="7"/>
      <c r="H3875" s="11"/>
      <c r="J3875" s="18"/>
      <c r="L3875" s="18"/>
      <c r="M3875" s="23"/>
    </row>
    <row r="3876">
      <c r="A3876" s="11"/>
      <c r="B3876" s="12"/>
      <c r="C3876" s="13"/>
      <c r="E3876" s="6"/>
      <c r="F3876" s="7"/>
      <c r="H3876" s="11"/>
      <c r="J3876" s="18"/>
      <c r="L3876" s="18"/>
      <c r="M3876" s="23"/>
    </row>
    <row r="3877">
      <c r="A3877" s="11"/>
      <c r="B3877" s="12"/>
      <c r="C3877" s="13"/>
      <c r="E3877" s="6"/>
      <c r="F3877" s="7"/>
      <c r="H3877" s="11"/>
      <c r="J3877" s="18"/>
      <c r="L3877" s="18"/>
      <c r="M3877" s="23"/>
    </row>
    <row r="3878">
      <c r="A3878" s="11"/>
      <c r="B3878" s="12"/>
      <c r="C3878" s="13"/>
      <c r="E3878" s="6"/>
      <c r="F3878" s="7"/>
      <c r="H3878" s="11"/>
      <c r="J3878" s="18"/>
      <c r="L3878" s="18"/>
      <c r="M3878" s="23"/>
    </row>
    <row r="3879">
      <c r="A3879" s="11"/>
      <c r="B3879" s="12"/>
      <c r="C3879" s="13"/>
      <c r="E3879" s="6"/>
      <c r="F3879" s="7"/>
      <c r="H3879" s="11"/>
      <c r="J3879" s="18"/>
      <c r="L3879" s="18"/>
      <c r="M3879" s="23"/>
    </row>
    <row r="3880">
      <c r="A3880" s="11"/>
      <c r="B3880" s="12"/>
      <c r="C3880" s="13"/>
      <c r="E3880" s="6"/>
      <c r="F3880" s="7"/>
      <c r="H3880" s="11"/>
      <c r="J3880" s="18"/>
      <c r="L3880" s="18"/>
      <c r="M3880" s="23"/>
    </row>
    <row r="3881">
      <c r="A3881" s="11"/>
      <c r="B3881" s="12"/>
      <c r="C3881" s="13"/>
      <c r="E3881" s="6"/>
      <c r="F3881" s="7"/>
      <c r="H3881" s="11"/>
      <c r="J3881" s="18"/>
      <c r="L3881" s="18"/>
      <c r="M3881" s="23"/>
    </row>
    <row r="3882">
      <c r="A3882" s="11"/>
      <c r="B3882" s="12"/>
      <c r="C3882" s="13"/>
      <c r="E3882" s="6"/>
      <c r="F3882" s="7"/>
      <c r="H3882" s="11"/>
      <c r="J3882" s="18"/>
      <c r="L3882" s="18"/>
      <c r="M3882" s="23"/>
    </row>
    <row r="3883">
      <c r="A3883" s="11"/>
      <c r="B3883" s="12"/>
      <c r="C3883" s="13"/>
      <c r="E3883" s="6"/>
      <c r="F3883" s="7"/>
      <c r="H3883" s="11"/>
      <c r="J3883" s="18"/>
      <c r="L3883" s="18"/>
      <c r="M3883" s="23"/>
    </row>
    <row r="3884">
      <c r="A3884" s="11"/>
      <c r="B3884" s="12"/>
      <c r="C3884" s="13"/>
      <c r="E3884" s="6"/>
      <c r="F3884" s="7"/>
      <c r="H3884" s="11"/>
      <c r="J3884" s="18"/>
      <c r="L3884" s="18"/>
      <c r="M3884" s="23"/>
    </row>
    <row r="3885">
      <c r="A3885" s="11"/>
      <c r="B3885" s="12"/>
      <c r="C3885" s="13"/>
      <c r="E3885" s="6"/>
      <c r="F3885" s="7"/>
      <c r="H3885" s="11"/>
      <c r="J3885" s="18"/>
      <c r="L3885" s="18"/>
      <c r="M3885" s="23"/>
    </row>
    <row r="3886">
      <c r="A3886" s="11"/>
      <c r="B3886" s="12"/>
      <c r="C3886" s="13"/>
      <c r="E3886" s="6"/>
      <c r="F3886" s="7"/>
      <c r="H3886" s="11"/>
      <c r="J3886" s="18"/>
      <c r="L3886" s="18"/>
      <c r="M3886" s="23"/>
    </row>
    <row r="3887">
      <c r="A3887" s="11"/>
      <c r="B3887" s="12"/>
      <c r="C3887" s="13"/>
      <c r="E3887" s="6"/>
      <c r="F3887" s="7"/>
      <c r="H3887" s="11"/>
      <c r="J3887" s="18"/>
      <c r="L3887" s="18"/>
      <c r="M3887" s="23"/>
    </row>
    <row r="3888">
      <c r="A3888" s="11"/>
      <c r="B3888" s="12"/>
      <c r="C3888" s="13"/>
      <c r="E3888" s="6"/>
      <c r="F3888" s="7"/>
      <c r="H3888" s="11"/>
      <c r="J3888" s="18"/>
      <c r="L3888" s="18"/>
      <c r="M3888" s="23"/>
    </row>
    <row r="3889">
      <c r="A3889" s="11"/>
      <c r="B3889" s="12"/>
      <c r="C3889" s="13"/>
      <c r="E3889" s="6"/>
      <c r="F3889" s="7"/>
      <c r="H3889" s="11"/>
      <c r="J3889" s="18"/>
      <c r="L3889" s="18"/>
      <c r="M3889" s="23"/>
    </row>
    <row r="3890">
      <c r="A3890" s="11"/>
      <c r="B3890" s="12"/>
      <c r="C3890" s="13"/>
      <c r="E3890" s="6"/>
      <c r="F3890" s="7"/>
      <c r="H3890" s="11"/>
      <c r="J3890" s="18"/>
      <c r="L3890" s="18"/>
      <c r="M3890" s="23"/>
    </row>
    <row r="3891">
      <c r="A3891" s="11"/>
      <c r="B3891" s="12"/>
      <c r="C3891" s="13"/>
      <c r="E3891" s="6"/>
      <c r="F3891" s="7"/>
      <c r="H3891" s="11"/>
      <c r="J3891" s="18"/>
      <c r="L3891" s="18"/>
      <c r="M3891" s="23"/>
    </row>
    <row r="3892">
      <c r="A3892" s="11"/>
      <c r="B3892" s="12"/>
      <c r="C3892" s="13"/>
      <c r="E3892" s="6"/>
      <c r="F3892" s="7"/>
      <c r="H3892" s="11"/>
      <c r="J3892" s="18"/>
      <c r="L3892" s="18"/>
      <c r="M3892" s="23"/>
    </row>
    <row r="3893">
      <c r="A3893" s="11"/>
      <c r="B3893" s="12"/>
      <c r="C3893" s="13"/>
      <c r="E3893" s="6"/>
      <c r="F3893" s="7"/>
      <c r="H3893" s="11"/>
      <c r="J3893" s="18"/>
      <c r="L3893" s="18"/>
      <c r="M3893" s="23"/>
    </row>
    <row r="3894">
      <c r="A3894" s="11"/>
      <c r="B3894" s="12"/>
      <c r="C3894" s="13"/>
      <c r="E3894" s="6"/>
      <c r="F3894" s="7"/>
      <c r="H3894" s="11"/>
      <c r="J3894" s="18"/>
      <c r="L3894" s="18"/>
      <c r="M3894" s="23"/>
    </row>
    <row r="3895">
      <c r="A3895" s="11"/>
      <c r="B3895" s="12"/>
      <c r="C3895" s="13"/>
      <c r="E3895" s="6"/>
      <c r="F3895" s="7"/>
      <c r="H3895" s="11"/>
      <c r="J3895" s="18"/>
      <c r="L3895" s="18"/>
      <c r="M3895" s="23"/>
    </row>
    <row r="3896">
      <c r="A3896" s="11"/>
      <c r="B3896" s="12"/>
      <c r="C3896" s="13"/>
      <c r="E3896" s="6"/>
      <c r="F3896" s="7"/>
      <c r="H3896" s="11"/>
      <c r="J3896" s="18"/>
      <c r="L3896" s="18"/>
      <c r="M3896" s="23"/>
    </row>
    <row r="3897">
      <c r="A3897" s="11"/>
      <c r="B3897" s="12"/>
      <c r="C3897" s="13"/>
      <c r="E3897" s="6"/>
      <c r="F3897" s="7"/>
      <c r="H3897" s="11"/>
      <c r="J3897" s="18"/>
      <c r="L3897" s="18"/>
      <c r="M3897" s="23"/>
    </row>
    <row r="3898">
      <c r="A3898" s="11"/>
      <c r="B3898" s="12"/>
      <c r="C3898" s="13"/>
      <c r="E3898" s="6"/>
      <c r="F3898" s="7"/>
      <c r="H3898" s="11"/>
      <c r="J3898" s="18"/>
      <c r="L3898" s="18"/>
      <c r="M3898" s="23"/>
    </row>
    <row r="3899">
      <c r="A3899" s="11"/>
      <c r="B3899" s="12"/>
      <c r="C3899" s="13"/>
      <c r="E3899" s="6"/>
      <c r="F3899" s="7"/>
      <c r="H3899" s="11"/>
      <c r="J3899" s="18"/>
      <c r="L3899" s="18"/>
      <c r="M3899" s="23"/>
    </row>
    <row r="3900">
      <c r="A3900" s="11"/>
      <c r="B3900" s="12"/>
      <c r="C3900" s="13"/>
      <c r="E3900" s="6"/>
      <c r="F3900" s="7"/>
      <c r="H3900" s="11"/>
      <c r="J3900" s="18"/>
      <c r="L3900" s="18"/>
      <c r="M3900" s="23"/>
    </row>
    <row r="3901">
      <c r="A3901" s="11"/>
      <c r="B3901" s="12"/>
      <c r="C3901" s="13"/>
      <c r="E3901" s="6"/>
      <c r="F3901" s="7"/>
      <c r="H3901" s="11"/>
      <c r="J3901" s="18"/>
      <c r="L3901" s="18"/>
      <c r="M3901" s="23"/>
    </row>
    <row r="3902">
      <c r="A3902" s="11"/>
      <c r="B3902" s="12"/>
      <c r="C3902" s="13"/>
      <c r="E3902" s="6"/>
      <c r="F3902" s="7"/>
      <c r="H3902" s="11"/>
      <c r="J3902" s="18"/>
      <c r="L3902" s="18"/>
      <c r="M3902" s="23"/>
    </row>
    <row r="3903">
      <c r="A3903" s="11"/>
      <c r="B3903" s="12"/>
      <c r="C3903" s="13"/>
      <c r="E3903" s="6"/>
      <c r="F3903" s="7"/>
      <c r="H3903" s="11"/>
      <c r="J3903" s="18"/>
      <c r="L3903" s="18"/>
      <c r="M3903" s="23"/>
    </row>
    <row r="3904">
      <c r="A3904" s="11"/>
      <c r="B3904" s="12"/>
      <c r="C3904" s="13"/>
      <c r="E3904" s="6"/>
      <c r="F3904" s="7"/>
      <c r="H3904" s="11"/>
      <c r="J3904" s="18"/>
      <c r="L3904" s="18"/>
      <c r="M3904" s="23"/>
    </row>
    <row r="3905">
      <c r="A3905" s="11"/>
      <c r="B3905" s="12"/>
      <c r="C3905" s="13"/>
      <c r="E3905" s="6"/>
      <c r="F3905" s="7"/>
      <c r="H3905" s="11"/>
      <c r="J3905" s="18"/>
      <c r="L3905" s="18"/>
      <c r="M3905" s="23"/>
    </row>
    <row r="3906">
      <c r="A3906" s="11"/>
      <c r="B3906" s="12"/>
      <c r="C3906" s="13"/>
      <c r="E3906" s="6"/>
      <c r="F3906" s="7"/>
      <c r="H3906" s="11"/>
      <c r="J3906" s="18"/>
      <c r="L3906" s="18"/>
      <c r="M3906" s="23"/>
    </row>
    <row r="3907">
      <c r="A3907" s="11"/>
      <c r="B3907" s="12"/>
      <c r="C3907" s="13"/>
      <c r="E3907" s="6"/>
      <c r="F3907" s="7"/>
      <c r="H3907" s="11"/>
      <c r="J3907" s="18"/>
      <c r="L3907" s="18"/>
      <c r="M3907" s="23"/>
    </row>
    <row r="3908">
      <c r="A3908" s="11"/>
      <c r="B3908" s="12"/>
      <c r="C3908" s="13"/>
      <c r="E3908" s="6"/>
      <c r="F3908" s="7"/>
      <c r="H3908" s="11"/>
      <c r="J3908" s="18"/>
      <c r="L3908" s="18"/>
      <c r="M3908" s="23"/>
    </row>
    <row r="3909">
      <c r="A3909" s="11"/>
      <c r="B3909" s="12"/>
      <c r="C3909" s="13"/>
      <c r="E3909" s="6"/>
      <c r="F3909" s="7"/>
      <c r="H3909" s="11"/>
      <c r="J3909" s="18"/>
      <c r="L3909" s="18"/>
      <c r="M3909" s="23"/>
    </row>
    <row r="3910">
      <c r="A3910" s="11"/>
      <c r="B3910" s="12"/>
      <c r="C3910" s="13"/>
      <c r="E3910" s="6"/>
      <c r="F3910" s="7"/>
      <c r="H3910" s="11"/>
      <c r="J3910" s="18"/>
      <c r="L3910" s="18"/>
      <c r="M3910" s="23"/>
    </row>
    <row r="3911">
      <c r="A3911" s="11"/>
      <c r="B3911" s="12"/>
      <c r="C3911" s="13"/>
      <c r="E3911" s="6"/>
      <c r="F3911" s="7"/>
      <c r="H3911" s="11"/>
      <c r="J3911" s="18"/>
      <c r="L3911" s="18"/>
      <c r="M3911" s="23"/>
    </row>
    <row r="3912">
      <c r="A3912" s="11"/>
      <c r="B3912" s="12"/>
      <c r="C3912" s="13"/>
      <c r="E3912" s="6"/>
      <c r="F3912" s="7"/>
      <c r="H3912" s="11"/>
      <c r="J3912" s="18"/>
      <c r="L3912" s="18"/>
      <c r="M3912" s="23"/>
    </row>
    <row r="3913">
      <c r="A3913" s="11"/>
      <c r="B3913" s="12"/>
      <c r="C3913" s="13"/>
      <c r="E3913" s="6"/>
      <c r="F3913" s="7"/>
      <c r="H3913" s="11"/>
      <c r="J3913" s="18"/>
      <c r="L3913" s="18"/>
      <c r="M3913" s="23"/>
    </row>
    <row r="3914">
      <c r="A3914" s="11"/>
      <c r="B3914" s="12"/>
      <c r="C3914" s="13"/>
      <c r="E3914" s="6"/>
      <c r="F3914" s="7"/>
      <c r="H3914" s="11"/>
      <c r="J3914" s="18"/>
      <c r="L3914" s="18"/>
      <c r="M3914" s="23"/>
    </row>
    <row r="3915">
      <c r="A3915" s="11"/>
      <c r="B3915" s="12"/>
      <c r="C3915" s="13"/>
      <c r="E3915" s="6"/>
      <c r="F3915" s="7"/>
      <c r="H3915" s="11"/>
      <c r="J3915" s="18"/>
      <c r="L3915" s="18"/>
      <c r="M3915" s="23"/>
    </row>
    <row r="3916">
      <c r="A3916" s="11"/>
      <c r="B3916" s="12"/>
      <c r="C3916" s="13"/>
      <c r="E3916" s="6"/>
      <c r="F3916" s="7"/>
      <c r="H3916" s="11"/>
      <c r="J3916" s="18"/>
      <c r="L3916" s="18"/>
      <c r="M3916" s="23"/>
    </row>
    <row r="3917">
      <c r="A3917" s="11"/>
      <c r="B3917" s="12"/>
      <c r="C3917" s="13"/>
      <c r="E3917" s="6"/>
      <c r="F3917" s="7"/>
      <c r="H3917" s="11"/>
      <c r="J3917" s="18"/>
      <c r="L3917" s="18"/>
      <c r="M3917" s="23"/>
    </row>
    <row r="3918">
      <c r="A3918" s="11"/>
      <c r="B3918" s="12"/>
      <c r="C3918" s="13"/>
      <c r="E3918" s="6"/>
      <c r="F3918" s="7"/>
      <c r="H3918" s="11"/>
      <c r="J3918" s="18"/>
      <c r="L3918" s="18"/>
      <c r="M3918" s="23"/>
    </row>
    <row r="3919">
      <c r="A3919" s="11"/>
      <c r="B3919" s="12"/>
      <c r="C3919" s="13"/>
      <c r="E3919" s="6"/>
      <c r="F3919" s="7"/>
      <c r="H3919" s="11"/>
      <c r="J3919" s="18"/>
      <c r="L3919" s="18"/>
      <c r="M3919" s="23"/>
    </row>
    <row r="3920">
      <c r="A3920" s="11"/>
      <c r="B3920" s="12"/>
      <c r="C3920" s="13"/>
      <c r="E3920" s="6"/>
      <c r="F3920" s="7"/>
      <c r="H3920" s="11"/>
      <c r="J3920" s="18"/>
      <c r="L3920" s="18"/>
      <c r="M3920" s="23"/>
    </row>
    <row r="3921">
      <c r="A3921" s="11"/>
      <c r="B3921" s="12"/>
      <c r="C3921" s="13"/>
      <c r="E3921" s="6"/>
      <c r="F3921" s="7"/>
      <c r="H3921" s="11"/>
      <c r="J3921" s="18"/>
      <c r="L3921" s="18"/>
      <c r="M3921" s="23"/>
    </row>
    <row r="3922">
      <c r="A3922" s="11"/>
      <c r="B3922" s="12"/>
      <c r="C3922" s="13"/>
      <c r="E3922" s="6"/>
      <c r="F3922" s="7"/>
      <c r="H3922" s="11"/>
      <c r="J3922" s="18"/>
      <c r="L3922" s="18"/>
      <c r="M3922" s="23"/>
    </row>
    <row r="3923">
      <c r="A3923" s="11"/>
      <c r="B3923" s="12"/>
      <c r="C3923" s="13"/>
      <c r="E3923" s="6"/>
      <c r="F3923" s="7"/>
      <c r="H3923" s="11"/>
      <c r="J3923" s="18"/>
      <c r="L3923" s="18"/>
      <c r="M3923" s="23"/>
    </row>
    <row r="3924">
      <c r="A3924" s="11"/>
      <c r="B3924" s="12"/>
      <c r="C3924" s="13"/>
      <c r="E3924" s="6"/>
      <c r="F3924" s="7"/>
      <c r="H3924" s="11"/>
      <c r="J3924" s="18"/>
      <c r="L3924" s="18"/>
      <c r="M3924" s="23"/>
    </row>
    <row r="3925">
      <c r="A3925" s="11"/>
      <c r="B3925" s="12"/>
      <c r="C3925" s="13"/>
      <c r="E3925" s="6"/>
      <c r="F3925" s="7"/>
      <c r="H3925" s="11"/>
      <c r="J3925" s="18"/>
      <c r="L3925" s="18"/>
      <c r="M3925" s="23"/>
    </row>
    <row r="3926">
      <c r="A3926" s="11"/>
      <c r="B3926" s="12"/>
      <c r="C3926" s="13"/>
      <c r="E3926" s="6"/>
      <c r="F3926" s="7"/>
      <c r="H3926" s="11"/>
      <c r="J3926" s="18"/>
      <c r="L3926" s="18"/>
      <c r="M3926" s="23"/>
    </row>
    <row r="3927">
      <c r="A3927" s="11"/>
      <c r="B3927" s="12"/>
      <c r="C3927" s="13"/>
      <c r="E3927" s="6"/>
      <c r="F3927" s="7"/>
      <c r="H3927" s="11"/>
      <c r="J3927" s="18"/>
      <c r="L3927" s="18"/>
      <c r="M3927" s="23"/>
    </row>
    <row r="3928">
      <c r="A3928" s="11"/>
      <c r="B3928" s="12"/>
      <c r="C3928" s="13"/>
      <c r="E3928" s="6"/>
      <c r="F3928" s="7"/>
      <c r="H3928" s="11"/>
      <c r="J3928" s="18"/>
      <c r="L3928" s="18"/>
      <c r="M3928" s="23"/>
    </row>
    <row r="3929">
      <c r="A3929" s="11"/>
      <c r="B3929" s="12"/>
      <c r="C3929" s="13"/>
      <c r="E3929" s="6"/>
      <c r="F3929" s="7"/>
      <c r="H3929" s="11"/>
      <c r="J3929" s="18"/>
      <c r="L3929" s="18"/>
      <c r="M3929" s="23"/>
    </row>
    <row r="3930">
      <c r="A3930" s="11"/>
      <c r="B3930" s="12"/>
      <c r="C3930" s="13"/>
      <c r="E3930" s="6"/>
      <c r="F3930" s="7"/>
      <c r="H3930" s="11"/>
      <c r="J3930" s="18"/>
      <c r="L3930" s="18"/>
      <c r="M3930" s="23"/>
    </row>
    <row r="3931">
      <c r="A3931" s="11"/>
      <c r="B3931" s="12"/>
      <c r="C3931" s="13"/>
      <c r="E3931" s="6"/>
      <c r="F3931" s="7"/>
      <c r="H3931" s="11"/>
      <c r="J3931" s="18"/>
      <c r="L3931" s="18"/>
      <c r="M3931" s="23"/>
    </row>
    <row r="3932">
      <c r="A3932" s="11"/>
      <c r="B3932" s="12"/>
      <c r="C3932" s="13"/>
      <c r="E3932" s="6"/>
      <c r="F3932" s="7"/>
      <c r="H3932" s="11"/>
      <c r="J3932" s="18"/>
      <c r="L3932" s="18"/>
      <c r="M3932" s="23"/>
    </row>
    <row r="3933">
      <c r="A3933" s="11"/>
      <c r="B3933" s="12"/>
      <c r="C3933" s="13"/>
      <c r="E3933" s="6"/>
      <c r="F3933" s="7"/>
      <c r="H3933" s="11"/>
      <c r="J3933" s="18"/>
      <c r="L3933" s="18"/>
      <c r="M3933" s="23"/>
    </row>
    <row r="3934">
      <c r="A3934" s="11"/>
      <c r="B3934" s="12"/>
      <c r="C3934" s="13"/>
      <c r="E3934" s="6"/>
      <c r="F3934" s="7"/>
      <c r="H3934" s="11"/>
      <c r="J3934" s="18"/>
      <c r="L3934" s="18"/>
      <c r="M3934" s="23"/>
    </row>
    <row r="3935">
      <c r="A3935" s="11"/>
      <c r="B3935" s="12"/>
      <c r="C3935" s="13"/>
      <c r="E3935" s="6"/>
      <c r="F3935" s="7"/>
      <c r="H3935" s="11"/>
      <c r="J3935" s="18"/>
      <c r="L3935" s="18"/>
      <c r="M3935" s="23"/>
    </row>
    <row r="3936">
      <c r="A3936" s="11"/>
      <c r="B3936" s="12"/>
      <c r="C3936" s="13"/>
      <c r="E3936" s="6"/>
      <c r="F3936" s="7"/>
      <c r="H3936" s="11"/>
      <c r="J3936" s="18"/>
      <c r="L3936" s="18"/>
      <c r="M3936" s="23"/>
    </row>
    <row r="3937">
      <c r="A3937" s="11"/>
      <c r="B3937" s="12"/>
      <c r="C3937" s="13"/>
      <c r="E3937" s="6"/>
      <c r="F3937" s="7"/>
      <c r="H3937" s="11"/>
      <c r="J3937" s="18"/>
      <c r="L3937" s="18"/>
      <c r="M3937" s="23"/>
    </row>
    <row r="3938">
      <c r="A3938" s="11"/>
      <c r="B3938" s="12"/>
      <c r="C3938" s="13"/>
      <c r="E3938" s="6"/>
      <c r="F3938" s="7"/>
      <c r="H3938" s="11"/>
      <c r="J3938" s="18"/>
      <c r="L3938" s="18"/>
      <c r="M3938" s="23"/>
    </row>
    <row r="3939">
      <c r="A3939" s="11"/>
      <c r="B3939" s="12"/>
      <c r="C3939" s="13"/>
      <c r="E3939" s="6"/>
      <c r="F3939" s="7"/>
      <c r="H3939" s="11"/>
      <c r="J3939" s="18"/>
      <c r="L3939" s="18"/>
      <c r="M3939" s="23"/>
    </row>
    <row r="3940">
      <c r="A3940" s="11"/>
      <c r="B3940" s="12"/>
      <c r="C3940" s="13"/>
      <c r="E3940" s="6"/>
      <c r="F3940" s="7"/>
      <c r="H3940" s="11"/>
      <c r="J3940" s="18"/>
      <c r="L3940" s="18"/>
      <c r="M3940" s="23"/>
    </row>
    <row r="3941">
      <c r="A3941" s="11"/>
      <c r="B3941" s="12"/>
      <c r="C3941" s="13"/>
      <c r="E3941" s="6"/>
      <c r="F3941" s="7"/>
      <c r="H3941" s="11"/>
      <c r="J3941" s="18"/>
      <c r="L3941" s="18"/>
      <c r="M3941" s="23"/>
    </row>
    <row r="3942">
      <c r="A3942" s="11"/>
      <c r="B3942" s="12"/>
      <c r="C3942" s="13"/>
      <c r="E3942" s="6"/>
      <c r="F3942" s="7"/>
      <c r="H3942" s="11"/>
      <c r="J3942" s="18"/>
      <c r="L3942" s="18"/>
      <c r="M3942" s="23"/>
    </row>
    <row r="3943">
      <c r="A3943" s="11"/>
      <c r="B3943" s="12"/>
      <c r="C3943" s="13"/>
      <c r="E3943" s="6"/>
      <c r="F3943" s="7"/>
      <c r="H3943" s="11"/>
      <c r="J3943" s="18"/>
      <c r="L3943" s="18"/>
      <c r="M3943" s="23"/>
    </row>
    <row r="3944">
      <c r="A3944" s="11"/>
      <c r="B3944" s="12"/>
      <c r="C3944" s="13"/>
      <c r="E3944" s="6"/>
      <c r="F3944" s="7"/>
      <c r="H3944" s="11"/>
      <c r="J3944" s="18"/>
      <c r="L3944" s="18"/>
      <c r="M3944" s="23"/>
    </row>
    <row r="3945">
      <c r="A3945" s="11"/>
      <c r="B3945" s="12"/>
      <c r="C3945" s="13"/>
      <c r="E3945" s="6"/>
      <c r="F3945" s="7"/>
      <c r="H3945" s="11"/>
      <c r="J3945" s="18"/>
      <c r="L3945" s="18"/>
      <c r="M3945" s="23"/>
    </row>
    <row r="3946">
      <c r="A3946" s="11"/>
      <c r="B3946" s="12"/>
      <c r="C3946" s="13"/>
      <c r="E3946" s="6"/>
      <c r="F3946" s="7"/>
      <c r="H3946" s="11"/>
      <c r="J3946" s="18"/>
      <c r="L3946" s="18"/>
      <c r="M3946" s="23"/>
    </row>
    <row r="3947">
      <c r="A3947" s="11"/>
      <c r="B3947" s="12"/>
      <c r="C3947" s="13"/>
      <c r="E3947" s="6"/>
      <c r="F3947" s="7"/>
      <c r="H3947" s="11"/>
      <c r="J3947" s="18"/>
      <c r="L3947" s="18"/>
      <c r="M3947" s="23"/>
    </row>
    <row r="3948">
      <c r="A3948" s="11"/>
      <c r="B3948" s="12"/>
      <c r="C3948" s="13"/>
      <c r="E3948" s="6"/>
      <c r="F3948" s="7"/>
      <c r="H3948" s="11"/>
      <c r="J3948" s="18"/>
      <c r="L3948" s="18"/>
      <c r="M3948" s="23"/>
    </row>
    <row r="3949">
      <c r="A3949" s="11"/>
      <c r="B3949" s="12"/>
      <c r="C3949" s="13"/>
      <c r="E3949" s="6"/>
      <c r="F3949" s="7"/>
      <c r="H3949" s="11"/>
      <c r="J3949" s="18"/>
      <c r="L3949" s="18"/>
      <c r="M3949" s="23"/>
    </row>
    <row r="3950">
      <c r="A3950" s="11"/>
      <c r="B3950" s="12"/>
      <c r="C3950" s="13"/>
      <c r="E3950" s="6"/>
      <c r="F3950" s="7"/>
      <c r="H3950" s="11"/>
      <c r="J3950" s="18"/>
      <c r="L3950" s="18"/>
      <c r="M3950" s="23"/>
    </row>
    <row r="3951">
      <c r="A3951" s="11"/>
      <c r="B3951" s="12"/>
      <c r="C3951" s="13"/>
      <c r="E3951" s="6"/>
      <c r="F3951" s="7"/>
      <c r="H3951" s="11"/>
      <c r="J3951" s="18"/>
      <c r="L3951" s="18"/>
      <c r="M3951" s="23"/>
    </row>
    <row r="3952">
      <c r="A3952" s="11"/>
      <c r="B3952" s="12"/>
      <c r="C3952" s="13"/>
      <c r="E3952" s="6"/>
      <c r="F3952" s="7"/>
      <c r="H3952" s="11"/>
      <c r="J3952" s="18"/>
      <c r="L3952" s="18"/>
      <c r="M3952" s="23"/>
    </row>
    <row r="3953">
      <c r="A3953" s="11"/>
      <c r="B3953" s="12"/>
      <c r="C3953" s="13"/>
      <c r="E3953" s="6"/>
      <c r="F3953" s="7"/>
      <c r="H3953" s="11"/>
      <c r="J3953" s="18"/>
      <c r="L3953" s="18"/>
      <c r="M3953" s="23"/>
    </row>
    <row r="3954">
      <c r="A3954" s="11"/>
      <c r="B3954" s="12"/>
      <c r="C3954" s="13"/>
      <c r="E3954" s="6"/>
      <c r="F3954" s="7"/>
      <c r="H3954" s="11"/>
      <c r="J3954" s="18"/>
      <c r="L3954" s="18"/>
      <c r="M3954" s="23"/>
    </row>
    <row r="3955">
      <c r="A3955" s="11"/>
      <c r="B3955" s="12"/>
      <c r="C3955" s="13"/>
      <c r="E3955" s="6"/>
      <c r="F3955" s="7"/>
      <c r="H3955" s="11"/>
      <c r="J3955" s="18"/>
      <c r="L3955" s="18"/>
      <c r="M3955" s="23"/>
    </row>
    <row r="3956">
      <c r="A3956" s="11"/>
      <c r="B3956" s="12"/>
      <c r="C3956" s="13"/>
      <c r="E3956" s="6"/>
      <c r="F3956" s="7"/>
      <c r="H3956" s="11"/>
      <c r="J3956" s="18"/>
      <c r="L3956" s="18"/>
      <c r="M3956" s="23"/>
    </row>
    <row r="3957">
      <c r="A3957" s="11"/>
      <c r="B3957" s="12"/>
      <c r="C3957" s="13"/>
      <c r="E3957" s="6"/>
      <c r="F3957" s="7"/>
      <c r="H3957" s="11"/>
      <c r="J3957" s="18"/>
      <c r="L3957" s="18"/>
      <c r="M3957" s="23"/>
    </row>
    <row r="3958">
      <c r="A3958" s="11"/>
      <c r="B3958" s="12"/>
      <c r="C3958" s="13"/>
      <c r="E3958" s="6"/>
      <c r="F3958" s="7"/>
      <c r="H3958" s="11"/>
      <c r="J3958" s="18"/>
      <c r="L3958" s="18"/>
      <c r="M3958" s="23"/>
    </row>
    <row r="3959">
      <c r="A3959" s="11"/>
      <c r="B3959" s="12"/>
      <c r="C3959" s="13"/>
      <c r="E3959" s="6"/>
      <c r="F3959" s="7"/>
      <c r="H3959" s="11"/>
      <c r="J3959" s="18"/>
      <c r="L3959" s="18"/>
      <c r="M3959" s="23"/>
    </row>
    <row r="3960">
      <c r="A3960" s="11"/>
      <c r="B3960" s="12"/>
      <c r="C3960" s="13"/>
      <c r="E3960" s="6"/>
      <c r="F3960" s="7"/>
      <c r="H3960" s="11"/>
      <c r="J3960" s="18"/>
      <c r="L3960" s="18"/>
      <c r="M3960" s="23"/>
    </row>
    <row r="3961">
      <c r="A3961" s="11"/>
      <c r="B3961" s="12"/>
      <c r="C3961" s="13"/>
      <c r="E3961" s="6"/>
      <c r="F3961" s="7"/>
      <c r="H3961" s="11"/>
      <c r="J3961" s="18"/>
      <c r="L3961" s="18"/>
      <c r="M3961" s="23"/>
    </row>
    <row r="3962">
      <c r="A3962" s="11"/>
      <c r="B3962" s="12"/>
      <c r="C3962" s="13"/>
      <c r="E3962" s="6"/>
      <c r="F3962" s="7"/>
      <c r="H3962" s="11"/>
      <c r="J3962" s="18"/>
      <c r="L3962" s="18"/>
      <c r="M3962" s="23"/>
    </row>
    <row r="3963">
      <c r="A3963" s="11"/>
      <c r="B3963" s="12"/>
      <c r="C3963" s="13"/>
      <c r="E3963" s="6"/>
      <c r="F3963" s="7"/>
      <c r="H3963" s="11"/>
      <c r="J3963" s="18"/>
      <c r="L3963" s="18"/>
      <c r="M3963" s="23"/>
    </row>
    <row r="3964">
      <c r="A3964" s="11"/>
      <c r="B3964" s="12"/>
      <c r="C3964" s="13"/>
      <c r="E3964" s="6"/>
      <c r="F3964" s="7"/>
      <c r="H3964" s="11"/>
      <c r="J3964" s="18"/>
      <c r="L3964" s="18"/>
      <c r="M3964" s="23"/>
    </row>
    <row r="3965">
      <c r="A3965" s="11"/>
      <c r="B3965" s="12"/>
      <c r="C3965" s="13"/>
      <c r="E3965" s="6"/>
      <c r="F3965" s="7"/>
      <c r="H3965" s="11"/>
      <c r="J3965" s="18"/>
      <c r="L3965" s="18"/>
      <c r="M3965" s="23"/>
    </row>
    <row r="3966">
      <c r="A3966" s="11"/>
      <c r="B3966" s="12"/>
      <c r="C3966" s="13"/>
      <c r="E3966" s="6"/>
      <c r="F3966" s="7"/>
      <c r="H3966" s="11"/>
      <c r="J3966" s="18"/>
      <c r="L3966" s="18"/>
      <c r="M3966" s="23"/>
    </row>
    <row r="3967">
      <c r="A3967" s="11"/>
      <c r="B3967" s="12"/>
      <c r="C3967" s="13"/>
      <c r="E3967" s="6"/>
      <c r="F3967" s="7"/>
      <c r="H3967" s="11"/>
      <c r="J3967" s="18"/>
      <c r="L3967" s="18"/>
      <c r="M3967" s="23"/>
    </row>
    <row r="3968">
      <c r="A3968" s="11"/>
      <c r="B3968" s="12"/>
      <c r="C3968" s="13"/>
      <c r="E3968" s="6"/>
      <c r="F3968" s="7"/>
      <c r="H3968" s="11"/>
      <c r="J3968" s="18"/>
      <c r="L3968" s="18"/>
      <c r="M3968" s="23"/>
    </row>
    <row r="3969">
      <c r="A3969" s="11"/>
      <c r="B3969" s="12"/>
      <c r="C3969" s="13"/>
      <c r="E3969" s="6"/>
      <c r="F3969" s="7"/>
      <c r="H3969" s="11"/>
      <c r="J3969" s="18"/>
      <c r="L3969" s="18"/>
      <c r="M3969" s="23"/>
    </row>
    <row r="3970">
      <c r="A3970" s="11"/>
      <c r="B3970" s="12"/>
      <c r="C3970" s="13"/>
      <c r="E3970" s="6"/>
      <c r="F3970" s="7"/>
      <c r="H3970" s="11"/>
      <c r="J3970" s="18"/>
      <c r="L3970" s="18"/>
      <c r="M3970" s="23"/>
    </row>
    <row r="3971">
      <c r="A3971" s="11"/>
      <c r="B3971" s="12"/>
      <c r="C3971" s="13"/>
      <c r="E3971" s="6"/>
      <c r="F3971" s="7"/>
      <c r="H3971" s="11"/>
      <c r="J3971" s="18"/>
      <c r="L3971" s="18"/>
      <c r="M3971" s="23"/>
    </row>
    <row r="3972">
      <c r="A3972" s="11"/>
      <c r="B3972" s="12"/>
      <c r="C3972" s="13"/>
      <c r="E3972" s="6"/>
      <c r="F3972" s="7"/>
      <c r="H3972" s="11"/>
      <c r="J3972" s="18"/>
      <c r="L3972" s="18"/>
      <c r="M3972" s="23"/>
    </row>
    <row r="3973">
      <c r="A3973" s="11"/>
      <c r="B3973" s="12"/>
      <c r="C3973" s="13"/>
      <c r="E3973" s="6"/>
      <c r="F3973" s="7"/>
      <c r="H3973" s="11"/>
      <c r="J3973" s="18"/>
      <c r="L3973" s="18"/>
      <c r="M3973" s="23"/>
    </row>
    <row r="3974">
      <c r="A3974" s="11"/>
      <c r="B3974" s="12"/>
      <c r="C3974" s="13"/>
      <c r="E3974" s="6"/>
      <c r="F3974" s="7"/>
      <c r="H3974" s="11"/>
      <c r="J3974" s="18"/>
      <c r="L3974" s="18"/>
      <c r="M3974" s="23"/>
    </row>
    <row r="3975">
      <c r="A3975" s="11"/>
      <c r="B3975" s="12"/>
      <c r="C3975" s="13"/>
      <c r="E3975" s="6"/>
      <c r="F3975" s="7"/>
      <c r="H3975" s="11"/>
      <c r="J3975" s="18"/>
      <c r="L3975" s="18"/>
      <c r="M3975" s="23"/>
    </row>
    <row r="3976">
      <c r="A3976" s="11"/>
      <c r="B3976" s="12"/>
      <c r="C3976" s="13"/>
      <c r="E3976" s="6"/>
      <c r="F3976" s="7"/>
      <c r="H3976" s="11"/>
      <c r="J3976" s="18"/>
      <c r="L3976" s="18"/>
      <c r="M3976" s="23"/>
    </row>
    <row r="3977">
      <c r="A3977" s="11"/>
      <c r="B3977" s="12"/>
      <c r="C3977" s="13"/>
      <c r="E3977" s="6"/>
      <c r="F3977" s="7"/>
      <c r="H3977" s="11"/>
      <c r="J3977" s="18"/>
      <c r="L3977" s="18"/>
      <c r="M3977" s="23"/>
    </row>
    <row r="3978">
      <c r="A3978" s="11"/>
      <c r="B3978" s="12"/>
      <c r="C3978" s="13"/>
      <c r="E3978" s="6"/>
      <c r="F3978" s="7"/>
      <c r="H3978" s="11"/>
      <c r="J3978" s="18"/>
      <c r="L3978" s="18"/>
      <c r="M3978" s="23"/>
    </row>
    <row r="3979">
      <c r="A3979" s="11"/>
      <c r="B3979" s="12"/>
      <c r="C3979" s="13"/>
      <c r="E3979" s="6"/>
      <c r="F3979" s="7"/>
      <c r="H3979" s="11"/>
      <c r="J3979" s="18"/>
      <c r="L3979" s="18"/>
      <c r="M3979" s="23"/>
    </row>
    <row r="3980">
      <c r="A3980" s="11"/>
      <c r="B3980" s="12"/>
      <c r="C3980" s="13"/>
      <c r="E3980" s="6"/>
      <c r="F3980" s="7"/>
      <c r="H3980" s="11"/>
      <c r="J3980" s="18"/>
      <c r="L3980" s="18"/>
      <c r="M3980" s="23"/>
    </row>
    <row r="3981">
      <c r="A3981" s="11"/>
      <c r="B3981" s="12"/>
      <c r="C3981" s="13"/>
      <c r="E3981" s="6"/>
      <c r="F3981" s="7"/>
      <c r="H3981" s="11"/>
      <c r="J3981" s="18"/>
      <c r="L3981" s="18"/>
      <c r="M3981" s="23"/>
    </row>
    <row r="3982">
      <c r="A3982" s="11"/>
      <c r="B3982" s="12"/>
      <c r="C3982" s="13"/>
      <c r="E3982" s="6"/>
      <c r="F3982" s="7"/>
      <c r="H3982" s="11"/>
      <c r="J3982" s="18"/>
      <c r="L3982" s="18"/>
      <c r="M3982" s="23"/>
    </row>
    <row r="3983">
      <c r="A3983" s="11"/>
      <c r="B3983" s="12"/>
      <c r="C3983" s="13"/>
      <c r="E3983" s="6"/>
      <c r="F3983" s="7"/>
      <c r="H3983" s="11"/>
      <c r="J3983" s="18"/>
      <c r="L3983" s="18"/>
      <c r="M3983" s="23"/>
    </row>
    <row r="3984">
      <c r="A3984" s="11"/>
      <c r="B3984" s="12"/>
      <c r="C3984" s="13"/>
      <c r="E3984" s="6"/>
      <c r="F3984" s="7"/>
      <c r="H3984" s="11"/>
      <c r="J3984" s="18"/>
      <c r="L3984" s="18"/>
      <c r="M3984" s="23"/>
    </row>
    <row r="3985">
      <c r="A3985" s="11"/>
      <c r="B3985" s="12"/>
      <c r="C3985" s="13"/>
      <c r="E3985" s="6"/>
      <c r="F3985" s="7"/>
      <c r="H3985" s="11"/>
      <c r="J3985" s="18"/>
      <c r="L3985" s="18"/>
      <c r="M3985" s="23"/>
    </row>
    <row r="3986">
      <c r="A3986" s="11"/>
      <c r="B3986" s="12"/>
      <c r="C3986" s="13"/>
      <c r="E3986" s="6"/>
      <c r="F3986" s="7"/>
      <c r="H3986" s="11"/>
      <c r="J3986" s="18"/>
      <c r="L3986" s="18"/>
      <c r="M3986" s="23"/>
    </row>
    <row r="3987">
      <c r="A3987" s="11"/>
      <c r="B3987" s="12"/>
      <c r="C3987" s="13"/>
      <c r="E3987" s="6"/>
      <c r="F3987" s="7"/>
      <c r="H3987" s="11"/>
      <c r="J3987" s="18"/>
      <c r="L3987" s="18"/>
      <c r="M3987" s="23"/>
    </row>
    <row r="3988">
      <c r="A3988" s="11"/>
      <c r="B3988" s="12"/>
      <c r="C3988" s="13"/>
      <c r="E3988" s="6"/>
      <c r="F3988" s="7"/>
      <c r="H3988" s="11"/>
      <c r="J3988" s="18"/>
      <c r="L3988" s="18"/>
      <c r="M3988" s="23"/>
    </row>
    <row r="3989">
      <c r="A3989" s="11"/>
      <c r="B3989" s="12"/>
      <c r="C3989" s="13"/>
      <c r="E3989" s="6"/>
      <c r="F3989" s="7"/>
      <c r="H3989" s="11"/>
      <c r="J3989" s="18"/>
      <c r="L3989" s="18"/>
      <c r="M3989" s="23"/>
    </row>
    <row r="3990">
      <c r="A3990" s="11"/>
      <c r="B3990" s="12"/>
      <c r="C3990" s="13"/>
      <c r="E3990" s="6"/>
      <c r="F3990" s="7"/>
      <c r="H3990" s="11"/>
      <c r="J3990" s="18"/>
      <c r="L3990" s="18"/>
      <c r="M3990" s="23"/>
    </row>
    <row r="3991">
      <c r="A3991" s="11"/>
      <c r="B3991" s="12"/>
      <c r="C3991" s="13"/>
      <c r="E3991" s="6"/>
      <c r="F3991" s="7"/>
      <c r="H3991" s="11"/>
      <c r="J3991" s="18"/>
      <c r="L3991" s="18"/>
      <c r="M3991" s="23"/>
    </row>
    <row r="3992">
      <c r="A3992" s="11"/>
      <c r="B3992" s="12"/>
      <c r="C3992" s="13"/>
      <c r="E3992" s="6"/>
      <c r="F3992" s="7"/>
      <c r="H3992" s="11"/>
      <c r="J3992" s="18"/>
      <c r="L3992" s="18"/>
      <c r="M3992" s="23"/>
    </row>
    <row r="3993">
      <c r="A3993" s="11"/>
      <c r="B3993" s="12"/>
      <c r="C3993" s="13"/>
      <c r="E3993" s="6"/>
      <c r="F3993" s="7"/>
      <c r="H3993" s="11"/>
      <c r="J3993" s="18"/>
      <c r="L3993" s="18"/>
      <c r="M3993" s="23"/>
    </row>
    <row r="3994">
      <c r="A3994" s="11"/>
      <c r="B3994" s="12"/>
      <c r="C3994" s="13"/>
      <c r="E3994" s="6"/>
      <c r="F3994" s="7"/>
      <c r="H3994" s="11"/>
      <c r="J3994" s="18"/>
      <c r="L3994" s="18"/>
      <c r="M3994" s="23"/>
    </row>
    <row r="3995">
      <c r="A3995" s="11"/>
      <c r="B3995" s="12"/>
      <c r="C3995" s="13"/>
      <c r="E3995" s="6"/>
      <c r="F3995" s="7"/>
      <c r="H3995" s="11"/>
      <c r="J3995" s="18"/>
      <c r="L3995" s="18"/>
      <c r="M3995" s="23"/>
    </row>
    <row r="3996">
      <c r="A3996" s="11"/>
      <c r="B3996" s="12"/>
      <c r="C3996" s="13"/>
      <c r="E3996" s="6"/>
      <c r="F3996" s="7"/>
      <c r="H3996" s="11"/>
      <c r="J3996" s="18"/>
      <c r="L3996" s="18"/>
      <c r="M3996" s="23"/>
    </row>
    <row r="3997">
      <c r="A3997" s="11"/>
      <c r="B3997" s="12"/>
      <c r="C3997" s="13"/>
      <c r="E3997" s="6"/>
      <c r="F3997" s="7"/>
      <c r="H3997" s="11"/>
      <c r="J3997" s="18"/>
      <c r="L3997" s="18"/>
      <c r="M3997" s="23"/>
    </row>
    <row r="3998">
      <c r="A3998" s="11"/>
      <c r="B3998" s="12"/>
      <c r="C3998" s="13"/>
      <c r="E3998" s="6"/>
      <c r="F3998" s="7"/>
      <c r="H3998" s="11"/>
      <c r="J3998" s="18"/>
      <c r="L3998" s="18"/>
      <c r="M3998" s="23"/>
    </row>
    <row r="3999">
      <c r="A3999" s="11"/>
      <c r="B3999" s="12"/>
      <c r="C3999" s="13"/>
      <c r="E3999" s="6"/>
      <c r="F3999" s="7"/>
      <c r="H3999" s="11"/>
      <c r="J3999" s="18"/>
      <c r="L3999" s="18"/>
      <c r="M3999" s="23"/>
    </row>
    <row r="4000">
      <c r="A4000" s="11"/>
      <c r="B4000" s="12"/>
      <c r="C4000" s="13"/>
      <c r="E4000" s="6"/>
      <c r="F4000" s="7"/>
      <c r="H4000" s="11"/>
      <c r="J4000" s="18"/>
      <c r="L4000" s="18"/>
      <c r="M4000" s="23"/>
    </row>
    <row r="4001">
      <c r="A4001" s="11"/>
      <c r="B4001" s="12"/>
      <c r="C4001" s="13"/>
      <c r="E4001" s="6"/>
      <c r="F4001" s="7"/>
      <c r="H4001" s="11"/>
      <c r="J4001" s="18"/>
      <c r="L4001" s="18"/>
      <c r="M4001" s="23"/>
    </row>
    <row r="4002">
      <c r="A4002" s="11"/>
      <c r="B4002" s="12"/>
      <c r="C4002" s="13"/>
      <c r="E4002" s="6"/>
      <c r="F4002" s="7"/>
      <c r="H4002" s="11"/>
      <c r="J4002" s="18"/>
      <c r="L4002" s="18"/>
      <c r="M4002" s="23"/>
    </row>
    <row r="4003">
      <c r="A4003" s="11"/>
      <c r="B4003" s="12"/>
      <c r="C4003" s="13"/>
      <c r="E4003" s="6"/>
      <c r="F4003" s="7"/>
      <c r="H4003" s="11"/>
      <c r="J4003" s="18"/>
      <c r="L4003" s="18"/>
      <c r="M4003" s="23"/>
    </row>
    <row r="4004">
      <c r="A4004" s="11"/>
      <c r="B4004" s="12"/>
      <c r="C4004" s="13"/>
      <c r="E4004" s="6"/>
      <c r="F4004" s="7"/>
      <c r="H4004" s="11"/>
      <c r="J4004" s="18"/>
      <c r="L4004" s="18"/>
      <c r="M4004" s="23"/>
    </row>
    <row r="4005">
      <c r="A4005" s="11"/>
      <c r="B4005" s="12"/>
      <c r="C4005" s="13"/>
      <c r="E4005" s="6"/>
      <c r="F4005" s="7"/>
      <c r="H4005" s="11"/>
      <c r="J4005" s="18"/>
      <c r="L4005" s="18"/>
      <c r="M4005" s="23"/>
    </row>
    <row r="4006">
      <c r="A4006" s="11"/>
      <c r="B4006" s="12"/>
      <c r="C4006" s="13"/>
      <c r="E4006" s="6"/>
      <c r="F4006" s="7"/>
      <c r="H4006" s="11"/>
      <c r="J4006" s="18"/>
      <c r="L4006" s="18"/>
      <c r="M4006" s="23"/>
    </row>
    <row r="4007">
      <c r="A4007" s="11"/>
      <c r="B4007" s="12"/>
      <c r="C4007" s="13"/>
      <c r="E4007" s="6"/>
      <c r="F4007" s="7"/>
      <c r="H4007" s="11"/>
      <c r="J4007" s="18"/>
      <c r="L4007" s="18"/>
      <c r="M4007" s="23"/>
    </row>
    <row r="4008">
      <c r="A4008" s="11"/>
      <c r="B4008" s="12"/>
      <c r="C4008" s="13"/>
      <c r="E4008" s="6"/>
      <c r="F4008" s="7"/>
      <c r="H4008" s="11"/>
      <c r="J4008" s="18"/>
      <c r="L4008" s="18"/>
      <c r="M4008" s="23"/>
    </row>
    <row r="4009">
      <c r="A4009" s="11"/>
      <c r="B4009" s="12"/>
      <c r="C4009" s="13"/>
      <c r="E4009" s="6"/>
      <c r="F4009" s="7"/>
      <c r="H4009" s="11"/>
      <c r="J4009" s="18"/>
      <c r="L4009" s="18"/>
      <c r="M4009" s="23"/>
    </row>
    <row r="4010">
      <c r="A4010" s="11"/>
      <c r="B4010" s="12"/>
      <c r="C4010" s="13"/>
      <c r="E4010" s="6"/>
      <c r="F4010" s="7"/>
      <c r="H4010" s="11"/>
      <c r="J4010" s="18"/>
      <c r="L4010" s="18"/>
      <c r="M4010" s="23"/>
    </row>
    <row r="4011">
      <c r="A4011" s="11"/>
      <c r="B4011" s="12"/>
      <c r="C4011" s="13"/>
      <c r="E4011" s="6"/>
      <c r="F4011" s="7"/>
      <c r="H4011" s="11"/>
      <c r="J4011" s="18"/>
      <c r="L4011" s="18"/>
      <c r="M4011" s="23"/>
    </row>
    <row r="4012">
      <c r="A4012" s="11"/>
      <c r="B4012" s="12"/>
      <c r="C4012" s="13"/>
      <c r="E4012" s="6"/>
      <c r="F4012" s="7"/>
      <c r="H4012" s="11"/>
      <c r="J4012" s="18"/>
      <c r="L4012" s="18"/>
      <c r="M4012" s="23"/>
    </row>
    <row r="4013">
      <c r="A4013" s="11"/>
      <c r="B4013" s="12"/>
      <c r="C4013" s="13"/>
      <c r="E4013" s="6"/>
      <c r="F4013" s="7"/>
      <c r="H4013" s="11"/>
      <c r="J4013" s="18"/>
      <c r="L4013" s="18"/>
      <c r="M4013" s="23"/>
    </row>
    <row r="4014">
      <c r="A4014" s="11"/>
      <c r="B4014" s="12"/>
      <c r="C4014" s="13"/>
      <c r="E4014" s="6"/>
      <c r="F4014" s="7"/>
      <c r="H4014" s="11"/>
      <c r="J4014" s="18"/>
      <c r="L4014" s="18"/>
      <c r="M4014" s="23"/>
    </row>
    <row r="4015">
      <c r="A4015" s="11"/>
      <c r="B4015" s="12"/>
      <c r="C4015" s="13"/>
      <c r="E4015" s="6"/>
      <c r="F4015" s="7"/>
      <c r="H4015" s="11"/>
      <c r="J4015" s="18"/>
      <c r="L4015" s="18"/>
      <c r="M4015" s="23"/>
    </row>
    <row r="4016">
      <c r="A4016" s="11"/>
      <c r="B4016" s="12"/>
      <c r="C4016" s="13"/>
      <c r="E4016" s="6"/>
      <c r="F4016" s="7"/>
      <c r="H4016" s="11"/>
      <c r="J4016" s="18"/>
      <c r="L4016" s="18"/>
      <c r="M4016" s="23"/>
    </row>
    <row r="4017">
      <c r="A4017" s="11"/>
      <c r="B4017" s="12"/>
      <c r="C4017" s="13"/>
      <c r="E4017" s="6"/>
      <c r="F4017" s="7"/>
      <c r="H4017" s="11"/>
      <c r="J4017" s="18"/>
      <c r="L4017" s="18"/>
      <c r="M4017" s="23"/>
    </row>
    <row r="4018">
      <c r="A4018" s="11"/>
      <c r="B4018" s="12"/>
      <c r="C4018" s="13"/>
      <c r="E4018" s="6"/>
      <c r="F4018" s="7"/>
      <c r="H4018" s="11"/>
      <c r="J4018" s="18"/>
      <c r="L4018" s="18"/>
      <c r="M4018" s="23"/>
    </row>
    <row r="4019">
      <c r="A4019" s="11"/>
      <c r="B4019" s="12"/>
      <c r="C4019" s="13"/>
      <c r="E4019" s="6"/>
      <c r="F4019" s="7"/>
      <c r="H4019" s="11"/>
      <c r="J4019" s="18"/>
      <c r="L4019" s="18"/>
      <c r="M4019" s="23"/>
    </row>
    <row r="4020">
      <c r="A4020" s="11"/>
      <c r="B4020" s="12"/>
      <c r="C4020" s="13"/>
      <c r="E4020" s="6"/>
      <c r="F4020" s="7"/>
      <c r="H4020" s="11"/>
      <c r="J4020" s="18"/>
      <c r="L4020" s="18"/>
      <c r="M4020" s="23"/>
    </row>
    <row r="4021">
      <c r="A4021" s="11"/>
      <c r="B4021" s="12"/>
      <c r="C4021" s="13"/>
      <c r="E4021" s="6"/>
      <c r="F4021" s="7"/>
      <c r="H4021" s="11"/>
      <c r="J4021" s="18"/>
      <c r="L4021" s="18"/>
      <c r="M4021" s="23"/>
    </row>
    <row r="4022">
      <c r="A4022" s="11"/>
      <c r="B4022" s="12"/>
      <c r="C4022" s="13"/>
      <c r="E4022" s="6"/>
      <c r="F4022" s="7"/>
      <c r="H4022" s="11"/>
      <c r="J4022" s="18"/>
      <c r="L4022" s="18"/>
      <c r="M4022" s="23"/>
    </row>
    <row r="4023">
      <c r="A4023" s="11"/>
      <c r="B4023" s="12"/>
      <c r="C4023" s="13"/>
      <c r="E4023" s="6"/>
      <c r="F4023" s="7"/>
      <c r="H4023" s="11"/>
      <c r="J4023" s="18"/>
      <c r="L4023" s="18"/>
      <c r="M4023" s="23"/>
    </row>
    <row r="4024">
      <c r="A4024" s="11"/>
      <c r="B4024" s="12"/>
      <c r="C4024" s="13"/>
      <c r="E4024" s="6"/>
      <c r="F4024" s="7"/>
      <c r="H4024" s="11"/>
      <c r="J4024" s="18"/>
      <c r="L4024" s="18"/>
      <c r="M4024" s="23"/>
    </row>
    <row r="4025">
      <c r="A4025" s="11"/>
      <c r="B4025" s="12"/>
      <c r="C4025" s="13"/>
      <c r="E4025" s="6"/>
      <c r="F4025" s="7"/>
      <c r="H4025" s="11"/>
      <c r="J4025" s="18"/>
      <c r="L4025" s="18"/>
      <c r="M4025" s="23"/>
    </row>
    <row r="4026">
      <c r="A4026" s="11"/>
      <c r="B4026" s="12"/>
      <c r="C4026" s="13"/>
      <c r="E4026" s="6"/>
      <c r="F4026" s="7"/>
      <c r="H4026" s="11"/>
      <c r="J4026" s="18"/>
      <c r="L4026" s="18"/>
      <c r="M4026" s="23"/>
    </row>
    <row r="4027">
      <c r="A4027" s="11"/>
      <c r="B4027" s="12"/>
      <c r="C4027" s="13"/>
      <c r="E4027" s="6"/>
      <c r="F4027" s="7"/>
      <c r="H4027" s="11"/>
      <c r="J4027" s="18"/>
      <c r="L4027" s="18"/>
      <c r="M4027" s="23"/>
    </row>
    <row r="4028">
      <c r="A4028" s="11"/>
      <c r="B4028" s="12"/>
      <c r="C4028" s="13"/>
      <c r="E4028" s="6"/>
      <c r="F4028" s="7"/>
      <c r="H4028" s="11"/>
      <c r="J4028" s="18"/>
      <c r="L4028" s="18"/>
      <c r="M4028" s="23"/>
    </row>
    <row r="4029">
      <c r="A4029" s="11"/>
      <c r="B4029" s="12"/>
      <c r="C4029" s="13"/>
      <c r="E4029" s="6"/>
      <c r="F4029" s="7"/>
      <c r="H4029" s="11"/>
      <c r="J4029" s="18"/>
      <c r="L4029" s="18"/>
      <c r="M4029" s="23"/>
    </row>
    <row r="4030">
      <c r="A4030" s="11"/>
      <c r="B4030" s="12"/>
      <c r="C4030" s="13"/>
      <c r="E4030" s="6"/>
      <c r="F4030" s="7"/>
      <c r="H4030" s="11"/>
      <c r="J4030" s="18"/>
      <c r="L4030" s="18"/>
      <c r="M4030" s="23"/>
    </row>
    <row r="4031">
      <c r="A4031" s="11"/>
      <c r="B4031" s="12"/>
      <c r="C4031" s="13"/>
      <c r="E4031" s="6"/>
      <c r="F4031" s="7"/>
      <c r="H4031" s="11"/>
      <c r="J4031" s="18"/>
      <c r="L4031" s="18"/>
      <c r="M4031" s="23"/>
    </row>
    <row r="4032">
      <c r="A4032" s="11"/>
      <c r="B4032" s="12"/>
      <c r="C4032" s="13"/>
      <c r="E4032" s="6"/>
      <c r="F4032" s="7"/>
      <c r="H4032" s="11"/>
      <c r="J4032" s="18"/>
      <c r="L4032" s="18"/>
      <c r="M4032" s="23"/>
    </row>
    <row r="4033">
      <c r="A4033" s="11"/>
      <c r="B4033" s="12"/>
      <c r="C4033" s="13"/>
      <c r="E4033" s="6"/>
      <c r="F4033" s="7"/>
      <c r="H4033" s="11"/>
      <c r="J4033" s="18"/>
      <c r="L4033" s="18"/>
      <c r="M4033" s="23"/>
    </row>
    <row r="4034">
      <c r="A4034" s="11"/>
      <c r="B4034" s="12"/>
      <c r="C4034" s="13"/>
      <c r="E4034" s="6"/>
      <c r="F4034" s="7"/>
      <c r="H4034" s="11"/>
      <c r="J4034" s="18"/>
      <c r="L4034" s="18"/>
      <c r="M4034" s="23"/>
    </row>
    <row r="4035">
      <c r="A4035" s="11"/>
      <c r="B4035" s="12"/>
      <c r="C4035" s="13"/>
      <c r="E4035" s="6"/>
      <c r="F4035" s="7"/>
      <c r="H4035" s="11"/>
      <c r="J4035" s="18"/>
      <c r="L4035" s="18"/>
      <c r="M4035" s="23"/>
    </row>
    <row r="4036">
      <c r="A4036" s="11"/>
      <c r="B4036" s="12"/>
      <c r="C4036" s="13"/>
      <c r="E4036" s="6"/>
      <c r="F4036" s="7"/>
      <c r="H4036" s="11"/>
      <c r="J4036" s="18"/>
      <c r="L4036" s="18"/>
      <c r="M4036" s="23"/>
    </row>
    <row r="4037">
      <c r="A4037" s="11"/>
      <c r="B4037" s="12"/>
      <c r="C4037" s="13"/>
      <c r="E4037" s="6"/>
      <c r="F4037" s="7"/>
      <c r="H4037" s="11"/>
      <c r="J4037" s="18"/>
      <c r="L4037" s="18"/>
      <c r="M4037" s="23"/>
    </row>
    <row r="4038">
      <c r="A4038" s="11"/>
      <c r="B4038" s="12"/>
      <c r="C4038" s="13"/>
      <c r="E4038" s="6"/>
      <c r="F4038" s="7"/>
      <c r="H4038" s="11"/>
      <c r="J4038" s="18"/>
      <c r="L4038" s="18"/>
      <c r="M4038" s="23"/>
    </row>
    <row r="4039">
      <c r="A4039" s="11"/>
      <c r="B4039" s="12"/>
      <c r="C4039" s="13"/>
      <c r="E4039" s="6"/>
      <c r="F4039" s="7"/>
      <c r="H4039" s="11"/>
      <c r="J4039" s="18"/>
      <c r="L4039" s="18"/>
      <c r="M4039" s="23"/>
    </row>
    <row r="4040">
      <c r="A4040" s="11"/>
      <c r="B4040" s="12"/>
      <c r="C4040" s="13"/>
      <c r="E4040" s="6"/>
      <c r="F4040" s="7"/>
      <c r="H4040" s="11"/>
      <c r="J4040" s="18"/>
      <c r="L4040" s="18"/>
      <c r="M4040" s="23"/>
    </row>
    <row r="4041">
      <c r="A4041" s="11"/>
      <c r="B4041" s="12"/>
      <c r="C4041" s="13"/>
      <c r="E4041" s="6"/>
      <c r="F4041" s="7"/>
      <c r="H4041" s="11"/>
      <c r="J4041" s="18"/>
      <c r="L4041" s="18"/>
      <c r="M4041" s="23"/>
    </row>
    <row r="4042">
      <c r="A4042" s="11"/>
      <c r="B4042" s="12"/>
      <c r="C4042" s="13"/>
      <c r="E4042" s="6"/>
      <c r="F4042" s="7"/>
      <c r="H4042" s="11"/>
      <c r="J4042" s="18"/>
      <c r="L4042" s="18"/>
      <c r="M4042" s="23"/>
    </row>
    <row r="4043">
      <c r="A4043" s="11"/>
      <c r="B4043" s="12"/>
      <c r="C4043" s="13"/>
      <c r="E4043" s="6"/>
      <c r="F4043" s="7"/>
      <c r="H4043" s="11"/>
      <c r="J4043" s="18"/>
      <c r="L4043" s="18"/>
      <c r="M4043" s="23"/>
    </row>
    <row r="4044">
      <c r="A4044" s="11"/>
      <c r="B4044" s="12"/>
      <c r="C4044" s="13"/>
      <c r="E4044" s="6"/>
      <c r="F4044" s="7"/>
      <c r="H4044" s="11"/>
      <c r="J4044" s="18"/>
      <c r="L4044" s="18"/>
      <c r="M4044" s="23"/>
    </row>
    <row r="4045">
      <c r="A4045" s="11"/>
      <c r="B4045" s="12"/>
      <c r="C4045" s="13"/>
      <c r="E4045" s="6"/>
      <c r="F4045" s="7"/>
      <c r="H4045" s="11"/>
      <c r="J4045" s="18"/>
      <c r="L4045" s="18"/>
      <c r="M4045" s="23"/>
    </row>
    <row r="4046">
      <c r="A4046" s="11"/>
      <c r="B4046" s="12"/>
      <c r="C4046" s="13"/>
      <c r="E4046" s="6"/>
      <c r="F4046" s="7"/>
      <c r="H4046" s="11"/>
      <c r="J4046" s="18"/>
      <c r="L4046" s="18"/>
      <c r="M4046" s="23"/>
    </row>
    <row r="4047">
      <c r="A4047" s="11"/>
      <c r="B4047" s="12"/>
      <c r="C4047" s="13"/>
      <c r="E4047" s="6"/>
      <c r="F4047" s="7"/>
      <c r="H4047" s="11"/>
      <c r="J4047" s="18"/>
      <c r="L4047" s="18"/>
      <c r="M4047" s="23"/>
    </row>
    <row r="4048">
      <c r="A4048" s="11"/>
      <c r="B4048" s="12"/>
      <c r="C4048" s="13"/>
      <c r="E4048" s="6"/>
      <c r="F4048" s="7"/>
      <c r="H4048" s="11"/>
      <c r="J4048" s="18"/>
      <c r="L4048" s="18"/>
      <c r="M4048" s="23"/>
    </row>
    <row r="4049">
      <c r="A4049" s="11"/>
      <c r="B4049" s="12"/>
      <c r="C4049" s="13"/>
      <c r="E4049" s="6"/>
      <c r="F4049" s="7"/>
      <c r="H4049" s="11"/>
      <c r="J4049" s="18"/>
      <c r="L4049" s="18"/>
      <c r="M4049" s="23"/>
    </row>
    <row r="4050">
      <c r="A4050" s="11"/>
      <c r="B4050" s="12"/>
      <c r="C4050" s="13"/>
      <c r="E4050" s="6"/>
      <c r="F4050" s="7"/>
      <c r="H4050" s="11"/>
      <c r="J4050" s="18"/>
      <c r="L4050" s="18"/>
      <c r="M4050" s="23"/>
    </row>
    <row r="4051">
      <c r="A4051" s="11"/>
      <c r="B4051" s="12"/>
      <c r="C4051" s="13"/>
      <c r="E4051" s="6"/>
      <c r="F4051" s="7"/>
      <c r="H4051" s="11"/>
      <c r="J4051" s="18"/>
      <c r="L4051" s="18"/>
      <c r="M4051" s="23"/>
    </row>
    <row r="4052">
      <c r="A4052" s="11"/>
      <c r="B4052" s="12"/>
      <c r="C4052" s="13"/>
      <c r="E4052" s="6"/>
      <c r="F4052" s="7"/>
      <c r="H4052" s="11"/>
      <c r="J4052" s="18"/>
      <c r="L4052" s="18"/>
      <c r="M4052" s="23"/>
    </row>
    <row r="4053">
      <c r="A4053" s="11"/>
      <c r="B4053" s="12"/>
      <c r="C4053" s="13"/>
      <c r="E4053" s="6"/>
      <c r="F4053" s="7"/>
      <c r="H4053" s="11"/>
      <c r="J4053" s="18"/>
      <c r="L4053" s="18"/>
      <c r="M4053" s="23"/>
    </row>
    <row r="4054">
      <c r="A4054" s="11"/>
      <c r="B4054" s="12"/>
      <c r="C4054" s="13"/>
      <c r="E4054" s="6"/>
      <c r="F4054" s="7"/>
      <c r="H4054" s="11"/>
      <c r="J4054" s="18"/>
      <c r="L4054" s="18"/>
      <c r="M4054" s="23"/>
    </row>
    <row r="4055">
      <c r="A4055" s="11"/>
      <c r="B4055" s="12"/>
      <c r="C4055" s="13"/>
      <c r="E4055" s="6"/>
      <c r="F4055" s="7"/>
      <c r="H4055" s="11"/>
      <c r="J4055" s="18"/>
      <c r="L4055" s="18"/>
      <c r="M4055" s="23"/>
    </row>
    <row r="4056">
      <c r="A4056" s="11"/>
      <c r="B4056" s="12"/>
      <c r="C4056" s="13"/>
      <c r="E4056" s="6"/>
      <c r="F4056" s="7"/>
      <c r="H4056" s="11"/>
      <c r="J4056" s="18"/>
      <c r="L4056" s="18"/>
      <c r="M4056" s="23"/>
    </row>
    <row r="4057">
      <c r="A4057" s="11"/>
      <c r="B4057" s="12"/>
      <c r="C4057" s="13"/>
      <c r="E4057" s="6"/>
      <c r="F4057" s="7"/>
      <c r="H4057" s="11"/>
      <c r="J4057" s="18"/>
      <c r="L4057" s="18"/>
      <c r="M4057" s="23"/>
    </row>
    <row r="4058">
      <c r="A4058" s="11"/>
      <c r="B4058" s="12"/>
      <c r="C4058" s="13"/>
      <c r="E4058" s="6"/>
      <c r="F4058" s="7"/>
      <c r="H4058" s="11"/>
      <c r="J4058" s="18"/>
      <c r="L4058" s="18"/>
      <c r="M4058" s="23"/>
    </row>
    <row r="4059">
      <c r="A4059" s="11"/>
      <c r="B4059" s="12"/>
      <c r="C4059" s="13"/>
      <c r="E4059" s="6"/>
      <c r="F4059" s="7"/>
      <c r="H4059" s="11"/>
      <c r="J4059" s="18"/>
      <c r="L4059" s="18"/>
      <c r="M4059" s="23"/>
    </row>
    <row r="4060">
      <c r="A4060" s="11"/>
      <c r="B4060" s="12"/>
      <c r="C4060" s="13"/>
      <c r="E4060" s="6"/>
      <c r="F4060" s="7"/>
      <c r="H4060" s="11"/>
      <c r="J4060" s="18"/>
      <c r="L4060" s="18"/>
      <c r="M4060" s="23"/>
    </row>
    <row r="4061">
      <c r="A4061" s="11"/>
      <c r="B4061" s="12"/>
      <c r="C4061" s="13"/>
      <c r="E4061" s="6"/>
      <c r="F4061" s="7"/>
      <c r="H4061" s="11"/>
      <c r="J4061" s="18"/>
      <c r="L4061" s="18"/>
      <c r="M4061" s="23"/>
    </row>
    <row r="4062">
      <c r="A4062" s="11"/>
      <c r="B4062" s="12"/>
      <c r="C4062" s="13"/>
      <c r="E4062" s="6"/>
      <c r="F4062" s="7"/>
      <c r="H4062" s="11"/>
      <c r="J4062" s="18"/>
      <c r="L4062" s="18"/>
      <c r="M4062" s="23"/>
    </row>
    <row r="4063">
      <c r="A4063" s="11"/>
      <c r="B4063" s="12"/>
      <c r="C4063" s="13"/>
      <c r="E4063" s="6"/>
      <c r="F4063" s="7"/>
      <c r="H4063" s="11"/>
      <c r="J4063" s="18"/>
      <c r="L4063" s="18"/>
      <c r="M4063" s="23"/>
    </row>
    <row r="4064">
      <c r="A4064" s="11"/>
      <c r="B4064" s="12"/>
      <c r="C4064" s="13"/>
      <c r="E4064" s="6"/>
      <c r="F4064" s="7"/>
      <c r="H4064" s="11"/>
      <c r="J4064" s="18"/>
      <c r="L4064" s="18"/>
      <c r="M4064" s="23"/>
    </row>
    <row r="4065">
      <c r="A4065" s="11"/>
      <c r="B4065" s="12"/>
      <c r="C4065" s="13"/>
      <c r="E4065" s="6"/>
      <c r="F4065" s="7"/>
      <c r="H4065" s="11"/>
      <c r="J4065" s="18"/>
      <c r="L4065" s="18"/>
      <c r="M4065" s="23"/>
    </row>
    <row r="4066">
      <c r="A4066" s="11"/>
      <c r="B4066" s="12"/>
      <c r="C4066" s="13"/>
      <c r="E4066" s="6"/>
      <c r="F4066" s="7"/>
      <c r="H4066" s="11"/>
      <c r="J4066" s="18"/>
      <c r="L4066" s="18"/>
      <c r="M4066" s="23"/>
    </row>
    <row r="4067">
      <c r="A4067" s="11"/>
      <c r="B4067" s="12"/>
      <c r="C4067" s="13"/>
      <c r="E4067" s="6"/>
      <c r="F4067" s="7"/>
      <c r="H4067" s="11"/>
      <c r="J4067" s="18"/>
      <c r="L4067" s="18"/>
      <c r="M4067" s="23"/>
    </row>
    <row r="4068">
      <c r="A4068" s="11"/>
      <c r="B4068" s="12"/>
      <c r="C4068" s="13"/>
      <c r="E4068" s="6"/>
      <c r="F4068" s="7"/>
      <c r="H4068" s="11"/>
      <c r="J4068" s="18"/>
      <c r="L4068" s="18"/>
      <c r="M4068" s="23"/>
    </row>
    <row r="4069">
      <c r="A4069" s="11"/>
      <c r="B4069" s="12"/>
      <c r="C4069" s="13"/>
      <c r="E4069" s="6"/>
      <c r="F4069" s="7"/>
      <c r="H4069" s="11"/>
      <c r="J4069" s="18"/>
      <c r="L4069" s="18"/>
      <c r="M4069" s="23"/>
    </row>
    <row r="4070">
      <c r="A4070" s="11"/>
      <c r="B4070" s="12"/>
      <c r="C4070" s="13"/>
      <c r="E4070" s="6"/>
      <c r="F4070" s="7"/>
      <c r="H4070" s="11"/>
      <c r="J4070" s="18"/>
      <c r="L4070" s="18"/>
      <c r="M4070" s="23"/>
    </row>
    <row r="4071">
      <c r="A4071" s="11"/>
      <c r="B4071" s="12"/>
      <c r="C4071" s="13"/>
      <c r="E4071" s="6"/>
      <c r="F4071" s="7"/>
      <c r="H4071" s="11"/>
      <c r="J4071" s="18"/>
      <c r="L4071" s="18"/>
      <c r="M4071" s="23"/>
    </row>
    <row r="4072">
      <c r="A4072" s="11"/>
      <c r="B4072" s="12"/>
      <c r="C4072" s="13"/>
      <c r="E4072" s="6"/>
      <c r="F4072" s="7"/>
      <c r="H4072" s="11"/>
      <c r="J4072" s="18"/>
      <c r="L4072" s="18"/>
      <c r="M4072" s="23"/>
    </row>
    <row r="4073">
      <c r="A4073" s="11"/>
      <c r="B4073" s="12"/>
      <c r="C4073" s="13"/>
      <c r="E4073" s="6"/>
      <c r="F4073" s="7"/>
      <c r="H4073" s="11"/>
      <c r="J4073" s="18"/>
      <c r="L4073" s="18"/>
      <c r="M4073" s="23"/>
    </row>
    <row r="4074">
      <c r="A4074" s="11"/>
      <c r="B4074" s="12"/>
      <c r="C4074" s="13"/>
      <c r="E4074" s="6"/>
      <c r="F4074" s="7"/>
      <c r="H4074" s="11"/>
      <c r="J4074" s="18"/>
      <c r="L4074" s="18"/>
      <c r="M4074" s="23"/>
    </row>
    <row r="4075">
      <c r="A4075" s="11"/>
      <c r="B4075" s="12"/>
      <c r="C4075" s="13"/>
      <c r="E4075" s="6"/>
      <c r="F4075" s="7"/>
      <c r="H4075" s="11"/>
      <c r="J4075" s="18"/>
      <c r="L4075" s="18"/>
      <c r="M4075" s="23"/>
    </row>
    <row r="4076">
      <c r="A4076" s="11"/>
      <c r="B4076" s="12"/>
      <c r="C4076" s="13"/>
      <c r="E4076" s="6"/>
      <c r="F4076" s="7"/>
      <c r="H4076" s="11"/>
      <c r="J4076" s="18"/>
      <c r="L4076" s="18"/>
      <c r="M4076" s="23"/>
    </row>
    <row r="4077">
      <c r="A4077" s="11"/>
      <c r="B4077" s="12"/>
      <c r="C4077" s="13"/>
      <c r="E4077" s="6"/>
      <c r="F4077" s="7"/>
      <c r="H4077" s="11"/>
      <c r="J4077" s="18"/>
      <c r="L4077" s="18"/>
      <c r="M4077" s="23"/>
    </row>
    <row r="4078">
      <c r="A4078" s="11"/>
      <c r="B4078" s="12"/>
      <c r="C4078" s="13"/>
      <c r="E4078" s="6"/>
      <c r="F4078" s="7"/>
      <c r="H4078" s="11"/>
      <c r="J4078" s="18"/>
      <c r="L4078" s="18"/>
      <c r="M4078" s="23"/>
    </row>
    <row r="4079">
      <c r="A4079" s="11"/>
      <c r="B4079" s="12"/>
      <c r="C4079" s="13"/>
      <c r="E4079" s="6"/>
      <c r="F4079" s="7"/>
      <c r="H4079" s="11"/>
      <c r="J4079" s="18"/>
      <c r="L4079" s="18"/>
      <c r="M4079" s="23"/>
    </row>
    <row r="4080">
      <c r="A4080" s="11"/>
      <c r="B4080" s="12"/>
      <c r="C4080" s="13"/>
      <c r="E4080" s="6"/>
      <c r="F4080" s="7"/>
      <c r="H4080" s="11"/>
      <c r="J4080" s="18"/>
      <c r="L4080" s="18"/>
      <c r="M4080" s="23"/>
    </row>
    <row r="4081">
      <c r="A4081" s="11"/>
      <c r="B4081" s="12"/>
      <c r="C4081" s="13"/>
      <c r="E4081" s="6"/>
      <c r="F4081" s="7"/>
      <c r="H4081" s="11"/>
      <c r="J4081" s="18"/>
      <c r="L4081" s="18"/>
      <c r="M4081" s="23"/>
    </row>
    <row r="4082">
      <c r="A4082" s="11"/>
      <c r="B4082" s="12"/>
      <c r="C4082" s="13"/>
      <c r="E4082" s="6"/>
      <c r="F4082" s="7"/>
      <c r="H4082" s="11"/>
      <c r="J4082" s="18"/>
      <c r="L4082" s="18"/>
      <c r="M4082" s="23"/>
    </row>
    <row r="4083">
      <c r="A4083" s="11"/>
      <c r="B4083" s="12"/>
      <c r="C4083" s="13"/>
      <c r="E4083" s="6"/>
      <c r="F4083" s="7"/>
      <c r="H4083" s="11"/>
      <c r="J4083" s="18"/>
      <c r="L4083" s="18"/>
      <c r="M4083" s="23"/>
    </row>
    <row r="4084">
      <c r="A4084" s="11"/>
      <c r="B4084" s="12"/>
      <c r="C4084" s="13"/>
      <c r="E4084" s="6"/>
      <c r="F4084" s="7"/>
      <c r="H4084" s="11"/>
      <c r="J4084" s="18"/>
      <c r="L4084" s="18"/>
      <c r="M4084" s="23"/>
    </row>
    <row r="4085">
      <c r="A4085" s="11"/>
      <c r="B4085" s="12"/>
      <c r="C4085" s="13"/>
      <c r="E4085" s="6"/>
      <c r="F4085" s="7"/>
      <c r="H4085" s="11"/>
      <c r="J4085" s="18"/>
      <c r="L4085" s="18"/>
      <c r="M4085" s="23"/>
    </row>
    <row r="4086">
      <c r="A4086" s="11"/>
      <c r="B4086" s="12"/>
      <c r="C4086" s="13"/>
      <c r="E4086" s="6"/>
      <c r="F4086" s="7"/>
      <c r="H4086" s="11"/>
      <c r="J4086" s="18"/>
      <c r="L4086" s="18"/>
      <c r="M4086" s="23"/>
    </row>
    <row r="4087">
      <c r="A4087" s="11"/>
      <c r="B4087" s="12"/>
      <c r="C4087" s="13"/>
      <c r="E4087" s="6"/>
      <c r="F4087" s="7"/>
      <c r="H4087" s="11"/>
      <c r="J4087" s="18"/>
      <c r="L4087" s="18"/>
      <c r="M4087" s="23"/>
    </row>
    <row r="4088">
      <c r="A4088" s="11"/>
      <c r="B4088" s="12"/>
      <c r="C4088" s="13"/>
      <c r="E4088" s="6"/>
      <c r="F4088" s="7"/>
      <c r="H4088" s="11"/>
      <c r="J4088" s="18"/>
      <c r="L4088" s="18"/>
      <c r="M4088" s="23"/>
    </row>
    <row r="4089">
      <c r="A4089" s="11"/>
      <c r="B4089" s="12"/>
      <c r="C4089" s="13"/>
      <c r="E4089" s="6"/>
      <c r="F4089" s="7"/>
      <c r="H4089" s="11"/>
      <c r="J4089" s="18"/>
      <c r="L4089" s="18"/>
      <c r="M4089" s="23"/>
    </row>
    <row r="4090">
      <c r="A4090" s="11"/>
      <c r="B4090" s="12"/>
      <c r="C4090" s="13"/>
      <c r="E4090" s="6"/>
      <c r="F4090" s="7"/>
      <c r="H4090" s="11"/>
      <c r="J4090" s="18"/>
      <c r="L4090" s="18"/>
      <c r="M4090" s="23"/>
    </row>
    <row r="4091">
      <c r="A4091" s="11"/>
      <c r="B4091" s="12"/>
      <c r="C4091" s="13"/>
      <c r="E4091" s="6"/>
      <c r="F4091" s="7"/>
      <c r="H4091" s="11"/>
      <c r="J4091" s="18"/>
      <c r="L4091" s="18"/>
      <c r="M4091" s="23"/>
    </row>
    <row r="4092">
      <c r="A4092" s="11"/>
      <c r="B4092" s="12"/>
      <c r="C4092" s="13"/>
      <c r="E4092" s="6"/>
      <c r="F4092" s="7"/>
      <c r="H4092" s="11"/>
      <c r="J4092" s="18"/>
      <c r="L4092" s="18"/>
      <c r="M4092" s="23"/>
    </row>
    <row r="4093">
      <c r="A4093" s="11"/>
      <c r="B4093" s="12"/>
      <c r="C4093" s="13"/>
      <c r="E4093" s="6"/>
      <c r="F4093" s="7"/>
      <c r="H4093" s="11"/>
      <c r="J4093" s="18"/>
      <c r="L4093" s="18"/>
      <c r="M4093" s="23"/>
    </row>
    <row r="4094">
      <c r="A4094" s="11"/>
      <c r="B4094" s="12"/>
      <c r="C4094" s="13"/>
      <c r="E4094" s="6"/>
      <c r="F4094" s="7"/>
      <c r="H4094" s="11"/>
      <c r="J4094" s="18"/>
      <c r="L4094" s="18"/>
      <c r="M4094" s="23"/>
    </row>
    <row r="4095">
      <c r="A4095" s="11"/>
      <c r="B4095" s="12"/>
      <c r="C4095" s="13"/>
      <c r="E4095" s="6"/>
      <c r="F4095" s="7"/>
      <c r="H4095" s="11"/>
      <c r="J4095" s="18"/>
      <c r="L4095" s="18"/>
      <c r="M4095" s="23"/>
    </row>
    <row r="4096">
      <c r="A4096" s="11"/>
      <c r="B4096" s="12"/>
      <c r="C4096" s="13"/>
      <c r="E4096" s="6"/>
      <c r="F4096" s="7"/>
      <c r="H4096" s="11"/>
      <c r="J4096" s="18"/>
      <c r="L4096" s="18"/>
      <c r="M4096" s="23"/>
    </row>
    <row r="4097">
      <c r="A4097" s="11"/>
      <c r="B4097" s="12"/>
      <c r="C4097" s="13"/>
      <c r="E4097" s="6"/>
      <c r="F4097" s="7"/>
      <c r="H4097" s="11"/>
      <c r="J4097" s="18"/>
      <c r="L4097" s="18"/>
      <c r="M4097" s="23"/>
    </row>
    <row r="4098">
      <c r="A4098" s="11"/>
      <c r="B4098" s="12"/>
      <c r="C4098" s="13"/>
      <c r="E4098" s="6"/>
      <c r="F4098" s="7"/>
      <c r="H4098" s="11"/>
      <c r="J4098" s="18"/>
      <c r="L4098" s="18"/>
      <c r="M4098" s="23"/>
    </row>
    <row r="4099">
      <c r="A4099" s="11"/>
      <c r="B4099" s="12"/>
      <c r="C4099" s="13"/>
      <c r="E4099" s="6"/>
      <c r="F4099" s="7"/>
      <c r="H4099" s="11"/>
      <c r="J4099" s="18"/>
      <c r="L4099" s="18"/>
      <c r="M4099" s="23"/>
    </row>
    <row r="4100">
      <c r="A4100" s="11"/>
      <c r="B4100" s="12"/>
      <c r="C4100" s="13"/>
      <c r="E4100" s="6"/>
      <c r="F4100" s="7"/>
      <c r="H4100" s="11"/>
      <c r="J4100" s="18"/>
      <c r="L4100" s="18"/>
      <c r="M4100" s="23"/>
    </row>
    <row r="4101">
      <c r="A4101" s="11"/>
      <c r="B4101" s="12"/>
      <c r="C4101" s="13"/>
      <c r="E4101" s="6"/>
      <c r="F4101" s="7"/>
      <c r="H4101" s="11"/>
      <c r="J4101" s="18"/>
      <c r="L4101" s="18"/>
      <c r="M4101" s="23"/>
    </row>
    <row r="4102">
      <c r="A4102" s="11"/>
      <c r="B4102" s="12"/>
      <c r="C4102" s="13"/>
      <c r="E4102" s="6"/>
      <c r="F4102" s="7"/>
      <c r="H4102" s="11"/>
      <c r="J4102" s="18"/>
      <c r="L4102" s="18"/>
      <c r="M4102" s="23"/>
    </row>
    <row r="4103">
      <c r="A4103" s="11"/>
      <c r="B4103" s="12"/>
      <c r="C4103" s="13"/>
      <c r="E4103" s="6"/>
      <c r="F4103" s="7"/>
      <c r="H4103" s="11"/>
      <c r="J4103" s="18"/>
      <c r="L4103" s="18"/>
      <c r="M4103" s="23"/>
    </row>
    <row r="4104">
      <c r="A4104" s="11"/>
      <c r="B4104" s="12"/>
      <c r="C4104" s="13"/>
      <c r="E4104" s="6"/>
      <c r="F4104" s="7"/>
      <c r="H4104" s="11"/>
      <c r="J4104" s="18"/>
      <c r="L4104" s="18"/>
      <c r="M4104" s="23"/>
    </row>
    <row r="4105">
      <c r="A4105" s="11"/>
      <c r="B4105" s="12"/>
      <c r="C4105" s="13"/>
      <c r="E4105" s="6"/>
      <c r="F4105" s="7"/>
      <c r="H4105" s="11"/>
      <c r="J4105" s="18"/>
      <c r="L4105" s="18"/>
      <c r="M4105" s="23"/>
    </row>
    <row r="4106">
      <c r="A4106" s="11"/>
      <c r="B4106" s="12"/>
      <c r="C4106" s="13"/>
      <c r="E4106" s="6"/>
      <c r="F4106" s="7"/>
      <c r="H4106" s="11"/>
      <c r="J4106" s="18"/>
      <c r="L4106" s="18"/>
      <c r="M4106" s="23"/>
    </row>
    <row r="4107">
      <c r="A4107" s="11"/>
      <c r="B4107" s="12"/>
      <c r="C4107" s="13"/>
      <c r="E4107" s="6"/>
      <c r="F4107" s="7"/>
      <c r="H4107" s="11"/>
      <c r="J4107" s="18"/>
      <c r="L4107" s="18"/>
      <c r="M4107" s="23"/>
    </row>
    <row r="4108">
      <c r="A4108" s="11"/>
      <c r="B4108" s="12"/>
      <c r="C4108" s="13"/>
      <c r="E4108" s="6"/>
      <c r="F4108" s="7"/>
      <c r="H4108" s="11"/>
      <c r="J4108" s="18"/>
      <c r="L4108" s="18"/>
      <c r="M4108" s="23"/>
    </row>
    <row r="4109">
      <c r="A4109" s="11"/>
      <c r="B4109" s="12"/>
      <c r="C4109" s="13"/>
      <c r="E4109" s="6"/>
      <c r="F4109" s="7"/>
      <c r="H4109" s="11"/>
      <c r="J4109" s="18"/>
      <c r="L4109" s="18"/>
      <c r="M4109" s="23"/>
    </row>
    <row r="4110">
      <c r="A4110" s="11"/>
      <c r="B4110" s="12"/>
      <c r="C4110" s="13"/>
      <c r="E4110" s="6"/>
      <c r="F4110" s="7"/>
      <c r="H4110" s="11"/>
      <c r="J4110" s="18"/>
      <c r="L4110" s="18"/>
      <c r="M4110" s="23"/>
    </row>
    <row r="4111">
      <c r="A4111" s="11"/>
      <c r="B4111" s="12"/>
      <c r="C4111" s="13"/>
      <c r="E4111" s="6"/>
      <c r="F4111" s="7"/>
      <c r="H4111" s="11"/>
      <c r="J4111" s="18"/>
      <c r="L4111" s="18"/>
      <c r="M4111" s="23"/>
    </row>
    <row r="4112">
      <c r="A4112" s="11"/>
      <c r="B4112" s="12"/>
      <c r="C4112" s="13"/>
      <c r="E4112" s="6"/>
      <c r="F4112" s="7"/>
      <c r="H4112" s="11"/>
      <c r="J4112" s="18"/>
      <c r="L4112" s="18"/>
      <c r="M4112" s="23"/>
    </row>
    <row r="4113">
      <c r="A4113" s="11"/>
      <c r="B4113" s="12"/>
      <c r="C4113" s="13"/>
      <c r="E4113" s="6"/>
      <c r="F4113" s="7"/>
      <c r="H4113" s="11"/>
      <c r="J4113" s="18"/>
      <c r="L4113" s="18"/>
      <c r="M4113" s="23"/>
    </row>
    <row r="4114">
      <c r="A4114" s="11"/>
      <c r="B4114" s="12"/>
      <c r="C4114" s="13"/>
      <c r="E4114" s="6"/>
      <c r="F4114" s="7"/>
      <c r="H4114" s="11"/>
      <c r="J4114" s="18"/>
      <c r="L4114" s="18"/>
      <c r="M4114" s="23"/>
    </row>
    <row r="4115">
      <c r="A4115" s="11"/>
      <c r="B4115" s="12"/>
      <c r="C4115" s="13"/>
      <c r="E4115" s="6"/>
      <c r="F4115" s="7"/>
      <c r="H4115" s="11"/>
      <c r="J4115" s="18"/>
      <c r="L4115" s="18"/>
      <c r="M4115" s="23"/>
    </row>
    <row r="4116">
      <c r="A4116" s="11"/>
      <c r="B4116" s="12"/>
      <c r="C4116" s="13"/>
      <c r="E4116" s="6"/>
      <c r="F4116" s="7"/>
      <c r="H4116" s="11"/>
      <c r="J4116" s="18"/>
      <c r="L4116" s="18"/>
      <c r="M4116" s="23"/>
    </row>
    <row r="4117">
      <c r="A4117" s="11"/>
      <c r="B4117" s="12"/>
      <c r="C4117" s="13"/>
      <c r="E4117" s="6"/>
      <c r="F4117" s="7"/>
      <c r="H4117" s="11"/>
      <c r="J4117" s="18"/>
      <c r="L4117" s="18"/>
      <c r="M4117" s="23"/>
    </row>
    <row r="4118">
      <c r="A4118" s="11"/>
      <c r="B4118" s="12"/>
      <c r="C4118" s="13"/>
      <c r="E4118" s="6"/>
      <c r="F4118" s="7"/>
      <c r="H4118" s="11"/>
      <c r="J4118" s="18"/>
      <c r="L4118" s="18"/>
      <c r="M4118" s="23"/>
    </row>
    <row r="4119">
      <c r="A4119" s="11"/>
      <c r="B4119" s="12"/>
      <c r="C4119" s="13"/>
      <c r="E4119" s="6"/>
      <c r="F4119" s="7"/>
      <c r="H4119" s="11"/>
      <c r="J4119" s="18"/>
      <c r="L4119" s="18"/>
      <c r="M4119" s="23"/>
    </row>
    <row r="4120">
      <c r="A4120" s="11"/>
      <c r="B4120" s="12"/>
      <c r="C4120" s="13"/>
      <c r="E4120" s="6"/>
      <c r="F4120" s="7"/>
      <c r="H4120" s="11"/>
      <c r="J4120" s="18"/>
      <c r="L4120" s="18"/>
      <c r="M4120" s="23"/>
    </row>
    <row r="4121">
      <c r="A4121" s="11"/>
      <c r="B4121" s="12"/>
      <c r="C4121" s="13"/>
      <c r="E4121" s="6"/>
      <c r="F4121" s="7"/>
      <c r="H4121" s="11"/>
      <c r="J4121" s="18"/>
      <c r="L4121" s="18"/>
      <c r="M4121" s="23"/>
    </row>
    <row r="4122">
      <c r="A4122" s="11"/>
      <c r="B4122" s="12"/>
      <c r="C4122" s="13"/>
      <c r="E4122" s="6"/>
      <c r="F4122" s="7"/>
      <c r="H4122" s="11"/>
      <c r="J4122" s="18"/>
      <c r="L4122" s="18"/>
      <c r="M4122" s="23"/>
    </row>
    <row r="4123">
      <c r="A4123" s="11"/>
      <c r="B4123" s="12"/>
      <c r="C4123" s="13"/>
      <c r="E4123" s="6"/>
      <c r="F4123" s="7"/>
      <c r="H4123" s="11"/>
      <c r="J4123" s="18"/>
      <c r="L4123" s="18"/>
      <c r="M4123" s="23"/>
    </row>
    <row r="4124">
      <c r="A4124" s="11"/>
      <c r="B4124" s="12"/>
      <c r="C4124" s="13"/>
      <c r="E4124" s="6"/>
      <c r="F4124" s="7"/>
      <c r="H4124" s="11"/>
      <c r="J4124" s="18"/>
      <c r="L4124" s="18"/>
      <c r="M4124" s="23"/>
    </row>
    <row r="4125">
      <c r="A4125" s="11"/>
      <c r="B4125" s="12"/>
      <c r="C4125" s="13"/>
      <c r="E4125" s="6"/>
      <c r="F4125" s="7"/>
      <c r="H4125" s="11"/>
      <c r="J4125" s="18"/>
      <c r="L4125" s="18"/>
      <c r="M4125" s="23"/>
    </row>
    <row r="4126">
      <c r="A4126" s="11"/>
      <c r="B4126" s="12"/>
      <c r="C4126" s="13"/>
      <c r="E4126" s="6"/>
      <c r="F4126" s="7"/>
      <c r="H4126" s="11"/>
      <c r="J4126" s="18"/>
      <c r="L4126" s="18"/>
      <c r="M4126" s="23"/>
    </row>
    <row r="4127">
      <c r="A4127" s="11"/>
      <c r="B4127" s="12"/>
      <c r="C4127" s="13"/>
      <c r="E4127" s="6"/>
      <c r="F4127" s="7"/>
      <c r="H4127" s="11"/>
      <c r="J4127" s="18"/>
      <c r="L4127" s="18"/>
      <c r="M4127" s="23"/>
    </row>
    <row r="4128">
      <c r="A4128" s="11"/>
      <c r="B4128" s="12"/>
      <c r="C4128" s="13"/>
      <c r="E4128" s="6"/>
      <c r="F4128" s="7"/>
      <c r="H4128" s="11"/>
      <c r="J4128" s="18"/>
      <c r="L4128" s="18"/>
      <c r="M4128" s="23"/>
    </row>
    <row r="4129">
      <c r="A4129" s="11"/>
      <c r="B4129" s="12"/>
      <c r="C4129" s="13"/>
      <c r="E4129" s="6"/>
      <c r="F4129" s="7"/>
      <c r="H4129" s="11"/>
      <c r="J4129" s="18"/>
      <c r="L4129" s="18"/>
      <c r="M4129" s="23"/>
    </row>
    <row r="4130">
      <c r="A4130" s="11"/>
      <c r="B4130" s="12"/>
      <c r="C4130" s="13"/>
      <c r="E4130" s="6"/>
      <c r="F4130" s="7"/>
      <c r="H4130" s="11"/>
      <c r="J4130" s="18"/>
      <c r="L4130" s="18"/>
      <c r="M4130" s="23"/>
    </row>
    <row r="4131">
      <c r="A4131" s="11"/>
      <c r="B4131" s="12"/>
      <c r="C4131" s="13"/>
      <c r="E4131" s="6"/>
      <c r="F4131" s="7"/>
      <c r="H4131" s="11"/>
      <c r="J4131" s="18"/>
      <c r="L4131" s="18"/>
      <c r="M4131" s="23"/>
    </row>
    <row r="4132">
      <c r="A4132" s="11"/>
      <c r="B4132" s="12"/>
      <c r="C4132" s="13"/>
      <c r="E4132" s="6"/>
      <c r="F4132" s="7"/>
      <c r="H4132" s="11"/>
      <c r="J4132" s="18"/>
      <c r="L4132" s="18"/>
      <c r="M4132" s="23"/>
    </row>
    <row r="4133">
      <c r="A4133" s="11"/>
      <c r="B4133" s="12"/>
      <c r="C4133" s="13"/>
      <c r="E4133" s="6"/>
      <c r="F4133" s="7"/>
      <c r="H4133" s="11"/>
      <c r="J4133" s="18"/>
      <c r="L4133" s="18"/>
      <c r="M4133" s="23"/>
    </row>
    <row r="4134">
      <c r="A4134" s="11"/>
      <c r="B4134" s="12"/>
      <c r="C4134" s="13"/>
      <c r="E4134" s="6"/>
      <c r="F4134" s="7"/>
      <c r="H4134" s="11"/>
      <c r="J4134" s="18"/>
      <c r="L4134" s="18"/>
      <c r="M4134" s="23"/>
    </row>
    <row r="4135">
      <c r="A4135" s="11"/>
      <c r="B4135" s="12"/>
      <c r="C4135" s="13"/>
      <c r="E4135" s="6"/>
      <c r="F4135" s="7"/>
      <c r="H4135" s="11"/>
      <c r="J4135" s="18"/>
      <c r="L4135" s="18"/>
      <c r="M4135" s="23"/>
    </row>
    <row r="4136">
      <c r="A4136" s="11"/>
      <c r="B4136" s="12"/>
      <c r="C4136" s="13"/>
      <c r="E4136" s="6"/>
      <c r="F4136" s="7"/>
      <c r="H4136" s="11"/>
      <c r="J4136" s="18"/>
      <c r="L4136" s="18"/>
      <c r="M4136" s="23"/>
    </row>
    <row r="4137">
      <c r="A4137" s="11"/>
      <c r="B4137" s="12"/>
      <c r="C4137" s="13"/>
      <c r="E4137" s="6"/>
      <c r="F4137" s="7"/>
      <c r="H4137" s="11"/>
      <c r="J4137" s="18"/>
      <c r="L4137" s="18"/>
      <c r="M4137" s="23"/>
    </row>
    <row r="4138">
      <c r="A4138" s="11"/>
      <c r="B4138" s="12"/>
      <c r="C4138" s="13"/>
      <c r="E4138" s="6"/>
      <c r="F4138" s="7"/>
      <c r="H4138" s="11"/>
      <c r="J4138" s="18"/>
      <c r="L4138" s="18"/>
      <c r="M4138" s="23"/>
    </row>
    <row r="4139">
      <c r="A4139" s="11"/>
      <c r="B4139" s="12"/>
      <c r="C4139" s="13"/>
      <c r="E4139" s="6"/>
      <c r="F4139" s="7"/>
      <c r="H4139" s="11"/>
      <c r="J4139" s="18"/>
      <c r="L4139" s="18"/>
      <c r="M4139" s="23"/>
    </row>
    <row r="4140">
      <c r="A4140" s="11"/>
      <c r="B4140" s="12"/>
      <c r="C4140" s="13"/>
      <c r="E4140" s="6"/>
      <c r="F4140" s="7"/>
      <c r="H4140" s="11"/>
      <c r="J4140" s="18"/>
      <c r="L4140" s="18"/>
      <c r="M4140" s="23"/>
    </row>
    <row r="4141">
      <c r="A4141" s="11"/>
      <c r="B4141" s="12"/>
      <c r="C4141" s="13"/>
      <c r="E4141" s="6"/>
      <c r="F4141" s="7"/>
      <c r="H4141" s="11"/>
      <c r="J4141" s="18"/>
      <c r="L4141" s="18"/>
      <c r="M4141" s="23"/>
    </row>
    <row r="4142">
      <c r="A4142" s="11"/>
      <c r="B4142" s="12"/>
      <c r="C4142" s="13"/>
      <c r="E4142" s="6"/>
      <c r="F4142" s="7"/>
      <c r="H4142" s="11"/>
      <c r="J4142" s="18"/>
      <c r="L4142" s="18"/>
      <c r="M4142" s="23"/>
    </row>
    <row r="4143">
      <c r="A4143" s="11"/>
      <c r="B4143" s="12"/>
      <c r="C4143" s="13"/>
      <c r="E4143" s="6"/>
      <c r="F4143" s="7"/>
      <c r="H4143" s="11"/>
      <c r="J4143" s="18"/>
      <c r="L4143" s="18"/>
      <c r="M4143" s="23"/>
    </row>
    <row r="4144">
      <c r="A4144" s="11"/>
      <c r="B4144" s="12"/>
      <c r="C4144" s="13"/>
      <c r="E4144" s="6"/>
      <c r="F4144" s="7"/>
      <c r="H4144" s="11"/>
      <c r="J4144" s="18"/>
      <c r="L4144" s="18"/>
      <c r="M4144" s="23"/>
    </row>
    <row r="4145">
      <c r="A4145" s="11"/>
      <c r="B4145" s="12"/>
      <c r="C4145" s="13"/>
      <c r="E4145" s="6"/>
      <c r="F4145" s="7"/>
      <c r="H4145" s="11"/>
      <c r="J4145" s="18"/>
      <c r="L4145" s="18"/>
      <c r="M4145" s="23"/>
    </row>
    <row r="4146">
      <c r="A4146" s="11"/>
      <c r="B4146" s="12"/>
      <c r="C4146" s="13"/>
      <c r="E4146" s="6"/>
      <c r="F4146" s="7"/>
      <c r="H4146" s="11"/>
      <c r="J4146" s="18"/>
      <c r="L4146" s="18"/>
      <c r="M4146" s="23"/>
    </row>
    <row r="4147">
      <c r="A4147" s="11"/>
      <c r="B4147" s="12"/>
      <c r="C4147" s="13"/>
      <c r="E4147" s="6"/>
      <c r="F4147" s="7"/>
      <c r="H4147" s="11"/>
      <c r="J4147" s="18"/>
      <c r="L4147" s="18"/>
      <c r="M4147" s="23"/>
    </row>
    <row r="4148">
      <c r="A4148" s="11"/>
      <c r="B4148" s="12"/>
      <c r="C4148" s="13"/>
      <c r="E4148" s="6"/>
      <c r="F4148" s="7"/>
      <c r="H4148" s="11"/>
      <c r="J4148" s="18"/>
      <c r="L4148" s="18"/>
      <c r="M4148" s="23"/>
    </row>
    <row r="4149">
      <c r="A4149" s="11"/>
      <c r="B4149" s="12"/>
      <c r="C4149" s="13"/>
      <c r="E4149" s="6"/>
      <c r="F4149" s="7"/>
      <c r="H4149" s="11"/>
      <c r="J4149" s="18"/>
      <c r="L4149" s="18"/>
      <c r="M4149" s="23"/>
    </row>
    <row r="4150">
      <c r="A4150" s="11"/>
      <c r="B4150" s="12"/>
      <c r="C4150" s="13"/>
      <c r="E4150" s="6"/>
      <c r="F4150" s="7"/>
      <c r="H4150" s="11"/>
      <c r="J4150" s="18"/>
      <c r="L4150" s="18"/>
      <c r="M4150" s="23"/>
    </row>
    <row r="4151">
      <c r="A4151" s="11"/>
      <c r="B4151" s="12"/>
      <c r="C4151" s="13"/>
      <c r="E4151" s="6"/>
      <c r="F4151" s="7"/>
      <c r="H4151" s="11"/>
      <c r="J4151" s="18"/>
      <c r="L4151" s="18"/>
      <c r="M4151" s="23"/>
    </row>
    <row r="4152">
      <c r="A4152" s="11"/>
      <c r="B4152" s="12"/>
      <c r="C4152" s="13"/>
      <c r="E4152" s="6"/>
      <c r="F4152" s="7"/>
      <c r="H4152" s="11"/>
      <c r="J4152" s="18"/>
      <c r="L4152" s="18"/>
      <c r="M4152" s="23"/>
    </row>
    <row r="4153">
      <c r="A4153" s="11"/>
      <c r="B4153" s="12"/>
      <c r="C4153" s="13"/>
      <c r="E4153" s="6"/>
      <c r="F4153" s="7"/>
      <c r="H4153" s="11"/>
      <c r="J4153" s="18"/>
      <c r="L4153" s="18"/>
      <c r="M4153" s="23"/>
    </row>
    <row r="4154">
      <c r="A4154" s="11"/>
      <c r="B4154" s="12"/>
      <c r="C4154" s="13"/>
      <c r="E4154" s="6"/>
      <c r="F4154" s="7"/>
      <c r="H4154" s="11"/>
      <c r="J4154" s="18"/>
      <c r="L4154" s="18"/>
      <c r="M4154" s="23"/>
    </row>
    <row r="4155">
      <c r="A4155" s="11"/>
      <c r="B4155" s="12"/>
      <c r="C4155" s="13"/>
      <c r="E4155" s="6"/>
      <c r="F4155" s="7"/>
      <c r="H4155" s="11"/>
      <c r="J4155" s="18"/>
      <c r="L4155" s="18"/>
      <c r="M4155" s="23"/>
    </row>
    <row r="4156">
      <c r="A4156" s="11"/>
      <c r="B4156" s="12"/>
      <c r="C4156" s="13"/>
      <c r="E4156" s="6"/>
      <c r="F4156" s="7"/>
      <c r="H4156" s="11"/>
      <c r="J4156" s="18"/>
      <c r="L4156" s="18"/>
      <c r="M4156" s="23"/>
    </row>
    <row r="4157">
      <c r="A4157" s="11"/>
      <c r="B4157" s="12"/>
      <c r="C4157" s="13"/>
      <c r="E4157" s="6"/>
      <c r="F4157" s="7"/>
      <c r="H4157" s="11"/>
      <c r="J4157" s="18"/>
      <c r="L4157" s="18"/>
      <c r="M4157" s="23"/>
    </row>
    <row r="4158">
      <c r="A4158" s="11"/>
      <c r="B4158" s="12"/>
      <c r="C4158" s="13"/>
      <c r="E4158" s="6"/>
      <c r="F4158" s="7"/>
      <c r="H4158" s="11"/>
      <c r="J4158" s="18"/>
      <c r="L4158" s="18"/>
      <c r="M4158" s="23"/>
    </row>
    <row r="4159">
      <c r="A4159" s="11"/>
      <c r="B4159" s="12"/>
      <c r="C4159" s="13"/>
      <c r="E4159" s="6"/>
      <c r="F4159" s="7"/>
      <c r="H4159" s="11"/>
      <c r="J4159" s="18"/>
      <c r="L4159" s="18"/>
      <c r="M4159" s="23"/>
    </row>
    <row r="4160">
      <c r="A4160" s="11"/>
      <c r="B4160" s="12"/>
      <c r="C4160" s="13"/>
      <c r="E4160" s="6"/>
      <c r="F4160" s="7"/>
      <c r="H4160" s="11"/>
      <c r="J4160" s="18"/>
      <c r="L4160" s="18"/>
      <c r="M4160" s="23"/>
    </row>
    <row r="4161">
      <c r="A4161" s="11"/>
      <c r="B4161" s="12"/>
      <c r="C4161" s="13"/>
      <c r="E4161" s="6"/>
      <c r="F4161" s="7"/>
      <c r="H4161" s="11"/>
      <c r="J4161" s="18"/>
      <c r="L4161" s="18"/>
      <c r="M4161" s="23"/>
    </row>
    <row r="4162">
      <c r="A4162" s="11"/>
      <c r="B4162" s="12"/>
      <c r="C4162" s="13"/>
      <c r="E4162" s="6"/>
      <c r="F4162" s="7"/>
      <c r="H4162" s="11"/>
      <c r="J4162" s="18"/>
      <c r="L4162" s="18"/>
      <c r="M4162" s="23"/>
    </row>
    <row r="4163">
      <c r="A4163" s="11"/>
      <c r="B4163" s="12"/>
      <c r="C4163" s="13"/>
      <c r="E4163" s="6"/>
      <c r="F4163" s="7"/>
      <c r="H4163" s="11"/>
      <c r="J4163" s="18"/>
      <c r="L4163" s="18"/>
      <c r="M4163" s="23"/>
    </row>
    <row r="4164">
      <c r="A4164" s="11"/>
      <c r="B4164" s="12"/>
      <c r="C4164" s="13"/>
      <c r="E4164" s="6"/>
      <c r="F4164" s="7"/>
      <c r="H4164" s="11"/>
      <c r="J4164" s="18"/>
      <c r="L4164" s="18"/>
      <c r="M4164" s="23"/>
    </row>
    <row r="4165">
      <c r="A4165" s="11"/>
      <c r="B4165" s="12"/>
      <c r="C4165" s="13"/>
      <c r="E4165" s="6"/>
      <c r="F4165" s="7"/>
      <c r="H4165" s="11"/>
      <c r="J4165" s="18"/>
      <c r="L4165" s="18"/>
      <c r="M4165" s="23"/>
    </row>
    <row r="4166">
      <c r="A4166" s="11"/>
      <c r="B4166" s="12"/>
      <c r="C4166" s="13"/>
      <c r="E4166" s="6"/>
      <c r="F4166" s="7"/>
      <c r="H4166" s="11"/>
      <c r="J4166" s="18"/>
      <c r="L4166" s="18"/>
      <c r="M4166" s="23"/>
    </row>
    <row r="4167">
      <c r="A4167" s="11"/>
      <c r="B4167" s="12"/>
      <c r="C4167" s="13"/>
      <c r="E4167" s="6"/>
      <c r="F4167" s="7"/>
      <c r="H4167" s="11"/>
      <c r="J4167" s="18"/>
      <c r="L4167" s="18"/>
      <c r="M4167" s="23"/>
    </row>
    <row r="4168">
      <c r="A4168" s="11"/>
      <c r="B4168" s="12"/>
      <c r="C4168" s="13"/>
      <c r="E4168" s="6"/>
      <c r="F4168" s="7"/>
      <c r="H4168" s="11"/>
      <c r="J4168" s="18"/>
      <c r="L4168" s="18"/>
      <c r="M4168" s="23"/>
    </row>
    <row r="4169">
      <c r="A4169" s="11"/>
      <c r="B4169" s="12"/>
      <c r="C4169" s="13"/>
      <c r="E4169" s="6"/>
      <c r="F4169" s="7"/>
      <c r="H4169" s="11"/>
      <c r="J4169" s="18"/>
      <c r="L4169" s="18"/>
      <c r="M4169" s="23"/>
    </row>
    <row r="4170">
      <c r="A4170" s="11"/>
      <c r="B4170" s="12"/>
      <c r="C4170" s="13"/>
      <c r="E4170" s="6"/>
      <c r="F4170" s="7"/>
      <c r="H4170" s="11"/>
      <c r="J4170" s="18"/>
      <c r="L4170" s="18"/>
      <c r="M4170" s="23"/>
    </row>
    <row r="4171">
      <c r="A4171" s="11"/>
      <c r="B4171" s="12"/>
      <c r="C4171" s="13"/>
      <c r="E4171" s="6"/>
      <c r="F4171" s="7"/>
      <c r="H4171" s="11"/>
      <c r="J4171" s="18"/>
      <c r="L4171" s="18"/>
      <c r="M4171" s="23"/>
    </row>
    <row r="4172">
      <c r="A4172" s="11"/>
      <c r="B4172" s="12"/>
      <c r="C4172" s="13"/>
      <c r="E4172" s="6"/>
      <c r="F4172" s="7"/>
      <c r="H4172" s="11"/>
      <c r="J4172" s="18"/>
      <c r="L4172" s="18"/>
      <c r="M4172" s="23"/>
    </row>
    <row r="4173">
      <c r="A4173" s="11"/>
      <c r="B4173" s="12"/>
      <c r="C4173" s="13"/>
      <c r="E4173" s="6"/>
      <c r="F4173" s="7"/>
      <c r="H4173" s="11"/>
      <c r="J4173" s="18"/>
      <c r="L4173" s="18"/>
      <c r="M4173" s="23"/>
    </row>
    <row r="4174">
      <c r="A4174" s="11"/>
      <c r="B4174" s="12"/>
      <c r="C4174" s="13"/>
      <c r="E4174" s="6"/>
      <c r="F4174" s="7"/>
      <c r="H4174" s="11"/>
      <c r="J4174" s="18"/>
      <c r="L4174" s="18"/>
      <c r="M4174" s="23"/>
    </row>
    <row r="4175">
      <c r="A4175" s="11"/>
      <c r="B4175" s="12"/>
      <c r="C4175" s="13"/>
      <c r="E4175" s="6"/>
      <c r="F4175" s="7"/>
      <c r="H4175" s="11"/>
      <c r="J4175" s="18"/>
      <c r="L4175" s="18"/>
      <c r="M4175" s="23"/>
    </row>
    <row r="4176">
      <c r="A4176" s="11"/>
      <c r="B4176" s="12"/>
      <c r="C4176" s="13"/>
      <c r="E4176" s="6"/>
      <c r="F4176" s="7"/>
      <c r="H4176" s="11"/>
      <c r="J4176" s="18"/>
      <c r="L4176" s="18"/>
      <c r="M4176" s="23"/>
    </row>
    <row r="4177">
      <c r="A4177" s="11"/>
      <c r="B4177" s="12"/>
      <c r="C4177" s="13"/>
      <c r="E4177" s="6"/>
      <c r="F4177" s="7"/>
      <c r="H4177" s="11"/>
      <c r="J4177" s="18"/>
      <c r="L4177" s="18"/>
      <c r="M4177" s="23"/>
    </row>
    <row r="4178">
      <c r="A4178" s="11"/>
      <c r="B4178" s="12"/>
      <c r="C4178" s="13"/>
      <c r="E4178" s="6"/>
      <c r="F4178" s="7"/>
      <c r="H4178" s="11"/>
      <c r="J4178" s="18"/>
      <c r="L4178" s="18"/>
      <c r="M4178" s="23"/>
    </row>
    <row r="4179">
      <c r="A4179" s="11"/>
      <c r="B4179" s="12"/>
      <c r="C4179" s="13"/>
      <c r="E4179" s="6"/>
      <c r="F4179" s="7"/>
      <c r="H4179" s="11"/>
      <c r="J4179" s="18"/>
      <c r="L4179" s="18"/>
      <c r="M4179" s="23"/>
    </row>
    <row r="4180">
      <c r="A4180" s="11"/>
      <c r="B4180" s="12"/>
      <c r="C4180" s="13"/>
      <c r="E4180" s="6"/>
      <c r="F4180" s="7"/>
      <c r="H4180" s="11"/>
      <c r="J4180" s="18"/>
      <c r="L4180" s="18"/>
      <c r="M4180" s="23"/>
    </row>
    <row r="4181">
      <c r="A4181" s="11"/>
      <c r="B4181" s="12"/>
      <c r="C4181" s="13"/>
      <c r="E4181" s="6"/>
      <c r="F4181" s="7"/>
      <c r="H4181" s="11"/>
      <c r="J4181" s="18"/>
      <c r="L4181" s="18"/>
      <c r="M4181" s="23"/>
    </row>
    <row r="4182">
      <c r="A4182" s="11"/>
      <c r="B4182" s="12"/>
      <c r="C4182" s="13"/>
      <c r="E4182" s="6"/>
      <c r="F4182" s="7"/>
      <c r="H4182" s="11"/>
      <c r="J4182" s="18"/>
      <c r="L4182" s="18"/>
      <c r="M4182" s="23"/>
    </row>
    <row r="4183">
      <c r="A4183" s="11"/>
      <c r="B4183" s="12"/>
      <c r="C4183" s="13"/>
      <c r="E4183" s="6"/>
      <c r="F4183" s="7"/>
      <c r="H4183" s="11"/>
      <c r="J4183" s="18"/>
      <c r="L4183" s="18"/>
      <c r="M4183" s="23"/>
    </row>
    <row r="4184">
      <c r="A4184" s="11"/>
      <c r="B4184" s="12"/>
      <c r="C4184" s="13"/>
      <c r="E4184" s="6"/>
      <c r="F4184" s="7"/>
      <c r="H4184" s="11"/>
      <c r="J4184" s="18"/>
      <c r="L4184" s="18"/>
      <c r="M4184" s="23"/>
    </row>
    <row r="4185">
      <c r="A4185" s="11"/>
      <c r="B4185" s="12"/>
      <c r="C4185" s="13"/>
      <c r="E4185" s="6"/>
      <c r="F4185" s="7"/>
      <c r="H4185" s="11"/>
      <c r="J4185" s="18"/>
      <c r="L4185" s="18"/>
      <c r="M4185" s="23"/>
    </row>
    <row r="4186">
      <c r="A4186" s="11"/>
      <c r="B4186" s="12"/>
      <c r="C4186" s="13"/>
      <c r="E4186" s="6"/>
      <c r="F4186" s="7"/>
      <c r="H4186" s="11"/>
      <c r="J4186" s="18"/>
      <c r="L4186" s="18"/>
      <c r="M4186" s="23"/>
    </row>
    <row r="4187">
      <c r="A4187" s="11"/>
      <c r="B4187" s="12"/>
      <c r="C4187" s="13"/>
      <c r="E4187" s="6"/>
      <c r="F4187" s="7"/>
      <c r="H4187" s="11"/>
      <c r="J4187" s="18"/>
      <c r="L4187" s="18"/>
      <c r="M4187" s="23"/>
    </row>
    <row r="4188">
      <c r="A4188" s="11"/>
      <c r="B4188" s="12"/>
      <c r="C4188" s="13"/>
      <c r="E4188" s="6"/>
      <c r="F4188" s="7"/>
      <c r="H4188" s="11"/>
      <c r="J4188" s="18"/>
      <c r="L4188" s="18"/>
      <c r="M4188" s="23"/>
    </row>
    <row r="4189">
      <c r="A4189" s="11"/>
      <c r="B4189" s="12"/>
      <c r="C4189" s="13"/>
      <c r="E4189" s="6"/>
      <c r="F4189" s="7"/>
      <c r="H4189" s="11"/>
      <c r="J4189" s="18"/>
      <c r="L4189" s="18"/>
      <c r="M4189" s="23"/>
    </row>
    <row r="4190">
      <c r="A4190" s="11"/>
      <c r="B4190" s="12"/>
      <c r="C4190" s="13"/>
      <c r="E4190" s="6"/>
      <c r="F4190" s="7"/>
      <c r="H4190" s="11"/>
      <c r="J4190" s="18"/>
      <c r="L4190" s="18"/>
      <c r="M4190" s="23"/>
    </row>
    <row r="4191">
      <c r="A4191" s="11"/>
      <c r="B4191" s="12"/>
      <c r="C4191" s="13"/>
      <c r="E4191" s="6"/>
      <c r="F4191" s="7"/>
      <c r="H4191" s="11"/>
      <c r="J4191" s="18"/>
      <c r="L4191" s="18"/>
      <c r="M4191" s="23"/>
    </row>
    <row r="4192">
      <c r="A4192" s="11"/>
      <c r="B4192" s="12"/>
      <c r="C4192" s="13"/>
      <c r="E4192" s="6"/>
      <c r="F4192" s="7"/>
      <c r="H4192" s="11"/>
      <c r="J4192" s="18"/>
      <c r="L4192" s="18"/>
      <c r="M4192" s="23"/>
    </row>
    <row r="4193">
      <c r="A4193" s="11"/>
      <c r="B4193" s="12"/>
      <c r="C4193" s="13"/>
      <c r="E4193" s="6"/>
      <c r="F4193" s="7"/>
      <c r="H4193" s="11"/>
      <c r="J4193" s="18"/>
      <c r="L4193" s="18"/>
      <c r="M4193" s="23"/>
    </row>
    <row r="4194">
      <c r="A4194" s="11"/>
      <c r="B4194" s="12"/>
      <c r="C4194" s="13"/>
      <c r="E4194" s="6"/>
      <c r="F4194" s="7"/>
      <c r="H4194" s="11"/>
      <c r="J4194" s="18"/>
      <c r="L4194" s="18"/>
      <c r="M4194" s="23"/>
    </row>
    <row r="4195">
      <c r="A4195" s="11"/>
      <c r="B4195" s="12"/>
      <c r="C4195" s="13"/>
      <c r="E4195" s="6"/>
      <c r="F4195" s="7"/>
      <c r="H4195" s="11"/>
      <c r="J4195" s="18"/>
      <c r="L4195" s="18"/>
      <c r="M4195" s="23"/>
    </row>
    <row r="4196">
      <c r="A4196" s="11"/>
      <c r="B4196" s="12"/>
      <c r="C4196" s="13"/>
      <c r="E4196" s="6"/>
      <c r="F4196" s="7"/>
      <c r="H4196" s="11"/>
      <c r="J4196" s="18"/>
      <c r="L4196" s="18"/>
      <c r="M4196" s="23"/>
    </row>
    <row r="4197">
      <c r="A4197" s="11"/>
      <c r="B4197" s="12"/>
      <c r="C4197" s="13"/>
      <c r="E4197" s="6"/>
      <c r="F4197" s="7"/>
      <c r="H4197" s="11"/>
      <c r="J4197" s="18"/>
      <c r="L4197" s="18"/>
      <c r="M4197" s="23"/>
    </row>
    <row r="4198">
      <c r="A4198" s="11"/>
      <c r="B4198" s="12"/>
      <c r="C4198" s="13"/>
      <c r="E4198" s="6"/>
      <c r="F4198" s="7"/>
      <c r="H4198" s="11"/>
      <c r="J4198" s="18"/>
      <c r="L4198" s="18"/>
      <c r="M4198" s="23"/>
    </row>
    <row r="4199">
      <c r="A4199" s="11"/>
      <c r="B4199" s="12"/>
      <c r="C4199" s="13"/>
      <c r="E4199" s="6"/>
      <c r="F4199" s="7"/>
      <c r="H4199" s="11"/>
      <c r="J4199" s="18"/>
      <c r="L4199" s="18"/>
      <c r="M4199" s="23"/>
    </row>
    <row r="4200">
      <c r="A4200" s="11"/>
      <c r="B4200" s="12"/>
      <c r="C4200" s="13"/>
      <c r="E4200" s="6"/>
      <c r="F4200" s="7"/>
      <c r="H4200" s="11"/>
      <c r="J4200" s="18"/>
      <c r="L4200" s="18"/>
      <c r="M4200" s="23"/>
    </row>
    <row r="4201">
      <c r="A4201" s="11"/>
      <c r="B4201" s="12"/>
      <c r="C4201" s="13"/>
      <c r="E4201" s="6"/>
      <c r="F4201" s="7"/>
      <c r="H4201" s="11"/>
      <c r="J4201" s="18"/>
      <c r="L4201" s="18"/>
      <c r="M4201" s="23"/>
    </row>
    <row r="4202">
      <c r="A4202" s="11"/>
      <c r="B4202" s="12"/>
      <c r="C4202" s="13"/>
      <c r="E4202" s="6"/>
      <c r="F4202" s="7"/>
      <c r="H4202" s="11"/>
      <c r="J4202" s="18"/>
      <c r="L4202" s="18"/>
      <c r="M4202" s="23"/>
    </row>
    <row r="4203">
      <c r="A4203" s="11"/>
      <c r="B4203" s="12"/>
      <c r="C4203" s="13"/>
      <c r="E4203" s="6"/>
      <c r="F4203" s="7"/>
      <c r="H4203" s="11"/>
      <c r="J4203" s="18"/>
      <c r="L4203" s="18"/>
      <c r="M4203" s="23"/>
    </row>
    <row r="4204">
      <c r="A4204" s="11"/>
      <c r="B4204" s="12"/>
      <c r="C4204" s="13"/>
      <c r="E4204" s="6"/>
      <c r="F4204" s="7"/>
      <c r="H4204" s="11"/>
      <c r="J4204" s="18"/>
      <c r="L4204" s="18"/>
      <c r="M4204" s="23"/>
    </row>
    <row r="4205">
      <c r="A4205" s="11"/>
      <c r="B4205" s="12"/>
      <c r="C4205" s="13"/>
      <c r="E4205" s="6"/>
      <c r="F4205" s="7"/>
      <c r="H4205" s="11"/>
      <c r="J4205" s="18"/>
      <c r="L4205" s="18"/>
      <c r="M4205" s="23"/>
    </row>
    <row r="4206">
      <c r="A4206" s="11"/>
      <c r="B4206" s="12"/>
      <c r="C4206" s="13"/>
      <c r="E4206" s="6"/>
      <c r="F4206" s="7"/>
      <c r="H4206" s="11"/>
      <c r="J4206" s="18"/>
      <c r="L4206" s="18"/>
      <c r="M4206" s="23"/>
    </row>
    <row r="4207">
      <c r="A4207" s="11"/>
      <c r="B4207" s="12"/>
      <c r="C4207" s="13"/>
      <c r="E4207" s="6"/>
      <c r="F4207" s="7"/>
      <c r="H4207" s="11"/>
      <c r="J4207" s="18"/>
      <c r="L4207" s="18"/>
      <c r="M4207" s="23"/>
    </row>
    <row r="4208">
      <c r="A4208" s="11"/>
      <c r="B4208" s="12"/>
      <c r="C4208" s="13"/>
      <c r="E4208" s="6"/>
      <c r="F4208" s="7"/>
      <c r="H4208" s="11"/>
      <c r="J4208" s="18"/>
      <c r="L4208" s="18"/>
      <c r="M4208" s="23"/>
    </row>
    <row r="4209">
      <c r="A4209" s="11"/>
      <c r="B4209" s="12"/>
      <c r="C4209" s="13"/>
      <c r="E4209" s="6"/>
      <c r="F4209" s="7"/>
      <c r="H4209" s="11"/>
      <c r="J4209" s="18"/>
      <c r="L4209" s="18"/>
      <c r="M4209" s="23"/>
    </row>
    <row r="4210">
      <c r="A4210" s="11"/>
      <c r="B4210" s="12"/>
      <c r="C4210" s="13"/>
      <c r="E4210" s="6"/>
      <c r="F4210" s="7"/>
      <c r="H4210" s="11"/>
      <c r="J4210" s="18"/>
      <c r="L4210" s="18"/>
      <c r="M4210" s="23"/>
    </row>
    <row r="4211">
      <c r="A4211" s="11"/>
      <c r="B4211" s="12"/>
      <c r="C4211" s="13"/>
      <c r="E4211" s="6"/>
      <c r="F4211" s="7"/>
      <c r="H4211" s="11"/>
      <c r="J4211" s="18"/>
      <c r="L4211" s="18"/>
      <c r="M4211" s="23"/>
    </row>
    <row r="4212">
      <c r="A4212" s="11"/>
      <c r="B4212" s="12"/>
      <c r="C4212" s="13"/>
      <c r="E4212" s="6"/>
      <c r="F4212" s="7"/>
      <c r="H4212" s="11"/>
      <c r="J4212" s="18"/>
      <c r="L4212" s="18"/>
      <c r="M4212" s="23"/>
    </row>
    <row r="4213">
      <c r="A4213" s="11"/>
      <c r="B4213" s="12"/>
      <c r="C4213" s="13"/>
      <c r="E4213" s="6"/>
      <c r="F4213" s="7"/>
      <c r="H4213" s="11"/>
      <c r="J4213" s="18"/>
      <c r="L4213" s="18"/>
      <c r="M4213" s="23"/>
    </row>
    <row r="4214">
      <c r="A4214" s="11"/>
      <c r="B4214" s="12"/>
      <c r="C4214" s="13"/>
      <c r="E4214" s="6"/>
      <c r="F4214" s="7"/>
      <c r="H4214" s="11"/>
      <c r="J4214" s="18"/>
      <c r="L4214" s="18"/>
      <c r="M4214" s="23"/>
    </row>
    <row r="4215">
      <c r="A4215" s="11"/>
      <c r="B4215" s="12"/>
      <c r="C4215" s="13"/>
      <c r="E4215" s="6"/>
      <c r="F4215" s="7"/>
      <c r="H4215" s="11"/>
      <c r="J4215" s="18"/>
      <c r="L4215" s="18"/>
      <c r="M4215" s="23"/>
    </row>
    <row r="4216">
      <c r="A4216" s="11"/>
      <c r="B4216" s="12"/>
      <c r="C4216" s="13"/>
      <c r="E4216" s="6"/>
      <c r="F4216" s="7"/>
      <c r="H4216" s="11"/>
      <c r="J4216" s="18"/>
      <c r="L4216" s="18"/>
      <c r="M4216" s="23"/>
    </row>
    <row r="4217">
      <c r="A4217" s="11"/>
      <c r="B4217" s="12"/>
      <c r="C4217" s="13"/>
      <c r="E4217" s="6"/>
      <c r="F4217" s="7"/>
      <c r="H4217" s="11"/>
      <c r="J4217" s="18"/>
      <c r="L4217" s="18"/>
      <c r="M4217" s="23"/>
    </row>
    <row r="4218">
      <c r="A4218" s="11"/>
      <c r="B4218" s="12"/>
      <c r="C4218" s="13"/>
      <c r="E4218" s="6"/>
      <c r="F4218" s="7"/>
      <c r="H4218" s="11"/>
      <c r="J4218" s="18"/>
      <c r="L4218" s="18"/>
      <c r="M4218" s="23"/>
    </row>
    <row r="4219">
      <c r="A4219" s="11"/>
      <c r="B4219" s="12"/>
      <c r="C4219" s="13"/>
      <c r="E4219" s="6"/>
      <c r="F4219" s="7"/>
      <c r="H4219" s="11"/>
      <c r="J4219" s="18"/>
      <c r="L4219" s="18"/>
      <c r="M4219" s="23"/>
    </row>
    <row r="4220">
      <c r="A4220" s="11"/>
      <c r="B4220" s="12"/>
      <c r="C4220" s="13"/>
      <c r="E4220" s="6"/>
      <c r="F4220" s="7"/>
      <c r="H4220" s="11"/>
      <c r="J4220" s="18"/>
      <c r="L4220" s="18"/>
      <c r="M4220" s="23"/>
    </row>
    <row r="4221">
      <c r="A4221" s="11"/>
      <c r="B4221" s="12"/>
      <c r="C4221" s="13"/>
      <c r="E4221" s="6"/>
      <c r="F4221" s="7"/>
      <c r="H4221" s="11"/>
      <c r="J4221" s="18"/>
      <c r="L4221" s="18"/>
      <c r="M4221" s="23"/>
    </row>
    <row r="4222">
      <c r="A4222" s="11"/>
      <c r="B4222" s="12"/>
      <c r="C4222" s="13"/>
      <c r="E4222" s="6"/>
      <c r="F4222" s="7"/>
      <c r="H4222" s="11"/>
      <c r="J4222" s="18"/>
      <c r="L4222" s="18"/>
      <c r="M4222" s="23"/>
    </row>
    <row r="4223">
      <c r="A4223" s="11"/>
      <c r="B4223" s="12"/>
      <c r="C4223" s="13"/>
      <c r="E4223" s="6"/>
      <c r="F4223" s="7"/>
      <c r="H4223" s="11"/>
      <c r="J4223" s="18"/>
      <c r="L4223" s="18"/>
      <c r="M4223" s="23"/>
    </row>
    <row r="4224">
      <c r="A4224" s="11"/>
      <c r="B4224" s="12"/>
      <c r="C4224" s="13"/>
      <c r="E4224" s="6"/>
      <c r="F4224" s="7"/>
      <c r="H4224" s="11"/>
      <c r="J4224" s="18"/>
      <c r="L4224" s="18"/>
      <c r="M4224" s="23"/>
    </row>
    <row r="4225">
      <c r="A4225" s="11"/>
      <c r="B4225" s="12"/>
      <c r="C4225" s="13"/>
      <c r="E4225" s="6"/>
      <c r="F4225" s="7"/>
      <c r="H4225" s="11"/>
      <c r="J4225" s="18"/>
      <c r="L4225" s="18"/>
      <c r="M4225" s="23"/>
    </row>
    <row r="4226">
      <c r="A4226" s="11"/>
      <c r="B4226" s="12"/>
      <c r="C4226" s="13"/>
      <c r="E4226" s="6"/>
      <c r="F4226" s="7"/>
      <c r="H4226" s="11"/>
      <c r="J4226" s="18"/>
      <c r="L4226" s="18"/>
      <c r="M4226" s="23"/>
    </row>
    <row r="4227">
      <c r="A4227" s="11"/>
      <c r="B4227" s="12"/>
      <c r="C4227" s="13"/>
      <c r="E4227" s="6"/>
      <c r="F4227" s="7"/>
      <c r="H4227" s="11"/>
      <c r="J4227" s="18"/>
      <c r="L4227" s="18"/>
      <c r="M4227" s="23"/>
    </row>
    <row r="4228">
      <c r="A4228" s="11"/>
      <c r="B4228" s="12"/>
      <c r="C4228" s="13"/>
      <c r="E4228" s="6"/>
      <c r="F4228" s="7"/>
      <c r="H4228" s="11"/>
      <c r="J4228" s="18"/>
      <c r="L4228" s="18"/>
      <c r="M4228" s="23"/>
    </row>
    <row r="4229">
      <c r="A4229" s="11"/>
      <c r="B4229" s="12"/>
      <c r="C4229" s="13"/>
      <c r="E4229" s="6"/>
      <c r="F4229" s="7"/>
      <c r="H4229" s="11"/>
      <c r="J4229" s="18"/>
      <c r="L4229" s="18"/>
      <c r="M4229" s="23"/>
    </row>
    <row r="4230">
      <c r="A4230" s="11"/>
      <c r="B4230" s="12"/>
      <c r="C4230" s="13"/>
      <c r="E4230" s="6"/>
      <c r="F4230" s="7"/>
      <c r="H4230" s="11"/>
      <c r="J4230" s="18"/>
      <c r="L4230" s="18"/>
      <c r="M4230" s="23"/>
    </row>
    <row r="4231">
      <c r="A4231" s="11"/>
      <c r="B4231" s="12"/>
      <c r="C4231" s="13"/>
      <c r="E4231" s="6"/>
      <c r="F4231" s="7"/>
      <c r="H4231" s="11"/>
      <c r="J4231" s="18"/>
      <c r="L4231" s="18"/>
      <c r="M4231" s="23"/>
    </row>
    <row r="4232">
      <c r="A4232" s="11"/>
      <c r="B4232" s="12"/>
      <c r="C4232" s="13"/>
      <c r="E4232" s="6"/>
      <c r="F4232" s="7"/>
      <c r="H4232" s="11"/>
      <c r="J4232" s="18"/>
      <c r="L4232" s="18"/>
      <c r="M4232" s="23"/>
    </row>
    <row r="4233">
      <c r="A4233" s="11"/>
      <c r="B4233" s="12"/>
      <c r="C4233" s="13"/>
      <c r="E4233" s="6"/>
      <c r="F4233" s="7"/>
      <c r="H4233" s="11"/>
      <c r="J4233" s="18"/>
      <c r="L4233" s="18"/>
      <c r="M4233" s="23"/>
    </row>
    <row r="4234">
      <c r="A4234" s="11"/>
      <c r="B4234" s="12"/>
      <c r="C4234" s="13"/>
      <c r="E4234" s="6"/>
      <c r="F4234" s="7"/>
      <c r="H4234" s="11"/>
      <c r="J4234" s="18"/>
      <c r="L4234" s="18"/>
      <c r="M4234" s="23"/>
    </row>
    <row r="4235">
      <c r="A4235" s="11"/>
      <c r="B4235" s="12"/>
      <c r="C4235" s="13"/>
      <c r="E4235" s="6"/>
      <c r="F4235" s="7"/>
      <c r="H4235" s="11"/>
      <c r="J4235" s="18"/>
      <c r="L4235" s="18"/>
      <c r="M4235" s="23"/>
    </row>
    <row r="4236">
      <c r="A4236" s="11"/>
      <c r="B4236" s="12"/>
      <c r="C4236" s="13"/>
      <c r="E4236" s="6"/>
      <c r="F4236" s="7"/>
      <c r="H4236" s="11"/>
      <c r="J4236" s="18"/>
      <c r="L4236" s="18"/>
      <c r="M4236" s="23"/>
    </row>
    <row r="4237">
      <c r="A4237" s="11"/>
      <c r="B4237" s="12"/>
      <c r="C4237" s="13"/>
      <c r="E4237" s="6"/>
      <c r="F4237" s="7"/>
      <c r="H4237" s="11"/>
      <c r="J4237" s="18"/>
      <c r="L4237" s="18"/>
      <c r="M4237" s="23"/>
    </row>
    <row r="4238">
      <c r="A4238" s="11"/>
      <c r="B4238" s="12"/>
      <c r="C4238" s="13"/>
      <c r="E4238" s="6"/>
      <c r="F4238" s="7"/>
      <c r="H4238" s="11"/>
      <c r="J4238" s="18"/>
      <c r="L4238" s="18"/>
      <c r="M4238" s="23"/>
    </row>
    <row r="4239">
      <c r="A4239" s="11"/>
      <c r="B4239" s="12"/>
      <c r="C4239" s="13"/>
      <c r="E4239" s="6"/>
      <c r="F4239" s="7"/>
      <c r="H4239" s="11"/>
      <c r="J4239" s="18"/>
      <c r="L4239" s="18"/>
      <c r="M4239" s="23"/>
    </row>
    <row r="4240">
      <c r="A4240" s="11"/>
      <c r="B4240" s="12"/>
      <c r="C4240" s="13"/>
      <c r="E4240" s="6"/>
      <c r="F4240" s="7"/>
      <c r="H4240" s="11"/>
      <c r="J4240" s="18"/>
      <c r="L4240" s="18"/>
      <c r="M4240" s="23"/>
    </row>
    <row r="4241">
      <c r="A4241" s="11"/>
      <c r="B4241" s="12"/>
      <c r="C4241" s="13"/>
      <c r="E4241" s="6"/>
      <c r="F4241" s="7"/>
      <c r="H4241" s="11"/>
      <c r="J4241" s="18"/>
      <c r="L4241" s="18"/>
      <c r="M4241" s="23"/>
    </row>
    <row r="4242">
      <c r="A4242" s="11"/>
      <c r="B4242" s="12"/>
      <c r="C4242" s="13"/>
      <c r="E4242" s="6"/>
      <c r="F4242" s="7"/>
      <c r="H4242" s="11"/>
      <c r="J4242" s="18"/>
      <c r="L4242" s="18"/>
      <c r="M4242" s="23"/>
    </row>
    <row r="4243">
      <c r="A4243" s="11"/>
      <c r="B4243" s="12"/>
      <c r="C4243" s="13"/>
      <c r="E4243" s="6"/>
      <c r="F4243" s="7"/>
      <c r="H4243" s="11"/>
      <c r="J4243" s="18"/>
      <c r="L4243" s="18"/>
      <c r="M4243" s="23"/>
    </row>
    <row r="4244">
      <c r="A4244" s="11"/>
      <c r="B4244" s="12"/>
      <c r="C4244" s="13"/>
      <c r="E4244" s="6"/>
      <c r="F4244" s="7"/>
      <c r="H4244" s="11"/>
      <c r="J4244" s="18"/>
      <c r="L4244" s="18"/>
      <c r="M4244" s="23"/>
    </row>
    <row r="4245">
      <c r="A4245" s="11"/>
      <c r="B4245" s="12"/>
      <c r="C4245" s="13"/>
      <c r="E4245" s="6"/>
      <c r="F4245" s="7"/>
      <c r="H4245" s="11"/>
      <c r="J4245" s="18"/>
      <c r="L4245" s="18"/>
      <c r="M4245" s="23"/>
    </row>
    <row r="4246">
      <c r="A4246" s="11"/>
      <c r="B4246" s="12"/>
      <c r="C4246" s="13"/>
      <c r="E4246" s="6"/>
      <c r="F4246" s="7"/>
      <c r="H4246" s="11"/>
      <c r="J4246" s="18"/>
      <c r="L4246" s="18"/>
      <c r="M4246" s="23"/>
    </row>
    <row r="4247">
      <c r="A4247" s="11"/>
      <c r="B4247" s="12"/>
      <c r="C4247" s="13"/>
      <c r="E4247" s="6"/>
      <c r="F4247" s="7"/>
      <c r="H4247" s="11"/>
      <c r="J4247" s="18"/>
      <c r="L4247" s="18"/>
      <c r="M4247" s="23"/>
    </row>
    <row r="4248">
      <c r="A4248" s="11"/>
      <c r="B4248" s="12"/>
      <c r="C4248" s="13"/>
      <c r="E4248" s="6"/>
      <c r="F4248" s="7"/>
      <c r="H4248" s="11"/>
      <c r="J4248" s="18"/>
      <c r="L4248" s="18"/>
      <c r="M4248" s="23"/>
    </row>
    <row r="4249">
      <c r="A4249" s="11"/>
      <c r="B4249" s="12"/>
      <c r="C4249" s="13"/>
      <c r="E4249" s="6"/>
      <c r="F4249" s="7"/>
      <c r="H4249" s="11"/>
      <c r="J4249" s="18"/>
      <c r="L4249" s="18"/>
      <c r="M4249" s="23"/>
    </row>
    <row r="4250">
      <c r="A4250" s="11"/>
      <c r="B4250" s="12"/>
      <c r="C4250" s="13"/>
      <c r="E4250" s="6"/>
      <c r="F4250" s="7"/>
      <c r="H4250" s="11"/>
      <c r="J4250" s="18"/>
      <c r="L4250" s="18"/>
      <c r="M4250" s="23"/>
    </row>
    <row r="4251">
      <c r="A4251" s="11"/>
      <c r="B4251" s="12"/>
      <c r="C4251" s="13"/>
      <c r="E4251" s="6"/>
      <c r="F4251" s="7"/>
      <c r="H4251" s="11"/>
      <c r="J4251" s="18"/>
      <c r="L4251" s="18"/>
      <c r="M4251" s="23"/>
    </row>
    <row r="4252">
      <c r="A4252" s="11"/>
      <c r="B4252" s="12"/>
      <c r="C4252" s="13"/>
      <c r="E4252" s="6"/>
      <c r="F4252" s="7"/>
      <c r="H4252" s="11"/>
      <c r="J4252" s="18"/>
      <c r="L4252" s="18"/>
      <c r="M4252" s="23"/>
    </row>
    <row r="4253">
      <c r="A4253" s="11"/>
      <c r="B4253" s="12"/>
      <c r="C4253" s="13"/>
      <c r="E4253" s="6"/>
      <c r="F4253" s="7"/>
      <c r="H4253" s="11"/>
      <c r="J4253" s="18"/>
      <c r="L4253" s="18"/>
      <c r="M4253" s="23"/>
    </row>
    <row r="4254">
      <c r="A4254" s="11"/>
      <c r="B4254" s="12"/>
      <c r="C4254" s="13"/>
      <c r="E4254" s="6"/>
      <c r="F4254" s="7"/>
      <c r="H4254" s="11"/>
      <c r="J4254" s="18"/>
      <c r="L4254" s="18"/>
      <c r="M4254" s="23"/>
    </row>
    <row r="4255">
      <c r="A4255" s="11"/>
      <c r="B4255" s="12"/>
      <c r="C4255" s="13"/>
      <c r="E4255" s="6"/>
      <c r="F4255" s="7"/>
      <c r="H4255" s="11"/>
      <c r="J4255" s="18"/>
      <c r="L4255" s="18"/>
      <c r="M4255" s="23"/>
    </row>
    <row r="4256">
      <c r="A4256" s="11"/>
      <c r="B4256" s="12"/>
      <c r="C4256" s="13"/>
      <c r="E4256" s="6"/>
      <c r="F4256" s="7"/>
      <c r="H4256" s="11"/>
      <c r="J4256" s="18"/>
      <c r="L4256" s="18"/>
      <c r="M4256" s="23"/>
    </row>
    <row r="4257">
      <c r="A4257" s="11"/>
      <c r="B4257" s="12"/>
      <c r="C4257" s="13"/>
      <c r="E4257" s="6"/>
      <c r="F4257" s="7"/>
      <c r="H4257" s="11"/>
      <c r="J4257" s="18"/>
      <c r="L4257" s="18"/>
      <c r="M4257" s="23"/>
    </row>
    <row r="4258">
      <c r="A4258" s="11"/>
      <c r="B4258" s="12"/>
      <c r="C4258" s="13"/>
      <c r="E4258" s="6"/>
      <c r="F4258" s="7"/>
      <c r="H4258" s="11"/>
      <c r="J4258" s="18"/>
      <c r="L4258" s="18"/>
      <c r="M4258" s="23"/>
    </row>
    <row r="4259">
      <c r="A4259" s="11"/>
      <c r="B4259" s="12"/>
      <c r="C4259" s="13"/>
      <c r="E4259" s="6"/>
      <c r="F4259" s="7"/>
      <c r="H4259" s="11"/>
      <c r="J4259" s="18"/>
      <c r="L4259" s="18"/>
      <c r="M4259" s="23"/>
    </row>
    <row r="4260">
      <c r="A4260" s="11"/>
      <c r="B4260" s="12"/>
      <c r="C4260" s="13"/>
      <c r="E4260" s="6"/>
      <c r="F4260" s="7"/>
      <c r="H4260" s="11"/>
      <c r="J4260" s="18"/>
      <c r="L4260" s="18"/>
      <c r="M4260" s="23"/>
    </row>
    <row r="4261">
      <c r="A4261" s="11"/>
      <c r="B4261" s="12"/>
      <c r="C4261" s="13"/>
      <c r="E4261" s="6"/>
      <c r="F4261" s="7"/>
      <c r="H4261" s="11"/>
      <c r="J4261" s="18"/>
      <c r="L4261" s="18"/>
      <c r="M4261" s="23"/>
    </row>
    <row r="4262">
      <c r="A4262" s="11"/>
      <c r="B4262" s="12"/>
      <c r="C4262" s="13"/>
      <c r="E4262" s="6"/>
      <c r="F4262" s="7"/>
      <c r="H4262" s="11"/>
      <c r="J4262" s="18"/>
      <c r="L4262" s="18"/>
      <c r="M4262" s="23"/>
    </row>
    <row r="4263">
      <c r="A4263" s="11"/>
      <c r="B4263" s="12"/>
      <c r="C4263" s="13"/>
      <c r="E4263" s="6"/>
      <c r="F4263" s="7"/>
      <c r="H4263" s="11"/>
      <c r="J4263" s="18"/>
      <c r="L4263" s="18"/>
      <c r="M4263" s="23"/>
    </row>
    <row r="4264">
      <c r="A4264" s="11"/>
      <c r="B4264" s="12"/>
      <c r="C4264" s="13"/>
      <c r="E4264" s="6"/>
      <c r="F4264" s="7"/>
      <c r="H4264" s="11"/>
      <c r="J4264" s="18"/>
      <c r="L4264" s="18"/>
      <c r="M4264" s="23"/>
    </row>
    <row r="4265">
      <c r="A4265" s="11"/>
      <c r="B4265" s="12"/>
      <c r="C4265" s="13"/>
      <c r="E4265" s="6"/>
      <c r="F4265" s="7"/>
      <c r="H4265" s="11"/>
      <c r="J4265" s="18"/>
      <c r="L4265" s="18"/>
      <c r="M4265" s="23"/>
    </row>
    <row r="4266">
      <c r="A4266" s="11"/>
      <c r="B4266" s="12"/>
      <c r="C4266" s="13"/>
      <c r="E4266" s="6"/>
      <c r="F4266" s="7"/>
      <c r="H4266" s="11"/>
      <c r="J4266" s="18"/>
      <c r="L4266" s="18"/>
      <c r="M4266" s="23"/>
    </row>
    <row r="4267">
      <c r="A4267" s="11"/>
      <c r="B4267" s="12"/>
      <c r="C4267" s="13"/>
      <c r="E4267" s="6"/>
      <c r="F4267" s="7"/>
      <c r="H4267" s="11"/>
      <c r="J4267" s="18"/>
      <c r="L4267" s="18"/>
      <c r="M4267" s="23"/>
    </row>
    <row r="4268">
      <c r="A4268" s="11"/>
      <c r="B4268" s="12"/>
      <c r="C4268" s="13"/>
      <c r="E4268" s="6"/>
      <c r="F4268" s="7"/>
      <c r="H4268" s="11"/>
      <c r="J4268" s="18"/>
      <c r="L4268" s="18"/>
      <c r="M4268" s="23"/>
    </row>
    <row r="4269">
      <c r="A4269" s="11"/>
      <c r="B4269" s="12"/>
      <c r="C4269" s="13"/>
      <c r="E4269" s="6"/>
      <c r="F4269" s="7"/>
      <c r="H4269" s="11"/>
      <c r="J4269" s="18"/>
      <c r="L4269" s="18"/>
      <c r="M4269" s="23"/>
    </row>
    <row r="4270">
      <c r="A4270" s="11"/>
      <c r="B4270" s="12"/>
      <c r="C4270" s="13"/>
      <c r="E4270" s="6"/>
      <c r="F4270" s="7"/>
      <c r="H4270" s="11"/>
      <c r="J4270" s="18"/>
      <c r="L4270" s="18"/>
      <c r="M4270" s="23"/>
    </row>
    <row r="4271">
      <c r="A4271" s="11"/>
      <c r="B4271" s="12"/>
      <c r="C4271" s="13"/>
      <c r="E4271" s="6"/>
      <c r="F4271" s="7"/>
      <c r="H4271" s="11"/>
      <c r="J4271" s="18"/>
      <c r="L4271" s="18"/>
      <c r="M4271" s="23"/>
    </row>
    <row r="4272">
      <c r="A4272" s="11"/>
      <c r="B4272" s="12"/>
      <c r="C4272" s="13"/>
      <c r="E4272" s="6"/>
      <c r="F4272" s="7"/>
      <c r="H4272" s="11"/>
      <c r="J4272" s="18"/>
      <c r="L4272" s="18"/>
      <c r="M4272" s="23"/>
    </row>
    <row r="4273">
      <c r="A4273" s="11"/>
      <c r="B4273" s="12"/>
      <c r="C4273" s="13"/>
      <c r="E4273" s="6"/>
      <c r="F4273" s="7"/>
      <c r="H4273" s="11"/>
      <c r="J4273" s="18"/>
      <c r="L4273" s="18"/>
      <c r="M4273" s="23"/>
    </row>
    <row r="4274">
      <c r="A4274" s="11"/>
      <c r="B4274" s="12"/>
      <c r="C4274" s="13"/>
      <c r="E4274" s="6"/>
      <c r="F4274" s="7"/>
      <c r="H4274" s="11"/>
      <c r="J4274" s="18"/>
      <c r="L4274" s="18"/>
      <c r="M4274" s="23"/>
    </row>
    <row r="4275">
      <c r="A4275" s="11"/>
      <c r="B4275" s="12"/>
      <c r="C4275" s="13"/>
      <c r="E4275" s="6"/>
      <c r="F4275" s="7"/>
      <c r="H4275" s="11"/>
      <c r="J4275" s="18"/>
      <c r="L4275" s="18"/>
      <c r="M4275" s="23"/>
    </row>
    <row r="4276">
      <c r="A4276" s="11"/>
      <c r="B4276" s="12"/>
      <c r="C4276" s="13"/>
      <c r="E4276" s="6"/>
      <c r="F4276" s="7"/>
      <c r="H4276" s="11"/>
      <c r="J4276" s="18"/>
      <c r="L4276" s="18"/>
      <c r="M4276" s="23"/>
    </row>
    <row r="4277">
      <c r="A4277" s="11"/>
      <c r="B4277" s="12"/>
      <c r="C4277" s="13"/>
      <c r="E4277" s="6"/>
      <c r="F4277" s="7"/>
      <c r="H4277" s="11"/>
      <c r="J4277" s="18"/>
      <c r="L4277" s="18"/>
      <c r="M4277" s="23"/>
    </row>
    <row r="4278">
      <c r="A4278" s="11"/>
      <c r="B4278" s="12"/>
      <c r="C4278" s="13"/>
      <c r="E4278" s="6"/>
      <c r="F4278" s="7"/>
      <c r="H4278" s="11"/>
      <c r="J4278" s="18"/>
      <c r="L4278" s="18"/>
      <c r="M4278" s="23"/>
    </row>
    <row r="4279">
      <c r="A4279" s="11"/>
      <c r="B4279" s="12"/>
      <c r="C4279" s="13"/>
      <c r="E4279" s="6"/>
      <c r="F4279" s="7"/>
      <c r="H4279" s="11"/>
      <c r="J4279" s="18"/>
      <c r="L4279" s="18"/>
      <c r="M4279" s="23"/>
    </row>
    <row r="4280">
      <c r="A4280" s="11"/>
      <c r="B4280" s="12"/>
      <c r="C4280" s="13"/>
      <c r="E4280" s="6"/>
      <c r="F4280" s="7"/>
      <c r="H4280" s="11"/>
      <c r="J4280" s="18"/>
      <c r="L4280" s="18"/>
      <c r="M4280" s="23"/>
    </row>
    <row r="4281">
      <c r="A4281" s="11"/>
      <c r="B4281" s="12"/>
      <c r="C4281" s="13"/>
      <c r="E4281" s="6"/>
      <c r="F4281" s="7"/>
      <c r="H4281" s="11"/>
      <c r="J4281" s="18"/>
      <c r="L4281" s="18"/>
      <c r="M4281" s="23"/>
    </row>
    <row r="4282">
      <c r="A4282" s="11"/>
      <c r="B4282" s="12"/>
      <c r="C4282" s="13"/>
      <c r="E4282" s="6"/>
      <c r="F4282" s="7"/>
      <c r="H4282" s="11"/>
      <c r="J4282" s="18"/>
      <c r="L4282" s="18"/>
      <c r="M4282" s="23"/>
    </row>
    <row r="4283">
      <c r="A4283" s="11"/>
      <c r="B4283" s="12"/>
      <c r="C4283" s="13"/>
      <c r="E4283" s="6"/>
      <c r="F4283" s="7"/>
      <c r="H4283" s="11"/>
      <c r="J4283" s="18"/>
      <c r="L4283" s="18"/>
      <c r="M4283" s="23"/>
    </row>
    <row r="4284">
      <c r="A4284" s="11"/>
      <c r="B4284" s="12"/>
      <c r="C4284" s="13"/>
      <c r="E4284" s="6"/>
      <c r="F4284" s="7"/>
      <c r="H4284" s="11"/>
      <c r="J4284" s="18"/>
      <c r="L4284" s="18"/>
      <c r="M4284" s="23"/>
    </row>
    <row r="4285">
      <c r="A4285" s="11"/>
      <c r="B4285" s="12"/>
      <c r="C4285" s="13"/>
      <c r="E4285" s="6"/>
      <c r="F4285" s="7"/>
      <c r="H4285" s="11"/>
      <c r="J4285" s="18"/>
      <c r="L4285" s="18"/>
      <c r="M4285" s="23"/>
    </row>
    <row r="4286">
      <c r="A4286" s="11"/>
      <c r="B4286" s="12"/>
      <c r="C4286" s="13"/>
      <c r="E4286" s="6"/>
      <c r="F4286" s="7"/>
      <c r="H4286" s="11"/>
      <c r="J4286" s="18"/>
      <c r="L4286" s="18"/>
      <c r="M4286" s="23"/>
    </row>
    <row r="4287">
      <c r="A4287" s="11"/>
      <c r="B4287" s="12"/>
      <c r="C4287" s="13"/>
      <c r="E4287" s="6"/>
      <c r="F4287" s="7"/>
      <c r="H4287" s="11"/>
      <c r="J4287" s="18"/>
      <c r="L4287" s="18"/>
      <c r="M4287" s="23"/>
    </row>
    <row r="4288">
      <c r="A4288" s="11"/>
      <c r="B4288" s="12"/>
      <c r="C4288" s="13"/>
      <c r="E4288" s="6"/>
      <c r="F4288" s="7"/>
      <c r="H4288" s="11"/>
      <c r="J4288" s="18"/>
      <c r="L4288" s="18"/>
      <c r="M4288" s="23"/>
    </row>
    <row r="4289">
      <c r="A4289" s="11"/>
      <c r="B4289" s="12"/>
      <c r="C4289" s="13"/>
      <c r="E4289" s="6"/>
      <c r="F4289" s="7"/>
      <c r="H4289" s="11"/>
      <c r="J4289" s="18"/>
      <c r="L4289" s="18"/>
      <c r="M4289" s="23"/>
    </row>
    <row r="4290">
      <c r="A4290" s="11"/>
      <c r="B4290" s="12"/>
      <c r="C4290" s="13"/>
      <c r="E4290" s="6"/>
      <c r="F4290" s="7"/>
      <c r="H4290" s="11"/>
      <c r="J4290" s="18"/>
      <c r="L4290" s="18"/>
      <c r="M4290" s="23"/>
    </row>
    <row r="4291">
      <c r="A4291" s="11"/>
      <c r="B4291" s="12"/>
      <c r="C4291" s="13"/>
      <c r="E4291" s="6"/>
      <c r="F4291" s="7"/>
      <c r="H4291" s="11"/>
      <c r="J4291" s="18"/>
      <c r="L4291" s="18"/>
      <c r="M4291" s="23"/>
    </row>
    <row r="4292">
      <c r="A4292" s="11"/>
      <c r="B4292" s="12"/>
      <c r="C4292" s="13"/>
      <c r="E4292" s="6"/>
      <c r="F4292" s="7"/>
      <c r="H4292" s="11"/>
      <c r="J4292" s="18"/>
      <c r="L4292" s="18"/>
      <c r="M4292" s="23"/>
    </row>
    <row r="4293">
      <c r="A4293" s="11"/>
      <c r="B4293" s="12"/>
      <c r="C4293" s="13"/>
      <c r="E4293" s="6"/>
      <c r="F4293" s="7"/>
      <c r="H4293" s="11"/>
      <c r="J4293" s="18"/>
      <c r="L4293" s="18"/>
      <c r="M4293" s="23"/>
    </row>
    <row r="4294">
      <c r="A4294" s="11"/>
      <c r="B4294" s="12"/>
      <c r="C4294" s="13"/>
      <c r="E4294" s="6"/>
      <c r="F4294" s="7"/>
      <c r="H4294" s="11"/>
      <c r="J4294" s="18"/>
      <c r="L4294" s="18"/>
      <c r="M4294" s="23"/>
    </row>
    <row r="4295">
      <c r="A4295" s="11"/>
      <c r="B4295" s="12"/>
      <c r="C4295" s="13"/>
      <c r="E4295" s="6"/>
      <c r="F4295" s="7"/>
      <c r="H4295" s="11"/>
      <c r="J4295" s="18"/>
      <c r="L4295" s="18"/>
      <c r="M4295" s="23"/>
    </row>
    <row r="4296">
      <c r="A4296" s="11"/>
      <c r="B4296" s="12"/>
      <c r="C4296" s="13"/>
      <c r="E4296" s="6"/>
      <c r="F4296" s="7"/>
      <c r="H4296" s="11"/>
      <c r="J4296" s="18"/>
      <c r="L4296" s="18"/>
      <c r="M4296" s="23"/>
    </row>
    <row r="4297">
      <c r="A4297" s="11"/>
      <c r="B4297" s="12"/>
      <c r="C4297" s="13"/>
      <c r="E4297" s="6"/>
      <c r="F4297" s="7"/>
      <c r="H4297" s="11"/>
      <c r="J4297" s="18"/>
      <c r="L4297" s="18"/>
      <c r="M4297" s="23"/>
    </row>
    <row r="4298">
      <c r="A4298" s="11"/>
      <c r="B4298" s="12"/>
      <c r="C4298" s="13"/>
      <c r="E4298" s="6"/>
      <c r="F4298" s="7"/>
      <c r="H4298" s="11"/>
      <c r="J4298" s="18"/>
      <c r="L4298" s="18"/>
      <c r="M4298" s="23"/>
    </row>
    <row r="4299">
      <c r="A4299" s="11"/>
      <c r="B4299" s="12"/>
      <c r="C4299" s="13"/>
      <c r="E4299" s="6"/>
      <c r="F4299" s="7"/>
      <c r="H4299" s="11"/>
      <c r="J4299" s="18"/>
      <c r="L4299" s="18"/>
      <c r="M4299" s="23"/>
    </row>
    <row r="4300">
      <c r="A4300" s="11"/>
      <c r="B4300" s="12"/>
      <c r="C4300" s="13"/>
      <c r="E4300" s="6"/>
      <c r="F4300" s="7"/>
      <c r="H4300" s="11"/>
      <c r="J4300" s="18"/>
      <c r="L4300" s="18"/>
      <c r="M4300" s="23"/>
    </row>
    <row r="4301">
      <c r="A4301" s="11"/>
      <c r="B4301" s="12"/>
      <c r="C4301" s="13"/>
      <c r="E4301" s="6"/>
      <c r="F4301" s="7"/>
      <c r="H4301" s="11"/>
      <c r="J4301" s="18"/>
      <c r="L4301" s="18"/>
      <c r="M4301" s="23"/>
    </row>
    <row r="4302">
      <c r="A4302" s="11"/>
      <c r="B4302" s="12"/>
      <c r="C4302" s="13"/>
      <c r="E4302" s="6"/>
      <c r="F4302" s="7"/>
      <c r="H4302" s="11"/>
      <c r="J4302" s="18"/>
      <c r="L4302" s="18"/>
      <c r="M4302" s="23"/>
    </row>
    <row r="4303">
      <c r="A4303" s="11"/>
      <c r="B4303" s="12"/>
      <c r="C4303" s="13"/>
      <c r="E4303" s="6"/>
      <c r="F4303" s="7"/>
      <c r="H4303" s="11"/>
      <c r="J4303" s="18"/>
      <c r="L4303" s="18"/>
      <c r="M4303" s="23"/>
    </row>
    <row r="4304">
      <c r="A4304" s="11"/>
      <c r="B4304" s="12"/>
      <c r="C4304" s="13"/>
      <c r="E4304" s="6"/>
      <c r="F4304" s="7"/>
      <c r="H4304" s="11"/>
      <c r="J4304" s="18"/>
      <c r="L4304" s="18"/>
      <c r="M4304" s="23"/>
    </row>
    <row r="4305">
      <c r="A4305" s="11"/>
      <c r="B4305" s="12"/>
      <c r="C4305" s="13"/>
      <c r="E4305" s="6"/>
      <c r="F4305" s="7"/>
      <c r="H4305" s="11"/>
      <c r="J4305" s="18"/>
      <c r="L4305" s="18"/>
      <c r="M4305" s="23"/>
    </row>
    <row r="4306">
      <c r="A4306" s="11"/>
      <c r="B4306" s="12"/>
      <c r="C4306" s="13"/>
      <c r="E4306" s="6"/>
      <c r="F4306" s="7"/>
      <c r="H4306" s="11"/>
      <c r="J4306" s="18"/>
      <c r="L4306" s="18"/>
      <c r="M4306" s="23"/>
    </row>
    <row r="4307">
      <c r="A4307" s="11"/>
      <c r="B4307" s="12"/>
      <c r="C4307" s="13"/>
      <c r="E4307" s="6"/>
      <c r="F4307" s="7"/>
      <c r="H4307" s="11"/>
      <c r="J4307" s="18"/>
      <c r="L4307" s="18"/>
      <c r="M4307" s="23"/>
    </row>
    <row r="4308">
      <c r="A4308" s="11"/>
      <c r="B4308" s="12"/>
      <c r="C4308" s="13"/>
      <c r="E4308" s="6"/>
      <c r="F4308" s="7"/>
      <c r="H4308" s="11"/>
      <c r="J4308" s="18"/>
      <c r="L4308" s="18"/>
      <c r="M4308" s="23"/>
    </row>
    <row r="4309">
      <c r="A4309" s="11"/>
      <c r="B4309" s="12"/>
      <c r="C4309" s="13"/>
      <c r="E4309" s="6"/>
      <c r="F4309" s="7"/>
      <c r="H4309" s="11"/>
      <c r="J4309" s="18"/>
      <c r="L4309" s="18"/>
      <c r="M4309" s="23"/>
    </row>
    <row r="4310">
      <c r="A4310" s="11"/>
      <c r="B4310" s="12"/>
      <c r="C4310" s="13"/>
      <c r="E4310" s="6"/>
      <c r="F4310" s="7"/>
      <c r="H4310" s="11"/>
      <c r="J4310" s="18"/>
      <c r="L4310" s="18"/>
      <c r="M4310" s="23"/>
    </row>
    <row r="4311">
      <c r="A4311" s="11"/>
      <c r="B4311" s="12"/>
      <c r="C4311" s="13"/>
      <c r="E4311" s="6"/>
      <c r="F4311" s="7"/>
      <c r="H4311" s="11"/>
      <c r="J4311" s="18"/>
      <c r="L4311" s="18"/>
      <c r="M4311" s="23"/>
    </row>
    <row r="4312">
      <c r="A4312" s="11"/>
      <c r="B4312" s="12"/>
      <c r="C4312" s="13"/>
      <c r="E4312" s="6"/>
      <c r="F4312" s="7"/>
      <c r="H4312" s="11"/>
      <c r="J4312" s="18"/>
      <c r="L4312" s="18"/>
      <c r="M4312" s="23"/>
    </row>
    <row r="4313">
      <c r="A4313" s="11"/>
      <c r="B4313" s="12"/>
      <c r="C4313" s="13"/>
      <c r="E4313" s="6"/>
      <c r="F4313" s="7"/>
      <c r="H4313" s="11"/>
      <c r="J4313" s="18"/>
      <c r="L4313" s="18"/>
      <c r="M4313" s="23"/>
    </row>
    <row r="4314">
      <c r="A4314" s="11"/>
      <c r="B4314" s="12"/>
      <c r="C4314" s="13"/>
      <c r="E4314" s="6"/>
      <c r="F4314" s="7"/>
      <c r="H4314" s="11"/>
      <c r="J4314" s="18"/>
      <c r="L4314" s="18"/>
      <c r="M4314" s="23"/>
    </row>
    <row r="4315">
      <c r="A4315" s="11"/>
      <c r="B4315" s="12"/>
      <c r="C4315" s="13"/>
      <c r="E4315" s="6"/>
      <c r="F4315" s="7"/>
      <c r="H4315" s="11"/>
      <c r="J4315" s="18"/>
      <c r="L4315" s="18"/>
      <c r="M4315" s="23"/>
    </row>
    <row r="4316">
      <c r="A4316" s="11"/>
      <c r="B4316" s="12"/>
      <c r="C4316" s="13"/>
      <c r="E4316" s="6"/>
      <c r="F4316" s="7"/>
      <c r="H4316" s="11"/>
      <c r="J4316" s="18"/>
      <c r="L4316" s="18"/>
      <c r="M4316" s="23"/>
    </row>
    <row r="4317">
      <c r="A4317" s="11"/>
      <c r="B4317" s="12"/>
      <c r="C4317" s="13"/>
      <c r="E4317" s="6"/>
      <c r="F4317" s="7"/>
      <c r="H4317" s="11"/>
      <c r="J4317" s="18"/>
      <c r="L4317" s="18"/>
      <c r="M4317" s="23"/>
    </row>
    <row r="4318">
      <c r="A4318" s="11"/>
      <c r="B4318" s="12"/>
      <c r="C4318" s="13"/>
      <c r="E4318" s="6"/>
      <c r="F4318" s="7"/>
      <c r="H4318" s="11"/>
      <c r="J4318" s="18"/>
      <c r="L4318" s="18"/>
      <c r="M4318" s="23"/>
    </row>
    <row r="4319">
      <c r="A4319" s="11"/>
      <c r="B4319" s="12"/>
      <c r="C4319" s="13"/>
      <c r="E4319" s="6"/>
      <c r="F4319" s="7"/>
      <c r="H4319" s="11"/>
      <c r="J4319" s="18"/>
      <c r="L4319" s="18"/>
      <c r="M4319" s="23"/>
    </row>
    <row r="4320">
      <c r="A4320" s="11"/>
      <c r="B4320" s="12"/>
      <c r="C4320" s="13"/>
      <c r="E4320" s="6"/>
      <c r="F4320" s="7"/>
      <c r="H4320" s="11"/>
      <c r="J4320" s="18"/>
      <c r="L4320" s="18"/>
      <c r="M4320" s="23"/>
    </row>
    <row r="4321">
      <c r="A4321" s="11"/>
      <c r="B4321" s="12"/>
      <c r="C4321" s="13"/>
      <c r="E4321" s="6"/>
      <c r="F4321" s="7"/>
      <c r="H4321" s="11"/>
      <c r="J4321" s="18"/>
      <c r="L4321" s="18"/>
      <c r="M4321" s="23"/>
    </row>
    <row r="4322">
      <c r="A4322" s="11"/>
      <c r="B4322" s="12"/>
      <c r="C4322" s="13"/>
      <c r="E4322" s="6"/>
      <c r="F4322" s="7"/>
      <c r="H4322" s="11"/>
      <c r="J4322" s="18"/>
      <c r="L4322" s="18"/>
      <c r="M4322" s="23"/>
    </row>
    <row r="4323">
      <c r="A4323" s="11"/>
      <c r="B4323" s="12"/>
      <c r="C4323" s="13"/>
      <c r="E4323" s="6"/>
      <c r="F4323" s="7"/>
      <c r="H4323" s="11"/>
      <c r="J4323" s="18"/>
      <c r="L4323" s="18"/>
      <c r="M4323" s="23"/>
    </row>
    <row r="4324">
      <c r="A4324" s="11"/>
      <c r="B4324" s="12"/>
      <c r="C4324" s="13"/>
      <c r="E4324" s="6"/>
      <c r="F4324" s="7"/>
      <c r="H4324" s="11"/>
      <c r="J4324" s="18"/>
      <c r="L4324" s="18"/>
      <c r="M4324" s="23"/>
    </row>
    <row r="4325">
      <c r="A4325" s="11"/>
      <c r="B4325" s="12"/>
      <c r="C4325" s="13"/>
      <c r="E4325" s="6"/>
      <c r="F4325" s="7"/>
      <c r="H4325" s="11"/>
      <c r="J4325" s="18"/>
      <c r="L4325" s="18"/>
      <c r="M4325" s="23"/>
    </row>
    <row r="4326">
      <c r="A4326" s="11"/>
      <c r="B4326" s="12"/>
      <c r="C4326" s="13"/>
      <c r="E4326" s="6"/>
      <c r="F4326" s="7"/>
      <c r="H4326" s="11"/>
      <c r="J4326" s="18"/>
      <c r="L4326" s="18"/>
      <c r="M4326" s="23"/>
    </row>
    <row r="4327">
      <c r="A4327" s="11"/>
      <c r="B4327" s="12"/>
      <c r="C4327" s="13"/>
      <c r="E4327" s="6"/>
      <c r="F4327" s="7"/>
      <c r="H4327" s="11"/>
      <c r="J4327" s="18"/>
      <c r="L4327" s="18"/>
      <c r="M4327" s="23"/>
    </row>
    <row r="4328">
      <c r="A4328" s="11"/>
      <c r="B4328" s="12"/>
      <c r="C4328" s="13"/>
      <c r="E4328" s="6"/>
      <c r="F4328" s="7"/>
      <c r="H4328" s="11"/>
      <c r="J4328" s="18"/>
      <c r="L4328" s="18"/>
      <c r="M4328" s="23"/>
    </row>
    <row r="4329">
      <c r="A4329" s="11"/>
      <c r="B4329" s="12"/>
      <c r="C4329" s="13"/>
      <c r="E4329" s="6"/>
      <c r="F4329" s="7"/>
      <c r="H4329" s="11"/>
      <c r="J4329" s="18"/>
      <c r="L4329" s="18"/>
      <c r="M4329" s="23"/>
    </row>
    <row r="4330">
      <c r="A4330" s="11"/>
      <c r="B4330" s="12"/>
      <c r="C4330" s="13"/>
      <c r="E4330" s="6"/>
      <c r="F4330" s="7"/>
      <c r="H4330" s="11"/>
      <c r="J4330" s="18"/>
      <c r="L4330" s="18"/>
      <c r="M4330" s="23"/>
    </row>
    <row r="4331">
      <c r="A4331" s="11"/>
      <c r="B4331" s="12"/>
      <c r="C4331" s="13"/>
      <c r="E4331" s="6"/>
      <c r="F4331" s="7"/>
      <c r="H4331" s="11"/>
      <c r="J4331" s="18"/>
      <c r="L4331" s="18"/>
      <c r="M4331" s="23"/>
    </row>
    <row r="4332">
      <c r="A4332" s="11"/>
      <c r="B4332" s="12"/>
      <c r="C4332" s="13"/>
      <c r="E4332" s="6"/>
      <c r="F4332" s="7"/>
      <c r="H4332" s="11"/>
      <c r="J4332" s="18"/>
      <c r="L4332" s="18"/>
      <c r="M4332" s="23"/>
    </row>
    <row r="4333">
      <c r="A4333" s="11"/>
      <c r="B4333" s="12"/>
      <c r="C4333" s="13"/>
      <c r="E4333" s="6"/>
      <c r="F4333" s="7"/>
      <c r="H4333" s="11"/>
      <c r="J4333" s="18"/>
      <c r="L4333" s="18"/>
      <c r="M4333" s="23"/>
    </row>
    <row r="4334">
      <c r="A4334" s="11"/>
      <c r="B4334" s="12"/>
      <c r="C4334" s="13"/>
      <c r="E4334" s="6"/>
      <c r="F4334" s="7"/>
      <c r="H4334" s="11"/>
      <c r="J4334" s="18"/>
      <c r="L4334" s="18"/>
      <c r="M4334" s="23"/>
    </row>
    <row r="4335">
      <c r="A4335" s="11"/>
      <c r="B4335" s="12"/>
      <c r="C4335" s="13"/>
      <c r="E4335" s="6"/>
      <c r="F4335" s="7"/>
      <c r="H4335" s="11"/>
      <c r="J4335" s="18"/>
      <c r="L4335" s="18"/>
      <c r="M4335" s="23"/>
    </row>
    <row r="4336">
      <c r="A4336" s="11"/>
      <c r="B4336" s="12"/>
      <c r="C4336" s="13"/>
      <c r="E4336" s="6"/>
      <c r="F4336" s="7"/>
      <c r="H4336" s="11"/>
      <c r="J4336" s="18"/>
      <c r="L4336" s="18"/>
      <c r="M4336" s="23"/>
    </row>
    <row r="4337">
      <c r="A4337" s="11"/>
      <c r="B4337" s="12"/>
      <c r="C4337" s="13"/>
      <c r="E4337" s="6"/>
      <c r="F4337" s="7"/>
      <c r="H4337" s="11"/>
      <c r="J4337" s="18"/>
      <c r="L4337" s="18"/>
      <c r="M4337" s="23"/>
    </row>
    <row r="4338">
      <c r="A4338" s="11"/>
      <c r="B4338" s="12"/>
      <c r="C4338" s="13"/>
      <c r="E4338" s="6"/>
      <c r="F4338" s="7"/>
      <c r="H4338" s="11"/>
      <c r="J4338" s="18"/>
      <c r="L4338" s="18"/>
      <c r="M4338" s="23"/>
    </row>
    <row r="4339">
      <c r="A4339" s="11"/>
      <c r="B4339" s="12"/>
      <c r="C4339" s="13"/>
      <c r="E4339" s="6"/>
      <c r="F4339" s="7"/>
      <c r="H4339" s="11"/>
      <c r="J4339" s="18"/>
      <c r="L4339" s="18"/>
      <c r="M4339" s="23"/>
    </row>
    <row r="4340">
      <c r="A4340" s="11"/>
      <c r="B4340" s="12"/>
      <c r="C4340" s="13"/>
      <c r="E4340" s="6"/>
      <c r="F4340" s="7"/>
      <c r="H4340" s="11"/>
      <c r="J4340" s="18"/>
      <c r="L4340" s="18"/>
      <c r="M4340" s="23"/>
    </row>
    <row r="4341">
      <c r="A4341" s="11"/>
      <c r="B4341" s="12"/>
      <c r="C4341" s="13"/>
      <c r="E4341" s="6"/>
      <c r="F4341" s="7"/>
      <c r="H4341" s="11"/>
      <c r="J4341" s="18"/>
      <c r="L4341" s="18"/>
      <c r="M4341" s="23"/>
    </row>
    <row r="4342">
      <c r="A4342" s="11"/>
      <c r="B4342" s="12"/>
      <c r="C4342" s="13"/>
      <c r="E4342" s="6"/>
      <c r="F4342" s="7"/>
      <c r="H4342" s="11"/>
      <c r="J4342" s="18"/>
      <c r="L4342" s="18"/>
      <c r="M4342" s="23"/>
    </row>
    <row r="4343">
      <c r="A4343" s="11"/>
      <c r="B4343" s="12"/>
      <c r="C4343" s="13"/>
      <c r="E4343" s="6"/>
      <c r="F4343" s="7"/>
      <c r="H4343" s="11"/>
      <c r="J4343" s="18"/>
      <c r="L4343" s="18"/>
      <c r="M4343" s="23"/>
    </row>
    <row r="4344">
      <c r="A4344" s="11"/>
      <c r="B4344" s="12"/>
      <c r="C4344" s="13"/>
      <c r="E4344" s="6"/>
      <c r="F4344" s="7"/>
      <c r="H4344" s="11"/>
      <c r="J4344" s="18"/>
      <c r="L4344" s="18"/>
      <c r="M4344" s="23"/>
    </row>
    <row r="4345">
      <c r="A4345" s="11"/>
      <c r="B4345" s="12"/>
      <c r="C4345" s="13"/>
      <c r="E4345" s="6"/>
      <c r="F4345" s="7"/>
      <c r="H4345" s="11"/>
      <c r="J4345" s="18"/>
      <c r="L4345" s="18"/>
      <c r="M4345" s="23"/>
    </row>
    <row r="4346">
      <c r="A4346" s="11"/>
      <c r="B4346" s="12"/>
      <c r="C4346" s="13"/>
      <c r="E4346" s="6"/>
      <c r="F4346" s="7"/>
      <c r="H4346" s="11"/>
      <c r="J4346" s="18"/>
      <c r="L4346" s="18"/>
      <c r="M4346" s="23"/>
    </row>
    <row r="4347">
      <c r="A4347" s="11"/>
      <c r="B4347" s="12"/>
      <c r="C4347" s="13"/>
      <c r="E4347" s="6"/>
      <c r="F4347" s="7"/>
      <c r="H4347" s="11"/>
      <c r="J4347" s="18"/>
      <c r="L4347" s="18"/>
      <c r="M4347" s="23"/>
    </row>
    <row r="4348">
      <c r="A4348" s="11"/>
      <c r="B4348" s="12"/>
      <c r="C4348" s="13"/>
      <c r="E4348" s="6"/>
      <c r="F4348" s="7"/>
      <c r="H4348" s="11"/>
      <c r="J4348" s="18"/>
      <c r="L4348" s="18"/>
      <c r="M4348" s="23"/>
    </row>
    <row r="4349">
      <c r="A4349" s="11"/>
      <c r="B4349" s="12"/>
      <c r="C4349" s="13"/>
      <c r="E4349" s="6"/>
      <c r="F4349" s="7"/>
      <c r="H4349" s="11"/>
      <c r="J4349" s="18"/>
      <c r="L4349" s="18"/>
      <c r="M4349" s="23"/>
    </row>
    <row r="4350">
      <c r="A4350" s="11"/>
      <c r="B4350" s="12"/>
      <c r="C4350" s="13"/>
      <c r="E4350" s="6"/>
      <c r="F4350" s="7"/>
      <c r="H4350" s="11"/>
      <c r="J4350" s="18"/>
      <c r="L4350" s="18"/>
      <c r="M4350" s="23"/>
    </row>
    <row r="4351">
      <c r="A4351" s="11"/>
      <c r="B4351" s="12"/>
      <c r="C4351" s="13"/>
      <c r="E4351" s="6"/>
      <c r="F4351" s="7"/>
      <c r="H4351" s="11"/>
      <c r="J4351" s="18"/>
      <c r="L4351" s="18"/>
      <c r="M4351" s="23"/>
    </row>
    <row r="4352">
      <c r="A4352" s="11"/>
      <c r="B4352" s="12"/>
      <c r="C4352" s="13"/>
      <c r="E4352" s="6"/>
      <c r="F4352" s="7"/>
      <c r="H4352" s="11"/>
      <c r="J4352" s="18"/>
      <c r="L4352" s="18"/>
      <c r="M4352" s="23"/>
    </row>
    <row r="4353">
      <c r="A4353" s="11"/>
      <c r="B4353" s="12"/>
      <c r="C4353" s="13"/>
      <c r="E4353" s="6"/>
      <c r="F4353" s="7"/>
      <c r="H4353" s="11"/>
      <c r="J4353" s="18"/>
      <c r="L4353" s="18"/>
      <c r="M4353" s="23"/>
    </row>
    <row r="4354">
      <c r="A4354" s="11"/>
      <c r="B4354" s="12"/>
      <c r="C4354" s="13"/>
      <c r="E4354" s="6"/>
      <c r="F4354" s="7"/>
      <c r="H4354" s="11"/>
      <c r="J4354" s="18"/>
      <c r="L4354" s="18"/>
      <c r="M4354" s="23"/>
    </row>
    <row r="4355">
      <c r="A4355" s="11"/>
      <c r="B4355" s="12"/>
      <c r="C4355" s="13"/>
      <c r="E4355" s="6"/>
      <c r="F4355" s="7"/>
      <c r="H4355" s="11"/>
      <c r="J4355" s="18"/>
      <c r="L4355" s="18"/>
      <c r="M4355" s="23"/>
    </row>
    <row r="4356">
      <c r="A4356" s="11"/>
      <c r="B4356" s="12"/>
      <c r="C4356" s="13"/>
      <c r="E4356" s="6"/>
      <c r="F4356" s="7"/>
      <c r="H4356" s="11"/>
      <c r="J4356" s="18"/>
      <c r="L4356" s="18"/>
      <c r="M4356" s="23"/>
    </row>
    <row r="4357">
      <c r="A4357" s="11"/>
      <c r="B4357" s="12"/>
      <c r="C4357" s="13"/>
      <c r="E4357" s="6"/>
      <c r="F4357" s="7"/>
      <c r="H4357" s="11"/>
      <c r="J4357" s="18"/>
      <c r="L4357" s="18"/>
      <c r="M4357" s="23"/>
    </row>
    <row r="4358">
      <c r="A4358" s="11"/>
      <c r="B4358" s="12"/>
      <c r="C4358" s="13"/>
      <c r="E4358" s="6"/>
      <c r="F4358" s="7"/>
      <c r="H4358" s="11"/>
      <c r="J4358" s="18"/>
      <c r="L4358" s="18"/>
      <c r="M4358" s="23"/>
    </row>
    <row r="4359">
      <c r="A4359" s="11"/>
      <c r="B4359" s="12"/>
      <c r="C4359" s="13"/>
      <c r="E4359" s="6"/>
      <c r="F4359" s="7"/>
      <c r="H4359" s="11"/>
      <c r="J4359" s="18"/>
      <c r="L4359" s="18"/>
      <c r="M4359" s="23"/>
    </row>
    <row r="4360">
      <c r="A4360" s="11"/>
      <c r="B4360" s="12"/>
      <c r="C4360" s="13"/>
      <c r="E4360" s="6"/>
      <c r="F4360" s="7"/>
      <c r="H4360" s="11"/>
      <c r="J4360" s="18"/>
      <c r="L4360" s="18"/>
      <c r="M4360" s="23"/>
    </row>
    <row r="4361">
      <c r="A4361" s="11"/>
      <c r="B4361" s="12"/>
      <c r="C4361" s="13"/>
      <c r="E4361" s="6"/>
      <c r="F4361" s="7"/>
      <c r="H4361" s="11"/>
      <c r="J4361" s="18"/>
      <c r="L4361" s="18"/>
      <c r="M4361" s="23"/>
    </row>
    <row r="4362">
      <c r="A4362" s="11"/>
      <c r="B4362" s="12"/>
      <c r="C4362" s="13"/>
      <c r="E4362" s="6"/>
      <c r="F4362" s="7"/>
      <c r="H4362" s="11"/>
      <c r="J4362" s="18"/>
      <c r="L4362" s="18"/>
      <c r="M4362" s="23"/>
    </row>
    <row r="4363">
      <c r="A4363" s="11"/>
      <c r="B4363" s="12"/>
      <c r="C4363" s="13"/>
      <c r="E4363" s="6"/>
      <c r="F4363" s="7"/>
      <c r="H4363" s="11"/>
      <c r="J4363" s="18"/>
      <c r="L4363" s="18"/>
      <c r="M4363" s="23"/>
    </row>
    <row r="4364">
      <c r="A4364" s="11"/>
      <c r="B4364" s="12"/>
      <c r="C4364" s="13"/>
      <c r="E4364" s="6"/>
      <c r="F4364" s="7"/>
      <c r="H4364" s="11"/>
      <c r="J4364" s="18"/>
      <c r="L4364" s="18"/>
      <c r="M4364" s="23"/>
    </row>
    <row r="4365">
      <c r="A4365" s="11"/>
      <c r="B4365" s="12"/>
      <c r="C4365" s="13"/>
      <c r="E4365" s="6"/>
      <c r="F4365" s="7"/>
      <c r="H4365" s="11"/>
      <c r="J4365" s="18"/>
      <c r="L4365" s="18"/>
      <c r="M4365" s="23"/>
    </row>
    <row r="4366">
      <c r="A4366" s="11"/>
      <c r="B4366" s="12"/>
      <c r="C4366" s="13"/>
      <c r="E4366" s="6"/>
      <c r="F4366" s="7"/>
      <c r="H4366" s="11"/>
      <c r="J4366" s="18"/>
      <c r="L4366" s="18"/>
      <c r="M4366" s="23"/>
    </row>
    <row r="4367">
      <c r="A4367" s="11"/>
      <c r="B4367" s="12"/>
      <c r="C4367" s="13"/>
      <c r="E4367" s="6"/>
      <c r="F4367" s="7"/>
      <c r="H4367" s="11"/>
      <c r="J4367" s="18"/>
      <c r="L4367" s="18"/>
      <c r="M4367" s="23"/>
    </row>
    <row r="4368">
      <c r="A4368" s="11"/>
      <c r="B4368" s="12"/>
      <c r="C4368" s="13"/>
      <c r="E4368" s="6"/>
      <c r="F4368" s="7"/>
      <c r="H4368" s="11"/>
      <c r="J4368" s="18"/>
      <c r="L4368" s="18"/>
      <c r="M4368" s="23"/>
    </row>
    <row r="4369">
      <c r="A4369" s="11"/>
      <c r="B4369" s="12"/>
      <c r="C4369" s="13"/>
      <c r="E4369" s="6"/>
      <c r="F4369" s="7"/>
      <c r="H4369" s="11"/>
      <c r="J4369" s="18"/>
      <c r="L4369" s="18"/>
      <c r="M4369" s="23"/>
    </row>
    <row r="4370">
      <c r="A4370" s="11"/>
      <c r="B4370" s="12"/>
      <c r="C4370" s="13"/>
      <c r="E4370" s="6"/>
      <c r="F4370" s="7"/>
      <c r="H4370" s="11"/>
      <c r="J4370" s="18"/>
      <c r="L4370" s="18"/>
      <c r="M4370" s="23"/>
    </row>
    <row r="4371">
      <c r="A4371" s="11"/>
      <c r="B4371" s="12"/>
      <c r="C4371" s="13"/>
      <c r="E4371" s="6"/>
      <c r="F4371" s="7"/>
      <c r="H4371" s="11"/>
      <c r="J4371" s="18"/>
      <c r="L4371" s="18"/>
      <c r="M4371" s="23"/>
    </row>
    <row r="4372">
      <c r="A4372" s="11"/>
      <c r="B4372" s="12"/>
      <c r="C4372" s="13"/>
      <c r="E4372" s="6"/>
      <c r="F4372" s="7"/>
      <c r="H4372" s="11"/>
      <c r="J4372" s="18"/>
      <c r="L4372" s="18"/>
      <c r="M4372" s="23"/>
    </row>
    <row r="4373">
      <c r="A4373" s="11"/>
      <c r="B4373" s="12"/>
      <c r="C4373" s="13"/>
      <c r="E4373" s="6"/>
      <c r="F4373" s="7"/>
      <c r="H4373" s="11"/>
      <c r="J4373" s="18"/>
      <c r="L4373" s="18"/>
      <c r="M4373" s="23"/>
    </row>
    <row r="4374">
      <c r="A4374" s="11"/>
      <c r="B4374" s="12"/>
      <c r="C4374" s="13"/>
      <c r="E4374" s="6"/>
      <c r="F4374" s="7"/>
      <c r="H4374" s="11"/>
      <c r="J4374" s="18"/>
      <c r="L4374" s="18"/>
      <c r="M4374" s="23"/>
    </row>
    <row r="4375">
      <c r="A4375" s="11"/>
      <c r="B4375" s="12"/>
      <c r="C4375" s="13"/>
      <c r="E4375" s="6"/>
      <c r="F4375" s="7"/>
      <c r="H4375" s="11"/>
      <c r="J4375" s="18"/>
      <c r="L4375" s="18"/>
      <c r="M4375" s="23"/>
    </row>
    <row r="4376">
      <c r="A4376" s="11"/>
      <c r="B4376" s="12"/>
      <c r="C4376" s="13"/>
      <c r="E4376" s="6"/>
      <c r="F4376" s="7"/>
      <c r="H4376" s="11"/>
      <c r="J4376" s="18"/>
      <c r="L4376" s="18"/>
      <c r="M4376" s="23"/>
    </row>
    <row r="4377">
      <c r="A4377" s="11"/>
      <c r="B4377" s="12"/>
      <c r="C4377" s="13"/>
      <c r="E4377" s="6"/>
      <c r="F4377" s="7"/>
      <c r="H4377" s="11"/>
      <c r="J4377" s="18"/>
      <c r="L4377" s="18"/>
      <c r="M4377" s="23"/>
    </row>
    <row r="4378">
      <c r="A4378" s="11"/>
      <c r="B4378" s="12"/>
      <c r="C4378" s="13"/>
      <c r="E4378" s="6"/>
      <c r="F4378" s="7"/>
      <c r="H4378" s="11"/>
      <c r="J4378" s="18"/>
      <c r="L4378" s="18"/>
      <c r="M4378" s="23"/>
    </row>
    <row r="4379">
      <c r="A4379" s="11"/>
      <c r="B4379" s="12"/>
      <c r="C4379" s="13"/>
      <c r="E4379" s="6"/>
      <c r="F4379" s="7"/>
      <c r="H4379" s="11"/>
      <c r="J4379" s="18"/>
      <c r="L4379" s="18"/>
      <c r="M4379" s="23"/>
    </row>
    <row r="4380">
      <c r="A4380" s="11"/>
      <c r="B4380" s="12"/>
      <c r="C4380" s="13"/>
      <c r="E4380" s="6"/>
      <c r="F4380" s="7"/>
      <c r="H4380" s="11"/>
      <c r="J4380" s="18"/>
      <c r="L4380" s="18"/>
      <c r="M4380" s="23"/>
    </row>
    <row r="4381">
      <c r="A4381" s="11"/>
      <c r="B4381" s="12"/>
      <c r="C4381" s="13"/>
      <c r="E4381" s="6"/>
      <c r="F4381" s="7"/>
      <c r="H4381" s="11"/>
      <c r="J4381" s="18"/>
      <c r="L4381" s="18"/>
      <c r="M4381" s="23"/>
    </row>
    <row r="4382">
      <c r="A4382" s="11"/>
      <c r="B4382" s="12"/>
      <c r="C4382" s="13"/>
      <c r="E4382" s="6"/>
      <c r="F4382" s="7"/>
      <c r="H4382" s="11"/>
      <c r="J4382" s="18"/>
      <c r="L4382" s="18"/>
      <c r="M4382" s="23"/>
    </row>
    <row r="4383">
      <c r="A4383" s="11"/>
      <c r="B4383" s="12"/>
      <c r="C4383" s="13"/>
      <c r="E4383" s="6"/>
      <c r="F4383" s="7"/>
      <c r="H4383" s="11"/>
      <c r="J4383" s="18"/>
      <c r="L4383" s="18"/>
      <c r="M4383" s="23"/>
    </row>
    <row r="4384">
      <c r="A4384" s="11"/>
      <c r="B4384" s="12"/>
      <c r="C4384" s="13"/>
      <c r="E4384" s="6"/>
      <c r="F4384" s="7"/>
      <c r="H4384" s="11"/>
      <c r="J4384" s="18"/>
      <c r="L4384" s="18"/>
      <c r="M4384" s="23"/>
    </row>
    <row r="4385">
      <c r="A4385" s="11"/>
      <c r="B4385" s="12"/>
      <c r="C4385" s="13"/>
      <c r="E4385" s="6"/>
      <c r="F4385" s="7"/>
      <c r="H4385" s="11"/>
      <c r="J4385" s="18"/>
      <c r="L4385" s="18"/>
      <c r="M4385" s="23"/>
    </row>
    <row r="4386">
      <c r="A4386" s="11"/>
      <c r="B4386" s="12"/>
      <c r="C4386" s="13"/>
      <c r="E4386" s="6"/>
      <c r="F4386" s="7"/>
      <c r="H4386" s="11"/>
      <c r="J4386" s="18"/>
      <c r="L4386" s="18"/>
      <c r="M4386" s="23"/>
    </row>
    <row r="4387">
      <c r="A4387" s="11"/>
      <c r="B4387" s="12"/>
      <c r="C4387" s="13"/>
      <c r="E4387" s="6"/>
      <c r="F4387" s="7"/>
      <c r="H4387" s="11"/>
      <c r="J4387" s="18"/>
      <c r="L4387" s="18"/>
      <c r="M4387" s="23"/>
    </row>
    <row r="4388">
      <c r="A4388" s="11"/>
      <c r="B4388" s="12"/>
      <c r="C4388" s="13"/>
      <c r="E4388" s="6"/>
      <c r="F4388" s="7"/>
      <c r="H4388" s="11"/>
      <c r="J4388" s="18"/>
      <c r="L4388" s="18"/>
      <c r="M4388" s="23"/>
    </row>
    <row r="4389">
      <c r="A4389" s="11"/>
      <c r="B4389" s="12"/>
      <c r="C4389" s="13"/>
      <c r="E4389" s="6"/>
      <c r="F4389" s="7"/>
      <c r="H4389" s="11"/>
      <c r="J4389" s="18"/>
      <c r="L4389" s="18"/>
      <c r="M4389" s="23"/>
    </row>
    <row r="4390">
      <c r="A4390" s="11"/>
      <c r="B4390" s="12"/>
      <c r="C4390" s="13"/>
      <c r="E4390" s="6"/>
      <c r="F4390" s="7"/>
      <c r="H4390" s="11"/>
      <c r="J4390" s="18"/>
      <c r="L4390" s="18"/>
      <c r="M4390" s="23"/>
    </row>
    <row r="4391">
      <c r="A4391" s="11"/>
      <c r="B4391" s="12"/>
      <c r="C4391" s="13"/>
      <c r="E4391" s="6"/>
      <c r="F4391" s="7"/>
      <c r="H4391" s="11"/>
      <c r="J4391" s="18"/>
      <c r="L4391" s="18"/>
      <c r="M4391" s="23"/>
    </row>
    <row r="4392">
      <c r="A4392" s="11"/>
      <c r="B4392" s="12"/>
      <c r="C4392" s="13"/>
      <c r="E4392" s="6"/>
      <c r="F4392" s="7"/>
      <c r="H4392" s="11"/>
      <c r="J4392" s="18"/>
      <c r="L4392" s="18"/>
      <c r="M4392" s="23"/>
    </row>
    <row r="4393">
      <c r="A4393" s="11"/>
      <c r="B4393" s="12"/>
      <c r="C4393" s="13"/>
      <c r="E4393" s="6"/>
      <c r="F4393" s="7"/>
      <c r="H4393" s="11"/>
      <c r="J4393" s="18"/>
      <c r="L4393" s="18"/>
      <c r="M4393" s="23"/>
    </row>
    <row r="4394">
      <c r="A4394" s="11"/>
      <c r="B4394" s="12"/>
      <c r="C4394" s="13"/>
      <c r="E4394" s="6"/>
      <c r="F4394" s="7"/>
      <c r="H4394" s="11"/>
      <c r="J4394" s="18"/>
      <c r="L4394" s="18"/>
      <c r="M4394" s="23"/>
    </row>
    <row r="4395">
      <c r="A4395" s="11"/>
      <c r="B4395" s="12"/>
      <c r="C4395" s="13"/>
      <c r="E4395" s="6"/>
      <c r="F4395" s="7"/>
      <c r="H4395" s="11"/>
      <c r="J4395" s="18"/>
      <c r="L4395" s="18"/>
      <c r="M4395" s="23"/>
    </row>
    <row r="4396">
      <c r="A4396" s="11"/>
      <c r="B4396" s="12"/>
      <c r="C4396" s="13"/>
      <c r="E4396" s="6"/>
      <c r="F4396" s="7"/>
      <c r="H4396" s="11"/>
      <c r="J4396" s="18"/>
      <c r="L4396" s="18"/>
      <c r="M4396" s="23"/>
    </row>
    <row r="4397">
      <c r="A4397" s="11"/>
      <c r="B4397" s="12"/>
      <c r="C4397" s="13"/>
      <c r="E4397" s="6"/>
      <c r="F4397" s="7"/>
      <c r="H4397" s="11"/>
      <c r="J4397" s="18"/>
      <c r="L4397" s="18"/>
      <c r="M4397" s="23"/>
    </row>
    <row r="4398">
      <c r="A4398" s="11"/>
      <c r="B4398" s="12"/>
      <c r="C4398" s="13"/>
      <c r="E4398" s="6"/>
      <c r="F4398" s="7"/>
      <c r="H4398" s="11"/>
      <c r="J4398" s="18"/>
      <c r="L4398" s="18"/>
      <c r="M4398" s="23"/>
    </row>
    <row r="4399">
      <c r="A4399" s="11"/>
      <c r="B4399" s="12"/>
      <c r="C4399" s="13"/>
      <c r="E4399" s="6"/>
      <c r="F4399" s="7"/>
      <c r="H4399" s="11"/>
      <c r="J4399" s="18"/>
      <c r="L4399" s="18"/>
      <c r="M4399" s="23"/>
    </row>
    <row r="4400">
      <c r="A4400" s="11"/>
      <c r="B4400" s="12"/>
      <c r="C4400" s="13"/>
      <c r="E4400" s="6"/>
      <c r="F4400" s="7"/>
      <c r="H4400" s="11"/>
      <c r="J4400" s="18"/>
      <c r="L4400" s="18"/>
      <c r="M4400" s="23"/>
    </row>
    <row r="4401">
      <c r="A4401" s="11"/>
      <c r="B4401" s="12"/>
      <c r="C4401" s="13"/>
      <c r="E4401" s="6"/>
      <c r="F4401" s="7"/>
      <c r="H4401" s="11"/>
      <c r="J4401" s="18"/>
      <c r="L4401" s="18"/>
      <c r="M4401" s="23"/>
    </row>
    <row r="4402">
      <c r="A4402" s="11"/>
      <c r="B4402" s="12"/>
      <c r="C4402" s="13"/>
      <c r="E4402" s="6"/>
      <c r="F4402" s="7"/>
      <c r="H4402" s="11"/>
      <c r="J4402" s="18"/>
      <c r="L4402" s="18"/>
      <c r="M4402" s="23"/>
    </row>
    <row r="4403">
      <c r="A4403" s="11"/>
      <c r="B4403" s="12"/>
      <c r="C4403" s="13"/>
      <c r="E4403" s="6"/>
      <c r="F4403" s="7"/>
      <c r="H4403" s="11"/>
      <c r="J4403" s="18"/>
      <c r="L4403" s="18"/>
      <c r="M4403" s="23"/>
    </row>
    <row r="4404">
      <c r="A4404" s="11"/>
      <c r="B4404" s="12"/>
      <c r="C4404" s="13"/>
      <c r="E4404" s="6"/>
      <c r="F4404" s="7"/>
      <c r="H4404" s="11"/>
      <c r="J4404" s="18"/>
      <c r="L4404" s="18"/>
      <c r="M4404" s="23"/>
    </row>
    <row r="4405">
      <c r="A4405" s="11"/>
      <c r="B4405" s="12"/>
      <c r="C4405" s="13"/>
      <c r="E4405" s="6"/>
      <c r="F4405" s="7"/>
      <c r="H4405" s="11"/>
      <c r="J4405" s="18"/>
      <c r="L4405" s="18"/>
      <c r="M4405" s="23"/>
    </row>
    <row r="4406">
      <c r="A4406" s="11"/>
      <c r="B4406" s="12"/>
      <c r="C4406" s="13"/>
      <c r="E4406" s="6"/>
      <c r="F4406" s="7"/>
      <c r="H4406" s="11"/>
      <c r="J4406" s="18"/>
      <c r="L4406" s="18"/>
      <c r="M4406" s="23"/>
    </row>
    <row r="4407">
      <c r="A4407" s="11"/>
      <c r="B4407" s="12"/>
      <c r="C4407" s="13"/>
      <c r="E4407" s="6"/>
      <c r="F4407" s="7"/>
      <c r="H4407" s="11"/>
      <c r="J4407" s="18"/>
      <c r="L4407" s="18"/>
      <c r="M4407" s="23"/>
    </row>
    <row r="4408">
      <c r="A4408" s="11"/>
      <c r="B4408" s="12"/>
      <c r="C4408" s="13"/>
      <c r="E4408" s="6"/>
      <c r="F4408" s="7"/>
      <c r="H4408" s="11"/>
      <c r="J4408" s="18"/>
      <c r="L4408" s="18"/>
      <c r="M4408" s="23"/>
    </row>
    <row r="4409">
      <c r="A4409" s="11"/>
      <c r="B4409" s="12"/>
      <c r="C4409" s="13"/>
      <c r="E4409" s="6"/>
      <c r="F4409" s="7"/>
      <c r="H4409" s="11"/>
      <c r="J4409" s="18"/>
      <c r="L4409" s="18"/>
      <c r="M4409" s="23"/>
    </row>
    <row r="4410">
      <c r="A4410" s="11"/>
      <c r="B4410" s="12"/>
      <c r="C4410" s="13"/>
      <c r="E4410" s="6"/>
      <c r="F4410" s="7"/>
      <c r="H4410" s="11"/>
      <c r="J4410" s="18"/>
      <c r="L4410" s="18"/>
      <c r="M4410" s="23"/>
    </row>
    <row r="4411">
      <c r="A4411" s="11"/>
      <c r="B4411" s="12"/>
      <c r="C4411" s="13"/>
      <c r="E4411" s="6"/>
      <c r="F4411" s="7"/>
      <c r="H4411" s="11"/>
      <c r="J4411" s="18"/>
      <c r="L4411" s="18"/>
      <c r="M4411" s="23"/>
    </row>
    <row r="4412">
      <c r="A4412" s="11"/>
      <c r="B4412" s="12"/>
      <c r="C4412" s="13"/>
      <c r="E4412" s="6"/>
      <c r="F4412" s="7"/>
      <c r="H4412" s="11"/>
      <c r="J4412" s="18"/>
      <c r="L4412" s="18"/>
      <c r="M4412" s="23"/>
    </row>
    <row r="4413">
      <c r="A4413" s="11"/>
      <c r="B4413" s="12"/>
      <c r="C4413" s="13"/>
      <c r="E4413" s="6"/>
      <c r="F4413" s="7"/>
      <c r="H4413" s="11"/>
      <c r="J4413" s="18"/>
      <c r="L4413" s="18"/>
      <c r="M4413" s="23"/>
    </row>
    <row r="4414">
      <c r="A4414" s="11"/>
      <c r="B4414" s="12"/>
      <c r="C4414" s="13"/>
      <c r="E4414" s="6"/>
      <c r="F4414" s="7"/>
      <c r="H4414" s="11"/>
      <c r="J4414" s="18"/>
      <c r="L4414" s="18"/>
      <c r="M4414" s="23"/>
    </row>
    <row r="4415">
      <c r="A4415" s="11"/>
      <c r="B4415" s="12"/>
      <c r="C4415" s="13"/>
      <c r="E4415" s="6"/>
      <c r="F4415" s="7"/>
      <c r="H4415" s="11"/>
      <c r="J4415" s="18"/>
      <c r="L4415" s="18"/>
      <c r="M4415" s="23"/>
    </row>
    <row r="4416">
      <c r="A4416" s="11"/>
      <c r="B4416" s="12"/>
      <c r="C4416" s="13"/>
      <c r="E4416" s="6"/>
      <c r="F4416" s="7"/>
      <c r="H4416" s="11"/>
      <c r="J4416" s="18"/>
      <c r="L4416" s="18"/>
      <c r="M4416" s="23"/>
    </row>
    <row r="4417">
      <c r="A4417" s="11"/>
      <c r="B4417" s="12"/>
      <c r="C4417" s="13"/>
      <c r="E4417" s="6"/>
      <c r="F4417" s="7"/>
      <c r="H4417" s="11"/>
      <c r="J4417" s="18"/>
      <c r="L4417" s="18"/>
      <c r="M4417" s="23"/>
    </row>
    <row r="4418">
      <c r="A4418" s="11"/>
      <c r="B4418" s="12"/>
      <c r="C4418" s="13"/>
      <c r="E4418" s="6"/>
      <c r="F4418" s="7"/>
      <c r="H4418" s="11"/>
      <c r="J4418" s="18"/>
      <c r="L4418" s="18"/>
      <c r="M4418" s="23"/>
    </row>
    <row r="4419">
      <c r="A4419" s="11"/>
      <c r="B4419" s="12"/>
      <c r="C4419" s="13"/>
      <c r="E4419" s="6"/>
      <c r="F4419" s="7"/>
      <c r="H4419" s="11"/>
      <c r="J4419" s="18"/>
      <c r="L4419" s="18"/>
      <c r="M4419" s="23"/>
    </row>
    <row r="4420">
      <c r="A4420" s="11"/>
      <c r="B4420" s="12"/>
      <c r="C4420" s="13"/>
      <c r="E4420" s="6"/>
      <c r="F4420" s="7"/>
      <c r="H4420" s="11"/>
      <c r="J4420" s="18"/>
      <c r="L4420" s="18"/>
      <c r="M4420" s="23"/>
    </row>
    <row r="4421">
      <c r="A4421" s="11"/>
      <c r="B4421" s="12"/>
      <c r="C4421" s="13"/>
      <c r="E4421" s="6"/>
      <c r="F4421" s="7"/>
      <c r="H4421" s="11"/>
      <c r="J4421" s="18"/>
      <c r="L4421" s="18"/>
      <c r="M4421" s="23"/>
    </row>
    <row r="4422">
      <c r="A4422" s="11"/>
      <c r="B4422" s="12"/>
      <c r="C4422" s="13"/>
      <c r="E4422" s="6"/>
      <c r="F4422" s="7"/>
      <c r="H4422" s="11"/>
      <c r="J4422" s="18"/>
      <c r="L4422" s="18"/>
      <c r="M4422" s="23"/>
    </row>
    <row r="4423">
      <c r="A4423" s="11"/>
      <c r="B4423" s="12"/>
      <c r="C4423" s="13"/>
      <c r="E4423" s="6"/>
      <c r="F4423" s="7"/>
      <c r="H4423" s="11"/>
      <c r="J4423" s="18"/>
      <c r="L4423" s="18"/>
      <c r="M4423" s="23"/>
    </row>
    <row r="4424">
      <c r="A4424" s="11"/>
      <c r="B4424" s="12"/>
      <c r="C4424" s="13"/>
      <c r="E4424" s="6"/>
      <c r="F4424" s="7"/>
      <c r="H4424" s="11"/>
      <c r="J4424" s="18"/>
      <c r="L4424" s="18"/>
      <c r="M4424" s="23"/>
    </row>
    <row r="4425">
      <c r="A4425" s="11"/>
      <c r="B4425" s="12"/>
      <c r="C4425" s="13"/>
      <c r="E4425" s="6"/>
      <c r="F4425" s="7"/>
      <c r="H4425" s="11"/>
      <c r="J4425" s="18"/>
      <c r="L4425" s="18"/>
      <c r="M4425" s="23"/>
    </row>
    <row r="4426">
      <c r="A4426" s="11"/>
      <c r="B4426" s="12"/>
      <c r="C4426" s="13"/>
      <c r="E4426" s="6"/>
      <c r="F4426" s="7"/>
      <c r="H4426" s="11"/>
      <c r="J4426" s="18"/>
      <c r="L4426" s="18"/>
      <c r="M4426" s="23"/>
    </row>
    <row r="4427">
      <c r="A4427" s="11"/>
      <c r="B4427" s="12"/>
      <c r="C4427" s="13"/>
      <c r="E4427" s="6"/>
      <c r="F4427" s="7"/>
      <c r="H4427" s="11"/>
      <c r="J4427" s="18"/>
      <c r="L4427" s="18"/>
      <c r="M4427" s="23"/>
    </row>
    <row r="4428">
      <c r="A4428" s="11"/>
      <c r="B4428" s="12"/>
      <c r="C4428" s="13"/>
      <c r="E4428" s="6"/>
      <c r="F4428" s="7"/>
      <c r="H4428" s="11"/>
      <c r="J4428" s="18"/>
      <c r="L4428" s="18"/>
      <c r="M4428" s="23"/>
    </row>
    <row r="4429">
      <c r="A4429" s="11"/>
      <c r="B4429" s="12"/>
      <c r="C4429" s="13"/>
      <c r="E4429" s="6"/>
      <c r="F4429" s="7"/>
      <c r="H4429" s="11"/>
      <c r="J4429" s="18"/>
      <c r="L4429" s="18"/>
      <c r="M4429" s="23"/>
    </row>
    <row r="4430">
      <c r="A4430" s="11"/>
      <c r="B4430" s="12"/>
      <c r="C4430" s="13"/>
      <c r="E4430" s="6"/>
      <c r="F4430" s="7"/>
      <c r="H4430" s="11"/>
      <c r="J4430" s="18"/>
      <c r="L4430" s="18"/>
      <c r="M4430" s="23"/>
    </row>
    <row r="4431">
      <c r="A4431" s="11"/>
      <c r="B4431" s="12"/>
      <c r="C4431" s="13"/>
      <c r="E4431" s="6"/>
      <c r="F4431" s="7"/>
      <c r="H4431" s="11"/>
      <c r="J4431" s="18"/>
      <c r="L4431" s="18"/>
      <c r="M4431" s="23"/>
    </row>
    <row r="4432">
      <c r="A4432" s="11"/>
      <c r="B4432" s="12"/>
      <c r="C4432" s="13"/>
      <c r="E4432" s="6"/>
      <c r="F4432" s="7"/>
      <c r="H4432" s="11"/>
      <c r="J4432" s="18"/>
      <c r="L4432" s="18"/>
      <c r="M4432" s="23"/>
    </row>
    <row r="4433">
      <c r="A4433" s="11"/>
      <c r="B4433" s="12"/>
      <c r="C4433" s="13"/>
      <c r="E4433" s="6"/>
      <c r="F4433" s="7"/>
      <c r="H4433" s="11"/>
      <c r="J4433" s="18"/>
      <c r="L4433" s="18"/>
      <c r="M4433" s="23"/>
    </row>
    <row r="4434">
      <c r="A4434" s="11"/>
      <c r="B4434" s="12"/>
      <c r="C4434" s="13"/>
      <c r="E4434" s="6"/>
      <c r="F4434" s="7"/>
      <c r="H4434" s="11"/>
      <c r="J4434" s="18"/>
      <c r="L4434" s="18"/>
      <c r="M4434" s="23"/>
    </row>
    <row r="4435">
      <c r="A4435" s="11"/>
      <c r="B4435" s="12"/>
      <c r="C4435" s="13"/>
      <c r="E4435" s="6"/>
      <c r="F4435" s="7"/>
      <c r="H4435" s="11"/>
      <c r="J4435" s="18"/>
      <c r="L4435" s="18"/>
      <c r="M4435" s="23"/>
    </row>
    <row r="4436">
      <c r="A4436" s="11"/>
      <c r="B4436" s="12"/>
      <c r="C4436" s="13"/>
      <c r="E4436" s="6"/>
      <c r="F4436" s="7"/>
      <c r="H4436" s="11"/>
      <c r="J4436" s="18"/>
      <c r="L4436" s="18"/>
      <c r="M4436" s="23"/>
    </row>
    <row r="4437">
      <c r="A4437" s="11"/>
      <c r="B4437" s="12"/>
      <c r="C4437" s="13"/>
      <c r="E4437" s="6"/>
      <c r="F4437" s="7"/>
      <c r="H4437" s="11"/>
      <c r="J4437" s="18"/>
      <c r="L4437" s="18"/>
      <c r="M4437" s="23"/>
    </row>
    <row r="4438">
      <c r="A4438" s="11"/>
      <c r="B4438" s="12"/>
      <c r="C4438" s="13"/>
      <c r="E4438" s="6"/>
      <c r="F4438" s="7"/>
      <c r="H4438" s="11"/>
      <c r="J4438" s="18"/>
      <c r="L4438" s="18"/>
      <c r="M4438" s="23"/>
    </row>
    <row r="4439">
      <c r="A4439" s="11"/>
      <c r="B4439" s="12"/>
      <c r="C4439" s="13"/>
      <c r="E4439" s="6"/>
      <c r="F4439" s="7"/>
      <c r="H4439" s="11"/>
      <c r="J4439" s="18"/>
      <c r="L4439" s="18"/>
      <c r="M4439" s="23"/>
    </row>
    <row r="4440">
      <c r="A4440" s="11"/>
      <c r="B4440" s="12"/>
      <c r="C4440" s="13"/>
      <c r="E4440" s="6"/>
      <c r="F4440" s="7"/>
      <c r="H4440" s="11"/>
      <c r="J4440" s="18"/>
      <c r="L4440" s="18"/>
      <c r="M4440" s="23"/>
    </row>
    <row r="4441">
      <c r="A4441" s="11"/>
      <c r="B4441" s="12"/>
      <c r="C4441" s="13"/>
      <c r="E4441" s="6"/>
      <c r="F4441" s="7"/>
      <c r="H4441" s="11"/>
      <c r="J4441" s="18"/>
      <c r="L4441" s="18"/>
      <c r="M4441" s="23"/>
    </row>
    <row r="4442">
      <c r="A4442" s="11"/>
      <c r="B4442" s="12"/>
      <c r="C4442" s="13"/>
      <c r="E4442" s="6"/>
      <c r="F4442" s="7"/>
      <c r="H4442" s="11"/>
      <c r="J4442" s="18"/>
      <c r="L4442" s="18"/>
      <c r="M4442" s="23"/>
    </row>
    <row r="4443">
      <c r="A4443" s="11"/>
      <c r="B4443" s="12"/>
      <c r="C4443" s="13"/>
      <c r="E4443" s="6"/>
      <c r="F4443" s="7"/>
      <c r="H4443" s="11"/>
      <c r="J4443" s="18"/>
      <c r="L4443" s="18"/>
      <c r="M4443" s="23"/>
    </row>
    <row r="4444">
      <c r="A4444" s="11"/>
      <c r="B4444" s="12"/>
      <c r="C4444" s="13"/>
      <c r="E4444" s="6"/>
      <c r="F4444" s="7"/>
      <c r="H4444" s="11"/>
      <c r="J4444" s="18"/>
      <c r="L4444" s="18"/>
      <c r="M4444" s="23"/>
    </row>
    <row r="4445">
      <c r="A4445" s="11"/>
      <c r="B4445" s="12"/>
      <c r="C4445" s="13"/>
      <c r="E4445" s="6"/>
      <c r="F4445" s="7"/>
      <c r="H4445" s="11"/>
      <c r="J4445" s="18"/>
      <c r="L4445" s="18"/>
      <c r="M4445" s="23"/>
    </row>
    <row r="4446">
      <c r="A4446" s="11"/>
      <c r="B4446" s="12"/>
      <c r="C4446" s="13"/>
      <c r="E4446" s="6"/>
      <c r="F4446" s="7"/>
      <c r="H4446" s="11"/>
      <c r="J4446" s="18"/>
      <c r="L4446" s="18"/>
      <c r="M4446" s="23"/>
    </row>
    <row r="4447">
      <c r="A4447" s="11"/>
      <c r="B4447" s="12"/>
      <c r="C4447" s="13"/>
      <c r="E4447" s="6"/>
      <c r="F4447" s="7"/>
      <c r="H4447" s="11"/>
      <c r="J4447" s="18"/>
      <c r="L4447" s="18"/>
      <c r="M4447" s="23"/>
    </row>
    <row r="4448">
      <c r="A4448" s="11"/>
      <c r="B4448" s="12"/>
      <c r="C4448" s="13"/>
      <c r="E4448" s="6"/>
      <c r="F4448" s="7"/>
      <c r="H4448" s="11"/>
      <c r="J4448" s="18"/>
      <c r="L4448" s="18"/>
      <c r="M4448" s="23"/>
    </row>
    <row r="4449">
      <c r="A4449" s="11"/>
      <c r="B4449" s="12"/>
      <c r="C4449" s="13"/>
      <c r="E4449" s="6"/>
      <c r="F4449" s="7"/>
      <c r="H4449" s="11"/>
      <c r="J4449" s="18"/>
      <c r="L4449" s="18"/>
      <c r="M4449" s="23"/>
    </row>
    <row r="4450">
      <c r="A4450" s="11"/>
      <c r="B4450" s="12"/>
      <c r="C4450" s="13"/>
      <c r="E4450" s="6"/>
      <c r="F4450" s="7"/>
      <c r="H4450" s="11"/>
      <c r="J4450" s="18"/>
      <c r="L4450" s="18"/>
      <c r="M4450" s="23"/>
    </row>
    <row r="4451">
      <c r="A4451" s="11"/>
      <c r="B4451" s="12"/>
      <c r="C4451" s="13"/>
      <c r="E4451" s="6"/>
      <c r="F4451" s="7"/>
      <c r="H4451" s="11"/>
      <c r="J4451" s="18"/>
      <c r="L4451" s="18"/>
      <c r="M4451" s="23"/>
    </row>
    <row r="4452">
      <c r="A4452" s="11"/>
      <c r="B4452" s="12"/>
      <c r="C4452" s="13"/>
      <c r="E4452" s="6"/>
      <c r="F4452" s="7"/>
      <c r="H4452" s="11"/>
      <c r="J4452" s="18"/>
      <c r="L4452" s="18"/>
      <c r="M4452" s="23"/>
    </row>
    <row r="4453">
      <c r="A4453" s="11"/>
      <c r="B4453" s="12"/>
      <c r="C4453" s="13"/>
      <c r="E4453" s="6"/>
      <c r="F4453" s="7"/>
      <c r="H4453" s="11"/>
      <c r="J4453" s="18"/>
      <c r="L4453" s="18"/>
      <c r="M4453" s="23"/>
    </row>
    <row r="4454">
      <c r="A4454" s="11"/>
      <c r="B4454" s="12"/>
      <c r="C4454" s="13"/>
      <c r="E4454" s="6"/>
      <c r="F4454" s="7"/>
      <c r="H4454" s="11"/>
      <c r="J4454" s="18"/>
      <c r="L4454" s="18"/>
      <c r="M4454" s="23"/>
    </row>
    <row r="4455">
      <c r="A4455" s="11"/>
      <c r="B4455" s="12"/>
      <c r="C4455" s="13"/>
      <c r="E4455" s="6"/>
      <c r="F4455" s="7"/>
      <c r="H4455" s="11"/>
      <c r="J4455" s="18"/>
      <c r="L4455" s="18"/>
      <c r="M4455" s="23"/>
    </row>
    <row r="4456">
      <c r="A4456" s="11"/>
      <c r="B4456" s="12"/>
      <c r="C4456" s="13"/>
      <c r="E4456" s="6"/>
      <c r="F4456" s="7"/>
      <c r="H4456" s="11"/>
      <c r="J4456" s="18"/>
      <c r="L4456" s="18"/>
      <c r="M4456" s="23"/>
    </row>
    <row r="4457">
      <c r="A4457" s="11"/>
      <c r="B4457" s="12"/>
      <c r="C4457" s="13"/>
      <c r="E4457" s="6"/>
      <c r="F4457" s="7"/>
      <c r="H4457" s="11"/>
      <c r="J4457" s="18"/>
      <c r="L4457" s="18"/>
      <c r="M4457" s="23"/>
    </row>
    <row r="4458">
      <c r="A4458" s="11"/>
      <c r="B4458" s="12"/>
      <c r="C4458" s="13"/>
      <c r="E4458" s="6"/>
      <c r="F4458" s="7"/>
      <c r="H4458" s="11"/>
      <c r="J4458" s="18"/>
      <c r="L4458" s="18"/>
      <c r="M4458" s="23"/>
    </row>
    <row r="4459">
      <c r="A4459" s="11"/>
      <c r="B4459" s="12"/>
      <c r="C4459" s="13"/>
      <c r="E4459" s="6"/>
      <c r="F4459" s="7"/>
      <c r="H4459" s="11"/>
      <c r="J4459" s="18"/>
      <c r="L4459" s="18"/>
      <c r="M4459" s="23"/>
    </row>
    <row r="4460">
      <c r="A4460" s="11"/>
      <c r="B4460" s="12"/>
      <c r="C4460" s="13"/>
      <c r="E4460" s="6"/>
      <c r="F4460" s="7"/>
      <c r="H4460" s="11"/>
      <c r="J4460" s="18"/>
      <c r="L4460" s="18"/>
      <c r="M4460" s="23"/>
    </row>
    <row r="4461">
      <c r="A4461" s="11"/>
      <c r="B4461" s="12"/>
      <c r="C4461" s="13"/>
      <c r="E4461" s="6"/>
      <c r="F4461" s="7"/>
      <c r="H4461" s="11"/>
      <c r="J4461" s="18"/>
      <c r="L4461" s="18"/>
      <c r="M4461" s="23"/>
    </row>
    <row r="4462">
      <c r="A4462" s="11"/>
      <c r="B4462" s="12"/>
      <c r="C4462" s="13"/>
      <c r="E4462" s="6"/>
      <c r="F4462" s="7"/>
      <c r="H4462" s="11"/>
      <c r="J4462" s="18"/>
      <c r="L4462" s="18"/>
      <c r="M4462" s="23"/>
    </row>
    <row r="4463">
      <c r="A4463" s="11"/>
      <c r="B4463" s="12"/>
      <c r="C4463" s="13"/>
      <c r="E4463" s="6"/>
      <c r="F4463" s="7"/>
      <c r="H4463" s="11"/>
      <c r="J4463" s="18"/>
      <c r="L4463" s="18"/>
      <c r="M4463" s="23"/>
    </row>
    <row r="4464">
      <c r="A4464" s="11"/>
      <c r="B4464" s="12"/>
      <c r="C4464" s="13"/>
      <c r="E4464" s="6"/>
      <c r="F4464" s="7"/>
      <c r="H4464" s="11"/>
      <c r="J4464" s="18"/>
      <c r="L4464" s="18"/>
      <c r="M4464" s="23"/>
    </row>
    <row r="4465">
      <c r="A4465" s="11"/>
      <c r="B4465" s="12"/>
      <c r="C4465" s="13"/>
      <c r="E4465" s="6"/>
      <c r="F4465" s="7"/>
      <c r="H4465" s="11"/>
      <c r="J4465" s="18"/>
      <c r="L4465" s="18"/>
      <c r="M4465" s="23"/>
    </row>
    <row r="4466">
      <c r="A4466" s="11"/>
      <c r="B4466" s="12"/>
      <c r="C4466" s="13"/>
      <c r="E4466" s="6"/>
      <c r="F4466" s="7"/>
      <c r="H4466" s="11"/>
      <c r="J4466" s="18"/>
      <c r="L4466" s="18"/>
      <c r="M4466" s="23"/>
    </row>
    <row r="4467">
      <c r="A4467" s="11"/>
      <c r="B4467" s="12"/>
      <c r="C4467" s="13"/>
      <c r="E4467" s="6"/>
      <c r="F4467" s="7"/>
      <c r="H4467" s="11"/>
      <c r="J4467" s="18"/>
      <c r="L4467" s="18"/>
      <c r="M4467" s="23"/>
    </row>
    <row r="4468">
      <c r="A4468" s="11"/>
      <c r="B4468" s="12"/>
      <c r="C4468" s="13"/>
      <c r="E4468" s="6"/>
      <c r="F4468" s="7"/>
      <c r="H4468" s="11"/>
      <c r="J4468" s="18"/>
      <c r="L4468" s="18"/>
      <c r="M4468" s="23"/>
    </row>
    <row r="4469">
      <c r="A4469" s="11"/>
      <c r="B4469" s="12"/>
      <c r="C4469" s="13"/>
      <c r="E4469" s="6"/>
      <c r="F4469" s="7"/>
      <c r="H4469" s="11"/>
      <c r="J4469" s="18"/>
      <c r="L4469" s="18"/>
      <c r="M4469" s="23"/>
    </row>
    <row r="4470">
      <c r="A4470" s="11"/>
      <c r="B4470" s="12"/>
      <c r="C4470" s="13"/>
      <c r="E4470" s="6"/>
      <c r="F4470" s="7"/>
      <c r="H4470" s="11"/>
      <c r="J4470" s="18"/>
      <c r="L4470" s="18"/>
      <c r="M4470" s="23"/>
    </row>
    <row r="4471">
      <c r="A4471" s="11"/>
      <c r="B4471" s="12"/>
      <c r="C4471" s="13"/>
      <c r="E4471" s="6"/>
      <c r="F4471" s="7"/>
      <c r="H4471" s="11"/>
      <c r="J4471" s="18"/>
      <c r="L4471" s="18"/>
      <c r="M4471" s="23"/>
    </row>
    <row r="4472">
      <c r="A4472" s="11"/>
      <c r="B4472" s="12"/>
      <c r="C4472" s="13"/>
      <c r="E4472" s="6"/>
      <c r="F4472" s="7"/>
      <c r="H4472" s="11"/>
      <c r="J4472" s="18"/>
      <c r="L4472" s="18"/>
      <c r="M4472" s="23"/>
    </row>
    <row r="4473">
      <c r="A4473" s="11"/>
      <c r="B4473" s="12"/>
      <c r="C4473" s="13"/>
      <c r="E4473" s="6"/>
      <c r="F4473" s="7"/>
      <c r="H4473" s="11"/>
      <c r="J4473" s="18"/>
      <c r="L4473" s="18"/>
      <c r="M4473" s="23"/>
    </row>
    <row r="4474">
      <c r="A4474" s="11"/>
      <c r="B4474" s="12"/>
      <c r="C4474" s="13"/>
      <c r="E4474" s="6"/>
      <c r="F4474" s="7"/>
      <c r="H4474" s="11"/>
      <c r="J4474" s="18"/>
      <c r="L4474" s="18"/>
      <c r="M4474" s="23"/>
    </row>
    <row r="4475">
      <c r="A4475" s="11"/>
      <c r="B4475" s="12"/>
      <c r="C4475" s="13"/>
      <c r="E4475" s="6"/>
      <c r="F4475" s="7"/>
      <c r="H4475" s="11"/>
      <c r="J4475" s="18"/>
      <c r="L4475" s="18"/>
      <c r="M4475" s="23"/>
    </row>
    <row r="4476">
      <c r="A4476" s="11"/>
      <c r="B4476" s="12"/>
      <c r="C4476" s="13"/>
      <c r="E4476" s="6"/>
      <c r="F4476" s="7"/>
      <c r="H4476" s="11"/>
      <c r="J4476" s="18"/>
      <c r="L4476" s="18"/>
      <c r="M4476" s="23"/>
    </row>
    <row r="4477">
      <c r="A4477" s="11"/>
      <c r="B4477" s="12"/>
      <c r="C4477" s="13"/>
      <c r="E4477" s="6"/>
      <c r="F4477" s="7"/>
      <c r="H4477" s="11"/>
      <c r="J4477" s="18"/>
      <c r="L4477" s="18"/>
      <c r="M4477" s="23"/>
    </row>
    <row r="4478">
      <c r="A4478" s="11"/>
      <c r="B4478" s="12"/>
      <c r="C4478" s="13"/>
      <c r="E4478" s="6"/>
      <c r="F4478" s="7"/>
      <c r="H4478" s="11"/>
      <c r="J4478" s="18"/>
      <c r="L4478" s="18"/>
      <c r="M4478" s="23"/>
    </row>
    <row r="4479">
      <c r="A4479" s="11"/>
      <c r="B4479" s="12"/>
      <c r="C4479" s="13"/>
      <c r="E4479" s="6"/>
      <c r="F4479" s="7"/>
      <c r="H4479" s="11"/>
      <c r="J4479" s="18"/>
      <c r="L4479" s="18"/>
      <c r="M4479" s="23"/>
    </row>
    <row r="4480">
      <c r="A4480" s="11"/>
      <c r="B4480" s="12"/>
      <c r="C4480" s="13"/>
      <c r="E4480" s="6"/>
      <c r="F4480" s="7"/>
      <c r="H4480" s="11"/>
      <c r="J4480" s="18"/>
      <c r="L4480" s="18"/>
      <c r="M4480" s="23"/>
    </row>
    <row r="4481">
      <c r="A4481" s="11"/>
      <c r="B4481" s="12"/>
      <c r="C4481" s="13"/>
      <c r="E4481" s="6"/>
      <c r="F4481" s="7"/>
      <c r="H4481" s="11"/>
      <c r="J4481" s="18"/>
      <c r="L4481" s="18"/>
      <c r="M4481" s="23"/>
    </row>
    <row r="4482">
      <c r="A4482" s="11"/>
      <c r="B4482" s="12"/>
      <c r="C4482" s="13"/>
      <c r="E4482" s="6"/>
      <c r="F4482" s="7"/>
      <c r="H4482" s="11"/>
      <c r="J4482" s="18"/>
      <c r="L4482" s="18"/>
      <c r="M4482" s="23"/>
    </row>
    <row r="4483">
      <c r="A4483" s="11"/>
      <c r="B4483" s="12"/>
      <c r="C4483" s="13"/>
      <c r="E4483" s="6"/>
      <c r="F4483" s="7"/>
      <c r="H4483" s="11"/>
      <c r="J4483" s="18"/>
      <c r="L4483" s="18"/>
      <c r="M4483" s="23"/>
    </row>
    <row r="4484">
      <c r="A4484" s="11"/>
      <c r="B4484" s="12"/>
      <c r="C4484" s="13"/>
      <c r="E4484" s="6"/>
      <c r="F4484" s="7"/>
      <c r="H4484" s="11"/>
      <c r="J4484" s="18"/>
      <c r="L4484" s="18"/>
      <c r="M4484" s="23"/>
    </row>
    <row r="4485">
      <c r="A4485" s="11"/>
      <c r="B4485" s="12"/>
      <c r="C4485" s="13"/>
      <c r="E4485" s="6"/>
      <c r="F4485" s="7"/>
      <c r="H4485" s="11"/>
      <c r="J4485" s="18"/>
      <c r="L4485" s="18"/>
      <c r="M4485" s="23"/>
    </row>
    <row r="4486">
      <c r="A4486" s="11"/>
      <c r="B4486" s="12"/>
      <c r="C4486" s="13"/>
      <c r="E4486" s="6"/>
      <c r="F4486" s="7"/>
      <c r="H4486" s="11"/>
      <c r="J4486" s="18"/>
      <c r="L4486" s="18"/>
      <c r="M4486" s="23"/>
    </row>
    <row r="4487">
      <c r="A4487" s="11"/>
      <c r="B4487" s="12"/>
      <c r="C4487" s="13"/>
      <c r="E4487" s="6"/>
      <c r="F4487" s="7"/>
      <c r="H4487" s="11"/>
      <c r="J4487" s="18"/>
      <c r="L4487" s="18"/>
      <c r="M4487" s="23"/>
    </row>
    <row r="4488">
      <c r="A4488" s="11"/>
      <c r="B4488" s="12"/>
      <c r="C4488" s="13"/>
      <c r="E4488" s="6"/>
      <c r="F4488" s="7"/>
      <c r="H4488" s="11"/>
      <c r="J4488" s="18"/>
      <c r="L4488" s="18"/>
      <c r="M4488" s="23"/>
    </row>
    <row r="4489">
      <c r="A4489" s="11"/>
      <c r="B4489" s="12"/>
      <c r="C4489" s="13"/>
      <c r="E4489" s="6"/>
      <c r="F4489" s="7"/>
      <c r="H4489" s="11"/>
      <c r="J4489" s="18"/>
      <c r="L4489" s="18"/>
      <c r="M4489" s="23"/>
    </row>
    <row r="4490">
      <c r="A4490" s="11"/>
      <c r="B4490" s="12"/>
      <c r="C4490" s="13"/>
      <c r="E4490" s="6"/>
      <c r="F4490" s="7"/>
      <c r="H4490" s="11"/>
      <c r="J4490" s="18"/>
      <c r="L4490" s="18"/>
      <c r="M4490" s="23"/>
    </row>
    <row r="4491">
      <c r="A4491" s="11"/>
      <c r="B4491" s="12"/>
      <c r="C4491" s="13"/>
      <c r="E4491" s="6"/>
      <c r="F4491" s="7"/>
      <c r="H4491" s="11"/>
      <c r="J4491" s="18"/>
      <c r="L4491" s="18"/>
      <c r="M4491" s="23"/>
    </row>
    <row r="4492">
      <c r="A4492" s="11"/>
      <c r="B4492" s="12"/>
      <c r="C4492" s="13"/>
      <c r="E4492" s="6"/>
      <c r="F4492" s="7"/>
      <c r="H4492" s="11"/>
      <c r="J4492" s="18"/>
      <c r="L4492" s="18"/>
      <c r="M4492" s="23"/>
    </row>
    <row r="4493">
      <c r="A4493" s="11"/>
      <c r="B4493" s="12"/>
      <c r="C4493" s="13"/>
      <c r="E4493" s="6"/>
      <c r="F4493" s="7"/>
      <c r="H4493" s="11"/>
      <c r="J4493" s="18"/>
      <c r="L4493" s="18"/>
      <c r="M4493" s="23"/>
    </row>
    <row r="4494">
      <c r="A4494" s="11"/>
      <c r="B4494" s="12"/>
      <c r="C4494" s="13"/>
      <c r="E4494" s="6"/>
      <c r="F4494" s="7"/>
      <c r="H4494" s="11"/>
      <c r="J4494" s="18"/>
      <c r="L4494" s="18"/>
      <c r="M4494" s="23"/>
    </row>
    <row r="4495">
      <c r="A4495" s="11"/>
      <c r="B4495" s="12"/>
      <c r="C4495" s="13"/>
      <c r="E4495" s="6"/>
      <c r="F4495" s="7"/>
      <c r="H4495" s="11"/>
      <c r="J4495" s="18"/>
      <c r="L4495" s="18"/>
      <c r="M4495" s="23"/>
    </row>
    <row r="4496">
      <c r="A4496" s="11"/>
      <c r="B4496" s="12"/>
      <c r="C4496" s="13"/>
      <c r="E4496" s="6"/>
      <c r="F4496" s="7"/>
      <c r="H4496" s="11"/>
      <c r="J4496" s="18"/>
      <c r="L4496" s="18"/>
      <c r="M4496" s="23"/>
    </row>
    <row r="4497">
      <c r="A4497" s="11"/>
      <c r="B4497" s="12"/>
      <c r="C4497" s="13"/>
      <c r="E4497" s="6"/>
      <c r="F4497" s="7"/>
      <c r="H4497" s="11"/>
      <c r="J4497" s="18"/>
      <c r="L4497" s="18"/>
      <c r="M4497" s="23"/>
    </row>
    <row r="4498">
      <c r="A4498" s="11"/>
      <c r="B4498" s="12"/>
      <c r="C4498" s="13"/>
      <c r="E4498" s="6"/>
      <c r="F4498" s="7"/>
      <c r="H4498" s="11"/>
      <c r="J4498" s="18"/>
      <c r="L4498" s="18"/>
      <c r="M4498" s="23"/>
    </row>
    <row r="4499">
      <c r="A4499" s="11"/>
      <c r="B4499" s="12"/>
      <c r="C4499" s="13"/>
      <c r="E4499" s="6"/>
      <c r="F4499" s="7"/>
      <c r="H4499" s="11"/>
      <c r="J4499" s="18"/>
      <c r="L4499" s="18"/>
      <c r="M4499" s="23"/>
    </row>
    <row r="4500">
      <c r="A4500" s="11"/>
      <c r="B4500" s="12"/>
      <c r="C4500" s="13"/>
      <c r="E4500" s="6"/>
      <c r="F4500" s="7"/>
      <c r="H4500" s="11"/>
      <c r="J4500" s="18"/>
      <c r="L4500" s="18"/>
      <c r="M4500" s="23"/>
    </row>
    <row r="4501">
      <c r="A4501" s="11"/>
      <c r="B4501" s="12"/>
      <c r="C4501" s="13"/>
      <c r="E4501" s="6"/>
      <c r="F4501" s="7"/>
      <c r="H4501" s="11"/>
      <c r="J4501" s="18"/>
      <c r="L4501" s="18"/>
      <c r="M4501" s="23"/>
    </row>
    <row r="4502">
      <c r="A4502" s="11"/>
      <c r="B4502" s="12"/>
      <c r="C4502" s="13"/>
      <c r="E4502" s="6"/>
      <c r="F4502" s="7"/>
      <c r="H4502" s="11"/>
      <c r="J4502" s="18"/>
      <c r="L4502" s="18"/>
      <c r="M4502" s="23"/>
    </row>
    <row r="4503">
      <c r="A4503" s="11"/>
      <c r="B4503" s="12"/>
      <c r="C4503" s="13"/>
      <c r="E4503" s="6"/>
      <c r="F4503" s="7"/>
      <c r="H4503" s="11"/>
      <c r="J4503" s="18"/>
      <c r="L4503" s="18"/>
      <c r="M4503" s="23"/>
    </row>
    <row r="4504">
      <c r="A4504" s="11"/>
      <c r="B4504" s="12"/>
      <c r="C4504" s="13"/>
      <c r="E4504" s="6"/>
      <c r="F4504" s="7"/>
      <c r="H4504" s="11"/>
      <c r="J4504" s="18"/>
      <c r="L4504" s="18"/>
      <c r="M4504" s="23"/>
    </row>
    <row r="4505">
      <c r="A4505" s="11"/>
      <c r="B4505" s="12"/>
      <c r="C4505" s="13"/>
      <c r="E4505" s="6"/>
      <c r="F4505" s="7"/>
      <c r="H4505" s="11"/>
      <c r="J4505" s="18"/>
      <c r="L4505" s="18"/>
      <c r="M4505" s="23"/>
    </row>
    <row r="4506">
      <c r="A4506" s="11"/>
      <c r="B4506" s="12"/>
      <c r="C4506" s="13"/>
      <c r="E4506" s="6"/>
      <c r="F4506" s="7"/>
      <c r="H4506" s="11"/>
      <c r="J4506" s="18"/>
      <c r="L4506" s="18"/>
      <c r="M4506" s="23"/>
    </row>
    <row r="4507">
      <c r="A4507" s="11"/>
      <c r="B4507" s="12"/>
      <c r="C4507" s="13"/>
      <c r="E4507" s="6"/>
      <c r="F4507" s="7"/>
      <c r="H4507" s="11"/>
      <c r="J4507" s="18"/>
      <c r="L4507" s="18"/>
      <c r="M4507" s="23"/>
    </row>
    <row r="4508">
      <c r="A4508" s="11"/>
      <c r="B4508" s="12"/>
      <c r="C4508" s="13"/>
      <c r="E4508" s="6"/>
      <c r="F4508" s="7"/>
      <c r="H4508" s="11"/>
      <c r="J4508" s="18"/>
      <c r="L4508" s="18"/>
      <c r="M4508" s="23"/>
    </row>
    <row r="4509">
      <c r="A4509" s="11"/>
      <c r="B4509" s="12"/>
      <c r="C4509" s="13"/>
      <c r="E4509" s="6"/>
      <c r="F4509" s="7"/>
      <c r="H4509" s="11"/>
      <c r="J4509" s="18"/>
      <c r="L4509" s="18"/>
      <c r="M4509" s="23"/>
    </row>
    <row r="4510">
      <c r="A4510" s="11"/>
      <c r="B4510" s="12"/>
      <c r="C4510" s="13"/>
      <c r="E4510" s="6"/>
      <c r="F4510" s="7"/>
      <c r="H4510" s="11"/>
      <c r="J4510" s="18"/>
      <c r="L4510" s="18"/>
      <c r="M4510" s="23"/>
    </row>
    <row r="4511">
      <c r="A4511" s="11"/>
      <c r="B4511" s="12"/>
      <c r="C4511" s="13"/>
      <c r="E4511" s="6"/>
      <c r="F4511" s="7"/>
      <c r="H4511" s="11"/>
      <c r="J4511" s="18"/>
      <c r="L4511" s="18"/>
      <c r="M4511" s="23"/>
    </row>
    <row r="4512">
      <c r="A4512" s="11"/>
      <c r="B4512" s="12"/>
      <c r="C4512" s="13"/>
      <c r="E4512" s="6"/>
      <c r="F4512" s="7"/>
      <c r="H4512" s="11"/>
      <c r="J4512" s="18"/>
      <c r="L4512" s="18"/>
      <c r="M4512" s="23"/>
    </row>
    <row r="4513">
      <c r="A4513" s="11"/>
      <c r="B4513" s="12"/>
      <c r="C4513" s="13"/>
      <c r="E4513" s="6"/>
      <c r="F4513" s="7"/>
      <c r="H4513" s="11"/>
      <c r="J4513" s="18"/>
      <c r="L4513" s="18"/>
      <c r="M4513" s="23"/>
    </row>
    <row r="4514">
      <c r="A4514" s="11"/>
      <c r="B4514" s="12"/>
      <c r="C4514" s="13"/>
      <c r="E4514" s="6"/>
      <c r="F4514" s="7"/>
      <c r="H4514" s="11"/>
      <c r="J4514" s="18"/>
      <c r="L4514" s="18"/>
      <c r="M4514" s="23"/>
    </row>
    <row r="4515">
      <c r="A4515" s="11"/>
      <c r="B4515" s="12"/>
      <c r="C4515" s="13"/>
      <c r="E4515" s="6"/>
      <c r="F4515" s="7"/>
      <c r="H4515" s="11"/>
      <c r="J4515" s="18"/>
      <c r="L4515" s="18"/>
      <c r="M4515" s="23"/>
    </row>
    <row r="4516">
      <c r="A4516" s="11"/>
      <c r="B4516" s="12"/>
      <c r="C4516" s="13"/>
      <c r="E4516" s="6"/>
      <c r="F4516" s="7"/>
      <c r="H4516" s="11"/>
      <c r="J4516" s="18"/>
      <c r="L4516" s="18"/>
      <c r="M4516" s="23"/>
    </row>
    <row r="4517">
      <c r="A4517" s="11"/>
      <c r="B4517" s="12"/>
      <c r="C4517" s="13"/>
      <c r="E4517" s="6"/>
      <c r="F4517" s="7"/>
      <c r="H4517" s="11"/>
      <c r="J4517" s="18"/>
      <c r="L4517" s="18"/>
      <c r="M4517" s="23"/>
    </row>
    <row r="4518">
      <c r="A4518" s="11"/>
      <c r="B4518" s="12"/>
      <c r="C4518" s="13"/>
      <c r="E4518" s="6"/>
      <c r="F4518" s="7"/>
      <c r="H4518" s="11"/>
      <c r="J4518" s="18"/>
      <c r="L4518" s="18"/>
      <c r="M4518" s="23"/>
    </row>
    <row r="4519">
      <c r="A4519" s="11"/>
      <c r="B4519" s="12"/>
      <c r="C4519" s="13"/>
      <c r="E4519" s="6"/>
      <c r="F4519" s="7"/>
      <c r="H4519" s="11"/>
      <c r="J4519" s="18"/>
      <c r="L4519" s="18"/>
      <c r="M4519" s="23"/>
    </row>
    <row r="4520">
      <c r="A4520" s="11"/>
      <c r="B4520" s="12"/>
      <c r="C4520" s="13"/>
      <c r="E4520" s="6"/>
      <c r="F4520" s="7"/>
      <c r="H4520" s="11"/>
      <c r="J4520" s="18"/>
      <c r="L4520" s="18"/>
      <c r="M4520" s="23"/>
    </row>
    <row r="4521">
      <c r="A4521" s="11"/>
      <c r="B4521" s="12"/>
      <c r="C4521" s="13"/>
      <c r="E4521" s="6"/>
      <c r="F4521" s="7"/>
      <c r="H4521" s="11"/>
      <c r="J4521" s="18"/>
      <c r="L4521" s="18"/>
      <c r="M4521" s="23"/>
    </row>
    <row r="4522">
      <c r="A4522" s="11"/>
      <c r="B4522" s="12"/>
      <c r="C4522" s="13"/>
      <c r="E4522" s="6"/>
      <c r="F4522" s="7"/>
      <c r="H4522" s="11"/>
      <c r="J4522" s="18"/>
      <c r="L4522" s="18"/>
      <c r="M4522" s="23"/>
    </row>
    <row r="4523">
      <c r="A4523" s="11"/>
      <c r="B4523" s="12"/>
      <c r="C4523" s="13"/>
      <c r="E4523" s="6"/>
      <c r="F4523" s="7"/>
      <c r="H4523" s="11"/>
      <c r="J4523" s="18"/>
      <c r="L4523" s="18"/>
      <c r="M4523" s="23"/>
    </row>
    <row r="4524">
      <c r="A4524" s="11"/>
      <c r="B4524" s="12"/>
      <c r="C4524" s="13"/>
      <c r="E4524" s="6"/>
      <c r="F4524" s="7"/>
      <c r="H4524" s="11"/>
      <c r="J4524" s="18"/>
      <c r="L4524" s="18"/>
      <c r="M4524" s="23"/>
    </row>
    <row r="4525">
      <c r="A4525" s="11"/>
      <c r="B4525" s="12"/>
      <c r="C4525" s="13"/>
      <c r="E4525" s="6"/>
      <c r="F4525" s="7"/>
      <c r="H4525" s="11"/>
      <c r="J4525" s="18"/>
      <c r="L4525" s="18"/>
      <c r="M4525" s="23"/>
    </row>
    <row r="4526">
      <c r="A4526" s="11"/>
      <c r="B4526" s="12"/>
      <c r="C4526" s="13"/>
      <c r="E4526" s="6"/>
      <c r="F4526" s="7"/>
      <c r="H4526" s="11"/>
      <c r="J4526" s="18"/>
      <c r="L4526" s="18"/>
      <c r="M4526" s="23"/>
    </row>
    <row r="4527">
      <c r="A4527" s="11"/>
      <c r="B4527" s="12"/>
      <c r="C4527" s="13"/>
      <c r="E4527" s="6"/>
      <c r="F4527" s="7"/>
      <c r="H4527" s="11"/>
      <c r="J4527" s="18"/>
      <c r="L4527" s="18"/>
      <c r="M4527" s="23"/>
    </row>
    <row r="4528">
      <c r="A4528" s="11"/>
      <c r="B4528" s="12"/>
      <c r="C4528" s="13"/>
      <c r="E4528" s="6"/>
      <c r="F4528" s="7"/>
      <c r="H4528" s="11"/>
      <c r="J4528" s="18"/>
      <c r="L4528" s="18"/>
      <c r="M4528" s="23"/>
    </row>
    <row r="4529">
      <c r="A4529" s="11"/>
      <c r="B4529" s="12"/>
      <c r="C4529" s="13"/>
      <c r="E4529" s="6"/>
      <c r="F4529" s="7"/>
      <c r="H4529" s="11"/>
      <c r="J4529" s="18"/>
      <c r="L4529" s="18"/>
      <c r="M4529" s="23"/>
    </row>
    <row r="4530">
      <c r="A4530" s="11"/>
      <c r="B4530" s="12"/>
      <c r="C4530" s="13"/>
      <c r="E4530" s="6"/>
      <c r="F4530" s="7"/>
      <c r="H4530" s="11"/>
      <c r="J4530" s="18"/>
      <c r="L4530" s="18"/>
      <c r="M4530" s="23"/>
    </row>
    <row r="4531">
      <c r="A4531" s="11"/>
      <c r="B4531" s="12"/>
      <c r="C4531" s="13"/>
      <c r="E4531" s="6"/>
      <c r="F4531" s="7"/>
      <c r="H4531" s="11"/>
      <c r="J4531" s="18"/>
      <c r="L4531" s="18"/>
      <c r="M4531" s="23"/>
    </row>
    <row r="4532">
      <c r="A4532" s="11"/>
      <c r="B4532" s="12"/>
      <c r="C4532" s="13"/>
      <c r="E4532" s="6"/>
      <c r="F4532" s="7"/>
      <c r="H4532" s="11"/>
      <c r="J4532" s="18"/>
      <c r="L4532" s="18"/>
      <c r="M4532" s="23"/>
    </row>
    <row r="4533">
      <c r="A4533" s="11"/>
      <c r="B4533" s="12"/>
      <c r="C4533" s="13"/>
      <c r="E4533" s="6"/>
      <c r="F4533" s="7"/>
      <c r="H4533" s="11"/>
      <c r="J4533" s="18"/>
      <c r="L4533" s="18"/>
      <c r="M4533" s="23"/>
    </row>
    <row r="4534">
      <c r="A4534" s="11"/>
      <c r="B4534" s="12"/>
      <c r="C4534" s="13"/>
      <c r="E4534" s="6"/>
      <c r="F4534" s="7"/>
      <c r="H4534" s="11"/>
      <c r="J4534" s="18"/>
      <c r="L4534" s="18"/>
      <c r="M4534" s="23"/>
    </row>
    <row r="4535">
      <c r="A4535" s="11"/>
      <c r="B4535" s="12"/>
      <c r="C4535" s="13"/>
      <c r="E4535" s="6"/>
      <c r="F4535" s="7"/>
      <c r="H4535" s="11"/>
      <c r="J4535" s="18"/>
      <c r="L4535" s="18"/>
      <c r="M4535" s="23"/>
    </row>
    <row r="4536">
      <c r="A4536" s="11"/>
      <c r="B4536" s="12"/>
      <c r="C4536" s="13"/>
      <c r="E4536" s="6"/>
      <c r="F4536" s="7"/>
      <c r="H4536" s="11"/>
      <c r="J4536" s="18"/>
      <c r="L4536" s="18"/>
      <c r="M4536" s="23"/>
    </row>
    <row r="4537">
      <c r="A4537" s="11"/>
      <c r="B4537" s="12"/>
      <c r="C4537" s="13"/>
      <c r="E4537" s="6"/>
      <c r="F4537" s="7"/>
      <c r="H4537" s="11"/>
      <c r="J4537" s="18"/>
      <c r="L4537" s="18"/>
      <c r="M4537" s="23"/>
    </row>
    <row r="4538">
      <c r="A4538" s="11"/>
      <c r="B4538" s="12"/>
      <c r="C4538" s="13"/>
      <c r="E4538" s="6"/>
      <c r="F4538" s="7"/>
      <c r="H4538" s="11"/>
      <c r="J4538" s="18"/>
      <c r="L4538" s="18"/>
      <c r="M4538" s="23"/>
    </row>
    <row r="4539">
      <c r="A4539" s="11"/>
      <c r="B4539" s="12"/>
      <c r="C4539" s="13"/>
      <c r="E4539" s="6"/>
      <c r="F4539" s="7"/>
      <c r="H4539" s="11"/>
      <c r="J4539" s="18"/>
      <c r="L4539" s="18"/>
      <c r="M4539" s="23"/>
    </row>
    <row r="4540">
      <c r="A4540" s="11"/>
      <c r="B4540" s="12"/>
      <c r="C4540" s="13"/>
      <c r="E4540" s="6"/>
      <c r="F4540" s="7"/>
      <c r="H4540" s="11"/>
      <c r="J4540" s="18"/>
      <c r="L4540" s="18"/>
      <c r="M4540" s="23"/>
    </row>
    <row r="4541">
      <c r="A4541" s="11"/>
      <c r="B4541" s="12"/>
      <c r="C4541" s="13"/>
      <c r="E4541" s="6"/>
      <c r="F4541" s="7"/>
      <c r="H4541" s="11"/>
      <c r="J4541" s="18"/>
      <c r="L4541" s="18"/>
      <c r="M4541" s="23"/>
    </row>
    <row r="4542">
      <c r="A4542" s="11"/>
      <c r="B4542" s="12"/>
      <c r="C4542" s="13"/>
      <c r="E4542" s="6"/>
      <c r="F4542" s="7"/>
      <c r="H4542" s="11"/>
      <c r="J4542" s="18"/>
      <c r="L4542" s="18"/>
      <c r="M4542" s="23"/>
    </row>
    <row r="4543">
      <c r="A4543" s="11"/>
      <c r="B4543" s="12"/>
      <c r="C4543" s="13"/>
      <c r="E4543" s="6"/>
      <c r="F4543" s="7"/>
      <c r="H4543" s="11"/>
      <c r="J4543" s="18"/>
      <c r="L4543" s="18"/>
      <c r="M4543" s="23"/>
    </row>
    <row r="4544">
      <c r="A4544" s="11"/>
      <c r="B4544" s="12"/>
      <c r="C4544" s="13"/>
      <c r="E4544" s="6"/>
      <c r="F4544" s="7"/>
      <c r="H4544" s="11"/>
      <c r="J4544" s="18"/>
      <c r="L4544" s="18"/>
      <c r="M4544" s="23"/>
    </row>
    <row r="4545">
      <c r="A4545" s="11"/>
      <c r="B4545" s="12"/>
      <c r="C4545" s="13"/>
      <c r="E4545" s="6"/>
      <c r="F4545" s="7"/>
      <c r="H4545" s="11"/>
      <c r="J4545" s="18"/>
      <c r="L4545" s="18"/>
      <c r="M4545" s="23"/>
    </row>
    <row r="4546">
      <c r="A4546" s="11"/>
      <c r="B4546" s="12"/>
      <c r="C4546" s="13"/>
      <c r="E4546" s="6"/>
      <c r="F4546" s="7"/>
      <c r="H4546" s="11"/>
      <c r="J4546" s="18"/>
      <c r="L4546" s="18"/>
      <c r="M4546" s="23"/>
    </row>
    <row r="4547">
      <c r="A4547" s="11"/>
      <c r="B4547" s="12"/>
      <c r="C4547" s="13"/>
      <c r="E4547" s="6"/>
      <c r="F4547" s="7"/>
      <c r="H4547" s="11"/>
      <c r="J4547" s="18"/>
      <c r="L4547" s="18"/>
      <c r="M4547" s="23"/>
    </row>
    <row r="4548">
      <c r="A4548" s="11"/>
      <c r="B4548" s="12"/>
      <c r="C4548" s="13"/>
      <c r="E4548" s="6"/>
      <c r="F4548" s="7"/>
      <c r="H4548" s="11"/>
      <c r="J4548" s="18"/>
      <c r="L4548" s="18"/>
      <c r="M4548" s="23"/>
    </row>
    <row r="4549">
      <c r="A4549" s="11"/>
      <c r="B4549" s="12"/>
      <c r="C4549" s="13"/>
      <c r="E4549" s="6"/>
      <c r="F4549" s="7"/>
      <c r="H4549" s="11"/>
      <c r="J4549" s="18"/>
      <c r="L4549" s="18"/>
      <c r="M4549" s="23"/>
    </row>
    <row r="4550">
      <c r="A4550" s="11"/>
      <c r="B4550" s="12"/>
      <c r="C4550" s="13"/>
      <c r="E4550" s="6"/>
      <c r="F4550" s="7"/>
      <c r="H4550" s="11"/>
      <c r="J4550" s="18"/>
      <c r="L4550" s="18"/>
      <c r="M4550" s="23"/>
    </row>
    <row r="4551">
      <c r="A4551" s="11"/>
      <c r="B4551" s="12"/>
      <c r="C4551" s="13"/>
      <c r="E4551" s="6"/>
      <c r="F4551" s="7"/>
      <c r="H4551" s="11"/>
      <c r="J4551" s="18"/>
      <c r="L4551" s="18"/>
      <c r="M4551" s="23"/>
    </row>
    <row r="4552">
      <c r="A4552" s="11"/>
      <c r="B4552" s="12"/>
      <c r="C4552" s="13"/>
      <c r="E4552" s="6"/>
      <c r="F4552" s="7"/>
      <c r="H4552" s="11"/>
      <c r="J4552" s="18"/>
      <c r="L4552" s="18"/>
      <c r="M4552" s="23"/>
    </row>
    <row r="4553">
      <c r="A4553" s="11"/>
      <c r="B4553" s="12"/>
      <c r="C4553" s="13"/>
      <c r="E4553" s="6"/>
      <c r="F4553" s="7"/>
      <c r="H4553" s="11"/>
      <c r="J4553" s="18"/>
      <c r="L4553" s="18"/>
      <c r="M4553" s="23"/>
    </row>
    <row r="4554">
      <c r="A4554" s="11"/>
      <c r="B4554" s="12"/>
      <c r="C4554" s="13"/>
      <c r="E4554" s="6"/>
      <c r="F4554" s="7"/>
      <c r="H4554" s="11"/>
      <c r="J4554" s="18"/>
      <c r="L4554" s="18"/>
      <c r="M4554" s="23"/>
    </row>
    <row r="4555">
      <c r="A4555" s="11"/>
      <c r="B4555" s="12"/>
      <c r="C4555" s="13"/>
      <c r="E4555" s="6"/>
      <c r="F4555" s="7"/>
      <c r="H4555" s="11"/>
      <c r="J4555" s="18"/>
      <c r="L4555" s="18"/>
      <c r="M4555" s="23"/>
    </row>
    <row r="4556">
      <c r="A4556" s="11"/>
      <c r="B4556" s="12"/>
      <c r="C4556" s="13"/>
      <c r="E4556" s="6"/>
      <c r="F4556" s="7"/>
      <c r="H4556" s="11"/>
      <c r="J4556" s="18"/>
      <c r="L4556" s="18"/>
      <c r="M4556" s="23"/>
    </row>
    <row r="4557">
      <c r="A4557" s="11"/>
      <c r="B4557" s="12"/>
      <c r="C4557" s="13"/>
      <c r="E4557" s="6"/>
      <c r="F4557" s="7"/>
      <c r="H4557" s="11"/>
      <c r="J4557" s="18"/>
      <c r="L4557" s="18"/>
      <c r="M4557" s="23"/>
    </row>
    <row r="4558">
      <c r="A4558" s="11"/>
      <c r="B4558" s="12"/>
      <c r="C4558" s="13"/>
      <c r="E4558" s="6"/>
      <c r="F4558" s="7"/>
      <c r="H4558" s="11"/>
      <c r="J4558" s="18"/>
      <c r="L4558" s="18"/>
      <c r="M4558" s="23"/>
    </row>
    <row r="4559">
      <c r="A4559" s="11"/>
      <c r="B4559" s="12"/>
      <c r="C4559" s="13"/>
      <c r="E4559" s="6"/>
      <c r="F4559" s="7"/>
      <c r="H4559" s="11"/>
      <c r="J4559" s="18"/>
      <c r="L4559" s="18"/>
      <c r="M4559" s="23"/>
    </row>
    <row r="4560">
      <c r="A4560" s="11"/>
      <c r="B4560" s="12"/>
      <c r="C4560" s="13"/>
      <c r="E4560" s="6"/>
      <c r="F4560" s="7"/>
      <c r="H4560" s="11"/>
      <c r="J4560" s="18"/>
      <c r="L4560" s="18"/>
      <c r="M4560" s="23"/>
    </row>
    <row r="4561">
      <c r="A4561" s="11"/>
      <c r="B4561" s="12"/>
      <c r="C4561" s="13"/>
      <c r="E4561" s="6"/>
      <c r="F4561" s="7"/>
      <c r="H4561" s="11"/>
      <c r="J4561" s="18"/>
      <c r="L4561" s="18"/>
      <c r="M4561" s="23"/>
    </row>
    <row r="4562">
      <c r="A4562" s="11"/>
      <c r="B4562" s="12"/>
      <c r="C4562" s="13"/>
      <c r="E4562" s="6"/>
      <c r="F4562" s="7"/>
      <c r="H4562" s="11"/>
      <c r="J4562" s="18"/>
      <c r="L4562" s="18"/>
      <c r="M4562" s="23"/>
    </row>
    <row r="4563">
      <c r="A4563" s="11"/>
      <c r="B4563" s="12"/>
      <c r="C4563" s="13"/>
      <c r="E4563" s="6"/>
      <c r="F4563" s="7"/>
      <c r="H4563" s="11"/>
      <c r="J4563" s="18"/>
      <c r="L4563" s="18"/>
      <c r="M4563" s="23"/>
    </row>
    <row r="4564">
      <c r="A4564" s="11"/>
      <c r="B4564" s="12"/>
      <c r="C4564" s="13"/>
      <c r="E4564" s="6"/>
      <c r="F4564" s="7"/>
      <c r="H4564" s="11"/>
      <c r="J4564" s="18"/>
      <c r="L4564" s="18"/>
      <c r="M4564" s="23"/>
    </row>
    <row r="4565">
      <c r="A4565" s="11"/>
      <c r="B4565" s="12"/>
      <c r="C4565" s="13"/>
      <c r="E4565" s="6"/>
      <c r="F4565" s="7"/>
      <c r="H4565" s="11"/>
      <c r="J4565" s="18"/>
      <c r="L4565" s="18"/>
      <c r="M4565" s="23"/>
    </row>
    <row r="4566">
      <c r="A4566" s="11"/>
      <c r="B4566" s="12"/>
      <c r="C4566" s="13"/>
      <c r="E4566" s="6"/>
      <c r="F4566" s="7"/>
      <c r="H4566" s="11"/>
      <c r="J4566" s="18"/>
      <c r="L4566" s="18"/>
      <c r="M4566" s="23"/>
    </row>
    <row r="4567">
      <c r="A4567" s="11"/>
      <c r="B4567" s="12"/>
      <c r="C4567" s="13"/>
      <c r="E4567" s="6"/>
      <c r="F4567" s="7"/>
      <c r="H4567" s="11"/>
      <c r="J4567" s="18"/>
      <c r="L4567" s="18"/>
      <c r="M4567" s="23"/>
    </row>
    <row r="4568">
      <c r="A4568" s="11"/>
      <c r="B4568" s="12"/>
      <c r="C4568" s="13"/>
      <c r="E4568" s="6"/>
      <c r="F4568" s="7"/>
      <c r="H4568" s="11"/>
      <c r="J4568" s="18"/>
      <c r="L4568" s="18"/>
      <c r="M4568" s="23"/>
    </row>
    <row r="4569">
      <c r="A4569" s="11"/>
      <c r="B4569" s="12"/>
      <c r="C4569" s="13"/>
      <c r="E4569" s="6"/>
      <c r="F4569" s="7"/>
      <c r="H4569" s="11"/>
      <c r="J4569" s="18"/>
      <c r="L4569" s="18"/>
      <c r="M4569" s="23"/>
    </row>
    <row r="4570">
      <c r="A4570" s="11"/>
      <c r="B4570" s="12"/>
      <c r="C4570" s="13"/>
      <c r="E4570" s="6"/>
      <c r="F4570" s="7"/>
      <c r="H4570" s="11"/>
      <c r="J4570" s="18"/>
      <c r="L4570" s="18"/>
      <c r="M4570" s="23"/>
    </row>
    <row r="4571">
      <c r="A4571" s="11"/>
      <c r="B4571" s="12"/>
      <c r="C4571" s="13"/>
      <c r="E4571" s="6"/>
      <c r="F4571" s="7"/>
      <c r="H4571" s="11"/>
      <c r="J4571" s="18"/>
      <c r="L4571" s="18"/>
      <c r="M4571" s="23"/>
    </row>
    <row r="4572">
      <c r="A4572" s="11"/>
      <c r="B4572" s="12"/>
      <c r="C4572" s="13"/>
      <c r="E4572" s="6"/>
      <c r="F4572" s="7"/>
      <c r="H4572" s="11"/>
      <c r="J4572" s="18"/>
      <c r="L4572" s="18"/>
      <c r="M4572" s="23"/>
    </row>
    <row r="4573">
      <c r="A4573" s="11"/>
      <c r="B4573" s="12"/>
      <c r="C4573" s="13"/>
      <c r="E4573" s="6"/>
      <c r="F4573" s="7"/>
      <c r="H4573" s="11"/>
      <c r="J4573" s="18"/>
      <c r="L4573" s="18"/>
      <c r="M4573" s="23"/>
    </row>
    <row r="4574">
      <c r="A4574" s="11"/>
      <c r="B4574" s="12"/>
      <c r="C4574" s="13"/>
      <c r="E4574" s="6"/>
      <c r="F4574" s="7"/>
      <c r="H4574" s="11"/>
      <c r="J4574" s="18"/>
      <c r="L4574" s="18"/>
      <c r="M4574" s="23"/>
    </row>
    <row r="4575">
      <c r="A4575" s="11"/>
      <c r="B4575" s="12"/>
      <c r="C4575" s="13"/>
      <c r="E4575" s="6"/>
      <c r="F4575" s="7"/>
      <c r="H4575" s="11"/>
      <c r="J4575" s="18"/>
      <c r="L4575" s="18"/>
      <c r="M4575" s="23"/>
    </row>
    <row r="4576">
      <c r="A4576" s="11"/>
      <c r="B4576" s="12"/>
      <c r="C4576" s="13"/>
      <c r="E4576" s="6"/>
      <c r="F4576" s="7"/>
      <c r="H4576" s="11"/>
      <c r="J4576" s="18"/>
      <c r="L4576" s="18"/>
      <c r="M4576" s="23"/>
    </row>
    <row r="4577">
      <c r="A4577" s="11"/>
      <c r="B4577" s="12"/>
      <c r="C4577" s="13"/>
      <c r="E4577" s="6"/>
      <c r="F4577" s="7"/>
      <c r="H4577" s="11"/>
      <c r="J4577" s="18"/>
      <c r="L4577" s="18"/>
      <c r="M4577" s="23"/>
    </row>
    <row r="4578">
      <c r="A4578" s="11"/>
      <c r="B4578" s="12"/>
      <c r="C4578" s="13"/>
      <c r="E4578" s="6"/>
      <c r="F4578" s="7"/>
      <c r="H4578" s="11"/>
      <c r="J4578" s="18"/>
      <c r="L4578" s="18"/>
      <c r="M4578" s="23"/>
    </row>
    <row r="4579">
      <c r="A4579" s="11"/>
      <c r="B4579" s="12"/>
      <c r="C4579" s="13"/>
      <c r="E4579" s="6"/>
      <c r="F4579" s="7"/>
      <c r="H4579" s="11"/>
      <c r="J4579" s="18"/>
      <c r="L4579" s="18"/>
      <c r="M4579" s="23"/>
    </row>
    <row r="4580">
      <c r="A4580" s="11"/>
      <c r="B4580" s="12"/>
      <c r="C4580" s="13"/>
      <c r="E4580" s="6"/>
      <c r="F4580" s="7"/>
      <c r="H4580" s="11"/>
      <c r="J4580" s="18"/>
      <c r="L4580" s="18"/>
      <c r="M4580" s="23"/>
    </row>
    <row r="4581">
      <c r="A4581" s="11"/>
      <c r="B4581" s="12"/>
      <c r="C4581" s="13"/>
      <c r="E4581" s="6"/>
      <c r="F4581" s="7"/>
      <c r="H4581" s="11"/>
      <c r="J4581" s="18"/>
      <c r="L4581" s="18"/>
      <c r="M4581" s="23"/>
    </row>
    <row r="4582">
      <c r="A4582" s="11"/>
      <c r="B4582" s="12"/>
      <c r="C4582" s="13"/>
      <c r="E4582" s="6"/>
      <c r="F4582" s="7"/>
      <c r="H4582" s="11"/>
      <c r="J4582" s="18"/>
      <c r="L4582" s="18"/>
      <c r="M4582" s="23"/>
    </row>
    <row r="4583">
      <c r="A4583" s="11"/>
      <c r="B4583" s="12"/>
      <c r="C4583" s="13"/>
      <c r="E4583" s="6"/>
      <c r="F4583" s="7"/>
      <c r="H4583" s="11"/>
      <c r="J4583" s="18"/>
      <c r="L4583" s="18"/>
      <c r="M4583" s="23"/>
    </row>
    <row r="4584">
      <c r="A4584" s="11"/>
      <c r="B4584" s="12"/>
      <c r="C4584" s="13"/>
      <c r="E4584" s="6"/>
      <c r="F4584" s="7"/>
      <c r="H4584" s="11"/>
      <c r="J4584" s="18"/>
      <c r="L4584" s="18"/>
      <c r="M4584" s="23"/>
    </row>
  </sheetData>
  <autoFilter ref="$L$1:$M$1">
    <filterColumn colId="0">
      <customFilters>
        <customFilter operator="greaterThan" val="R$1,00"/>
      </customFilters>
    </filterColumn>
  </autoFilter>
  <customSheetViews>
    <customSheetView guid="{7C7A40A0-7B2E-4E9D-8BC3-BBD5C6835716}" filter="1" showAutoFilter="1">
      <autoFilter ref="$M$1"/>
    </customSheetView>
  </customSheetViews>
  <hyperlinks>
    <hyperlink r:id="rId2" ref="B1"/>
    <hyperlink r:id="rId3" ref="B2"/>
    <hyperlink r:id="rId4" ref="B3"/>
    <hyperlink r:id="rId5" ref="B4"/>
    <hyperlink r:id="rId6" ref="B5"/>
    <hyperlink r:id="rId7" ref="B6"/>
    <hyperlink r:id="rId8" ref="B7"/>
    <hyperlink r:id="rId9" ref="B8"/>
    <hyperlink r:id="rId10" ref="B9"/>
    <hyperlink r:id="rId11" ref="B10"/>
    <hyperlink r:id="rId12" ref="B11"/>
    <hyperlink r:id="rId13" ref="B12"/>
    <hyperlink r:id="rId14" ref="B13"/>
    <hyperlink r:id="rId15" ref="B14"/>
    <hyperlink r:id="rId16" ref="B15"/>
    <hyperlink r:id="rId17" ref="B16"/>
    <hyperlink r:id="rId18" ref="B17"/>
    <hyperlink r:id="rId19" ref="B18"/>
    <hyperlink r:id="rId20" ref="B19"/>
    <hyperlink r:id="rId21" ref="B20"/>
    <hyperlink r:id="rId22" ref="B21"/>
    <hyperlink r:id="rId23" ref="B22"/>
    <hyperlink r:id="rId24" ref="B23"/>
    <hyperlink r:id="rId25" ref="B24"/>
    <hyperlink r:id="rId26" ref="B25"/>
    <hyperlink r:id="rId27" ref="B26"/>
    <hyperlink r:id="rId28" ref="B27"/>
    <hyperlink r:id="rId29" ref="B28"/>
    <hyperlink r:id="rId30" ref="B29"/>
    <hyperlink r:id="rId31" ref="B30"/>
    <hyperlink r:id="rId32" ref="B31"/>
    <hyperlink r:id="rId33" ref="B32"/>
    <hyperlink r:id="rId34" ref="B33"/>
    <hyperlink r:id="rId35" ref="B34"/>
    <hyperlink r:id="rId36" ref="B35"/>
    <hyperlink r:id="rId37" ref="B36"/>
    <hyperlink r:id="rId38" ref="B37"/>
    <hyperlink r:id="rId39" ref="B38"/>
    <hyperlink r:id="rId40" ref="B39"/>
    <hyperlink r:id="rId41" ref="B40"/>
    <hyperlink r:id="rId42" ref="B41"/>
    <hyperlink r:id="rId43" ref="B42"/>
    <hyperlink r:id="rId44" ref="B43"/>
    <hyperlink r:id="rId45" ref="B44"/>
    <hyperlink r:id="rId46" ref="B45"/>
    <hyperlink r:id="rId47" ref="B46"/>
    <hyperlink r:id="rId48" ref="B47"/>
    <hyperlink r:id="rId49" ref="B48"/>
    <hyperlink r:id="rId50" ref="B49"/>
    <hyperlink r:id="rId51" ref="B50"/>
    <hyperlink r:id="rId52" ref="B51"/>
    <hyperlink r:id="rId53" ref="B52"/>
    <hyperlink r:id="rId54" ref="B53"/>
    <hyperlink r:id="rId55" ref="B54"/>
    <hyperlink r:id="rId56" ref="B55"/>
    <hyperlink r:id="rId57" ref="B56"/>
    <hyperlink r:id="rId58" ref="B57"/>
    <hyperlink r:id="rId59" ref="B58"/>
    <hyperlink r:id="rId60" ref="B59"/>
    <hyperlink r:id="rId61" ref="B60"/>
    <hyperlink r:id="rId62" ref="B61"/>
    <hyperlink r:id="rId63" ref="B62"/>
    <hyperlink r:id="rId64" ref="B63"/>
    <hyperlink r:id="rId65" ref="B64"/>
    <hyperlink r:id="rId66" ref="B65"/>
    <hyperlink r:id="rId67" ref="B66"/>
    <hyperlink r:id="rId68" ref="B67"/>
    <hyperlink r:id="rId69" ref="B68"/>
    <hyperlink r:id="rId70" ref="B69"/>
    <hyperlink r:id="rId71" ref="B70"/>
    <hyperlink r:id="rId72" ref="B71"/>
    <hyperlink r:id="rId73" ref="B72"/>
    <hyperlink r:id="rId74" ref="B73"/>
    <hyperlink r:id="rId75" ref="B74"/>
    <hyperlink r:id="rId76" ref="B75"/>
    <hyperlink r:id="rId77" ref="B76"/>
    <hyperlink r:id="rId78" ref="B77"/>
    <hyperlink r:id="rId79" ref="B78"/>
    <hyperlink r:id="rId80" ref="B79"/>
    <hyperlink r:id="rId81" ref="B80"/>
    <hyperlink r:id="rId82" ref="B81"/>
    <hyperlink r:id="rId83" ref="B82"/>
    <hyperlink r:id="rId84" ref="B83"/>
    <hyperlink r:id="rId85" ref="B84"/>
    <hyperlink r:id="rId86" ref="B85"/>
    <hyperlink r:id="rId87" ref="B86"/>
    <hyperlink r:id="rId88" ref="B87"/>
    <hyperlink r:id="rId89" ref="B88"/>
    <hyperlink r:id="rId90" ref="B89"/>
    <hyperlink r:id="rId91" ref="B90"/>
    <hyperlink r:id="rId92" ref="B91"/>
    <hyperlink r:id="rId93" ref="B92"/>
    <hyperlink r:id="rId94" ref="B93"/>
    <hyperlink r:id="rId95" ref="B94"/>
    <hyperlink r:id="rId96" ref="B95"/>
    <hyperlink r:id="rId97" ref="B96"/>
    <hyperlink r:id="rId98" ref="B97"/>
    <hyperlink r:id="rId99" ref="B98"/>
    <hyperlink r:id="rId100" ref="B99"/>
    <hyperlink r:id="rId101" ref="B100"/>
    <hyperlink r:id="rId102" ref="B101"/>
    <hyperlink r:id="rId103" ref="B102"/>
    <hyperlink r:id="rId104" ref="B103"/>
    <hyperlink r:id="rId105" ref="B104"/>
    <hyperlink r:id="rId106" ref="B105"/>
    <hyperlink r:id="rId107" ref="B106"/>
    <hyperlink r:id="rId108" ref="B107"/>
    <hyperlink r:id="rId109" ref="B108"/>
    <hyperlink r:id="rId110" ref="B109"/>
    <hyperlink r:id="rId111" ref="B110"/>
    <hyperlink r:id="rId112" ref="B111"/>
    <hyperlink r:id="rId113" ref="B112"/>
    <hyperlink r:id="rId114" ref="B113"/>
    <hyperlink r:id="rId115" ref="B114"/>
    <hyperlink r:id="rId116" ref="B115"/>
    <hyperlink r:id="rId117" ref="B116"/>
    <hyperlink r:id="rId118" ref="B117"/>
    <hyperlink r:id="rId119" ref="B118"/>
    <hyperlink r:id="rId120" ref="B119"/>
    <hyperlink r:id="rId121" ref="B120"/>
    <hyperlink r:id="rId122" ref="B121"/>
    <hyperlink r:id="rId123" ref="B122"/>
    <hyperlink r:id="rId124" ref="B123"/>
    <hyperlink r:id="rId125" ref="B124"/>
    <hyperlink r:id="rId126" ref="B125"/>
    <hyperlink r:id="rId127" ref="B126"/>
    <hyperlink r:id="rId128" ref="B127"/>
    <hyperlink r:id="rId129" ref="B128"/>
    <hyperlink r:id="rId130" ref="B129"/>
    <hyperlink r:id="rId131" ref="B130"/>
    <hyperlink r:id="rId132" ref="B131"/>
    <hyperlink r:id="rId133" ref="B132"/>
    <hyperlink r:id="rId134" ref="B133"/>
    <hyperlink r:id="rId135" ref="B134"/>
    <hyperlink r:id="rId136" ref="B135"/>
    <hyperlink r:id="rId137" ref="B136"/>
    <hyperlink r:id="rId138" ref="B137"/>
    <hyperlink r:id="rId139" ref="B138"/>
    <hyperlink r:id="rId140" ref="B139"/>
    <hyperlink r:id="rId141" ref="B140"/>
    <hyperlink r:id="rId142" ref="B141"/>
    <hyperlink r:id="rId143" ref="B142"/>
    <hyperlink r:id="rId144" ref="B143"/>
    <hyperlink r:id="rId145" ref="B144"/>
    <hyperlink r:id="rId146" ref="B145"/>
    <hyperlink r:id="rId147" ref="B146"/>
    <hyperlink r:id="rId148" ref="B147"/>
    <hyperlink r:id="rId149" ref="B148"/>
    <hyperlink r:id="rId150" ref="B149"/>
    <hyperlink r:id="rId151" ref="B150"/>
    <hyperlink r:id="rId152" ref="B151"/>
    <hyperlink r:id="rId153" ref="B152"/>
    <hyperlink r:id="rId154" ref="B153"/>
    <hyperlink r:id="rId155" ref="B154"/>
    <hyperlink r:id="rId156" ref="B155"/>
    <hyperlink r:id="rId157" ref="B156"/>
    <hyperlink r:id="rId158" ref="B157"/>
    <hyperlink r:id="rId159" ref="B158"/>
    <hyperlink r:id="rId160" ref="B159"/>
    <hyperlink r:id="rId161" ref="B160"/>
    <hyperlink r:id="rId162" ref="B161"/>
    <hyperlink r:id="rId163" ref="B162"/>
    <hyperlink r:id="rId164" ref="B163"/>
    <hyperlink r:id="rId165" ref="B164"/>
    <hyperlink r:id="rId166" ref="B165"/>
    <hyperlink r:id="rId167" ref="B166"/>
    <hyperlink r:id="rId168" ref="B167"/>
    <hyperlink r:id="rId169" ref="B168"/>
    <hyperlink r:id="rId170" ref="B169"/>
    <hyperlink r:id="rId171" ref="B170"/>
    <hyperlink r:id="rId172" ref="B171"/>
    <hyperlink r:id="rId173" ref="B172"/>
    <hyperlink r:id="rId174" ref="B173"/>
    <hyperlink r:id="rId175" ref="B174"/>
    <hyperlink r:id="rId176" ref="B175"/>
    <hyperlink r:id="rId177" ref="B176"/>
    <hyperlink r:id="rId178" ref="B177"/>
    <hyperlink r:id="rId179" ref="B178"/>
    <hyperlink r:id="rId180" ref="B179"/>
    <hyperlink r:id="rId181" ref="B180"/>
    <hyperlink r:id="rId182" ref="B181"/>
    <hyperlink r:id="rId183" ref="B182"/>
    <hyperlink r:id="rId184" ref="B183"/>
    <hyperlink r:id="rId185" ref="B184"/>
    <hyperlink r:id="rId186" ref="B185"/>
    <hyperlink r:id="rId187" ref="B186"/>
    <hyperlink r:id="rId188" ref="B187"/>
    <hyperlink r:id="rId189" ref="B188"/>
    <hyperlink r:id="rId190" ref="B189"/>
    <hyperlink r:id="rId191" ref="B190"/>
    <hyperlink r:id="rId192" ref="B191"/>
    <hyperlink r:id="rId193" ref="B192"/>
    <hyperlink r:id="rId194" ref="B193"/>
    <hyperlink r:id="rId195" ref="B194"/>
    <hyperlink r:id="rId196" ref="B195"/>
    <hyperlink r:id="rId197" ref="B196"/>
    <hyperlink r:id="rId198" ref="B197"/>
    <hyperlink r:id="rId199" ref="B198"/>
    <hyperlink r:id="rId200" ref="B199"/>
    <hyperlink r:id="rId201" ref="B200"/>
    <hyperlink r:id="rId202" ref="B201"/>
    <hyperlink r:id="rId203" ref="B202"/>
    <hyperlink r:id="rId204" ref="B203"/>
    <hyperlink r:id="rId205" ref="B204"/>
    <hyperlink r:id="rId206" ref="B205"/>
    <hyperlink r:id="rId207" ref="B206"/>
    <hyperlink r:id="rId208" ref="B207"/>
    <hyperlink r:id="rId209" ref="B208"/>
    <hyperlink r:id="rId210" ref="B209"/>
    <hyperlink r:id="rId211" ref="B210"/>
    <hyperlink r:id="rId212" ref="B211"/>
    <hyperlink r:id="rId213" ref="B212"/>
    <hyperlink r:id="rId214" ref="B213"/>
    <hyperlink r:id="rId215" ref="B214"/>
    <hyperlink r:id="rId216" ref="B215"/>
    <hyperlink r:id="rId217" ref="B216"/>
    <hyperlink r:id="rId218" ref="B217"/>
    <hyperlink r:id="rId219" ref="B218"/>
    <hyperlink r:id="rId220" ref="B219"/>
    <hyperlink r:id="rId221" ref="B220"/>
    <hyperlink r:id="rId222" ref="B221"/>
    <hyperlink r:id="rId223" ref="B222"/>
    <hyperlink r:id="rId224" ref="B223"/>
    <hyperlink r:id="rId225" ref="B224"/>
    <hyperlink r:id="rId226" ref="B225"/>
    <hyperlink r:id="rId227" ref="B226"/>
    <hyperlink r:id="rId228" ref="B227"/>
    <hyperlink r:id="rId229" ref="B228"/>
    <hyperlink r:id="rId230" ref="B229"/>
    <hyperlink r:id="rId231" ref="B230"/>
    <hyperlink r:id="rId232" ref="B231"/>
    <hyperlink r:id="rId233" ref="B232"/>
    <hyperlink r:id="rId234" ref="B233"/>
    <hyperlink r:id="rId235" ref="B234"/>
    <hyperlink r:id="rId236" ref="B235"/>
    <hyperlink r:id="rId237" ref="B236"/>
    <hyperlink r:id="rId238" ref="B237"/>
    <hyperlink r:id="rId239" ref="B238"/>
    <hyperlink r:id="rId240" ref="B239"/>
    <hyperlink r:id="rId241" ref="B240"/>
    <hyperlink r:id="rId242" ref="B241"/>
    <hyperlink r:id="rId243" ref="B242"/>
    <hyperlink r:id="rId244" ref="B243"/>
    <hyperlink r:id="rId245" ref="B244"/>
    <hyperlink r:id="rId246" ref="B245"/>
    <hyperlink r:id="rId247" ref="B246"/>
    <hyperlink r:id="rId248" ref="B247"/>
    <hyperlink r:id="rId249" ref="B248"/>
    <hyperlink r:id="rId250" ref="B249"/>
    <hyperlink r:id="rId251" ref="B250"/>
    <hyperlink r:id="rId252" ref="B251"/>
    <hyperlink r:id="rId253" ref="B252"/>
    <hyperlink r:id="rId254" ref="B253"/>
    <hyperlink r:id="rId255" ref="B254"/>
    <hyperlink r:id="rId256" ref="B255"/>
    <hyperlink r:id="rId257" ref="B256"/>
    <hyperlink r:id="rId258" ref="B257"/>
    <hyperlink r:id="rId259" ref="B258"/>
    <hyperlink r:id="rId260" ref="B259"/>
    <hyperlink r:id="rId261" ref="B260"/>
    <hyperlink r:id="rId262" ref="B261"/>
    <hyperlink r:id="rId263" ref="B262"/>
    <hyperlink r:id="rId264" ref="B263"/>
    <hyperlink r:id="rId265" ref="B264"/>
    <hyperlink r:id="rId266" ref="B265"/>
    <hyperlink r:id="rId267" ref="B266"/>
    <hyperlink r:id="rId268" ref="B267"/>
    <hyperlink r:id="rId269" ref="B268"/>
    <hyperlink r:id="rId270" ref="B269"/>
    <hyperlink r:id="rId271" ref="B270"/>
    <hyperlink r:id="rId272" ref="B271"/>
    <hyperlink r:id="rId273" ref="B272"/>
    <hyperlink r:id="rId274" ref="B273"/>
    <hyperlink r:id="rId275" ref="B274"/>
    <hyperlink r:id="rId276" ref="B275"/>
    <hyperlink r:id="rId277" ref="B276"/>
    <hyperlink r:id="rId278" ref="B277"/>
    <hyperlink r:id="rId279" ref="B278"/>
    <hyperlink r:id="rId280" ref="B279"/>
    <hyperlink r:id="rId281" ref="B280"/>
    <hyperlink r:id="rId282" ref="B281"/>
    <hyperlink r:id="rId283" ref="B282"/>
    <hyperlink r:id="rId284" ref="B283"/>
    <hyperlink r:id="rId285" ref="B284"/>
    <hyperlink r:id="rId286" ref="B285"/>
    <hyperlink r:id="rId287" ref="B286"/>
    <hyperlink r:id="rId288" ref="B287"/>
    <hyperlink r:id="rId289" ref="B288"/>
    <hyperlink r:id="rId290" ref="B289"/>
    <hyperlink r:id="rId291" ref="B290"/>
    <hyperlink r:id="rId292" ref="B291"/>
    <hyperlink r:id="rId293" ref="B292"/>
    <hyperlink r:id="rId294" ref="B293"/>
    <hyperlink r:id="rId295" ref="B294"/>
    <hyperlink r:id="rId296" ref="B295"/>
    <hyperlink r:id="rId297" ref="B296"/>
    <hyperlink r:id="rId298" ref="B297"/>
    <hyperlink r:id="rId299" ref="B298"/>
    <hyperlink r:id="rId300" ref="B299"/>
    <hyperlink r:id="rId301" ref="B300"/>
    <hyperlink r:id="rId302" ref="B301"/>
    <hyperlink r:id="rId303" ref="B302"/>
    <hyperlink r:id="rId304" ref="B303"/>
    <hyperlink r:id="rId305" ref="B304"/>
    <hyperlink r:id="rId306" ref="B305"/>
    <hyperlink r:id="rId307" ref="B306"/>
    <hyperlink r:id="rId308" ref="B307"/>
    <hyperlink r:id="rId309" ref="B308"/>
    <hyperlink r:id="rId310" ref="B309"/>
    <hyperlink r:id="rId311" ref="B310"/>
    <hyperlink r:id="rId312" ref="B311"/>
    <hyperlink r:id="rId313" ref="B312"/>
    <hyperlink r:id="rId314" ref="B313"/>
    <hyperlink r:id="rId315" ref="B314"/>
    <hyperlink r:id="rId316" ref="B315"/>
    <hyperlink r:id="rId317" ref="B316"/>
    <hyperlink r:id="rId318" ref="B317"/>
    <hyperlink r:id="rId319" ref="B318"/>
    <hyperlink r:id="rId320" ref="B319"/>
    <hyperlink r:id="rId321" ref="B320"/>
    <hyperlink r:id="rId322" ref="B321"/>
    <hyperlink r:id="rId323" ref="B322"/>
    <hyperlink r:id="rId324" ref="B323"/>
    <hyperlink r:id="rId325" ref="B324"/>
    <hyperlink r:id="rId326" ref="B325"/>
    <hyperlink r:id="rId327" ref="B326"/>
    <hyperlink r:id="rId328" ref="B327"/>
    <hyperlink r:id="rId329" ref="B328"/>
    <hyperlink r:id="rId330" ref="B329"/>
    <hyperlink r:id="rId331" ref="B330"/>
    <hyperlink r:id="rId332" ref="B331"/>
    <hyperlink r:id="rId333" ref="B332"/>
    <hyperlink r:id="rId334" ref="B333"/>
    <hyperlink r:id="rId335" ref="B334"/>
    <hyperlink r:id="rId336" ref="B335"/>
    <hyperlink r:id="rId337" ref="B336"/>
    <hyperlink r:id="rId338" ref="B337"/>
    <hyperlink r:id="rId339" ref="B338"/>
    <hyperlink r:id="rId340" ref="B339"/>
    <hyperlink r:id="rId341" ref="B340"/>
    <hyperlink r:id="rId342" ref="B341"/>
    <hyperlink r:id="rId343" ref="B342"/>
    <hyperlink r:id="rId344" ref="B343"/>
    <hyperlink r:id="rId345" ref="B344"/>
    <hyperlink r:id="rId346" ref="B345"/>
    <hyperlink r:id="rId347" ref="B346"/>
    <hyperlink r:id="rId348" ref="B347"/>
    <hyperlink r:id="rId349" ref="B348"/>
    <hyperlink r:id="rId350" ref="B349"/>
    <hyperlink r:id="rId351" ref="B350"/>
    <hyperlink r:id="rId352" ref="B351"/>
    <hyperlink r:id="rId353" ref="B352"/>
    <hyperlink r:id="rId354" ref="B353"/>
    <hyperlink r:id="rId355" ref="B354"/>
    <hyperlink r:id="rId356" ref="B355"/>
    <hyperlink r:id="rId357" ref="B356"/>
    <hyperlink r:id="rId358" ref="B357"/>
    <hyperlink r:id="rId359" ref="B358"/>
    <hyperlink r:id="rId360" ref="B359"/>
    <hyperlink r:id="rId361" ref="B360"/>
    <hyperlink r:id="rId362" ref="B361"/>
    <hyperlink r:id="rId363" ref="B362"/>
    <hyperlink r:id="rId364" ref="B363"/>
    <hyperlink r:id="rId365" ref="B364"/>
    <hyperlink r:id="rId366" ref="B365"/>
    <hyperlink r:id="rId367" ref="B366"/>
    <hyperlink r:id="rId368" ref="B367"/>
    <hyperlink r:id="rId369" ref="B368"/>
    <hyperlink r:id="rId370" ref="B369"/>
    <hyperlink r:id="rId371" ref="B370"/>
    <hyperlink r:id="rId372" ref="B371"/>
    <hyperlink r:id="rId373" ref="B372"/>
    <hyperlink r:id="rId374" ref="B373"/>
    <hyperlink r:id="rId375" ref="B374"/>
    <hyperlink r:id="rId376" ref="B375"/>
    <hyperlink r:id="rId377" ref="B376"/>
    <hyperlink r:id="rId378" ref="B377"/>
    <hyperlink r:id="rId379" ref="B378"/>
    <hyperlink r:id="rId380" ref="B379"/>
    <hyperlink r:id="rId381" ref="B380"/>
    <hyperlink r:id="rId382" ref="B381"/>
    <hyperlink r:id="rId383" ref="B382"/>
    <hyperlink r:id="rId384" ref="B383"/>
    <hyperlink r:id="rId385" ref="B384"/>
    <hyperlink r:id="rId386" ref="B385"/>
    <hyperlink r:id="rId387" ref="B386"/>
    <hyperlink r:id="rId388" ref="B387"/>
    <hyperlink r:id="rId389" ref="B388"/>
    <hyperlink r:id="rId390" ref="B389"/>
    <hyperlink r:id="rId391" ref="B390"/>
    <hyperlink r:id="rId392" ref="B391"/>
    <hyperlink r:id="rId393" ref="B392"/>
    <hyperlink r:id="rId394" ref="B393"/>
    <hyperlink r:id="rId395" ref="B394"/>
    <hyperlink r:id="rId396" ref="B395"/>
    <hyperlink r:id="rId397" ref="B396"/>
    <hyperlink r:id="rId398" ref="B397"/>
    <hyperlink r:id="rId399" ref="B398"/>
    <hyperlink r:id="rId400" ref="B399"/>
    <hyperlink r:id="rId401" ref="B400"/>
    <hyperlink r:id="rId402" ref="B401"/>
    <hyperlink r:id="rId403" ref="B402"/>
    <hyperlink r:id="rId404" ref="B403"/>
    <hyperlink r:id="rId405" ref="B404"/>
    <hyperlink r:id="rId406" ref="B405"/>
    <hyperlink r:id="rId407" ref="B406"/>
    <hyperlink r:id="rId408" ref="B407"/>
    <hyperlink r:id="rId409" ref="B408"/>
    <hyperlink r:id="rId410" ref="B409"/>
    <hyperlink r:id="rId411" ref="B410"/>
    <hyperlink r:id="rId412" ref="B411"/>
    <hyperlink r:id="rId413" ref="B412"/>
    <hyperlink r:id="rId414" ref="B413"/>
    <hyperlink r:id="rId415" ref="B414"/>
    <hyperlink r:id="rId416" ref="B415"/>
    <hyperlink r:id="rId417" ref="B416"/>
    <hyperlink r:id="rId418" ref="B417"/>
    <hyperlink r:id="rId419" ref="B418"/>
    <hyperlink r:id="rId420" ref="B419"/>
    <hyperlink r:id="rId421" ref="B420"/>
    <hyperlink r:id="rId422" ref="B421"/>
    <hyperlink r:id="rId423" ref="B422"/>
    <hyperlink r:id="rId424" ref="B423"/>
    <hyperlink r:id="rId425" ref="B424"/>
    <hyperlink r:id="rId426" ref="B425"/>
    <hyperlink r:id="rId427" ref="B426"/>
    <hyperlink r:id="rId428" ref="B427"/>
    <hyperlink r:id="rId429" ref="B428"/>
    <hyperlink r:id="rId430" ref="B429"/>
    <hyperlink r:id="rId431" ref="B430"/>
    <hyperlink r:id="rId432" ref="B431"/>
    <hyperlink r:id="rId433" ref="B432"/>
    <hyperlink r:id="rId434" ref="B433"/>
    <hyperlink r:id="rId435" ref="B434"/>
    <hyperlink r:id="rId436" ref="B435"/>
    <hyperlink r:id="rId437" ref="B436"/>
    <hyperlink r:id="rId438" ref="B437"/>
    <hyperlink r:id="rId439" ref="B438"/>
    <hyperlink r:id="rId440" ref="B439"/>
    <hyperlink r:id="rId441" ref="B440"/>
    <hyperlink r:id="rId442" ref="B441"/>
    <hyperlink r:id="rId443" ref="B442"/>
    <hyperlink r:id="rId444" ref="B443"/>
    <hyperlink r:id="rId445" ref="B444"/>
    <hyperlink r:id="rId446" ref="B445"/>
    <hyperlink r:id="rId447" ref="B446"/>
    <hyperlink r:id="rId448" ref="B447"/>
    <hyperlink r:id="rId449" ref="B448"/>
    <hyperlink r:id="rId450" ref="B449"/>
    <hyperlink r:id="rId451" ref="B450"/>
    <hyperlink r:id="rId452" ref="B451"/>
    <hyperlink r:id="rId453" ref="B452"/>
    <hyperlink r:id="rId454" ref="B453"/>
    <hyperlink r:id="rId455" ref="B454"/>
    <hyperlink r:id="rId456" ref="B455"/>
    <hyperlink r:id="rId457" ref="B456"/>
    <hyperlink r:id="rId458" ref="B457"/>
    <hyperlink r:id="rId459" ref="B458"/>
    <hyperlink r:id="rId460" ref="B459"/>
    <hyperlink r:id="rId461" ref="B460"/>
    <hyperlink r:id="rId462" ref="B461"/>
    <hyperlink r:id="rId463" ref="B462"/>
    <hyperlink r:id="rId464" ref="B463"/>
    <hyperlink r:id="rId465" ref="B464"/>
    <hyperlink r:id="rId466" ref="B465"/>
    <hyperlink r:id="rId467" ref="B466"/>
    <hyperlink r:id="rId468" ref="B467"/>
    <hyperlink r:id="rId469" ref="B468"/>
    <hyperlink r:id="rId470" ref="B469"/>
    <hyperlink r:id="rId471" ref="B470"/>
    <hyperlink r:id="rId472" ref="B471"/>
    <hyperlink r:id="rId473" ref="B472"/>
    <hyperlink r:id="rId474" ref="B473"/>
    <hyperlink r:id="rId475" ref="B474"/>
    <hyperlink r:id="rId476" ref="B475"/>
    <hyperlink r:id="rId477" ref="B476"/>
    <hyperlink r:id="rId478" ref="B477"/>
    <hyperlink r:id="rId479" ref="B478"/>
    <hyperlink r:id="rId480" ref="B479"/>
    <hyperlink r:id="rId481" ref="B480"/>
    <hyperlink r:id="rId482" ref="B481"/>
    <hyperlink r:id="rId483" ref="B482"/>
    <hyperlink r:id="rId484" ref="B483"/>
    <hyperlink r:id="rId485" ref="B484"/>
    <hyperlink r:id="rId486" ref="B485"/>
    <hyperlink r:id="rId487" ref="B486"/>
    <hyperlink r:id="rId488" ref="B487"/>
    <hyperlink r:id="rId489" ref="B488"/>
    <hyperlink r:id="rId490" ref="B489"/>
    <hyperlink r:id="rId491" ref="B490"/>
    <hyperlink r:id="rId492" ref="B491"/>
    <hyperlink r:id="rId493" ref="B492"/>
    <hyperlink r:id="rId494" ref="B493"/>
    <hyperlink r:id="rId495" ref="B494"/>
    <hyperlink r:id="rId496" ref="B495"/>
    <hyperlink r:id="rId497" ref="B496"/>
    <hyperlink r:id="rId498" ref="B497"/>
    <hyperlink r:id="rId499" ref="B498"/>
    <hyperlink r:id="rId500" ref="B499"/>
    <hyperlink r:id="rId501" ref="B500"/>
    <hyperlink r:id="rId502" ref="B501"/>
    <hyperlink r:id="rId503" ref="B502"/>
    <hyperlink r:id="rId504" ref="B503"/>
    <hyperlink r:id="rId505" ref="B504"/>
    <hyperlink r:id="rId506" ref="B505"/>
    <hyperlink r:id="rId507" ref="B506"/>
    <hyperlink r:id="rId508" ref="B507"/>
    <hyperlink r:id="rId509" ref="B508"/>
    <hyperlink r:id="rId510" ref="B509"/>
    <hyperlink r:id="rId511" ref="B510"/>
    <hyperlink r:id="rId512" ref="B511"/>
    <hyperlink r:id="rId513" ref="B512"/>
    <hyperlink r:id="rId514" ref="B513"/>
    <hyperlink r:id="rId515" ref="B514"/>
    <hyperlink r:id="rId516" ref="B515"/>
    <hyperlink r:id="rId517" ref="B516"/>
    <hyperlink r:id="rId518" ref="B517"/>
    <hyperlink r:id="rId519" ref="B518"/>
    <hyperlink r:id="rId520" ref="B519"/>
    <hyperlink r:id="rId521" ref="B520"/>
    <hyperlink r:id="rId522" ref="B521"/>
    <hyperlink r:id="rId523" ref="B522"/>
    <hyperlink r:id="rId524" ref="B523"/>
    <hyperlink r:id="rId525" ref="B524"/>
    <hyperlink r:id="rId526" ref="B525"/>
    <hyperlink r:id="rId527" ref="B526"/>
    <hyperlink r:id="rId528" ref="B527"/>
    <hyperlink r:id="rId529" ref="B528"/>
    <hyperlink r:id="rId530" ref="B529"/>
    <hyperlink r:id="rId531" ref="B530"/>
    <hyperlink r:id="rId532" ref="B531"/>
    <hyperlink r:id="rId533" ref="B532"/>
    <hyperlink r:id="rId534" ref="B533"/>
    <hyperlink r:id="rId535" ref="B534"/>
    <hyperlink r:id="rId536" ref="B535"/>
    <hyperlink r:id="rId537" ref="B536"/>
    <hyperlink r:id="rId538" ref="B537"/>
    <hyperlink r:id="rId539" ref="B538"/>
    <hyperlink r:id="rId540" ref="B539"/>
    <hyperlink r:id="rId541" ref="B540"/>
    <hyperlink r:id="rId542" ref="B541"/>
    <hyperlink r:id="rId543" ref="B542"/>
    <hyperlink r:id="rId544" ref="B543"/>
    <hyperlink r:id="rId545" ref="B544"/>
    <hyperlink r:id="rId546" ref="B545"/>
    <hyperlink r:id="rId547" ref="B546"/>
    <hyperlink r:id="rId548" ref="B547"/>
    <hyperlink r:id="rId549" ref="B548"/>
    <hyperlink r:id="rId550" ref="B549"/>
    <hyperlink r:id="rId551" ref="B550"/>
    <hyperlink r:id="rId552" ref="B551"/>
    <hyperlink r:id="rId553" ref="B552"/>
    <hyperlink r:id="rId554" ref="B553"/>
    <hyperlink r:id="rId555" ref="B554"/>
    <hyperlink r:id="rId556" ref="B555"/>
    <hyperlink r:id="rId557" ref="B556"/>
    <hyperlink r:id="rId558" ref="B557"/>
    <hyperlink r:id="rId559" ref="B558"/>
    <hyperlink r:id="rId560" ref="B559"/>
    <hyperlink r:id="rId561" ref="B560"/>
    <hyperlink r:id="rId562" ref="B561"/>
    <hyperlink r:id="rId563" ref="B562"/>
    <hyperlink r:id="rId564" ref="B563"/>
    <hyperlink r:id="rId565" ref="B564"/>
    <hyperlink r:id="rId566" ref="B565"/>
    <hyperlink r:id="rId567" ref="B566"/>
    <hyperlink r:id="rId568" ref="B567"/>
    <hyperlink r:id="rId569" ref="B568"/>
    <hyperlink r:id="rId570" ref="B569"/>
    <hyperlink r:id="rId571" ref="B570"/>
    <hyperlink r:id="rId572" ref="B571"/>
    <hyperlink r:id="rId573" ref="B572"/>
    <hyperlink r:id="rId574" ref="B573"/>
    <hyperlink r:id="rId575" ref="B574"/>
    <hyperlink r:id="rId576" ref="B575"/>
    <hyperlink r:id="rId577" ref="B576"/>
    <hyperlink r:id="rId578" ref="B577"/>
    <hyperlink r:id="rId579" ref="B578"/>
    <hyperlink r:id="rId580" ref="B579"/>
    <hyperlink r:id="rId581" ref="B580"/>
    <hyperlink r:id="rId582" ref="B581"/>
    <hyperlink r:id="rId583" ref="B582"/>
    <hyperlink r:id="rId584" ref="B583"/>
    <hyperlink r:id="rId585" ref="B584"/>
    <hyperlink r:id="rId586" ref="B585"/>
    <hyperlink r:id="rId587" ref="B586"/>
    <hyperlink r:id="rId588" ref="B587"/>
    <hyperlink r:id="rId589" ref="B588"/>
    <hyperlink r:id="rId590" ref="B589"/>
    <hyperlink r:id="rId591" ref="B590"/>
    <hyperlink r:id="rId592" ref="B591"/>
    <hyperlink r:id="rId593" ref="B592"/>
    <hyperlink r:id="rId594" ref="B593"/>
    <hyperlink r:id="rId595" ref="B594"/>
    <hyperlink r:id="rId596" ref="B595"/>
    <hyperlink r:id="rId597" ref="B596"/>
    <hyperlink r:id="rId598" ref="B597"/>
    <hyperlink r:id="rId599" ref="B598"/>
    <hyperlink r:id="rId600" ref="B599"/>
    <hyperlink r:id="rId601" ref="B600"/>
    <hyperlink r:id="rId602" ref="B601"/>
    <hyperlink r:id="rId603" ref="B602"/>
    <hyperlink r:id="rId604" ref="B603"/>
    <hyperlink r:id="rId605" ref="B604"/>
    <hyperlink r:id="rId606" ref="B605"/>
    <hyperlink r:id="rId607" ref="B606"/>
    <hyperlink r:id="rId608" ref="B607"/>
    <hyperlink r:id="rId609" ref="B608"/>
    <hyperlink r:id="rId610" ref="B609"/>
    <hyperlink r:id="rId611" ref="B610"/>
    <hyperlink r:id="rId612" ref="B611"/>
    <hyperlink r:id="rId613" ref="B612"/>
    <hyperlink r:id="rId614" ref="B613"/>
    <hyperlink r:id="rId615" ref="B614"/>
    <hyperlink r:id="rId616" ref="B615"/>
    <hyperlink r:id="rId617" ref="B616"/>
    <hyperlink r:id="rId618" ref="B617"/>
    <hyperlink r:id="rId619" ref="B618"/>
    <hyperlink r:id="rId620" ref="B619"/>
    <hyperlink r:id="rId621" ref="B620"/>
    <hyperlink r:id="rId622" ref="B621"/>
    <hyperlink r:id="rId623" ref="B622"/>
    <hyperlink r:id="rId624" ref="B623"/>
    <hyperlink r:id="rId625" ref="B624"/>
    <hyperlink r:id="rId626" ref="B625"/>
    <hyperlink r:id="rId627" ref="B626"/>
    <hyperlink r:id="rId628" ref="B627"/>
    <hyperlink r:id="rId629" ref="B628"/>
    <hyperlink r:id="rId630" ref="B629"/>
    <hyperlink r:id="rId631" ref="B630"/>
    <hyperlink r:id="rId632" ref="B631"/>
    <hyperlink r:id="rId633" ref="B632"/>
    <hyperlink r:id="rId634" ref="B633"/>
    <hyperlink r:id="rId635" ref="B634"/>
    <hyperlink r:id="rId636" ref="B635"/>
    <hyperlink r:id="rId637" ref="B636"/>
    <hyperlink r:id="rId638" ref="B637"/>
    <hyperlink r:id="rId639" ref="B638"/>
    <hyperlink r:id="rId640" ref="B639"/>
    <hyperlink r:id="rId641" ref="B640"/>
    <hyperlink r:id="rId642" ref="B641"/>
    <hyperlink r:id="rId643" ref="B642"/>
    <hyperlink r:id="rId644" ref="B643"/>
    <hyperlink r:id="rId645" ref="B644"/>
    <hyperlink r:id="rId646" ref="B645"/>
    <hyperlink r:id="rId647" ref="B646"/>
    <hyperlink r:id="rId648" ref="B647"/>
    <hyperlink r:id="rId649" ref="B648"/>
    <hyperlink r:id="rId650" ref="B649"/>
    <hyperlink r:id="rId651" ref="B650"/>
    <hyperlink r:id="rId652" ref="B651"/>
    <hyperlink r:id="rId653" ref="B652"/>
    <hyperlink r:id="rId654" ref="B653"/>
    <hyperlink r:id="rId655" ref="B654"/>
    <hyperlink r:id="rId656" ref="B655"/>
    <hyperlink r:id="rId657" ref="B656"/>
    <hyperlink r:id="rId658" ref="B657"/>
    <hyperlink r:id="rId659" ref="B658"/>
    <hyperlink r:id="rId660" ref="B659"/>
    <hyperlink r:id="rId661" ref="B660"/>
    <hyperlink r:id="rId662" ref="B661"/>
    <hyperlink r:id="rId663" ref="B662"/>
    <hyperlink r:id="rId664" ref="B663"/>
    <hyperlink r:id="rId665" ref="B664"/>
    <hyperlink r:id="rId666" ref="B665"/>
    <hyperlink r:id="rId667" ref="B666"/>
    <hyperlink r:id="rId668" ref="B667"/>
    <hyperlink r:id="rId669" ref="B668"/>
    <hyperlink r:id="rId670" ref="B669"/>
    <hyperlink r:id="rId671" ref="B670"/>
    <hyperlink r:id="rId672" ref="B671"/>
    <hyperlink r:id="rId673" ref="B672"/>
    <hyperlink r:id="rId674" ref="B673"/>
    <hyperlink r:id="rId675" ref="B674"/>
    <hyperlink r:id="rId676" ref="B675"/>
    <hyperlink r:id="rId677" ref="B676"/>
    <hyperlink r:id="rId678" ref="B677"/>
    <hyperlink r:id="rId679" ref="B678"/>
    <hyperlink r:id="rId680" ref="B679"/>
    <hyperlink r:id="rId681" ref="B680"/>
    <hyperlink r:id="rId682" ref="B681"/>
    <hyperlink r:id="rId683" ref="B682"/>
    <hyperlink r:id="rId684" ref="B683"/>
    <hyperlink r:id="rId685" ref="B684"/>
    <hyperlink r:id="rId686" ref="B685"/>
    <hyperlink r:id="rId687" ref="B686"/>
    <hyperlink r:id="rId688" ref="B687"/>
    <hyperlink r:id="rId689" ref="B688"/>
    <hyperlink r:id="rId690" ref="B689"/>
    <hyperlink r:id="rId691" ref="B690"/>
    <hyperlink r:id="rId692" ref="B691"/>
    <hyperlink r:id="rId693" ref="B692"/>
    <hyperlink r:id="rId694" ref="B693"/>
    <hyperlink r:id="rId695" ref="B694"/>
    <hyperlink r:id="rId696" ref="B695"/>
    <hyperlink r:id="rId697" ref="B696"/>
    <hyperlink r:id="rId698" ref="B697"/>
    <hyperlink r:id="rId699" ref="B698"/>
    <hyperlink r:id="rId700" ref="B699"/>
    <hyperlink r:id="rId701" ref="B700"/>
    <hyperlink r:id="rId702" ref="B701"/>
    <hyperlink r:id="rId703" ref="B702"/>
    <hyperlink r:id="rId704" ref="B703"/>
    <hyperlink r:id="rId705" ref="B704"/>
    <hyperlink r:id="rId706" ref="B705"/>
    <hyperlink r:id="rId707" ref="B706"/>
    <hyperlink r:id="rId708" ref="B707"/>
    <hyperlink r:id="rId709" ref="B708"/>
    <hyperlink r:id="rId710" ref="B709"/>
    <hyperlink r:id="rId711" ref="B710"/>
    <hyperlink r:id="rId712" ref="B711"/>
    <hyperlink r:id="rId713" ref="B712"/>
    <hyperlink r:id="rId714" ref="B713"/>
    <hyperlink r:id="rId715" ref="B714"/>
    <hyperlink r:id="rId716" ref="B715"/>
    <hyperlink r:id="rId717" ref="B716"/>
    <hyperlink r:id="rId718" ref="B717"/>
    <hyperlink r:id="rId719" ref="B718"/>
    <hyperlink r:id="rId720" ref="B719"/>
    <hyperlink r:id="rId721" ref="B720"/>
    <hyperlink r:id="rId722" ref="B721"/>
    <hyperlink r:id="rId723" ref="B722"/>
    <hyperlink r:id="rId724" ref="B723"/>
    <hyperlink r:id="rId725" ref="B724"/>
    <hyperlink r:id="rId726" ref="B725"/>
    <hyperlink r:id="rId727" ref="B726"/>
    <hyperlink r:id="rId728" ref="B727"/>
    <hyperlink r:id="rId729" ref="B728"/>
    <hyperlink r:id="rId730" ref="B729"/>
    <hyperlink r:id="rId731" ref="B730"/>
    <hyperlink r:id="rId732" ref="B731"/>
    <hyperlink r:id="rId733" ref="B732"/>
    <hyperlink r:id="rId734" ref="B733"/>
    <hyperlink r:id="rId735" ref="B734"/>
    <hyperlink r:id="rId736" ref="B735"/>
    <hyperlink r:id="rId737" ref="B736"/>
    <hyperlink r:id="rId738" ref="B737"/>
    <hyperlink r:id="rId739" ref="B738"/>
    <hyperlink r:id="rId740" ref="B739"/>
    <hyperlink r:id="rId741" ref="B740"/>
    <hyperlink r:id="rId742" ref="B741"/>
    <hyperlink r:id="rId743" ref="B742"/>
    <hyperlink r:id="rId744" ref="B743"/>
    <hyperlink r:id="rId745" ref="B744"/>
    <hyperlink r:id="rId746" ref="B745"/>
    <hyperlink r:id="rId747" ref="B746"/>
    <hyperlink r:id="rId748" ref="B747"/>
    <hyperlink r:id="rId749" ref="B748"/>
    <hyperlink r:id="rId750" ref="B749"/>
    <hyperlink r:id="rId751" ref="B750"/>
    <hyperlink r:id="rId752" ref="B751"/>
    <hyperlink r:id="rId753" ref="B752"/>
    <hyperlink r:id="rId754" ref="B753"/>
    <hyperlink r:id="rId755" ref="B754"/>
    <hyperlink r:id="rId756" ref="B755"/>
    <hyperlink r:id="rId757" ref="B756"/>
    <hyperlink r:id="rId758" ref="B757"/>
    <hyperlink r:id="rId759" ref="B758"/>
    <hyperlink r:id="rId760" ref="B759"/>
    <hyperlink r:id="rId761" ref="B760"/>
    <hyperlink r:id="rId762" ref="B761"/>
    <hyperlink r:id="rId763" ref="B762"/>
    <hyperlink r:id="rId764" ref="B763"/>
    <hyperlink r:id="rId765" ref="B764"/>
    <hyperlink r:id="rId766" ref="B765"/>
    <hyperlink r:id="rId767" ref="B766"/>
    <hyperlink r:id="rId768" ref="B767"/>
    <hyperlink r:id="rId769" ref="B768"/>
    <hyperlink r:id="rId770" ref="B769"/>
    <hyperlink r:id="rId771" ref="B770"/>
    <hyperlink r:id="rId772" ref="B771"/>
    <hyperlink r:id="rId773" ref="B772"/>
    <hyperlink r:id="rId774" ref="B773"/>
    <hyperlink r:id="rId775" ref="B774"/>
    <hyperlink r:id="rId776" ref="B775"/>
    <hyperlink r:id="rId777" ref="B776"/>
    <hyperlink r:id="rId778" ref="B777"/>
    <hyperlink r:id="rId779" ref="B778"/>
    <hyperlink r:id="rId780" ref="B779"/>
    <hyperlink r:id="rId781" ref="B780"/>
    <hyperlink r:id="rId782" ref="B781"/>
    <hyperlink r:id="rId783" ref="B782"/>
    <hyperlink r:id="rId784" ref="B783"/>
    <hyperlink r:id="rId785" ref="B784"/>
    <hyperlink r:id="rId786" ref="B785"/>
    <hyperlink r:id="rId787" ref="B786"/>
    <hyperlink r:id="rId788" ref="B787"/>
    <hyperlink r:id="rId789" ref="B788"/>
    <hyperlink r:id="rId790" ref="B789"/>
    <hyperlink r:id="rId791" ref="B790"/>
    <hyperlink r:id="rId792" ref="B791"/>
    <hyperlink r:id="rId793" ref="B792"/>
    <hyperlink r:id="rId794" ref="B793"/>
    <hyperlink r:id="rId795" ref="B794"/>
    <hyperlink r:id="rId796" ref="B795"/>
    <hyperlink r:id="rId797" ref="B796"/>
    <hyperlink r:id="rId798" ref="B797"/>
    <hyperlink r:id="rId799" ref="B798"/>
    <hyperlink r:id="rId800" ref="B799"/>
    <hyperlink r:id="rId801" ref="B800"/>
    <hyperlink r:id="rId802" ref="B801"/>
    <hyperlink r:id="rId803" ref="B802"/>
    <hyperlink r:id="rId804" ref="B803"/>
    <hyperlink r:id="rId805" ref="B804"/>
    <hyperlink r:id="rId806" ref="B805"/>
    <hyperlink r:id="rId807" ref="B806"/>
    <hyperlink r:id="rId808" ref="B807"/>
    <hyperlink r:id="rId809" ref="B808"/>
    <hyperlink r:id="rId810" ref="B809"/>
    <hyperlink r:id="rId811" ref="B810"/>
    <hyperlink r:id="rId812" ref="B811"/>
    <hyperlink r:id="rId813" ref="B812"/>
    <hyperlink r:id="rId814" ref="B813"/>
    <hyperlink r:id="rId815" ref="B814"/>
    <hyperlink r:id="rId816" ref="B815"/>
    <hyperlink r:id="rId817" ref="B816"/>
    <hyperlink r:id="rId818" ref="B817"/>
    <hyperlink r:id="rId819" ref="B818"/>
    <hyperlink r:id="rId820" ref="B819"/>
    <hyperlink r:id="rId821" ref="B820"/>
    <hyperlink r:id="rId822" ref="B821"/>
    <hyperlink r:id="rId823" ref="B822"/>
    <hyperlink r:id="rId824" ref="B823"/>
    <hyperlink r:id="rId825" ref="B824"/>
    <hyperlink r:id="rId826" ref="B825"/>
    <hyperlink r:id="rId827" ref="B826"/>
    <hyperlink r:id="rId828" ref="B827"/>
    <hyperlink r:id="rId829" ref="B828"/>
    <hyperlink r:id="rId830" ref="B829"/>
    <hyperlink r:id="rId831" ref="B830"/>
    <hyperlink r:id="rId832" ref="B831"/>
    <hyperlink r:id="rId833" ref="B832"/>
    <hyperlink r:id="rId834" ref="B833"/>
    <hyperlink r:id="rId835" ref="B834"/>
    <hyperlink r:id="rId836" ref="B835"/>
    <hyperlink r:id="rId837" ref="B836"/>
    <hyperlink r:id="rId838" ref="B837"/>
    <hyperlink r:id="rId839" ref="B838"/>
    <hyperlink r:id="rId840" ref="B839"/>
    <hyperlink r:id="rId841" ref="B840"/>
    <hyperlink r:id="rId842" ref="B841"/>
    <hyperlink r:id="rId843" ref="B842"/>
    <hyperlink r:id="rId844" ref="B843"/>
    <hyperlink r:id="rId845" ref="B844"/>
    <hyperlink r:id="rId846" ref="B845"/>
    <hyperlink r:id="rId847" ref="B846"/>
    <hyperlink r:id="rId848" ref="B847"/>
    <hyperlink r:id="rId849" ref="B848"/>
    <hyperlink r:id="rId850" ref="B849"/>
    <hyperlink r:id="rId851" ref="B850"/>
    <hyperlink r:id="rId852" ref="B851"/>
    <hyperlink r:id="rId853" ref="B852"/>
    <hyperlink r:id="rId854" ref="B853"/>
    <hyperlink r:id="rId855" ref="B854"/>
    <hyperlink r:id="rId856" ref="B855"/>
    <hyperlink r:id="rId857" ref="B856"/>
    <hyperlink r:id="rId858" ref="B857"/>
    <hyperlink r:id="rId859" ref="B858"/>
    <hyperlink r:id="rId860" ref="B859"/>
    <hyperlink r:id="rId861" ref="B860"/>
    <hyperlink r:id="rId862" ref="B861"/>
    <hyperlink r:id="rId863" ref="B862"/>
    <hyperlink r:id="rId864" ref="B863"/>
    <hyperlink r:id="rId865" ref="B864"/>
    <hyperlink r:id="rId866" ref="B865"/>
    <hyperlink r:id="rId867" ref="B866"/>
    <hyperlink r:id="rId868" ref="B867"/>
    <hyperlink r:id="rId869" ref="B868"/>
    <hyperlink r:id="rId870" ref="B869"/>
    <hyperlink r:id="rId871" ref="B870"/>
    <hyperlink r:id="rId872" ref="B871"/>
    <hyperlink r:id="rId873" ref="B872"/>
    <hyperlink r:id="rId874" ref="B873"/>
    <hyperlink r:id="rId875" ref="B874"/>
    <hyperlink r:id="rId876" ref="B875"/>
    <hyperlink r:id="rId877" ref="B876"/>
    <hyperlink r:id="rId878" ref="B877"/>
    <hyperlink r:id="rId879" ref="B878"/>
    <hyperlink r:id="rId880" ref="B879"/>
    <hyperlink r:id="rId881" ref="B880"/>
    <hyperlink r:id="rId882" ref="B881"/>
    <hyperlink r:id="rId883" ref="B882"/>
    <hyperlink r:id="rId884" ref="B883"/>
    <hyperlink r:id="rId885" ref="B884"/>
    <hyperlink r:id="rId886" ref="B885"/>
    <hyperlink r:id="rId887" ref="B886"/>
    <hyperlink r:id="rId888" ref="B887"/>
    <hyperlink r:id="rId889" ref="B888"/>
    <hyperlink r:id="rId890" ref="B889"/>
    <hyperlink r:id="rId891" ref="B890"/>
    <hyperlink r:id="rId892" ref="B891"/>
    <hyperlink r:id="rId893" ref="B892"/>
    <hyperlink r:id="rId894" ref="B893"/>
    <hyperlink r:id="rId895" ref="B894"/>
    <hyperlink r:id="rId896" ref="B895"/>
    <hyperlink r:id="rId897" ref="B896"/>
    <hyperlink r:id="rId898" ref="B897"/>
    <hyperlink r:id="rId899" ref="B898"/>
    <hyperlink r:id="rId900" ref="B899"/>
    <hyperlink r:id="rId901" ref="B900"/>
    <hyperlink r:id="rId902" ref="B901"/>
    <hyperlink r:id="rId903" ref="B902"/>
    <hyperlink r:id="rId904" ref="B903"/>
    <hyperlink r:id="rId905" ref="B904"/>
    <hyperlink r:id="rId906" ref="B905"/>
    <hyperlink r:id="rId907" ref="B906"/>
    <hyperlink r:id="rId908" ref="B907"/>
    <hyperlink r:id="rId909" ref="B908"/>
    <hyperlink r:id="rId910" ref="B909"/>
    <hyperlink r:id="rId911" ref="B910"/>
    <hyperlink r:id="rId912" ref="B911"/>
    <hyperlink r:id="rId913" ref="B912"/>
    <hyperlink r:id="rId914" ref="B913"/>
    <hyperlink r:id="rId915" ref="B914"/>
    <hyperlink r:id="rId916" ref="B915"/>
    <hyperlink r:id="rId917" ref="B916"/>
    <hyperlink r:id="rId918" ref="B917"/>
    <hyperlink r:id="rId919" ref="B918"/>
    <hyperlink r:id="rId920" ref="B919"/>
    <hyperlink r:id="rId921" ref="B920"/>
    <hyperlink r:id="rId922" ref="B921"/>
    <hyperlink r:id="rId923" ref="B922"/>
    <hyperlink r:id="rId924" ref="B923"/>
    <hyperlink r:id="rId925" ref="B924"/>
    <hyperlink r:id="rId926" ref="B925"/>
    <hyperlink r:id="rId927" ref="B926"/>
    <hyperlink r:id="rId928" ref="B927"/>
    <hyperlink r:id="rId929" ref="B928"/>
    <hyperlink r:id="rId930" ref="B929"/>
    <hyperlink r:id="rId931" ref="B930"/>
    <hyperlink r:id="rId932" ref="B931"/>
    <hyperlink r:id="rId933" ref="B932"/>
    <hyperlink r:id="rId934" ref="B933"/>
    <hyperlink r:id="rId935" ref="B934"/>
    <hyperlink r:id="rId936" ref="B935"/>
    <hyperlink r:id="rId937" ref="B936"/>
    <hyperlink r:id="rId938" ref="B937"/>
    <hyperlink r:id="rId939" ref="B938"/>
    <hyperlink r:id="rId940" ref="B939"/>
    <hyperlink r:id="rId941" ref="B940"/>
    <hyperlink r:id="rId942" ref="B941"/>
    <hyperlink r:id="rId943" ref="B942"/>
    <hyperlink r:id="rId944" ref="B943"/>
    <hyperlink r:id="rId945" ref="B944"/>
    <hyperlink r:id="rId946" ref="B945"/>
    <hyperlink r:id="rId947" ref="B946"/>
    <hyperlink r:id="rId948" ref="B947"/>
    <hyperlink r:id="rId949" ref="B948"/>
    <hyperlink r:id="rId950" ref="B949"/>
    <hyperlink r:id="rId951" ref="B950"/>
    <hyperlink r:id="rId952" ref="B951"/>
    <hyperlink r:id="rId953" ref="B952"/>
    <hyperlink r:id="rId954" ref="B953"/>
    <hyperlink r:id="rId955" ref="B954"/>
    <hyperlink r:id="rId956" ref="B955"/>
    <hyperlink r:id="rId957" ref="B956"/>
    <hyperlink r:id="rId958" ref="B957"/>
    <hyperlink r:id="rId959" ref="B958"/>
    <hyperlink r:id="rId960" ref="B959"/>
    <hyperlink r:id="rId961" ref="B960"/>
    <hyperlink r:id="rId962" ref="B961"/>
    <hyperlink r:id="rId963" ref="B962"/>
    <hyperlink r:id="rId964" ref="B963"/>
    <hyperlink r:id="rId965" ref="B964"/>
    <hyperlink r:id="rId966" ref="B965"/>
    <hyperlink r:id="rId967" ref="B966"/>
    <hyperlink r:id="rId968" ref="B967"/>
    <hyperlink r:id="rId969" ref="B968"/>
    <hyperlink r:id="rId970" ref="B969"/>
    <hyperlink r:id="rId971" ref="B970"/>
    <hyperlink r:id="rId972" ref="B971"/>
    <hyperlink r:id="rId973" ref="B972"/>
    <hyperlink r:id="rId974" ref="B973"/>
    <hyperlink r:id="rId975" ref="B974"/>
    <hyperlink r:id="rId976" ref="B975"/>
    <hyperlink r:id="rId977" ref="B976"/>
    <hyperlink r:id="rId978" ref="B977"/>
    <hyperlink r:id="rId979" ref="B978"/>
    <hyperlink r:id="rId980" ref="B979"/>
    <hyperlink r:id="rId981" ref="B980"/>
    <hyperlink r:id="rId982" ref="B981"/>
    <hyperlink r:id="rId983" ref="B982"/>
    <hyperlink r:id="rId984" ref="B983"/>
    <hyperlink r:id="rId985" ref="B984"/>
    <hyperlink r:id="rId986" ref="B985"/>
    <hyperlink r:id="rId987" ref="B986"/>
    <hyperlink r:id="rId988" ref="B987"/>
    <hyperlink r:id="rId989" ref="B988"/>
    <hyperlink r:id="rId990" ref="B989"/>
    <hyperlink r:id="rId991" ref="B990"/>
    <hyperlink r:id="rId992" ref="B991"/>
    <hyperlink r:id="rId993" ref="B992"/>
    <hyperlink r:id="rId994" ref="B993"/>
    <hyperlink r:id="rId995" ref="B994"/>
    <hyperlink r:id="rId996" ref="B995"/>
    <hyperlink r:id="rId997" ref="B996"/>
    <hyperlink r:id="rId998" ref="B997"/>
    <hyperlink r:id="rId999" ref="B998"/>
    <hyperlink r:id="rId1000" ref="B999"/>
    <hyperlink r:id="rId1001" ref="B1000"/>
    <hyperlink r:id="rId1002" ref="B1001"/>
    <hyperlink r:id="rId1003" ref="B1002"/>
    <hyperlink r:id="rId1004" ref="B1003"/>
    <hyperlink r:id="rId1005" ref="B1004"/>
    <hyperlink r:id="rId1006" ref="B1005"/>
    <hyperlink r:id="rId1007" ref="B1006"/>
    <hyperlink r:id="rId1008" ref="B1007"/>
    <hyperlink r:id="rId1009" ref="B1008"/>
    <hyperlink r:id="rId1010" ref="B1009"/>
    <hyperlink r:id="rId1011" ref="B1010"/>
    <hyperlink r:id="rId1012" ref="B1011"/>
    <hyperlink r:id="rId1013" ref="B1012"/>
    <hyperlink r:id="rId1014" ref="B1013"/>
    <hyperlink r:id="rId1015" ref="B1014"/>
    <hyperlink r:id="rId1016" ref="B1015"/>
    <hyperlink r:id="rId1017" ref="B1016"/>
    <hyperlink r:id="rId1018" ref="B1017"/>
    <hyperlink r:id="rId1019" ref="B1018"/>
    <hyperlink r:id="rId1020" ref="B1019"/>
    <hyperlink r:id="rId1021" ref="B1020"/>
    <hyperlink r:id="rId1022" ref="B1021"/>
    <hyperlink r:id="rId1023" ref="B1022"/>
    <hyperlink r:id="rId1024" ref="B1023"/>
    <hyperlink r:id="rId1025" ref="B1024"/>
    <hyperlink r:id="rId1026" ref="B1025"/>
    <hyperlink r:id="rId1027" ref="B1026"/>
    <hyperlink r:id="rId1028" ref="B1027"/>
    <hyperlink r:id="rId1029" ref="B1028"/>
    <hyperlink r:id="rId1030" ref="B1029"/>
    <hyperlink r:id="rId1031" ref="B1030"/>
    <hyperlink r:id="rId1032" ref="B1031"/>
    <hyperlink r:id="rId1033" ref="B1032"/>
    <hyperlink r:id="rId1034" ref="B1033"/>
    <hyperlink r:id="rId1035" ref="B1034"/>
    <hyperlink r:id="rId1036" ref="B1035"/>
    <hyperlink r:id="rId1037" ref="B1036"/>
    <hyperlink r:id="rId1038" ref="B1037"/>
    <hyperlink r:id="rId1039" ref="B1038"/>
    <hyperlink r:id="rId1040" ref="B1039"/>
    <hyperlink r:id="rId1041" ref="B1040"/>
    <hyperlink r:id="rId1042" ref="B1041"/>
    <hyperlink r:id="rId1043" ref="B1042"/>
    <hyperlink r:id="rId1044" ref="B1043"/>
    <hyperlink r:id="rId1045" ref="B1044"/>
    <hyperlink r:id="rId1046" ref="B1045"/>
    <hyperlink r:id="rId1047" ref="B1046"/>
    <hyperlink r:id="rId1048" ref="B1047"/>
    <hyperlink r:id="rId1049" ref="B1048"/>
    <hyperlink r:id="rId1050" ref="B1049"/>
    <hyperlink r:id="rId1051" ref="B1050"/>
    <hyperlink r:id="rId1052" ref="B1051"/>
    <hyperlink r:id="rId1053" ref="B1052"/>
    <hyperlink r:id="rId1054" ref="B1053"/>
    <hyperlink r:id="rId1055" ref="B1054"/>
    <hyperlink r:id="rId1056" ref="B1055"/>
    <hyperlink r:id="rId1057" ref="B1056"/>
    <hyperlink r:id="rId1058" ref="B1057"/>
    <hyperlink r:id="rId1059" ref="B1058"/>
    <hyperlink r:id="rId1060" ref="B1059"/>
    <hyperlink r:id="rId1061" ref="B1060"/>
    <hyperlink r:id="rId1062" ref="B1061"/>
    <hyperlink r:id="rId1063" ref="B1062"/>
    <hyperlink r:id="rId1064" ref="B1063"/>
    <hyperlink r:id="rId1065" ref="B1064"/>
    <hyperlink r:id="rId1066" ref="B1065"/>
    <hyperlink r:id="rId1067" ref="B1066"/>
    <hyperlink r:id="rId1068" ref="B1067"/>
    <hyperlink r:id="rId1069" ref="B1068"/>
    <hyperlink r:id="rId1070" ref="B1069"/>
    <hyperlink r:id="rId1071" ref="B1070"/>
    <hyperlink r:id="rId1072" ref="B1071"/>
    <hyperlink r:id="rId1073" ref="B1072"/>
    <hyperlink r:id="rId1074" ref="B1073"/>
    <hyperlink r:id="rId1075" ref="B1074"/>
    <hyperlink r:id="rId1076" ref="B1075"/>
    <hyperlink r:id="rId1077" ref="B1076"/>
    <hyperlink r:id="rId1078" ref="B1077"/>
    <hyperlink r:id="rId1079" ref="B1078"/>
    <hyperlink r:id="rId1080" ref="B1079"/>
    <hyperlink r:id="rId1081" ref="B1080"/>
    <hyperlink r:id="rId1082" ref="B1081"/>
    <hyperlink r:id="rId1083" ref="B1082"/>
    <hyperlink r:id="rId1084" ref="B1083"/>
    <hyperlink r:id="rId1085" ref="B1084"/>
    <hyperlink r:id="rId1086" ref="B1085"/>
    <hyperlink r:id="rId1087" ref="B1086"/>
    <hyperlink r:id="rId1088" ref="B1087"/>
    <hyperlink r:id="rId1089" ref="B1088"/>
    <hyperlink r:id="rId1090" ref="B1089"/>
    <hyperlink r:id="rId1091" ref="B1090"/>
    <hyperlink r:id="rId1092" ref="B1091"/>
    <hyperlink r:id="rId1093" ref="B1092"/>
    <hyperlink r:id="rId1094" ref="B1093"/>
    <hyperlink r:id="rId1095" ref="B1094"/>
    <hyperlink r:id="rId1096" ref="B1095"/>
    <hyperlink r:id="rId1097" ref="B1096"/>
    <hyperlink r:id="rId1098" ref="B1097"/>
    <hyperlink r:id="rId1099" ref="B1098"/>
    <hyperlink r:id="rId1100" ref="B1099"/>
    <hyperlink r:id="rId1101" ref="B1100"/>
    <hyperlink r:id="rId1102" ref="B1101"/>
    <hyperlink r:id="rId1103" ref="B1102"/>
    <hyperlink r:id="rId1104" ref="B1103"/>
    <hyperlink r:id="rId1105" ref="B1104"/>
    <hyperlink r:id="rId1106" ref="B1105"/>
    <hyperlink r:id="rId1107" ref="B1106"/>
    <hyperlink r:id="rId1108" ref="B1107"/>
    <hyperlink r:id="rId1109" ref="B1108"/>
    <hyperlink r:id="rId1110" ref="B1109"/>
    <hyperlink r:id="rId1111" ref="B1110"/>
    <hyperlink r:id="rId1112" ref="B1111"/>
    <hyperlink r:id="rId1113" ref="B1112"/>
    <hyperlink r:id="rId1114" ref="B1113"/>
    <hyperlink r:id="rId1115" ref="B1114"/>
    <hyperlink r:id="rId1116" ref="B1115"/>
    <hyperlink r:id="rId1117" ref="B1116"/>
    <hyperlink r:id="rId1118" ref="B1117"/>
    <hyperlink r:id="rId1119" ref="B1118"/>
    <hyperlink r:id="rId1120" ref="B1119"/>
    <hyperlink r:id="rId1121" ref="B1120"/>
    <hyperlink r:id="rId1122" ref="B1121"/>
    <hyperlink r:id="rId1123" ref="B1122"/>
    <hyperlink r:id="rId1124" ref="B1123"/>
    <hyperlink r:id="rId1125" ref="B1124"/>
    <hyperlink r:id="rId1126" ref="B1125"/>
    <hyperlink r:id="rId1127" ref="B1126"/>
    <hyperlink r:id="rId1128" ref="B1127"/>
    <hyperlink r:id="rId1129" ref="B1128"/>
    <hyperlink r:id="rId1130" ref="B1129"/>
    <hyperlink r:id="rId1131" ref="B1130"/>
    <hyperlink r:id="rId1132" ref="B1131"/>
    <hyperlink r:id="rId1133" ref="B1132"/>
    <hyperlink r:id="rId1134" ref="B1133"/>
    <hyperlink r:id="rId1135" ref="B1134"/>
    <hyperlink r:id="rId1136" ref="B1135"/>
    <hyperlink r:id="rId1137" ref="B1136"/>
    <hyperlink r:id="rId1138" ref="B1137"/>
    <hyperlink r:id="rId1139" ref="B1138"/>
    <hyperlink r:id="rId1140" ref="B1139"/>
    <hyperlink r:id="rId1141" ref="B1140"/>
    <hyperlink r:id="rId1142" ref="B1141"/>
    <hyperlink r:id="rId1143" ref="B1142"/>
    <hyperlink r:id="rId1144" ref="B1143"/>
    <hyperlink r:id="rId1145" ref="B1144"/>
    <hyperlink r:id="rId1146" ref="B1145"/>
    <hyperlink r:id="rId1147" ref="B1146"/>
    <hyperlink r:id="rId1148" ref="B1147"/>
    <hyperlink r:id="rId1149" ref="B1148"/>
    <hyperlink r:id="rId1150" ref="B1149"/>
    <hyperlink r:id="rId1151" ref="B1150"/>
    <hyperlink r:id="rId1152" ref="B1151"/>
    <hyperlink r:id="rId1153" ref="B1152"/>
    <hyperlink r:id="rId1154" ref="B1153"/>
    <hyperlink r:id="rId1155" ref="B1154"/>
    <hyperlink r:id="rId1156" ref="B1155"/>
    <hyperlink r:id="rId1157" ref="B1156"/>
    <hyperlink r:id="rId1158" ref="B1157"/>
    <hyperlink r:id="rId1159" ref="B1158"/>
    <hyperlink r:id="rId1160" ref="B1159"/>
    <hyperlink r:id="rId1161" ref="B1160"/>
    <hyperlink r:id="rId1162" ref="B1161"/>
    <hyperlink r:id="rId1163" ref="B1162"/>
    <hyperlink r:id="rId1164" ref="B1163"/>
    <hyperlink r:id="rId1165" ref="B1164"/>
    <hyperlink r:id="rId1166" ref="B1165"/>
    <hyperlink r:id="rId1167" ref="B1166"/>
    <hyperlink r:id="rId1168" ref="B1167"/>
    <hyperlink r:id="rId1169" ref="B1168"/>
    <hyperlink r:id="rId1170" ref="B1169"/>
    <hyperlink r:id="rId1171" ref="B1170"/>
    <hyperlink r:id="rId1172" ref="B1171"/>
    <hyperlink r:id="rId1173" ref="B1172"/>
    <hyperlink r:id="rId1174" ref="B1173"/>
    <hyperlink r:id="rId1175" ref="B1174"/>
    <hyperlink r:id="rId1176" ref="B1175"/>
    <hyperlink r:id="rId1177" ref="B1176"/>
    <hyperlink r:id="rId1178" ref="B1177"/>
    <hyperlink r:id="rId1179" ref="B1178"/>
    <hyperlink r:id="rId1180" ref="B1179"/>
    <hyperlink r:id="rId1181" ref="B1180"/>
    <hyperlink r:id="rId1182" ref="B1181"/>
    <hyperlink r:id="rId1183" ref="B1182"/>
    <hyperlink r:id="rId1184" ref="B1183"/>
    <hyperlink r:id="rId1185" ref="B1184"/>
    <hyperlink r:id="rId1186" ref="B1185"/>
    <hyperlink r:id="rId1187" ref="B1186"/>
    <hyperlink r:id="rId1188" ref="B1187"/>
    <hyperlink r:id="rId1189" ref="B1188"/>
    <hyperlink r:id="rId1190" ref="B1189"/>
    <hyperlink r:id="rId1191" ref="B1190"/>
    <hyperlink r:id="rId1192" ref="B1191"/>
    <hyperlink r:id="rId1193" ref="B1192"/>
    <hyperlink r:id="rId1194" ref="B1193"/>
    <hyperlink r:id="rId1195" ref="B1194"/>
    <hyperlink r:id="rId1196" ref="B1195"/>
    <hyperlink r:id="rId1197" ref="B1196"/>
    <hyperlink r:id="rId1198" ref="B1197"/>
    <hyperlink r:id="rId1199" ref="B1198"/>
    <hyperlink r:id="rId1200" ref="B1199"/>
    <hyperlink r:id="rId1201" ref="B1200"/>
    <hyperlink r:id="rId1202" ref="B1201"/>
    <hyperlink r:id="rId1203" ref="B1202"/>
    <hyperlink r:id="rId1204" ref="B1203"/>
    <hyperlink r:id="rId1205" ref="B1204"/>
    <hyperlink r:id="rId1206" ref="B1205"/>
    <hyperlink r:id="rId1207" ref="B1206"/>
    <hyperlink r:id="rId1208" ref="B1207"/>
    <hyperlink r:id="rId1209" ref="B1208"/>
    <hyperlink r:id="rId1210" ref="B1209"/>
    <hyperlink r:id="rId1211" ref="B1210"/>
    <hyperlink r:id="rId1212" ref="B1211"/>
    <hyperlink r:id="rId1213" ref="B1212"/>
    <hyperlink r:id="rId1214" ref="B1213"/>
    <hyperlink r:id="rId1215" ref="B1214"/>
    <hyperlink r:id="rId1216" ref="B1215"/>
    <hyperlink r:id="rId1217" ref="B1216"/>
    <hyperlink r:id="rId1218" ref="B1217"/>
    <hyperlink r:id="rId1219" ref="B1218"/>
    <hyperlink r:id="rId1220" ref="B1219"/>
    <hyperlink r:id="rId1221" ref="B1220"/>
    <hyperlink r:id="rId1222" ref="B1221"/>
    <hyperlink r:id="rId1223" ref="B1222"/>
    <hyperlink r:id="rId1224" ref="B1223"/>
    <hyperlink r:id="rId1225" ref="B1224"/>
    <hyperlink r:id="rId1226" ref="B1225"/>
    <hyperlink r:id="rId1227" ref="B1226"/>
    <hyperlink r:id="rId1228" ref="B1227"/>
    <hyperlink r:id="rId1229" ref="B1228"/>
    <hyperlink r:id="rId1230" ref="B1229"/>
    <hyperlink r:id="rId1231" ref="B1230"/>
    <hyperlink r:id="rId1232" ref="B1231"/>
    <hyperlink r:id="rId1233" ref="B1232"/>
    <hyperlink r:id="rId1234" ref="B1233"/>
    <hyperlink r:id="rId1235" ref="B1234"/>
    <hyperlink r:id="rId1236" ref="B1235"/>
    <hyperlink r:id="rId1237" ref="B1236"/>
    <hyperlink r:id="rId1238" ref="B1237"/>
    <hyperlink r:id="rId1239" ref="B1238"/>
    <hyperlink r:id="rId1240" ref="B1239"/>
    <hyperlink r:id="rId1241" ref="B1240"/>
    <hyperlink r:id="rId1242" ref="B1241"/>
    <hyperlink r:id="rId1243" ref="B1242"/>
    <hyperlink r:id="rId1244" ref="B1243"/>
    <hyperlink r:id="rId1245" ref="B1244"/>
    <hyperlink r:id="rId1246" ref="B1245"/>
    <hyperlink r:id="rId1247" ref="B1246"/>
    <hyperlink r:id="rId1248" ref="B1247"/>
    <hyperlink r:id="rId1249" ref="B1248"/>
    <hyperlink r:id="rId1250" ref="B1249"/>
    <hyperlink r:id="rId1251" ref="B1250"/>
    <hyperlink r:id="rId1252" ref="B1251"/>
    <hyperlink r:id="rId1253" ref="B1252"/>
    <hyperlink r:id="rId1254" ref="B1253"/>
    <hyperlink r:id="rId1255" ref="B1254"/>
    <hyperlink r:id="rId1256" ref="B1255"/>
    <hyperlink r:id="rId1257" ref="B1256"/>
    <hyperlink r:id="rId1258" ref="B1257"/>
    <hyperlink r:id="rId1259" ref="B1258"/>
    <hyperlink r:id="rId1260" ref="B1259"/>
    <hyperlink r:id="rId1261" ref="B1260"/>
    <hyperlink r:id="rId1262" ref="B1261"/>
    <hyperlink r:id="rId1263" ref="B1262"/>
    <hyperlink r:id="rId1264" ref="B1263"/>
    <hyperlink r:id="rId1265" ref="B1264"/>
    <hyperlink r:id="rId1266" ref="B1265"/>
    <hyperlink r:id="rId1267" ref="B1266"/>
    <hyperlink r:id="rId1268" ref="B1267"/>
    <hyperlink r:id="rId1269" ref="B1268"/>
    <hyperlink r:id="rId1270" ref="B1269"/>
    <hyperlink r:id="rId1271" ref="B1270"/>
    <hyperlink r:id="rId1272" ref="B1271"/>
    <hyperlink r:id="rId1273" ref="B1272"/>
    <hyperlink r:id="rId1274" ref="B1273"/>
    <hyperlink r:id="rId1275" ref="B1274"/>
    <hyperlink r:id="rId1276" ref="B1275"/>
    <hyperlink r:id="rId1277" ref="B1276"/>
    <hyperlink r:id="rId1278" ref="B1277"/>
    <hyperlink r:id="rId1279" ref="B1278"/>
    <hyperlink r:id="rId1280" ref="B1279"/>
    <hyperlink r:id="rId1281" ref="B1280"/>
    <hyperlink r:id="rId1282" ref="B1281"/>
    <hyperlink r:id="rId1283" ref="B1282"/>
    <hyperlink r:id="rId1284" ref="B1283"/>
    <hyperlink r:id="rId1285" ref="B1284"/>
    <hyperlink r:id="rId1286" ref="B1285"/>
    <hyperlink r:id="rId1287" ref="B1286"/>
    <hyperlink r:id="rId1288" ref="B1287"/>
    <hyperlink r:id="rId1289" ref="B1288"/>
    <hyperlink r:id="rId1290" ref="B1289"/>
    <hyperlink r:id="rId1291" ref="B1290"/>
    <hyperlink r:id="rId1292" ref="B1291"/>
    <hyperlink r:id="rId1293" ref="B1292"/>
    <hyperlink r:id="rId1294" ref="B1293"/>
    <hyperlink r:id="rId1295" ref="B1294"/>
    <hyperlink r:id="rId1296" ref="B1295"/>
    <hyperlink r:id="rId1297" ref="B1296"/>
    <hyperlink r:id="rId1298" ref="B1297"/>
    <hyperlink r:id="rId1299" ref="B1298"/>
    <hyperlink r:id="rId1300" ref="B1299"/>
    <hyperlink r:id="rId1301" ref="B1300"/>
    <hyperlink r:id="rId1302" ref="B1301"/>
    <hyperlink r:id="rId1303" ref="B1302"/>
    <hyperlink r:id="rId1304" ref="B1303"/>
    <hyperlink r:id="rId1305" ref="B1304"/>
    <hyperlink r:id="rId1306" ref="B1305"/>
    <hyperlink r:id="rId1307" ref="B1306"/>
    <hyperlink r:id="rId1308" ref="B1307"/>
    <hyperlink r:id="rId1309" ref="B1308"/>
    <hyperlink r:id="rId1310" ref="B1309"/>
    <hyperlink r:id="rId1311" ref="B1310"/>
    <hyperlink r:id="rId1312" ref="B1311"/>
    <hyperlink r:id="rId1313" ref="B1312"/>
    <hyperlink r:id="rId1314" ref="B1313"/>
    <hyperlink r:id="rId1315" ref="B1314"/>
    <hyperlink r:id="rId1316" ref="B1315"/>
    <hyperlink r:id="rId1317" ref="B1316"/>
    <hyperlink r:id="rId1318" ref="B1317"/>
    <hyperlink r:id="rId1319" ref="B1318"/>
    <hyperlink r:id="rId1320" ref="B1319"/>
    <hyperlink r:id="rId1321" ref="B1320"/>
    <hyperlink r:id="rId1322" ref="B1321"/>
    <hyperlink r:id="rId1323" ref="B1322"/>
    <hyperlink r:id="rId1324" ref="B1323"/>
    <hyperlink r:id="rId1325" ref="B1324"/>
    <hyperlink r:id="rId1326" ref="B1325"/>
    <hyperlink r:id="rId1327" ref="B1326"/>
    <hyperlink r:id="rId1328" ref="B1327"/>
    <hyperlink r:id="rId1329" ref="B1328"/>
    <hyperlink r:id="rId1330" ref="B1329"/>
    <hyperlink r:id="rId1331" ref="B1330"/>
    <hyperlink r:id="rId1332" ref="B1331"/>
    <hyperlink r:id="rId1333" ref="B1332"/>
    <hyperlink r:id="rId1334" ref="B1333"/>
    <hyperlink r:id="rId1335" ref="B1334"/>
    <hyperlink r:id="rId1336" ref="B1335"/>
    <hyperlink r:id="rId1337" ref="B1336"/>
    <hyperlink r:id="rId1338" ref="B1337"/>
    <hyperlink r:id="rId1339" ref="B1338"/>
    <hyperlink r:id="rId1340" ref="B1339"/>
    <hyperlink r:id="rId1341" ref="B1340"/>
    <hyperlink r:id="rId1342" ref="B1341"/>
    <hyperlink r:id="rId1343" ref="B1342"/>
    <hyperlink r:id="rId1344" ref="B1343"/>
    <hyperlink r:id="rId1345" ref="B1344"/>
    <hyperlink r:id="rId1346" ref="B1345"/>
    <hyperlink r:id="rId1347" ref="B1346"/>
    <hyperlink r:id="rId1348" ref="B1347"/>
    <hyperlink r:id="rId1349" ref="B1348"/>
    <hyperlink r:id="rId1350" ref="B1349"/>
    <hyperlink r:id="rId1351" ref="B1350"/>
    <hyperlink r:id="rId1352" ref="B1351"/>
    <hyperlink r:id="rId1353" ref="B1352"/>
    <hyperlink r:id="rId1354" ref="B1353"/>
    <hyperlink r:id="rId1355" ref="B1354"/>
    <hyperlink r:id="rId1356" ref="B1355"/>
    <hyperlink r:id="rId1357" ref="B1356"/>
    <hyperlink r:id="rId1358" ref="B1357"/>
    <hyperlink r:id="rId1359" ref="B1358"/>
    <hyperlink r:id="rId1360" ref="B1359"/>
    <hyperlink r:id="rId1361" ref="B1360"/>
    <hyperlink r:id="rId1362" ref="B1361"/>
    <hyperlink r:id="rId1363" ref="B1362"/>
    <hyperlink r:id="rId1364" ref="B1363"/>
    <hyperlink r:id="rId1365" ref="B1364"/>
    <hyperlink r:id="rId1366" ref="B1365"/>
    <hyperlink r:id="rId1367" ref="B1366"/>
    <hyperlink r:id="rId1368" ref="B1367"/>
    <hyperlink r:id="rId1369" ref="B1368"/>
    <hyperlink r:id="rId1370" ref="B1369"/>
    <hyperlink r:id="rId1371" ref="B1370"/>
    <hyperlink r:id="rId1372" ref="B1371"/>
    <hyperlink r:id="rId1373" ref="B1372"/>
    <hyperlink r:id="rId1374" ref="B1373"/>
    <hyperlink r:id="rId1375" ref="B1374"/>
    <hyperlink r:id="rId1376" ref="B1375"/>
    <hyperlink r:id="rId1377" ref="B1376"/>
    <hyperlink r:id="rId1378" ref="B1377"/>
    <hyperlink r:id="rId1379" ref="B1378"/>
    <hyperlink r:id="rId1380" ref="B1379"/>
    <hyperlink r:id="rId1381" ref="B1380"/>
    <hyperlink r:id="rId1382" ref="B1381"/>
    <hyperlink r:id="rId1383" ref="B1382"/>
    <hyperlink r:id="rId1384" ref="B1383"/>
    <hyperlink r:id="rId1385" ref="B1384"/>
    <hyperlink r:id="rId1386" ref="B1385"/>
    <hyperlink r:id="rId1387" ref="B1386"/>
    <hyperlink r:id="rId1388" ref="B1387"/>
    <hyperlink r:id="rId1389" ref="B1388"/>
    <hyperlink r:id="rId1390" ref="B1389"/>
    <hyperlink r:id="rId1391" ref="B1390"/>
    <hyperlink r:id="rId1392" ref="B1391"/>
    <hyperlink r:id="rId1393" ref="B1392"/>
    <hyperlink r:id="rId1394" ref="B1393"/>
    <hyperlink r:id="rId1395" ref="B1394"/>
    <hyperlink r:id="rId1396" ref="B1395"/>
    <hyperlink r:id="rId1397" ref="B1396"/>
    <hyperlink r:id="rId1398" ref="B1397"/>
    <hyperlink r:id="rId1399" ref="B1398"/>
    <hyperlink r:id="rId1400" ref="B1399"/>
    <hyperlink r:id="rId1401" ref="B1400"/>
    <hyperlink r:id="rId1402" ref="B1401"/>
    <hyperlink r:id="rId1403" ref="B1402"/>
    <hyperlink r:id="rId1404" ref="B1403"/>
    <hyperlink r:id="rId1405" ref="B1404"/>
    <hyperlink r:id="rId1406" ref="B1405"/>
    <hyperlink r:id="rId1407" ref="B1406"/>
    <hyperlink r:id="rId1408" ref="B1407"/>
    <hyperlink r:id="rId1409" ref="B1408"/>
    <hyperlink r:id="rId1410" ref="B1409"/>
    <hyperlink r:id="rId1411" ref="B1410"/>
    <hyperlink r:id="rId1412" ref="B1411"/>
    <hyperlink r:id="rId1413" ref="B1412"/>
    <hyperlink r:id="rId1414" ref="B1413"/>
    <hyperlink r:id="rId1415" ref="B1414"/>
    <hyperlink r:id="rId1416" ref="B1415"/>
    <hyperlink r:id="rId1417" ref="B1416"/>
    <hyperlink r:id="rId1418" ref="B1417"/>
    <hyperlink r:id="rId1419" ref="B1418"/>
    <hyperlink r:id="rId1420" ref="B1419"/>
    <hyperlink r:id="rId1421" ref="B1420"/>
    <hyperlink r:id="rId1422" ref="B1421"/>
    <hyperlink r:id="rId1423" ref="B1422"/>
    <hyperlink r:id="rId1424" ref="B1423"/>
    <hyperlink r:id="rId1425" ref="B1424"/>
    <hyperlink r:id="rId1426" ref="B1425"/>
    <hyperlink r:id="rId1427" ref="B1426"/>
    <hyperlink r:id="rId1428" ref="B1427"/>
    <hyperlink r:id="rId1429" ref="B1428"/>
    <hyperlink r:id="rId1430" ref="B1429"/>
    <hyperlink r:id="rId1431" ref="B1430"/>
    <hyperlink r:id="rId1432" ref="B1431"/>
    <hyperlink r:id="rId1433" ref="B1432"/>
    <hyperlink r:id="rId1434" ref="B1433"/>
    <hyperlink r:id="rId1435" ref="B1434"/>
    <hyperlink r:id="rId1436" ref="B1435"/>
    <hyperlink r:id="rId1437" ref="B1436"/>
    <hyperlink r:id="rId1438" ref="B1437"/>
    <hyperlink r:id="rId1439" ref="B1438"/>
    <hyperlink r:id="rId1440" ref="B1439"/>
    <hyperlink r:id="rId1441" ref="B1440"/>
    <hyperlink r:id="rId1442" ref="B1441"/>
    <hyperlink r:id="rId1443" ref="B1442"/>
    <hyperlink r:id="rId1444" ref="B1443"/>
    <hyperlink r:id="rId1445" ref="B1444"/>
    <hyperlink r:id="rId1446" ref="B1445"/>
    <hyperlink r:id="rId1447" ref="B1446"/>
    <hyperlink r:id="rId1448" ref="B1447"/>
    <hyperlink r:id="rId1449" ref="B1448"/>
    <hyperlink r:id="rId1450" ref="B1449"/>
    <hyperlink r:id="rId1451" ref="B1450"/>
    <hyperlink r:id="rId1452" ref="B1451"/>
    <hyperlink r:id="rId1453" ref="B1452"/>
    <hyperlink r:id="rId1454" ref="B1453"/>
    <hyperlink r:id="rId1455" ref="B1454"/>
    <hyperlink r:id="rId1456" ref="B1455"/>
    <hyperlink r:id="rId1457" ref="B1456"/>
    <hyperlink r:id="rId1458" ref="B1457"/>
    <hyperlink r:id="rId1459" ref="B1458"/>
    <hyperlink r:id="rId1460" ref="B1459"/>
    <hyperlink r:id="rId1461" ref="B1460"/>
    <hyperlink r:id="rId1462" ref="B1461"/>
    <hyperlink r:id="rId1463" ref="B1462"/>
    <hyperlink r:id="rId1464" ref="B1463"/>
    <hyperlink r:id="rId1465" ref="B1464"/>
    <hyperlink r:id="rId1466" ref="B1465"/>
    <hyperlink r:id="rId1467" ref="B1466"/>
    <hyperlink r:id="rId1468" ref="B1467"/>
    <hyperlink r:id="rId1469" ref="B1468"/>
    <hyperlink r:id="rId1470" ref="B1469"/>
    <hyperlink r:id="rId1471" ref="B1470"/>
    <hyperlink r:id="rId1472" ref="B1471"/>
    <hyperlink r:id="rId1473" ref="B1472"/>
    <hyperlink r:id="rId1474" ref="B1473"/>
    <hyperlink r:id="rId1475" ref="B1474"/>
    <hyperlink r:id="rId1476" ref="B1475"/>
    <hyperlink r:id="rId1477" ref="B1476"/>
    <hyperlink r:id="rId1478" ref="B1477"/>
    <hyperlink r:id="rId1479" ref="B1478"/>
    <hyperlink r:id="rId1480" ref="B1479"/>
    <hyperlink r:id="rId1481" ref="B1480"/>
    <hyperlink r:id="rId1482" ref="B1481"/>
    <hyperlink r:id="rId1483" ref="B1482"/>
    <hyperlink r:id="rId1484" ref="B1483"/>
    <hyperlink r:id="rId1485" ref="B1484"/>
    <hyperlink r:id="rId1486" ref="B1485"/>
    <hyperlink r:id="rId1487" ref="B1486"/>
    <hyperlink r:id="rId1488" ref="B1487"/>
    <hyperlink r:id="rId1489" ref="B1488"/>
    <hyperlink r:id="rId1490" ref="B1489"/>
    <hyperlink r:id="rId1491" ref="B1490"/>
    <hyperlink r:id="rId1492" ref="B1491"/>
    <hyperlink r:id="rId1493" ref="B1492"/>
    <hyperlink r:id="rId1494" ref="B1493"/>
    <hyperlink r:id="rId1495" ref="B1494"/>
    <hyperlink r:id="rId1496" ref="B1495"/>
    <hyperlink r:id="rId1497" ref="B1496"/>
    <hyperlink r:id="rId1498" ref="B1497"/>
    <hyperlink r:id="rId1499" ref="B1498"/>
    <hyperlink r:id="rId1500" ref="B1499"/>
    <hyperlink r:id="rId1501" ref="B1500"/>
    <hyperlink r:id="rId1502" ref="B1501"/>
    <hyperlink r:id="rId1503" ref="B1502"/>
    <hyperlink r:id="rId1504" ref="B1503"/>
    <hyperlink r:id="rId1505" ref="B1504"/>
    <hyperlink r:id="rId1506" ref="B1505"/>
    <hyperlink r:id="rId1507" ref="B1506"/>
    <hyperlink r:id="rId1508" ref="B1507"/>
    <hyperlink r:id="rId1509" ref="B1508"/>
    <hyperlink r:id="rId1510" ref="B1509"/>
    <hyperlink r:id="rId1511" ref="B1510"/>
    <hyperlink r:id="rId1512" ref="B1511"/>
    <hyperlink r:id="rId1513" ref="B1512"/>
    <hyperlink r:id="rId1514" ref="B1513"/>
    <hyperlink r:id="rId1515" ref="B1514"/>
    <hyperlink r:id="rId1516" ref="B1515"/>
    <hyperlink r:id="rId1517" ref="B1516"/>
    <hyperlink r:id="rId1518" ref="B1517"/>
    <hyperlink r:id="rId1519" ref="B1518"/>
    <hyperlink r:id="rId1520" ref="B1519"/>
    <hyperlink r:id="rId1521" ref="B1520"/>
    <hyperlink r:id="rId1522" ref="B1521"/>
    <hyperlink r:id="rId1523" ref="B1522"/>
    <hyperlink r:id="rId1524" ref="B1523"/>
    <hyperlink r:id="rId1525" ref="B1524"/>
    <hyperlink r:id="rId1526" ref="B1525"/>
    <hyperlink r:id="rId1527" ref="B1526"/>
    <hyperlink r:id="rId1528" ref="B1527"/>
    <hyperlink r:id="rId1529" ref="B1528"/>
    <hyperlink r:id="rId1530" ref="B1529"/>
    <hyperlink r:id="rId1531" ref="B1530"/>
    <hyperlink r:id="rId1532" ref="B1531"/>
    <hyperlink r:id="rId1533" ref="B1532"/>
    <hyperlink r:id="rId1534" ref="B1533"/>
    <hyperlink r:id="rId1535" ref="B1534"/>
    <hyperlink r:id="rId1536" ref="B1535"/>
    <hyperlink r:id="rId1537" ref="B1536"/>
    <hyperlink r:id="rId1538" ref="B1537"/>
    <hyperlink r:id="rId1539" ref="B1538"/>
    <hyperlink r:id="rId1540" ref="B1539"/>
    <hyperlink r:id="rId1541" ref="B1540"/>
    <hyperlink r:id="rId1542" ref="B1541"/>
    <hyperlink r:id="rId1543" ref="B1542"/>
    <hyperlink r:id="rId1544" ref="B1543"/>
    <hyperlink r:id="rId1545" ref="B1544"/>
    <hyperlink r:id="rId1546" ref="B1545"/>
    <hyperlink r:id="rId1547" ref="B1546"/>
    <hyperlink r:id="rId1548" ref="B1547"/>
    <hyperlink r:id="rId1549" ref="B1548"/>
    <hyperlink r:id="rId1550" ref="B1549"/>
    <hyperlink r:id="rId1551" ref="B1550"/>
    <hyperlink r:id="rId1552" ref="B1551"/>
    <hyperlink r:id="rId1553" ref="B1552"/>
    <hyperlink r:id="rId1554" ref="B1553"/>
    <hyperlink r:id="rId1555" ref="B1554"/>
    <hyperlink r:id="rId1556" ref="B1555"/>
    <hyperlink r:id="rId1557" ref="B1556"/>
    <hyperlink r:id="rId1558" ref="B1557"/>
    <hyperlink r:id="rId1559" ref="B1558"/>
    <hyperlink r:id="rId1560" ref="B1559"/>
    <hyperlink r:id="rId1561" ref="B1560"/>
    <hyperlink r:id="rId1562" ref="B1561"/>
    <hyperlink r:id="rId1563" ref="B1562"/>
    <hyperlink r:id="rId1564" ref="B1563"/>
    <hyperlink r:id="rId1565" ref="B1564"/>
    <hyperlink r:id="rId1566" ref="B1565"/>
    <hyperlink r:id="rId1567" ref="B1566"/>
    <hyperlink r:id="rId1568" ref="B1567"/>
    <hyperlink r:id="rId1569" ref="B1568"/>
    <hyperlink r:id="rId1570" ref="B1569"/>
    <hyperlink r:id="rId1571" ref="B1570"/>
    <hyperlink r:id="rId1572" ref="B1571"/>
    <hyperlink r:id="rId1573" ref="B1572"/>
    <hyperlink r:id="rId1574" ref="B1573"/>
    <hyperlink r:id="rId1575" ref="B1574"/>
    <hyperlink r:id="rId1576" ref="B1575"/>
    <hyperlink r:id="rId1577" ref="B1576"/>
    <hyperlink r:id="rId1578" ref="B1577"/>
    <hyperlink r:id="rId1579" ref="B1578"/>
    <hyperlink r:id="rId1580" ref="B1579"/>
    <hyperlink r:id="rId1581" ref="B1580"/>
    <hyperlink r:id="rId1582" ref="B1581"/>
    <hyperlink r:id="rId1583" ref="B1582"/>
    <hyperlink r:id="rId1584" ref="B1583"/>
    <hyperlink r:id="rId1585" ref="B1584"/>
    <hyperlink r:id="rId1586" ref="B1585"/>
    <hyperlink r:id="rId1587" ref="B1586"/>
    <hyperlink r:id="rId1588" ref="B1587"/>
    <hyperlink r:id="rId1589" ref="B1588"/>
    <hyperlink r:id="rId1590" ref="B1589"/>
    <hyperlink r:id="rId1591" ref="B1590"/>
    <hyperlink r:id="rId1592" ref="B1591"/>
    <hyperlink r:id="rId1593" ref="B1592"/>
    <hyperlink r:id="rId1594" ref="B1593"/>
    <hyperlink r:id="rId1595" ref="B1594"/>
    <hyperlink r:id="rId1596" ref="B1595"/>
    <hyperlink r:id="rId1597" ref="B1596"/>
    <hyperlink r:id="rId1598" ref="B1597"/>
    <hyperlink r:id="rId1599" ref="B1598"/>
    <hyperlink r:id="rId1600" ref="B1599"/>
    <hyperlink r:id="rId1601" ref="B1600"/>
    <hyperlink r:id="rId1602" ref="B1601"/>
    <hyperlink r:id="rId1603" ref="B1602"/>
    <hyperlink r:id="rId1604" ref="B1603"/>
    <hyperlink r:id="rId1605" ref="B1604"/>
    <hyperlink r:id="rId1606" ref="B1605"/>
    <hyperlink r:id="rId1607" ref="B1606"/>
    <hyperlink r:id="rId1608" ref="B1607"/>
    <hyperlink r:id="rId1609" ref="B1608"/>
    <hyperlink r:id="rId1610" ref="B1609"/>
    <hyperlink r:id="rId1611" ref="B1610"/>
    <hyperlink r:id="rId1612" ref="B1611"/>
    <hyperlink r:id="rId1613" ref="B1612"/>
    <hyperlink r:id="rId1614" ref="B1613"/>
    <hyperlink r:id="rId1615" ref="B1614"/>
    <hyperlink r:id="rId1616" ref="B1615"/>
    <hyperlink r:id="rId1617" ref="B1616"/>
    <hyperlink r:id="rId1618" ref="B1617"/>
    <hyperlink r:id="rId1619" ref="B1618"/>
    <hyperlink r:id="rId1620" ref="B1619"/>
    <hyperlink r:id="rId1621" ref="B1620"/>
    <hyperlink r:id="rId1622" ref="B1621"/>
    <hyperlink r:id="rId1623" ref="B1622"/>
    <hyperlink r:id="rId1624" ref="B1623"/>
    <hyperlink r:id="rId1625" ref="B1624"/>
    <hyperlink r:id="rId1626" ref="B1625"/>
    <hyperlink r:id="rId1627" ref="B1626"/>
    <hyperlink r:id="rId1628" ref="B1627"/>
    <hyperlink r:id="rId1629" ref="B1628"/>
    <hyperlink r:id="rId1630" ref="B1629"/>
    <hyperlink r:id="rId1631" ref="B1630"/>
    <hyperlink r:id="rId1632" ref="B1631"/>
    <hyperlink r:id="rId1633" ref="B1632"/>
    <hyperlink r:id="rId1634" ref="B1633"/>
    <hyperlink r:id="rId1635" ref="B1634"/>
    <hyperlink r:id="rId1636" ref="B1635"/>
    <hyperlink r:id="rId1637" ref="B1636"/>
    <hyperlink r:id="rId1638" ref="B1637"/>
    <hyperlink r:id="rId1639" ref="B1638"/>
    <hyperlink r:id="rId1640" ref="B1639"/>
    <hyperlink r:id="rId1641" ref="B1640"/>
    <hyperlink r:id="rId1642" ref="B1641"/>
    <hyperlink r:id="rId1643" ref="B1642"/>
    <hyperlink r:id="rId1644" ref="B1643"/>
    <hyperlink r:id="rId1645" ref="B1644"/>
    <hyperlink r:id="rId1646" ref="B1645"/>
    <hyperlink r:id="rId1647" ref="B1646"/>
    <hyperlink r:id="rId1648" ref="B1647"/>
    <hyperlink r:id="rId1649" ref="B1648"/>
    <hyperlink r:id="rId1650" ref="B1649"/>
    <hyperlink r:id="rId1651" ref="B1650"/>
    <hyperlink r:id="rId1652" ref="B1651"/>
    <hyperlink r:id="rId1653" ref="B1652"/>
    <hyperlink r:id="rId1654" ref="B1653"/>
    <hyperlink r:id="rId1655" ref="B1654"/>
    <hyperlink r:id="rId1656" ref="B1655"/>
    <hyperlink r:id="rId1657" ref="B1656"/>
    <hyperlink r:id="rId1658" ref="B1657"/>
    <hyperlink r:id="rId1659" ref="B1658"/>
    <hyperlink r:id="rId1660" ref="B1659"/>
    <hyperlink r:id="rId1661" ref="B1660"/>
    <hyperlink r:id="rId1662" ref="B1661"/>
    <hyperlink r:id="rId1663" ref="B1662"/>
    <hyperlink r:id="rId1664" ref="B1663"/>
    <hyperlink r:id="rId1665" ref="B1664"/>
    <hyperlink r:id="rId1666" ref="B1665"/>
    <hyperlink r:id="rId1667" ref="B1666"/>
    <hyperlink r:id="rId1668" ref="B1667"/>
    <hyperlink r:id="rId1669" ref="B1668"/>
    <hyperlink r:id="rId1670" ref="B1669"/>
    <hyperlink r:id="rId1671" ref="B1670"/>
    <hyperlink r:id="rId1672" ref="B1671"/>
    <hyperlink r:id="rId1673" ref="B1672"/>
    <hyperlink r:id="rId1674" ref="B1673"/>
    <hyperlink r:id="rId1675" ref="B1674"/>
    <hyperlink r:id="rId1676" ref="B1675"/>
    <hyperlink r:id="rId1677" ref="B1676"/>
    <hyperlink r:id="rId1678" ref="B1677"/>
    <hyperlink r:id="rId1679" ref="B1678"/>
    <hyperlink r:id="rId1680" ref="B1679"/>
    <hyperlink r:id="rId1681" ref="B1680"/>
    <hyperlink r:id="rId1682" ref="B1681"/>
    <hyperlink r:id="rId1683" ref="B1682"/>
    <hyperlink r:id="rId1684" ref="B1683"/>
    <hyperlink r:id="rId1685" ref="B1684"/>
    <hyperlink r:id="rId1686" ref="B1685"/>
    <hyperlink r:id="rId1687" ref="B1686"/>
    <hyperlink r:id="rId1688" ref="B1687"/>
    <hyperlink r:id="rId1689" ref="B1688"/>
    <hyperlink r:id="rId1690" ref="B1689"/>
    <hyperlink r:id="rId1691" ref="B1690"/>
    <hyperlink r:id="rId1692" ref="B1691"/>
    <hyperlink r:id="rId1693" ref="B1692"/>
    <hyperlink r:id="rId1694" ref="B1693"/>
    <hyperlink r:id="rId1695" ref="B1694"/>
    <hyperlink r:id="rId1696" ref="B1695"/>
    <hyperlink r:id="rId1697" ref="B1696"/>
    <hyperlink r:id="rId1698" ref="B1697"/>
    <hyperlink r:id="rId1699" ref="B1698"/>
    <hyperlink r:id="rId1700" ref="B1699"/>
    <hyperlink r:id="rId1701" ref="B1700"/>
    <hyperlink r:id="rId1702" ref="B1701"/>
    <hyperlink r:id="rId1703" ref="B1702"/>
    <hyperlink r:id="rId1704" ref="B1703"/>
    <hyperlink r:id="rId1705" ref="B1704"/>
    <hyperlink r:id="rId1706" ref="B1705"/>
    <hyperlink r:id="rId1707" ref="B1706"/>
    <hyperlink r:id="rId1708" ref="B1707"/>
    <hyperlink r:id="rId1709" ref="B1708"/>
    <hyperlink r:id="rId1710" ref="B1709"/>
    <hyperlink r:id="rId1711" ref="B1710"/>
    <hyperlink r:id="rId1712" ref="B1711"/>
    <hyperlink r:id="rId1713" ref="B1712"/>
    <hyperlink r:id="rId1714" ref="B1713"/>
    <hyperlink r:id="rId1715" ref="B1714"/>
    <hyperlink r:id="rId1716" ref="B1715"/>
    <hyperlink r:id="rId1717" ref="B1716"/>
    <hyperlink r:id="rId1718" ref="B1717"/>
    <hyperlink r:id="rId1719" ref="B1718"/>
    <hyperlink r:id="rId1720" ref="B1719"/>
    <hyperlink r:id="rId1721" ref="B1720"/>
    <hyperlink r:id="rId1722" ref="B1721"/>
    <hyperlink r:id="rId1723" ref="B1722"/>
    <hyperlink r:id="rId1724" ref="B1723"/>
    <hyperlink r:id="rId1725" ref="B1724"/>
    <hyperlink r:id="rId1726" ref="B1725"/>
    <hyperlink r:id="rId1727" ref="B1726"/>
    <hyperlink r:id="rId1728" ref="B1727"/>
    <hyperlink r:id="rId1729" ref="B1728"/>
    <hyperlink r:id="rId1730" ref="B1729"/>
    <hyperlink r:id="rId1731" ref="B1730"/>
    <hyperlink r:id="rId1732" ref="B1731"/>
    <hyperlink r:id="rId1733" ref="B1732"/>
    <hyperlink r:id="rId1734" ref="B1733"/>
    <hyperlink r:id="rId1735" ref="B1734"/>
    <hyperlink r:id="rId1736" ref="B1735"/>
    <hyperlink r:id="rId1737" ref="B1736"/>
    <hyperlink r:id="rId1738" ref="B1737"/>
    <hyperlink r:id="rId1739" ref="B1738"/>
    <hyperlink r:id="rId1740" ref="B1739"/>
    <hyperlink r:id="rId1741" ref="B1740"/>
    <hyperlink r:id="rId1742" ref="B1741"/>
    <hyperlink r:id="rId1743" ref="B1742"/>
    <hyperlink r:id="rId1744" ref="B1743"/>
    <hyperlink r:id="rId1745" ref="B1744"/>
    <hyperlink r:id="rId1746" ref="B1745"/>
    <hyperlink r:id="rId1747" ref="B1746"/>
    <hyperlink r:id="rId1748" ref="B1747"/>
    <hyperlink r:id="rId1749" ref="B1748"/>
    <hyperlink r:id="rId1750" ref="B1749"/>
    <hyperlink r:id="rId1751" ref="B1750"/>
    <hyperlink r:id="rId1752" ref="B1751"/>
    <hyperlink r:id="rId1753" ref="B1752"/>
    <hyperlink r:id="rId1754" ref="B1753"/>
    <hyperlink r:id="rId1755" ref="B1754"/>
    <hyperlink r:id="rId1756" ref="B1755"/>
    <hyperlink r:id="rId1757" ref="B1756"/>
    <hyperlink r:id="rId1758" ref="B1757"/>
    <hyperlink r:id="rId1759" ref="B1758"/>
    <hyperlink r:id="rId1760" ref="B1759"/>
    <hyperlink r:id="rId1761" ref="B1760"/>
    <hyperlink r:id="rId1762" ref="B1761"/>
    <hyperlink r:id="rId1763" ref="B1762"/>
    <hyperlink r:id="rId1764" ref="B1763"/>
    <hyperlink r:id="rId1765" ref="B1764"/>
    <hyperlink r:id="rId1766" ref="B1765"/>
    <hyperlink r:id="rId1767" ref="B1766"/>
    <hyperlink r:id="rId1768" ref="B1767"/>
    <hyperlink r:id="rId1769" ref="B1768"/>
    <hyperlink r:id="rId1770" ref="B1769"/>
    <hyperlink r:id="rId1771" ref="B1770"/>
    <hyperlink r:id="rId1772" ref="B1771"/>
    <hyperlink r:id="rId1773" ref="B1772"/>
    <hyperlink r:id="rId1774" ref="B1773"/>
    <hyperlink r:id="rId1775" ref="B1774"/>
    <hyperlink r:id="rId1776" ref="B1775"/>
    <hyperlink r:id="rId1777" ref="B1776"/>
    <hyperlink r:id="rId1778" ref="B1777"/>
    <hyperlink r:id="rId1779" ref="B1778"/>
    <hyperlink r:id="rId1780" ref="B1779"/>
    <hyperlink r:id="rId1781" ref="B1780"/>
    <hyperlink r:id="rId1782" ref="B1781"/>
    <hyperlink r:id="rId1783" ref="B1782"/>
    <hyperlink r:id="rId1784" ref="B1783"/>
    <hyperlink r:id="rId1785" ref="B1784"/>
    <hyperlink r:id="rId1786" ref="B1785"/>
    <hyperlink r:id="rId1787" ref="B1786"/>
    <hyperlink r:id="rId1788" ref="B1787"/>
    <hyperlink r:id="rId1789" ref="B1788"/>
    <hyperlink r:id="rId1790" ref="B1789"/>
    <hyperlink r:id="rId1791" ref="B1790"/>
    <hyperlink r:id="rId1792" ref="B1791"/>
    <hyperlink r:id="rId1793" ref="B1792"/>
    <hyperlink r:id="rId1794" ref="B1793"/>
    <hyperlink r:id="rId1795" ref="B1794"/>
    <hyperlink r:id="rId1796" ref="B1795"/>
    <hyperlink r:id="rId1797" ref="B1796"/>
    <hyperlink r:id="rId1798" ref="B1797"/>
    <hyperlink r:id="rId1799" ref="B1798"/>
    <hyperlink r:id="rId1800" ref="B1799"/>
    <hyperlink r:id="rId1801" ref="B1800"/>
    <hyperlink r:id="rId1802" ref="B1801"/>
    <hyperlink r:id="rId1803" ref="B1802"/>
    <hyperlink r:id="rId1804" ref="B1803"/>
    <hyperlink r:id="rId1805" ref="B1804"/>
    <hyperlink r:id="rId1806" ref="B1805"/>
    <hyperlink r:id="rId1807" ref="B1806"/>
    <hyperlink r:id="rId1808" ref="B1807"/>
    <hyperlink r:id="rId1809" ref="B1808"/>
    <hyperlink r:id="rId1810" ref="B1809"/>
    <hyperlink r:id="rId1811" ref="B1810"/>
    <hyperlink r:id="rId1812" ref="B1811"/>
    <hyperlink r:id="rId1813" ref="B1812"/>
    <hyperlink r:id="rId1814" ref="B1813"/>
    <hyperlink r:id="rId1815" ref="B1814"/>
    <hyperlink r:id="rId1816" ref="B1815"/>
    <hyperlink r:id="rId1817" ref="B1816"/>
    <hyperlink r:id="rId1818" ref="B1817"/>
    <hyperlink r:id="rId1819" ref="B1818"/>
    <hyperlink r:id="rId1820" ref="B1819"/>
    <hyperlink r:id="rId1821" ref="B1820"/>
    <hyperlink r:id="rId1822" ref="B1821"/>
    <hyperlink r:id="rId1823" ref="B1822"/>
    <hyperlink r:id="rId1824" ref="B1823"/>
    <hyperlink r:id="rId1825" ref="B1824"/>
    <hyperlink r:id="rId1826" ref="B1825"/>
    <hyperlink r:id="rId1827" ref="B1826"/>
    <hyperlink r:id="rId1828" ref="B1827"/>
    <hyperlink r:id="rId1829" ref="B1828"/>
    <hyperlink r:id="rId1830" ref="B1829"/>
    <hyperlink r:id="rId1831" ref="B1830"/>
    <hyperlink r:id="rId1832" ref="B1831"/>
    <hyperlink r:id="rId1833" ref="B1832"/>
    <hyperlink r:id="rId1834" ref="B1833"/>
    <hyperlink r:id="rId1835" ref="B1834"/>
    <hyperlink r:id="rId1836" ref="B1835"/>
    <hyperlink r:id="rId1837" ref="B1836"/>
    <hyperlink r:id="rId1838" ref="B1837"/>
    <hyperlink r:id="rId1839" ref="B1838"/>
    <hyperlink r:id="rId1840" ref="B1839"/>
    <hyperlink r:id="rId1841" ref="B1840"/>
    <hyperlink r:id="rId1842" ref="B1841"/>
    <hyperlink r:id="rId1843" ref="B1842"/>
    <hyperlink r:id="rId1844" ref="B1843"/>
    <hyperlink r:id="rId1845" ref="B1844"/>
    <hyperlink r:id="rId1846" ref="B1845"/>
    <hyperlink r:id="rId1847" ref="B1846"/>
    <hyperlink r:id="rId1848" ref="B1847"/>
    <hyperlink r:id="rId1849" ref="B1848"/>
    <hyperlink r:id="rId1850" ref="B1849"/>
    <hyperlink r:id="rId1851" ref="B1850"/>
    <hyperlink r:id="rId1852" ref="B1851"/>
    <hyperlink r:id="rId1853" ref="B1852"/>
    <hyperlink r:id="rId1854" ref="B1853"/>
    <hyperlink r:id="rId1855" ref="B1854"/>
    <hyperlink r:id="rId1856" ref="B1855"/>
    <hyperlink r:id="rId1857" ref="B1856"/>
    <hyperlink r:id="rId1858" ref="B1857"/>
    <hyperlink r:id="rId1859" ref="B1858"/>
    <hyperlink r:id="rId1860" ref="B1859"/>
    <hyperlink r:id="rId1861" ref="B1860"/>
    <hyperlink r:id="rId1862" ref="B1861"/>
    <hyperlink r:id="rId1863" ref="B1862"/>
    <hyperlink r:id="rId1864" ref="B1863"/>
    <hyperlink r:id="rId1865" ref="B1864"/>
    <hyperlink r:id="rId1866" ref="B1865"/>
    <hyperlink r:id="rId1867" ref="B1866"/>
    <hyperlink r:id="rId1868" ref="B1867"/>
    <hyperlink r:id="rId1869" ref="B1868"/>
    <hyperlink r:id="rId1870" ref="B1869"/>
    <hyperlink r:id="rId1871" ref="B1870"/>
    <hyperlink r:id="rId1872" ref="B1871"/>
    <hyperlink r:id="rId1873" ref="B1872"/>
    <hyperlink r:id="rId1874" ref="B1873"/>
    <hyperlink r:id="rId1875" ref="B1874"/>
    <hyperlink r:id="rId1876" ref="B1875"/>
    <hyperlink r:id="rId1877" ref="B1876"/>
    <hyperlink r:id="rId1878" ref="B1877"/>
    <hyperlink r:id="rId1879" ref="B1878"/>
    <hyperlink r:id="rId1880" ref="B1879"/>
    <hyperlink r:id="rId1881" ref="B1880"/>
    <hyperlink r:id="rId1882" ref="B1881"/>
    <hyperlink r:id="rId1883" ref="B1882"/>
    <hyperlink r:id="rId1884" ref="B1883"/>
    <hyperlink r:id="rId1885" ref="B1884"/>
    <hyperlink r:id="rId1886" ref="B1885"/>
    <hyperlink r:id="rId1887" ref="B1886"/>
    <hyperlink r:id="rId1888" ref="B1887"/>
    <hyperlink r:id="rId1889" ref="B1888"/>
    <hyperlink r:id="rId1890" ref="B1889"/>
    <hyperlink r:id="rId1891" ref="B1890"/>
    <hyperlink r:id="rId1892" ref="B1891"/>
    <hyperlink r:id="rId1893" ref="B1892"/>
    <hyperlink r:id="rId1894" ref="B1893"/>
    <hyperlink r:id="rId1895" ref="B1894"/>
    <hyperlink r:id="rId1896" ref="B1895"/>
    <hyperlink r:id="rId1897" ref="B1896"/>
    <hyperlink r:id="rId1898" ref="B1897"/>
    <hyperlink r:id="rId1899" ref="B1898"/>
    <hyperlink r:id="rId1900" ref="B1899"/>
    <hyperlink r:id="rId1901" ref="B1900"/>
    <hyperlink r:id="rId1902" ref="B1901"/>
    <hyperlink r:id="rId1903" ref="B1902"/>
    <hyperlink r:id="rId1904" ref="B1903"/>
    <hyperlink r:id="rId1905" ref="B1904"/>
    <hyperlink r:id="rId1906" ref="B1905"/>
    <hyperlink r:id="rId1907" ref="B1906"/>
    <hyperlink r:id="rId1908" ref="B1907"/>
    <hyperlink r:id="rId1909" ref="B1908"/>
    <hyperlink r:id="rId1910" ref="B1909"/>
    <hyperlink r:id="rId1911" ref="B1910"/>
    <hyperlink r:id="rId1912" ref="B1911"/>
    <hyperlink r:id="rId1913" ref="B1912"/>
    <hyperlink r:id="rId1914" ref="B1913"/>
    <hyperlink r:id="rId1915" ref="B1914"/>
    <hyperlink r:id="rId1916" ref="B1915"/>
    <hyperlink r:id="rId1917" ref="B1916"/>
    <hyperlink r:id="rId1918" ref="B1917"/>
    <hyperlink r:id="rId1919" ref="B1918"/>
    <hyperlink r:id="rId1920" ref="B1919"/>
    <hyperlink r:id="rId1921" ref="B1920"/>
    <hyperlink r:id="rId1922" ref="B1921"/>
    <hyperlink r:id="rId1923" ref="B1922"/>
    <hyperlink r:id="rId1924" ref="B1923"/>
    <hyperlink r:id="rId1925" ref="B1924"/>
    <hyperlink r:id="rId1926" ref="B1925"/>
    <hyperlink r:id="rId1927" ref="B1926"/>
    <hyperlink r:id="rId1928" ref="B1927"/>
    <hyperlink r:id="rId1929" ref="B1928"/>
    <hyperlink r:id="rId1930" ref="B1929"/>
    <hyperlink r:id="rId1931" ref="B1930"/>
    <hyperlink r:id="rId1932" ref="B1931"/>
    <hyperlink r:id="rId1933" ref="B1932"/>
    <hyperlink r:id="rId1934" ref="B1933"/>
    <hyperlink r:id="rId1935" ref="B1934"/>
    <hyperlink r:id="rId1936" ref="B1935"/>
    <hyperlink r:id="rId1937" ref="B1936"/>
    <hyperlink r:id="rId1938" ref="B1937"/>
    <hyperlink r:id="rId1939" ref="B1938"/>
    <hyperlink r:id="rId1940" ref="B1939"/>
    <hyperlink r:id="rId1941" ref="B1940"/>
    <hyperlink r:id="rId1942" ref="B1941"/>
    <hyperlink r:id="rId1943" ref="B1942"/>
    <hyperlink r:id="rId1944" ref="B1943"/>
    <hyperlink r:id="rId1945" ref="B1944"/>
    <hyperlink r:id="rId1946" ref="B1945"/>
    <hyperlink r:id="rId1947" ref="B1946"/>
    <hyperlink r:id="rId1948" ref="B1947"/>
    <hyperlink r:id="rId1949" ref="B1948"/>
    <hyperlink r:id="rId1950" ref="B1949"/>
    <hyperlink r:id="rId1951" ref="B1950"/>
    <hyperlink r:id="rId1952" ref="B1951"/>
    <hyperlink r:id="rId1953" ref="B1952"/>
    <hyperlink r:id="rId1954" ref="B1953"/>
    <hyperlink r:id="rId1955" ref="B1954"/>
    <hyperlink r:id="rId1956" ref="B1955"/>
    <hyperlink r:id="rId1957" ref="B1956"/>
    <hyperlink r:id="rId1958" ref="B1957"/>
    <hyperlink r:id="rId1959" ref="B1958"/>
    <hyperlink r:id="rId1960" ref="B1959"/>
    <hyperlink r:id="rId1961" ref="B1960"/>
    <hyperlink r:id="rId1962" ref="B1961"/>
    <hyperlink r:id="rId1963" ref="B1962"/>
    <hyperlink r:id="rId1964" ref="B1963"/>
    <hyperlink r:id="rId1965" ref="B1964"/>
    <hyperlink r:id="rId1966" ref="B1965"/>
    <hyperlink r:id="rId1967" ref="B1966"/>
    <hyperlink r:id="rId1968" ref="B1967"/>
    <hyperlink r:id="rId1969" ref="B1968"/>
    <hyperlink r:id="rId1970" ref="B1969"/>
    <hyperlink r:id="rId1971" ref="B1970"/>
    <hyperlink r:id="rId1972" ref="B1971"/>
    <hyperlink r:id="rId1973" ref="B1972"/>
    <hyperlink r:id="rId1974" ref="B1973"/>
    <hyperlink r:id="rId1975" ref="B1974"/>
    <hyperlink r:id="rId1976" ref="B1975"/>
    <hyperlink r:id="rId1977" ref="B1976"/>
    <hyperlink r:id="rId1978" ref="B1977"/>
    <hyperlink r:id="rId1979" ref="B1978"/>
    <hyperlink r:id="rId1980" ref="B1979"/>
    <hyperlink r:id="rId1981" ref="B1980"/>
    <hyperlink r:id="rId1982" ref="B1981"/>
    <hyperlink r:id="rId1983" ref="B1982"/>
    <hyperlink r:id="rId1984" ref="B1983"/>
    <hyperlink r:id="rId1985" ref="B1984"/>
    <hyperlink r:id="rId1986" ref="B1985"/>
    <hyperlink r:id="rId1987" ref="B1986"/>
    <hyperlink r:id="rId1988" ref="B1987"/>
    <hyperlink r:id="rId1989" ref="B1988"/>
    <hyperlink r:id="rId1990" ref="B1989"/>
    <hyperlink r:id="rId1991" ref="B1990"/>
    <hyperlink r:id="rId1992" ref="B1991"/>
    <hyperlink r:id="rId1993" ref="B1992"/>
    <hyperlink r:id="rId1994" ref="B1993"/>
    <hyperlink r:id="rId1995" ref="B1994"/>
    <hyperlink r:id="rId1996" ref="B1995"/>
    <hyperlink r:id="rId1997" ref="B1996"/>
    <hyperlink r:id="rId1998" ref="B1997"/>
    <hyperlink r:id="rId1999" ref="B1998"/>
    <hyperlink r:id="rId2000" ref="B1999"/>
    <hyperlink r:id="rId2001" ref="B2000"/>
  </hyperlinks>
  <drawing r:id="rId200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38"/>
    <col customWidth="1" min="2" max="2" width="29.63"/>
    <col customWidth="1" min="3" max="3" width="24.63"/>
    <col customWidth="1" min="4" max="4" width="29.5"/>
    <col customWidth="1" min="5" max="5" width="23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B25" s="23"/>
      <c r="C25" s="23"/>
      <c r="D25" s="23"/>
      <c r="E25" s="23"/>
    </row>
    <row r="26">
      <c r="B26" s="23"/>
      <c r="C26" s="23"/>
      <c r="D26" s="23"/>
      <c r="E26" s="23"/>
    </row>
    <row r="27">
      <c r="B27" s="23"/>
      <c r="C27" s="23"/>
      <c r="D27" s="23"/>
      <c r="E27" s="23"/>
    </row>
    <row r="28">
      <c r="B28" s="23"/>
      <c r="C28" s="23"/>
      <c r="D28" s="23"/>
      <c r="E28" s="23"/>
    </row>
    <row r="29">
      <c r="B29" s="23"/>
      <c r="C29" s="23"/>
      <c r="D29" s="23"/>
      <c r="E29" s="23"/>
    </row>
    <row r="30">
      <c r="B30" s="23"/>
      <c r="C30" s="23"/>
      <c r="D30" s="23"/>
      <c r="E30" s="23"/>
    </row>
    <row r="31">
      <c r="B31" s="23"/>
      <c r="C31" s="23"/>
      <c r="D31" s="23"/>
      <c r="E31" s="23"/>
    </row>
    <row r="32">
      <c r="B32" s="23"/>
      <c r="C32" s="23"/>
      <c r="D32" s="23"/>
      <c r="E32" s="23"/>
    </row>
    <row r="33">
      <c r="B33" s="23"/>
      <c r="C33" s="23"/>
      <c r="D33" s="23"/>
      <c r="E33" s="23"/>
    </row>
    <row r="34">
      <c r="B34" s="23"/>
      <c r="C34" s="23"/>
      <c r="D34" s="23"/>
      <c r="E34" s="23"/>
    </row>
    <row r="35">
      <c r="B35" s="23"/>
      <c r="C35" s="23"/>
      <c r="D35" s="23"/>
      <c r="E35" s="23"/>
    </row>
    <row r="36">
      <c r="B36" s="23"/>
      <c r="C36" s="23"/>
      <c r="D36" s="23"/>
      <c r="E36" s="23"/>
    </row>
    <row r="37">
      <c r="B37" s="23"/>
      <c r="C37" s="23"/>
      <c r="D37" s="23"/>
      <c r="E37" s="23"/>
    </row>
    <row r="38">
      <c r="B38" s="23"/>
      <c r="C38" s="23"/>
      <c r="D38" s="23"/>
      <c r="E38" s="23"/>
    </row>
    <row r="39">
      <c r="B39" s="23"/>
      <c r="C39" s="23"/>
      <c r="D39" s="23"/>
      <c r="E39" s="23"/>
    </row>
    <row r="40">
      <c r="B40" s="23"/>
      <c r="C40" s="23"/>
      <c r="D40" s="23"/>
      <c r="E40" s="23"/>
    </row>
    <row r="41">
      <c r="B41" s="23"/>
      <c r="C41" s="23"/>
      <c r="D41" s="23"/>
      <c r="E41" s="23"/>
    </row>
    <row r="42">
      <c r="B42" s="23"/>
      <c r="C42" s="23"/>
      <c r="D42" s="23"/>
      <c r="E42" s="23"/>
    </row>
    <row r="43">
      <c r="B43" s="23"/>
      <c r="C43" s="23"/>
      <c r="D43" s="23"/>
      <c r="E43" s="23"/>
    </row>
    <row r="44">
      <c r="B44" s="23"/>
      <c r="C44" s="23"/>
      <c r="D44" s="23"/>
      <c r="E44" s="23"/>
    </row>
    <row r="45">
      <c r="B45" s="23"/>
      <c r="C45" s="23"/>
      <c r="D45" s="23"/>
      <c r="E45" s="23"/>
    </row>
    <row r="46">
      <c r="B46" s="23"/>
      <c r="C46" s="23"/>
      <c r="D46" s="23"/>
      <c r="E46" s="23"/>
    </row>
    <row r="47">
      <c r="B47" s="23"/>
      <c r="C47" s="23"/>
      <c r="D47" s="23"/>
      <c r="E47" s="23"/>
    </row>
    <row r="48">
      <c r="B48" s="23"/>
      <c r="C48" s="23"/>
      <c r="D48" s="23"/>
      <c r="E48" s="23"/>
    </row>
    <row r="49">
      <c r="B49" s="23"/>
      <c r="C49" s="23"/>
      <c r="D49" s="23"/>
      <c r="E49" s="23"/>
    </row>
    <row r="50">
      <c r="B50" s="23"/>
      <c r="C50" s="23"/>
      <c r="D50" s="23"/>
      <c r="E50" s="23"/>
    </row>
    <row r="51">
      <c r="B51" s="23"/>
      <c r="C51" s="23"/>
      <c r="D51" s="23"/>
      <c r="E51" s="23"/>
    </row>
    <row r="52">
      <c r="B52" s="23"/>
      <c r="C52" s="23"/>
      <c r="D52" s="23"/>
      <c r="E52" s="23"/>
    </row>
    <row r="53">
      <c r="B53" s="23"/>
      <c r="C53" s="23"/>
      <c r="D53" s="23"/>
      <c r="E53" s="23"/>
    </row>
    <row r="54">
      <c r="B54" s="23"/>
      <c r="C54" s="23"/>
      <c r="D54" s="23"/>
      <c r="E54" s="23"/>
    </row>
    <row r="55">
      <c r="B55" s="23"/>
      <c r="C55" s="23"/>
      <c r="D55" s="23"/>
      <c r="E55" s="23"/>
    </row>
    <row r="56">
      <c r="B56" s="23"/>
      <c r="C56" s="23"/>
      <c r="D56" s="23"/>
      <c r="E56" s="23"/>
    </row>
    <row r="57">
      <c r="B57" s="23"/>
      <c r="C57" s="23"/>
      <c r="D57" s="23"/>
      <c r="E57" s="23"/>
    </row>
    <row r="58">
      <c r="B58" s="23"/>
      <c r="C58" s="23"/>
      <c r="D58" s="23"/>
      <c r="E58" s="23"/>
    </row>
    <row r="59">
      <c r="B59" s="23"/>
      <c r="C59" s="23"/>
      <c r="D59" s="23"/>
      <c r="E59" s="23"/>
    </row>
    <row r="60">
      <c r="B60" s="23"/>
      <c r="C60" s="23"/>
      <c r="D60" s="23"/>
      <c r="E60" s="23"/>
    </row>
    <row r="61">
      <c r="B61" s="23"/>
      <c r="C61" s="23"/>
      <c r="D61" s="23"/>
      <c r="E61" s="23"/>
    </row>
    <row r="62">
      <c r="B62" s="23"/>
      <c r="C62" s="23"/>
      <c r="D62" s="23"/>
      <c r="E62" s="23"/>
    </row>
    <row r="63">
      <c r="B63" s="23"/>
      <c r="C63" s="23"/>
      <c r="D63" s="23"/>
      <c r="E63" s="23"/>
    </row>
    <row r="64">
      <c r="B64" s="23"/>
      <c r="C64" s="23"/>
      <c r="D64" s="23"/>
      <c r="E64" s="23"/>
    </row>
    <row r="65">
      <c r="B65" s="23"/>
      <c r="C65" s="23"/>
      <c r="D65" s="23"/>
      <c r="E65" s="23"/>
    </row>
    <row r="66">
      <c r="B66" s="23"/>
      <c r="C66" s="23"/>
      <c r="D66" s="23"/>
      <c r="E66" s="23"/>
    </row>
    <row r="67">
      <c r="B67" s="23"/>
      <c r="C67" s="23"/>
      <c r="D67" s="23"/>
      <c r="E67" s="23"/>
    </row>
    <row r="68">
      <c r="B68" s="23"/>
      <c r="C68" s="23"/>
      <c r="D68" s="23"/>
      <c r="E68" s="23"/>
    </row>
    <row r="69">
      <c r="B69" s="23"/>
      <c r="C69" s="23"/>
      <c r="D69" s="23"/>
      <c r="E69" s="23"/>
    </row>
    <row r="70">
      <c r="B70" s="23"/>
      <c r="C70" s="23"/>
      <c r="D70" s="23"/>
      <c r="E70" s="23"/>
    </row>
    <row r="71">
      <c r="B71" s="23"/>
      <c r="C71" s="23"/>
      <c r="D71" s="23"/>
      <c r="E71" s="23"/>
    </row>
    <row r="72">
      <c r="B72" s="23"/>
      <c r="C72" s="23"/>
      <c r="D72" s="23"/>
      <c r="E72" s="23"/>
    </row>
    <row r="73">
      <c r="B73" s="23"/>
      <c r="C73" s="23"/>
      <c r="D73" s="23"/>
      <c r="E73" s="23"/>
    </row>
    <row r="74">
      <c r="B74" s="23"/>
      <c r="C74" s="23"/>
      <c r="D74" s="23"/>
      <c r="E74" s="23"/>
    </row>
    <row r="75">
      <c r="B75" s="23"/>
      <c r="C75" s="23"/>
      <c r="D75" s="23"/>
      <c r="E75" s="23"/>
    </row>
    <row r="76">
      <c r="B76" s="23"/>
      <c r="C76" s="23"/>
      <c r="D76" s="23"/>
      <c r="E76" s="23"/>
    </row>
    <row r="77">
      <c r="B77" s="23"/>
      <c r="C77" s="23"/>
      <c r="D77" s="23"/>
      <c r="E77" s="23"/>
    </row>
    <row r="78">
      <c r="B78" s="23"/>
      <c r="C78" s="23"/>
      <c r="D78" s="23"/>
      <c r="E78" s="23"/>
    </row>
    <row r="79">
      <c r="B79" s="23"/>
      <c r="C79" s="23"/>
      <c r="D79" s="23"/>
      <c r="E79" s="23"/>
    </row>
    <row r="80">
      <c r="B80" s="23"/>
      <c r="C80" s="23"/>
      <c r="D80" s="23"/>
      <c r="E80" s="23"/>
    </row>
    <row r="81">
      <c r="B81" s="23"/>
      <c r="C81" s="23"/>
      <c r="D81" s="23"/>
      <c r="E81" s="23"/>
    </row>
    <row r="82">
      <c r="B82" s="23"/>
      <c r="C82" s="23"/>
      <c r="D82" s="23"/>
      <c r="E82" s="23"/>
    </row>
    <row r="83">
      <c r="B83" s="23"/>
      <c r="C83" s="23"/>
      <c r="D83" s="23"/>
      <c r="E83" s="23"/>
    </row>
    <row r="84">
      <c r="B84" s="23"/>
      <c r="C84" s="23"/>
      <c r="D84" s="23"/>
      <c r="E84" s="23"/>
    </row>
    <row r="85">
      <c r="B85" s="23"/>
      <c r="C85" s="23"/>
      <c r="D85" s="23"/>
      <c r="E85" s="23"/>
    </row>
    <row r="86">
      <c r="B86" s="23"/>
      <c r="C86" s="23"/>
      <c r="D86" s="23"/>
      <c r="E86" s="23"/>
    </row>
    <row r="87">
      <c r="B87" s="23"/>
      <c r="C87" s="23"/>
      <c r="D87" s="23"/>
      <c r="E87" s="23"/>
    </row>
    <row r="88">
      <c r="B88" s="23"/>
      <c r="C88" s="23"/>
      <c r="D88" s="23"/>
      <c r="E88" s="23"/>
    </row>
    <row r="89">
      <c r="B89" s="23"/>
      <c r="C89" s="23"/>
      <c r="D89" s="23"/>
      <c r="E89" s="23"/>
    </row>
    <row r="90">
      <c r="B90" s="23"/>
      <c r="C90" s="23"/>
      <c r="D90" s="23"/>
      <c r="E90" s="23"/>
    </row>
    <row r="91">
      <c r="B91" s="23"/>
      <c r="C91" s="23"/>
      <c r="D91" s="23"/>
      <c r="E91" s="23"/>
    </row>
    <row r="92">
      <c r="B92" s="23"/>
      <c r="C92" s="23"/>
      <c r="D92" s="23"/>
      <c r="E92" s="23"/>
    </row>
    <row r="93">
      <c r="B93" s="23"/>
      <c r="C93" s="23"/>
      <c r="D93" s="23"/>
      <c r="E93" s="23"/>
    </row>
    <row r="94">
      <c r="B94" s="23"/>
      <c r="C94" s="23"/>
      <c r="D94" s="23"/>
      <c r="E94" s="23"/>
    </row>
    <row r="95">
      <c r="B95" s="23"/>
      <c r="C95" s="23"/>
      <c r="D95" s="23"/>
      <c r="E95" s="23"/>
    </row>
    <row r="96">
      <c r="B96" s="23"/>
      <c r="C96" s="23"/>
      <c r="D96" s="23"/>
      <c r="E96" s="23"/>
    </row>
    <row r="97">
      <c r="B97" s="23"/>
      <c r="C97" s="23"/>
      <c r="D97" s="23"/>
      <c r="E97" s="23"/>
    </row>
    <row r="98">
      <c r="B98" s="23"/>
      <c r="C98" s="23"/>
      <c r="D98" s="23"/>
      <c r="E98" s="23"/>
    </row>
    <row r="99">
      <c r="B99" s="23"/>
      <c r="C99" s="23"/>
      <c r="D99" s="23"/>
      <c r="E99" s="23"/>
    </row>
    <row r="100">
      <c r="B100" s="23"/>
      <c r="C100" s="23"/>
      <c r="D100" s="23"/>
      <c r="E100" s="23"/>
    </row>
    <row r="101">
      <c r="B101" s="23"/>
      <c r="C101" s="23"/>
      <c r="D101" s="23"/>
      <c r="E101" s="23"/>
    </row>
    <row r="102">
      <c r="B102" s="23"/>
      <c r="C102" s="23"/>
      <c r="D102" s="23"/>
      <c r="E102" s="23"/>
    </row>
    <row r="103">
      <c r="B103" s="23"/>
      <c r="C103" s="23"/>
      <c r="D103" s="23"/>
      <c r="E103" s="23"/>
    </row>
    <row r="104">
      <c r="B104" s="23"/>
      <c r="C104" s="23"/>
      <c r="D104" s="23"/>
      <c r="E104" s="23"/>
    </row>
    <row r="105">
      <c r="B105" s="23"/>
      <c r="C105" s="23"/>
      <c r="D105" s="23"/>
      <c r="E105" s="23"/>
    </row>
    <row r="106">
      <c r="B106" s="23"/>
      <c r="C106" s="23"/>
      <c r="D106" s="23"/>
      <c r="E106" s="23"/>
    </row>
    <row r="107">
      <c r="B107" s="23"/>
      <c r="C107" s="23"/>
      <c r="D107" s="23"/>
      <c r="E107" s="23"/>
    </row>
    <row r="108">
      <c r="B108" s="23"/>
      <c r="C108" s="23"/>
      <c r="D108" s="23"/>
      <c r="E108" s="23"/>
    </row>
    <row r="109">
      <c r="B109" s="23"/>
      <c r="C109" s="23"/>
      <c r="D109" s="23"/>
      <c r="E109" s="23"/>
    </row>
    <row r="110">
      <c r="B110" s="23"/>
      <c r="C110" s="23"/>
      <c r="D110" s="23"/>
      <c r="E110" s="23"/>
    </row>
    <row r="111">
      <c r="B111" s="23"/>
      <c r="C111" s="23"/>
      <c r="D111" s="23"/>
      <c r="E111" s="23"/>
    </row>
    <row r="112">
      <c r="B112" s="23"/>
      <c r="C112" s="23"/>
      <c r="D112" s="23"/>
      <c r="E112" s="23"/>
    </row>
    <row r="113">
      <c r="B113" s="23"/>
      <c r="C113" s="23"/>
      <c r="D113" s="23"/>
      <c r="E113" s="23"/>
    </row>
    <row r="114">
      <c r="B114" s="23"/>
      <c r="C114" s="23"/>
      <c r="D114" s="23"/>
      <c r="E114" s="23"/>
    </row>
    <row r="115">
      <c r="B115" s="23"/>
      <c r="C115" s="23"/>
      <c r="D115" s="23"/>
      <c r="E115" s="23"/>
    </row>
    <row r="116">
      <c r="B116" s="23"/>
      <c r="C116" s="23"/>
      <c r="D116" s="23"/>
      <c r="E116" s="23"/>
    </row>
    <row r="117">
      <c r="B117" s="23"/>
      <c r="C117" s="23"/>
      <c r="D117" s="23"/>
      <c r="E117" s="23"/>
    </row>
    <row r="118">
      <c r="B118" s="23"/>
      <c r="C118" s="23"/>
      <c r="D118" s="23"/>
      <c r="E118" s="23"/>
    </row>
    <row r="119">
      <c r="B119" s="23"/>
      <c r="C119" s="23"/>
      <c r="D119" s="23"/>
      <c r="E119" s="23"/>
    </row>
    <row r="120">
      <c r="B120" s="23"/>
      <c r="C120" s="23"/>
      <c r="D120" s="23"/>
      <c r="E120" s="23"/>
    </row>
    <row r="121">
      <c r="B121" s="23"/>
      <c r="C121" s="23"/>
      <c r="D121" s="23"/>
      <c r="E121" s="23"/>
    </row>
    <row r="122">
      <c r="B122" s="23"/>
      <c r="C122" s="23"/>
      <c r="D122" s="23"/>
      <c r="E122" s="23"/>
    </row>
    <row r="123">
      <c r="B123" s="23"/>
      <c r="C123" s="23"/>
      <c r="D123" s="23"/>
      <c r="E123" s="23"/>
    </row>
    <row r="124">
      <c r="B124" s="23"/>
      <c r="C124" s="23"/>
      <c r="D124" s="23"/>
      <c r="E124" s="23"/>
    </row>
    <row r="125">
      <c r="B125" s="23"/>
      <c r="C125" s="23"/>
      <c r="D125" s="23"/>
      <c r="E125" s="23"/>
    </row>
    <row r="126">
      <c r="B126" s="23"/>
      <c r="C126" s="23"/>
      <c r="D126" s="23"/>
      <c r="E126" s="23"/>
    </row>
    <row r="127">
      <c r="B127" s="23"/>
      <c r="C127" s="23"/>
      <c r="D127" s="23"/>
      <c r="E127" s="23"/>
    </row>
    <row r="128">
      <c r="B128" s="23"/>
      <c r="C128" s="23"/>
      <c r="D128" s="23"/>
      <c r="E128" s="23"/>
    </row>
    <row r="129">
      <c r="B129" s="23"/>
      <c r="C129" s="23"/>
      <c r="D129" s="23"/>
      <c r="E129" s="23"/>
    </row>
    <row r="130">
      <c r="B130" s="23"/>
      <c r="C130" s="23"/>
      <c r="D130" s="23"/>
      <c r="E130" s="23"/>
    </row>
    <row r="131">
      <c r="B131" s="23"/>
      <c r="C131" s="23"/>
      <c r="D131" s="23"/>
      <c r="E131" s="23"/>
    </row>
    <row r="132">
      <c r="B132" s="23"/>
      <c r="C132" s="23"/>
      <c r="D132" s="23"/>
      <c r="E132" s="23"/>
    </row>
    <row r="133">
      <c r="B133" s="23"/>
      <c r="C133" s="23"/>
      <c r="D133" s="23"/>
      <c r="E133" s="23"/>
    </row>
    <row r="134">
      <c r="B134" s="23"/>
      <c r="C134" s="23"/>
      <c r="D134" s="23"/>
      <c r="E134" s="23"/>
    </row>
    <row r="135">
      <c r="B135" s="23"/>
      <c r="C135" s="23"/>
      <c r="D135" s="23"/>
      <c r="E135" s="23"/>
    </row>
    <row r="136">
      <c r="B136" s="23"/>
      <c r="C136" s="23"/>
      <c r="D136" s="23"/>
      <c r="E136" s="23"/>
    </row>
    <row r="137">
      <c r="B137" s="23"/>
      <c r="C137" s="23"/>
      <c r="D137" s="23"/>
      <c r="E137" s="23"/>
    </row>
    <row r="138">
      <c r="B138" s="23"/>
      <c r="C138" s="23"/>
      <c r="D138" s="23"/>
      <c r="E138" s="23"/>
    </row>
    <row r="139">
      <c r="B139" s="23"/>
      <c r="C139" s="23"/>
      <c r="D139" s="23"/>
      <c r="E139" s="23"/>
    </row>
    <row r="140">
      <c r="B140" s="23"/>
      <c r="C140" s="23"/>
      <c r="D140" s="23"/>
      <c r="E140" s="23"/>
    </row>
    <row r="141">
      <c r="B141" s="23"/>
      <c r="C141" s="23"/>
      <c r="D141" s="23"/>
      <c r="E141" s="23"/>
    </row>
    <row r="142">
      <c r="B142" s="23"/>
      <c r="C142" s="23"/>
      <c r="D142" s="23"/>
      <c r="E142" s="23"/>
    </row>
    <row r="143">
      <c r="B143" s="23"/>
      <c r="C143" s="23"/>
      <c r="D143" s="23"/>
      <c r="E143" s="23"/>
    </row>
    <row r="144">
      <c r="B144" s="23"/>
      <c r="C144" s="23"/>
      <c r="D144" s="23"/>
      <c r="E144" s="23"/>
    </row>
    <row r="145">
      <c r="B145" s="23"/>
      <c r="C145" s="23"/>
      <c r="D145" s="23"/>
      <c r="E145" s="23"/>
    </row>
    <row r="146">
      <c r="B146" s="23"/>
      <c r="C146" s="23"/>
      <c r="D146" s="23"/>
      <c r="E146" s="23"/>
    </row>
    <row r="147">
      <c r="B147" s="23"/>
      <c r="C147" s="23"/>
      <c r="D147" s="23"/>
      <c r="E147" s="23"/>
    </row>
    <row r="148">
      <c r="B148" s="23"/>
      <c r="C148" s="23"/>
      <c r="D148" s="23"/>
      <c r="E148" s="23"/>
    </row>
    <row r="149">
      <c r="B149" s="23"/>
      <c r="C149" s="23"/>
      <c r="D149" s="23"/>
      <c r="E149" s="23"/>
    </row>
    <row r="150">
      <c r="B150" s="23"/>
      <c r="C150" s="23"/>
      <c r="D150" s="23"/>
      <c r="E150" s="23"/>
    </row>
    <row r="151">
      <c r="B151" s="23"/>
      <c r="C151" s="23"/>
      <c r="D151" s="23"/>
      <c r="E151" s="23"/>
    </row>
    <row r="152">
      <c r="B152" s="23"/>
      <c r="C152" s="23"/>
      <c r="D152" s="23"/>
      <c r="E152" s="23"/>
    </row>
    <row r="153">
      <c r="B153" s="23"/>
      <c r="C153" s="23"/>
      <c r="D153" s="23"/>
      <c r="E153" s="23"/>
    </row>
    <row r="154">
      <c r="B154" s="23"/>
      <c r="C154" s="23"/>
      <c r="D154" s="23"/>
      <c r="E154" s="23"/>
    </row>
    <row r="155">
      <c r="B155" s="23"/>
      <c r="C155" s="23"/>
      <c r="D155" s="23"/>
      <c r="E155" s="23"/>
    </row>
    <row r="156">
      <c r="B156" s="23"/>
      <c r="C156" s="23"/>
      <c r="D156" s="23"/>
      <c r="E156" s="23"/>
    </row>
    <row r="157">
      <c r="B157" s="23"/>
      <c r="C157" s="23"/>
      <c r="D157" s="23"/>
      <c r="E157" s="23"/>
    </row>
    <row r="158">
      <c r="B158" s="23"/>
      <c r="C158" s="23"/>
      <c r="D158" s="23"/>
      <c r="E158" s="23"/>
    </row>
    <row r="159">
      <c r="B159" s="23"/>
      <c r="C159" s="23"/>
      <c r="D159" s="23"/>
      <c r="E159" s="23"/>
    </row>
    <row r="160">
      <c r="B160" s="23"/>
      <c r="C160" s="23"/>
      <c r="D160" s="23"/>
      <c r="E160" s="23"/>
    </row>
    <row r="161">
      <c r="B161" s="23"/>
      <c r="C161" s="23"/>
      <c r="D161" s="23"/>
      <c r="E161" s="23"/>
    </row>
    <row r="162">
      <c r="B162" s="23"/>
      <c r="C162" s="23"/>
      <c r="D162" s="23"/>
      <c r="E162" s="23"/>
    </row>
    <row r="163">
      <c r="B163" s="23"/>
      <c r="C163" s="23"/>
      <c r="D163" s="23"/>
      <c r="E163" s="23"/>
    </row>
    <row r="164">
      <c r="B164" s="23"/>
      <c r="C164" s="23"/>
      <c r="D164" s="23"/>
      <c r="E164" s="23"/>
    </row>
    <row r="165">
      <c r="B165" s="23"/>
      <c r="C165" s="23"/>
      <c r="D165" s="23"/>
      <c r="E165" s="23"/>
    </row>
    <row r="166">
      <c r="B166" s="23"/>
      <c r="C166" s="23"/>
      <c r="D166" s="23"/>
      <c r="E166" s="23"/>
    </row>
    <row r="167">
      <c r="B167" s="23"/>
      <c r="C167" s="23"/>
      <c r="D167" s="23"/>
      <c r="E167" s="23"/>
    </row>
    <row r="168">
      <c r="B168" s="23"/>
      <c r="C168" s="23"/>
      <c r="D168" s="23"/>
      <c r="E168" s="23"/>
    </row>
    <row r="169">
      <c r="B169" s="23"/>
      <c r="C169" s="23"/>
      <c r="D169" s="23"/>
      <c r="E169" s="23"/>
    </row>
    <row r="170">
      <c r="B170" s="23"/>
      <c r="C170" s="23"/>
      <c r="D170" s="23"/>
      <c r="E170" s="23"/>
    </row>
    <row r="171">
      <c r="B171" s="23"/>
      <c r="C171" s="23"/>
      <c r="D171" s="23"/>
      <c r="E171" s="23"/>
    </row>
    <row r="172">
      <c r="B172" s="23"/>
      <c r="C172" s="23"/>
      <c r="D172" s="23"/>
      <c r="E172" s="23"/>
    </row>
    <row r="173">
      <c r="B173" s="23"/>
      <c r="C173" s="23"/>
      <c r="D173" s="23"/>
      <c r="E173" s="23"/>
    </row>
    <row r="174">
      <c r="B174" s="23"/>
      <c r="C174" s="23"/>
      <c r="D174" s="23"/>
      <c r="E174" s="23"/>
    </row>
    <row r="175">
      <c r="B175" s="23"/>
      <c r="C175" s="23"/>
      <c r="D175" s="23"/>
      <c r="E175" s="23"/>
    </row>
    <row r="176">
      <c r="B176" s="23"/>
      <c r="C176" s="23"/>
      <c r="D176" s="23"/>
      <c r="E176" s="23"/>
    </row>
    <row r="177">
      <c r="B177" s="23"/>
      <c r="C177" s="23"/>
      <c r="D177" s="23"/>
      <c r="E177" s="23"/>
    </row>
    <row r="178">
      <c r="B178" s="23"/>
      <c r="C178" s="23"/>
      <c r="D178" s="23"/>
      <c r="E178" s="23"/>
    </row>
    <row r="179">
      <c r="B179" s="23"/>
      <c r="C179" s="23"/>
      <c r="D179" s="23"/>
      <c r="E179" s="23"/>
    </row>
    <row r="180">
      <c r="B180" s="23"/>
      <c r="C180" s="23"/>
      <c r="D180" s="23"/>
      <c r="E180" s="23"/>
    </row>
    <row r="181">
      <c r="B181" s="23"/>
      <c r="C181" s="23"/>
      <c r="D181" s="23"/>
      <c r="E181" s="23"/>
    </row>
    <row r="182">
      <c r="B182" s="23"/>
      <c r="C182" s="23"/>
      <c r="D182" s="23"/>
      <c r="E182" s="23"/>
    </row>
    <row r="183">
      <c r="B183" s="23"/>
      <c r="C183" s="23"/>
      <c r="D183" s="23"/>
      <c r="E183" s="23"/>
    </row>
    <row r="184">
      <c r="B184" s="23"/>
      <c r="C184" s="23"/>
      <c r="D184" s="23"/>
      <c r="E184" s="23"/>
    </row>
    <row r="185">
      <c r="B185" s="23"/>
      <c r="C185" s="23"/>
      <c r="D185" s="23"/>
      <c r="E185" s="23"/>
    </row>
    <row r="186">
      <c r="B186" s="23"/>
      <c r="C186" s="23"/>
      <c r="D186" s="23"/>
      <c r="E186" s="23"/>
    </row>
    <row r="187">
      <c r="B187" s="23"/>
      <c r="C187" s="23"/>
      <c r="D187" s="23"/>
      <c r="E187" s="23"/>
    </row>
    <row r="188">
      <c r="B188" s="23"/>
      <c r="C188" s="23"/>
      <c r="D188" s="23"/>
      <c r="E188" s="23"/>
    </row>
    <row r="189">
      <c r="B189" s="23"/>
      <c r="C189" s="23"/>
      <c r="D189" s="23"/>
      <c r="E189" s="23"/>
    </row>
    <row r="190">
      <c r="B190" s="23"/>
      <c r="C190" s="23"/>
      <c r="D190" s="23"/>
      <c r="E190" s="23"/>
    </row>
    <row r="191">
      <c r="B191" s="23"/>
      <c r="C191" s="23"/>
      <c r="D191" s="23"/>
      <c r="E191" s="23"/>
    </row>
    <row r="192">
      <c r="B192" s="23"/>
      <c r="C192" s="23"/>
      <c r="D192" s="23"/>
      <c r="E192" s="23"/>
    </row>
    <row r="193">
      <c r="B193" s="23"/>
      <c r="C193" s="23"/>
      <c r="D193" s="23"/>
      <c r="E193" s="23"/>
    </row>
    <row r="194">
      <c r="B194" s="23"/>
      <c r="C194" s="23"/>
      <c r="D194" s="23"/>
      <c r="E194" s="23"/>
    </row>
    <row r="195">
      <c r="B195" s="23"/>
      <c r="C195" s="23"/>
      <c r="D195" s="23"/>
      <c r="E195" s="23"/>
    </row>
    <row r="196">
      <c r="B196" s="23"/>
      <c r="C196" s="23"/>
      <c r="D196" s="23"/>
      <c r="E196" s="23"/>
    </row>
    <row r="197">
      <c r="B197" s="23"/>
      <c r="C197" s="23"/>
      <c r="D197" s="23"/>
      <c r="E197" s="23"/>
    </row>
    <row r="198">
      <c r="B198" s="23"/>
      <c r="C198" s="23"/>
      <c r="D198" s="23"/>
      <c r="E198" s="23"/>
    </row>
    <row r="199">
      <c r="B199" s="23"/>
      <c r="C199" s="23"/>
      <c r="D199" s="23"/>
      <c r="E199" s="23"/>
    </row>
    <row r="200">
      <c r="B200" s="23"/>
      <c r="C200" s="23"/>
      <c r="D200" s="23"/>
      <c r="E200" s="23"/>
    </row>
    <row r="201">
      <c r="B201" s="23"/>
      <c r="C201" s="23"/>
      <c r="D201" s="23"/>
      <c r="E201" s="23"/>
    </row>
    <row r="202">
      <c r="B202" s="23"/>
      <c r="C202" s="23"/>
      <c r="D202" s="23"/>
      <c r="E202" s="23"/>
    </row>
    <row r="203">
      <c r="B203" s="23"/>
      <c r="C203" s="23"/>
      <c r="D203" s="23"/>
      <c r="E203" s="23"/>
    </row>
    <row r="204">
      <c r="B204" s="23"/>
      <c r="C204" s="23"/>
      <c r="D204" s="23"/>
      <c r="E204" s="23"/>
    </row>
    <row r="205">
      <c r="B205" s="23"/>
      <c r="C205" s="23"/>
      <c r="D205" s="23"/>
      <c r="E205" s="23"/>
    </row>
    <row r="206">
      <c r="B206" s="23"/>
      <c r="C206" s="23"/>
      <c r="D206" s="23"/>
      <c r="E206" s="23"/>
    </row>
    <row r="207">
      <c r="B207" s="23"/>
      <c r="C207" s="23"/>
      <c r="D207" s="23"/>
      <c r="E207" s="23"/>
    </row>
    <row r="208">
      <c r="B208" s="23"/>
      <c r="C208" s="23"/>
      <c r="D208" s="23"/>
      <c r="E208" s="23"/>
    </row>
    <row r="209">
      <c r="B209" s="23"/>
      <c r="C209" s="23"/>
      <c r="D209" s="23"/>
      <c r="E209" s="23"/>
    </row>
    <row r="210">
      <c r="B210" s="23"/>
      <c r="C210" s="23"/>
      <c r="D210" s="23"/>
      <c r="E210" s="23"/>
    </row>
    <row r="211">
      <c r="B211" s="23"/>
      <c r="C211" s="23"/>
      <c r="D211" s="23"/>
      <c r="E211" s="23"/>
    </row>
    <row r="212">
      <c r="B212" s="23"/>
      <c r="C212" s="23"/>
      <c r="D212" s="23"/>
      <c r="E212" s="23"/>
    </row>
    <row r="213">
      <c r="B213" s="23"/>
      <c r="C213" s="23"/>
      <c r="D213" s="23"/>
      <c r="E213" s="23"/>
    </row>
    <row r="214">
      <c r="B214" s="23"/>
      <c r="C214" s="23"/>
      <c r="D214" s="23"/>
      <c r="E214" s="23"/>
    </row>
    <row r="215">
      <c r="B215" s="23"/>
      <c r="C215" s="23"/>
      <c r="D215" s="23"/>
      <c r="E215" s="23"/>
    </row>
    <row r="216">
      <c r="B216" s="23"/>
      <c r="C216" s="23"/>
      <c r="D216" s="23"/>
      <c r="E216" s="23"/>
    </row>
    <row r="217">
      <c r="B217" s="23"/>
      <c r="C217" s="23"/>
      <c r="D217" s="23"/>
      <c r="E217" s="23"/>
    </row>
    <row r="218">
      <c r="B218" s="23"/>
      <c r="C218" s="23"/>
      <c r="D218" s="23"/>
      <c r="E218" s="23"/>
    </row>
    <row r="219">
      <c r="B219" s="23"/>
      <c r="C219" s="23"/>
      <c r="D219" s="23"/>
      <c r="E219" s="23"/>
    </row>
    <row r="220">
      <c r="B220" s="23"/>
      <c r="C220" s="23"/>
      <c r="D220" s="23"/>
      <c r="E220" s="23"/>
    </row>
    <row r="221">
      <c r="B221" s="23"/>
      <c r="C221" s="23"/>
      <c r="D221" s="23"/>
      <c r="E221" s="23"/>
    </row>
    <row r="222">
      <c r="B222" s="23"/>
      <c r="C222" s="23"/>
      <c r="D222" s="23"/>
      <c r="E222" s="23"/>
    </row>
    <row r="223">
      <c r="B223" s="23"/>
      <c r="C223" s="23"/>
      <c r="D223" s="23"/>
      <c r="E223" s="23"/>
    </row>
    <row r="224">
      <c r="B224" s="23"/>
      <c r="C224" s="23"/>
      <c r="D224" s="23"/>
      <c r="E224" s="23"/>
    </row>
    <row r="225">
      <c r="B225" s="23"/>
      <c r="C225" s="23"/>
      <c r="D225" s="23"/>
      <c r="E225" s="23"/>
    </row>
    <row r="226">
      <c r="B226" s="23"/>
      <c r="C226" s="23"/>
      <c r="D226" s="23"/>
      <c r="E226" s="23"/>
    </row>
    <row r="227">
      <c r="B227" s="23"/>
      <c r="C227" s="23"/>
      <c r="D227" s="23"/>
      <c r="E227" s="23"/>
    </row>
    <row r="228">
      <c r="B228" s="23"/>
      <c r="C228" s="23"/>
      <c r="D228" s="23"/>
      <c r="E228" s="23"/>
    </row>
    <row r="229">
      <c r="B229" s="23"/>
      <c r="C229" s="23"/>
      <c r="D229" s="23"/>
      <c r="E229" s="23"/>
    </row>
    <row r="230">
      <c r="B230" s="23"/>
      <c r="C230" s="23"/>
      <c r="D230" s="23"/>
      <c r="E230" s="23"/>
    </row>
    <row r="231">
      <c r="B231" s="23"/>
      <c r="C231" s="23"/>
      <c r="D231" s="23"/>
      <c r="E231" s="23"/>
    </row>
    <row r="232">
      <c r="B232" s="23"/>
      <c r="C232" s="23"/>
      <c r="D232" s="23"/>
      <c r="E232" s="23"/>
    </row>
    <row r="233">
      <c r="B233" s="23"/>
      <c r="C233" s="23"/>
      <c r="D233" s="23"/>
      <c r="E233" s="23"/>
    </row>
    <row r="234">
      <c r="B234" s="23"/>
      <c r="C234" s="23"/>
      <c r="D234" s="23"/>
      <c r="E234" s="23"/>
    </row>
    <row r="235">
      <c r="B235" s="23"/>
      <c r="C235" s="23"/>
      <c r="D235" s="23"/>
      <c r="E235" s="23"/>
    </row>
    <row r="236">
      <c r="B236" s="23"/>
      <c r="C236" s="23"/>
      <c r="D236" s="23"/>
      <c r="E236" s="23"/>
    </row>
    <row r="237">
      <c r="B237" s="23"/>
      <c r="C237" s="23"/>
      <c r="D237" s="23"/>
      <c r="E237" s="23"/>
    </row>
    <row r="238">
      <c r="B238" s="23"/>
      <c r="C238" s="23"/>
      <c r="D238" s="23"/>
      <c r="E238" s="23"/>
    </row>
    <row r="239">
      <c r="B239" s="23"/>
      <c r="C239" s="23"/>
      <c r="D239" s="23"/>
      <c r="E239" s="23"/>
    </row>
    <row r="240">
      <c r="B240" s="23"/>
      <c r="C240" s="23"/>
      <c r="D240" s="23"/>
      <c r="E240" s="23"/>
    </row>
    <row r="241">
      <c r="B241" s="23"/>
      <c r="C241" s="23"/>
      <c r="D241" s="23"/>
      <c r="E241" s="23"/>
    </row>
    <row r="242">
      <c r="B242" s="23"/>
      <c r="C242" s="23"/>
      <c r="D242" s="23"/>
      <c r="E242" s="23"/>
    </row>
    <row r="243">
      <c r="B243" s="23"/>
      <c r="C243" s="23"/>
      <c r="D243" s="23"/>
      <c r="E243" s="23"/>
    </row>
    <row r="244">
      <c r="B244" s="23"/>
      <c r="C244" s="23"/>
      <c r="D244" s="23"/>
      <c r="E244" s="23"/>
    </row>
    <row r="245">
      <c r="B245" s="23"/>
      <c r="C245" s="23"/>
      <c r="D245" s="23"/>
      <c r="E245" s="23"/>
    </row>
    <row r="246">
      <c r="B246" s="23"/>
      <c r="C246" s="23"/>
      <c r="D246" s="23"/>
      <c r="E246" s="23"/>
    </row>
    <row r="247">
      <c r="B247" s="23"/>
      <c r="C247" s="23"/>
      <c r="D247" s="23"/>
      <c r="E247" s="23"/>
    </row>
    <row r="248">
      <c r="B248" s="23"/>
      <c r="C248" s="23"/>
      <c r="D248" s="23"/>
      <c r="E248" s="23"/>
    </row>
    <row r="249">
      <c r="B249" s="23"/>
      <c r="C249" s="23"/>
      <c r="D249" s="23"/>
      <c r="E249" s="23"/>
    </row>
    <row r="250">
      <c r="B250" s="23"/>
      <c r="C250" s="23"/>
      <c r="D250" s="23"/>
      <c r="E250" s="23"/>
    </row>
    <row r="251">
      <c r="B251" s="23"/>
      <c r="C251" s="23"/>
      <c r="D251" s="23"/>
      <c r="E251" s="23"/>
    </row>
    <row r="252">
      <c r="B252" s="23"/>
      <c r="C252" s="23"/>
      <c r="D252" s="23"/>
      <c r="E252" s="23"/>
    </row>
    <row r="253">
      <c r="B253" s="23"/>
      <c r="C253" s="23"/>
      <c r="D253" s="23"/>
      <c r="E253" s="23"/>
    </row>
    <row r="254">
      <c r="B254" s="23"/>
      <c r="C254" s="23"/>
      <c r="D254" s="23"/>
      <c r="E254" s="23"/>
    </row>
    <row r="255">
      <c r="B255" s="23"/>
      <c r="C255" s="23"/>
      <c r="D255" s="23"/>
      <c r="E255" s="23"/>
    </row>
    <row r="256">
      <c r="B256" s="23"/>
      <c r="C256" s="23"/>
      <c r="D256" s="23"/>
      <c r="E256" s="23"/>
    </row>
    <row r="257">
      <c r="B257" s="23"/>
      <c r="C257" s="23"/>
      <c r="D257" s="23"/>
      <c r="E257" s="23"/>
    </row>
    <row r="258">
      <c r="B258" s="23"/>
      <c r="C258" s="23"/>
      <c r="D258" s="23"/>
      <c r="E258" s="23"/>
    </row>
    <row r="259">
      <c r="B259" s="23"/>
      <c r="C259" s="23"/>
      <c r="D259" s="23"/>
      <c r="E259" s="23"/>
    </row>
    <row r="260">
      <c r="B260" s="23"/>
      <c r="C260" s="23"/>
      <c r="D260" s="23"/>
      <c r="E260" s="23"/>
    </row>
    <row r="261">
      <c r="B261" s="23"/>
      <c r="C261" s="23"/>
      <c r="D261" s="23"/>
      <c r="E261" s="23"/>
    </row>
    <row r="262">
      <c r="B262" s="23"/>
      <c r="C262" s="23"/>
      <c r="D262" s="23"/>
      <c r="E262" s="23"/>
    </row>
    <row r="263">
      <c r="B263" s="23"/>
      <c r="C263" s="23"/>
      <c r="D263" s="23"/>
      <c r="E263" s="23"/>
    </row>
    <row r="264">
      <c r="B264" s="23"/>
      <c r="C264" s="23"/>
      <c r="D264" s="23"/>
      <c r="E264" s="23"/>
    </row>
    <row r="265">
      <c r="B265" s="23"/>
      <c r="C265" s="23"/>
      <c r="D265" s="23"/>
      <c r="E265" s="23"/>
    </row>
    <row r="266">
      <c r="B266" s="23"/>
      <c r="C266" s="23"/>
      <c r="D266" s="23"/>
      <c r="E266" s="23"/>
    </row>
    <row r="267">
      <c r="B267" s="23"/>
      <c r="C267" s="23"/>
      <c r="D267" s="23"/>
      <c r="E267" s="23"/>
    </row>
    <row r="268">
      <c r="B268" s="23"/>
      <c r="C268" s="23"/>
      <c r="D268" s="23"/>
      <c r="E268" s="23"/>
    </row>
    <row r="269">
      <c r="B269" s="23"/>
      <c r="C269" s="23"/>
      <c r="D269" s="23"/>
      <c r="E269" s="23"/>
    </row>
    <row r="270">
      <c r="B270" s="23"/>
      <c r="C270" s="23"/>
      <c r="D270" s="23"/>
      <c r="E270" s="23"/>
    </row>
    <row r="271">
      <c r="B271" s="23"/>
      <c r="C271" s="23"/>
      <c r="D271" s="23"/>
      <c r="E271" s="23"/>
    </row>
    <row r="272">
      <c r="B272" s="23"/>
      <c r="C272" s="23"/>
      <c r="D272" s="23"/>
      <c r="E272" s="23"/>
    </row>
    <row r="273">
      <c r="B273" s="23"/>
      <c r="C273" s="23"/>
      <c r="D273" s="23"/>
      <c r="E273" s="23"/>
    </row>
    <row r="274">
      <c r="B274" s="23"/>
      <c r="C274" s="23"/>
      <c r="D274" s="23"/>
      <c r="E274" s="23"/>
    </row>
    <row r="275">
      <c r="B275" s="23"/>
      <c r="C275" s="23"/>
      <c r="D275" s="23"/>
      <c r="E275" s="23"/>
    </row>
    <row r="276">
      <c r="B276" s="23"/>
      <c r="C276" s="23"/>
      <c r="D276" s="23"/>
      <c r="E276" s="23"/>
    </row>
    <row r="277">
      <c r="B277" s="23"/>
      <c r="C277" s="23"/>
      <c r="D277" s="23"/>
      <c r="E277" s="23"/>
    </row>
    <row r="278">
      <c r="B278" s="23"/>
      <c r="C278" s="23"/>
      <c r="D278" s="23"/>
      <c r="E278" s="23"/>
    </row>
    <row r="279">
      <c r="B279" s="23"/>
      <c r="C279" s="23"/>
      <c r="D279" s="23"/>
      <c r="E279" s="23"/>
    </row>
    <row r="280">
      <c r="B280" s="23"/>
      <c r="C280" s="23"/>
      <c r="D280" s="23"/>
      <c r="E280" s="23"/>
    </row>
    <row r="281">
      <c r="B281" s="23"/>
      <c r="C281" s="23"/>
      <c r="D281" s="23"/>
      <c r="E281" s="23"/>
    </row>
    <row r="282">
      <c r="B282" s="23"/>
      <c r="C282" s="23"/>
      <c r="D282" s="23"/>
      <c r="E282" s="23"/>
    </row>
    <row r="283">
      <c r="B283" s="23"/>
      <c r="C283" s="23"/>
      <c r="D283" s="23"/>
      <c r="E283" s="23"/>
    </row>
    <row r="284">
      <c r="B284" s="23"/>
      <c r="C284" s="23"/>
      <c r="D284" s="23"/>
      <c r="E284" s="23"/>
    </row>
    <row r="285">
      <c r="B285" s="23"/>
      <c r="C285" s="23"/>
      <c r="D285" s="23"/>
      <c r="E285" s="23"/>
    </row>
    <row r="286">
      <c r="B286" s="23"/>
      <c r="C286" s="23"/>
      <c r="D286" s="23"/>
      <c r="E286" s="23"/>
    </row>
    <row r="287">
      <c r="B287" s="23"/>
      <c r="C287" s="23"/>
      <c r="D287" s="23"/>
      <c r="E287" s="23"/>
    </row>
    <row r="288">
      <c r="B288" s="23"/>
      <c r="C288" s="23"/>
      <c r="D288" s="23"/>
      <c r="E288" s="23"/>
    </row>
    <row r="289">
      <c r="B289" s="23"/>
      <c r="C289" s="23"/>
      <c r="D289" s="23"/>
      <c r="E289" s="23"/>
    </row>
    <row r="290">
      <c r="B290" s="23"/>
      <c r="C290" s="23"/>
      <c r="D290" s="23"/>
      <c r="E290" s="23"/>
    </row>
    <row r="291">
      <c r="B291" s="23"/>
      <c r="C291" s="23"/>
      <c r="D291" s="23"/>
      <c r="E291" s="23"/>
    </row>
    <row r="292">
      <c r="B292" s="23"/>
      <c r="C292" s="23"/>
      <c r="D292" s="23"/>
      <c r="E292" s="23"/>
    </row>
    <row r="293">
      <c r="B293" s="23"/>
      <c r="C293" s="23"/>
      <c r="D293" s="23"/>
      <c r="E293" s="23"/>
    </row>
    <row r="294">
      <c r="B294" s="23"/>
      <c r="C294" s="23"/>
      <c r="D294" s="23"/>
      <c r="E294" s="23"/>
    </row>
    <row r="295">
      <c r="B295" s="23"/>
      <c r="C295" s="23"/>
      <c r="D295" s="23"/>
      <c r="E295" s="23"/>
    </row>
    <row r="296">
      <c r="B296" s="23"/>
      <c r="C296" s="23"/>
      <c r="D296" s="23"/>
      <c r="E296" s="23"/>
    </row>
    <row r="297">
      <c r="B297" s="23"/>
      <c r="C297" s="23"/>
      <c r="D297" s="23"/>
      <c r="E297" s="23"/>
    </row>
    <row r="298">
      <c r="B298" s="23"/>
      <c r="C298" s="23"/>
      <c r="D298" s="23"/>
      <c r="E298" s="23"/>
    </row>
    <row r="299">
      <c r="B299" s="23"/>
      <c r="C299" s="23"/>
      <c r="D299" s="23"/>
      <c r="E299" s="23"/>
    </row>
    <row r="300">
      <c r="B300" s="23"/>
      <c r="C300" s="23"/>
      <c r="D300" s="23"/>
      <c r="E300" s="23"/>
    </row>
    <row r="301">
      <c r="B301" s="23"/>
      <c r="C301" s="23"/>
      <c r="D301" s="23"/>
      <c r="E301" s="23"/>
    </row>
    <row r="302">
      <c r="B302" s="23"/>
      <c r="C302" s="23"/>
      <c r="D302" s="23"/>
      <c r="E302" s="23"/>
    </row>
    <row r="303">
      <c r="B303" s="23"/>
      <c r="C303" s="23"/>
      <c r="D303" s="23"/>
      <c r="E303" s="23"/>
    </row>
    <row r="304">
      <c r="B304" s="23"/>
      <c r="C304" s="23"/>
      <c r="D304" s="23"/>
      <c r="E304" s="23"/>
    </row>
    <row r="305">
      <c r="B305" s="23"/>
      <c r="C305" s="23"/>
      <c r="D305" s="23"/>
      <c r="E305" s="23"/>
    </row>
    <row r="306">
      <c r="B306" s="23"/>
      <c r="C306" s="23"/>
      <c r="D306" s="23"/>
      <c r="E306" s="23"/>
    </row>
    <row r="307">
      <c r="B307" s="23"/>
      <c r="C307" s="23"/>
      <c r="D307" s="23"/>
      <c r="E307" s="23"/>
    </row>
    <row r="308">
      <c r="B308" s="23"/>
      <c r="C308" s="23"/>
      <c r="D308" s="23"/>
      <c r="E308" s="23"/>
    </row>
    <row r="309">
      <c r="B309" s="23"/>
      <c r="C309" s="23"/>
      <c r="D309" s="23"/>
      <c r="E309" s="23"/>
    </row>
    <row r="310">
      <c r="B310" s="23"/>
      <c r="C310" s="23"/>
      <c r="D310" s="23"/>
      <c r="E310" s="23"/>
    </row>
    <row r="311">
      <c r="B311" s="23"/>
      <c r="C311" s="23"/>
      <c r="D311" s="23"/>
      <c r="E311" s="23"/>
    </row>
    <row r="312">
      <c r="B312" s="23"/>
      <c r="C312" s="23"/>
      <c r="D312" s="23"/>
      <c r="E312" s="23"/>
    </row>
    <row r="313">
      <c r="B313" s="23"/>
      <c r="C313" s="23"/>
      <c r="D313" s="23"/>
      <c r="E313" s="23"/>
    </row>
    <row r="314">
      <c r="B314" s="23"/>
      <c r="C314" s="23"/>
      <c r="D314" s="23"/>
      <c r="E314" s="23"/>
    </row>
    <row r="315">
      <c r="B315" s="23"/>
      <c r="C315" s="23"/>
      <c r="D315" s="23"/>
      <c r="E315" s="23"/>
    </row>
    <row r="316">
      <c r="B316" s="23"/>
      <c r="C316" s="23"/>
      <c r="D316" s="23"/>
      <c r="E316" s="23"/>
    </row>
    <row r="317">
      <c r="B317" s="23"/>
      <c r="C317" s="23"/>
      <c r="D317" s="23"/>
      <c r="E317" s="23"/>
    </row>
    <row r="318">
      <c r="B318" s="23"/>
      <c r="C318" s="23"/>
      <c r="D318" s="23"/>
      <c r="E318" s="23"/>
    </row>
    <row r="319">
      <c r="B319" s="23"/>
      <c r="C319" s="23"/>
      <c r="D319" s="23"/>
      <c r="E319" s="23"/>
    </row>
    <row r="320">
      <c r="B320" s="23"/>
      <c r="C320" s="23"/>
      <c r="D320" s="23"/>
      <c r="E320" s="23"/>
    </row>
    <row r="321">
      <c r="B321" s="23"/>
      <c r="C321" s="23"/>
      <c r="D321" s="23"/>
      <c r="E321" s="23"/>
    </row>
    <row r="322">
      <c r="B322" s="23"/>
      <c r="C322" s="23"/>
      <c r="D322" s="23"/>
      <c r="E322" s="23"/>
    </row>
    <row r="323">
      <c r="B323" s="23"/>
      <c r="C323" s="23"/>
      <c r="D323" s="23"/>
      <c r="E323" s="23"/>
    </row>
    <row r="324">
      <c r="B324" s="23"/>
      <c r="C324" s="23"/>
      <c r="D324" s="23"/>
      <c r="E324" s="23"/>
    </row>
    <row r="325">
      <c r="B325" s="23"/>
      <c r="C325" s="23"/>
      <c r="D325" s="23"/>
      <c r="E325" s="23"/>
    </row>
    <row r="326">
      <c r="B326" s="23"/>
      <c r="C326" s="23"/>
      <c r="D326" s="23"/>
      <c r="E326" s="23"/>
    </row>
    <row r="327">
      <c r="B327" s="23"/>
      <c r="C327" s="23"/>
      <c r="D327" s="23"/>
      <c r="E327" s="23"/>
    </row>
    <row r="328">
      <c r="B328" s="23"/>
      <c r="C328" s="23"/>
      <c r="D328" s="23"/>
      <c r="E328" s="23"/>
    </row>
    <row r="329">
      <c r="B329" s="23"/>
      <c r="C329" s="23"/>
      <c r="D329" s="23"/>
      <c r="E329" s="23"/>
    </row>
    <row r="330">
      <c r="B330" s="23"/>
      <c r="C330" s="23"/>
      <c r="D330" s="23"/>
      <c r="E330" s="23"/>
    </row>
    <row r="331">
      <c r="B331" s="23"/>
      <c r="C331" s="23"/>
      <c r="D331" s="23"/>
      <c r="E331" s="23"/>
    </row>
    <row r="332">
      <c r="B332" s="23"/>
      <c r="C332" s="23"/>
      <c r="D332" s="23"/>
      <c r="E332" s="23"/>
    </row>
    <row r="333">
      <c r="B333" s="23"/>
      <c r="C333" s="23"/>
      <c r="D333" s="23"/>
      <c r="E333" s="23"/>
    </row>
    <row r="334">
      <c r="B334" s="23"/>
      <c r="C334" s="23"/>
      <c r="D334" s="23"/>
      <c r="E334" s="23"/>
    </row>
    <row r="335">
      <c r="B335" s="23"/>
      <c r="C335" s="23"/>
      <c r="D335" s="23"/>
      <c r="E335" s="23"/>
    </row>
    <row r="336">
      <c r="B336" s="23"/>
      <c r="C336" s="23"/>
      <c r="D336" s="23"/>
      <c r="E336" s="23"/>
    </row>
    <row r="337">
      <c r="B337" s="23"/>
      <c r="C337" s="23"/>
      <c r="D337" s="23"/>
      <c r="E337" s="23"/>
    </row>
    <row r="338">
      <c r="B338" s="23"/>
      <c r="C338" s="23"/>
      <c r="D338" s="23"/>
      <c r="E338" s="23"/>
    </row>
    <row r="339">
      <c r="B339" s="23"/>
      <c r="C339" s="23"/>
      <c r="D339" s="23"/>
      <c r="E339" s="23"/>
    </row>
    <row r="340">
      <c r="B340" s="23"/>
      <c r="C340" s="23"/>
      <c r="D340" s="23"/>
      <c r="E340" s="23"/>
    </row>
    <row r="341">
      <c r="B341" s="23"/>
      <c r="C341" s="23"/>
      <c r="D341" s="23"/>
      <c r="E341" s="23"/>
    </row>
    <row r="342">
      <c r="B342" s="23"/>
      <c r="C342" s="23"/>
      <c r="D342" s="23"/>
      <c r="E342" s="23"/>
    </row>
    <row r="343">
      <c r="B343" s="23"/>
      <c r="C343" s="23"/>
      <c r="D343" s="23"/>
      <c r="E343" s="23"/>
    </row>
    <row r="344">
      <c r="B344" s="23"/>
      <c r="C344" s="23"/>
      <c r="D344" s="23"/>
      <c r="E344" s="23"/>
    </row>
    <row r="345">
      <c r="B345" s="23"/>
      <c r="C345" s="23"/>
      <c r="D345" s="23"/>
      <c r="E345" s="23"/>
    </row>
    <row r="346">
      <c r="B346" s="23"/>
      <c r="C346" s="23"/>
      <c r="D346" s="23"/>
      <c r="E346" s="23"/>
    </row>
    <row r="347">
      <c r="B347" s="23"/>
      <c r="C347" s="23"/>
      <c r="D347" s="23"/>
      <c r="E347" s="23"/>
    </row>
    <row r="348">
      <c r="B348" s="23"/>
      <c r="C348" s="23"/>
      <c r="D348" s="23"/>
      <c r="E348" s="23"/>
    </row>
    <row r="349">
      <c r="B349" s="23"/>
      <c r="C349" s="23"/>
      <c r="D349" s="23"/>
      <c r="E349" s="23"/>
    </row>
    <row r="350">
      <c r="B350" s="23"/>
      <c r="C350" s="23"/>
      <c r="D350" s="23"/>
      <c r="E350" s="23"/>
    </row>
    <row r="351">
      <c r="B351" s="23"/>
      <c r="C351" s="23"/>
      <c r="D351" s="23"/>
      <c r="E351" s="23"/>
    </row>
    <row r="352">
      <c r="B352" s="23"/>
      <c r="C352" s="23"/>
      <c r="D352" s="23"/>
      <c r="E352" s="23"/>
    </row>
    <row r="353">
      <c r="B353" s="23"/>
      <c r="C353" s="23"/>
      <c r="D353" s="23"/>
      <c r="E353" s="23"/>
    </row>
    <row r="354">
      <c r="B354" s="23"/>
      <c r="C354" s="23"/>
      <c r="D354" s="23"/>
      <c r="E354" s="23"/>
    </row>
    <row r="355">
      <c r="B355" s="23"/>
      <c r="C355" s="23"/>
      <c r="D355" s="23"/>
      <c r="E355" s="23"/>
    </row>
    <row r="356">
      <c r="B356" s="23"/>
      <c r="C356" s="23"/>
      <c r="D356" s="23"/>
      <c r="E356" s="23"/>
    </row>
    <row r="357">
      <c r="B357" s="23"/>
      <c r="C357" s="23"/>
      <c r="D357" s="23"/>
      <c r="E357" s="23"/>
    </row>
    <row r="358">
      <c r="B358" s="23"/>
      <c r="C358" s="23"/>
      <c r="D358" s="23"/>
      <c r="E358" s="23"/>
    </row>
    <row r="359">
      <c r="B359" s="23"/>
      <c r="C359" s="23"/>
      <c r="D359" s="23"/>
      <c r="E359" s="23"/>
    </row>
    <row r="360">
      <c r="B360" s="23"/>
      <c r="C360" s="23"/>
      <c r="D360" s="23"/>
      <c r="E360" s="23"/>
    </row>
    <row r="361">
      <c r="B361" s="23"/>
      <c r="C361" s="23"/>
      <c r="D361" s="23"/>
      <c r="E361" s="23"/>
    </row>
    <row r="362">
      <c r="B362" s="23"/>
      <c r="C362" s="23"/>
      <c r="D362" s="23"/>
      <c r="E362" s="23"/>
    </row>
    <row r="363">
      <c r="B363" s="23"/>
      <c r="C363" s="23"/>
      <c r="D363" s="23"/>
      <c r="E363" s="23"/>
    </row>
    <row r="364">
      <c r="B364" s="23"/>
      <c r="C364" s="23"/>
      <c r="D364" s="23"/>
      <c r="E364" s="23"/>
    </row>
    <row r="365">
      <c r="B365" s="23"/>
      <c r="C365" s="23"/>
      <c r="D365" s="23"/>
      <c r="E365" s="23"/>
    </row>
    <row r="366">
      <c r="B366" s="23"/>
      <c r="C366" s="23"/>
      <c r="D366" s="23"/>
      <c r="E366" s="23"/>
    </row>
    <row r="367">
      <c r="B367" s="23"/>
      <c r="C367" s="23"/>
      <c r="D367" s="23"/>
      <c r="E367" s="23"/>
    </row>
    <row r="368">
      <c r="B368" s="23"/>
      <c r="C368" s="23"/>
      <c r="D368" s="23"/>
      <c r="E368" s="23"/>
    </row>
    <row r="369">
      <c r="B369" s="23"/>
      <c r="C369" s="23"/>
      <c r="D369" s="23"/>
      <c r="E369" s="23"/>
    </row>
    <row r="370">
      <c r="B370" s="23"/>
      <c r="C370" s="23"/>
      <c r="D370" s="23"/>
      <c r="E370" s="23"/>
    </row>
    <row r="371">
      <c r="B371" s="23"/>
      <c r="C371" s="23"/>
      <c r="D371" s="23"/>
      <c r="E371" s="23"/>
    </row>
    <row r="372">
      <c r="B372" s="23"/>
      <c r="C372" s="23"/>
      <c r="D372" s="23"/>
      <c r="E372" s="23"/>
    </row>
    <row r="373">
      <c r="B373" s="23"/>
      <c r="C373" s="23"/>
      <c r="D373" s="23"/>
      <c r="E373" s="23"/>
    </row>
    <row r="374">
      <c r="B374" s="23"/>
      <c r="C374" s="23"/>
      <c r="D374" s="23"/>
      <c r="E374" s="23"/>
    </row>
    <row r="375">
      <c r="B375" s="23"/>
      <c r="C375" s="23"/>
      <c r="D375" s="23"/>
      <c r="E375" s="23"/>
    </row>
    <row r="376">
      <c r="B376" s="23"/>
      <c r="C376" s="23"/>
      <c r="D376" s="23"/>
      <c r="E376" s="23"/>
    </row>
    <row r="377">
      <c r="B377" s="23"/>
      <c r="C377" s="23"/>
      <c r="D377" s="23"/>
      <c r="E377" s="23"/>
    </row>
    <row r="378">
      <c r="B378" s="23"/>
      <c r="C378" s="23"/>
      <c r="D378" s="23"/>
      <c r="E378" s="23"/>
    </row>
    <row r="379">
      <c r="B379" s="23"/>
      <c r="C379" s="23"/>
      <c r="D379" s="23"/>
      <c r="E379" s="23"/>
    </row>
    <row r="380">
      <c r="B380" s="23"/>
      <c r="C380" s="23"/>
      <c r="D380" s="23"/>
      <c r="E380" s="23"/>
    </row>
    <row r="381">
      <c r="B381" s="23"/>
      <c r="C381" s="23"/>
      <c r="D381" s="23"/>
      <c r="E381" s="23"/>
    </row>
    <row r="382">
      <c r="B382" s="23"/>
      <c r="C382" s="23"/>
      <c r="D382" s="23"/>
      <c r="E382" s="23"/>
    </row>
    <row r="383">
      <c r="B383" s="23"/>
      <c r="C383" s="23"/>
      <c r="D383" s="23"/>
      <c r="E383" s="23"/>
    </row>
    <row r="384">
      <c r="B384" s="23"/>
      <c r="C384" s="23"/>
      <c r="D384" s="23"/>
      <c r="E384" s="23"/>
    </row>
    <row r="385">
      <c r="B385" s="23"/>
      <c r="C385" s="23"/>
      <c r="D385" s="23"/>
      <c r="E385" s="23"/>
    </row>
    <row r="386">
      <c r="B386" s="23"/>
      <c r="C386" s="23"/>
      <c r="D386" s="23"/>
      <c r="E386" s="23"/>
    </row>
    <row r="387">
      <c r="B387" s="23"/>
      <c r="C387" s="23"/>
      <c r="D387" s="23"/>
      <c r="E387" s="23"/>
    </row>
    <row r="388">
      <c r="B388" s="23"/>
      <c r="C388" s="23"/>
      <c r="D388" s="23"/>
      <c r="E388" s="23"/>
    </row>
    <row r="389">
      <c r="B389" s="23"/>
      <c r="C389" s="23"/>
      <c r="D389" s="23"/>
      <c r="E389" s="23"/>
    </row>
    <row r="390">
      <c r="B390" s="23"/>
      <c r="C390" s="23"/>
      <c r="D390" s="23"/>
      <c r="E390" s="23"/>
    </row>
    <row r="391">
      <c r="B391" s="23"/>
      <c r="C391" s="23"/>
      <c r="D391" s="23"/>
      <c r="E391" s="23"/>
    </row>
    <row r="392">
      <c r="B392" s="23"/>
      <c r="C392" s="23"/>
      <c r="D392" s="23"/>
      <c r="E392" s="23"/>
    </row>
    <row r="393">
      <c r="B393" s="23"/>
      <c r="C393" s="23"/>
      <c r="D393" s="23"/>
      <c r="E393" s="23"/>
    </row>
    <row r="394">
      <c r="B394" s="23"/>
      <c r="C394" s="23"/>
      <c r="D394" s="23"/>
      <c r="E394" s="23"/>
    </row>
    <row r="395">
      <c r="B395" s="23"/>
      <c r="C395" s="23"/>
      <c r="D395" s="23"/>
      <c r="E395" s="23"/>
    </row>
    <row r="396">
      <c r="B396" s="23"/>
      <c r="C396" s="23"/>
      <c r="D396" s="23"/>
      <c r="E396" s="23"/>
    </row>
    <row r="397">
      <c r="B397" s="23"/>
      <c r="C397" s="23"/>
      <c r="D397" s="23"/>
      <c r="E397" s="23"/>
    </row>
    <row r="398">
      <c r="B398" s="23"/>
      <c r="C398" s="23"/>
      <c r="D398" s="23"/>
      <c r="E398" s="23"/>
    </row>
    <row r="399">
      <c r="B399" s="23"/>
      <c r="C399" s="23"/>
      <c r="D399" s="23"/>
      <c r="E399" s="23"/>
    </row>
    <row r="400">
      <c r="B400" s="23"/>
      <c r="C400" s="23"/>
      <c r="D400" s="23"/>
      <c r="E400" s="23"/>
    </row>
    <row r="401">
      <c r="B401" s="23"/>
      <c r="C401" s="23"/>
      <c r="D401" s="23"/>
      <c r="E401" s="23"/>
    </row>
    <row r="402">
      <c r="B402" s="23"/>
      <c r="C402" s="23"/>
      <c r="D402" s="23"/>
      <c r="E402" s="23"/>
    </row>
    <row r="403">
      <c r="B403" s="23"/>
      <c r="C403" s="23"/>
      <c r="D403" s="23"/>
      <c r="E403" s="23"/>
    </row>
    <row r="404">
      <c r="B404" s="23"/>
      <c r="C404" s="23"/>
      <c r="D404" s="23"/>
      <c r="E404" s="23"/>
    </row>
    <row r="405">
      <c r="B405" s="23"/>
      <c r="C405" s="23"/>
      <c r="D405" s="23"/>
      <c r="E405" s="23"/>
    </row>
    <row r="406">
      <c r="B406" s="23"/>
      <c r="C406" s="23"/>
      <c r="D406" s="23"/>
      <c r="E406" s="23"/>
    </row>
    <row r="407">
      <c r="B407" s="23"/>
      <c r="C407" s="23"/>
      <c r="D407" s="23"/>
      <c r="E407" s="23"/>
    </row>
    <row r="408">
      <c r="B408" s="23"/>
      <c r="C408" s="23"/>
      <c r="D408" s="23"/>
      <c r="E408" s="23"/>
    </row>
    <row r="409">
      <c r="B409" s="23"/>
      <c r="C409" s="23"/>
      <c r="D409" s="23"/>
      <c r="E409" s="23"/>
    </row>
    <row r="410">
      <c r="B410" s="23"/>
      <c r="C410" s="23"/>
      <c r="D410" s="23"/>
      <c r="E410" s="23"/>
    </row>
    <row r="411">
      <c r="B411" s="23"/>
      <c r="C411" s="23"/>
      <c r="D411" s="23"/>
      <c r="E411" s="23"/>
    </row>
    <row r="412">
      <c r="B412" s="23"/>
      <c r="C412" s="23"/>
      <c r="D412" s="23"/>
      <c r="E412" s="23"/>
    </row>
    <row r="413">
      <c r="B413" s="23"/>
      <c r="C413" s="23"/>
      <c r="D413" s="23"/>
      <c r="E413" s="23"/>
    </row>
    <row r="414">
      <c r="B414" s="23"/>
      <c r="C414" s="23"/>
      <c r="D414" s="23"/>
      <c r="E414" s="23"/>
    </row>
    <row r="415">
      <c r="B415" s="23"/>
      <c r="C415" s="23"/>
      <c r="D415" s="23"/>
      <c r="E415" s="23"/>
    </row>
    <row r="416">
      <c r="B416" s="23"/>
      <c r="C416" s="23"/>
      <c r="D416" s="23"/>
      <c r="E416" s="23"/>
    </row>
    <row r="417">
      <c r="B417" s="23"/>
      <c r="C417" s="23"/>
      <c r="D417" s="23"/>
      <c r="E417" s="23"/>
    </row>
    <row r="418">
      <c r="B418" s="23"/>
      <c r="C418" s="23"/>
      <c r="D418" s="23"/>
      <c r="E418" s="23"/>
    </row>
    <row r="419">
      <c r="B419" s="23"/>
      <c r="C419" s="23"/>
      <c r="D419" s="23"/>
      <c r="E419" s="23"/>
    </row>
    <row r="420">
      <c r="B420" s="23"/>
      <c r="C420" s="23"/>
      <c r="D420" s="23"/>
      <c r="E420" s="23"/>
    </row>
    <row r="421">
      <c r="B421" s="23"/>
      <c r="C421" s="23"/>
      <c r="D421" s="23"/>
      <c r="E421" s="23"/>
    </row>
    <row r="422">
      <c r="B422" s="23"/>
      <c r="C422" s="23"/>
      <c r="D422" s="23"/>
      <c r="E422" s="23"/>
    </row>
    <row r="423">
      <c r="B423" s="23"/>
      <c r="C423" s="23"/>
      <c r="D423" s="23"/>
      <c r="E423" s="23"/>
    </row>
    <row r="424">
      <c r="B424" s="23"/>
      <c r="C424" s="23"/>
      <c r="D424" s="23"/>
      <c r="E424" s="23"/>
    </row>
    <row r="425">
      <c r="B425" s="23"/>
      <c r="C425" s="23"/>
      <c r="D425" s="23"/>
      <c r="E425" s="23"/>
    </row>
    <row r="426">
      <c r="B426" s="23"/>
      <c r="C426" s="23"/>
      <c r="D426" s="23"/>
      <c r="E426" s="23"/>
    </row>
    <row r="427">
      <c r="B427" s="23"/>
      <c r="C427" s="23"/>
      <c r="D427" s="23"/>
      <c r="E427" s="23"/>
    </row>
    <row r="428">
      <c r="B428" s="23"/>
      <c r="C428" s="23"/>
      <c r="D428" s="23"/>
      <c r="E428" s="23"/>
    </row>
    <row r="429">
      <c r="B429" s="23"/>
      <c r="C429" s="23"/>
      <c r="D429" s="23"/>
      <c r="E429" s="23"/>
    </row>
    <row r="430">
      <c r="B430" s="23"/>
      <c r="C430" s="23"/>
      <c r="D430" s="23"/>
      <c r="E430" s="23"/>
    </row>
    <row r="431">
      <c r="B431" s="23"/>
      <c r="C431" s="23"/>
      <c r="D431" s="23"/>
      <c r="E431" s="23"/>
    </row>
    <row r="432">
      <c r="B432" s="23"/>
      <c r="C432" s="23"/>
      <c r="D432" s="23"/>
      <c r="E432" s="23"/>
    </row>
    <row r="433">
      <c r="B433" s="23"/>
      <c r="C433" s="23"/>
      <c r="D433" s="23"/>
      <c r="E433" s="23"/>
    </row>
    <row r="434">
      <c r="B434" s="23"/>
      <c r="C434" s="23"/>
      <c r="D434" s="23"/>
      <c r="E434" s="23"/>
    </row>
    <row r="435">
      <c r="B435" s="23"/>
      <c r="C435" s="23"/>
      <c r="D435" s="23"/>
      <c r="E435" s="23"/>
    </row>
    <row r="436">
      <c r="B436" s="23"/>
      <c r="C436" s="23"/>
      <c r="D436" s="23"/>
      <c r="E436" s="23"/>
    </row>
    <row r="437">
      <c r="B437" s="23"/>
      <c r="C437" s="23"/>
      <c r="D437" s="23"/>
      <c r="E437" s="23"/>
    </row>
    <row r="438">
      <c r="B438" s="23"/>
      <c r="C438" s="23"/>
      <c r="D438" s="23"/>
      <c r="E438" s="23"/>
    </row>
    <row r="439">
      <c r="B439" s="23"/>
      <c r="C439" s="23"/>
      <c r="D439" s="23"/>
      <c r="E439" s="23"/>
    </row>
    <row r="440">
      <c r="B440" s="23"/>
      <c r="C440" s="23"/>
      <c r="D440" s="23"/>
      <c r="E440" s="23"/>
    </row>
    <row r="441">
      <c r="B441" s="23"/>
      <c r="C441" s="23"/>
      <c r="D441" s="23"/>
      <c r="E441" s="23"/>
    </row>
    <row r="442">
      <c r="B442" s="23"/>
      <c r="C442" s="23"/>
      <c r="D442" s="23"/>
      <c r="E442" s="23"/>
    </row>
    <row r="443">
      <c r="B443" s="23"/>
      <c r="C443" s="23"/>
      <c r="D443" s="23"/>
      <c r="E443" s="23"/>
    </row>
    <row r="444">
      <c r="B444" s="23"/>
      <c r="C444" s="23"/>
      <c r="D444" s="23"/>
      <c r="E444" s="23"/>
    </row>
    <row r="445">
      <c r="B445" s="23"/>
      <c r="C445" s="23"/>
      <c r="D445" s="23"/>
      <c r="E445" s="23"/>
    </row>
    <row r="446">
      <c r="B446" s="23"/>
      <c r="C446" s="23"/>
      <c r="D446" s="23"/>
      <c r="E446" s="23"/>
    </row>
    <row r="447">
      <c r="B447" s="23"/>
      <c r="C447" s="23"/>
      <c r="D447" s="23"/>
      <c r="E447" s="23"/>
    </row>
    <row r="448">
      <c r="B448" s="23"/>
      <c r="C448" s="23"/>
      <c r="D448" s="23"/>
      <c r="E448" s="23"/>
    </row>
    <row r="449">
      <c r="B449" s="23"/>
      <c r="C449" s="23"/>
      <c r="D449" s="23"/>
      <c r="E449" s="23"/>
    </row>
    <row r="450">
      <c r="B450" s="23"/>
      <c r="C450" s="23"/>
      <c r="D450" s="23"/>
      <c r="E450" s="23"/>
    </row>
    <row r="451">
      <c r="B451" s="23"/>
      <c r="C451" s="23"/>
      <c r="D451" s="23"/>
      <c r="E451" s="23"/>
    </row>
    <row r="452">
      <c r="B452" s="23"/>
      <c r="C452" s="23"/>
      <c r="D452" s="23"/>
      <c r="E452" s="23"/>
    </row>
    <row r="453">
      <c r="B453" s="23"/>
      <c r="C453" s="23"/>
      <c r="D453" s="23"/>
      <c r="E453" s="23"/>
    </row>
    <row r="454">
      <c r="B454" s="23"/>
      <c r="C454" s="23"/>
      <c r="D454" s="23"/>
      <c r="E454" s="23"/>
    </row>
    <row r="455">
      <c r="B455" s="23"/>
      <c r="C455" s="23"/>
      <c r="D455" s="23"/>
      <c r="E455" s="23"/>
    </row>
    <row r="456">
      <c r="B456" s="23"/>
      <c r="C456" s="23"/>
      <c r="D456" s="23"/>
      <c r="E456" s="23"/>
    </row>
    <row r="457">
      <c r="B457" s="23"/>
      <c r="C457" s="23"/>
      <c r="D457" s="23"/>
      <c r="E457" s="23"/>
    </row>
    <row r="458">
      <c r="B458" s="23"/>
      <c r="C458" s="23"/>
      <c r="D458" s="23"/>
      <c r="E458" s="23"/>
    </row>
    <row r="459">
      <c r="B459" s="23"/>
      <c r="C459" s="23"/>
      <c r="D459" s="23"/>
      <c r="E459" s="23"/>
    </row>
    <row r="460">
      <c r="B460" s="23"/>
      <c r="C460" s="23"/>
      <c r="D460" s="23"/>
      <c r="E460" s="23"/>
    </row>
    <row r="461">
      <c r="B461" s="23"/>
      <c r="C461" s="23"/>
      <c r="D461" s="23"/>
      <c r="E461" s="23"/>
    </row>
    <row r="462">
      <c r="B462" s="23"/>
      <c r="C462" s="23"/>
      <c r="D462" s="23"/>
      <c r="E462" s="23"/>
    </row>
    <row r="463">
      <c r="B463" s="23"/>
      <c r="C463" s="23"/>
      <c r="D463" s="23"/>
      <c r="E463" s="23"/>
    </row>
    <row r="464">
      <c r="B464" s="23"/>
      <c r="C464" s="23"/>
      <c r="D464" s="23"/>
      <c r="E464" s="23"/>
    </row>
    <row r="465">
      <c r="B465" s="23"/>
      <c r="C465" s="23"/>
      <c r="D465" s="23"/>
      <c r="E465" s="23"/>
    </row>
    <row r="466">
      <c r="B466" s="23"/>
      <c r="C466" s="23"/>
      <c r="D466" s="23"/>
      <c r="E466" s="23"/>
    </row>
    <row r="467">
      <c r="B467" s="23"/>
      <c r="C467" s="23"/>
      <c r="D467" s="23"/>
      <c r="E467" s="23"/>
    </row>
    <row r="468">
      <c r="B468" s="23"/>
      <c r="C468" s="23"/>
      <c r="D468" s="23"/>
      <c r="E468" s="23"/>
    </row>
    <row r="469">
      <c r="B469" s="23"/>
      <c r="C469" s="23"/>
      <c r="D469" s="23"/>
      <c r="E469" s="23"/>
    </row>
    <row r="470">
      <c r="B470" s="23"/>
      <c r="C470" s="23"/>
      <c r="D470" s="23"/>
      <c r="E470" s="23"/>
    </row>
    <row r="471">
      <c r="B471" s="23"/>
      <c r="C471" s="23"/>
      <c r="D471" s="23"/>
      <c r="E471" s="23"/>
    </row>
    <row r="472">
      <c r="B472" s="23"/>
      <c r="C472" s="23"/>
      <c r="D472" s="23"/>
      <c r="E472" s="23"/>
    </row>
    <row r="473">
      <c r="B473" s="23"/>
      <c r="C473" s="23"/>
      <c r="D473" s="23"/>
      <c r="E473" s="23"/>
    </row>
    <row r="474">
      <c r="B474" s="23"/>
      <c r="C474" s="23"/>
      <c r="D474" s="23"/>
      <c r="E474" s="23"/>
    </row>
    <row r="475">
      <c r="B475" s="23"/>
      <c r="C475" s="23"/>
      <c r="D475" s="23"/>
      <c r="E475" s="23"/>
    </row>
    <row r="476">
      <c r="B476" s="23"/>
      <c r="C476" s="23"/>
      <c r="D476" s="23"/>
      <c r="E476" s="23"/>
    </row>
    <row r="477">
      <c r="B477" s="23"/>
      <c r="C477" s="23"/>
      <c r="D477" s="23"/>
      <c r="E477" s="23"/>
    </row>
    <row r="478">
      <c r="B478" s="23"/>
      <c r="C478" s="23"/>
      <c r="D478" s="23"/>
      <c r="E478" s="23"/>
    </row>
    <row r="479">
      <c r="B479" s="23"/>
      <c r="C479" s="23"/>
      <c r="D479" s="23"/>
      <c r="E479" s="23"/>
    </row>
    <row r="480">
      <c r="B480" s="23"/>
      <c r="C480" s="23"/>
      <c r="D480" s="23"/>
      <c r="E480" s="23"/>
    </row>
    <row r="481">
      <c r="B481" s="23"/>
      <c r="C481" s="23"/>
      <c r="D481" s="23"/>
      <c r="E481" s="23"/>
    </row>
    <row r="482">
      <c r="B482" s="23"/>
      <c r="C482" s="23"/>
      <c r="D482" s="23"/>
      <c r="E482" s="23"/>
    </row>
    <row r="483">
      <c r="B483" s="23"/>
      <c r="C483" s="23"/>
      <c r="D483" s="23"/>
      <c r="E483" s="23"/>
    </row>
    <row r="484">
      <c r="B484" s="23"/>
      <c r="C484" s="23"/>
      <c r="D484" s="23"/>
      <c r="E484" s="23"/>
    </row>
    <row r="485">
      <c r="B485" s="23"/>
      <c r="C485" s="23"/>
      <c r="D485" s="23"/>
      <c r="E485" s="23"/>
    </row>
    <row r="486">
      <c r="B486" s="23"/>
      <c r="C486" s="23"/>
      <c r="D486" s="23"/>
      <c r="E486" s="23"/>
    </row>
    <row r="487">
      <c r="B487" s="23"/>
      <c r="C487" s="23"/>
      <c r="D487" s="23"/>
      <c r="E487" s="23"/>
    </row>
    <row r="488">
      <c r="B488" s="23"/>
      <c r="C488" s="23"/>
      <c r="D488" s="23"/>
      <c r="E488" s="23"/>
    </row>
    <row r="489">
      <c r="B489" s="23"/>
      <c r="C489" s="23"/>
      <c r="D489" s="23"/>
      <c r="E489" s="23"/>
    </row>
    <row r="490">
      <c r="B490" s="23"/>
      <c r="C490" s="23"/>
      <c r="D490" s="23"/>
      <c r="E490" s="23"/>
    </row>
    <row r="491">
      <c r="B491" s="23"/>
      <c r="C491" s="23"/>
      <c r="D491" s="23"/>
      <c r="E491" s="23"/>
    </row>
    <row r="492">
      <c r="B492" s="23"/>
      <c r="C492" s="23"/>
      <c r="D492" s="23"/>
      <c r="E492" s="23"/>
    </row>
    <row r="493">
      <c r="B493" s="23"/>
      <c r="C493" s="23"/>
      <c r="D493" s="23"/>
      <c r="E493" s="23"/>
    </row>
    <row r="494">
      <c r="B494" s="23"/>
      <c r="C494" s="23"/>
      <c r="D494" s="23"/>
      <c r="E494" s="23"/>
    </row>
    <row r="495">
      <c r="B495" s="23"/>
      <c r="C495" s="23"/>
      <c r="D495" s="23"/>
      <c r="E495" s="23"/>
    </row>
    <row r="496">
      <c r="B496" s="23"/>
      <c r="C496" s="23"/>
      <c r="D496" s="23"/>
      <c r="E496" s="23"/>
    </row>
    <row r="497">
      <c r="B497" s="23"/>
      <c r="C497" s="23"/>
      <c r="D497" s="23"/>
      <c r="E497" s="23"/>
    </row>
    <row r="498">
      <c r="B498" s="23"/>
      <c r="C498" s="23"/>
      <c r="D498" s="23"/>
      <c r="E498" s="23"/>
    </row>
    <row r="499">
      <c r="B499" s="23"/>
      <c r="C499" s="23"/>
      <c r="D499" s="23"/>
      <c r="E499" s="23"/>
    </row>
    <row r="500">
      <c r="B500" s="23"/>
      <c r="C500" s="23"/>
      <c r="D500" s="23"/>
      <c r="E500" s="23"/>
    </row>
    <row r="501">
      <c r="B501" s="23"/>
      <c r="C501" s="23"/>
      <c r="D501" s="23"/>
      <c r="E501" s="23"/>
    </row>
    <row r="502">
      <c r="B502" s="23"/>
      <c r="C502" s="23"/>
      <c r="D502" s="23"/>
      <c r="E502" s="23"/>
    </row>
    <row r="503">
      <c r="B503" s="23"/>
      <c r="C503" s="23"/>
      <c r="D503" s="23"/>
      <c r="E503" s="23"/>
    </row>
    <row r="504">
      <c r="B504" s="23"/>
      <c r="C504" s="23"/>
      <c r="D504" s="23"/>
      <c r="E504" s="23"/>
    </row>
    <row r="505">
      <c r="B505" s="23"/>
      <c r="C505" s="23"/>
      <c r="D505" s="23"/>
      <c r="E505" s="23"/>
    </row>
    <row r="506">
      <c r="B506" s="23"/>
      <c r="C506" s="23"/>
      <c r="D506" s="23"/>
      <c r="E506" s="23"/>
    </row>
    <row r="507">
      <c r="B507" s="23"/>
      <c r="C507" s="23"/>
      <c r="D507" s="23"/>
      <c r="E507" s="23"/>
    </row>
    <row r="508">
      <c r="B508" s="23"/>
      <c r="C508" s="23"/>
      <c r="D508" s="23"/>
      <c r="E508" s="23"/>
    </row>
    <row r="509">
      <c r="B509" s="23"/>
      <c r="C509" s="23"/>
      <c r="D509" s="23"/>
      <c r="E509" s="23"/>
    </row>
    <row r="510">
      <c r="B510" s="23"/>
      <c r="C510" s="23"/>
      <c r="D510" s="23"/>
      <c r="E510" s="23"/>
    </row>
    <row r="511">
      <c r="B511" s="23"/>
      <c r="C511" s="23"/>
      <c r="D511" s="23"/>
      <c r="E511" s="23"/>
    </row>
    <row r="512">
      <c r="B512" s="23"/>
      <c r="C512" s="23"/>
      <c r="D512" s="23"/>
      <c r="E512" s="23"/>
    </row>
    <row r="513">
      <c r="B513" s="23"/>
      <c r="C513" s="23"/>
      <c r="D513" s="23"/>
      <c r="E513" s="23"/>
    </row>
    <row r="514">
      <c r="B514" s="23"/>
      <c r="C514" s="23"/>
      <c r="D514" s="23"/>
      <c r="E514" s="23"/>
    </row>
    <row r="515">
      <c r="B515" s="23"/>
      <c r="C515" s="23"/>
      <c r="D515" s="23"/>
      <c r="E515" s="23"/>
    </row>
    <row r="516">
      <c r="B516" s="23"/>
      <c r="C516" s="23"/>
      <c r="D516" s="23"/>
      <c r="E516" s="23"/>
    </row>
    <row r="517">
      <c r="B517" s="23"/>
      <c r="C517" s="23"/>
      <c r="D517" s="23"/>
      <c r="E517" s="23"/>
    </row>
    <row r="518">
      <c r="B518" s="23"/>
      <c r="C518" s="23"/>
      <c r="D518" s="23"/>
      <c r="E518" s="23"/>
    </row>
    <row r="519">
      <c r="B519" s="23"/>
      <c r="C519" s="23"/>
      <c r="D519" s="23"/>
      <c r="E519" s="23"/>
    </row>
    <row r="520">
      <c r="B520" s="23"/>
      <c r="C520" s="23"/>
      <c r="D520" s="23"/>
      <c r="E520" s="23"/>
    </row>
    <row r="521">
      <c r="B521" s="23"/>
      <c r="C521" s="23"/>
      <c r="D521" s="23"/>
      <c r="E521" s="23"/>
    </row>
    <row r="522">
      <c r="B522" s="23"/>
      <c r="C522" s="23"/>
      <c r="D522" s="23"/>
      <c r="E522" s="23"/>
    </row>
    <row r="523">
      <c r="B523" s="23"/>
      <c r="C523" s="23"/>
      <c r="D523" s="23"/>
      <c r="E523" s="23"/>
    </row>
    <row r="524">
      <c r="B524" s="23"/>
      <c r="C524" s="23"/>
      <c r="D524" s="23"/>
      <c r="E524" s="23"/>
    </row>
    <row r="525">
      <c r="B525" s="23"/>
      <c r="C525" s="23"/>
      <c r="D525" s="23"/>
      <c r="E525" s="23"/>
    </row>
    <row r="526">
      <c r="B526" s="23"/>
      <c r="C526" s="23"/>
      <c r="D526" s="23"/>
      <c r="E526" s="23"/>
    </row>
    <row r="527">
      <c r="B527" s="23"/>
      <c r="C527" s="23"/>
      <c r="D527" s="23"/>
      <c r="E527" s="23"/>
    </row>
    <row r="528">
      <c r="B528" s="23"/>
      <c r="C528" s="23"/>
      <c r="D528" s="23"/>
      <c r="E528" s="23"/>
    </row>
    <row r="529">
      <c r="B529" s="23"/>
      <c r="C529" s="23"/>
      <c r="D529" s="23"/>
      <c r="E529" s="23"/>
    </row>
    <row r="530">
      <c r="B530" s="23"/>
      <c r="C530" s="23"/>
      <c r="D530" s="23"/>
      <c r="E530" s="23"/>
    </row>
    <row r="531">
      <c r="B531" s="23"/>
      <c r="C531" s="23"/>
      <c r="D531" s="23"/>
      <c r="E531" s="23"/>
    </row>
    <row r="532">
      <c r="B532" s="23"/>
      <c r="C532" s="23"/>
      <c r="D532" s="23"/>
      <c r="E532" s="23"/>
    </row>
    <row r="533">
      <c r="B533" s="23"/>
      <c r="C533" s="23"/>
      <c r="D533" s="23"/>
      <c r="E533" s="23"/>
    </row>
    <row r="534">
      <c r="B534" s="23"/>
      <c r="C534" s="23"/>
      <c r="D534" s="23"/>
      <c r="E534" s="23"/>
    </row>
    <row r="535">
      <c r="B535" s="23"/>
      <c r="C535" s="23"/>
      <c r="D535" s="23"/>
      <c r="E535" s="23"/>
    </row>
    <row r="536">
      <c r="B536" s="23"/>
      <c r="C536" s="23"/>
      <c r="D536" s="23"/>
      <c r="E536" s="23"/>
    </row>
    <row r="537">
      <c r="B537" s="23"/>
      <c r="C537" s="23"/>
      <c r="D537" s="23"/>
      <c r="E537" s="23"/>
    </row>
    <row r="538">
      <c r="B538" s="23"/>
      <c r="C538" s="23"/>
      <c r="D538" s="23"/>
      <c r="E538" s="23"/>
    </row>
    <row r="539">
      <c r="B539" s="23"/>
      <c r="C539" s="23"/>
      <c r="D539" s="23"/>
      <c r="E539" s="23"/>
    </row>
    <row r="540">
      <c r="B540" s="23"/>
      <c r="C540" s="23"/>
      <c r="D540" s="23"/>
      <c r="E540" s="23"/>
    </row>
    <row r="541">
      <c r="B541" s="23"/>
      <c r="C541" s="23"/>
      <c r="D541" s="23"/>
      <c r="E541" s="23"/>
    </row>
    <row r="542">
      <c r="B542" s="23"/>
      <c r="C542" s="23"/>
      <c r="D542" s="23"/>
      <c r="E542" s="23"/>
    </row>
    <row r="543">
      <c r="B543" s="23"/>
      <c r="C543" s="23"/>
      <c r="D543" s="23"/>
      <c r="E543" s="23"/>
    </row>
    <row r="544">
      <c r="B544" s="23"/>
      <c r="C544" s="23"/>
      <c r="D544" s="23"/>
      <c r="E544" s="23"/>
    </row>
    <row r="545">
      <c r="B545" s="23"/>
      <c r="C545" s="23"/>
      <c r="D545" s="23"/>
      <c r="E545" s="23"/>
    </row>
    <row r="546">
      <c r="B546" s="23"/>
      <c r="C546" s="23"/>
      <c r="D546" s="23"/>
      <c r="E546" s="23"/>
    </row>
    <row r="547">
      <c r="B547" s="23"/>
      <c r="C547" s="23"/>
      <c r="D547" s="23"/>
      <c r="E547" s="23"/>
    </row>
    <row r="548">
      <c r="B548" s="23"/>
      <c r="C548" s="23"/>
      <c r="D548" s="23"/>
      <c r="E548" s="23"/>
    </row>
    <row r="549">
      <c r="B549" s="23"/>
      <c r="C549" s="23"/>
      <c r="D549" s="23"/>
      <c r="E549" s="23"/>
    </row>
    <row r="550">
      <c r="B550" s="23"/>
      <c r="C550" s="23"/>
      <c r="D550" s="23"/>
      <c r="E550" s="23"/>
    </row>
    <row r="551">
      <c r="B551" s="23"/>
      <c r="C551" s="23"/>
      <c r="D551" s="23"/>
      <c r="E551" s="23"/>
    </row>
    <row r="552">
      <c r="B552" s="23"/>
      <c r="C552" s="23"/>
      <c r="D552" s="23"/>
      <c r="E552" s="23"/>
    </row>
    <row r="553">
      <c r="B553" s="23"/>
      <c r="C553" s="23"/>
      <c r="D553" s="23"/>
      <c r="E553" s="23"/>
    </row>
    <row r="554">
      <c r="B554" s="23"/>
      <c r="C554" s="23"/>
      <c r="D554" s="23"/>
      <c r="E554" s="23"/>
    </row>
    <row r="555">
      <c r="B555" s="23"/>
      <c r="C555" s="23"/>
      <c r="D555" s="23"/>
      <c r="E555" s="23"/>
    </row>
    <row r="556">
      <c r="B556" s="23"/>
      <c r="C556" s="23"/>
      <c r="D556" s="23"/>
      <c r="E556" s="23"/>
    </row>
    <row r="557">
      <c r="B557" s="23"/>
      <c r="C557" s="23"/>
      <c r="D557" s="23"/>
      <c r="E557" s="23"/>
    </row>
    <row r="558">
      <c r="B558" s="23"/>
      <c r="C558" s="23"/>
      <c r="D558" s="23"/>
      <c r="E558" s="23"/>
    </row>
    <row r="559">
      <c r="B559" s="23"/>
      <c r="C559" s="23"/>
      <c r="D559" s="23"/>
      <c r="E559" s="23"/>
    </row>
    <row r="560">
      <c r="B560" s="23"/>
      <c r="C560" s="23"/>
      <c r="D560" s="23"/>
      <c r="E560" s="23"/>
    </row>
    <row r="561">
      <c r="B561" s="23"/>
      <c r="C561" s="23"/>
      <c r="D561" s="23"/>
      <c r="E561" s="23"/>
    </row>
    <row r="562">
      <c r="B562" s="23"/>
      <c r="C562" s="23"/>
      <c r="D562" s="23"/>
      <c r="E562" s="23"/>
    </row>
    <row r="563">
      <c r="B563" s="23"/>
      <c r="C563" s="23"/>
      <c r="D563" s="23"/>
      <c r="E563" s="23"/>
    </row>
    <row r="564">
      <c r="B564" s="23"/>
      <c r="C564" s="23"/>
      <c r="D564" s="23"/>
      <c r="E564" s="23"/>
    </row>
    <row r="565">
      <c r="B565" s="23"/>
      <c r="C565" s="23"/>
      <c r="D565" s="23"/>
      <c r="E565" s="23"/>
    </row>
    <row r="566">
      <c r="B566" s="23"/>
      <c r="C566" s="23"/>
      <c r="D566" s="23"/>
      <c r="E566" s="23"/>
    </row>
    <row r="567">
      <c r="B567" s="23"/>
      <c r="C567" s="23"/>
      <c r="D567" s="23"/>
      <c r="E567" s="23"/>
    </row>
    <row r="568">
      <c r="B568" s="23"/>
      <c r="C568" s="23"/>
      <c r="D568" s="23"/>
      <c r="E568" s="23"/>
    </row>
    <row r="569">
      <c r="B569" s="23"/>
      <c r="C569" s="23"/>
      <c r="D569" s="23"/>
      <c r="E569" s="23"/>
    </row>
    <row r="570">
      <c r="B570" s="23"/>
      <c r="C570" s="23"/>
      <c r="D570" s="23"/>
      <c r="E570" s="23"/>
    </row>
    <row r="571">
      <c r="B571" s="23"/>
      <c r="C571" s="23"/>
      <c r="D571" s="23"/>
      <c r="E571" s="23"/>
    </row>
    <row r="572">
      <c r="B572" s="23"/>
      <c r="C572" s="23"/>
      <c r="D572" s="23"/>
      <c r="E572" s="23"/>
    </row>
    <row r="573">
      <c r="B573" s="23"/>
      <c r="C573" s="23"/>
      <c r="D573" s="23"/>
      <c r="E573" s="23"/>
    </row>
    <row r="574">
      <c r="B574" s="23"/>
      <c r="C574" s="23"/>
      <c r="D574" s="23"/>
      <c r="E574" s="23"/>
    </row>
    <row r="575">
      <c r="B575" s="23"/>
      <c r="C575" s="23"/>
      <c r="D575" s="23"/>
      <c r="E575" s="23"/>
    </row>
    <row r="576">
      <c r="B576" s="23"/>
      <c r="C576" s="23"/>
      <c r="D576" s="23"/>
      <c r="E576" s="23"/>
    </row>
    <row r="577">
      <c r="B577" s="23"/>
      <c r="C577" s="23"/>
      <c r="D577" s="23"/>
      <c r="E577" s="23"/>
    </row>
    <row r="578">
      <c r="B578" s="23"/>
      <c r="C578" s="23"/>
      <c r="D578" s="23"/>
      <c r="E578" s="23"/>
    </row>
    <row r="579">
      <c r="B579" s="23"/>
      <c r="C579" s="23"/>
      <c r="D579" s="23"/>
      <c r="E579" s="23"/>
    </row>
    <row r="580">
      <c r="B580" s="23"/>
      <c r="C580" s="23"/>
      <c r="D580" s="23"/>
      <c r="E580" s="23"/>
    </row>
    <row r="581">
      <c r="B581" s="23"/>
      <c r="C581" s="23"/>
      <c r="D581" s="23"/>
      <c r="E581" s="23"/>
    </row>
    <row r="582">
      <c r="B582" s="23"/>
      <c r="C582" s="23"/>
      <c r="D582" s="23"/>
      <c r="E582" s="23"/>
    </row>
    <row r="583">
      <c r="B583" s="23"/>
      <c r="C583" s="23"/>
      <c r="D583" s="23"/>
      <c r="E583" s="23"/>
    </row>
    <row r="584">
      <c r="B584" s="23"/>
      <c r="C584" s="23"/>
      <c r="D584" s="23"/>
      <c r="E584" s="23"/>
    </row>
    <row r="585">
      <c r="B585" s="23"/>
      <c r="C585" s="23"/>
      <c r="D585" s="23"/>
      <c r="E585" s="23"/>
    </row>
    <row r="586">
      <c r="B586" s="23"/>
      <c r="C586" s="23"/>
      <c r="D586" s="23"/>
      <c r="E586" s="23"/>
    </row>
    <row r="587">
      <c r="B587" s="23"/>
      <c r="C587" s="23"/>
      <c r="D587" s="23"/>
      <c r="E587" s="23"/>
    </row>
    <row r="588">
      <c r="B588" s="23"/>
      <c r="C588" s="23"/>
      <c r="D588" s="23"/>
      <c r="E588" s="23"/>
    </row>
    <row r="589">
      <c r="B589" s="23"/>
      <c r="C589" s="23"/>
      <c r="D589" s="23"/>
      <c r="E589" s="23"/>
    </row>
    <row r="590">
      <c r="B590" s="23"/>
      <c r="C590" s="23"/>
      <c r="D590" s="23"/>
      <c r="E590" s="23"/>
    </row>
    <row r="591">
      <c r="B591" s="23"/>
      <c r="C591" s="23"/>
      <c r="D591" s="23"/>
      <c r="E591" s="23"/>
    </row>
    <row r="592">
      <c r="B592" s="23"/>
      <c r="C592" s="23"/>
      <c r="D592" s="23"/>
      <c r="E592" s="23"/>
    </row>
    <row r="593">
      <c r="B593" s="23"/>
      <c r="C593" s="23"/>
      <c r="D593" s="23"/>
      <c r="E593" s="23"/>
    </row>
    <row r="594">
      <c r="B594" s="23"/>
      <c r="C594" s="23"/>
      <c r="D594" s="23"/>
      <c r="E594" s="23"/>
    </row>
    <row r="595">
      <c r="B595" s="23"/>
      <c r="C595" s="23"/>
      <c r="D595" s="23"/>
      <c r="E595" s="23"/>
    </row>
    <row r="596">
      <c r="B596" s="23"/>
      <c r="C596" s="23"/>
      <c r="D596" s="23"/>
      <c r="E596" s="23"/>
    </row>
    <row r="597">
      <c r="B597" s="23"/>
      <c r="C597" s="23"/>
      <c r="D597" s="23"/>
      <c r="E597" s="23"/>
    </row>
    <row r="598">
      <c r="B598" s="23"/>
      <c r="C598" s="23"/>
      <c r="D598" s="23"/>
      <c r="E598" s="23"/>
    </row>
    <row r="599">
      <c r="B599" s="23"/>
      <c r="C599" s="23"/>
      <c r="D599" s="23"/>
      <c r="E599" s="23"/>
    </row>
    <row r="600">
      <c r="B600" s="23"/>
      <c r="C600" s="23"/>
      <c r="D600" s="23"/>
      <c r="E600" s="23"/>
    </row>
    <row r="601">
      <c r="B601" s="23"/>
      <c r="C601" s="23"/>
      <c r="D601" s="23"/>
      <c r="E601" s="23"/>
    </row>
    <row r="602">
      <c r="B602" s="23"/>
      <c r="C602" s="23"/>
      <c r="D602" s="23"/>
      <c r="E602" s="23"/>
    </row>
    <row r="603">
      <c r="B603" s="23"/>
      <c r="C603" s="23"/>
      <c r="D603" s="23"/>
      <c r="E603" s="23"/>
    </row>
    <row r="604">
      <c r="B604" s="23"/>
      <c r="C604" s="23"/>
      <c r="D604" s="23"/>
      <c r="E604" s="23"/>
    </row>
    <row r="605">
      <c r="B605" s="23"/>
      <c r="C605" s="23"/>
      <c r="D605" s="23"/>
      <c r="E605" s="23"/>
    </row>
    <row r="606">
      <c r="B606" s="23"/>
      <c r="C606" s="23"/>
      <c r="D606" s="23"/>
      <c r="E606" s="23"/>
    </row>
    <row r="607">
      <c r="B607" s="23"/>
      <c r="C607" s="23"/>
      <c r="D607" s="23"/>
      <c r="E607" s="23"/>
    </row>
    <row r="608">
      <c r="B608" s="23"/>
      <c r="C608" s="23"/>
      <c r="D608" s="23"/>
      <c r="E608" s="23"/>
    </row>
    <row r="609">
      <c r="B609" s="23"/>
      <c r="C609" s="23"/>
      <c r="D609" s="23"/>
      <c r="E609" s="23"/>
    </row>
    <row r="610">
      <c r="B610" s="23"/>
      <c r="C610" s="23"/>
      <c r="D610" s="23"/>
      <c r="E610" s="23"/>
    </row>
    <row r="611">
      <c r="B611" s="23"/>
      <c r="C611" s="23"/>
      <c r="D611" s="23"/>
      <c r="E611" s="23"/>
    </row>
    <row r="612">
      <c r="B612" s="23"/>
      <c r="C612" s="23"/>
      <c r="D612" s="23"/>
      <c r="E612" s="23"/>
    </row>
    <row r="613">
      <c r="B613" s="23"/>
      <c r="C613" s="23"/>
      <c r="D613" s="23"/>
      <c r="E613" s="23"/>
    </row>
    <row r="614">
      <c r="B614" s="23"/>
      <c r="C614" s="23"/>
      <c r="D614" s="23"/>
      <c r="E614" s="23"/>
    </row>
    <row r="615">
      <c r="B615" s="23"/>
      <c r="C615" s="23"/>
      <c r="D615" s="23"/>
      <c r="E615" s="23"/>
    </row>
    <row r="616">
      <c r="B616" s="23"/>
      <c r="C616" s="23"/>
      <c r="D616" s="23"/>
      <c r="E616" s="23"/>
    </row>
    <row r="617">
      <c r="B617" s="23"/>
      <c r="C617" s="23"/>
      <c r="D617" s="23"/>
      <c r="E617" s="23"/>
    </row>
    <row r="618">
      <c r="B618" s="23"/>
      <c r="C618" s="23"/>
      <c r="D618" s="23"/>
      <c r="E618" s="23"/>
    </row>
    <row r="619">
      <c r="B619" s="23"/>
      <c r="C619" s="23"/>
      <c r="D619" s="23"/>
      <c r="E619" s="23"/>
    </row>
    <row r="620">
      <c r="B620" s="23"/>
      <c r="C620" s="23"/>
      <c r="D620" s="23"/>
      <c r="E620" s="23"/>
    </row>
    <row r="621">
      <c r="B621" s="23"/>
      <c r="C621" s="23"/>
      <c r="D621" s="23"/>
      <c r="E621" s="23"/>
    </row>
    <row r="622">
      <c r="B622" s="23"/>
      <c r="C622" s="23"/>
      <c r="D622" s="23"/>
      <c r="E622" s="23"/>
    </row>
    <row r="623">
      <c r="B623" s="23"/>
      <c r="C623" s="23"/>
      <c r="D623" s="23"/>
      <c r="E623" s="23"/>
    </row>
    <row r="624">
      <c r="B624" s="23"/>
      <c r="C624" s="23"/>
      <c r="D624" s="23"/>
      <c r="E624" s="23"/>
    </row>
    <row r="625">
      <c r="B625" s="23"/>
      <c r="C625" s="23"/>
      <c r="D625" s="23"/>
      <c r="E625" s="23"/>
    </row>
    <row r="626">
      <c r="B626" s="23"/>
      <c r="C626" s="23"/>
      <c r="D626" s="23"/>
      <c r="E626" s="23"/>
    </row>
    <row r="627">
      <c r="B627" s="23"/>
      <c r="C627" s="23"/>
      <c r="D627" s="23"/>
      <c r="E627" s="23"/>
    </row>
    <row r="628">
      <c r="B628" s="23"/>
      <c r="C628" s="23"/>
      <c r="D628" s="23"/>
      <c r="E628" s="23"/>
    </row>
    <row r="629">
      <c r="B629" s="23"/>
      <c r="C629" s="23"/>
      <c r="D629" s="23"/>
      <c r="E629" s="23"/>
    </row>
    <row r="630">
      <c r="B630" s="23"/>
      <c r="C630" s="23"/>
      <c r="D630" s="23"/>
      <c r="E630" s="23"/>
    </row>
    <row r="631">
      <c r="B631" s="23"/>
      <c r="C631" s="23"/>
      <c r="D631" s="23"/>
      <c r="E631" s="23"/>
    </row>
    <row r="632">
      <c r="B632" s="23"/>
      <c r="C632" s="23"/>
      <c r="D632" s="23"/>
      <c r="E632" s="23"/>
    </row>
    <row r="633">
      <c r="B633" s="23"/>
      <c r="C633" s="23"/>
      <c r="D633" s="23"/>
      <c r="E633" s="23"/>
    </row>
    <row r="634">
      <c r="B634" s="23"/>
      <c r="C634" s="23"/>
      <c r="D634" s="23"/>
      <c r="E634" s="23"/>
    </row>
    <row r="635">
      <c r="B635" s="23"/>
      <c r="C635" s="23"/>
      <c r="D635" s="23"/>
      <c r="E635" s="23"/>
    </row>
    <row r="636">
      <c r="B636" s="23"/>
      <c r="C636" s="23"/>
      <c r="D636" s="23"/>
      <c r="E636" s="23"/>
    </row>
    <row r="637">
      <c r="B637" s="23"/>
      <c r="C637" s="23"/>
      <c r="D637" s="23"/>
      <c r="E637" s="23"/>
    </row>
    <row r="638">
      <c r="B638" s="23"/>
      <c r="C638" s="23"/>
      <c r="D638" s="23"/>
      <c r="E638" s="23"/>
    </row>
    <row r="639">
      <c r="B639" s="23"/>
      <c r="C639" s="23"/>
      <c r="D639" s="23"/>
      <c r="E639" s="23"/>
    </row>
    <row r="640">
      <c r="B640" s="23"/>
      <c r="C640" s="23"/>
      <c r="D640" s="23"/>
      <c r="E640" s="23"/>
    </row>
    <row r="641">
      <c r="B641" s="23"/>
      <c r="C641" s="23"/>
      <c r="D641" s="23"/>
      <c r="E641" s="23"/>
    </row>
    <row r="642">
      <c r="B642" s="23"/>
      <c r="C642" s="23"/>
      <c r="D642" s="23"/>
      <c r="E642" s="23"/>
    </row>
    <row r="643">
      <c r="B643" s="23"/>
      <c r="C643" s="23"/>
      <c r="D643" s="23"/>
      <c r="E643" s="23"/>
    </row>
    <row r="644">
      <c r="B644" s="23"/>
      <c r="C644" s="23"/>
      <c r="D644" s="23"/>
      <c r="E644" s="23"/>
    </row>
    <row r="645">
      <c r="B645" s="23"/>
      <c r="C645" s="23"/>
      <c r="D645" s="23"/>
      <c r="E645" s="23"/>
    </row>
    <row r="646">
      <c r="B646" s="23"/>
      <c r="C646" s="23"/>
      <c r="D646" s="23"/>
      <c r="E646" s="23"/>
    </row>
    <row r="647">
      <c r="B647" s="23"/>
      <c r="C647" s="23"/>
      <c r="D647" s="23"/>
      <c r="E647" s="23"/>
    </row>
    <row r="648">
      <c r="B648" s="23"/>
      <c r="C648" s="23"/>
      <c r="D648" s="23"/>
      <c r="E648" s="23"/>
    </row>
    <row r="649">
      <c r="B649" s="23"/>
      <c r="C649" s="23"/>
      <c r="D649" s="23"/>
      <c r="E649" s="23"/>
    </row>
    <row r="650">
      <c r="B650" s="23"/>
      <c r="C650" s="23"/>
      <c r="D650" s="23"/>
      <c r="E650" s="23"/>
    </row>
    <row r="651">
      <c r="B651" s="23"/>
      <c r="C651" s="23"/>
      <c r="D651" s="23"/>
      <c r="E651" s="23"/>
    </row>
    <row r="652">
      <c r="B652" s="23"/>
      <c r="C652" s="23"/>
      <c r="D652" s="23"/>
      <c r="E652" s="23"/>
    </row>
    <row r="653">
      <c r="B653" s="23"/>
      <c r="C653" s="23"/>
      <c r="D653" s="23"/>
      <c r="E653" s="23"/>
    </row>
    <row r="654">
      <c r="B654" s="23"/>
      <c r="C654" s="23"/>
      <c r="D654" s="23"/>
      <c r="E654" s="23"/>
    </row>
    <row r="655">
      <c r="B655" s="23"/>
      <c r="C655" s="23"/>
      <c r="D655" s="23"/>
      <c r="E655" s="23"/>
    </row>
    <row r="656">
      <c r="B656" s="23"/>
      <c r="C656" s="23"/>
      <c r="D656" s="23"/>
      <c r="E656" s="23"/>
    </row>
    <row r="657">
      <c r="B657" s="23"/>
      <c r="C657" s="23"/>
      <c r="D657" s="23"/>
      <c r="E657" s="23"/>
    </row>
    <row r="658">
      <c r="B658" s="23"/>
      <c r="C658" s="23"/>
      <c r="D658" s="23"/>
      <c r="E658" s="23"/>
    </row>
    <row r="659">
      <c r="B659" s="23"/>
      <c r="C659" s="23"/>
      <c r="D659" s="23"/>
      <c r="E659" s="23"/>
    </row>
    <row r="660">
      <c r="B660" s="23"/>
      <c r="C660" s="23"/>
      <c r="D660" s="23"/>
      <c r="E660" s="23"/>
    </row>
    <row r="661">
      <c r="B661" s="23"/>
      <c r="C661" s="23"/>
      <c r="D661" s="23"/>
      <c r="E661" s="23"/>
    </row>
    <row r="662">
      <c r="B662" s="23"/>
      <c r="C662" s="23"/>
      <c r="D662" s="23"/>
      <c r="E662" s="23"/>
    </row>
    <row r="663">
      <c r="B663" s="23"/>
      <c r="C663" s="23"/>
      <c r="D663" s="23"/>
      <c r="E663" s="23"/>
    </row>
    <row r="664">
      <c r="B664" s="23"/>
      <c r="C664" s="23"/>
      <c r="D664" s="23"/>
      <c r="E664" s="23"/>
    </row>
    <row r="665">
      <c r="B665" s="23"/>
      <c r="C665" s="23"/>
      <c r="D665" s="23"/>
      <c r="E665" s="23"/>
    </row>
    <row r="666">
      <c r="B666" s="23"/>
      <c r="C666" s="23"/>
      <c r="D666" s="23"/>
      <c r="E666" s="23"/>
    </row>
    <row r="667">
      <c r="B667" s="23"/>
      <c r="C667" s="23"/>
      <c r="D667" s="23"/>
      <c r="E667" s="23"/>
    </row>
    <row r="668">
      <c r="B668" s="23"/>
      <c r="C668" s="23"/>
      <c r="D668" s="23"/>
      <c r="E668" s="23"/>
    </row>
    <row r="669">
      <c r="B669" s="23"/>
      <c r="C669" s="23"/>
      <c r="D669" s="23"/>
      <c r="E669" s="23"/>
    </row>
    <row r="670">
      <c r="B670" s="23"/>
      <c r="C670" s="23"/>
      <c r="D670" s="23"/>
      <c r="E670" s="23"/>
    </row>
    <row r="671">
      <c r="B671" s="23"/>
      <c r="C671" s="23"/>
      <c r="D671" s="23"/>
      <c r="E671" s="23"/>
    </row>
    <row r="672">
      <c r="B672" s="23"/>
      <c r="C672" s="23"/>
      <c r="D672" s="23"/>
      <c r="E672" s="23"/>
    </row>
    <row r="673">
      <c r="B673" s="23"/>
      <c r="C673" s="23"/>
      <c r="D673" s="23"/>
      <c r="E673" s="23"/>
    </row>
    <row r="674">
      <c r="B674" s="23"/>
      <c r="C674" s="23"/>
      <c r="D674" s="23"/>
      <c r="E674" s="23"/>
    </row>
    <row r="675">
      <c r="B675" s="23"/>
      <c r="C675" s="23"/>
      <c r="D675" s="23"/>
      <c r="E675" s="23"/>
    </row>
    <row r="676">
      <c r="B676" s="23"/>
      <c r="C676" s="23"/>
      <c r="D676" s="23"/>
      <c r="E676" s="23"/>
    </row>
    <row r="677">
      <c r="B677" s="23"/>
      <c r="C677" s="23"/>
      <c r="D677" s="23"/>
      <c r="E677" s="23"/>
    </row>
    <row r="678">
      <c r="B678" s="23"/>
      <c r="C678" s="23"/>
      <c r="D678" s="23"/>
      <c r="E678" s="23"/>
    </row>
    <row r="679">
      <c r="B679" s="23"/>
      <c r="C679" s="23"/>
      <c r="D679" s="23"/>
      <c r="E679" s="23"/>
    </row>
    <row r="680">
      <c r="B680" s="23"/>
      <c r="C680" s="23"/>
      <c r="D680" s="23"/>
      <c r="E680" s="23"/>
    </row>
    <row r="681">
      <c r="B681" s="23"/>
      <c r="C681" s="23"/>
      <c r="D681" s="23"/>
      <c r="E681" s="23"/>
    </row>
    <row r="682">
      <c r="B682" s="23"/>
      <c r="C682" s="23"/>
      <c r="D682" s="23"/>
      <c r="E682" s="23"/>
    </row>
    <row r="683">
      <c r="B683" s="23"/>
      <c r="C683" s="23"/>
      <c r="D683" s="23"/>
      <c r="E683" s="23"/>
    </row>
    <row r="684">
      <c r="B684" s="23"/>
      <c r="C684" s="23"/>
      <c r="D684" s="23"/>
      <c r="E684" s="23"/>
    </row>
    <row r="685">
      <c r="B685" s="23"/>
      <c r="C685" s="23"/>
      <c r="D685" s="23"/>
      <c r="E685" s="23"/>
    </row>
    <row r="686">
      <c r="B686" s="23"/>
      <c r="C686" s="23"/>
      <c r="D686" s="23"/>
      <c r="E686" s="23"/>
    </row>
    <row r="687">
      <c r="B687" s="23"/>
      <c r="C687" s="23"/>
      <c r="D687" s="23"/>
      <c r="E687" s="23"/>
    </row>
    <row r="688">
      <c r="B688" s="23"/>
      <c r="C688" s="23"/>
      <c r="D688" s="23"/>
      <c r="E688" s="23"/>
    </row>
    <row r="689">
      <c r="B689" s="23"/>
      <c r="C689" s="23"/>
      <c r="D689" s="23"/>
      <c r="E689" s="23"/>
    </row>
    <row r="690">
      <c r="B690" s="23"/>
      <c r="C690" s="23"/>
      <c r="D690" s="23"/>
      <c r="E690" s="23"/>
    </row>
    <row r="691">
      <c r="B691" s="23"/>
      <c r="C691" s="23"/>
      <c r="D691" s="23"/>
      <c r="E691" s="23"/>
    </row>
    <row r="692">
      <c r="B692" s="23"/>
      <c r="C692" s="23"/>
      <c r="D692" s="23"/>
      <c r="E692" s="23"/>
    </row>
    <row r="693">
      <c r="B693" s="23"/>
      <c r="C693" s="23"/>
      <c r="D693" s="23"/>
      <c r="E693" s="23"/>
    </row>
    <row r="694">
      <c r="B694" s="23"/>
      <c r="C694" s="23"/>
      <c r="D694" s="23"/>
      <c r="E694" s="23"/>
    </row>
    <row r="695">
      <c r="B695" s="23"/>
      <c r="C695" s="23"/>
      <c r="D695" s="23"/>
      <c r="E695" s="23"/>
    </row>
    <row r="696">
      <c r="B696" s="23"/>
      <c r="C696" s="23"/>
      <c r="D696" s="23"/>
      <c r="E696" s="23"/>
    </row>
    <row r="697">
      <c r="B697" s="23"/>
      <c r="C697" s="23"/>
      <c r="D697" s="23"/>
      <c r="E697" s="23"/>
    </row>
    <row r="698">
      <c r="B698" s="23"/>
      <c r="C698" s="23"/>
      <c r="D698" s="23"/>
      <c r="E698" s="23"/>
    </row>
    <row r="699">
      <c r="B699" s="23"/>
      <c r="C699" s="23"/>
      <c r="D699" s="23"/>
      <c r="E699" s="23"/>
    </row>
    <row r="700">
      <c r="B700" s="23"/>
      <c r="C700" s="23"/>
      <c r="D700" s="23"/>
      <c r="E700" s="23"/>
    </row>
    <row r="701">
      <c r="B701" s="23"/>
      <c r="C701" s="23"/>
      <c r="D701" s="23"/>
      <c r="E701" s="23"/>
    </row>
    <row r="702">
      <c r="B702" s="23"/>
      <c r="C702" s="23"/>
      <c r="D702" s="23"/>
      <c r="E702" s="23"/>
    </row>
    <row r="703">
      <c r="B703" s="23"/>
      <c r="C703" s="23"/>
      <c r="D703" s="23"/>
      <c r="E703" s="23"/>
    </row>
    <row r="704">
      <c r="B704" s="23"/>
      <c r="C704" s="23"/>
      <c r="D704" s="23"/>
      <c r="E704" s="23"/>
    </row>
    <row r="705">
      <c r="B705" s="23"/>
      <c r="C705" s="23"/>
      <c r="D705" s="23"/>
      <c r="E705" s="23"/>
    </row>
    <row r="706">
      <c r="B706" s="23"/>
      <c r="C706" s="23"/>
      <c r="D706" s="23"/>
      <c r="E706" s="23"/>
    </row>
    <row r="707">
      <c r="B707" s="23"/>
      <c r="C707" s="23"/>
      <c r="D707" s="23"/>
      <c r="E707" s="23"/>
    </row>
    <row r="708">
      <c r="B708" s="23"/>
      <c r="C708" s="23"/>
      <c r="D708" s="23"/>
      <c r="E708" s="23"/>
    </row>
    <row r="709">
      <c r="B709" s="23"/>
      <c r="C709" s="23"/>
      <c r="D709" s="23"/>
      <c r="E709" s="23"/>
    </row>
    <row r="710">
      <c r="B710" s="23"/>
      <c r="C710" s="23"/>
      <c r="D710" s="23"/>
      <c r="E710" s="23"/>
    </row>
    <row r="711">
      <c r="B711" s="23"/>
      <c r="C711" s="23"/>
      <c r="D711" s="23"/>
      <c r="E711" s="23"/>
    </row>
    <row r="712">
      <c r="B712" s="23"/>
      <c r="C712" s="23"/>
      <c r="D712" s="23"/>
      <c r="E712" s="23"/>
    </row>
    <row r="713">
      <c r="B713" s="23"/>
      <c r="C713" s="23"/>
      <c r="D713" s="23"/>
      <c r="E713" s="23"/>
    </row>
    <row r="714">
      <c r="B714" s="23"/>
      <c r="C714" s="23"/>
      <c r="D714" s="23"/>
      <c r="E714" s="23"/>
    </row>
    <row r="715">
      <c r="B715" s="23"/>
      <c r="C715" s="23"/>
      <c r="D715" s="23"/>
      <c r="E715" s="23"/>
    </row>
    <row r="716">
      <c r="B716" s="23"/>
      <c r="C716" s="23"/>
      <c r="D716" s="23"/>
      <c r="E716" s="23"/>
    </row>
    <row r="717">
      <c r="B717" s="23"/>
      <c r="C717" s="23"/>
      <c r="D717" s="23"/>
      <c r="E717" s="23"/>
    </row>
    <row r="718">
      <c r="B718" s="23"/>
      <c r="C718" s="23"/>
      <c r="D718" s="23"/>
      <c r="E718" s="23"/>
    </row>
    <row r="719">
      <c r="B719" s="23"/>
      <c r="C719" s="23"/>
      <c r="D719" s="23"/>
      <c r="E719" s="23"/>
    </row>
    <row r="720">
      <c r="B720" s="23"/>
      <c r="C720" s="23"/>
      <c r="D720" s="23"/>
      <c r="E720" s="23"/>
    </row>
    <row r="721">
      <c r="B721" s="23"/>
      <c r="C721" s="23"/>
      <c r="D721" s="23"/>
      <c r="E721" s="23"/>
    </row>
    <row r="722">
      <c r="B722" s="23"/>
      <c r="C722" s="23"/>
      <c r="D722" s="23"/>
      <c r="E722" s="23"/>
    </row>
    <row r="723">
      <c r="B723" s="23"/>
      <c r="C723" s="23"/>
      <c r="D723" s="23"/>
      <c r="E723" s="23"/>
    </row>
    <row r="724">
      <c r="B724" s="23"/>
      <c r="C724" s="23"/>
      <c r="D724" s="23"/>
      <c r="E724" s="23"/>
    </row>
    <row r="725">
      <c r="B725" s="23"/>
      <c r="C725" s="23"/>
      <c r="D725" s="23"/>
      <c r="E725" s="23"/>
    </row>
    <row r="726">
      <c r="B726" s="23"/>
      <c r="C726" s="23"/>
      <c r="D726" s="23"/>
      <c r="E726" s="23"/>
    </row>
    <row r="727">
      <c r="B727" s="23"/>
      <c r="C727" s="23"/>
      <c r="D727" s="23"/>
      <c r="E727" s="23"/>
    </row>
    <row r="728">
      <c r="B728" s="23"/>
      <c r="C728" s="23"/>
      <c r="D728" s="23"/>
      <c r="E728" s="23"/>
    </row>
    <row r="729">
      <c r="B729" s="23"/>
      <c r="C729" s="23"/>
      <c r="D729" s="23"/>
      <c r="E729" s="23"/>
    </row>
    <row r="730">
      <c r="B730" s="23"/>
      <c r="C730" s="23"/>
      <c r="D730" s="23"/>
      <c r="E730" s="23"/>
    </row>
    <row r="731">
      <c r="B731" s="23"/>
      <c r="C731" s="23"/>
      <c r="D731" s="23"/>
      <c r="E731" s="23"/>
    </row>
    <row r="732">
      <c r="B732" s="23"/>
      <c r="C732" s="23"/>
      <c r="D732" s="23"/>
      <c r="E732" s="23"/>
    </row>
    <row r="733">
      <c r="B733" s="23"/>
      <c r="C733" s="23"/>
      <c r="D733" s="23"/>
      <c r="E733" s="23"/>
    </row>
    <row r="734">
      <c r="B734" s="23"/>
      <c r="C734" s="23"/>
      <c r="D734" s="23"/>
      <c r="E734" s="23"/>
    </row>
    <row r="735">
      <c r="B735" s="23"/>
      <c r="C735" s="23"/>
      <c r="D735" s="23"/>
      <c r="E735" s="23"/>
    </row>
    <row r="736">
      <c r="B736" s="23"/>
      <c r="C736" s="23"/>
      <c r="D736" s="23"/>
      <c r="E736" s="23"/>
    </row>
    <row r="737">
      <c r="B737" s="23"/>
      <c r="C737" s="23"/>
      <c r="D737" s="23"/>
      <c r="E737" s="23"/>
    </row>
    <row r="738">
      <c r="B738" s="23"/>
      <c r="C738" s="23"/>
      <c r="D738" s="23"/>
      <c r="E738" s="23"/>
    </row>
    <row r="739">
      <c r="B739" s="23"/>
      <c r="C739" s="23"/>
      <c r="D739" s="23"/>
      <c r="E739" s="23"/>
    </row>
    <row r="740">
      <c r="B740" s="23"/>
      <c r="C740" s="23"/>
      <c r="D740" s="23"/>
      <c r="E740" s="23"/>
    </row>
    <row r="741">
      <c r="B741" s="23"/>
      <c r="C741" s="23"/>
      <c r="D741" s="23"/>
      <c r="E741" s="23"/>
    </row>
    <row r="742">
      <c r="B742" s="23"/>
      <c r="C742" s="23"/>
      <c r="D742" s="23"/>
      <c r="E742" s="23"/>
    </row>
    <row r="743">
      <c r="B743" s="23"/>
      <c r="C743" s="23"/>
      <c r="D743" s="23"/>
      <c r="E743" s="23"/>
    </row>
    <row r="744">
      <c r="B744" s="23"/>
      <c r="C744" s="23"/>
      <c r="D744" s="23"/>
      <c r="E744" s="23"/>
    </row>
    <row r="745">
      <c r="B745" s="23"/>
      <c r="C745" s="23"/>
      <c r="D745" s="23"/>
      <c r="E745" s="23"/>
    </row>
    <row r="746">
      <c r="B746" s="23"/>
      <c r="C746" s="23"/>
      <c r="D746" s="23"/>
      <c r="E746" s="23"/>
    </row>
    <row r="747">
      <c r="B747" s="23"/>
      <c r="C747" s="23"/>
      <c r="D747" s="23"/>
      <c r="E747" s="23"/>
    </row>
    <row r="748">
      <c r="B748" s="23"/>
      <c r="C748" s="23"/>
      <c r="D748" s="23"/>
      <c r="E748" s="23"/>
    </row>
    <row r="749">
      <c r="B749" s="23"/>
      <c r="C749" s="23"/>
      <c r="D749" s="23"/>
      <c r="E749" s="23"/>
    </row>
    <row r="750">
      <c r="B750" s="23"/>
      <c r="C750" s="23"/>
      <c r="D750" s="23"/>
      <c r="E750" s="23"/>
    </row>
    <row r="751">
      <c r="B751" s="23"/>
      <c r="C751" s="23"/>
      <c r="D751" s="23"/>
      <c r="E751" s="23"/>
    </row>
    <row r="752">
      <c r="B752" s="23"/>
      <c r="C752" s="23"/>
      <c r="D752" s="23"/>
      <c r="E752" s="23"/>
    </row>
    <row r="753">
      <c r="B753" s="23"/>
      <c r="C753" s="23"/>
      <c r="D753" s="23"/>
      <c r="E753" s="23"/>
    </row>
    <row r="754">
      <c r="B754" s="23"/>
      <c r="C754" s="23"/>
      <c r="D754" s="23"/>
      <c r="E754" s="23"/>
    </row>
    <row r="755">
      <c r="B755" s="23"/>
      <c r="C755" s="23"/>
      <c r="D755" s="23"/>
      <c r="E755" s="23"/>
    </row>
    <row r="756">
      <c r="B756" s="23"/>
      <c r="C756" s="23"/>
      <c r="D756" s="23"/>
      <c r="E756" s="23"/>
    </row>
    <row r="757">
      <c r="B757" s="23"/>
      <c r="C757" s="23"/>
      <c r="D757" s="23"/>
      <c r="E757" s="23"/>
    </row>
    <row r="758">
      <c r="B758" s="23"/>
      <c r="C758" s="23"/>
      <c r="D758" s="23"/>
      <c r="E758" s="23"/>
    </row>
    <row r="759">
      <c r="B759" s="23"/>
      <c r="C759" s="23"/>
      <c r="D759" s="23"/>
      <c r="E759" s="23"/>
    </row>
    <row r="760">
      <c r="B760" s="23"/>
      <c r="C760" s="23"/>
      <c r="D760" s="23"/>
      <c r="E760" s="23"/>
    </row>
    <row r="761">
      <c r="B761" s="23"/>
      <c r="C761" s="23"/>
      <c r="D761" s="23"/>
      <c r="E761" s="23"/>
    </row>
    <row r="762">
      <c r="B762" s="23"/>
      <c r="C762" s="23"/>
      <c r="D762" s="23"/>
      <c r="E762" s="23"/>
    </row>
    <row r="763">
      <c r="B763" s="23"/>
      <c r="C763" s="23"/>
      <c r="D763" s="23"/>
      <c r="E763" s="23"/>
    </row>
    <row r="764">
      <c r="B764" s="23"/>
      <c r="C764" s="23"/>
      <c r="D764" s="23"/>
      <c r="E764" s="23"/>
    </row>
    <row r="765">
      <c r="B765" s="23"/>
      <c r="C765" s="23"/>
      <c r="D765" s="23"/>
      <c r="E765" s="23"/>
    </row>
    <row r="766">
      <c r="B766" s="23"/>
      <c r="C766" s="23"/>
      <c r="D766" s="23"/>
      <c r="E766" s="23"/>
    </row>
    <row r="767">
      <c r="B767" s="23"/>
      <c r="C767" s="23"/>
      <c r="D767" s="23"/>
      <c r="E767" s="23"/>
    </row>
    <row r="768">
      <c r="B768" s="23"/>
      <c r="C768" s="23"/>
      <c r="D768" s="23"/>
      <c r="E768" s="23"/>
    </row>
    <row r="769">
      <c r="B769" s="23"/>
      <c r="C769" s="23"/>
      <c r="D769" s="23"/>
      <c r="E769" s="23"/>
    </row>
    <row r="770">
      <c r="B770" s="23"/>
      <c r="C770" s="23"/>
      <c r="D770" s="23"/>
      <c r="E770" s="23"/>
    </row>
    <row r="771">
      <c r="B771" s="23"/>
      <c r="C771" s="23"/>
      <c r="D771" s="23"/>
      <c r="E771" s="23"/>
    </row>
    <row r="772">
      <c r="B772" s="23"/>
      <c r="C772" s="23"/>
      <c r="D772" s="23"/>
      <c r="E772" s="23"/>
    </row>
    <row r="773">
      <c r="B773" s="23"/>
      <c r="C773" s="23"/>
      <c r="D773" s="23"/>
      <c r="E773" s="23"/>
    </row>
    <row r="774">
      <c r="B774" s="23"/>
      <c r="C774" s="23"/>
      <c r="D774" s="23"/>
      <c r="E774" s="23"/>
    </row>
    <row r="775">
      <c r="B775" s="23"/>
      <c r="C775" s="23"/>
      <c r="D775" s="23"/>
      <c r="E775" s="23"/>
    </row>
    <row r="776">
      <c r="B776" s="23"/>
      <c r="C776" s="23"/>
      <c r="D776" s="23"/>
      <c r="E776" s="23"/>
    </row>
    <row r="777">
      <c r="B777" s="23"/>
      <c r="C777" s="23"/>
      <c r="D777" s="23"/>
      <c r="E777" s="23"/>
    </row>
    <row r="778">
      <c r="B778" s="23"/>
      <c r="C778" s="23"/>
      <c r="D778" s="23"/>
      <c r="E778" s="23"/>
    </row>
    <row r="779">
      <c r="B779" s="23"/>
      <c r="C779" s="23"/>
      <c r="D779" s="23"/>
      <c r="E779" s="23"/>
    </row>
    <row r="780">
      <c r="B780" s="23"/>
      <c r="C780" s="23"/>
      <c r="D780" s="23"/>
      <c r="E780" s="23"/>
    </row>
    <row r="781">
      <c r="B781" s="23"/>
      <c r="C781" s="23"/>
      <c r="D781" s="23"/>
      <c r="E781" s="23"/>
    </row>
    <row r="782">
      <c r="B782" s="23"/>
      <c r="C782" s="23"/>
      <c r="D782" s="23"/>
      <c r="E782" s="23"/>
    </row>
    <row r="783">
      <c r="B783" s="23"/>
      <c r="C783" s="23"/>
      <c r="D783" s="23"/>
      <c r="E783" s="23"/>
    </row>
    <row r="784">
      <c r="B784" s="23"/>
      <c r="C784" s="23"/>
      <c r="D784" s="23"/>
      <c r="E784" s="23"/>
    </row>
    <row r="785">
      <c r="B785" s="23"/>
      <c r="C785" s="23"/>
      <c r="D785" s="23"/>
      <c r="E785" s="23"/>
    </row>
    <row r="786">
      <c r="B786" s="23"/>
      <c r="C786" s="23"/>
      <c r="D786" s="23"/>
      <c r="E786" s="23"/>
    </row>
    <row r="787">
      <c r="B787" s="23"/>
      <c r="C787" s="23"/>
      <c r="D787" s="23"/>
      <c r="E787" s="23"/>
    </row>
    <row r="788">
      <c r="B788" s="23"/>
      <c r="C788" s="23"/>
      <c r="D788" s="23"/>
      <c r="E788" s="23"/>
    </row>
    <row r="789">
      <c r="B789" s="23"/>
      <c r="C789" s="23"/>
      <c r="D789" s="23"/>
      <c r="E789" s="23"/>
    </row>
    <row r="790">
      <c r="B790" s="23"/>
      <c r="C790" s="23"/>
      <c r="D790" s="23"/>
      <c r="E790" s="23"/>
    </row>
    <row r="791">
      <c r="B791" s="23"/>
      <c r="C791" s="23"/>
      <c r="D791" s="23"/>
      <c r="E791" s="23"/>
    </row>
    <row r="792">
      <c r="B792" s="23"/>
      <c r="C792" s="23"/>
      <c r="D792" s="23"/>
      <c r="E792" s="23"/>
    </row>
    <row r="793">
      <c r="B793" s="23"/>
      <c r="C793" s="23"/>
      <c r="D793" s="23"/>
      <c r="E793" s="23"/>
    </row>
    <row r="794">
      <c r="B794" s="23"/>
      <c r="C794" s="23"/>
      <c r="D794" s="23"/>
      <c r="E794" s="23"/>
    </row>
    <row r="795">
      <c r="B795" s="23"/>
      <c r="C795" s="23"/>
      <c r="D795" s="23"/>
      <c r="E795" s="23"/>
    </row>
    <row r="796">
      <c r="B796" s="23"/>
      <c r="C796" s="23"/>
      <c r="D796" s="23"/>
      <c r="E796" s="23"/>
    </row>
    <row r="797">
      <c r="B797" s="23"/>
      <c r="C797" s="23"/>
      <c r="D797" s="23"/>
      <c r="E797" s="23"/>
    </row>
    <row r="798">
      <c r="B798" s="23"/>
      <c r="C798" s="23"/>
      <c r="D798" s="23"/>
      <c r="E798" s="23"/>
    </row>
    <row r="799">
      <c r="B799" s="23"/>
      <c r="C799" s="23"/>
      <c r="D799" s="23"/>
      <c r="E799" s="23"/>
    </row>
    <row r="800">
      <c r="B800" s="23"/>
      <c r="C800" s="23"/>
      <c r="D800" s="23"/>
      <c r="E800" s="23"/>
    </row>
    <row r="801">
      <c r="B801" s="23"/>
      <c r="C801" s="23"/>
      <c r="D801" s="23"/>
      <c r="E801" s="23"/>
    </row>
    <row r="802">
      <c r="B802" s="23"/>
      <c r="C802" s="23"/>
      <c r="D802" s="23"/>
      <c r="E802" s="23"/>
    </row>
    <row r="803">
      <c r="B803" s="23"/>
      <c r="C803" s="23"/>
      <c r="D803" s="23"/>
      <c r="E803" s="23"/>
    </row>
    <row r="804">
      <c r="B804" s="23"/>
      <c r="C804" s="23"/>
      <c r="D804" s="23"/>
      <c r="E804" s="23"/>
    </row>
    <row r="805">
      <c r="B805" s="23"/>
      <c r="C805" s="23"/>
      <c r="D805" s="23"/>
      <c r="E805" s="23"/>
    </row>
    <row r="806">
      <c r="B806" s="23"/>
      <c r="C806" s="23"/>
      <c r="D806" s="23"/>
      <c r="E806" s="23"/>
    </row>
    <row r="807">
      <c r="B807" s="23"/>
      <c r="C807" s="23"/>
      <c r="D807" s="23"/>
      <c r="E807" s="23"/>
    </row>
    <row r="808">
      <c r="B808" s="23"/>
      <c r="C808" s="23"/>
      <c r="D808" s="23"/>
      <c r="E808" s="23"/>
    </row>
    <row r="809">
      <c r="B809" s="23"/>
      <c r="C809" s="23"/>
      <c r="D809" s="23"/>
      <c r="E809" s="23"/>
    </row>
    <row r="810">
      <c r="B810" s="23"/>
      <c r="C810" s="23"/>
      <c r="D810" s="23"/>
      <c r="E810" s="23"/>
    </row>
    <row r="811">
      <c r="B811" s="23"/>
      <c r="C811" s="23"/>
      <c r="D811" s="23"/>
      <c r="E811" s="23"/>
    </row>
    <row r="812">
      <c r="B812" s="23"/>
      <c r="C812" s="23"/>
      <c r="D812" s="23"/>
      <c r="E812" s="23"/>
    </row>
    <row r="813">
      <c r="B813" s="23"/>
      <c r="C813" s="23"/>
      <c r="D813" s="23"/>
      <c r="E813" s="23"/>
    </row>
    <row r="814">
      <c r="B814" s="23"/>
      <c r="C814" s="23"/>
      <c r="D814" s="23"/>
      <c r="E814" s="23"/>
    </row>
    <row r="815">
      <c r="B815" s="23"/>
      <c r="C815" s="23"/>
      <c r="D815" s="23"/>
      <c r="E815" s="23"/>
    </row>
    <row r="816">
      <c r="B816" s="23"/>
      <c r="C816" s="23"/>
      <c r="D816" s="23"/>
      <c r="E816" s="23"/>
    </row>
    <row r="817">
      <c r="B817" s="23"/>
      <c r="C817" s="23"/>
      <c r="D817" s="23"/>
      <c r="E817" s="23"/>
    </row>
    <row r="818">
      <c r="B818" s="23"/>
      <c r="C818" s="23"/>
      <c r="D818" s="23"/>
      <c r="E818" s="23"/>
    </row>
    <row r="819">
      <c r="B819" s="23"/>
      <c r="C819" s="23"/>
      <c r="D819" s="23"/>
      <c r="E819" s="23"/>
    </row>
    <row r="820">
      <c r="B820" s="23"/>
      <c r="C820" s="23"/>
      <c r="D820" s="23"/>
      <c r="E820" s="23"/>
    </row>
    <row r="821">
      <c r="B821" s="23"/>
      <c r="C821" s="23"/>
      <c r="D821" s="23"/>
      <c r="E821" s="23"/>
    </row>
    <row r="822">
      <c r="B822" s="23"/>
      <c r="C822" s="23"/>
      <c r="D822" s="23"/>
      <c r="E822" s="23"/>
    </row>
    <row r="823">
      <c r="B823" s="23"/>
      <c r="C823" s="23"/>
      <c r="D823" s="23"/>
      <c r="E823" s="23"/>
    </row>
    <row r="824">
      <c r="B824" s="23"/>
      <c r="C824" s="23"/>
      <c r="D824" s="23"/>
      <c r="E824" s="23"/>
    </row>
    <row r="825">
      <c r="B825" s="23"/>
      <c r="C825" s="23"/>
      <c r="D825" s="23"/>
      <c r="E825" s="23"/>
    </row>
    <row r="826">
      <c r="B826" s="23"/>
      <c r="C826" s="23"/>
      <c r="D826" s="23"/>
      <c r="E826" s="23"/>
    </row>
    <row r="827">
      <c r="B827" s="23"/>
      <c r="C827" s="23"/>
      <c r="D827" s="23"/>
      <c r="E827" s="23"/>
    </row>
    <row r="828">
      <c r="B828" s="23"/>
      <c r="C828" s="23"/>
      <c r="D828" s="23"/>
      <c r="E828" s="23"/>
    </row>
    <row r="829">
      <c r="B829" s="23"/>
      <c r="C829" s="23"/>
      <c r="D829" s="23"/>
      <c r="E829" s="23"/>
    </row>
    <row r="830">
      <c r="B830" s="23"/>
      <c r="C830" s="23"/>
      <c r="D830" s="23"/>
      <c r="E830" s="23"/>
    </row>
    <row r="831">
      <c r="B831" s="23"/>
      <c r="C831" s="23"/>
      <c r="D831" s="23"/>
      <c r="E831" s="23"/>
    </row>
    <row r="832">
      <c r="B832" s="23"/>
      <c r="C832" s="23"/>
      <c r="D832" s="23"/>
      <c r="E832" s="23"/>
    </row>
    <row r="833">
      <c r="B833" s="23"/>
      <c r="C833" s="23"/>
      <c r="D833" s="23"/>
      <c r="E833" s="23"/>
    </row>
    <row r="834">
      <c r="B834" s="23"/>
      <c r="C834" s="23"/>
      <c r="D834" s="23"/>
      <c r="E834" s="23"/>
    </row>
    <row r="835">
      <c r="B835" s="23"/>
      <c r="C835" s="23"/>
      <c r="D835" s="23"/>
      <c r="E835" s="23"/>
    </row>
    <row r="836">
      <c r="B836" s="23"/>
      <c r="C836" s="23"/>
      <c r="D836" s="23"/>
      <c r="E836" s="23"/>
    </row>
    <row r="837">
      <c r="B837" s="23"/>
      <c r="C837" s="23"/>
      <c r="D837" s="23"/>
      <c r="E837" s="23"/>
    </row>
    <row r="838">
      <c r="B838" s="23"/>
      <c r="C838" s="23"/>
      <c r="D838" s="23"/>
      <c r="E838" s="23"/>
    </row>
    <row r="839">
      <c r="B839" s="23"/>
      <c r="C839" s="23"/>
      <c r="D839" s="23"/>
      <c r="E839" s="23"/>
    </row>
    <row r="840">
      <c r="B840" s="23"/>
      <c r="C840" s="23"/>
      <c r="D840" s="23"/>
      <c r="E840" s="23"/>
    </row>
    <row r="841">
      <c r="B841" s="23"/>
      <c r="C841" s="23"/>
      <c r="D841" s="23"/>
      <c r="E841" s="23"/>
    </row>
    <row r="842">
      <c r="B842" s="23"/>
      <c r="C842" s="23"/>
      <c r="D842" s="23"/>
      <c r="E842" s="23"/>
    </row>
    <row r="843">
      <c r="B843" s="23"/>
      <c r="C843" s="23"/>
      <c r="D843" s="23"/>
      <c r="E843" s="23"/>
    </row>
    <row r="844">
      <c r="B844" s="23"/>
      <c r="C844" s="23"/>
      <c r="D844" s="23"/>
      <c r="E844" s="23"/>
    </row>
    <row r="845">
      <c r="B845" s="23"/>
      <c r="C845" s="23"/>
      <c r="D845" s="23"/>
      <c r="E845" s="23"/>
    </row>
    <row r="846">
      <c r="B846" s="23"/>
      <c r="C846" s="23"/>
      <c r="D846" s="23"/>
      <c r="E846" s="23"/>
    </row>
    <row r="847">
      <c r="B847" s="23"/>
      <c r="C847" s="23"/>
      <c r="D847" s="23"/>
      <c r="E847" s="23"/>
    </row>
    <row r="848">
      <c r="B848" s="23"/>
      <c r="C848" s="23"/>
      <c r="D848" s="23"/>
      <c r="E848" s="23"/>
    </row>
    <row r="849">
      <c r="B849" s="23"/>
      <c r="C849" s="23"/>
      <c r="D849" s="23"/>
      <c r="E849" s="23"/>
    </row>
    <row r="850">
      <c r="B850" s="23"/>
      <c r="C850" s="23"/>
      <c r="D850" s="23"/>
      <c r="E850" s="23"/>
    </row>
    <row r="851">
      <c r="B851" s="23"/>
      <c r="C851" s="23"/>
      <c r="D851" s="23"/>
      <c r="E851" s="23"/>
    </row>
    <row r="852">
      <c r="B852" s="23"/>
      <c r="C852" s="23"/>
      <c r="D852" s="23"/>
      <c r="E852" s="23"/>
    </row>
    <row r="853">
      <c r="B853" s="23"/>
      <c r="C853" s="23"/>
      <c r="D853" s="23"/>
      <c r="E853" s="23"/>
    </row>
    <row r="854">
      <c r="B854" s="23"/>
      <c r="C854" s="23"/>
      <c r="D854" s="23"/>
      <c r="E854" s="23"/>
    </row>
    <row r="855">
      <c r="B855" s="23"/>
      <c r="C855" s="23"/>
      <c r="D855" s="23"/>
      <c r="E855" s="23"/>
    </row>
    <row r="856">
      <c r="B856" s="23"/>
      <c r="C856" s="23"/>
      <c r="D856" s="23"/>
      <c r="E856" s="23"/>
    </row>
    <row r="857">
      <c r="B857" s="23"/>
      <c r="C857" s="23"/>
      <c r="D857" s="23"/>
      <c r="E857" s="23"/>
    </row>
    <row r="858">
      <c r="B858" s="23"/>
      <c r="C858" s="23"/>
      <c r="D858" s="23"/>
      <c r="E858" s="23"/>
    </row>
    <row r="859">
      <c r="B859" s="23"/>
      <c r="C859" s="23"/>
      <c r="D859" s="23"/>
      <c r="E859" s="23"/>
    </row>
    <row r="860">
      <c r="B860" s="23"/>
      <c r="C860" s="23"/>
      <c r="D860" s="23"/>
      <c r="E860" s="23"/>
    </row>
    <row r="861">
      <c r="B861" s="23"/>
      <c r="C861" s="23"/>
      <c r="D861" s="23"/>
      <c r="E861" s="23"/>
    </row>
    <row r="862">
      <c r="B862" s="23"/>
      <c r="C862" s="23"/>
      <c r="D862" s="23"/>
      <c r="E862" s="23"/>
    </row>
    <row r="863">
      <c r="B863" s="23"/>
      <c r="C863" s="23"/>
      <c r="D863" s="23"/>
      <c r="E863" s="23"/>
    </row>
    <row r="864">
      <c r="B864" s="23"/>
      <c r="C864" s="23"/>
      <c r="D864" s="23"/>
      <c r="E864" s="23"/>
    </row>
    <row r="865">
      <c r="B865" s="23"/>
      <c r="C865" s="23"/>
      <c r="D865" s="23"/>
      <c r="E865" s="23"/>
    </row>
    <row r="866">
      <c r="B866" s="23"/>
      <c r="C866" s="23"/>
      <c r="D866" s="23"/>
      <c r="E866" s="23"/>
    </row>
    <row r="867">
      <c r="B867" s="23"/>
      <c r="C867" s="23"/>
      <c r="D867" s="23"/>
      <c r="E867" s="23"/>
    </row>
    <row r="868">
      <c r="B868" s="23"/>
      <c r="C868" s="23"/>
      <c r="D868" s="23"/>
      <c r="E868" s="23"/>
    </row>
    <row r="869">
      <c r="B869" s="23"/>
      <c r="C869" s="23"/>
      <c r="D869" s="23"/>
      <c r="E869" s="23"/>
    </row>
    <row r="870">
      <c r="B870" s="23"/>
      <c r="C870" s="23"/>
      <c r="D870" s="23"/>
      <c r="E870" s="23"/>
    </row>
    <row r="871">
      <c r="B871" s="23"/>
      <c r="C871" s="23"/>
      <c r="D871" s="23"/>
      <c r="E871" s="23"/>
    </row>
    <row r="872">
      <c r="B872" s="23"/>
      <c r="C872" s="23"/>
      <c r="D872" s="23"/>
      <c r="E872" s="23"/>
    </row>
    <row r="873">
      <c r="B873" s="23"/>
      <c r="C873" s="23"/>
      <c r="D873" s="23"/>
      <c r="E873" s="23"/>
    </row>
    <row r="874">
      <c r="B874" s="23"/>
      <c r="C874" s="23"/>
      <c r="D874" s="23"/>
      <c r="E874" s="23"/>
    </row>
    <row r="875">
      <c r="B875" s="23"/>
      <c r="C875" s="23"/>
      <c r="D875" s="23"/>
      <c r="E875" s="23"/>
    </row>
    <row r="876">
      <c r="B876" s="23"/>
      <c r="C876" s="23"/>
      <c r="D876" s="23"/>
      <c r="E876" s="23"/>
    </row>
    <row r="877">
      <c r="B877" s="23"/>
      <c r="C877" s="23"/>
      <c r="D877" s="23"/>
      <c r="E877" s="23"/>
    </row>
    <row r="878">
      <c r="B878" s="23"/>
      <c r="C878" s="23"/>
      <c r="D878" s="23"/>
      <c r="E878" s="23"/>
    </row>
    <row r="879">
      <c r="B879" s="23"/>
      <c r="C879" s="23"/>
      <c r="D879" s="23"/>
      <c r="E879" s="23"/>
    </row>
    <row r="880">
      <c r="B880" s="23"/>
      <c r="C880" s="23"/>
      <c r="D880" s="23"/>
      <c r="E880" s="23"/>
    </row>
    <row r="881">
      <c r="B881" s="23"/>
      <c r="C881" s="23"/>
      <c r="D881" s="23"/>
      <c r="E881" s="23"/>
    </row>
    <row r="882">
      <c r="B882" s="23"/>
      <c r="C882" s="23"/>
      <c r="D882" s="23"/>
      <c r="E882" s="23"/>
    </row>
    <row r="883">
      <c r="B883" s="23"/>
      <c r="C883" s="23"/>
      <c r="D883" s="23"/>
      <c r="E883" s="23"/>
    </row>
    <row r="884">
      <c r="B884" s="23"/>
      <c r="C884" s="23"/>
      <c r="D884" s="23"/>
      <c r="E884" s="23"/>
    </row>
    <row r="885">
      <c r="B885" s="23"/>
      <c r="C885" s="23"/>
      <c r="D885" s="23"/>
      <c r="E885" s="23"/>
    </row>
    <row r="886">
      <c r="B886" s="23"/>
      <c r="C886" s="23"/>
      <c r="D886" s="23"/>
      <c r="E886" s="23"/>
    </row>
    <row r="887">
      <c r="B887" s="23"/>
      <c r="C887" s="23"/>
      <c r="D887" s="23"/>
      <c r="E887" s="23"/>
    </row>
    <row r="888">
      <c r="B888" s="23"/>
      <c r="C888" s="23"/>
      <c r="D888" s="23"/>
      <c r="E888" s="23"/>
    </row>
    <row r="889">
      <c r="B889" s="23"/>
      <c r="C889" s="23"/>
      <c r="D889" s="23"/>
      <c r="E889" s="23"/>
    </row>
    <row r="890">
      <c r="B890" s="23"/>
      <c r="C890" s="23"/>
      <c r="D890" s="23"/>
      <c r="E890" s="23"/>
    </row>
    <row r="891">
      <c r="B891" s="23"/>
      <c r="C891" s="23"/>
      <c r="D891" s="23"/>
      <c r="E891" s="23"/>
    </row>
    <row r="892">
      <c r="B892" s="23"/>
      <c r="C892" s="23"/>
      <c r="D892" s="23"/>
      <c r="E892" s="23"/>
    </row>
    <row r="893">
      <c r="B893" s="23"/>
      <c r="C893" s="23"/>
      <c r="D893" s="23"/>
      <c r="E893" s="23"/>
    </row>
    <row r="894">
      <c r="B894" s="23"/>
      <c r="C894" s="23"/>
      <c r="D894" s="23"/>
      <c r="E894" s="23"/>
    </row>
    <row r="895">
      <c r="B895" s="23"/>
      <c r="C895" s="23"/>
      <c r="D895" s="23"/>
      <c r="E895" s="23"/>
    </row>
    <row r="896">
      <c r="B896" s="23"/>
      <c r="C896" s="23"/>
      <c r="D896" s="23"/>
      <c r="E896" s="23"/>
    </row>
    <row r="897">
      <c r="B897" s="23"/>
      <c r="C897" s="23"/>
      <c r="D897" s="23"/>
      <c r="E897" s="23"/>
    </row>
    <row r="898">
      <c r="B898" s="23"/>
      <c r="C898" s="23"/>
      <c r="D898" s="23"/>
      <c r="E898" s="23"/>
    </row>
    <row r="899">
      <c r="B899" s="23"/>
      <c r="C899" s="23"/>
      <c r="D899" s="23"/>
      <c r="E899" s="23"/>
    </row>
    <row r="900">
      <c r="B900" s="23"/>
      <c r="C900" s="23"/>
      <c r="D900" s="23"/>
      <c r="E900" s="23"/>
    </row>
    <row r="901">
      <c r="B901" s="23"/>
      <c r="C901" s="23"/>
      <c r="D901" s="23"/>
      <c r="E901" s="23"/>
    </row>
    <row r="902">
      <c r="B902" s="23"/>
      <c r="C902" s="23"/>
      <c r="D902" s="23"/>
      <c r="E902" s="23"/>
    </row>
    <row r="903">
      <c r="B903" s="23"/>
      <c r="C903" s="23"/>
      <c r="D903" s="23"/>
      <c r="E903" s="23"/>
    </row>
    <row r="904">
      <c r="B904" s="23"/>
      <c r="C904" s="23"/>
      <c r="D904" s="23"/>
      <c r="E904" s="23"/>
    </row>
    <row r="905">
      <c r="B905" s="23"/>
      <c r="C905" s="23"/>
      <c r="D905" s="23"/>
      <c r="E905" s="23"/>
    </row>
    <row r="906">
      <c r="B906" s="23"/>
      <c r="C906" s="23"/>
      <c r="D906" s="23"/>
      <c r="E906" s="23"/>
    </row>
    <row r="907">
      <c r="B907" s="23"/>
      <c r="C907" s="23"/>
      <c r="D907" s="23"/>
      <c r="E907" s="23"/>
    </row>
    <row r="908">
      <c r="B908" s="23"/>
      <c r="C908" s="23"/>
      <c r="D908" s="23"/>
      <c r="E908" s="23"/>
    </row>
    <row r="909">
      <c r="B909" s="23"/>
      <c r="C909" s="23"/>
      <c r="D909" s="23"/>
      <c r="E909" s="23"/>
    </row>
    <row r="910">
      <c r="B910" s="23"/>
      <c r="C910" s="23"/>
      <c r="D910" s="23"/>
      <c r="E910" s="23"/>
    </row>
    <row r="911">
      <c r="B911" s="23"/>
      <c r="C911" s="23"/>
      <c r="D911" s="23"/>
      <c r="E911" s="23"/>
    </row>
    <row r="912">
      <c r="B912" s="23"/>
      <c r="C912" s="23"/>
      <c r="D912" s="23"/>
      <c r="E912" s="23"/>
    </row>
    <row r="913">
      <c r="B913" s="23"/>
      <c r="C913" s="23"/>
      <c r="D913" s="23"/>
      <c r="E913" s="23"/>
    </row>
    <row r="914">
      <c r="B914" s="23"/>
      <c r="C914" s="23"/>
      <c r="D914" s="23"/>
      <c r="E914" s="23"/>
    </row>
    <row r="915">
      <c r="B915" s="23"/>
      <c r="C915" s="23"/>
      <c r="D915" s="23"/>
      <c r="E915" s="23"/>
    </row>
    <row r="916">
      <c r="B916" s="23"/>
      <c r="C916" s="23"/>
      <c r="D916" s="23"/>
      <c r="E916" s="23"/>
    </row>
    <row r="917">
      <c r="B917" s="23"/>
      <c r="C917" s="23"/>
      <c r="D917" s="23"/>
      <c r="E917" s="23"/>
    </row>
    <row r="918">
      <c r="B918" s="23"/>
      <c r="C918" s="23"/>
      <c r="D918" s="23"/>
      <c r="E918" s="23"/>
    </row>
    <row r="919">
      <c r="B919" s="23"/>
      <c r="C919" s="23"/>
      <c r="D919" s="23"/>
      <c r="E919" s="23"/>
    </row>
    <row r="920">
      <c r="B920" s="23"/>
      <c r="C920" s="23"/>
      <c r="D920" s="23"/>
      <c r="E920" s="23"/>
    </row>
    <row r="921">
      <c r="B921" s="23"/>
      <c r="C921" s="23"/>
      <c r="D921" s="23"/>
      <c r="E921" s="23"/>
    </row>
    <row r="922">
      <c r="B922" s="23"/>
      <c r="C922" s="23"/>
      <c r="D922" s="23"/>
      <c r="E922" s="23"/>
    </row>
    <row r="923">
      <c r="B923" s="23"/>
      <c r="C923" s="23"/>
      <c r="D923" s="23"/>
      <c r="E923" s="23"/>
    </row>
    <row r="924">
      <c r="B924" s="23"/>
      <c r="C924" s="23"/>
      <c r="D924" s="23"/>
      <c r="E924" s="23"/>
    </row>
    <row r="925">
      <c r="B925" s="23"/>
      <c r="C925" s="23"/>
      <c r="D925" s="23"/>
      <c r="E925" s="23"/>
    </row>
    <row r="926">
      <c r="B926" s="23"/>
      <c r="C926" s="23"/>
      <c r="D926" s="23"/>
      <c r="E926" s="23"/>
    </row>
    <row r="927">
      <c r="B927" s="23"/>
      <c r="C927" s="23"/>
      <c r="D927" s="23"/>
      <c r="E927" s="23"/>
    </row>
    <row r="928">
      <c r="B928" s="23"/>
      <c r="C928" s="23"/>
      <c r="D928" s="23"/>
      <c r="E928" s="23"/>
    </row>
    <row r="929">
      <c r="B929" s="23"/>
      <c r="C929" s="23"/>
      <c r="D929" s="23"/>
      <c r="E929" s="23"/>
    </row>
    <row r="930">
      <c r="B930" s="23"/>
      <c r="C930" s="23"/>
      <c r="D930" s="23"/>
      <c r="E930" s="23"/>
    </row>
    <row r="931">
      <c r="B931" s="23"/>
      <c r="C931" s="23"/>
      <c r="D931" s="23"/>
      <c r="E931" s="23"/>
    </row>
    <row r="932">
      <c r="B932" s="23"/>
      <c r="C932" s="23"/>
      <c r="D932" s="23"/>
      <c r="E932" s="23"/>
    </row>
    <row r="933">
      <c r="B933" s="23"/>
      <c r="C933" s="23"/>
      <c r="D933" s="23"/>
      <c r="E933" s="23"/>
    </row>
    <row r="934">
      <c r="B934" s="23"/>
      <c r="C934" s="23"/>
      <c r="D934" s="23"/>
      <c r="E934" s="23"/>
    </row>
    <row r="935">
      <c r="B935" s="23"/>
      <c r="C935" s="23"/>
      <c r="D935" s="23"/>
      <c r="E935" s="23"/>
    </row>
    <row r="936">
      <c r="B936" s="23"/>
      <c r="C936" s="23"/>
      <c r="D936" s="23"/>
      <c r="E936" s="23"/>
    </row>
    <row r="937">
      <c r="B937" s="23"/>
      <c r="C937" s="23"/>
      <c r="D937" s="23"/>
      <c r="E937" s="23"/>
    </row>
    <row r="938">
      <c r="B938" s="23"/>
      <c r="C938" s="23"/>
      <c r="D938" s="23"/>
      <c r="E938" s="23"/>
    </row>
    <row r="939">
      <c r="B939" s="23"/>
      <c r="C939" s="23"/>
      <c r="D939" s="23"/>
      <c r="E939" s="23"/>
    </row>
    <row r="940">
      <c r="B940" s="23"/>
      <c r="C940" s="23"/>
      <c r="D940" s="23"/>
      <c r="E940" s="23"/>
    </row>
    <row r="941">
      <c r="B941" s="23"/>
      <c r="C941" s="23"/>
      <c r="D941" s="23"/>
      <c r="E941" s="23"/>
    </row>
    <row r="942">
      <c r="B942" s="23"/>
      <c r="C942" s="23"/>
      <c r="D942" s="23"/>
      <c r="E942" s="23"/>
    </row>
    <row r="943">
      <c r="B943" s="23"/>
      <c r="C943" s="23"/>
      <c r="D943" s="23"/>
      <c r="E943" s="23"/>
    </row>
    <row r="944">
      <c r="B944" s="23"/>
      <c r="C944" s="23"/>
      <c r="D944" s="23"/>
      <c r="E944" s="23"/>
    </row>
    <row r="945">
      <c r="B945" s="23"/>
      <c r="C945" s="23"/>
      <c r="D945" s="23"/>
      <c r="E945" s="23"/>
    </row>
    <row r="946">
      <c r="B946" s="23"/>
      <c r="C946" s="23"/>
      <c r="D946" s="23"/>
      <c r="E946" s="23"/>
    </row>
    <row r="947">
      <c r="B947" s="23"/>
      <c r="C947" s="23"/>
      <c r="D947" s="23"/>
      <c r="E947" s="23"/>
    </row>
    <row r="948">
      <c r="B948" s="23"/>
      <c r="C948" s="23"/>
      <c r="D948" s="23"/>
      <c r="E948" s="23"/>
    </row>
    <row r="949">
      <c r="B949" s="23"/>
      <c r="C949" s="23"/>
      <c r="D949" s="23"/>
      <c r="E949" s="23"/>
    </row>
    <row r="950">
      <c r="B950" s="23"/>
      <c r="C950" s="23"/>
      <c r="D950" s="23"/>
      <c r="E950" s="23"/>
    </row>
    <row r="951">
      <c r="B951" s="23"/>
      <c r="C951" s="23"/>
      <c r="D951" s="23"/>
      <c r="E951" s="23"/>
    </row>
    <row r="952">
      <c r="B952" s="23"/>
      <c r="C952" s="23"/>
      <c r="D952" s="23"/>
      <c r="E952" s="23"/>
    </row>
    <row r="953">
      <c r="B953" s="23"/>
      <c r="C953" s="23"/>
      <c r="D953" s="23"/>
      <c r="E953" s="23"/>
    </row>
    <row r="954">
      <c r="B954" s="23"/>
      <c r="C954" s="23"/>
      <c r="D954" s="23"/>
      <c r="E954" s="23"/>
    </row>
    <row r="955">
      <c r="B955" s="23"/>
      <c r="C955" s="23"/>
      <c r="D955" s="23"/>
      <c r="E955" s="23"/>
    </row>
    <row r="956">
      <c r="B956" s="23"/>
      <c r="C956" s="23"/>
      <c r="D956" s="23"/>
      <c r="E956" s="23"/>
    </row>
    <row r="957">
      <c r="B957" s="23"/>
      <c r="C957" s="23"/>
      <c r="D957" s="23"/>
      <c r="E957" s="23"/>
    </row>
    <row r="958">
      <c r="B958" s="23"/>
      <c r="C958" s="23"/>
      <c r="D958" s="23"/>
      <c r="E958" s="23"/>
    </row>
    <row r="959">
      <c r="B959" s="23"/>
      <c r="C959" s="23"/>
      <c r="D959" s="23"/>
      <c r="E959" s="23"/>
    </row>
    <row r="960">
      <c r="B960" s="23"/>
      <c r="C960" s="23"/>
      <c r="D960" s="23"/>
      <c r="E960" s="23"/>
    </row>
    <row r="961">
      <c r="B961" s="23"/>
      <c r="C961" s="23"/>
      <c r="D961" s="23"/>
      <c r="E961" s="23"/>
    </row>
    <row r="962">
      <c r="B962" s="23"/>
      <c r="C962" s="23"/>
      <c r="D962" s="23"/>
      <c r="E962" s="23"/>
    </row>
    <row r="963">
      <c r="B963" s="23"/>
      <c r="C963" s="23"/>
      <c r="D963" s="23"/>
      <c r="E963" s="23"/>
    </row>
    <row r="964">
      <c r="B964" s="23"/>
      <c r="C964" s="23"/>
      <c r="D964" s="23"/>
      <c r="E964" s="23"/>
    </row>
    <row r="965">
      <c r="B965" s="23"/>
      <c r="C965" s="23"/>
      <c r="D965" s="23"/>
      <c r="E965" s="23"/>
    </row>
    <row r="966">
      <c r="B966" s="23"/>
      <c r="C966" s="23"/>
      <c r="D966" s="23"/>
      <c r="E966" s="23"/>
    </row>
    <row r="967">
      <c r="B967" s="23"/>
      <c r="C967" s="23"/>
      <c r="D967" s="23"/>
      <c r="E967" s="23"/>
    </row>
    <row r="968">
      <c r="B968" s="23"/>
      <c r="C968" s="23"/>
      <c r="D968" s="23"/>
      <c r="E968" s="23"/>
    </row>
    <row r="969">
      <c r="B969" s="23"/>
      <c r="C969" s="23"/>
      <c r="D969" s="23"/>
      <c r="E969" s="23"/>
    </row>
    <row r="970">
      <c r="B970" s="23"/>
      <c r="C970" s="23"/>
      <c r="D970" s="23"/>
      <c r="E970" s="23"/>
    </row>
    <row r="971">
      <c r="B971" s="23"/>
      <c r="C971" s="23"/>
      <c r="D971" s="23"/>
      <c r="E971" s="23"/>
    </row>
    <row r="972">
      <c r="B972" s="23"/>
      <c r="C972" s="23"/>
      <c r="D972" s="23"/>
      <c r="E972" s="23"/>
    </row>
    <row r="973">
      <c r="B973" s="23"/>
      <c r="C973" s="23"/>
      <c r="D973" s="23"/>
      <c r="E973" s="23"/>
    </row>
    <row r="974">
      <c r="B974" s="23"/>
      <c r="C974" s="23"/>
      <c r="D974" s="23"/>
      <c r="E974" s="23"/>
    </row>
    <row r="975">
      <c r="B975" s="23"/>
      <c r="C975" s="23"/>
      <c r="D975" s="23"/>
      <c r="E975" s="23"/>
    </row>
    <row r="976">
      <c r="B976" s="23"/>
      <c r="C976" s="23"/>
      <c r="D976" s="23"/>
      <c r="E976" s="23"/>
    </row>
    <row r="977">
      <c r="B977" s="23"/>
      <c r="C977" s="23"/>
      <c r="D977" s="23"/>
      <c r="E977" s="23"/>
    </row>
    <row r="978">
      <c r="B978" s="23"/>
      <c r="C978" s="23"/>
      <c r="D978" s="23"/>
      <c r="E978" s="23"/>
    </row>
    <row r="979">
      <c r="B979" s="23"/>
      <c r="C979" s="23"/>
      <c r="D979" s="23"/>
      <c r="E979" s="23"/>
    </row>
    <row r="980">
      <c r="B980" s="23"/>
      <c r="C980" s="23"/>
      <c r="D980" s="23"/>
      <c r="E980" s="23"/>
    </row>
    <row r="981">
      <c r="B981" s="23"/>
      <c r="C981" s="23"/>
      <c r="D981" s="23"/>
      <c r="E981" s="23"/>
    </row>
    <row r="982">
      <c r="B982" s="23"/>
      <c r="C982" s="23"/>
      <c r="D982" s="23"/>
      <c r="E982" s="23"/>
    </row>
    <row r="983">
      <c r="B983" s="23"/>
      <c r="C983" s="23"/>
      <c r="D983" s="23"/>
      <c r="E983" s="23"/>
    </row>
    <row r="984">
      <c r="B984" s="23"/>
      <c r="C984" s="23"/>
      <c r="D984" s="23"/>
      <c r="E984" s="23"/>
    </row>
    <row r="985">
      <c r="B985" s="23"/>
      <c r="C985" s="23"/>
      <c r="D985" s="23"/>
      <c r="E985" s="23"/>
    </row>
    <row r="986">
      <c r="B986" s="23"/>
      <c r="C986" s="23"/>
      <c r="D986" s="23"/>
      <c r="E986" s="23"/>
    </row>
    <row r="987">
      <c r="B987" s="23"/>
      <c r="C987" s="23"/>
      <c r="D987" s="23"/>
      <c r="E987" s="23"/>
    </row>
    <row r="988">
      <c r="B988" s="23"/>
      <c r="C988" s="23"/>
      <c r="D988" s="23"/>
      <c r="E988" s="23"/>
    </row>
    <row r="989">
      <c r="B989" s="23"/>
      <c r="C989" s="23"/>
      <c r="D989" s="23"/>
      <c r="E989" s="23"/>
    </row>
    <row r="990">
      <c r="B990" s="23"/>
      <c r="C990" s="23"/>
      <c r="D990" s="23"/>
      <c r="E990" s="23"/>
    </row>
    <row r="991">
      <c r="B991" s="23"/>
      <c r="C991" s="23"/>
      <c r="D991" s="23"/>
      <c r="E991" s="23"/>
    </row>
    <row r="992">
      <c r="B992" s="23"/>
      <c r="C992" s="23"/>
      <c r="D992" s="23"/>
      <c r="E992" s="23"/>
    </row>
    <row r="993">
      <c r="B993" s="23"/>
      <c r="C993" s="23"/>
      <c r="D993" s="23"/>
      <c r="E993" s="23"/>
    </row>
    <row r="994">
      <c r="B994" s="23"/>
      <c r="C994" s="23"/>
      <c r="D994" s="23"/>
      <c r="E994" s="23"/>
    </row>
    <row r="995">
      <c r="B995" s="23"/>
      <c r="C995" s="23"/>
      <c r="D995" s="23"/>
      <c r="E995" s="23"/>
    </row>
    <row r="996">
      <c r="B996" s="23"/>
      <c r="C996" s="23"/>
      <c r="D996" s="23"/>
      <c r="E996" s="23"/>
    </row>
    <row r="997">
      <c r="B997" s="23"/>
      <c r="C997" s="23"/>
      <c r="D997" s="23"/>
      <c r="E997" s="23"/>
    </row>
    <row r="998">
      <c r="B998" s="23"/>
      <c r="C998" s="23"/>
      <c r="D998" s="23"/>
      <c r="E998" s="23"/>
    </row>
    <row r="999">
      <c r="B999" s="23"/>
      <c r="C999" s="23"/>
      <c r="D999" s="23"/>
      <c r="E999" s="23"/>
    </row>
    <row r="1000">
      <c r="B1000" s="23"/>
      <c r="C1000" s="23"/>
      <c r="D1000" s="23"/>
      <c r="E1000" s="23"/>
    </row>
    <row r="1001">
      <c r="B1001" s="23"/>
      <c r="C1001" s="23"/>
      <c r="D1001" s="23"/>
      <c r="E1001" s="23"/>
    </row>
    <row r="1002">
      <c r="B1002" s="23"/>
      <c r="C1002" s="23"/>
      <c r="D1002" s="23"/>
      <c r="E1002" s="23"/>
    </row>
    <row r="1003">
      <c r="B1003" s="23"/>
      <c r="C1003" s="23"/>
      <c r="D1003" s="23"/>
      <c r="E1003" s="23"/>
    </row>
    <row r="1004">
      <c r="B1004" s="23"/>
      <c r="C1004" s="23"/>
      <c r="D1004" s="23"/>
      <c r="E1004" s="23"/>
    </row>
    <row r="1005">
      <c r="B1005" s="23"/>
      <c r="C1005" s="23"/>
      <c r="D1005" s="23"/>
      <c r="E1005" s="23"/>
    </row>
    <row r="1006">
      <c r="B1006" s="23"/>
      <c r="C1006" s="23"/>
      <c r="D1006" s="23"/>
      <c r="E1006" s="23"/>
    </row>
    <row r="1007">
      <c r="B1007" s="23"/>
      <c r="C1007" s="23"/>
      <c r="D1007" s="23"/>
      <c r="E1007" s="23"/>
    </row>
    <row r="1008">
      <c r="B1008" s="23"/>
      <c r="C1008" s="23"/>
      <c r="D1008" s="23"/>
      <c r="E1008" s="23"/>
    </row>
    <row r="1009">
      <c r="B1009" s="23"/>
      <c r="C1009" s="23"/>
      <c r="D1009" s="23"/>
      <c r="E1009" s="23"/>
    </row>
    <row r="1010">
      <c r="B1010" s="23"/>
      <c r="C1010" s="23"/>
      <c r="D1010" s="23"/>
      <c r="E1010" s="23"/>
    </row>
    <row r="1011">
      <c r="B1011" s="23"/>
      <c r="C1011" s="23"/>
      <c r="D1011" s="23"/>
      <c r="E1011" s="23"/>
    </row>
    <row r="1012">
      <c r="B1012" s="23"/>
      <c r="C1012" s="23"/>
      <c r="D1012" s="23"/>
      <c r="E1012" s="23"/>
    </row>
    <row r="1013">
      <c r="B1013" s="23"/>
      <c r="C1013" s="23"/>
      <c r="D1013" s="23"/>
      <c r="E1013" s="23"/>
    </row>
    <row r="1014">
      <c r="B1014" s="23"/>
      <c r="C1014" s="23"/>
      <c r="D1014" s="23"/>
      <c r="E1014" s="23"/>
    </row>
    <row r="1015">
      <c r="B1015" s="23"/>
      <c r="C1015" s="23"/>
      <c r="D1015" s="23"/>
      <c r="E1015" s="23"/>
    </row>
    <row r="1016">
      <c r="B1016" s="23"/>
      <c r="C1016" s="23"/>
      <c r="D1016" s="23"/>
      <c r="E1016" s="23"/>
    </row>
    <row r="1017">
      <c r="B1017" s="23"/>
      <c r="C1017" s="23"/>
      <c r="D1017" s="23"/>
      <c r="E1017" s="23"/>
    </row>
    <row r="1018">
      <c r="B1018" s="23"/>
      <c r="C1018" s="23"/>
      <c r="D1018" s="23"/>
      <c r="E1018" s="23"/>
    </row>
    <row r="1019">
      <c r="B1019" s="23"/>
      <c r="C1019" s="23"/>
      <c r="D1019" s="23"/>
      <c r="E1019" s="23"/>
    </row>
    <row r="1020">
      <c r="B1020" s="23"/>
      <c r="C1020" s="23"/>
      <c r="D1020" s="23"/>
      <c r="E1020" s="23"/>
    </row>
    <row r="1021">
      <c r="B1021" s="23"/>
      <c r="C1021" s="23"/>
      <c r="D1021" s="23"/>
      <c r="E1021" s="23"/>
    </row>
    <row r="1022">
      <c r="B1022" s="23"/>
      <c r="C1022" s="23"/>
      <c r="D1022" s="23"/>
      <c r="E1022" s="23"/>
    </row>
    <row r="1023">
      <c r="B1023" s="23"/>
      <c r="C1023" s="23"/>
      <c r="D1023" s="23"/>
      <c r="E1023" s="23"/>
    </row>
    <row r="1024">
      <c r="B1024" s="23"/>
      <c r="C1024" s="23"/>
      <c r="D1024" s="23"/>
      <c r="E1024" s="23"/>
    </row>
    <row r="1025">
      <c r="B1025" s="23"/>
      <c r="C1025" s="23"/>
      <c r="D1025" s="23"/>
      <c r="E1025" s="23"/>
    </row>
    <row r="1026">
      <c r="B1026" s="23"/>
      <c r="C1026" s="23"/>
      <c r="D1026" s="23"/>
      <c r="E1026" s="23"/>
    </row>
    <row r="1027">
      <c r="B1027" s="23"/>
      <c r="C1027" s="23"/>
      <c r="D1027" s="23"/>
      <c r="E1027" s="23"/>
    </row>
    <row r="1028">
      <c r="B1028" s="23"/>
      <c r="C1028" s="23"/>
      <c r="D1028" s="23"/>
      <c r="E1028" s="23"/>
    </row>
    <row r="1029">
      <c r="B1029" s="23"/>
      <c r="C1029" s="23"/>
      <c r="D1029" s="23"/>
      <c r="E1029" s="23"/>
    </row>
    <row r="1030">
      <c r="B1030" s="23"/>
      <c r="C1030" s="23"/>
      <c r="D1030" s="23"/>
      <c r="E1030" s="23"/>
    </row>
    <row r="1031">
      <c r="B1031" s="23"/>
      <c r="C1031" s="23"/>
      <c r="D1031" s="23"/>
      <c r="E1031" s="23"/>
    </row>
    <row r="1032">
      <c r="B1032" s="23"/>
      <c r="C1032" s="23"/>
      <c r="D1032" s="23"/>
      <c r="E1032" s="23"/>
    </row>
    <row r="1033">
      <c r="B1033" s="23"/>
      <c r="C1033" s="23"/>
      <c r="D1033" s="23"/>
      <c r="E1033" s="23"/>
    </row>
    <row r="1034">
      <c r="B1034" s="23"/>
      <c r="C1034" s="23"/>
      <c r="D1034" s="23"/>
      <c r="E1034" s="23"/>
    </row>
    <row r="1035">
      <c r="B1035" s="23"/>
      <c r="C1035" s="23"/>
      <c r="D1035" s="23"/>
      <c r="E1035" s="23"/>
    </row>
    <row r="1036">
      <c r="B1036" s="23"/>
      <c r="C1036" s="23"/>
      <c r="D1036" s="23"/>
      <c r="E1036" s="23"/>
    </row>
    <row r="1037">
      <c r="B1037" s="23"/>
      <c r="C1037" s="23"/>
      <c r="D1037" s="23"/>
      <c r="E1037" s="23"/>
    </row>
    <row r="1038">
      <c r="B1038" s="23"/>
      <c r="C1038" s="23"/>
      <c r="D1038" s="23"/>
      <c r="E1038" s="23"/>
    </row>
    <row r="1039">
      <c r="B1039" s="23"/>
      <c r="C1039" s="23"/>
      <c r="D1039" s="23"/>
      <c r="E1039" s="23"/>
    </row>
    <row r="1040">
      <c r="B1040" s="23"/>
      <c r="C1040" s="23"/>
      <c r="D1040" s="23"/>
      <c r="E1040" s="23"/>
    </row>
    <row r="1041">
      <c r="B1041" s="23"/>
      <c r="C1041" s="23"/>
      <c r="D1041" s="23"/>
      <c r="E1041" s="23"/>
    </row>
    <row r="1042">
      <c r="B1042" s="23"/>
      <c r="C1042" s="23"/>
      <c r="D1042" s="23"/>
      <c r="E1042" s="23"/>
    </row>
    <row r="1043">
      <c r="B1043" s="23"/>
      <c r="C1043" s="23"/>
      <c r="D1043" s="23"/>
      <c r="E1043" s="23"/>
    </row>
    <row r="1044">
      <c r="B1044" s="23"/>
      <c r="C1044" s="23"/>
      <c r="D1044" s="23"/>
      <c r="E1044" s="23"/>
    </row>
    <row r="1045">
      <c r="B1045" s="23"/>
      <c r="C1045" s="23"/>
      <c r="D1045" s="23"/>
      <c r="E1045" s="23"/>
    </row>
    <row r="1046">
      <c r="B1046" s="23"/>
      <c r="C1046" s="23"/>
      <c r="D1046" s="23"/>
      <c r="E1046" s="23"/>
    </row>
    <row r="1047">
      <c r="B1047" s="23"/>
      <c r="C1047" s="23"/>
      <c r="D1047" s="23"/>
      <c r="E1047" s="23"/>
    </row>
    <row r="1048">
      <c r="B1048" s="23"/>
      <c r="C1048" s="23"/>
      <c r="D1048" s="23"/>
      <c r="E1048" s="23"/>
    </row>
    <row r="1049">
      <c r="B1049" s="23"/>
      <c r="C1049" s="23"/>
      <c r="D1049" s="23"/>
      <c r="E1049" s="23"/>
    </row>
    <row r="1050">
      <c r="B1050" s="23"/>
      <c r="C1050" s="23"/>
      <c r="D1050" s="23"/>
      <c r="E1050" s="23"/>
    </row>
    <row r="1051">
      <c r="B1051" s="23"/>
      <c r="C1051" s="23"/>
      <c r="D1051" s="23"/>
      <c r="E1051" s="23"/>
    </row>
    <row r="1052">
      <c r="B1052" s="23"/>
      <c r="C1052" s="23"/>
      <c r="D1052" s="23"/>
      <c r="E1052" s="23"/>
    </row>
    <row r="1053">
      <c r="B1053" s="23"/>
      <c r="C1053" s="23"/>
      <c r="D1053" s="23"/>
      <c r="E1053" s="23"/>
    </row>
    <row r="1054">
      <c r="B1054" s="23"/>
      <c r="C1054" s="23"/>
      <c r="D1054" s="23"/>
      <c r="E1054" s="23"/>
    </row>
    <row r="1055">
      <c r="B1055" s="23"/>
      <c r="C1055" s="23"/>
      <c r="D1055" s="23"/>
      <c r="E1055" s="23"/>
    </row>
    <row r="1056">
      <c r="B1056" s="23"/>
      <c r="C1056" s="23"/>
      <c r="D1056" s="23"/>
      <c r="E1056" s="23"/>
    </row>
    <row r="1057">
      <c r="B1057" s="23"/>
      <c r="C1057" s="23"/>
      <c r="D1057" s="23"/>
      <c r="E1057" s="23"/>
    </row>
    <row r="1058">
      <c r="B1058" s="23"/>
      <c r="C1058" s="23"/>
      <c r="D1058" s="23"/>
      <c r="E1058" s="23"/>
    </row>
    <row r="1059">
      <c r="B1059" s="23"/>
      <c r="C1059" s="23"/>
      <c r="D1059" s="23"/>
      <c r="E1059" s="23"/>
    </row>
    <row r="1060">
      <c r="B1060" s="23"/>
      <c r="C1060" s="23"/>
      <c r="D1060" s="23"/>
      <c r="E1060" s="23"/>
    </row>
    <row r="1061">
      <c r="B1061" s="23"/>
      <c r="C1061" s="23"/>
      <c r="D1061" s="23"/>
      <c r="E1061" s="23"/>
    </row>
    <row r="1062">
      <c r="B1062" s="23"/>
      <c r="C1062" s="23"/>
      <c r="D1062" s="23"/>
      <c r="E1062" s="23"/>
    </row>
    <row r="1063">
      <c r="B1063" s="23"/>
      <c r="C1063" s="23"/>
      <c r="D1063" s="23"/>
      <c r="E1063" s="23"/>
    </row>
    <row r="1064">
      <c r="B1064" s="23"/>
      <c r="C1064" s="23"/>
      <c r="D1064" s="23"/>
      <c r="E1064" s="23"/>
    </row>
    <row r="1065">
      <c r="B1065" s="23"/>
      <c r="C1065" s="23"/>
      <c r="D1065" s="23"/>
      <c r="E1065" s="23"/>
    </row>
    <row r="1066">
      <c r="B1066" s="23"/>
      <c r="C1066" s="23"/>
      <c r="D1066" s="23"/>
      <c r="E1066" s="23"/>
    </row>
    <row r="1067">
      <c r="B1067" s="23"/>
      <c r="C1067" s="23"/>
      <c r="D1067" s="23"/>
      <c r="E1067" s="23"/>
    </row>
    <row r="1068">
      <c r="B1068" s="23"/>
      <c r="C1068" s="23"/>
      <c r="D1068" s="23"/>
      <c r="E1068" s="23"/>
    </row>
    <row r="1069">
      <c r="B1069" s="23"/>
      <c r="C1069" s="23"/>
      <c r="D1069" s="23"/>
      <c r="E1069" s="23"/>
    </row>
    <row r="1070">
      <c r="B1070" s="23"/>
      <c r="C1070" s="23"/>
      <c r="D1070" s="23"/>
      <c r="E1070" s="23"/>
    </row>
    <row r="1071">
      <c r="B1071" s="23"/>
      <c r="C1071" s="23"/>
      <c r="D1071" s="23"/>
      <c r="E1071" s="23"/>
    </row>
    <row r="1072">
      <c r="B1072" s="23"/>
      <c r="C1072" s="23"/>
      <c r="D1072" s="23"/>
      <c r="E1072" s="23"/>
    </row>
    <row r="1073">
      <c r="B1073" s="23"/>
      <c r="C1073" s="23"/>
      <c r="D1073" s="23"/>
      <c r="E1073" s="23"/>
    </row>
    <row r="1074">
      <c r="B1074" s="23"/>
      <c r="C1074" s="23"/>
      <c r="D1074" s="23"/>
      <c r="E1074" s="23"/>
    </row>
    <row r="1075">
      <c r="B1075" s="23"/>
      <c r="C1075" s="23"/>
      <c r="D1075" s="23"/>
      <c r="E1075" s="23"/>
    </row>
    <row r="1076">
      <c r="B1076" s="23"/>
      <c r="C1076" s="23"/>
      <c r="D1076" s="23"/>
      <c r="E1076" s="23"/>
    </row>
    <row r="1077">
      <c r="B1077" s="23"/>
      <c r="C1077" s="23"/>
      <c r="D1077" s="23"/>
      <c r="E1077" s="23"/>
    </row>
    <row r="1078">
      <c r="B1078" s="23"/>
      <c r="C1078" s="23"/>
      <c r="D1078" s="23"/>
      <c r="E1078" s="23"/>
    </row>
    <row r="1079">
      <c r="B1079" s="23"/>
      <c r="C1079" s="23"/>
      <c r="D1079" s="23"/>
      <c r="E1079" s="23"/>
    </row>
    <row r="1080">
      <c r="B1080" s="23"/>
      <c r="C1080" s="23"/>
      <c r="D1080" s="23"/>
      <c r="E1080" s="23"/>
    </row>
    <row r="1081">
      <c r="B1081" s="23"/>
      <c r="C1081" s="23"/>
      <c r="D1081" s="23"/>
      <c r="E1081" s="23"/>
    </row>
    <row r="1082">
      <c r="B1082" s="23"/>
      <c r="C1082" s="23"/>
      <c r="D1082" s="23"/>
      <c r="E1082" s="23"/>
    </row>
    <row r="1083">
      <c r="B1083" s="23"/>
      <c r="C1083" s="23"/>
      <c r="D1083" s="23"/>
      <c r="E1083" s="23"/>
    </row>
    <row r="1084">
      <c r="B1084" s="23"/>
      <c r="C1084" s="23"/>
      <c r="D1084" s="23"/>
      <c r="E1084" s="23"/>
    </row>
    <row r="1085">
      <c r="B1085" s="23"/>
      <c r="C1085" s="23"/>
      <c r="D1085" s="23"/>
      <c r="E1085" s="23"/>
    </row>
    <row r="1086">
      <c r="B1086" s="23"/>
      <c r="C1086" s="23"/>
      <c r="D1086" s="23"/>
      <c r="E1086" s="23"/>
    </row>
    <row r="1087">
      <c r="B1087" s="23"/>
      <c r="C1087" s="23"/>
      <c r="D1087" s="23"/>
      <c r="E1087" s="23"/>
    </row>
    <row r="1088">
      <c r="B1088" s="23"/>
      <c r="C1088" s="23"/>
      <c r="D1088" s="23"/>
      <c r="E1088" s="23"/>
    </row>
    <row r="1089">
      <c r="B1089" s="23"/>
      <c r="C1089" s="23"/>
      <c r="D1089" s="23"/>
      <c r="E1089" s="23"/>
    </row>
    <row r="1090">
      <c r="B1090" s="23"/>
      <c r="C1090" s="23"/>
      <c r="D1090" s="23"/>
      <c r="E1090" s="23"/>
    </row>
    <row r="1091">
      <c r="B1091" s="23"/>
      <c r="C1091" s="23"/>
      <c r="D1091" s="23"/>
      <c r="E1091" s="23"/>
    </row>
    <row r="1092">
      <c r="B1092" s="23"/>
      <c r="C1092" s="23"/>
      <c r="D1092" s="23"/>
      <c r="E1092" s="23"/>
    </row>
    <row r="1093">
      <c r="B1093" s="23"/>
      <c r="C1093" s="23"/>
      <c r="D1093" s="23"/>
      <c r="E1093" s="23"/>
    </row>
    <row r="1094">
      <c r="B1094" s="23"/>
      <c r="C1094" s="23"/>
      <c r="D1094" s="23"/>
      <c r="E1094" s="23"/>
    </row>
    <row r="1095">
      <c r="B1095" s="23"/>
      <c r="C1095" s="23"/>
      <c r="D1095" s="23"/>
      <c r="E1095" s="23"/>
    </row>
    <row r="1096">
      <c r="B1096" s="23"/>
      <c r="C1096" s="23"/>
      <c r="D1096" s="23"/>
      <c r="E1096" s="23"/>
    </row>
    <row r="1097">
      <c r="B1097" s="23"/>
      <c r="C1097" s="23"/>
      <c r="D1097" s="23"/>
      <c r="E1097" s="23"/>
    </row>
    <row r="1098">
      <c r="B1098" s="23"/>
      <c r="C1098" s="23"/>
      <c r="D1098" s="23"/>
      <c r="E1098" s="23"/>
    </row>
    <row r="1099">
      <c r="B1099" s="23"/>
      <c r="C1099" s="23"/>
      <c r="D1099" s="23"/>
      <c r="E1099" s="23"/>
    </row>
    <row r="1100">
      <c r="B1100" s="23"/>
      <c r="C1100" s="23"/>
      <c r="D1100" s="23"/>
      <c r="E1100" s="23"/>
    </row>
    <row r="1101">
      <c r="B1101" s="23"/>
      <c r="C1101" s="23"/>
      <c r="D1101" s="23"/>
      <c r="E1101" s="23"/>
    </row>
    <row r="1102">
      <c r="B1102" s="23"/>
      <c r="C1102" s="23"/>
      <c r="D1102" s="23"/>
      <c r="E1102" s="23"/>
    </row>
    <row r="1103">
      <c r="B1103" s="23"/>
      <c r="C1103" s="23"/>
      <c r="D1103" s="23"/>
      <c r="E1103" s="23"/>
    </row>
    <row r="1104">
      <c r="B1104" s="23"/>
      <c r="C1104" s="23"/>
      <c r="D1104" s="23"/>
      <c r="E1104" s="23"/>
    </row>
    <row r="1105">
      <c r="B1105" s="23"/>
      <c r="C1105" s="23"/>
      <c r="D1105" s="23"/>
      <c r="E1105" s="23"/>
    </row>
    <row r="1106">
      <c r="B1106" s="23"/>
      <c r="C1106" s="23"/>
      <c r="D1106" s="23"/>
      <c r="E1106" s="23"/>
    </row>
    <row r="1107">
      <c r="B1107" s="23"/>
      <c r="C1107" s="23"/>
      <c r="D1107" s="23"/>
      <c r="E1107" s="23"/>
    </row>
    <row r="1108">
      <c r="B1108" s="23"/>
      <c r="C1108" s="23"/>
      <c r="D1108" s="23"/>
      <c r="E1108" s="23"/>
    </row>
    <row r="1109">
      <c r="B1109" s="23"/>
      <c r="C1109" s="23"/>
      <c r="D1109" s="23"/>
      <c r="E1109" s="23"/>
    </row>
    <row r="1110">
      <c r="B1110" s="23"/>
      <c r="C1110" s="23"/>
      <c r="D1110" s="23"/>
      <c r="E1110" s="23"/>
    </row>
    <row r="1111">
      <c r="B1111" s="23"/>
      <c r="C1111" s="23"/>
      <c r="D1111" s="23"/>
      <c r="E1111" s="23"/>
    </row>
    <row r="1112">
      <c r="B1112" s="23"/>
      <c r="C1112" s="23"/>
      <c r="D1112" s="23"/>
      <c r="E1112" s="23"/>
    </row>
    <row r="1113">
      <c r="B1113" s="23"/>
      <c r="C1113" s="23"/>
      <c r="D1113" s="23"/>
      <c r="E1113" s="23"/>
    </row>
    <row r="1114">
      <c r="B1114" s="23"/>
      <c r="C1114" s="23"/>
      <c r="D1114" s="23"/>
      <c r="E1114" s="23"/>
    </row>
    <row r="1115">
      <c r="B1115" s="23"/>
      <c r="C1115" s="23"/>
      <c r="D1115" s="23"/>
      <c r="E1115" s="23"/>
    </row>
    <row r="1116">
      <c r="B1116" s="23"/>
      <c r="C1116" s="23"/>
      <c r="D1116" s="23"/>
      <c r="E1116" s="23"/>
    </row>
    <row r="1117">
      <c r="B1117" s="23"/>
      <c r="C1117" s="23"/>
      <c r="D1117" s="23"/>
      <c r="E1117" s="23"/>
    </row>
    <row r="1118">
      <c r="B1118" s="23"/>
      <c r="C1118" s="23"/>
      <c r="D1118" s="23"/>
      <c r="E1118" s="23"/>
    </row>
    <row r="1119">
      <c r="B1119" s="23"/>
      <c r="C1119" s="23"/>
      <c r="D1119" s="23"/>
      <c r="E1119" s="23"/>
    </row>
    <row r="1120">
      <c r="B1120" s="23"/>
      <c r="C1120" s="23"/>
      <c r="D1120" s="23"/>
      <c r="E1120" s="23"/>
    </row>
    <row r="1121">
      <c r="B1121" s="23"/>
      <c r="C1121" s="23"/>
      <c r="D1121" s="23"/>
      <c r="E1121" s="23"/>
    </row>
    <row r="1122">
      <c r="B1122" s="23"/>
      <c r="C1122" s="23"/>
      <c r="D1122" s="23"/>
      <c r="E1122" s="23"/>
    </row>
    <row r="1123">
      <c r="B1123" s="23"/>
      <c r="C1123" s="23"/>
      <c r="D1123" s="23"/>
      <c r="E1123" s="23"/>
    </row>
    <row r="1124">
      <c r="B1124" s="23"/>
      <c r="C1124" s="23"/>
      <c r="D1124" s="23"/>
      <c r="E1124" s="23"/>
    </row>
    <row r="1125">
      <c r="B1125" s="23"/>
      <c r="C1125" s="23"/>
      <c r="D1125" s="23"/>
      <c r="E1125" s="23"/>
    </row>
    <row r="1126">
      <c r="B1126" s="23"/>
      <c r="C1126" s="23"/>
      <c r="D1126" s="23"/>
      <c r="E1126" s="23"/>
    </row>
    <row r="1127">
      <c r="B1127" s="23"/>
      <c r="C1127" s="23"/>
      <c r="D1127" s="23"/>
      <c r="E1127" s="23"/>
    </row>
    <row r="1128">
      <c r="B1128" s="23"/>
      <c r="C1128" s="23"/>
      <c r="D1128" s="23"/>
      <c r="E1128" s="23"/>
    </row>
    <row r="1129">
      <c r="B1129" s="23"/>
      <c r="C1129" s="23"/>
      <c r="D1129" s="23"/>
      <c r="E1129" s="23"/>
    </row>
    <row r="1130">
      <c r="B1130" s="23"/>
      <c r="C1130" s="23"/>
      <c r="D1130" s="23"/>
      <c r="E1130" s="23"/>
    </row>
    <row r="1131">
      <c r="B1131" s="23"/>
      <c r="C1131" s="23"/>
      <c r="D1131" s="23"/>
      <c r="E1131" s="23"/>
    </row>
    <row r="1132">
      <c r="B1132" s="23"/>
      <c r="C1132" s="23"/>
      <c r="D1132" s="23"/>
      <c r="E1132" s="23"/>
    </row>
    <row r="1133">
      <c r="B1133" s="23"/>
      <c r="C1133" s="23"/>
      <c r="D1133" s="23"/>
      <c r="E1133" s="23"/>
    </row>
    <row r="1134">
      <c r="B1134" s="23"/>
      <c r="C1134" s="23"/>
      <c r="D1134" s="23"/>
      <c r="E1134" s="23"/>
    </row>
    <row r="1135">
      <c r="B1135" s="23"/>
      <c r="C1135" s="23"/>
      <c r="D1135" s="23"/>
      <c r="E1135" s="23"/>
    </row>
    <row r="1136">
      <c r="B1136" s="23"/>
      <c r="C1136" s="23"/>
      <c r="D1136" s="23"/>
      <c r="E1136" s="23"/>
    </row>
    <row r="1137">
      <c r="B1137" s="23"/>
      <c r="C1137" s="23"/>
      <c r="D1137" s="23"/>
      <c r="E1137" s="23"/>
    </row>
    <row r="1138">
      <c r="B1138" s="23"/>
      <c r="C1138" s="23"/>
      <c r="D1138" s="23"/>
      <c r="E1138" s="23"/>
    </row>
    <row r="1139">
      <c r="B1139" s="23"/>
      <c r="C1139" s="23"/>
      <c r="D1139" s="23"/>
      <c r="E1139" s="23"/>
    </row>
    <row r="1140">
      <c r="B1140" s="23"/>
      <c r="C1140" s="23"/>
      <c r="D1140" s="23"/>
      <c r="E1140" s="23"/>
    </row>
    <row r="1141">
      <c r="B1141" s="23"/>
      <c r="C1141" s="23"/>
      <c r="D1141" s="23"/>
      <c r="E1141" s="23"/>
    </row>
    <row r="1142">
      <c r="B1142" s="23"/>
      <c r="C1142" s="23"/>
      <c r="D1142" s="23"/>
      <c r="E1142" s="23"/>
    </row>
    <row r="1143">
      <c r="B1143" s="23"/>
      <c r="C1143" s="23"/>
      <c r="D1143" s="23"/>
      <c r="E1143" s="23"/>
    </row>
    <row r="1144">
      <c r="B1144" s="23"/>
      <c r="C1144" s="23"/>
      <c r="D1144" s="23"/>
      <c r="E1144" s="23"/>
    </row>
    <row r="1145">
      <c r="B1145" s="23"/>
      <c r="C1145" s="23"/>
      <c r="D1145" s="23"/>
      <c r="E1145" s="23"/>
    </row>
    <row r="1146">
      <c r="B1146" s="23"/>
      <c r="C1146" s="23"/>
      <c r="D1146" s="23"/>
      <c r="E1146" s="23"/>
    </row>
    <row r="1147">
      <c r="B1147" s="23"/>
      <c r="C1147" s="23"/>
      <c r="D1147" s="23"/>
      <c r="E1147" s="23"/>
    </row>
    <row r="1148">
      <c r="B1148" s="23"/>
      <c r="C1148" s="23"/>
      <c r="D1148" s="23"/>
      <c r="E1148" s="23"/>
    </row>
    <row r="1149">
      <c r="B1149" s="23"/>
      <c r="C1149" s="23"/>
      <c r="D1149" s="23"/>
      <c r="E1149" s="23"/>
    </row>
    <row r="1150">
      <c r="B1150" s="23"/>
      <c r="C1150" s="23"/>
      <c r="D1150" s="23"/>
      <c r="E1150" s="23"/>
    </row>
    <row r="1151">
      <c r="B1151" s="23"/>
      <c r="C1151" s="23"/>
      <c r="D1151" s="23"/>
      <c r="E1151" s="23"/>
    </row>
    <row r="1152">
      <c r="B1152" s="23"/>
      <c r="C1152" s="23"/>
      <c r="D1152" s="23"/>
      <c r="E1152" s="23"/>
    </row>
    <row r="1153">
      <c r="B1153" s="23"/>
      <c r="C1153" s="23"/>
      <c r="D1153" s="23"/>
      <c r="E1153" s="23"/>
    </row>
    <row r="1154">
      <c r="B1154" s="23"/>
      <c r="C1154" s="23"/>
      <c r="D1154" s="23"/>
      <c r="E1154" s="23"/>
    </row>
    <row r="1155">
      <c r="B1155" s="23"/>
      <c r="C1155" s="23"/>
      <c r="D1155" s="23"/>
      <c r="E1155" s="23"/>
    </row>
    <row r="1156">
      <c r="B1156" s="23"/>
      <c r="C1156" s="23"/>
      <c r="D1156" s="23"/>
      <c r="E1156" s="23"/>
    </row>
    <row r="1157">
      <c r="B1157" s="23"/>
      <c r="C1157" s="23"/>
      <c r="D1157" s="23"/>
      <c r="E1157" s="23"/>
    </row>
    <row r="1158">
      <c r="B1158" s="23"/>
      <c r="C1158" s="23"/>
      <c r="D1158" s="23"/>
      <c r="E1158" s="23"/>
    </row>
    <row r="1159">
      <c r="B1159" s="23"/>
      <c r="C1159" s="23"/>
      <c r="D1159" s="23"/>
      <c r="E1159" s="23"/>
    </row>
    <row r="1160">
      <c r="B1160" s="23"/>
      <c r="C1160" s="23"/>
      <c r="D1160" s="23"/>
      <c r="E1160" s="23"/>
    </row>
    <row r="1161">
      <c r="B1161" s="23"/>
      <c r="C1161" s="23"/>
      <c r="D1161" s="23"/>
      <c r="E1161" s="23"/>
    </row>
    <row r="1162">
      <c r="B1162" s="23"/>
      <c r="C1162" s="23"/>
      <c r="D1162" s="23"/>
      <c r="E1162" s="23"/>
    </row>
    <row r="1163">
      <c r="B1163" s="23"/>
      <c r="C1163" s="23"/>
      <c r="D1163" s="23"/>
      <c r="E1163" s="23"/>
    </row>
    <row r="1164">
      <c r="B1164" s="23"/>
      <c r="C1164" s="23"/>
      <c r="D1164" s="23"/>
      <c r="E1164" s="23"/>
    </row>
    <row r="1165">
      <c r="B1165" s="23"/>
      <c r="C1165" s="23"/>
      <c r="D1165" s="23"/>
      <c r="E1165" s="23"/>
    </row>
    <row r="1166">
      <c r="B1166" s="23"/>
      <c r="C1166" s="23"/>
      <c r="D1166" s="23"/>
      <c r="E1166" s="23"/>
    </row>
    <row r="1167">
      <c r="B1167" s="23"/>
      <c r="C1167" s="23"/>
      <c r="D1167" s="23"/>
      <c r="E1167" s="23"/>
    </row>
    <row r="1168">
      <c r="B1168" s="23"/>
      <c r="C1168" s="23"/>
      <c r="D1168" s="23"/>
      <c r="E1168" s="23"/>
    </row>
    <row r="1169">
      <c r="B1169" s="23"/>
      <c r="C1169" s="23"/>
      <c r="D1169" s="23"/>
      <c r="E1169" s="23"/>
    </row>
    <row r="1170">
      <c r="B1170" s="23"/>
      <c r="C1170" s="23"/>
      <c r="D1170" s="23"/>
      <c r="E1170" s="23"/>
    </row>
    <row r="1171">
      <c r="B1171" s="23"/>
      <c r="C1171" s="23"/>
      <c r="D1171" s="23"/>
      <c r="E1171" s="23"/>
    </row>
    <row r="1172">
      <c r="B1172" s="23"/>
      <c r="C1172" s="23"/>
      <c r="D1172" s="23"/>
      <c r="E1172" s="23"/>
    </row>
    <row r="1173">
      <c r="B1173" s="23"/>
      <c r="C1173" s="23"/>
      <c r="D1173" s="23"/>
      <c r="E1173" s="23"/>
    </row>
    <row r="1174">
      <c r="B1174" s="23"/>
      <c r="C1174" s="23"/>
      <c r="D1174" s="23"/>
      <c r="E1174" s="23"/>
    </row>
    <row r="1175">
      <c r="B1175" s="23"/>
      <c r="C1175" s="23"/>
      <c r="D1175" s="23"/>
      <c r="E1175" s="23"/>
    </row>
    <row r="1176">
      <c r="B1176" s="23"/>
      <c r="C1176" s="23"/>
      <c r="D1176" s="23"/>
      <c r="E1176" s="23"/>
    </row>
    <row r="1177">
      <c r="B1177" s="23"/>
      <c r="C1177" s="23"/>
      <c r="D1177" s="23"/>
      <c r="E1177" s="23"/>
    </row>
    <row r="1178">
      <c r="B1178" s="23"/>
      <c r="C1178" s="23"/>
      <c r="D1178" s="23"/>
      <c r="E1178" s="23"/>
    </row>
    <row r="1179">
      <c r="B1179" s="23"/>
      <c r="C1179" s="23"/>
      <c r="D1179" s="23"/>
      <c r="E1179" s="23"/>
    </row>
    <row r="1180">
      <c r="B1180" s="23"/>
      <c r="C1180" s="23"/>
      <c r="D1180" s="23"/>
      <c r="E1180" s="23"/>
    </row>
    <row r="1181">
      <c r="B1181" s="23"/>
      <c r="C1181" s="23"/>
      <c r="D1181" s="23"/>
      <c r="E1181" s="23"/>
    </row>
    <row r="1182">
      <c r="B1182" s="23"/>
      <c r="C1182" s="23"/>
      <c r="D1182" s="23"/>
      <c r="E1182" s="23"/>
    </row>
    <row r="1183">
      <c r="B1183" s="23"/>
      <c r="C1183" s="23"/>
      <c r="D1183" s="23"/>
      <c r="E1183" s="23"/>
    </row>
    <row r="1184">
      <c r="B1184" s="23"/>
      <c r="C1184" s="23"/>
      <c r="D1184" s="23"/>
      <c r="E1184" s="23"/>
    </row>
    <row r="1185">
      <c r="B1185" s="23"/>
      <c r="C1185" s="23"/>
      <c r="D1185" s="23"/>
      <c r="E1185" s="23"/>
    </row>
    <row r="1186">
      <c r="B1186" s="23"/>
      <c r="C1186" s="23"/>
      <c r="D1186" s="23"/>
      <c r="E1186" s="23"/>
    </row>
    <row r="1187">
      <c r="B1187" s="23"/>
      <c r="C1187" s="23"/>
      <c r="D1187" s="23"/>
      <c r="E1187" s="23"/>
    </row>
    <row r="1188">
      <c r="B1188" s="23"/>
      <c r="C1188" s="23"/>
      <c r="D1188" s="23"/>
      <c r="E1188" s="23"/>
    </row>
    <row r="1189">
      <c r="B1189" s="23"/>
      <c r="C1189" s="23"/>
      <c r="D1189" s="23"/>
      <c r="E1189" s="23"/>
    </row>
    <row r="1190">
      <c r="B1190" s="23"/>
      <c r="C1190" s="23"/>
      <c r="D1190" s="23"/>
      <c r="E1190" s="23"/>
    </row>
    <row r="1191">
      <c r="B1191" s="23"/>
      <c r="C1191" s="23"/>
      <c r="D1191" s="23"/>
      <c r="E1191" s="23"/>
    </row>
    <row r="1192">
      <c r="B1192" s="23"/>
      <c r="C1192" s="23"/>
      <c r="D1192" s="23"/>
      <c r="E1192" s="23"/>
    </row>
    <row r="1193">
      <c r="B1193" s="23"/>
      <c r="C1193" s="23"/>
      <c r="D1193" s="23"/>
      <c r="E1193" s="23"/>
    </row>
    <row r="1194">
      <c r="B1194" s="23"/>
      <c r="C1194" s="23"/>
      <c r="D1194" s="23"/>
      <c r="E1194" s="23"/>
    </row>
    <row r="1195">
      <c r="B1195" s="23"/>
      <c r="C1195" s="23"/>
      <c r="D1195" s="23"/>
      <c r="E1195" s="23"/>
    </row>
    <row r="1196">
      <c r="B1196" s="23"/>
      <c r="C1196" s="23"/>
      <c r="D1196" s="23"/>
      <c r="E1196" s="23"/>
    </row>
    <row r="1197">
      <c r="B1197" s="23"/>
      <c r="C1197" s="23"/>
      <c r="D1197" s="23"/>
      <c r="E1197" s="23"/>
    </row>
    <row r="1198">
      <c r="B1198" s="23"/>
      <c r="C1198" s="23"/>
      <c r="D1198" s="23"/>
      <c r="E1198" s="23"/>
    </row>
    <row r="1199">
      <c r="B1199" s="23"/>
      <c r="C1199" s="23"/>
      <c r="D1199" s="23"/>
      <c r="E1199" s="23"/>
    </row>
    <row r="1200">
      <c r="B1200" s="23"/>
      <c r="C1200" s="23"/>
      <c r="D1200" s="23"/>
      <c r="E1200" s="23"/>
    </row>
    <row r="1201">
      <c r="B1201" s="23"/>
      <c r="C1201" s="23"/>
      <c r="D1201" s="23"/>
      <c r="E1201" s="23"/>
    </row>
    <row r="1202">
      <c r="B1202" s="23"/>
      <c r="C1202" s="23"/>
      <c r="D1202" s="23"/>
      <c r="E1202" s="23"/>
    </row>
    <row r="1203">
      <c r="B1203" s="23"/>
      <c r="C1203" s="23"/>
      <c r="D1203" s="23"/>
      <c r="E1203" s="23"/>
    </row>
    <row r="1204">
      <c r="B1204" s="23"/>
      <c r="C1204" s="23"/>
      <c r="D1204" s="23"/>
      <c r="E1204" s="23"/>
    </row>
    <row r="1205">
      <c r="B1205" s="23"/>
      <c r="C1205" s="23"/>
      <c r="D1205" s="23"/>
      <c r="E1205" s="23"/>
    </row>
    <row r="1206">
      <c r="B1206" s="23"/>
      <c r="C1206" s="23"/>
      <c r="D1206" s="23"/>
      <c r="E1206" s="23"/>
    </row>
    <row r="1207">
      <c r="B1207" s="23"/>
      <c r="C1207" s="23"/>
      <c r="D1207" s="23"/>
      <c r="E1207" s="23"/>
    </row>
    <row r="1208">
      <c r="B1208" s="23"/>
      <c r="C1208" s="23"/>
      <c r="D1208" s="23"/>
      <c r="E1208" s="23"/>
    </row>
    <row r="1209">
      <c r="B1209" s="23"/>
      <c r="C1209" s="23"/>
      <c r="D1209" s="23"/>
      <c r="E1209" s="23"/>
    </row>
    <row r="1210">
      <c r="B1210" s="23"/>
      <c r="C1210" s="23"/>
      <c r="D1210" s="23"/>
      <c r="E1210" s="23"/>
    </row>
    <row r="1211">
      <c r="B1211" s="23"/>
      <c r="C1211" s="23"/>
      <c r="D1211" s="23"/>
      <c r="E1211" s="23"/>
    </row>
    <row r="1212">
      <c r="B1212" s="23"/>
      <c r="C1212" s="23"/>
      <c r="D1212" s="23"/>
      <c r="E1212" s="23"/>
    </row>
    <row r="1213">
      <c r="B1213" s="23"/>
      <c r="C1213" s="23"/>
      <c r="D1213" s="23"/>
      <c r="E1213" s="23"/>
    </row>
    <row r="1214">
      <c r="B1214" s="23"/>
      <c r="C1214" s="23"/>
      <c r="D1214" s="23"/>
      <c r="E1214" s="23"/>
    </row>
    <row r="1215">
      <c r="B1215" s="23"/>
      <c r="C1215" s="23"/>
      <c r="D1215" s="23"/>
      <c r="E1215" s="23"/>
    </row>
    <row r="1216">
      <c r="B1216" s="23"/>
      <c r="C1216" s="23"/>
      <c r="D1216" s="23"/>
      <c r="E1216" s="23"/>
    </row>
    <row r="1217">
      <c r="B1217" s="23"/>
      <c r="C1217" s="23"/>
      <c r="D1217" s="23"/>
      <c r="E1217" s="23"/>
    </row>
    <row r="1218">
      <c r="B1218" s="23"/>
      <c r="C1218" s="23"/>
      <c r="D1218" s="23"/>
      <c r="E1218" s="23"/>
    </row>
    <row r="1219">
      <c r="B1219" s="23"/>
      <c r="C1219" s="23"/>
      <c r="D1219" s="23"/>
      <c r="E1219" s="23"/>
    </row>
    <row r="1220">
      <c r="B1220" s="23"/>
      <c r="C1220" s="23"/>
      <c r="D1220" s="23"/>
      <c r="E1220" s="23"/>
    </row>
    <row r="1221">
      <c r="B1221" s="23"/>
      <c r="C1221" s="23"/>
      <c r="D1221" s="23"/>
      <c r="E1221" s="23"/>
    </row>
    <row r="1222">
      <c r="B1222" s="23"/>
      <c r="C1222" s="23"/>
      <c r="D1222" s="23"/>
      <c r="E1222" s="23"/>
    </row>
    <row r="1223">
      <c r="B1223" s="23"/>
      <c r="C1223" s="23"/>
      <c r="D1223" s="23"/>
      <c r="E1223" s="23"/>
    </row>
    <row r="1224">
      <c r="B1224" s="23"/>
      <c r="C1224" s="23"/>
      <c r="D1224" s="23"/>
      <c r="E1224" s="23"/>
    </row>
    <row r="1225">
      <c r="B1225" s="23"/>
      <c r="C1225" s="23"/>
      <c r="D1225" s="23"/>
      <c r="E1225" s="23"/>
    </row>
    <row r="1226">
      <c r="B1226" s="23"/>
      <c r="C1226" s="23"/>
      <c r="D1226" s="23"/>
      <c r="E1226" s="23"/>
    </row>
    <row r="1227">
      <c r="B1227" s="23"/>
      <c r="C1227" s="23"/>
      <c r="D1227" s="23"/>
      <c r="E1227" s="23"/>
    </row>
    <row r="1228">
      <c r="B1228" s="23"/>
      <c r="C1228" s="23"/>
      <c r="D1228" s="23"/>
      <c r="E1228" s="23"/>
    </row>
    <row r="1229">
      <c r="B1229" s="23"/>
      <c r="C1229" s="23"/>
      <c r="D1229" s="23"/>
      <c r="E1229" s="23"/>
    </row>
    <row r="1230">
      <c r="B1230" s="23"/>
      <c r="C1230" s="23"/>
      <c r="D1230" s="23"/>
      <c r="E1230" s="23"/>
    </row>
    <row r="1231">
      <c r="B1231" s="23"/>
      <c r="C1231" s="23"/>
      <c r="D1231" s="23"/>
      <c r="E1231" s="23"/>
    </row>
    <row r="1232">
      <c r="B1232" s="23"/>
      <c r="C1232" s="23"/>
      <c r="D1232" s="23"/>
      <c r="E1232" s="23"/>
    </row>
    <row r="1233">
      <c r="B1233" s="23"/>
      <c r="C1233" s="23"/>
      <c r="D1233" s="23"/>
      <c r="E1233" s="23"/>
    </row>
    <row r="1234">
      <c r="B1234" s="23"/>
      <c r="C1234" s="23"/>
      <c r="D1234" s="23"/>
      <c r="E1234" s="23"/>
    </row>
    <row r="1235">
      <c r="B1235" s="23"/>
      <c r="C1235" s="23"/>
      <c r="D1235" s="23"/>
      <c r="E1235" s="23"/>
    </row>
    <row r="1236">
      <c r="B1236" s="23"/>
      <c r="C1236" s="23"/>
      <c r="D1236" s="23"/>
      <c r="E1236" s="23"/>
    </row>
    <row r="1237">
      <c r="B1237" s="23"/>
      <c r="C1237" s="23"/>
      <c r="D1237" s="23"/>
      <c r="E1237" s="23"/>
    </row>
    <row r="1238">
      <c r="B1238" s="23"/>
      <c r="C1238" s="23"/>
      <c r="D1238" s="23"/>
      <c r="E1238" s="23"/>
    </row>
    <row r="1239">
      <c r="B1239" s="23"/>
      <c r="C1239" s="23"/>
      <c r="D1239" s="23"/>
      <c r="E1239" s="23"/>
    </row>
    <row r="1240">
      <c r="B1240" s="23"/>
      <c r="C1240" s="23"/>
      <c r="D1240" s="23"/>
      <c r="E1240" s="23"/>
    </row>
    <row r="1241">
      <c r="B1241" s="23"/>
      <c r="C1241" s="23"/>
      <c r="D1241" s="23"/>
      <c r="E1241" s="23"/>
    </row>
    <row r="1242">
      <c r="B1242" s="23"/>
      <c r="C1242" s="23"/>
      <c r="D1242" s="23"/>
      <c r="E1242" s="23"/>
    </row>
    <row r="1243">
      <c r="B1243" s="23"/>
      <c r="C1243" s="23"/>
      <c r="D1243" s="23"/>
      <c r="E1243" s="23"/>
    </row>
    <row r="1244">
      <c r="B1244" s="23"/>
      <c r="C1244" s="23"/>
      <c r="D1244" s="23"/>
      <c r="E1244" s="23"/>
    </row>
    <row r="1245">
      <c r="B1245" s="23"/>
      <c r="C1245" s="23"/>
      <c r="D1245" s="23"/>
      <c r="E1245" s="23"/>
    </row>
    <row r="1246">
      <c r="B1246" s="23"/>
      <c r="C1246" s="23"/>
      <c r="D1246" s="23"/>
      <c r="E1246" s="23"/>
    </row>
    <row r="1247">
      <c r="B1247" s="23"/>
      <c r="C1247" s="23"/>
      <c r="D1247" s="23"/>
      <c r="E1247" s="23"/>
    </row>
    <row r="1248">
      <c r="B1248" s="23"/>
      <c r="C1248" s="23"/>
      <c r="D1248" s="23"/>
      <c r="E1248" s="23"/>
    </row>
    <row r="1249">
      <c r="B1249" s="23"/>
      <c r="C1249" s="23"/>
      <c r="D1249" s="23"/>
      <c r="E1249" s="23"/>
    </row>
    <row r="1250">
      <c r="B1250" s="23"/>
      <c r="C1250" s="23"/>
      <c r="D1250" s="23"/>
      <c r="E1250" s="23"/>
    </row>
    <row r="1251">
      <c r="B1251" s="23"/>
      <c r="C1251" s="23"/>
      <c r="D1251" s="23"/>
      <c r="E1251" s="23"/>
    </row>
    <row r="1252">
      <c r="B1252" s="23"/>
      <c r="C1252" s="23"/>
      <c r="D1252" s="23"/>
      <c r="E1252" s="23"/>
    </row>
    <row r="1253">
      <c r="B1253" s="23"/>
      <c r="C1253" s="23"/>
      <c r="D1253" s="23"/>
      <c r="E1253" s="23"/>
    </row>
    <row r="1254">
      <c r="B1254" s="23"/>
      <c r="C1254" s="23"/>
      <c r="D1254" s="23"/>
      <c r="E1254" s="23"/>
    </row>
    <row r="1255">
      <c r="B1255" s="23"/>
      <c r="C1255" s="23"/>
      <c r="D1255" s="23"/>
      <c r="E1255" s="23"/>
    </row>
    <row r="1256">
      <c r="B1256" s="23"/>
      <c r="C1256" s="23"/>
      <c r="D1256" s="23"/>
      <c r="E1256" s="23"/>
    </row>
    <row r="1257">
      <c r="B1257" s="23"/>
      <c r="C1257" s="23"/>
      <c r="D1257" s="23"/>
      <c r="E1257" s="23"/>
    </row>
    <row r="1258">
      <c r="B1258" s="23"/>
      <c r="C1258" s="23"/>
      <c r="D1258" s="23"/>
      <c r="E1258" s="23"/>
    </row>
    <row r="1259">
      <c r="B1259" s="23"/>
      <c r="C1259" s="23"/>
      <c r="D1259" s="23"/>
      <c r="E1259" s="23"/>
    </row>
    <row r="1260">
      <c r="B1260" s="23"/>
      <c r="C1260" s="23"/>
      <c r="D1260" s="23"/>
      <c r="E1260" s="23"/>
    </row>
    <row r="1261">
      <c r="B1261" s="23"/>
      <c r="C1261" s="23"/>
      <c r="D1261" s="23"/>
      <c r="E1261" s="23"/>
    </row>
    <row r="1262">
      <c r="B1262" s="23"/>
      <c r="C1262" s="23"/>
      <c r="D1262" s="23"/>
      <c r="E1262" s="23"/>
    </row>
    <row r="1263">
      <c r="B1263" s="23"/>
      <c r="C1263" s="23"/>
      <c r="D1263" s="23"/>
      <c r="E1263" s="23"/>
    </row>
    <row r="1264">
      <c r="B1264" s="23"/>
      <c r="C1264" s="23"/>
      <c r="D1264" s="23"/>
      <c r="E1264" s="23"/>
    </row>
    <row r="1265">
      <c r="B1265" s="23"/>
      <c r="C1265" s="23"/>
      <c r="D1265" s="23"/>
      <c r="E1265" s="23"/>
    </row>
    <row r="1266">
      <c r="B1266" s="23"/>
      <c r="C1266" s="23"/>
      <c r="D1266" s="23"/>
      <c r="E1266" s="23"/>
    </row>
    <row r="1267">
      <c r="B1267" s="23"/>
      <c r="C1267" s="23"/>
      <c r="D1267" s="23"/>
      <c r="E1267" s="23"/>
    </row>
    <row r="1268">
      <c r="B1268" s="23"/>
      <c r="C1268" s="23"/>
      <c r="D1268" s="23"/>
      <c r="E1268" s="23"/>
    </row>
    <row r="1269">
      <c r="B1269" s="23"/>
      <c r="C1269" s="23"/>
      <c r="D1269" s="23"/>
      <c r="E1269" s="23"/>
    </row>
    <row r="1270">
      <c r="B1270" s="23"/>
      <c r="C1270" s="23"/>
      <c r="D1270" s="23"/>
      <c r="E1270" s="23"/>
    </row>
    <row r="1271">
      <c r="B1271" s="23"/>
      <c r="C1271" s="23"/>
      <c r="D1271" s="23"/>
      <c r="E1271" s="23"/>
    </row>
    <row r="1272">
      <c r="B1272" s="23"/>
      <c r="C1272" s="23"/>
      <c r="D1272" s="23"/>
      <c r="E1272" s="23"/>
    </row>
    <row r="1273">
      <c r="B1273" s="23"/>
      <c r="C1273" s="23"/>
      <c r="D1273" s="23"/>
      <c r="E1273" s="23"/>
    </row>
    <row r="1274">
      <c r="B1274" s="23"/>
      <c r="C1274" s="23"/>
      <c r="D1274" s="23"/>
      <c r="E1274" s="23"/>
    </row>
    <row r="1275">
      <c r="B1275" s="23"/>
      <c r="C1275" s="23"/>
      <c r="D1275" s="23"/>
      <c r="E1275" s="23"/>
    </row>
    <row r="1276">
      <c r="B1276" s="23"/>
      <c r="C1276" s="23"/>
      <c r="D1276" s="23"/>
      <c r="E1276" s="23"/>
    </row>
    <row r="1277">
      <c r="B1277" s="23"/>
      <c r="C1277" s="23"/>
      <c r="D1277" s="23"/>
      <c r="E1277" s="23"/>
    </row>
    <row r="1278">
      <c r="B1278" s="23"/>
      <c r="C1278" s="23"/>
      <c r="D1278" s="23"/>
      <c r="E1278" s="23"/>
    </row>
    <row r="1279">
      <c r="B1279" s="23"/>
      <c r="C1279" s="23"/>
      <c r="D1279" s="23"/>
      <c r="E1279" s="23"/>
    </row>
    <row r="1280">
      <c r="B1280" s="23"/>
      <c r="C1280" s="23"/>
      <c r="D1280" s="23"/>
      <c r="E1280" s="23"/>
    </row>
    <row r="1281">
      <c r="B1281" s="23"/>
      <c r="C1281" s="23"/>
      <c r="D1281" s="23"/>
      <c r="E1281" s="23"/>
    </row>
    <row r="1282">
      <c r="B1282" s="23"/>
      <c r="C1282" s="23"/>
      <c r="D1282" s="23"/>
      <c r="E1282" s="23"/>
    </row>
    <row r="1283">
      <c r="B1283" s="23"/>
      <c r="C1283" s="23"/>
      <c r="D1283" s="23"/>
      <c r="E1283" s="23"/>
    </row>
    <row r="1284">
      <c r="B1284" s="23"/>
      <c r="C1284" s="23"/>
      <c r="D1284" s="23"/>
      <c r="E1284" s="23"/>
    </row>
    <row r="1285">
      <c r="B1285" s="23"/>
      <c r="C1285" s="23"/>
      <c r="D1285" s="23"/>
      <c r="E1285" s="23"/>
    </row>
    <row r="1286">
      <c r="B1286" s="23"/>
      <c r="C1286" s="23"/>
      <c r="D1286" s="23"/>
      <c r="E1286" s="23"/>
    </row>
    <row r="1287">
      <c r="B1287" s="23"/>
      <c r="C1287" s="23"/>
      <c r="D1287" s="23"/>
      <c r="E1287" s="23"/>
    </row>
    <row r="1288">
      <c r="B1288" s="23"/>
      <c r="C1288" s="23"/>
      <c r="D1288" s="23"/>
      <c r="E1288" s="23"/>
    </row>
    <row r="1289">
      <c r="B1289" s="23"/>
      <c r="C1289" s="23"/>
      <c r="D1289" s="23"/>
      <c r="E1289" s="23"/>
    </row>
    <row r="1290">
      <c r="B1290" s="23"/>
      <c r="C1290" s="23"/>
      <c r="D1290" s="23"/>
      <c r="E1290" s="23"/>
    </row>
    <row r="1291">
      <c r="B1291" s="23"/>
      <c r="C1291" s="23"/>
      <c r="D1291" s="23"/>
      <c r="E1291" s="23"/>
    </row>
    <row r="1292">
      <c r="B1292" s="23"/>
      <c r="C1292" s="23"/>
      <c r="D1292" s="23"/>
      <c r="E1292" s="23"/>
    </row>
    <row r="1293">
      <c r="B1293" s="23"/>
      <c r="C1293" s="23"/>
      <c r="D1293" s="23"/>
      <c r="E1293" s="23"/>
    </row>
    <row r="1294">
      <c r="B1294" s="23"/>
      <c r="C1294" s="23"/>
      <c r="D1294" s="23"/>
      <c r="E1294" s="23"/>
    </row>
    <row r="1295">
      <c r="B1295" s="23"/>
      <c r="C1295" s="23"/>
      <c r="D1295" s="23"/>
      <c r="E1295" s="23"/>
    </row>
    <row r="1296">
      <c r="B1296" s="23"/>
      <c r="C1296" s="23"/>
      <c r="D1296" s="23"/>
      <c r="E1296" s="23"/>
    </row>
    <row r="1297">
      <c r="B1297" s="23"/>
      <c r="C1297" s="23"/>
      <c r="D1297" s="23"/>
      <c r="E1297" s="23"/>
    </row>
    <row r="1298">
      <c r="B1298" s="23"/>
      <c r="C1298" s="23"/>
      <c r="D1298" s="23"/>
      <c r="E1298" s="23"/>
    </row>
    <row r="1299">
      <c r="B1299" s="23"/>
      <c r="C1299" s="23"/>
      <c r="D1299" s="23"/>
      <c r="E1299" s="23"/>
    </row>
    <row r="1300">
      <c r="B1300" s="23"/>
      <c r="C1300" s="23"/>
      <c r="D1300" s="23"/>
      <c r="E1300" s="23"/>
    </row>
    <row r="1301">
      <c r="B1301" s="23"/>
      <c r="C1301" s="23"/>
      <c r="D1301" s="23"/>
      <c r="E1301" s="23"/>
    </row>
    <row r="1302">
      <c r="B1302" s="23"/>
      <c r="C1302" s="23"/>
      <c r="D1302" s="23"/>
      <c r="E1302" s="23"/>
    </row>
    <row r="1303">
      <c r="B1303" s="23"/>
      <c r="C1303" s="23"/>
      <c r="D1303" s="23"/>
      <c r="E1303" s="23"/>
    </row>
    <row r="1304">
      <c r="B1304" s="23"/>
      <c r="C1304" s="23"/>
      <c r="D1304" s="23"/>
      <c r="E1304" s="23"/>
    </row>
    <row r="1305">
      <c r="B1305" s="23"/>
      <c r="C1305" s="23"/>
      <c r="D1305" s="23"/>
      <c r="E1305" s="23"/>
    </row>
    <row r="1306">
      <c r="B1306" s="23"/>
      <c r="C1306" s="23"/>
      <c r="D1306" s="23"/>
      <c r="E1306" s="23"/>
    </row>
    <row r="1307">
      <c r="B1307" s="23"/>
      <c r="C1307" s="23"/>
      <c r="D1307" s="23"/>
      <c r="E1307" s="23"/>
    </row>
    <row r="1308">
      <c r="B1308" s="23"/>
      <c r="C1308" s="23"/>
      <c r="D1308" s="23"/>
      <c r="E1308" s="23"/>
    </row>
    <row r="1309">
      <c r="B1309" s="23"/>
      <c r="C1309" s="23"/>
      <c r="D1309" s="23"/>
      <c r="E1309" s="23"/>
    </row>
    <row r="1310">
      <c r="B1310" s="23"/>
      <c r="C1310" s="23"/>
      <c r="D1310" s="23"/>
      <c r="E1310" s="23"/>
    </row>
    <row r="1311">
      <c r="B1311" s="23"/>
      <c r="C1311" s="23"/>
      <c r="D1311" s="23"/>
      <c r="E1311" s="23"/>
    </row>
    <row r="1312">
      <c r="B1312" s="23"/>
      <c r="C1312" s="23"/>
      <c r="D1312" s="23"/>
      <c r="E1312" s="23"/>
    </row>
    <row r="1313">
      <c r="B1313" s="23"/>
      <c r="C1313" s="23"/>
      <c r="D1313" s="23"/>
      <c r="E1313" s="23"/>
    </row>
    <row r="1314">
      <c r="B1314" s="23"/>
      <c r="C1314" s="23"/>
      <c r="D1314" s="23"/>
      <c r="E1314" s="23"/>
    </row>
    <row r="1315">
      <c r="B1315" s="23"/>
      <c r="C1315" s="23"/>
      <c r="D1315" s="23"/>
      <c r="E1315" s="23"/>
    </row>
    <row r="1316">
      <c r="B1316" s="23"/>
      <c r="C1316" s="23"/>
      <c r="D1316" s="23"/>
      <c r="E1316" s="23"/>
    </row>
    <row r="1317">
      <c r="B1317" s="23"/>
      <c r="C1317" s="23"/>
      <c r="D1317" s="23"/>
      <c r="E1317" s="23"/>
    </row>
    <row r="1318">
      <c r="B1318" s="23"/>
      <c r="C1318" s="23"/>
      <c r="D1318" s="23"/>
      <c r="E1318" s="23"/>
    </row>
    <row r="1319">
      <c r="B1319" s="23"/>
      <c r="C1319" s="23"/>
      <c r="D1319" s="23"/>
      <c r="E1319" s="23"/>
    </row>
    <row r="1320">
      <c r="B1320" s="23"/>
      <c r="C1320" s="23"/>
      <c r="D1320" s="23"/>
      <c r="E1320" s="23"/>
    </row>
    <row r="1321">
      <c r="B1321" s="23"/>
      <c r="C1321" s="23"/>
      <c r="D1321" s="23"/>
      <c r="E1321" s="23"/>
    </row>
    <row r="1322">
      <c r="B1322" s="23"/>
      <c r="C1322" s="23"/>
      <c r="D1322" s="23"/>
      <c r="E1322" s="23"/>
    </row>
    <row r="1323">
      <c r="B1323" s="23"/>
      <c r="C1323" s="23"/>
      <c r="D1323" s="23"/>
      <c r="E1323" s="23"/>
    </row>
    <row r="1324">
      <c r="B1324" s="23"/>
      <c r="C1324" s="23"/>
      <c r="D1324" s="23"/>
      <c r="E1324" s="23"/>
    </row>
    <row r="1325">
      <c r="B1325" s="23"/>
      <c r="C1325" s="23"/>
      <c r="D1325" s="23"/>
      <c r="E1325" s="23"/>
    </row>
    <row r="1326">
      <c r="B1326" s="23"/>
      <c r="C1326" s="23"/>
      <c r="D1326" s="23"/>
      <c r="E1326" s="23"/>
    </row>
    <row r="1327">
      <c r="B1327" s="23"/>
      <c r="C1327" s="23"/>
      <c r="D1327" s="23"/>
      <c r="E1327" s="23"/>
    </row>
    <row r="1328">
      <c r="B1328" s="23"/>
      <c r="C1328" s="23"/>
      <c r="D1328" s="23"/>
      <c r="E1328" s="23"/>
    </row>
    <row r="1329">
      <c r="B1329" s="23"/>
      <c r="C1329" s="23"/>
      <c r="D1329" s="23"/>
      <c r="E1329" s="23"/>
    </row>
    <row r="1330">
      <c r="B1330" s="23"/>
      <c r="C1330" s="23"/>
      <c r="D1330" s="23"/>
      <c r="E1330" s="23"/>
    </row>
    <row r="1331">
      <c r="B1331" s="23"/>
      <c r="C1331" s="23"/>
      <c r="D1331" s="23"/>
      <c r="E1331" s="23"/>
    </row>
    <row r="1332">
      <c r="B1332" s="23"/>
      <c r="C1332" s="23"/>
      <c r="D1332" s="23"/>
      <c r="E1332" s="23"/>
    </row>
    <row r="1333">
      <c r="B1333" s="23"/>
      <c r="C1333" s="23"/>
      <c r="D1333" s="23"/>
      <c r="E1333" s="23"/>
    </row>
    <row r="1334">
      <c r="B1334" s="23"/>
      <c r="C1334" s="23"/>
      <c r="D1334" s="23"/>
      <c r="E1334" s="23"/>
    </row>
    <row r="1335">
      <c r="B1335" s="23"/>
      <c r="C1335" s="23"/>
      <c r="D1335" s="23"/>
      <c r="E1335" s="23"/>
    </row>
    <row r="1336">
      <c r="B1336" s="23"/>
      <c r="C1336" s="23"/>
      <c r="D1336" s="23"/>
      <c r="E1336" s="23"/>
    </row>
    <row r="1337">
      <c r="B1337" s="23"/>
      <c r="C1337" s="23"/>
      <c r="D1337" s="23"/>
      <c r="E1337" s="23"/>
    </row>
    <row r="1338">
      <c r="B1338" s="23"/>
      <c r="C1338" s="23"/>
      <c r="D1338" s="23"/>
      <c r="E1338" s="23"/>
    </row>
    <row r="1339">
      <c r="B1339" s="23"/>
      <c r="C1339" s="23"/>
      <c r="D1339" s="23"/>
      <c r="E1339" s="23"/>
    </row>
    <row r="1340">
      <c r="B1340" s="23"/>
      <c r="C1340" s="23"/>
      <c r="D1340" s="23"/>
      <c r="E1340" s="23"/>
    </row>
    <row r="1341">
      <c r="B1341" s="23"/>
      <c r="C1341" s="23"/>
      <c r="D1341" s="23"/>
      <c r="E1341" s="23"/>
    </row>
    <row r="1342">
      <c r="B1342" s="23"/>
      <c r="C1342" s="23"/>
      <c r="D1342" s="23"/>
      <c r="E1342" s="23"/>
    </row>
    <row r="1343">
      <c r="B1343" s="23"/>
      <c r="C1343" s="23"/>
      <c r="D1343" s="23"/>
      <c r="E1343" s="23"/>
    </row>
    <row r="1344">
      <c r="B1344" s="23"/>
      <c r="C1344" s="23"/>
      <c r="D1344" s="23"/>
      <c r="E1344" s="23"/>
    </row>
    <row r="1345">
      <c r="B1345" s="23"/>
      <c r="C1345" s="23"/>
      <c r="D1345" s="23"/>
      <c r="E1345" s="23"/>
    </row>
    <row r="1346">
      <c r="B1346" s="23"/>
      <c r="C1346" s="23"/>
      <c r="D1346" s="23"/>
      <c r="E1346" s="23"/>
    </row>
    <row r="1347">
      <c r="B1347" s="23"/>
      <c r="C1347" s="23"/>
      <c r="D1347" s="23"/>
      <c r="E1347" s="23"/>
    </row>
    <row r="1348">
      <c r="B1348" s="23"/>
      <c r="C1348" s="23"/>
      <c r="D1348" s="23"/>
      <c r="E1348" s="23"/>
    </row>
    <row r="1349">
      <c r="B1349" s="23"/>
      <c r="C1349" s="23"/>
      <c r="D1349" s="23"/>
      <c r="E1349" s="23"/>
    </row>
    <row r="1350">
      <c r="B1350" s="23"/>
      <c r="C1350" s="23"/>
      <c r="D1350" s="23"/>
      <c r="E1350" s="23"/>
    </row>
    <row r="1351">
      <c r="B1351" s="23"/>
      <c r="C1351" s="23"/>
      <c r="D1351" s="23"/>
      <c r="E1351" s="23"/>
    </row>
    <row r="1352">
      <c r="B1352" s="23"/>
      <c r="C1352" s="23"/>
      <c r="D1352" s="23"/>
      <c r="E1352" s="23"/>
    </row>
    <row r="1353">
      <c r="B1353" s="23"/>
      <c r="C1353" s="23"/>
      <c r="D1353" s="23"/>
      <c r="E1353" s="23"/>
    </row>
    <row r="1354">
      <c r="B1354" s="23"/>
      <c r="C1354" s="23"/>
      <c r="D1354" s="23"/>
      <c r="E1354" s="23"/>
    </row>
    <row r="1355">
      <c r="B1355" s="23"/>
      <c r="C1355" s="23"/>
      <c r="D1355" s="23"/>
      <c r="E1355" s="23"/>
    </row>
    <row r="1356">
      <c r="B1356" s="23"/>
      <c r="C1356" s="23"/>
      <c r="D1356" s="23"/>
      <c r="E1356" s="23"/>
    </row>
    <row r="1357">
      <c r="B1357" s="23"/>
      <c r="C1357" s="23"/>
      <c r="D1357" s="23"/>
      <c r="E1357" s="23"/>
    </row>
    <row r="1358">
      <c r="B1358" s="23"/>
      <c r="C1358" s="23"/>
      <c r="D1358" s="23"/>
      <c r="E1358" s="23"/>
    </row>
    <row r="1359">
      <c r="B1359" s="23"/>
      <c r="C1359" s="23"/>
      <c r="D1359" s="23"/>
      <c r="E1359" s="23"/>
    </row>
    <row r="1360">
      <c r="B1360" s="23"/>
      <c r="C1360" s="23"/>
      <c r="D1360" s="23"/>
      <c r="E1360" s="23"/>
    </row>
    <row r="1361">
      <c r="B1361" s="23"/>
      <c r="C1361" s="23"/>
      <c r="D1361" s="23"/>
      <c r="E1361" s="23"/>
    </row>
    <row r="1362">
      <c r="B1362" s="23"/>
      <c r="C1362" s="23"/>
      <c r="D1362" s="23"/>
      <c r="E1362" s="23"/>
    </row>
    <row r="1363">
      <c r="B1363" s="23"/>
      <c r="C1363" s="23"/>
      <c r="D1363" s="23"/>
      <c r="E1363" s="23"/>
    </row>
    <row r="1364">
      <c r="B1364" s="23"/>
      <c r="C1364" s="23"/>
      <c r="D1364" s="23"/>
      <c r="E1364" s="23"/>
    </row>
    <row r="1365">
      <c r="B1365" s="23"/>
      <c r="C1365" s="23"/>
      <c r="D1365" s="23"/>
      <c r="E1365" s="23"/>
    </row>
    <row r="1366">
      <c r="B1366" s="23"/>
      <c r="C1366" s="23"/>
      <c r="D1366" s="23"/>
      <c r="E1366" s="23"/>
    </row>
    <row r="1367">
      <c r="B1367" s="23"/>
      <c r="C1367" s="23"/>
      <c r="D1367" s="23"/>
      <c r="E1367" s="23"/>
    </row>
    <row r="1368">
      <c r="B1368" s="23"/>
      <c r="C1368" s="23"/>
      <c r="D1368" s="23"/>
      <c r="E1368" s="23"/>
    </row>
    <row r="1369">
      <c r="B1369" s="23"/>
      <c r="C1369" s="23"/>
      <c r="D1369" s="23"/>
      <c r="E1369" s="23"/>
    </row>
    <row r="1370">
      <c r="B1370" s="23"/>
      <c r="C1370" s="23"/>
      <c r="D1370" s="23"/>
      <c r="E1370" s="23"/>
    </row>
    <row r="1371">
      <c r="B1371" s="23"/>
      <c r="C1371" s="23"/>
      <c r="D1371" s="23"/>
      <c r="E1371" s="23"/>
    </row>
    <row r="1372">
      <c r="B1372" s="23"/>
      <c r="C1372" s="23"/>
      <c r="D1372" s="23"/>
      <c r="E1372" s="23"/>
    </row>
    <row r="1373">
      <c r="B1373" s="23"/>
      <c r="C1373" s="23"/>
      <c r="D1373" s="23"/>
      <c r="E1373" s="23"/>
    </row>
    <row r="1374">
      <c r="B1374" s="23"/>
      <c r="C1374" s="23"/>
      <c r="D1374" s="23"/>
      <c r="E1374" s="23"/>
    </row>
    <row r="1375">
      <c r="B1375" s="23"/>
      <c r="C1375" s="23"/>
      <c r="D1375" s="23"/>
      <c r="E1375" s="23"/>
    </row>
    <row r="1376">
      <c r="B1376" s="23"/>
      <c r="C1376" s="23"/>
      <c r="D1376" s="23"/>
      <c r="E1376" s="23"/>
    </row>
    <row r="1377">
      <c r="B1377" s="23"/>
      <c r="C1377" s="23"/>
      <c r="D1377" s="23"/>
      <c r="E1377" s="23"/>
    </row>
    <row r="1378">
      <c r="B1378" s="23"/>
      <c r="C1378" s="23"/>
      <c r="D1378" s="23"/>
      <c r="E1378" s="23"/>
    </row>
    <row r="1379">
      <c r="B1379" s="23"/>
      <c r="C1379" s="23"/>
      <c r="D1379" s="23"/>
      <c r="E1379" s="23"/>
    </row>
    <row r="1380">
      <c r="B1380" s="23"/>
      <c r="C1380" s="23"/>
      <c r="D1380" s="23"/>
      <c r="E1380" s="23"/>
    </row>
    <row r="1381">
      <c r="B1381" s="23"/>
      <c r="C1381" s="23"/>
      <c r="D1381" s="23"/>
      <c r="E1381" s="23"/>
    </row>
    <row r="1382">
      <c r="B1382" s="23"/>
      <c r="C1382" s="23"/>
      <c r="D1382" s="23"/>
      <c r="E1382" s="23"/>
    </row>
    <row r="1383">
      <c r="B1383" s="23"/>
      <c r="C1383" s="23"/>
      <c r="D1383" s="23"/>
      <c r="E1383" s="23"/>
    </row>
    <row r="1384">
      <c r="B1384" s="23"/>
      <c r="C1384" s="23"/>
      <c r="D1384" s="23"/>
      <c r="E1384" s="23"/>
    </row>
    <row r="1385">
      <c r="B1385" s="23"/>
      <c r="C1385" s="23"/>
      <c r="D1385" s="23"/>
      <c r="E1385" s="23"/>
    </row>
    <row r="1386">
      <c r="B1386" s="23"/>
      <c r="C1386" s="23"/>
      <c r="D1386" s="23"/>
      <c r="E1386" s="23"/>
    </row>
    <row r="1387">
      <c r="B1387" s="23"/>
      <c r="C1387" s="23"/>
      <c r="D1387" s="23"/>
      <c r="E1387" s="23"/>
    </row>
    <row r="1388">
      <c r="B1388" s="23"/>
      <c r="C1388" s="23"/>
      <c r="D1388" s="23"/>
      <c r="E1388" s="23"/>
    </row>
    <row r="1389">
      <c r="B1389" s="23"/>
      <c r="C1389" s="23"/>
      <c r="D1389" s="23"/>
      <c r="E1389" s="23"/>
    </row>
    <row r="1390">
      <c r="B1390" s="23"/>
      <c r="C1390" s="23"/>
      <c r="D1390" s="23"/>
      <c r="E1390" s="23"/>
    </row>
    <row r="1391">
      <c r="B1391" s="23"/>
      <c r="C1391" s="23"/>
      <c r="D1391" s="23"/>
      <c r="E1391" s="23"/>
    </row>
    <row r="1392">
      <c r="B1392" s="23"/>
      <c r="C1392" s="23"/>
      <c r="D1392" s="23"/>
      <c r="E1392" s="23"/>
    </row>
    <row r="1393">
      <c r="B1393" s="23"/>
      <c r="C1393" s="23"/>
      <c r="D1393" s="23"/>
      <c r="E1393" s="23"/>
    </row>
    <row r="1394">
      <c r="B1394" s="23"/>
      <c r="C1394" s="23"/>
      <c r="D1394" s="23"/>
      <c r="E1394" s="23"/>
    </row>
    <row r="1395">
      <c r="B1395" s="23"/>
      <c r="C1395" s="23"/>
      <c r="D1395" s="23"/>
      <c r="E1395" s="23"/>
    </row>
    <row r="1396">
      <c r="B1396" s="23"/>
      <c r="C1396" s="23"/>
      <c r="D1396" s="23"/>
      <c r="E1396" s="23"/>
    </row>
    <row r="1397">
      <c r="B1397" s="23"/>
      <c r="C1397" s="23"/>
      <c r="D1397" s="23"/>
      <c r="E1397" s="23"/>
    </row>
    <row r="1398">
      <c r="B1398" s="23"/>
      <c r="C1398" s="23"/>
      <c r="D1398" s="23"/>
      <c r="E1398" s="23"/>
    </row>
    <row r="1399">
      <c r="B1399" s="23"/>
      <c r="C1399" s="23"/>
      <c r="D1399" s="23"/>
      <c r="E1399" s="23"/>
    </row>
    <row r="1400">
      <c r="B1400" s="23"/>
      <c r="C1400" s="23"/>
      <c r="D1400" s="23"/>
      <c r="E1400" s="23"/>
    </row>
    <row r="1401">
      <c r="B1401" s="23"/>
      <c r="C1401" s="23"/>
      <c r="D1401" s="23"/>
      <c r="E1401" s="23"/>
    </row>
    <row r="1402">
      <c r="B1402" s="23"/>
      <c r="C1402" s="23"/>
      <c r="D1402" s="23"/>
      <c r="E1402" s="23"/>
    </row>
    <row r="1403">
      <c r="B1403" s="23"/>
      <c r="C1403" s="23"/>
      <c r="D1403" s="23"/>
      <c r="E1403" s="23"/>
    </row>
    <row r="1404">
      <c r="B1404" s="23"/>
      <c r="C1404" s="23"/>
      <c r="D1404" s="23"/>
      <c r="E1404" s="23"/>
    </row>
    <row r="1405">
      <c r="B1405" s="23"/>
      <c r="C1405" s="23"/>
      <c r="D1405" s="23"/>
      <c r="E1405" s="23"/>
    </row>
    <row r="1406">
      <c r="B1406" s="23"/>
      <c r="C1406" s="23"/>
      <c r="D1406" s="23"/>
      <c r="E1406" s="23"/>
    </row>
    <row r="1407">
      <c r="B1407" s="23"/>
      <c r="C1407" s="23"/>
      <c r="D1407" s="23"/>
      <c r="E1407" s="23"/>
    </row>
    <row r="1408">
      <c r="B1408" s="23"/>
      <c r="C1408" s="23"/>
      <c r="D1408" s="23"/>
      <c r="E1408" s="23"/>
    </row>
    <row r="1409">
      <c r="B1409" s="23"/>
      <c r="C1409" s="23"/>
      <c r="D1409" s="23"/>
      <c r="E1409" s="23"/>
    </row>
    <row r="1410">
      <c r="B1410" s="23"/>
      <c r="C1410" s="23"/>
      <c r="D1410" s="23"/>
      <c r="E1410" s="23"/>
    </row>
    <row r="1411">
      <c r="B1411" s="23"/>
      <c r="C1411" s="23"/>
      <c r="D1411" s="23"/>
      <c r="E1411" s="23"/>
    </row>
    <row r="1412">
      <c r="B1412" s="23"/>
      <c r="C1412" s="23"/>
      <c r="D1412" s="23"/>
      <c r="E1412" s="23"/>
    </row>
    <row r="1413">
      <c r="B1413" s="23"/>
      <c r="C1413" s="23"/>
      <c r="D1413" s="23"/>
      <c r="E1413" s="23"/>
    </row>
    <row r="1414">
      <c r="B1414" s="23"/>
      <c r="C1414" s="23"/>
      <c r="D1414" s="23"/>
      <c r="E1414" s="23"/>
    </row>
    <row r="1415">
      <c r="B1415" s="23"/>
      <c r="C1415" s="23"/>
      <c r="D1415" s="23"/>
      <c r="E1415" s="23"/>
    </row>
    <row r="1416">
      <c r="B1416" s="23"/>
      <c r="C1416" s="23"/>
      <c r="D1416" s="23"/>
      <c r="E1416" s="23"/>
    </row>
    <row r="1417">
      <c r="B1417" s="23"/>
      <c r="C1417" s="23"/>
      <c r="D1417" s="23"/>
      <c r="E1417" s="23"/>
    </row>
    <row r="1418">
      <c r="B1418" s="23"/>
      <c r="C1418" s="23"/>
      <c r="D1418" s="23"/>
      <c r="E1418" s="23"/>
    </row>
    <row r="1419">
      <c r="B1419" s="23"/>
      <c r="C1419" s="23"/>
      <c r="D1419" s="23"/>
      <c r="E1419" s="23"/>
    </row>
    <row r="1420">
      <c r="B1420" s="23"/>
      <c r="C1420" s="23"/>
      <c r="D1420" s="23"/>
      <c r="E1420" s="23"/>
    </row>
    <row r="1421">
      <c r="B1421" s="23"/>
      <c r="C1421" s="23"/>
      <c r="D1421" s="23"/>
      <c r="E1421" s="23"/>
    </row>
    <row r="1422">
      <c r="B1422" s="23"/>
      <c r="C1422" s="23"/>
      <c r="D1422" s="23"/>
      <c r="E1422" s="23"/>
    </row>
    <row r="1423">
      <c r="B1423" s="23"/>
      <c r="C1423" s="23"/>
      <c r="D1423" s="23"/>
      <c r="E1423" s="23"/>
    </row>
    <row r="1424">
      <c r="B1424" s="23"/>
      <c r="C1424" s="23"/>
      <c r="D1424" s="23"/>
      <c r="E1424" s="23"/>
    </row>
    <row r="1425">
      <c r="B1425" s="23"/>
      <c r="C1425" s="23"/>
      <c r="D1425" s="23"/>
      <c r="E1425" s="23"/>
    </row>
    <row r="1426">
      <c r="B1426" s="23"/>
      <c r="C1426" s="23"/>
      <c r="D1426" s="23"/>
      <c r="E1426" s="23"/>
    </row>
    <row r="1427">
      <c r="B1427" s="23"/>
      <c r="C1427" s="23"/>
      <c r="D1427" s="23"/>
      <c r="E1427" s="23"/>
    </row>
    <row r="1428">
      <c r="B1428" s="23"/>
      <c r="C1428" s="23"/>
      <c r="D1428" s="23"/>
      <c r="E1428" s="23"/>
    </row>
    <row r="1429">
      <c r="B1429" s="23"/>
      <c r="C1429" s="23"/>
      <c r="D1429" s="23"/>
      <c r="E1429" s="23"/>
    </row>
    <row r="1430">
      <c r="B1430" s="23"/>
      <c r="C1430" s="23"/>
      <c r="D1430" s="23"/>
      <c r="E1430" s="23"/>
    </row>
    <row r="1431">
      <c r="B1431" s="23"/>
      <c r="C1431" s="23"/>
      <c r="D1431" s="23"/>
      <c r="E1431" s="23"/>
    </row>
    <row r="1432">
      <c r="B1432" s="23"/>
      <c r="C1432" s="23"/>
      <c r="D1432" s="23"/>
      <c r="E1432" s="23"/>
    </row>
    <row r="1433">
      <c r="B1433" s="23"/>
      <c r="C1433" s="23"/>
      <c r="D1433" s="23"/>
      <c r="E1433" s="23"/>
    </row>
    <row r="1434">
      <c r="B1434" s="23"/>
      <c r="C1434" s="23"/>
      <c r="D1434" s="23"/>
      <c r="E1434" s="23"/>
    </row>
    <row r="1435">
      <c r="B1435" s="23"/>
      <c r="C1435" s="23"/>
      <c r="D1435" s="23"/>
      <c r="E1435" s="23"/>
    </row>
    <row r="1436">
      <c r="B1436" s="23"/>
      <c r="C1436" s="23"/>
      <c r="D1436" s="23"/>
      <c r="E1436" s="23"/>
    </row>
    <row r="1437">
      <c r="B1437" s="23"/>
      <c r="C1437" s="23"/>
      <c r="D1437" s="23"/>
      <c r="E1437" s="23"/>
    </row>
    <row r="1438">
      <c r="B1438" s="23"/>
      <c r="C1438" s="23"/>
      <c r="D1438" s="23"/>
      <c r="E1438" s="23"/>
    </row>
    <row r="1439">
      <c r="B1439" s="23"/>
      <c r="C1439" s="23"/>
      <c r="D1439" s="23"/>
      <c r="E1439" s="23"/>
    </row>
    <row r="1440">
      <c r="B1440" s="23"/>
      <c r="C1440" s="23"/>
      <c r="D1440" s="23"/>
      <c r="E1440" s="23"/>
    </row>
    <row r="1441">
      <c r="B1441" s="23"/>
      <c r="C1441" s="23"/>
      <c r="D1441" s="23"/>
      <c r="E1441" s="23"/>
    </row>
    <row r="1442">
      <c r="B1442" s="23"/>
      <c r="C1442" s="23"/>
      <c r="D1442" s="23"/>
      <c r="E1442" s="23"/>
    </row>
    <row r="1443">
      <c r="B1443" s="23"/>
      <c r="C1443" s="23"/>
      <c r="D1443" s="23"/>
      <c r="E1443" s="23"/>
    </row>
    <row r="1444">
      <c r="B1444" s="23"/>
      <c r="C1444" s="23"/>
      <c r="D1444" s="23"/>
      <c r="E1444" s="23"/>
    </row>
    <row r="1445">
      <c r="B1445" s="23"/>
      <c r="C1445" s="23"/>
      <c r="D1445" s="23"/>
      <c r="E1445" s="23"/>
    </row>
    <row r="1446">
      <c r="B1446" s="23"/>
      <c r="C1446" s="23"/>
      <c r="D1446" s="23"/>
      <c r="E1446" s="23"/>
    </row>
    <row r="1447">
      <c r="B1447" s="23"/>
      <c r="C1447" s="23"/>
      <c r="D1447" s="23"/>
      <c r="E1447" s="23"/>
    </row>
    <row r="1448">
      <c r="B1448" s="23"/>
      <c r="C1448" s="23"/>
      <c r="D1448" s="23"/>
      <c r="E1448" s="23"/>
    </row>
    <row r="1449">
      <c r="B1449" s="23"/>
      <c r="C1449" s="23"/>
      <c r="D1449" s="23"/>
      <c r="E1449" s="23"/>
    </row>
    <row r="1450">
      <c r="B1450" s="23"/>
      <c r="C1450" s="23"/>
      <c r="D1450" s="23"/>
      <c r="E1450" s="23"/>
    </row>
    <row r="1451">
      <c r="B1451" s="23"/>
      <c r="C1451" s="23"/>
      <c r="D1451" s="23"/>
      <c r="E1451" s="23"/>
    </row>
    <row r="1452">
      <c r="B1452" s="23"/>
      <c r="C1452" s="23"/>
      <c r="D1452" s="23"/>
      <c r="E1452" s="23"/>
    </row>
    <row r="1453">
      <c r="B1453" s="23"/>
      <c r="C1453" s="23"/>
      <c r="D1453" s="23"/>
      <c r="E1453" s="23"/>
    </row>
    <row r="1454">
      <c r="B1454" s="23"/>
      <c r="C1454" s="23"/>
      <c r="D1454" s="23"/>
      <c r="E1454" s="23"/>
    </row>
    <row r="1455">
      <c r="B1455" s="23"/>
      <c r="C1455" s="23"/>
      <c r="D1455" s="23"/>
      <c r="E1455" s="23"/>
    </row>
    <row r="1456">
      <c r="B1456" s="23"/>
      <c r="C1456" s="23"/>
      <c r="D1456" s="23"/>
      <c r="E1456" s="23"/>
    </row>
    <row r="1457">
      <c r="B1457" s="23"/>
      <c r="C1457" s="23"/>
      <c r="D1457" s="23"/>
      <c r="E1457" s="23"/>
    </row>
    <row r="1458">
      <c r="B1458" s="23"/>
      <c r="C1458" s="23"/>
      <c r="D1458" s="23"/>
      <c r="E1458" s="23"/>
    </row>
    <row r="1459">
      <c r="B1459" s="23"/>
      <c r="C1459" s="23"/>
      <c r="D1459" s="23"/>
      <c r="E1459" s="23"/>
    </row>
    <row r="1460">
      <c r="B1460" s="23"/>
      <c r="C1460" s="23"/>
      <c r="D1460" s="23"/>
      <c r="E1460" s="23"/>
    </row>
    <row r="1461">
      <c r="B1461" s="23"/>
      <c r="C1461" s="23"/>
      <c r="D1461" s="23"/>
      <c r="E1461" s="23"/>
    </row>
    <row r="1462">
      <c r="B1462" s="23"/>
      <c r="C1462" s="23"/>
      <c r="D1462" s="23"/>
      <c r="E1462" s="23"/>
    </row>
    <row r="1463">
      <c r="B1463" s="23"/>
      <c r="C1463" s="23"/>
      <c r="D1463" s="23"/>
      <c r="E1463" s="23"/>
    </row>
    <row r="1464">
      <c r="B1464" s="23"/>
      <c r="C1464" s="23"/>
      <c r="D1464" s="23"/>
      <c r="E1464" s="23"/>
    </row>
    <row r="1465">
      <c r="B1465" s="23"/>
      <c r="C1465" s="23"/>
      <c r="D1465" s="23"/>
      <c r="E1465" s="23"/>
    </row>
    <row r="1466">
      <c r="B1466" s="23"/>
      <c r="C1466" s="23"/>
      <c r="D1466" s="23"/>
      <c r="E1466" s="23"/>
    </row>
    <row r="1467">
      <c r="B1467" s="23"/>
      <c r="C1467" s="23"/>
      <c r="D1467" s="23"/>
      <c r="E1467" s="23"/>
    </row>
    <row r="1468">
      <c r="B1468" s="23"/>
      <c r="C1468" s="23"/>
      <c r="D1468" s="23"/>
      <c r="E1468" s="23"/>
    </row>
    <row r="1469">
      <c r="B1469" s="23"/>
      <c r="C1469" s="23"/>
      <c r="D1469" s="23"/>
      <c r="E1469" s="23"/>
    </row>
    <row r="1470">
      <c r="B1470" s="23"/>
      <c r="C1470" s="23"/>
      <c r="D1470" s="23"/>
      <c r="E1470" s="23"/>
    </row>
    <row r="1471">
      <c r="B1471" s="23"/>
      <c r="C1471" s="23"/>
      <c r="D1471" s="23"/>
      <c r="E1471" s="23"/>
    </row>
    <row r="1472">
      <c r="B1472" s="23"/>
      <c r="C1472" s="23"/>
      <c r="D1472" s="23"/>
      <c r="E1472" s="23"/>
    </row>
    <row r="1473">
      <c r="B1473" s="23"/>
      <c r="C1473" s="23"/>
      <c r="D1473" s="23"/>
      <c r="E1473" s="23"/>
    </row>
    <row r="1474">
      <c r="B1474" s="23"/>
      <c r="C1474" s="23"/>
      <c r="D1474" s="23"/>
      <c r="E1474" s="23"/>
    </row>
    <row r="1475">
      <c r="B1475" s="23"/>
      <c r="C1475" s="23"/>
      <c r="D1475" s="23"/>
      <c r="E1475" s="23"/>
    </row>
    <row r="1476">
      <c r="B1476" s="23"/>
      <c r="C1476" s="23"/>
      <c r="D1476" s="23"/>
      <c r="E1476" s="23"/>
    </row>
    <row r="1477">
      <c r="B1477" s="23"/>
      <c r="C1477" s="23"/>
      <c r="D1477" s="23"/>
      <c r="E1477" s="23"/>
    </row>
    <row r="1478">
      <c r="B1478" s="23"/>
      <c r="C1478" s="23"/>
      <c r="D1478" s="23"/>
      <c r="E1478" s="23"/>
    </row>
    <row r="1479">
      <c r="B1479" s="23"/>
      <c r="C1479" s="23"/>
      <c r="D1479" s="23"/>
      <c r="E1479" s="23"/>
    </row>
    <row r="1480">
      <c r="B1480" s="23"/>
      <c r="C1480" s="23"/>
      <c r="D1480" s="23"/>
      <c r="E1480" s="23"/>
    </row>
    <row r="1481">
      <c r="B1481" s="23"/>
      <c r="C1481" s="23"/>
      <c r="D1481" s="23"/>
      <c r="E1481" s="23"/>
    </row>
    <row r="1482">
      <c r="B1482" s="23"/>
      <c r="C1482" s="23"/>
      <c r="D1482" s="23"/>
      <c r="E1482" s="23"/>
    </row>
    <row r="1483">
      <c r="B1483" s="23"/>
      <c r="C1483" s="23"/>
      <c r="D1483" s="23"/>
      <c r="E1483" s="23"/>
    </row>
    <row r="1484">
      <c r="B1484" s="23"/>
      <c r="C1484" s="23"/>
      <c r="D1484" s="23"/>
      <c r="E1484" s="23"/>
    </row>
    <row r="1485">
      <c r="B1485" s="23"/>
      <c r="C1485" s="23"/>
      <c r="D1485" s="23"/>
      <c r="E1485" s="23"/>
    </row>
    <row r="1486">
      <c r="B1486" s="23"/>
      <c r="C1486" s="23"/>
      <c r="D1486" s="23"/>
      <c r="E1486" s="23"/>
    </row>
    <row r="1487">
      <c r="B1487" s="23"/>
      <c r="C1487" s="23"/>
      <c r="D1487" s="23"/>
      <c r="E1487" s="23"/>
    </row>
    <row r="1488">
      <c r="B1488" s="23"/>
      <c r="C1488" s="23"/>
      <c r="D1488" s="23"/>
      <c r="E1488" s="23"/>
    </row>
    <row r="1489">
      <c r="B1489" s="23"/>
      <c r="C1489" s="23"/>
      <c r="D1489" s="23"/>
      <c r="E1489" s="23"/>
    </row>
    <row r="1490">
      <c r="B1490" s="23"/>
      <c r="C1490" s="23"/>
      <c r="D1490" s="23"/>
      <c r="E1490" s="23"/>
    </row>
    <row r="1491">
      <c r="B1491" s="23"/>
      <c r="C1491" s="23"/>
      <c r="D1491" s="23"/>
      <c r="E1491" s="23"/>
    </row>
    <row r="1492">
      <c r="B1492" s="23"/>
      <c r="C1492" s="23"/>
      <c r="D1492" s="23"/>
      <c r="E1492" s="23"/>
    </row>
    <row r="1493">
      <c r="B1493" s="23"/>
      <c r="C1493" s="23"/>
      <c r="D1493" s="23"/>
      <c r="E1493" s="23"/>
    </row>
    <row r="1494">
      <c r="B1494" s="23"/>
      <c r="C1494" s="23"/>
      <c r="D1494" s="23"/>
      <c r="E1494" s="23"/>
    </row>
    <row r="1495">
      <c r="B1495" s="23"/>
      <c r="C1495" s="23"/>
      <c r="D1495" s="23"/>
      <c r="E1495" s="23"/>
    </row>
    <row r="1496">
      <c r="B1496" s="23"/>
      <c r="C1496" s="23"/>
      <c r="D1496" s="23"/>
      <c r="E1496" s="23"/>
    </row>
    <row r="1497">
      <c r="B1497" s="23"/>
      <c r="C1497" s="23"/>
      <c r="D1497" s="23"/>
      <c r="E1497" s="23"/>
    </row>
    <row r="1498">
      <c r="B1498" s="23"/>
      <c r="C1498" s="23"/>
      <c r="D1498" s="23"/>
      <c r="E1498" s="23"/>
    </row>
    <row r="1499">
      <c r="B1499" s="23"/>
      <c r="C1499" s="23"/>
      <c r="D1499" s="23"/>
      <c r="E1499" s="23"/>
    </row>
    <row r="1500">
      <c r="B1500" s="23"/>
      <c r="C1500" s="23"/>
      <c r="D1500" s="23"/>
      <c r="E1500" s="23"/>
    </row>
    <row r="1501">
      <c r="B1501" s="23"/>
      <c r="C1501" s="23"/>
      <c r="D1501" s="23"/>
      <c r="E1501" s="23"/>
    </row>
    <row r="1502">
      <c r="B1502" s="23"/>
      <c r="C1502" s="23"/>
      <c r="D1502" s="23"/>
      <c r="E1502" s="23"/>
    </row>
    <row r="1503">
      <c r="B1503" s="23"/>
      <c r="C1503" s="23"/>
      <c r="D1503" s="23"/>
      <c r="E1503" s="23"/>
    </row>
    <row r="1504">
      <c r="B1504" s="23"/>
      <c r="C1504" s="23"/>
      <c r="D1504" s="23"/>
      <c r="E1504" s="23"/>
    </row>
    <row r="1505">
      <c r="B1505" s="23"/>
      <c r="C1505" s="23"/>
      <c r="D1505" s="23"/>
      <c r="E1505" s="23"/>
    </row>
    <row r="1506">
      <c r="B1506" s="23"/>
      <c r="C1506" s="23"/>
      <c r="D1506" s="23"/>
      <c r="E1506" s="23"/>
    </row>
    <row r="1507">
      <c r="B1507" s="23"/>
      <c r="C1507" s="23"/>
      <c r="D1507" s="23"/>
      <c r="E1507" s="23"/>
    </row>
    <row r="1508">
      <c r="B1508" s="23"/>
      <c r="C1508" s="23"/>
      <c r="D1508" s="23"/>
      <c r="E1508" s="23"/>
    </row>
    <row r="1509">
      <c r="B1509" s="23"/>
      <c r="C1509" s="23"/>
      <c r="D1509" s="23"/>
      <c r="E1509" s="23"/>
    </row>
    <row r="1510">
      <c r="B1510" s="23"/>
      <c r="C1510" s="23"/>
      <c r="D1510" s="23"/>
      <c r="E1510" s="23"/>
    </row>
    <row r="1511">
      <c r="B1511" s="23"/>
      <c r="C1511" s="23"/>
      <c r="D1511" s="23"/>
      <c r="E1511" s="23"/>
    </row>
    <row r="1512">
      <c r="B1512" s="23"/>
      <c r="C1512" s="23"/>
      <c r="D1512" s="23"/>
      <c r="E1512" s="23"/>
    </row>
    <row r="1513">
      <c r="B1513" s="23"/>
      <c r="C1513" s="23"/>
      <c r="D1513" s="23"/>
      <c r="E1513" s="23"/>
    </row>
    <row r="1514">
      <c r="B1514" s="23"/>
      <c r="C1514" s="23"/>
      <c r="D1514" s="23"/>
      <c r="E1514" s="23"/>
    </row>
    <row r="1515">
      <c r="B1515" s="23"/>
      <c r="C1515" s="23"/>
      <c r="D1515" s="23"/>
      <c r="E1515" s="23"/>
    </row>
    <row r="1516">
      <c r="B1516" s="23"/>
      <c r="C1516" s="23"/>
      <c r="D1516" s="23"/>
      <c r="E1516" s="23"/>
    </row>
    <row r="1517">
      <c r="B1517" s="23"/>
      <c r="C1517" s="23"/>
      <c r="D1517" s="23"/>
      <c r="E1517" s="23"/>
    </row>
    <row r="1518">
      <c r="B1518" s="23"/>
      <c r="C1518" s="23"/>
      <c r="D1518" s="23"/>
      <c r="E1518" s="23"/>
    </row>
    <row r="1519">
      <c r="B1519" s="23"/>
      <c r="C1519" s="23"/>
      <c r="D1519" s="23"/>
      <c r="E1519" s="23"/>
    </row>
    <row r="1520">
      <c r="B1520" s="23"/>
      <c r="C1520" s="23"/>
      <c r="D1520" s="23"/>
      <c r="E1520" s="23"/>
    </row>
    <row r="1521">
      <c r="B1521" s="23"/>
      <c r="C1521" s="23"/>
      <c r="D1521" s="23"/>
      <c r="E1521" s="23"/>
    </row>
    <row r="1522">
      <c r="B1522" s="23"/>
      <c r="C1522" s="23"/>
      <c r="D1522" s="23"/>
      <c r="E1522" s="23"/>
    </row>
    <row r="1523">
      <c r="B1523" s="23"/>
      <c r="C1523" s="23"/>
      <c r="D1523" s="23"/>
      <c r="E1523" s="23"/>
    </row>
    <row r="1524">
      <c r="B1524" s="23"/>
      <c r="C1524" s="23"/>
      <c r="D1524" s="23"/>
      <c r="E1524" s="23"/>
    </row>
    <row r="1525">
      <c r="B1525" s="23"/>
      <c r="C1525" s="23"/>
      <c r="D1525" s="23"/>
      <c r="E1525" s="23"/>
    </row>
    <row r="1526">
      <c r="B1526" s="23"/>
      <c r="C1526" s="23"/>
      <c r="D1526" s="23"/>
      <c r="E1526" s="23"/>
    </row>
    <row r="1527">
      <c r="B1527" s="23"/>
      <c r="C1527" s="23"/>
      <c r="D1527" s="23"/>
      <c r="E1527" s="23"/>
    </row>
    <row r="1528">
      <c r="B1528" s="23"/>
      <c r="C1528" s="23"/>
      <c r="D1528" s="23"/>
      <c r="E1528" s="23"/>
    </row>
    <row r="1529">
      <c r="B1529" s="23"/>
      <c r="C1529" s="23"/>
      <c r="D1529" s="23"/>
      <c r="E1529" s="23"/>
    </row>
    <row r="1530">
      <c r="B1530" s="23"/>
      <c r="C1530" s="23"/>
      <c r="D1530" s="23"/>
      <c r="E1530" s="23"/>
    </row>
    <row r="1531">
      <c r="B1531" s="23"/>
      <c r="C1531" s="23"/>
      <c r="D1531" s="23"/>
      <c r="E1531" s="23"/>
    </row>
    <row r="1532">
      <c r="B1532" s="23"/>
      <c r="C1532" s="23"/>
      <c r="D1532" s="23"/>
      <c r="E1532" s="23"/>
    </row>
    <row r="1533">
      <c r="B1533" s="23"/>
      <c r="C1533" s="23"/>
      <c r="D1533" s="23"/>
      <c r="E1533" s="23"/>
    </row>
    <row r="1534">
      <c r="B1534" s="23"/>
      <c r="C1534" s="23"/>
      <c r="D1534" s="23"/>
      <c r="E1534" s="23"/>
    </row>
    <row r="1535">
      <c r="B1535" s="23"/>
      <c r="C1535" s="23"/>
      <c r="D1535" s="23"/>
      <c r="E1535" s="23"/>
    </row>
    <row r="1536">
      <c r="B1536" s="23"/>
      <c r="C1536" s="23"/>
      <c r="D1536" s="23"/>
      <c r="E1536" s="23"/>
    </row>
    <row r="1537">
      <c r="B1537" s="23"/>
      <c r="C1537" s="23"/>
      <c r="D1537" s="23"/>
      <c r="E1537" s="23"/>
    </row>
    <row r="1538">
      <c r="B1538" s="23"/>
      <c r="C1538" s="23"/>
      <c r="D1538" s="23"/>
      <c r="E1538" s="23"/>
    </row>
    <row r="1539">
      <c r="B1539" s="23"/>
      <c r="C1539" s="23"/>
      <c r="D1539" s="23"/>
      <c r="E1539" s="23"/>
    </row>
    <row r="1540">
      <c r="B1540" s="23"/>
      <c r="C1540" s="23"/>
      <c r="D1540" s="23"/>
      <c r="E1540" s="23"/>
    </row>
    <row r="1541">
      <c r="B1541" s="23"/>
      <c r="C1541" s="23"/>
      <c r="D1541" s="23"/>
      <c r="E1541" s="23"/>
    </row>
    <row r="1542">
      <c r="B1542" s="23"/>
      <c r="C1542" s="23"/>
      <c r="D1542" s="23"/>
      <c r="E1542" s="23"/>
    </row>
    <row r="1543">
      <c r="B1543" s="23"/>
      <c r="C1543" s="23"/>
      <c r="D1543" s="23"/>
      <c r="E1543" s="23"/>
    </row>
    <row r="1544">
      <c r="B1544" s="23"/>
      <c r="C1544" s="23"/>
      <c r="D1544" s="23"/>
      <c r="E1544" s="23"/>
    </row>
    <row r="1545">
      <c r="B1545" s="23"/>
      <c r="C1545" s="23"/>
      <c r="D1545" s="23"/>
      <c r="E1545" s="23"/>
    </row>
    <row r="1546">
      <c r="B1546" s="23"/>
      <c r="C1546" s="23"/>
      <c r="D1546" s="23"/>
      <c r="E1546" s="23"/>
    </row>
    <row r="1547">
      <c r="B1547" s="23"/>
      <c r="C1547" s="23"/>
      <c r="D1547" s="23"/>
      <c r="E1547" s="23"/>
    </row>
    <row r="1548">
      <c r="B1548" s="23"/>
      <c r="C1548" s="23"/>
      <c r="D1548" s="23"/>
      <c r="E1548" s="23"/>
    </row>
    <row r="1549">
      <c r="B1549" s="23"/>
      <c r="C1549" s="23"/>
      <c r="D1549" s="23"/>
      <c r="E1549" s="23"/>
    </row>
    <row r="1550">
      <c r="B1550" s="23"/>
      <c r="C1550" s="23"/>
      <c r="D1550" s="23"/>
      <c r="E1550" s="23"/>
    </row>
    <row r="1551">
      <c r="B1551" s="23"/>
      <c r="C1551" s="23"/>
      <c r="D1551" s="23"/>
      <c r="E1551" s="23"/>
    </row>
    <row r="1552">
      <c r="B1552" s="23"/>
      <c r="C1552" s="23"/>
      <c r="D1552" s="23"/>
      <c r="E1552" s="23"/>
    </row>
    <row r="1553">
      <c r="B1553" s="23"/>
      <c r="C1553" s="23"/>
      <c r="D1553" s="23"/>
      <c r="E1553" s="23"/>
    </row>
    <row r="1554">
      <c r="B1554" s="23"/>
      <c r="C1554" s="23"/>
      <c r="D1554" s="23"/>
      <c r="E1554" s="23"/>
    </row>
    <row r="1555">
      <c r="B1555" s="23"/>
      <c r="C1555" s="23"/>
      <c r="D1555" s="23"/>
      <c r="E1555" s="23"/>
    </row>
    <row r="1556">
      <c r="B1556" s="23"/>
      <c r="C1556" s="23"/>
      <c r="D1556" s="23"/>
      <c r="E1556" s="23"/>
    </row>
    <row r="1557">
      <c r="B1557" s="23"/>
      <c r="C1557" s="23"/>
      <c r="D1557" s="23"/>
      <c r="E1557" s="23"/>
    </row>
    <row r="1558">
      <c r="B1558" s="23"/>
      <c r="C1558" s="23"/>
      <c r="D1558" s="23"/>
      <c r="E1558" s="23"/>
    </row>
    <row r="1559">
      <c r="B1559" s="23"/>
      <c r="C1559" s="23"/>
      <c r="D1559" s="23"/>
      <c r="E1559" s="23"/>
    </row>
    <row r="1560">
      <c r="B1560" s="23"/>
      <c r="C1560" s="23"/>
      <c r="D1560" s="23"/>
      <c r="E1560" s="23"/>
    </row>
    <row r="1561">
      <c r="B1561" s="23"/>
      <c r="C1561" s="23"/>
      <c r="D1561" s="23"/>
      <c r="E1561" s="23"/>
    </row>
    <row r="1562">
      <c r="B1562" s="23"/>
      <c r="C1562" s="23"/>
      <c r="D1562" s="23"/>
      <c r="E1562" s="23"/>
    </row>
    <row r="1563">
      <c r="B1563" s="23"/>
      <c r="C1563" s="23"/>
      <c r="D1563" s="23"/>
      <c r="E1563" s="23"/>
    </row>
    <row r="1564">
      <c r="B1564" s="23"/>
      <c r="C1564" s="23"/>
      <c r="D1564" s="23"/>
      <c r="E1564" s="23"/>
    </row>
    <row r="1565">
      <c r="B1565" s="23"/>
      <c r="C1565" s="23"/>
      <c r="D1565" s="23"/>
      <c r="E1565" s="23"/>
    </row>
    <row r="1566">
      <c r="B1566" s="23"/>
      <c r="C1566" s="23"/>
      <c r="D1566" s="23"/>
      <c r="E1566" s="23"/>
    </row>
    <row r="1567">
      <c r="B1567" s="23"/>
      <c r="C1567" s="23"/>
      <c r="D1567" s="23"/>
      <c r="E1567" s="23"/>
    </row>
    <row r="1568">
      <c r="B1568" s="23"/>
      <c r="C1568" s="23"/>
      <c r="D1568" s="23"/>
      <c r="E1568" s="23"/>
    </row>
    <row r="1569">
      <c r="B1569" s="23"/>
      <c r="C1569" s="23"/>
      <c r="D1569" s="23"/>
      <c r="E1569" s="23"/>
    </row>
    <row r="1570">
      <c r="B1570" s="23"/>
      <c r="C1570" s="23"/>
      <c r="D1570" s="23"/>
      <c r="E1570" s="23"/>
    </row>
    <row r="1571">
      <c r="B1571" s="23"/>
      <c r="C1571" s="23"/>
      <c r="D1571" s="23"/>
      <c r="E1571" s="23"/>
    </row>
    <row r="1572">
      <c r="B1572" s="23"/>
      <c r="C1572" s="23"/>
      <c r="D1572" s="23"/>
      <c r="E1572" s="23"/>
    </row>
    <row r="1573">
      <c r="B1573" s="23"/>
      <c r="C1573" s="23"/>
      <c r="D1573" s="23"/>
      <c r="E1573" s="23"/>
    </row>
    <row r="1574">
      <c r="B1574" s="23"/>
      <c r="C1574" s="23"/>
      <c r="D1574" s="23"/>
      <c r="E1574" s="23"/>
    </row>
    <row r="1575">
      <c r="B1575" s="23"/>
      <c r="C1575" s="23"/>
      <c r="D1575" s="23"/>
      <c r="E1575" s="23"/>
    </row>
    <row r="1576">
      <c r="B1576" s="23"/>
      <c r="C1576" s="23"/>
      <c r="D1576" s="23"/>
      <c r="E1576" s="23"/>
    </row>
    <row r="1577">
      <c r="B1577" s="23"/>
      <c r="C1577" s="23"/>
      <c r="D1577" s="23"/>
      <c r="E1577" s="23"/>
    </row>
    <row r="1578">
      <c r="B1578" s="23"/>
      <c r="C1578" s="23"/>
      <c r="D1578" s="23"/>
      <c r="E1578" s="23"/>
    </row>
    <row r="1579">
      <c r="B1579" s="23"/>
      <c r="C1579" s="23"/>
      <c r="D1579" s="23"/>
      <c r="E1579" s="23"/>
    </row>
    <row r="1580">
      <c r="B1580" s="23"/>
      <c r="C1580" s="23"/>
      <c r="D1580" s="23"/>
      <c r="E1580" s="23"/>
    </row>
    <row r="1581">
      <c r="B1581" s="23"/>
      <c r="C1581" s="23"/>
      <c r="D1581" s="23"/>
      <c r="E1581" s="23"/>
    </row>
    <row r="1582">
      <c r="B1582" s="23"/>
      <c r="C1582" s="23"/>
      <c r="D1582" s="23"/>
      <c r="E1582" s="23"/>
    </row>
    <row r="1583">
      <c r="B1583" s="23"/>
      <c r="C1583" s="23"/>
      <c r="D1583" s="23"/>
      <c r="E1583" s="23"/>
    </row>
    <row r="1584">
      <c r="B1584" s="23"/>
      <c r="C1584" s="23"/>
      <c r="D1584" s="23"/>
      <c r="E1584" s="23"/>
    </row>
    <row r="1585">
      <c r="B1585" s="23"/>
      <c r="C1585" s="23"/>
      <c r="D1585" s="23"/>
      <c r="E1585" s="23"/>
    </row>
    <row r="1586">
      <c r="B1586" s="23"/>
      <c r="C1586" s="23"/>
      <c r="D1586" s="23"/>
      <c r="E1586" s="23"/>
    </row>
    <row r="1587">
      <c r="B1587" s="23"/>
      <c r="C1587" s="23"/>
      <c r="D1587" s="23"/>
      <c r="E1587" s="23"/>
    </row>
    <row r="1588">
      <c r="B1588" s="23"/>
      <c r="C1588" s="23"/>
      <c r="D1588" s="23"/>
      <c r="E1588" s="23"/>
    </row>
    <row r="1589">
      <c r="B1589" s="23"/>
      <c r="C1589" s="23"/>
      <c r="D1589" s="23"/>
      <c r="E1589" s="23"/>
    </row>
    <row r="1590">
      <c r="B1590" s="23"/>
      <c r="C1590" s="23"/>
      <c r="D1590" s="23"/>
      <c r="E1590" s="23"/>
    </row>
    <row r="1591">
      <c r="B1591" s="23"/>
      <c r="C1591" s="23"/>
      <c r="D1591" s="23"/>
      <c r="E1591" s="23"/>
    </row>
    <row r="1592">
      <c r="B1592" s="23"/>
      <c r="C1592" s="23"/>
      <c r="D1592" s="23"/>
      <c r="E1592" s="23"/>
    </row>
    <row r="1593">
      <c r="B1593" s="23"/>
      <c r="C1593" s="23"/>
      <c r="D1593" s="23"/>
      <c r="E1593" s="23"/>
    </row>
    <row r="1594">
      <c r="B1594" s="23"/>
      <c r="C1594" s="23"/>
      <c r="D1594" s="23"/>
      <c r="E1594" s="23"/>
    </row>
    <row r="1595">
      <c r="B1595" s="23"/>
      <c r="C1595" s="23"/>
      <c r="D1595" s="23"/>
      <c r="E1595" s="23"/>
    </row>
    <row r="1596">
      <c r="B1596" s="23"/>
      <c r="C1596" s="23"/>
      <c r="D1596" s="23"/>
      <c r="E1596" s="23"/>
    </row>
    <row r="1597">
      <c r="B1597" s="23"/>
      <c r="C1597" s="23"/>
      <c r="D1597" s="23"/>
      <c r="E1597" s="23"/>
    </row>
    <row r="1598">
      <c r="B1598" s="23"/>
      <c r="C1598" s="23"/>
      <c r="D1598" s="23"/>
      <c r="E1598" s="23"/>
    </row>
    <row r="1599">
      <c r="B1599" s="23"/>
      <c r="C1599" s="23"/>
      <c r="D1599" s="23"/>
      <c r="E1599" s="23"/>
    </row>
    <row r="1600">
      <c r="B1600" s="23"/>
      <c r="C1600" s="23"/>
      <c r="D1600" s="23"/>
      <c r="E1600" s="23"/>
    </row>
    <row r="1601">
      <c r="B1601" s="23"/>
      <c r="C1601" s="23"/>
      <c r="D1601" s="23"/>
      <c r="E1601" s="23"/>
    </row>
    <row r="1602">
      <c r="B1602" s="23"/>
      <c r="C1602" s="23"/>
      <c r="D1602" s="23"/>
      <c r="E1602" s="23"/>
    </row>
    <row r="1603">
      <c r="B1603" s="23"/>
      <c r="C1603" s="23"/>
      <c r="D1603" s="23"/>
      <c r="E1603" s="23"/>
    </row>
    <row r="1604">
      <c r="B1604" s="23"/>
      <c r="C1604" s="23"/>
      <c r="D1604" s="23"/>
      <c r="E1604" s="23"/>
    </row>
    <row r="1605">
      <c r="B1605" s="23"/>
      <c r="C1605" s="23"/>
      <c r="D1605" s="23"/>
      <c r="E1605" s="23"/>
    </row>
    <row r="1606">
      <c r="B1606" s="23"/>
      <c r="C1606" s="23"/>
      <c r="D1606" s="23"/>
      <c r="E1606" s="23"/>
    </row>
    <row r="1607">
      <c r="B1607" s="23"/>
      <c r="C1607" s="23"/>
      <c r="D1607" s="23"/>
      <c r="E1607" s="23"/>
    </row>
    <row r="1608">
      <c r="B1608" s="23"/>
      <c r="C1608" s="23"/>
      <c r="D1608" s="23"/>
      <c r="E1608" s="23"/>
    </row>
    <row r="1609">
      <c r="B1609" s="23"/>
      <c r="C1609" s="23"/>
      <c r="D1609" s="23"/>
      <c r="E1609" s="23"/>
    </row>
    <row r="1610">
      <c r="B1610" s="23"/>
      <c r="C1610" s="23"/>
      <c r="D1610" s="23"/>
      <c r="E1610" s="23"/>
    </row>
    <row r="1611">
      <c r="B1611" s="23"/>
      <c r="C1611" s="23"/>
      <c r="D1611" s="23"/>
      <c r="E1611" s="23"/>
    </row>
    <row r="1612">
      <c r="B1612" s="23"/>
      <c r="C1612" s="23"/>
      <c r="D1612" s="23"/>
      <c r="E1612" s="23"/>
    </row>
    <row r="1613">
      <c r="B1613" s="23"/>
      <c r="C1613" s="23"/>
      <c r="D1613" s="23"/>
      <c r="E1613" s="23"/>
    </row>
    <row r="1614">
      <c r="B1614" s="23"/>
      <c r="C1614" s="23"/>
      <c r="D1614" s="23"/>
      <c r="E1614" s="23"/>
    </row>
    <row r="1615">
      <c r="B1615" s="23"/>
      <c r="C1615" s="23"/>
      <c r="D1615" s="23"/>
      <c r="E1615" s="23"/>
    </row>
    <row r="1616">
      <c r="B1616" s="23"/>
      <c r="C1616" s="23"/>
      <c r="D1616" s="23"/>
      <c r="E1616" s="23"/>
    </row>
    <row r="1617">
      <c r="B1617" s="23"/>
      <c r="C1617" s="23"/>
      <c r="D1617" s="23"/>
      <c r="E1617" s="23"/>
    </row>
    <row r="1618">
      <c r="B1618" s="23"/>
      <c r="C1618" s="23"/>
      <c r="D1618" s="23"/>
      <c r="E1618" s="23"/>
    </row>
    <row r="1619">
      <c r="B1619" s="23"/>
      <c r="C1619" s="23"/>
      <c r="D1619" s="23"/>
      <c r="E1619" s="23"/>
    </row>
    <row r="1620">
      <c r="B1620" s="23"/>
      <c r="C1620" s="23"/>
      <c r="D1620" s="23"/>
      <c r="E1620" s="23"/>
    </row>
    <row r="1621">
      <c r="B1621" s="23"/>
      <c r="C1621" s="23"/>
      <c r="D1621" s="23"/>
      <c r="E1621" s="23"/>
    </row>
    <row r="1622">
      <c r="B1622" s="23"/>
      <c r="C1622" s="23"/>
      <c r="D1622" s="23"/>
      <c r="E1622" s="23"/>
    </row>
    <row r="1623">
      <c r="B1623" s="23"/>
      <c r="C1623" s="23"/>
      <c r="D1623" s="23"/>
      <c r="E1623" s="23"/>
    </row>
    <row r="1624">
      <c r="B1624" s="23"/>
      <c r="C1624" s="23"/>
      <c r="D1624" s="23"/>
      <c r="E1624" s="23"/>
    </row>
    <row r="1625">
      <c r="B1625" s="23"/>
      <c r="C1625" s="23"/>
      <c r="D1625" s="23"/>
      <c r="E1625" s="23"/>
    </row>
    <row r="1626">
      <c r="B1626" s="23"/>
      <c r="C1626" s="23"/>
      <c r="D1626" s="23"/>
      <c r="E1626" s="23"/>
    </row>
    <row r="1627">
      <c r="B1627" s="23"/>
      <c r="C1627" s="23"/>
      <c r="D1627" s="23"/>
      <c r="E1627" s="23"/>
    </row>
    <row r="1628">
      <c r="B1628" s="23"/>
      <c r="C1628" s="23"/>
      <c r="D1628" s="23"/>
      <c r="E1628" s="23"/>
    </row>
    <row r="1629">
      <c r="B1629" s="23"/>
      <c r="C1629" s="23"/>
      <c r="D1629" s="23"/>
      <c r="E1629" s="23"/>
    </row>
    <row r="1630">
      <c r="B1630" s="23"/>
      <c r="C1630" s="23"/>
      <c r="D1630" s="23"/>
      <c r="E1630" s="23"/>
    </row>
    <row r="1631">
      <c r="B1631" s="23"/>
      <c r="C1631" s="23"/>
      <c r="D1631" s="23"/>
      <c r="E1631" s="23"/>
    </row>
    <row r="1632">
      <c r="B1632" s="23"/>
      <c r="C1632" s="23"/>
      <c r="D1632" s="23"/>
      <c r="E1632" s="23"/>
    </row>
    <row r="1633">
      <c r="B1633" s="23"/>
      <c r="C1633" s="23"/>
      <c r="D1633" s="23"/>
      <c r="E1633" s="23"/>
    </row>
    <row r="1634">
      <c r="B1634" s="23"/>
      <c r="C1634" s="23"/>
      <c r="D1634" s="23"/>
      <c r="E1634" s="23"/>
    </row>
    <row r="1635">
      <c r="B1635" s="23"/>
      <c r="C1635" s="23"/>
      <c r="D1635" s="23"/>
      <c r="E1635" s="23"/>
    </row>
    <row r="1636">
      <c r="B1636" s="23"/>
      <c r="C1636" s="23"/>
      <c r="D1636" s="23"/>
      <c r="E1636" s="23"/>
    </row>
    <row r="1637">
      <c r="B1637" s="23"/>
      <c r="C1637" s="23"/>
      <c r="D1637" s="23"/>
      <c r="E1637" s="23"/>
    </row>
    <row r="1638">
      <c r="B1638" s="23"/>
      <c r="C1638" s="23"/>
      <c r="D1638" s="23"/>
      <c r="E1638" s="23"/>
    </row>
    <row r="1639">
      <c r="B1639" s="23"/>
      <c r="C1639" s="23"/>
      <c r="D1639" s="23"/>
      <c r="E1639" s="23"/>
    </row>
    <row r="1640">
      <c r="B1640" s="23"/>
      <c r="C1640" s="23"/>
      <c r="D1640" s="23"/>
      <c r="E1640" s="23"/>
    </row>
    <row r="1641">
      <c r="B1641" s="23"/>
      <c r="C1641" s="23"/>
      <c r="D1641" s="23"/>
      <c r="E1641" s="23"/>
    </row>
    <row r="1642">
      <c r="B1642" s="23"/>
      <c r="C1642" s="23"/>
      <c r="D1642" s="23"/>
      <c r="E1642" s="23"/>
    </row>
    <row r="1643">
      <c r="B1643" s="23"/>
      <c r="C1643" s="23"/>
      <c r="D1643" s="23"/>
      <c r="E1643" s="23"/>
    </row>
    <row r="1644">
      <c r="B1644" s="23"/>
      <c r="C1644" s="23"/>
      <c r="D1644" s="23"/>
      <c r="E1644" s="23"/>
    </row>
    <row r="1645">
      <c r="B1645" s="23"/>
      <c r="C1645" s="23"/>
      <c r="D1645" s="23"/>
      <c r="E1645" s="23"/>
    </row>
    <row r="1646">
      <c r="B1646" s="23"/>
      <c r="C1646" s="23"/>
      <c r="D1646" s="23"/>
      <c r="E1646" s="23"/>
    </row>
    <row r="1647">
      <c r="B1647" s="23"/>
      <c r="C1647" s="23"/>
      <c r="D1647" s="23"/>
      <c r="E1647" s="23"/>
    </row>
    <row r="1648">
      <c r="B1648" s="23"/>
      <c r="C1648" s="23"/>
      <c r="D1648" s="23"/>
      <c r="E1648" s="23"/>
    </row>
    <row r="1649">
      <c r="B1649" s="23"/>
      <c r="C1649" s="23"/>
      <c r="D1649" s="23"/>
      <c r="E1649" s="23"/>
    </row>
    <row r="1650">
      <c r="B1650" s="23"/>
      <c r="C1650" s="23"/>
      <c r="D1650" s="23"/>
      <c r="E1650" s="23"/>
    </row>
    <row r="1651">
      <c r="B1651" s="23"/>
      <c r="C1651" s="23"/>
      <c r="D1651" s="23"/>
      <c r="E1651" s="23"/>
    </row>
    <row r="1652">
      <c r="B1652" s="23"/>
      <c r="C1652" s="23"/>
      <c r="D1652" s="23"/>
      <c r="E1652" s="23"/>
    </row>
    <row r="1653">
      <c r="B1653" s="23"/>
      <c r="C1653" s="23"/>
      <c r="D1653" s="23"/>
      <c r="E1653" s="23"/>
    </row>
    <row r="1654">
      <c r="B1654" s="23"/>
      <c r="C1654" s="23"/>
      <c r="D1654" s="23"/>
      <c r="E1654" s="23"/>
    </row>
    <row r="1655">
      <c r="B1655" s="23"/>
      <c r="C1655" s="23"/>
      <c r="D1655" s="23"/>
      <c r="E1655" s="23"/>
    </row>
    <row r="1656">
      <c r="B1656" s="23"/>
      <c r="C1656" s="23"/>
      <c r="D1656" s="23"/>
      <c r="E1656" s="23"/>
    </row>
    <row r="1657">
      <c r="B1657" s="23"/>
      <c r="C1657" s="23"/>
      <c r="D1657" s="23"/>
      <c r="E1657" s="23"/>
    </row>
    <row r="1658">
      <c r="B1658" s="23"/>
      <c r="C1658" s="23"/>
      <c r="D1658" s="23"/>
      <c r="E1658" s="23"/>
    </row>
    <row r="1659">
      <c r="B1659" s="23"/>
      <c r="C1659" s="23"/>
      <c r="D1659" s="23"/>
      <c r="E1659" s="23"/>
    </row>
    <row r="1660">
      <c r="B1660" s="23"/>
      <c r="C1660" s="23"/>
      <c r="D1660" s="23"/>
      <c r="E1660" s="23"/>
    </row>
    <row r="1661">
      <c r="B1661" s="23"/>
      <c r="C1661" s="23"/>
      <c r="D1661" s="23"/>
      <c r="E1661" s="23"/>
    </row>
    <row r="1662">
      <c r="B1662" s="23"/>
      <c r="C1662" s="23"/>
      <c r="D1662" s="23"/>
      <c r="E1662" s="23"/>
    </row>
    <row r="1663">
      <c r="B1663" s="23"/>
      <c r="C1663" s="23"/>
      <c r="D1663" s="23"/>
      <c r="E1663" s="23"/>
    </row>
    <row r="1664">
      <c r="B1664" s="23"/>
      <c r="C1664" s="23"/>
      <c r="D1664" s="23"/>
      <c r="E1664" s="23"/>
    </row>
    <row r="1665">
      <c r="B1665" s="23"/>
      <c r="C1665" s="23"/>
      <c r="D1665" s="23"/>
      <c r="E1665" s="23"/>
    </row>
    <row r="1666">
      <c r="B1666" s="23"/>
      <c r="C1666" s="23"/>
      <c r="D1666" s="23"/>
      <c r="E1666" s="23"/>
    </row>
    <row r="1667">
      <c r="B1667" s="23"/>
      <c r="C1667" s="23"/>
      <c r="D1667" s="23"/>
      <c r="E1667" s="23"/>
    </row>
    <row r="1668">
      <c r="B1668" s="23"/>
      <c r="C1668" s="23"/>
      <c r="D1668" s="23"/>
      <c r="E1668" s="23"/>
    </row>
    <row r="1669">
      <c r="B1669" s="23"/>
      <c r="C1669" s="23"/>
      <c r="D1669" s="23"/>
      <c r="E1669" s="23"/>
    </row>
    <row r="1670">
      <c r="B1670" s="23"/>
      <c r="C1670" s="23"/>
      <c r="D1670" s="23"/>
      <c r="E1670" s="23"/>
    </row>
    <row r="1671">
      <c r="B1671" s="23"/>
      <c r="C1671" s="23"/>
      <c r="D1671" s="23"/>
      <c r="E1671" s="23"/>
    </row>
    <row r="1672">
      <c r="B1672" s="23"/>
      <c r="C1672" s="23"/>
      <c r="D1672" s="23"/>
      <c r="E1672" s="23"/>
    </row>
    <row r="1673">
      <c r="B1673" s="23"/>
      <c r="C1673" s="23"/>
      <c r="D1673" s="23"/>
      <c r="E1673" s="23"/>
    </row>
    <row r="1674">
      <c r="B1674" s="23"/>
      <c r="C1674" s="23"/>
      <c r="D1674" s="23"/>
      <c r="E1674" s="23"/>
    </row>
    <row r="1675">
      <c r="B1675" s="23"/>
      <c r="C1675" s="23"/>
      <c r="D1675" s="23"/>
      <c r="E1675" s="23"/>
    </row>
    <row r="1676">
      <c r="B1676" s="23"/>
      <c r="C1676" s="23"/>
      <c r="D1676" s="23"/>
      <c r="E1676" s="23"/>
    </row>
    <row r="1677">
      <c r="B1677" s="23"/>
      <c r="C1677" s="23"/>
      <c r="D1677" s="23"/>
      <c r="E1677" s="23"/>
    </row>
    <row r="1678">
      <c r="B1678" s="23"/>
      <c r="C1678" s="23"/>
      <c r="D1678" s="23"/>
      <c r="E1678" s="23"/>
    </row>
    <row r="1679">
      <c r="B1679" s="23"/>
      <c r="C1679" s="23"/>
      <c r="D1679" s="23"/>
      <c r="E1679" s="23"/>
    </row>
    <row r="1680">
      <c r="B1680" s="23"/>
      <c r="C1680" s="23"/>
      <c r="D1680" s="23"/>
      <c r="E1680" s="23"/>
    </row>
    <row r="1681">
      <c r="B1681" s="23"/>
      <c r="C1681" s="23"/>
      <c r="D1681" s="23"/>
      <c r="E1681" s="23"/>
    </row>
    <row r="1682">
      <c r="B1682" s="23"/>
      <c r="C1682" s="23"/>
      <c r="D1682" s="23"/>
      <c r="E1682" s="23"/>
    </row>
    <row r="1683">
      <c r="B1683" s="23"/>
      <c r="C1683" s="23"/>
      <c r="D1683" s="23"/>
      <c r="E1683" s="23"/>
    </row>
    <row r="1684">
      <c r="B1684" s="23"/>
      <c r="C1684" s="23"/>
      <c r="D1684" s="23"/>
      <c r="E1684" s="23"/>
    </row>
    <row r="1685">
      <c r="B1685" s="23"/>
      <c r="C1685" s="23"/>
      <c r="D1685" s="23"/>
      <c r="E1685" s="23"/>
    </row>
    <row r="1686">
      <c r="B1686" s="23"/>
      <c r="C1686" s="23"/>
      <c r="D1686" s="23"/>
      <c r="E1686" s="23"/>
    </row>
    <row r="1687">
      <c r="B1687" s="23"/>
      <c r="C1687" s="23"/>
      <c r="D1687" s="23"/>
      <c r="E1687" s="23"/>
    </row>
    <row r="1688">
      <c r="B1688" s="23"/>
      <c r="C1688" s="23"/>
      <c r="D1688" s="23"/>
      <c r="E1688" s="23"/>
    </row>
    <row r="1689">
      <c r="B1689" s="23"/>
      <c r="C1689" s="23"/>
      <c r="D1689" s="23"/>
      <c r="E1689" s="23"/>
    </row>
    <row r="1690">
      <c r="B1690" s="23"/>
      <c r="C1690" s="23"/>
      <c r="D1690" s="23"/>
      <c r="E1690" s="23"/>
    </row>
    <row r="1691">
      <c r="B1691" s="23"/>
      <c r="C1691" s="23"/>
      <c r="D1691" s="23"/>
      <c r="E1691" s="23"/>
    </row>
    <row r="1692">
      <c r="B1692" s="23"/>
      <c r="C1692" s="23"/>
      <c r="D1692" s="23"/>
      <c r="E1692" s="23"/>
    </row>
    <row r="1693">
      <c r="B1693" s="23"/>
      <c r="C1693" s="23"/>
      <c r="D1693" s="23"/>
      <c r="E1693" s="23"/>
    </row>
    <row r="1694">
      <c r="B1694" s="23"/>
      <c r="C1694" s="23"/>
      <c r="D1694" s="23"/>
      <c r="E1694" s="23"/>
    </row>
    <row r="1695">
      <c r="B1695" s="23"/>
      <c r="C1695" s="23"/>
      <c r="D1695" s="23"/>
      <c r="E1695" s="23"/>
    </row>
    <row r="1696">
      <c r="B1696" s="23"/>
      <c r="C1696" s="23"/>
      <c r="D1696" s="23"/>
      <c r="E1696" s="23"/>
    </row>
    <row r="1697">
      <c r="B1697" s="23"/>
      <c r="C1697" s="23"/>
      <c r="D1697" s="23"/>
      <c r="E1697" s="23"/>
    </row>
    <row r="1698">
      <c r="B1698" s="23"/>
      <c r="C1698" s="23"/>
      <c r="D1698" s="23"/>
      <c r="E1698" s="23"/>
    </row>
    <row r="1699">
      <c r="B1699" s="23"/>
      <c r="C1699" s="23"/>
      <c r="D1699" s="23"/>
      <c r="E1699" s="23"/>
    </row>
    <row r="1700">
      <c r="B1700" s="23"/>
      <c r="C1700" s="23"/>
      <c r="D1700" s="23"/>
      <c r="E1700" s="23"/>
    </row>
    <row r="1701">
      <c r="B1701" s="23"/>
      <c r="C1701" s="23"/>
      <c r="D1701" s="23"/>
      <c r="E1701" s="23"/>
    </row>
    <row r="1702">
      <c r="B1702" s="23"/>
      <c r="C1702" s="23"/>
      <c r="D1702" s="23"/>
      <c r="E1702" s="23"/>
    </row>
    <row r="1703">
      <c r="B1703" s="23"/>
      <c r="C1703" s="23"/>
      <c r="D1703" s="23"/>
      <c r="E1703" s="23"/>
    </row>
    <row r="1704">
      <c r="B1704" s="23"/>
      <c r="C1704" s="23"/>
      <c r="D1704" s="23"/>
      <c r="E1704" s="23"/>
    </row>
    <row r="1705">
      <c r="B1705" s="23"/>
      <c r="C1705" s="23"/>
      <c r="D1705" s="23"/>
      <c r="E1705" s="23"/>
    </row>
    <row r="1706">
      <c r="B1706" s="23"/>
      <c r="C1706" s="23"/>
      <c r="D1706" s="23"/>
      <c r="E1706" s="23"/>
    </row>
    <row r="1707">
      <c r="B1707" s="23"/>
      <c r="C1707" s="23"/>
      <c r="D1707" s="23"/>
      <c r="E1707" s="23"/>
    </row>
    <row r="1708">
      <c r="B1708" s="23"/>
      <c r="C1708" s="23"/>
      <c r="D1708" s="23"/>
      <c r="E1708" s="23"/>
    </row>
    <row r="1709">
      <c r="B1709" s="23"/>
      <c r="C1709" s="23"/>
      <c r="D1709" s="23"/>
      <c r="E1709" s="23"/>
    </row>
    <row r="1710">
      <c r="B1710" s="23"/>
      <c r="C1710" s="23"/>
      <c r="D1710" s="23"/>
      <c r="E1710" s="23"/>
    </row>
    <row r="1711">
      <c r="B1711" s="23"/>
      <c r="C1711" s="23"/>
      <c r="D1711" s="23"/>
      <c r="E1711" s="23"/>
    </row>
    <row r="1712">
      <c r="B1712" s="23"/>
      <c r="C1712" s="23"/>
      <c r="D1712" s="23"/>
      <c r="E1712" s="23"/>
    </row>
    <row r="1713">
      <c r="B1713" s="23"/>
      <c r="C1713" s="23"/>
      <c r="D1713" s="23"/>
      <c r="E1713" s="23"/>
    </row>
    <row r="1714">
      <c r="B1714" s="23"/>
      <c r="C1714" s="23"/>
      <c r="D1714" s="23"/>
      <c r="E1714" s="23"/>
    </row>
    <row r="1715">
      <c r="B1715" s="23"/>
      <c r="C1715" s="23"/>
      <c r="D1715" s="23"/>
      <c r="E1715" s="23"/>
    </row>
    <row r="1716">
      <c r="B1716" s="23"/>
      <c r="C1716" s="23"/>
      <c r="D1716" s="23"/>
      <c r="E1716" s="23"/>
    </row>
    <row r="1717">
      <c r="B1717" s="23"/>
      <c r="C1717" s="23"/>
      <c r="D1717" s="23"/>
      <c r="E1717" s="23"/>
    </row>
    <row r="1718">
      <c r="B1718" s="23"/>
      <c r="C1718" s="23"/>
      <c r="D1718" s="23"/>
      <c r="E1718" s="23"/>
    </row>
    <row r="1719">
      <c r="B1719" s="23"/>
      <c r="C1719" s="23"/>
      <c r="D1719" s="23"/>
      <c r="E1719" s="23"/>
    </row>
    <row r="1720">
      <c r="B1720" s="23"/>
      <c r="C1720" s="23"/>
      <c r="D1720" s="23"/>
      <c r="E1720" s="23"/>
    </row>
    <row r="1721">
      <c r="B1721" s="23"/>
      <c r="C1721" s="23"/>
      <c r="D1721" s="23"/>
      <c r="E1721" s="23"/>
    </row>
    <row r="1722">
      <c r="B1722" s="23"/>
      <c r="C1722" s="23"/>
      <c r="D1722" s="23"/>
      <c r="E1722" s="23"/>
    </row>
    <row r="1723">
      <c r="B1723" s="23"/>
      <c r="C1723" s="23"/>
      <c r="D1723" s="23"/>
      <c r="E1723" s="23"/>
    </row>
    <row r="1724">
      <c r="B1724" s="23"/>
      <c r="C1724" s="23"/>
      <c r="D1724" s="23"/>
      <c r="E1724" s="23"/>
    </row>
    <row r="1725">
      <c r="B1725" s="23"/>
      <c r="C1725" s="23"/>
      <c r="D1725" s="23"/>
      <c r="E1725" s="23"/>
    </row>
    <row r="1726">
      <c r="B1726" s="23"/>
      <c r="C1726" s="23"/>
      <c r="D1726" s="23"/>
      <c r="E1726" s="23"/>
    </row>
    <row r="1727">
      <c r="B1727" s="23"/>
      <c r="C1727" s="23"/>
      <c r="D1727" s="23"/>
      <c r="E1727" s="23"/>
    </row>
    <row r="1728">
      <c r="B1728" s="23"/>
      <c r="C1728" s="23"/>
      <c r="D1728" s="23"/>
      <c r="E1728" s="23"/>
    </row>
    <row r="1729">
      <c r="B1729" s="23"/>
      <c r="C1729" s="23"/>
      <c r="D1729" s="23"/>
      <c r="E1729" s="23"/>
    </row>
    <row r="1730">
      <c r="B1730" s="23"/>
      <c r="C1730" s="23"/>
      <c r="D1730" s="23"/>
      <c r="E1730" s="23"/>
    </row>
    <row r="1731">
      <c r="B1731" s="23"/>
      <c r="C1731" s="23"/>
      <c r="D1731" s="23"/>
      <c r="E1731" s="23"/>
    </row>
    <row r="1732">
      <c r="B1732" s="23"/>
      <c r="C1732" s="23"/>
      <c r="D1732" s="23"/>
      <c r="E1732" s="23"/>
    </row>
    <row r="1733">
      <c r="B1733" s="23"/>
      <c r="C1733" s="23"/>
      <c r="D1733" s="23"/>
      <c r="E1733" s="23"/>
    </row>
    <row r="1734">
      <c r="B1734" s="23"/>
      <c r="C1734" s="23"/>
      <c r="D1734" s="23"/>
      <c r="E1734" s="23"/>
    </row>
    <row r="1735">
      <c r="B1735" s="23"/>
      <c r="C1735" s="23"/>
      <c r="D1735" s="23"/>
      <c r="E1735" s="23"/>
    </row>
    <row r="1736">
      <c r="B1736" s="23"/>
      <c r="C1736" s="23"/>
      <c r="D1736" s="23"/>
      <c r="E1736" s="23"/>
    </row>
    <row r="1737">
      <c r="B1737" s="23"/>
      <c r="C1737" s="23"/>
      <c r="D1737" s="23"/>
      <c r="E1737" s="23"/>
    </row>
    <row r="1738">
      <c r="B1738" s="23"/>
      <c r="C1738" s="23"/>
      <c r="D1738" s="23"/>
      <c r="E1738" s="23"/>
    </row>
    <row r="1739">
      <c r="B1739" s="23"/>
      <c r="C1739" s="23"/>
      <c r="D1739" s="23"/>
      <c r="E1739" s="23"/>
    </row>
    <row r="1740">
      <c r="B1740" s="23"/>
      <c r="C1740" s="23"/>
      <c r="D1740" s="23"/>
      <c r="E1740" s="23"/>
    </row>
    <row r="1741">
      <c r="B1741" s="23"/>
      <c r="C1741" s="23"/>
      <c r="D1741" s="23"/>
      <c r="E1741" s="23"/>
    </row>
    <row r="1742">
      <c r="B1742" s="23"/>
      <c r="C1742" s="23"/>
      <c r="D1742" s="23"/>
      <c r="E1742" s="23"/>
    </row>
    <row r="1743">
      <c r="B1743" s="23"/>
      <c r="C1743" s="23"/>
      <c r="D1743" s="23"/>
      <c r="E1743" s="23"/>
    </row>
    <row r="1744">
      <c r="B1744" s="23"/>
      <c r="C1744" s="23"/>
      <c r="D1744" s="23"/>
      <c r="E1744" s="23"/>
    </row>
    <row r="1745">
      <c r="B1745" s="23"/>
      <c r="C1745" s="23"/>
      <c r="D1745" s="23"/>
      <c r="E1745" s="23"/>
    </row>
    <row r="1746">
      <c r="B1746" s="23"/>
      <c r="C1746" s="23"/>
      <c r="D1746" s="23"/>
      <c r="E1746" s="23"/>
    </row>
    <row r="1747">
      <c r="B1747" s="23"/>
      <c r="C1747" s="23"/>
      <c r="D1747" s="23"/>
      <c r="E1747" s="23"/>
    </row>
    <row r="1748">
      <c r="B1748" s="23"/>
      <c r="C1748" s="23"/>
      <c r="D1748" s="23"/>
      <c r="E1748" s="23"/>
    </row>
    <row r="1749">
      <c r="B1749" s="23"/>
      <c r="C1749" s="23"/>
      <c r="D1749" s="23"/>
      <c r="E1749" s="23"/>
    </row>
    <row r="1750">
      <c r="B1750" s="23"/>
      <c r="C1750" s="23"/>
      <c r="D1750" s="23"/>
      <c r="E1750" s="23"/>
    </row>
    <row r="1751">
      <c r="B1751" s="23"/>
      <c r="C1751" s="23"/>
      <c r="D1751" s="23"/>
      <c r="E1751" s="23"/>
    </row>
    <row r="1752">
      <c r="B1752" s="23"/>
      <c r="C1752" s="23"/>
      <c r="D1752" s="23"/>
      <c r="E1752" s="23"/>
    </row>
    <row r="1753">
      <c r="B1753" s="23"/>
      <c r="C1753" s="23"/>
      <c r="D1753" s="23"/>
      <c r="E1753" s="23"/>
    </row>
    <row r="1754">
      <c r="B1754" s="23"/>
      <c r="C1754" s="23"/>
      <c r="D1754" s="23"/>
      <c r="E1754" s="23"/>
    </row>
    <row r="1755">
      <c r="B1755" s="23"/>
      <c r="C1755" s="23"/>
      <c r="D1755" s="23"/>
      <c r="E1755" s="23"/>
    </row>
    <row r="1756">
      <c r="B1756" s="23"/>
      <c r="C1756" s="23"/>
      <c r="D1756" s="23"/>
      <c r="E1756" s="23"/>
    </row>
    <row r="1757">
      <c r="B1757" s="23"/>
      <c r="C1757" s="23"/>
      <c r="D1757" s="23"/>
      <c r="E1757" s="23"/>
    </row>
    <row r="1758">
      <c r="B1758" s="23"/>
      <c r="C1758" s="23"/>
      <c r="D1758" s="23"/>
      <c r="E1758" s="23"/>
    </row>
    <row r="1759">
      <c r="B1759" s="23"/>
      <c r="C1759" s="23"/>
      <c r="D1759" s="23"/>
      <c r="E1759" s="23"/>
    </row>
    <row r="1760">
      <c r="B1760" s="23"/>
      <c r="C1760" s="23"/>
      <c r="D1760" s="23"/>
      <c r="E1760" s="23"/>
    </row>
    <row r="1761">
      <c r="B1761" s="23"/>
      <c r="C1761" s="23"/>
      <c r="D1761" s="23"/>
      <c r="E1761" s="23"/>
    </row>
    <row r="1762">
      <c r="B1762" s="23"/>
      <c r="C1762" s="23"/>
      <c r="D1762" s="23"/>
      <c r="E1762" s="23"/>
    </row>
    <row r="1763">
      <c r="B1763" s="23"/>
      <c r="C1763" s="23"/>
      <c r="D1763" s="23"/>
      <c r="E1763" s="23"/>
    </row>
    <row r="1764">
      <c r="B1764" s="23"/>
      <c r="C1764" s="23"/>
      <c r="D1764" s="23"/>
      <c r="E1764" s="23"/>
    </row>
    <row r="1765">
      <c r="B1765" s="23"/>
      <c r="C1765" s="23"/>
      <c r="D1765" s="23"/>
      <c r="E1765" s="23"/>
    </row>
    <row r="1766">
      <c r="B1766" s="23"/>
      <c r="C1766" s="23"/>
      <c r="D1766" s="23"/>
      <c r="E1766" s="23"/>
    </row>
    <row r="1767">
      <c r="B1767" s="23"/>
      <c r="C1767" s="23"/>
      <c r="D1767" s="23"/>
      <c r="E1767" s="23"/>
    </row>
    <row r="1768">
      <c r="B1768" s="23"/>
      <c r="C1768" s="23"/>
      <c r="D1768" s="23"/>
      <c r="E1768" s="23"/>
    </row>
    <row r="1769">
      <c r="B1769" s="23"/>
      <c r="C1769" s="23"/>
      <c r="D1769" s="23"/>
      <c r="E1769" s="23"/>
    </row>
    <row r="1770">
      <c r="B1770" s="23"/>
      <c r="C1770" s="23"/>
      <c r="D1770" s="23"/>
      <c r="E1770" s="23"/>
    </row>
    <row r="1771">
      <c r="B1771" s="23"/>
      <c r="C1771" s="23"/>
      <c r="D1771" s="23"/>
      <c r="E1771" s="23"/>
    </row>
    <row r="1772">
      <c r="B1772" s="23"/>
      <c r="C1772" s="23"/>
      <c r="D1772" s="23"/>
      <c r="E1772" s="23"/>
    </row>
    <row r="1773">
      <c r="B1773" s="23"/>
      <c r="C1773" s="23"/>
      <c r="D1773" s="23"/>
      <c r="E1773" s="23"/>
    </row>
    <row r="1774">
      <c r="B1774" s="23"/>
      <c r="C1774" s="23"/>
      <c r="D1774" s="23"/>
      <c r="E1774" s="23"/>
    </row>
    <row r="1775">
      <c r="B1775" s="23"/>
      <c r="C1775" s="23"/>
      <c r="D1775" s="23"/>
      <c r="E1775" s="23"/>
    </row>
    <row r="1776">
      <c r="B1776" s="23"/>
      <c r="C1776" s="23"/>
      <c r="D1776" s="23"/>
      <c r="E1776" s="23"/>
    </row>
    <row r="1777">
      <c r="B1777" s="23"/>
      <c r="C1777" s="23"/>
      <c r="D1777" s="23"/>
      <c r="E1777" s="23"/>
    </row>
    <row r="1778">
      <c r="B1778" s="23"/>
      <c r="C1778" s="23"/>
      <c r="D1778" s="23"/>
      <c r="E1778" s="23"/>
    </row>
    <row r="1779">
      <c r="B1779" s="23"/>
      <c r="C1779" s="23"/>
      <c r="D1779" s="23"/>
      <c r="E1779" s="23"/>
    </row>
    <row r="1780">
      <c r="B1780" s="23"/>
      <c r="C1780" s="23"/>
      <c r="D1780" s="23"/>
      <c r="E1780" s="23"/>
    </row>
    <row r="1781">
      <c r="B1781" s="23"/>
      <c r="C1781" s="23"/>
      <c r="D1781" s="23"/>
      <c r="E1781" s="23"/>
    </row>
    <row r="1782">
      <c r="B1782" s="23"/>
      <c r="C1782" s="23"/>
      <c r="D1782" s="23"/>
      <c r="E1782" s="23"/>
    </row>
    <row r="1783">
      <c r="B1783" s="23"/>
      <c r="C1783" s="23"/>
      <c r="D1783" s="23"/>
      <c r="E1783" s="23"/>
    </row>
    <row r="1784">
      <c r="B1784" s="23"/>
      <c r="C1784" s="23"/>
      <c r="D1784" s="23"/>
      <c r="E1784" s="23"/>
    </row>
    <row r="1785">
      <c r="B1785" s="23"/>
      <c r="C1785" s="23"/>
      <c r="D1785" s="23"/>
      <c r="E1785" s="23"/>
    </row>
    <row r="1786">
      <c r="B1786" s="23"/>
      <c r="C1786" s="23"/>
      <c r="D1786" s="23"/>
      <c r="E1786" s="23"/>
    </row>
    <row r="1787">
      <c r="B1787" s="23"/>
      <c r="C1787" s="23"/>
      <c r="D1787" s="23"/>
      <c r="E1787" s="23"/>
    </row>
    <row r="1788">
      <c r="B1788" s="23"/>
      <c r="C1788" s="23"/>
      <c r="D1788" s="23"/>
      <c r="E1788" s="23"/>
    </row>
    <row r="1789">
      <c r="B1789" s="23"/>
      <c r="C1789" s="23"/>
      <c r="D1789" s="23"/>
      <c r="E1789" s="23"/>
    </row>
    <row r="1790">
      <c r="B1790" s="23"/>
      <c r="C1790" s="23"/>
      <c r="D1790" s="23"/>
      <c r="E1790" s="23"/>
    </row>
    <row r="1791">
      <c r="B1791" s="23"/>
      <c r="C1791" s="23"/>
      <c r="D1791" s="23"/>
      <c r="E1791" s="23"/>
    </row>
    <row r="1792">
      <c r="B1792" s="23"/>
      <c r="C1792" s="23"/>
      <c r="D1792" s="23"/>
      <c r="E1792" s="23"/>
    </row>
    <row r="1793">
      <c r="B1793" s="23"/>
      <c r="C1793" s="23"/>
      <c r="D1793" s="23"/>
      <c r="E1793" s="23"/>
    </row>
    <row r="1794">
      <c r="B1794" s="23"/>
      <c r="C1794" s="23"/>
      <c r="D1794" s="23"/>
      <c r="E1794" s="23"/>
    </row>
    <row r="1795">
      <c r="B1795" s="23"/>
      <c r="C1795" s="23"/>
      <c r="D1795" s="23"/>
      <c r="E1795" s="23"/>
    </row>
    <row r="1796">
      <c r="B1796" s="23"/>
      <c r="C1796" s="23"/>
      <c r="D1796" s="23"/>
      <c r="E1796" s="23"/>
    </row>
    <row r="1797">
      <c r="B1797" s="23"/>
      <c r="C1797" s="23"/>
      <c r="D1797" s="23"/>
      <c r="E1797" s="23"/>
    </row>
    <row r="1798">
      <c r="B1798" s="23"/>
      <c r="C1798" s="23"/>
      <c r="D1798" s="23"/>
      <c r="E1798" s="23"/>
    </row>
    <row r="1799">
      <c r="B1799" s="23"/>
      <c r="C1799" s="23"/>
      <c r="D1799" s="23"/>
      <c r="E1799" s="23"/>
    </row>
    <row r="1800">
      <c r="B1800" s="23"/>
      <c r="C1800" s="23"/>
      <c r="D1800" s="23"/>
      <c r="E1800" s="23"/>
    </row>
    <row r="1801">
      <c r="B1801" s="23"/>
      <c r="C1801" s="23"/>
      <c r="D1801" s="23"/>
      <c r="E1801" s="23"/>
    </row>
    <row r="1802">
      <c r="B1802" s="23"/>
      <c r="C1802" s="23"/>
      <c r="D1802" s="23"/>
      <c r="E1802" s="23"/>
    </row>
    <row r="1803">
      <c r="B1803" s="23"/>
      <c r="C1803" s="23"/>
      <c r="D1803" s="23"/>
      <c r="E1803" s="23"/>
    </row>
    <row r="1804">
      <c r="B1804" s="23"/>
      <c r="C1804" s="23"/>
      <c r="D1804" s="23"/>
      <c r="E1804" s="23"/>
    </row>
    <row r="1805">
      <c r="B1805" s="23"/>
      <c r="C1805" s="23"/>
      <c r="D1805" s="23"/>
      <c r="E1805" s="23"/>
    </row>
    <row r="1806">
      <c r="B1806" s="23"/>
      <c r="C1806" s="23"/>
      <c r="D1806" s="23"/>
      <c r="E1806" s="23"/>
    </row>
    <row r="1807">
      <c r="B1807" s="23"/>
      <c r="C1807" s="23"/>
      <c r="D1807" s="23"/>
      <c r="E1807" s="23"/>
    </row>
    <row r="1808">
      <c r="B1808" s="23"/>
      <c r="C1808" s="23"/>
      <c r="D1808" s="23"/>
      <c r="E1808" s="23"/>
    </row>
    <row r="1809">
      <c r="B1809" s="23"/>
      <c r="C1809" s="23"/>
      <c r="D1809" s="23"/>
      <c r="E1809" s="23"/>
    </row>
    <row r="1810">
      <c r="B1810" s="23"/>
      <c r="C1810" s="23"/>
      <c r="D1810" s="23"/>
      <c r="E1810" s="23"/>
    </row>
    <row r="1811">
      <c r="B1811" s="23"/>
      <c r="C1811" s="23"/>
      <c r="D1811" s="23"/>
      <c r="E1811" s="23"/>
    </row>
    <row r="1812">
      <c r="B1812" s="23"/>
      <c r="C1812" s="23"/>
      <c r="D1812" s="23"/>
      <c r="E1812" s="23"/>
    </row>
    <row r="1813">
      <c r="B1813" s="23"/>
      <c r="C1813" s="23"/>
      <c r="D1813" s="23"/>
      <c r="E1813" s="23"/>
    </row>
    <row r="1814">
      <c r="B1814" s="23"/>
      <c r="C1814" s="23"/>
      <c r="D1814" s="23"/>
      <c r="E1814" s="23"/>
    </row>
    <row r="1815">
      <c r="B1815" s="23"/>
      <c r="C1815" s="23"/>
      <c r="D1815" s="23"/>
      <c r="E1815" s="23"/>
    </row>
    <row r="1816">
      <c r="B1816" s="23"/>
      <c r="C1816" s="23"/>
      <c r="D1816" s="23"/>
      <c r="E1816" s="23"/>
    </row>
    <row r="1817">
      <c r="B1817" s="23"/>
      <c r="C1817" s="23"/>
      <c r="D1817" s="23"/>
      <c r="E1817" s="23"/>
    </row>
    <row r="1818">
      <c r="B1818" s="23"/>
      <c r="C1818" s="23"/>
      <c r="D1818" s="23"/>
      <c r="E1818" s="23"/>
    </row>
    <row r="1819">
      <c r="B1819" s="23"/>
      <c r="C1819" s="23"/>
      <c r="D1819" s="23"/>
      <c r="E1819" s="23"/>
    </row>
    <row r="1820">
      <c r="B1820" s="23"/>
      <c r="C1820" s="23"/>
      <c r="D1820" s="23"/>
      <c r="E1820" s="23"/>
    </row>
    <row r="1821">
      <c r="B1821" s="23"/>
      <c r="C1821" s="23"/>
      <c r="D1821" s="23"/>
      <c r="E1821" s="23"/>
    </row>
    <row r="1822">
      <c r="B1822" s="23"/>
      <c r="C1822" s="23"/>
      <c r="D1822" s="23"/>
      <c r="E1822" s="23"/>
    </row>
    <row r="1823">
      <c r="B1823" s="23"/>
      <c r="C1823" s="23"/>
      <c r="D1823" s="23"/>
      <c r="E1823" s="23"/>
    </row>
    <row r="1824">
      <c r="B1824" s="23"/>
      <c r="C1824" s="23"/>
      <c r="D1824" s="23"/>
      <c r="E1824" s="23"/>
    </row>
    <row r="1825">
      <c r="B1825" s="23"/>
      <c r="C1825" s="23"/>
      <c r="D1825" s="23"/>
      <c r="E1825" s="23"/>
    </row>
    <row r="1826">
      <c r="B1826" s="23"/>
      <c r="C1826" s="23"/>
      <c r="D1826" s="23"/>
      <c r="E1826" s="23"/>
    </row>
    <row r="1827">
      <c r="B1827" s="23"/>
      <c r="C1827" s="23"/>
      <c r="D1827" s="23"/>
      <c r="E1827" s="23"/>
    </row>
    <row r="1828">
      <c r="B1828" s="23"/>
      <c r="C1828" s="23"/>
      <c r="D1828" s="23"/>
      <c r="E1828" s="23"/>
    </row>
    <row r="1829">
      <c r="B1829" s="23"/>
      <c r="C1829" s="23"/>
      <c r="D1829" s="23"/>
      <c r="E1829" s="23"/>
    </row>
    <row r="1830">
      <c r="B1830" s="23"/>
      <c r="C1830" s="23"/>
      <c r="D1830" s="23"/>
      <c r="E1830" s="23"/>
    </row>
    <row r="1831">
      <c r="B1831" s="23"/>
      <c r="C1831" s="23"/>
      <c r="D1831" s="23"/>
      <c r="E1831" s="23"/>
    </row>
    <row r="1832">
      <c r="B1832" s="23"/>
      <c r="C1832" s="23"/>
      <c r="D1832" s="23"/>
      <c r="E1832" s="23"/>
    </row>
    <row r="1833">
      <c r="B1833" s="23"/>
      <c r="C1833" s="23"/>
      <c r="D1833" s="23"/>
      <c r="E1833" s="23"/>
    </row>
    <row r="1834">
      <c r="B1834" s="23"/>
      <c r="C1834" s="23"/>
      <c r="D1834" s="23"/>
      <c r="E1834" s="23"/>
    </row>
    <row r="1835">
      <c r="B1835" s="23"/>
      <c r="C1835" s="23"/>
      <c r="D1835" s="23"/>
      <c r="E1835" s="23"/>
    </row>
    <row r="1836">
      <c r="B1836" s="23"/>
      <c r="C1836" s="23"/>
      <c r="D1836" s="23"/>
      <c r="E1836" s="23"/>
    </row>
    <row r="1837">
      <c r="B1837" s="23"/>
      <c r="C1837" s="23"/>
      <c r="D1837" s="23"/>
      <c r="E1837" s="23"/>
    </row>
    <row r="1838">
      <c r="B1838" s="23"/>
      <c r="C1838" s="23"/>
      <c r="D1838" s="23"/>
      <c r="E1838" s="23"/>
    </row>
    <row r="1839">
      <c r="B1839" s="23"/>
      <c r="C1839" s="23"/>
      <c r="D1839" s="23"/>
      <c r="E1839" s="23"/>
    </row>
    <row r="1840">
      <c r="B1840" s="23"/>
      <c r="C1840" s="23"/>
      <c r="D1840" s="23"/>
      <c r="E1840" s="23"/>
    </row>
    <row r="1841">
      <c r="B1841" s="23"/>
      <c r="C1841" s="23"/>
      <c r="D1841" s="23"/>
      <c r="E1841" s="23"/>
    </row>
    <row r="1842">
      <c r="B1842" s="23"/>
      <c r="C1842" s="23"/>
      <c r="D1842" s="23"/>
      <c r="E1842" s="23"/>
    </row>
    <row r="1843">
      <c r="B1843" s="23"/>
      <c r="C1843" s="23"/>
      <c r="D1843" s="23"/>
      <c r="E1843" s="23"/>
    </row>
    <row r="1844">
      <c r="B1844" s="23"/>
      <c r="C1844" s="23"/>
      <c r="D1844" s="23"/>
      <c r="E1844" s="23"/>
    </row>
    <row r="1845">
      <c r="B1845" s="23"/>
      <c r="C1845" s="23"/>
      <c r="D1845" s="23"/>
      <c r="E1845" s="23"/>
    </row>
    <row r="1846">
      <c r="B1846" s="23"/>
      <c r="C1846" s="23"/>
      <c r="D1846" s="23"/>
      <c r="E1846" s="23"/>
    </row>
    <row r="1847">
      <c r="B1847" s="23"/>
      <c r="C1847" s="23"/>
      <c r="D1847" s="23"/>
      <c r="E1847" s="23"/>
    </row>
    <row r="1848">
      <c r="B1848" s="23"/>
      <c r="C1848" s="23"/>
      <c r="D1848" s="23"/>
      <c r="E1848" s="23"/>
    </row>
    <row r="1849">
      <c r="B1849" s="23"/>
      <c r="C1849" s="23"/>
      <c r="D1849" s="23"/>
      <c r="E1849" s="23"/>
    </row>
    <row r="1850">
      <c r="B1850" s="23"/>
      <c r="C1850" s="23"/>
      <c r="D1850" s="23"/>
      <c r="E1850" s="23"/>
    </row>
    <row r="1851">
      <c r="B1851" s="23"/>
      <c r="C1851" s="23"/>
      <c r="D1851" s="23"/>
      <c r="E1851" s="23"/>
    </row>
    <row r="1852">
      <c r="B1852" s="23"/>
      <c r="C1852" s="23"/>
      <c r="D1852" s="23"/>
      <c r="E1852" s="23"/>
    </row>
    <row r="1853">
      <c r="B1853" s="23"/>
      <c r="C1853" s="23"/>
      <c r="D1853" s="23"/>
      <c r="E1853" s="23"/>
    </row>
    <row r="1854">
      <c r="B1854" s="23"/>
      <c r="C1854" s="23"/>
      <c r="D1854" s="23"/>
      <c r="E1854" s="23"/>
    </row>
    <row r="1855">
      <c r="B1855" s="23"/>
      <c r="C1855" s="23"/>
      <c r="D1855" s="23"/>
      <c r="E1855" s="23"/>
    </row>
    <row r="1856">
      <c r="B1856" s="23"/>
      <c r="C1856" s="23"/>
      <c r="D1856" s="23"/>
      <c r="E1856" s="23"/>
    </row>
    <row r="1857">
      <c r="B1857" s="23"/>
      <c r="C1857" s="23"/>
      <c r="D1857" s="23"/>
      <c r="E1857" s="23"/>
    </row>
    <row r="1858">
      <c r="B1858" s="23"/>
      <c r="C1858" s="23"/>
      <c r="D1858" s="23"/>
      <c r="E1858" s="23"/>
    </row>
    <row r="1859">
      <c r="B1859" s="23"/>
      <c r="C1859" s="23"/>
      <c r="D1859" s="23"/>
      <c r="E1859" s="23"/>
    </row>
    <row r="1860">
      <c r="B1860" s="23"/>
      <c r="C1860" s="23"/>
      <c r="D1860" s="23"/>
      <c r="E1860" s="23"/>
    </row>
    <row r="1861">
      <c r="B1861" s="23"/>
      <c r="C1861" s="23"/>
      <c r="D1861" s="23"/>
      <c r="E1861" s="23"/>
    </row>
    <row r="1862">
      <c r="B1862" s="23"/>
      <c r="C1862" s="23"/>
      <c r="D1862" s="23"/>
      <c r="E1862" s="23"/>
    </row>
    <row r="1863">
      <c r="B1863" s="23"/>
      <c r="C1863" s="23"/>
      <c r="D1863" s="23"/>
      <c r="E1863" s="23"/>
    </row>
    <row r="1864">
      <c r="B1864" s="23"/>
      <c r="C1864" s="23"/>
      <c r="D1864" s="23"/>
      <c r="E1864" s="23"/>
    </row>
    <row r="1865">
      <c r="B1865" s="23"/>
      <c r="C1865" s="23"/>
      <c r="D1865" s="23"/>
      <c r="E1865" s="23"/>
    </row>
    <row r="1866">
      <c r="B1866" s="23"/>
      <c r="C1866" s="23"/>
      <c r="D1866" s="23"/>
      <c r="E1866" s="23"/>
    </row>
    <row r="1867">
      <c r="B1867" s="23"/>
      <c r="C1867" s="23"/>
      <c r="D1867" s="23"/>
      <c r="E1867" s="23"/>
    </row>
    <row r="1868">
      <c r="B1868" s="23"/>
      <c r="C1868" s="23"/>
      <c r="D1868" s="23"/>
      <c r="E1868" s="23"/>
    </row>
    <row r="1869">
      <c r="B1869" s="23"/>
      <c r="C1869" s="23"/>
      <c r="D1869" s="23"/>
      <c r="E1869" s="23"/>
    </row>
    <row r="1870">
      <c r="B1870" s="23"/>
      <c r="C1870" s="23"/>
      <c r="D1870" s="23"/>
      <c r="E1870" s="23"/>
    </row>
    <row r="1871">
      <c r="B1871" s="23"/>
      <c r="C1871" s="23"/>
      <c r="D1871" s="23"/>
      <c r="E1871" s="23"/>
    </row>
    <row r="1872">
      <c r="B1872" s="23"/>
      <c r="C1872" s="23"/>
      <c r="D1872" s="23"/>
      <c r="E1872" s="23"/>
    </row>
    <row r="1873">
      <c r="B1873" s="23"/>
      <c r="C1873" s="23"/>
      <c r="D1873" s="23"/>
      <c r="E1873" s="23"/>
    </row>
    <row r="1874">
      <c r="B1874" s="23"/>
      <c r="C1874" s="23"/>
      <c r="D1874" s="23"/>
      <c r="E1874" s="23"/>
    </row>
    <row r="1875">
      <c r="B1875" s="23"/>
      <c r="C1875" s="23"/>
      <c r="D1875" s="23"/>
      <c r="E1875" s="23"/>
    </row>
    <row r="1876">
      <c r="B1876" s="23"/>
      <c r="C1876" s="23"/>
      <c r="D1876" s="23"/>
      <c r="E1876" s="23"/>
    </row>
    <row r="1877">
      <c r="B1877" s="23"/>
      <c r="C1877" s="23"/>
      <c r="D1877" s="23"/>
      <c r="E1877" s="23"/>
    </row>
    <row r="1878">
      <c r="B1878" s="23"/>
      <c r="C1878" s="23"/>
      <c r="D1878" s="23"/>
      <c r="E1878" s="23"/>
    </row>
    <row r="1879">
      <c r="B1879" s="23"/>
      <c r="C1879" s="23"/>
      <c r="D1879" s="23"/>
      <c r="E1879" s="23"/>
    </row>
    <row r="1880">
      <c r="B1880" s="23"/>
      <c r="C1880" s="23"/>
      <c r="D1880" s="23"/>
      <c r="E1880" s="23"/>
    </row>
    <row r="1881">
      <c r="B1881" s="23"/>
      <c r="C1881" s="23"/>
      <c r="D1881" s="23"/>
      <c r="E1881" s="23"/>
    </row>
    <row r="1882">
      <c r="B1882" s="23"/>
      <c r="C1882" s="23"/>
      <c r="D1882" s="23"/>
      <c r="E1882" s="23"/>
    </row>
    <row r="1883">
      <c r="B1883" s="23"/>
      <c r="C1883" s="23"/>
      <c r="D1883" s="23"/>
      <c r="E1883" s="23"/>
    </row>
    <row r="1884">
      <c r="B1884" s="23"/>
      <c r="C1884" s="23"/>
      <c r="D1884" s="23"/>
      <c r="E1884" s="23"/>
    </row>
    <row r="1885">
      <c r="B1885" s="23"/>
      <c r="C1885" s="23"/>
      <c r="D1885" s="23"/>
      <c r="E1885" s="23"/>
    </row>
    <row r="1886">
      <c r="B1886" s="23"/>
      <c r="C1886" s="23"/>
      <c r="D1886" s="23"/>
      <c r="E1886" s="23"/>
    </row>
    <row r="1887">
      <c r="B1887" s="23"/>
      <c r="C1887" s="23"/>
      <c r="D1887" s="23"/>
      <c r="E1887" s="23"/>
    </row>
    <row r="1888">
      <c r="B1888" s="23"/>
      <c r="C1888" s="23"/>
      <c r="D1888" s="23"/>
      <c r="E1888" s="23"/>
    </row>
    <row r="1889">
      <c r="B1889" s="23"/>
      <c r="C1889" s="23"/>
      <c r="D1889" s="23"/>
      <c r="E1889" s="23"/>
    </row>
    <row r="1890">
      <c r="B1890" s="23"/>
      <c r="C1890" s="23"/>
      <c r="D1890" s="23"/>
      <c r="E1890" s="23"/>
    </row>
    <row r="1891">
      <c r="B1891" s="23"/>
      <c r="C1891" s="23"/>
      <c r="D1891" s="23"/>
      <c r="E1891" s="23"/>
    </row>
    <row r="1892">
      <c r="B1892" s="23"/>
      <c r="C1892" s="23"/>
      <c r="D1892" s="23"/>
      <c r="E1892" s="23"/>
    </row>
    <row r="1893">
      <c r="B1893" s="23"/>
      <c r="C1893" s="23"/>
      <c r="D1893" s="23"/>
      <c r="E1893" s="23"/>
    </row>
    <row r="1894">
      <c r="B1894" s="23"/>
      <c r="C1894" s="23"/>
      <c r="D1894" s="23"/>
      <c r="E1894" s="23"/>
    </row>
    <row r="1895">
      <c r="B1895" s="23"/>
      <c r="C1895" s="23"/>
      <c r="D1895" s="23"/>
      <c r="E1895" s="23"/>
    </row>
    <row r="1896">
      <c r="B1896" s="23"/>
      <c r="C1896" s="23"/>
      <c r="D1896" s="23"/>
      <c r="E1896" s="23"/>
    </row>
    <row r="1897">
      <c r="B1897" s="23"/>
      <c r="C1897" s="23"/>
      <c r="D1897" s="23"/>
      <c r="E1897" s="23"/>
    </row>
    <row r="1898">
      <c r="B1898" s="23"/>
      <c r="C1898" s="23"/>
      <c r="D1898" s="23"/>
      <c r="E1898" s="23"/>
    </row>
    <row r="1899">
      <c r="B1899" s="23"/>
      <c r="C1899" s="23"/>
      <c r="D1899" s="23"/>
      <c r="E1899" s="23"/>
    </row>
    <row r="1900">
      <c r="B1900" s="23"/>
      <c r="C1900" s="23"/>
      <c r="D1900" s="23"/>
      <c r="E1900" s="23"/>
    </row>
    <row r="1901">
      <c r="B1901" s="23"/>
      <c r="C1901" s="23"/>
      <c r="D1901" s="23"/>
      <c r="E1901" s="23"/>
    </row>
    <row r="1902">
      <c r="B1902" s="23"/>
      <c r="C1902" s="23"/>
      <c r="D1902" s="23"/>
      <c r="E1902" s="23"/>
    </row>
    <row r="1903">
      <c r="B1903" s="23"/>
      <c r="C1903" s="23"/>
      <c r="D1903" s="23"/>
      <c r="E1903" s="23"/>
    </row>
    <row r="1904">
      <c r="B1904" s="23"/>
      <c r="C1904" s="23"/>
      <c r="D1904" s="23"/>
      <c r="E1904" s="23"/>
    </row>
    <row r="1905">
      <c r="B1905" s="23"/>
      <c r="C1905" s="23"/>
      <c r="D1905" s="23"/>
      <c r="E1905" s="23"/>
    </row>
    <row r="1906">
      <c r="B1906" s="23"/>
      <c r="C1906" s="23"/>
      <c r="D1906" s="23"/>
      <c r="E1906" s="23"/>
    </row>
    <row r="1907">
      <c r="B1907" s="23"/>
      <c r="C1907" s="23"/>
      <c r="D1907" s="23"/>
      <c r="E1907" s="23"/>
    </row>
    <row r="1908">
      <c r="B1908" s="23"/>
      <c r="C1908" s="23"/>
      <c r="D1908" s="23"/>
      <c r="E1908" s="23"/>
    </row>
    <row r="1909">
      <c r="B1909" s="23"/>
      <c r="C1909" s="23"/>
      <c r="D1909" s="23"/>
      <c r="E1909" s="23"/>
    </row>
    <row r="1910">
      <c r="B1910" s="23"/>
      <c r="C1910" s="23"/>
      <c r="D1910" s="23"/>
      <c r="E1910" s="23"/>
    </row>
    <row r="1911">
      <c r="B1911" s="23"/>
      <c r="C1911" s="23"/>
      <c r="D1911" s="23"/>
      <c r="E1911" s="23"/>
    </row>
    <row r="1912">
      <c r="B1912" s="23"/>
      <c r="C1912" s="23"/>
      <c r="D1912" s="23"/>
      <c r="E1912" s="23"/>
    </row>
    <row r="1913">
      <c r="B1913" s="23"/>
      <c r="C1913" s="23"/>
      <c r="D1913" s="23"/>
      <c r="E1913" s="23"/>
    </row>
    <row r="1914">
      <c r="B1914" s="23"/>
      <c r="C1914" s="23"/>
      <c r="D1914" s="23"/>
      <c r="E1914" s="23"/>
    </row>
    <row r="1915">
      <c r="B1915" s="23"/>
      <c r="C1915" s="23"/>
      <c r="D1915" s="23"/>
      <c r="E1915" s="23"/>
    </row>
    <row r="1916">
      <c r="B1916" s="23"/>
      <c r="C1916" s="23"/>
      <c r="D1916" s="23"/>
      <c r="E1916" s="23"/>
    </row>
    <row r="1917">
      <c r="B1917" s="23"/>
      <c r="C1917" s="23"/>
      <c r="D1917" s="23"/>
      <c r="E1917" s="23"/>
    </row>
    <row r="1918">
      <c r="B1918" s="23"/>
      <c r="C1918" s="23"/>
      <c r="D1918" s="23"/>
      <c r="E1918" s="23"/>
    </row>
    <row r="1919">
      <c r="B1919" s="23"/>
      <c r="C1919" s="23"/>
      <c r="D1919" s="23"/>
      <c r="E1919" s="23"/>
    </row>
    <row r="1920">
      <c r="B1920" s="23"/>
      <c r="C1920" s="23"/>
      <c r="D1920" s="23"/>
      <c r="E1920" s="23"/>
    </row>
    <row r="1921">
      <c r="B1921" s="23"/>
      <c r="C1921" s="23"/>
      <c r="D1921" s="23"/>
      <c r="E1921" s="23"/>
    </row>
    <row r="1922">
      <c r="B1922" s="23"/>
      <c r="C1922" s="23"/>
      <c r="D1922" s="23"/>
      <c r="E1922" s="23"/>
    </row>
    <row r="1923">
      <c r="B1923" s="23"/>
      <c r="C1923" s="23"/>
      <c r="D1923" s="23"/>
      <c r="E1923" s="23"/>
    </row>
    <row r="1924">
      <c r="B1924" s="23"/>
      <c r="C1924" s="23"/>
      <c r="D1924" s="23"/>
      <c r="E1924" s="23"/>
    </row>
    <row r="1925">
      <c r="B1925" s="23"/>
      <c r="C1925" s="23"/>
      <c r="D1925" s="23"/>
      <c r="E1925" s="23"/>
    </row>
    <row r="1926">
      <c r="B1926" s="23"/>
      <c r="C1926" s="23"/>
      <c r="D1926" s="23"/>
      <c r="E1926" s="23"/>
    </row>
    <row r="1927">
      <c r="B1927" s="23"/>
      <c r="C1927" s="23"/>
      <c r="D1927" s="23"/>
      <c r="E1927" s="23"/>
    </row>
    <row r="1928">
      <c r="B1928" s="23"/>
      <c r="C1928" s="23"/>
      <c r="D1928" s="23"/>
      <c r="E1928" s="23"/>
    </row>
    <row r="1929">
      <c r="B1929" s="23"/>
      <c r="C1929" s="23"/>
      <c r="D1929" s="23"/>
      <c r="E1929" s="23"/>
    </row>
    <row r="1930">
      <c r="B1930" s="23"/>
      <c r="C1930" s="23"/>
      <c r="D1930" s="23"/>
      <c r="E1930" s="23"/>
    </row>
    <row r="1931">
      <c r="B1931" s="23"/>
      <c r="C1931" s="23"/>
      <c r="D1931" s="23"/>
      <c r="E1931" s="23"/>
    </row>
    <row r="1932">
      <c r="B1932" s="23"/>
      <c r="C1932" s="23"/>
      <c r="D1932" s="23"/>
      <c r="E1932" s="23"/>
    </row>
    <row r="1933">
      <c r="B1933" s="23"/>
      <c r="C1933" s="23"/>
      <c r="D1933" s="23"/>
      <c r="E1933" s="23"/>
    </row>
    <row r="1934">
      <c r="B1934" s="23"/>
      <c r="C1934" s="23"/>
      <c r="D1934" s="23"/>
      <c r="E1934" s="23"/>
    </row>
    <row r="1935">
      <c r="B1935" s="23"/>
      <c r="C1935" s="23"/>
      <c r="D1935" s="23"/>
      <c r="E1935" s="23"/>
    </row>
    <row r="1936">
      <c r="B1936" s="23"/>
      <c r="C1936" s="23"/>
      <c r="D1936" s="23"/>
      <c r="E1936" s="23"/>
    </row>
    <row r="1937">
      <c r="B1937" s="23"/>
      <c r="C1937" s="23"/>
      <c r="D1937" s="23"/>
      <c r="E1937" s="23"/>
    </row>
    <row r="1938">
      <c r="B1938" s="23"/>
      <c r="C1938" s="23"/>
      <c r="D1938" s="23"/>
      <c r="E1938" s="23"/>
    </row>
    <row r="1939">
      <c r="B1939" s="23"/>
      <c r="C1939" s="23"/>
      <c r="D1939" s="23"/>
      <c r="E1939" s="23"/>
    </row>
    <row r="1940">
      <c r="B1940" s="23"/>
      <c r="C1940" s="23"/>
      <c r="D1940" s="23"/>
      <c r="E1940" s="23"/>
    </row>
    <row r="1941">
      <c r="B1941" s="23"/>
      <c r="C1941" s="23"/>
      <c r="D1941" s="23"/>
      <c r="E1941" s="23"/>
    </row>
    <row r="1942">
      <c r="B1942" s="23"/>
      <c r="C1942" s="23"/>
      <c r="D1942" s="23"/>
      <c r="E1942" s="23"/>
    </row>
    <row r="1943">
      <c r="B1943" s="23"/>
      <c r="C1943" s="23"/>
      <c r="D1943" s="23"/>
      <c r="E1943" s="23"/>
    </row>
    <row r="1944">
      <c r="B1944" s="23"/>
      <c r="C1944" s="23"/>
      <c r="D1944" s="23"/>
      <c r="E1944" s="23"/>
    </row>
    <row r="1945">
      <c r="B1945" s="23"/>
      <c r="C1945" s="23"/>
      <c r="D1945" s="23"/>
      <c r="E1945" s="23"/>
    </row>
    <row r="1946">
      <c r="B1946" s="23"/>
      <c r="C1946" s="23"/>
      <c r="D1946" s="23"/>
      <c r="E1946" s="23"/>
    </row>
    <row r="1947">
      <c r="B1947" s="23"/>
      <c r="C1947" s="23"/>
      <c r="D1947" s="23"/>
      <c r="E1947" s="23"/>
    </row>
    <row r="1948">
      <c r="B1948" s="23"/>
      <c r="C1948" s="23"/>
      <c r="D1948" s="23"/>
      <c r="E1948" s="23"/>
    </row>
    <row r="1949">
      <c r="B1949" s="23"/>
      <c r="C1949" s="23"/>
      <c r="D1949" s="23"/>
      <c r="E1949" s="23"/>
    </row>
    <row r="1950">
      <c r="B1950" s="23"/>
      <c r="C1950" s="23"/>
      <c r="D1950" s="23"/>
      <c r="E1950" s="23"/>
    </row>
    <row r="1951">
      <c r="B1951" s="23"/>
      <c r="C1951" s="23"/>
      <c r="D1951" s="23"/>
      <c r="E1951" s="23"/>
    </row>
    <row r="1952">
      <c r="B1952" s="23"/>
      <c r="C1952" s="23"/>
      <c r="D1952" s="23"/>
      <c r="E1952" s="23"/>
    </row>
    <row r="1953">
      <c r="B1953" s="23"/>
      <c r="C1953" s="23"/>
      <c r="D1953" s="23"/>
      <c r="E1953" s="23"/>
    </row>
    <row r="1954">
      <c r="B1954" s="23"/>
      <c r="C1954" s="23"/>
      <c r="D1954" s="23"/>
      <c r="E1954" s="23"/>
    </row>
    <row r="1955">
      <c r="B1955" s="23"/>
      <c r="C1955" s="23"/>
      <c r="D1955" s="23"/>
      <c r="E1955" s="23"/>
    </row>
    <row r="1956">
      <c r="B1956" s="23"/>
      <c r="C1956" s="23"/>
      <c r="D1956" s="23"/>
      <c r="E1956" s="23"/>
    </row>
    <row r="1957">
      <c r="B1957" s="23"/>
      <c r="C1957" s="23"/>
      <c r="D1957" s="23"/>
      <c r="E1957" s="23"/>
    </row>
    <row r="1958">
      <c r="B1958" s="23"/>
      <c r="C1958" s="23"/>
      <c r="D1958" s="23"/>
      <c r="E1958" s="23"/>
    </row>
    <row r="1959">
      <c r="B1959" s="23"/>
      <c r="C1959" s="23"/>
      <c r="D1959" s="23"/>
      <c r="E1959" s="23"/>
    </row>
    <row r="1960">
      <c r="B1960" s="23"/>
      <c r="C1960" s="23"/>
      <c r="D1960" s="23"/>
      <c r="E1960" s="23"/>
    </row>
    <row r="1961">
      <c r="B1961" s="23"/>
      <c r="C1961" s="23"/>
      <c r="D1961" s="23"/>
      <c r="E1961" s="23"/>
    </row>
    <row r="1962">
      <c r="B1962" s="23"/>
      <c r="C1962" s="23"/>
      <c r="D1962" s="23"/>
      <c r="E1962" s="23"/>
    </row>
    <row r="1963">
      <c r="B1963" s="23"/>
      <c r="C1963" s="23"/>
      <c r="D1963" s="23"/>
      <c r="E1963" s="23"/>
    </row>
    <row r="1964">
      <c r="B1964" s="23"/>
      <c r="C1964" s="23"/>
      <c r="D1964" s="23"/>
      <c r="E1964" s="23"/>
    </row>
    <row r="1965">
      <c r="B1965" s="23"/>
      <c r="C1965" s="23"/>
      <c r="D1965" s="23"/>
      <c r="E1965" s="23"/>
    </row>
    <row r="1966">
      <c r="B1966" s="23"/>
      <c r="C1966" s="23"/>
      <c r="D1966" s="23"/>
      <c r="E1966" s="23"/>
    </row>
    <row r="1967">
      <c r="B1967" s="23"/>
      <c r="C1967" s="23"/>
      <c r="D1967" s="23"/>
      <c r="E1967" s="23"/>
    </row>
    <row r="1968">
      <c r="B1968" s="23"/>
      <c r="C1968" s="23"/>
      <c r="D1968" s="23"/>
      <c r="E1968" s="23"/>
    </row>
    <row r="1969">
      <c r="B1969" s="23"/>
      <c r="C1969" s="23"/>
      <c r="D1969" s="23"/>
      <c r="E1969" s="23"/>
    </row>
    <row r="1970">
      <c r="B1970" s="23"/>
      <c r="C1970" s="23"/>
      <c r="D1970" s="23"/>
      <c r="E1970" s="23"/>
    </row>
    <row r="1971">
      <c r="B1971" s="23"/>
      <c r="C1971" s="23"/>
      <c r="D1971" s="23"/>
      <c r="E1971" s="23"/>
    </row>
    <row r="1972">
      <c r="B1972" s="23"/>
      <c r="C1972" s="23"/>
      <c r="D1972" s="23"/>
      <c r="E1972" s="23"/>
    </row>
    <row r="1973">
      <c r="B1973" s="23"/>
      <c r="C1973" s="23"/>
      <c r="D1973" s="23"/>
      <c r="E1973" s="23"/>
    </row>
    <row r="1974">
      <c r="B1974" s="23"/>
      <c r="C1974" s="23"/>
      <c r="D1974" s="23"/>
      <c r="E1974" s="23"/>
    </row>
    <row r="1975">
      <c r="B1975" s="23"/>
      <c r="C1975" s="23"/>
      <c r="D1975" s="23"/>
      <c r="E1975" s="23"/>
    </row>
    <row r="1976">
      <c r="B1976" s="23"/>
      <c r="C1976" s="23"/>
      <c r="D1976" s="23"/>
      <c r="E1976" s="23"/>
    </row>
    <row r="1977">
      <c r="B1977" s="23"/>
      <c r="C1977" s="23"/>
      <c r="D1977" s="23"/>
      <c r="E1977" s="23"/>
    </row>
    <row r="1978">
      <c r="B1978" s="23"/>
      <c r="C1978" s="23"/>
      <c r="D1978" s="23"/>
      <c r="E1978" s="23"/>
    </row>
    <row r="1979">
      <c r="B1979" s="23"/>
      <c r="C1979" s="23"/>
      <c r="D1979" s="23"/>
      <c r="E1979" s="23"/>
    </row>
    <row r="1980">
      <c r="B1980" s="23"/>
      <c r="C1980" s="23"/>
      <c r="D1980" s="23"/>
      <c r="E1980" s="23"/>
    </row>
    <row r="1981">
      <c r="B1981" s="23"/>
      <c r="C1981" s="23"/>
      <c r="D1981" s="23"/>
      <c r="E1981" s="23"/>
    </row>
    <row r="1982">
      <c r="B1982" s="23"/>
      <c r="C1982" s="23"/>
      <c r="D1982" s="23"/>
      <c r="E1982" s="23"/>
    </row>
    <row r="1983">
      <c r="B1983" s="23"/>
      <c r="C1983" s="23"/>
      <c r="D1983" s="23"/>
      <c r="E1983" s="23"/>
    </row>
    <row r="1984">
      <c r="B1984" s="23"/>
      <c r="C1984" s="23"/>
      <c r="D1984" s="23"/>
      <c r="E1984" s="23"/>
    </row>
    <row r="1985">
      <c r="B1985" s="23"/>
      <c r="C1985" s="23"/>
      <c r="D1985" s="23"/>
      <c r="E1985" s="23"/>
    </row>
    <row r="1986">
      <c r="B1986" s="23"/>
      <c r="C1986" s="23"/>
      <c r="D1986" s="23"/>
      <c r="E1986" s="23"/>
    </row>
    <row r="1987">
      <c r="B1987" s="23"/>
      <c r="C1987" s="23"/>
      <c r="D1987" s="23"/>
      <c r="E1987" s="23"/>
    </row>
    <row r="1988">
      <c r="B1988" s="23"/>
      <c r="C1988" s="23"/>
      <c r="D1988" s="23"/>
      <c r="E1988" s="23"/>
    </row>
    <row r="1989">
      <c r="B1989" s="23"/>
      <c r="C1989" s="23"/>
      <c r="D1989" s="23"/>
      <c r="E1989" s="23"/>
    </row>
    <row r="1990">
      <c r="B1990" s="23"/>
      <c r="C1990" s="23"/>
      <c r="D1990" s="23"/>
      <c r="E1990" s="23"/>
    </row>
    <row r="1991">
      <c r="B1991" s="23"/>
      <c r="C1991" s="23"/>
      <c r="D1991" s="23"/>
      <c r="E1991" s="23"/>
    </row>
    <row r="1992">
      <c r="B1992" s="23"/>
      <c r="C1992" s="23"/>
      <c r="D1992" s="23"/>
      <c r="E1992" s="23"/>
    </row>
    <row r="1993">
      <c r="B1993" s="23"/>
      <c r="C1993" s="23"/>
      <c r="D1993" s="23"/>
      <c r="E1993" s="23"/>
    </row>
    <row r="1994">
      <c r="B1994" s="23"/>
      <c r="C1994" s="23"/>
      <c r="D1994" s="23"/>
      <c r="E1994" s="23"/>
    </row>
    <row r="1995">
      <c r="B1995" s="23"/>
      <c r="C1995" s="23"/>
      <c r="D1995" s="23"/>
      <c r="E1995" s="23"/>
    </row>
    <row r="1996">
      <c r="B1996" s="23"/>
      <c r="C1996" s="23"/>
      <c r="D1996" s="23"/>
      <c r="E1996" s="23"/>
    </row>
    <row r="1997">
      <c r="B1997" s="23"/>
      <c r="C1997" s="23"/>
      <c r="D1997" s="23"/>
      <c r="E1997" s="23"/>
    </row>
    <row r="1998">
      <c r="B1998" s="23"/>
      <c r="C1998" s="23"/>
      <c r="D1998" s="23"/>
      <c r="E1998" s="23"/>
    </row>
    <row r="1999">
      <c r="B1999" s="23"/>
      <c r="C1999" s="23"/>
      <c r="D1999" s="23"/>
      <c r="E1999" s="23"/>
    </row>
    <row r="2000">
      <c r="B2000" s="23"/>
      <c r="C2000" s="23"/>
      <c r="D2000" s="23"/>
      <c r="E2000" s="23"/>
    </row>
    <row r="2001">
      <c r="B2001" s="23"/>
      <c r="C2001" s="23"/>
      <c r="D2001" s="23"/>
      <c r="E2001" s="23"/>
    </row>
    <row r="2002">
      <c r="B2002" s="23"/>
      <c r="C2002" s="23"/>
      <c r="D2002" s="23"/>
      <c r="E2002" s="23"/>
    </row>
    <row r="2003">
      <c r="B2003" s="23"/>
      <c r="C2003" s="23"/>
      <c r="D2003" s="23"/>
      <c r="E2003" s="23"/>
    </row>
    <row r="2004">
      <c r="B2004" s="23"/>
      <c r="C2004" s="23"/>
      <c r="D2004" s="23"/>
      <c r="E2004" s="23"/>
    </row>
    <row r="2005">
      <c r="B2005" s="23"/>
      <c r="C2005" s="23"/>
      <c r="D2005" s="23"/>
      <c r="E2005" s="23"/>
    </row>
    <row r="2006">
      <c r="B2006" s="23"/>
      <c r="C2006" s="23"/>
      <c r="D2006" s="23"/>
      <c r="E2006" s="23"/>
    </row>
    <row r="2007">
      <c r="B2007" s="23"/>
      <c r="C2007" s="23"/>
      <c r="D2007" s="23"/>
      <c r="E2007" s="23"/>
    </row>
    <row r="2008">
      <c r="B2008" s="23"/>
      <c r="C2008" s="23"/>
      <c r="D2008" s="23"/>
      <c r="E2008" s="23"/>
    </row>
    <row r="2009">
      <c r="B2009" s="23"/>
      <c r="C2009" s="23"/>
      <c r="D2009" s="23"/>
      <c r="E2009" s="23"/>
    </row>
    <row r="2010">
      <c r="B2010" s="23"/>
      <c r="C2010" s="23"/>
      <c r="D2010" s="23"/>
      <c r="E2010" s="23"/>
    </row>
    <row r="2011">
      <c r="B2011" s="23"/>
      <c r="C2011" s="23"/>
      <c r="D2011" s="23"/>
      <c r="E2011" s="23"/>
    </row>
    <row r="2012">
      <c r="B2012" s="23"/>
      <c r="C2012" s="23"/>
      <c r="D2012" s="23"/>
      <c r="E2012" s="23"/>
    </row>
    <row r="2013">
      <c r="B2013" s="23"/>
      <c r="C2013" s="23"/>
      <c r="D2013" s="23"/>
      <c r="E2013" s="23"/>
    </row>
    <row r="2014">
      <c r="B2014" s="23"/>
      <c r="C2014" s="23"/>
      <c r="D2014" s="23"/>
      <c r="E2014" s="23"/>
    </row>
    <row r="2015">
      <c r="B2015" s="23"/>
      <c r="C2015" s="23"/>
      <c r="D2015" s="23"/>
      <c r="E2015" s="23"/>
    </row>
    <row r="2016">
      <c r="B2016" s="23"/>
      <c r="C2016" s="23"/>
      <c r="D2016" s="23"/>
      <c r="E2016" s="23"/>
    </row>
    <row r="2017">
      <c r="B2017" s="23"/>
      <c r="C2017" s="23"/>
      <c r="D2017" s="23"/>
      <c r="E2017" s="23"/>
    </row>
    <row r="2018">
      <c r="B2018" s="23"/>
      <c r="C2018" s="23"/>
      <c r="D2018" s="23"/>
      <c r="E2018" s="23"/>
    </row>
    <row r="2019">
      <c r="B2019" s="23"/>
      <c r="C2019" s="23"/>
      <c r="D2019" s="23"/>
      <c r="E2019" s="23"/>
    </row>
    <row r="2020">
      <c r="B2020" s="23"/>
      <c r="C2020" s="23"/>
      <c r="D2020" s="23"/>
      <c r="E2020" s="23"/>
    </row>
    <row r="2021">
      <c r="B2021" s="23"/>
      <c r="C2021" s="23"/>
      <c r="D2021" s="23"/>
      <c r="E2021" s="23"/>
    </row>
    <row r="2022">
      <c r="B2022" s="23"/>
      <c r="C2022" s="23"/>
      <c r="D2022" s="23"/>
      <c r="E2022" s="23"/>
    </row>
    <row r="2023">
      <c r="B2023" s="23"/>
      <c r="C2023" s="23"/>
      <c r="D2023" s="23"/>
      <c r="E2023" s="23"/>
    </row>
    <row r="2024">
      <c r="B2024" s="23"/>
      <c r="C2024" s="23"/>
      <c r="D2024" s="23"/>
      <c r="E2024" s="23"/>
    </row>
    <row r="2025">
      <c r="B2025" s="23"/>
      <c r="C2025" s="23"/>
      <c r="D2025" s="23"/>
      <c r="E2025" s="23"/>
    </row>
    <row r="2026">
      <c r="B2026" s="23"/>
      <c r="C2026" s="23"/>
      <c r="D2026" s="23"/>
      <c r="E2026" s="23"/>
    </row>
    <row r="2027">
      <c r="B2027" s="23"/>
      <c r="C2027" s="23"/>
      <c r="D2027" s="23"/>
      <c r="E2027" s="23"/>
    </row>
    <row r="2028">
      <c r="B2028" s="23"/>
      <c r="C2028" s="23"/>
      <c r="D2028" s="23"/>
      <c r="E2028" s="23"/>
    </row>
    <row r="2029">
      <c r="B2029" s="23"/>
      <c r="C2029" s="23"/>
      <c r="D2029" s="23"/>
      <c r="E2029" s="23"/>
    </row>
    <row r="2030">
      <c r="B2030" s="23"/>
      <c r="C2030" s="23"/>
      <c r="D2030" s="23"/>
      <c r="E2030" s="23"/>
    </row>
    <row r="2031">
      <c r="B2031" s="23"/>
      <c r="C2031" s="23"/>
      <c r="D2031" s="23"/>
      <c r="E2031" s="23"/>
    </row>
    <row r="2032">
      <c r="B2032" s="23"/>
      <c r="C2032" s="23"/>
      <c r="D2032" s="23"/>
      <c r="E2032" s="23"/>
    </row>
    <row r="2033">
      <c r="B2033" s="23"/>
      <c r="C2033" s="23"/>
      <c r="D2033" s="23"/>
      <c r="E2033" s="23"/>
    </row>
    <row r="2034">
      <c r="B2034" s="23"/>
      <c r="C2034" s="23"/>
      <c r="D2034" s="23"/>
      <c r="E2034" s="23"/>
    </row>
    <row r="2035">
      <c r="B2035" s="23"/>
      <c r="C2035" s="23"/>
      <c r="D2035" s="23"/>
      <c r="E2035" s="23"/>
    </row>
    <row r="2036">
      <c r="B2036" s="23"/>
      <c r="C2036" s="23"/>
      <c r="D2036" s="23"/>
      <c r="E2036" s="23"/>
    </row>
    <row r="2037">
      <c r="B2037" s="23"/>
      <c r="C2037" s="23"/>
      <c r="D2037" s="23"/>
      <c r="E2037" s="23"/>
    </row>
    <row r="2038">
      <c r="B2038" s="23"/>
      <c r="C2038" s="23"/>
      <c r="D2038" s="23"/>
      <c r="E2038" s="23"/>
    </row>
    <row r="2039">
      <c r="B2039" s="23"/>
      <c r="C2039" s="23"/>
      <c r="D2039" s="23"/>
      <c r="E2039" s="23"/>
    </row>
    <row r="2040">
      <c r="B2040" s="23"/>
      <c r="C2040" s="23"/>
      <c r="D2040" s="23"/>
      <c r="E2040" s="23"/>
    </row>
    <row r="2041">
      <c r="B2041" s="23"/>
      <c r="C2041" s="23"/>
      <c r="D2041" s="23"/>
      <c r="E2041" s="23"/>
    </row>
    <row r="2042">
      <c r="B2042" s="23"/>
      <c r="C2042" s="23"/>
      <c r="D2042" s="23"/>
      <c r="E2042" s="23"/>
    </row>
    <row r="2043">
      <c r="B2043" s="23"/>
      <c r="C2043" s="23"/>
      <c r="D2043" s="23"/>
      <c r="E2043" s="23"/>
    </row>
    <row r="2044">
      <c r="B2044" s="23"/>
      <c r="C2044" s="23"/>
      <c r="D2044" s="23"/>
      <c r="E2044" s="23"/>
    </row>
    <row r="2045">
      <c r="B2045" s="23"/>
      <c r="C2045" s="23"/>
      <c r="D2045" s="23"/>
      <c r="E2045" s="23"/>
    </row>
    <row r="2046">
      <c r="B2046" s="23"/>
      <c r="C2046" s="23"/>
      <c r="D2046" s="23"/>
      <c r="E2046" s="23"/>
    </row>
    <row r="2047">
      <c r="B2047" s="23"/>
      <c r="C2047" s="23"/>
      <c r="D2047" s="23"/>
      <c r="E2047" s="23"/>
    </row>
    <row r="2048">
      <c r="B2048" s="23"/>
      <c r="C2048" s="23"/>
      <c r="D2048" s="23"/>
      <c r="E2048" s="23"/>
    </row>
    <row r="2049">
      <c r="B2049" s="23"/>
      <c r="C2049" s="23"/>
      <c r="D2049" s="23"/>
      <c r="E2049" s="23"/>
    </row>
    <row r="2050">
      <c r="B2050" s="23"/>
      <c r="C2050" s="23"/>
      <c r="D2050" s="23"/>
      <c r="E2050" s="23"/>
    </row>
    <row r="2051">
      <c r="B2051" s="23"/>
      <c r="C2051" s="23"/>
      <c r="D2051" s="23"/>
      <c r="E2051" s="23"/>
    </row>
    <row r="2052">
      <c r="B2052" s="23"/>
      <c r="C2052" s="23"/>
      <c r="D2052" s="23"/>
      <c r="E2052" s="23"/>
    </row>
    <row r="2053">
      <c r="B2053" s="23"/>
      <c r="C2053" s="23"/>
      <c r="D2053" s="23"/>
      <c r="E2053" s="23"/>
    </row>
    <row r="2054">
      <c r="B2054" s="23"/>
      <c r="C2054" s="23"/>
      <c r="D2054" s="23"/>
      <c r="E2054" s="23"/>
    </row>
    <row r="2055">
      <c r="B2055" s="23"/>
      <c r="C2055" s="23"/>
      <c r="D2055" s="23"/>
      <c r="E2055" s="23"/>
    </row>
    <row r="2056">
      <c r="B2056" s="23"/>
      <c r="C2056" s="23"/>
      <c r="D2056" s="23"/>
      <c r="E2056" s="23"/>
    </row>
    <row r="2057">
      <c r="B2057" s="23"/>
      <c r="C2057" s="23"/>
      <c r="D2057" s="23"/>
      <c r="E2057" s="23"/>
    </row>
    <row r="2058">
      <c r="B2058" s="23"/>
      <c r="C2058" s="23"/>
      <c r="D2058" s="23"/>
      <c r="E2058" s="23"/>
    </row>
    <row r="2059">
      <c r="B2059" s="23"/>
      <c r="C2059" s="23"/>
      <c r="D2059" s="23"/>
      <c r="E2059" s="23"/>
    </row>
    <row r="2060">
      <c r="B2060" s="23"/>
      <c r="C2060" s="23"/>
      <c r="D2060" s="23"/>
      <c r="E2060" s="23"/>
    </row>
    <row r="2061">
      <c r="B2061" s="23"/>
      <c r="C2061" s="23"/>
      <c r="D2061" s="23"/>
      <c r="E2061" s="23"/>
    </row>
    <row r="2062">
      <c r="B2062" s="23"/>
      <c r="C2062" s="23"/>
      <c r="D2062" s="23"/>
      <c r="E2062" s="23"/>
    </row>
    <row r="2063">
      <c r="B2063" s="23"/>
      <c r="C2063" s="23"/>
      <c r="D2063" s="23"/>
      <c r="E2063" s="23"/>
    </row>
    <row r="2064">
      <c r="B2064" s="23"/>
      <c r="C2064" s="23"/>
      <c r="D2064" s="23"/>
      <c r="E2064" s="23"/>
    </row>
    <row r="2065">
      <c r="B2065" s="23"/>
      <c r="C2065" s="23"/>
      <c r="D2065" s="23"/>
      <c r="E2065" s="23"/>
    </row>
    <row r="2066">
      <c r="B2066" s="23"/>
      <c r="C2066" s="23"/>
      <c r="D2066" s="23"/>
      <c r="E2066" s="23"/>
    </row>
    <row r="2067">
      <c r="B2067" s="23"/>
      <c r="C2067" s="23"/>
      <c r="D2067" s="23"/>
      <c r="E2067" s="23"/>
    </row>
    <row r="2068">
      <c r="B2068" s="23"/>
      <c r="C2068" s="23"/>
      <c r="D2068" s="23"/>
      <c r="E2068" s="23"/>
    </row>
    <row r="2069">
      <c r="B2069" s="23"/>
      <c r="C2069" s="23"/>
      <c r="D2069" s="23"/>
      <c r="E2069" s="23"/>
    </row>
    <row r="2070">
      <c r="B2070" s="23"/>
      <c r="C2070" s="23"/>
      <c r="D2070" s="23"/>
      <c r="E2070" s="23"/>
    </row>
    <row r="2071">
      <c r="B2071" s="23"/>
      <c r="C2071" s="23"/>
      <c r="D2071" s="23"/>
      <c r="E2071" s="23"/>
    </row>
    <row r="2072">
      <c r="B2072" s="23"/>
      <c r="C2072" s="23"/>
      <c r="D2072" s="23"/>
      <c r="E2072" s="23"/>
    </row>
    <row r="2073">
      <c r="B2073" s="23"/>
      <c r="C2073" s="23"/>
      <c r="D2073" s="23"/>
      <c r="E2073" s="23"/>
    </row>
    <row r="2074">
      <c r="B2074" s="23"/>
      <c r="C2074" s="23"/>
      <c r="D2074" s="23"/>
      <c r="E2074" s="23"/>
    </row>
    <row r="2075">
      <c r="B2075" s="23"/>
      <c r="C2075" s="23"/>
      <c r="D2075" s="23"/>
      <c r="E2075" s="23"/>
    </row>
    <row r="2076">
      <c r="B2076" s="23"/>
      <c r="C2076" s="23"/>
      <c r="D2076" s="23"/>
      <c r="E2076" s="23"/>
    </row>
    <row r="2077">
      <c r="B2077" s="23"/>
      <c r="C2077" s="23"/>
      <c r="D2077" s="23"/>
      <c r="E2077" s="23"/>
    </row>
    <row r="2078">
      <c r="B2078" s="23"/>
      <c r="C2078" s="23"/>
      <c r="D2078" s="23"/>
      <c r="E2078" s="23"/>
    </row>
    <row r="2079">
      <c r="B2079" s="23"/>
      <c r="C2079" s="23"/>
      <c r="D2079" s="23"/>
      <c r="E2079" s="23"/>
    </row>
    <row r="2080">
      <c r="B2080" s="23"/>
      <c r="C2080" s="23"/>
      <c r="D2080" s="23"/>
      <c r="E2080" s="23"/>
    </row>
    <row r="2081">
      <c r="B2081" s="23"/>
      <c r="C2081" s="23"/>
      <c r="D2081" s="23"/>
      <c r="E2081" s="23"/>
    </row>
    <row r="2082">
      <c r="B2082" s="23"/>
      <c r="C2082" s="23"/>
      <c r="D2082" s="23"/>
      <c r="E2082" s="23"/>
    </row>
    <row r="2083">
      <c r="B2083" s="23"/>
      <c r="C2083" s="23"/>
      <c r="D2083" s="23"/>
      <c r="E2083" s="23"/>
    </row>
    <row r="2084">
      <c r="B2084" s="23"/>
      <c r="C2084" s="23"/>
      <c r="D2084" s="23"/>
      <c r="E2084" s="23"/>
    </row>
    <row r="2085">
      <c r="B2085" s="23"/>
      <c r="C2085" s="23"/>
      <c r="D2085" s="23"/>
      <c r="E2085" s="23"/>
    </row>
    <row r="2086">
      <c r="B2086" s="23"/>
      <c r="C2086" s="23"/>
      <c r="D2086" s="23"/>
      <c r="E2086" s="23"/>
    </row>
    <row r="2087">
      <c r="B2087" s="23"/>
      <c r="C2087" s="23"/>
      <c r="D2087" s="23"/>
      <c r="E2087" s="23"/>
    </row>
    <row r="2088">
      <c r="B2088" s="23"/>
      <c r="C2088" s="23"/>
      <c r="D2088" s="23"/>
      <c r="E2088" s="23"/>
    </row>
    <row r="2089">
      <c r="B2089" s="23"/>
      <c r="C2089" s="23"/>
      <c r="D2089" s="23"/>
      <c r="E2089" s="23"/>
    </row>
    <row r="2090">
      <c r="B2090" s="23"/>
      <c r="C2090" s="23"/>
      <c r="D2090" s="23"/>
      <c r="E2090" s="23"/>
    </row>
    <row r="2091">
      <c r="B2091" s="23"/>
      <c r="C2091" s="23"/>
      <c r="D2091" s="23"/>
      <c r="E2091" s="23"/>
    </row>
    <row r="2092">
      <c r="B2092" s="23"/>
      <c r="C2092" s="23"/>
      <c r="D2092" s="23"/>
      <c r="E2092" s="23"/>
    </row>
    <row r="2093">
      <c r="B2093" s="23"/>
      <c r="C2093" s="23"/>
      <c r="D2093" s="23"/>
      <c r="E2093" s="23"/>
    </row>
    <row r="2094">
      <c r="B2094" s="23"/>
      <c r="C2094" s="23"/>
      <c r="D2094" s="23"/>
      <c r="E2094" s="23"/>
    </row>
    <row r="2095">
      <c r="B2095" s="23"/>
      <c r="C2095" s="23"/>
      <c r="D2095" s="23"/>
      <c r="E2095" s="23"/>
    </row>
    <row r="2096">
      <c r="B2096" s="23"/>
      <c r="C2096" s="23"/>
      <c r="D2096" s="23"/>
      <c r="E2096" s="23"/>
    </row>
    <row r="2097">
      <c r="B2097" s="23"/>
      <c r="C2097" s="23"/>
      <c r="D2097" s="23"/>
      <c r="E2097" s="23"/>
    </row>
    <row r="2098">
      <c r="B2098" s="23"/>
      <c r="C2098" s="23"/>
      <c r="D2098" s="23"/>
      <c r="E2098" s="23"/>
    </row>
    <row r="2099">
      <c r="B2099" s="23"/>
      <c r="C2099" s="23"/>
      <c r="D2099" s="23"/>
      <c r="E2099" s="23"/>
    </row>
    <row r="2100">
      <c r="B2100" s="23"/>
      <c r="C2100" s="23"/>
      <c r="D2100" s="23"/>
      <c r="E2100" s="23"/>
    </row>
    <row r="2101">
      <c r="B2101" s="23"/>
      <c r="C2101" s="23"/>
      <c r="D2101" s="23"/>
      <c r="E2101" s="23"/>
    </row>
    <row r="2102">
      <c r="B2102" s="23"/>
      <c r="C2102" s="23"/>
      <c r="D2102" s="23"/>
      <c r="E2102" s="23"/>
    </row>
    <row r="2103">
      <c r="B2103" s="23"/>
      <c r="C2103" s="23"/>
      <c r="D2103" s="23"/>
      <c r="E2103" s="23"/>
    </row>
    <row r="2104">
      <c r="B2104" s="23"/>
      <c r="C2104" s="23"/>
      <c r="D2104" s="23"/>
      <c r="E2104" s="23"/>
    </row>
    <row r="2105">
      <c r="B2105" s="23"/>
      <c r="C2105" s="23"/>
      <c r="D2105" s="23"/>
      <c r="E2105" s="23"/>
    </row>
    <row r="2106">
      <c r="B2106" s="23"/>
      <c r="C2106" s="23"/>
      <c r="D2106" s="23"/>
      <c r="E2106" s="23"/>
    </row>
    <row r="2107">
      <c r="B2107" s="23"/>
      <c r="C2107" s="23"/>
      <c r="D2107" s="23"/>
      <c r="E2107" s="23"/>
    </row>
    <row r="2108">
      <c r="B2108" s="23"/>
      <c r="C2108" s="23"/>
      <c r="D2108" s="23"/>
      <c r="E2108" s="23"/>
    </row>
    <row r="2109">
      <c r="B2109" s="23"/>
      <c r="C2109" s="23"/>
      <c r="D2109" s="23"/>
      <c r="E2109" s="23"/>
    </row>
    <row r="2110">
      <c r="B2110" s="23"/>
      <c r="C2110" s="23"/>
      <c r="D2110" s="23"/>
      <c r="E2110" s="23"/>
    </row>
    <row r="2111">
      <c r="B2111" s="23"/>
      <c r="C2111" s="23"/>
      <c r="D2111" s="23"/>
      <c r="E2111" s="23"/>
    </row>
    <row r="2112">
      <c r="B2112" s="23"/>
      <c r="C2112" s="23"/>
      <c r="D2112" s="23"/>
      <c r="E2112" s="23"/>
    </row>
    <row r="2113">
      <c r="B2113" s="23"/>
      <c r="C2113" s="23"/>
      <c r="D2113" s="23"/>
      <c r="E2113" s="23"/>
    </row>
    <row r="2114">
      <c r="B2114" s="23"/>
      <c r="C2114" s="23"/>
      <c r="D2114" s="23"/>
      <c r="E2114" s="23"/>
    </row>
    <row r="2115">
      <c r="B2115" s="23"/>
      <c r="C2115" s="23"/>
      <c r="D2115" s="23"/>
      <c r="E2115" s="23"/>
    </row>
    <row r="2116">
      <c r="B2116" s="23"/>
      <c r="C2116" s="23"/>
      <c r="D2116" s="23"/>
      <c r="E2116" s="23"/>
    </row>
    <row r="2117">
      <c r="B2117" s="23"/>
      <c r="C2117" s="23"/>
      <c r="D2117" s="23"/>
      <c r="E2117" s="23"/>
    </row>
    <row r="2118">
      <c r="B2118" s="23"/>
      <c r="C2118" s="23"/>
      <c r="D2118" s="23"/>
      <c r="E2118" s="23"/>
    </row>
    <row r="2119">
      <c r="B2119" s="23"/>
      <c r="C2119" s="23"/>
      <c r="D2119" s="23"/>
      <c r="E2119" s="23"/>
    </row>
    <row r="2120">
      <c r="B2120" s="23"/>
      <c r="C2120" s="23"/>
      <c r="D2120" s="23"/>
      <c r="E2120" s="23"/>
    </row>
    <row r="2121">
      <c r="B2121" s="23"/>
      <c r="C2121" s="23"/>
      <c r="D2121" s="23"/>
      <c r="E2121" s="23"/>
    </row>
    <row r="2122">
      <c r="B2122" s="23"/>
      <c r="C2122" s="23"/>
      <c r="D2122" s="23"/>
      <c r="E2122" s="23"/>
    </row>
    <row r="2123">
      <c r="B2123" s="23"/>
      <c r="C2123" s="23"/>
      <c r="D2123" s="23"/>
      <c r="E2123" s="23"/>
    </row>
    <row r="2124">
      <c r="B2124" s="23"/>
      <c r="C2124" s="23"/>
      <c r="D2124" s="23"/>
      <c r="E2124" s="23"/>
    </row>
    <row r="2125">
      <c r="B2125" s="23"/>
      <c r="C2125" s="23"/>
      <c r="D2125" s="23"/>
      <c r="E2125" s="23"/>
    </row>
    <row r="2126">
      <c r="B2126" s="23"/>
      <c r="C2126" s="23"/>
      <c r="D2126" s="23"/>
      <c r="E2126" s="23"/>
    </row>
    <row r="2127">
      <c r="B2127" s="23"/>
      <c r="C2127" s="23"/>
      <c r="D2127" s="23"/>
      <c r="E2127" s="23"/>
    </row>
    <row r="2128">
      <c r="B2128" s="23"/>
      <c r="C2128" s="23"/>
      <c r="D2128" s="23"/>
      <c r="E2128" s="23"/>
    </row>
    <row r="2129">
      <c r="B2129" s="23"/>
      <c r="C2129" s="23"/>
      <c r="D2129" s="23"/>
      <c r="E2129" s="23"/>
    </row>
    <row r="2130">
      <c r="B2130" s="23"/>
      <c r="C2130" s="23"/>
      <c r="D2130" s="23"/>
      <c r="E2130" s="23"/>
    </row>
    <row r="2131">
      <c r="B2131" s="23"/>
      <c r="C2131" s="23"/>
      <c r="D2131" s="23"/>
      <c r="E2131" s="23"/>
    </row>
    <row r="2132">
      <c r="B2132" s="23"/>
      <c r="C2132" s="23"/>
      <c r="D2132" s="23"/>
      <c r="E2132" s="23"/>
    </row>
    <row r="2133">
      <c r="B2133" s="23"/>
      <c r="C2133" s="23"/>
      <c r="D2133" s="23"/>
      <c r="E2133" s="23"/>
    </row>
    <row r="2134">
      <c r="B2134" s="23"/>
      <c r="C2134" s="23"/>
      <c r="D2134" s="23"/>
      <c r="E2134" s="23"/>
    </row>
    <row r="2135">
      <c r="B2135" s="23"/>
      <c r="C2135" s="23"/>
      <c r="D2135" s="23"/>
      <c r="E2135" s="23"/>
    </row>
    <row r="2136">
      <c r="B2136" s="23"/>
      <c r="C2136" s="23"/>
      <c r="D2136" s="23"/>
      <c r="E2136" s="23"/>
    </row>
    <row r="2137">
      <c r="B2137" s="23"/>
      <c r="C2137" s="23"/>
      <c r="D2137" s="23"/>
      <c r="E2137" s="23"/>
    </row>
    <row r="2138">
      <c r="B2138" s="23"/>
      <c r="C2138" s="23"/>
      <c r="D2138" s="23"/>
      <c r="E2138" s="23"/>
    </row>
    <row r="2139">
      <c r="B2139" s="23"/>
      <c r="C2139" s="23"/>
      <c r="D2139" s="23"/>
      <c r="E2139" s="23"/>
    </row>
    <row r="2140">
      <c r="B2140" s="23"/>
      <c r="C2140" s="23"/>
      <c r="D2140" s="23"/>
      <c r="E2140" s="23"/>
    </row>
    <row r="2141">
      <c r="B2141" s="23"/>
      <c r="C2141" s="23"/>
      <c r="D2141" s="23"/>
      <c r="E2141" s="23"/>
    </row>
    <row r="2142">
      <c r="B2142" s="23"/>
      <c r="C2142" s="23"/>
      <c r="D2142" s="23"/>
      <c r="E2142" s="23"/>
    </row>
    <row r="2143">
      <c r="B2143" s="23"/>
      <c r="C2143" s="23"/>
      <c r="D2143" s="23"/>
      <c r="E2143" s="23"/>
    </row>
    <row r="2144">
      <c r="B2144" s="23"/>
      <c r="C2144" s="23"/>
      <c r="D2144" s="23"/>
      <c r="E2144" s="23"/>
    </row>
    <row r="2145">
      <c r="B2145" s="23"/>
      <c r="C2145" s="23"/>
      <c r="D2145" s="23"/>
      <c r="E2145" s="23"/>
    </row>
    <row r="2146">
      <c r="B2146" s="23"/>
      <c r="C2146" s="23"/>
      <c r="D2146" s="23"/>
      <c r="E2146" s="23"/>
    </row>
    <row r="2147">
      <c r="B2147" s="23"/>
      <c r="C2147" s="23"/>
      <c r="D2147" s="23"/>
      <c r="E2147" s="23"/>
    </row>
    <row r="2148">
      <c r="B2148" s="23"/>
      <c r="C2148" s="23"/>
      <c r="D2148" s="23"/>
      <c r="E2148" s="23"/>
    </row>
    <row r="2149">
      <c r="B2149" s="23"/>
      <c r="C2149" s="23"/>
      <c r="D2149" s="23"/>
      <c r="E2149" s="23"/>
    </row>
    <row r="2150">
      <c r="B2150" s="23"/>
      <c r="C2150" s="23"/>
      <c r="D2150" s="23"/>
      <c r="E2150" s="23"/>
    </row>
    <row r="2151">
      <c r="B2151" s="23"/>
      <c r="C2151" s="23"/>
      <c r="D2151" s="23"/>
      <c r="E2151" s="23"/>
    </row>
    <row r="2152">
      <c r="B2152" s="23"/>
      <c r="C2152" s="23"/>
      <c r="D2152" s="23"/>
      <c r="E2152" s="23"/>
    </row>
    <row r="2153">
      <c r="B2153" s="23"/>
      <c r="C2153" s="23"/>
      <c r="D2153" s="23"/>
      <c r="E2153" s="23"/>
    </row>
    <row r="2154">
      <c r="B2154" s="23"/>
      <c r="C2154" s="23"/>
      <c r="D2154" s="23"/>
      <c r="E2154" s="23"/>
    </row>
    <row r="2155">
      <c r="B2155" s="23"/>
      <c r="C2155" s="23"/>
      <c r="D2155" s="23"/>
      <c r="E2155" s="23"/>
    </row>
    <row r="2156">
      <c r="B2156" s="23"/>
      <c r="C2156" s="23"/>
      <c r="D2156" s="23"/>
      <c r="E2156" s="23"/>
    </row>
    <row r="2157">
      <c r="B2157" s="23"/>
      <c r="C2157" s="23"/>
      <c r="D2157" s="23"/>
      <c r="E2157" s="23"/>
    </row>
    <row r="2158">
      <c r="B2158" s="23"/>
      <c r="C2158" s="23"/>
      <c r="D2158" s="23"/>
      <c r="E2158" s="23"/>
    </row>
    <row r="2159">
      <c r="B2159" s="23"/>
      <c r="C2159" s="23"/>
      <c r="D2159" s="23"/>
      <c r="E2159" s="23"/>
    </row>
    <row r="2160">
      <c r="B2160" s="23"/>
      <c r="C2160" s="23"/>
      <c r="D2160" s="23"/>
      <c r="E2160" s="23"/>
    </row>
    <row r="2161">
      <c r="B2161" s="23"/>
      <c r="C2161" s="23"/>
      <c r="D2161" s="23"/>
      <c r="E2161" s="23"/>
    </row>
    <row r="2162">
      <c r="B2162" s="23"/>
      <c r="C2162" s="23"/>
      <c r="D2162" s="23"/>
      <c r="E2162" s="23"/>
    </row>
    <row r="2163">
      <c r="B2163" s="23"/>
      <c r="C2163" s="23"/>
      <c r="D2163" s="23"/>
      <c r="E2163" s="23"/>
    </row>
    <row r="2164">
      <c r="B2164" s="23"/>
      <c r="C2164" s="23"/>
      <c r="D2164" s="23"/>
      <c r="E2164" s="23"/>
    </row>
    <row r="2165">
      <c r="B2165" s="23"/>
      <c r="C2165" s="23"/>
      <c r="D2165" s="23"/>
      <c r="E2165" s="23"/>
    </row>
    <row r="2166">
      <c r="B2166" s="23"/>
      <c r="C2166" s="23"/>
      <c r="D2166" s="23"/>
      <c r="E2166" s="23"/>
    </row>
    <row r="2167">
      <c r="B2167" s="23"/>
      <c r="C2167" s="23"/>
      <c r="D2167" s="23"/>
      <c r="E2167" s="23"/>
    </row>
    <row r="2168">
      <c r="B2168" s="23"/>
      <c r="C2168" s="23"/>
      <c r="D2168" s="23"/>
      <c r="E2168" s="23"/>
    </row>
    <row r="2169">
      <c r="B2169" s="23"/>
      <c r="C2169" s="23"/>
      <c r="D2169" s="23"/>
      <c r="E2169" s="23"/>
    </row>
    <row r="2170">
      <c r="B2170" s="23"/>
      <c r="C2170" s="23"/>
      <c r="D2170" s="23"/>
      <c r="E2170" s="23"/>
    </row>
    <row r="2171">
      <c r="B2171" s="23"/>
      <c r="C2171" s="23"/>
      <c r="D2171" s="23"/>
      <c r="E2171" s="23"/>
    </row>
    <row r="2172">
      <c r="B2172" s="23"/>
      <c r="C2172" s="23"/>
      <c r="D2172" s="23"/>
      <c r="E2172" s="23"/>
    </row>
    <row r="2173">
      <c r="B2173" s="23"/>
      <c r="C2173" s="23"/>
      <c r="D2173" s="23"/>
      <c r="E2173" s="23"/>
    </row>
    <row r="2174">
      <c r="B2174" s="23"/>
      <c r="C2174" s="23"/>
      <c r="D2174" s="23"/>
      <c r="E2174" s="23"/>
    </row>
    <row r="2175">
      <c r="B2175" s="23"/>
      <c r="C2175" s="23"/>
      <c r="D2175" s="23"/>
      <c r="E2175" s="23"/>
    </row>
    <row r="2176">
      <c r="B2176" s="23"/>
      <c r="C2176" s="23"/>
      <c r="D2176" s="23"/>
      <c r="E2176" s="23"/>
    </row>
    <row r="2177">
      <c r="B2177" s="23"/>
      <c r="C2177" s="23"/>
      <c r="D2177" s="23"/>
      <c r="E2177" s="23"/>
    </row>
    <row r="2178">
      <c r="B2178" s="23"/>
      <c r="C2178" s="23"/>
      <c r="D2178" s="23"/>
      <c r="E2178" s="23"/>
    </row>
    <row r="2179">
      <c r="B2179" s="23"/>
      <c r="C2179" s="23"/>
      <c r="D2179" s="23"/>
      <c r="E2179" s="23"/>
    </row>
    <row r="2180">
      <c r="B2180" s="23"/>
      <c r="C2180" s="23"/>
      <c r="D2180" s="23"/>
      <c r="E2180" s="23"/>
    </row>
    <row r="2181">
      <c r="B2181" s="23"/>
      <c r="C2181" s="23"/>
      <c r="D2181" s="23"/>
      <c r="E2181" s="23"/>
    </row>
    <row r="2182">
      <c r="B2182" s="23"/>
      <c r="C2182" s="23"/>
      <c r="D2182" s="23"/>
      <c r="E2182" s="23"/>
    </row>
    <row r="2183">
      <c r="B2183" s="23"/>
      <c r="C2183" s="23"/>
      <c r="D2183" s="23"/>
      <c r="E2183" s="23"/>
    </row>
    <row r="2184">
      <c r="B2184" s="23"/>
      <c r="C2184" s="23"/>
      <c r="D2184" s="23"/>
      <c r="E2184" s="23"/>
    </row>
    <row r="2185">
      <c r="B2185" s="23"/>
      <c r="C2185" s="23"/>
      <c r="D2185" s="23"/>
      <c r="E2185" s="23"/>
    </row>
    <row r="2186">
      <c r="B2186" s="23"/>
      <c r="C2186" s="23"/>
      <c r="D2186" s="23"/>
      <c r="E2186" s="23"/>
    </row>
    <row r="2187">
      <c r="B2187" s="23"/>
      <c r="C2187" s="23"/>
      <c r="D2187" s="23"/>
      <c r="E2187" s="23"/>
    </row>
    <row r="2188">
      <c r="B2188" s="23"/>
      <c r="C2188" s="23"/>
      <c r="D2188" s="23"/>
      <c r="E2188" s="23"/>
    </row>
    <row r="2189">
      <c r="B2189" s="23"/>
      <c r="C2189" s="23"/>
      <c r="D2189" s="23"/>
      <c r="E2189" s="23"/>
    </row>
    <row r="2190">
      <c r="B2190" s="23"/>
      <c r="C2190" s="23"/>
      <c r="D2190" s="23"/>
      <c r="E2190" s="23"/>
    </row>
    <row r="2191">
      <c r="B2191" s="23"/>
      <c r="C2191" s="23"/>
      <c r="D2191" s="23"/>
      <c r="E2191" s="23"/>
    </row>
    <row r="2192">
      <c r="B2192" s="23"/>
      <c r="C2192" s="23"/>
      <c r="D2192" s="23"/>
      <c r="E2192" s="23"/>
    </row>
    <row r="2193">
      <c r="B2193" s="23"/>
      <c r="C2193" s="23"/>
      <c r="D2193" s="23"/>
      <c r="E2193" s="23"/>
    </row>
    <row r="2194">
      <c r="B2194" s="23"/>
      <c r="C2194" s="23"/>
      <c r="D2194" s="23"/>
      <c r="E2194" s="23"/>
    </row>
    <row r="2195">
      <c r="B2195" s="23"/>
      <c r="C2195" s="23"/>
      <c r="D2195" s="23"/>
      <c r="E2195" s="23"/>
    </row>
    <row r="2196">
      <c r="B2196" s="23"/>
      <c r="C2196" s="23"/>
      <c r="D2196" s="23"/>
      <c r="E2196" s="23"/>
    </row>
    <row r="2197">
      <c r="B2197" s="23"/>
      <c r="C2197" s="23"/>
      <c r="D2197" s="23"/>
      <c r="E2197" s="23"/>
    </row>
    <row r="2198">
      <c r="B2198" s="23"/>
      <c r="C2198" s="23"/>
      <c r="D2198" s="23"/>
      <c r="E2198" s="23"/>
    </row>
    <row r="2199">
      <c r="B2199" s="23"/>
      <c r="C2199" s="23"/>
      <c r="D2199" s="23"/>
      <c r="E2199" s="23"/>
    </row>
    <row r="2200">
      <c r="B2200" s="23"/>
      <c r="C2200" s="23"/>
      <c r="D2200" s="23"/>
      <c r="E2200" s="23"/>
    </row>
    <row r="2201">
      <c r="B2201" s="23"/>
      <c r="C2201" s="23"/>
      <c r="D2201" s="23"/>
      <c r="E2201" s="23"/>
    </row>
    <row r="2202">
      <c r="B2202" s="23"/>
      <c r="C2202" s="23"/>
      <c r="D2202" s="23"/>
      <c r="E2202" s="23"/>
    </row>
    <row r="2203">
      <c r="B2203" s="23"/>
      <c r="C2203" s="23"/>
      <c r="D2203" s="23"/>
      <c r="E2203" s="23"/>
    </row>
    <row r="2204">
      <c r="B2204" s="23"/>
      <c r="C2204" s="23"/>
      <c r="D2204" s="23"/>
      <c r="E2204" s="23"/>
    </row>
    <row r="2205">
      <c r="B2205" s="23"/>
      <c r="C2205" s="23"/>
      <c r="D2205" s="23"/>
      <c r="E2205" s="23"/>
    </row>
    <row r="2206">
      <c r="B2206" s="23"/>
      <c r="C2206" s="23"/>
      <c r="D2206" s="23"/>
      <c r="E2206" s="23"/>
    </row>
    <row r="2207">
      <c r="B2207" s="23"/>
      <c r="C2207" s="23"/>
      <c r="D2207" s="23"/>
      <c r="E2207" s="23"/>
    </row>
    <row r="2208">
      <c r="B2208" s="23"/>
      <c r="C2208" s="23"/>
      <c r="D2208" s="23"/>
      <c r="E2208" s="23"/>
    </row>
    <row r="2209">
      <c r="B2209" s="23"/>
      <c r="C2209" s="23"/>
      <c r="D2209" s="23"/>
      <c r="E2209" s="23"/>
    </row>
    <row r="2210">
      <c r="B2210" s="23"/>
      <c r="C2210" s="23"/>
      <c r="D2210" s="23"/>
      <c r="E2210" s="23"/>
    </row>
    <row r="2211">
      <c r="B2211" s="23"/>
      <c r="C2211" s="23"/>
      <c r="D2211" s="23"/>
      <c r="E2211" s="23"/>
    </row>
    <row r="2212">
      <c r="B2212" s="23"/>
      <c r="C2212" s="23"/>
      <c r="D2212" s="23"/>
      <c r="E2212" s="23"/>
    </row>
    <row r="2213">
      <c r="B2213" s="23"/>
      <c r="C2213" s="23"/>
      <c r="D2213" s="23"/>
      <c r="E2213" s="23"/>
    </row>
    <row r="2214">
      <c r="B2214" s="23"/>
      <c r="C2214" s="23"/>
      <c r="D2214" s="23"/>
      <c r="E2214" s="23"/>
    </row>
    <row r="2215">
      <c r="B2215" s="23"/>
      <c r="C2215" s="23"/>
      <c r="D2215" s="23"/>
      <c r="E2215" s="23"/>
    </row>
    <row r="2216">
      <c r="B2216" s="23"/>
      <c r="C2216" s="23"/>
      <c r="D2216" s="23"/>
      <c r="E2216" s="23"/>
    </row>
    <row r="2217">
      <c r="B2217" s="23"/>
      <c r="C2217" s="23"/>
      <c r="D2217" s="23"/>
      <c r="E2217" s="23"/>
    </row>
    <row r="2218">
      <c r="B2218" s="23"/>
      <c r="C2218" s="23"/>
      <c r="D2218" s="23"/>
      <c r="E2218" s="23"/>
    </row>
    <row r="2219">
      <c r="B2219" s="23"/>
      <c r="C2219" s="23"/>
      <c r="D2219" s="23"/>
      <c r="E2219" s="23"/>
    </row>
    <row r="2220">
      <c r="B2220" s="23"/>
      <c r="C2220" s="23"/>
      <c r="D2220" s="23"/>
      <c r="E2220" s="23"/>
    </row>
    <row r="2221">
      <c r="B2221" s="23"/>
      <c r="C2221" s="23"/>
      <c r="D2221" s="23"/>
      <c r="E2221" s="23"/>
    </row>
    <row r="2222">
      <c r="B2222" s="23"/>
      <c r="C2222" s="23"/>
      <c r="D2222" s="23"/>
      <c r="E2222" s="23"/>
    </row>
    <row r="2223">
      <c r="B2223" s="23"/>
      <c r="C2223" s="23"/>
      <c r="D2223" s="23"/>
      <c r="E2223" s="23"/>
    </row>
    <row r="2224">
      <c r="B2224" s="23"/>
      <c r="C2224" s="23"/>
      <c r="D2224" s="23"/>
      <c r="E2224" s="23"/>
    </row>
    <row r="2225">
      <c r="B2225" s="23"/>
      <c r="C2225" s="23"/>
      <c r="D2225" s="23"/>
      <c r="E2225" s="23"/>
    </row>
    <row r="2226">
      <c r="B2226" s="23"/>
      <c r="C2226" s="23"/>
      <c r="D2226" s="23"/>
      <c r="E2226" s="23"/>
    </row>
    <row r="2227">
      <c r="B2227" s="23"/>
      <c r="C2227" s="23"/>
      <c r="D2227" s="23"/>
      <c r="E2227" s="23"/>
    </row>
    <row r="2228">
      <c r="B2228" s="23"/>
      <c r="C2228" s="23"/>
      <c r="D2228" s="23"/>
      <c r="E2228" s="23"/>
    </row>
    <row r="2229">
      <c r="B2229" s="23"/>
      <c r="C2229" s="23"/>
      <c r="D2229" s="23"/>
      <c r="E2229" s="23"/>
    </row>
    <row r="2230">
      <c r="B2230" s="23"/>
      <c r="C2230" s="23"/>
      <c r="D2230" s="23"/>
      <c r="E2230" s="23"/>
    </row>
    <row r="2231">
      <c r="B2231" s="23"/>
      <c r="C2231" s="23"/>
      <c r="D2231" s="23"/>
      <c r="E2231" s="23"/>
    </row>
    <row r="2232">
      <c r="B2232" s="23"/>
      <c r="C2232" s="23"/>
      <c r="D2232" s="23"/>
      <c r="E2232" s="23"/>
    </row>
    <row r="2233">
      <c r="B2233" s="23"/>
      <c r="C2233" s="23"/>
      <c r="D2233" s="23"/>
      <c r="E2233" s="23"/>
    </row>
    <row r="2234">
      <c r="B2234" s="23"/>
      <c r="C2234" s="23"/>
      <c r="D2234" s="23"/>
      <c r="E2234" s="23"/>
    </row>
    <row r="2235">
      <c r="B2235" s="23"/>
      <c r="C2235" s="23"/>
      <c r="D2235" s="23"/>
      <c r="E2235" s="23"/>
    </row>
    <row r="2236">
      <c r="B2236" s="23"/>
      <c r="C2236" s="23"/>
      <c r="D2236" s="23"/>
      <c r="E2236" s="23"/>
    </row>
    <row r="2237">
      <c r="B2237" s="23"/>
      <c r="C2237" s="23"/>
      <c r="D2237" s="23"/>
      <c r="E2237" s="23"/>
    </row>
    <row r="2238">
      <c r="B2238" s="23"/>
      <c r="C2238" s="23"/>
      <c r="D2238" s="23"/>
      <c r="E2238" s="23"/>
    </row>
    <row r="2239">
      <c r="B2239" s="23"/>
      <c r="C2239" s="23"/>
      <c r="D2239" s="23"/>
      <c r="E2239" s="23"/>
    </row>
    <row r="2240">
      <c r="B2240" s="23"/>
      <c r="C2240" s="23"/>
      <c r="D2240" s="23"/>
      <c r="E2240" s="23"/>
    </row>
    <row r="2241">
      <c r="B2241" s="23"/>
      <c r="C2241" s="23"/>
      <c r="D2241" s="23"/>
      <c r="E2241" s="23"/>
    </row>
    <row r="2242">
      <c r="B2242" s="23"/>
      <c r="C2242" s="23"/>
      <c r="D2242" s="23"/>
      <c r="E2242" s="23"/>
    </row>
    <row r="2243">
      <c r="B2243" s="23"/>
      <c r="C2243" s="23"/>
      <c r="D2243" s="23"/>
      <c r="E2243" s="23"/>
    </row>
    <row r="2244">
      <c r="B2244" s="23"/>
      <c r="C2244" s="23"/>
      <c r="D2244" s="23"/>
      <c r="E2244" s="23"/>
    </row>
    <row r="2245">
      <c r="B2245" s="23"/>
      <c r="C2245" s="23"/>
      <c r="D2245" s="23"/>
      <c r="E2245" s="23"/>
    </row>
    <row r="2246">
      <c r="B2246" s="23"/>
      <c r="C2246" s="23"/>
      <c r="D2246" s="23"/>
      <c r="E2246" s="23"/>
    </row>
    <row r="2247">
      <c r="B2247" s="23"/>
      <c r="C2247" s="23"/>
      <c r="D2247" s="23"/>
      <c r="E2247" s="23"/>
    </row>
    <row r="2248">
      <c r="B2248" s="23"/>
      <c r="C2248" s="23"/>
      <c r="D2248" s="23"/>
      <c r="E2248" s="23"/>
    </row>
    <row r="2249">
      <c r="B2249" s="23"/>
      <c r="C2249" s="23"/>
      <c r="D2249" s="23"/>
      <c r="E2249" s="23"/>
    </row>
    <row r="2250">
      <c r="B2250" s="23"/>
      <c r="C2250" s="23"/>
      <c r="D2250" s="23"/>
      <c r="E2250" s="23"/>
    </row>
    <row r="2251">
      <c r="B2251" s="23"/>
      <c r="C2251" s="23"/>
      <c r="D2251" s="23"/>
      <c r="E2251" s="23"/>
    </row>
    <row r="2252">
      <c r="B2252" s="23"/>
      <c r="C2252" s="23"/>
      <c r="D2252" s="23"/>
      <c r="E2252" s="23"/>
    </row>
    <row r="2253">
      <c r="B2253" s="23"/>
      <c r="C2253" s="23"/>
      <c r="D2253" s="23"/>
      <c r="E2253" s="23"/>
    </row>
    <row r="2254">
      <c r="B2254" s="23"/>
      <c r="C2254" s="23"/>
      <c r="D2254" s="23"/>
      <c r="E2254" s="23"/>
    </row>
    <row r="2255">
      <c r="B2255" s="23"/>
      <c r="C2255" s="23"/>
      <c r="D2255" s="23"/>
      <c r="E2255" s="23"/>
    </row>
    <row r="2256">
      <c r="B2256" s="23"/>
      <c r="C2256" s="23"/>
      <c r="D2256" s="23"/>
      <c r="E2256" s="23"/>
    </row>
    <row r="2257">
      <c r="B2257" s="23"/>
      <c r="C2257" s="23"/>
      <c r="D2257" s="23"/>
      <c r="E2257" s="23"/>
    </row>
    <row r="2258">
      <c r="B2258" s="23"/>
      <c r="C2258" s="23"/>
      <c r="D2258" s="23"/>
      <c r="E2258" s="23"/>
    </row>
    <row r="2259">
      <c r="B2259" s="23"/>
      <c r="C2259" s="23"/>
      <c r="D2259" s="23"/>
      <c r="E2259" s="23"/>
    </row>
    <row r="2260">
      <c r="B2260" s="23"/>
      <c r="C2260" s="23"/>
      <c r="D2260" s="23"/>
      <c r="E2260" s="23"/>
    </row>
    <row r="2261">
      <c r="B2261" s="23"/>
      <c r="C2261" s="23"/>
      <c r="D2261" s="23"/>
      <c r="E2261" s="23"/>
    </row>
    <row r="2262">
      <c r="B2262" s="23"/>
      <c r="C2262" s="23"/>
      <c r="D2262" s="23"/>
      <c r="E2262" s="23"/>
    </row>
    <row r="2263">
      <c r="B2263" s="23"/>
      <c r="C2263" s="23"/>
      <c r="D2263" s="23"/>
      <c r="E2263" s="23"/>
    </row>
    <row r="2264">
      <c r="B2264" s="23"/>
      <c r="C2264" s="23"/>
      <c r="D2264" s="23"/>
      <c r="E2264" s="23"/>
    </row>
    <row r="2265">
      <c r="B2265" s="23"/>
      <c r="C2265" s="23"/>
      <c r="D2265" s="23"/>
      <c r="E2265" s="23"/>
    </row>
    <row r="2266">
      <c r="B2266" s="23"/>
      <c r="C2266" s="23"/>
      <c r="D2266" s="23"/>
      <c r="E2266" s="23"/>
    </row>
    <row r="2267">
      <c r="B2267" s="23"/>
      <c r="C2267" s="23"/>
      <c r="D2267" s="23"/>
      <c r="E2267" s="23"/>
    </row>
    <row r="2268">
      <c r="B2268" s="23"/>
      <c r="C2268" s="23"/>
      <c r="D2268" s="23"/>
      <c r="E2268" s="23"/>
    </row>
    <row r="2269">
      <c r="B2269" s="23"/>
      <c r="C2269" s="23"/>
      <c r="D2269" s="23"/>
      <c r="E2269" s="23"/>
    </row>
    <row r="2270">
      <c r="B2270" s="23"/>
      <c r="C2270" s="23"/>
      <c r="D2270" s="23"/>
      <c r="E2270" s="23"/>
    </row>
    <row r="2271">
      <c r="B2271" s="23"/>
      <c r="C2271" s="23"/>
      <c r="D2271" s="23"/>
      <c r="E2271" s="23"/>
    </row>
    <row r="2272">
      <c r="B2272" s="23"/>
      <c r="C2272" s="23"/>
      <c r="D2272" s="23"/>
      <c r="E2272" s="23"/>
    </row>
    <row r="2273">
      <c r="B2273" s="23"/>
      <c r="C2273" s="23"/>
      <c r="D2273" s="23"/>
      <c r="E2273" s="23"/>
    </row>
    <row r="2274">
      <c r="B2274" s="23"/>
      <c r="C2274" s="23"/>
      <c r="D2274" s="23"/>
      <c r="E2274" s="23"/>
    </row>
    <row r="2275">
      <c r="B2275" s="23"/>
      <c r="C2275" s="23"/>
      <c r="D2275" s="23"/>
      <c r="E2275" s="23"/>
    </row>
    <row r="2276">
      <c r="B2276" s="23"/>
      <c r="C2276" s="23"/>
      <c r="D2276" s="23"/>
      <c r="E2276" s="23"/>
    </row>
    <row r="2277">
      <c r="B2277" s="23"/>
      <c r="C2277" s="23"/>
      <c r="D2277" s="23"/>
      <c r="E2277" s="23"/>
    </row>
    <row r="2278">
      <c r="B2278" s="23"/>
      <c r="C2278" s="23"/>
      <c r="D2278" s="23"/>
      <c r="E2278" s="23"/>
    </row>
    <row r="2279">
      <c r="B2279" s="23"/>
      <c r="C2279" s="23"/>
      <c r="D2279" s="23"/>
      <c r="E2279" s="23"/>
    </row>
    <row r="2280">
      <c r="B2280" s="23"/>
      <c r="C2280" s="23"/>
      <c r="D2280" s="23"/>
      <c r="E2280" s="23"/>
    </row>
    <row r="2281">
      <c r="B2281" s="23"/>
      <c r="C2281" s="23"/>
      <c r="D2281" s="23"/>
      <c r="E2281" s="23"/>
    </row>
    <row r="2282">
      <c r="B2282" s="23"/>
      <c r="C2282" s="23"/>
      <c r="D2282" s="23"/>
      <c r="E2282" s="23"/>
    </row>
    <row r="2283">
      <c r="B2283" s="23"/>
      <c r="C2283" s="23"/>
      <c r="D2283" s="23"/>
      <c r="E2283" s="23"/>
    </row>
    <row r="2284">
      <c r="B2284" s="23"/>
      <c r="C2284" s="23"/>
      <c r="D2284" s="23"/>
      <c r="E2284" s="23"/>
    </row>
    <row r="2285">
      <c r="B2285" s="23"/>
      <c r="C2285" s="23"/>
      <c r="D2285" s="23"/>
      <c r="E2285" s="23"/>
    </row>
    <row r="2286">
      <c r="B2286" s="23"/>
      <c r="C2286" s="23"/>
      <c r="D2286" s="23"/>
      <c r="E2286" s="23"/>
    </row>
    <row r="2287">
      <c r="B2287" s="23"/>
      <c r="C2287" s="23"/>
      <c r="D2287" s="23"/>
      <c r="E2287" s="23"/>
    </row>
    <row r="2288">
      <c r="B2288" s="23"/>
      <c r="C2288" s="23"/>
      <c r="D2288" s="23"/>
      <c r="E2288" s="23"/>
    </row>
    <row r="2289">
      <c r="B2289" s="23"/>
      <c r="C2289" s="23"/>
      <c r="D2289" s="23"/>
      <c r="E2289" s="23"/>
    </row>
    <row r="2290">
      <c r="B2290" s="23"/>
      <c r="C2290" s="23"/>
      <c r="D2290" s="23"/>
      <c r="E2290" s="23"/>
    </row>
    <row r="2291">
      <c r="B2291" s="23"/>
      <c r="C2291" s="23"/>
      <c r="D2291" s="23"/>
      <c r="E2291" s="23"/>
    </row>
    <row r="2292">
      <c r="B2292" s="23"/>
      <c r="C2292" s="23"/>
      <c r="D2292" s="23"/>
      <c r="E2292" s="23"/>
    </row>
    <row r="2293">
      <c r="B2293" s="23"/>
      <c r="C2293" s="23"/>
      <c r="D2293" s="23"/>
      <c r="E2293" s="23"/>
    </row>
    <row r="2294">
      <c r="B2294" s="23"/>
      <c r="C2294" s="23"/>
      <c r="D2294" s="23"/>
      <c r="E2294" s="23"/>
    </row>
    <row r="2295">
      <c r="B2295" s="23"/>
      <c r="C2295" s="23"/>
      <c r="D2295" s="23"/>
      <c r="E2295" s="23"/>
    </row>
    <row r="2296">
      <c r="B2296" s="23"/>
      <c r="C2296" s="23"/>
      <c r="D2296" s="23"/>
      <c r="E2296" s="23"/>
    </row>
    <row r="2297">
      <c r="B2297" s="23"/>
      <c r="C2297" s="23"/>
      <c r="D2297" s="23"/>
      <c r="E2297" s="23"/>
    </row>
    <row r="2298">
      <c r="B2298" s="23"/>
      <c r="C2298" s="23"/>
      <c r="D2298" s="23"/>
      <c r="E2298" s="23"/>
    </row>
    <row r="2299">
      <c r="B2299" s="23"/>
      <c r="C2299" s="23"/>
      <c r="D2299" s="23"/>
      <c r="E2299" s="23"/>
    </row>
    <row r="2300">
      <c r="B2300" s="23"/>
      <c r="C2300" s="23"/>
      <c r="D2300" s="23"/>
      <c r="E2300" s="23"/>
    </row>
    <row r="2301">
      <c r="B2301" s="23"/>
      <c r="C2301" s="23"/>
      <c r="D2301" s="23"/>
      <c r="E2301" s="23"/>
    </row>
    <row r="2302">
      <c r="B2302" s="23"/>
      <c r="C2302" s="23"/>
      <c r="D2302" s="23"/>
      <c r="E2302" s="23"/>
    </row>
    <row r="2303">
      <c r="B2303" s="23"/>
      <c r="C2303" s="23"/>
      <c r="D2303" s="23"/>
      <c r="E2303" s="23"/>
    </row>
    <row r="2304">
      <c r="B2304" s="23"/>
      <c r="C2304" s="23"/>
      <c r="D2304" s="23"/>
      <c r="E2304" s="23"/>
    </row>
    <row r="2305">
      <c r="B2305" s="23"/>
      <c r="C2305" s="23"/>
      <c r="D2305" s="23"/>
      <c r="E2305" s="23"/>
    </row>
    <row r="2306">
      <c r="B2306" s="23"/>
      <c r="C2306" s="23"/>
      <c r="D2306" s="23"/>
      <c r="E2306" s="23"/>
    </row>
    <row r="2307">
      <c r="B2307" s="23"/>
      <c r="C2307" s="23"/>
      <c r="D2307" s="23"/>
      <c r="E2307" s="23"/>
    </row>
    <row r="2308">
      <c r="B2308" s="23"/>
      <c r="C2308" s="23"/>
      <c r="D2308" s="23"/>
      <c r="E2308" s="23"/>
    </row>
    <row r="2309">
      <c r="B2309" s="23"/>
      <c r="C2309" s="23"/>
      <c r="D2309" s="23"/>
      <c r="E2309" s="23"/>
    </row>
    <row r="2310">
      <c r="B2310" s="23"/>
      <c r="C2310" s="23"/>
      <c r="D2310" s="23"/>
      <c r="E2310" s="23"/>
    </row>
    <row r="2311">
      <c r="B2311" s="23"/>
      <c r="C2311" s="23"/>
      <c r="D2311" s="23"/>
      <c r="E2311" s="23"/>
    </row>
    <row r="2312">
      <c r="B2312" s="23"/>
      <c r="C2312" s="23"/>
      <c r="D2312" s="23"/>
      <c r="E2312" s="23"/>
    </row>
    <row r="2313">
      <c r="B2313" s="23"/>
      <c r="C2313" s="23"/>
      <c r="D2313" s="23"/>
      <c r="E2313" s="23"/>
    </row>
    <row r="2314">
      <c r="B2314" s="23"/>
      <c r="C2314" s="23"/>
      <c r="D2314" s="23"/>
      <c r="E2314" s="23"/>
    </row>
    <row r="2315">
      <c r="B2315" s="23"/>
      <c r="C2315" s="23"/>
      <c r="D2315" s="23"/>
      <c r="E2315" s="23"/>
    </row>
    <row r="2316">
      <c r="B2316" s="23"/>
      <c r="C2316" s="23"/>
      <c r="D2316" s="23"/>
      <c r="E2316" s="23"/>
    </row>
    <row r="2317">
      <c r="B2317" s="23"/>
      <c r="C2317" s="23"/>
      <c r="D2317" s="23"/>
      <c r="E2317" s="23"/>
    </row>
    <row r="2318">
      <c r="B2318" s="23"/>
      <c r="C2318" s="23"/>
      <c r="D2318" s="23"/>
      <c r="E2318" s="23"/>
    </row>
    <row r="2319">
      <c r="B2319" s="23"/>
      <c r="C2319" s="23"/>
      <c r="D2319" s="23"/>
      <c r="E2319" s="23"/>
    </row>
    <row r="2320">
      <c r="B2320" s="23"/>
      <c r="C2320" s="23"/>
      <c r="D2320" s="23"/>
      <c r="E2320" s="23"/>
    </row>
    <row r="2321">
      <c r="B2321" s="23"/>
      <c r="C2321" s="23"/>
      <c r="D2321" s="23"/>
      <c r="E2321" s="23"/>
    </row>
    <row r="2322">
      <c r="B2322" s="23"/>
      <c r="C2322" s="23"/>
      <c r="D2322" s="23"/>
      <c r="E2322" s="23"/>
    </row>
    <row r="2323">
      <c r="B2323" s="23"/>
      <c r="C2323" s="23"/>
      <c r="D2323" s="23"/>
      <c r="E2323" s="23"/>
    </row>
    <row r="2324">
      <c r="B2324" s="23"/>
      <c r="C2324" s="23"/>
      <c r="D2324" s="23"/>
      <c r="E2324" s="23"/>
    </row>
    <row r="2325">
      <c r="B2325" s="23"/>
      <c r="C2325" s="23"/>
      <c r="D2325" s="23"/>
      <c r="E2325" s="23"/>
    </row>
    <row r="2326">
      <c r="B2326" s="23"/>
      <c r="C2326" s="23"/>
      <c r="D2326" s="23"/>
      <c r="E2326" s="23"/>
    </row>
    <row r="2327">
      <c r="B2327" s="23"/>
      <c r="C2327" s="23"/>
      <c r="D2327" s="23"/>
      <c r="E2327" s="23"/>
    </row>
    <row r="2328">
      <c r="B2328" s="23"/>
      <c r="C2328" s="23"/>
      <c r="D2328" s="23"/>
      <c r="E2328" s="23"/>
    </row>
    <row r="2329">
      <c r="B2329" s="23"/>
      <c r="C2329" s="23"/>
      <c r="D2329" s="23"/>
      <c r="E2329" s="23"/>
    </row>
    <row r="2330">
      <c r="B2330" s="23"/>
      <c r="C2330" s="23"/>
      <c r="D2330" s="23"/>
      <c r="E2330" s="23"/>
    </row>
    <row r="2331">
      <c r="B2331" s="23"/>
      <c r="C2331" s="23"/>
      <c r="D2331" s="23"/>
      <c r="E2331" s="23"/>
    </row>
    <row r="2332">
      <c r="B2332" s="23"/>
      <c r="C2332" s="23"/>
      <c r="D2332" s="23"/>
      <c r="E2332" s="23"/>
    </row>
    <row r="2333">
      <c r="B2333" s="23"/>
      <c r="C2333" s="23"/>
      <c r="D2333" s="23"/>
      <c r="E2333" s="23"/>
    </row>
    <row r="2334">
      <c r="B2334" s="23"/>
      <c r="C2334" s="23"/>
      <c r="D2334" s="23"/>
      <c r="E2334" s="23"/>
    </row>
    <row r="2335">
      <c r="B2335" s="23"/>
      <c r="C2335" s="23"/>
      <c r="D2335" s="23"/>
      <c r="E2335" s="23"/>
    </row>
    <row r="2336">
      <c r="B2336" s="23"/>
      <c r="C2336" s="23"/>
      <c r="D2336" s="23"/>
      <c r="E2336" s="23"/>
    </row>
    <row r="2337">
      <c r="B2337" s="23"/>
      <c r="C2337" s="23"/>
      <c r="D2337" s="23"/>
      <c r="E2337" s="23"/>
    </row>
    <row r="2338">
      <c r="B2338" s="23"/>
      <c r="C2338" s="23"/>
      <c r="D2338" s="23"/>
      <c r="E2338" s="23"/>
    </row>
    <row r="2339">
      <c r="B2339" s="23"/>
      <c r="C2339" s="23"/>
      <c r="D2339" s="23"/>
      <c r="E2339" s="23"/>
    </row>
    <row r="2340">
      <c r="B2340" s="23"/>
      <c r="C2340" s="23"/>
      <c r="D2340" s="23"/>
      <c r="E2340" s="23"/>
    </row>
    <row r="2341">
      <c r="B2341" s="23"/>
      <c r="C2341" s="23"/>
      <c r="D2341" s="23"/>
      <c r="E2341" s="23"/>
    </row>
    <row r="2342">
      <c r="B2342" s="23"/>
      <c r="C2342" s="23"/>
      <c r="D2342" s="23"/>
      <c r="E2342" s="23"/>
    </row>
    <row r="2343">
      <c r="B2343" s="23"/>
      <c r="C2343" s="23"/>
      <c r="D2343" s="23"/>
      <c r="E2343" s="23"/>
    </row>
    <row r="2344">
      <c r="B2344" s="23"/>
      <c r="C2344" s="23"/>
      <c r="D2344" s="23"/>
      <c r="E2344" s="23"/>
    </row>
    <row r="2345">
      <c r="B2345" s="23"/>
      <c r="C2345" s="23"/>
      <c r="D2345" s="23"/>
      <c r="E2345" s="23"/>
    </row>
    <row r="2346">
      <c r="B2346" s="23"/>
      <c r="C2346" s="23"/>
      <c r="D2346" s="23"/>
      <c r="E2346" s="23"/>
    </row>
    <row r="2347">
      <c r="B2347" s="23"/>
      <c r="C2347" s="23"/>
      <c r="D2347" s="23"/>
      <c r="E2347" s="23"/>
    </row>
    <row r="2348">
      <c r="B2348" s="23"/>
      <c r="C2348" s="23"/>
      <c r="D2348" s="23"/>
      <c r="E2348" s="23"/>
    </row>
    <row r="2349">
      <c r="B2349" s="23"/>
      <c r="C2349" s="23"/>
      <c r="D2349" s="23"/>
      <c r="E2349" s="23"/>
    </row>
    <row r="2350">
      <c r="B2350" s="23"/>
      <c r="C2350" s="23"/>
      <c r="D2350" s="23"/>
      <c r="E2350" s="23"/>
    </row>
    <row r="2351">
      <c r="B2351" s="23"/>
      <c r="C2351" s="23"/>
      <c r="D2351" s="23"/>
      <c r="E2351" s="23"/>
    </row>
    <row r="2352">
      <c r="B2352" s="23"/>
      <c r="C2352" s="23"/>
      <c r="D2352" s="23"/>
      <c r="E2352" s="23"/>
    </row>
    <row r="2353">
      <c r="B2353" s="23"/>
      <c r="C2353" s="23"/>
      <c r="D2353" s="23"/>
      <c r="E2353" s="23"/>
    </row>
    <row r="2354">
      <c r="B2354" s="23"/>
      <c r="C2354" s="23"/>
      <c r="D2354" s="23"/>
      <c r="E2354" s="23"/>
    </row>
    <row r="2355">
      <c r="B2355" s="23"/>
      <c r="C2355" s="23"/>
      <c r="D2355" s="23"/>
      <c r="E2355" s="23"/>
    </row>
    <row r="2356">
      <c r="B2356" s="23"/>
      <c r="C2356" s="23"/>
      <c r="D2356" s="23"/>
      <c r="E2356" s="23"/>
    </row>
    <row r="2357">
      <c r="B2357" s="23"/>
      <c r="C2357" s="23"/>
      <c r="D2357" s="23"/>
      <c r="E2357" s="23"/>
    </row>
    <row r="2358">
      <c r="B2358" s="23"/>
      <c r="C2358" s="23"/>
      <c r="D2358" s="23"/>
      <c r="E2358" s="23"/>
    </row>
    <row r="2359">
      <c r="B2359" s="23"/>
      <c r="C2359" s="23"/>
      <c r="D2359" s="23"/>
      <c r="E2359" s="23"/>
    </row>
    <row r="2360">
      <c r="B2360" s="23"/>
      <c r="C2360" s="23"/>
      <c r="D2360" s="23"/>
      <c r="E2360" s="23"/>
    </row>
    <row r="2361">
      <c r="B2361" s="23"/>
      <c r="C2361" s="23"/>
      <c r="D2361" s="23"/>
      <c r="E2361" s="23"/>
    </row>
    <row r="2362">
      <c r="B2362" s="23"/>
      <c r="C2362" s="23"/>
      <c r="D2362" s="23"/>
      <c r="E2362" s="23"/>
    </row>
    <row r="2363">
      <c r="B2363" s="23"/>
      <c r="C2363" s="23"/>
      <c r="D2363" s="23"/>
      <c r="E2363" s="23"/>
    </row>
    <row r="2364">
      <c r="B2364" s="23"/>
      <c r="C2364" s="23"/>
      <c r="D2364" s="23"/>
      <c r="E2364" s="23"/>
    </row>
    <row r="2365">
      <c r="B2365" s="23"/>
      <c r="C2365" s="23"/>
      <c r="D2365" s="23"/>
      <c r="E2365" s="23"/>
    </row>
    <row r="2366">
      <c r="B2366" s="23"/>
      <c r="C2366" s="23"/>
      <c r="D2366" s="23"/>
      <c r="E2366" s="23"/>
    </row>
    <row r="2367">
      <c r="B2367" s="23"/>
      <c r="C2367" s="23"/>
      <c r="D2367" s="23"/>
      <c r="E2367" s="23"/>
    </row>
    <row r="2368">
      <c r="B2368" s="23"/>
      <c r="C2368" s="23"/>
      <c r="D2368" s="23"/>
      <c r="E2368" s="23"/>
    </row>
    <row r="2369">
      <c r="B2369" s="23"/>
      <c r="C2369" s="23"/>
      <c r="D2369" s="23"/>
      <c r="E2369" s="23"/>
    </row>
    <row r="2370">
      <c r="B2370" s="23"/>
      <c r="C2370" s="23"/>
      <c r="D2370" s="23"/>
      <c r="E2370" s="23"/>
    </row>
    <row r="2371">
      <c r="B2371" s="23"/>
      <c r="C2371" s="23"/>
      <c r="D2371" s="23"/>
      <c r="E2371" s="23"/>
    </row>
    <row r="2372">
      <c r="B2372" s="23"/>
      <c r="C2372" s="23"/>
      <c r="D2372" s="23"/>
      <c r="E2372" s="23"/>
    </row>
    <row r="2373">
      <c r="B2373" s="23"/>
      <c r="C2373" s="23"/>
      <c r="D2373" s="23"/>
      <c r="E2373" s="23"/>
    </row>
    <row r="2374">
      <c r="B2374" s="23"/>
      <c r="C2374" s="23"/>
      <c r="D2374" s="23"/>
      <c r="E2374" s="23"/>
    </row>
    <row r="2375">
      <c r="B2375" s="23"/>
      <c r="C2375" s="23"/>
      <c r="D2375" s="23"/>
      <c r="E2375" s="23"/>
    </row>
    <row r="2376">
      <c r="B2376" s="23"/>
      <c r="C2376" s="23"/>
      <c r="D2376" s="23"/>
      <c r="E2376" s="23"/>
    </row>
    <row r="2377">
      <c r="B2377" s="23"/>
      <c r="C2377" s="23"/>
      <c r="D2377" s="23"/>
      <c r="E2377" s="23"/>
    </row>
    <row r="2378">
      <c r="B2378" s="23"/>
      <c r="C2378" s="23"/>
      <c r="D2378" s="23"/>
      <c r="E2378" s="23"/>
    </row>
    <row r="2379">
      <c r="B2379" s="23"/>
      <c r="C2379" s="23"/>
      <c r="D2379" s="23"/>
      <c r="E2379" s="23"/>
    </row>
    <row r="2380">
      <c r="B2380" s="23"/>
      <c r="C2380" s="23"/>
      <c r="D2380" s="23"/>
      <c r="E2380" s="23"/>
    </row>
    <row r="2381">
      <c r="B2381" s="23"/>
      <c r="C2381" s="23"/>
      <c r="D2381" s="23"/>
      <c r="E2381" s="23"/>
    </row>
    <row r="2382">
      <c r="B2382" s="23"/>
      <c r="C2382" s="23"/>
      <c r="D2382" s="23"/>
      <c r="E2382" s="23"/>
    </row>
    <row r="2383">
      <c r="B2383" s="23"/>
      <c r="C2383" s="23"/>
      <c r="D2383" s="23"/>
      <c r="E2383" s="23"/>
    </row>
    <row r="2384">
      <c r="B2384" s="23"/>
      <c r="C2384" s="23"/>
      <c r="D2384" s="23"/>
      <c r="E2384" s="23"/>
    </row>
    <row r="2385">
      <c r="B2385" s="23"/>
      <c r="C2385" s="23"/>
      <c r="D2385" s="23"/>
      <c r="E2385" s="23"/>
    </row>
    <row r="2386">
      <c r="B2386" s="23"/>
      <c r="C2386" s="23"/>
      <c r="D2386" s="23"/>
      <c r="E2386" s="23"/>
    </row>
    <row r="2387">
      <c r="B2387" s="23"/>
      <c r="C2387" s="23"/>
      <c r="D2387" s="23"/>
      <c r="E2387" s="23"/>
    </row>
    <row r="2388">
      <c r="B2388" s="23"/>
      <c r="C2388" s="23"/>
      <c r="D2388" s="23"/>
      <c r="E2388" s="23"/>
    </row>
    <row r="2389">
      <c r="B2389" s="23"/>
      <c r="C2389" s="23"/>
      <c r="D2389" s="23"/>
      <c r="E2389" s="23"/>
    </row>
    <row r="2390">
      <c r="B2390" s="23"/>
      <c r="C2390" s="23"/>
      <c r="D2390" s="23"/>
      <c r="E2390" s="23"/>
    </row>
    <row r="2391">
      <c r="B2391" s="23"/>
      <c r="C2391" s="23"/>
      <c r="D2391" s="23"/>
      <c r="E2391" s="23"/>
    </row>
    <row r="2392">
      <c r="B2392" s="23"/>
      <c r="C2392" s="23"/>
      <c r="D2392" s="23"/>
      <c r="E2392" s="23"/>
    </row>
    <row r="2393">
      <c r="B2393" s="23"/>
      <c r="C2393" s="23"/>
      <c r="D2393" s="23"/>
      <c r="E2393" s="23"/>
    </row>
    <row r="2394">
      <c r="B2394" s="23"/>
      <c r="C2394" s="23"/>
      <c r="D2394" s="23"/>
      <c r="E2394" s="23"/>
    </row>
    <row r="2395">
      <c r="B2395" s="23"/>
      <c r="C2395" s="23"/>
      <c r="D2395" s="23"/>
      <c r="E2395" s="23"/>
    </row>
    <row r="2396">
      <c r="B2396" s="23"/>
      <c r="C2396" s="23"/>
      <c r="D2396" s="23"/>
      <c r="E2396" s="23"/>
    </row>
    <row r="2397">
      <c r="B2397" s="23"/>
      <c r="C2397" s="23"/>
      <c r="D2397" s="23"/>
      <c r="E2397" s="23"/>
    </row>
    <row r="2398">
      <c r="B2398" s="23"/>
      <c r="C2398" s="23"/>
      <c r="D2398" s="23"/>
      <c r="E2398" s="23"/>
    </row>
    <row r="2399">
      <c r="B2399" s="23"/>
      <c r="C2399" s="23"/>
      <c r="D2399" s="23"/>
      <c r="E2399" s="23"/>
    </row>
    <row r="2400">
      <c r="B2400" s="23"/>
      <c r="C2400" s="23"/>
      <c r="D2400" s="23"/>
      <c r="E2400" s="23"/>
    </row>
    <row r="2401">
      <c r="B2401" s="23"/>
      <c r="C2401" s="23"/>
      <c r="D2401" s="23"/>
      <c r="E2401" s="23"/>
    </row>
    <row r="2402">
      <c r="B2402" s="23"/>
      <c r="C2402" s="23"/>
      <c r="D2402" s="23"/>
      <c r="E2402" s="23"/>
    </row>
    <row r="2403">
      <c r="B2403" s="23"/>
      <c r="C2403" s="23"/>
      <c r="D2403" s="23"/>
      <c r="E2403" s="23"/>
    </row>
    <row r="2404">
      <c r="B2404" s="23"/>
      <c r="C2404" s="23"/>
      <c r="D2404" s="23"/>
      <c r="E2404" s="23"/>
    </row>
    <row r="2405">
      <c r="B2405" s="23"/>
      <c r="C2405" s="23"/>
      <c r="D2405" s="23"/>
      <c r="E2405" s="23"/>
    </row>
    <row r="2406">
      <c r="B2406" s="23"/>
      <c r="C2406" s="23"/>
      <c r="D2406" s="23"/>
      <c r="E2406" s="23"/>
    </row>
    <row r="2407">
      <c r="B2407" s="23"/>
      <c r="C2407" s="23"/>
      <c r="D2407" s="23"/>
      <c r="E2407" s="23"/>
    </row>
    <row r="2408">
      <c r="B2408" s="23"/>
      <c r="C2408" s="23"/>
      <c r="D2408" s="23"/>
      <c r="E2408" s="23"/>
    </row>
    <row r="2409">
      <c r="B2409" s="23"/>
      <c r="C2409" s="23"/>
      <c r="D2409" s="23"/>
      <c r="E2409" s="23"/>
    </row>
    <row r="2410">
      <c r="B2410" s="23"/>
      <c r="C2410" s="23"/>
      <c r="D2410" s="23"/>
      <c r="E2410" s="23"/>
    </row>
    <row r="2411">
      <c r="B2411" s="23"/>
      <c r="C2411" s="23"/>
      <c r="D2411" s="23"/>
      <c r="E2411" s="23"/>
    </row>
    <row r="2412">
      <c r="B2412" s="23"/>
      <c r="C2412" s="23"/>
      <c r="D2412" s="23"/>
      <c r="E2412" s="23"/>
    </row>
    <row r="2413">
      <c r="B2413" s="23"/>
      <c r="C2413" s="23"/>
      <c r="D2413" s="23"/>
      <c r="E2413" s="23"/>
    </row>
    <row r="2414">
      <c r="B2414" s="23"/>
      <c r="C2414" s="23"/>
      <c r="D2414" s="23"/>
      <c r="E2414" s="23"/>
    </row>
    <row r="2415">
      <c r="B2415" s="23"/>
      <c r="C2415" s="23"/>
      <c r="D2415" s="23"/>
      <c r="E2415" s="23"/>
    </row>
    <row r="2416">
      <c r="B2416" s="23"/>
      <c r="C2416" s="23"/>
      <c r="D2416" s="23"/>
      <c r="E2416" s="23"/>
    </row>
    <row r="2417">
      <c r="B2417" s="23"/>
      <c r="C2417" s="23"/>
      <c r="D2417" s="23"/>
      <c r="E2417" s="23"/>
    </row>
    <row r="2418">
      <c r="B2418" s="23"/>
      <c r="C2418" s="23"/>
      <c r="D2418" s="23"/>
      <c r="E2418" s="23"/>
    </row>
    <row r="2419">
      <c r="B2419" s="23"/>
      <c r="C2419" s="23"/>
      <c r="D2419" s="23"/>
      <c r="E2419" s="23"/>
    </row>
    <row r="2420">
      <c r="B2420" s="23"/>
      <c r="C2420" s="23"/>
      <c r="D2420" s="23"/>
      <c r="E2420" s="23"/>
    </row>
    <row r="2421">
      <c r="B2421" s="23"/>
      <c r="C2421" s="23"/>
      <c r="D2421" s="23"/>
      <c r="E2421" s="23"/>
    </row>
    <row r="2422">
      <c r="B2422" s="23"/>
      <c r="C2422" s="23"/>
      <c r="D2422" s="23"/>
      <c r="E2422" s="23"/>
    </row>
    <row r="2423">
      <c r="B2423" s="23"/>
      <c r="C2423" s="23"/>
      <c r="D2423" s="23"/>
      <c r="E2423" s="23"/>
    </row>
    <row r="2424">
      <c r="B2424" s="23"/>
      <c r="C2424" s="23"/>
      <c r="D2424" s="23"/>
      <c r="E2424" s="23"/>
    </row>
    <row r="2425">
      <c r="B2425" s="23"/>
      <c r="C2425" s="23"/>
      <c r="D2425" s="23"/>
      <c r="E2425" s="23"/>
    </row>
    <row r="2426">
      <c r="B2426" s="23"/>
      <c r="C2426" s="23"/>
      <c r="D2426" s="23"/>
      <c r="E2426" s="23"/>
    </row>
    <row r="2427">
      <c r="B2427" s="23"/>
      <c r="C2427" s="23"/>
      <c r="D2427" s="23"/>
      <c r="E2427" s="23"/>
    </row>
    <row r="2428">
      <c r="B2428" s="23"/>
      <c r="C2428" s="23"/>
      <c r="D2428" s="23"/>
      <c r="E2428" s="23"/>
    </row>
    <row r="2429">
      <c r="B2429" s="23"/>
      <c r="C2429" s="23"/>
      <c r="D2429" s="23"/>
      <c r="E2429" s="23"/>
    </row>
    <row r="2430">
      <c r="B2430" s="23"/>
      <c r="C2430" s="23"/>
      <c r="D2430" s="23"/>
      <c r="E2430" s="23"/>
    </row>
    <row r="2431">
      <c r="B2431" s="23"/>
      <c r="C2431" s="23"/>
      <c r="D2431" s="23"/>
      <c r="E2431" s="23"/>
    </row>
    <row r="2432">
      <c r="B2432" s="23"/>
      <c r="C2432" s="23"/>
      <c r="D2432" s="23"/>
      <c r="E2432" s="23"/>
    </row>
    <row r="2433">
      <c r="B2433" s="23"/>
      <c r="C2433" s="23"/>
      <c r="D2433" s="23"/>
      <c r="E2433" s="23"/>
    </row>
    <row r="2434">
      <c r="B2434" s="23"/>
      <c r="C2434" s="23"/>
      <c r="D2434" s="23"/>
      <c r="E2434" s="23"/>
    </row>
    <row r="2435">
      <c r="B2435" s="23"/>
      <c r="C2435" s="23"/>
      <c r="D2435" s="23"/>
      <c r="E2435" s="23"/>
    </row>
    <row r="2436">
      <c r="B2436" s="23"/>
      <c r="C2436" s="23"/>
      <c r="D2436" s="23"/>
      <c r="E2436" s="23"/>
    </row>
    <row r="2437">
      <c r="B2437" s="23"/>
      <c r="C2437" s="23"/>
      <c r="D2437" s="23"/>
      <c r="E2437" s="23"/>
    </row>
    <row r="2438">
      <c r="B2438" s="23"/>
      <c r="C2438" s="23"/>
      <c r="D2438" s="23"/>
      <c r="E2438" s="23"/>
    </row>
    <row r="2439">
      <c r="B2439" s="23"/>
      <c r="C2439" s="23"/>
      <c r="D2439" s="23"/>
      <c r="E2439" s="23"/>
    </row>
    <row r="2440">
      <c r="B2440" s="23"/>
      <c r="C2440" s="23"/>
      <c r="D2440" s="23"/>
      <c r="E2440" s="23"/>
    </row>
    <row r="2441">
      <c r="B2441" s="23"/>
      <c r="C2441" s="23"/>
      <c r="D2441" s="23"/>
      <c r="E2441" s="23"/>
    </row>
    <row r="2442">
      <c r="B2442" s="23"/>
      <c r="C2442" s="23"/>
      <c r="D2442" s="23"/>
      <c r="E2442" s="23"/>
    </row>
    <row r="2443">
      <c r="B2443" s="23"/>
      <c r="C2443" s="23"/>
      <c r="D2443" s="23"/>
      <c r="E2443" s="23"/>
    </row>
    <row r="2444">
      <c r="B2444" s="23"/>
      <c r="C2444" s="23"/>
      <c r="D2444" s="23"/>
      <c r="E2444" s="23"/>
    </row>
    <row r="2445">
      <c r="B2445" s="23"/>
      <c r="C2445" s="23"/>
      <c r="D2445" s="23"/>
      <c r="E2445" s="23"/>
    </row>
    <row r="2446">
      <c r="B2446" s="23"/>
      <c r="C2446" s="23"/>
      <c r="D2446" s="23"/>
      <c r="E2446" s="23"/>
    </row>
    <row r="2447">
      <c r="B2447" s="23"/>
      <c r="C2447" s="23"/>
      <c r="D2447" s="23"/>
      <c r="E2447" s="23"/>
    </row>
    <row r="2448">
      <c r="B2448" s="23"/>
      <c r="C2448" s="23"/>
      <c r="D2448" s="23"/>
      <c r="E2448" s="23"/>
    </row>
    <row r="2449">
      <c r="B2449" s="23"/>
      <c r="C2449" s="23"/>
      <c r="D2449" s="23"/>
      <c r="E2449" s="23"/>
    </row>
    <row r="2450">
      <c r="B2450" s="23"/>
      <c r="C2450" s="23"/>
      <c r="D2450" s="23"/>
      <c r="E2450" s="23"/>
    </row>
    <row r="2451">
      <c r="B2451" s="23"/>
      <c r="C2451" s="23"/>
      <c r="D2451" s="23"/>
      <c r="E2451" s="23"/>
    </row>
    <row r="2452">
      <c r="B2452" s="23"/>
      <c r="C2452" s="23"/>
      <c r="D2452" s="23"/>
      <c r="E2452" s="23"/>
    </row>
    <row r="2453">
      <c r="B2453" s="23"/>
      <c r="C2453" s="23"/>
      <c r="D2453" s="23"/>
      <c r="E2453" s="23"/>
    </row>
    <row r="2454">
      <c r="B2454" s="23"/>
      <c r="C2454" s="23"/>
      <c r="D2454" s="23"/>
      <c r="E2454" s="23"/>
    </row>
    <row r="2455">
      <c r="B2455" s="23"/>
      <c r="C2455" s="23"/>
      <c r="D2455" s="23"/>
      <c r="E2455" s="23"/>
    </row>
    <row r="2456">
      <c r="B2456" s="23"/>
      <c r="C2456" s="23"/>
      <c r="D2456" s="23"/>
      <c r="E2456" s="23"/>
    </row>
    <row r="2457">
      <c r="B2457" s="23"/>
      <c r="C2457" s="23"/>
      <c r="D2457" s="23"/>
      <c r="E2457" s="23"/>
    </row>
    <row r="2458">
      <c r="B2458" s="23"/>
      <c r="C2458" s="23"/>
      <c r="D2458" s="23"/>
      <c r="E2458" s="23"/>
    </row>
    <row r="2459">
      <c r="B2459" s="23"/>
      <c r="C2459" s="23"/>
      <c r="D2459" s="23"/>
      <c r="E2459" s="23"/>
    </row>
    <row r="2460">
      <c r="B2460" s="23"/>
      <c r="C2460" s="23"/>
      <c r="D2460" s="23"/>
      <c r="E2460" s="23"/>
    </row>
    <row r="2461">
      <c r="B2461" s="23"/>
      <c r="C2461" s="23"/>
      <c r="D2461" s="23"/>
      <c r="E2461" s="23"/>
    </row>
    <row r="2462">
      <c r="B2462" s="23"/>
      <c r="C2462" s="23"/>
      <c r="D2462" s="23"/>
      <c r="E2462" s="23"/>
    </row>
    <row r="2463">
      <c r="B2463" s="23"/>
      <c r="C2463" s="23"/>
      <c r="D2463" s="23"/>
      <c r="E2463" s="23"/>
    </row>
    <row r="2464">
      <c r="B2464" s="23"/>
      <c r="C2464" s="23"/>
      <c r="D2464" s="23"/>
      <c r="E2464" s="23"/>
    </row>
    <row r="2465">
      <c r="B2465" s="23"/>
      <c r="C2465" s="23"/>
      <c r="D2465" s="23"/>
      <c r="E2465" s="23"/>
    </row>
    <row r="2466">
      <c r="B2466" s="23"/>
      <c r="C2466" s="23"/>
      <c r="D2466" s="23"/>
      <c r="E2466" s="23"/>
    </row>
    <row r="2467">
      <c r="B2467" s="23"/>
      <c r="C2467" s="23"/>
      <c r="D2467" s="23"/>
      <c r="E2467" s="23"/>
    </row>
    <row r="2468">
      <c r="B2468" s="23"/>
      <c r="C2468" s="23"/>
      <c r="D2468" s="23"/>
      <c r="E2468" s="23"/>
    </row>
    <row r="2469">
      <c r="B2469" s="23"/>
      <c r="C2469" s="23"/>
      <c r="D2469" s="23"/>
      <c r="E2469" s="23"/>
    </row>
    <row r="2470">
      <c r="B2470" s="23"/>
      <c r="C2470" s="23"/>
      <c r="D2470" s="23"/>
      <c r="E2470" s="23"/>
    </row>
    <row r="2471">
      <c r="B2471" s="23"/>
      <c r="C2471" s="23"/>
      <c r="D2471" s="23"/>
      <c r="E2471" s="23"/>
    </row>
    <row r="2472">
      <c r="B2472" s="23"/>
      <c r="C2472" s="23"/>
      <c r="D2472" s="23"/>
      <c r="E2472" s="23"/>
    </row>
    <row r="2473">
      <c r="B2473" s="23"/>
      <c r="C2473" s="23"/>
      <c r="D2473" s="23"/>
      <c r="E2473" s="23"/>
    </row>
    <row r="2474">
      <c r="B2474" s="23"/>
      <c r="C2474" s="23"/>
      <c r="D2474" s="23"/>
      <c r="E2474" s="23"/>
    </row>
    <row r="2475">
      <c r="B2475" s="23"/>
      <c r="C2475" s="23"/>
      <c r="D2475" s="23"/>
      <c r="E2475" s="23"/>
    </row>
    <row r="2476">
      <c r="B2476" s="23"/>
      <c r="C2476" s="23"/>
      <c r="D2476" s="23"/>
      <c r="E2476" s="23"/>
    </row>
    <row r="2477">
      <c r="B2477" s="23"/>
      <c r="C2477" s="23"/>
      <c r="D2477" s="23"/>
      <c r="E2477" s="23"/>
    </row>
    <row r="2478">
      <c r="B2478" s="23"/>
      <c r="C2478" s="23"/>
      <c r="D2478" s="23"/>
      <c r="E2478" s="23"/>
    </row>
    <row r="2479">
      <c r="B2479" s="23"/>
      <c r="C2479" s="23"/>
      <c r="D2479" s="23"/>
      <c r="E2479" s="23"/>
    </row>
    <row r="2480">
      <c r="B2480" s="23"/>
      <c r="C2480" s="23"/>
      <c r="D2480" s="23"/>
      <c r="E2480" s="23"/>
    </row>
    <row r="2481">
      <c r="B2481" s="23"/>
      <c r="C2481" s="23"/>
      <c r="D2481" s="23"/>
      <c r="E2481" s="23"/>
    </row>
    <row r="2482">
      <c r="B2482" s="23"/>
      <c r="C2482" s="23"/>
      <c r="D2482" s="23"/>
      <c r="E2482" s="23"/>
    </row>
    <row r="2483">
      <c r="B2483" s="23"/>
      <c r="C2483" s="23"/>
      <c r="D2483" s="23"/>
      <c r="E2483" s="23"/>
    </row>
    <row r="2484">
      <c r="B2484" s="23"/>
      <c r="C2484" s="23"/>
      <c r="D2484" s="23"/>
      <c r="E2484" s="23"/>
    </row>
    <row r="2485">
      <c r="B2485" s="23"/>
      <c r="C2485" s="23"/>
      <c r="D2485" s="23"/>
      <c r="E2485" s="23"/>
    </row>
    <row r="2486">
      <c r="B2486" s="23"/>
      <c r="C2486" s="23"/>
      <c r="D2486" s="23"/>
      <c r="E2486" s="23"/>
    </row>
    <row r="2487">
      <c r="B2487" s="23"/>
      <c r="C2487" s="23"/>
      <c r="D2487" s="23"/>
      <c r="E2487" s="23"/>
    </row>
    <row r="2488">
      <c r="B2488" s="23"/>
      <c r="C2488" s="23"/>
      <c r="D2488" s="23"/>
      <c r="E2488" s="23"/>
    </row>
    <row r="2489">
      <c r="B2489" s="23"/>
      <c r="C2489" s="23"/>
      <c r="D2489" s="23"/>
      <c r="E2489" s="23"/>
    </row>
    <row r="2490">
      <c r="B2490" s="23"/>
      <c r="C2490" s="23"/>
      <c r="D2490" s="23"/>
      <c r="E2490" s="23"/>
    </row>
    <row r="2491">
      <c r="B2491" s="23"/>
      <c r="C2491" s="23"/>
      <c r="D2491" s="23"/>
      <c r="E2491" s="23"/>
    </row>
    <row r="2492">
      <c r="B2492" s="23"/>
      <c r="C2492" s="23"/>
      <c r="D2492" s="23"/>
      <c r="E2492" s="23"/>
    </row>
    <row r="2493">
      <c r="B2493" s="23"/>
      <c r="C2493" s="23"/>
      <c r="D2493" s="23"/>
      <c r="E2493" s="23"/>
    </row>
    <row r="2494">
      <c r="B2494" s="23"/>
      <c r="C2494" s="23"/>
      <c r="D2494" s="23"/>
      <c r="E2494" s="23"/>
    </row>
    <row r="2495">
      <c r="B2495" s="23"/>
      <c r="C2495" s="23"/>
      <c r="D2495" s="23"/>
      <c r="E2495" s="23"/>
    </row>
    <row r="2496">
      <c r="B2496" s="23"/>
      <c r="C2496" s="23"/>
      <c r="D2496" s="23"/>
      <c r="E2496" s="23"/>
    </row>
    <row r="2497">
      <c r="B2497" s="23"/>
      <c r="C2497" s="23"/>
      <c r="D2497" s="23"/>
      <c r="E2497" s="23"/>
    </row>
    <row r="2498">
      <c r="B2498" s="23"/>
      <c r="C2498" s="23"/>
      <c r="D2498" s="23"/>
      <c r="E2498" s="23"/>
    </row>
    <row r="2499">
      <c r="B2499" s="23"/>
      <c r="C2499" s="23"/>
      <c r="D2499" s="23"/>
      <c r="E2499" s="23"/>
    </row>
    <row r="2500">
      <c r="B2500" s="23"/>
      <c r="C2500" s="23"/>
      <c r="D2500" s="23"/>
      <c r="E2500" s="23"/>
    </row>
    <row r="2501">
      <c r="B2501" s="23"/>
      <c r="C2501" s="23"/>
      <c r="D2501" s="23"/>
      <c r="E2501" s="23"/>
    </row>
    <row r="2502">
      <c r="B2502" s="23"/>
      <c r="C2502" s="23"/>
      <c r="D2502" s="23"/>
      <c r="E2502" s="23"/>
    </row>
    <row r="2503">
      <c r="B2503" s="23"/>
      <c r="C2503" s="23"/>
      <c r="D2503" s="23"/>
      <c r="E2503" s="23"/>
    </row>
    <row r="2504">
      <c r="B2504" s="23"/>
      <c r="C2504" s="23"/>
      <c r="D2504" s="23"/>
      <c r="E2504" s="23"/>
    </row>
    <row r="2505">
      <c r="B2505" s="23"/>
      <c r="C2505" s="23"/>
      <c r="D2505" s="23"/>
      <c r="E2505" s="23"/>
    </row>
    <row r="2506">
      <c r="B2506" s="23"/>
      <c r="C2506" s="23"/>
      <c r="D2506" s="23"/>
      <c r="E2506" s="23"/>
    </row>
    <row r="2507">
      <c r="B2507" s="23"/>
      <c r="C2507" s="23"/>
      <c r="D2507" s="23"/>
      <c r="E2507" s="23"/>
    </row>
    <row r="2508">
      <c r="B2508" s="23"/>
      <c r="C2508" s="23"/>
      <c r="D2508" s="23"/>
      <c r="E2508" s="23"/>
    </row>
    <row r="2509">
      <c r="B2509" s="23"/>
      <c r="C2509" s="23"/>
      <c r="D2509" s="23"/>
      <c r="E2509" s="23"/>
    </row>
    <row r="2510">
      <c r="B2510" s="23"/>
      <c r="C2510" s="23"/>
      <c r="D2510" s="23"/>
      <c r="E2510" s="23"/>
    </row>
    <row r="2511">
      <c r="B2511" s="23"/>
      <c r="C2511" s="23"/>
      <c r="D2511" s="23"/>
      <c r="E2511" s="23"/>
    </row>
    <row r="2512">
      <c r="B2512" s="23"/>
      <c r="C2512" s="23"/>
      <c r="D2512" s="23"/>
      <c r="E2512" s="23"/>
    </row>
    <row r="2513">
      <c r="B2513" s="23"/>
      <c r="C2513" s="23"/>
      <c r="D2513" s="23"/>
      <c r="E2513" s="23"/>
    </row>
    <row r="2514">
      <c r="B2514" s="23"/>
      <c r="C2514" s="23"/>
      <c r="D2514" s="23"/>
      <c r="E2514" s="23"/>
    </row>
    <row r="2515">
      <c r="B2515" s="23"/>
      <c r="C2515" s="23"/>
      <c r="D2515" s="23"/>
      <c r="E2515" s="23"/>
    </row>
    <row r="2516">
      <c r="B2516" s="23"/>
      <c r="C2516" s="23"/>
      <c r="D2516" s="23"/>
      <c r="E2516" s="23"/>
    </row>
    <row r="2517">
      <c r="B2517" s="23"/>
      <c r="C2517" s="23"/>
      <c r="D2517" s="23"/>
      <c r="E2517" s="23"/>
    </row>
    <row r="2518">
      <c r="B2518" s="23"/>
      <c r="C2518" s="23"/>
      <c r="D2518" s="23"/>
      <c r="E2518" s="23"/>
    </row>
    <row r="2519">
      <c r="B2519" s="23"/>
      <c r="C2519" s="23"/>
      <c r="D2519" s="23"/>
      <c r="E2519" s="23"/>
    </row>
    <row r="2520">
      <c r="B2520" s="23"/>
      <c r="C2520" s="23"/>
      <c r="D2520" s="23"/>
      <c r="E2520" s="23"/>
    </row>
    <row r="2521">
      <c r="B2521" s="23"/>
      <c r="C2521" s="23"/>
      <c r="D2521" s="23"/>
      <c r="E2521" s="23"/>
    </row>
    <row r="2522">
      <c r="B2522" s="23"/>
      <c r="C2522" s="23"/>
      <c r="D2522" s="23"/>
      <c r="E2522" s="23"/>
    </row>
    <row r="2523">
      <c r="B2523" s="23"/>
      <c r="C2523" s="23"/>
      <c r="D2523" s="23"/>
      <c r="E2523" s="23"/>
    </row>
    <row r="2524">
      <c r="B2524" s="23"/>
      <c r="C2524" s="23"/>
      <c r="D2524" s="23"/>
      <c r="E2524" s="23"/>
    </row>
    <row r="2525">
      <c r="B2525" s="23"/>
      <c r="C2525" s="23"/>
      <c r="D2525" s="23"/>
      <c r="E2525" s="23"/>
    </row>
    <row r="2526">
      <c r="B2526" s="23"/>
      <c r="C2526" s="23"/>
      <c r="D2526" s="23"/>
      <c r="E2526" s="23"/>
    </row>
    <row r="2527">
      <c r="B2527" s="23"/>
      <c r="C2527" s="23"/>
      <c r="D2527" s="23"/>
      <c r="E2527" s="23"/>
    </row>
    <row r="2528">
      <c r="B2528" s="23"/>
      <c r="C2528" s="23"/>
      <c r="D2528" s="23"/>
      <c r="E2528" s="23"/>
    </row>
    <row r="2529">
      <c r="B2529" s="23"/>
      <c r="C2529" s="23"/>
      <c r="D2529" s="23"/>
      <c r="E2529" s="23"/>
    </row>
    <row r="2530">
      <c r="B2530" s="23"/>
      <c r="C2530" s="23"/>
      <c r="D2530" s="23"/>
      <c r="E2530" s="23"/>
    </row>
    <row r="2531">
      <c r="B2531" s="23"/>
      <c r="C2531" s="23"/>
      <c r="D2531" s="23"/>
      <c r="E2531" s="23"/>
    </row>
    <row r="2532">
      <c r="B2532" s="23"/>
      <c r="C2532" s="23"/>
      <c r="D2532" s="23"/>
      <c r="E2532" s="23"/>
    </row>
    <row r="2533">
      <c r="B2533" s="23"/>
      <c r="C2533" s="23"/>
      <c r="D2533" s="23"/>
      <c r="E2533" s="23"/>
    </row>
    <row r="2534">
      <c r="B2534" s="23"/>
      <c r="C2534" s="23"/>
      <c r="D2534" s="23"/>
      <c r="E2534" s="23"/>
    </row>
    <row r="2535">
      <c r="B2535" s="23"/>
      <c r="C2535" s="23"/>
      <c r="D2535" s="23"/>
      <c r="E2535" s="23"/>
    </row>
    <row r="2536">
      <c r="B2536" s="23"/>
      <c r="C2536" s="23"/>
      <c r="D2536" s="23"/>
      <c r="E2536" s="23"/>
    </row>
    <row r="2537">
      <c r="B2537" s="23"/>
      <c r="C2537" s="23"/>
      <c r="D2537" s="23"/>
      <c r="E2537" s="23"/>
    </row>
    <row r="2538">
      <c r="B2538" s="23"/>
      <c r="C2538" s="23"/>
      <c r="D2538" s="23"/>
      <c r="E2538" s="23"/>
    </row>
    <row r="2539">
      <c r="B2539" s="23"/>
      <c r="C2539" s="23"/>
      <c r="D2539" s="23"/>
      <c r="E2539" s="23"/>
    </row>
    <row r="2540">
      <c r="B2540" s="23"/>
      <c r="C2540" s="23"/>
      <c r="D2540" s="23"/>
      <c r="E2540" s="23"/>
    </row>
    <row r="2541">
      <c r="B2541" s="23"/>
      <c r="C2541" s="23"/>
      <c r="D2541" s="23"/>
      <c r="E2541" s="23"/>
    </row>
    <row r="2542">
      <c r="B2542" s="23"/>
      <c r="C2542" s="23"/>
      <c r="D2542" s="23"/>
      <c r="E2542" s="23"/>
    </row>
    <row r="2543">
      <c r="B2543" s="23"/>
      <c r="C2543" s="23"/>
      <c r="D2543" s="23"/>
      <c r="E2543" s="23"/>
    </row>
    <row r="2544">
      <c r="B2544" s="23"/>
      <c r="C2544" s="23"/>
      <c r="D2544" s="23"/>
      <c r="E2544" s="23"/>
    </row>
    <row r="2545">
      <c r="B2545" s="23"/>
      <c r="C2545" s="23"/>
      <c r="D2545" s="23"/>
      <c r="E2545" s="23"/>
    </row>
    <row r="2546">
      <c r="B2546" s="23"/>
      <c r="C2546" s="23"/>
      <c r="D2546" s="23"/>
      <c r="E2546" s="23"/>
    </row>
    <row r="2547">
      <c r="B2547" s="23"/>
      <c r="C2547" s="23"/>
      <c r="D2547" s="23"/>
      <c r="E2547" s="23"/>
    </row>
    <row r="2548">
      <c r="B2548" s="23"/>
      <c r="C2548" s="23"/>
      <c r="D2548" s="23"/>
      <c r="E2548" s="23"/>
    </row>
    <row r="2549">
      <c r="B2549" s="23"/>
      <c r="C2549" s="23"/>
      <c r="D2549" s="23"/>
      <c r="E2549" s="23"/>
    </row>
    <row r="2550">
      <c r="B2550" s="23"/>
      <c r="C2550" s="23"/>
      <c r="D2550" s="23"/>
      <c r="E2550" s="23"/>
    </row>
    <row r="2551">
      <c r="B2551" s="23"/>
      <c r="C2551" s="23"/>
      <c r="D2551" s="23"/>
      <c r="E2551" s="23"/>
    </row>
    <row r="2552">
      <c r="B2552" s="23"/>
      <c r="C2552" s="23"/>
      <c r="D2552" s="23"/>
      <c r="E2552" s="23"/>
    </row>
    <row r="2553">
      <c r="B2553" s="23"/>
      <c r="C2553" s="23"/>
      <c r="D2553" s="23"/>
      <c r="E2553" s="23"/>
    </row>
    <row r="2554">
      <c r="B2554" s="23"/>
      <c r="C2554" s="23"/>
      <c r="D2554" s="23"/>
      <c r="E2554" s="23"/>
    </row>
    <row r="2555">
      <c r="B2555" s="23"/>
      <c r="C2555" s="23"/>
      <c r="D2555" s="23"/>
      <c r="E2555" s="23"/>
    </row>
    <row r="2556">
      <c r="B2556" s="23"/>
      <c r="C2556" s="23"/>
      <c r="D2556" s="23"/>
      <c r="E2556" s="23"/>
    </row>
    <row r="2557">
      <c r="B2557" s="23"/>
      <c r="C2557" s="23"/>
      <c r="D2557" s="23"/>
      <c r="E2557" s="23"/>
    </row>
    <row r="2558">
      <c r="B2558" s="23"/>
      <c r="C2558" s="23"/>
      <c r="D2558" s="23"/>
      <c r="E2558" s="23"/>
    </row>
    <row r="2559">
      <c r="B2559" s="23"/>
      <c r="C2559" s="23"/>
      <c r="D2559" s="23"/>
      <c r="E2559" s="23"/>
    </row>
    <row r="2560">
      <c r="B2560" s="23"/>
      <c r="C2560" s="23"/>
      <c r="D2560" s="23"/>
      <c r="E2560" s="23"/>
    </row>
    <row r="2561">
      <c r="B2561" s="23"/>
      <c r="C2561" s="23"/>
      <c r="D2561" s="23"/>
      <c r="E2561" s="23"/>
    </row>
    <row r="2562">
      <c r="B2562" s="23"/>
      <c r="C2562" s="23"/>
      <c r="D2562" s="23"/>
      <c r="E2562" s="23"/>
    </row>
    <row r="2563">
      <c r="B2563" s="23"/>
      <c r="C2563" s="23"/>
      <c r="D2563" s="23"/>
      <c r="E2563" s="23"/>
    </row>
    <row r="2564">
      <c r="B2564" s="23"/>
      <c r="C2564" s="23"/>
      <c r="D2564" s="23"/>
      <c r="E2564" s="23"/>
    </row>
    <row r="2565">
      <c r="B2565" s="23"/>
      <c r="C2565" s="23"/>
      <c r="D2565" s="23"/>
      <c r="E2565" s="23"/>
    </row>
    <row r="2566">
      <c r="B2566" s="23"/>
      <c r="C2566" s="23"/>
      <c r="D2566" s="23"/>
      <c r="E2566" s="23"/>
    </row>
    <row r="2567">
      <c r="B2567" s="23"/>
      <c r="C2567" s="23"/>
      <c r="D2567" s="23"/>
      <c r="E2567" s="23"/>
    </row>
    <row r="2568">
      <c r="B2568" s="23"/>
      <c r="C2568" s="23"/>
      <c r="D2568" s="23"/>
      <c r="E2568" s="23"/>
    </row>
    <row r="2569">
      <c r="B2569" s="23"/>
      <c r="C2569" s="23"/>
      <c r="D2569" s="23"/>
      <c r="E2569" s="23"/>
    </row>
    <row r="2570">
      <c r="B2570" s="23"/>
      <c r="C2570" s="23"/>
      <c r="D2570" s="23"/>
      <c r="E2570" s="23"/>
    </row>
    <row r="2571">
      <c r="B2571" s="23"/>
      <c r="C2571" s="23"/>
      <c r="D2571" s="23"/>
      <c r="E2571" s="23"/>
    </row>
    <row r="2572">
      <c r="B2572" s="23"/>
      <c r="C2572" s="23"/>
      <c r="D2572" s="23"/>
      <c r="E2572" s="23"/>
    </row>
    <row r="2573">
      <c r="B2573" s="23"/>
      <c r="C2573" s="23"/>
      <c r="D2573" s="23"/>
      <c r="E2573" s="23"/>
    </row>
    <row r="2574">
      <c r="B2574" s="23"/>
      <c r="C2574" s="23"/>
      <c r="D2574" s="23"/>
      <c r="E2574" s="23"/>
    </row>
    <row r="2575">
      <c r="B2575" s="23"/>
      <c r="C2575" s="23"/>
      <c r="D2575" s="23"/>
      <c r="E2575" s="23"/>
    </row>
    <row r="2576">
      <c r="B2576" s="23"/>
      <c r="C2576" s="23"/>
      <c r="D2576" s="23"/>
      <c r="E2576" s="23"/>
    </row>
    <row r="2577">
      <c r="B2577" s="23"/>
      <c r="C2577" s="23"/>
      <c r="D2577" s="23"/>
      <c r="E2577" s="23"/>
    </row>
    <row r="2578">
      <c r="B2578" s="23"/>
      <c r="C2578" s="23"/>
      <c r="D2578" s="23"/>
      <c r="E2578" s="23"/>
    </row>
    <row r="2579">
      <c r="B2579" s="23"/>
      <c r="C2579" s="23"/>
      <c r="D2579" s="23"/>
      <c r="E2579" s="23"/>
    </row>
    <row r="2580">
      <c r="B2580" s="23"/>
      <c r="C2580" s="23"/>
      <c r="D2580" s="23"/>
      <c r="E2580" s="23"/>
    </row>
    <row r="2581">
      <c r="B2581" s="23"/>
      <c r="C2581" s="23"/>
      <c r="D2581" s="23"/>
      <c r="E2581" s="23"/>
    </row>
    <row r="2582">
      <c r="B2582" s="23"/>
      <c r="C2582" s="23"/>
      <c r="D2582" s="23"/>
      <c r="E2582" s="23"/>
    </row>
    <row r="2583">
      <c r="B2583" s="23"/>
      <c r="C2583" s="23"/>
      <c r="D2583" s="23"/>
      <c r="E2583" s="23"/>
    </row>
    <row r="2584">
      <c r="B2584" s="23"/>
      <c r="C2584" s="23"/>
      <c r="D2584" s="23"/>
      <c r="E2584" s="23"/>
    </row>
    <row r="2585">
      <c r="B2585" s="23"/>
      <c r="C2585" s="23"/>
      <c r="D2585" s="23"/>
      <c r="E2585" s="23"/>
    </row>
    <row r="2586">
      <c r="B2586" s="23"/>
      <c r="C2586" s="23"/>
      <c r="D2586" s="23"/>
      <c r="E2586" s="23"/>
    </row>
    <row r="2587">
      <c r="B2587" s="23"/>
      <c r="C2587" s="23"/>
      <c r="D2587" s="23"/>
      <c r="E2587" s="23"/>
    </row>
    <row r="2588">
      <c r="B2588" s="23"/>
      <c r="C2588" s="23"/>
      <c r="D2588" s="23"/>
      <c r="E2588" s="23"/>
    </row>
    <row r="2589">
      <c r="B2589" s="23"/>
      <c r="C2589" s="23"/>
      <c r="D2589" s="23"/>
      <c r="E2589" s="23"/>
    </row>
    <row r="2590">
      <c r="B2590" s="23"/>
      <c r="C2590" s="23"/>
      <c r="D2590" s="23"/>
      <c r="E2590" s="23"/>
    </row>
    <row r="2591">
      <c r="B2591" s="23"/>
      <c r="C2591" s="23"/>
      <c r="D2591" s="23"/>
      <c r="E2591" s="23"/>
    </row>
    <row r="2592">
      <c r="B2592" s="23"/>
      <c r="C2592" s="23"/>
      <c r="D2592" s="23"/>
      <c r="E2592" s="23"/>
    </row>
    <row r="2593">
      <c r="B2593" s="23"/>
      <c r="C2593" s="23"/>
      <c r="D2593" s="23"/>
      <c r="E2593" s="23"/>
    </row>
    <row r="2594">
      <c r="B2594" s="23"/>
      <c r="C2594" s="23"/>
      <c r="D2594" s="23"/>
      <c r="E2594" s="23"/>
    </row>
    <row r="2595">
      <c r="B2595" s="23"/>
      <c r="C2595" s="23"/>
      <c r="D2595" s="23"/>
      <c r="E2595" s="23"/>
    </row>
    <row r="2596">
      <c r="B2596" s="23"/>
      <c r="C2596" s="23"/>
      <c r="D2596" s="23"/>
      <c r="E2596" s="23"/>
    </row>
    <row r="2597">
      <c r="B2597" s="23"/>
      <c r="C2597" s="23"/>
      <c r="D2597" s="23"/>
      <c r="E2597" s="23"/>
    </row>
    <row r="2598">
      <c r="B2598" s="23"/>
      <c r="C2598" s="23"/>
      <c r="D2598" s="23"/>
      <c r="E2598" s="23"/>
    </row>
    <row r="2599">
      <c r="B2599" s="23"/>
      <c r="C2599" s="23"/>
      <c r="D2599" s="23"/>
      <c r="E2599" s="23"/>
    </row>
    <row r="2600">
      <c r="B2600" s="23"/>
      <c r="C2600" s="23"/>
      <c r="D2600" s="23"/>
      <c r="E2600" s="23"/>
    </row>
    <row r="2601">
      <c r="B2601" s="23"/>
      <c r="C2601" s="23"/>
      <c r="D2601" s="23"/>
      <c r="E2601" s="23"/>
    </row>
    <row r="2602">
      <c r="B2602" s="23"/>
      <c r="C2602" s="23"/>
      <c r="D2602" s="23"/>
      <c r="E2602" s="23"/>
    </row>
    <row r="2603">
      <c r="B2603" s="23"/>
      <c r="C2603" s="23"/>
      <c r="D2603" s="23"/>
      <c r="E2603" s="23"/>
    </row>
    <row r="2604">
      <c r="B2604" s="23"/>
      <c r="C2604" s="23"/>
      <c r="D2604" s="23"/>
      <c r="E2604" s="23"/>
    </row>
    <row r="2605">
      <c r="B2605" s="23"/>
      <c r="C2605" s="23"/>
      <c r="D2605" s="23"/>
      <c r="E2605" s="23"/>
    </row>
    <row r="2606">
      <c r="B2606" s="23"/>
      <c r="C2606" s="23"/>
      <c r="D2606" s="23"/>
      <c r="E2606" s="23"/>
    </row>
    <row r="2607">
      <c r="B2607" s="23"/>
      <c r="C2607" s="23"/>
      <c r="D2607" s="23"/>
      <c r="E2607" s="23"/>
    </row>
    <row r="2608">
      <c r="B2608" s="23"/>
      <c r="C2608" s="23"/>
      <c r="D2608" s="23"/>
      <c r="E2608" s="23"/>
    </row>
    <row r="2609">
      <c r="B2609" s="23"/>
      <c r="C2609" s="23"/>
      <c r="D2609" s="23"/>
      <c r="E2609" s="23"/>
    </row>
    <row r="2610">
      <c r="B2610" s="23"/>
      <c r="C2610" s="23"/>
      <c r="D2610" s="23"/>
      <c r="E2610" s="23"/>
    </row>
    <row r="2611">
      <c r="B2611" s="23"/>
      <c r="C2611" s="23"/>
      <c r="D2611" s="23"/>
      <c r="E2611" s="23"/>
    </row>
    <row r="2612">
      <c r="B2612" s="23"/>
      <c r="C2612" s="23"/>
      <c r="D2612" s="23"/>
      <c r="E2612" s="23"/>
    </row>
    <row r="2613">
      <c r="B2613" s="23"/>
      <c r="C2613" s="23"/>
      <c r="D2613" s="23"/>
      <c r="E2613" s="23"/>
    </row>
    <row r="2614">
      <c r="B2614" s="23"/>
      <c r="C2614" s="23"/>
      <c r="D2614" s="23"/>
      <c r="E2614" s="23"/>
    </row>
    <row r="2615">
      <c r="B2615" s="23"/>
      <c r="C2615" s="23"/>
      <c r="D2615" s="23"/>
      <c r="E2615" s="23"/>
    </row>
    <row r="2616">
      <c r="B2616" s="23"/>
      <c r="C2616" s="23"/>
      <c r="D2616" s="23"/>
      <c r="E2616" s="23"/>
    </row>
    <row r="2617">
      <c r="B2617" s="23"/>
      <c r="C2617" s="23"/>
      <c r="D2617" s="23"/>
      <c r="E2617" s="23"/>
    </row>
    <row r="2618">
      <c r="B2618" s="23"/>
      <c r="C2618" s="23"/>
      <c r="D2618" s="23"/>
      <c r="E2618" s="23"/>
    </row>
    <row r="2619">
      <c r="B2619" s="23"/>
      <c r="C2619" s="23"/>
      <c r="D2619" s="23"/>
      <c r="E2619" s="23"/>
    </row>
    <row r="2620">
      <c r="B2620" s="23"/>
      <c r="C2620" s="23"/>
      <c r="D2620" s="23"/>
      <c r="E2620" s="23"/>
    </row>
    <row r="2621">
      <c r="B2621" s="23"/>
      <c r="C2621" s="23"/>
      <c r="D2621" s="23"/>
      <c r="E2621" s="23"/>
    </row>
    <row r="2622">
      <c r="B2622" s="23"/>
      <c r="C2622" s="23"/>
      <c r="D2622" s="23"/>
      <c r="E2622" s="23"/>
    </row>
    <row r="2623">
      <c r="B2623" s="23"/>
      <c r="C2623" s="23"/>
      <c r="D2623" s="23"/>
      <c r="E2623" s="23"/>
    </row>
    <row r="2624">
      <c r="B2624" s="23"/>
      <c r="C2624" s="23"/>
      <c r="D2624" s="23"/>
      <c r="E2624" s="23"/>
    </row>
    <row r="2625">
      <c r="B2625" s="23"/>
      <c r="C2625" s="23"/>
      <c r="D2625" s="23"/>
      <c r="E2625" s="23"/>
    </row>
    <row r="2626">
      <c r="B2626" s="23"/>
      <c r="C2626" s="23"/>
      <c r="D2626" s="23"/>
      <c r="E2626" s="23"/>
    </row>
    <row r="2627">
      <c r="B2627" s="23"/>
      <c r="C2627" s="23"/>
      <c r="D2627" s="23"/>
      <c r="E2627" s="23"/>
    </row>
    <row r="2628">
      <c r="B2628" s="23"/>
      <c r="C2628" s="23"/>
      <c r="D2628" s="23"/>
      <c r="E2628" s="23"/>
    </row>
    <row r="2629">
      <c r="B2629" s="23"/>
      <c r="C2629" s="23"/>
      <c r="D2629" s="23"/>
      <c r="E2629" s="23"/>
    </row>
    <row r="2630">
      <c r="B2630" s="23"/>
      <c r="C2630" s="23"/>
      <c r="D2630" s="23"/>
      <c r="E2630" s="23"/>
    </row>
    <row r="2631">
      <c r="B2631" s="23"/>
      <c r="C2631" s="23"/>
      <c r="D2631" s="23"/>
      <c r="E2631" s="23"/>
    </row>
    <row r="2632">
      <c r="B2632" s="23"/>
      <c r="C2632" s="23"/>
      <c r="D2632" s="23"/>
      <c r="E2632" s="23"/>
    </row>
    <row r="2633">
      <c r="B2633" s="23"/>
      <c r="C2633" s="23"/>
      <c r="D2633" s="23"/>
      <c r="E2633" s="23"/>
    </row>
    <row r="2634">
      <c r="B2634" s="23"/>
      <c r="C2634" s="23"/>
      <c r="D2634" s="23"/>
      <c r="E2634" s="23"/>
    </row>
    <row r="2635">
      <c r="B2635" s="23"/>
      <c r="C2635" s="23"/>
      <c r="D2635" s="23"/>
      <c r="E2635" s="23"/>
    </row>
    <row r="2636">
      <c r="B2636" s="23"/>
      <c r="C2636" s="23"/>
      <c r="D2636" s="23"/>
      <c r="E2636" s="23"/>
    </row>
    <row r="2637">
      <c r="B2637" s="23"/>
      <c r="C2637" s="23"/>
      <c r="D2637" s="23"/>
      <c r="E2637" s="23"/>
    </row>
    <row r="2638">
      <c r="B2638" s="23"/>
      <c r="C2638" s="23"/>
      <c r="D2638" s="23"/>
      <c r="E2638" s="23"/>
    </row>
    <row r="2639">
      <c r="B2639" s="23"/>
      <c r="C2639" s="23"/>
      <c r="D2639" s="23"/>
      <c r="E2639" s="23"/>
    </row>
    <row r="2640">
      <c r="B2640" s="23"/>
      <c r="C2640" s="23"/>
      <c r="D2640" s="23"/>
      <c r="E2640" s="23"/>
    </row>
    <row r="2641">
      <c r="B2641" s="23"/>
      <c r="C2641" s="23"/>
      <c r="D2641" s="23"/>
      <c r="E2641" s="23"/>
    </row>
    <row r="2642">
      <c r="B2642" s="23"/>
      <c r="C2642" s="23"/>
      <c r="D2642" s="23"/>
      <c r="E2642" s="23"/>
    </row>
    <row r="2643">
      <c r="B2643" s="23"/>
      <c r="C2643" s="23"/>
      <c r="D2643" s="23"/>
      <c r="E2643" s="23"/>
    </row>
    <row r="2644">
      <c r="B2644" s="23"/>
      <c r="C2644" s="23"/>
      <c r="D2644" s="23"/>
      <c r="E2644" s="23"/>
    </row>
    <row r="2645">
      <c r="B2645" s="23"/>
      <c r="C2645" s="23"/>
      <c r="D2645" s="23"/>
      <c r="E2645" s="23"/>
    </row>
    <row r="2646">
      <c r="B2646" s="23"/>
      <c r="C2646" s="23"/>
      <c r="D2646" s="23"/>
      <c r="E2646" s="23"/>
    </row>
    <row r="2647">
      <c r="B2647" s="23"/>
      <c r="C2647" s="23"/>
      <c r="D2647" s="23"/>
      <c r="E2647" s="23"/>
    </row>
    <row r="2648">
      <c r="B2648" s="23"/>
      <c r="C2648" s="23"/>
      <c r="D2648" s="23"/>
      <c r="E2648" s="23"/>
    </row>
    <row r="2649">
      <c r="B2649" s="23"/>
      <c r="C2649" s="23"/>
      <c r="D2649" s="23"/>
      <c r="E2649" s="23"/>
    </row>
    <row r="2650">
      <c r="B2650" s="23"/>
      <c r="C2650" s="23"/>
      <c r="D2650" s="23"/>
      <c r="E2650" s="23"/>
    </row>
    <row r="2651">
      <c r="B2651" s="23"/>
      <c r="C2651" s="23"/>
      <c r="D2651" s="23"/>
      <c r="E2651" s="23"/>
    </row>
    <row r="2652">
      <c r="B2652" s="23"/>
      <c r="C2652" s="23"/>
      <c r="D2652" s="23"/>
      <c r="E2652" s="23"/>
    </row>
    <row r="2653">
      <c r="B2653" s="23"/>
      <c r="C2653" s="23"/>
      <c r="D2653" s="23"/>
      <c r="E2653" s="23"/>
    </row>
    <row r="2654">
      <c r="B2654" s="23"/>
      <c r="C2654" s="23"/>
      <c r="D2654" s="23"/>
      <c r="E2654" s="23"/>
    </row>
    <row r="2655">
      <c r="B2655" s="23"/>
      <c r="C2655" s="23"/>
      <c r="D2655" s="23"/>
      <c r="E2655" s="23"/>
    </row>
    <row r="2656">
      <c r="B2656" s="23"/>
      <c r="C2656" s="23"/>
      <c r="D2656" s="23"/>
      <c r="E2656" s="23"/>
    </row>
    <row r="2657">
      <c r="B2657" s="23"/>
      <c r="C2657" s="23"/>
      <c r="D2657" s="23"/>
      <c r="E2657" s="23"/>
    </row>
    <row r="2658">
      <c r="B2658" s="23"/>
      <c r="C2658" s="23"/>
      <c r="D2658" s="23"/>
      <c r="E2658" s="23"/>
    </row>
    <row r="2659">
      <c r="B2659" s="23"/>
      <c r="C2659" s="23"/>
      <c r="D2659" s="23"/>
      <c r="E2659" s="23"/>
    </row>
    <row r="2660">
      <c r="B2660" s="23"/>
      <c r="C2660" s="23"/>
      <c r="D2660" s="23"/>
      <c r="E2660" s="23"/>
    </row>
    <row r="2661">
      <c r="B2661" s="23"/>
      <c r="C2661" s="23"/>
      <c r="D2661" s="23"/>
      <c r="E2661" s="23"/>
    </row>
    <row r="2662">
      <c r="B2662" s="23"/>
      <c r="C2662" s="23"/>
      <c r="D2662" s="23"/>
      <c r="E2662" s="23"/>
    </row>
    <row r="2663">
      <c r="B2663" s="23"/>
      <c r="C2663" s="23"/>
      <c r="D2663" s="23"/>
      <c r="E2663" s="23"/>
    </row>
    <row r="2664">
      <c r="B2664" s="23"/>
      <c r="C2664" s="23"/>
      <c r="D2664" s="23"/>
      <c r="E2664" s="23"/>
    </row>
    <row r="2665">
      <c r="B2665" s="23"/>
      <c r="C2665" s="23"/>
      <c r="D2665" s="23"/>
      <c r="E2665" s="23"/>
    </row>
    <row r="2666">
      <c r="B2666" s="23"/>
      <c r="C2666" s="23"/>
      <c r="D2666" s="23"/>
      <c r="E2666" s="23"/>
    </row>
    <row r="2667">
      <c r="B2667" s="23"/>
      <c r="C2667" s="23"/>
      <c r="D2667" s="23"/>
      <c r="E2667" s="23"/>
    </row>
    <row r="2668">
      <c r="B2668" s="23"/>
      <c r="C2668" s="23"/>
      <c r="D2668" s="23"/>
      <c r="E2668" s="23"/>
    </row>
    <row r="2669">
      <c r="B2669" s="23"/>
      <c r="C2669" s="23"/>
      <c r="D2669" s="23"/>
      <c r="E2669" s="23"/>
    </row>
    <row r="2670">
      <c r="B2670" s="23"/>
      <c r="C2670" s="23"/>
      <c r="D2670" s="23"/>
      <c r="E2670" s="23"/>
    </row>
    <row r="2671">
      <c r="B2671" s="23"/>
      <c r="C2671" s="23"/>
      <c r="D2671" s="23"/>
      <c r="E2671" s="23"/>
    </row>
    <row r="2672">
      <c r="B2672" s="23"/>
      <c r="C2672" s="23"/>
      <c r="D2672" s="23"/>
      <c r="E2672" s="23"/>
    </row>
    <row r="2673">
      <c r="B2673" s="23"/>
      <c r="C2673" s="23"/>
      <c r="D2673" s="23"/>
      <c r="E2673" s="23"/>
    </row>
    <row r="2674">
      <c r="B2674" s="23"/>
      <c r="C2674" s="23"/>
      <c r="D2674" s="23"/>
      <c r="E2674" s="23"/>
    </row>
    <row r="2675">
      <c r="B2675" s="23"/>
      <c r="C2675" s="23"/>
      <c r="D2675" s="23"/>
      <c r="E2675" s="23"/>
    </row>
    <row r="2676">
      <c r="B2676" s="23"/>
      <c r="C2676" s="23"/>
      <c r="D2676" s="23"/>
      <c r="E2676" s="23"/>
    </row>
    <row r="2677">
      <c r="B2677" s="23"/>
      <c r="C2677" s="23"/>
      <c r="D2677" s="23"/>
      <c r="E2677" s="23"/>
    </row>
    <row r="2678">
      <c r="B2678" s="23"/>
      <c r="C2678" s="23"/>
      <c r="D2678" s="23"/>
      <c r="E2678" s="23"/>
    </row>
    <row r="2679">
      <c r="B2679" s="23"/>
      <c r="C2679" s="23"/>
      <c r="D2679" s="23"/>
      <c r="E2679" s="23"/>
    </row>
    <row r="2680">
      <c r="B2680" s="23"/>
      <c r="C2680" s="23"/>
      <c r="D2680" s="23"/>
      <c r="E2680" s="23"/>
    </row>
    <row r="2681">
      <c r="B2681" s="23"/>
      <c r="C2681" s="23"/>
      <c r="D2681" s="23"/>
      <c r="E2681" s="23"/>
    </row>
    <row r="2682">
      <c r="B2682" s="23"/>
      <c r="C2682" s="23"/>
      <c r="D2682" s="23"/>
      <c r="E2682" s="23"/>
    </row>
    <row r="2683">
      <c r="B2683" s="23"/>
      <c r="C2683" s="23"/>
      <c r="D2683" s="23"/>
      <c r="E2683" s="23"/>
    </row>
    <row r="2684">
      <c r="B2684" s="23"/>
      <c r="C2684" s="23"/>
      <c r="D2684" s="23"/>
      <c r="E2684" s="23"/>
    </row>
    <row r="2685">
      <c r="B2685" s="23"/>
      <c r="C2685" s="23"/>
      <c r="D2685" s="23"/>
      <c r="E2685" s="23"/>
    </row>
    <row r="2686">
      <c r="B2686" s="23"/>
      <c r="C2686" s="23"/>
      <c r="D2686" s="23"/>
      <c r="E2686" s="23"/>
    </row>
    <row r="2687">
      <c r="B2687" s="23"/>
      <c r="C2687" s="23"/>
      <c r="D2687" s="23"/>
      <c r="E2687" s="23"/>
    </row>
    <row r="2688">
      <c r="B2688" s="23"/>
      <c r="C2688" s="23"/>
      <c r="D2688" s="23"/>
      <c r="E2688" s="23"/>
    </row>
    <row r="2689">
      <c r="B2689" s="23"/>
      <c r="C2689" s="23"/>
      <c r="D2689" s="23"/>
      <c r="E2689" s="23"/>
    </row>
    <row r="2690">
      <c r="B2690" s="23"/>
      <c r="C2690" s="23"/>
      <c r="D2690" s="23"/>
      <c r="E2690" s="23"/>
    </row>
    <row r="2691">
      <c r="B2691" s="23"/>
      <c r="C2691" s="23"/>
      <c r="D2691" s="23"/>
      <c r="E2691" s="23"/>
    </row>
    <row r="2692">
      <c r="B2692" s="23"/>
      <c r="C2692" s="23"/>
      <c r="D2692" s="23"/>
      <c r="E2692" s="23"/>
    </row>
    <row r="2693">
      <c r="B2693" s="23"/>
      <c r="C2693" s="23"/>
      <c r="D2693" s="23"/>
      <c r="E2693" s="23"/>
    </row>
    <row r="2694">
      <c r="B2694" s="23"/>
      <c r="C2694" s="23"/>
      <c r="D2694" s="23"/>
      <c r="E2694" s="23"/>
    </row>
    <row r="2695">
      <c r="B2695" s="23"/>
      <c r="C2695" s="23"/>
      <c r="D2695" s="23"/>
      <c r="E2695" s="23"/>
    </row>
    <row r="2696">
      <c r="B2696" s="23"/>
      <c r="C2696" s="23"/>
      <c r="D2696" s="23"/>
      <c r="E2696" s="23"/>
    </row>
    <row r="2697">
      <c r="B2697" s="23"/>
      <c r="C2697" s="23"/>
      <c r="D2697" s="23"/>
      <c r="E2697" s="23"/>
    </row>
    <row r="2698">
      <c r="B2698" s="23"/>
      <c r="C2698" s="23"/>
      <c r="D2698" s="23"/>
      <c r="E2698" s="23"/>
    </row>
    <row r="2699">
      <c r="B2699" s="23"/>
      <c r="C2699" s="23"/>
      <c r="D2699" s="23"/>
      <c r="E2699" s="23"/>
    </row>
    <row r="2700">
      <c r="B2700" s="23"/>
      <c r="C2700" s="23"/>
      <c r="D2700" s="23"/>
      <c r="E2700" s="23"/>
    </row>
    <row r="2701">
      <c r="B2701" s="23"/>
      <c r="C2701" s="23"/>
      <c r="D2701" s="23"/>
      <c r="E2701" s="23"/>
    </row>
    <row r="2702">
      <c r="B2702" s="23"/>
      <c r="C2702" s="23"/>
      <c r="D2702" s="23"/>
      <c r="E2702" s="23"/>
    </row>
    <row r="2703">
      <c r="B2703" s="23"/>
      <c r="C2703" s="23"/>
      <c r="D2703" s="23"/>
      <c r="E2703" s="23"/>
    </row>
    <row r="2704">
      <c r="B2704" s="23"/>
      <c r="C2704" s="23"/>
      <c r="D2704" s="23"/>
      <c r="E2704" s="23"/>
    </row>
    <row r="2705">
      <c r="B2705" s="23"/>
      <c r="C2705" s="23"/>
      <c r="D2705" s="23"/>
      <c r="E2705" s="23"/>
    </row>
    <row r="2706">
      <c r="B2706" s="23"/>
      <c r="C2706" s="23"/>
      <c r="D2706" s="23"/>
      <c r="E2706" s="23"/>
    </row>
    <row r="2707">
      <c r="B2707" s="23"/>
      <c r="C2707" s="23"/>
      <c r="D2707" s="23"/>
      <c r="E2707" s="23"/>
    </row>
    <row r="2708">
      <c r="B2708" s="23"/>
      <c r="C2708" s="23"/>
      <c r="D2708" s="23"/>
      <c r="E2708" s="23"/>
    </row>
    <row r="2709">
      <c r="B2709" s="23"/>
      <c r="C2709" s="23"/>
      <c r="D2709" s="23"/>
      <c r="E2709" s="23"/>
    </row>
    <row r="2710">
      <c r="B2710" s="23"/>
      <c r="C2710" s="23"/>
      <c r="D2710" s="23"/>
      <c r="E2710" s="23"/>
    </row>
    <row r="2711">
      <c r="B2711" s="23"/>
      <c r="C2711" s="23"/>
      <c r="D2711" s="23"/>
      <c r="E2711" s="23"/>
    </row>
    <row r="2712">
      <c r="B2712" s="23"/>
      <c r="C2712" s="23"/>
      <c r="D2712" s="23"/>
      <c r="E2712" s="23"/>
    </row>
    <row r="2713">
      <c r="B2713" s="23"/>
      <c r="C2713" s="23"/>
      <c r="D2713" s="23"/>
      <c r="E2713" s="23"/>
    </row>
    <row r="2714">
      <c r="B2714" s="23"/>
      <c r="C2714" s="23"/>
      <c r="D2714" s="23"/>
      <c r="E2714" s="23"/>
    </row>
    <row r="2715">
      <c r="B2715" s="23"/>
      <c r="C2715" s="23"/>
      <c r="D2715" s="23"/>
      <c r="E2715" s="23"/>
    </row>
    <row r="2716">
      <c r="B2716" s="23"/>
      <c r="C2716" s="23"/>
      <c r="D2716" s="23"/>
      <c r="E2716" s="23"/>
    </row>
    <row r="2717">
      <c r="B2717" s="23"/>
      <c r="C2717" s="23"/>
      <c r="D2717" s="23"/>
      <c r="E2717" s="23"/>
    </row>
    <row r="2718">
      <c r="B2718" s="23"/>
      <c r="C2718" s="23"/>
      <c r="D2718" s="23"/>
      <c r="E2718" s="23"/>
    </row>
    <row r="2719">
      <c r="B2719" s="23"/>
      <c r="C2719" s="23"/>
      <c r="D2719" s="23"/>
      <c r="E2719" s="23"/>
    </row>
    <row r="2720">
      <c r="B2720" s="23"/>
      <c r="C2720" s="23"/>
      <c r="D2720" s="23"/>
      <c r="E2720" s="23"/>
    </row>
    <row r="2721">
      <c r="B2721" s="23"/>
      <c r="C2721" s="23"/>
      <c r="D2721" s="23"/>
      <c r="E2721" s="23"/>
    </row>
    <row r="2722">
      <c r="B2722" s="23"/>
      <c r="C2722" s="23"/>
      <c r="D2722" s="23"/>
      <c r="E2722" s="23"/>
    </row>
    <row r="2723">
      <c r="B2723" s="23"/>
      <c r="C2723" s="23"/>
      <c r="D2723" s="23"/>
      <c r="E2723" s="23"/>
    </row>
    <row r="2724">
      <c r="B2724" s="23"/>
      <c r="C2724" s="23"/>
      <c r="D2724" s="23"/>
      <c r="E2724" s="23"/>
    </row>
    <row r="2725">
      <c r="B2725" s="23"/>
      <c r="C2725" s="23"/>
      <c r="D2725" s="23"/>
      <c r="E2725" s="23"/>
    </row>
    <row r="2726">
      <c r="B2726" s="23"/>
      <c r="C2726" s="23"/>
      <c r="D2726" s="23"/>
      <c r="E2726" s="23"/>
    </row>
    <row r="2727">
      <c r="B2727" s="23"/>
      <c r="C2727" s="23"/>
      <c r="D2727" s="23"/>
      <c r="E2727" s="23"/>
    </row>
    <row r="2728">
      <c r="B2728" s="23"/>
      <c r="C2728" s="23"/>
      <c r="D2728" s="23"/>
      <c r="E2728" s="23"/>
    </row>
    <row r="2729">
      <c r="B2729" s="23"/>
      <c r="C2729" s="23"/>
      <c r="D2729" s="23"/>
      <c r="E2729" s="23"/>
    </row>
    <row r="2730">
      <c r="B2730" s="23"/>
      <c r="C2730" s="23"/>
      <c r="D2730" s="23"/>
      <c r="E2730" s="23"/>
    </row>
    <row r="2731">
      <c r="B2731" s="23"/>
      <c r="C2731" s="23"/>
      <c r="D2731" s="23"/>
      <c r="E2731" s="23"/>
    </row>
    <row r="2732">
      <c r="B2732" s="23"/>
      <c r="C2732" s="23"/>
      <c r="D2732" s="23"/>
      <c r="E2732" s="23"/>
    </row>
    <row r="2733">
      <c r="B2733" s="23"/>
      <c r="C2733" s="23"/>
      <c r="D2733" s="23"/>
      <c r="E2733" s="23"/>
    </row>
    <row r="2734">
      <c r="B2734" s="23"/>
      <c r="C2734" s="23"/>
      <c r="D2734" s="23"/>
      <c r="E2734" s="23"/>
    </row>
    <row r="2735">
      <c r="B2735" s="23"/>
      <c r="C2735" s="23"/>
      <c r="D2735" s="23"/>
      <c r="E2735" s="23"/>
    </row>
    <row r="2736">
      <c r="B2736" s="23"/>
      <c r="C2736" s="23"/>
      <c r="D2736" s="23"/>
      <c r="E2736" s="23"/>
    </row>
    <row r="2737">
      <c r="B2737" s="23"/>
      <c r="C2737" s="23"/>
      <c r="D2737" s="23"/>
      <c r="E2737" s="23"/>
    </row>
    <row r="2738">
      <c r="B2738" s="23"/>
      <c r="C2738" s="23"/>
      <c r="D2738" s="23"/>
      <c r="E2738" s="23"/>
    </row>
    <row r="2739">
      <c r="B2739" s="23"/>
      <c r="C2739" s="23"/>
      <c r="D2739" s="23"/>
      <c r="E2739" s="23"/>
    </row>
    <row r="2740">
      <c r="B2740" s="23"/>
      <c r="C2740" s="23"/>
      <c r="D2740" s="23"/>
      <c r="E2740" s="23"/>
    </row>
    <row r="2741">
      <c r="B2741" s="23"/>
      <c r="C2741" s="23"/>
      <c r="D2741" s="23"/>
      <c r="E2741" s="23"/>
    </row>
    <row r="2742">
      <c r="B2742" s="23"/>
      <c r="C2742" s="23"/>
      <c r="D2742" s="23"/>
      <c r="E2742" s="23"/>
    </row>
    <row r="2743">
      <c r="B2743" s="23"/>
      <c r="C2743" s="23"/>
      <c r="D2743" s="23"/>
      <c r="E2743" s="23"/>
    </row>
    <row r="2744">
      <c r="B2744" s="23"/>
      <c r="C2744" s="23"/>
      <c r="D2744" s="23"/>
      <c r="E2744" s="23"/>
    </row>
    <row r="2745">
      <c r="B2745" s="23"/>
      <c r="C2745" s="23"/>
      <c r="D2745" s="23"/>
      <c r="E2745" s="23"/>
    </row>
    <row r="2746">
      <c r="B2746" s="23"/>
      <c r="C2746" s="23"/>
      <c r="D2746" s="23"/>
      <c r="E2746" s="23"/>
    </row>
    <row r="2747">
      <c r="B2747" s="23"/>
      <c r="C2747" s="23"/>
      <c r="D2747" s="23"/>
      <c r="E2747" s="23"/>
    </row>
    <row r="2748">
      <c r="B2748" s="23"/>
      <c r="C2748" s="23"/>
      <c r="D2748" s="23"/>
      <c r="E2748" s="23"/>
    </row>
    <row r="2749">
      <c r="B2749" s="23"/>
      <c r="C2749" s="23"/>
      <c r="D2749" s="23"/>
      <c r="E2749" s="23"/>
    </row>
    <row r="2750">
      <c r="B2750" s="23"/>
      <c r="C2750" s="23"/>
      <c r="D2750" s="23"/>
      <c r="E2750" s="23"/>
    </row>
    <row r="2751">
      <c r="B2751" s="23"/>
      <c r="C2751" s="23"/>
      <c r="D2751" s="23"/>
      <c r="E2751" s="23"/>
    </row>
    <row r="2752">
      <c r="B2752" s="23"/>
      <c r="C2752" s="23"/>
      <c r="D2752" s="23"/>
      <c r="E2752" s="23"/>
    </row>
    <row r="2753">
      <c r="B2753" s="23"/>
      <c r="C2753" s="23"/>
      <c r="D2753" s="23"/>
      <c r="E2753" s="23"/>
    </row>
    <row r="2754">
      <c r="B2754" s="23"/>
      <c r="C2754" s="23"/>
      <c r="D2754" s="23"/>
      <c r="E2754" s="23"/>
    </row>
    <row r="2755">
      <c r="B2755" s="23"/>
      <c r="C2755" s="23"/>
      <c r="D2755" s="23"/>
      <c r="E2755" s="23"/>
    </row>
    <row r="2756">
      <c r="B2756" s="23"/>
      <c r="C2756" s="23"/>
      <c r="D2756" s="23"/>
      <c r="E2756" s="23"/>
    </row>
    <row r="2757">
      <c r="B2757" s="23"/>
      <c r="C2757" s="23"/>
      <c r="D2757" s="23"/>
      <c r="E2757" s="23"/>
    </row>
    <row r="2758">
      <c r="B2758" s="23"/>
      <c r="C2758" s="23"/>
      <c r="D2758" s="23"/>
      <c r="E2758" s="23"/>
    </row>
    <row r="2759">
      <c r="B2759" s="23"/>
      <c r="C2759" s="23"/>
      <c r="D2759" s="23"/>
      <c r="E2759" s="23"/>
    </row>
    <row r="2760">
      <c r="B2760" s="23"/>
      <c r="C2760" s="23"/>
      <c r="D2760" s="23"/>
      <c r="E2760" s="23"/>
    </row>
    <row r="2761">
      <c r="B2761" s="23"/>
      <c r="C2761" s="23"/>
      <c r="D2761" s="23"/>
      <c r="E2761" s="23"/>
    </row>
    <row r="2762">
      <c r="B2762" s="23"/>
      <c r="C2762" s="23"/>
      <c r="D2762" s="23"/>
      <c r="E2762" s="23"/>
    </row>
    <row r="2763">
      <c r="B2763" s="23"/>
      <c r="C2763" s="23"/>
      <c r="D2763" s="23"/>
      <c r="E2763" s="23"/>
    </row>
    <row r="2764">
      <c r="B2764" s="23"/>
      <c r="C2764" s="23"/>
      <c r="D2764" s="23"/>
      <c r="E2764" s="23"/>
    </row>
    <row r="2765">
      <c r="B2765" s="23"/>
      <c r="C2765" s="23"/>
      <c r="D2765" s="23"/>
      <c r="E2765" s="23"/>
    </row>
    <row r="2766">
      <c r="B2766" s="23"/>
      <c r="C2766" s="23"/>
      <c r="D2766" s="23"/>
      <c r="E2766" s="23"/>
    </row>
    <row r="2767">
      <c r="B2767" s="23"/>
      <c r="C2767" s="23"/>
      <c r="D2767" s="23"/>
      <c r="E2767" s="23"/>
    </row>
    <row r="2768">
      <c r="B2768" s="23"/>
      <c r="C2768" s="23"/>
      <c r="D2768" s="23"/>
      <c r="E2768" s="23"/>
    </row>
    <row r="2769">
      <c r="B2769" s="23"/>
      <c r="C2769" s="23"/>
      <c r="D2769" s="23"/>
      <c r="E2769" s="23"/>
    </row>
    <row r="2770">
      <c r="B2770" s="23"/>
      <c r="C2770" s="23"/>
      <c r="D2770" s="23"/>
      <c r="E2770" s="23"/>
    </row>
    <row r="2771">
      <c r="B2771" s="23"/>
      <c r="C2771" s="23"/>
      <c r="D2771" s="23"/>
      <c r="E2771" s="23"/>
    </row>
    <row r="2772">
      <c r="B2772" s="23"/>
      <c r="C2772" s="23"/>
      <c r="D2772" s="23"/>
      <c r="E2772" s="23"/>
    </row>
    <row r="2773">
      <c r="B2773" s="23"/>
      <c r="C2773" s="23"/>
      <c r="D2773" s="23"/>
      <c r="E2773" s="23"/>
    </row>
    <row r="2774">
      <c r="B2774" s="23"/>
      <c r="C2774" s="23"/>
      <c r="D2774" s="23"/>
      <c r="E2774" s="23"/>
    </row>
    <row r="2775">
      <c r="B2775" s="23"/>
      <c r="C2775" s="23"/>
      <c r="D2775" s="23"/>
      <c r="E2775" s="23"/>
    </row>
    <row r="2776">
      <c r="B2776" s="23"/>
      <c r="C2776" s="23"/>
      <c r="D2776" s="23"/>
      <c r="E2776" s="23"/>
    </row>
    <row r="2777">
      <c r="B2777" s="23"/>
      <c r="C2777" s="23"/>
      <c r="D2777" s="23"/>
      <c r="E2777" s="23"/>
    </row>
    <row r="2778">
      <c r="B2778" s="23"/>
      <c r="C2778" s="23"/>
      <c r="D2778" s="23"/>
      <c r="E2778" s="23"/>
    </row>
    <row r="2779">
      <c r="B2779" s="23"/>
      <c r="C2779" s="23"/>
      <c r="D2779" s="23"/>
      <c r="E2779" s="23"/>
    </row>
    <row r="2780">
      <c r="B2780" s="23"/>
      <c r="C2780" s="23"/>
      <c r="D2780" s="23"/>
      <c r="E2780" s="23"/>
    </row>
    <row r="2781">
      <c r="B2781" s="23"/>
      <c r="C2781" s="23"/>
      <c r="D2781" s="23"/>
      <c r="E2781" s="23"/>
    </row>
    <row r="2782">
      <c r="B2782" s="23"/>
      <c r="C2782" s="23"/>
      <c r="D2782" s="23"/>
      <c r="E2782" s="23"/>
    </row>
    <row r="2783">
      <c r="B2783" s="23"/>
      <c r="C2783" s="23"/>
      <c r="D2783" s="23"/>
      <c r="E2783" s="23"/>
    </row>
    <row r="2784">
      <c r="B2784" s="23"/>
      <c r="C2784" s="23"/>
      <c r="D2784" s="23"/>
      <c r="E2784" s="23"/>
    </row>
    <row r="2785">
      <c r="B2785" s="23"/>
      <c r="C2785" s="23"/>
      <c r="D2785" s="23"/>
      <c r="E2785" s="23"/>
    </row>
    <row r="2786">
      <c r="B2786" s="23"/>
      <c r="C2786" s="23"/>
      <c r="D2786" s="23"/>
      <c r="E2786" s="23"/>
    </row>
    <row r="2787">
      <c r="B2787" s="23"/>
      <c r="C2787" s="23"/>
      <c r="D2787" s="23"/>
      <c r="E2787" s="23"/>
    </row>
    <row r="2788">
      <c r="B2788" s="23"/>
      <c r="C2788" s="23"/>
      <c r="D2788" s="23"/>
      <c r="E2788" s="23"/>
    </row>
    <row r="2789">
      <c r="B2789" s="23"/>
      <c r="C2789" s="23"/>
      <c r="D2789" s="23"/>
      <c r="E2789" s="23"/>
    </row>
    <row r="2790">
      <c r="B2790" s="23"/>
      <c r="C2790" s="23"/>
      <c r="D2790" s="23"/>
      <c r="E2790" s="23"/>
    </row>
    <row r="2791">
      <c r="B2791" s="23"/>
      <c r="C2791" s="23"/>
      <c r="D2791" s="23"/>
      <c r="E2791" s="23"/>
    </row>
    <row r="2792">
      <c r="B2792" s="23"/>
      <c r="C2792" s="23"/>
      <c r="D2792" s="23"/>
      <c r="E2792" s="23"/>
    </row>
    <row r="2793">
      <c r="B2793" s="23"/>
      <c r="C2793" s="23"/>
      <c r="D2793" s="23"/>
      <c r="E2793" s="23"/>
    </row>
    <row r="2794">
      <c r="B2794" s="23"/>
      <c r="C2794" s="23"/>
      <c r="D2794" s="23"/>
      <c r="E2794" s="23"/>
    </row>
    <row r="2795">
      <c r="B2795" s="23"/>
      <c r="C2795" s="23"/>
      <c r="D2795" s="23"/>
      <c r="E2795" s="23"/>
    </row>
    <row r="2796">
      <c r="B2796" s="23"/>
      <c r="C2796" s="23"/>
      <c r="D2796" s="23"/>
      <c r="E2796" s="23"/>
    </row>
    <row r="2797">
      <c r="B2797" s="23"/>
      <c r="C2797" s="23"/>
      <c r="D2797" s="23"/>
      <c r="E2797" s="23"/>
    </row>
    <row r="2798">
      <c r="B2798" s="23"/>
      <c r="C2798" s="23"/>
      <c r="D2798" s="23"/>
      <c r="E2798" s="23"/>
    </row>
    <row r="2799">
      <c r="B2799" s="23"/>
      <c r="C2799" s="23"/>
      <c r="D2799" s="23"/>
      <c r="E2799" s="23"/>
    </row>
    <row r="2800">
      <c r="B2800" s="23"/>
      <c r="C2800" s="23"/>
      <c r="D2800" s="23"/>
      <c r="E2800" s="23"/>
    </row>
    <row r="2801">
      <c r="B2801" s="23"/>
      <c r="C2801" s="23"/>
      <c r="D2801" s="23"/>
      <c r="E2801" s="23"/>
    </row>
    <row r="2802">
      <c r="B2802" s="23"/>
      <c r="C2802" s="23"/>
      <c r="D2802" s="23"/>
      <c r="E2802" s="23"/>
    </row>
    <row r="2803">
      <c r="B2803" s="23"/>
      <c r="C2803" s="23"/>
      <c r="D2803" s="23"/>
      <c r="E2803" s="23"/>
    </row>
    <row r="2804">
      <c r="B2804" s="23"/>
      <c r="C2804" s="23"/>
      <c r="D2804" s="23"/>
      <c r="E2804" s="23"/>
    </row>
    <row r="2805">
      <c r="B2805" s="23"/>
      <c r="C2805" s="23"/>
      <c r="D2805" s="23"/>
      <c r="E2805" s="23"/>
    </row>
    <row r="2806">
      <c r="B2806" s="23"/>
      <c r="C2806" s="23"/>
      <c r="D2806" s="23"/>
      <c r="E2806" s="23"/>
    </row>
    <row r="2807">
      <c r="B2807" s="23"/>
      <c r="C2807" s="23"/>
      <c r="D2807" s="23"/>
      <c r="E2807" s="23"/>
    </row>
    <row r="2808">
      <c r="B2808" s="23"/>
      <c r="C2808" s="23"/>
      <c r="D2808" s="23"/>
      <c r="E2808" s="23"/>
    </row>
    <row r="2809">
      <c r="B2809" s="23"/>
      <c r="C2809" s="23"/>
      <c r="D2809" s="23"/>
      <c r="E2809" s="23"/>
    </row>
    <row r="2810">
      <c r="B2810" s="23"/>
      <c r="C2810" s="23"/>
      <c r="D2810" s="23"/>
      <c r="E2810" s="23"/>
    </row>
    <row r="2811">
      <c r="B2811" s="23"/>
      <c r="C2811" s="23"/>
      <c r="D2811" s="23"/>
      <c r="E2811" s="23"/>
    </row>
    <row r="2812">
      <c r="B2812" s="23"/>
      <c r="C2812" s="23"/>
      <c r="D2812" s="23"/>
      <c r="E2812" s="23"/>
    </row>
    <row r="2813">
      <c r="B2813" s="23"/>
      <c r="C2813" s="23"/>
      <c r="D2813" s="23"/>
      <c r="E2813" s="23"/>
    </row>
    <row r="2814">
      <c r="B2814" s="23"/>
      <c r="C2814" s="23"/>
      <c r="D2814" s="23"/>
      <c r="E2814" s="23"/>
    </row>
    <row r="2815">
      <c r="B2815" s="23"/>
      <c r="C2815" s="23"/>
      <c r="D2815" s="23"/>
      <c r="E2815" s="23"/>
    </row>
    <row r="2816">
      <c r="B2816" s="23"/>
      <c r="C2816" s="23"/>
      <c r="D2816" s="23"/>
      <c r="E2816" s="23"/>
    </row>
    <row r="2817">
      <c r="B2817" s="23"/>
      <c r="C2817" s="23"/>
      <c r="D2817" s="23"/>
      <c r="E2817" s="23"/>
    </row>
    <row r="2818">
      <c r="B2818" s="23"/>
      <c r="C2818" s="23"/>
      <c r="D2818" s="23"/>
      <c r="E2818" s="23"/>
    </row>
    <row r="2819">
      <c r="B2819" s="23"/>
      <c r="C2819" s="23"/>
      <c r="D2819" s="23"/>
      <c r="E2819" s="23"/>
    </row>
    <row r="2820">
      <c r="B2820" s="23"/>
      <c r="C2820" s="23"/>
      <c r="D2820" s="23"/>
      <c r="E2820" s="23"/>
    </row>
    <row r="2821">
      <c r="B2821" s="23"/>
      <c r="C2821" s="23"/>
      <c r="D2821" s="23"/>
      <c r="E2821" s="23"/>
    </row>
    <row r="2822">
      <c r="B2822" s="23"/>
      <c r="C2822" s="23"/>
      <c r="D2822" s="23"/>
      <c r="E2822" s="23"/>
    </row>
    <row r="2823">
      <c r="B2823" s="23"/>
      <c r="C2823" s="23"/>
      <c r="D2823" s="23"/>
      <c r="E2823" s="23"/>
    </row>
    <row r="2824">
      <c r="B2824" s="23"/>
      <c r="C2824" s="23"/>
      <c r="D2824" s="23"/>
      <c r="E2824" s="23"/>
    </row>
    <row r="2825">
      <c r="B2825" s="23"/>
      <c r="C2825" s="23"/>
      <c r="D2825" s="23"/>
      <c r="E2825" s="23"/>
    </row>
    <row r="2826">
      <c r="B2826" s="23"/>
      <c r="C2826" s="23"/>
      <c r="D2826" s="23"/>
      <c r="E2826" s="23"/>
    </row>
    <row r="2827">
      <c r="B2827" s="23"/>
      <c r="C2827" s="23"/>
      <c r="D2827" s="23"/>
      <c r="E2827" s="23"/>
    </row>
    <row r="2828">
      <c r="B2828" s="23"/>
      <c r="C2828" s="23"/>
      <c r="D2828" s="23"/>
      <c r="E2828" s="23"/>
    </row>
    <row r="2829">
      <c r="B2829" s="23"/>
      <c r="C2829" s="23"/>
      <c r="D2829" s="23"/>
      <c r="E2829" s="23"/>
    </row>
    <row r="2830">
      <c r="B2830" s="23"/>
      <c r="C2830" s="23"/>
      <c r="D2830" s="23"/>
      <c r="E2830" s="23"/>
    </row>
    <row r="2831">
      <c r="B2831" s="23"/>
      <c r="C2831" s="23"/>
      <c r="D2831" s="23"/>
      <c r="E2831" s="23"/>
    </row>
    <row r="2832">
      <c r="B2832" s="23"/>
      <c r="C2832" s="23"/>
      <c r="D2832" s="23"/>
      <c r="E2832" s="23"/>
    </row>
    <row r="2833">
      <c r="B2833" s="23"/>
      <c r="C2833" s="23"/>
      <c r="D2833" s="23"/>
      <c r="E2833" s="23"/>
    </row>
    <row r="2834">
      <c r="B2834" s="23"/>
      <c r="C2834" s="23"/>
      <c r="D2834" s="23"/>
      <c r="E2834" s="23"/>
    </row>
    <row r="2835">
      <c r="B2835" s="23"/>
      <c r="C2835" s="23"/>
      <c r="D2835" s="23"/>
      <c r="E2835" s="23"/>
    </row>
    <row r="2836">
      <c r="B2836" s="23"/>
      <c r="C2836" s="23"/>
      <c r="D2836" s="23"/>
      <c r="E2836" s="23"/>
    </row>
    <row r="2837">
      <c r="B2837" s="23"/>
      <c r="C2837" s="23"/>
      <c r="D2837" s="23"/>
      <c r="E2837" s="23"/>
    </row>
    <row r="2838">
      <c r="B2838" s="23"/>
      <c r="C2838" s="23"/>
      <c r="D2838" s="23"/>
      <c r="E2838" s="23"/>
    </row>
    <row r="2839">
      <c r="B2839" s="23"/>
      <c r="C2839" s="23"/>
      <c r="D2839" s="23"/>
      <c r="E2839" s="23"/>
    </row>
    <row r="2840">
      <c r="B2840" s="23"/>
      <c r="C2840" s="23"/>
      <c r="D2840" s="23"/>
      <c r="E2840" s="23"/>
    </row>
    <row r="2841">
      <c r="B2841" s="23"/>
      <c r="C2841" s="23"/>
      <c r="D2841" s="23"/>
      <c r="E2841" s="23"/>
    </row>
    <row r="2842">
      <c r="B2842" s="23"/>
      <c r="C2842" s="23"/>
      <c r="D2842" s="23"/>
      <c r="E2842" s="23"/>
    </row>
    <row r="2843">
      <c r="B2843" s="23"/>
      <c r="C2843" s="23"/>
      <c r="D2843" s="23"/>
      <c r="E2843" s="23"/>
    </row>
    <row r="2844">
      <c r="B2844" s="23"/>
      <c r="C2844" s="23"/>
      <c r="D2844" s="23"/>
      <c r="E2844" s="23"/>
    </row>
    <row r="2845">
      <c r="B2845" s="23"/>
      <c r="C2845" s="23"/>
      <c r="D2845" s="23"/>
      <c r="E2845" s="23"/>
    </row>
    <row r="2846">
      <c r="B2846" s="23"/>
      <c r="C2846" s="23"/>
      <c r="D2846" s="23"/>
      <c r="E2846" s="23"/>
    </row>
    <row r="2847">
      <c r="B2847" s="23"/>
      <c r="C2847" s="23"/>
      <c r="D2847" s="23"/>
      <c r="E2847" s="23"/>
    </row>
    <row r="2848">
      <c r="B2848" s="23"/>
      <c r="C2848" s="23"/>
      <c r="D2848" s="23"/>
      <c r="E2848" s="23"/>
    </row>
    <row r="2849">
      <c r="B2849" s="23"/>
      <c r="C2849" s="23"/>
      <c r="D2849" s="23"/>
      <c r="E2849" s="23"/>
    </row>
    <row r="2850">
      <c r="B2850" s="23"/>
      <c r="C2850" s="23"/>
      <c r="D2850" s="23"/>
      <c r="E2850" s="23"/>
    </row>
    <row r="2851">
      <c r="B2851" s="23"/>
      <c r="C2851" s="23"/>
      <c r="D2851" s="23"/>
      <c r="E2851" s="23"/>
    </row>
    <row r="2852">
      <c r="B2852" s="23"/>
      <c r="C2852" s="23"/>
      <c r="D2852" s="23"/>
      <c r="E2852" s="23"/>
    </row>
    <row r="2853">
      <c r="B2853" s="23"/>
      <c r="C2853" s="23"/>
      <c r="D2853" s="23"/>
      <c r="E2853" s="23"/>
    </row>
    <row r="2854">
      <c r="B2854" s="23"/>
      <c r="C2854" s="23"/>
      <c r="D2854" s="23"/>
      <c r="E2854" s="23"/>
    </row>
    <row r="2855">
      <c r="B2855" s="23"/>
      <c r="C2855" s="23"/>
      <c r="D2855" s="23"/>
      <c r="E2855" s="23"/>
    </row>
    <row r="2856">
      <c r="B2856" s="23"/>
      <c r="C2856" s="23"/>
      <c r="D2856" s="23"/>
      <c r="E2856" s="23"/>
    </row>
    <row r="2857">
      <c r="B2857" s="23"/>
      <c r="C2857" s="23"/>
      <c r="D2857" s="23"/>
      <c r="E2857" s="23"/>
    </row>
    <row r="2858">
      <c r="B2858" s="23"/>
      <c r="C2858" s="23"/>
      <c r="D2858" s="23"/>
      <c r="E2858" s="23"/>
    </row>
    <row r="2859">
      <c r="B2859" s="23"/>
      <c r="C2859" s="23"/>
      <c r="D2859" s="23"/>
      <c r="E2859" s="23"/>
    </row>
    <row r="2860">
      <c r="B2860" s="23"/>
      <c r="C2860" s="23"/>
      <c r="D2860" s="23"/>
      <c r="E2860" s="23"/>
    </row>
    <row r="2861">
      <c r="B2861" s="23"/>
      <c r="C2861" s="23"/>
      <c r="D2861" s="23"/>
      <c r="E2861" s="23"/>
    </row>
    <row r="2862">
      <c r="B2862" s="23"/>
      <c r="C2862" s="23"/>
      <c r="D2862" s="23"/>
      <c r="E2862" s="23"/>
    </row>
    <row r="2863">
      <c r="B2863" s="23"/>
      <c r="C2863" s="23"/>
      <c r="D2863" s="23"/>
      <c r="E2863" s="23"/>
    </row>
    <row r="2864">
      <c r="B2864" s="23"/>
      <c r="C2864" s="23"/>
      <c r="D2864" s="23"/>
      <c r="E2864" s="23"/>
    </row>
    <row r="2865">
      <c r="B2865" s="23"/>
      <c r="C2865" s="23"/>
      <c r="D2865" s="23"/>
      <c r="E2865" s="23"/>
    </row>
    <row r="2866">
      <c r="B2866" s="23"/>
      <c r="C2866" s="23"/>
      <c r="D2866" s="23"/>
      <c r="E2866" s="23"/>
    </row>
    <row r="2867">
      <c r="B2867" s="23"/>
      <c r="C2867" s="23"/>
      <c r="D2867" s="23"/>
      <c r="E2867" s="23"/>
    </row>
    <row r="2868">
      <c r="B2868" s="23"/>
      <c r="C2868" s="23"/>
      <c r="D2868" s="23"/>
      <c r="E2868" s="23"/>
    </row>
    <row r="2869">
      <c r="B2869" s="23"/>
      <c r="C2869" s="23"/>
      <c r="D2869" s="23"/>
      <c r="E2869" s="23"/>
    </row>
    <row r="2870">
      <c r="B2870" s="23"/>
      <c r="C2870" s="23"/>
      <c r="D2870" s="23"/>
      <c r="E2870" s="23"/>
    </row>
    <row r="2871">
      <c r="B2871" s="23"/>
      <c r="C2871" s="23"/>
      <c r="D2871" s="23"/>
      <c r="E2871" s="23"/>
    </row>
    <row r="2872">
      <c r="B2872" s="23"/>
      <c r="C2872" s="23"/>
      <c r="D2872" s="23"/>
      <c r="E2872" s="23"/>
    </row>
    <row r="2873">
      <c r="B2873" s="23"/>
      <c r="C2873" s="23"/>
      <c r="D2873" s="23"/>
      <c r="E2873" s="23"/>
    </row>
    <row r="2874">
      <c r="B2874" s="23"/>
      <c r="C2874" s="23"/>
      <c r="D2874" s="23"/>
      <c r="E2874" s="23"/>
    </row>
    <row r="2875">
      <c r="B2875" s="23"/>
      <c r="C2875" s="23"/>
      <c r="D2875" s="23"/>
      <c r="E2875" s="23"/>
    </row>
    <row r="2876">
      <c r="B2876" s="23"/>
      <c r="C2876" s="23"/>
      <c r="D2876" s="23"/>
      <c r="E2876" s="23"/>
    </row>
    <row r="2877">
      <c r="B2877" s="23"/>
      <c r="C2877" s="23"/>
      <c r="D2877" s="23"/>
      <c r="E2877" s="23"/>
    </row>
    <row r="2878">
      <c r="B2878" s="23"/>
      <c r="C2878" s="23"/>
      <c r="D2878" s="23"/>
      <c r="E2878" s="23"/>
    </row>
    <row r="2879">
      <c r="B2879" s="23"/>
      <c r="C2879" s="23"/>
      <c r="D2879" s="23"/>
      <c r="E2879" s="23"/>
    </row>
    <row r="2880">
      <c r="B2880" s="23"/>
      <c r="C2880" s="23"/>
      <c r="D2880" s="23"/>
      <c r="E2880" s="23"/>
    </row>
    <row r="2881">
      <c r="B2881" s="23"/>
      <c r="C2881" s="23"/>
      <c r="D2881" s="23"/>
      <c r="E2881" s="23"/>
    </row>
    <row r="2882">
      <c r="B2882" s="23"/>
      <c r="C2882" s="23"/>
      <c r="D2882" s="23"/>
      <c r="E2882" s="23"/>
    </row>
    <row r="2883">
      <c r="B2883" s="23"/>
      <c r="C2883" s="23"/>
      <c r="D2883" s="23"/>
      <c r="E2883" s="23"/>
    </row>
    <row r="2884">
      <c r="B2884" s="23"/>
      <c r="C2884" s="23"/>
      <c r="D2884" s="23"/>
      <c r="E2884" s="23"/>
    </row>
    <row r="2885">
      <c r="B2885" s="23"/>
      <c r="C2885" s="23"/>
      <c r="D2885" s="23"/>
      <c r="E2885" s="23"/>
    </row>
    <row r="2886">
      <c r="B2886" s="23"/>
      <c r="C2886" s="23"/>
      <c r="D2886" s="23"/>
      <c r="E2886" s="23"/>
    </row>
    <row r="2887">
      <c r="B2887" s="23"/>
      <c r="C2887" s="23"/>
      <c r="D2887" s="23"/>
      <c r="E2887" s="23"/>
    </row>
    <row r="2888">
      <c r="B2888" s="23"/>
      <c r="C2888" s="23"/>
      <c r="D2888" s="23"/>
      <c r="E2888" s="23"/>
    </row>
    <row r="2889">
      <c r="B2889" s="23"/>
      <c r="C2889" s="23"/>
      <c r="D2889" s="23"/>
      <c r="E2889" s="23"/>
    </row>
    <row r="2890">
      <c r="B2890" s="23"/>
      <c r="C2890" s="23"/>
      <c r="D2890" s="23"/>
      <c r="E2890" s="23"/>
    </row>
    <row r="2891">
      <c r="B2891" s="23"/>
      <c r="C2891" s="23"/>
      <c r="D2891" s="23"/>
      <c r="E2891" s="23"/>
    </row>
    <row r="2892">
      <c r="B2892" s="23"/>
      <c r="C2892" s="23"/>
      <c r="D2892" s="23"/>
      <c r="E2892" s="23"/>
    </row>
    <row r="2893">
      <c r="B2893" s="23"/>
      <c r="C2893" s="23"/>
      <c r="D2893" s="23"/>
      <c r="E2893" s="23"/>
    </row>
    <row r="2894">
      <c r="B2894" s="23"/>
      <c r="C2894" s="23"/>
      <c r="D2894" s="23"/>
      <c r="E2894" s="23"/>
    </row>
    <row r="2895">
      <c r="B2895" s="23"/>
      <c r="C2895" s="23"/>
      <c r="D2895" s="23"/>
      <c r="E2895" s="23"/>
    </row>
    <row r="2896">
      <c r="B2896" s="23"/>
      <c r="C2896" s="23"/>
      <c r="D2896" s="23"/>
      <c r="E2896" s="23"/>
    </row>
    <row r="2897">
      <c r="B2897" s="23"/>
      <c r="C2897" s="23"/>
      <c r="D2897" s="23"/>
      <c r="E2897" s="23"/>
    </row>
    <row r="2898">
      <c r="B2898" s="23"/>
      <c r="C2898" s="23"/>
      <c r="D2898" s="23"/>
      <c r="E2898" s="23"/>
    </row>
    <row r="2899">
      <c r="B2899" s="23"/>
      <c r="C2899" s="23"/>
      <c r="D2899" s="23"/>
      <c r="E2899" s="23"/>
    </row>
    <row r="2900">
      <c r="B2900" s="23"/>
      <c r="C2900" s="23"/>
      <c r="D2900" s="23"/>
      <c r="E2900" s="23"/>
    </row>
    <row r="2901">
      <c r="B2901" s="23"/>
      <c r="C2901" s="23"/>
      <c r="D2901" s="23"/>
      <c r="E2901" s="23"/>
    </row>
    <row r="2902">
      <c r="B2902" s="23"/>
      <c r="C2902" s="23"/>
      <c r="D2902" s="23"/>
      <c r="E2902" s="23"/>
    </row>
    <row r="2903">
      <c r="B2903" s="23"/>
      <c r="C2903" s="23"/>
      <c r="D2903" s="23"/>
      <c r="E2903" s="23"/>
    </row>
    <row r="2904">
      <c r="B2904" s="23"/>
      <c r="C2904" s="23"/>
      <c r="D2904" s="23"/>
      <c r="E2904" s="23"/>
    </row>
    <row r="2905">
      <c r="B2905" s="23"/>
      <c r="C2905" s="23"/>
      <c r="D2905" s="23"/>
      <c r="E2905" s="23"/>
    </row>
    <row r="2906">
      <c r="B2906" s="23"/>
      <c r="C2906" s="23"/>
      <c r="D2906" s="23"/>
      <c r="E2906" s="23"/>
    </row>
    <row r="2907">
      <c r="B2907" s="23"/>
      <c r="C2907" s="23"/>
      <c r="D2907" s="23"/>
      <c r="E2907" s="23"/>
    </row>
    <row r="2908">
      <c r="B2908" s="23"/>
      <c r="C2908" s="23"/>
      <c r="D2908" s="23"/>
      <c r="E2908" s="23"/>
    </row>
    <row r="2909">
      <c r="B2909" s="23"/>
      <c r="C2909" s="23"/>
      <c r="D2909" s="23"/>
      <c r="E2909" s="23"/>
    </row>
    <row r="2910">
      <c r="B2910" s="23"/>
      <c r="C2910" s="23"/>
      <c r="D2910" s="23"/>
      <c r="E2910" s="23"/>
    </row>
    <row r="2911">
      <c r="B2911" s="23"/>
      <c r="C2911" s="23"/>
      <c r="D2911" s="23"/>
      <c r="E2911" s="23"/>
    </row>
    <row r="2912">
      <c r="B2912" s="23"/>
      <c r="C2912" s="23"/>
      <c r="D2912" s="23"/>
      <c r="E2912" s="23"/>
    </row>
    <row r="2913">
      <c r="B2913" s="23"/>
      <c r="C2913" s="23"/>
      <c r="D2913" s="23"/>
      <c r="E2913" s="23"/>
    </row>
    <row r="2914">
      <c r="B2914" s="23"/>
      <c r="C2914" s="23"/>
      <c r="D2914" s="23"/>
      <c r="E2914" s="23"/>
    </row>
    <row r="2915">
      <c r="B2915" s="23"/>
      <c r="C2915" s="23"/>
      <c r="D2915" s="23"/>
      <c r="E2915" s="23"/>
    </row>
    <row r="2916">
      <c r="B2916" s="23"/>
      <c r="C2916" s="23"/>
      <c r="D2916" s="23"/>
      <c r="E2916" s="23"/>
    </row>
    <row r="2917">
      <c r="B2917" s="23"/>
      <c r="C2917" s="23"/>
      <c r="D2917" s="23"/>
      <c r="E2917" s="23"/>
    </row>
    <row r="2918">
      <c r="B2918" s="23"/>
      <c r="C2918" s="23"/>
      <c r="D2918" s="23"/>
      <c r="E2918" s="23"/>
    </row>
    <row r="2919">
      <c r="B2919" s="23"/>
      <c r="C2919" s="23"/>
      <c r="D2919" s="23"/>
      <c r="E2919" s="23"/>
    </row>
    <row r="2920">
      <c r="B2920" s="23"/>
      <c r="C2920" s="23"/>
      <c r="D2920" s="23"/>
      <c r="E2920" s="23"/>
    </row>
    <row r="2921">
      <c r="B2921" s="23"/>
      <c r="C2921" s="23"/>
      <c r="D2921" s="23"/>
      <c r="E2921" s="23"/>
    </row>
    <row r="2922">
      <c r="B2922" s="23"/>
      <c r="C2922" s="23"/>
      <c r="D2922" s="23"/>
      <c r="E2922" s="23"/>
    </row>
    <row r="2923">
      <c r="B2923" s="23"/>
      <c r="C2923" s="23"/>
      <c r="D2923" s="23"/>
      <c r="E2923" s="23"/>
    </row>
    <row r="2924">
      <c r="B2924" s="23"/>
      <c r="C2924" s="23"/>
      <c r="D2924" s="23"/>
      <c r="E2924" s="23"/>
    </row>
    <row r="2925">
      <c r="B2925" s="23"/>
      <c r="C2925" s="23"/>
      <c r="D2925" s="23"/>
      <c r="E2925" s="23"/>
    </row>
    <row r="2926">
      <c r="B2926" s="23"/>
      <c r="C2926" s="23"/>
      <c r="D2926" s="23"/>
      <c r="E2926" s="23"/>
    </row>
    <row r="2927">
      <c r="B2927" s="23"/>
      <c r="C2927" s="23"/>
      <c r="D2927" s="23"/>
      <c r="E2927" s="23"/>
    </row>
    <row r="2928">
      <c r="B2928" s="23"/>
      <c r="C2928" s="23"/>
      <c r="D2928" s="23"/>
      <c r="E2928" s="23"/>
    </row>
    <row r="2929">
      <c r="B2929" s="23"/>
      <c r="C2929" s="23"/>
      <c r="D2929" s="23"/>
      <c r="E2929" s="23"/>
    </row>
    <row r="2930">
      <c r="B2930" s="23"/>
      <c r="C2930" s="23"/>
      <c r="D2930" s="23"/>
      <c r="E2930" s="23"/>
    </row>
    <row r="2931">
      <c r="B2931" s="23"/>
      <c r="C2931" s="23"/>
      <c r="D2931" s="23"/>
      <c r="E2931" s="23"/>
    </row>
    <row r="2932">
      <c r="B2932" s="23"/>
      <c r="C2932" s="23"/>
      <c r="D2932" s="23"/>
      <c r="E2932" s="23"/>
    </row>
    <row r="2933">
      <c r="B2933" s="23"/>
      <c r="C2933" s="23"/>
      <c r="D2933" s="23"/>
      <c r="E2933" s="23"/>
    </row>
    <row r="2934">
      <c r="B2934" s="23"/>
      <c r="C2934" s="23"/>
      <c r="D2934" s="23"/>
      <c r="E2934" s="23"/>
    </row>
    <row r="2935">
      <c r="B2935" s="23"/>
      <c r="C2935" s="23"/>
      <c r="D2935" s="23"/>
      <c r="E2935" s="23"/>
    </row>
    <row r="2936">
      <c r="B2936" s="23"/>
      <c r="C2936" s="23"/>
      <c r="D2936" s="23"/>
      <c r="E2936" s="23"/>
    </row>
    <row r="2937">
      <c r="B2937" s="23"/>
      <c r="C2937" s="23"/>
      <c r="D2937" s="23"/>
      <c r="E2937" s="23"/>
    </row>
    <row r="2938">
      <c r="B2938" s="23"/>
      <c r="C2938" s="23"/>
      <c r="D2938" s="23"/>
      <c r="E2938" s="23"/>
    </row>
    <row r="2939">
      <c r="B2939" s="23"/>
      <c r="C2939" s="23"/>
      <c r="D2939" s="23"/>
      <c r="E2939" s="23"/>
    </row>
    <row r="2940">
      <c r="B2940" s="23"/>
      <c r="C2940" s="23"/>
      <c r="D2940" s="23"/>
      <c r="E2940" s="23"/>
    </row>
    <row r="2941">
      <c r="B2941" s="23"/>
      <c r="C2941" s="23"/>
      <c r="D2941" s="23"/>
      <c r="E2941" s="23"/>
    </row>
    <row r="2942">
      <c r="B2942" s="23"/>
      <c r="C2942" s="23"/>
      <c r="D2942" s="23"/>
      <c r="E2942" s="23"/>
    </row>
    <row r="2943">
      <c r="B2943" s="23"/>
      <c r="C2943" s="23"/>
      <c r="D2943" s="23"/>
      <c r="E2943" s="23"/>
    </row>
    <row r="2944">
      <c r="B2944" s="23"/>
      <c r="C2944" s="23"/>
      <c r="D2944" s="23"/>
      <c r="E2944" s="23"/>
    </row>
    <row r="2945">
      <c r="B2945" s="23"/>
      <c r="C2945" s="23"/>
      <c r="D2945" s="23"/>
      <c r="E2945" s="23"/>
    </row>
    <row r="2946">
      <c r="B2946" s="23"/>
      <c r="C2946" s="23"/>
      <c r="D2946" s="23"/>
      <c r="E2946" s="23"/>
    </row>
    <row r="2947">
      <c r="B2947" s="23"/>
      <c r="C2947" s="23"/>
      <c r="D2947" s="23"/>
      <c r="E2947" s="23"/>
    </row>
    <row r="2948">
      <c r="B2948" s="23"/>
      <c r="C2948" s="23"/>
      <c r="D2948" s="23"/>
      <c r="E2948" s="23"/>
    </row>
    <row r="2949">
      <c r="B2949" s="23"/>
      <c r="C2949" s="23"/>
      <c r="D2949" s="23"/>
      <c r="E2949" s="23"/>
    </row>
    <row r="2950">
      <c r="B2950" s="23"/>
      <c r="C2950" s="23"/>
      <c r="D2950" s="23"/>
      <c r="E2950" s="23"/>
    </row>
    <row r="2951">
      <c r="B2951" s="23"/>
      <c r="C2951" s="23"/>
      <c r="D2951" s="23"/>
      <c r="E2951" s="23"/>
    </row>
    <row r="2952">
      <c r="B2952" s="23"/>
      <c r="C2952" s="23"/>
      <c r="D2952" s="23"/>
      <c r="E2952" s="23"/>
    </row>
    <row r="2953">
      <c r="B2953" s="23"/>
      <c r="C2953" s="23"/>
      <c r="D2953" s="23"/>
      <c r="E2953" s="23"/>
    </row>
    <row r="2954">
      <c r="B2954" s="23"/>
      <c r="C2954" s="23"/>
      <c r="D2954" s="23"/>
      <c r="E2954" s="23"/>
    </row>
    <row r="2955">
      <c r="B2955" s="23"/>
      <c r="C2955" s="23"/>
      <c r="D2955" s="23"/>
      <c r="E2955" s="23"/>
    </row>
    <row r="2956">
      <c r="B2956" s="23"/>
      <c r="C2956" s="23"/>
      <c r="D2956" s="23"/>
      <c r="E2956" s="23"/>
    </row>
    <row r="2957">
      <c r="B2957" s="23"/>
      <c r="C2957" s="23"/>
      <c r="D2957" s="23"/>
      <c r="E2957" s="23"/>
    </row>
    <row r="2958">
      <c r="B2958" s="23"/>
      <c r="C2958" s="23"/>
      <c r="D2958" s="23"/>
      <c r="E2958" s="23"/>
    </row>
    <row r="2959">
      <c r="B2959" s="23"/>
      <c r="C2959" s="23"/>
      <c r="D2959" s="23"/>
      <c r="E2959" s="23"/>
    </row>
    <row r="2960">
      <c r="B2960" s="23"/>
      <c r="C2960" s="23"/>
      <c r="D2960" s="23"/>
      <c r="E2960" s="23"/>
    </row>
    <row r="2961">
      <c r="B2961" s="23"/>
      <c r="C2961" s="23"/>
      <c r="D2961" s="23"/>
      <c r="E2961" s="23"/>
    </row>
    <row r="2962">
      <c r="B2962" s="23"/>
      <c r="C2962" s="23"/>
      <c r="D2962" s="23"/>
      <c r="E2962" s="23"/>
    </row>
    <row r="2963">
      <c r="B2963" s="23"/>
      <c r="C2963" s="23"/>
      <c r="D2963" s="23"/>
      <c r="E2963" s="23"/>
    </row>
    <row r="2964">
      <c r="B2964" s="23"/>
      <c r="C2964" s="23"/>
      <c r="D2964" s="23"/>
      <c r="E2964" s="23"/>
    </row>
    <row r="2965">
      <c r="B2965" s="23"/>
      <c r="C2965" s="23"/>
      <c r="D2965" s="23"/>
      <c r="E2965" s="23"/>
    </row>
    <row r="2966">
      <c r="B2966" s="23"/>
      <c r="C2966" s="23"/>
      <c r="D2966" s="23"/>
      <c r="E2966" s="23"/>
    </row>
    <row r="2967">
      <c r="B2967" s="23"/>
      <c r="C2967" s="23"/>
      <c r="D2967" s="23"/>
      <c r="E2967" s="23"/>
    </row>
    <row r="2968">
      <c r="B2968" s="23"/>
      <c r="C2968" s="23"/>
      <c r="D2968" s="23"/>
      <c r="E2968" s="23"/>
    </row>
    <row r="2969">
      <c r="B2969" s="23"/>
      <c r="C2969" s="23"/>
      <c r="D2969" s="23"/>
      <c r="E2969" s="23"/>
    </row>
    <row r="2970">
      <c r="B2970" s="23"/>
      <c r="C2970" s="23"/>
      <c r="D2970" s="23"/>
      <c r="E2970" s="23"/>
    </row>
    <row r="2971">
      <c r="B2971" s="23"/>
      <c r="C2971" s="23"/>
      <c r="D2971" s="23"/>
      <c r="E2971" s="23"/>
    </row>
    <row r="2972">
      <c r="B2972" s="23"/>
      <c r="C2972" s="23"/>
      <c r="D2972" s="23"/>
      <c r="E2972" s="23"/>
    </row>
    <row r="2973">
      <c r="B2973" s="23"/>
      <c r="C2973" s="23"/>
      <c r="D2973" s="23"/>
      <c r="E2973" s="23"/>
    </row>
    <row r="2974">
      <c r="B2974" s="23"/>
      <c r="C2974" s="23"/>
      <c r="D2974" s="23"/>
      <c r="E2974" s="23"/>
    </row>
    <row r="2975">
      <c r="B2975" s="23"/>
      <c r="C2975" s="23"/>
      <c r="D2975" s="23"/>
      <c r="E2975" s="23"/>
    </row>
    <row r="2976">
      <c r="B2976" s="23"/>
      <c r="C2976" s="23"/>
      <c r="D2976" s="23"/>
      <c r="E2976" s="23"/>
    </row>
    <row r="2977">
      <c r="B2977" s="23"/>
      <c r="C2977" s="23"/>
      <c r="D2977" s="23"/>
      <c r="E2977" s="23"/>
    </row>
    <row r="2978">
      <c r="B2978" s="23"/>
      <c r="C2978" s="23"/>
      <c r="D2978" s="23"/>
      <c r="E2978" s="23"/>
    </row>
    <row r="2979">
      <c r="B2979" s="23"/>
      <c r="C2979" s="23"/>
      <c r="D2979" s="23"/>
      <c r="E2979" s="23"/>
    </row>
    <row r="2980">
      <c r="B2980" s="23"/>
      <c r="C2980" s="23"/>
      <c r="D2980" s="23"/>
      <c r="E2980" s="23"/>
    </row>
    <row r="2981">
      <c r="B2981" s="23"/>
      <c r="C2981" s="23"/>
      <c r="D2981" s="23"/>
      <c r="E2981" s="23"/>
    </row>
    <row r="2982">
      <c r="B2982" s="23"/>
      <c r="C2982" s="23"/>
      <c r="D2982" s="23"/>
      <c r="E2982" s="23"/>
    </row>
    <row r="2983">
      <c r="B2983" s="23"/>
      <c r="C2983" s="23"/>
      <c r="D2983" s="23"/>
      <c r="E2983" s="23"/>
    </row>
    <row r="2984">
      <c r="B2984" s="23"/>
      <c r="C2984" s="23"/>
      <c r="D2984" s="23"/>
      <c r="E2984" s="23"/>
    </row>
    <row r="2985">
      <c r="B2985" s="23"/>
      <c r="C2985" s="23"/>
      <c r="D2985" s="23"/>
      <c r="E2985" s="23"/>
    </row>
    <row r="2986">
      <c r="B2986" s="23"/>
      <c r="C2986" s="23"/>
      <c r="D2986" s="23"/>
      <c r="E2986" s="23"/>
    </row>
    <row r="2987">
      <c r="B2987" s="23"/>
      <c r="C2987" s="23"/>
      <c r="D2987" s="23"/>
      <c r="E2987" s="23"/>
    </row>
    <row r="2988">
      <c r="B2988" s="23"/>
      <c r="C2988" s="23"/>
      <c r="D2988" s="23"/>
      <c r="E2988" s="23"/>
    </row>
    <row r="2989">
      <c r="B2989" s="23"/>
      <c r="C2989" s="23"/>
      <c r="D2989" s="23"/>
      <c r="E2989" s="23"/>
    </row>
    <row r="2990">
      <c r="B2990" s="23"/>
      <c r="C2990" s="23"/>
      <c r="D2990" s="23"/>
      <c r="E2990" s="23"/>
    </row>
    <row r="2991">
      <c r="B2991" s="23"/>
      <c r="C2991" s="23"/>
      <c r="D2991" s="23"/>
      <c r="E2991" s="23"/>
    </row>
    <row r="2992">
      <c r="B2992" s="23"/>
      <c r="C2992" s="23"/>
      <c r="D2992" s="23"/>
      <c r="E2992" s="23"/>
    </row>
    <row r="2993">
      <c r="B2993" s="23"/>
      <c r="C2993" s="23"/>
      <c r="D2993" s="23"/>
      <c r="E2993" s="23"/>
    </row>
    <row r="2994">
      <c r="B2994" s="23"/>
      <c r="C2994" s="23"/>
      <c r="D2994" s="23"/>
      <c r="E2994" s="23"/>
    </row>
    <row r="2995">
      <c r="B2995" s="23"/>
      <c r="C2995" s="23"/>
      <c r="D2995" s="23"/>
      <c r="E2995" s="23"/>
    </row>
    <row r="2996">
      <c r="B2996" s="23"/>
      <c r="C2996" s="23"/>
      <c r="D2996" s="23"/>
      <c r="E2996" s="23"/>
    </row>
    <row r="2997">
      <c r="B2997" s="23"/>
      <c r="C2997" s="23"/>
      <c r="D2997" s="23"/>
      <c r="E2997" s="23"/>
    </row>
    <row r="2998">
      <c r="B2998" s="23"/>
      <c r="C2998" s="23"/>
      <c r="D2998" s="23"/>
      <c r="E2998" s="23"/>
    </row>
    <row r="2999">
      <c r="B2999" s="23"/>
      <c r="C2999" s="23"/>
      <c r="D2999" s="23"/>
      <c r="E2999" s="23"/>
    </row>
    <row r="3000">
      <c r="B3000" s="23"/>
      <c r="C3000" s="23"/>
      <c r="D3000" s="23"/>
      <c r="E3000" s="23"/>
    </row>
    <row r="3001">
      <c r="B3001" s="23"/>
      <c r="C3001" s="23"/>
      <c r="D3001" s="23"/>
      <c r="E3001" s="23"/>
    </row>
    <row r="3002">
      <c r="B3002" s="23"/>
      <c r="C3002" s="23"/>
      <c r="D3002" s="23"/>
      <c r="E3002" s="23"/>
    </row>
    <row r="3003">
      <c r="B3003" s="23"/>
      <c r="C3003" s="23"/>
      <c r="D3003" s="23"/>
      <c r="E3003" s="23"/>
    </row>
    <row r="3004">
      <c r="B3004" s="23"/>
      <c r="C3004" s="23"/>
      <c r="D3004" s="23"/>
      <c r="E3004" s="23"/>
    </row>
    <row r="3005">
      <c r="B3005" s="23"/>
      <c r="C3005" s="23"/>
      <c r="D3005" s="23"/>
      <c r="E3005" s="23"/>
    </row>
    <row r="3006">
      <c r="B3006" s="23"/>
      <c r="C3006" s="23"/>
      <c r="D3006" s="23"/>
      <c r="E3006" s="23"/>
    </row>
    <row r="3007">
      <c r="B3007" s="23"/>
      <c r="C3007" s="23"/>
      <c r="D3007" s="23"/>
      <c r="E3007" s="23"/>
    </row>
    <row r="3008">
      <c r="B3008" s="23"/>
      <c r="C3008" s="23"/>
      <c r="D3008" s="23"/>
      <c r="E3008" s="23"/>
    </row>
    <row r="3009">
      <c r="B3009" s="23"/>
      <c r="C3009" s="23"/>
      <c r="D3009" s="23"/>
      <c r="E3009" s="23"/>
    </row>
    <row r="3010">
      <c r="B3010" s="23"/>
      <c r="C3010" s="23"/>
      <c r="D3010" s="23"/>
      <c r="E3010" s="23"/>
    </row>
    <row r="3011">
      <c r="B3011" s="23"/>
      <c r="C3011" s="23"/>
      <c r="D3011" s="23"/>
      <c r="E3011" s="23"/>
    </row>
    <row r="3012">
      <c r="B3012" s="23"/>
      <c r="C3012" s="23"/>
      <c r="D3012" s="23"/>
      <c r="E3012" s="23"/>
    </row>
    <row r="3013">
      <c r="B3013" s="23"/>
      <c r="C3013" s="23"/>
      <c r="D3013" s="23"/>
      <c r="E3013" s="23"/>
    </row>
    <row r="3014">
      <c r="B3014" s="23"/>
      <c r="C3014" s="23"/>
      <c r="D3014" s="23"/>
      <c r="E3014" s="23"/>
    </row>
    <row r="3015">
      <c r="B3015" s="23"/>
      <c r="C3015" s="23"/>
      <c r="D3015" s="23"/>
      <c r="E3015" s="23"/>
    </row>
    <row r="3016">
      <c r="B3016" s="23"/>
      <c r="C3016" s="23"/>
      <c r="D3016" s="23"/>
      <c r="E3016" s="23"/>
    </row>
    <row r="3017">
      <c r="B3017" s="23"/>
      <c r="C3017" s="23"/>
      <c r="D3017" s="23"/>
      <c r="E3017" s="23"/>
    </row>
    <row r="3018">
      <c r="B3018" s="23"/>
      <c r="C3018" s="23"/>
      <c r="D3018" s="23"/>
      <c r="E3018" s="23"/>
    </row>
    <row r="3019">
      <c r="B3019" s="23"/>
      <c r="C3019" s="23"/>
      <c r="D3019" s="23"/>
      <c r="E3019" s="23"/>
    </row>
    <row r="3020">
      <c r="B3020" s="23"/>
      <c r="C3020" s="23"/>
      <c r="D3020" s="23"/>
      <c r="E3020" s="23"/>
    </row>
    <row r="3021">
      <c r="B3021" s="23"/>
      <c r="C3021" s="23"/>
      <c r="D3021" s="23"/>
      <c r="E3021" s="23"/>
    </row>
    <row r="3022">
      <c r="B3022" s="23"/>
      <c r="C3022" s="23"/>
      <c r="D3022" s="23"/>
      <c r="E3022" s="23"/>
    </row>
    <row r="3023">
      <c r="B3023" s="23"/>
      <c r="C3023" s="23"/>
      <c r="D3023" s="23"/>
      <c r="E3023" s="23"/>
    </row>
    <row r="3024">
      <c r="B3024" s="23"/>
      <c r="C3024" s="23"/>
      <c r="D3024" s="23"/>
      <c r="E3024" s="23"/>
    </row>
    <row r="3025">
      <c r="B3025" s="23"/>
      <c r="C3025" s="23"/>
      <c r="D3025" s="23"/>
      <c r="E3025" s="23"/>
    </row>
    <row r="3026">
      <c r="B3026" s="23"/>
      <c r="C3026" s="23"/>
      <c r="D3026" s="23"/>
      <c r="E3026" s="23"/>
    </row>
    <row r="3027">
      <c r="B3027" s="23"/>
      <c r="C3027" s="23"/>
      <c r="D3027" s="23"/>
      <c r="E3027" s="23"/>
    </row>
    <row r="3028">
      <c r="B3028" s="23"/>
      <c r="C3028" s="23"/>
      <c r="D3028" s="23"/>
      <c r="E3028" s="23"/>
    </row>
    <row r="3029">
      <c r="B3029" s="23"/>
      <c r="C3029" s="23"/>
      <c r="D3029" s="23"/>
      <c r="E3029" s="23"/>
    </row>
    <row r="3030">
      <c r="B3030" s="23"/>
      <c r="C3030" s="23"/>
      <c r="D3030" s="23"/>
      <c r="E3030" s="23"/>
    </row>
    <row r="3031">
      <c r="B3031" s="23"/>
      <c r="C3031" s="23"/>
      <c r="D3031" s="23"/>
      <c r="E3031" s="23"/>
    </row>
    <row r="3032">
      <c r="B3032" s="23"/>
      <c r="C3032" s="23"/>
      <c r="D3032" s="23"/>
      <c r="E3032" s="23"/>
    </row>
    <row r="3033">
      <c r="B3033" s="23"/>
      <c r="C3033" s="23"/>
      <c r="D3033" s="23"/>
      <c r="E3033" s="23"/>
    </row>
    <row r="3034">
      <c r="B3034" s="23"/>
      <c r="C3034" s="23"/>
      <c r="D3034" s="23"/>
      <c r="E3034" s="23"/>
    </row>
    <row r="3035">
      <c r="B3035" s="23"/>
      <c r="C3035" s="23"/>
      <c r="D3035" s="23"/>
      <c r="E3035" s="23"/>
    </row>
    <row r="3036">
      <c r="B3036" s="23"/>
      <c r="C3036" s="23"/>
      <c r="D3036" s="23"/>
      <c r="E3036" s="23"/>
    </row>
    <row r="3037">
      <c r="B3037" s="23"/>
      <c r="C3037" s="23"/>
      <c r="D3037" s="23"/>
      <c r="E3037" s="23"/>
    </row>
    <row r="3038">
      <c r="B3038" s="23"/>
      <c r="C3038" s="23"/>
      <c r="D3038" s="23"/>
      <c r="E3038" s="23"/>
    </row>
    <row r="3039">
      <c r="B3039" s="23"/>
      <c r="C3039" s="23"/>
      <c r="D3039" s="23"/>
      <c r="E3039" s="23"/>
    </row>
    <row r="3040">
      <c r="B3040" s="23"/>
      <c r="C3040" s="23"/>
      <c r="D3040" s="23"/>
      <c r="E3040" s="23"/>
    </row>
    <row r="3041">
      <c r="B3041" s="23"/>
      <c r="C3041" s="23"/>
      <c r="D3041" s="23"/>
      <c r="E3041" s="23"/>
    </row>
    <row r="3042">
      <c r="B3042" s="23"/>
      <c r="C3042" s="23"/>
      <c r="D3042" s="23"/>
      <c r="E3042" s="23"/>
    </row>
    <row r="3043">
      <c r="B3043" s="23"/>
      <c r="C3043" s="23"/>
      <c r="D3043" s="23"/>
      <c r="E3043" s="23"/>
    </row>
    <row r="3044">
      <c r="B3044" s="23"/>
      <c r="C3044" s="23"/>
      <c r="D3044" s="23"/>
      <c r="E3044" s="23"/>
    </row>
    <row r="3045">
      <c r="B3045" s="23"/>
      <c r="C3045" s="23"/>
      <c r="D3045" s="23"/>
      <c r="E3045" s="23"/>
    </row>
    <row r="3046">
      <c r="B3046" s="23"/>
      <c r="C3046" s="23"/>
      <c r="D3046" s="23"/>
      <c r="E3046" s="23"/>
    </row>
    <row r="3047">
      <c r="B3047" s="23"/>
      <c r="C3047" s="23"/>
      <c r="D3047" s="23"/>
      <c r="E3047" s="23"/>
    </row>
    <row r="3048">
      <c r="B3048" s="23"/>
      <c r="C3048" s="23"/>
      <c r="D3048" s="23"/>
      <c r="E3048" s="23"/>
    </row>
    <row r="3049">
      <c r="B3049" s="23"/>
      <c r="C3049" s="23"/>
      <c r="D3049" s="23"/>
      <c r="E3049" s="23"/>
    </row>
    <row r="3050">
      <c r="B3050" s="23"/>
      <c r="C3050" s="23"/>
      <c r="D3050" s="23"/>
      <c r="E3050" s="23"/>
    </row>
    <row r="3051">
      <c r="B3051" s="23"/>
      <c r="C3051" s="23"/>
      <c r="D3051" s="23"/>
      <c r="E3051" s="23"/>
    </row>
    <row r="3052">
      <c r="B3052" s="23"/>
      <c r="C3052" s="23"/>
      <c r="D3052" s="23"/>
      <c r="E3052" s="23"/>
    </row>
    <row r="3053">
      <c r="B3053" s="23"/>
      <c r="C3053" s="23"/>
      <c r="D3053" s="23"/>
      <c r="E3053" s="23"/>
    </row>
    <row r="3054">
      <c r="B3054" s="23"/>
      <c r="C3054" s="23"/>
      <c r="D3054" s="23"/>
      <c r="E3054" s="23"/>
    </row>
    <row r="3055">
      <c r="B3055" s="23"/>
      <c r="C3055" s="23"/>
      <c r="D3055" s="23"/>
      <c r="E3055" s="23"/>
    </row>
    <row r="3056">
      <c r="B3056" s="23"/>
      <c r="C3056" s="23"/>
      <c r="D3056" s="23"/>
      <c r="E3056" s="23"/>
    </row>
    <row r="3057">
      <c r="B3057" s="23"/>
      <c r="C3057" s="23"/>
      <c r="D3057" s="23"/>
      <c r="E3057" s="23"/>
    </row>
    <row r="3058">
      <c r="B3058" s="23"/>
      <c r="C3058" s="23"/>
      <c r="D3058" s="23"/>
      <c r="E3058" s="23"/>
    </row>
    <row r="3059">
      <c r="B3059" s="23"/>
      <c r="C3059" s="23"/>
      <c r="D3059" s="23"/>
      <c r="E3059" s="23"/>
    </row>
    <row r="3060">
      <c r="B3060" s="23"/>
      <c r="C3060" s="23"/>
      <c r="D3060" s="23"/>
      <c r="E3060" s="23"/>
    </row>
    <row r="3061">
      <c r="B3061" s="23"/>
      <c r="C3061" s="23"/>
      <c r="D3061" s="23"/>
      <c r="E3061" s="23"/>
    </row>
    <row r="3062">
      <c r="B3062" s="23"/>
      <c r="C3062" s="23"/>
      <c r="D3062" s="23"/>
      <c r="E3062" s="23"/>
    </row>
    <row r="3063">
      <c r="B3063" s="23"/>
      <c r="C3063" s="23"/>
      <c r="D3063" s="23"/>
      <c r="E3063" s="23"/>
    </row>
    <row r="3064">
      <c r="B3064" s="23"/>
      <c r="C3064" s="23"/>
      <c r="D3064" s="23"/>
      <c r="E3064" s="23"/>
    </row>
    <row r="3065">
      <c r="B3065" s="23"/>
      <c r="C3065" s="23"/>
      <c r="D3065" s="23"/>
      <c r="E3065" s="23"/>
    </row>
    <row r="3066">
      <c r="B3066" s="23"/>
      <c r="C3066" s="23"/>
      <c r="D3066" s="23"/>
      <c r="E3066" s="23"/>
    </row>
    <row r="3067">
      <c r="B3067" s="23"/>
      <c r="C3067" s="23"/>
      <c r="D3067" s="23"/>
      <c r="E3067" s="23"/>
    </row>
    <row r="3068">
      <c r="B3068" s="23"/>
      <c r="C3068" s="23"/>
      <c r="D3068" s="23"/>
      <c r="E3068" s="23"/>
    </row>
    <row r="3069">
      <c r="B3069" s="23"/>
      <c r="C3069" s="23"/>
      <c r="D3069" s="23"/>
      <c r="E3069" s="23"/>
    </row>
    <row r="3070">
      <c r="B3070" s="23"/>
      <c r="C3070" s="23"/>
      <c r="D3070" s="23"/>
      <c r="E3070" s="23"/>
    </row>
    <row r="3071">
      <c r="B3071" s="23"/>
      <c r="C3071" s="23"/>
      <c r="D3071" s="23"/>
      <c r="E3071" s="23"/>
    </row>
    <row r="3072">
      <c r="B3072" s="23"/>
      <c r="C3072" s="23"/>
      <c r="D3072" s="23"/>
      <c r="E3072" s="23"/>
    </row>
    <row r="3073">
      <c r="B3073" s="23"/>
      <c r="C3073" s="23"/>
      <c r="D3073" s="23"/>
      <c r="E3073" s="23"/>
    </row>
    <row r="3074">
      <c r="B3074" s="23"/>
      <c r="C3074" s="23"/>
      <c r="D3074" s="23"/>
      <c r="E3074" s="23"/>
    </row>
    <row r="3075">
      <c r="B3075" s="23"/>
      <c r="C3075" s="23"/>
      <c r="D3075" s="23"/>
      <c r="E3075" s="23"/>
    </row>
    <row r="3076">
      <c r="B3076" s="23"/>
      <c r="C3076" s="23"/>
      <c r="D3076" s="23"/>
      <c r="E3076" s="23"/>
    </row>
    <row r="3077">
      <c r="B3077" s="23"/>
      <c r="C3077" s="23"/>
      <c r="D3077" s="23"/>
      <c r="E3077" s="23"/>
    </row>
    <row r="3078">
      <c r="B3078" s="23"/>
      <c r="C3078" s="23"/>
      <c r="D3078" s="23"/>
      <c r="E3078" s="23"/>
    </row>
    <row r="3079">
      <c r="B3079" s="23"/>
      <c r="C3079" s="23"/>
      <c r="D3079" s="23"/>
      <c r="E3079" s="23"/>
    </row>
    <row r="3080">
      <c r="B3080" s="23"/>
      <c r="C3080" s="23"/>
      <c r="D3080" s="23"/>
      <c r="E3080" s="23"/>
    </row>
    <row r="3081">
      <c r="B3081" s="23"/>
      <c r="C3081" s="23"/>
      <c r="D3081" s="23"/>
      <c r="E3081" s="23"/>
    </row>
    <row r="3082">
      <c r="B3082" s="23"/>
      <c r="C3082" s="23"/>
      <c r="D3082" s="23"/>
      <c r="E3082" s="23"/>
    </row>
    <row r="3083">
      <c r="B3083" s="23"/>
      <c r="C3083" s="23"/>
      <c r="D3083" s="23"/>
      <c r="E3083" s="23"/>
    </row>
    <row r="3084">
      <c r="B3084" s="23"/>
      <c r="C3084" s="23"/>
      <c r="D3084" s="23"/>
      <c r="E3084" s="23"/>
    </row>
    <row r="3085">
      <c r="B3085" s="23"/>
      <c r="C3085" s="23"/>
      <c r="D3085" s="23"/>
      <c r="E3085" s="23"/>
    </row>
    <row r="3086">
      <c r="B3086" s="23"/>
      <c r="C3086" s="23"/>
      <c r="D3086" s="23"/>
      <c r="E3086" s="23"/>
    </row>
    <row r="3087">
      <c r="B3087" s="23"/>
      <c r="C3087" s="23"/>
      <c r="D3087" s="23"/>
      <c r="E3087" s="23"/>
    </row>
    <row r="3088">
      <c r="B3088" s="23"/>
      <c r="C3088" s="23"/>
      <c r="D3088" s="23"/>
      <c r="E3088" s="23"/>
    </row>
    <row r="3089">
      <c r="B3089" s="23"/>
      <c r="C3089" s="23"/>
      <c r="D3089" s="23"/>
      <c r="E3089" s="23"/>
    </row>
    <row r="3090">
      <c r="B3090" s="23"/>
      <c r="C3090" s="23"/>
      <c r="D3090" s="23"/>
      <c r="E3090" s="23"/>
    </row>
    <row r="3091">
      <c r="B3091" s="23"/>
      <c r="C3091" s="23"/>
      <c r="D3091" s="23"/>
      <c r="E3091" s="23"/>
    </row>
    <row r="3092">
      <c r="B3092" s="23"/>
      <c r="C3092" s="23"/>
      <c r="D3092" s="23"/>
      <c r="E3092" s="23"/>
    </row>
    <row r="3093">
      <c r="B3093" s="23"/>
      <c r="C3093" s="23"/>
      <c r="D3093" s="23"/>
      <c r="E3093" s="23"/>
    </row>
    <row r="3094">
      <c r="B3094" s="23"/>
      <c r="C3094" s="23"/>
      <c r="D3094" s="23"/>
      <c r="E3094" s="23"/>
    </row>
    <row r="3095">
      <c r="B3095" s="23"/>
      <c r="C3095" s="23"/>
      <c r="D3095" s="23"/>
      <c r="E3095" s="23"/>
    </row>
    <row r="3096">
      <c r="B3096" s="23"/>
      <c r="C3096" s="23"/>
      <c r="D3096" s="23"/>
      <c r="E3096" s="23"/>
    </row>
    <row r="3097">
      <c r="B3097" s="23"/>
      <c r="C3097" s="23"/>
      <c r="D3097" s="23"/>
      <c r="E3097" s="23"/>
    </row>
    <row r="3098">
      <c r="B3098" s="23"/>
      <c r="C3098" s="23"/>
      <c r="D3098" s="23"/>
      <c r="E3098" s="23"/>
    </row>
    <row r="3099">
      <c r="B3099" s="23"/>
      <c r="C3099" s="23"/>
      <c r="D3099" s="23"/>
      <c r="E3099" s="23"/>
    </row>
    <row r="3100">
      <c r="B3100" s="23"/>
      <c r="C3100" s="23"/>
      <c r="D3100" s="23"/>
      <c r="E3100" s="23"/>
    </row>
    <row r="3101">
      <c r="B3101" s="23"/>
      <c r="C3101" s="23"/>
      <c r="D3101" s="23"/>
      <c r="E3101" s="23"/>
    </row>
    <row r="3102">
      <c r="B3102" s="23"/>
      <c r="C3102" s="23"/>
      <c r="D3102" s="23"/>
      <c r="E3102" s="23"/>
    </row>
    <row r="3103">
      <c r="B3103" s="23"/>
      <c r="C3103" s="23"/>
      <c r="D3103" s="23"/>
      <c r="E3103" s="23"/>
    </row>
    <row r="3104">
      <c r="B3104" s="23"/>
      <c r="C3104" s="23"/>
      <c r="D3104" s="23"/>
      <c r="E3104" s="23"/>
    </row>
    <row r="3105">
      <c r="B3105" s="23"/>
      <c r="C3105" s="23"/>
      <c r="D3105" s="23"/>
      <c r="E3105" s="23"/>
    </row>
    <row r="3106">
      <c r="B3106" s="23"/>
      <c r="C3106" s="23"/>
      <c r="D3106" s="23"/>
      <c r="E3106" s="23"/>
    </row>
    <row r="3107">
      <c r="B3107" s="23"/>
      <c r="C3107" s="23"/>
      <c r="D3107" s="23"/>
      <c r="E3107" s="23"/>
    </row>
    <row r="3108">
      <c r="B3108" s="23"/>
      <c r="C3108" s="23"/>
      <c r="D3108" s="23"/>
      <c r="E3108" s="23"/>
    </row>
    <row r="3109">
      <c r="B3109" s="23"/>
      <c r="C3109" s="23"/>
      <c r="D3109" s="23"/>
      <c r="E3109" s="23"/>
    </row>
    <row r="3110">
      <c r="B3110" s="23"/>
      <c r="C3110" s="23"/>
      <c r="D3110" s="23"/>
      <c r="E3110" s="23"/>
    </row>
    <row r="3111">
      <c r="B3111" s="23"/>
      <c r="C3111" s="23"/>
      <c r="D3111" s="23"/>
      <c r="E3111" s="23"/>
    </row>
    <row r="3112">
      <c r="B3112" s="23"/>
      <c r="C3112" s="23"/>
      <c r="D3112" s="23"/>
      <c r="E3112" s="23"/>
    </row>
    <row r="3113">
      <c r="B3113" s="23"/>
      <c r="C3113" s="23"/>
      <c r="D3113" s="23"/>
      <c r="E3113" s="23"/>
    </row>
    <row r="3114">
      <c r="B3114" s="23"/>
      <c r="C3114" s="23"/>
      <c r="D3114" s="23"/>
      <c r="E3114" s="23"/>
    </row>
    <row r="3115">
      <c r="B3115" s="23"/>
      <c r="C3115" s="23"/>
      <c r="D3115" s="23"/>
      <c r="E3115" s="23"/>
    </row>
    <row r="3116">
      <c r="B3116" s="23"/>
      <c r="C3116" s="23"/>
      <c r="D3116" s="23"/>
      <c r="E3116" s="23"/>
    </row>
    <row r="3117">
      <c r="B3117" s="23"/>
      <c r="C3117" s="23"/>
      <c r="D3117" s="23"/>
      <c r="E3117" s="23"/>
    </row>
    <row r="3118">
      <c r="B3118" s="23"/>
      <c r="C3118" s="23"/>
      <c r="D3118" s="23"/>
      <c r="E3118" s="23"/>
    </row>
    <row r="3119">
      <c r="B3119" s="23"/>
      <c r="C3119" s="23"/>
      <c r="D3119" s="23"/>
      <c r="E3119" s="23"/>
    </row>
    <row r="3120">
      <c r="B3120" s="23"/>
      <c r="C3120" s="23"/>
      <c r="D3120" s="23"/>
      <c r="E3120" s="23"/>
    </row>
    <row r="3121">
      <c r="B3121" s="23"/>
      <c r="C3121" s="23"/>
      <c r="D3121" s="23"/>
      <c r="E3121" s="23"/>
    </row>
    <row r="3122">
      <c r="B3122" s="23"/>
      <c r="C3122" s="23"/>
      <c r="D3122" s="23"/>
      <c r="E3122" s="23"/>
    </row>
    <row r="3123">
      <c r="B3123" s="23"/>
      <c r="C3123" s="23"/>
      <c r="D3123" s="23"/>
      <c r="E3123" s="23"/>
    </row>
    <row r="3124">
      <c r="B3124" s="23"/>
      <c r="C3124" s="23"/>
      <c r="D3124" s="23"/>
      <c r="E3124" s="23"/>
    </row>
    <row r="3125">
      <c r="B3125" s="23"/>
      <c r="C3125" s="23"/>
      <c r="D3125" s="23"/>
      <c r="E3125" s="23"/>
    </row>
    <row r="3126">
      <c r="B3126" s="23"/>
      <c r="C3126" s="23"/>
      <c r="D3126" s="23"/>
      <c r="E3126" s="23"/>
    </row>
    <row r="3127">
      <c r="B3127" s="23"/>
      <c r="C3127" s="23"/>
      <c r="D3127" s="23"/>
      <c r="E3127" s="23"/>
    </row>
    <row r="3128">
      <c r="B3128" s="23"/>
      <c r="C3128" s="23"/>
      <c r="D3128" s="23"/>
      <c r="E3128" s="23"/>
    </row>
    <row r="3129">
      <c r="B3129" s="23"/>
      <c r="C3129" s="23"/>
      <c r="D3129" s="23"/>
      <c r="E3129" s="23"/>
    </row>
    <row r="3130">
      <c r="B3130" s="23"/>
      <c r="C3130" s="23"/>
      <c r="D3130" s="23"/>
      <c r="E3130" s="23"/>
    </row>
    <row r="3131">
      <c r="B3131" s="23"/>
      <c r="C3131" s="23"/>
      <c r="D3131" s="23"/>
      <c r="E3131" s="23"/>
    </row>
    <row r="3132">
      <c r="B3132" s="23"/>
      <c r="C3132" s="23"/>
      <c r="D3132" s="23"/>
      <c r="E3132" s="23"/>
    </row>
    <row r="3133">
      <c r="B3133" s="23"/>
      <c r="C3133" s="23"/>
      <c r="D3133" s="23"/>
      <c r="E3133" s="23"/>
    </row>
    <row r="3134">
      <c r="B3134" s="23"/>
      <c r="C3134" s="23"/>
      <c r="D3134" s="23"/>
      <c r="E3134" s="23"/>
    </row>
    <row r="3135">
      <c r="B3135" s="23"/>
      <c r="C3135" s="23"/>
      <c r="D3135" s="23"/>
      <c r="E3135" s="23"/>
    </row>
    <row r="3136">
      <c r="B3136" s="23"/>
      <c r="C3136" s="23"/>
      <c r="D3136" s="23"/>
      <c r="E3136" s="23"/>
    </row>
    <row r="3137">
      <c r="B3137" s="23"/>
      <c r="C3137" s="23"/>
      <c r="D3137" s="23"/>
      <c r="E3137" s="23"/>
    </row>
    <row r="3138">
      <c r="B3138" s="23"/>
      <c r="C3138" s="23"/>
      <c r="D3138" s="23"/>
      <c r="E3138" s="23"/>
    </row>
    <row r="3139">
      <c r="B3139" s="23"/>
      <c r="C3139" s="23"/>
      <c r="D3139" s="23"/>
      <c r="E3139" s="23"/>
    </row>
    <row r="3140">
      <c r="B3140" s="23"/>
      <c r="C3140" s="23"/>
      <c r="D3140" s="23"/>
      <c r="E3140" s="23"/>
    </row>
    <row r="3141">
      <c r="B3141" s="23"/>
      <c r="C3141" s="23"/>
      <c r="D3141" s="23"/>
      <c r="E3141" s="23"/>
    </row>
    <row r="3142">
      <c r="B3142" s="23"/>
      <c r="C3142" s="23"/>
      <c r="D3142" s="23"/>
      <c r="E3142" s="23"/>
    </row>
    <row r="3143">
      <c r="B3143" s="23"/>
      <c r="C3143" s="23"/>
      <c r="D3143" s="23"/>
      <c r="E3143" s="23"/>
    </row>
    <row r="3144">
      <c r="B3144" s="23"/>
      <c r="C3144" s="23"/>
      <c r="D3144" s="23"/>
      <c r="E3144" s="23"/>
    </row>
    <row r="3145">
      <c r="B3145" s="23"/>
      <c r="C3145" s="23"/>
      <c r="D3145" s="23"/>
      <c r="E3145" s="23"/>
    </row>
    <row r="3146">
      <c r="B3146" s="23"/>
      <c r="C3146" s="23"/>
      <c r="D3146" s="23"/>
      <c r="E3146" s="23"/>
    </row>
    <row r="3147">
      <c r="B3147" s="23"/>
      <c r="C3147" s="23"/>
      <c r="D3147" s="23"/>
      <c r="E3147" s="23"/>
    </row>
    <row r="3148">
      <c r="B3148" s="23"/>
      <c r="C3148" s="23"/>
      <c r="D3148" s="23"/>
      <c r="E3148" s="23"/>
    </row>
    <row r="3149">
      <c r="B3149" s="23"/>
      <c r="C3149" s="23"/>
      <c r="D3149" s="23"/>
      <c r="E3149" s="23"/>
    </row>
    <row r="3150">
      <c r="B3150" s="23"/>
      <c r="C3150" s="23"/>
      <c r="D3150" s="23"/>
      <c r="E3150" s="23"/>
    </row>
    <row r="3151">
      <c r="B3151" s="23"/>
      <c r="C3151" s="23"/>
      <c r="D3151" s="23"/>
      <c r="E3151" s="23"/>
    </row>
    <row r="3152">
      <c r="B3152" s="23"/>
      <c r="C3152" s="23"/>
      <c r="D3152" s="23"/>
      <c r="E3152" s="23"/>
    </row>
    <row r="3153">
      <c r="B3153" s="23"/>
      <c r="C3153" s="23"/>
      <c r="D3153" s="23"/>
      <c r="E3153" s="23"/>
    </row>
    <row r="3154">
      <c r="B3154" s="23"/>
      <c r="C3154" s="23"/>
      <c r="D3154" s="23"/>
      <c r="E3154" s="23"/>
    </row>
    <row r="3155">
      <c r="B3155" s="23"/>
      <c r="C3155" s="23"/>
      <c r="D3155" s="23"/>
      <c r="E3155" s="23"/>
    </row>
    <row r="3156">
      <c r="B3156" s="23"/>
      <c r="C3156" s="23"/>
      <c r="D3156" s="23"/>
      <c r="E3156" s="23"/>
    </row>
    <row r="3157">
      <c r="B3157" s="23"/>
      <c r="C3157" s="23"/>
      <c r="D3157" s="23"/>
      <c r="E3157" s="23"/>
    </row>
    <row r="3158">
      <c r="B3158" s="23"/>
      <c r="C3158" s="23"/>
      <c r="D3158" s="23"/>
      <c r="E3158" s="23"/>
    </row>
    <row r="3159">
      <c r="B3159" s="23"/>
      <c r="C3159" s="23"/>
      <c r="D3159" s="23"/>
      <c r="E3159" s="23"/>
    </row>
    <row r="3160">
      <c r="B3160" s="23"/>
      <c r="C3160" s="23"/>
      <c r="D3160" s="23"/>
      <c r="E3160" s="23"/>
    </row>
    <row r="3161">
      <c r="B3161" s="23"/>
      <c r="C3161" s="23"/>
      <c r="D3161" s="23"/>
      <c r="E3161" s="23"/>
    </row>
    <row r="3162">
      <c r="B3162" s="23"/>
      <c r="C3162" s="23"/>
      <c r="D3162" s="23"/>
      <c r="E3162" s="23"/>
    </row>
    <row r="3163">
      <c r="B3163" s="23"/>
      <c r="C3163" s="23"/>
      <c r="D3163" s="23"/>
      <c r="E3163" s="23"/>
    </row>
    <row r="3164">
      <c r="B3164" s="23"/>
      <c r="C3164" s="23"/>
      <c r="D3164" s="23"/>
      <c r="E3164" s="23"/>
    </row>
    <row r="3165">
      <c r="B3165" s="23"/>
      <c r="C3165" s="23"/>
      <c r="D3165" s="23"/>
      <c r="E3165" s="23"/>
    </row>
    <row r="3166">
      <c r="B3166" s="23"/>
      <c r="C3166" s="23"/>
      <c r="D3166" s="23"/>
      <c r="E3166" s="23"/>
    </row>
    <row r="3167">
      <c r="B3167" s="23"/>
      <c r="C3167" s="23"/>
      <c r="D3167" s="23"/>
      <c r="E3167" s="23"/>
    </row>
    <row r="3168">
      <c r="B3168" s="23"/>
      <c r="C3168" s="23"/>
      <c r="D3168" s="23"/>
      <c r="E3168" s="23"/>
    </row>
    <row r="3169">
      <c r="B3169" s="23"/>
      <c r="C3169" s="23"/>
      <c r="D3169" s="23"/>
      <c r="E3169" s="23"/>
    </row>
    <row r="3170">
      <c r="B3170" s="23"/>
      <c r="C3170" s="23"/>
      <c r="D3170" s="23"/>
      <c r="E3170" s="23"/>
    </row>
    <row r="3171">
      <c r="B3171" s="23"/>
      <c r="C3171" s="23"/>
      <c r="D3171" s="23"/>
      <c r="E3171" s="23"/>
    </row>
    <row r="3172">
      <c r="B3172" s="23"/>
      <c r="C3172" s="23"/>
      <c r="D3172" s="23"/>
      <c r="E3172" s="23"/>
    </row>
    <row r="3173">
      <c r="B3173" s="23"/>
      <c r="C3173" s="23"/>
      <c r="D3173" s="23"/>
      <c r="E3173" s="23"/>
    </row>
    <row r="3174">
      <c r="B3174" s="23"/>
      <c r="C3174" s="23"/>
      <c r="D3174" s="23"/>
      <c r="E3174" s="23"/>
    </row>
    <row r="3175">
      <c r="B3175" s="23"/>
      <c r="C3175" s="23"/>
      <c r="D3175" s="23"/>
      <c r="E3175" s="23"/>
    </row>
    <row r="3176">
      <c r="B3176" s="23"/>
      <c r="C3176" s="23"/>
      <c r="D3176" s="23"/>
      <c r="E3176" s="23"/>
    </row>
    <row r="3177">
      <c r="B3177" s="23"/>
      <c r="C3177" s="23"/>
      <c r="D3177" s="23"/>
      <c r="E3177" s="23"/>
    </row>
    <row r="3178">
      <c r="B3178" s="23"/>
      <c r="C3178" s="23"/>
      <c r="D3178" s="23"/>
      <c r="E3178" s="23"/>
    </row>
    <row r="3179">
      <c r="B3179" s="23"/>
      <c r="C3179" s="23"/>
      <c r="D3179" s="23"/>
      <c r="E3179" s="23"/>
    </row>
    <row r="3180">
      <c r="B3180" s="23"/>
      <c r="C3180" s="23"/>
      <c r="D3180" s="23"/>
      <c r="E3180" s="23"/>
    </row>
    <row r="3181">
      <c r="B3181" s="23"/>
      <c r="C3181" s="23"/>
      <c r="D3181" s="23"/>
      <c r="E3181" s="23"/>
    </row>
    <row r="3182">
      <c r="B3182" s="23"/>
      <c r="C3182" s="23"/>
      <c r="D3182" s="23"/>
      <c r="E3182" s="23"/>
    </row>
    <row r="3183">
      <c r="B3183" s="23"/>
      <c r="C3183" s="23"/>
      <c r="D3183" s="23"/>
      <c r="E3183" s="23"/>
    </row>
    <row r="3184">
      <c r="B3184" s="23"/>
      <c r="C3184" s="23"/>
      <c r="D3184" s="23"/>
      <c r="E3184" s="23"/>
    </row>
    <row r="3185">
      <c r="B3185" s="23"/>
      <c r="C3185" s="23"/>
      <c r="D3185" s="23"/>
      <c r="E3185" s="23"/>
    </row>
    <row r="3186">
      <c r="B3186" s="23"/>
      <c r="C3186" s="23"/>
      <c r="D3186" s="23"/>
      <c r="E3186" s="23"/>
    </row>
    <row r="3187">
      <c r="B3187" s="23"/>
      <c r="C3187" s="23"/>
      <c r="D3187" s="23"/>
      <c r="E3187" s="23"/>
    </row>
    <row r="3188">
      <c r="B3188" s="23"/>
      <c r="C3188" s="23"/>
      <c r="D3188" s="23"/>
      <c r="E3188" s="23"/>
    </row>
    <row r="3189">
      <c r="B3189" s="23"/>
      <c r="C3189" s="23"/>
      <c r="D3189" s="23"/>
      <c r="E3189" s="23"/>
    </row>
    <row r="3190">
      <c r="B3190" s="23"/>
      <c r="C3190" s="23"/>
      <c r="D3190" s="23"/>
      <c r="E3190" s="23"/>
    </row>
    <row r="3191">
      <c r="B3191" s="23"/>
      <c r="C3191" s="23"/>
      <c r="D3191" s="23"/>
      <c r="E3191" s="23"/>
    </row>
    <row r="3192">
      <c r="B3192" s="23"/>
      <c r="C3192" s="23"/>
      <c r="D3192" s="23"/>
      <c r="E3192" s="23"/>
    </row>
    <row r="3193">
      <c r="B3193" s="23"/>
      <c r="C3193" s="23"/>
      <c r="D3193" s="23"/>
      <c r="E3193" s="23"/>
    </row>
    <row r="3194">
      <c r="B3194" s="23"/>
      <c r="C3194" s="23"/>
      <c r="D3194" s="23"/>
      <c r="E3194" s="23"/>
    </row>
    <row r="3195">
      <c r="B3195" s="23"/>
      <c r="C3195" s="23"/>
      <c r="D3195" s="23"/>
      <c r="E3195" s="23"/>
    </row>
    <row r="3196">
      <c r="B3196" s="23"/>
      <c r="C3196" s="23"/>
      <c r="D3196" s="23"/>
      <c r="E3196" s="23"/>
    </row>
    <row r="3197">
      <c r="B3197" s="23"/>
      <c r="C3197" s="23"/>
      <c r="D3197" s="23"/>
      <c r="E3197" s="23"/>
    </row>
    <row r="3198">
      <c r="B3198" s="23"/>
      <c r="C3198" s="23"/>
      <c r="D3198" s="23"/>
      <c r="E3198" s="23"/>
    </row>
    <row r="3199">
      <c r="B3199" s="23"/>
      <c r="C3199" s="23"/>
      <c r="D3199" s="23"/>
      <c r="E3199" s="23"/>
    </row>
    <row r="3200">
      <c r="B3200" s="23"/>
      <c r="C3200" s="23"/>
      <c r="D3200" s="23"/>
      <c r="E3200" s="23"/>
    </row>
    <row r="3201">
      <c r="B3201" s="23"/>
      <c r="C3201" s="23"/>
      <c r="D3201" s="23"/>
      <c r="E3201" s="23"/>
    </row>
    <row r="3202">
      <c r="B3202" s="23"/>
      <c r="C3202" s="23"/>
      <c r="D3202" s="23"/>
      <c r="E3202" s="23"/>
    </row>
    <row r="3203">
      <c r="B3203" s="23"/>
      <c r="C3203" s="23"/>
      <c r="D3203" s="23"/>
      <c r="E3203" s="23"/>
    </row>
    <row r="3204">
      <c r="B3204" s="23"/>
      <c r="C3204" s="23"/>
      <c r="D3204" s="23"/>
      <c r="E3204" s="23"/>
    </row>
    <row r="3205">
      <c r="B3205" s="23"/>
      <c r="C3205" s="23"/>
      <c r="D3205" s="23"/>
      <c r="E3205" s="23"/>
    </row>
    <row r="3206">
      <c r="B3206" s="23"/>
      <c r="C3206" s="23"/>
      <c r="D3206" s="23"/>
      <c r="E3206" s="23"/>
    </row>
    <row r="3207">
      <c r="B3207" s="23"/>
      <c r="C3207" s="23"/>
      <c r="D3207" s="23"/>
      <c r="E3207" s="23"/>
    </row>
    <row r="3208">
      <c r="B3208" s="23"/>
      <c r="C3208" s="23"/>
      <c r="D3208" s="23"/>
      <c r="E3208" s="23"/>
    </row>
    <row r="3209">
      <c r="B3209" s="23"/>
      <c r="C3209" s="23"/>
      <c r="D3209" s="23"/>
      <c r="E3209" s="23"/>
    </row>
    <row r="3210">
      <c r="B3210" s="23"/>
      <c r="C3210" s="23"/>
      <c r="D3210" s="23"/>
      <c r="E3210" s="23"/>
    </row>
    <row r="3211">
      <c r="B3211" s="23"/>
      <c r="C3211" s="23"/>
      <c r="D3211" s="23"/>
      <c r="E3211" s="23"/>
    </row>
    <row r="3212">
      <c r="B3212" s="23"/>
      <c r="C3212" s="23"/>
      <c r="D3212" s="23"/>
      <c r="E3212" s="23"/>
    </row>
    <row r="3213">
      <c r="B3213" s="23"/>
      <c r="C3213" s="23"/>
      <c r="D3213" s="23"/>
      <c r="E3213" s="23"/>
    </row>
    <row r="3214">
      <c r="B3214" s="23"/>
      <c r="C3214" s="23"/>
      <c r="D3214" s="23"/>
      <c r="E3214" s="23"/>
    </row>
    <row r="3215">
      <c r="B3215" s="23"/>
      <c r="C3215" s="23"/>
      <c r="D3215" s="23"/>
      <c r="E3215" s="23"/>
    </row>
    <row r="3216">
      <c r="B3216" s="23"/>
      <c r="C3216" s="23"/>
      <c r="D3216" s="23"/>
      <c r="E3216" s="23"/>
    </row>
    <row r="3217">
      <c r="B3217" s="23"/>
      <c r="C3217" s="23"/>
      <c r="D3217" s="23"/>
      <c r="E3217" s="23"/>
    </row>
    <row r="3218">
      <c r="B3218" s="23"/>
      <c r="C3218" s="23"/>
      <c r="D3218" s="23"/>
      <c r="E3218" s="23"/>
    </row>
    <row r="3219">
      <c r="B3219" s="23"/>
      <c r="C3219" s="23"/>
      <c r="D3219" s="23"/>
      <c r="E3219" s="23"/>
    </row>
    <row r="3220">
      <c r="B3220" s="23"/>
      <c r="C3220" s="23"/>
      <c r="D3220" s="23"/>
      <c r="E3220" s="23"/>
    </row>
    <row r="3221">
      <c r="B3221" s="23"/>
      <c r="C3221" s="23"/>
      <c r="D3221" s="23"/>
      <c r="E3221" s="23"/>
    </row>
    <row r="3222">
      <c r="B3222" s="23"/>
      <c r="C3222" s="23"/>
      <c r="D3222" s="23"/>
      <c r="E3222" s="23"/>
    </row>
    <row r="3223">
      <c r="B3223" s="23"/>
      <c r="C3223" s="23"/>
      <c r="D3223" s="23"/>
      <c r="E3223" s="23"/>
    </row>
    <row r="3224">
      <c r="B3224" s="23"/>
      <c r="C3224" s="23"/>
      <c r="D3224" s="23"/>
      <c r="E3224" s="23"/>
    </row>
    <row r="3225">
      <c r="B3225" s="23"/>
      <c r="C3225" s="23"/>
      <c r="D3225" s="23"/>
      <c r="E3225" s="23"/>
    </row>
    <row r="3226">
      <c r="B3226" s="23"/>
      <c r="C3226" s="23"/>
      <c r="D3226" s="23"/>
      <c r="E3226" s="23"/>
    </row>
    <row r="3227">
      <c r="B3227" s="23"/>
      <c r="C3227" s="23"/>
      <c r="D3227" s="23"/>
      <c r="E3227" s="23"/>
    </row>
    <row r="3228">
      <c r="B3228" s="23"/>
      <c r="C3228" s="23"/>
      <c r="D3228" s="23"/>
      <c r="E3228" s="23"/>
    </row>
    <row r="3229">
      <c r="B3229" s="23"/>
      <c r="C3229" s="23"/>
      <c r="D3229" s="23"/>
      <c r="E3229" s="23"/>
    </row>
    <row r="3230">
      <c r="B3230" s="23"/>
      <c r="C3230" s="23"/>
      <c r="D3230" s="23"/>
      <c r="E3230" s="23"/>
    </row>
    <row r="3231">
      <c r="B3231" s="23"/>
      <c r="C3231" s="23"/>
      <c r="D3231" s="23"/>
      <c r="E3231" s="23"/>
    </row>
    <row r="3232">
      <c r="B3232" s="23"/>
      <c r="C3232" s="23"/>
      <c r="D3232" s="23"/>
      <c r="E3232" s="23"/>
    </row>
    <row r="3233">
      <c r="B3233" s="23"/>
      <c r="C3233" s="23"/>
      <c r="D3233" s="23"/>
      <c r="E3233" s="23"/>
    </row>
    <row r="3234">
      <c r="B3234" s="23"/>
      <c r="C3234" s="23"/>
      <c r="D3234" s="23"/>
      <c r="E3234" s="23"/>
    </row>
    <row r="3235">
      <c r="B3235" s="23"/>
      <c r="C3235" s="23"/>
      <c r="D3235" s="23"/>
      <c r="E3235" s="23"/>
    </row>
    <row r="3236">
      <c r="B3236" s="23"/>
      <c r="C3236" s="23"/>
      <c r="D3236" s="23"/>
      <c r="E3236" s="23"/>
    </row>
    <row r="3237">
      <c r="B3237" s="23"/>
      <c r="C3237" s="23"/>
      <c r="D3237" s="23"/>
      <c r="E3237" s="23"/>
    </row>
    <row r="3238">
      <c r="B3238" s="23"/>
      <c r="C3238" s="23"/>
      <c r="D3238" s="23"/>
      <c r="E3238" s="23"/>
    </row>
    <row r="3239">
      <c r="B3239" s="23"/>
      <c r="C3239" s="23"/>
      <c r="D3239" s="23"/>
      <c r="E3239" s="23"/>
    </row>
    <row r="3240">
      <c r="B3240" s="23"/>
      <c r="C3240" s="23"/>
      <c r="D3240" s="23"/>
      <c r="E3240" s="23"/>
    </row>
    <row r="3241">
      <c r="B3241" s="23"/>
      <c r="C3241" s="23"/>
      <c r="D3241" s="23"/>
      <c r="E3241" s="23"/>
    </row>
    <row r="3242">
      <c r="B3242" s="23"/>
      <c r="C3242" s="23"/>
      <c r="D3242" s="23"/>
      <c r="E3242" s="23"/>
    </row>
    <row r="3243">
      <c r="B3243" s="23"/>
      <c r="C3243" s="23"/>
      <c r="D3243" s="23"/>
      <c r="E3243" s="23"/>
    </row>
    <row r="3244">
      <c r="B3244" s="23"/>
      <c r="C3244" s="23"/>
      <c r="D3244" s="23"/>
      <c r="E3244" s="23"/>
    </row>
    <row r="3245">
      <c r="B3245" s="23"/>
      <c r="C3245" s="23"/>
      <c r="D3245" s="23"/>
      <c r="E3245" s="23"/>
    </row>
    <row r="3246">
      <c r="B3246" s="23"/>
      <c r="C3246" s="23"/>
      <c r="D3246" s="23"/>
      <c r="E3246" s="23"/>
    </row>
    <row r="3247">
      <c r="B3247" s="23"/>
      <c r="C3247" s="23"/>
      <c r="D3247" s="23"/>
      <c r="E3247" s="23"/>
    </row>
    <row r="3248">
      <c r="B3248" s="23"/>
      <c r="C3248" s="23"/>
      <c r="D3248" s="23"/>
      <c r="E3248" s="23"/>
    </row>
    <row r="3249">
      <c r="B3249" s="23"/>
      <c r="C3249" s="23"/>
      <c r="D3249" s="23"/>
      <c r="E3249" s="23"/>
    </row>
    <row r="3250">
      <c r="B3250" s="23"/>
      <c r="C3250" s="23"/>
      <c r="D3250" s="23"/>
      <c r="E3250" s="23"/>
    </row>
    <row r="3251">
      <c r="B3251" s="23"/>
      <c r="C3251" s="23"/>
      <c r="D3251" s="23"/>
      <c r="E3251" s="23"/>
    </row>
    <row r="3252">
      <c r="B3252" s="23"/>
      <c r="C3252" s="23"/>
      <c r="D3252" s="23"/>
      <c r="E3252" s="23"/>
    </row>
    <row r="3253">
      <c r="B3253" s="23"/>
      <c r="C3253" s="23"/>
      <c r="D3253" s="23"/>
      <c r="E3253" s="23"/>
    </row>
    <row r="3254">
      <c r="B3254" s="23"/>
      <c r="C3254" s="23"/>
      <c r="D3254" s="23"/>
      <c r="E3254" s="23"/>
    </row>
    <row r="3255">
      <c r="B3255" s="23"/>
      <c r="C3255" s="23"/>
      <c r="D3255" s="23"/>
      <c r="E3255" s="23"/>
    </row>
    <row r="3256">
      <c r="B3256" s="23"/>
      <c r="C3256" s="23"/>
      <c r="D3256" s="23"/>
      <c r="E3256" s="23"/>
    </row>
    <row r="3257">
      <c r="B3257" s="23"/>
      <c r="C3257" s="23"/>
      <c r="D3257" s="23"/>
      <c r="E3257" s="23"/>
    </row>
    <row r="3258">
      <c r="B3258" s="23"/>
      <c r="C3258" s="23"/>
      <c r="D3258" s="23"/>
      <c r="E3258" s="23"/>
    </row>
    <row r="3259">
      <c r="B3259" s="23"/>
      <c r="C3259" s="23"/>
      <c r="D3259" s="23"/>
      <c r="E3259" s="23"/>
    </row>
    <row r="3260">
      <c r="B3260" s="23"/>
      <c r="C3260" s="23"/>
      <c r="D3260" s="23"/>
      <c r="E3260" s="23"/>
    </row>
    <row r="3261">
      <c r="B3261" s="23"/>
      <c r="C3261" s="23"/>
      <c r="D3261" s="23"/>
      <c r="E3261" s="23"/>
    </row>
    <row r="3262">
      <c r="B3262" s="23"/>
      <c r="C3262" s="23"/>
      <c r="D3262" s="23"/>
      <c r="E3262" s="23"/>
    </row>
    <row r="3263">
      <c r="B3263" s="23"/>
      <c r="C3263" s="23"/>
      <c r="D3263" s="23"/>
      <c r="E3263" s="23"/>
    </row>
    <row r="3264">
      <c r="B3264" s="23"/>
      <c r="C3264" s="23"/>
      <c r="D3264" s="23"/>
      <c r="E3264" s="23"/>
    </row>
    <row r="3265">
      <c r="B3265" s="23"/>
      <c r="C3265" s="23"/>
      <c r="D3265" s="23"/>
      <c r="E3265" s="23"/>
    </row>
    <row r="3266">
      <c r="B3266" s="23"/>
      <c r="C3266" s="23"/>
      <c r="D3266" s="23"/>
      <c r="E3266" s="23"/>
    </row>
    <row r="3267">
      <c r="B3267" s="23"/>
      <c r="C3267" s="23"/>
      <c r="D3267" s="23"/>
      <c r="E3267" s="23"/>
    </row>
    <row r="3268">
      <c r="B3268" s="23"/>
      <c r="C3268" s="23"/>
      <c r="D3268" s="23"/>
      <c r="E3268" s="23"/>
    </row>
    <row r="3269">
      <c r="B3269" s="23"/>
      <c r="C3269" s="23"/>
      <c r="D3269" s="23"/>
      <c r="E3269" s="23"/>
    </row>
    <row r="3270">
      <c r="B3270" s="23"/>
      <c r="C3270" s="23"/>
      <c r="D3270" s="23"/>
      <c r="E3270" s="23"/>
    </row>
    <row r="3271">
      <c r="B3271" s="23"/>
      <c r="C3271" s="23"/>
      <c r="D3271" s="23"/>
      <c r="E3271" s="23"/>
    </row>
    <row r="3272">
      <c r="B3272" s="23"/>
      <c r="C3272" s="23"/>
      <c r="D3272" s="23"/>
      <c r="E3272" s="23"/>
    </row>
    <row r="3273">
      <c r="B3273" s="23"/>
      <c r="C3273" s="23"/>
      <c r="D3273" s="23"/>
      <c r="E3273" s="23"/>
    </row>
    <row r="3274">
      <c r="B3274" s="23"/>
      <c r="C3274" s="23"/>
      <c r="D3274" s="23"/>
      <c r="E3274" s="23"/>
    </row>
    <row r="3275">
      <c r="B3275" s="23"/>
      <c r="C3275" s="23"/>
      <c r="D3275" s="23"/>
      <c r="E3275" s="23"/>
    </row>
    <row r="3276">
      <c r="B3276" s="23"/>
      <c r="C3276" s="23"/>
      <c r="D3276" s="23"/>
      <c r="E3276" s="23"/>
    </row>
    <row r="3277">
      <c r="B3277" s="23"/>
      <c r="C3277" s="23"/>
      <c r="D3277" s="23"/>
      <c r="E3277" s="23"/>
    </row>
    <row r="3278">
      <c r="B3278" s="23"/>
      <c r="C3278" s="23"/>
      <c r="D3278" s="23"/>
      <c r="E3278" s="23"/>
    </row>
    <row r="3279">
      <c r="B3279" s="23"/>
      <c r="C3279" s="23"/>
      <c r="D3279" s="23"/>
      <c r="E3279" s="23"/>
    </row>
    <row r="3280">
      <c r="B3280" s="23"/>
      <c r="C3280" s="23"/>
      <c r="D3280" s="23"/>
      <c r="E3280" s="23"/>
    </row>
    <row r="3281">
      <c r="B3281" s="23"/>
      <c r="C3281" s="23"/>
      <c r="D3281" s="23"/>
      <c r="E3281" s="23"/>
    </row>
    <row r="3282">
      <c r="B3282" s="23"/>
      <c r="C3282" s="23"/>
      <c r="D3282" s="23"/>
      <c r="E3282" s="23"/>
    </row>
    <row r="3283">
      <c r="B3283" s="23"/>
      <c r="C3283" s="23"/>
      <c r="D3283" s="23"/>
      <c r="E3283" s="23"/>
    </row>
    <row r="3284">
      <c r="B3284" s="23"/>
      <c r="C3284" s="23"/>
      <c r="D3284" s="23"/>
      <c r="E3284" s="23"/>
    </row>
    <row r="3285">
      <c r="B3285" s="23"/>
      <c r="C3285" s="23"/>
      <c r="D3285" s="23"/>
      <c r="E3285" s="23"/>
    </row>
    <row r="3286">
      <c r="B3286" s="23"/>
      <c r="C3286" s="23"/>
      <c r="D3286" s="23"/>
      <c r="E3286" s="23"/>
    </row>
    <row r="3287">
      <c r="B3287" s="23"/>
      <c r="C3287" s="23"/>
      <c r="D3287" s="23"/>
      <c r="E3287" s="23"/>
    </row>
    <row r="3288">
      <c r="B3288" s="23"/>
      <c r="C3288" s="23"/>
      <c r="D3288" s="23"/>
      <c r="E3288" s="23"/>
    </row>
    <row r="3289">
      <c r="B3289" s="23"/>
      <c r="C3289" s="23"/>
      <c r="D3289" s="23"/>
      <c r="E3289" s="23"/>
    </row>
    <row r="3290">
      <c r="B3290" s="23"/>
      <c r="C3290" s="23"/>
      <c r="D3290" s="23"/>
      <c r="E3290" s="23"/>
    </row>
    <row r="3291">
      <c r="B3291" s="23"/>
      <c r="C3291" s="23"/>
      <c r="D3291" s="23"/>
      <c r="E3291" s="23"/>
    </row>
    <row r="3292">
      <c r="B3292" s="23"/>
      <c r="C3292" s="23"/>
      <c r="D3292" s="23"/>
      <c r="E3292" s="23"/>
    </row>
    <row r="3293">
      <c r="B3293" s="23"/>
      <c r="C3293" s="23"/>
      <c r="D3293" s="23"/>
      <c r="E3293" s="23"/>
    </row>
    <row r="3294">
      <c r="B3294" s="23"/>
      <c r="C3294" s="23"/>
      <c r="D3294" s="23"/>
      <c r="E3294" s="23"/>
    </row>
    <row r="3295">
      <c r="B3295" s="23"/>
      <c r="C3295" s="23"/>
      <c r="D3295" s="23"/>
      <c r="E3295" s="23"/>
    </row>
    <row r="3296">
      <c r="B3296" s="23"/>
      <c r="C3296" s="23"/>
      <c r="D3296" s="23"/>
      <c r="E3296" s="23"/>
    </row>
    <row r="3297">
      <c r="B3297" s="23"/>
      <c r="C3297" s="23"/>
      <c r="D3297" s="23"/>
      <c r="E3297" s="23"/>
    </row>
    <row r="3298">
      <c r="B3298" s="23"/>
      <c r="C3298" s="23"/>
      <c r="D3298" s="23"/>
      <c r="E3298" s="23"/>
    </row>
    <row r="3299">
      <c r="B3299" s="23"/>
      <c r="C3299" s="23"/>
      <c r="D3299" s="23"/>
      <c r="E3299" s="23"/>
    </row>
    <row r="3300">
      <c r="B3300" s="23"/>
      <c r="C3300" s="23"/>
      <c r="D3300" s="23"/>
      <c r="E3300" s="23"/>
    </row>
    <row r="3301">
      <c r="B3301" s="23"/>
      <c r="C3301" s="23"/>
      <c r="D3301" s="23"/>
      <c r="E3301" s="23"/>
    </row>
    <row r="3302">
      <c r="B3302" s="23"/>
      <c r="C3302" s="23"/>
      <c r="D3302" s="23"/>
      <c r="E3302" s="23"/>
    </row>
    <row r="3303">
      <c r="B3303" s="23"/>
      <c r="C3303" s="23"/>
      <c r="D3303" s="23"/>
      <c r="E3303" s="23"/>
    </row>
    <row r="3304">
      <c r="B3304" s="23"/>
      <c r="C3304" s="23"/>
      <c r="D3304" s="23"/>
      <c r="E3304" s="23"/>
    </row>
    <row r="3305">
      <c r="B3305" s="23"/>
      <c r="C3305" s="23"/>
      <c r="D3305" s="23"/>
      <c r="E3305" s="23"/>
    </row>
    <row r="3306">
      <c r="B3306" s="23"/>
      <c r="C3306" s="23"/>
      <c r="D3306" s="23"/>
      <c r="E3306" s="23"/>
    </row>
    <row r="3307">
      <c r="B3307" s="23"/>
      <c r="C3307" s="23"/>
      <c r="D3307" s="23"/>
      <c r="E3307" s="23"/>
    </row>
    <row r="3308">
      <c r="B3308" s="23"/>
      <c r="C3308" s="23"/>
      <c r="D3308" s="23"/>
      <c r="E3308" s="23"/>
    </row>
    <row r="3309">
      <c r="B3309" s="23"/>
      <c r="C3309" s="23"/>
      <c r="D3309" s="23"/>
      <c r="E3309" s="23"/>
    </row>
    <row r="3310">
      <c r="B3310" s="23"/>
      <c r="C3310" s="23"/>
      <c r="D3310" s="23"/>
      <c r="E3310" s="23"/>
    </row>
    <row r="3311">
      <c r="B3311" s="23"/>
      <c r="C3311" s="23"/>
      <c r="D3311" s="23"/>
      <c r="E3311" s="23"/>
    </row>
    <row r="3312">
      <c r="B3312" s="23"/>
      <c r="C3312" s="23"/>
      <c r="D3312" s="23"/>
      <c r="E3312" s="23"/>
    </row>
    <row r="3313">
      <c r="B3313" s="23"/>
      <c r="C3313" s="23"/>
      <c r="D3313" s="23"/>
      <c r="E3313" s="23"/>
    </row>
    <row r="3314">
      <c r="B3314" s="23"/>
      <c r="C3314" s="23"/>
      <c r="D3314" s="23"/>
      <c r="E3314" s="23"/>
    </row>
    <row r="3315">
      <c r="B3315" s="23"/>
      <c r="C3315" s="23"/>
      <c r="D3315" s="23"/>
      <c r="E3315" s="23"/>
    </row>
    <row r="3316">
      <c r="B3316" s="23"/>
      <c r="C3316" s="23"/>
      <c r="D3316" s="23"/>
      <c r="E3316" s="23"/>
    </row>
    <row r="3317">
      <c r="B3317" s="23"/>
      <c r="C3317" s="23"/>
      <c r="D3317" s="23"/>
      <c r="E3317" s="23"/>
    </row>
    <row r="3318">
      <c r="B3318" s="23"/>
      <c r="C3318" s="23"/>
      <c r="D3318" s="23"/>
      <c r="E3318" s="23"/>
    </row>
    <row r="3319">
      <c r="B3319" s="23"/>
      <c r="C3319" s="23"/>
      <c r="D3319" s="23"/>
      <c r="E3319" s="23"/>
    </row>
    <row r="3320">
      <c r="B3320" s="23"/>
      <c r="C3320" s="23"/>
      <c r="D3320" s="23"/>
      <c r="E3320" s="23"/>
    </row>
    <row r="3321">
      <c r="B3321" s="23"/>
      <c r="C3321" s="23"/>
      <c r="D3321" s="23"/>
      <c r="E3321" s="23"/>
    </row>
    <row r="3322">
      <c r="B3322" s="23"/>
      <c r="C3322" s="23"/>
      <c r="D3322" s="23"/>
      <c r="E3322" s="23"/>
    </row>
    <row r="3323">
      <c r="B3323" s="23"/>
      <c r="C3323" s="23"/>
      <c r="D3323" s="23"/>
      <c r="E3323" s="23"/>
    </row>
    <row r="3324">
      <c r="B3324" s="23"/>
      <c r="C3324" s="23"/>
      <c r="D3324" s="23"/>
      <c r="E3324" s="23"/>
    </row>
    <row r="3325">
      <c r="B3325" s="23"/>
      <c r="C3325" s="23"/>
      <c r="D3325" s="23"/>
      <c r="E3325" s="23"/>
    </row>
    <row r="3326">
      <c r="B3326" s="23"/>
      <c r="C3326" s="23"/>
      <c r="D3326" s="23"/>
      <c r="E3326" s="23"/>
    </row>
    <row r="3327">
      <c r="B3327" s="23"/>
      <c r="C3327" s="23"/>
      <c r="D3327" s="23"/>
      <c r="E3327" s="23"/>
    </row>
    <row r="3328">
      <c r="B3328" s="23"/>
      <c r="C3328" s="23"/>
      <c r="D3328" s="23"/>
      <c r="E3328" s="23"/>
    </row>
    <row r="3329">
      <c r="B3329" s="23"/>
      <c r="C3329" s="23"/>
      <c r="D3329" s="23"/>
      <c r="E3329" s="23"/>
    </row>
    <row r="3330">
      <c r="B3330" s="23"/>
      <c r="C3330" s="23"/>
      <c r="D3330" s="23"/>
      <c r="E3330" s="23"/>
    </row>
    <row r="3331">
      <c r="B3331" s="23"/>
      <c r="C3331" s="23"/>
      <c r="D3331" s="23"/>
      <c r="E3331" s="23"/>
    </row>
    <row r="3332">
      <c r="B3332" s="23"/>
      <c r="C3332" s="23"/>
      <c r="D3332" s="23"/>
      <c r="E3332" s="23"/>
    </row>
    <row r="3333">
      <c r="B3333" s="23"/>
      <c r="C3333" s="23"/>
      <c r="D3333" s="23"/>
      <c r="E3333" s="23"/>
    </row>
    <row r="3334">
      <c r="B3334" s="23"/>
      <c r="C3334" s="23"/>
      <c r="D3334" s="23"/>
      <c r="E3334" s="23"/>
    </row>
    <row r="3335">
      <c r="B3335" s="23"/>
      <c r="C3335" s="23"/>
      <c r="D3335" s="23"/>
      <c r="E3335" s="23"/>
    </row>
    <row r="3336">
      <c r="B3336" s="23"/>
      <c r="C3336" s="23"/>
      <c r="D3336" s="23"/>
      <c r="E3336" s="23"/>
    </row>
    <row r="3337">
      <c r="B3337" s="23"/>
      <c r="C3337" s="23"/>
      <c r="D3337" s="23"/>
      <c r="E3337" s="23"/>
    </row>
    <row r="3338">
      <c r="B3338" s="23"/>
      <c r="C3338" s="23"/>
      <c r="D3338" s="23"/>
      <c r="E3338" s="23"/>
    </row>
    <row r="3339">
      <c r="B3339" s="23"/>
      <c r="C3339" s="23"/>
      <c r="D3339" s="23"/>
      <c r="E3339" s="23"/>
    </row>
    <row r="3340">
      <c r="B3340" s="23"/>
      <c r="C3340" s="23"/>
      <c r="D3340" s="23"/>
      <c r="E3340" s="23"/>
    </row>
    <row r="3341">
      <c r="B3341" s="23"/>
      <c r="C3341" s="23"/>
      <c r="D3341" s="23"/>
      <c r="E3341" s="23"/>
    </row>
    <row r="3342">
      <c r="B3342" s="23"/>
      <c r="C3342" s="23"/>
      <c r="D3342" s="23"/>
      <c r="E3342" s="23"/>
    </row>
    <row r="3343">
      <c r="B3343" s="23"/>
      <c r="C3343" s="23"/>
      <c r="D3343" s="23"/>
      <c r="E3343" s="23"/>
    </row>
    <row r="3344">
      <c r="B3344" s="23"/>
      <c r="C3344" s="23"/>
      <c r="D3344" s="23"/>
      <c r="E3344" s="23"/>
    </row>
    <row r="3345">
      <c r="B3345" s="23"/>
      <c r="C3345" s="23"/>
      <c r="D3345" s="23"/>
      <c r="E3345" s="23"/>
    </row>
    <row r="3346">
      <c r="B3346" s="23"/>
      <c r="C3346" s="23"/>
      <c r="D3346" s="23"/>
      <c r="E3346" s="23"/>
    </row>
    <row r="3347">
      <c r="B3347" s="23"/>
      <c r="C3347" s="23"/>
      <c r="D3347" s="23"/>
      <c r="E3347" s="23"/>
    </row>
    <row r="3348">
      <c r="B3348" s="23"/>
      <c r="C3348" s="23"/>
      <c r="D3348" s="23"/>
      <c r="E3348" s="23"/>
    </row>
    <row r="3349">
      <c r="B3349" s="23"/>
      <c r="C3349" s="23"/>
      <c r="D3349" s="23"/>
      <c r="E3349" s="23"/>
    </row>
    <row r="3350">
      <c r="B3350" s="23"/>
      <c r="C3350" s="23"/>
      <c r="D3350" s="23"/>
      <c r="E3350" s="23"/>
    </row>
    <row r="3351">
      <c r="B3351" s="23"/>
      <c r="C3351" s="23"/>
      <c r="D3351" s="23"/>
      <c r="E3351" s="23"/>
    </row>
    <row r="3352">
      <c r="B3352" s="23"/>
      <c r="C3352" s="23"/>
      <c r="D3352" s="23"/>
      <c r="E3352" s="23"/>
    </row>
    <row r="3353">
      <c r="B3353" s="23"/>
      <c r="C3353" s="23"/>
      <c r="D3353" s="23"/>
      <c r="E3353" s="23"/>
    </row>
    <row r="3354">
      <c r="B3354" s="23"/>
      <c r="C3354" s="23"/>
      <c r="D3354" s="23"/>
      <c r="E3354" s="23"/>
    </row>
    <row r="3355">
      <c r="B3355" s="23"/>
      <c r="C3355" s="23"/>
      <c r="D3355" s="23"/>
      <c r="E3355" s="23"/>
    </row>
    <row r="3356">
      <c r="B3356" s="23"/>
      <c r="C3356" s="23"/>
      <c r="D3356" s="23"/>
      <c r="E3356" s="23"/>
    </row>
    <row r="3357">
      <c r="B3357" s="23"/>
      <c r="C3357" s="23"/>
      <c r="D3357" s="23"/>
      <c r="E3357" s="23"/>
    </row>
    <row r="3358">
      <c r="B3358" s="23"/>
      <c r="C3358" s="23"/>
      <c r="D3358" s="23"/>
      <c r="E3358" s="23"/>
    </row>
    <row r="3359">
      <c r="B3359" s="23"/>
      <c r="C3359" s="23"/>
      <c r="D3359" s="23"/>
      <c r="E3359" s="23"/>
    </row>
    <row r="3360">
      <c r="B3360" s="23"/>
      <c r="C3360" s="23"/>
      <c r="D3360" s="23"/>
      <c r="E3360" s="23"/>
    </row>
    <row r="3361">
      <c r="B3361" s="23"/>
      <c r="C3361" s="23"/>
      <c r="D3361" s="23"/>
      <c r="E3361" s="23"/>
    </row>
    <row r="3362">
      <c r="B3362" s="23"/>
      <c r="C3362" s="23"/>
      <c r="D3362" s="23"/>
      <c r="E3362" s="23"/>
    </row>
    <row r="3363">
      <c r="B3363" s="23"/>
      <c r="C3363" s="23"/>
      <c r="D3363" s="23"/>
      <c r="E3363" s="23"/>
    </row>
    <row r="3364">
      <c r="B3364" s="23"/>
      <c r="C3364" s="23"/>
      <c r="D3364" s="23"/>
      <c r="E3364" s="23"/>
    </row>
    <row r="3365">
      <c r="B3365" s="23"/>
      <c r="C3365" s="23"/>
      <c r="D3365" s="23"/>
      <c r="E3365" s="23"/>
    </row>
    <row r="3366">
      <c r="B3366" s="23"/>
      <c r="C3366" s="23"/>
      <c r="D3366" s="23"/>
      <c r="E3366" s="23"/>
    </row>
    <row r="3367">
      <c r="B3367" s="23"/>
      <c r="C3367" s="23"/>
      <c r="D3367" s="23"/>
      <c r="E3367" s="23"/>
    </row>
    <row r="3368">
      <c r="B3368" s="23"/>
      <c r="C3368" s="23"/>
      <c r="D3368" s="23"/>
      <c r="E3368" s="23"/>
    </row>
    <row r="3369">
      <c r="B3369" s="23"/>
      <c r="C3369" s="23"/>
      <c r="D3369" s="23"/>
      <c r="E3369" s="23"/>
    </row>
    <row r="3370">
      <c r="B3370" s="23"/>
      <c r="C3370" s="23"/>
      <c r="D3370" s="23"/>
      <c r="E3370" s="23"/>
    </row>
    <row r="3371">
      <c r="B3371" s="23"/>
      <c r="C3371" s="23"/>
      <c r="D3371" s="23"/>
      <c r="E3371" s="23"/>
    </row>
    <row r="3372">
      <c r="B3372" s="23"/>
      <c r="C3372" s="23"/>
      <c r="D3372" s="23"/>
      <c r="E3372" s="23"/>
    </row>
    <row r="3373">
      <c r="B3373" s="23"/>
      <c r="C3373" s="23"/>
      <c r="D3373" s="23"/>
      <c r="E3373" s="23"/>
    </row>
    <row r="3374">
      <c r="B3374" s="23"/>
      <c r="C3374" s="23"/>
      <c r="D3374" s="23"/>
      <c r="E3374" s="23"/>
    </row>
    <row r="3375">
      <c r="B3375" s="23"/>
      <c r="C3375" s="23"/>
      <c r="D3375" s="23"/>
      <c r="E3375" s="23"/>
    </row>
    <row r="3376">
      <c r="B3376" s="23"/>
      <c r="C3376" s="23"/>
      <c r="D3376" s="23"/>
      <c r="E3376" s="23"/>
    </row>
    <row r="3377">
      <c r="B3377" s="23"/>
      <c r="C3377" s="23"/>
      <c r="D3377" s="23"/>
      <c r="E3377" s="23"/>
    </row>
    <row r="3378">
      <c r="B3378" s="23"/>
      <c r="C3378" s="23"/>
      <c r="D3378" s="23"/>
      <c r="E3378" s="23"/>
    </row>
    <row r="3379">
      <c r="B3379" s="23"/>
      <c r="C3379" s="23"/>
      <c r="D3379" s="23"/>
      <c r="E3379" s="23"/>
    </row>
    <row r="3380">
      <c r="B3380" s="23"/>
      <c r="C3380" s="23"/>
      <c r="D3380" s="23"/>
      <c r="E3380" s="23"/>
    </row>
    <row r="3381">
      <c r="B3381" s="23"/>
      <c r="C3381" s="23"/>
      <c r="D3381" s="23"/>
      <c r="E3381" s="23"/>
    </row>
    <row r="3382">
      <c r="B3382" s="23"/>
      <c r="C3382" s="23"/>
      <c r="D3382" s="23"/>
      <c r="E3382" s="23"/>
    </row>
    <row r="3383">
      <c r="B3383" s="23"/>
      <c r="C3383" s="23"/>
      <c r="D3383" s="23"/>
      <c r="E3383" s="23"/>
    </row>
    <row r="3384">
      <c r="B3384" s="23"/>
      <c r="C3384" s="23"/>
      <c r="D3384" s="23"/>
      <c r="E3384" s="23"/>
    </row>
    <row r="3385">
      <c r="B3385" s="23"/>
      <c r="C3385" s="23"/>
      <c r="D3385" s="23"/>
      <c r="E3385" s="23"/>
    </row>
    <row r="3386">
      <c r="B3386" s="23"/>
      <c r="C3386" s="23"/>
      <c r="D3386" s="23"/>
      <c r="E3386" s="23"/>
    </row>
    <row r="3387">
      <c r="B3387" s="23"/>
      <c r="C3387" s="23"/>
      <c r="D3387" s="23"/>
      <c r="E3387" s="23"/>
    </row>
    <row r="3388">
      <c r="B3388" s="23"/>
      <c r="C3388" s="23"/>
      <c r="D3388" s="23"/>
      <c r="E3388" s="23"/>
    </row>
    <row r="3389">
      <c r="B3389" s="23"/>
      <c r="C3389" s="23"/>
      <c r="D3389" s="23"/>
      <c r="E3389" s="23"/>
    </row>
    <row r="3390">
      <c r="B3390" s="23"/>
      <c r="C3390" s="23"/>
      <c r="D3390" s="23"/>
      <c r="E3390" s="23"/>
    </row>
    <row r="3391">
      <c r="B3391" s="23"/>
      <c r="C3391" s="23"/>
      <c r="D3391" s="23"/>
      <c r="E3391" s="23"/>
    </row>
    <row r="3392">
      <c r="B3392" s="23"/>
      <c r="C3392" s="23"/>
      <c r="D3392" s="23"/>
      <c r="E3392" s="23"/>
    </row>
    <row r="3393">
      <c r="B3393" s="23"/>
      <c r="C3393" s="23"/>
      <c r="D3393" s="23"/>
      <c r="E3393" s="23"/>
    </row>
    <row r="3394">
      <c r="B3394" s="23"/>
      <c r="C3394" s="23"/>
      <c r="D3394" s="23"/>
      <c r="E3394" s="23"/>
    </row>
    <row r="3395">
      <c r="B3395" s="23"/>
      <c r="C3395" s="23"/>
      <c r="D3395" s="23"/>
      <c r="E3395" s="23"/>
    </row>
    <row r="3396">
      <c r="B3396" s="23"/>
      <c r="C3396" s="23"/>
      <c r="D3396" s="23"/>
      <c r="E3396" s="23"/>
    </row>
    <row r="3397">
      <c r="B3397" s="23"/>
      <c r="C3397" s="23"/>
      <c r="D3397" s="23"/>
      <c r="E3397" s="23"/>
    </row>
    <row r="3398">
      <c r="B3398" s="23"/>
      <c r="C3398" s="23"/>
      <c r="D3398" s="23"/>
      <c r="E3398" s="23"/>
    </row>
    <row r="3399">
      <c r="B3399" s="23"/>
      <c r="C3399" s="23"/>
      <c r="D3399" s="23"/>
      <c r="E3399" s="23"/>
    </row>
    <row r="3400">
      <c r="B3400" s="23"/>
      <c r="C3400" s="23"/>
      <c r="D3400" s="23"/>
      <c r="E3400" s="23"/>
    </row>
    <row r="3401">
      <c r="B3401" s="23"/>
      <c r="C3401" s="23"/>
      <c r="D3401" s="23"/>
      <c r="E3401" s="23"/>
    </row>
    <row r="3402">
      <c r="B3402" s="23"/>
      <c r="C3402" s="23"/>
      <c r="D3402" s="23"/>
      <c r="E3402" s="23"/>
    </row>
    <row r="3403">
      <c r="B3403" s="23"/>
      <c r="C3403" s="23"/>
      <c r="D3403" s="23"/>
      <c r="E3403" s="23"/>
    </row>
    <row r="3404">
      <c r="B3404" s="23"/>
      <c r="C3404" s="23"/>
      <c r="D3404" s="23"/>
      <c r="E3404" s="23"/>
    </row>
    <row r="3405">
      <c r="B3405" s="23"/>
      <c r="C3405" s="23"/>
      <c r="D3405" s="23"/>
      <c r="E3405" s="23"/>
    </row>
    <row r="3406">
      <c r="B3406" s="23"/>
      <c r="C3406" s="23"/>
      <c r="D3406" s="23"/>
      <c r="E3406" s="23"/>
    </row>
    <row r="3407">
      <c r="B3407" s="23"/>
      <c r="C3407" s="23"/>
      <c r="D3407" s="23"/>
      <c r="E3407" s="23"/>
    </row>
    <row r="3408">
      <c r="B3408" s="23"/>
      <c r="C3408" s="23"/>
      <c r="D3408" s="23"/>
      <c r="E3408" s="23"/>
    </row>
    <row r="3409">
      <c r="B3409" s="23"/>
      <c r="C3409" s="23"/>
      <c r="D3409" s="23"/>
      <c r="E3409" s="23"/>
    </row>
    <row r="3410">
      <c r="B3410" s="23"/>
      <c r="C3410" s="23"/>
      <c r="D3410" s="23"/>
      <c r="E3410" s="23"/>
    </row>
    <row r="3411">
      <c r="B3411" s="23"/>
      <c r="C3411" s="23"/>
      <c r="D3411" s="23"/>
      <c r="E3411" s="23"/>
    </row>
    <row r="3412">
      <c r="B3412" s="23"/>
      <c r="C3412" s="23"/>
      <c r="D3412" s="23"/>
      <c r="E3412" s="23"/>
    </row>
    <row r="3413">
      <c r="B3413" s="23"/>
      <c r="C3413" s="23"/>
      <c r="D3413" s="23"/>
      <c r="E3413" s="23"/>
    </row>
    <row r="3414">
      <c r="B3414" s="23"/>
      <c r="C3414" s="23"/>
      <c r="D3414" s="23"/>
      <c r="E3414" s="23"/>
    </row>
    <row r="3415">
      <c r="B3415" s="23"/>
      <c r="C3415" s="23"/>
      <c r="D3415" s="23"/>
      <c r="E3415" s="23"/>
    </row>
    <row r="3416">
      <c r="B3416" s="23"/>
      <c r="C3416" s="23"/>
      <c r="D3416" s="23"/>
      <c r="E3416" s="23"/>
    </row>
    <row r="3417">
      <c r="B3417" s="23"/>
      <c r="C3417" s="23"/>
      <c r="D3417" s="23"/>
      <c r="E3417" s="23"/>
    </row>
    <row r="3418">
      <c r="B3418" s="23"/>
      <c r="C3418" s="23"/>
      <c r="D3418" s="23"/>
      <c r="E3418" s="23"/>
    </row>
    <row r="3419">
      <c r="B3419" s="23"/>
      <c r="C3419" s="23"/>
      <c r="D3419" s="23"/>
      <c r="E3419" s="23"/>
    </row>
    <row r="3420">
      <c r="B3420" s="23"/>
      <c r="C3420" s="23"/>
      <c r="D3420" s="23"/>
      <c r="E3420" s="23"/>
    </row>
    <row r="3421">
      <c r="B3421" s="23"/>
      <c r="C3421" s="23"/>
      <c r="D3421" s="23"/>
      <c r="E3421" s="23"/>
    </row>
    <row r="3422">
      <c r="B3422" s="23"/>
      <c r="C3422" s="23"/>
      <c r="D3422" s="23"/>
      <c r="E3422" s="23"/>
    </row>
    <row r="3423">
      <c r="B3423" s="23"/>
      <c r="C3423" s="23"/>
      <c r="D3423" s="23"/>
      <c r="E3423" s="23"/>
    </row>
    <row r="3424">
      <c r="B3424" s="23"/>
      <c r="C3424" s="23"/>
      <c r="D3424" s="23"/>
      <c r="E3424" s="23"/>
    </row>
    <row r="3425">
      <c r="B3425" s="23"/>
      <c r="C3425" s="23"/>
      <c r="D3425" s="23"/>
      <c r="E3425" s="23"/>
    </row>
    <row r="3426">
      <c r="B3426" s="23"/>
      <c r="C3426" s="23"/>
      <c r="D3426" s="23"/>
      <c r="E3426" s="23"/>
    </row>
    <row r="3427">
      <c r="B3427" s="23"/>
      <c r="C3427" s="23"/>
      <c r="D3427" s="23"/>
      <c r="E3427" s="23"/>
    </row>
    <row r="3428">
      <c r="B3428" s="23"/>
      <c r="C3428" s="23"/>
      <c r="D3428" s="23"/>
      <c r="E3428" s="23"/>
    </row>
    <row r="3429">
      <c r="B3429" s="23"/>
      <c r="C3429" s="23"/>
      <c r="D3429" s="23"/>
      <c r="E3429" s="23"/>
    </row>
    <row r="3430">
      <c r="B3430" s="23"/>
      <c r="C3430" s="23"/>
      <c r="D3430" s="23"/>
      <c r="E3430" s="23"/>
    </row>
    <row r="3431">
      <c r="B3431" s="23"/>
      <c r="C3431" s="23"/>
      <c r="D3431" s="23"/>
      <c r="E3431" s="23"/>
    </row>
    <row r="3432">
      <c r="B3432" s="23"/>
      <c r="C3432" s="23"/>
      <c r="D3432" s="23"/>
      <c r="E3432" s="23"/>
    </row>
    <row r="3433">
      <c r="B3433" s="23"/>
      <c r="C3433" s="23"/>
      <c r="D3433" s="23"/>
      <c r="E3433" s="23"/>
    </row>
    <row r="3434">
      <c r="B3434" s="23"/>
      <c r="C3434" s="23"/>
      <c r="D3434" s="23"/>
      <c r="E3434" s="23"/>
    </row>
    <row r="3435">
      <c r="B3435" s="23"/>
      <c r="C3435" s="23"/>
      <c r="D3435" s="23"/>
      <c r="E3435" s="23"/>
    </row>
    <row r="3436">
      <c r="B3436" s="23"/>
      <c r="C3436" s="23"/>
      <c r="D3436" s="23"/>
      <c r="E3436" s="23"/>
    </row>
    <row r="3437">
      <c r="B3437" s="23"/>
      <c r="C3437" s="23"/>
      <c r="D3437" s="23"/>
      <c r="E3437" s="23"/>
    </row>
    <row r="3438">
      <c r="B3438" s="23"/>
      <c r="C3438" s="23"/>
      <c r="D3438" s="23"/>
      <c r="E3438" s="23"/>
    </row>
    <row r="3439">
      <c r="B3439" s="23"/>
      <c r="C3439" s="23"/>
      <c r="D3439" s="23"/>
      <c r="E3439" s="23"/>
    </row>
    <row r="3440">
      <c r="B3440" s="23"/>
      <c r="C3440" s="23"/>
      <c r="D3440" s="23"/>
      <c r="E3440" s="23"/>
    </row>
    <row r="3441">
      <c r="B3441" s="23"/>
      <c r="C3441" s="23"/>
      <c r="D3441" s="23"/>
      <c r="E3441" s="23"/>
    </row>
    <row r="3442">
      <c r="B3442" s="23"/>
      <c r="C3442" s="23"/>
      <c r="D3442" s="23"/>
      <c r="E3442" s="23"/>
    </row>
    <row r="3443">
      <c r="B3443" s="23"/>
      <c r="C3443" s="23"/>
      <c r="D3443" s="23"/>
      <c r="E3443" s="23"/>
    </row>
    <row r="3444">
      <c r="B3444" s="23"/>
      <c r="C3444" s="23"/>
      <c r="D3444" s="23"/>
      <c r="E3444" s="23"/>
    </row>
    <row r="3445">
      <c r="B3445" s="23"/>
      <c r="C3445" s="23"/>
      <c r="D3445" s="23"/>
      <c r="E3445" s="23"/>
    </row>
    <row r="3446">
      <c r="B3446" s="23"/>
      <c r="C3446" s="23"/>
      <c r="D3446" s="23"/>
      <c r="E3446" s="23"/>
    </row>
    <row r="3447">
      <c r="B3447" s="23"/>
      <c r="C3447" s="23"/>
      <c r="D3447" s="23"/>
      <c r="E3447" s="23"/>
    </row>
    <row r="3448">
      <c r="B3448" s="23"/>
      <c r="C3448" s="23"/>
      <c r="D3448" s="23"/>
      <c r="E3448" s="23"/>
    </row>
    <row r="3449">
      <c r="B3449" s="23"/>
      <c r="C3449" s="23"/>
      <c r="D3449" s="23"/>
      <c r="E3449" s="23"/>
    </row>
    <row r="3450">
      <c r="B3450" s="23"/>
      <c r="C3450" s="23"/>
      <c r="D3450" s="23"/>
      <c r="E3450" s="23"/>
    </row>
    <row r="3451">
      <c r="B3451" s="23"/>
      <c r="C3451" s="23"/>
      <c r="D3451" s="23"/>
      <c r="E3451" s="23"/>
    </row>
    <row r="3452">
      <c r="B3452" s="23"/>
      <c r="C3452" s="23"/>
      <c r="D3452" s="23"/>
      <c r="E3452" s="23"/>
    </row>
    <row r="3453">
      <c r="B3453" s="23"/>
      <c r="C3453" s="23"/>
      <c r="D3453" s="23"/>
      <c r="E3453" s="23"/>
    </row>
    <row r="3454">
      <c r="B3454" s="23"/>
      <c r="C3454" s="23"/>
      <c r="D3454" s="23"/>
      <c r="E3454" s="23"/>
    </row>
    <row r="3455">
      <c r="B3455" s="23"/>
      <c r="C3455" s="23"/>
      <c r="D3455" s="23"/>
      <c r="E3455" s="23"/>
    </row>
    <row r="3456">
      <c r="B3456" s="23"/>
      <c r="C3456" s="23"/>
      <c r="D3456" s="23"/>
      <c r="E3456" s="23"/>
    </row>
    <row r="3457">
      <c r="B3457" s="23"/>
      <c r="C3457" s="23"/>
      <c r="D3457" s="23"/>
      <c r="E3457" s="23"/>
    </row>
    <row r="3458">
      <c r="B3458" s="23"/>
      <c r="C3458" s="23"/>
      <c r="D3458" s="23"/>
      <c r="E3458" s="23"/>
    </row>
    <row r="3459">
      <c r="B3459" s="23"/>
      <c r="C3459" s="23"/>
      <c r="D3459" s="23"/>
      <c r="E3459" s="23"/>
    </row>
    <row r="3460">
      <c r="B3460" s="23"/>
      <c r="C3460" s="23"/>
      <c r="D3460" s="23"/>
      <c r="E3460" s="23"/>
    </row>
    <row r="3461">
      <c r="B3461" s="23"/>
      <c r="C3461" s="23"/>
      <c r="D3461" s="23"/>
      <c r="E3461" s="23"/>
    </row>
    <row r="3462">
      <c r="B3462" s="23"/>
      <c r="C3462" s="23"/>
      <c r="D3462" s="23"/>
      <c r="E3462" s="23"/>
    </row>
    <row r="3463">
      <c r="B3463" s="23"/>
      <c r="C3463" s="23"/>
      <c r="D3463" s="23"/>
      <c r="E3463" s="23"/>
    </row>
    <row r="3464">
      <c r="B3464" s="23"/>
      <c r="C3464" s="23"/>
      <c r="D3464" s="23"/>
      <c r="E3464" s="23"/>
    </row>
    <row r="3465">
      <c r="B3465" s="23"/>
      <c r="C3465" s="23"/>
      <c r="D3465" s="23"/>
      <c r="E3465" s="23"/>
    </row>
    <row r="3466">
      <c r="B3466" s="23"/>
      <c r="C3466" s="23"/>
      <c r="D3466" s="23"/>
      <c r="E3466" s="23"/>
    </row>
    <row r="3467">
      <c r="B3467" s="23"/>
      <c r="C3467" s="23"/>
      <c r="D3467" s="23"/>
      <c r="E3467" s="23"/>
    </row>
    <row r="3468">
      <c r="B3468" s="23"/>
      <c r="C3468" s="23"/>
      <c r="D3468" s="23"/>
      <c r="E3468" s="23"/>
    </row>
    <row r="3469">
      <c r="B3469" s="23"/>
      <c r="C3469" s="23"/>
      <c r="D3469" s="23"/>
      <c r="E3469" s="23"/>
    </row>
    <row r="3470">
      <c r="B3470" s="23"/>
      <c r="C3470" s="23"/>
      <c r="D3470" s="23"/>
      <c r="E3470" s="23"/>
    </row>
    <row r="3471">
      <c r="B3471" s="23"/>
      <c r="C3471" s="23"/>
      <c r="D3471" s="23"/>
      <c r="E3471" s="23"/>
    </row>
    <row r="3472">
      <c r="B3472" s="23"/>
      <c r="C3472" s="23"/>
      <c r="D3472" s="23"/>
      <c r="E3472" s="23"/>
    </row>
    <row r="3473">
      <c r="B3473" s="23"/>
      <c r="C3473" s="23"/>
      <c r="D3473" s="23"/>
      <c r="E3473" s="23"/>
    </row>
    <row r="3474">
      <c r="B3474" s="23"/>
      <c r="C3474" s="23"/>
      <c r="D3474" s="23"/>
      <c r="E3474" s="23"/>
    </row>
    <row r="3475">
      <c r="B3475" s="23"/>
      <c r="C3475" s="23"/>
      <c r="D3475" s="23"/>
      <c r="E3475" s="23"/>
    </row>
    <row r="3476">
      <c r="B3476" s="23"/>
      <c r="C3476" s="23"/>
      <c r="D3476" s="23"/>
      <c r="E3476" s="23"/>
    </row>
    <row r="3477">
      <c r="B3477" s="23"/>
      <c r="C3477" s="23"/>
      <c r="D3477" s="23"/>
      <c r="E3477" s="23"/>
    </row>
    <row r="3478">
      <c r="B3478" s="23"/>
      <c r="C3478" s="23"/>
      <c r="D3478" s="23"/>
      <c r="E3478" s="23"/>
    </row>
    <row r="3479">
      <c r="B3479" s="23"/>
      <c r="C3479" s="23"/>
      <c r="D3479" s="23"/>
      <c r="E3479" s="23"/>
    </row>
    <row r="3480">
      <c r="B3480" s="23"/>
      <c r="C3480" s="23"/>
      <c r="D3480" s="23"/>
      <c r="E3480" s="23"/>
    </row>
    <row r="3481">
      <c r="B3481" s="23"/>
      <c r="C3481" s="23"/>
      <c r="D3481" s="23"/>
      <c r="E3481" s="23"/>
    </row>
    <row r="3482">
      <c r="B3482" s="23"/>
      <c r="C3482" s="23"/>
      <c r="D3482" s="23"/>
      <c r="E3482" s="23"/>
    </row>
    <row r="3483">
      <c r="B3483" s="23"/>
      <c r="C3483" s="23"/>
      <c r="D3483" s="23"/>
      <c r="E3483" s="23"/>
    </row>
    <row r="3484">
      <c r="B3484" s="23"/>
      <c r="C3484" s="23"/>
      <c r="D3484" s="23"/>
      <c r="E3484" s="23"/>
    </row>
    <row r="3485">
      <c r="B3485" s="23"/>
      <c r="C3485" s="23"/>
      <c r="D3485" s="23"/>
      <c r="E3485" s="23"/>
    </row>
    <row r="3486">
      <c r="B3486" s="23"/>
      <c r="C3486" s="23"/>
      <c r="D3486" s="23"/>
      <c r="E3486" s="23"/>
    </row>
    <row r="3487">
      <c r="B3487" s="23"/>
      <c r="C3487" s="23"/>
      <c r="D3487" s="23"/>
      <c r="E3487" s="23"/>
    </row>
    <row r="3488">
      <c r="B3488" s="23"/>
      <c r="C3488" s="23"/>
      <c r="D3488" s="23"/>
      <c r="E3488" s="23"/>
    </row>
    <row r="3489">
      <c r="B3489" s="23"/>
      <c r="C3489" s="23"/>
      <c r="D3489" s="23"/>
      <c r="E3489" s="23"/>
    </row>
    <row r="3490">
      <c r="B3490" s="23"/>
      <c r="C3490" s="23"/>
      <c r="D3490" s="23"/>
      <c r="E3490" s="23"/>
    </row>
    <row r="3491">
      <c r="B3491" s="23"/>
      <c r="C3491" s="23"/>
      <c r="D3491" s="23"/>
      <c r="E3491" s="23"/>
    </row>
    <row r="3492">
      <c r="B3492" s="23"/>
      <c r="C3492" s="23"/>
      <c r="D3492" s="23"/>
      <c r="E3492" s="23"/>
    </row>
    <row r="3493">
      <c r="B3493" s="23"/>
      <c r="C3493" s="23"/>
      <c r="D3493" s="23"/>
      <c r="E3493" s="23"/>
    </row>
    <row r="3494">
      <c r="B3494" s="23"/>
      <c r="C3494" s="23"/>
      <c r="D3494" s="23"/>
      <c r="E3494" s="23"/>
    </row>
    <row r="3495">
      <c r="B3495" s="23"/>
      <c r="C3495" s="23"/>
      <c r="D3495" s="23"/>
      <c r="E3495" s="23"/>
    </row>
    <row r="3496">
      <c r="B3496" s="23"/>
      <c r="C3496" s="23"/>
      <c r="D3496" s="23"/>
      <c r="E3496" s="23"/>
    </row>
    <row r="3497">
      <c r="B3497" s="23"/>
      <c r="C3497" s="23"/>
      <c r="D3497" s="23"/>
      <c r="E3497" s="23"/>
    </row>
    <row r="3498">
      <c r="B3498" s="23"/>
      <c r="C3498" s="23"/>
      <c r="D3498" s="23"/>
      <c r="E3498" s="23"/>
    </row>
    <row r="3499">
      <c r="B3499" s="23"/>
      <c r="C3499" s="23"/>
      <c r="D3499" s="23"/>
      <c r="E3499" s="23"/>
    </row>
    <row r="3500">
      <c r="B3500" s="23"/>
      <c r="C3500" s="23"/>
      <c r="D3500" s="23"/>
      <c r="E3500" s="23"/>
    </row>
    <row r="3501">
      <c r="B3501" s="23"/>
      <c r="C3501" s="23"/>
      <c r="D3501" s="23"/>
      <c r="E3501" s="23"/>
    </row>
    <row r="3502">
      <c r="B3502" s="23"/>
      <c r="C3502" s="23"/>
      <c r="D3502" s="23"/>
      <c r="E3502" s="23"/>
    </row>
    <row r="3503">
      <c r="B3503" s="23"/>
      <c r="C3503" s="23"/>
      <c r="D3503" s="23"/>
      <c r="E3503" s="23"/>
    </row>
    <row r="3504">
      <c r="B3504" s="23"/>
      <c r="C3504" s="23"/>
      <c r="D3504" s="23"/>
      <c r="E3504" s="23"/>
    </row>
    <row r="3505">
      <c r="B3505" s="23"/>
      <c r="C3505" s="23"/>
      <c r="D3505" s="23"/>
      <c r="E3505" s="23"/>
    </row>
    <row r="3506">
      <c r="B3506" s="23"/>
      <c r="C3506" s="23"/>
      <c r="D3506" s="23"/>
      <c r="E3506" s="23"/>
    </row>
    <row r="3507">
      <c r="B3507" s="23"/>
      <c r="C3507" s="23"/>
      <c r="D3507" s="23"/>
      <c r="E3507" s="23"/>
    </row>
    <row r="3508">
      <c r="B3508" s="23"/>
      <c r="C3508" s="23"/>
      <c r="D3508" s="23"/>
      <c r="E3508" s="23"/>
    </row>
    <row r="3509">
      <c r="B3509" s="23"/>
      <c r="C3509" s="23"/>
      <c r="D3509" s="23"/>
      <c r="E3509" s="23"/>
    </row>
    <row r="3510">
      <c r="B3510" s="23"/>
      <c r="C3510" s="23"/>
      <c r="D3510" s="23"/>
      <c r="E3510" s="23"/>
    </row>
    <row r="3511">
      <c r="B3511" s="23"/>
      <c r="C3511" s="23"/>
      <c r="D3511" s="23"/>
      <c r="E3511" s="23"/>
    </row>
    <row r="3512">
      <c r="B3512" s="23"/>
      <c r="C3512" s="23"/>
      <c r="D3512" s="23"/>
      <c r="E3512" s="23"/>
    </row>
    <row r="3513">
      <c r="B3513" s="23"/>
      <c r="C3513" s="23"/>
      <c r="D3513" s="23"/>
      <c r="E3513" s="23"/>
    </row>
    <row r="3514">
      <c r="B3514" s="23"/>
      <c r="C3514" s="23"/>
      <c r="D3514" s="23"/>
      <c r="E3514" s="23"/>
    </row>
    <row r="3515">
      <c r="B3515" s="23"/>
      <c r="C3515" s="23"/>
      <c r="D3515" s="23"/>
      <c r="E3515" s="23"/>
    </row>
    <row r="3516">
      <c r="B3516" s="23"/>
      <c r="C3516" s="23"/>
      <c r="D3516" s="23"/>
      <c r="E3516" s="23"/>
    </row>
    <row r="3517">
      <c r="B3517" s="23"/>
      <c r="C3517" s="23"/>
      <c r="D3517" s="23"/>
      <c r="E3517" s="23"/>
    </row>
    <row r="3518">
      <c r="B3518" s="23"/>
      <c r="C3518" s="23"/>
      <c r="D3518" s="23"/>
      <c r="E3518" s="23"/>
    </row>
    <row r="3519">
      <c r="B3519" s="23"/>
      <c r="C3519" s="23"/>
      <c r="D3519" s="23"/>
      <c r="E3519" s="23"/>
    </row>
    <row r="3520">
      <c r="B3520" s="23"/>
      <c r="C3520" s="23"/>
      <c r="D3520" s="23"/>
      <c r="E3520" s="23"/>
    </row>
    <row r="3521">
      <c r="B3521" s="23"/>
      <c r="C3521" s="23"/>
      <c r="D3521" s="23"/>
      <c r="E3521" s="23"/>
    </row>
    <row r="3522">
      <c r="B3522" s="23"/>
      <c r="C3522" s="23"/>
      <c r="D3522" s="23"/>
      <c r="E3522" s="23"/>
    </row>
    <row r="3523">
      <c r="B3523" s="23"/>
      <c r="C3523" s="23"/>
      <c r="D3523" s="23"/>
      <c r="E3523" s="23"/>
    </row>
    <row r="3524">
      <c r="B3524" s="23"/>
      <c r="C3524" s="23"/>
      <c r="D3524" s="23"/>
      <c r="E3524" s="23"/>
    </row>
    <row r="3525">
      <c r="B3525" s="23"/>
      <c r="C3525" s="23"/>
      <c r="D3525" s="23"/>
      <c r="E3525" s="23"/>
    </row>
    <row r="3526">
      <c r="B3526" s="23"/>
      <c r="C3526" s="23"/>
      <c r="D3526" s="23"/>
      <c r="E3526" s="23"/>
    </row>
    <row r="3527">
      <c r="B3527" s="23"/>
      <c r="C3527" s="23"/>
      <c r="D3527" s="23"/>
      <c r="E3527" s="23"/>
    </row>
    <row r="3528">
      <c r="B3528" s="23"/>
      <c r="C3528" s="23"/>
      <c r="D3528" s="23"/>
      <c r="E3528" s="23"/>
    </row>
    <row r="3529">
      <c r="B3529" s="23"/>
      <c r="C3529" s="23"/>
      <c r="D3529" s="23"/>
      <c r="E3529" s="23"/>
    </row>
    <row r="3530">
      <c r="B3530" s="23"/>
      <c r="C3530" s="23"/>
      <c r="D3530" s="23"/>
      <c r="E3530" s="23"/>
    </row>
    <row r="3531">
      <c r="B3531" s="23"/>
      <c r="C3531" s="23"/>
      <c r="D3531" s="23"/>
      <c r="E3531" s="23"/>
    </row>
    <row r="3532">
      <c r="B3532" s="23"/>
      <c r="C3532" s="23"/>
      <c r="D3532" s="23"/>
      <c r="E3532" s="23"/>
    </row>
    <row r="3533">
      <c r="B3533" s="23"/>
      <c r="C3533" s="23"/>
      <c r="D3533" s="23"/>
      <c r="E3533" s="23"/>
    </row>
    <row r="3534">
      <c r="B3534" s="23"/>
      <c r="C3534" s="23"/>
      <c r="D3534" s="23"/>
      <c r="E3534" s="23"/>
    </row>
    <row r="3535">
      <c r="B3535" s="23"/>
      <c r="C3535" s="23"/>
      <c r="D3535" s="23"/>
      <c r="E3535" s="23"/>
    </row>
    <row r="3536">
      <c r="B3536" s="23"/>
      <c r="C3536" s="23"/>
      <c r="D3536" s="23"/>
      <c r="E3536" s="23"/>
    </row>
    <row r="3537">
      <c r="B3537" s="23"/>
      <c r="C3537" s="23"/>
      <c r="D3537" s="23"/>
      <c r="E3537" s="23"/>
    </row>
    <row r="3538">
      <c r="B3538" s="23"/>
      <c r="C3538" s="23"/>
      <c r="D3538" s="23"/>
      <c r="E3538" s="23"/>
    </row>
    <row r="3539">
      <c r="B3539" s="23"/>
      <c r="C3539" s="23"/>
      <c r="D3539" s="23"/>
      <c r="E3539" s="23"/>
    </row>
    <row r="3540">
      <c r="B3540" s="23"/>
      <c r="C3540" s="23"/>
      <c r="D3540" s="23"/>
      <c r="E3540" s="23"/>
    </row>
    <row r="3541">
      <c r="B3541" s="23"/>
      <c r="C3541" s="23"/>
      <c r="D3541" s="23"/>
      <c r="E3541" s="23"/>
    </row>
    <row r="3542">
      <c r="B3542" s="23"/>
      <c r="C3542" s="23"/>
      <c r="D3542" s="23"/>
      <c r="E3542" s="23"/>
    </row>
    <row r="3543">
      <c r="B3543" s="23"/>
      <c r="C3543" s="23"/>
      <c r="D3543" s="23"/>
      <c r="E3543" s="23"/>
    </row>
    <row r="3544">
      <c r="B3544" s="23"/>
      <c r="C3544" s="23"/>
      <c r="D3544" s="23"/>
      <c r="E3544" s="23"/>
    </row>
    <row r="3545">
      <c r="B3545" s="23"/>
      <c r="C3545" s="23"/>
      <c r="D3545" s="23"/>
      <c r="E3545" s="23"/>
    </row>
    <row r="3546">
      <c r="B3546" s="23"/>
      <c r="C3546" s="23"/>
      <c r="D3546" s="23"/>
      <c r="E3546" s="23"/>
    </row>
    <row r="3547">
      <c r="B3547" s="23"/>
      <c r="C3547" s="23"/>
      <c r="D3547" s="23"/>
      <c r="E3547" s="23"/>
    </row>
    <row r="3548">
      <c r="B3548" s="23"/>
      <c r="C3548" s="23"/>
      <c r="D3548" s="23"/>
      <c r="E3548" s="23"/>
    </row>
    <row r="3549">
      <c r="B3549" s="23"/>
      <c r="C3549" s="23"/>
      <c r="D3549" s="23"/>
      <c r="E3549" s="23"/>
    </row>
    <row r="3550">
      <c r="B3550" s="23"/>
      <c r="C3550" s="23"/>
      <c r="D3550" s="23"/>
      <c r="E3550" s="23"/>
    </row>
    <row r="3551">
      <c r="B3551" s="23"/>
      <c r="C3551" s="23"/>
      <c r="D3551" s="23"/>
      <c r="E3551" s="23"/>
    </row>
    <row r="3552">
      <c r="B3552" s="23"/>
      <c r="C3552" s="23"/>
      <c r="D3552" s="23"/>
      <c r="E3552" s="23"/>
    </row>
    <row r="3553">
      <c r="B3553" s="23"/>
      <c r="C3553" s="23"/>
      <c r="D3553" s="23"/>
      <c r="E3553" s="23"/>
    </row>
    <row r="3554">
      <c r="B3554" s="23"/>
      <c r="C3554" s="23"/>
      <c r="D3554" s="23"/>
      <c r="E3554" s="23"/>
    </row>
    <row r="3555">
      <c r="B3555" s="23"/>
      <c r="C3555" s="23"/>
      <c r="D3555" s="23"/>
      <c r="E3555" s="23"/>
    </row>
    <row r="3556">
      <c r="B3556" s="23"/>
      <c r="C3556" s="23"/>
      <c r="D3556" s="23"/>
      <c r="E3556" s="23"/>
    </row>
    <row r="3557">
      <c r="B3557" s="23"/>
      <c r="C3557" s="23"/>
      <c r="D3557" s="23"/>
      <c r="E3557" s="23"/>
    </row>
    <row r="3558">
      <c r="B3558" s="23"/>
      <c r="C3558" s="23"/>
      <c r="D3558" s="23"/>
      <c r="E3558" s="23"/>
    </row>
    <row r="3559">
      <c r="B3559" s="23"/>
      <c r="C3559" s="23"/>
      <c r="D3559" s="23"/>
      <c r="E3559" s="23"/>
    </row>
    <row r="3560">
      <c r="B3560" s="23"/>
      <c r="C3560" s="23"/>
      <c r="D3560" s="23"/>
      <c r="E3560" s="23"/>
    </row>
    <row r="3561">
      <c r="B3561" s="23"/>
      <c r="C3561" s="23"/>
      <c r="D3561" s="23"/>
      <c r="E3561" s="23"/>
    </row>
    <row r="3562">
      <c r="B3562" s="23"/>
      <c r="C3562" s="23"/>
      <c r="D3562" s="23"/>
      <c r="E3562" s="23"/>
    </row>
    <row r="3563">
      <c r="B3563" s="23"/>
      <c r="C3563" s="23"/>
      <c r="D3563" s="23"/>
      <c r="E3563" s="23"/>
    </row>
    <row r="3564">
      <c r="B3564" s="23"/>
      <c r="C3564" s="23"/>
      <c r="D3564" s="23"/>
      <c r="E3564" s="23"/>
    </row>
    <row r="3565">
      <c r="B3565" s="23"/>
      <c r="C3565" s="23"/>
      <c r="D3565" s="23"/>
      <c r="E3565" s="23"/>
    </row>
    <row r="3566">
      <c r="B3566" s="23"/>
      <c r="C3566" s="23"/>
      <c r="D3566" s="23"/>
      <c r="E3566" s="23"/>
    </row>
    <row r="3567">
      <c r="B3567" s="23"/>
      <c r="C3567" s="23"/>
      <c r="D3567" s="23"/>
      <c r="E3567" s="23"/>
    </row>
    <row r="3568">
      <c r="B3568" s="23"/>
      <c r="C3568" s="23"/>
      <c r="D3568" s="23"/>
      <c r="E3568" s="23"/>
    </row>
    <row r="3569">
      <c r="B3569" s="23"/>
      <c r="C3569" s="23"/>
      <c r="D3569" s="23"/>
      <c r="E3569" s="23"/>
    </row>
    <row r="3570">
      <c r="B3570" s="23"/>
      <c r="C3570" s="23"/>
      <c r="D3570" s="23"/>
      <c r="E3570" s="23"/>
    </row>
    <row r="3571">
      <c r="B3571" s="23"/>
      <c r="C3571" s="23"/>
      <c r="D3571" s="23"/>
      <c r="E3571" s="23"/>
    </row>
    <row r="3572">
      <c r="B3572" s="23"/>
      <c r="C3572" s="23"/>
      <c r="D3572" s="23"/>
      <c r="E3572" s="23"/>
    </row>
    <row r="3573">
      <c r="B3573" s="23"/>
      <c r="C3573" s="23"/>
      <c r="D3573" s="23"/>
      <c r="E3573" s="23"/>
    </row>
    <row r="3574">
      <c r="B3574" s="23"/>
      <c r="C3574" s="23"/>
      <c r="D3574" s="23"/>
      <c r="E3574" s="23"/>
    </row>
    <row r="3575">
      <c r="B3575" s="23"/>
      <c r="C3575" s="23"/>
      <c r="D3575" s="23"/>
      <c r="E3575" s="23"/>
    </row>
    <row r="3576">
      <c r="B3576" s="23"/>
      <c r="C3576" s="23"/>
      <c r="D3576" s="23"/>
      <c r="E3576" s="23"/>
    </row>
    <row r="3577">
      <c r="B3577" s="23"/>
      <c r="C3577" s="23"/>
      <c r="D3577" s="23"/>
      <c r="E3577" s="23"/>
    </row>
    <row r="3578">
      <c r="B3578" s="23"/>
      <c r="C3578" s="23"/>
      <c r="D3578" s="23"/>
      <c r="E3578" s="23"/>
    </row>
    <row r="3579">
      <c r="B3579" s="23"/>
      <c r="C3579" s="23"/>
      <c r="D3579" s="23"/>
      <c r="E3579" s="23"/>
    </row>
    <row r="3580">
      <c r="B3580" s="23"/>
      <c r="C3580" s="23"/>
      <c r="D3580" s="23"/>
      <c r="E3580" s="23"/>
    </row>
    <row r="3581">
      <c r="B3581" s="23"/>
      <c r="C3581" s="23"/>
      <c r="D3581" s="23"/>
      <c r="E3581" s="23"/>
    </row>
    <row r="3582">
      <c r="B3582" s="23"/>
      <c r="C3582" s="23"/>
      <c r="D3582" s="23"/>
      <c r="E3582" s="23"/>
    </row>
    <row r="3583">
      <c r="B3583" s="23"/>
      <c r="C3583" s="23"/>
      <c r="D3583" s="23"/>
      <c r="E3583" s="23"/>
    </row>
    <row r="3584">
      <c r="B3584" s="23"/>
      <c r="C3584" s="23"/>
      <c r="D3584" s="23"/>
      <c r="E3584" s="23"/>
    </row>
    <row r="3585">
      <c r="B3585" s="23"/>
      <c r="C3585" s="23"/>
      <c r="D3585" s="23"/>
      <c r="E3585" s="23"/>
    </row>
    <row r="3586">
      <c r="B3586" s="23"/>
      <c r="C3586" s="23"/>
      <c r="D3586" s="23"/>
      <c r="E3586" s="23"/>
    </row>
    <row r="3587">
      <c r="B3587" s="23"/>
      <c r="C3587" s="23"/>
      <c r="D3587" s="23"/>
      <c r="E3587" s="23"/>
    </row>
    <row r="3588">
      <c r="B3588" s="23"/>
      <c r="C3588" s="23"/>
      <c r="D3588" s="23"/>
      <c r="E3588" s="23"/>
    </row>
    <row r="3589">
      <c r="B3589" s="23"/>
      <c r="C3589" s="23"/>
      <c r="D3589" s="23"/>
      <c r="E3589" s="23"/>
    </row>
    <row r="3590">
      <c r="B3590" s="23"/>
      <c r="C3590" s="23"/>
      <c r="D3590" s="23"/>
      <c r="E3590" s="23"/>
    </row>
    <row r="3591">
      <c r="B3591" s="23"/>
      <c r="C3591" s="23"/>
      <c r="D3591" s="23"/>
      <c r="E3591" s="23"/>
    </row>
    <row r="3592">
      <c r="B3592" s="23"/>
      <c r="C3592" s="23"/>
      <c r="D3592" s="23"/>
      <c r="E3592" s="23"/>
    </row>
    <row r="3593">
      <c r="B3593" s="23"/>
      <c r="C3593" s="23"/>
      <c r="D3593" s="23"/>
      <c r="E3593" s="23"/>
    </row>
    <row r="3594">
      <c r="B3594" s="23"/>
      <c r="C3594" s="23"/>
      <c r="D3594" s="23"/>
      <c r="E3594" s="23"/>
    </row>
    <row r="3595">
      <c r="B3595" s="23"/>
      <c r="C3595" s="23"/>
      <c r="D3595" s="23"/>
      <c r="E3595" s="23"/>
    </row>
    <row r="3596">
      <c r="B3596" s="23"/>
      <c r="C3596" s="23"/>
      <c r="D3596" s="23"/>
      <c r="E3596" s="23"/>
    </row>
    <row r="3597">
      <c r="B3597" s="23"/>
      <c r="C3597" s="23"/>
      <c r="D3597" s="23"/>
      <c r="E3597" s="23"/>
    </row>
    <row r="3598">
      <c r="B3598" s="23"/>
      <c r="C3598" s="23"/>
      <c r="D3598" s="23"/>
      <c r="E3598" s="23"/>
    </row>
    <row r="3599">
      <c r="B3599" s="23"/>
      <c r="C3599" s="23"/>
      <c r="D3599" s="23"/>
      <c r="E3599" s="23"/>
    </row>
    <row r="3600">
      <c r="B3600" s="23"/>
      <c r="C3600" s="23"/>
      <c r="D3600" s="23"/>
      <c r="E3600" s="23"/>
    </row>
    <row r="3601">
      <c r="B3601" s="23"/>
      <c r="C3601" s="23"/>
      <c r="D3601" s="23"/>
      <c r="E3601" s="23"/>
    </row>
    <row r="3602">
      <c r="B3602" s="23"/>
      <c r="C3602" s="23"/>
      <c r="D3602" s="23"/>
      <c r="E3602" s="23"/>
    </row>
    <row r="3603">
      <c r="B3603" s="23"/>
      <c r="C3603" s="23"/>
      <c r="D3603" s="23"/>
      <c r="E3603" s="23"/>
    </row>
    <row r="3604">
      <c r="B3604" s="23"/>
      <c r="C3604" s="23"/>
      <c r="D3604" s="23"/>
      <c r="E3604" s="23"/>
    </row>
    <row r="3605">
      <c r="B3605" s="23"/>
      <c r="C3605" s="23"/>
      <c r="D3605" s="23"/>
      <c r="E3605" s="23"/>
    </row>
    <row r="3606">
      <c r="B3606" s="23"/>
      <c r="C3606" s="23"/>
      <c r="D3606" s="23"/>
      <c r="E3606" s="23"/>
    </row>
    <row r="3607">
      <c r="B3607" s="23"/>
      <c r="C3607" s="23"/>
      <c r="D3607" s="23"/>
      <c r="E3607" s="23"/>
    </row>
    <row r="3608">
      <c r="B3608" s="23"/>
      <c r="C3608" s="23"/>
      <c r="D3608" s="23"/>
      <c r="E3608" s="23"/>
    </row>
    <row r="3609">
      <c r="B3609" s="23"/>
      <c r="C3609" s="23"/>
      <c r="D3609" s="23"/>
      <c r="E3609" s="23"/>
    </row>
    <row r="3610">
      <c r="B3610" s="23"/>
      <c r="C3610" s="23"/>
      <c r="D3610" s="23"/>
      <c r="E3610" s="23"/>
    </row>
    <row r="3611">
      <c r="B3611" s="23"/>
      <c r="C3611" s="23"/>
      <c r="D3611" s="23"/>
      <c r="E3611" s="23"/>
    </row>
    <row r="3612">
      <c r="B3612" s="23"/>
      <c r="C3612" s="23"/>
      <c r="D3612" s="23"/>
      <c r="E3612" s="23"/>
    </row>
    <row r="3613">
      <c r="B3613" s="23"/>
      <c r="C3613" s="23"/>
      <c r="D3613" s="23"/>
      <c r="E3613" s="23"/>
    </row>
    <row r="3614">
      <c r="B3614" s="23"/>
      <c r="C3614" s="23"/>
      <c r="D3614" s="23"/>
      <c r="E3614" s="23"/>
    </row>
    <row r="3615">
      <c r="B3615" s="23"/>
      <c r="C3615" s="23"/>
      <c r="D3615" s="23"/>
      <c r="E3615" s="23"/>
    </row>
    <row r="3616">
      <c r="B3616" s="23"/>
      <c r="C3616" s="23"/>
      <c r="D3616" s="23"/>
      <c r="E3616" s="23"/>
    </row>
    <row r="3617">
      <c r="B3617" s="23"/>
      <c r="C3617" s="23"/>
      <c r="D3617" s="23"/>
      <c r="E3617" s="23"/>
    </row>
    <row r="3618">
      <c r="B3618" s="23"/>
      <c r="C3618" s="23"/>
      <c r="D3618" s="23"/>
      <c r="E3618" s="23"/>
    </row>
    <row r="3619">
      <c r="B3619" s="23"/>
      <c r="C3619" s="23"/>
      <c r="D3619" s="23"/>
      <c r="E3619" s="23"/>
    </row>
    <row r="3620">
      <c r="B3620" s="23"/>
      <c r="C3620" s="23"/>
      <c r="D3620" s="23"/>
      <c r="E3620" s="23"/>
    </row>
    <row r="3621">
      <c r="B3621" s="23"/>
      <c r="C3621" s="23"/>
      <c r="D3621" s="23"/>
      <c r="E3621" s="23"/>
    </row>
    <row r="3622">
      <c r="B3622" s="23"/>
      <c r="C3622" s="23"/>
      <c r="D3622" s="23"/>
      <c r="E3622" s="23"/>
    </row>
    <row r="3623">
      <c r="B3623" s="23"/>
      <c r="C3623" s="23"/>
      <c r="D3623" s="23"/>
      <c r="E3623" s="23"/>
    </row>
    <row r="3624">
      <c r="B3624" s="23"/>
      <c r="C3624" s="23"/>
      <c r="D3624" s="23"/>
      <c r="E3624" s="23"/>
    </row>
    <row r="3625">
      <c r="B3625" s="23"/>
      <c r="C3625" s="23"/>
      <c r="D3625" s="23"/>
      <c r="E3625" s="23"/>
    </row>
    <row r="3626">
      <c r="B3626" s="23"/>
      <c r="C3626" s="23"/>
      <c r="D3626" s="23"/>
      <c r="E3626" s="23"/>
    </row>
    <row r="3627">
      <c r="B3627" s="23"/>
      <c r="C3627" s="23"/>
      <c r="D3627" s="23"/>
      <c r="E3627" s="23"/>
    </row>
    <row r="3628">
      <c r="B3628" s="23"/>
      <c r="C3628" s="23"/>
      <c r="D3628" s="23"/>
      <c r="E3628" s="23"/>
    </row>
    <row r="3629">
      <c r="B3629" s="23"/>
      <c r="C3629" s="23"/>
      <c r="D3629" s="23"/>
      <c r="E3629" s="23"/>
    </row>
    <row r="3630">
      <c r="B3630" s="23"/>
      <c r="C3630" s="23"/>
      <c r="D3630" s="23"/>
      <c r="E3630" s="23"/>
    </row>
    <row r="3631">
      <c r="B3631" s="23"/>
      <c r="C3631" s="23"/>
      <c r="D3631" s="23"/>
      <c r="E3631" s="23"/>
    </row>
    <row r="3632">
      <c r="B3632" s="23"/>
      <c r="C3632" s="23"/>
      <c r="D3632" s="23"/>
      <c r="E3632" s="23"/>
    </row>
    <row r="3633">
      <c r="B3633" s="23"/>
      <c r="C3633" s="23"/>
      <c r="D3633" s="23"/>
      <c r="E3633" s="23"/>
    </row>
    <row r="3634">
      <c r="B3634" s="23"/>
      <c r="C3634" s="23"/>
      <c r="D3634" s="23"/>
      <c r="E3634" s="23"/>
    </row>
    <row r="3635">
      <c r="B3635" s="23"/>
      <c r="C3635" s="23"/>
      <c r="D3635" s="23"/>
      <c r="E3635" s="23"/>
    </row>
    <row r="3636">
      <c r="B3636" s="23"/>
      <c r="C3636" s="23"/>
      <c r="D3636" s="23"/>
      <c r="E3636" s="23"/>
    </row>
    <row r="3637">
      <c r="B3637" s="23"/>
      <c r="C3637" s="23"/>
      <c r="D3637" s="23"/>
      <c r="E3637" s="23"/>
    </row>
    <row r="3638">
      <c r="B3638" s="23"/>
      <c r="C3638" s="23"/>
      <c r="D3638" s="23"/>
      <c r="E3638" s="23"/>
    </row>
    <row r="3639">
      <c r="B3639" s="23"/>
      <c r="C3639" s="23"/>
      <c r="D3639" s="23"/>
      <c r="E3639" s="23"/>
    </row>
    <row r="3640">
      <c r="B3640" s="23"/>
      <c r="C3640" s="23"/>
      <c r="D3640" s="23"/>
      <c r="E3640" s="23"/>
    </row>
    <row r="3641">
      <c r="B3641" s="23"/>
      <c r="C3641" s="23"/>
      <c r="D3641" s="23"/>
      <c r="E3641" s="23"/>
    </row>
    <row r="3642">
      <c r="B3642" s="23"/>
      <c r="C3642" s="23"/>
      <c r="D3642" s="23"/>
      <c r="E3642" s="23"/>
    </row>
    <row r="3643">
      <c r="B3643" s="23"/>
      <c r="C3643" s="23"/>
      <c r="D3643" s="23"/>
      <c r="E3643" s="23"/>
    </row>
    <row r="3644">
      <c r="B3644" s="23"/>
      <c r="C3644" s="23"/>
      <c r="D3644" s="23"/>
      <c r="E3644" s="23"/>
    </row>
    <row r="3645">
      <c r="B3645" s="23"/>
      <c r="C3645" s="23"/>
      <c r="D3645" s="23"/>
      <c r="E3645" s="23"/>
    </row>
    <row r="3646">
      <c r="B3646" s="23"/>
      <c r="C3646" s="23"/>
      <c r="D3646" s="23"/>
      <c r="E3646" s="23"/>
    </row>
    <row r="3647">
      <c r="B3647" s="23"/>
      <c r="C3647" s="23"/>
      <c r="D3647" s="23"/>
      <c r="E3647" s="23"/>
    </row>
    <row r="3648">
      <c r="B3648" s="23"/>
      <c r="C3648" s="23"/>
      <c r="D3648" s="23"/>
      <c r="E3648" s="23"/>
    </row>
    <row r="3649">
      <c r="B3649" s="23"/>
      <c r="C3649" s="23"/>
      <c r="D3649" s="23"/>
      <c r="E3649" s="23"/>
    </row>
    <row r="3650">
      <c r="B3650" s="23"/>
      <c r="C3650" s="23"/>
      <c r="D3650" s="23"/>
      <c r="E3650" s="23"/>
    </row>
    <row r="3651">
      <c r="B3651" s="23"/>
      <c r="C3651" s="23"/>
      <c r="D3651" s="23"/>
      <c r="E3651" s="23"/>
    </row>
    <row r="3652">
      <c r="B3652" s="23"/>
      <c r="C3652" s="23"/>
      <c r="D3652" s="23"/>
      <c r="E3652" s="23"/>
    </row>
    <row r="3653">
      <c r="B3653" s="23"/>
      <c r="C3653" s="23"/>
      <c r="D3653" s="23"/>
      <c r="E3653" s="23"/>
    </row>
    <row r="3654">
      <c r="B3654" s="23"/>
      <c r="C3654" s="23"/>
      <c r="D3654" s="23"/>
      <c r="E3654" s="23"/>
    </row>
    <row r="3655">
      <c r="B3655" s="23"/>
      <c r="C3655" s="23"/>
      <c r="D3655" s="23"/>
      <c r="E3655" s="23"/>
    </row>
    <row r="3656">
      <c r="B3656" s="23"/>
      <c r="C3656" s="23"/>
      <c r="D3656" s="23"/>
      <c r="E3656" s="23"/>
    </row>
    <row r="3657">
      <c r="B3657" s="23"/>
      <c r="C3657" s="23"/>
      <c r="D3657" s="23"/>
      <c r="E3657" s="23"/>
    </row>
    <row r="3658">
      <c r="B3658" s="23"/>
      <c r="C3658" s="23"/>
      <c r="D3658" s="23"/>
      <c r="E3658" s="23"/>
    </row>
    <row r="3659">
      <c r="B3659" s="23"/>
      <c r="C3659" s="23"/>
      <c r="D3659" s="23"/>
      <c r="E3659" s="23"/>
    </row>
    <row r="3660">
      <c r="B3660" s="23"/>
      <c r="C3660" s="23"/>
      <c r="D3660" s="23"/>
      <c r="E3660" s="23"/>
    </row>
    <row r="3661">
      <c r="B3661" s="23"/>
      <c r="C3661" s="23"/>
      <c r="D3661" s="23"/>
      <c r="E3661" s="23"/>
    </row>
    <row r="3662">
      <c r="B3662" s="23"/>
      <c r="C3662" s="23"/>
      <c r="D3662" s="23"/>
      <c r="E3662" s="23"/>
    </row>
    <row r="3663">
      <c r="B3663" s="23"/>
      <c r="C3663" s="23"/>
      <c r="D3663" s="23"/>
      <c r="E3663" s="23"/>
    </row>
    <row r="3664">
      <c r="B3664" s="23"/>
      <c r="C3664" s="23"/>
      <c r="D3664" s="23"/>
      <c r="E3664" s="23"/>
    </row>
    <row r="3665">
      <c r="B3665" s="23"/>
      <c r="C3665" s="23"/>
      <c r="D3665" s="23"/>
      <c r="E3665" s="23"/>
    </row>
    <row r="3666">
      <c r="B3666" s="23"/>
      <c r="C3666" s="23"/>
      <c r="D3666" s="23"/>
      <c r="E3666" s="23"/>
    </row>
    <row r="3667">
      <c r="B3667" s="23"/>
      <c r="C3667" s="23"/>
      <c r="D3667" s="23"/>
      <c r="E3667" s="23"/>
    </row>
    <row r="3668">
      <c r="B3668" s="23"/>
      <c r="C3668" s="23"/>
      <c r="D3668" s="23"/>
      <c r="E3668" s="23"/>
    </row>
    <row r="3669">
      <c r="B3669" s="23"/>
      <c r="C3669" s="23"/>
      <c r="D3669" s="23"/>
      <c r="E3669" s="23"/>
    </row>
    <row r="3670">
      <c r="B3670" s="23"/>
      <c r="C3670" s="23"/>
      <c r="D3670" s="23"/>
      <c r="E3670" s="23"/>
    </row>
    <row r="3671">
      <c r="B3671" s="23"/>
      <c r="C3671" s="23"/>
      <c r="D3671" s="23"/>
      <c r="E3671" s="23"/>
    </row>
    <row r="3672">
      <c r="B3672" s="23"/>
      <c r="C3672" s="23"/>
      <c r="D3672" s="23"/>
      <c r="E3672" s="23"/>
    </row>
    <row r="3673">
      <c r="B3673" s="23"/>
      <c r="C3673" s="23"/>
      <c r="D3673" s="23"/>
      <c r="E3673" s="23"/>
    </row>
    <row r="3674">
      <c r="B3674" s="23"/>
      <c r="C3674" s="23"/>
      <c r="D3674" s="23"/>
      <c r="E3674" s="23"/>
    </row>
    <row r="3675">
      <c r="B3675" s="23"/>
      <c r="C3675" s="23"/>
      <c r="D3675" s="23"/>
      <c r="E3675" s="23"/>
    </row>
    <row r="3676">
      <c r="B3676" s="23"/>
      <c r="C3676" s="23"/>
      <c r="D3676" s="23"/>
      <c r="E3676" s="23"/>
    </row>
    <row r="3677">
      <c r="B3677" s="23"/>
      <c r="C3677" s="23"/>
      <c r="D3677" s="23"/>
      <c r="E3677" s="23"/>
    </row>
    <row r="3678">
      <c r="B3678" s="23"/>
      <c r="C3678" s="23"/>
      <c r="D3678" s="23"/>
      <c r="E3678" s="23"/>
    </row>
    <row r="3679">
      <c r="B3679" s="23"/>
      <c r="C3679" s="23"/>
      <c r="D3679" s="23"/>
      <c r="E3679" s="23"/>
    </row>
    <row r="3680">
      <c r="B3680" s="23"/>
      <c r="C3680" s="23"/>
      <c r="D3680" s="23"/>
      <c r="E3680" s="23"/>
    </row>
    <row r="3681">
      <c r="B3681" s="23"/>
      <c r="C3681" s="23"/>
      <c r="D3681" s="23"/>
      <c r="E3681" s="23"/>
    </row>
    <row r="3682">
      <c r="B3682" s="23"/>
      <c r="C3682" s="23"/>
      <c r="D3682" s="23"/>
      <c r="E3682" s="23"/>
    </row>
    <row r="3683">
      <c r="B3683" s="23"/>
      <c r="C3683" s="23"/>
      <c r="D3683" s="23"/>
      <c r="E3683" s="23"/>
    </row>
    <row r="3684">
      <c r="B3684" s="23"/>
      <c r="C3684" s="23"/>
      <c r="D3684" s="23"/>
      <c r="E3684" s="23"/>
    </row>
    <row r="3685">
      <c r="B3685" s="23"/>
      <c r="C3685" s="23"/>
      <c r="D3685" s="23"/>
      <c r="E3685" s="23"/>
    </row>
    <row r="3686">
      <c r="B3686" s="23"/>
      <c r="C3686" s="23"/>
      <c r="D3686" s="23"/>
      <c r="E3686" s="23"/>
    </row>
    <row r="3687">
      <c r="B3687" s="23"/>
      <c r="C3687" s="23"/>
      <c r="D3687" s="23"/>
      <c r="E3687" s="23"/>
    </row>
    <row r="3688">
      <c r="B3688" s="23"/>
      <c r="C3688" s="23"/>
      <c r="D3688" s="23"/>
      <c r="E3688" s="23"/>
    </row>
    <row r="3689">
      <c r="B3689" s="23"/>
      <c r="C3689" s="23"/>
      <c r="D3689" s="23"/>
      <c r="E3689" s="23"/>
    </row>
    <row r="3690">
      <c r="B3690" s="23"/>
      <c r="C3690" s="23"/>
      <c r="D3690" s="23"/>
      <c r="E3690" s="23"/>
    </row>
    <row r="3691">
      <c r="B3691" s="23"/>
      <c r="C3691" s="23"/>
      <c r="D3691" s="23"/>
      <c r="E3691" s="23"/>
    </row>
    <row r="3692">
      <c r="B3692" s="23"/>
      <c r="C3692" s="23"/>
      <c r="D3692" s="23"/>
      <c r="E3692" s="23"/>
    </row>
    <row r="3693">
      <c r="B3693" s="23"/>
      <c r="C3693" s="23"/>
      <c r="D3693" s="23"/>
      <c r="E3693" s="23"/>
    </row>
    <row r="3694">
      <c r="B3694" s="23"/>
      <c r="C3694" s="23"/>
      <c r="D3694" s="23"/>
      <c r="E3694" s="23"/>
    </row>
    <row r="3695">
      <c r="B3695" s="23"/>
      <c r="C3695" s="23"/>
      <c r="D3695" s="23"/>
      <c r="E3695" s="23"/>
    </row>
    <row r="3696">
      <c r="B3696" s="23"/>
      <c r="C3696" s="23"/>
      <c r="D3696" s="23"/>
      <c r="E3696" s="23"/>
    </row>
    <row r="3697">
      <c r="B3697" s="23"/>
      <c r="C3697" s="23"/>
      <c r="D3697" s="23"/>
      <c r="E3697" s="23"/>
    </row>
    <row r="3698">
      <c r="B3698" s="23"/>
      <c r="C3698" s="23"/>
      <c r="D3698" s="23"/>
      <c r="E3698" s="23"/>
    </row>
    <row r="3699">
      <c r="B3699" s="23"/>
      <c r="C3699" s="23"/>
      <c r="D3699" s="23"/>
      <c r="E3699" s="23"/>
    </row>
    <row r="3700">
      <c r="B3700" s="23"/>
      <c r="C3700" s="23"/>
      <c r="D3700" s="23"/>
      <c r="E3700" s="23"/>
    </row>
    <row r="3701">
      <c r="B3701" s="23"/>
      <c r="C3701" s="23"/>
      <c r="D3701" s="23"/>
      <c r="E3701" s="23"/>
    </row>
    <row r="3702">
      <c r="B3702" s="23"/>
      <c r="C3702" s="23"/>
      <c r="D3702" s="23"/>
      <c r="E3702" s="23"/>
    </row>
    <row r="3703">
      <c r="B3703" s="23"/>
      <c r="C3703" s="23"/>
      <c r="D3703" s="23"/>
      <c r="E3703" s="23"/>
    </row>
    <row r="3704">
      <c r="B3704" s="23"/>
      <c r="C3704" s="23"/>
      <c r="D3704" s="23"/>
      <c r="E3704" s="23"/>
    </row>
    <row r="3705">
      <c r="B3705" s="23"/>
      <c r="C3705" s="23"/>
      <c r="D3705" s="23"/>
      <c r="E3705" s="23"/>
    </row>
    <row r="3706">
      <c r="B3706" s="23"/>
      <c r="C3706" s="23"/>
      <c r="D3706" s="23"/>
      <c r="E3706" s="23"/>
    </row>
    <row r="3707">
      <c r="B3707" s="23"/>
      <c r="C3707" s="23"/>
      <c r="D3707" s="23"/>
      <c r="E3707" s="23"/>
    </row>
    <row r="3708">
      <c r="B3708" s="23"/>
      <c r="C3708" s="23"/>
      <c r="D3708" s="23"/>
      <c r="E3708" s="23"/>
    </row>
    <row r="3709">
      <c r="B3709" s="23"/>
      <c r="C3709" s="23"/>
      <c r="D3709" s="23"/>
      <c r="E3709" s="23"/>
    </row>
    <row r="3710">
      <c r="B3710" s="23"/>
      <c r="C3710" s="23"/>
      <c r="D3710" s="23"/>
      <c r="E3710" s="23"/>
    </row>
    <row r="3711">
      <c r="B3711" s="23"/>
      <c r="C3711" s="23"/>
      <c r="D3711" s="23"/>
      <c r="E3711" s="23"/>
    </row>
    <row r="3712">
      <c r="B3712" s="23"/>
      <c r="C3712" s="23"/>
      <c r="D3712" s="23"/>
      <c r="E3712" s="23"/>
    </row>
    <row r="3713">
      <c r="B3713" s="23"/>
      <c r="C3713" s="23"/>
      <c r="D3713" s="23"/>
      <c r="E3713" s="23"/>
    </row>
    <row r="3714">
      <c r="B3714" s="23"/>
      <c r="C3714" s="23"/>
      <c r="D3714" s="23"/>
      <c r="E3714" s="23"/>
    </row>
    <row r="3715">
      <c r="B3715" s="23"/>
      <c r="C3715" s="23"/>
      <c r="D3715" s="23"/>
      <c r="E3715" s="23"/>
    </row>
    <row r="3716">
      <c r="B3716" s="23"/>
      <c r="C3716" s="23"/>
      <c r="D3716" s="23"/>
      <c r="E3716" s="23"/>
    </row>
    <row r="3717">
      <c r="B3717" s="23"/>
      <c r="C3717" s="23"/>
      <c r="D3717" s="23"/>
      <c r="E3717" s="23"/>
    </row>
    <row r="3718">
      <c r="B3718" s="23"/>
      <c r="C3718" s="23"/>
      <c r="D3718" s="23"/>
      <c r="E3718" s="23"/>
    </row>
    <row r="3719">
      <c r="B3719" s="23"/>
      <c r="C3719" s="23"/>
      <c r="D3719" s="23"/>
      <c r="E3719" s="23"/>
    </row>
    <row r="3720">
      <c r="B3720" s="23"/>
      <c r="C3720" s="23"/>
      <c r="D3720" s="23"/>
      <c r="E3720" s="23"/>
    </row>
    <row r="3721">
      <c r="B3721" s="23"/>
      <c r="C3721" s="23"/>
      <c r="D3721" s="23"/>
      <c r="E3721" s="23"/>
    </row>
    <row r="3722">
      <c r="B3722" s="23"/>
      <c r="C3722" s="23"/>
      <c r="D3722" s="23"/>
      <c r="E3722" s="23"/>
    </row>
    <row r="3723">
      <c r="B3723" s="23"/>
      <c r="C3723" s="23"/>
      <c r="D3723" s="23"/>
      <c r="E3723" s="23"/>
    </row>
    <row r="3724">
      <c r="B3724" s="23"/>
      <c r="C3724" s="23"/>
      <c r="D3724" s="23"/>
      <c r="E3724" s="23"/>
    </row>
    <row r="3725">
      <c r="B3725" s="23"/>
      <c r="C3725" s="23"/>
      <c r="D3725" s="23"/>
      <c r="E3725" s="23"/>
    </row>
    <row r="3726">
      <c r="B3726" s="23"/>
      <c r="C3726" s="23"/>
      <c r="D3726" s="23"/>
      <c r="E3726" s="23"/>
    </row>
    <row r="3727">
      <c r="B3727" s="23"/>
      <c r="C3727" s="23"/>
      <c r="D3727" s="23"/>
      <c r="E3727" s="23"/>
    </row>
    <row r="3728">
      <c r="B3728" s="23"/>
      <c r="C3728" s="23"/>
      <c r="D3728" s="23"/>
      <c r="E3728" s="23"/>
    </row>
    <row r="3729">
      <c r="B3729" s="23"/>
      <c r="C3729" s="23"/>
      <c r="D3729" s="23"/>
      <c r="E3729" s="23"/>
    </row>
    <row r="3730">
      <c r="B3730" s="23"/>
      <c r="C3730" s="23"/>
      <c r="D3730" s="23"/>
      <c r="E3730" s="23"/>
    </row>
    <row r="3731">
      <c r="B3731" s="23"/>
      <c r="C3731" s="23"/>
      <c r="D3731" s="23"/>
      <c r="E3731" s="23"/>
    </row>
    <row r="3732">
      <c r="B3732" s="23"/>
      <c r="C3732" s="23"/>
      <c r="D3732" s="23"/>
      <c r="E3732" s="23"/>
    </row>
    <row r="3733">
      <c r="B3733" s="23"/>
      <c r="C3733" s="23"/>
      <c r="D3733" s="23"/>
      <c r="E3733" s="23"/>
    </row>
    <row r="3734">
      <c r="B3734" s="23"/>
      <c r="C3734" s="23"/>
      <c r="D3734" s="23"/>
      <c r="E3734" s="23"/>
    </row>
    <row r="3735">
      <c r="B3735" s="23"/>
      <c r="C3735" s="23"/>
      <c r="D3735" s="23"/>
      <c r="E3735" s="23"/>
    </row>
    <row r="3736">
      <c r="B3736" s="23"/>
      <c r="C3736" s="23"/>
      <c r="D3736" s="23"/>
      <c r="E3736" s="23"/>
    </row>
    <row r="3737">
      <c r="B3737" s="23"/>
      <c r="C3737" s="23"/>
      <c r="D3737" s="23"/>
      <c r="E3737" s="23"/>
    </row>
    <row r="3738">
      <c r="B3738" s="23"/>
      <c r="C3738" s="23"/>
      <c r="D3738" s="23"/>
      <c r="E3738" s="23"/>
    </row>
    <row r="3739">
      <c r="B3739" s="23"/>
      <c r="C3739" s="23"/>
      <c r="D3739" s="23"/>
      <c r="E3739" s="23"/>
    </row>
    <row r="3740">
      <c r="B3740" s="23"/>
      <c r="C3740" s="23"/>
      <c r="D3740" s="23"/>
      <c r="E3740" s="23"/>
    </row>
    <row r="3741">
      <c r="B3741" s="23"/>
      <c r="C3741" s="23"/>
      <c r="D3741" s="23"/>
      <c r="E3741" s="23"/>
    </row>
    <row r="3742">
      <c r="B3742" s="23"/>
      <c r="C3742" s="23"/>
      <c r="D3742" s="23"/>
      <c r="E3742" s="23"/>
    </row>
    <row r="3743">
      <c r="B3743" s="23"/>
      <c r="C3743" s="23"/>
      <c r="D3743" s="23"/>
      <c r="E3743" s="23"/>
    </row>
    <row r="3744">
      <c r="B3744" s="23"/>
      <c r="C3744" s="23"/>
      <c r="D3744" s="23"/>
      <c r="E3744" s="23"/>
    </row>
    <row r="3745">
      <c r="B3745" s="23"/>
      <c r="C3745" s="23"/>
      <c r="D3745" s="23"/>
      <c r="E3745" s="23"/>
    </row>
    <row r="3746">
      <c r="B3746" s="23"/>
      <c r="C3746" s="23"/>
      <c r="D3746" s="23"/>
      <c r="E3746" s="23"/>
    </row>
    <row r="3747">
      <c r="B3747" s="23"/>
      <c r="C3747" s="23"/>
      <c r="D3747" s="23"/>
      <c r="E3747" s="23"/>
    </row>
    <row r="3748">
      <c r="B3748" s="23"/>
      <c r="C3748" s="23"/>
      <c r="D3748" s="23"/>
      <c r="E3748" s="23"/>
    </row>
    <row r="3749">
      <c r="B3749" s="23"/>
      <c r="C3749" s="23"/>
      <c r="D3749" s="23"/>
      <c r="E3749" s="23"/>
    </row>
    <row r="3750">
      <c r="B3750" s="23"/>
      <c r="C3750" s="23"/>
      <c r="D3750" s="23"/>
      <c r="E3750" s="23"/>
    </row>
    <row r="3751">
      <c r="B3751" s="23"/>
      <c r="C3751" s="23"/>
      <c r="D3751" s="23"/>
      <c r="E3751" s="23"/>
    </row>
    <row r="3752">
      <c r="B3752" s="23"/>
      <c r="C3752" s="23"/>
      <c r="D3752" s="23"/>
      <c r="E3752" s="23"/>
    </row>
    <row r="3753">
      <c r="B3753" s="23"/>
      <c r="C3753" s="23"/>
      <c r="D3753" s="23"/>
      <c r="E3753" s="23"/>
    </row>
    <row r="3754">
      <c r="B3754" s="23"/>
      <c r="C3754" s="23"/>
      <c r="D3754" s="23"/>
      <c r="E3754" s="23"/>
    </row>
    <row r="3755">
      <c r="B3755" s="23"/>
      <c r="C3755" s="23"/>
      <c r="D3755" s="23"/>
      <c r="E3755" s="23"/>
    </row>
    <row r="3756">
      <c r="B3756" s="23"/>
      <c r="C3756" s="23"/>
      <c r="D3756" s="23"/>
      <c r="E3756" s="23"/>
    </row>
    <row r="3757">
      <c r="B3757" s="23"/>
      <c r="C3757" s="23"/>
      <c r="D3757" s="23"/>
      <c r="E3757" s="23"/>
    </row>
    <row r="3758">
      <c r="B3758" s="23"/>
      <c r="C3758" s="23"/>
      <c r="D3758" s="23"/>
      <c r="E3758" s="23"/>
    </row>
    <row r="3759">
      <c r="B3759" s="23"/>
      <c r="C3759" s="23"/>
      <c r="D3759" s="23"/>
      <c r="E3759" s="23"/>
    </row>
    <row r="3760">
      <c r="B3760" s="23"/>
      <c r="C3760" s="23"/>
      <c r="D3760" s="23"/>
      <c r="E3760" s="23"/>
    </row>
    <row r="3761">
      <c r="B3761" s="23"/>
      <c r="C3761" s="23"/>
      <c r="D3761" s="23"/>
      <c r="E3761" s="23"/>
    </row>
    <row r="3762">
      <c r="B3762" s="23"/>
      <c r="C3762" s="23"/>
      <c r="D3762" s="23"/>
      <c r="E3762" s="23"/>
    </row>
    <row r="3763">
      <c r="B3763" s="23"/>
      <c r="C3763" s="23"/>
      <c r="D3763" s="23"/>
      <c r="E3763" s="23"/>
    </row>
    <row r="3764">
      <c r="B3764" s="23"/>
      <c r="C3764" s="23"/>
      <c r="D3764" s="23"/>
      <c r="E3764" s="23"/>
    </row>
    <row r="3765">
      <c r="B3765" s="23"/>
      <c r="C3765" s="23"/>
      <c r="D3765" s="23"/>
      <c r="E3765" s="23"/>
    </row>
    <row r="3766">
      <c r="B3766" s="23"/>
      <c r="C3766" s="23"/>
      <c r="D3766" s="23"/>
      <c r="E3766" s="23"/>
    </row>
    <row r="3767">
      <c r="B3767" s="23"/>
      <c r="C3767" s="23"/>
      <c r="D3767" s="23"/>
      <c r="E3767" s="23"/>
    </row>
    <row r="3768">
      <c r="B3768" s="23"/>
      <c r="C3768" s="23"/>
      <c r="D3768" s="23"/>
      <c r="E3768" s="23"/>
    </row>
    <row r="3769">
      <c r="B3769" s="23"/>
      <c r="C3769" s="23"/>
      <c r="D3769" s="23"/>
      <c r="E3769" s="23"/>
    </row>
    <row r="3770">
      <c r="B3770" s="23"/>
      <c r="C3770" s="23"/>
      <c r="D3770" s="23"/>
      <c r="E3770" s="23"/>
    </row>
    <row r="3771">
      <c r="B3771" s="23"/>
      <c r="C3771" s="23"/>
      <c r="D3771" s="23"/>
      <c r="E3771" s="23"/>
    </row>
    <row r="3772">
      <c r="B3772" s="23"/>
      <c r="C3772" s="23"/>
      <c r="D3772" s="23"/>
      <c r="E3772" s="23"/>
    </row>
    <row r="3773">
      <c r="B3773" s="23"/>
      <c r="C3773" s="23"/>
      <c r="D3773" s="23"/>
      <c r="E3773" s="23"/>
    </row>
    <row r="3774">
      <c r="B3774" s="23"/>
      <c r="C3774" s="23"/>
      <c r="D3774" s="23"/>
      <c r="E3774" s="23"/>
    </row>
    <row r="3775">
      <c r="B3775" s="23"/>
      <c r="C3775" s="23"/>
      <c r="D3775" s="23"/>
      <c r="E3775" s="23"/>
    </row>
    <row r="3776">
      <c r="B3776" s="23"/>
      <c r="C3776" s="23"/>
      <c r="D3776" s="23"/>
      <c r="E3776" s="23"/>
    </row>
    <row r="3777">
      <c r="B3777" s="23"/>
      <c r="C3777" s="23"/>
      <c r="D3777" s="23"/>
      <c r="E3777" s="23"/>
    </row>
    <row r="3778">
      <c r="B3778" s="23"/>
      <c r="C3778" s="23"/>
      <c r="D3778" s="23"/>
      <c r="E3778" s="23"/>
    </row>
    <row r="3779">
      <c r="B3779" s="23"/>
      <c r="C3779" s="23"/>
      <c r="D3779" s="23"/>
      <c r="E3779" s="23"/>
    </row>
    <row r="3780">
      <c r="B3780" s="23"/>
      <c r="C3780" s="23"/>
      <c r="D3780" s="23"/>
      <c r="E3780" s="23"/>
    </row>
    <row r="3781">
      <c r="B3781" s="23"/>
      <c r="C3781" s="23"/>
      <c r="D3781" s="23"/>
      <c r="E3781" s="23"/>
    </row>
    <row r="3782">
      <c r="B3782" s="23"/>
      <c r="C3782" s="23"/>
      <c r="D3782" s="23"/>
      <c r="E3782" s="23"/>
    </row>
    <row r="3783">
      <c r="B3783" s="23"/>
      <c r="C3783" s="23"/>
      <c r="D3783" s="23"/>
      <c r="E3783" s="23"/>
    </row>
    <row r="3784">
      <c r="B3784" s="23"/>
      <c r="C3784" s="23"/>
      <c r="D3784" s="23"/>
      <c r="E3784" s="23"/>
    </row>
    <row r="3785">
      <c r="B3785" s="23"/>
      <c r="C3785" s="23"/>
      <c r="D3785" s="23"/>
      <c r="E3785" s="23"/>
    </row>
    <row r="3786">
      <c r="B3786" s="23"/>
      <c r="C3786" s="23"/>
      <c r="D3786" s="23"/>
      <c r="E3786" s="23"/>
    </row>
    <row r="3787">
      <c r="B3787" s="23"/>
      <c r="C3787" s="23"/>
      <c r="D3787" s="23"/>
      <c r="E3787" s="23"/>
    </row>
    <row r="3788">
      <c r="B3788" s="23"/>
      <c r="C3788" s="23"/>
      <c r="D3788" s="23"/>
      <c r="E3788" s="23"/>
    </row>
    <row r="3789">
      <c r="B3789" s="23"/>
      <c r="C3789" s="23"/>
      <c r="D3789" s="23"/>
      <c r="E3789" s="23"/>
    </row>
    <row r="3790">
      <c r="B3790" s="23"/>
      <c r="C3790" s="23"/>
      <c r="D3790" s="23"/>
      <c r="E3790" s="23"/>
    </row>
    <row r="3791">
      <c r="B3791" s="23"/>
      <c r="C3791" s="23"/>
      <c r="D3791" s="23"/>
      <c r="E3791" s="23"/>
    </row>
    <row r="3792">
      <c r="B3792" s="23"/>
      <c r="C3792" s="23"/>
      <c r="D3792" s="23"/>
      <c r="E3792" s="23"/>
    </row>
    <row r="3793">
      <c r="B3793" s="23"/>
      <c r="C3793" s="23"/>
      <c r="D3793" s="23"/>
      <c r="E3793" s="23"/>
    </row>
    <row r="3794">
      <c r="B3794" s="23"/>
      <c r="C3794" s="23"/>
      <c r="D3794" s="23"/>
      <c r="E3794" s="23"/>
    </row>
    <row r="3795">
      <c r="B3795" s="23"/>
      <c r="C3795" s="23"/>
      <c r="D3795" s="23"/>
      <c r="E3795" s="23"/>
    </row>
    <row r="3796">
      <c r="B3796" s="23"/>
      <c r="C3796" s="23"/>
      <c r="D3796" s="23"/>
      <c r="E3796" s="23"/>
    </row>
    <row r="3797">
      <c r="B3797" s="23"/>
      <c r="C3797" s="23"/>
      <c r="D3797" s="23"/>
      <c r="E3797" s="23"/>
    </row>
    <row r="3798">
      <c r="B3798" s="23"/>
      <c r="C3798" s="23"/>
      <c r="D3798" s="23"/>
      <c r="E3798" s="23"/>
    </row>
    <row r="3799">
      <c r="B3799" s="23"/>
      <c r="C3799" s="23"/>
      <c r="D3799" s="23"/>
      <c r="E3799" s="23"/>
    </row>
    <row r="3800">
      <c r="B3800" s="23"/>
      <c r="C3800" s="23"/>
      <c r="D3800" s="23"/>
      <c r="E3800" s="23"/>
    </row>
    <row r="3801">
      <c r="B3801" s="23"/>
      <c r="C3801" s="23"/>
      <c r="D3801" s="23"/>
      <c r="E3801" s="23"/>
    </row>
    <row r="3802">
      <c r="B3802" s="23"/>
      <c r="C3802" s="23"/>
      <c r="D3802" s="23"/>
      <c r="E3802" s="23"/>
    </row>
    <row r="3803">
      <c r="B3803" s="23"/>
      <c r="C3803" s="23"/>
      <c r="D3803" s="23"/>
      <c r="E3803" s="23"/>
    </row>
    <row r="3804">
      <c r="B3804" s="23"/>
      <c r="C3804" s="23"/>
      <c r="D3804" s="23"/>
      <c r="E3804" s="23"/>
    </row>
    <row r="3805">
      <c r="B3805" s="23"/>
      <c r="C3805" s="23"/>
      <c r="D3805" s="23"/>
      <c r="E3805" s="23"/>
    </row>
    <row r="3806">
      <c r="B3806" s="23"/>
      <c r="C3806" s="23"/>
      <c r="D3806" s="23"/>
      <c r="E3806" s="23"/>
    </row>
    <row r="3807">
      <c r="B3807" s="23"/>
      <c r="C3807" s="23"/>
      <c r="D3807" s="23"/>
      <c r="E3807" s="23"/>
    </row>
    <row r="3808">
      <c r="B3808" s="23"/>
      <c r="C3808" s="23"/>
      <c r="D3808" s="23"/>
      <c r="E3808" s="23"/>
    </row>
    <row r="3809">
      <c r="B3809" s="23"/>
      <c r="C3809" s="23"/>
      <c r="D3809" s="23"/>
      <c r="E3809" s="23"/>
    </row>
    <row r="3810">
      <c r="B3810" s="23"/>
      <c r="C3810" s="23"/>
      <c r="D3810" s="23"/>
      <c r="E3810" s="23"/>
    </row>
    <row r="3811">
      <c r="B3811" s="23"/>
      <c r="C3811" s="23"/>
      <c r="D3811" s="23"/>
      <c r="E3811" s="23"/>
    </row>
    <row r="3812">
      <c r="B3812" s="23"/>
      <c r="C3812" s="23"/>
      <c r="D3812" s="23"/>
      <c r="E3812" s="23"/>
    </row>
    <row r="3813">
      <c r="B3813" s="23"/>
      <c r="C3813" s="23"/>
      <c r="D3813" s="23"/>
      <c r="E3813" s="23"/>
    </row>
    <row r="3814">
      <c r="B3814" s="23"/>
      <c r="C3814" s="23"/>
      <c r="D3814" s="23"/>
      <c r="E3814" s="23"/>
    </row>
    <row r="3815">
      <c r="B3815" s="23"/>
      <c r="C3815" s="23"/>
      <c r="D3815" s="23"/>
      <c r="E3815" s="23"/>
    </row>
    <row r="3816">
      <c r="B3816" s="23"/>
      <c r="C3816" s="23"/>
      <c r="D3816" s="23"/>
      <c r="E3816" s="23"/>
    </row>
    <row r="3817">
      <c r="B3817" s="23"/>
      <c r="C3817" s="23"/>
      <c r="D3817" s="23"/>
      <c r="E3817" s="23"/>
    </row>
    <row r="3818">
      <c r="B3818" s="23"/>
      <c r="C3818" s="23"/>
      <c r="D3818" s="23"/>
      <c r="E3818" s="23"/>
    </row>
    <row r="3819">
      <c r="B3819" s="23"/>
      <c r="C3819" s="23"/>
      <c r="D3819" s="23"/>
      <c r="E3819" s="23"/>
    </row>
    <row r="3820">
      <c r="B3820" s="23"/>
      <c r="C3820" s="23"/>
      <c r="D3820" s="23"/>
      <c r="E3820" s="23"/>
    </row>
    <row r="3821">
      <c r="B3821" s="23"/>
      <c r="C3821" s="23"/>
      <c r="D3821" s="23"/>
      <c r="E3821" s="23"/>
    </row>
    <row r="3822">
      <c r="B3822" s="23"/>
      <c r="C3822" s="23"/>
      <c r="D3822" s="23"/>
      <c r="E3822" s="23"/>
    </row>
    <row r="3823">
      <c r="B3823" s="23"/>
      <c r="C3823" s="23"/>
      <c r="D3823" s="23"/>
      <c r="E3823" s="23"/>
    </row>
    <row r="3824">
      <c r="B3824" s="23"/>
      <c r="C3824" s="23"/>
      <c r="D3824" s="23"/>
      <c r="E3824" s="23"/>
    </row>
    <row r="3825">
      <c r="B3825" s="23"/>
      <c r="C3825" s="23"/>
      <c r="D3825" s="23"/>
      <c r="E3825" s="23"/>
    </row>
    <row r="3826">
      <c r="B3826" s="23"/>
      <c r="C3826" s="23"/>
      <c r="D3826" s="23"/>
      <c r="E3826" s="23"/>
    </row>
    <row r="3827">
      <c r="B3827" s="23"/>
      <c r="C3827" s="23"/>
      <c r="D3827" s="23"/>
      <c r="E3827" s="23"/>
    </row>
    <row r="3828">
      <c r="B3828" s="23"/>
      <c r="C3828" s="23"/>
      <c r="D3828" s="23"/>
      <c r="E3828" s="23"/>
    </row>
    <row r="3829">
      <c r="B3829" s="23"/>
      <c r="C3829" s="23"/>
      <c r="D3829" s="23"/>
      <c r="E3829" s="23"/>
    </row>
    <row r="3830">
      <c r="B3830" s="23"/>
      <c r="C3830" s="23"/>
      <c r="D3830" s="23"/>
      <c r="E3830" s="23"/>
    </row>
    <row r="3831">
      <c r="B3831" s="23"/>
      <c r="C3831" s="23"/>
      <c r="D3831" s="23"/>
      <c r="E3831" s="23"/>
    </row>
    <row r="3832">
      <c r="B3832" s="23"/>
      <c r="C3832" s="23"/>
      <c r="D3832" s="23"/>
      <c r="E3832" s="23"/>
    </row>
    <row r="3833">
      <c r="B3833" s="23"/>
      <c r="C3833" s="23"/>
      <c r="D3833" s="23"/>
      <c r="E3833" s="23"/>
    </row>
    <row r="3834">
      <c r="B3834" s="23"/>
      <c r="C3834" s="23"/>
      <c r="D3834" s="23"/>
      <c r="E3834" s="23"/>
    </row>
    <row r="3835">
      <c r="B3835" s="23"/>
      <c r="C3835" s="23"/>
      <c r="D3835" s="23"/>
      <c r="E3835" s="23"/>
    </row>
    <row r="3836">
      <c r="B3836" s="23"/>
      <c r="C3836" s="23"/>
      <c r="D3836" s="23"/>
      <c r="E3836" s="23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13"/>
    <col customWidth="1" min="3" max="3" width="16.75"/>
    <col customWidth="1" min="5" max="5" width="16.88"/>
    <col customWidth="1" min="6" max="6" width="19.63"/>
    <col customWidth="1" min="7" max="7" width="26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>
      <c r="A2023" s="11"/>
      <c r="B2023" s="25"/>
      <c r="C2023" s="23"/>
      <c r="D2023" s="23"/>
      <c r="E2023" s="23"/>
      <c r="F2023" s="23"/>
      <c r="G2023" s="23"/>
    </row>
    <row r="2024">
      <c r="A2024" s="11"/>
      <c r="B2024" s="25"/>
      <c r="C2024" s="23"/>
      <c r="D2024" s="23"/>
      <c r="E2024" s="23"/>
      <c r="F2024" s="23"/>
      <c r="G2024" s="23"/>
    </row>
    <row r="2025">
      <c r="A2025" s="11"/>
      <c r="B2025" s="25"/>
      <c r="C2025" s="23"/>
      <c r="D2025" s="23"/>
      <c r="E2025" s="23"/>
      <c r="F2025" s="23"/>
      <c r="G2025" s="23"/>
    </row>
    <row r="2026">
      <c r="A2026" s="11"/>
      <c r="B2026" s="25"/>
      <c r="C2026" s="23"/>
      <c r="D2026" s="23"/>
      <c r="E2026" s="23"/>
      <c r="F2026" s="23"/>
      <c r="G2026" s="23"/>
    </row>
    <row r="2027">
      <c r="A2027" s="11"/>
      <c r="B2027" s="25"/>
      <c r="C2027" s="23"/>
      <c r="D2027" s="23"/>
      <c r="E2027" s="23"/>
      <c r="F2027" s="23"/>
      <c r="G2027" s="23"/>
    </row>
    <row r="2028">
      <c r="A2028" s="11"/>
      <c r="B2028" s="25"/>
      <c r="C2028" s="23"/>
      <c r="D2028" s="23"/>
      <c r="E2028" s="23"/>
      <c r="F2028" s="23"/>
      <c r="G2028" s="23"/>
    </row>
    <row r="2029">
      <c r="A2029" s="11"/>
      <c r="B2029" s="25"/>
      <c r="C2029" s="23"/>
      <c r="D2029" s="23"/>
      <c r="E2029" s="23"/>
      <c r="F2029" s="23"/>
      <c r="G2029" s="23"/>
    </row>
    <row r="2030">
      <c r="A2030" s="11"/>
      <c r="B2030" s="25"/>
      <c r="C2030" s="23"/>
      <c r="D2030" s="23"/>
      <c r="E2030" s="23"/>
      <c r="F2030" s="23"/>
      <c r="G2030" s="23"/>
    </row>
    <row r="2031">
      <c r="A2031" s="11"/>
      <c r="B2031" s="25"/>
      <c r="C2031" s="23"/>
      <c r="D2031" s="23"/>
      <c r="E2031" s="23"/>
      <c r="F2031" s="23"/>
      <c r="G2031" s="23"/>
    </row>
    <row r="2032">
      <c r="A2032" s="11"/>
      <c r="B2032" s="25"/>
      <c r="C2032" s="23"/>
      <c r="D2032" s="23"/>
      <c r="E2032" s="23"/>
      <c r="F2032" s="23"/>
      <c r="G2032" s="23"/>
    </row>
    <row r="2033">
      <c r="A2033" s="11"/>
      <c r="B2033" s="25"/>
      <c r="C2033" s="23"/>
      <c r="D2033" s="23"/>
      <c r="E2033" s="23"/>
      <c r="F2033" s="23"/>
      <c r="G2033" s="23"/>
    </row>
    <row r="2034">
      <c r="A2034" s="11"/>
      <c r="B2034" s="25"/>
      <c r="C2034" s="23"/>
      <c r="D2034" s="23"/>
      <c r="E2034" s="23"/>
      <c r="F2034" s="23"/>
      <c r="G2034" s="23"/>
    </row>
    <row r="2035">
      <c r="A2035" s="11"/>
      <c r="B2035" s="25"/>
      <c r="C2035" s="23"/>
      <c r="D2035" s="23"/>
      <c r="E2035" s="23"/>
      <c r="F2035" s="23"/>
      <c r="G2035" s="23"/>
    </row>
    <row r="2036">
      <c r="A2036" s="11"/>
      <c r="B2036" s="25"/>
      <c r="C2036" s="23"/>
      <c r="D2036" s="23"/>
      <c r="E2036" s="23"/>
      <c r="F2036" s="23"/>
      <c r="G2036" s="23"/>
    </row>
    <row r="2037">
      <c r="A2037" s="11"/>
      <c r="B2037" s="25"/>
      <c r="C2037" s="23"/>
      <c r="D2037" s="23"/>
      <c r="E2037" s="23"/>
      <c r="F2037" s="23"/>
      <c r="G2037" s="23"/>
    </row>
    <row r="2038">
      <c r="A2038" s="11"/>
      <c r="B2038" s="25"/>
      <c r="C2038" s="23"/>
      <c r="D2038" s="23"/>
      <c r="E2038" s="23"/>
      <c r="F2038" s="23"/>
      <c r="G2038" s="23"/>
    </row>
    <row r="2039">
      <c r="A2039" s="11"/>
      <c r="B2039" s="25"/>
      <c r="C2039" s="23"/>
      <c r="D2039" s="23"/>
      <c r="E2039" s="23"/>
      <c r="F2039" s="23"/>
      <c r="G2039" s="23"/>
    </row>
    <row r="2040">
      <c r="A2040" s="11"/>
      <c r="B2040" s="25"/>
      <c r="C2040" s="23"/>
      <c r="D2040" s="23"/>
      <c r="E2040" s="23"/>
      <c r="F2040" s="23"/>
      <c r="G2040" s="23"/>
    </row>
    <row r="2041">
      <c r="A2041" s="11"/>
      <c r="B2041" s="25"/>
      <c r="C2041" s="23"/>
      <c r="D2041" s="23"/>
      <c r="E2041" s="23"/>
      <c r="F2041" s="23"/>
      <c r="G2041" s="23"/>
    </row>
    <row r="2042">
      <c r="A2042" s="11"/>
      <c r="B2042" s="25"/>
      <c r="C2042" s="23"/>
      <c r="D2042" s="23"/>
      <c r="E2042" s="23"/>
      <c r="F2042" s="23"/>
      <c r="G2042" s="23"/>
    </row>
    <row r="2043">
      <c r="A2043" s="11"/>
      <c r="B2043" s="25"/>
      <c r="C2043" s="23"/>
      <c r="D2043" s="23"/>
      <c r="E2043" s="23"/>
      <c r="F2043" s="23"/>
      <c r="G2043" s="23"/>
    </row>
    <row r="2044">
      <c r="A2044" s="11"/>
      <c r="B2044" s="25"/>
      <c r="C2044" s="23"/>
      <c r="D2044" s="23"/>
      <c r="E2044" s="23"/>
      <c r="F2044" s="23"/>
      <c r="G2044" s="23"/>
    </row>
    <row r="2045">
      <c r="A2045" s="11"/>
      <c r="B2045" s="25"/>
      <c r="C2045" s="23"/>
      <c r="D2045" s="23"/>
      <c r="E2045" s="23"/>
      <c r="F2045" s="23"/>
      <c r="G2045" s="23"/>
    </row>
    <row r="2046">
      <c r="A2046" s="11"/>
      <c r="B2046" s="25"/>
      <c r="C2046" s="23"/>
      <c r="D2046" s="23"/>
      <c r="E2046" s="23"/>
      <c r="F2046" s="23"/>
      <c r="G2046" s="23"/>
    </row>
    <row r="2047">
      <c r="A2047" s="11"/>
      <c r="B2047" s="25"/>
      <c r="C2047" s="23"/>
      <c r="D2047" s="23"/>
      <c r="E2047" s="23"/>
      <c r="F2047" s="23"/>
      <c r="G2047" s="23"/>
    </row>
    <row r="2048">
      <c r="A2048" s="11"/>
      <c r="B2048" s="25"/>
      <c r="C2048" s="23"/>
      <c r="D2048" s="23"/>
      <c r="E2048" s="23"/>
      <c r="F2048" s="23"/>
      <c r="G2048" s="23"/>
    </row>
    <row r="2049">
      <c r="A2049" s="11"/>
      <c r="B2049" s="25"/>
      <c r="C2049" s="23"/>
      <c r="D2049" s="23"/>
      <c r="E2049" s="23"/>
      <c r="F2049" s="23"/>
      <c r="G2049" s="23"/>
    </row>
    <row r="2050">
      <c r="A2050" s="11"/>
      <c r="B2050" s="25"/>
      <c r="C2050" s="23"/>
      <c r="D2050" s="23"/>
      <c r="E2050" s="23"/>
      <c r="F2050" s="23"/>
      <c r="G2050" s="23"/>
    </row>
    <row r="2051">
      <c r="A2051" s="11"/>
      <c r="B2051" s="25"/>
      <c r="C2051" s="23"/>
      <c r="D2051" s="23"/>
      <c r="E2051" s="23"/>
      <c r="F2051" s="23"/>
      <c r="G2051" s="23"/>
    </row>
    <row r="2052">
      <c r="A2052" s="11"/>
      <c r="B2052" s="25"/>
      <c r="C2052" s="23"/>
      <c r="D2052" s="23"/>
      <c r="E2052" s="23"/>
      <c r="F2052" s="23"/>
      <c r="G2052" s="23"/>
    </row>
    <row r="2053">
      <c r="A2053" s="11"/>
      <c r="B2053" s="25"/>
      <c r="C2053" s="23"/>
      <c r="D2053" s="23"/>
      <c r="E2053" s="23"/>
      <c r="F2053" s="23"/>
      <c r="G2053" s="23"/>
    </row>
    <row r="2054">
      <c r="A2054" s="11"/>
      <c r="B2054" s="25"/>
      <c r="C2054" s="23"/>
      <c r="D2054" s="23"/>
      <c r="E2054" s="23"/>
      <c r="F2054" s="23"/>
      <c r="G2054" s="23"/>
    </row>
    <row r="2055">
      <c r="A2055" s="11"/>
      <c r="B2055" s="25"/>
      <c r="C2055" s="23"/>
      <c r="D2055" s="23"/>
      <c r="E2055" s="23"/>
      <c r="F2055" s="23"/>
      <c r="G2055" s="23"/>
    </row>
    <row r="2056">
      <c r="A2056" s="11"/>
      <c r="B2056" s="25"/>
      <c r="C2056" s="23"/>
      <c r="D2056" s="23"/>
      <c r="E2056" s="23"/>
      <c r="F2056" s="23"/>
      <c r="G2056" s="23"/>
    </row>
    <row r="2057">
      <c r="A2057" s="11"/>
      <c r="B2057" s="25"/>
      <c r="C2057" s="23"/>
      <c r="D2057" s="23"/>
      <c r="E2057" s="23"/>
      <c r="F2057" s="23"/>
      <c r="G2057" s="23"/>
    </row>
    <row r="2058">
      <c r="A2058" s="11"/>
      <c r="B2058" s="25"/>
      <c r="C2058" s="23"/>
      <c r="D2058" s="23"/>
      <c r="E2058" s="23"/>
      <c r="F2058" s="23"/>
      <c r="G2058" s="23"/>
    </row>
    <row r="2059">
      <c r="A2059" s="11"/>
      <c r="B2059" s="25"/>
      <c r="C2059" s="23"/>
      <c r="D2059" s="23"/>
      <c r="E2059" s="23"/>
      <c r="F2059" s="23"/>
      <c r="G2059" s="23"/>
    </row>
    <row r="2060">
      <c r="A2060" s="11"/>
      <c r="B2060" s="25"/>
      <c r="C2060" s="23"/>
      <c r="D2060" s="23"/>
      <c r="E2060" s="23"/>
      <c r="F2060" s="23"/>
      <c r="G2060" s="23"/>
    </row>
    <row r="2061">
      <c r="A2061" s="11"/>
      <c r="B2061" s="25"/>
      <c r="C2061" s="23"/>
      <c r="D2061" s="23"/>
      <c r="E2061" s="23"/>
      <c r="F2061" s="23"/>
      <c r="G2061" s="23"/>
    </row>
    <row r="2062">
      <c r="A2062" s="11"/>
      <c r="B2062" s="25"/>
      <c r="C2062" s="23"/>
      <c r="D2062" s="23"/>
      <c r="E2062" s="23"/>
      <c r="F2062" s="23"/>
      <c r="G2062" s="23"/>
    </row>
    <row r="2063">
      <c r="A2063" s="11"/>
      <c r="B2063" s="25"/>
      <c r="C2063" s="23"/>
      <c r="D2063" s="23"/>
      <c r="E2063" s="23"/>
      <c r="F2063" s="23"/>
      <c r="G2063" s="23"/>
    </row>
    <row r="2064">
      <c r="A2064" s="11"/>
      <c r="B2064" s="25"/>
      <c r="C2064" s="23"/>
      <c r="D2064" s="23"/>
      <c r="E2064" s="23"/>
      <c r="F2064" s="23"/>
      <c r="G2064" s="23"/>
    </row>
    <row r="2065">
      <c r="A2065" s="11"/>
      <c r="B2065" s="25"/>
      <c r="C2065" s="23"/>
      <c r="D2065" s="23"/>
      <c r="E2065" s="23"/>
      <c r="F2065" s="23"/>
      <c r="G2065" s="23"/>
    </row>
    <row r="2066">
      <c r="A2066" s="11"/>
      <c r="B2066" s="25"/>
      <c r="C2066" s="23"/>
      <c r="D2066" s="23"/>
      <c r="E2066" s="23"/>
      <c r="F2066" s="23"/>
      <c r="G2066" s="23"/>
    </row>
    <row r="2067">
      <c r="A2067" s="11"/>
      <c r="B2067" s="25"/>
      <c r="C2067" s="23"/>
      <c r="D2067" s="23"/>
      <c r="E2067" s="23"/>
      <c r="F2067" s="23"/>
      <c r="G2067" s="23"/>
    </row>
    <row r="2068">
      <c r="A2068" s="11"/>
      <c r="B2068" s="25"/>
      <c r="C2068" s="23"/>
      <c r="D2068" s="23"/>
      <c r="E2068" s="23"/>
      <c r="F2068" s="23"/>
      <c r="G2068" s="23"/>
    </row>
    <row r="2069">
      <c r="A2069" s="11"/>
      <c r="B2069" s="25"/>
      <c r="C2069" s="23"/>
      <c r="D2069" s="23"/>
      <c r="E2069" s="23"/>
      <c r="F2069" s="23"/>
      <c r="G2069" s="23"/>
    </row>
    <row r="2070">
      <c r="A2070" s="11"/>
      <c r="B2070" s="25"/>
      <c r="C2070" s="23"/>
      <c r="D2070" s="23"/>
      <c r="E2070" s="23"/>
      <c r="F2070" s="23"/>
      <c r="G2070" s="23"/>
    </row>
    <row r="2071">
      <c r="A2071" s="11"/>
      <c r="B2071" s="25"/>
      <c r="C2071" s="23"/>
      <c r="D2071" s="23"/>
      <c r="E2071" s="23"/>
      <c r="F2071" s="23"/>
      <c r="G2071" s="23"/>
    </row>
    <row r="2072">
      <c r="A2072" s="11"/>
      <c r="B2072" s="25"/>
      <c r="C2072" s="23"/>
      <c r="D2072" s="23"/>
      <c r="E2072" s="23"/>
      <c r="F2072" s="23"/>
      <c r="G2072" s="23"/>
    </row>
    <row r="2073">
      <c r="A2073" s="11"/>
      <c r="B2073" s="25"/>
      <c r="C2073" s="23"/>
      <c r="D2073" s="23"/>
      <c r="E2073" s="23"/>
      <c r="F2073" s="23"/>
      <c r="G2073" s="23"/>
    </row>
    <row r="2074">
      <c r="A2074" s="11"/>
      <c r="B2074" s="25"/>
      <c r="C2074" s="23"/>
      <c r="D2074" s="23"/>
      <c r="E2074" s="23"/>
      <c r="F2074" s="23"/>
      <c r="G2074" s="23"/>
    </row>
    <row r="2075">
      <c r="A2075" s="11"/>
      <c r="B2075" s="25"/>
      <c r="C2075" s="23"/>
      <c r="D2075" s="23"/>
      <c r="E2075" s="23"/>
      <c r="F2075" s="23"/>
      <c r="G2075" s="23"/>
    </row>
    <row r="2076">
      <c r="A2076" s="11"/>
      <c r="B2076" s="25"/>
      <c r="C2076" s="23"/>
      <c r="D2076" s="23"/>
      <c r="E2076" s="23"/>
      <c r="F2076" s="23"/>
      <c r="G2076" s="23"/>
    </row>
    <row r="2077">
      <c r="A2077" s="11"/>
      <c r="B2077" s="25"/>
      <c r="C2077" s="23"/>
      <c r="D2077" s="23"/>
      <c r="E2077" s="23"/>
      <c r="F2077" s="23"/>
      <c r="G2077" s="23"/>
    </row>
    <row r="2078">
      <c r="A2078" s="11"/>
      <c r="B2078" s="25"/>
      <c r="C2078" s="23"/>
      <c r="D2078" s="23"/>
      <c r="E2078" s="23"/>
      <c r="F2078" s="23"/>
      <c r="G2078" s="23"/>
    </row>
    <row r="2079">
      <c r="A2079" s="11"/>
      <c r="B2079" s="25"/>
      <c r="C2079" s="23"/>
      <c r="D2079" s="23"/>
      <c r="E2079" s="23"/>
      <c r="F2079" s="23"/>
      <c r="G2079" s="23"/>
    </row>
    <row r="2080">
      <c r="A2080" s="11"/>
      <c r="B2080" s="25"/>
      <c r="C2080" s="23"/>
      <c r="D2080" s="23"/>
      <c r="E2080" s="23"/>
      <c r="F2080" s="23"/>
      <c r="G2080" s="23"/>
    </row>
    <row r="2081">
      <c r="A2081" s="11"/>
      <c r="B2081" s="25"/>
      <c r="C2081" s="23"/>
      <c r="D2081" s="23"/>
      <c r="E2081" s="23"/>
      <c r="F2081" s="23"/>
      <c r="G2081" s="23"/>
    </row>
    <row r="2082">
      <c r="A2082" s="11"/>
      <c r="B2082" s="25"/>
      <c r="C2082" s="23"/>
      <c r="D2082" s="23"/>
      <c r="E2082" s="23"/>
      <c r="F2082" s="23"/>
      <c r="G2082" s="23"/>
    </row>
    <row r="2083">
      <c r="A2083" s="11"/>
      <c r="B2083" s="25"/>
      <c r="C2083" s="23"/>
      <c r="D2083" s="23"/>
      <c r="E2083" s="23"/>
      <c r="F2083" s="23"/>
      <c r="G2083" s="23"/>
    </row>
    <row r="2084">
      <c r="A2084" s="11"/>
      <c r="B2084" s="25"/>
      <c r="C2084" s="23"/>
      <c r="D2084" s="23"/>
      <c r="E2084" s="23"/>
      <c r="F2084" s="23"/>
      <c r="G2084" s="23"/>
    </row>
    <row r="2085">
      <c r="A2085" s="11"/>
      <c r="B2085" s="25"/>
      <c r="C2085" s="23"/>
      <c r="D2085" s="23"/>
      <c r="E2085" s="23"/>
      <c r="F2085" s="23"/>
      <c r="G2085" s="23"/>
    </row>
    <row r="2086">
      <c r="A2086" s="11"/>
      <c r="B2086" s="25"/>
      <c r="C2086" s="23"/>
      <c r="D2086" s="23"/>
      <c r="E2086" s="23"/>
      <c r="F2086" s="23"/>
      <c r="G2086" s="23"/>
    </row>
    <row r="2087">
      <c r="A2087" s="11"/>
      <c r="B2087" s="25"/>
      <c r="C2087" s="23"/>
      <c r="D2087" s="23"/>
      <c r="E2087" s="23"/>
      <c r="F2087" s="23"/>
      <c r="G2087" s="23"/>
    </row>
    <row r="2088">
      <c r="A2088" s="11"/>
      <c r="B2088" s="25"/>
      <c r="C2088" s="23"/>
      <c r="D2088" s="23"/>
      <c r="E2088" s="23"/>
      <c r="F2088" s="23"/>
      <c r="G2088" s="23"/>
    </row>
    <row r="2089">
      <c r="A2089" s="11"/>
      <c r="B2089" s="25"/>
      <c r="C2089" s="23"/>
      <c r="D2089" s="23"/>
      <c r="E2089" s="23"/>
      <c r="F2089" s="23"/>
      <c r="G2089" s="23"/>
    </row>
    <row r="2090">
      <c r="A2090" s="11"/>
      <c r="B2090" s="25"/>
      <c r="C2090" s="23"/>
      <c r="D2090" s="23"/>
      <c r="E2090" s="23"/>
      <c r="F2090" s="23"/>
      <c r="G2090" s="23"/>
    </row>
    <row r="2091">
      <c r="A2091" s="11"/>
      <c r="B2091" s="25"/>
      <c r="C2091" s="23"/>
      <c r="D2091" s="23"/>
      <c r="E2091" s="23"/>
      <c r="F2091" s="23"/>
      <c r="G2091" s="23"/>
    </row>
    <row r="2092">
      <c r="A2092" s="11"/>
      <c r="B2092" s="25"/>
      <c r="C2092" s="23"/>
      <c r="D2092" s="23"/>
      <c r="E2092" s="23"/>
      <c r="F2092" s="23"/>
      <c r="G2092" s="23"/>
    </row>
    <row r="2093">
      <c r="A2093" s="11"/>
      <c r="B2093" s="25"/>
      <c r="C2093" s="23"/>
      <c r="D2093" s="23"/>
      <c r="E2093" s="23"/>
      <c r="F2093" s="23"/>
      <c r="G2093" s="23"/>
    </row>
    <row r="2094">
      <c r="A2094" s="11"/>
      <c r="B2094" s="25"/>
      <c r="C2094" s="23"/>
      <c r="D2094" s="23"/>
      <c r="E2094" s="23"/>
      <c r="F2094" s="23"/>
      <c r="G2094" s="23"/>
    </row>
    <row r="2095">
      <c r="A2095" s="11"/>
      <c r="B2095" s="25"/>
      <c r="C2095" s="23"/>
      <c r="D2095" s="23"/>
      <c r="E2095" s="23"/>
      <c r="F2095" s="23"/>
      <c r="G2095" s="23"/>
    </row>
    <row r="2096">
      <c r="A2096" s="11"/>
      <c r="B2096" s="25"/>
      <c r="C2096" s="23"/>
      <c r="D2096" s="23"/>
      <c r="E2096" s="23"/>
      <c r="F2096" s="23"/>
      <c r="G2096" s="23"/>
    </row>
    <row r="2097">
      <c r="A2097" s="11"/>
      <c r="B2097" s="25"/>
      <c r="C2097" s="23"/>
      <c r="D2097" s="23"/>
      <c r="E2097" s="23"/>
      <c r="F2097" s="23"/>
      <c r="G2097" s="23"/>
    </row>
    <row r="2098">
      <c r="A2098" s="11"/>
      <c r="B2098" s="25"/>
      <c r="C2098" s="23"/>
      <c r="D2098" s="23"/>
      <c r="E2098" s="23"/>
      <c r="F2098" s="23"/>
      <c r="G2098" s="23"/>
    </row>
    <row r="2099">
      <c r="A2099" s="11"/>
      <c r="B2099" s="25"/>
      <c r="C2099" s="23"/>
      <c r="D2099" s="23"/>
      <c r="E2099" s="23"/>
      <c r="F2099" s="23"/>
      <c r="G2099" s="23"/>
    </row>
    <row r="2100">
      <c r="A2100" s="11"/>
      <c r="B2100" s="25"/>
      <c r="C2100" s="23"/>
      <c r="D2100" s="23"/>
      <c r="E2100" s="23"/>
      <c r="F2100" s="23"/>
      <c r="G2100" s="23"/>
    </row>
    <row r="2101">
      <c r="A2101" s="11"/>
      <c r="B2101" s="25"/>
      <c r="C2101" s="23"/>
      <c r="D2101" s="23"/>
      <c r="E2101" s="23"/>
      <c r="F2101" s="23"/>
      <c r="G2101" s="23"/>
    </row>
    <row r="2102">
      <c r="A2102" s="11"/>
      <c r="B2102" s="25"/>
      <c r="C2102" s="23"/>
      <c r="D2102" s="23"/>
      <c r="E2102" s="23"/>
      <c r="F2102" s="23"/>
      <c r="G2102" s="23"/>
    </row>
    <row r="2103">
      <c r="A2103" s="11"/>
      <c r="B2103" s="25"/>
      <c r="C2103" s="23"/>
      <c r="D2103" s="23"/>
      <c r="E2103" s="23"/>
      <c r="F2103" s="23"/>
      <c r="G2103" s="23"/>
    </row>
    <row r="2104">
      <c r="A2104" s="11"/>
      <c r="B2104" s="25"/>
      <c r="C2104" s="23"/>
      <c r="D2104" s="23"/>
      <c r="E2104" s="23"/>
      <c r="F2104" s="23"/>
      <c r="G2104" s="23"/>
    </row>
    <row r="2105">
      <c r="A2105" s="11"/>
      <c r="B2105" s="25"/>
      <c r="C2105" s="23"/>
      <c r="D2105" s="23"/>
      <c r="E2105" s="23"/>
      <c r="F2105" s="23"/>
      <c r="G2105" s="23"/>
    </row>
    <row r="2106">
      <c r="A2106" s="11"/>
      <c r="B2106" s="25"/>
      <c r="C2106" s="23"/>
      <c r="D2106" s="23"/>
      <c r="E2106" s="23"/>
      <c r="F2106" s="23"/>
      <c r="G2106" s="23"/>
    </row>
    <row r="2107">
      <c r="A2107" s="11"/>
      <c r="B2107" s="25"/>
      <c r="C2107" s="23"/>
      <c r="D2107" s="23"/>
      <c r="E2107" s="23"/>
      <c r="F2107" s="23"/>
      <c r="G2107" s="23"/>
    </row>
    <row r="2108">
      <c r="A2108" s="11"/>
      <c r="B2108" s="25"/>
      <c r="C2108" s="23"/>
      <c r="D2108" s="23"/>
      <c r="E2108" s="23"/>
      <c r="F2108" s="23"/>
      <c r="G2108" s="23"/>
    </row>
    <row r="2109">
      <c r="A2109" s="11"/>
      <c r="B2109" s="25"/>
      <c r="C2109" s="23"/>
      <c r="D2109" s="23"/>
      <c r="E2109" s="23"/>
      <c r="F2109" s="23"/>
      <c r="G2109" s="23"/>
    </row>
    <row r="2110">
      <c r="A2110" s="11"/>
      <c r="B2110" s="25"/>
      <c r="C2110" s="23"/>
      <c r="D2110" s="23"/>
      <c r="E2110" s="23"/>
      <c r="F2110" s="23"/>
      <c r="G2110" s="23"/>
    </row>
    <row r="2111">
      <c r="A2111" s="11"/>
      <c r="B2111" s="25"/>
      <c r="C2111" s="23"/>
      <c r="D2111" s="23"/>
      <c r="E2111" s="23"/>
      <c r="F2111" s="23"/>
      <c r="G2111" s="23"/>
    </row>
    <row r="2112">
      <c r="A2112" s="11"/>
      <c r="B2112" s="25"/>
      <c r="C2112" s="23"/>
      <c r="D2112" s="23"/>
      <c r="E2112" s="23"/>
      <c r="F2112" s="23"/>
      <c r="G2112" s="23"/>
    </row>
    <row r="2113">
      <c r="A2113" s="11"/>
      <c r="B2113" s="25"/>
      <c r="C2113" s="23"/>
      <c r="D2113" s="23"/>
      <c r="E2113" s="23"/>
      <c r="F2113" s="23"/>
      <c r="G2113" s="23"/>
    </row>
    <row r="2114">
      <c r="A2114" s="11"/>
      <c r="B2114" s="25"/>
      <c r="C2114" s="23"/>
      <c r="D2114" s="23"/>
      <c r="E2114" s="23"/>
      <c r="F2114" s="23"/>
      <c r="G2114" s="23"/>
    </row>
    <row r="2115">
      <c r="A2115" s="11"/>
      <c r="B2115" s="25"/>
      <c r="C2115" s="23"/>
      <c r="D2115" s="23"/>
      <c r="E2115" s="23"/>
      <c r="F2115" s="23"/>
      <c r="G2115" s="23"/>
    </row>
    <row r="2116">
      <c r="A2116" s="11"/>
      <c r="B2116" s="25"/>
      <c r="C2116" s="23"/>
      <c r="D2116" s="23"/>
      <c r="E2116" s="23"/>
      <c r="F2116" s="23"/>
      <c r="G2116" s="23"/>
    </row>
    <row r="2117">
      <c r="A2117" s="11"/>
      <c r="B2117" s="25"/>
      <c r="C2117" s="23"/>
      <c r="D2117" s="23"/>
      <c r="E2117" s="23"/>
      <c r="F2117" s="23"/>
      <c r="G2117" s="23"/>
    </row>
    <row r="2118">
      <c r="A2118" s="11"/>
      <c r="B2118" s="25"/>
      <c r="C2118" s="23"/>
      <c r="D2118" s="23"/>
      <c r="E2118" s="23"/>
      <c r="F2118" s="23"/>
      <c r="G2118" s="23"/>
    </row>
    <row r="2119">
      <c r="A2119" s="11"/>
      <c r="B2119" s="25"/>
      <c r="C2119" s="23"/>
      <c r="D2119" s="23"/>
      <c r="E2119" s="23"/>
      <c r="F2119" s="23"/>
      <c r="G2119" s="23"/>
    </row>
    <row r="2120">
      <c r="A2120" s="11"/>
      <c r="B2120" s="25"/>
      <c r="C2120" s="23"/>
      <c r="D2120" s="23"/>
      <c r="E2120" s="23"/>
      <c r="F2120" s="23"/>
      <c r="G2120" s="23"/>
    </row>
    <row r="2121">
      <c r="A2121" s="11"/>
      <c r="B2121" s="25"/>
      <c r="C2121" s="23"/>
      <c r="D2121" s="23"/>
      <c r="E2121" s="23"/>
      <c r="F2121" s="23"/>
      <c r="G2121" s="23"/>
    </row>
    <row r="2122">
      <c r="A2122" s="11"/>
      <c r="B2122" s="25"/>
      <c r="C2122" s="23"/>
      <c r="D2122" s="23"/>
      <c r="E2122" s="23"/>
      <c r="F2122" s="23"/>
      <c r="G2122" s="23"/>
    </row>
    <row r="2123">
      <c r="A2123" s="11"/>
      <c r="B2123" s="25"/>
      <c r="C2123" s="23"/>
      <c r="D2123" s="23"/>
      <c r="E2123" s="23"/>
      <c r="F2123" s="23"/>
      <c r="G2123" s="23"/>
    </row>
    <row r="2124">
      <c r="A2124" s="11"/>
      <c r="B2124" s="25"/>
      <c r="C2124" s="23"/>
      <c r="D2124" s="23"/>
      <c r="E2124" s="23"/>
      <c r="F2124" s="23"/>
      <c r="G2124" s="23"/>
    </row>
    <row r="2125">
      <c r="A2125" s="11"/>
      <c r="B2125" s="25"/>
      <c r="C2125" s="23"/>
      <c r="D2125" s="23"/>
      <c r="E2125" s="23"/>
      <c r="F2125" s="23"/>
      <c r="G2125" s="23"/>
    </row>
    <row r="2126">
      <c r="A2126" s="11"/>
      <c r="B2126" s="25"/>
      <c r="C2126" s="23"/>
      <c r="D2126" s="23"/>
      <c r="E2126" s="23"/>
      <c r="F2126" s="23"/>
      <c r="G2126" s="23"/>
    </row>
    <row r="2127">
      <c r="A2127" s="11"/>
      <c r="B2127" s="25"/>
      <c r="C2127" s="23"/>
      <c r="D2127" s="23"/>
      <c r="E2127" s="23"/>
      <c r="F2127" s="23"/>
      <c r="G2127" s="23"/>
    </row>
    <row r="2128">
      <c r="A2128" s="11"/>
      <c r="B2128" s="25"/>
      <c r="C2128" s="23"/>
      <c r="D2128" s="23"/>
      <c r="E2128" s="23"/>
      <c r="F2128" s="23"/>
      <c r="G2128" s="23"/>
    </row>
    <row r="2129">
      <c r="A2129" s="11"/>
      <c r="B2129" s="25"/>
      <c r="C2129" s="23"/>
      <c r="D2129" s="23"/>
      <c r="E2129" s="23"/>
      <c r="F2129" s="23"/>
      <c r="G2129" s="23"/>
    </row>
    <row r="2130">
      <c r="A2130" s="11"/>
      <c r="B2130" s="25"/>
      <c r="C2130" s="23"/>
      <c r="D2130" s="23"/>
      <c r="E2130" s="23"/>
      <c r="F2130" s="23"/>
      <c r="G2130" s="23"/>
    </row>
    <row r="2131">
      <c r="A2131" s="11"/>
      <c r="B2131" s="25"/>
      <c r="C2131" s="23"/>
      <c r="D2131" s="23"/>
      <c r="E2131" s="23"/>
      <c r="F2131" s="23"/>
      <c r="G2131" s="23"/>
    </row>
    <row r="2132">
      <c r="A2132" s="11"/>
      <c r="B2132" s="25"/>
      <c r="C2132" s="23"/>
      <c r="D2132" s="23"/>
      <c r="E2132" s="23"/>
      <c r="F2132" s="23"/>
      <c r="G2132" s="23"/>
    </row>
    <row r="2133">
      <c r="A2133" s="11"/>
      <c r="B2133" s="25"/>
      <c r="C2133" s="23"/>
      <c r="D2133" s="23"/>
      <c r="E2133" s="23"/>
      <c r="F2133" s="23"/>
      <c r="G2133" s="23"/>
    </row>
    <row r="2134">
      <c r="A2134" s="11"/>
      <c r="B2134" s="25"/>
      <c r="C2134" s="23"/>
      <c r="D2134" s="23"/>
      <c r="E2134" s="23"/>
      <c r="F2134" s="23"/>
      <c r="G2134" s="23"/>
    </row>
    <row r="2135">
      <c r="A2135" s="11"/>
      <c r="B2135" s="25"/>
      <c r="C2135" s="23"/>
      <c r="D2135" s="23"/>
      <c r="E2135" s="23"/>
      <c r="F2135" s="23"/>
      <c r="G2135" s="23"/>
    </row>
    <row r="2136">
      <c r="A2136" s="11"/>
      <c r="B2136" s="25"/>
      <c r="C2136" s="23"/>
      <c r="D2136" s="23"/>
      <c r="E2136" s="23"/>
      <c r="F2136" s="23"/>
      <c r="G2136" s="23"/>
    </row>
    <row r="2137">
      <c r="A2137" s="11"/>
      <c r="B2137" s="25"/>
      <c r="C2137" s="23"/>
      <c r="D2137" s="23"/>
      <c r="E2137" s="23"/>
      <c r="F2137" s="23"/>
      <c r="G2137" s="23"/>
    </row>
    <row r="2138">
      <c r="A2138" s="11"/>
      <c r="B2138" s="25"/>
      <c r="C2138" s="23"/>
      <c r="D2138" s="23"/>
      <c r="E2138" s="23"/>
      <c r="F2138" s="23"/>
      <c r="G2138" s="23"/>
    </row>
    <row r="2139">
      <c r="A2139" s="11"/>
      <c r="B2139" s="25"/>
      <c r="C2139" s="23"/>
      <c r="D2139" s="23"/>
      <c r="E2139" s="23"/>
      <c r="F2139" s="23"/>
      <c r="G2139" s="23"/>
    </row>
    <row r="2140">
      <c r="A2140" s="11"/>
      <c r="B2140" s="25"/>
      <c r="C2140" s="23"/>
      <c r="D2140" s="23"/>
      <c r="E2140" s="23"/>
      <c r="F2140" s="23"/>
      <c r="G2140" s="23"/>
    </row>
    <row r="2141">
      <c r="A2141" s="11"/>
      <c r="B2141" s="25"/>
      <c r="C2141" s="23"/>
      <c r="D2141" s="23"/>
      <c r="E2141" s="23"/>
      <c r="F2141" s="23"/>
      <c r="G2141" s="23"/>
    </row>
    <row r="2142">
      <c r="A2142" s="11"/>
      <c r="B2142" s="25"/>
      <c r="C2142" s="23"/>
      <c r="D2142" s="23"/>
      <c r="E2142" s="23"/>
      <c r="F2142" s="23"/>
      <c r="G2142" s="23"/>
    </row>
    <row r="2143">
      <c r="A2143" s="11"/>
      <c r="B2143" s="25"/>
      <c r="C2143" s="23"/>
      <c r="D2143" s="23"/>
      <c r="E2143" s="23"/>
      <c r="F2143" s="23"/>
      <c r="G2143" s="23"/>
    </row>
    <row r="2144">
      <c r="A2144" s="11"/>
      <c r="B2144" s="25"/>
      <c r="C2144" s="23"/>
      <c r="D2144" s="23"/>
      <c r="E2144" s="23"/>
      <c r="F2144" s="23"/>
      <c r="G2144" s="23"/>
    </row>
    <row r="2145">
      <c r="A2145" s="11"/>
      <c r="B2145" s="25"/>
      <c r="C2145" s="23"/>
      <c r="D2145" s="23"/>
      <c r="E2145" s="23"/>
      <c r="F2145" s="23"/>
      <c r="G2145" s="23"/>
    </row>
    <row r="2146">
      <c r="A2146" s="11"/>
      <c r="B2146" s="25"/>
      <c r="C2146" s="23"/>
      <c r="D2146" s="23"/>
      <c r="E2146" s="23"/>
      <c r="F2146" s="23"/>
      <c r="G2146" s="23"/>
    </row>
    <row r="2147">
      <c r="A2147" s="11"/>
      <c r="B2147" s="25"/>
      <c r="C2147" s="23"/>
      <c r="D2147" s="23"/>
      <c r="E2147" s="23"/>
      <c r="F2147" s="23"/>
      <c r="G2147" s="23"/>
    </row>
    <row r="2148">
      <c r="A2148" s="11"/>
      <c r="B2148" s="25"/>
      <c r="C2148" s="23"/>
      <c r="D2148" s="23"/>
      <c r="E2148" s="23"/>
      <c r="F2148" s="23"/>
      <c r="G2148" s="23"/>
    </row>
    <row r="2149">
      <c r="A2149" s="11"/>
      <c r="B2149" s="25"/>
      <c r="C2149" s="23"/>
      <c r="D2149" s="23"/>
      <c r="E2149" s="23"/>
      <c r="F2149" s="23"/>
      <c r="G2149" s="23"/>
    </row>
    <row r="2150">
      <c r="A2150" s="11"/>
      <c r="B2150" s="25"/>
      <c r="C2150" s="23"/>
      <c r="D2150" s="23"/>
      <c r="E2150" s="23"/>
      <c r="F2150" s="23"/>
      <c r="G2150" s="23"/>
    </row>
    <row r="2151">
      <c r="A2151" s="11"/>
      <c r="B2151" s="25"/>
      <c r="C2151" s="23"/>
      <c r="D2151" s="23"/>
      <c r="E2151" s="23"/>
      <c r="F2151" s="23"/>
      <c r="G2151" s="23"/>
    </row>
    <row r="2152">
      <c r="A2152" s="11"/>
      <c r="B2152" s="25"/>
      <c r="C2152" s="23"/>
      <c r="D2152" s="23"/>
      <c r="E2152" s="23"/>
      <c r="F2152" s="23"/>
      <c r="G2152" s="23"/>
    </row>
    <row r="2153">
      <c r="A2153" s="11"/>
      <c r="B2153" s="25"/>
      <c r="C2153" s="23"/>
      <c r="D2153" s="23"/>
      <c r="E2153" s="23"/>
      <c r="F2153" s="23"/>
      <c r="G2153" s="23"/>
    </row>
    <row r="2154">
      <c r="A2154" s="11"/>
      <c r="B2154" s="25"/>
      <c r="C2154" s="23"/>
      <c r="D2154" s="23"/>
      <c r="E2154" s="23"/>
      <c r="F2154" s="23"/>
      <c r="G2154" s="23"/>
    </row>
    <row r="2155">
      <c r="A2155" s="11"/>
      <c r="B2155" s="25"/>
      <c r="C2155" s="23"/>
      <c r="D2155" s="23"/>
      <c r="E2155" s="23"/>
      <c r="F2155" s="23"/>
      <c r="G2155" s="23"/>
    </row>
    <row r="2156">
      <c r="A2156" s="11"/>
      <c r="B2156" s="25"/>
      <c r="C2156" s="23"/>
      <c r="D2156" s="23"/>
      <c r="E2156" s="23"/>
      <c r="F2156" s="23"/>
      <c r="G2156" s="23"/>
    </row>
    <row r="2157">
      <c r="A2157" s="11"/>
      <c r="B2157" s="25"/>
      <c r="C2157" s="23"/>
      <c r="D2157" s="23"/>
      <c r="E2157" s="23"/>
      <c r="F2157" s="23"/>
      <c r="G2157" s="23"/>
    </row>
    <row r="2158">
      <c r="A2158" s="11"/>
      <c r="B2158" s="25"/>
      <c r="C2158" s="23"/>
      <c r="D2158" s="23"/>
      <c r="E2158" s="23"/>
      <c r="F2158" s="23"/>
      <c r="G2158" s="23"/>
    </row>
    <row r="2159">
      <c r="A2159" s="11"/>
      <c r="B2159" s="25"/>
      <c r="C2159" s="23"/>
      <c r="D2159" s="23"/>
      <c r="E2159" s="23"/>
      <c r="F2159" s="23"/>
      <c r="G2159" s="23"/>
    </row>
    <row r="2160">
      <c r="A2160" s="11"/>
      <c r="B2160" s="25"/>
      <c r="C2160" s="23"/>
      <c r="D2160" s="23"/>
      <c r="E2160" s="23"/>
      <c r="F2160" s="23"/>
      <c r="G2160" s="23"/>
    </row>
    <row r="2161">
      <c r="A2161" s="11"/>
      <c r="B2161" s="25"/>
      <c r="C2161" s="23"/>
      <c r="D2161" s="23"/>
      <c r="E2161" s="23"/>
      <c r="F2161" s="23"/>
      <c r="G2161" s="23"/>
    </row>
    <row r="2162">
      <c r="A2162" s="11"/>
      <c r="B2162" s="25"/>
      <c r="C2162" s="23"/>
      <c r="D2162" s="23"/>
      <c r="E2162" s="23"/>
      <c r="F2162" s="23"/>
      <c r="G2162" s="23"/>
    </row>
    <row r="2163">
      <c r="A2163" s="11"/>
      <c r="B2163" s="25"/>
      <c r="C2163" s="23"/>
      <c r="D2163" s="23"/>
      <c r="E2163" s="23"/>
      <c r="F2163" s="23"/>
      <c r="G2163" s="23"/>
    </row>
    <row r="2164">
      <c r="A2164" s="11"/>
      <c r="B2164" s="25"/>
      <c r="C2164" s="23"/>
      <c r="D2164" s="23"/>
      <c r="E2164" s="23"/>
      <c r="F2164" s="23"/>
      <c r="G2164" s="23"/>
    </row>
    <row r="2165">
      <c r="A2165" s="11"/>
      <c r="B2165" s="25"/>
      <c r="C2165" s="23"/>
      <c r="D2165" s="23"/>
      <c r="E2165" s="23"/>
      <c r="F2165" s="23"/>
      <c r="G2165" s="23"/>
    </row>
    <row r="2166">
      <c r="A2166" s="11"/>
      <c r="B2166" s="25"/>
      <c r="C2166" s="23"/>
      <c r="D2166" s="23"/>
      <c r="E2166" s="23"/>
      <c r="F2166" s="23"/>
      <c r="G2166" s="23"/>
    </row>
    <row r="2167">
      <c r="A2167" s="11"/>
      <c r="B2167" s="25"/>
      <c r="C2167" s="23"/>
      <c r="D2167" s="23"/>
      <c r="E2167" s="23"/>
      <c r="F2167" s="23"/>
      <c r="G2167" s="23"/>
    </row>
    <row r="2168">
      <c r="A2168" s="11"/>
      <c r="B2168" s="25"/>
      <c r="C2168" s="23"/>
      <c r="D2168" s="23"/>
      <c r="E2168" s="23"/>
      <c r="F2168" s="23"/>
      <c r="G2168" s="23"/>
    </row>
    <row r="2169">
      <c r="A2169" s="11"/>
      <c r="B2169" s="25"/>
      <c r="C2169" s="23"/>
      <c r="D2169" s="23"/>
      <c r="E2169" s="23"/>
      <c r="F2169" s="23"/>
      <c r="G2169" s="23"/>
    </row>
    <row r="2170">
      <c r="A2170" s="11"/>
      <c r="B2170" s="25"/>
      <c r="C2170" s="23"/>
      <c r="D2170" s="23"/>
      <c r="E2170" s="23"/>
      <c r="F2170" s="23"/>
      <c r="G2170" s="23"/>
    </row>
    <row r="2171">
      <c r="A2171" s="11"/>
      <c r="B2171" s="25"/>
      <c r="C2171" s="23"/>
      <c r="D2171" s="23"/>
      <c r="E2171" s="23"/>
      <c r="F2171" s="23"/>
      <c r="G2171" s="23"/>
    </row>
    <row r="2172">
      <c r="A2172" s="11"/>
      <c r="B2172" s="25"/>
      <c r="C2172" s="23"/>
      <c r="D2172" s="23"/>
      <c r="E2172" s="23"/>
      <c r="F2172" s="23"/>
      <c r="G2172" s="23"/>
    </row>
    <row r="2173">
      <c r="A2173" s="11"/>
      <c r="B2173" s="25"/>
      <c r="C2173" s="23"/>
      <c r="D2173" s="23"/>
      <c r="E2173" s="23"/>
      <c r="F2173" s="23"/>
      <c r="G2173" s="23"/>
    </row>
    <row r="2174">
      <c r="A2174" s="11"/>
      <c r="B2174" s="25"/>
      <c r="C2174" s="23"/>
      <c r="D2174" s="23"/>
      <c r="E2174" s="23"/>
      <c r="F2174" s="23"/>
      <c r="G2174" s="23"/>
    </row>
    <row r="2175">
      <c r="A2175" s="11"/>
      <c r="B2175" s="25"/>
      <c r="C2175" s="23"/>
      <c r="D2175" s="23"/>
      <c r="E2175" s="23"/>
      <c r="F2175" s="23"/>
      <c r="G2175" s="23"/>
    </row>
    <row r="2176">
      <c r="A2176" s="11"/>
      <c r="B2176" s="25"/>
      <c r="C2176" s="23"/>
      <c r="D2176" s="23"/>
      <c r="E2176" s="23"/>
      <c r="F2176" s="23"/>
      <c r="G2176" s="23"/>
    </row>
    <row r="2177">
      <c r="A2177" s="11"/>
      <c r="B2177" s="25"/>
      <c r="C2177" s="23"/>
      <c r="D2177" s="23"/>
      <c r="E2177" s="23"/>
      <c r="F2177" s="23"/>
      <c r="G2177" s="23"/>
    </row>
    <row r="2178">
      <c r="A2178" s="11"/>
      <c r="B2178" s="25"/>
      <c r="C2178" s="23"/>
      <c r="D2178" s="23"/>
      <c r="E2178" s="23"/>
      <c r="F2178" s="23"/>
      <c r="G2178" s="23"/>
    </row>
    <row r="2179">
      <c r="A2179" s="11"/>
      <c r="B2179" s="25"/>
      <c r="C2179" s="23"/>
      <c r="D2179" s="23"/>
      <c r="E2179" s="23"/>
      <c r="F2179" s="23"/>
      <c r="G2179" s="23"/>
    </row>
    <row r="2180">
      <c r="A2180" s="11"/>
      <c r="B2180" s="25"/>
      <c r="C2180" s="23"/>
      <c r="D2180" s="23"/>
      <c r="E2180" s="23"/>
      <c r="F2180" s="23"/>
      <c r="G2180" s="23"/>
    </row>
    <row r="2181">
      <c r="A2181" s="11"/>
      <c r="B2181" s="25"/>
      <c r="C2181" s="23"/>
      <c r="D2181" s="23"/>
      <c r="E2181" s="23"/>
      <c r="F2181" s="23"/>
      <c r="G2181" s="23"/>
    </row>
    <row r="2182">
      <c r="A2182" s="11"/>
      <c r="B2182" s="25"/>
      <c r="C2182" s="23"/>
      <c r="D2182" s="23"/>
      <c r="E2182" s="23"/>
      <c r="F2182" s="23"/>
      <c r="G2182" s="23"/>
    </row>
    <row r="2183">
      <c r="A2183" s="11"/>
      <c r="B2183" s="25"/>
      <c r="C2183" s="23"/>
      <c r="D2183" s="23"/>
      <c r="E2183" s="23"/>
      <c r="F2183" s="23"/>
      <c r="G2183" s="23"/>
    </row>
    <row r="2184">
      <c r="A2184" s="11"/>
      <c r="B2184" s="25"/>
      <c r="C2184" s="23"/>
      <c r="D2184" s="23"/>
      <c r="E2184" s="23"/>
      <c r="F2184" s="23"/>
      <c r="G2184" s="23"/>
    </row>
    <row r="2185">
      <c r="A2185" s="11"/>
      <c r="B2185" s="25"/>
      <c r="C2185" s="23"/>
      <c r="D2185" s="23"/>
      <c r="E2185" s="23"/>
      <c r="F2185" s="23"/>
      <c r="G2185" s="23"/>
    </row>
    <row r="2186">
      <c r="A2186" s="11"/>
      <c r="B2186" s="25"/>
      <c r="C2186" s="23"/>
      <c r="D2186" s="23"/>
      <c r="E2186" s="23"/>
      <c r="F2186" s="23"/>
      <c r="G2186" s="23"/>
    </row>
    <row r="2187">
      <c r="A2187" s="11"/>
      <c r="B2187" s="25"/>
      <c r="C2187" s="23"/>
      <c r="D2187" s="23"/>
      <c r="E2187" s="23"/>
      <c r="F2187" s="23"/>
      <c r="G2187" s="23"/>
    </row>
    <row r="2188">
      <c r="A2188" s="11"/>
      <c r="B2188" s="25"/>
      <c r="C2188" s="23"/>
      <c r="D2188" s="23"/>
      <c r="E2188" s="23"/>
      <c r="F2188" s="23"/>
      <c r="G2188" s="23"/>
    </row>
    <row r="2189">
      <c r="A2189" s="11"/>
      <c r="B2189" s="25"/>
      <c r="C2189" s="23"/>
      <c r="D2189" s="23"/>
      <c r="E2189" s="23"/>
      <c r="F2189" s="23"/>
      <c r="G2189" s="23"/>
    </row>
    <row r="2190">
      <c r="A2190" s="11"/>
      <c r="B2190" s="25"/>
      <c r="C2190" s="23"/>
      <c r="D2190" s="23"/>
      <c r="E2190" s="23"/>
      <c r="F2190" s="23"/>
      <c r="G2190" s="23"/>
    </row>
    <row r="2191">
      <c r="A2191" s="11"/>
      <c r="B2191" s="25"/>
      <c r="C2191" s="23"/>
      <c r="D2191" s="23"/>
      <c r="E2191" s="23"/>
      <c r="F2191" s="23"/>
      <c r="G2191" s="23"/>
    </row>
    <row r="2192">
      <c r="A2192" s="11"/>
      <c r="B2192" s="25"/>
      <c r="C2192" s="23"/>
      <c r="D2192" s="23"/>
      <c r="E2192" s="23"/>
      <c r="F2192" s="23"/>
      <c r="G2192" s="23"/>
    </row>
    <row r="2193">
      <c r="A2193" s="11"/>
      <c r="B2193" s="25"/>
      <c r="C2193" s="23"/>
      <c r="D2193" s="23"/>
      <c r="E2193" s="23"/>
      <c r="F2193" s="23"/>
      <c r="G2193" s="23"/>
    </row>
    <row r="2194">
      <c r="A2194" s="11"/>
      <c r="B2194" s="25"/>
      <c r="C2194" s="23"/>
      <c r="D2194" s="23"/>
      <c r="E2194" s="23"/>
      <c r="F2194" s="23"/>
      <c r="G2194" s="23"/>
    </row>
    <row r="2195">
      <c r="A2195" s="11"/>
      <c r="B2195" s="25"/>
      <c r="C2195" s="23"/>
      <c r="D2195" s="23"/>
      <c r="E2195" s="23"/>
      <c r="F2195" s="23"/>
      <c r="G2195" s="23"/>
    </row>
    <row r="2196">
      <c r="A2196" s="11"/>
      <c r="B2196" s="25"/>
      <c r="C2196" s="23"/>
      <c r="D2196" s="23"/>
      <c r="E2196" s="23"/>
      <c r="F2196" s="23"/>
      <c r="G2196" s="23"/>
    </row>
    <row r="2197">
      <c r="A2197" s="11"/>
      <c r="B2197" s="25"/>
      <c r="C2197" s="23"/>
      <c r="D2197" s="23"/>
      <c r="E2197" s="23"/>
      <c r="F2197" s="23"/>
      <c r="G2197" s="23"/>
    </row>
    <row r="2198">
      <c r="A2198" s="11"/>
      <c r="B2198" s="25"/>
      <c r="C2198" s="23"/>
      <c r="D2198" s="23"/>
      <c r="E2198" s="23"/>
      <c r="F2198" s="23"/>
      <c r="G2198" s="23"/>
    </row>
    <row r="2199">
      <c r="A2199" s="11"/>
      <c r="B2199" s="25"/>
      <c r="C2199" s="23"/>
      <c r="D2199" s="23"/>
      <c r="E2199" s="23"/>
      <c r="F2199" s="23"/>
      <c r="G2199" s="23"/>
    </row>
    <row r="2200">
      <c r="A2200" s="11"/>
      <c r="B2200" s="25"/>
      <c r="C2200" s="23"/>
      <c r="D2200" s="23"/>
      <c r="E2200" s="23"/>
      <c r="F2200" s="23"/>
      <c r="G2200" s="23"/>
    </row>
    <row r="2201">
      <c r="A2201" s="11"/>
      <c r="B2201" s="25"/>
      <c r="C2201" s="23"/>
      <c r="D2201" s="23"/>
      <c r="E2201" s="23"/>
      <c r="F2201" s="23"/>
      <c r="G2201" s="23"/>
    </row>
    <row r="2202">
      <c r="A2202" s="11"/>
      <c r="B2202" s="25"/>
      <c r="C2202" s="23"/>
      <c r="D2202" s="23"/>
      <c r="E2202" s="23"/>
      <c r="F2202" s="23"/>
      <c r="G2202" s="23"/>
    </row>
    <row r="2203">
      <c r="A2203" s="11"/>
      <c r="B2203" s="25"/>
      <c r="C2203" s="23"/>
      <c r="D2203" s="23"/>
      <c r="E2203" s="23"/>
      <c r="F2203" s="23"/>
      <c r="G2203" s="23"/>
    </row>
    <row r="2204">
      <c r="A2204" s="11"/>
      <c r="B2204" s="25"/>
      <c r="C2204" s="23"/>
      <c r="D2204" s="23"/>
      <c r="E2204" s="23"/>
      <c r="F2204" s="23"/>
      <c r="G2204" s="23"/>
    </row>
    <row r="2205">
      <c r="A2205" s="11"/>
      <c r="B2205" s="25"/>
      <c r="C2205" s="23"/>
      <c r="D2205" s="23"/>
      <c r="E2205" s="23"/>
      <c r="F2205" s="23"/>
      <c r="G2205" s="23"/>
    </row>
    <row r="2206">
      <c r="A2206" s="11"/>
      <c r="B2206" s="25"/>
      <c r="C2206" s="23"/>
      <c r="D2206" s="23"/>
      <c r="E2206" s="23"/>
      <c r="F2206" s="23"/>
      <c r="G2206" s="23"/>
    </row>
    <row r="2207">
      <c r="A2207" s="11"/>
      <c r="B2207" s="25"/>
      <c r="C2207" s="23"/>
      <c r="D2207" s="23"/>
      <c r="E2207" s="23"/>
      <c r="F2207" s="23"/>
      <c r="G2207" s="23"/>
    </row>
    <row r="2208">
      <c r="A2208" s="11"/>
      <c r="B2208" s="25"/>
      <c r="C2208" s="23"/>
      <c r="D2208" s="23"/>
      <c r="E2208" s="23"/>
      <c r="F2208" s="23"/>
      <c r="G2208" s="23"/>
    </row>
    <row r="2209">
      <c r="A2209" s="11"/>
      <c r="B2209" s="25"/>
      <c r="C2209" s="23"/>
      <c r="D2209" s="23"/>
      <c r="E2209" s="23"/>
      <c r="F2209" s="23"/>
      <c r="G2209" s="23"/>
    </row>
    <row r="2210">
      <c r="A2210" s="11"/>
      <c r="B2210" s="25"/>
      <c r="C2210" s="23"/>
      <c r="D2210" s="23"/>
      <c r="E2210" s="23"/>
      <c r="F2210" s="23"/>
      <c r="G2210" s="23"/>
    </row>
    <row r="2211">
      <c r="A2211" s="11"/>
      <c r="B2211" s="25"/>
      <c r="C2211" s="23"/>
      <c r="D2211" s="23"/>
      <c r="E2211" s="23"/>
      <c r="F2211" s="23"/>
      <c r="G2211" s="23"/>
    </row>
    <row r="2212">
      <c r="A2212" s="11"/>
      <c r="B2212" s="25"/>
      <c r="C2212" s="23"/>
      <c r="D2212" s="23"/>
      <c r="E2212" s="23"/>
      <c r="F2212" s="23"/>
      <c r="G2212" s="23"/>
    </row>
    <row r="2213">
      <c r="A2213" s="11"/>
      <c r="B2213" s="25"/>
      <c r="C2213" s="23"/>
      <c r="D2213" s="23"/>
      <c r="E2213" s="23"/>
      <c r="F2213" s="23"/>
      <c r="G2213" s="23"/>
    </row>
    <row r="2214">
      <c r="A2214" s="11"/>
      <c r="B2214" s="25"/>
      <c r="C2214" s="23"/>
      <c r="D2214" s="23"/>
      <c r="E2214" s="23"/>
      <c r="F2214" s="23"/>
      <c r="G2214" s="23"/>
    </row>
    <row r="2215">
      <c r="A2215" s="11"/>
      <c r="B2215" s="25"/>
      <c r="C2215" s="23"/>
      <c r="D2215" s="23"/>
      <c r="E2215" s="23"/>
      <c r="F2215" s="23"/>
      <c r="G2215" s="23"/>
    </row>
    <row r="2216">
      <c r="A2216" s="11"/>
      <c r="B2216" s="25"/>
      <c r="C2216" s="23"/>
      <c r="D2216" s="23"/>
      <c r="E2216" s="23"/>
      <c r="F2216" s="23"/>
      <c r="G2216" s="23"/>
    </row>
    <row r="2217">
      <c r="A2217" s="11"/>
      <c r="B2217" s="25"/>
      <c r="C2217" s="23"/>
      <c r="D2217" s="23"/>
      <c r="E2217" s="23"/>
      <c r="F2217" s="23"/>
      <c r="G2217" s="23"/>
    </row>
    <row r="2218">
      <c r="A2218" s="11"/>
      <c r="B2218" s="25"/>
      <c r="C2218" s="23"/>
      <c r="D2218" s="23"/>
      <c r="E2218" s="23"/>
      <c r="F2218" s="23"/>
      <c r="G2218" s="23"/>
    </row>
    <row r="2219">
      <c r="A2219" s="11"/>
      <c r="B2219" s="25"/>
      <c r="C2219" s="23"/>
      <c r="D2219" s="23"/>
      <c r="E2219" s="23"/>
      <c r="F2219" s="23"/>
      <c r="G2219" s="23"/>
    </row>
    <row r="2220">
      <c r="A2220" s="11"/>
      <c r="B2220" s="25"/>
      <c r="C2220" s="23"/>
      <c r="D2220" s="23"/>
      <c r="E2220" s="23"/>
      <c r="F2220" s="23"/>
      <c r="G2220" s="23"/>
    </row>
    <row r="2221">
      <c r="A2221" s="11"/>
      <c r="B2221" s="25"/>
      <c r="C2221" s="23"/>
      <c r="D2221" s="23"/>
      <c r="E2221" s="23"/>
      <c r="F2221" s="23"/>
      <c r="G2221" s="23"/>
    </row>
    <row r="2222">
      <c r="A2222" s="11"/>
      <c r="B2222" s="25"/>
      <c r="C2222" s="23"/>
      <c r="D2222" s="23"/>
      <c r="E2222" s="23"/>
      <c r="F2222" s="23"/>
      <c r="G2222" s="23"/>
    </row>
    <row r="2223">
      <c r="A2223" s="11"/>
      <c r="B2223" s="25"/>
      <c r="C2223" s="23"/>
      <c r="D2223" s="23"/>
      <c r="E2223" s="23"/>
      <c r="F2223" s="23"/>
      <c r="G2223" s="23"/>
    </row>
    <row r="2224">
      <c r="A2224" s="11"/>
      <c r="B2224" s="25"/>
      <c r="C2224" s="23"/>
      <c r="D2224" s="23"/>
      <c r="E2224" s="23"/>
      <c r="F2224" s="23"/>
      <c r="G2224" s="23"/>
    </row>
    <row r="2225">
      <c r="A2225" s="11"/>
      <c r="B2225" s="25"/>
      <c r="C2225" s="23"/>
      <c r="D2225" s="23"/>
      <c r="E2225" s="23"/>
      <c r="F2225" s="23"/>
      <c r="G2225" s="23"/>
    </row>
    <row r="2226">
      <c r="A2226" s="11"/>
      <c r="B2226" s="25"/>
      <c r="C2226" s="23"/>
      <c r="D2226" s="23"/>
      <c r="E2226" s="23"/>
      <c r="F2226" s="23"/>
      <c r="G2226" s="23"/>
    </row>
    <row r="2227">
      <c r="A2227" s="11"/>
      <c r="B2227" s="25"/>
      <c r="C2227" s="23"/>
      <c r="D2227" s="23"/>
      <c r="E2227" s="23"/>
      <c r="F2227" s="23"/>
      <c r="G2227" s="23"/>
    </row>
    <row r="2228">
      <c r="A2228" s="11"/>
      <c r="B2228" s="25"/>
      <c r="C2228" s="23"/>
      <c r="D2228" s="23"/>
      <c r="E2228" s="23"/>
      <c r="F2228" s="23"/>
      <c r="G2228" s="23"/>
    </row>
    <row r="2229">
      <c r="A2229" s="11"/>
      <c r="B2229" s="25"/>
      <c r="C2229" s="23"/>
      <c r="D2229" s="23"/>
      <c r="E2229" s="23"/>
      <c r="F2229" s="23"/>
      <c r="G2229" s="23"/>
    </row>
    <row r="2230">
      <c r="A2230" s="11"/>
      <c r="B2230" s="25"/>
      <c r="C2230" s="23"/>
      <c r="D2230" s="23"/>
      <c r="E2230" s="23"/>
      <c r="F2230" s="23"/>
      <c r="G2230" s="23"/>
    </row>
    <row r="2231">
      <c r="A2231" s="11"/>
      <c r="B2231" s="25"/>
      <c r="C2231" s="23"/>
      <c r="D2231" s="23"/>
      <c r="E2231" s="23"/>
      <c r="F2231" s="23"/>
      <c r="G2231" s="23"/>
    </row>
    <row r="2232">
      <c r="A2232" s="11"/>
      <c r="B2232" s="25"/>
      <c r="C2232" s="23"/>
      <c r="D2232" s="23"/>
      <c r="E2232" s="23"/>
      <c r="F2232" s="23"/>
      <c r="G2232" s="23"/>
    </row>
    <row r="2233">
      <c r="A2233" s="11"/>
      <c r="B2233" s="25"/>
      <c r="C2233" s="23"/>
      <c r="D2233" s="23"/>
      <c r="E2233" s="23"/>
      <c r="F2233" s="23"/>
      <c r="G2233" s="23"/>
    </row>
    <row r="2234">
      <c r="A2234" s="11"/>
      <c r="B2234" s="25"/>
      <c r="C2234" s="23"/>
      <c r="D2234" s="23"/>
      <c r="E2234" s="23"/>
      <c r="F2234" s="23"/>
      <c r="G2234" s="23"/>
    </row>
    <row r="2235">
      <c r="A2235" s="11"/>
      <c r="B2235" s="25"/>
      <c r="C2235" s="23"/>
      <c r="D2235" s="23"/>
      <c r="E2235" s="23"/>
      <c r="F2235" s="23"/>
      <c r="G2235" s="23"/>
    </row>
    <row r="2236">
      <c r="A2236" s="11"/>
      <c r="B2236" s="25"/>
      <c r="C2236" s="23"/>
      <c r="D2236" s="23"/>
      <c r="E2236" s="23"/>
      <c r="F2236" s="23"/>
      <c r="G2236" s="23"/>
    </row>
    <row r="2237">
      <c r="A2237" s="11"/>
      <c r="B2237" s="25"/>
      <c r="C2237" s="23"/>
      <c r="D2237" s="23"/>
      <c r="E2237" s="23"/>
      <c r="F2237" s="23"/>
      <c r="G2237" s="23"/>
    </row>
    <row r="2238">
      <c r="A2238" s="11"/>
      <c r="B2238" s="25"/>
      <c r="C2238" s="23"/>
      <c r="D2238" s="23"/>
      <c r="E2238" s="23"/>
      <c r="F2238" s="23"/>
      <c r="G2238" s="23"/>
    </row>
    <row r="2239">
      <c r="A2239" s="11"/>
      <c r="B2239" s="25"/>
      <c r="C2239" s="23"/>
      <c r="D2239" s="23"/>
      <c r="E2239" s="23"/>
      <c r="F2239" s="23"/>
      <c r="G2239" s="23"/>
    </row>
    <row r="2240">
      <c r="A2240" s="11"/>
      <c r="B2240" s="25"/>
      <c r="C2240" s="23"/>
      <c r="D2240" s="23"/>
      <c r="E2240" s="23"/>
      <c r="F2240" s="23"/>
      <c r="G2240" s="23"/>
    </row>
    <row r="2241">
      <c r="A2241" s="11"/>
      <c r="B2241" s="25"/>
      <c r="C2241" s="23"/>
      <c r="D2241" s="23"/>
      <c r="E2241" s="23"/>
      <c r="F2241" s="23"/>
      <c r="G2241" s="23"/>
    </row>
    <row r="2242">
      <c r="A2242" s="11"/>
      <c r="B2242" s="25"/>
      <c r="C2242" s="23"/>
      <c r="D2242" s="23"/>
      <c r="E2242" s="23"/>
      <c r="F2242" s="23"/>
      <c r="G2242" s="23"/>
    </row>
    <row r="2243">
      <c r="A2243" s="11"/>
      <c r="B2243" s="25"/>
      <c r="C2243" s="23"/>
      <c r="D2243" s="23"/>
      <c r="E2243" s="23"/>
      <c r="F2243" s="23"/>
      <c r="G2243" s="23"/>
    </row>
    <row r="2244">
      <c r="A2244" s="11"/>
      <c r="B2244" s="25"/>
      <c r="C2244" s="23"/>
      <c r="D2244" s="23"/>
      <c r="E2244" s="23"/>
      <c r="F2244" s="23"/>
      <c r="G2244" s="23"/>
    </row>
    <row r="2245">
      <c r="A2245" s="11"/>
      <c r="B2245" s="25"/>
      <c r="C2245" s="23"/>
      <c r="D2245" s="23"/>
      <c r="E2245" s="23"/>
      <c r="F2245" s="23"/>
      <c r="G2245" s="23"/>
    </row>
    <row r="2246">
      <c r="A2246" s="11"/>
      <c r="B2246" s="25"/>
      <c r="C2246" s="23"/>
      <c r="D2246" s="23"/>
      <c r="E2246" s="23"/>
      <c r="F2246" s="23"/>
      <c r="G2246" s="23"/>
    </row>
    <row r="2247">
      <c r="A2247" s="11"/>
      <c r="B2247" s="25"/>
      <c r="C2247" s="23"/>
      <c r="D2247" s="23"/>
      <c r="E2247" s="23"/>
      <c r="F2247" s="23"/>
      <c r="G2247" s="23"/>
    </row>
    <row r="2248">
      <c r="A2248" s="11"/>
      <c r="B2248" s="25"/>
      <c r="C2248" s="23"/>
      <c r="D2248" s="23"/>
      <c r="E2248" s="23"/>
      <c r="F2248" s="23"/>
      <c r="G2248" s="23"/>
    </row>
    <row r="2249">
      <c r="A2249" s="11"/>
      <c r="B2249" s="25"/>
      <c r="C2249" s="23"/>
      <c r="D2249" s="23"/>
      <c r="E2249" s="23"/>
      <c r="F2249" s="23"/>
      <c r="G2249" s="23"/>
    </row>
    <row r="2250">
      <c r="A2250" s="11"/>
      <c r="B2250" s="25"/>
      <c r="C2250" s="23"/>
      <c r="D2250" s="23"/>
      <c r="E2250" s="23"/>
      <c r="F2250" s="23"/>
      <c r="G2250" s="23"/>
    </row>
    <row r="2251">
      <c r="A2251" s="11"/>
      <c r="B2251" s="25"/>
      <c r="C2251" s="23"/>
      <c r="D2251" s="23"/>
      <c r="E2251" s="23"/>
      <c r="F2251" s="23"/>
      <c r="G2251" s="23"/>
    </row>
    <row r="2252">
      <c r="A2252" s="11"/>
      <c r="B2252" s="25"/>
      <c r="C2252" s="23"/>
      <c r="D2252" s="23"/>
      <c r="E2252" s="23"/>
      <c r="F2252" s="23"/>
      <c r="G2252" s="23"/>
    </row>
    <row r="2253">
      <c r="A2253" s="11"/>
      <c r="B2253" s="25"/>
      <c r="C2253" s="23"/>
      <c r="D2253" s="23"/>
      <c r="E2253" s="23"/>
      <c r="F2253" s="23"/>
      <c r="G2253" s="23"/>
    </row>
    <row r="2254">
      <c r="A2254" s="11"/>
      <c r="B2254" s="25"/>
      <c r="C2254" s="23"/>
      <c r="D2254" s="23"/>
      <c r="E2254" s="23"/>
      <c r="F2254" s="23"/>
      <c r="G2254" s="23"/>
    </row>
    <row r="2255">
      <c r="A2255" s="11"/>
      <c r="B2255" s="25"/>
      <c r="C2255" s="23"/>
      <c r="D2255" s="23"/>
      <c r="E2255" s="23"/>
      <c r="F2255" s="23"/>
      <c r="G2255" s="23"/>
    </row>
    <row r="2256">
      <c r="A2256" s="11"/>
      <c r="B2256" s="25"/>
      <c r="C2256" s="23"/>
      <c r="D2256" s="23"/>
      <c r="E2256" s="23"/>
      <c r="F2256" s="23"/>
      <c r="G2256" s="23"/>
    </row>
    <row r="2257">
      <c r="A2257" s="11"/>
      <c r="B2257" s="25"/>
      <c r="C2257" s="23"/>
      <c r="D2257" s="23"/>
      <c r="E2257" s="23"/>
      <c r="F2257" s="23"/>
      <c r="G2257" s="23"/>
    </row>
    <row r="2258">
      <c r="A2258" s="11"/>
      <c r="B2258" s="25"/>
      <c r="C2258" s="23"/>
      <c r="D2258" s="23"/>
      <c r="E2258" s="23"/>
      <c r="F2258" s="23"/>
      <c r="G2258" s="23"/>
    </row>
    <row r="2259">
      <c r="A2259" s="11"/>
      <c r="B2259" s="25"/>
      <c r="C2259" s="23"/>
      <c r="D2259" s="23"/>
      <c r="E2259" s="23"/>
      <c r="F2259" s="23"/>
      <c r="G2259" s="23"/>
    </row>
    <row r="2260">
      <c r="A2260" s="11"/>
      <c r="B2260" s="25"/>
      <c r="C2260" s="23"/>
      <c r="D2260" s="23"/>
      <c r="E2260" s="23"/>
      <c r="F2260" s="23"/>
      <c r="G2260" s="23"/>
    </row>
    <row r="2261">
      <c r="A2261" s="11"/>
      <c r="B2261" s="25"/>
      <c r="C2261" s="23"/>
      <c r="D2261" s="23"/>
      <c r="E2261" s="23"/>
      <c r="F2261" s="23"/>
      <c r="G2261" s="23"/>
    </row>
    <row r="2262">
      <c r="A2262" s="11"/>
      <c r="B2262" s="25"/>
      <c r="C2262" s="23"/>
      <c r="D2262" s="23"/>
      <c r="E2262" s="23"/>
      <c r="F2262" s="23"/>
      <c r="G2262" s="23"/>
    </row>
    <row r="2263">
      <c r="A2263" s="11"/>
      <c r="B2263" s="25"/>
      <c r="C2263" s="23"/>
      <c r="D2263" s="23"/>
      <c r="E2263" s="23"/>
      <c r="F2263" s="23"/>
      <c r="G2263" s="23"/>
    </row>
    <row r="2264">
      <c r="A2264" s="11"/>
      <c r="B2264" s="25"/>
      <c r="C2264" s="23"/>
      <c r="D2264" s="23"/>
      <c r="E2264" s="23"/>
      <c r="F2264" s="23"/>
      <c r="G2264" s="23"/>
    </row>
    <row r="2265">
      <c r="A2265" s="11"/>
      <c r="B2265" s="25"/>
      <c r="C2265" s="23"/>
      <c r="D2265" s="23"/>
      <c r="E2265" s="23"/>
      <c r="F2265" s="23"/>
      <c r="G2265" s="23"/>
    </row>
    <row r="2266">
      <c r="A2266" s="11"/>
      <c r="B2266" s="25"/>
      <c r="C2266" s="23"/>
      <c r="D2266" s="23"/>
      <c r="E2266" s="23"/>
      <c r="F2266" s="23"/>
      <c r="G2266" s="23"/>
    </row>
    <row r="2267">
      <c r="A2267" s="11"/>
      <c r="B2267" s="25"/>
      <c r="C2267" s="23"/>
      <c r="D2267" s="23"/>
      <c r="E2267" s="23"/>
      <c r="F2267" s="23"/>
      <c r="G2267" s="23"/>
    </row>
    <row r="2268">
      <c r="A2268" s="11"/>
      <c r="B2268" s="25"/>
      <c r="C2268" s="23"/>
      <c r="D2268" s="23"/>
      <c r="E2268" s="23"/>
      <c r="F2268" s="23"/>
      <c r="G2268" s="23"/>
    </row>
    <row r="2269">
      <c r="A2269" s="11"/>
      <c r="B2269" s="25"/>
      <c r="C2269" s="23"/>
      <c r="D2269" s="23"/>
      <c r="E2269" s="23"/>
      <c r="F2269" s="23"/>
      <c r="G2269" s="23"/>
    </row>
    <row r="2270">
      <c r="A2270" s="11"/>
      <c r="B2270" s="25"/>
      <c r="C2270" s="23"/>
      <c r="D2270" s="23"/>
      <c r="E2270" s="23"/>
      <c r="F2270" s="23"/>
      <c r="G2270" s="23"/>
    </row>
    <row r="2271">
      <c r="A2271" s="11"/>
      <c r="B2271" s="25"/>
      <c r="C2271" s="23"/>
      <c r="D2271" s="23"/>
      <c r="E2271" s="23"/>
      <c r="F2271" s="23"/>
      <c r="G2271" s="23"/>
    </row>
    <row r="2272">
      <c r="A2272" s="11"/>
      <c r="B2272" s="25"/>
      <c r="C2272" s="23"/>
      <c r="D2272" s="23"/>
      <c r="E2272" s="23"/>
      <c r="F2272" s="23"/>
      <c r="G2272" s="23"/>
    </row>
    <row r="2273">
      <c r="A2273" s="11"/>
      <c r="B2273" s="25"/>
      <c r="C2273" s="23"/>
      <c r="D2273" s="23"/>
      <c r="E2273" s="23"/>
      <c r="F2273" s="23"/>
      <c r="G2273" s="23"/>
    </row>
    <row r="2274">
      <c r="A2274" s="11"/>
      <c r="B2274" s="25"/>
      <c r="C2274" s="23"/>
      <c r="D2274" s="23"/>
      <c r="E2274" s="23"/>
      <c r="F2274" s="23"/>
      <c r="G2274" s="23"/>
    </row>
    <row r="2275">
      <c r="A2275" s="11"/>
      <c r="B2275" s="25"/>
      <c r="C2275" s="23"/>
      <c r="D2275" s="23"/>
      <c r="E2275" s="23"/>
      <c r="F2275" s="23"/>
      <c r="G2275" s="23"/>
    </row>
    <row r="2276">
      <c r="A2276" s="11"/>
      <c r="B2276" s="25"/>
      <c r="C2276" s="23"/>
      <c r="D2276" s="23"/>
      <c r="E2276" s="23"/>
      <c r="F2276" s="23"/>
      <c r="G2276" s="23"/>
    </row>
    <row r="2277">
      <c r="A2277" s="11"/>
      <c r="B2277" s="25"/>
      <c r="C2277" s="23"/>
      <c r="D2277" s="23"/>
      <c r="E2277" s="23"/>
      <c r="F2277" s="23"/>
      <c r="G2277" s="23"/>
    </row>
    <row r="2278">
      <c r="A2278" s="11"/>
      <c r="B2278" s="25"/>
      <c r="C2278" s="23"/>
      <c r="D2278" s="23"/>
      <c r="E2278" s="23"/>
      <c r="F2278" s="23"/>
      <c r="G2278" s="23"/>
    </row>
    <row r="2279">
      <c r="A2279" s="11"/>
      <c r="B2279" s="25"/>
      <c r="C2279" s="23"/>
      <c r="D2279" s="23"/>
      <c r="E2279" s="23"/>
      <c r="F2279" s="23"/>
      <c r="G2279" s="23"/>
    </row>
    <row r="2280">
      <c r="A2280" s="11"/>
      <c r="B2280" s="25"/>
      <c r="C2280" s="23"/>
      <c r="D2280" s="23"/>
      <c r="E2280" s="23"/>
      <c r="F2280" s="23"/>
      <c r="G2280" s="23"/>
    </row>
    <row r="2281">
      <c r="A2281" s="11"/>
      <c r="B2281" s="25"/>
      <c r="C2281" s="23"/>
      <c r="D2281" s="23"/>
      <c r="E2281" s="23"/>
      <c r="F2281" s="23"/>
      <c r="G2281" s="23"/>
    </row>
    <row r="2282">
      <c r="A2282" s="11"/>
      <c r="B2282" s="25"/>
      <c r="C2282" s="23"/>
      <c r="D2282" s="23"/>
      <c r="E2282" s="23"/>
      <c r="F2282" s="23"/>
      <c r="G2282" s="23"/>
    </row>
    <row r="2283">
      <c r="A2283" s="11"/>
      <c r="B2283" s="25"/>
      <c r="C2283" s="23"/>
      <c r="D2283" s="23"/>
      <c r="E2283" s="23"/>
      <c r="F2283" s="23"/>
      <c r="G2283" s="23"/>
    </row>
    <row r="2284">
      <c r="A2284" s="11"/>
      <c r="B2284" s="25"/>
      <c r="C2284" s="23"/>
      <c r="D2284" s="23"/>
      <c r="E2284" s="23"/>
      <c r="F2284" s="23"/>
      <c r="G2284" s="23"/>
    </row>
    <row r="2285">
      <c r="A2285" s="11"/>
      <c r="B2285" s="25"/>
      <c r="C2285" s="23"/>
      <c r="D2285" s="23"/>
      <c r="E2285" s="23"/>
      <c r="F2285" s="23"/>
      <c r="G2285" s="23"/>
    </row>
    <row r="2286">
      <c r="A2286" s="11"/>
      <c r="B2286" s="25"/>
      <c r="C2286" s="23"/>
      <c r="D2286" s="23"/>
      <c r="E2286" s="23"/>
      <c r="F2286" s="23"/>
      <c r="G2286" s="23"/>
    </row>
    <row r="2287">
      <c r="A2287" s="11"/>
      <c r="B2287" s="25"/>
      <c r="C2287" s="23"/>
      <c r="D2287" s="23"/>
      <c r="E2287" s="23"/>
      <c r="F2287" s="23"/>
      <c r="G2287" s="23"/>
    </row>
    <row r="2288">
      <c r="A2288" s="11"/>
      <c r="B2288" s="25"/>
      <c r="C2288" s="23"/>
      <c r="D2288" s="23"/>
      <c r="E2288" s="23"/>
      <c r="F2288" s="23"/>
      <c r="G2288" s="23"/>
    </row>
    <row r="2289">
      <c r="A2289" s="11"/>
      <c r="B2289" s="25"/>
      <c r="C2289" s="23"/>
      <c r="D2289" s="23"/>
      <c r="E2289" s="23"/>
      <c r="F2289" s="23"/>
      <c r="G2289" s="23"/>
    </row>
    <row r="2290">
      <c r="A2290" s="11"/>
      <c r="B2290" s="25"/>
      <c r="C2290" s="23"/>
      <c r="D2290" s="23"/>
      <c r="E2290" s="23"/>
      <c r="F2290" s="23"/>
      <c r="G2290" s="23"/>
    </row>
    <row r="2291">
      <c r="A2291" s="11"/>
      <c r="B2291" s="25"/>
      <c r="C2291" s="23"/>
      <c r="D2291" s="23"/>
      <c r="E2291" s="23"/>
      <c r="F2291" s="23"/>
      <c r="G2291" s="23"/>
    </row>
    <row r="2292">
      <c r="A2292" s="11"/>
      <c r="B2292" s="25"/>
      <c r="C2292" s="23"/>
      <c r="D2292" s="23"/>
      <c r="E2292" s="23"/>
      <c r="F2292" s="23"/>
      <c r="G2292" s="23"/>
    </row>
    <row r="2293">
      <c r="A2293" s="11"/>
      <c r="B2293" s="25"/>
      <c r="C2293" s="23"/>
      <c r="D2293" s="23"/>
      <c r="E2293" s="23"/>
      <c r="F2293" s="23"/>
      <c r="G2293" s="23"/>
    </row>
    <row r="2294">
      <c r="A2294" s="11"/>
      <c r="B2294" s="25"/>
      <c r="C2294" s="23"/>
      <c r="D2294" s="23"/>
      <c r="E2294" s="23"/>
      <c r="F2294" s="23"/>
      <c r="G2294" s="23"/>
    </row>
    <row r="2295">
      <c r="A2295" s="11"/>
      <c r="B2295" s="25"/>
      <c r="C2295" s="23"/>
      <c r="D2295" s="23"/>
      <c r="E2295" s="23"/>
      <c r="F2295" s="23"/>
      <c r="G2295" s="23"/>
    </row>
    <row r="2296">
      <c r="A2296" s="11"/>
      <c r="B2296" s="25"/>
      <c r="C2296" s="23"/>
      <c r="D2296" s="23"/>
      <c r="E2296" s="23"/>
      <c r="F2296" s="23"/>
      <c r="G2296" s="23"/>
    </row>
    <row r="2297">
      <c r="A2297" s="11"/>
      <c r="B2297" s="25"/>
      <c r="C2297" s="23"/>
      <c r="D2297" s="23"/>
      <c r="E2297" s="23"/>
      <c r="F2297" s="23"/>
      <c r="G2297" s="23"/>
    </row>
    <row r="2298">
      <c r="A2298" s="11"/>
      <c r="B2298" s="25"/>
      <c r="C2298" s="23"/>
      <c r="D2298" s="23"/>
      <c r="E2298" s="23"/>
      <c r="F2298" s="23"/>
      <c r="G2298" s="23"/>
    </row>
    <row r="2299">
      <c r="A2299" s="11"/>
      <c r="B2299" s="25"/>
      <c r="C2299" s="23"/>
      <c r="D2299" s="23"/>
      <c r="E2299" s="23"/>
      <c r="F2299" s="23"/>
      <c r="G2299" s="23"/>
    </row>
    <row r="2300">
      <c r="A2300" s="11"/>
      <c r="B2300" s="25"/>
      <c r="C2300" s="23"/>
      <c r="D2300" s="23"/>
      <c r="E2300" s="23"/>
      <c r="F2300" s="23"/>
      <c r="G2300" s="23"/>
    </row>
    <row r="2301">
      <c r="A2301" s="11"/>
      <c r="B2301" s="25"/>
      <c r="C2301" s="23"/>
      <c r="D2301" s="23"/>
      <c r="E2301" s="23"/>
      <c r="F2301" s="23"/>
      <c r="G2301" s="23"/>
    </row>
    <row r="2302">
      <c r="A2302" s="11"/>
      <c r="B2302" s="25"/>
      <c r="C2302" s="23"/>
      <c r="D2302" s="23"/>
      <c r="E2302" s="23"/>
      <c r="F2302" s="23"/>
      <c r="G2302" s="23"/>
    </row>
    <row r="2303">
      <c r="A2303" s="11"/>
      <c r="B2303" s="25"/>
      <c r="C2303" s="23"/>
      <c r="D2303" s="23"/>
      <c r="E2303" s="23"/>
      <c r="F2303" s="23"/>
      <c r="G2303" s="23"/>
    </row>
    <row r="2304">
      <c r="A2304" s="11"/>
      <c r="B2304" s="25"/>
      <c r="C2304" s="23"/>
      <c r="D2304" s="23"/>
      <c r="E2304" s="23"/>
      <c r="F2304" s="23"/>
      <c r="G2304" s="23"/>
    </row>
    <row r="2305">
      <c r="A2305" s="11"/>
      <c r="B2305" s="25"/>
      <c r="C2305" s="23"/>
      <c r="D2305" s="23"/>
      <c r="E2305" s="23"/>
      <c r="F2305" s="23"/>
      <c r="G2305" s="23"/>
    </row>
    <row r="2306">
      <c r="A2306" s="11"/>
      <c r="B2306" s="25"/>
      <c r="C2306" s="23"/>
      <c r="D2306" s="23"/>
      <c r="E2306" s="23"/>
      <c r="F2306" s="23"/>
      <c r="G2306" s="23"/>
    </row>
    <row r="2307">
      <c r="A2307" s="11"/>
      <c r="B2307" s="25"/>
      <c r="C2307" s="23"/>
      <c r="D2307" s="23"/>
      <c r="E2307" s="23"/>
      <c r="F2307" s="23"/>
      <c r="G2307" s="23"/>
    </row>
    <row r="2308">
      <c r="A2308" s="11"/>
      <c r="B2308" s="25"/>
      <c r="C2308" s="23"/>
      <c r="D2308" s="23"/>
      <c r="E2308" s="23"/>
      <c r="F2308" s="23"/>
      <c r="G2308" s="23"/>
    </row>
    <row r="2309">
      <c r="A2309" s="11"/>
      <c r="B2309" s="25"/>
      <c r="C2309" s="23"/>
      <c r="D2309" s="23"/>
      <c r="E2309" s="23"/>
      <c r="F2309" s="23"/>
      <c r="G2309" s="23"/>
    </row>
    <row r="2310">
      <c r="A2310" s="11"/>
      <c r="B2310" s="25"/>
      <c r="C2310" s="23"/>
      <c r="D2310" s="23"/>
      <c r="E2310" s="23"/>
      <c r="F2310" s="23"/>
      <c r="G2310" s="23"/>
    </row>
    <row r="2311">
      <c r="A2311" s="11"/>
      <c r="B2311" s="25"/>
      <c r="C2311" s="23"/>
      <c r="D2311" s="23"/>
      <c r="E2311" s="23"/>
      <c r="F2311" s="23"/>
      <c r="G2311" s="23"/>
    </row>
    <row r="2312">
      <c r="A2312" s="11"/>
      <c r="B2312" s="25"/>
      <c r="C2312" s="23"/>
      <c r="D2312" s="23"/>
      <c r="E2312" s="23"/>
      <c r="F2312" s="23"/>
      <c r="G2312" s="23"/>
    </row>
    <row r="2313">
      <c r="A2313" s="11"/>
      <c r="B2313" s="25"/>
      <c r="C2313" s="23"/>
      <c r="D2313" s="23"/>
      <c r="E2313" s="23"/>
      <c r="F2313" s="23"/>
      <c r="G2313" s="23"/>
    </row>
    <row r="2314">
      <c r="A2314" s="11"/>
      <c r="B2314" s="25"/>
      <c r="C2314" s="23"/>
      <c r="D2314" s="23"/>
      <c r="E2314" s="23"/>
      <c r="F2314" s="23"/>
      <c r="G2314" s="23"/>
    </row>
    <row r="2315">
      <c r="A2315" s="11"/>
      <c r="B2315" s="25"/>
      <c r="C2315" s="23"/>
      <c r="D2315" s="23"/>
      <c r="E2315" s="23"/>
      <c r="F2315" s="23"/>
      <c r="G2315" s="23"/>
    </row>
    <row r="2316">
      <c r="A2316" s="11"/>
      <c r="B2316" s="25"/>
      <c r="C2316" s="23"/>
      <c r="D2316" s="23"/>
      <c r="E2316" s="23"/>
      <c r="F2316" s="23"/>
      <c r="G2316" s="23"/>
    </row>
    <row r="2317">
      <c r="A2317" s="11"/>
      <c r="B2317" s="25"/>
      <c r="C2317" s="23"/>
      <c r="D2317" s="23"/>
      <c r="E2317" s="23"/>
      <c r="F2317" s="23"/>
      <c r="G2317" s="23"/>
    </row>
    <row r="2318">
      <c r="A2318" s="11"/>
      <c r="B2318" s="25"/>
      <c r="C2318" s="23"/>
      <c r="D2318" s="23"/>
      <c r="E2318" s="23"/>
      <c r="F2318" s="23"/>
      <c r="G2318" s="23"/>
    </row>
    <row r="2319">
      <c r="A2319" s="11"/>
      <c r="B2319" s="25"/>
      <c r="C2319" s="23"/>
      <c r="D2319" s="23"/>
      <c r="E2319" s="23"/>
      <c r="F2319" s="23"/>
      <c r="G2319" s="23"/>
    </row>
    <row r="2320">
      <c r="A2320" s="11"/>
      <c r="B2320" s="25"/>
      <c r="C2320" s="23"/>
      <c r="D2320" s="23"/>
      <c r="E2320" s="23"/>
      <c r="F2320" s="23"/>
      <c r="G2320" s="23"/>
    </row>
    <row r="2321">
      <c r="A2321" s="11"/>
      <c r="B2321" s="25"/>
      <c r="C2321" s="23"/>
      <c r="D2321" s="23"/>
      <c r="E2321" s="23"/>
      <c r="F2321" s="23"/>
      <c r="G2321" s="23"/>
    </row>
    <row r="2322">
      <c r="A2322" s="11"/>
      <c r="B2322" s="25"/>
      <c r="C2322" s="23"/>
      <c r="D2322" s="23"/>
      <c r="E2322" s="23"/>
      <c r="F2322" s="23"/>
      <c r="G2322" s="23"/>
    </row>
    <row r="2323">
      <c r="A2323" s="11"/>
      <c r="B2323" s="25"/>
      <c r="C2323" s="23"/>
      <c r="D2323" s="23"/>
      <c r="E2323" s="23"/>
      <c r="F2323" s="23"/>
      <c r="G2323" s="23"/>
    </row>
    <row r="2324">
      <c r="A2324" s="11"/>
      <c r="B2324" s="25"/>
      <c r="C2324" s="23"/>
      <c r="D2324" s="23"/>
      <c r="E2324" s="23"/>
      <c r="F2324" s="23"/>
      <c r="G2324" s="23"/>
    </row>
    <row r="2325">
      <c r="A2325" s="11"/>
      <c r="B2325" s="25"/>
      <c r="C2325" s="23"/>
      <c r="D2325" s="23"/>
      <c r="E2325" s="23"/>
      <c r="F2325" s="23"/>
      <c r="G2325" s="23"/>
    </row>
    <row r="2326">
      <c r="A2326" s="11"/>
      <c r="B2326" s="25"/>
      <c r="C2326" s="23"/>
      <c r="D2326" s="23"/>
      <c r="E2326" s="23"/>
      <c r="F2326" s="23"/>
      <c r="G2326" s="23"/>
    </row>
    <row r="2327">
      <c r="A2327" s="11"/>
      <c r="B2327" s="25"/>
      <c r="C2327" s="23"/>
      <c r="D2327" s="23"/>
      <c r="E2327" s="23"/>
      <c r="F2327" s="23"/>
      <c r="G2327" s="23"/>
    </row>
    <row r="2328">
      <c r="A2328" s="11"/>
      <c r="B2328" s="25"/>
      <c r="C2328" s="23"/>
      <c r="D2328" s="23"/>
      <c r="E2328" s="23"/>
      <c r="F2328" s="23"/>
      <c r="G2328" s="23"/>
    </row>
    <row r="2329">
      <c r="A2329" s="11"/>
      <c r="B2329" s="25"/>
      <c r="C2329" s="23"/>
      <c r="D2329" s="23"/>
      <c r="E2329" s="23"/>
      <c r="F2329" s="23"/>
      <c r="G2329" s="23"/>
    </row>
    <row r="2330">
      <c r="A2330" s="11"/>
      <c r="B2330" s="25"/>
      <c r="C2330" s="23"/>
      <c r="D2330" s="23"/>
      <c r="E2330" s="23"/>
      <c r="F2330" s="23"/>
      <c r="G2330" s="23"/>
    </row>
    <row r="2331">
      <c r="A2331" s="11"/>
      <c r="B2331" s="25"/>
      <c r="C2331" s="23"/>
      <c r="D2331" s="23"/>
      <c r="E2331" s="23"/>
      <c r="F2331" s="23"/>
      <c r="G2331" s="23"/>
    </row>
    <row r="2332">
      <c r="A2332" s="11"/>
      <c r="B2332" s="25"/>
      <c r="C2332" s="23"/>
      <c r="D2332" s="23"/>
      <c r="E2332" s="23"/>
      <c r="F2332" s="23"/>
      <c r="G2332" s="23"/>
    </row>
    <row r="2333">
      <c r="A2333" s="11"/>
      <c r="B2333" s="25"/>
      <c r="C2333" s="23"/>
      <c r="D2333" s="23"/>
      <c r="E2333" s="23"/>
      <c r="F2333" s="23"/>
      <c r="G2333" s="23"/>
    </row>
    <row r="2334">
      <c r="A2334" s="11"/>
      <c r="B2334" s="25"/>
      <c r="C2334" s="23"/>
      <c r="D2334" s="23"/>
      <c r="E2334" s="23"/>
      <c r="F2334" s="23"/>
      <c r="G2334" s="23"/>
    </row>
    <row r="2335">
      <c r="A2335" s="11"/>
      <c r="B2335" s="25"/>
      <c r="C2335" s="23"/>
      <c r="D2335" s="23"/>
      <c r="E2335" s="23"/>
      <c r="F2335" s="23"/>
      <c r="G2335" s="23"/>
    </row>
    <row r="2336">
      <c r="A2336" s="11"/>
      <c r="B2336" s="25"/>
      <c r="C2336" s="23"/>
      <c r="D2336" s="23"/>
      <c r="E2336" s="23"/>
      <c r="F2336" s="23"/>
      <c r="G2336" s="23"/>
    </row>
    <row r="2337">
      <c r="A2337" s="11"/>
      <c r="B2337" s="25"/>
      <c r="C2337" s="23"/>
      <c r="D2337" s="23"/>
      <c r="E2337" s="23"/>
      <c r="F2337" s="23"/>
      <c r="G2337" s="23"/>
    </row>
    <row r="2338">
      <c r="A2338" s="11"/>
      <c r="B2338" s="25"/>
      <c r="C2338" s="23"/>
      <c r="D2338" s="23"/>
      <c r="E2338" s="23"/>
      <c r="F2338" s="23"/>
      <c r="G2338" s="23"/>
    </row>
    <row r="2339">
      <c r="A2339" s="11"/>
      <c r="B2339" s="25"/>
      <c r="C2339" s="23"/>
      <c r="D2339" s="23"/>
      <c r="E2339" s="23"/>
      <c r="F2339" s="23"/>
      <c r="G2339" s="23"/>
    </row>
    <row r="2340">
      <c r="A2340" s="11"/>
      <c r="B2340" s="25"/>
      <c r="C2340" s="23"/>
      <c r="D2340" s="23"/>
      <c r="E2340" s="23"/>
      <c r="F2340" s="23"/>
      <c r="G2340" s="23"/>
    </row>
    <row r="2341">
      <c r="A2341" s="11"/>
      <c r="B2341" s="25"/>
      <c r="C2341" s="23"/>
      <c r="D2341" s="23"/>
      <c r="E2341" s="23"/>
      <c r="F2341" s="23"/>
      <c r="G2341" s="23"/>
    </row>
    <row r="2342">
      <c r="A2342" s="11"/>
      <c r="B2342" s="25"/>
      <c r="C2342" s="23"/>
      <c r="D2342" s="23"/>
      <c r="E2342" s="23"/>
      <c r="F2342" s="23"/>
      <c r="G2342" s="23"/>
    </row>
    <row r="2343">
      <c r="A2343" s="11"/>
      <c r="B2343" s="25"/>
      <c r="C2343" s="23"/>
      <c r="D2343" s="23"/>
      <c r="E2343" s="23"/>
      <c r="F2343" s="23"/>
      <c r="G2343" s="23"/>
    </row>
    <row r="2344">
      <c r="A2344" s="11"/>
      <c r="B2344" s="25"/>
      <c r="C2344" s="23"/>
      <c r="D2344" s="23"/>
      <c r="E2344" s="23"/>
      <c r="F2344" s="23"/>
      <c r="G2344" s="23"/>
    </row>
    <row r="2345">
      <c r="A2345" s="11"/>
      <c r="B2345" s="25"/>
      <c r="C2345" s="23"/>
      <c r="D2345" s="23"/>
      <c r="E2345" s="23"/>
      <c r="F2345" s="23"/>
      <c r="G2345" s="23"/>
    </row>
    <row r="2346">
      <c r="A2346" s="11"/>
      <c r="B2346" s="25"/>
      <c r="C2346" s="23"/>
      <c r="D2346" s="23"/>
      <c r="E2346" s="23"/>
      <c r="F2346" s="23"/>
      <c r="G2346" s="23"/>
    </row>
    <row r="2347">
      <c r="A2347" s="11"/>
      <c r="B2347" s="25"/>
      <c r="C2347" s="23"/>
      <c r="D2347" s="23"/>
      <c r="E2347" s="23"/>
      <c r="F2347" s="23"/>
      <c r="G2347" s="23"/>
    </row>
    <row r="2348">
      <c r="A2348" s="11"/>
      <c r="B2348" s="25"/>
      <c r="C2348" s="23"/>
      <c r="D2348" s="23"/>
      <c r="E2348" s="23"/>
      <c r="F2348" s="23"/>
      <c r="G2348" s="23"/>
    </row>
    <row r="2349">
      <c r="A2349" s="11"/>
      <c r="B2349" s="25"/>
      <c r="C2349" s="23"/>
      <c r="D2349" s="23"/>
      <c r="E2349" s="23"/>
      <c r="F2349" s="23"/>
      <c r="G2349" s="23"/>
    </row>
    <row r="2350">
      <c r="A2350" s="11"/>
      <c r="B2350" s="25"/>
      <c r="C2350" s="23"/>
      <c r="D2350" s="23"/>
      <c r="E2350" s="23"/>
      <c r="F2350" s="23"/>
      <c r="G2350" s="23"/>
    </row>
    <row r="2351">
      <c r="A2351" s="11"/>
      <c r="B2351" s="25"/>
      <c r="C2351" s="23"/>
      <c r="D2351" s="23"/>
      <c r="E2351" s="23"/>
      <c r="F2351" s="23"/>
      <c r="G2351" s="23"/>
    </row>
    <row r="2352">
      <c r="A2352" s="11"/>
      <c r="B2352" s="25"/>
      <c r="C2352" s="23"/>
      <c r="D2352" s="23"/>
      <c r="E2352" s="23"/>
      <c r="F2352" s="23"/>
      <c r="G2352" s="23"/>
    </row>
    <row r="2353">
      <c r="A2353" s="11"/>
      <c r="B2353" s="25"/>
      <c r="C2353" s="23"/>
      <c r="D2353" s="23"/>
      <c r="E2353" s="23"/>
      <c r="F2353" s="23"/>
      <c r="G2353" s="23"/>
    </row>
    <row r="2354">
      <c r="A2354" s="11"/>
      <c r="B2354" s="25"/>
      <c r="C2354" s="23"/>
      <c r="D2354" s="23"/>
      <c r="E2354" s="23"/>
      <c r="F2354" s="23"/>
      <c r="G2354" s="23"/>
    </row>
    <row r="2355">
      <c r="A2355" s="11"/>
      <c r="B2355" s="25"/>
      <c r="C2355" s="23"/>
      <c r="D2355" s="23"/>
      <c r="E2355" s="23"/>
      <c r="F2355" s="23"/>
      <c r="G2355" s="23"/>
    </row>
    <row r="2356">
      <c r="A2356" s="11"/>
      <c r="B2356" s="25"/>
      <c r="C2356" s="23"/>
      <c r="D2356" s="23"/>
      <c r="E2356" s="23"/>
      <c r="F2356" s="23"/>
      <c r="G2356" s="23"/>
    </row>
    <row r="2357">
      <c r="A2357" s="11"/>
      <c r="B2357" s="25"/>
      <c r="C2357" s="23"/>
      <c r="D2357" s="23"/>
      <c r="E2357" s="23"/>
      <c r="F2357" s="23"/>
      <c r="G2357" s="23"/>
    </row>
    <row r="2358">
      <c r="A2358" s="11"/>
      <c r="B2358" s="25"/>
      <c r="C2358" s="23"/>
      <c r="D2358" s="23"/>
      <c r="E2358" s="23"/>
      <c r="F2358" s="23"/>
      <c r="G2358" s="23"/>
    </row>
    <row r="2359">
      <c r="A2359" s="11"/>
      <c r="B2359" s="25"/>
      <c r="C2359" s="23"/>
      <c r="D2359" s="23"/>
      <c r="E2359" s="23"/>
      <c r="F2359" s="23"/>
      <c r="G2359" s="23"/>
    </row>
    <row r="2360">
      <c r="A2360" s="11"/>
      <c r="B2360" s="25"/>
      <c r="C2360" s="23"/>
      <c r="D2360" s="23"/>
      <c r="E2360" s="23"/>
      <c r="F2360" s="23"/>
      <c r="G2360" s="23"/>
    </row>
    <row r="2361">
      <c r="A2361" s="11"/>
      <c r="B2361" s="25"/>
      <c r="C2361" s="23"/>
      <c r="D2361" s="23"/>
      <c r="E2361" s="23"/>
      <c r="F2361" s="23"/>
      <c r="G2361" s="23"/>
    </row>
    <row r="2362">
      <c r="A2362" s="11"/>
      <c r="B2362" s="25"/>
      <c r="C2362" s="23"/>
      <c r="D2362" s="23"/>
      <c r="E2362" s="23"/>
      <c r="F2362" s="23"/>
      <c r="G2362" s="23"/>
    </row>
    <row r="2363">
      <c r="A2363" s="11"/>
      <c r="B2363" s="25"/>
      <c r="C2363" s="23"/>
      <c r="D2363" s="23"/>
      <c r="E2363" s="23"/>
      <c r="F2363" s="23"/>
      <c r="G2363" s="23"/>
    </row>
    <row r="2364">
      <c r="A2364" s="11"/>
      <c r="B2364" s="25"/>
      <c r="C2364" s="23"/>
      <c r="D2364" s="23"/>
      <c r="E2364" s="23"/>
      <c r="F2364" s="23"/>
      <c r="G2364" s="23"/>
    </row>
    <row r="2365">
      <c r="A2365" s="11"/>
      <c r="B2365" s="25"/>
      <c r="C2365" s="23"/>
      <c r="D2365" s="23"/>
      <c r="E2365" s="23"/>
      <c r="F2365" s="23"/>
      <c r="G2365" s="23"/>
    </row>
    <row r="2366">
      <c r="A2366" s="11"/>
      <c r="B2366" s="25"/>
      <c r="C2366" s="23"/>
      <c r="D2366" s="23"/>
      <c r="E2366" s="23"/>
      <c r="F2366" s="23"/>
      <c r="G2366" s="23"/>
    </row>
    <row r="2367">
      <c r="A2367" s="11"/>
      <c r="B2367" s="25"/>
      <c r="C2367" s="23"/>
      <c r="D2367" s="23"/>
      <c r="E2367" s="23"/>
      <c r="F2367" s="23"/>
      <c r="G2367" s="23"/>
    </row>
    <row r="2368">
      <c r="A2368" s="11"/>
      <c r="B2368" s="25"/>
      <c r="C2368" s="23"/>
      <c r="D2368" s="23"/>
      <c r="E2368" s="23"/>
      <c r="F2368" s="23"/>
      <c r="G2368" s="23"/>
    </row>
    <row r="2369">
      <c r="A2369" s="11"/>
      <c r="B2369" s="25"/>
      <c r="C2369" s="23"/>
      <c r="D2369" s="23"/>
      <c r="E2369" s="23"/>
      <c r="F2369" s="23"/>
      <c r="G2369" s="23"/>
    </row>
    <row r="2370">
      <c r="A2370" s="11"/>
      <c r="B2370" s="25"/>
      <c r="C2370" s="23"/>
      <c r="D2370" s="23"/>
      <c r="E2370" s="23"/>
      <c r="F2370" s="23"/>
      <c r="G2370" s="23"/>
    </row>
    <row r="2371">
      <c r="A2371" s="11"/>
      <c r="B2371" s="25"/>
      <c r="C2371" s="23"/>
      <c r="D2371" s="23"/>
      <c r="E2371" s="23"/>
      <c r="F2371" s="23"/>
      <c r="G2371" s="23"/>
    </row>
    <row r="2372">
      <c r="A2372" s="11"/>
      <c r="B2372" s="25"/>
      <c r="C2372" s="23"/>
      <c r="D2372" s="23"/>
      <c r="E2372" s="23"/>
      <c r="F2372" s="23"/>
      <c r="G2372" s="23"/>
    </row>
    <row r="2373">
      <c r="A2373" s="11"/>
      <c r="B2373" s="25"/>
      <c r="C2373" s="23"/>
      <c r="D2373" s="23"/>
      <c r="E2373" s="23"/>
      <c r="F2373" s="23"/>
      <c r="G2373" s="23"/>
    </row>
    <row r="2374">
      <c r="A2374" s="11"/>
      <c r="B2374" s="25"/>
      <c r="C2374" s="23"/>
      <c r="D2374" s="23"/>
      <c r="E2374" s="23"/>
      <c r="F2374" s="23"/>
      <c r="G2374" s="23"/>
    </row>
    <row r="2375">
      <c r="A2375" s="11"/>
      <c r="B2375" s="25"/>
      <c r="C2375" s="23"/>
      <c r="D2375" s="23"/>
      <c r="E2375" s="23"/>
      <c r="F2375" s="23"/>
      <c r="G2375" s="23"/>
    </row>
    <row r="2376">
      <c r="A2376" s="11"/>
      <c r="B2376" s="25"/>
      <c r="C2376" s="23"/>
      <c r="D2376" s="23"/>
      <c r="E2376" s="23"/>
      <c r="F2376" s="23"/>
      <c r="G2376" s="23"/>
    </row>
    <row r="2377">
      <c r="A2377" s="11"/>
      <c r="B2377" s="25"/>
      <c r="C2377" s="23"/>
      <c r="D2377" s="23"/>
      <c r="E2377" s="23"/>
      <c r="F2377" s="23"/>
      <c r="G2377" s="23"/>
    </row>
    <row r="2378">
      <c r="A2378" s="11"/>
      <c r="B2378" s="25"/>
      <c r="C2378" s="23"/>
      <c r="D2378" s="23"/>
      <c r="E2378" s="23"/>
      <c r="F2378" s="23"/>
      <c r="G2378" s="23"/>
    </row>
    <row r="2379">
      <c r="A2379" s="11"/>
      <c r="B2379" s="25"/>
      <c r="C2379" s="23"/>
      <c r="D2379" s="23"/>
      <c r="E2379" s="23"/>
      <c r="F2379" s="23"/>
      <c r="G2379" s="23"/>
    </row>
    <row r="2380">
      <c r="A2380" s="11"/>
      <c r="B2380" s="25"/>
      <c r="C2380" s="23"/>
      <c r="D2380" s="23"/>
      <c r="E2380" s="23"/>
      <c r="F2380" s="23"/>
      <c r="G2380" s="23"/>
    </row>
    <row r="2381">
      <c r="A2381" s="11"/>
      <c r="B2381" s="25"/>
      <c r="C2381" s="23"/>
      <c r="D2381" s="23"/>
      <c r="E2381" s="23"/>
      <c r="F2381" s="23"/>
      <c r="G2381" s="23"/>
    </row>
    <row r="2382">
      <c r="A2382" s="11"/>
      <c r="B2382" s="25"/>
      <c r="C2382" s="23"/>
      <c r="D2382" s="23"/>
      <c r="E2382" s="23"/>
      <c r="F2382" s="23"/>
      <c r="G2382" s="23"/>
    </row>
    <row r="2383">
      <c r="A2383" s="11"/>
      <c r="B2383" s="25"/>
      <c r="C2383" s="23"/>
      <c r="D2383" s="23"/>
      <c r="E2383" s="23"/>
      <c r="F2383" s="23"/>
      <c r="G2383" s="23"/>
    </row>
    <row r="2384">
      <c r="A2384" s="11"/>
      <c r="B2384" s="25"/>
      <c r="C2384" s="23"/>
      <c r="D2384" s="23"/>
      <c r="E2384" s="23"/>
      <c r="F2384" s="23"/>
      <c r="G2384" s="23"/>
    </row>
    <row r="2385">
      <c r="A2385" s="11"/>
      <c r="B2385" s="25"/>
      <c r="C2385" s="23"/>
      <c r="D2385" s="23"/>
      <c r="E2385" s="23"/>
      <c r="F2385" s="23"/>
      <c r="G2385" s="23"/>
    </row>
    <row r="2386">
      <c r="A2386" s="11"/>
      <c r="B2386" s="25"/>
      <c r="C2386" s="23"/>
      <c r="D2386" s="23"/>
      <c r="E2386" s="23"/>
      <c r="F2386" s="23"/>
      <c r="G2386" s="23"/>
    </row>
    <row r="2387">
      <c r="A2387" s="11"/>
      <c r="B2387" s="25"/>
      <c r="C2387" s="23"/>
      <c r="D2387" s="23"/>
      <c r="E2387" s="23"/>
      <c r="F2387" s="23"/>
      <c r="G2387" s="23"/>
    </row>
    <row r="2388">
      <c r="A2388" s="11"/>
      <c r="B2388" s="25"/>
      <c r="C2388" s="23"/>
      <c r="D2388" s="23"/>
      <c r="E2388" s="23"/>
      <c r="F2388" s="23"/>
      <c r="G2388" s="23"/>
    </row>
    <row r="2389">
      <c r="A2389" s="11"/>
      <c r="B2389" s="25"/>
      <c r="C2389" s="23"/>
      <c r="D2389" s="23"/>
      <c r="E2389" s="23"/>
      <c r="F2389" s="23"/>
      <c r="G2389" s="23"/>
    </row>
    <row r="2390">
      <c r="A2390" s="11"/>
      <c r="B2390" s="25"/>
      <c r="C2390" s="23"/>
      <c r="D2390" s="23"/>
      <c r="E2390" s="23"/>
      <c r="F2390" s="23"/>
      <c r="G2390" s="23"/>
    </row>
    <row r="2391">
      <c r="A2391" s="11"/>
      <c r="B2391" s="25"/>
      <c r="C2391" s="23"/>
      <c r="D2391" s="23"/>
      <c r="E2391" s="23"/>
      <c r="F2391" s="23"/>
      <c r="G2391" s="23"/>
    </row>
    <row r="2392">
      <c r="A2392" s="11"/>
      <c r="B2392" s="25"/>
      <c r="C2392" s="23"/>
      <c r="D2392" s="23"/>
      <c r="E2392" s="23"/>
      <c r="F2392" s="23"/>
      <c r="G2392" s="23"/>
    </row>
    <row r="2393">
      <c r="A2393" s="11"/>
      <c r="B2393" s="25"/>
      <c r="C2393" s="23"/>
      <c r="D2393" s="23"/>
      <c r="E2393" s="23"/>
      <c r="F2393" s="23"/>
      <c r="G2393" s="23"/>
    </row>
    <row r="2394">
      <c r="A2394" s="11"/>
      <c r="B2394" s="25"/>
      <c r="C2394" s="23"/>
      <c r="D2394" s="23"/>
      <c r="E2394" s="23"/>
      <c r="F2394" s="23"/>
      <c r="G2394" s="23"/>
    </row>
    <row r="2395">
      <c r="A2395" s="11"/>
      <c r="B2395" s="25"/>
      <c r="C2395" s="23"/>
      <c r="D2395" s="23"/>
      <c r="E2395" s="23"/>
      <c r="F2395" s="23"/>
      <c r="G2395" s="23"/>
    </row>
    <row r="2396">
      <c r="A2396" s="11"/>
      <c r="B2396" s="25"/>
      <c r="C2396" s="23"/>
      <c r="D2396" s="23"/>
      <c r="E2396" s="23"/>
      <c r="F2396" s="23"/>
      <c r="G2396" s="23"/>
    </row>
    <row r="2397">
      <c r="A2397" s="11"/>
      <c r="B2397" s="25"/>
      <c r="C2397" s="23"/>
      <c r="D2397" s="23"/>
      <c r="E2397" s="23"/>
      <c r="F2397" s="23"/>
      <c r="G2397" s="23"/>
    </row>
    <row r="2398">
      <c r="A2398" s="11"/>
      <c r="B2398" s="25"/>
      <c r="C2398" s="23"/>
      <c r="D2398" s="23"/>
      <c r="E2398" s="23"/>
      <c r="F2398" s="23"/>
      <c r="G2398" s="23"/>
    </row>
    <row r="2399">
      <c r="A2399" s="11"/>
      <c r="B2399" s="25"/>
      <c r="C2399" s="23"/>
      <c r="D2399" s="23"/>
      <c r="E2399" s="23"/>
      <c r="F2399" s="23"/>
      <c r="G2399" s="23"/>
    </row>
    <row r="2400">
      <c r="A2400" s="11"/>
      <c r="B2400" s="25"/>
      <c r="C2400" s="23"/>
      <c r="D2400" s="23"/>
      <c r="E2400" s="23"/>
      <c r="F2400" s="23"/>
      <c r="G2400" s="23"/>
    </row>
    <row r="2401">
      <c r="A2401" s="11"/>
      <c r="B2401" s="25"/>
      <c r="C2401" s="23"/>
      <c r="D2401" s="23"/>
      <c r="E2401" s="23"/>
      <c r="F2401" s="23"/>
      <c r="G2401" s="23"/>
    </row>
    <row r="2402">
      <c r="A2402" s="11"/>
      <c r="B2402" s="25"/>
      <c r="C2402" s="23"/>
      <c r="D2402" s="23"/>
      <c r="E2402" s="23"/>
      <c r="F2402" s="23"/>
      <c r="G2402" s="23"/>
    </row>
    <row r="2403">
      <c r="A2403" s="11"/>
      <c r="B2403" s="25"/>
      <c r="C2403" s="23"/>
      <c r="D2403" s="23"/>
      <c r="E2403" s="23"/>
      <c r="F2403" s="23"/>
      <c r="G2403" s="23"/>
    </row>
    <row r="2404">
      <c r="A2404" s="11"/>
      <c r="B2404" s="25"/>
      <c r="C2404" s="23"/>
      <c r="D2404" s="23"/>
      <c r="E2404" s="23"/>
      <c r="F2404" s="23"/>
      <c r="G2404" s="23"/>
    </row>
    <row r="2405">
      <c r="A2405" s="11"/>
      <c r="B2405" s="25"/>
      <c r="C2405" s="23"/>
      <c r="D2405" s="23"/>
      <c r="E2405" s="23"/>
      <c r="F2405" s="23"/>
      <c r="G2405" s="23"/>
    </row>
    <row r="2406">
      <c r="A2406" s="11"/>
      <c r="B2406" s="25"/>
      <c r="C2406" s="23"/>
      <c r="D2406" s="23"/>
      <c r="E2406" s="23"/>
      <c r="F2406" s="23"/>
      <c r="G2406" s="23"/>
    </row>
    <row r="2407">
      <c r="A2407" s="11"/>
      <c r="B2407" s="25"/>
      <c r="C2407" s="23"/>
      <c r="D2407" s="23"/>
      <c r="E2407" s="23"/>
      <c r="F2407" s="23"/>
      <c r="G2407" s="23"/>
    </row>
    <row r="2408">
      <c r="A2408" s="11"/>
      <c r="B2408" s="25"/>
      <c r="C2408" s="23"/>
      <c r="D2408" s="23"/>
      <c r="E2408" s="23"/>
      <c r="F2408" s="23"/>
      <c r="G2408" s="23"/>
    </row>
    <row r="2409">
      <c r="A2409" s="11"/>
      <c r="B2409" s="25"/>
      <c r="C2409" s="23"/>
      <c r="D2409" s="23"/>
      <c r="E2409" s="23"/>
      <c r="F2409" s="23"/>
      <c r="G2409" s="23"/>
    </row>
    <row r="2410">
      <c r="A2410" s="11"/>
      <c r="B2410" s="25"/>
      <c r="C2410" s="23"/>
      <c r="D2410" s="23"/>
      <c r="E2410" s="23"/>
      <c r="F2410" s="23"/>
      <c r="G2410" s="23"/>
    </row>
    <row r="2411">
      <c r="A2411" s="11"/>
      <c r="B2411" s="25"/>
      <c r="C2411" s="23"/>
      <c r="D2411" s="23"/>
      <c r="E2411" s="23"/>
      <c r="F2411" s="23"/>
      <c r="G2411" s="23"/>
    </row>
    <row r="2412">
      <c r="A2412" s="11"/>
      <c r="B2412" s="25"/>
      <c r="C2412" s="23"/>
      <c r="D2412" s="23"/>
      <c r="E2412" s="23"/>
      <c r="F2412" s="23"/>
      <c r="G2412" s="23"/>
    </row>
    <row r="2413">
      <c r="A2413" s="11"/>
      <c r="B2413" s="25"/>
      <c r="C2413" s="23"/>
      <c r="D2413" s="23"/>
      <c r="E2413" s="23"/>
      <c r="F2413" s="23"/>
      <c r="G2413" s="23"/>
    </row>
    <row r="2414">
      <c r="A2414" s="11"/>
      <c r="B2414" s="25"/>
      <c r="C2414" s="23"/>
      <c r="D2414" s="23"/>
      <c r="E2414" s="23"/>
      <c r="F2414" s="23"/>
      <c r="G2414" s="23"/>
    </row>
    <row r="2415">
      <c r="A2415" s="11"/>
      <c r="B2415" s="25"/>
      <c r="C2415" s="23"/>
      <c r="D2415" s="23"/>
      <c r="E2415" s="23"/>
      <c r="F2415" s="23"/>
      <c r="G2415" s="23"/>
    </row>
    <row r="2416">
      <c r="A2416" s="11"/>
      <c r="B2416" s="25"/>
      <c r="C2416" s="23"/>
      <c r="D2416" s="23"/>
      <c r="E2416" s="23"/>
      <c r="F2416" s="23"/>
      <c r="G2416" s="23"/>
    </row>
    <row r="2417">
      <c r="A2417" s="11"/>
      <c r="B2417" s="25"/>
      <c r="C2417" s="23"/>
      <c r="D2417" s="23"/>
      <c r="E2417" s="23"/>
      <c r="F2417" s="23"/>
      <c r="G2417" s="23"/>
    </row>
    <row r="2418">
      <c r="A2418" s="11"/>
      <c r="B2418" s="25"/>
      <c r="C2418" s="23"/>
      <c r="D2418" s="23"/>
      <c r="E2418" s="23"/>
      <c r="F2418" s="23"/>
      <c r="G2418" s="23"/>
    </row>
    <row r="2419">
      <c r="A2419" s="11"/>
      <c r="B2419" s="25"/>
      <c r="C2419" s="23"/>
      <c r="D2419" s="23"/>
      <c r="E2419" s="23"/>
      <c r="F2419" s="23"/>
      <c r="G2419" s="23"/>
    </row>
    <row r="2420">
      <c r="A2420" s="11"/>
      <c r="B2420" s="25"/>
      <c r="C2420" s="23"/>
      <c r="D2420" s="23"/>
      <c r="E2420" s="23"/>
      <c r="F2420" s="23"/>
      <c r="G2420" s="23"/>
    </row>
    <row r="2421">
      <c r="A2421" s="11"/>
      <c r="B2421" s="25"/>
      <c r="C2421" s="23"/>
      <c r="D2421" s="23"/>
      <c r="E2421" s="23"/>
      <c r="F2421" s="23"/>
      <c r="G2421" s="23"/>
    </row>
    <row r="2422">
      <c r="A2422" s="11"/>
      <c r="B2422" s="25"/>
      <c r="C2422" s="23"/>
      <c r="D2422" s="23"/>
      <c r="E2422" s="23"/>
      <c r="F2422" s="23"/>
      <c r="G2422" s="23"/>
    </row>
    <row r="2423">
      <c r="A2423" s="11"/>
      <c r="B2423" s="25"/>
      <c r="C2423" s="23"/>
      <c r="D2423" s="23"/>
      <c r="E2423" s="23"/>
      <c r="F2423" s="23"/>
      <c r="G2423" s="23"/>
    </row>
    <row r="2424">
      <c r="A2424" s="11"/>
      <c r="B2424" s="25"/>
      <c r="C2424" s="23"/>
      <c r="D2424" s="23"/>
      <c r="E2424" s="23"/>
      <c r="F2424" s="23"/>
      <c r="G2424" s="23"/>
    </row>
    <row r="2425">
      <c r="A2425" s="11"/>
      <c r="B2425" s="25"/>
      <c r="C2425" s="23"/>
      <c r="D2425" s="23"/>
      <c r="E2425" s="23"/>
      <c r="F2425" s="23"/>
      <c r="G2425" s="23"/>
    </row>
    <row r="2426">
      <c r="A2426" s="11"/>
      <c r="B2426" s="25"/>
      <c r="C2426" s="23"/>
      <c r="D2426" s="23"/>
      <c r="E2426" s="23"/>
      <c r="F2426" s="23"/>
      <c r="G2426" s="23"/>
    </row>
    <row r="2427">
      <c r="A2427" s="11"/>
      <c r="B2427" s="25"/>
      <c r="C2427" s="23"/>
      <c r="D2427" s="23"/>
      <c r="E2427" s="23"/>
      <c r="F2427" s="23"/>
      <c r="G2427" s="23"/>
    </row>
    <row r="2428">
      <c r="A2428" s="11"/>
      <c r="B2428" s="25"/>
      <c r="C2428" s="23"/>
      <c r="D2428" s="23"/>
      <c r="E2428" s="23"/>
      <c r="F2428" s="23"/>
      <c r="G2428" s="23"/>
    </row>
    <row r="2429">
      <c r="A2429" s="11"/>
      <c r="B2429" s="25"/>
      <c r="C2429" s="23"/>
      <c r="D2429" s="23"/>
      <c r="E2429" s="23"/>
      <c r="F2429" s="23"/>
      <c r="G2429" s="23"/>
    </row>
    <row r="2430">
      <c r="A2430" s="11"/>
      <c r="B2430" s="25"/>
      <c r="C2430" s="23"/>
      <c r="D2430" s="23"/>
      <c r="E2430" s="23"/>
      <c r="F2430" s="23"/>
      <c r="G2430" s="23"/>
    </row>
    <row r="2431">
      <c r="A2431" s="11"/>
      <c r="B2431" s="25"/>
      <c r="C2431" s="23"/>
      <c r="D2431" s="23"/>
      <c r="E2431" s="23"/>
      <c r="F2431" s="23"/>
      <c r="G2431" s="23"/>
    </row>
    <row r="2432">
      <c r="A2432" s="11"/>
      <c r="B2432" s="25"/>
      <c r="C2432" s="23"/>
      <c r="D2432" s="23"/>
      <c r="E2432" s="23"/>
      <c r="F2432" s="23"/>
      <c r="G2432" s="23"/>
    </row>
    <row r="2433">
      <c r="A2433" s="11"/>
      <c r="B2433" s="25"/>
      <c r="C2433" s="23"/>
      <c r="D2433" s="23"/>
      <c r="E2433" s="23"/>
      <c r="F2433" s="23"/>
      <c r="G2433" s="23"/>
    </row>
    <row r="2434">
      <c r="A2434" s="11"/>
      <c r="B2434" s="25"/>
      <c r="C2434" s="23"/>
      <c r="D2434" s="23"/>
      <c r="E2434" s="23"/>
      <c r="F2434" s="23"/>
      <c r="G2434" s="23"/>
    </row>
    <row r="2435">
      <c r="A2435" s="11"/>
      <c r="B2435" s="25"/>
      <c r="C2435" s="23"/>
      <c r="D2435" s="23"/>
      <c r="E2435" s="23"/>
      <c r="F2435" s="23"/>
      <c r="G2435" s="23"/>
    </row>
    <row r="2436">
      <c r="A2436" s="11"/>
      <c r="B2436" s="25"/>
      <c r="C2436" s="23"/>
      <c r="D2436" s="23"/>
      <c r="E2436" s="23"/>
      <c r="F2436" s="23"/>
      <c r="G2436" s="23"/>
    </row>
    <row r="2437">
      <c r="A2437" s="11"/>
      <c r="B2437" s="25"/>
      <c r="C2437" s="23"/>
      <c r="D2437" s="23"/>
      <c r="E2437" s="23"/>
      <c r="F2437" s="23"/>
      <c r="G2437" s="23"/>
    </row>
    <row r="2438">
      <c r="A2438" s="11"/>
      <c r="B2438" s="25"/>
      <c r="C2438" s="23"/>
      <c r="D2438" s="23"/>
      <c r="E2438" s="23"/>
      <c r="F2438" s="23"/>
      <c r="G2438" s="23"/>
    </row>
    <row r="2439">
      <c r="A2439" s="11"/>
      <c r="B2439" s="25"/>
      <c r="C2439" s="23"/>
      <c r="D2439" s="23"/>
      <c r="E2439" s="23"/>
      <c r="F2439" s="23"/>
      <c r="G2439" s="23"/>
    </row>
    <row r="2440">
      <c r="A2440" s="11"/>
      <c r="B2440" s="25"/>
      <c r="C2440" s="23"/>
      <c r="D2440" s="23"/>
      <c r="E2440" s="23"/>
      <c r="F2440" s="23"/>
      <c r="G2440" s="23"/>
    </row>
    <row r="2441">
      <c r="A2441" s="11"/>
      <c r="B2441" s="25"/>
      <c r="C2441" s="23"/>
      <c r="D2441" s="23"/>
      <c r="E2441" s="23"/>
      <c r="F2441" s="23"/>
      <c r="G2441" s="23"/>
    </row>
    <row r="2442">
      <c r="A2442" s="11"/>
      <c r="B2442" s="25"/>
      <c r="C2442" s="23"/>
      <c r="D2442" s="23"/>
      <c r="E2442" s="23"/>
      <c r="F2442" s="23"/>
      <c r="G2442" s="23"/>
    </row>
    <row r="2443">
      <c r="A2443" s="11"/>
      <c r="B2443" s="25"/>
      <c r="C2443" s="23"/>
      <c r="D2443" s="23"/>
      <c r="E2443" s="23"/>
      <c r="F2443" s="23"/>
      <c r="G2443" s="23"/>
    </row>
    <row r="2444">
      <c r="A2444" s="11"/>
      <c r="B2444" s="25"/>
      <c r="C2444" s="23"/>
      <c r="D2444" s="23"/>
      <c r="E2444" s="23"/>
      <c r="F2444" s="23"/>
      <c r="G2444" s="23"/>
    </row>
    <row r="2445">
      <c r="A2445" s="11"/>
      <c r="B2445" s="25"/>
      <c r="C2445" s="23"/>
      <c r="D2445" s="23"/>
      <c r="E2445" s="23"/>
      <c r="F2445" s="23"/>
      <c r="G2445" s="23"/>
    </row>
    <row r="2446">
      <c r="A2446" s="11"/>
      <c r="B2446" s="25"/>
      <c r="C2446" s="23"/>
      <c r="D2446" s="23"/>
      <c r="E2446" s="23"/>
      <c r="F2446" s="23"/>
      <c r="G2446" s="23"/>
    </row>
    <row r="2447">
      <c r="A2447" s="11"/>
      <c r="B2447" s="25"/>
      <c r="C2447" s="23"/>
      <c r="D2447" s="23"/>
      <c r="E2447" s="23"/>
      <c r="F2447" s="23"/>
      <c r="G2447" s="23"/>
    </row>
    <row r="2448">
      <c r="A2448" s="11"/>
      <c r="B2448" s="25"/>
      <c r="C2448" s="23"/>
      <c r="D2448" s="23"/>
      <c r="E2448" s="23"/>
      <c r="F2448" s="23"/>
      <c r="G2448" s="23"/>
    </row>
    <row r="2449">
      <c r="A2449" s="11"/>
      <c r="B2449" s="25"/>
      <c r="C2449" s="23"/>
      <c r="D2449" s="23"/>
      <c r="E2449" s="23"/>
      <c r="F2449" s="23"/>
      <c r="G2449" s="23"/>
    </row>
    <row r="2450">
      <c r="A2450" s="11"/>
      <c r="B2450" s="25"/>
      <c r="C2450" s="23"/>
      <c r="D2450" s="23"/>
      <c r="E2450" s="23"/>
      <c r="F2450" s="23"/>
      <c r="G2450" s="23"/>
    </row>
    <row r="2451">
      <c r="A2451" s="11"/>
      <c r="B2451" s="25"/>
      <c r="C2451" s="23"/>
      <c r="D2451" s="23"/>
      <c r="E2451" s="23"/>
      <c r="F2451" s="23"/>
      <c r="G2451" s="23"/>
    </row>
    <row r="2452">
      <c r="A2452" s="11"/>
      <c r="B2452" s="25"/>
      <c r="C2452" s="23"/>
      <c r="D2452" s="23"/>
      <c r="E2452" s="23"/>
      <c r="F2452" s="23"/>
      <c r="G2452" s="23"/>
    </row>
    <row r="2453">
      <c r="A2453" s="11"/>
      <c r="B2453" s="25"/>
      <c r="C2453" s="23"/>
      <c r="D2453" s="23"/>
      <c r="E2453" s="23"/>
      <c r="F2453" s="23"/>
      <c r="G2453" s="23"/>
    </row>
    <row r="2454">
      <c r="A2454" s="11"/>
      <c r="B2454" s="25"/>
      <c r="C2454" s="23"/>
      <c r="D2454" s="23"/>
      <c r="E2454" s="23"/>
      <c r="F2454" s="23"/>
      <c r="G2454" s="23"/>
    </row>
    <row r="2455">
      <c r="A2455" s="11"/>
      <c r="B2455" s="25"/>
      <c r="C2455" s="23"/>
      <c r="D2455" s="23"/>
      <c r="E2455" s="23"/>
      <c r="F2455" s="23"/>
      <c r="G2455" s="23"/>
    </row>
    <row r="2456">
      <c r="A2456" s="11"/>
      <c r="B2456" s="25"/>
      <c r="C2456" s="23"/>
      <c r="D2456" s="23"/>
      <c r="E2456" s="23"/>
      <c r="F2456" s="23"/>
      <c r="G2456" s="23"/>
    </row>
    <row r="2457">
      <c r="A2457" s="11"/>
      <c r="B2457" s="25"/>
      <c r="C2457" s="23"/>
      <c r="D2457" s="23"/>
      <c r="E2457" s="23"/>
      <c r="F2457" s="23"/>
      <c r="G2457" s="23"/>
    </row>
    <row r="2458">
      <c r="A2458" s="11"/>
      <c r="B2458" s="25"/>
      <c r="C2458" s="23"/>
      <c r="D2458" s="23"/>
      <c r="E2458" s="23"/>
      <c r="F2458" s="23"/>
      <c r="G2458" s="23"/>
    </row>
    <row r="2459">
      <c r="A2459" s="11"/>
      <c r="B2459" s="25"/>
      <c r="C2459" s="23"/>
      <c r="D2459" s="23"/>
      <c r="E2459" s="23"/>
      <c r="F2459" s="23"/>
      <c r="G2459" s="23"/>
    </row>
    <row r="2460">
      <c r="A2460" s="11"/>
      <c r="B2460" s="25"/>
      <c r="C2460" s="23"/>
      <c r="D2460" s="23"/>
      <c r="E2460" s="23"/>
      <c r="F2460" s="23"/>
      <c r="G2460" s="23"/>
    </row>
    <row r="2461">
      <c r="A2461" s="11"/>
      <c r="B2461" s="25"/>
      <c r="C2461" s="23"/>
      <c r="D2461" s="23"/>
      <c r="E2461" s="23"/>
      <c r="F2461" s="23"/>
      <c r="G2461" s="23"/>
    </row>
    <row r="2462">
      <c r="A2462" s="11"/>
      <c r="B2462" s="25"/>
      <c r="C2462" s="23"/>
      <c r="D2462" s="23"/>
      <c r="E2462" s="23"/>
      <c r="F2462" s="23"/>
      <c r="G2462" s="23"/>
    </row>
    <row r="2463">
      <c r="A2463" s="11"/>
      <c r="B2463" s="25"/>
      <c r="C2463" s="23"/>
      <c r="D2463" s="23"/>
      <c r="E2463" s="23"/>
      <c r="F2463" s="23"/>
      <c r="G2463" s="23"/>
    </row>
    <row r="2464">
      <c r="A2464" s="11"/>
      <c r="B2464" s="25"/>
      <c r="C2464" s="23"/>
      <c r="D2464" s="23"/>
      <c r="E2464" s="23"/>
      <c r="F2464" s="23"/>
      <c r="G2464" s="23"/>
    </row>
    <row r="2465">
      <c r="A2465" s="11"/>
      <c r="B2465" s="25"/>
      <c r="C2465" s="23"/>
      <c r="D2465" s="23"/>
      <c r="E2465" s="23"/>
      <c r="F2465" s="23"/>
      <c r="G2465" s="23"/>
    </row>
    <row r="2466">
      <c r="A2466" s="11"/>
      <c r="B2466" s="25"/>
      <c r="C2466" s="23"/>
      <c r="D2466" s="23"/>
      <c r="E2466" s="23"/>
      <c r="F2466" s="23"/>
      <c r="G2466" s="23"/>
    </row>
    <row r="2467">
      <c r="A2467" s="11"/>
      <c r="B2467" s="25"/>
      <c r="C2467" s="23"/>
      <c r="D2467" s="23"/>
      <c r="E2467" s="23"/>
      <c r="F2467" s="23"/>
      <c r="G2467" s="23"/>
    </row>
    <row r="2468">
      <c r="A2468" s="11"/>
      <c r="B2468" s="25"/>
      <c r="C2468" s="23"/>
      <c r="D2468" s="23"/>
      <c r="E2468" s="23"/>
      <c r="F2468" s="23"/>
      <c r="G2468" s="23"/>
    </row>
    <row r="2469">
      <c r="A2469" s="11"/>
      <c r="B2469" s="25"/>
      <c r="C2469" s="23"/>
      <c r="D2469" s="23"/>
      <c r="E2469" s="23"/>
      <c r="F2469" s="23"/>
      <c r="G2469" s="23"/>
    </row>
    <row r="2470">
      <c r="A2470" s="11"/>
      <c r="B2470" s="25"/>
      <c r="C2470" s="23"/>
      <c r="D2470" s="23"/>
      <c r="E2470" s="23"/>
      <c r="F2470" s="23"/>
      <c r="G2470" s="23"/>
    </row>
    <row r="2471">
      <c r="A2471" s="11"/>
      <c r="B2471" s="25"/>
      <c r="C2471" s="23"/>
      <c r="D2471" s="23"/>
      <c r="E2471" s="23"/>
      <c r="F2471" s="23"/>
      <c r="G2471" s="23"/>
    </row>
    <row r="2472">
      <c r="A2472" s="11"/>
      <c r="B2472" s="25"/>
      <c r="C2472" s="23"/>
      <c r="D2472" s="23"/>
      <c r="E2472" s="23"/>
      <c r="F2472" s="23"/>
      <c r="G2472" s="23"/>
    </row>
    <row r="2473">
      <c r="A2473" s="11"/>
      <c r="B2473" s="25"/>
      <c r="C2473" s="23"/>
      <c r="D2473" s="23"/>
      <c r="E2473" s="23"/>
      <c r="F2473" s="23"/>
      <c r="G2473" s="23"/>
    </row>
    <row r="2474">
      <c r="A2474" s="11"/>
      <c r="B2474" s="25"/>
      <c r="C2474" s="23"/>
      <c r="D2474" s="23"/>
      <c r="E2474" s="23"/>
      <c r="F2474" s="23"/>
      <c r="G2474" s="23"/>
    </row>
    <row r="2475">
      <c r="A2475" s="11"/>
      <c r="B2475" s="25"/>
      <c r="C2475" s="23"/>
      <c r="D2475" s="23"/>
      <c r="E2475" s="23"/>
      <c r="F2475" s="23"/>
      <c r="G2475" s="23"/>
    </row>
    <row r="2476">
      <c r="A2476" s="11"/>
      <c r="B2476" s="25"/>
      <c r="C2476" s="23"/>
      <c r="D2476" s="23"/>
      <c r="E2476" s="23"/>
      <c r="F2476" s="23"/>
      <c r="G2476" s="23"/>
    </row>
    <row r="2477">
      <c r="A2477" s="11"/>
      <c r="B2477" s="25"/>
      <c r="C2477" s="23"/>
      <c r="D2477" s="23"/>
      <c r="E2477" s="23"/>
      <c r="F2477" s="23"/>
      <c r="G2477" s="23"/>
    </row>
    <row r="2478">
      <c r="A2478" s="11"/>
      <c r="B2478" s="25"/>
      <c r="C2478" s="23"/>
      <c r="D2478" s="23"/>
      <c r="E2478" s="23"/>
      <c r="F2478" s="23"/>
      <c r="G2478" s="23"/>
    </row>
    <row r="2479">
      <c r="A2479" s="11"/>
      <c r="B2479" s="25"/>
      <c r="C2479" s="23"/>
      <c r="D2479" s="23"/>
      <c r="E2479" s="23"/>
      <c r="F2479" s="23"/>
      <c r="G2479" s="23"/>
    </row>
    <row r="2480">
      <c r="A2480" s="11"/>
      <c r="B2480" s="25"/>
      <c r="C2480" s="23"/>
      <c r="D2480" s="23"/>
      <c r="E2480" s="23"/>
      <c r="F2480" s="23"/>
      <c r="G2480" s="23"/>
    </row>
    <row r="2481">
      <c r="A2481" s="11"/>
      <c r="B2481" s="25"/>
      <c r="C2481" s="23"/>
      <c r="D2481" s="23"/>
      <c r="E2481" s="23"/>
      <c r="F2481" s="23"/>
      <c r="G2481" s="23"/>
    </row>
    <row r="2482">
      <c r="A2482" s="11"/>
      <c r="B2482" s="25"/>
      <c r="C2482" s="23"/>
      <c r="D2482" s="23"/>
      <c r="E2482" s="23"/>
      <c r="F2482" s="23"/>
      <c r="G2482" s="23"/>
    </row>
    <row r="2483">
      <c r="A2483" s="11"/>
      <c r="B2483" s="25"/>
      <c r="C2483" s="23"/>
      <c r="D2483" s="23"/>
      <c r="E2483" s="23"/>
      <c r="F2483" s="23"/>
      <c r="G2483" s="23"/>
    </row>
    <row r="2484">
      <c r="A2484" s="11"/>
      <c r="B2484" s="25"/>
      <c r="C2484" s="23"/>
      <c r="D2484" s="23"/>
      <c r="E2484" s="23"/>
      <c r="F2484" s="23"/>
      <c r="G2484" s="23"/>
    </row>
    <row r="2485">
      <c r="A2485" s="11"/>
      <c r="B2485" s="25"/>
      <c r="C2485" s="23"/>
      <c r="D2485" s="23"/>
      <c r="E2485" s="23"/>
      <c r="F2485" s="23"/>
      <c r="G2485" s="23"/>
    </row>
    <row r="2486">
      <c r="A2486" s="11"/>
      <c r="B2486" s="25"/>
      <c r="C2486" s="23"/>
      <c r="D2486" s="23"/>
      <c r="E2486" s="23"/>
      <c r="F2486" s="23"/>
      <c r="G2486" s="23"/>
    </row>
    <row r="2487">
      <c r="A2487" s="11"/>
      <c r="B2487" s="25"/>
      <c r="C2487" s="23"/>
      <c r="D2487" s="23"/>
      <c r="E2487" s="23"/>
      <c r="F2487" s="23"/>
      <c r="G2487" s="23"/>
    </row>
    <row r="2488">
      <c r="A2488" s="11"/>
      <c r="B2488" s="25"/>
      <c r="C2488" s="23"/>
      <c r="D2488" s="23"/>
      <c r="E2488" s="23"/>
      <c r="F2488" s="23"/>
      <c r="G2488" s="23"/>
    </row>
    <row r="2489">
      <c r="A2489" s="11"/>
      <c r="B2489" s="25"/>
      <c r="C2489" s="23"/>
      <c r="D2489" s="23"/>
      <c r="E2489" s="23"/>
      <c r="F2489" s="23"/>
      <c r="G2489" s="23"/>
    </row>
    <row r="2490">
      <c r="A2490" s="11"/>
      <c r="B2490" s="25"/>
      <c r="C2490" s="23"/>
      <c r="D2490" s="23"/>
      <c r="E2490" s="23"/>
      <c r="F2490" s="23"/>
      <c r="G2490" s="23"/>
    </row>
    <row r="2491">
      <c r="A2491" s="11"/>
      <c r="B2491" s="25"/>
      <c r="C2491" s="23"/>
      <c r="D2491" s="23"/>
      <c r="E2491" s="23"/>
      <c r="F2491" s="23"/>
      <c r="G2491" s="23"/>
    </row>
    <row r="2492">
      <c r="A2492" s="11"/>
      <c r="B2492" s="25"/>
      <c r="C2492" s="23"/>
      <c r="D2492" s="23"/>
      <c r="E2492" s="23"/>
      <c r="F2492" s="23"/>
      <c r="G2492" s="23"/>
    </row>
    <row r="2493">
      <c r="A2493" s="11"/>
      <c r="B2493" s="25"/>
      <c r="C2493" s="23"/>
      <c r="D2493" s="23"/>
      <c r="E2493" s="23"/>
      <c r="F2493" s="23"/>
      <c r="G2493" s="23"/>
    </row>
    <row r="2494">
      <c r="A2494" s="11"/>
      <c r="B2494" s="25"/>
      <c r="C2494" s="23"/>
      <c r="D2494" s="23"/>
      <c r="E2494" s="23"/>
      <c r="F2494" s="23"/>
      <c r="G2494" s="23"/>
    </row>
    <row r="2495">
      <c r="A2495" s="11"/>
      <c r="B2495" s="25"/>
      <c r="C2495" s="23"/>
      <c r="D2495" s="23"/>
      <c r="E2495" s="23"/>
      <c r="F2495" s="23"/>
      <c r="G2495" s="23"/>
    </row>
    <row r="2496">
      <c r="A2496" s="11"/>
      <c r="B2496" s="25"/>
      <c r="C2496" s="23"/>
      <c r="D2496" s="23"/>
      <c r="E2496" s="23"/>
      <c r="F2496" s="23"/>
      <c r="G2496" s="23"/>
    </row>
    <row r="2497">
      <c r="A2497" s="11"/>
      <c r="B2497" s="25"/>
      <c r="C2497" s="23"/>
      <c r="D2497" s="23"/>
      <c r="E2497" s="23"/>
      <c r="F2497" s="23"/>
      <c r="G2497" s="23"/>
    </row>
    <row r="2498">
      <c r="A2498" s="11"/>
      <c r="B2498" s="25"/>
      <c r="C2498" s="23"/>
      <c r="D2498" s="23"/>
      <c r="E2498" s="23"/>
      <c r="F2498" s="23"/>
      <c r="G2498" s="23"/>
    </row>
    <row r="2499">
      <c r="A2499" s="11"/>
      <c r="B2499" s="25"/>
      <c r="C2499" s="23"/>
      <c r="D2499" s="23"/>
      <c r="E2499" s="23"/>
      <c r="F2499" s="23"/>
      <c r="G2499" s="23"/>
    </row>
    <row r="2500">
      <c r="A2500" s="11"/>
      <c r="B2500" s="25"/>
      <c r="C2500" s="23"/>
      <c r="D2500" s="23"/>
      <c r="E2500" s="23"/>
      <c r="F2500" s="23"/>
      <c r="G2500" s="23"/>
    </row>
    <row r="2501">
      <c r="A2501" s="11"/>
      <c r="B2501" s="25"/>
      <c r="C2501" s="23"/>
      <c r="D2501" s="23"/>
      <c r="E2501" s="23"/>
      <c r="F2501" s="23"/>
      <c r="G2501" s="23"/>
    </row>
    <row r="2502">
      <c r="A2502" s="11"/>
      <c r="B2502" s="25"/>
      <c r="C2502" s="23"/>
      <c r="D2502" s="23"/>
      <c r="E2502" s="23"/>
      <c r="F2502" s="23"/>
      <c r="G2502" s="23"/>
    </row>
    <row r="2503">
      <c r="A2503" s="11"/>
      <c r="B2503" s="25"/>
      <c r="C2503" s="23"/>
      <c r="D2503" s="23"/>
      <c r="E2503" s="23"/>
      <c r="F2503" s="23"/>
      <c r="G2503" s="23"/>
    </row>
    <row r="2504">
      <c r="A2504" s="11"/>
      <c r="B2504" s="25"/>
      <c r="C2504" s="23"/>
      <c r="D2504" s="23"/>
      <c r="E2504" s="23"/>
      <c r="F2504" s="23"/>
      <c r="G2504" s="23"/>
    </row>
    <row r="2505">
      <c r="A2505" s="11"/>
      <c r="B2505" s="25"/>
      <c r="C2505" s="23"/>
      <c r="D2505" s="23"/>
      <c r="E2505" s="23"/>
      <c r="F2505" s="23"/>
      <c r="G2505" s="23"/>
    </row>
    <row r="2506">
      <c r="A2506" s="11"/>
      <c r="B2506" s="25"/>
      <c r="C2506" s="23"/>
      <c r="D2506" s="23"/>
      <c r="E2506" s="23"/>
      <c r="F2506" s="23"/>
      <c r="G2506" s="23"/>
    </row>
    <row r="2507">
      <c r="A2507" s="11"/>
      <c r="B2507" s="25"/>
      <c r="C2507" s="23"/>
      <c r="D2507" s="23"/>
      <c r="E2507" s="23"/>
      <c r="F2507" s="23"/>
      <c r="G2507" s="23"/>
    </row>
    <row r="2508">
      <c r="A2508" s="11"/>
      <c r="B2508" s="25"/>
      <c r="C2508" s="23"/>
      <c r="D2508" s="23"/>
      <c r="E2508" s="23"/>
      <c r="F2508" s="23"/>
      <c r="G2508" s="23"/>
    </row>
    <row r="2509">
      <c r="A2509" s="11"/>
      <c r="B2509" s="25"/>
      <c r="C2509" s="23"/>
      <c r="D2509" s="23"/>
      <c r="E2509" s="23"/>
      <c r="F2509" s="23"/>
      <c r="G2509" s="23"/>
    </row>
    <row r="2510">
      <c r="A2510" s="11"/>
      <c r="B2510" s="25"/>
      <c r="C2510" s="23"/>
      <c r="D2510" s="23"/>
      <c r="E2510" s="23"/>
      <c r="F2510" s="23"/>
      <c r="G2510" s="23"/>
    </row>
    <row r="2511">
      <c r="A2511" s="11"/>
      <c r="B2511" s="25"/>
      <c r="C2511" s="23"/>
      <c r="D2511" s="23"/>
      <c r="E2511" s="23"/>
      <c r="F2511" s="23"/>
      <c r="G2511" s="23"/>
    </row>
    <row r="2512">
      <c r="A2512" s="11"/>
      <c r="B2512" s="25"/>
      <c r="C2512" s="23"/>
      <c r="D2512" s="23"/>
      <c r="E2512" s="23"/>
      <c r="F2512" s="23"/>
      <c r="G2512" s="23"/>
    </row>
    <row r="2513">
      <c r="A2513" s="11"/>
      <c r="B2513" s="25"/>
      <c r="C2513" s="23"/>
      <c r="D2513" s="23"/>
      <c r="E2513" s="23"/>
      <c r="F2513" s="23"/>
      <c r="G2513" s="23"/>
    </row>
    <row r="2514">
      <c r="A2514" s="11"/>
      <c r="B2514" s="25"/>
      <c r="C2514" s="23"/>
      <c r="D2514" s="23"/>
      <c r="E2514" s="23"/>
      <c r="F2514" s="23"/>
      <c r="G2514" s="23"/>
    </row>
    <row r="2515">
      <c r="A2515" s="11"/>
      <c r="B2515" s="25"/>
      <c r="C2515" s="23"/>
      <c r="D2515" s="23"/>
      <c r="E2515" s="23"/>
      <c r="F2515" s="23"/>
      <c r="G2515" s="23"/>
    </row>
    <row r="2516">
      <c r="A2516" s="11"/>
      <c r="B2516" s="25"/>
      <c r="C2516" s="23"/>
      <c r="D2516" s="23"/>
      <c r="E2516" s="23"/>
      <c r="F2516" s="23"/>
      <c r="G2516" s="23"/>
    </row>
    <row r="2517">
      <c r="A2517" s="11"/>
      <c r="B2517" s="25"/>
      <c r="C2517" s="23"/>
      <c r="D2517" s="23"/>
      <c r="E2517" s="23"/>
      <c r="F2517" s="23"/>
      <c r="G2517" s="23"/>
    </row>
    <row r="2518">
      <c r="A2518" s="11"/>
      <c r="B2518" s="25"/>
      <c r="C2518" s="23"/>
      <c r="D2518" s="23"/>
      <c r="E2518" s="23"/>
      <c r="F2518" s="23"/>
      <c r="G2518" s="23"/>
    </row>
    <row r="2519">
      <c r="A2519" s="11"/>
      <c r="B2519" s="25"/>
      <c r="C2519" s="23"/>
      <c r="D2519" s="23"/>
      <c r="E2519" s="23"/>
      <c r="F2519" s="23"/>
      <c r="G2519" s="23"/>
    </row>
    <row r="2520">
      <c r="A2520" s="11"/>
      <c r="B2520" s="25"/>
      <c r="C2520" s="23"/>
      <c r="D2520" s="23"/>
      <c r="E2520" s="23"/>
      <c r="F2520" s="23"/>
      <c r="G2520" s="23"/>
    </row>
    <row r="2521">
      <c r="A2521" s="11"/>
      <c r="B2521" s="25"/>
      <c r="C2521" s="23"/>
      <c r="D2521" s="23"/>
      <c r="E2521" s="23"/>
      <c r="F2521" s="23"/>
      <c r="G2521" s="23"/>
    </row>
    <row r="2522">
      <c r="A2522" s="11"/>
      <c r="B2522" s="25"/>
      <c r="C2522" s="23"/>
      <c r="D2522" s="23"/>
      <c r="E2522" s="23"/>
      <c r="F2522" s="23"/>
      <c r="G2522" s="23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25"/>
    <col customWidth="1" min="2" max="2" width="16.75"/>
    <col customWidth="1" min="4" max="4" width="15.25"/>
    <col customWidth="1" min="6" max="6" width="10.5"/>
    <col customWidth="1" min="7" max="7" width="15.5"/>
    <col customWidth="1" min="8" max="8" width="11.38"/>
  </cols>
  <sheetData>
    <row r="1">
      <c r="A1" s="26" t="s">
        <v>2</v>
      </c>
      <c r="B1" s="4" t="s">
        <v>3</v>
      </c>
      <c r="C1" s="9" t="s">
        <v>1883</v>
      </c>
      <c r="E1" s="9" t="s">
        <v>1884</v>
      </c>
      <c r="G1" s="9" t="s">
        <v>1885</v>
      </c>
      <c r="I1" s="16" t="str">
        <f>IF(A1&gt;20, "Perfil Agressivo", IF(AND(A1&gt;=5, A1&lt;=19), "Perfil Moderado", "Perfil Conservador"))</f>
        <v>Perfil Agressivo</v>
      </c>
      <c r="K1" s="16"/>
    </row>
    <row r="2">
      <c r="A2" s="3" t="s">
        <v>2</v>
      </c>
      <c r="B2" s="4" t="s">
        <v>3</v>
      </c>
      <c r="C2" s="9">
        <f>COUNTIF(B:B,"compra")</f>
        <v>1018</v>
      </c>
      <c r="E2" s="9">
        <f>COUNTIF(B:B,"venda")</f>
        <v>982</v>
      </c>
      <c r="G2" s="9">
        <f>SUM(C2,E2)</f>
        <v>2000</v>
      </c>
      <c r="I2" s="9" t="s">
        <v>1886</v>
      </c>
      <c r="J2" s="9"/>
      <c r="K2" s="16" t="s">
        <v>1887</v>
      </c>
    </row>
    <row r="3">
      <c r="A3" s="3" t="s">
        <v>2</v>
      </c>
      <c r="B3" s="4" t="s">
        <v>8</v>
      </c>
    </row>
    <row r="4">
      <c r="A4" s="3" t="s">
        <v>2</v>
      </c>
      <c r="B4" s="4" t="s">
        <v>8</v>
      </c>
    </row>
    <row r="5">
      <c r="A5" s="3" t="s">
        <v>2</v>
      </c>
      <c r="B5" s="4" t="s">
        <v>8</v>
      </c>
    </row>
    <row r="6">
      <c r="A6" s="3" t="s">
        <v>2</v>
      </c>
      <c r="B6" s="4" t="s">
        <v>8</v>
      </c>
    </row>
    <row r="7">
      <c r="A7" s="3" t="s">
        <v>2</v>
      </c>
      <c r="B7" s="4" t="s">
        <v>8</v>
      </c>
    </row>
    <row r="8">
      <c r="A8" s="3" t="s">
        <v>2</v>
      </c>
      <c r="B8" s="4" t="s">
        <v>8</v>
      </c>
    </row>
    <row r="9">
      <c r="A9" s="3" t="s">
        <v>2</v>
      </c>
      <c r="B9" s="4" t="s">
        <v>3</v>
      </c>
    </row>
    <row r="10">
      <c r="A10" s="3" t="s">
        <v>2</v>
      </c>
      <c r="B10" s="4" t="s">
        <v>8</v>
      </c>
    </row>
    <row r="11">
      <c r="A11" s="3" t="s">
        <v>2</v>
      </c>
      <c r="B11" s="4" t="s">
        <v>8</v>
      </c>
      <c r="D11" s="9"/>
    </row>
    <row r="12">
      <c r="A12" s="3" t="s">
        <v>2</v>
      </c>
      <c r="B12" s="4" t="s">
        <v>8</v>
      </c>
      <c r="D12" s="27"/>
    </row>
    <row r="13">
      <c r="A13" s="3" t="s">
        <v>2</v>
      </c>
      <c r="B13" s="4" t="s">
        <v>8</v>
      </c>
    </row>
    <row r="14">
      <c r="A14" s="3" t="s">
        <v>2</v>
      </c>
      <c r="B14" s="4" t="s">
        <v>3</v>
      </c>
    </row>
    <row r="15">
      <c r="A15" s="3" t="s">
        <v>2</v>
      </c>
      <c r="B15" s="4" t="s">
        <v>3</v>
      </c>
      <c r="D15" s="16" t="s">
        <v>1888</v>
      </c>
    </row>
    <row r="16">
      <c r="A16" s="3" t="s">
        <v>2</v>
      </c>
      <c r="B16" s="4" t="s">
        <v>3</v>
      </c>
    </row>
    <row r="17">
      <c r="A17" s="3" t="s">
        <v>2</v>
      </c>
      <c r="B17" s="4" t="s">
        <v>3</v>
      </c>
    </row>
    <row r="18">
      <c r="A18" s="3" t="s">
        <v>2</v>
      </c>
      <c r="B18" s="4" t="s">
        <v>8</v>
      </c>
    </row>
    <row r="19">
      <c r="A19" s="3" t="s">
        <v>2</v>
      </c>
      <c r="B19" s="4" t="s">
        <v>3</v>
      </c>
    </row>
    <row r="20">
      <c r="A20" s="3" t="s">
        <v>2</v>
      </c>
      <c r="B20" s="4" t="s">
        <v>3</v>
      </c>
    </row>
    <row r="21">
      <c r="A21" s="3" t="s">
        <v>38</v>
      </c>
      <c r="B21" s="4" t="s">
        <v>8</v>
      </c>
    </row>
    <row r="22">
      <c r="A22" s="3" t="s">
        <v>38</v>
      </c>
      <c r="B22" s="4" t="s">
        <v>8</v>
      </c>
    </row>
    <row r="23">
      <c r="A23" s="3" t="s">
        <v>38</v>
      </c>
      <c r="B23" s="4" t="s">
        <v>8</v>
      </c>
    </row>
    <row r="24">
      <c r="A24" s="3" t="s">
        <v>38</v>
      </c>
      <c r="B24" s="4" t="s">
        <v>3</v>
      </c>
    </row>
    <row r="25">
      <c r="A25" s="3" t="s">
        <v>38</v>
      </c>
      <c r="B25" s="4" t="s">
        <v>8</v>
      </c>
    </row>
    <row r="26">
      <c r="A26" s="3" t="s">
        <v>38</v>
      </c>
      <c r="B26" s="4" t="s">
        <v>8</v>
      </c>
    </row>
    <row r="27">
      <c r="A27" s="3" t="s">
        <v>38</v>
      </c>
      <c r="B27" s="4" t="s">
        <v>8</v>
      </c>
    </row>
    <row r="28">
      <c r="A28" s="3" t="s">
        <v>38</v>
      </c>
      <c r="B28" s="4" t="s">
        <v>3</v>
      </c>
    </row>
    <row r="29">
      <c r="A29" s="3" t="s">
        <v>38</v>
      </c>
      <c r="B29" s="4" t="s">
        <v>3</v>
      </c>
    </row>
    <row r="30">
      <c r="A30" s="3" t="s">
        <v>38</v>
      </c>
      <c r="B30" s="4" t="s">
        <v>3</v>
      </c>
    </row>
    <row r="31">
      <c r="A31" s="3" t="s">
        <v>38</v>
      </c>
      <c r="B31" s="4" t="s">
        <v>3</v>
      </c>
    </row>
    <row r="32">
      <c r="A32" s="3" t="s">
        <v>38</v>
      </c>
      <c r="B32" s="4" t="s">
        <v>3</v>
      </c>
    </row>
    <row r="33">
      <c r="A33" s="3" t="s">
        <v>38</v>
      </c>
      <c r="B33" s="4" t="s">
        <v>3</v>
      </c>
    </row>
    <row r="34">
      <c r="A34" s="3" t="s">
        <v>38</v>
      </c>
      <c r="B34" s="4" t="s">
        <v>8</v>
      </c>
    </row>
    <row r="35">
      <c r="A35" s="3" t="s">
        <v>38</v>
      </c>
      <c r="B35" s="4" t="s">
        <v>3</v>
      </c>
    </row>
    <row r="36">
      <c r="A36" s="3" t="s">
        <v>38</v>
      </c>
      <c r="B36" s="4" t="s">
        <v>8</v>
      </c>
    </row>
    <row r="37">
      <c r="A37" s="3" t="s">
        <v>38</v>
      </c>
      <c r="B37" s="4" t="s">
        <v>8</v>
      </c>
    </row>
    <row r="38">
      <c r="A38" s="3" t="s">
        <v>38</v>
      </c>
      <c r="B38" s="4" t="s">
        <v>8</v>
      </c>
    </row>
    <row r="39">
      <c r="A39" s="3" t="s">
        <v>38</v>
      </c>
      <c r="B39" s="4" t="s">
        <v>8</v>
      </c>
    </row>
    <row r="40">
      <c r="A40" s="3" t="s">
        <v>38</v>
      </c>
      <c r="B40" s="4" t="s">
        <v>3</v>
      </c>
    </row>
    <row r="41">
      <c r="A41" s="3" t="s">
        <v>64</v>
      </c>
      <c r="B41" s="4" t="s">
        <v>8</v>
      </c>
    </row>
    <row r="42">
      <c r="A42" s="3" t="s">
        <v>64</v>
      </c>
      <c r="B42" s="4" t="s">
        <v>3</v>
      </c>
    </row>
    <row r="43">
      <c r="A43" s="3" t="s">
        <v>64</v>
      </c>
      <c r="B43" s="4" t="s">
        <v>3</v>
      </c>
    </row>
    <row r="44">
      <c r="A44" s="3" t="s">
        <v>64</v>
      </c>
      <c r="B44" s="4" t="s">
        <v>8</v>
      </c>
    </row>
    <row r="45">
      <c r="A45" s="3" t="s">
        <v>64</v>
      </c>
      <c r="B45" s="4" t="s">
        <v>8</v>
      </c>
    </row>
    <row r="46">
      <c r="A46" s="3" t="s">
        <v>64</v>
      </c>
      <c r="B46" s="4" t="s">
        <v>8</v>
      </c>
    </row>
    <row r="47">
      <c r="A47" s="3" t="s">
        <v>64</v>
      </c>
      <c r="B47" s="4" t="s">
        <v>8</v>
      </c>
    </row>
    <row r="48">
      <c r="A48" s="3" t="s">
        <v>64</v>
      </c>
      <c r="B48" s="4" t="s">
        <v>8</v>
      </c>
    </row>
    <row r="49">
      <c r="A49" s="3" t="s">
        <v>64</v>
      </c>
      <c r="B49" s="4" t="s">
        <v>3</v>
      </c>
    </row>
    <row r="50">
      <c r="A50" s="3" t="s">
        <v>64</v>
      </c>
      <c r="B50" s="4" t="s">
        <v>3</v>
      </c>
    </row>
    <row r="51">
      <c r="A51" s="3" t="s">
        <v>64</v>
      </c>
      <c r="B51" s="4" t="s">
        <v>8</v>
      </c>
    </row>
    <row r="52">
      <c r="A52" s="3" t="s">
        <v>64</v>
      </c>
      <c r="B52" s="4" t="s">
        <v>8</v>
      </c>
    </row>
    <row r="53">
      <c r="A53" s="3" t="s">
        <v>64</v>
      </c>
      <c r="B53" s="4" t="s">
        <v>3</v>
      </c>
    </row>
    <row r="54">
      <c r="A54" s="3" t="s">
        <v>64</v>
      </c>
      <c r="B54" s="4" t="s">
        <v>3</v>
      </c>
    </row>
    <row r="55">
      <c r="A55" s="3" t="s">
        <v>64</v>
      </c>
      <c r="B55" s="4" t="s">
        <v>8</v>
      </c>
    </row>
    <row r="56">
      <c r="A56" s="3" t="s">
        <v>64</v>
      </c>
      <c r="B56" s="4" t="s">
        <v>3</v>
      </c>
    </row>
    <row r="57">
      <c r="A57" s="3" t="s">
        <v>64</v>
      </c>
      <c r="B57" s="4" t="s">
        <v>3</v>
      </c>
    </row>
    <row r="58">
      <c r="A58" s="3" t="s">
        <v>64</v>
      </c>
      <c r="B58" s="4" t="s">
        <v>3</v>
      </c>
    </row>
    <row r="59">
      <c r="A59" s="3" t="s">
        <v>64</v>
      </c>
      <c r="B59" s="4" t="s">
        <v>3</v>
      </c>
    </row>
    <row r="60">
      <c r="A60" s="3" t="s">
        <v>64</v>
      </c>
      <c r="B60" s="4" t="s">
        <v>8</v>
      </c>
    </row>
    <row r="61">
      <c r="A61" s="3" t="s">
        <v>88</v>
      </c>
      <c r="B61" s="4" t="s">
        <v>8</v>
      </c>
    </row>
    <row r="62">
      <c r="A62" s="3" t="s">
        <v>88</v>
      </c>
      <c r="B62" s="4" t="s">
        <v>8</v>
      </c>
    </row>
    <row r="63">
      <c r="A63" s="3" t="s">
        <v>88</v>
      </c>
      <c r="B63" s="4" t="s">
        <v>8</v>
      </c>
    </row>
    <row r="64">
      <c r="A64" s="3" t="s">
        <v>88</v>
      </c>
      <c r="B64" s="4" t="s">
        <v>8</v>
      </c>
    </row>
    <row r="65">
      <c r="A65" s="3" t="s">
        <v>88</v>
      </c>
      <c r="B65" s="4" t="s">
        <v>3</v>
      </c>
    </row>
    <row r="66">
      <c r="A66" s="3" t="s">
        <v>88</v>
      </c>
      <c r="B66" s="4" t="s">
        <v>3</v>
      </c>
    </row>
    <row r="67">
      <c r="A67" s="3" t="s">
        <v>88</v>
      </c>
      <c r="B67" s="4" t="s">
        <v>8</v>
      </c>
    </row>
    <row r="68">
      <c r="A68" s="3" t="s">
        <v>88</v>
      </c>
      <c r="B68" s="4" t="s">
        <v>3</v>
      </c>
    </row>
    <row r="69">
      <c r="A69" s="3" t="s">
        <v>88</v>
      </c>
      <c r="B69" s="4" t="s">
        <v>8</v>
      </c>
    </row>
    <row r="70">
      <c r="A70" s="3" t="s">
        <v>88</v>
      </c>
      <c r="B70" s="4" t="s">
        <v>3</v>
      </c>
    </row>
    <row r="71">
      <c r="A71" s="3" t="s">
        <v>88</v>
      </c>
      <c r="B71" s="4" t="s">
        <v>8</v>
      </c>
    </row>
    <row r="72">
      <c r="A72" s="3" t="s">
        <v>88</v>
      </c>
      <c r="B72" s="4" t="s">
        <v>3</v>
      </c>
    </row>
    <row r="73">
      <c r="A73" s="3" t="s">
        <v>88</v>
      </c>
      <c r="B73" s="4" t="s">
        <v>8</v>
      </c>
    </row>
    <row r="74">
      <c r="A74" s="3" t="s">
        <v>88</v>
      </c>
      <c r="B74" s="4" t="s">
        <v>3</v>
      </c>
    </row>
    <row r="75">
      <c r="A75" s="3" t="s">
        <v>88</v>
      </c>
      <c r="B75" s="4" t="s">
        <v>3</v>
      </c>
    </row>
    <row r="76">
      <c r="A76" s="3" t="s">
        <v>88</v>
      </c>
      <c r="B76" s="4" t="s">
        <v>8</v>
      </c>
    </row>
    <row r="77">
      <c r="A77" s="3" t="s">
        <v>88</v>
      </c>
      <c r="B77" s="4" t="s">
        <v>3</v>
      </c>
    </row>
    <row r="78">
      <c r="A78" s="3" t="s">
        <v>88</v>
      </c>
      <c r="B78" s="4" t="s">
        <v>8</v>
      </c>
    </row>
    <row r="79">
      <c r="A79" s="3" t="s">
        <v>88</v>
      </c>
      <c r="B79" s="4" t="s">
        <v>3</v>
      </c>
    </row>
    <row r="80">
      <c r="A80" s="3" t="s">
        <v>88</v>
      </c>
      <c r="B80" s="4" t="s">
        <v>3</v>
      </c>
    </row>
    <row r="81">
      <c r="A81" s="3" t="s">
        <v>111</v>
      </c>
      <c r="B81" s="4" t="s">
        <v>8</v>
      </c>
    </row>
    <row r="82">
      <c r="A82" s="3" t="s">
        <v>111</v>
      </c>
      <c r="B82" s="4" t="s">
        <v>8</v>
      </c>
    </row>
    <row r="83">
      <c r="A83" s="3" t="s">
        <v>111</v>
      </c>
      <c r="B83" s="4" t="s">
        <v>8</v>
      </c>
    </row>
    <row r="84">
      <c r="A84" s="3" t="s">
        <v>111</v>
      </c>
      <c r="B84" s="4" t="s">
        <v>3</v>
      </c>
    </row>
    <row r="85">
      <c r="A85" s="3" t="s">
        <v>111</v>
      </c>
      <c r="B85" s="4" t="s">
        <v>8</v>
      </c>
    </row>
    <row r="86">
      <c r="A86" s="3" t="s">
        <v>111</v>
      </c>
      <c r="B86" s="4" t="s">
        <v>8</v>
      </c>
    </row>
    <row r="87">
      <c r="A87" s="3" t="s">
        <v>111</v>
      </c>
      <c r="B87" s="4" t="s">
        <v>8</v>
      </c>
    </row>
    <row r="88">
      <c r="A88" s="3" t="s">
        <v>111</v>
      </c>
      <c r="B88" s="4" t="s">
        <v>8</v>
      </c>
    </row>
    <row r="89">
      <c r="A89" s="3" t="s">
        <v>111</v>
      </c>
      <c r="B89" s="4" t="s">
        <v>3</v>
      </c>
    </row>
    <row r="90">
      <c r="A90" s="3" t="s">
        <v>111</v>
      </c>
      <c r="B90" s="4" t="s">
        <v>8</v>
      </c>
    </row>
    <row r="91">
      <c r="A91" s="3" t="s">
        <v>111</v>
      </c>
      <c r="B91" s="4" t="s">
        <v>8</v>
      </c>
    </row>
    <row r="92">
      <c r="A92" s="3" t="s">
        <v>111</v>
      </c>
      <c r="B92" s="4" t="s">
        <v>3</v>
      </c>
    </row>
    <row r="93">
      <c r="A93" s="3" t="s">
        <v>111</v>
      </c>
      <c r="B93" s="4" t="s">
        <v>3</v>
      </c>
    </row>
    <row r="94">
      <c r="A94" s="3" t="s">
        <v>111</v>
      </c>
      <c r="B94" s="4" t="s">
        <v>3</v>
      </c>
    </row>
    <row r="95">
      <c r="A95" s="3" t="s">
        <v>111</v>
      </c>
      <c r="B95" s="4" t="s">
        <v>8</v>
      </c>
    </row>
    <row r="96">
      <c r="A96" s="3" t="s">
        <v>111</v>
      </c>
      <c r="B96" s="4" t="s">
        <v>3</v>
      </c>
    </row>
    <row r="97">
      <c r="A97" s="3" t="s">
        <v>111</v>
      </c>
      <c r="B97" s="4" t="s">
        <v>3</v>
      </c>
    </row>
    <row r="98">
      <c r="A98" s="3" t="s">
        <v>111</v>
      </c>
      <c r="B98" s="4" t="s">
        <v>8</v>
      </c>
    </row>
    <row r="99">
      <c r="A99" s="3" t="s">
        <v>111</v>
      </c>
      <c r="B99" s="4" t="s">
        <v>3</v>
      </c>
    </row>
    <row r="100">
      <c r="A100" s="3" t="s">
        <v>111</v>
      </c>
      <c r="B100" s="4" t="s">
        <v>8</v>
      </c>
    </row>
    <row r="101">
      <c r="A101" s="3" t="s">
        <v>134</v>
      </c>
      <c r="B101" s="4" t="s">
        <v>3</v>
      </c>
    </row>
    <row r="102">
      <c r="A102" s="3" t="s">
        <v>134</v>
      </c>
      <c r="B102" s="4" t="s">
        <v>3</v>
      </c>
    </row>
    <row r="103">
      <c r="A103" s="3" t="s">
        <v>134</v>
      </c>
      <c r="B103" s="4" t="s">
        <v>3</v>
      </c>
    </row>
    <row r="104">
      <c r="A104" s="3" t="s">
        <v>134</v>
      </c>
      <c r="B104" s="4" t="s">
        <v>8</v>
      </c>
    </row>
    <row r="105">
      <c r="A105" s="3" t="s">
        <v>134</v>
      </c>
      <c r="B105" s="4" t="s">
        <v>3</v>
      </c>
    </row>
    <row r="106">
      <c r="A106" s="3" t="s">
        <v>134</v>
      </c>
      <c r="B106" s="4" t="s">
        <v>3</v>
      </c>
    </row>
    <row r="107">
      <c r="A107" s="3" t="s">
        <v>134</v>
      </c>
      <c r="B107" s="4" t="s">
        <v>8</v>
      </c>
    </row>
    <row r="108">
      <c r="A108" s="3" t="s">
        <v>134</v>
      </c>
      <c r="B108" s="4" t="s">
        <v>8</v>
      </c>
    </row>
    <row r="109">
      <c r="A109" s="3" t="s">
        <v>134</v>
      </c>
      <c r="B109" s="4" t="s">
        <v>8</v>
      </c>
    </row>
    <row r="110">
      <c r="A110" s="3" t="s">
        <v>134</v>
      </c>
      <c r="B110" s="4" t="s">
        <v>3</v>
      </c>
    </row>
    <row r="111">
      <c r="A111" s="3" t="s">
        <v>134</v>
      </c>
      <c r="B111" s="4" t="s">
        <v>8</v>
      </c>
    </row>
    <row r="112">
      <c r="A112" s="3" t="s">
        <v>134</v>
      </c>
      <c r="B112" s="4" t="s">
        <v>8</v>
      </c>
    </row>
    <row r="113">
      <c r="A113" s="3" t="s">
        <v>134</v>
      </c>
      <c r="B113" s="4" t="s">
        <v>8</v>
      </c>
    </row>
    <row r="114">
      <c r="A114" s="3" t="s">
        <v>134</v>
      </c>
      <c r="B114" s="4" t="s">
        <v>8</v>
      </c>
    </row>
    <row r="115">
      <c r="A115" s="3" t="s">
        <v>134</v>
      </c>
      <c r="B115" s="4" t="s">
        <v>8</v>
      </c>
    </row>
    <row r="116">
      <c r="A116" s="3" t="s">
        <v>134</v>
      </c>
      <c r="B116" s="4" t="s">
        <v>8</v>
      </c>
    </row>
    <row r="117">
      <c r="A117" s="3" t="s">
        <v>134</v>
      </c>
      <c r="B117" s="4" t="s">
        <v>8</v>
      </c>
    </row>
    <row r="118">
      <c r="A118" s="3" t="s">
        <v>134</v>
      </c>
      <c r="B118" s="4" t="s">
        <v>3</v>
      </c>
    </row>
    <row r="119">
      <c r="A119" s="3" t="s">
        <v>134</v>
      </c>
      <c r="B119" s="4" t="s">
        <v>3</v>
      </c>
    </row>
    <row r="120">
      <c r="A120" s="3" t="s">
        <v>134</v>
      </c>
      <c r="B120" s="4" t="s">
        <v>3</v>
      </c>
    </row>
    <row r="121">
      <c r="A121" s="3" t="s">
        <v>156</v>
      </c>
      <c r="B121" s="4" t="s">
        <v>3</v>
      </c>
    </row>
    <row r="122">
      <c r="A122" s="3" t="s">
        <v>156</v>
      </c>
      <c r="B122" s="4" t="s">
        <v>8</v>
      </c>
    </row>
    <row r="123">
      <c r="A123" s="3" t="s">
        <v>156</v>
      </c>
      <c r="B123" s="4" t="s">
        <v>8</v>
      </c>
    </row>
    <row r="124">
      <c r="A124" s="3" t="s">
        <v>156</v>
      </c>
      <c r="B124" s="4" t="s">
        <v>3</v>
      </c>
    </row>
    <row r="125">
      <c r="A125" s="3" t="s">
        <v>156</v>
      </c>
      <c r="B125" s="4" t="s">
        <v>8</v>
      </c>
    </row>
    <row r="126">
      <c r="A126" s="3" t="s">
        <v>156</v>
      </c>
      <c r="B126" s="4" t="s">
        <v>8</v>
      </c>
    </row>
    <row r="127">
      <c r="A127" s="3" t="s">
        <v>156</v>
      </c>
      <c r="B127" s="4" t="s">
        <v>8</v>
      </c>
    </row>
    <row r="128">
      <c r="A128" s="3" t="s">
        <v>156</v>
      </c>
      <c r="B128" s="4" t="s">
        <v>8</v>
      </c>
    </row>
    <row r="129">
      <c r="A129" s="3" t="s">
        <v>156</v>
      </c>
      <c r="B129" s="4" t="s">
        <v>3</v>
      </c>
    </row>
    <row r="130">
      <c r="A130" s="3" t="s">
        <v>156</v>
      </c>
      <c r="B130" s="4" t="s">
        <v>8</v>
      </c>
    </row>
    <row r="131">
      <c r="A131" s="3" t="s">
        <v>156</v>
      </c>
      <c r="B131" s="4" t="s">
        <v>8</v>
      </c>
    </row>
    <row r="132">
      <c r="A132" s="3" t="s">
        <v>156</v>
      </c>
      <c r="B132" s="4" t="s">
        <v>8</v>
      </c>
    </row>
    <row r="133">
      <c r="A133" s="3" t="s">
        <v>156</v>
      </c>
      <c r="B133" s="4" t="s">
        <v>3</v>
      </c>
    </row>
    <row r="134">
      <c r="A134" s="3" t="s">
        <v>156</v>
      </c>
      <c r="B134" s="4" t="s">
        <v>3</v>
      </c>
    </row>
    <row r="135">
      <c r="A135" s="3" t="s">
        <v>156</v>
      </c>
      <c r="B135" s="4" t="s">
        <v>8</v>
      </c>
    </row>
    <row r="136">
      <c r="A136" s="3" t="s">
        <v>156</v>
      </c>
      <c r="B136" s="4" t="s">
        <v>8</v>
      </c>
    </row>
    <row r="137">
      <c r="A137" s="3" t="s">
        <v>156</v>
      </c>
      <c r="B137" s="4" t="s">
        <v>3</v>
      </c>
    </row>
    <row r="138">
      <c r="A138" s="3" t="s">
        <v>156</v>
      </c>
      <c r="B138" s="4" t="s">
        <v>8</v>
      </c>
    </row>
    <row r="139">
      <c r="A139" s="3" t="s">
        <v>156</v>
      </c>
      <c r="B139" s="4" t="s">
        <v>8</v>
      </c>
    </row>
    <row r="140">
      <c r="A140" s="3" t="s">
        <v>156</v>
      </c>
      <c r="B140" s="4" t="s">
        <v>8</v>
      </c>
    </row>
    <row r="141">
      <c r="A141" s="3" t="s">
        <v>178</v>
      </c>
      <c r="B141" s="4" t="s">
        <v>8</v>
      </c>
    </row>
    <row r="142">
      <c r="A142" s="3" t="s">
        <v>178</v>
      </c>
      <c r="B142" s="4" t="s">
        <v>3</v>
      </c>
    </row>
    <row r="143">
      <c r="A143" s="3" t="s">
        <v>178</v>
      </c>
      <c r="B143" s="4" t="s">
        <v>3</v>
      </c>
    </row>
    <row r="144">
      <c r="A144" s="3" t="s">
        <v>178</v>
      </c>
      <c r="B144" s="4" t="s">
        <v>3</v>
      </c>
    </row>
    <row r="145">
      <c r="A145" s="3" t="s">
        <v>178</v>
      </c>
      <c r="B145" s="4" t="s">
        <v>3</v>
      </c>
    </row>
    <row r="146">
      <c r="A146" s="3" t="s">
        <v>178</v>
      </c>
      <c r="B146" s="4" t="s">
        <v>8</v>
      </c>
    </row>
    <row r="147">
      <c r="A147" s="3" t="s">
        <v>178</v>
      </c>
      <c r="B147" s="4" t="s">
        <v>8</v>
      </c>
    </row>
    <row r="148">
      <c r="A148" s="3" t="s">
        <v>178</v>
      </c>
      <c r="B148" s="4" t="s">
        <v>8</v>
      </c>
    </row>
    <row r="149">
      <c r="A149" s="3" t="s">
        <v>178</v>
      </c>
      <c r="B149" s="4" t="s">
        <v>8</v>
      </c>
    </row>
    <row r="150">
      <c r="A150" s="3" t="s">
        <v>178</v>
      </c>
      <c r="B150" s="4" t="s">
        <v>3</v>
      </c>
    </row>
    <row r="151">
      <c r="A151" s="3" t="s">
        <v>178</v>
      </c>
      <c r="B151" s="4" t="s">
        <v>3</v>
      </c>
    </row>
    <row r="152">
      <c r="A152" s="3" t="s">
        <v>178</v>
      </c>
      <c r="B152" s="4" t="s">
        <v>3</v>
      </c>
    </row>
    <row r="153">
      <c r="A153" s="3" t="s">
        <v>178</v>
      </c>
      <c r="B153" s="4" t="s">
        <v>3</v>
      </c>
    </row>
    <row r="154">
      <c r="A154" s="3" t="s">
        <v>178</v>
      </c>
      <c r="B154" s="4" t="s">
        <v>8</v>
      </c>
    </row>
    <row r="155">
      <c r="A155" s="3" t="s">
        <v>178</v>
      </c>
      <c r="B155" s="4" t="s">
        <v>8</v>
      </c>
    </row>
    <row r="156">
      <c r="A156" s="3" t="s">
        <v>178</v>
      </c>
      <c r="B156" s="4" t="s">
        <v>3</v>
      </c>
    </row>
    <row r="157">
      <c r="A157" s="3" t="s">
        <v>178</v>
      </c>
      <c r="B157" s="4" t="s">
        <v>8</v>
      </c>
    </row>
    <row r="158">
      <c r="A158" s="3" t="s">
        <v>178</v>
      </c>
      <c r="B158" s="4" t="s">
        <v>8</v>
      </c>
    </row>
    <row r="159">
      <c r="A159" s="3" t="s">
        <v>178</v>
      </c>
      <c r="B159" s="4" t="s">
        <v>8</v>
      </c>
    </row>
    <row r="160">
      <c r="A160" s="3" t="s">
        <v>178</v>
      </c>
      <c r="B160" s="4" t="s">
        <v>8</v>
      </c>
    </row>
    <row r="161">
      <c r="A161" s="3" t="s">
        <v>200</v>
      </c>
      <c r="B161" s="4" t="s">
        <v>3</v>
      </c>
    </row>
    <row r="162">
      <c r="A162" s="3" t="s">
        <v>200</v>
      </c>
      <c r="B162" s="4" t="s">
        <v>8</v>
      </c>
    </row>
    <row r="163">
      <c r="A163" s="3" t="s">
        <v>200</v>
      </c>
      <c r="B163" s="4" t="s">
        <v>8</v>
      </c>
    </row>
    <row r="164">
      <c r="A164" s="3" t="s">
        <v>200</v>
      </c>
      <c r="B164" s="4" t="s">
        <v>3</v>
      </c>
    </row>
    <row r="165">
      <c r="A165" s="3" t="s">
        <v>200</v>
      </c>
      <c r="B165" s="4" t="s">
        <v>3</v>
      </c>
    </row>
    <row r="166">
      <c r="A166" s="3" t="s">
        <v>200</v>
      </c>
      <c r="B166" s="4" t="s">
        <v>8</v>
      </c>
    </row>
    <row r="167">
      <c r="A167" s="3" t="s">
        <v>200</v>
      </c>
      <c r="B167" s="4" t="s">
        <v>3</v>
      </c>
    </row>
    <row r="168">
      <c r="A168" s="3" t="s">
        <v>200</v>
      </c>
      <c r="B168" s="4" t="s">
        <v>8</v>
      </c>
    </row>
    <row r="169">
      <c r="A169" s="3" t="s">
        <v>200</v>
      </c>
      <c r="B169" s="4" t="s">
        <v>8</v>
      </c>
    </row>
    <row r="170">
      <c r="A170" s="3" t="s">
        <v>200</v>
      </c>
      <c r="B170" s="4" t="s">
        <v>3</v>
      </c>
    </row>
    <row r="171">
      <c r="A171" s="3" t="s">
        <v>200</v>
      </c>
      <c r="B171" s="4" t="s">
        <v>8</v>
      </c>
    </row>
    <row r="172">
      <c r="A172" s="3" t="s">
        <v>200</v>
      </c>
      <c r="B172" s="4" t="s">
        <v>3</v>
      </c>
    </row>
    <row r="173">
      <c r="A173" s="3" t="s">
        <v>200</v>
      </c>
      <c r="B173" s="4" t="s">
        <v>8</v>
      </c>
    </row>
    <row r="174">
      <c r="A174" s="3" t="s">
        <v>200</v>
      </c>
      <c r="B174" s="4" t="s">
        <v>3</v>
      </c>
    </row>
    <row r="175">
      <c r="A175" s="3" t="s">
        <v>200</v>
      </c>
      <c r="B175" s="4" t="s">
        <v>8</v>
      </c>
    </row>
    <row r="176">
      <c r="A176" s="3" t="s">
        <v>200</v>
      </c>
      <c r="B176" s="4" t="s">
        <v>8</v>
      </c>
    </row>
    <row r="177">
      <c r="A177" s="3" t="s">
        <v>200</v>
      </c>
      <c r="B177" s="4" t="s">
        <v>3</v>
      </c>
    </row>
    <row r="178">
      <c r="A178" s="3" t="s">
        <v>200</v>
      </c>
      <c r="B178" s="4" t="s">
        <v>8</v>
      </c>
    </row>
    <row r="179">
      <c r="A179" s="3" t="s">
        <v>200</v>
      </c>
      <c r="B179" s="4" t="s">
        <v>3</v>
      </c>
    </row>
    <row r="180">
      <c r="A180" s="3" t="s">
        <v>200</v>
      </c>
      <c r="B180" s="4" t="s">
        <v>3</v>
      </c>
    </row>
    <row r="181">
      <c r="A181" s="3" t="s">
        <v>222</v>
      </c>
      <c r="B181" s="4" t="s">
        <v>8</v>
      </c>
    </row>
    <row r="182">
      <c r="A182" s="3" t="s">
        <v>222</v>
      </c>
      <c r="B182" s="4" t="s">
        <v>8</v>
      </c>
    </row>
    <row r="183">
      <c r="A183" s="3" t="s">
        <v>222</v>
      </c>
      <c r="B183" s="4" t="s">
        <v>3</v>
      </c>
    </row>
    <row r="184">
      <c r="A184" s="3" t="s">
        <v>222</v>
      </c>
      <c r="B184" s="4" t="s">
        <v>3</v>
      </c>
    </row>
    <row r="185">
      <c r="A185" s="3" t="s">
        <v>222</v>
      </c>
      <c r="B185" s="4" t="s">
        <v>8</v>
      </c>
    </row>
    <row r="186">
      <c r="A186" s="3" t="s">
        <v>222</v>
      </c>
      <c r="B186" s="4" t="s">
        <v>8</v>
      </c>
    </row>
    <row r="187">
      <c r="A187" s="3" t="s">
        <v>222</v>
      </c>
      <c r="B187" s="4" t="s">
        <v>8</v>
      </c>
    </row>
    <row r="188">
      <c r="A188" s="3" t="s">
        <v>222</v>
      </c>
      <c r="B188" s="4" t="s">
        <v>8</v>
      </c>
    </row>
    <row r="189">
      <c r="A189" s="3" t="s">
        <v>222</v>
      </c>
      <c r="B189" s="4" t="s">
        <v>8</v>
      </c>
    </row>
    <row r="190">
      <c r="A190" s="3" t="s">
        <v>222</v>
      </c>
      <c r="B190" s="4" t="s">
        <v>8</v>
      </c>
    </row>
    <row r="191">
      <c r="A191" s="3" t="s">
        <v>222</v>
      </c>
      <c r="B191" s="4" t="s">
        <v>3</v>
      </c>
    </row>
    <row r="192">
      <c r="A192" s="3" t="s">
        <v>222</v>
      </c>
      <c r="B192" s="4" t="s">
        <v>3</v>
      </c>
    </row>
    <row r="193">
      <c r="A193" s="3" t="s">
        <v>222</v>
      </c>
      <c r="B193" s="4" t="s">
        <v>3</v>
      </c>
    </row>
    <row r="194">
      <c r="A194" s="3" t="s">
        <v>222</v>
      </c>
      <c r="B194" s="4" t="s">
        <v>3</v>
      </c>
    </row>
    <row r="195">
      <c r="A195" s="3" t="s">
        <v>222</v>
      </c>
      <c r="B195" s="4" t="s">
        <v>8</v>
      </c>
    </row>
    <row r="196">
      <c r="A196" s="3" t="s">
        <v>222</v>
      </c>
      <c r="B196" s="4" t="s">
        <v>8</v>
      </c>
    </row>
    <row r="197">
      <c r="A197" s="3" t="s">
        <v>222</v>
      </c>
      <c r="B197" s="4" t="s">
        <v>8</v>
      </c>
    </row>
    <row r="198">
      <c r="A198" s="3" t="s">
        <v>222</v>
      </c>
      <c r="B198" s="4" t="s">
        <v>8</v>
      </c>
    </row>
    <row r="199">
      <c r="A199" s="3" t="s">
        <v>222</v>
      </c>
      <c r="B199" s="4" t="s">
        <v>3</v>
      </c>
    </row>
    <row r="200">
      <c r="A200" s="3" t="s">
        <v>222</v>
      </c>
      <c r="B200" s="4" t="s">
        <v>8</v>
      </c>
    </row>
    <row r="201">
      <c r="A201" s="3" t="s">
        <v>243</v>
      </c>
      <c r="B201" s="4" t="s">
        <v>8</v>
      </c>
    </row>
    <row r="202">
      <c r="A202" s="3" t="s">
        <v>243</v>
      </c>
      <c r="B202" s="4" t="s">
        <v>3</v>
      </c>
    </row>
    <row r="203">
      <c r="A203" s="3" t="s">
        <v>243</v>
      </c>
      <c r="B203" s="4" t="s">
        <v>3</v>
      </c>
    </row>
    <row r="204">
      <c r="A204" s="3" t="s">
        <v>243</v>
      </c>
      <c r="B204" s="4" t="s">
        <v>8</v>
      </c>
    </row>
    <row r="205">
      <c r="A205" s="3" t="s">
        <v>243</v>
      </c>
      <c r="B205" s="4" t="s">
        <v>3</v>
      </c>
    </row>
    <row r="206">
      <c r="A206" s="3" t="s">
        <v>243</v>
      </c>
      <c r="B206" s="4" t="s">
        <v>8</v>
      </c>
    </row>
    <row r="207">
      <c r="A207" s="3" t="s">
        <v>243</v>
      </c>
      <c r="B207" s="4" t="s">
        <v>8</v>
      </c>
    </row>
    <row r="208">
      <c r="A208" s="3" t="s">
        <v>243</v>
      </c>
      <c r="B208" s="4" t="s">
        <v>3</v>
      </c>
    </row>
    <row r="209">
      <c r="A209" s="3" t="s">
        <v>243</v>
      </c>
      <c r="B209" s="4" t="s">
        <v>8</v>
      </c>
    </row>
    <row r="210">
      <c r="A210" s="3" t="s">
        <v>243</v>
      </c>
      <c r="B210" s="4" t="s">
        <v>3</v>
      </c>
    </row>
    <row r="211">
      <c r="A211" s="3" t="s">
        <v>243</v>
      </c>
      <c r="B211" s="4" t="s">
        <v>8</v>
      </c>
    </row>
    <row r="212">
      <c r="A212" s="3" t="s">
        <v>243</v>
      </c>
      <c r="B212" s="4" t="s">
        <v>3</v>
      </c>
    </row>
    <row r="213">
      <c r="A213" s="3" t="s">
        <v>243</v>
      </c>
      <c r="B213" s="4" t="s">
        <v>8</v>
      </c>
    </row>
    <row r="214">
      <c r="A214" s="3" t="s">
        <v>243</v>
      </c>
      <c r="B214" s="4" t="s">
        <v>3</v>
      </c>
    </row>
    <row r="215">
      <c r="A215" s="3" t="s">
        <v>243</v>
      </c>
      <c r="B215" s="4" t="s">
        <v>3</v>
      </c>
    </row>
    <row r="216">
      <c r="A216" s="3" t="s">
        <v>243</v>
      </c>
      <c r="B216" s="4" t="s">
        <v>8</v>
      </c>
    </row>
    <row r="217">
      <c r="A217" s="3" t="s">
        <v>243</v>
      </c>
      <c r="B217" s="4" t="s">
        <v>8</v>
      </c>
    </row>
    <row r="218">
      <c r="A218" s="3" t="s">
        <v>243</v>
      </c>
      <c r="B218" s="4" t="s">
        <v>8</v>
      </c>
    </row>
    <row r="219">
      <c r="A219" s="3" t="s">
        <v>243</v>
      </c>
      <c r="B219" s="4" t="s">
        <v>8</v>
      </c>
    </row>
    <row r="220">
      <c r="A220" s="3" t="s">
        <v>243</v>
      </c>
      <c r="B220" s="4" t="s">
        <v>3</v>
      </c>
    </row>
    <row r="221">
      <c r="A221" s="3" t="s">
        <v>264</v>
      </c>
      <c r="B221" s="4" t="s">
        <v>8</v>
      </c>
    </row>
    <row r="222">
      <c r="A222" s="3" t="s">
        <v>264</v>
      </c>
      <c r="B222" s="4" t="s">
        <v>8</v>
      </c>
    </row>
    <row r="223">
      <c r="A223" s="3" t="s">
        <v>264</v>
      </c>
      <c r="B223" s="4" t="s">
        <v>3</v>
      </c>
    </row>
    <row r="224">
      <c r="A224" s="3" t="s">
        <v>264</v>
      </c>
      <c r="B224" s="4" t="s">
        <v>8</v>
      </c>
    </row>
    <row r="225">
      <c r="A225" s="3" t="s">
        <v>264</v>
      </c>
      <c r="B225" s="4" t="s">
        <v>8</v>
      </c>
    </row>
    <row r="226">
      <c r="A226" s="3" t="s">
        <v>264</v>
      </c>
      <c r="B226" s="4" t="s">
        <v>3</v>
      </c>
    </row>
    <row r="227">
      <c r="A227" s="3" t="s">
        <v>264</v>
      </c>
      <c r="B227" s="4" t="s">
        <v>8</v>
      </c>
    </row>
    <row r="228">
      <c r="A228" s="3" t="s">
        <v>264</v>
      </c>
      <c r="B228" s="4" t="s">
        <v>8</v>
      </c>
    </row>
    <row r="229">
      <c r="A229" s="3" t="s">
        <v>264</v>
      </c>
      <c r="B229" s="4" t="s">
        <v>8</v>
      </c>
    </row>
    <row r="230">
      <c r="A230" s="3" t="s">
        <v>264</v>
      </c>
      <c r="B230" s="4" t="s">
        <v>8</v>
      </c>
    </row>
    <row r="231">
      <c r="A231" s="3" t="s">
        <v>264</v>
      </c>
      <c r="B231" s="4" t="s">
        <v>3</v>
      </c>
    </row>
    <row r="232">
      <c r="A232" s="3" t="s">
        <v>264</v>
      </c>
      <c r="B232" s="4" t="s">
        <v>3</v>
      </c>
    </row>
    <row r="233">
      <c r="A233" s="3" t="s">
        <v>264</v>
      </c>
      <c r="B233" s="4" t="s">
        <v>3</v>
      </c>
    </row>
    <row r="234">
      <c r="A234" s="3" t="s">
        <v>264</v>
      </c>
      <c r="B234" s="4" t="s">
        <v>8</v>
      </c>
    </row>
    <row r="235">
      <c r="A235" s="3" t="s">
        <v>264</v>
      </c>
      <c r="B235" s="4" t="s">
        <v>8</v>
      </c>
    </row>
    <row r="236">
      <c r="A236" s="3" t="s">
        <v>264</v>
      </c>
      <c r="B236" s="4" t="s">
        <v>8</v>
      </c>
    </row>
    <row r="237">
      <c r="A237" s="3" t="s">
        <v>264</v>
      </c>
      <c r="B237" s="4" t="s">
        <v>8</v>
      </c>
    </row>
    <row r="238">
      <c r="A238" s="3" t="s">
        <v>264</v>
      </c>
      <c r="B238" s="4" t="s">
        <v>8</v>
      </c>
    </row>
    <row r="239">
      <c r="A239" s="3" t="s">
        <v>264</v>
      </c>
      <c r="B239" s="4" t="s">
        <v>3</v>
      </c>
    </row>
    <row r="240">
      <c r="A240" s="3" t="s">
        <v>264</v>
      </c>
      <c r="B240" s="4" t="s">
        <v>3</v>
      </c>
    </row>
    <row r="241">
      <c r="A241" s="3" t="s">
        <v>284</v>
      </c>
      <c r="B241" s="4" t="s">
        <v>3</v>
      </c>
    </row>
    <row r="242">
      <c r="A242" s="3" t="s">
        <v>284</v>
      </c>
      <c r="B242" s="4" t="s">
        <v>3</v>
      </c>
    </row>
    <row r="243">
      <c r="A243" s="3" t="s">
        <v>284</v>
      </c>
      <c r="B243" s="4" t="s">
        <v>8</v>
      </c>
    </row>
    <row r="244">
      <c r="A244" s="3" t="s">
        <v>284</v>
      </c>
      <c r="B244" s="4" t="s">
        <v>8</v>
      </c>
    </row>
    <row r="245">
      <c r="A245" s="3" t="s">
        <v>284</v>
      </c>
      <c r="B245" s="4" t="s">
        <v>8</v>
      </c>
    </row>
    <row r="246">
      <c r="A246" s="3" t="s">
        <v>284</v>
      </c>
      <c r="B246" s="4" t="s">
        <v>8</v>
      </c>
    </row>
    <row r="247">
      <c r="A247" s="3" t="s">
        <v>284</v>
      </c>
      <c r="B247" s="4" t="s">
        <v>3</v>
      </c>
    </row>
    <row r="248">
      <c r="A248" s="3" t="s">
        <v>284</v>
      </c>
      <c r="B248" s="4" t="s">
        <v>3</v>
      </c>
    </row>
    <row r="249">
      <c r="A249" s="3" t="s">
        <v>284</v>
      </c>
      <c r="B249" s="4" t="s">
        <v>3</v>
      </c>
    </row>
    <row r="250">
      <c r="A250" s="3" t="s">
        <v>284</v>
      </c>
      <c r="B250" s="4" t="s">
        <v>3</v>
      </c>
    </row>
    <row r="251">
      <c r="A251" s="3" t="s">
        <v>284</v>
      </c>
      <c r="B251" s="4" t="s">
        <v>3</v>
      </c>
    </row>
    <row r="252">
      <c r="A252" s="3" t="s">
        <v>284</v>
      </c>
      <c r="B252" s="4" t="s">
        <v>3</v>
      </c>
    </row>
    <row r="253">
      <c r="A253" s="3" t="s">
        <v>284</v>
      </c>
      <c r="B253" s="4" t="s">
        <v>8</v>
      </c>
    </row>
    <row r="254">
      <c r="A254" s="3" t="s">
        <v>284</v>
      </c>
      <c r="B254" s="4" t="s">
        <v>8</v>
      </c>
    </row>
    <row r="255">
      <c r="A255" s="3" t="s">
        <v>284</v>
      </c>
      <c r="B255" s="4" t="s">
        <v>3</v>
      </c>
    </row>
    <row r="256">
      <c r="A256" s="3" t="s">
        <v>284</v>
      </c>
      <c r="B256" s="4" t="s">
        <v>8</v>
      </c>
    </row>
    <row r="257">
      <c r="A257" s="3" t="s">
        <v>284</v>
      </c>
      <c r="B257" s="4" t="s">
        <v>8</v>
      </c>
    </row>
    <row r="258">
      <c r="A258" s="3" t="s">
        <v>284</v>
      </c>
      <c r="B258" s="4" t="s">
        <v>3</v>
      </c>
    </row>
    <row r="259">
      <c r="A259" s="3" t="s">
        <v>284</v>
      </c>
      <c r="B259" s="4" t="s">
        <v>8</v>
      </c>
    </row>
    <row r="260">
      <c r="A260" s="3" t="s">
        <v>284</v>
      </c>
      <c r="B260" s="4" t="s">
        <v>3</v>
      </c>
    </row>
    <row r="261">
      <c r="A261" s="3" t="s">
        <v>305</v>
      </c>
      <c r="B261" s="4" t="s">
        <v>8</v>
      </c>
    </row>
    <row r="262">
      <c r="A262" s="3" t="s">
        <v>305</v>
      </c>
      <c r="B262" s="4" t="s">
        <v>8</v>
      </c>
    </row>
    <row r="263">
      <c r="A263" s="3" t="s">
        <v>305</v>
      </c>
      <c r="B263" s="4" t="s">
        <v>8</v>
      </c>
    </row>
    <row r="264">
      <c r="A264" s="3" t="s">
        <v>305</v>
      </c>
      <c r="B264" s="4" t="s">
        <v>8</v>
      </c>
    </row>
    <row r="265">
      <c r="A265" s="3" t="s">
        <v>305</v>
      </c>
      <c r="B265" s="4" t="s">
        <v>8</v>
      </c>
    </row>
    <row r="266">
      <c r="A266" s="3" t="s">
        <v>305</v>
      </c>
      <c r="B266" s="4" t="s">
        <v>3</v>
      </c>
    </row>
    <row r="267">
      <c r="A267" s="3" t="s">
        <v>305</v>
      </c>
      <c r="B267" s="4" t="s">
        <v>3</v>
      </c>
    </row>
    <row r="268">
      <c r="A268" s="3" t="s">
        <v>305</v>
      </c>
      <c r="B268" s="4" t="s">
        <v>3</v>
      </c>
    </row>
    <row r="269">
      <c r="A269" s="3" t="s">
        <v>305</v>
      </c>
      <c r="B269" s="4" t="s">
        <v>8</v>
      </c>
    </row>
    <row r="270">
      <c r="A270" s="3" t="s">
        <v>305</v>
      </c>
      <c r="B270" s="4" t="s">
        <v>8</v>
      </c>
    </row>
    <row r="271">
      <c r="A271" s="3" t="s">
        <v>305</v>
      </c>
      <c r="B271" s="4" t="s">
        <v>8</v>
      </c>
    </row>
    <row r="272">
      <c r="A272" s="3" t="s">
        <v>305</v>
      </c>
      <c r="B272" s="4" t="s">
        <v>8</v>
      </c>
    </row>
    <row r="273">
      <c r="A273" s="3" t="s">
        <v>305</v>
      </c>
      <c r="B273" s="4" t="s">
        <v>3</v>
      </c>
    </row>
    <row r="274">
      <c r="A274" s="3" t="s">
        <v>305</v>
      </c>
      <c r="B274" s="4" t="s">
        <v>8</v>
      </c>
    </row>
    <row r="275">
      <c r="A275" s="3" t="s">
        <v>305</v>
      </c>
      <c r="B275" s="4" t="s">
        <v>8</v>
      </c>
    </row>
    <row r="276">
      <c r="A276" s="3" t="s">
        <v>305</v>
      </c>
      <c r="B276" s="4" t="s">
        <v>8</v>
      </c>
    </row>
    <row r="277">
      <c r="A277" s="3" t="s">
        <v>305</v>
      </c>
      <c r="B277" s="4" t="s">
        <v>3</v>
      </c>
    </row>
    <row r="278">
      <c r="A278" s="3" t="s">
        <v>305</v>
      </c>
      <c r="B278" s="4" t="s">
        <v>3</v>
      </c>
    </row>
    <row r="279">
      <c r="A279" s="3" t="s">
        <v>305</v>
      </c>
      <c r="B279" s="4" t="s">
        <v>8</v>
      </c>
    </row>
    <row r="280">
      <c r="A280" s="3" t="s">
        <v>305</v>
      </c>
      <c r="B280" s="4" t="s">
        <v>3</v>
      </c>
    </row>
    <row r="281">
      <c r="A281" s="3" t="s">
        <v>327</v>
      </c>
      <c r="B281" s="4" t="s">
        <v>3</v>
      </c>
    </row>
    <row r="282">
      <c r="A282" s="3" t="s">
        <v>327</v>
      </c>
      <c r="B282" s="4" t="s">
        <v>3</v>
      </c>
    </row>
    <row r="283">
      <c r="A283" s="3" t="s">
        <v>327</v>
      </c>
      <c r="B283" s="4" t="s">
        <v>8</v>
      </c>
    </row>
    <row r="284">
      <c r="A284" s="3" t="s">
        <v>327</v>
      </c>
      <c r="B284" s="4" t="s">
        <v>3</v>
      </c>
    </row>
    <row r="285">
      <c r="A285" s="3" t="s">
        <v>327</v>
      </c>
      <c r="B285" s="4" t="s">
        <v>3</v>
      </c>
    </row>
    <row r="286">
      <c r="A286" s="3" t="s">
        <v>327</v>
      </c>
      <c r="B286" s="4" t="s">
        <v>8</v>
      </c>
    </row>
    <row r="287">
      <c r="A287" s="3" t="s">
        <v>327</v>
      </c>
      <c r="B287" s="4" t="s">
        <v>8</v>
      </c>
    </row>
    <row r="288">
      <c r="A288" s="3" t="s">
        <v>327</v>
      </c>
      <c r="B288" s="4" t="s">
        <v>8</v>
      </c>
    </row>
    <row r="289">
      <c r="A289" s="3" t="s">
        <v>327</v>
      </c>
      <c r="B289" s="4" t="s">
        <v>8</v>
      </c>
    </row>
    <row r="290">
      <c r="A290" s="3" t="s">
        <v>327</v>
      </c>
      <c r="B290" s="4" t="s">
        <v>8</v>
      </c>
    </row>
    <row r="291">
      <c r="A291" s="3" t="s">
        <v>327</v>
      </c>
      <c r="B291" s="4" t="s">
        <v>3</v>
      </c>
    </row>
    <row r="292">
      <c r="A292" s="3" t="s">
        <v>327</v>
      </c>
      <c r="B292" s="4" t="s">
        <v>8</v>
      </c>
    </row>
    <row r="293">
      <c r="A293" s="3" t="s">
        <v>327</v>
      </c>
      <c r="B293" s="4" t="s">
        <v>8</v>
      </c>
    </row>
    <row r="294">
      <c r="A294" s="3" t="s">
        <v>327</v>
      </c>
      <c r="B294" s="4" t="s">
        <v>3</v>
      </c>
    </row>
    <row r="295">
      <c r="A295" s="3" t="s">
        <v>327</v>
      </c>
      <c r="B295" s="4" t="s">
        <v>3</v>
      </c>
    </row>
    <row r="296">
      <c r="A296" s="3" t="s">
        <v>327</v>
      </c>
      <c r="B296" s="4" t="s">
        <v>8</v>
      </c>
    </row>
    <row r="297">
      <c r="A297" s="3" t="s">
        <v>327</v>
      </c>
      <c r="B297" s="4" t="s">
        <v>3</v>
      </c>
    </row>
    <row r="298">
      <c r="A298" s="3" t="s">
        <v>327</v>
      </c>
      <c r="B298" s="4" t="s">
        <v>3</v>
      </c>
    </row>
    <row r="299">
      <c r="A299" s="3" t="s">
        <v>327</v>
      </c>
      <c r="B299" s="4" t="s">
        <v>8</v>
      </c>
    </row>
    <row r="300">
      <c r="A300" s="3" t="s">
        <v>327</v>
      </c>
      <c r="B300" s="4" t="s">
        <v>3</v>
      </c>
    </row>
    <row r="301">
      <c r="A301" s="3" t="s">
        <v>347</v>
      </c>
      <c r="B301" s="4" t="s">
        <v>8</v>
      </c>
    </row>
    <row r="302">
      <c r="A302" s="3" t="s">
        <v>347</v>
      </c>
      <c r="B302" s="4" t="s">
        <v>8</v>
      </c>
    </row>
    <row r="303">
      <c r="A303" s="3" t="s">
        <v>347</v>
      </c>
      <c r="B303" s="4" t="s">
        <v>3</v>
      </c>
    </row>
    <row r="304">
      <c r="A304" s="3" t="s">
        <v>347</v>
      </c>
      <c r="B304" s="4" t="s">
        <v>3</v>
      </c>
    </row>
    <row r="305">
      <c r="A305" s="3" t="s">
        <v>347</v>
      </c>
      <c r="B305" s="4" t="s">
        <v>8</v>
      </c>
    </row>
    <row r="306">
      <c r="A306" s="3" t="s">
        <v>347</v>
      </c>
      <c r="B306" s="4" t="s">
        <v>3</v>
      </c>
    </row>
    <row r="307">
      <c r="A307" s="3" t="s">
        <v>347</v>
      </c>
      <c r="B307" s="4" t="s">
        <v>8</v>
      </c>
    </row>
    <row r="308">
      <c r="A308" s="3" t="s">
        <v>347</v>
      </c>
      <c r="B308" s="4" t="s">
        <v>8</v>
      </c>
    </row>
    <row r="309">
      <c r="A309" s="3" t="s">
        <v>347</v>
      </c>
      <c r="B309" s="4" t="s">
        <v>8</v>
      </c>
    </row>
    <row r="310">
      <c r="A310" s="3" t="s">
        <v>347</v>
      </c>
      <c r="B310" s="4" t="s">
        <v>3</v>
      </c>
    </row>
    <row r="311">
      <c r="A311" s="3" t="s">
        <v>347</v>
      </c>
      <c r="B311" s="4" t="s">
        <v>3</v>
      </c>
    </row>
    <row r="312">
      <c r="A312" s="3" t="s">
        <v>347</v>
      </c>
      <c r="B312" s="4" t="s">
        <v>3</v>
      </c>
    </row>
    <row r="313">
      <c r="A313" s="3" t="s">
        <v>347</v>
      </c>
      <c r="B313" s="4" t="s">
        <v>3</v>
      </c>
    </row>
    <row r="314">
      <c r="A314" s="3" t="s">
        <v>347</v>
      </c>
      <c r="B314" s="4" t="s">
        <v>3</v>
      </c>
    </row>
    <row r="315">
      <c r="A315" s="3" t="s">
        <v>347</v>
      </c>
      <c r="B315" s="4" t="s">
        <v>3</v>
      </c>
    </row>
    <row r="316">
      <c r="A316" s="3" t="s">
        <v>347</v>
      </c>
      <c r="B316" s="4" t="s">
        <v>8</v>
      </c>
    </row>
    <row r="317">
      <c r="A317" s="3" t="s">
        <v>347</v>
      </c>
      <c r="B317" s="4" t="s">
        <v>3</v>
      </c>
    </row>
    <row r="318">
      <c r="A318" s="3" t="s">
        <v>347</v>
      </c>
      <c r="B318" s="4" t="s">
        <v>3</v>
      </c>
    </row>
    <row r="319">
      <c r="A319" s="3" t="s">
        <v>347</v>
      </c>
      <c r="B319" s="4" t="s">
        <v>8</v>
      </c>
    </row>
    <row r="320">
      <c r="A320" s="3" t="s">
        <v>347</v>
      </c>
      <c r="B320" s="4" t="s">
        <v>3</v>
      </c>
    </row>
    <row r="321">
      <c r="A321" s="3" t="s">
        <v>368</v>
      </c>
      <c r="B321" s="4" t="s">
        <v>8</v>
      </c>
    </row>
    <row r="322">
      <c r="A322" s="3" t="s">
        <v>368</v>
      </c>
      <c r="B322" s="4" t="s">
        <v>3</v>
      </c>
    </row>
    <row r="323">
      <c r="A323" s="3" t="s">
        <v>368</v>
      </c>
      <c r="B323" s="4" t="s">
        <v>3</v>
      </c>
    </row>
    <row r="324">
      <c r="A324" s="3" t="s">
        <v>368</v>
      </c>
      <c r="B324" s="4" t="s">
        <v>8</v>
      </c>
    </row>
    <row r="325">
      <c r="A325" s="3" t="s">
        <v>368</v>
      </c>
      <c r="B325" s="4" t="s">
        <v>8</v>
      </c>
    </row>
    <row r="326">
      <c r="A326" s="3" t="s">
        <v>368</v>
      </c>
      <c r="B326" s="4" t="s">
        <v>3</v>
      </c>
    </row>
    <row r="327">
      <c r="A327" s="3" t="s">
        <v>368</v>
      </c>
      <c r="B327" s="4" t="s">
        <v>3</v>
      </c>
    </row>
    <row r="328">
      <c r="A328" s="3" t="s">
        <v>368</v>
      </c>
      <c r="B328" s="4" t="s">
        <v>3</v>
      </c>
    </row>
    <row r="329">
      <c r="A329" s="3" t="s">
        <v>368</v>
      </c>
      <c r="B329" s="4" t="s">
        <v>3</v>
      </c>
    </row>
    <row r="330">
      <c r="A330" s="3" t="s">
        <v>368</v>
      </c>
      <c r="B330" s="4" t="s">
        <v>3</v>
      </c>
    </row>
    <row r="331">
      <c r="A331" s="3" t="s">
        <v>368</v>
      </c>
      <c r="B331" s="4" t="s">
        <v>3</v>
      </c>
    </row>
    <row r="332">
      <c r="A332" s="3" t="s">
        <v>368</v>
      </c>
      <c r="B332" s="4" t="s">
        <v>8</v>
      </c>
    </row>
    <row r="333">
      <c r="A333" s="3" t="s">
        <v>368</v>
      </c>
      <c r="B333" s="4" t="s">
        <v>8</v>
      </c>
    </row>
    <row r="334">
      <c r="A334" s="3" t="s">
        <v>368</v>
      </c>
      <c r="B334" s="4" t="s">
        <v>8</v>
      </c>
    </row>
    <row r="335">
      <c r="A335" s="3" t="s">
        <v>368</v>
      </c>
      <c r="B335" s="4" t="s">
        <v>3</v>
      </c>
    </row>
    <row r="336">
      <c r="A336" s="3" t="s">
        <v>368</v>
      </c>
      <c r="B336" s="4" t="s">
        <v>3</v>
      </c>
    </row>
    <row r="337">
      <c r="A337" s="3" t="s">
        <v>368</v>
      </c>
      <c r="B337" s="4" t="s">
        <v>8</v>
      </c>
    </row>
    <row r="338">
      <c r="A338" s="3" t="s">
        <v>368</v>
      </c>
      <c r="B338" s="4" t="s">
        <v>8</v>
      </c>
    </row>
    <row r="339">
      <c r="A339" s="3" t="s">
        <v>368</v>
      </c>
      <c r="B339" s="4" t="s">
        <v>3</v>
      </c>
    </row>
    <row r="340">
      <c r="A340" s="3" t="s">
        <v>368</v>
      </c>
      <c r="B340" s="4" t="s">
        <v>3</v>
      </c>
    </row>
    <row r="341">
      <c r="A341" s="3" t="s">
        <v>390</v>
      </c>
      <c r="B341" s="4" t="s">
        <v>3</v>
      </c>
    </row>
    <row r="342">
      <c r="A342" s="3" t="s">
        <v>390</v>
      </c>
      <c r="B342" s="4" t="s">
        <v>8</v>
      </c>
    </row>
    <row r="343">
      <c r="A343" s="3" t="s">
        <v>390</v>
      </c>
      <c r="B343" s="4" t="s">
        <v>3</v>
      </c>
    </row>
    <row r="344">
      <c r="A344" s="3" t="s">
        <v>390</v>
      </c>
      <c r="B344" s="4" t="s">
        <v>3</v>
      </c>
    </row>
    <row r="345">
      <c r="A345" s="3" t="s">
        <v>390</v>
      </c>
      <c r="B345" s="4" t="s">
        <v>8</v>
      </c>
    </row>
    <row r="346">
      <c r="A346" s="3" t="s">
        <v>390</v>
      </c>
      <c r="B346" s="4" t="s">
        <v>3</v>
      </c>
    </row>
    <row r="347">
      <c r="A347" s="3" t="s">
        <v>390</v>
      </c>
      <c r="B347" s="4" t="s">
        <v>3</v>
      </c>
    </row>
    <row r="348">
      <c r="A348" s="3" t="s">
        <v>390</v>
      </c>
      <c r="B348" s="4" t="s">
        <v>8</v>
      </c>
    </row>
    <row r="349">
      <c r="A349" s="3" t="s">
        <v>390</v>
      </c>
      <c r="B349" s="4" t="s">
        <v>8</v>
      </c>
    </row>
    <row r="350">
      <c r="A350" s="3" t="s">
        <v>390</v>
      </c>
      <c r="B350" s="4" t="s">
        <v>8</v>
      </c>
    </row>
    <row r="351">
      <c r="A351" s="3" t="s">
        <v>390</v>
      </c>
      <c r="B351" s="4" t="s">
        <v>3</v>
      </c>
    </row>
    <row r="352">
      <c r="A352" s="3" t="s">
        <v>390</v>
      </c>
      <c r="B352" s="4" t="s">
        <v>8</v>
      </c>
    </row>
    <row r="353">
      <c r="A353" s="3" t="s">
        <v>390</v>
      </c>
      <c r="B353" s="4" t="s">
        <v>3</v>
      </c>
    </row>
    <row r="354">
      <c r="A354" s="3" t="s">
        <v>390</v>
      </c>
      <c r="B354" s="4" t="s">
        <v>8</v>
      </c>
    </row>
    <row r="355">
      <c r="A355" s="3" t="s">
        <v>390</v>
      </c>
      <c r="B355" s="4" t="s">
        <v>8</v>
      </c>
    </row>
    <row r="356">
      <c r="A356" s="3" t="s">
        <v>390</v>
      </c>
      <c r="B356" s="4" t="s">
        <v>8</v>
      </c>
    </row>
    <row r="357">
      <c r="A357" s="3" t="s">
        <v>390</v>
      </c>
      <c r="B357" s="4" t="s">
        <v>3</v>
      </c>
    </row>
    <row r="358">
      <c r="A358" s="3" t="s">
        <v>390</v>
      </c>
      <c r="B358" s="4" t="s">
        <v>3</v>
      </c>
    </row>
    <row r="359">
      <c r="A359" s="3" t="s">
        <v>390</v>
      </c>
      <c r="B359" s="4" t="s">
        <v>3</v>
      </c>
    </row>
    <row r="360">
      <c r="A360" s="3" t="s">
        <v>390</v>
      </c>
      <c r="B360" s="4" t="s">
        <v>8</v>
      </c>
    </row>
    <row r="361">
      <c r="A361" s="3" t="s">
        <v>409</v>
      </c>
      <c r="B361" s="4" t="s">
        <v>8</v>
      </c>
    </row>
    <row r="362">
      <c r="A362" s="3" t="s">
        <v>409</v>
      </c>
      <c r="B362" s="4" t="s">
        <v>3</v>
      </c>
    </row>
    <row r="363">
      <c r="A363" s="3" t="s">
        <v>409</v>
      </c>
      <c r="B363" s="4" t="s">
        <v>8</v>
      </c>
    </row>
    <row r="364">
      <c r="A364" s="3" t="s">
        <v>409</v>
      </c>
      <c r="B364" s="4" t="s">
        <v>3</v>
      </c>
    </row>
    <row r="365">
      <c r="A365" s="3" t="s">
        <v>409</v>
      </c>
      <c r="B365" s="4" t="s">
        <v>8</v>
      </c>
    </row>
    <row r="366">
      <c r="A366" s="3" t="s">
        <v>409</v>
      </c>
      <c r="B366" s="4" t="s">
        <v>3</v>
      </c>
    </row>
    <row r="367">
      <c r="A367" s="3" t="s">
        <v>409</v>
      </c>
      <c r="B367" s="4" t="s">
        <v>8</v>
      </c>
    </row>
    <row r="368">
      <c r="A368" s="3" t="s">
        <v>409</v>
      </c>
      <c r="B368" s="4" t="s">
        <v>8</v>
      </c>
    </row>
    <row r="369">
      <c r="A369" s="3" t="s">
        <v>409</v>
      </c>
      <c r="B369" s="4" t="s">
        <v>3</v>
      </c>
    </row>
    <row r="370">
      <c r="A370" s="3" t="s">
        <v>409</v>
      </c>
      <c r="B370" s="4" t="s">
        <v>3</v>
      </c>
    </row>
    <row r="371">
      <c r="A371" s="3" t="s">
        <v>409</v>
      </c>
      <c r="B371" s="4" t="s">
        <v>3</v>
      </c>
    </row>
    <row r="372">
      <c r="A372" s="3" t="s">
        <v>409</v>
      </c>
      <c r="B372" s="4" t="s">
        <v>3</v>
      </c>
    </row>
    <row r="373">
      <c r="A373" s="3" t="s">
        <v>409</v>
      </c>
      <c r="B373" s="4" t="s">
        <v>8</v>
      </c>
    </row>
    <row r="374">
      <c r="A374" s="3" t="s">
        <v>409</v>
      </c>
      <c r="B374" s="4" t="s">
        <v>8</v>
      </c>
    </row>
    <row r="375">
      <c r="A375" s="3" t="s">
        <v>409</v>
      </c>
      <c r="B375" s="4" t="s">
        <v>8</v>
      </c>
    </row>
    <row r="376">
      <c r="A376" s="3" t="s">
        <v>409</v>
      </c>
      <c r="B376" s="4" t="s">
        <v>8</v>
      </c>
    </row>
    <row r="377">
      <c r="A377" s="3" t="s">
        <v>409</v>
      </c>
      <c r="B377" s="4" t="s">
        <v>8</v>
      </c>
    </row>
    <row r="378">
      <c r="A378" s="3" t="s">
        <v>409</v>
      </c>
      <c r="B378" s="4" t="s">
        <v>8</v>
      </c>
    </row>
    <row r="379">
      <c r="A379" s="3" t="s">
        <v>409</v>
      </c>
      <c r="B379" s="4" t="s">
        <v>3</v>
      </c>
    </row>
    <row r="380">
      <c r="A380" s="3" t="s">
        <v>409</v>
      </c>
      <c r="B380" s="4" t="s">
        <v>3</v>
      </c>
    </row>
    <row r="381">
      <c r="A381" s="3" t="s">
        <v>430</v>
      </c>
      <c r="B381" s="4" t="s">
        <v>8</v>
      </c>
    </row>
    <row r="382">
      <c r="A382" s="3" t="s">
        <v>430</v>
      </c>
      <c r="B382" s="4" t="s">
        <v>3</v>
      </c>
    </row>
    <row r="383">
      <c r="A383" s="3" t="s">
        <v>430</v>
      </c>
      <c r="B383" s="4" t="s">
        <v>8</v>
      </c>
    </row>
    <row r="384">
      <c r="A384" s="3" t="s">
        <v>430</v>
      </c>
      <c r="B384" s="4" t="s">
        <v>8</v>
      </c>
    </row>
    <row r="385">
      <c r="A385" s="3" t="s">
        <v>430</v>
      </c>
      <c r="B385" s="4" t="s">
        <v>8</v>
      </c>
    </row>
    <row r="386">
      <c r="A386" s="3" t="s">
        <v>430</v>
      </c>
      <c r="B386" s="4" t="s">
        <v>3</v>
      </c>
    </row>
    <row r="387">
      <c r="A387" s="3" t="s">
        <v>430</v>
      </c>
      <c r="B387" s="4" t="s">
        <v>8</v>
      </c>
    </row>
    <row r="388">
      <c r="A388" s="3" t="s">
        <v>430</v>
      </c>
      <c r="B388" s="4" t="s">
        <v>3</v>
      </c>
    </row>
    <row r="389">
      <c r="A389" s="3" t="s">
        <v>430</v>
      </c>
      <c r="B389" s="4" t="s">
        <v>8</v>
      </c>
    </row>
    <row r="390">
      <c r="A390" s="3" t="s">
        <v>430</v>
      </c>
      <c r="B390" s="4" t="s">
        <v>3</v>
      </c>
    </row>
    <row r="391">
      <c r="A391" s="3" t="s">
        <v>430</v>
      </c>
      <c r="B391" s="4" t="s">
        <v>3</v>
      </c>
    </row>
    <row r="392">
      <c r="A392" s="3" t="s">
        <v>430</v>
      </c>
      <c r="B392" s="4" t="s">
        <v>3</v>
      </c>
    </row>
    <row r="393">
      <c r="A393" s="3" t="s">
        <v>430</v>
      </c>
      <c r="B393" s="4" t="s">
        <v>8</v>
      </c>
    </row>
    <row r="394">
      <c r="A394" s="3" t="s">
        <v>430</v>
      </c>
      <c r="B394" s="4" t="s">
        <v>3</v>
      </c>
    </row>
    <row r="395">
      <c r="A395" s="3" t="s">
        <v>430</v>
      </c>
      <c r="B395" s="4" t="s">
        <v>3</v>
      </c>
    </row>
    <row r="396">
      <c r="A396" s="3" t="s">
        <v>430</v>
      </c>
      <c r="B396" s="4" t="s">
        <v>3</v>
      </c>
    </row>
    <row r="397">
      <c r="A397" s="3" t="s">
        <v>430</v>
      </c>
      <c r="B397" s="4" t="s">
        <v>8</v>
      </c>
    </row>
    <row r="398">
      <c r="A398" s="3" t="s">
        <v>430</v>
      </c>
      <c r="B398" s="4" t="s">
        <v>8</v>
      </c>
    </row>
    <row r="399">
      <c r="A399" s="3" t="s">
        <v>430</v>
      </c>
      <c r="B399" s="4" t="s">
        <v>3</v>
      </c>
    </row>
    <row r="400">
      <c r="A400" s="3" t="s">
        <v>430</v>
      </c>
      <c r="B400" s="4" t="s">
        <v>3</v>
      </c>
    </row>
    <row r="401">
      <c r="A401" s="3" t="s">
        <v>451</v>
      </c>
      <c r="B401" s="4" t="s">
        <v>3</v>
      </c>
    </row>
    <row r="402">
      <c r="A402" s="3" t="s">
        <v>451</v>
      </c>
      <c r="B402" s="4" t="s">
        <v>3</v>
      </c>
    </row>
    <row r="403">
      <c r="A403" s="3" t="s">
        <v>451</v>
      </c>
      <c r="B403" s="4" t="s">
        <v>3</v>
      </c>
    </row>
    <row r="404">
      <c r="A404" s="3" t="s">
        <v>451</v>
      </c>
      <c r="B404" s="4" t="s">
        <v>3</v>
      </c>
    </row>
    <row r="405">
      <c r="A405" s="3" t="s">
        <v>451</v>
      </c>
      <c r="B405" s="4" t="s">
        <v>3</v>
      </c>
    </row>
    <row r="406">
      <c r="A406" s="3" t="s">
        <v>451</v>
      </c>
      <c r="B406" s="4" t="s">
        <v>3</v>
      </c>
    </row>
    <row r="407">
      <c r="A407" s="3" t="s">
        <v>451</v>
      </c>
      <c r="B407" s="4" t="s">
        <v>3</v>
      </c>
    </row>
    <row r="408">
      <c r="A408" s="3" t="s">
        <v>451</v>
      </c>
      <c r="B408" s="4" t="s">
        <v>8</v>
      </c>
    </row>
    <row r="409">
      <c r="A409" s="3" t="s">
        <v>451</v>
      </c>
      <c r="B409" s="4" t="s">
        <v>3</v>
      </c>
    </row>
    <row r="410">
      <c r="A410" s="3" t="s">
        <v>451</v>
      </c>
      <c r="B410" s="4" t="s">
        <v>3</v>
      </c>
    </row>
    <row r="411">
      <c r="A411" s="3" t="s">
        <v>451</v>
      </c>
      <c r="B411" s="4" t="s">
        <v>8</v>
      </c>
    </row>
    <row r="412">
      <c r="A412" s="3" t="s">
        <v>451</v>
      </c>
      <c r="B412" s="4" t="s">
        <v>3</v>
      </c>
    </row>
    <row r="413">
      <c r="A413" s="3" t="s">
        <v>451</v>
      </c>
      <c r="B413" s="4" t="s">
        <v>8</v>
      </c>
    </row>
    <row r="414">
      <c r="A414" s="3" t="s">
        <v>451</v>
      </c>
      <c r="B414" s="4" t="s">
        <v>8</v>
      </c>
    </row>
    <row r="415">
      <c r="A415" s="3" t="s">
        <v>451</v>
      </c>
      <c r="B415" s="4" t="s">
        <v>3</v>
      </c>
    </row>
    <row r="416">
      <c r="A416" s="3" t="s">
        <v>451</v>
      </c>
      <c r="B416" s="4" t="s">
        <v>3</v>
      </c>
    </row>
    <row r="417">
      <c r="A417" s="3" t="s">
        <v>451</v>
      </c>
      <c r="B417" s="4" t="s">
        <v>3</v>
      </c>
    </row>
    <row r="418">
      <c r="A418" s="3" t="s">
        <v>451</v>
      </c>
      <c r="B418" s="4" t="s">
        <v>8</v>
      </c>
    </row>
    <row r="419">
      <c r="A419" s="3" t="s">
        <v>451</v>
      </c>
      <c r="B419" s="4" t="s">
        <v>8</v>
      </c>
    </row>
    <row r="420">
      <c r="A420" s="3" t="s">
        <v>451</v>
      </c>
      <c r="B420" s="4" t="s">
        <v>3</v>
      </c>
    </row>
    <row r="421">
      <c r="A421" s="3" t="s">
        <v>471</v>
      </c>
      <c r="B421" s="4" t="s">
        <v>3</v>
      </c>
    </row>
    <row r="422">
      <c r="A422" s="3" t="s">
        <v>471</v>
      </c>
      <c r="B422" s="4" t="s">
        <v>3</v>
      </c>
    </row>
    <row r="423">
      <c r="A423" s="3" t="s">
        <v>471</v>
      </c>
      <c r="B423" s="4" t="s">
        <v>3</v>
      </c>
    </row>
    <row r="424">
      <c r="A424" s="3" t="s">
        <v>471</v>
      </c>
      <c r="B424" s="4" t="s">
        <v>8</v>
      </c>
    </row>
    <row r="425">
      <c r="A425" s="3" t="s">
        <v>471</v>
      </c>
      <c r="B425" s="4" t="s">
        <v>3</v>
      </c>
    </row>
    <row r="426">
      <c r="A426" s="3" t="s">
        <v>471</v>
      </c>
      <c r="B426" s="4" t="s">
        <v>3</v>
      </c>
    </row>
    <row r="427">
      <c r="A427" s="3" t="s">
        <v>471</v>
      </c>
      <c r="B427" s="4" t="s">
        <v>3</v>
      </c>
    </row>
    <row r="428">
      <c r="A428" s="3" t="s">
        <v>471</v>
      </c>
      <c r="B428" s="4" t="s">
        <v>3</v>
      </c>
    </row>
    <row r="429">
      <c r="A429" s="3" t="s">
        <v>471</v>
      </c>
      <c r="B429" s="4" t="s">
        <v>3</v>
      </c>
    </row>
    <row r="430">
      <c r="A430" s="3" t="s">
        <v>471</v>
      </c>
      <c r="B430" s="4" t="s">
        <v>8</v>
      </c>
    </row>
    <row r="431">
      <c r="A431" s="3" t="s">
        <v>471</v>
      </c>
      <c r="B431" s="4" t="s">
        <v>3</v>
      </c>
    </row>
    <row r="432">
      <c r="A432" s="3" t="s">
        <v>471</v>
      </c>
      <c r="B432" s="4" t="s">
        <v>8</v>
      </c>
    </row>
    <row r="433">
      <c r="A433" s="3" t="s">
        <v>471</v>
      </c>
      <c r="B433" s="4" t="s">
        <v>8</v>
      </c>
    </row>
    <row r="434">
      <c r="A434" s="3" t="s">
        <v>471</v>
      </c>
      <c r="B434" s="4" t="s">
        <v>8</v>
      </c>
    </row>
    <row r="435">
      <c r="A435" s="3" t="s">
        <v>471</v>
      </c>
      <c r="B435" s="4" t="s">
        <v>8</v>
      </c>
    </row>
    <row r="436">
      <c r="A436" s="3" t="s">
        <v>471</v>
      </c>
      <c r="B436" s="4" t="s">
        <v>3</v>
      </c>
    </row>
    <row r="437">
      <c r="A437" s="3" t="s">
        <v>471</v>
      </c>
      <c r="B437" s="4" t="s">
        <v>3</v>
      </c>
    </row>
    <row r="438">
      <c r="A438" s="3" t="s">
        <v>471</v>
      </c>
      <c r="B438" s="4" t="s">
        <v>8</v>
      </c>
    </row>
    <row r="439">
      <c r="A439" s="3" t="s">
        <v>471</v>
      </c>
      <c r="B439" s="4" t="s">
        <v>3</v>
      </c>
    </row>
    <row r="440">
      <c r="A440" s="3" t="s">
        <v>471</v>
      </c>
      <c r="B440" s="4" t="s">
        <v>8</v>
      </c>
    </row>
    <row r="441">
      <c r="A441" s="3" t="s">
        <v>491</v>
      </c>
      <c r="B441" s="4" t="s">
        <v>8</v>
      </c>
    </row>
    <row r="442">
      <c r="A442" s="3" t="s">
        <v>491</v>
      </c>
      <c r="B442" s="4" t="s">
        <v>3</v>
      </c>
    </row>
    <row r="443">
      <c r="A443" s="3" t="s">
        <v>491</v>
      </c>
      <c r="B443" s="4" t="s">
        <v>8</v>
      </c>
    </row>
    <row r="444">
      <c r="A444" s="3" t="s">
        <v>491</v>
      </c>
      <c r="B444" s="4" t="s">
        <v>8</v>
      </c>
    </row>
    <row r="445">
      <c r="A445" s="3" t="s">
        <v>491</v>
      </c>
      <c r="B445" s="4" t="s">
        <v>8</v>
      </c>
    </row>
    <row r="446">
      <c r="A446" s="3" t="s">
        <v>491</v>
      </c>
      <c r="B446" s="4" t="s">
        <v>3</v>
      </c>
    </row>
    <row r="447">
      <c r="A447" s="3" t="s">
        <v>491</v>
      </c>
      <c r="B447" s="4" t="s">
        <v>3</v>
      </c>
    </row>
    <row r="448">
      <c r="A448" s="3" t="s">
        <v>491</v>
      </c>
      <c r="B448" s="4" t="s">
        <v>3</v>
      </c>
    </row>
    <row r="449">
      <c r="A449" s="3" t="s">
        <v>491</v>
      </c>
      <c r="B449" s="4" t="s">
        <v>8</v>
      </c>
    </row>
    <row r="450">
      <c r="A450" s="3" t="s">
        <v>491</v>
      </c>
      <c r="B450" s="4" t="s">
        <v>3</v>
      </c>
    </row>
    <row r="451">
      <c r="A451" s="3" t="s">
        <v>491</v>
      </c>
      <c r="B451" s="4" t="s">
        <v>3</v>
      </c>
    </row>
    <row r="452">
      <c r="A452" s="3" t="s">
        <v>491</v>
      </c>
      <c r="B452" s="4" t="s">
        <v>3</v>
      </c>
    </row>
    <row r="453">
      <c r="A453" s="3" t="s">
        <v>491</v>
      </c>
      <c r="B453" s="4" t="s">
        <v>3</v>
      </c>
    </row>
    <row r="454">
      <c r="A454" s="3" t="s">
        <v>491</v>
      </c>
      <c r="B454" s="4" t="s">
        <v>3</v>
      </c>
    </row>
    <row r="455">
      <c r="A455" s="3" t="s">
        <v>491</v>
      </c>
      <c r="B455" s="4" t="s">
        <v>3</v>
      </c>
    </row>
    <row r="456">
      <c r="A456" s="3" t="s">
        <v>491</v>
      </c>
      <c r="B456" s="4" t="s">
        <v>3</v>
      </c>
    </row>
    <row r="457">
      <c r="A457" s="3" t="s">
        <v>491</v>
      </c>
      <c r="B457" s="4" t="s">
        <v>8</v>
      </c>
    </row>
    <row r="458">
      <c r="A458" s="3" t="s">
        <v>491</v>
      </c>
      <c r="B458" s="4" t="s">
        <v>3</v>
      </c>
    </row>
    <row r="459">
      <c r="A459" s="3" t="s">
        <v>491</v>
      </c>
      <c r="B459" s="4" t="s">
        <v>3</v>
      </c>
    </row>
    <row r="460">
      <c r="A460" s="3" t="s">
        <v>491</v>
      </c>
      <c r="B460" s="4" t="s">
        <v>8</v>
      </c>
    </row>
    <row r="461">
      <c r="A461" s="3" t="s">
        <v>512</v>
      </c>
      <c r="B461" s="4" t="s">
        <v>3</v>
      </c>
    </row>
    <row r="462">
      <c r="A462" s="3" t="s">
        <v>512</v>
      </c>
      <c r="B462" s="4" t="s">
        <v>8</v>
      </c>
    </row>
    <row r="463">
      <c r="A463" s="3" t="s">
        <v>512</v>
      </c>
      <c r="B463" s="4" t="s">
        <v>3</v>
      </c>
    </row>
    <row r="464">
      <c r="A464" s="3" t="s">
        <v>512</v>
      </c>
      <c r="B464" s="4" t="s">
        <v>8</v>
      </c>
    </row>
    <row r="465">
      <c r="A465" s="3" t="s">
        <v>512</v>
      </c>
      <c r="B465" s="4" t="s">
        <v>8</v>
      </c>
    </row>
    <row r="466">
      <c r="A466" s="3" t="s">
        <v>512</v>
      </c>
      <c r="B466" s="4" t="s">
        <v>8</v>
      </c>
    </row>
    <row r="467">
      <c r="A467" s="3" t="s">
        <v>512</v>
      </c>
      <c r="B467" s="4" t="s">
        <v>8</v>
      </c>
    </row>
    <row r="468">
      <c r="A468" s="3" t="s">
        <v>512</v>
      </c>
      <c r="B468" s="4" t="s">
        <v>8</v>
      </c>
    </row>
    <row r="469">
      <c r="A469" s="3" t="s">
        <v>512</v>
      </c>
      <c r="B469" s="4" t="s">
        <v>3</v>
      </c>
    </row>
    <row r="470">
      <c r="A470" s="3" t="s">
        <v>512</v>
      </c>
      <c r="B470" s="4" t="s">
        <v>8</v>
      </c>
    </row>
    <row r="471">
      <c r="A471" s="3" t="s">
        <v>512</v>
      </c>
      <c r="B471" s="4" t="s">
        <v>8</v>
      </c>
    </row>
    <row r="472">
      <c r="A472" s="3" t="s">
        <v>512</v>
      </c>
      <c r="B472" s="4" t="s">
        <v>3</v>
      </c>
    </row>
    <row r="473">
      <c r="A473" s="3" t="s">
        <v>512</v>
      </c>
      <c r="B473" s="4" t="s">
        <v>8</v>
      </c>
    </row>
    <row r="474">
      <c r="A474" s="3" t="s">
        <v>512</v>
      </c>
      <c r="B474" s="4" t="s">
        <v>8</v>
      </c>
    </row>
    <row r="475">
      <c r="A475" s="3" t="s">
        <v>512</v>
      </c>
      <c r="B475" s="4" t="s">
        <v>3</v>
      </c>
    </row>
    <row r="476">
      <c r="A476" s="3" t="s">
        <v>512</v>
      </c>
      <c r="B476" s="4" t="s">
        <v>8</v>
      </c>
    </row>
    <row r="477">
      <c r="A477" s="3" t="s">
        <v>512</v>
      </c>
      <c r="B477" s="4" t="s">
        <v>3</v>
      </c>
    </row>
    <row r="478">
      <c r="A478" s="3" t="s">
        <v>512</v>
      </c>
      <c r="B478" s="4" t="s">
        <v>8</v>
      </c>
    </row>
    <row r="479">
      <c r="A479" s="3" t="s">
        <v>512</v>
      </c>
      <c r="B479" s="4" t="s">
        <v>3</v>
      </c>
    </row>
    <row r="480">
      <c r="A480" s="3" t="s">
        <v>512</v>
      </c>
      <c r="B480" s="4" t="s">
        <v>3</v>
      </c>
    </row>
    <row r="481">
      <c r="A481" s="3" t="s">
        <v>534</v>
      </c>
      <c r="B481" s="4" t="s">
        <v>3</v>
      </c>
    </row>
    <row r="482">
      <c r="A482" s="3" t="s">
        <v>534</v>
      </c>
      <c r="B482" s="4" t="s">
        <v>3</v>
      </c>
    </row>
    <row r="483">
      <c r="A483" s="3" t="s">
        <v>534</v>
      </c>
      <c r="B483" s="4" t="s">
        <v>3</v>
      </c>
    </row>
    <row r="484">
      <c r="A484" s="3" t="s">
        <v>534</v>
      </c>
      <c r="B484" s="4" t="s">
        <v>8</v>
      </c>
    </row>
    <row r="485">
      <c r="A485" s="3" t="s">
        <v>534</v>
      </c>
      <c r="B485" s="4" t="s">
        <v>3</v>
      </c>
    </row>
    <row r="486">
      <c r="A486" s="3" t="s">
        <v>534</v>
      </c>
      <c r="B486" s="4" t="s">
        <v>3</v>
      </c>
    </row>
    <row r="487">
      <c r="A487" s="3" t="s">
        <v>534</v>
      </c>
      <c r="B487" s="4" t="s">
        <v>3</v>
      </c>
    </row>
    <row r="488">
      <c r="A488" s="3" t="s">
        <v>534</v>
      </c>
      <c r="B488" s="4" t="s">
        <v>8</v>
      </c>
    </row>
    <row r="489">
      <c r="A489" s="3" t="s">
        <v>534</v>
      </c>
      <c r="B489" s="4" t="s">
        <v>3</v>
      </c>
    </row>
    <row r="490">
      <c r="A490" s="3" t="s">
        <v>534</v>
      </c>
      <c r="B490" s="4" t="s">
        <v>8</v>
      </c>
    </row>
    <row r="491">
      <c r="A491" s="3" t="s">
        <v>534</v>
      </c>
      <c r="B491" s="4" t="s">
        <v>3</v>
      </c>
    </row>
    <row r="492">
      <c r="A492" s="3" t="s">
        <v>534</v>
      </c>
      <c r="B492" s="4" t="s">
        <v>3</v>
      </c>
    </row>
    <row r="493">
      <c r="A493" s="3" t="s">
        <v>534</v>
      </c>
      <c r="B493" s="4" t="s">
        <v>3</v>
      </c>
    </row>
    <row r="494">
      <c r="A494" s="3" t="s">
        <v>534</v>
      </c>
      <c r="B494" s="4" t="s">
        <v>3</v>
      </c>
    </row>
    <row r="495">
      <c r="A495" s="3" t="s">
        <v>534</v>
      </c>
      <c r="B495" s="4" t="s">
        <v>3</v>
      </c>
    </row>
    <row r="496">
      <c r="A496" s="3" t="s">
        <v>534</v>
      </c>
      <c r="B496" s="4" t="s">
        <v>8</v>
      </c>
    </row>
    <row r="497">
      <c r="A497" s="3" t="s">
        <v>534</v>
      </c>
      <c r="B497" s="4" t="s">
        <v>3</v>
      </c>
    </row>
    <row r="498">
      <c r="A498" s="3" t="s">
        <v>534</v>
      </c>
      <c r="B498" s="4" t="s">
        <v>8</v>
      </c>
    </row>
    <row r="499">
      <c r="A499" s="3" t="s">
        <v>534</v>
      </c>
      <c r="B499" s="4" t="s">
        <v>8</v>
      </c>
    </row>
    <row r="500">
      <c r="A500" s="3" t="s">
        <v>534</v>
      </c>
      <c r="B500" s="4" t="s">
        <v>8</v>
      </c>
    </row>
    <row r="501">
      <c r="A501" s="3" t="s">
        <v>556</v>
      </c>
      <c r="B501" s="4" t="s">
        <v>3</v>
      </c>
    </row>
    <row r="502">
      <c r="A502" s="3" t="s">
        <v>556</v>
      </c>
      <c r="B502" s="4" t="s">
        <v>8</v>
      </c>
    </row>
    <row r="503">
      <c r="A503" s="3" t="s">
        <v>556</v>
      </c>
      <c r="B503" s="4" t="s">
        <v>8</v>
      </c>
    </row>
    <row r="504">
      <c r="A504" s="3" t="s">
        <v>556</v>
      </c>
      <c r="B504" s="4" t="s">
        <v>8</v>
      </c>
    </row>
    <row r="505">
      <c r="A505" s="3" t="s">
        <v>556</v>
      </c>
      <c r="B505" s="4" t="s">
        <v>8</v>
      </c>
    </row>
    <row r="506">
      <c r="A506" s="3" t="s">
        <v>556</v>
      </c>
      <c r="B506" s="4" t="s">
        <v>3</v>
      </c>
    </row>
    <row r="507">
      <c r="A507" s="3" t="s">
        <v>556</v>
      </c>
      <c r="B507" s="4" t="s">
        <v>8</v>
      </c>
    </row>
    <row r="508">
      <c r="A508" s="3" t="s">
        <v>556</v>
      </c>
      <c r="B508" s="4" t="s">
        <v>8</v>
      </c>
    </row>
    <row r="509">
      <c r="A509" s="3" t="s">
        <v>556</v>
      </c>
      <c r="B509" s="4" t="s">
        <v>3</v>
      </c>
    </row>
    <row r="510">
      <c r="A510" s="3" t="s">
        <v>556</v>
      </c>
      <c r="B510" s="4" t="s">
        <v>3</v>
      </c>
    </row>
    <row r="511">
      <c r="A511" s="3" t="s">
        <v>556</v>
      </c>
      <c r="B511" s="4" t="s">
        <v>3</v>
      </c>
    </row>
    <row r="512">
      <c r="A512" s="3" t="s">
        <v>556</v>
      </c>
      <c r="B512" s="4" t="s">
        <v>8</v>
      </c>
    </row>
    <row r="513">
      <c r="A513" s="3" t="s">
        <v>556</v>
      </c>
      <c r="B513" s="4" t="s">
        <v>8</v>
      </c>
    </row>
    <row r="514">
      <c r="A514" s="3" t="s">
        <v>556</v>
      </c>
      <c r="B514" s="4" t="s">
        <v>3</v>
      </c>
    </row>
    <row r="515">
      <c r="A515" s="3" t="s">
        <v>556</v>
      </c>
      <c r="B515" s="4" t="s">
        <v>3</v>
      </c>
    </row>
    <row r="516">
      <c r="A516" s="3" t="s">
        <v>556</v>
      </c>
      <c r="B516" s="4" t="s">
        <v>3</v>
      </c>
    </row>
    <row r="517">
      <c r="A517" s="3" t="s">
        <v>556</v>
      </c>
      <c r="B517" s="4" t="s">
        <v>3</v>
      </c>
    </row>
    <row r="518">
      <c r="A518" s="3" t="s">
        <v>556</v>
      </c>
      <c r="B518" s="4" t="s">
        <v>8</v>
      </c>
    </row>
    <row r="519">
      <c r="A519" s="3" t="s">
        <v>556</v>
      </c>
      <c r="B519" s="4" t="s">
        <v>8</v>
      </c>
    </row>
    <row r="520">
      <c r="A520" s="3" t="s">
        <v>556</v>
      </c>
      <c r="B520" s="4" t="s">
        <v>3</v>
      </c>
    </row>
    <row r="521">
      <c r="A521" s="3" t="s">
        <v>576</v>
      </c>
      <c r="B521" s="4" t="s">
        <v>3</v>
      </c>
    </row>
    <row r="522">
      <c r="A522" s="3" t="s">
        <v>576</v>
      </c>
      <c r="B522" s="4" t="s">
        <v>8</v>
      </c>
    </row>
    <row r="523">
      <c r="A523" s="3" t="s">
        <v>576</v>
      </c>
      <c r="B523" s="4" t="s">
        <v>3</v>
      </c>
    </row>
    <row r="524">
      <c r="A524" s="3" t="s">
        <v>576</v>
      </c>
      <c r="B524" s="4" t="s">
        <v>8</v>
      </c>
    </row>
    <row r="525">
      <c r="A525" s="3" t="s">
        <v>576</v>
      </c>
      <c r="B525" s="4" t="s">
        <v>8</v>
      </c>
    </row>
    <row r="526">
      <c r="A526" s="3" t="s">
        <v>576</v>
      </c>
      <c r="B526" s="4" t="s">
        <v>8</v>
      </c>
    </row>
    <row r="527">
      <c r="A527" s="3" t="s">
        <v>576</v>
      </c>
      <c r="B527" s="4" t="s">
        <v>8</v>
      </c>
    </row>
    <row r="528">
      <c r="A528" s="3" t="s">
        <v>576</v>
      </c>
      <c r="B528" s="4" t="s">
        <v>8</v>
      </c>
    </row>
    <row r="529">
      <c r="A529" s="3" t="s">
        <v>576</v>
      </c>
      <c r="B529" s="4" t="s">
        <v>8</v>
      </c>
    </row>
    <row r="530">
      <c r="A530" s="3" t="s">
        <v>576</v>
      </c>
      <c r="B530" s="4" t="s">
        <v>8</v>
      </c>
    </row>
    <row r="531">
      <c r="A531" s="3" t="s">
        <v>576</v>
      </c>
      <c r="B531" s="4" t="s">
        <v>3</v>
      </c>
    </row>
    <row r="532">
      <c r="A532" s="3" t="s">
        <v>576</v>
      </c>
      <c r="B532" s="4" t="s">
        <v>3</v>
      </c>
    </row>
    <row r="533">
      <c r="A533" s="3" t="s">
        <v>576</v>
      </c>
      <c r="B533" s="4" t="s">
        <v>8</v>
      </c>
    </row>
    <row r="534">
      <c r="A534" s="3" t="s">
        <v>576</v>
      </c>
      <c r="B534" s="4" t="s">
        <v>8</v>
      </c>
    </row>
    <row r="535">
      <c r="A535" s="3" t="s">
        <v>576</v>
      </c>
      <c r="B535" s="4" t="s">
        <v>3</v>
      </c>
    </row>
    <row r="536">
      <c r="A536" s="3" t="s">
        <v>576</v>
      </c>
      <c r="B536" s="4" t="s">
        <v>8</v>
      </c>
    </row>
    <row r="537">
      <c r="A537" s="3" t="s">
        <v>576</v>
      </c>
      <c r="B537" s="4" t="s">
        <v>8</v>
      </c>
    </row>
    <row r="538">
      <c r="A538" s="3" t="s">
        <v>576</v>
      </c>
      <c r="B538" s="4" t="s">
        <v>8</v>
      </c>
    </row>
    <row r="539">
      <c r="A539" s="3" t="s">
        <v>576</v>
      </c>
      <c r="B539" s="4" t="s">
        <v>3</v>
      </c>
    </row>
    <row r="540">
      <c r="A540" s="3" t="s">
        <v>576</v>
      </c>
      <c r="B540" s="4" t="s">
        <v>8</v>
      </c>
    </row>
    <row r="541">
      <c r="A541" s="3" t="s">
        <v>594</v>
      </c>
      <c r="B541" s="4" t="s">
        <v>8</v>
      </c>
    </row>
    <row r="542">
      <c r="A542" s="3" t="s">
        <v>594</v>
      </c>
      <c r="B542" s="4" t="s">
        <v>8</v>
      </c>
    </row>
    <row r="543">
      <c r="A543" s="3" t="s">
        <v>594</v>
      </c>
      <c r="B543" s="4" t="s">
        <v>8</v>
      </c>
    </row>
    <row r="544">
      <c r="A544" s="3" t="s">
        <v>594</v>
      </c>
      <c r="B544" s="4" t="s">
        <v>8</v>
      </c>
    </row>
    <row r="545">
      <c r="A545" s="3" t="s">
        <v>594</v>
      </c>
      <c r="B545" s="4" t="s">
        <v>8</v>
      </c>
    </row>
    <row r="546">
      <c r="A546" s="3" t="s">
        <v>594</v>
      </c>
      <c r="B546" s="4" t="s">
        <v>3</v>
      </c>
    </row>
    <row r="547">
      <c r="A547" s="3" t="s">
        <v>594</v>
      </c>
      <c r="B547" s="4" t="s">
        <v>3</v>
      </c>
    </row>
    <row r="548">
      <c r="A548" s="3" t="s">
        <v>594</v>
      </c>
      <c r="B548" s="4" t="s">
        <v>3</v>
      </c>
    </row>
    <row r="549">
      <c r="A549" s="3" t="s">
        <v>594</v>
      </c>
      <c r="B549" s="4" t="s">
        <v>3</v>
      </c>
    </row>
    <row r="550">
      <c r="A550" s="3" t="s">
        <v>594</v>
      </c>
      <c r="B550" s="4" t="s">
        <v>8</v>
      </c>
    </row>
    <row r="551">
      <c r="A551" s="3" t="s">
        <v>594</v>
      </c>
      <c r="B551" s="4" t="s">
        <v>3</v>
      </c>
    </row>
    <row r="552">
      <c r="A552" s="3" t="s">
        <v>594</v>
      </c>
      <c r="B552" s="4" t="s">
        <v>3</v>
      </c>
    </row>
    <row r="553">
      <c r="A553" s="3" t="s">
        <v>594</v>
      </c>
      <c r="B553" s="4" t="s">
        <v>8</v>
      </c>
    </row>
    <row r="554">
      <c r="A554" s="3" t="s">
        <v>594</v>
      </c>
      <c r="B554" s="4" t="s">
        <v>3</v>
      </c>
    </row>
    <row r="555">
      <c r="A555" s="3" t="s">
        <v>594</v>
      </c>
      <c r="B555" s="4" t="s">
        <v>3</v>
      </c>
    </row>
    <row r="556">
      <c r="A556" s="3" t="s">
        <v>594</v>
      </c>
      <c r="B556" s="4" t="s">
        <v>3</v>
      </c>
    </row>
    <row r="557">
      <c r="A557" s="3" t="s">
        <v>594</v>
      </c>
      <c r="B557" s="4" t="s">
        <v>8</v>
      </c>
    </row>
    <row r="558">
      <c r="A558" s="3" t="s">
        <v>594</v>
      </c>
      <c r="B558" s="4" t="s">
        <v>3</v>
      </c>
    </row>
    <row r="559">
      <c r="A559" s="3" t="s">
        <v>594</v>
      </c>
      <c r="B559" s="4" t="s">
        <v>8</v>
      </c>
    </row>
    <row r="560">
      <c r="A560" s="3" t="s">
        <v>594</v>
      </c>
      <c r="B560" s="4" t="s">
        <v>8</v>
      </c>
    </row>
    <row r="561">
      <c r="A561" s="3" t="s">
        <v>614</v>
      </c>
      <c r="B561" s="4" t="s">
        <v>8</v>
      </c>
    </row>
    <row r="562">
      <c r="A562" s="3" t="s">
        <v>614</v>
      </c>
      <c r="B562" s="4" t="s">
        <v>8</v>
      </c>
    </row>
    <row r="563">
      <c r="A563" s="3" t="s">
        <v>614</v>
      </c>
      <c r="B563" s="4" t="s">
        <v>8</v>
      </c>
    </row>
    <row r="564">
      <c r="A564" s="3" t="s">
        <v>614</v>
      </c>
      <c r="B564" s="4" t="s">
        <v>8</v>
      </c>
    </row>
    <row r="565">
      <c r="A565" s="3" t="s">
        <v>614</v>
      </c>
      <c r="B565" s="4" t="s">
        <v>3</v>
      </c>
    </row>
    <row r="566">
      <c r="A566" s="3" t="s">
        <v>614</v>
      </c>
      <c r="B566" s="4" t="s">
        <v>3</v>
      </c>
    </row>
    <row r="567">
      <c r="A567" s="3" t="s">
        <v>614</v>
      </c>
      <c r="B567" s="4" t="s">
        <v>8</v>
      </c>
    </row>
    <row r="568">
      <c r="A568" s="3" t="s">
        <v>614</v>
      </c>
      <c r="B568" s="4" t="s">
        <v>8</v>
      </c>
    </row>
    <row r="569">
      <c r="A569" s="3" t="s">
        <v>614</v>
      </c>
      <c r="B569" s="4" t="s">
        <v>3</v>
      </c>
    </row>
    <row r="570">
      <c r="A570" s="3" t="s">
        <v>614</v>
      </c>
      <c r="B570" s="4" t="s">
        <v>3</v>
      </c>
    </row>
    <row r="571">
      <c r="A571" s="3" t="s">
        <v>614</v>
      </c>
      <c r="B571" s="4" t="s">
        <v>8</v>
      </c>
    </row>
    <row r="572">
      <c r="A572" s="3" t="s">
        <v>614</v>
      </c>
      <c r="B572" s="4" t="s">
        <v>8</v>
      </c>
    </row>
    <row r="573">
      <c r="A573" s="3" t="s">
        <v>614</v>
      </c>
      <c r="B573" s="4" t="s">
        <v>8</v>
      </c>
    </row>
    <row r="574">
      <c r="A574" s="3" t="s">
        <v>614</v>
      </c>
      <c r="B574" s="4" t="s">
        <v>8</v>
      </c>
    </row>
    <row r="575">
      <c r="A575" s="3" t="s">
        <v>614</v>
      </c>
      <c r="B575" s="4" t="s">
        <v>8</v>
      </c>
    </row>
    <row r="576">
      <c r="A576" s="3" t="s">
        <v>614</v>
      </c>
      <c r="B576" s="4" t="s">
        <v>3</v>
      </c>
    </row>
    <row r="577">
      <c r="A577" s="3" t="s">
        <v>614</v>
      </c>
      <c r="B577" s="4" t="s">
        <v>3</v>
      </c>
    </row>
    <row r="578">
      <c r="A578" s="3" t="s">
        <v>614</v>
      </c>
      <c r="B578" s="4" t="s">
        <v>8</v>
      </c>
    </row>
    <row r="579">
      <c r="A579" s="3" t="s">
        <v>614</v>
      </c>
      <c r="B579" s="4" t="s">
        <v>3</v>
      </c>
    </row>
    <row r="580">
      <c r="A580" s="3" t="s">
        <v>614</v>
      </c>
      <c r="B580" s="4" t="s">
        <v>8</v>
      </c>
    </row>
    <row r="581">
      <c r="A581" s="3" t="s">
        <v>633</v>
      </c>
      <c r="B581" s="4" t="s">
        <v>8</v>
      </c>
    </row>
    <row r="582">
      <c r="A582" s="3" t="s">
        <v>633</v>
      </c>
      <c r="B582" s="4" t="s">
        <v>8</v>
      </c>
    </row>
    <row r="583">
      <c r="A583" s="3" t="s">
        <v>633</v>
      </c>
      <c r="B583" s="4" t="s">
        <v>8</v>
      </c>
    </row>
    <row r="584">
      <c r="A584" s="3" t="s">
        <v>633</v>
      </c>
      <c r="B584" s="4" t="s">
        <v>8</v>
      </c>
    </row>
    <row r="585">
      <c r="A585" s="3" t="s">
        <v>633</v>
      </c>
      <c r="B585" s="4" t="s">
        <v>8</v>
      </c>
    </row>
    <row r="586">
      <c r="A586" s="3" t="s">
        <v>633</v>
      </c>
      <c r="B586" s="4" t="s">
        <v>8</v>
      </c>
    </row>
    <row r="587">
      <c r="A587" s="3" t="s">
        <v>633</v>
      </c>
      <c r="B587" s="4" t="s">
        <v>3</v>
      </c>
    </row>
    <row r="588">
      <c r="A588" s="3" t="s">
        <v>633</v>
      </c>
      <c r="B588" s="4" t="s">
        <v>8</v>
      </c>
    </row>
    <row r="589">
      <c r="A589" s="3" t="s">
        <v>633</v>
      </c>
      <c r="B589" s="4" t="s">
        <v>8</v>
      </c>
    </row>
    <row r="590">
      <c r="A590" s="3" t="s">
        <v>633</v>
      </c>
      <c r="B590" s="4" t="s">
        <v>8</v>
      </c>
    </row>
    <row r="591">
      <c r="A591" s="3" t="s">
        <v>633</v>
      </c>
      <c r="B591" s="4" t="s">
        <v>8</v>
      </c>
    </row>
    <row r="592">
      <c r="A592" s="3" t="s">
        <v>633</v>
      </c>
      <c r="B592" s="4" t="s">
        <v>3</v>
      </c>
    </row>
    <row r="593">
      <c r="A593" s="3" t="s">
        <v>633</v>
      </c>
      <c r="B593" s="4" t="s">
        <v>8</v>
      </c>
    </row>
    <row r="594">
      <c r="A594" s="3" t="s">
        <v>633</v>
      </c>
      <c r="B594" s="4" t="s">
        <v>3</v>
      </c>
    </row>
    <row r="595">
      <c r="A595" s="3" t="s">
        <v>633</v>
      </c>
      <c r="B595" s="4" t="s">
        <v>3</v>
      </c>
    </row>
    <row r="596">
      <c r="A596" s="3" t="s">
        <v>633</v>
      </c>
      <c r="B596" s="4" t="s">
        <v>3</v>
      </c>
    </row>
    <row r="597">
      <c r="A597" s="3" t="s">
        <v>633</v>
      </c>
      <c r="B597" s="4" t="s">
        <v>3</v>
      </c>
    </row>
    <row r="598">
      <c r="A598" s="3" t="s">
        <v>633</v>
      </c>
      <c r="B598" s="4" t="s">
        <v>8</v>
      </c>
    </row>
    <row r="599">
      <c r="A599" s="3" t="s">
        <v>633</v>
      </c>
      <c r="B599" s="4" t="s">
        <v>8</v>
      </c>
    </row>
    <row r="600">
      <c r="A600" s="3" t="s">
        <v>633</v>
      </c>
      <c r="B600" s="4" t="s">
        <v>8</v>
      </c>
    </row>
    <row r="601">
      <c r="A601" s="3" t="s">
        <v>652</v>
      </c>
      <c r="B601" s="4" t="s">
        <v>8</v>
      </c>
    </row>
    <row r="602">
      <c r="A602" s="3" t="s">
        <v>652</v>
      </c>
      <c r="B602" s="4" t="s">
        <v>3</v>
      </c>
    </row>
    <row r="603">
      <c r="A603" s="3" t="s">
        <v>652</v>
      </c>
      <c r="B603" s="4" t="s">
        <v>3</v>
      </c>
    </row>
    <row r="604">
      <c r="A604" s="3" t="s">
        <v>652</v>
      </c>
      <c r="B604" s="4" t="s">
        <v>3</v>
      </c>
    </row>
    <row r="605">
      <c r="A605" s="3" t="s">
        <v>652</v>
      </c>
      <c r="B605" s="4" t="s">
        <v>3</v>
      </c>
    </row>
    <row r="606">
      <c r="A606" s="3" t="s">
        <v>652</v>
      </c>
      <c r="B606" s="4" t="s">
        <v>8</v>
      </c>
    </row>
    <row r="607">
      <c r="A607" s="3" t="s">
        <v>652</v>
      </c>
      <c r="B607" s="4" t="s">
        <v>8</v>
      </c>
    </row>
    <row r="608">
      <c r="A608" s="3" t="s">
        <v>652</v>
      </c>
      <c r="B608" s="4" t="s">
        <v>3</v>
      </c>
    </row>
    <row r="609">
      <c r="A609" s="3" t="s">
        <v>652</v>
      </c>
      <c r="B609" s="4" t="s">
        <v>8</v>
      </c>
    </row>
    <row r="610">
      <c r="A610" s="3" t="s">
        <v>652</v>
      </c>
      <c r="B610" s="4" t="s">
        <v>3</v>
      </c>
    </row>
    <row r="611">
      <c r="A611" s="3" t="s">
        <v>652</v>
      </c>
      <c r="B611" s="4" t="s">
        <v>3</v>
      </c>
    </row>
    <row r="612">
      <c r="A612" s="3" t="s">
        <v>652</v>
      </c>
      <c r="B612" s="4" t="s">
        <v>3</v>
      </c>
    </row>
    <row r="613">
      <c r="A613" s="3" t="s">
        <v>652</v>
      </c>
      <c r="B613" s="4" t="s">
        <v>3</v>
      </c>
    </row>
    <row r="614">
      <c r="A614" s="3" t="s">
        <v>652</v>
      </c>
      <c r="B614" s="4" t="s">
        <v>8</v>
      </c>
    </row>
    <row r="615">
      <c r="A615" s="3" t="s">
        <v>652</v>
      </c>
      <c r="B615" s="4" t="s">
        <v>3</v>
      </c>
    </row>
    <row r="616">
      <c r="A616" s="3" t="s">
        <v>652</v>
      </c>
      <c r="B616" s="4" t="s">
        <v>8</v>
      </c>
    </row>
    <row r="617">
      <c r="A617" s="3" t="s">
        <v>652</v>
      </c>
      <c r="B617" s="4" t="s">
        <v>8</v>
      </c>
    </row>
    <row r="618">
      <c r="A618" s="3" t="s">
        <v>652</v>
      </c>
      <c r="B618" s="4" t="s">
        <v>3</v>
      </c>
    </row>
    <row r="619">
      <c r="A619" s="3" t="s">
        <v>652</v>
      </c>
      <c r="B619" s="4" t="s">
        <v>8</v>
      </c>
    </row>
    <row r="620">
      <c r="A620" s="3" t="s">
        <v>652</v>
      </c>
      <c r="B620" s="4" t="s">
        <v>3</v>
      </c>
    </row>
    <row r="621">
      <c r="A621" s="3" t="s">
        <v>670</v>
      </c>
      <c r="B621" s="4" t="s">
        <v>3</v>
      </c>
    </row>
    <row r="622">
      <c r="A622" s="3" t="s">
        <v>670</v>
      </c>
      <c r="B622" s="4" t="s">
        <v>3</v>
      </c>
    </row>
    <row r="623">
      <c r="A623" s="3" t="s">
        <v>670</v>
      </c>
      <c r="B623" s="4" t="s">
        <v>8</v>
      </c>
    </row>
    <row r="624">
      <c r="A624" s="3" t="s">
        <v>670</v>
      </c>
      <c r="B624" s="4" t="s">
        <v>8</v>
      </c>
    </row>
    <row r="625">
      <c r="A625" s="3" t="s">
        <v>670</v>
      </c>
      <c r="B625" s="4" t="s">
        <v>3</v>
      </c>
    </row>
    <row r="626">
      <c r="A626" s="3" t="s">
        <v>670</v>
      </c>
      <c r="B626" s="4" t="s">
        <v>3</v>
      </c>
    </row>
    <row r="627">
      <c r="A627" s="3" t="s">
        <v>670</v>
      </c>
      <c r="B627" s="4" t="s">
        <v>3</v>
      </c>
    </row>
    <row r="628">
      <c r="A628" s="3" t="s">
        <v>670</v>
      </c>
      <c r="B628" s="4" t="s">
        <v>3</v>
      </c>
    </row>
    <row r="629">
      <c r="A629" s="3" t="s">
        <v>670</v>
      </c>
      <c r="B629" s="4" t="s">
        <v>8</v>
      </c>
    </row>
    <row r="630">
      <c r="A630" s="3" t="s">
        <v>670</v>
      </c>
      <c r="B630" s="4" t="s">
        <v>3</v>
      </c>
    </row>
    <row r="631">
      <c r="A631" s="3" t="s">
        <v>670</v>
      </c>
      <c r="B631" s="4" t="s">
        <v>8</v>
      </c>
    </row>
    <row r="632">
      <c r="A632" s="3" t="s">
        <v>670</v>
      </c>
      <c r="B632" s="4" t="s">
        <v>8</v>
      </c>
    </row>
    <row r="633">
      <c r="A633" s="3" t="s">
        <v>670</v>
      </c>
      <c r="B633" s="4" t="s">
        <v>8</v>
      </c>
    </row>
    <row r="634">
      <c r="A634" s="3" t="s">
        <v>670</v>
      </c>
      <c r="B634" s="4" t="s">
        <v>8</v>
      </c>
    </row>
    <row r="635">
      <c r="A635" s="3" t="s">
        <v>670</v>
      </c>
      <c r="B635" s="4" t="s">
        <v>3</v>
      </c>
    </row>
    <row r="636">
      <c r="A636" s="3" t="s">
        <v>670</v>
      </c>
      <c r="B636" s="4" t="s">
        <v>3</v>
      </c>
    </row>
    <row r="637">
      <c r="A637" s="3" t="s">
        <v>670</v>
      </c>
      <c r="B637" s="4" t="s">
        <v>8</v>
      </c>
    </row>
    <row r="638">
      <c r="A638" s="3" t="s">
        <v>670</v>
      </c>
      <c r="B638" s="4" t="s">
        <v>8</v>
      </c>
    </row>
    <row r="639">
      <c r="A639" s="3" t="s">
        <v>670</v>
      </c>
      <c r="B639" s="4" t="s">
        <v>3</v>
      </c>
    </row>
    <row r="640">
      <c r="A640" s="3" t="s">
        <v>670</v>
      </c>
      <c r="B640" s="4" t="s">
        <v>8</v>
      </c>
    </row>
    <row r="641">
      <c r="A641" s="3" t="s">
        <v>689</v>
      </c>
      <c r="B641" s="4" t="s">
        <v>3</v>
      </c>
    </row>
    <row r="642">
      <c r="A642" s="3" t="s">
        <v>689</v>
      </c>
      <c r="B642" s="4" t="s">
        <v>8</v>
      </c>
    </row>
    <row r="643">
      <c r="A643" s="3" t="s">
        <v>689</v>
      </c>
      <c r="B643" s="4" t="s">
        <v>3</v>
      </c>
    </row>
    <row r="644">
      <c r="A644" s="3" t="s">
        <v>689</v>
      </c>
      <c r="B644" s="4" t="s">
        <v>8</v>
      </c>
    </row>
    <row r="645">
      <c r="A645" s="3" t="s">
        <v>689</v>
      </c>
      <c r="B645" s="4" t="s">
        <v>8</v>
      </c>
    </row>
    <row r="646">
      <c r="A646" s="3" t="s">
        <v>689</v>
      </c>
      <c r="B646" s="4" t="s">
        <v>3</v>
      </c>
    </row>
    <row r="647">
      <c r="A647" s="3" t="s">
        <v>689</v>
      </c>
      <c r="B647" s="4" t="s">
        <v>8</v>
      </c>
    </row>
    <row r="648">
      <c r="A648" s="3" t="s">
        <v>689</v>
      </c>
      <c r="B648" s="4" t="s">
        <v>3</v>
      </c>
    </row>
    <row r="649">
      <c r="A649" s="3" t="s">
        <v>689</v>
      </c>
      <c r="B649" s="4" t="s">
        <v>8</v>
      </c>
    </row>
    <row r="650">
      <c r="A650" s="3" t="s">
        <v>689</v>
      </c>
      <c r="B650" s="4" t="s">
        <v>3</v>
      </c>
    </row>
    <row r="651">
      <c r="A651" s="3" t="s">
        <v>689</v>
      </c>
      <c r="B651" s="4" t="s">
        <v>3</v>
      </c>
    </row>
    <row r="652">
      <c r="A652" s="3" t="s">
        <v>689</v>
      </c>
      <c r="B652" s="4" t="s">
        <v>3</v>
      </c>
    </row>
    <row r="653">
      <c r="A653" s="3" t="s">
        <v>689</v>
      </c>
      <c r="B653" s="4" t="s">
        <v>8</v>
      </c>
    </row>
    <row r="654">
      <c r="A654" s="3" t="s">
        <v>689</v>
      </c>
      <c r="B654" s="4" t="s">
        <v>8</v>
      </c>
    </row>
    <row r="655">
      <c r="A655" s="3" t="s">
        <v>689</v>
      </c>
      <c r="B655" s="4" t="s">
        <v>8</v>
      </c>
    </row>
    <row r="656">
      <c r="A656" s="3" t="s">
        <v>689</v>
      </c>
      <c r="B656" s="4" t="s">
        <v>8</v>
      </c>
    </row>
    <row r="657">
      <c r="A657" s="3" t="s">
        <v>689</v>
      </c>
      <c r="B657" s="4" t="s">
        <v>8</v>
      </c>
    </row>
    <row r="658">
      <c r="A658" s="3" t="s">
        <v>689</v>
      </c>
      <c r="B658" s="4" t="s">
        <v>3</v>
      </c>
    </row>
    <row r="659">
      <c r="A659" s="3" t="s">
        <v>689</v>
      </c>
      <c r="B659" s="4" t="s">
        <v>8</v>
      </c>
    </row>
    <row r="660">
      <c r="A660" s="3" t="s">
        <v>689</v>
      </c>
      <c r="B660" s="4" t="s">
        <v>8</v>
      </c>
    </row>
    <row r="661">
      <c r="A661" s="3" t="s">
        <v>705</v>
      </c>
      <c r="B661" s="4" t="s">
        <v>8</v>
      </c>
    </row>
    <row r="662">
      <c r="A662" s="3" t="s">
        <v>705</v>
      </c>
      <c r="B662" s="4" t="s">
        <v>3</v>
      </c>
    </row>
    <row r="663">
      <c r="A663" s="3" t="s">
        <v>705</v>
      </c>
      <c r="B663" s="4" t="s">
        <v>3</v>
      </c>
    </row>
    <row r="664">
      <c r="A664" s="3" t="s">
        <v>705</v>
      </c>
      <c r="B664" s="4" t="s">
        <v>8</v>
      </c>
    </row>
    <row r="665">
      <c r="A665" s="3" t="s">
        <v>705</v>
      </c>
      <c r="B665" s="4" t="s">
        <v>8</v>
      </c>
    </row>
    <row r="666">
      <c r="A666" s="3" t="s">
        <v>705</v>
      </c>
      <c r="B666" s="4" t="s">
        <v>8</v>
      </c>
    </row>
    <row r="667">
      <c r="A667" s="3" t="s">
        <v>705</v>
      </c>
      <c r="B667" s="4" t="s">
        <v>3</v>
      </c>
    </row>
    <row r="668">
      <c r="A668" s="3" t="s">
        <v>705</v>
      </c>
      <c r="B668" s="4" t="s">
        <v>3</v>
      </c>
    </row>
    <row r="669">
      <c r="A669" s="3" t="s">
        <v>705</v>
      </c>
      <c r="B669" s="4" t="s">
        <v>3</v>
      </c>
    </row>
    <row r="670">
      <c r="A670" s="3" t="s">
        <v>705</v>
      </c>
      <c r="B670" s="4" t="s">
        <v>8</v>
      </c>
    </row>
    <row r="671">
      <c r="A671" s="3" t="s">
        <v>705</v>
      </c>
      <c r="B671" s="4" t="s">
        <v>8</v>
      </c>
    </row>
    <row r="672">
      <c r="A672" s="3" t="s">
        <v>705</v>
      </c>
      <c r="B672" s="4" t="s">
        <v>8</v>
      </c>
    </row>
    <row r="673">
      <c r="A673" s="3" t="s">
        <v>705</v>
      </c>
      <c r="B673" s="4" t="s">
        <v>3</v>
      </c>
    </row>
    <row r="674">
      <c r="A674" s="3" t="s">
        <v>705</v>
      </c>
      <c r="B674" s="4" t="s">
        <v>3</v>
      </c>
    </row>
    <row r="675">
      <c r="A675" s="3" t="s">
        <v>705</v>
      </c>
      <c r="B675" s="4" t="s">
        <v>8</v>
      </c>
    </row>
    <row r="676">
      <c r="A676" s="3" t="s">
        <v>705</v>
      </c>
      <c r="B676" s="4" t="s">
        <v>8</v>
      </c>
    </row>
    <row r="677">
      <c r="A677" s="3" t="s">
        <v>705</v>
      </c>
      <c r="B677" s="4" t="s">
        <v>3</v>
      </c>
    </row>
    <row r="678">
      <c r="A678" s="3" t="s">
        <v>705</v>
      </c>
      <c r="B678" s="4" t="s">
        <v>8</v>
      </c>
    </row>
    <row r="679">
      <c r="A679" s="3" t="s">
        <v>705</v>
      </c>
      <c r="B679" s="4" t="s">
        <v>8</v>
      </c>
    </row>
    <row r="680">
      <c r="A680" s="3" t="s">
        <v>705</v>
      </c>
      <c r="B680" s="4" t="s">
        <v>8</v>
      </c>
    </row>
    <row r="681">
      <c r="A681" s="3" t="s">
        <v>724</v>
      </c>
      <c r="B681" s="4" t="s">
        <v>3</v>
      </c>
    </row>
    <row r="682">
      <c r="A682" s="3" t="s">
        <v>724</v>
      </c>
      <c r="B682" s="4" t="s">
        <v>3</v>
      </c>
    </row>
    <row r="683">
      <c r="A683" s="3" t="s">
        <v>724</v>
      </c>
      <c r="B683" s="4" t="s">
        <v>8</v>
      </c>
    </row>
    <row r="684">
      <c r="A684" s="3" t="s">
        <v>724</v>
      </c>
      <c r="B684" s="4" t="s">
        <v>8</v>
      </c>
    </row>
    <row r="685">
      <c r="A685" s="3" t="s">
        <v>724</v>
      </c>
      <c r="B685" s="4" t="s">
        <v>8</v>
      </c>
    </row>
    <row r="686">
      <c r="A686" s="3" t="s">
        <v>724</v>
      </c>
      <c r="B686" s="4" t="s">
        <v>8</v>
      </c>
    </row>
    <row r="687">
      <c r="A687" s="3" t="s">
        <v>724</v>
      </c>
      <c r="B687" s="4" t="s">
        <v>8</v>
      </c>
    </row>
    <row r="688">
      <c r="A688" s="3" t="s">
        <v>724</v>
      </c>
      <c r="B688" s="4" t="s">
        <v>8</v>
      </c>
    </row>
    <row r="689">
      <c r="A689" s="3" t="s">
        <v>724</v>
      </c>
      <c r="B689" s="4" t="s">
        <v>3</v>
      </c>
    </row>
    <row r="690">
      <c r="A690" s="3" t="s">
        <v>724</v>
      </c>
      <c r="B690" s="4" t="s">
        <v>8</v>
      </c>
    </row>
    <row r="691">
      <c r="A691" s="3" t="s">
        <v>724</v>
      </c>
      <c r="B691" s="4" t="s">
        <v>3</v>
      </c>
    </row>
    <row r="692">
      <c r="A692" s="3" t="s">
        <v>724</v>
      </c>
      <c r="B692" s="4" t="s">
        <v>8</v>
      </c>
    </row>
    <row r="693">
      <c r="A693" s="3" t="s">
        <v>724</v>
      </c>
      <c r="B693" s="4" t="s">
        <v>3</v>
      </c>
    </row>
    <row r="694">
      <c r="A694" s="3" t="s">
        <v>724</v>
      </c>
      <c r="B694" s="4" t="s">
        <v>8</v>
      </c>
    </row>
    <row r="695">
      <c r="A695" s="3" t="s">
        <v>724</v>
      </c>
      <c r="B695" s="4" t="s">
        <v>8</v>
      </c>
    </row>
    <row r="696">
      <c r="A696" s="3" t="s">
        <v>724</v>
      </c>
      <c r="B696" s="4" t="s">
        <v>3</v>
      </c>
    </row>
    <row r="697">
      <c r="A697" s="3" t="s">
        <v>724</v>
      </c>
      <c r="B697" s="4" t="s">
        <v>3</v>
      </c>
    </row>
    <row r="698">
      <c r="A698" s="3" t="s">
        <v>724</v>
      </c>
      <c r="B698" s="4" t="s">
        <v>3</v>
      </c>
    </row>
    <row r="699">
      <c r="A699" s="3" t="s">
        <v>724</v>
      </c>
      <c r="B699" s="4" t="s">
        <v>8</v>
      </c>
    </row>
    <row r="700">
      <c r="A700" s="3" t="s">
        <v>724</v>
      </c>
      <c r="B700" s="4" t="s">
        <v>3</v>
      </c>
    </row>
    <row r="701">
      <c r="A701" s="3" t="s">
        <v>742</v>
      </c>
      <c r="B701" s="4" t="s">
        <v>3</v>
      </c>
    </row>
    <row r="702">
      <c r="A702" s="3" t="s">
        <v>742</v>
      </c>
      <c r="B702" s="4" t="s">
        <v>3</v>
      </c>
    </row>
    <row r="703">
      <c r="A703" s="3" t="s">
        <v>742</v>
      </c>
      <c r="B703" s="4" t="s">
        <v>3</v>
      </c>
    </row>
    <row r="704">
      <c r="A704" s="3" t="s">
        <v>742</v>
      </c>
      <c r="B704" s="4" t="s">
        <v>8</v>
      </c>
    </row>
    <row r="705">
      <c r="A705" s="3" t="s">
        <v>742</v>
      </c>
      <c r="B705" s="4" t="s">
        <v>3</v>
      </c>
    </row>
    <row r="706">
      <c r="A706" s="3" t="s">
        <v>742</v>
      </c>
      <c r="B706" s="4" t="s">
        <v>8</v>
      </c>
    </row>
    <row r="707">
      <c r="A707" s="3" t="s">
        <v>742</v>
      </c>
      <c r="B707" s="4" t="s">
        <v>8</v>
      </c>
    </row>
    <row r="708">
      <c r="A708" s="3" t="s">
        <v>742</v>
      </c>
      <c r="B708" s="4" t="s">
        <v>8</v>
      </c>
    </row>
    <row r="709">
      <c r="A709" s="3" t="s">
        <v>742</v>
      </c>
      <c r="B709" s="4" t="s">
        <v>3</v>
      </c>
    </row>
    <row r="710">
      <c r="A710" s="3" t="s">
        <v>742</v>
      </c>
      <c r="B710" s="4" t="s">
        <v>3</v>
      </c>
    </row>
    <row r="711">
      <c r="A711" s="3" t="s">
        <v>742</v>
      </c>
      <c r="B711" s="4" t="s">
        <v>8</v>
      </c>
    </row>
    <row r="712">
      <c r="A712" s="3" t="s">
        <v>742</v>
      </c>
      <c r="B712" s="4" t="s">
        <v>8</v>
      </c>
    </row>
    <row r="713">
      <c r="A713" s="3" t="s">
        <v>742</v>
      </c>
      <c r="B713" s="4" t="s">
        <v>8</v>
      </c>
    </row>
    <row r="714">
      <c r="A714" s="3" t="s">
        <v>742</v>
      </c>
      <c r="B714" s="4" t="s">
        <v>8</v>
      </c>
    </row>
    <row r="715">
      <c r="A715" s="3" t="s">
        <v>742</v>
      </c>
      <c r="B715" s="4" t="s">
        <v>3</v>
      </c>
    </row>
    <row r="716">
      <c r="A716" s="3" t="s">
        <v>742</v>
      </c>
      <c r="B716" s="4" t="s">
        <v>8</v>
      </c>
    </row>
    <row r="717">
      <c r="A717" s="3" t="s">
        <v>742</v>
      </c>
      <c r="B717" s="4" t="s">
        <v>3</v>
      </c>
    </row>
    <row r="718">
      <c r="A718" s="3" t="s">
        <v>742</v>
      </c>
      <c r="B718" s="4" t="s">
        <v>3</v>
      </c>
    </row>
    <row r="719">
      <c r="A719" s="3" t="s">
        <v>742</v>
      </c>
      <c r="B719" s="4" t="s">
        <v>8</v>
      </c>
    </row>
    <row r="720">
      <c r="A720" s="3" t="s">
        <v>742</v>
      </c>
      <c r="B720" s="4" t="s">
        <v>3</v>
      </c>
    </row>
    <row r="721">
      <c r="A721" s="3" t="s">
        <v>760</v>
      </c>
      <c r="B721" s="4" t="s">
        <v>8</v>
      </c>
    </row>
    <row r="722">
      <c r="A722" s="3" t="s">
        <v>760</v>
      </c>
      <c r="B722" s="4" t="s">
        <v>3</v>
      </c>
    </row>
    <row r="723">
      <c r="A723" s="3" t="s">
        <v>760</v>
      </c>
      <c r="B723" s="4" t="s">
        <v>3</v>
      </c>
    </row>
    <row r="724">
      <c r="A724" s="3" t="s">
        <v>760</v>
      </c>
      <c r="B724" s="4" t="s">
        <v>3</v>
      </c>
    </row>
    <row r="725">
      <c r="A725" s="3" t="s">
        <v>760</v>
      </c>
      <c r="B725" s="4" t="s">
        <v>3</v>
      </c>
    </row>
    <row r="726">
      <c r="A726" s="3" t="s">
        <v>760</v>
      </c>
      <c r="B726" s="4" t="s">
        <v>3</v>
      </c>
    </row>
    <row r="727">
      <c r="A727" s="3" t="s">
        <v>760</v>
      </c>
      <c r="B727" s="4" t="s">
        <v>8</v>
      </c>
    </row>
    <row r="728">
      <c r="A728" s="3" t="s">
        <v>760</v>
      </c>
      <c r="B728" s="4" t="s">
        <v>8</v>
      </c>
    </row>
    <row r="729">
      <c r="A729" s="3" t="s">
        <v>760</v>
      </c>
      <c r="B729" s="4" t="s">
        <v>3</v>
      </c>
    </row>
    <row r="730">
      <c r="A730" s="3" t="s">
        <v>760</v>
      </c>
      <c r="B730" s="4" t="s">
        <v>3</v>
      </c>
    </row>
    <row r="731">
      <c r="A731" s="3" t="s">
        <v>760</v>
      </c>
      <c r="B731" s="4" t="s">
        <v>3</v>
      </c>
    </row>
    <row r="732">
      <c r="A732" s="3" t="s">
        <v>760</v>
      </c>
      <c r="B732" s="4" t="s">
        <v>3</v>
      </c>
    </row>
    <row r="733">
      <c r="A733" s="3" t="s">
        <v>760</v>
      </c>
      <c r="B733" s="4" t="s">
        <v>8</v>
      </c>
    </row>
    <row r="734">
      <c r="A734" s="3" t="s">
        <v>760</v>
      </c>
      <c r="B734" s="4" t="s">
        <v>8</v>
      </c>
    </row>
    <row r="735">
      <c r="A735" s="3" t="s">
        <v>760</v>
      </c>
      <c r="B735" s="4" t="s">
        <v>8</v>
      </c>
    </row>
    <row r="736">
      <c r="A736" s="3" t="s">
        <v>760</v>
      </c>
      <c r="B736" s="4" t="s">
        <v>8</v>
      </c>
    </row>
    <row r="737">
      <c r="A737" s="3" t="s">
        <v>760</v>
      </c>
      <c r="B737" s="4" t="s">
        <v>3</v>
      </c>
    </row>
    <row r="738">
      <c r="A738" s="3" t="s">
        <v>760</v>
      </c>
      <c r="B738" s="4" t="s">
        <v>8</v>
      </c>
    </row>
    <row r="739">
      <c r="A739" s="3" t="s">
        <v>760</v>
      </c>
      <c r="B739" s="4" t="s">
        <v>3</v>
      </c>
    </row>
    <row r="740">
      <c r="A740" s="3" t="s">
        <v>760</v>
      </c>
      <c r="B740" s="4" t="s">
        <v>3</v>
      </c>
    </row>
    <row r="741">
      <c r="A741" s="3" t="s">
        <v>779</v>
      </c>
      <c r="B741" s="4" t="s">
        <v>3</v>
      </c>
    </row>
    <row r="742">
      <c r="A742" s="3" t="s">
        <v>779</v>
      </c>
      <c r="B742" s="4" t="s">
        <v>8</v>
      </c>
    </row>
    <row r="743">
      <c r="A743" s="3" t="s">
        <v>779</v>
      </c>
      <c r="B743" s="4" t="s">
        <v>8</v>
      </c>
    </row>
    <row r="744">
      <c r="A744" s="3" t="s">
        <v>779</v>
      </c>
      <c r="B744" s="4" t="s">
        <v>8</v>
      </c>
    </row>
    <row r="745">
      <c r="A745" s="3" t="s">
        <v>779</v>
      </c>
      <c r="B745" s="4" t="s">
        <v>8</v>
      </c>
    </row>
    <row r="746">
      <c r="A746" s="3" t="s">
        <v>779</v>
      </c>
      <c r="B746" s="4" t="s">
        <v>8</v>
      </c>
    </row>
    <row r="747">
      <c r="A747" s="3" t="s">
        <v>779</v>
      </c>
      <c r="B747" s="4" t="s">
        <v>3</v>
      </c>
    </row>
    <row r="748">
      <c r="A748" s="3" t="s">
        <v>779</v>
      </c>
      <c r="B748" s="4" t="s">
        <v>8</v>
      </c>
    </row>
    <row r="749">
      <c r="A749" s="3" t="s">
        <v>779</v>
      </c>
      <c r="B749" s="4" t="s">
        <v>3</v>
      </c>
    </row>
    <row r="750">
      <c r="A750" s="3" t="s">
        <v>779</v>
      </c>
      <c r="B750" s="4" t="s">
        <v>8</v>
      </c>
    </row>
    <row r="751">
      <c r="A751" s="3" t="s">
        <v>779</v>
      </c>
      <c r="B751" s="4" t="s">
        <v>3</v>
      </c>
    </row>
    <row r="752">
      <c r="A752" s="3" t="s">
        <v>779</v>
      </c>
      <c r="B752" s="4" t="s">
        <v>8</v>
      </c>
    </row>
    <row r="753">
      <c r="A753" s="3" t="s">
        <v>779</v>
      </c>
      <c r="B753" s="4" t="s">
        <v>3</v>
      </c>
    </row>
    <row r="754">
      <c r="A754" s="3" t="s">
        <v>779</v>
      </c>
      <c r="B754" s="4" t="s">
        <v>3</v>
      </c>
    </row>
    <row r="755">
      <c r="A755" s="3" t="s">
        <v>779</v>
      </c>
      <c r="B755" s="4" t="s">
        <v>3</v>
      </c>
    </row>
    <row r="756">
      <c r="A756" s="3" t="s">
        <v>779</v>
      </c>
      <c r="B756" s="4" t="s">
        <v>8</v>
      </c>
    </row>
    <row r="757">
      <c r="A757" s="3" t="s">
        <v>779</v>
      </c>
      <c r="B757" s="4" t="s">
        <v>8</v>
      </c>
    </row>
    <row r="758">
      <c r="A758" s="3" t="s">
        <v>779</v>
      </c>
      <c r="B758" s="4" t="s">
        <v>3</v>
      </c>
    </row>
    <row r="759">
      <c r="A759" s="3" t="s">
        <v>779</v>
      </c>
      <c r="B759" s="4" t="s">
        <v>3</v>
      </c>
    </row>
    <row r="760">
      <c r="A760" s="3" t="s">
        <v>779</v>
      </c>
      <c r="B760" s="4" t="s">
        <v>8</v>
      </c>
    </row>
    <row r="761">
      <c r="A761" s="3" t="s">
        <v>797</v>
      </c>
      <c r="B761" s="4" t="s">
        <v>3</v>
      </c>
    </row>
    <row r="762">
      <c r="A762" s="3" t="s">
        <v>797</v>
      </c>
      <c r="B762" s="4" t="s">
        <v>3</v>
      </c>
    </row>
    <row r="763">
      <c r="A763" s="3" t="s">
        <v>797</v>
      </c>
      <c r="B763" s="4" t="s">
        <v>8</v>
      </c>
    </row>
    <row r="764">
      <c r="A764" s="3" t="s">
        <v>797</v>
      </c>
      <c r="B764" s="4" t="s">
        <v>8</v>
      </c>
    </row>
    <row r="765">
      <c r="A765" s="3" t="s">
        <v>797</v>
      </c>
      <c r="B765" s="4" t="s">
        <v>3</v>
      </c>
    </row>
    <row r="766">
      <c r="A766" s="3" t="s">
        <v>797</v>
      </c>
      <c r="B766" s="4" t="s">
        <v>8</v>
      </c>
    </row>
    <row r="767">
      <c r="A767" s="3" t="s">
        <v>797</v>
      </c>
      <c r="B767" s="4" t="s">
        <v>3</v>
      </c>
    </row>
    <row r="768">
      <c r="A768" s="3" t="s">
        <v>797</v>
      </c>
      <c r="B768" s="4" t="s">
        <v>3</v>
      </c>
    </row>
    <row r="769">
      <c r="A769" s="3" t="s">
        <v>797</v>
      </c>
      <c r="B769" s="4" t="s">
        <v>3</v>
      </c>
    </row>
    <row r="770">
      <c r="A770" s="3" t="s">
        <v>797</v>
      </c>
      <c r="B770" s="4" t="s">
        <v>3</v>
      </c>
    </row>
    <row r="771">
      <c r="A771" s="3" t="s">
        <v>797</v>
      </c>
      <c r="B771" s="4" t="s">
        <v>8</v>
      </c>
    </row>
    <row r="772">
      <c r="A772" s="3" t="s">
        <v>797</v>
      </c>
      <c r="B772" s="4" t="s">
        <v>8</v>
      </c>
    </row>
    <row r="773">
      <c r="A773" s="3" t="s">
        <v>797</v>
      </c>
      <c r="B773" s="4" t="s">
        <v>3</v>
      </c>
    </row>
    <row r="774">
      <c r="A774" s="3" t="s">
        <v>797</v>
      </c>
      <c r="B774" s="4" t="s">
        <v>3</v>
      </c>
    </row>
    <row r="775">
      <c r="A775" s="3" t="s">
        <v>797</v>
      </c>
      <c r="B775" s="4" t="s">
        <v>3</v>
      </c>
    </row>
    <row r="776">
      <c r="A776" s="3" t="s">
        <v>797</v>
      </c>
      <c r="B776" s="4" t="s">
        <v>3</v>
      </c>
    </row>
    <row r="777">
      <c r="A777" s="3" t="s">
        <v>797</v>
      </c>
      <c r="B777" s="4" t="s">
        <v>3</v>
      </c>
    </row>
    <row r="778">
      <c r="A778" s="3" t="s">
        <v>797</v>
      </c>
      <c r="B778" s="4" t="s">
        <v>8</v>
      </c>
    </row>
    <row r="779">
      <c r="A779" s="3" t="s">
        <v>797</v>
      </c>
      <c r="B779" s="4" t="s">
        <v>8</v>
      </c>
    </row>
    <row r="780">
      <c r="A780" s="3" t="s">
        <v>797</v>
      </c>
      <c r="B780" s="4" t="s">
        <v>8</v>
      </c>
    </row>
    <row r="781">
      <c r="A781" s="3" t="s">
        <v>813</v>
      </c>
      <c r="B781" s="4" t="s">
        <v>3</v>
      </c>
    </row>
    <row r="782">
      <c r="A782" s="3" t="s">
        <v>813</v>
      </c>
      <c r="B782" s="4" t="s">
        <v>3</v>
      </c>
    </row>
    <row r="783">
      <c r="A783" s="3" t="s">
        <v>813</v>
      </c>
      <c r="B783" s="4" t="s">
        <v>3</v>
      </c>
    </row>
    <row r="784">
      <c r="A784" s="3" t="s">
        <v>813</v>
      </c>
      <c r="B784" s="4" t="s">
        <v>3</v>
      </c>
    </row>
    <row r="785">
      <c r="A785" s="3" t="s">
        <v>813</v>
      </c>
      <c r="B785" s="4" t="s">
        <v>3</v>
      </c>
    </row>
    <row r="786">
      <c r="A786" s="3" t="s">
        <v>813</v>
      </c>
      <c r="B786" s="4" t="s">
        <v>8</v>
      </c>
    </row>
    <row r="787">
      <c r="A787" s="3" t="s">
        <v>813</v>
      </c>
      <c r="B787" s="4" t="s">
        <v>3</v>
      </c>
    </row>
    <row r="788">
      <c r="A788" s="3" t="s">
        <v>813</v>
      </c>
      <c r="B788" s="4" t="s">
        <v>8</v>
      </c>
    </row>
    <row r="789">
      <c r="A789" s="3" t="s">
        <v>813</v>
      </c>
      <c r="B789" s="4" t="s">
        <v>3</v>
      </c>
    </row>
    <row r="790">
      <c r="A790" s="3" t="s">
        <v>813</v>
      </c>
      <c r="B790" s="4" t="s">
        <v>8</v>
      </c>
    </row>
    <row r="791">
      <c r="A791" s="3" t="s">
        <v>813</v>
      </c>
      <c r="B791" s="4" t="s">
        <v>8</v>
      </c>
    </row>
    <row r="792">
      <c r="A792" s="3" t="s">
        <v>813</v>
      </c>
      <c r="B792" s="4" t="s">
        <v>8</v>
      </c>
    </row>
    <row r="793">
      <c r="A793" s="3" t="s">
        <v>813</v>
      </c>
      <c r="B793" s="4" t="s">
        <v>3</v>
      </c>
    </row>
    <row r="794">
      <c r="A794" s="3" t="s">
        <v>813</v>
      </c>
      <c r="B794" s="4" t="s">
        <v>3</v>
      </c>
    </row>
    <row r="795">
      <c r="A795" s="3" t="s">
        <v>813</v>
      </c>
      <c r="B795" s="4" t="s">
        <v>8</v>
      </c>
    </row>
    <row r="796">
      <c r="A796" s="3" t="s">
        <v>813</v>
      </c>
      <c r="B796" s="4" t="s">
        <v>8</v>
      </c>
    </row>
    <row r="797">
      <c r="A797" s="3" t="s">
        <v>813</v>
      </c>
      <c r="B797" s="4" t="s">
        <v>8</v>
      </c>
    </row>
    <row r="798">
      <c r="A798" s="3" t="s">
        <v>813</v>
      </c>
      <c r="B798" s="4" t="s">
        <v>8</v>
      </c>
    </row>
    <row r="799">
      <c r="A799" s="3" t="s">
        <v>813</v>
      </c>
      <c r="B799" s="4" t="s">
        <v>3</v>
      </c>
    </row>
    <row r="800">
      <c r="A800" s="3" t="s">
        <v>813</v>
      </c>
      <c r="B800" s="4" t="s">
        <v>3</v>
      </c>
    </row>
    <row r="801">
      <c r="A801" s="3" t="s">
        <v>833</v>
      </c>
      <c r="B801" s="4" t="s">
        <v>8</v>
      </c>
    </row>
    <row r="802">
      <c r="A802" s="3" t="s">
        <v>833</v>
      </c>
      <c r="B802" s="4" t="s">
        <v>3</v>
      </c>
    </row>
    <row r="803">
      <c r="A803" s="3" t="s">
        <v>833</v>
      </c>
      <c r="B803" s="4" t="s">
        <v>8</v>
      </c>
    </row>
    <row r="804">
      <c r="A804" s="3" t="s">
        <v>833</v>
      </c>
      <c r="B804" s="4" t="s">
        <v>3</v>
      </c>
    </row>
    <row r="805">
      <c r="A805" s="3" t="s">
        <v>833</v>
      </c>
      <c r="B805" s="4" t="s">
        <v>8</v>
      </c>
    </row>
    <row r="806">
      <c r="A806" s="3" t="s">
        <v>833</v>
      </c>
      <c r="B806" s="4" t="s">
        <v>8</v>
      </c>
    </row>
    <row r="807">
      <c r="A807" s="3" t="s">
        <v>833</v>
      </c>
      <c r="B807" s="4" t="s">
        <v>3</v>
      </c>
    </row>
    <row r="808">
      <c r="A808" s="3" t="s">
        <v>833</v>
      </c>
      <c r="B808" s="4" t="s">
        <v>3</v>
      </c>
    </row>
    <row r="809">
      <c r="A809" s="3" t="s">
        <v>833</v>
      </c>
      <c r="B809" s="4" t="s">
        <v>3</v>
      </c>
    </row>
    <row r="810">
      <c r="A810" s="3" t="s">
        <v>833</v>
      </c>
      <c r="B810" s="4" t="s">
        <v>3</v>
      </c>
    </row>
    <row r="811">
      <c r="A811" s="3" t="s">
        <v>833</v>
      </c>
      <c r="B811" s="4" t="s">
        <v>3</v>
      </c>
    </row>
    <row r="812">
      <c r="A812" s="3" t="s">
        <v>833</v>
      </c>
      <c r="B812" s="4" t="s">
        <v>8</v>
      </c>
    </row>
    <row r="813">
      <c r="A813" s="3" t="s">
        <v>833</v>
      </c>
      <c r="B813" s="4" t="s">
        <v>3</v>
      </c>
    </row>
    <row r="814">
      <c r="A814" s="3" t="s">
        <v>833</v>
      </c>
      <c r="B814" s="4" t="s">
        <v>8</v>
      </c>
    </row>
    <row r="815">
      <c r="A815" s="3" t="s">
        <v>833</v>
      </c>
      <c r="B815" s="4" t="s">
        <v>8</v>
      </c>
    </row>
    <row r="816">
      <c r="A816" s="3" t="s">
        <v>833</v>
      </c>
      <c r="B816" s="4" t="s">
        <v>3</v>
      </c>
    </row>
    <row r="817">
      <c r="A817" s="3" t="s">
        <v>833</v>
      </c>
      <c r="B817" s="4" t="s">
        <v>8</v>
      </c>
    </row>
    <row r="818">
      <c r="A818" s="3" t="s">
        <v>833</v>
      </c>
      <c r="B818" s="4" t="s">
        <v>8</v>
      </c>
    </row>
    <row r="819">
      <c r="A819" s="3" t="s">
        <v>833</v>
      </c>
      <c r="B819" s="4" t="s">
        <v>3</v>
      </c>
    </row>
    <row r="820">
      <c r="A820" s="3" t="s">
        <v>833</v>
      </c>
      <c r="B820" s="4" t="s">
        <v>3</v>
      </c>
    </row>
    <row r="821">
      <c r="A821" s="3" t="s">
        <v>850</v>
      </c>
      <c r="B821" s="4" t="s">
        <v>3</v>
      </c>
    </row>
    <row r="822">
      <c r="A822" s="3" t="s">
        <v>850</v>
      </c>
      <c r="B822" s="4" t="s">
        <v>3</v>
      </c>
    </row>
    <row r="823">
      <c r="A823" s="3" t="s">
        <v>850</v>
      </c>
      <c r="B823" s="4" t="s">
        <v>3</v>
      </c>
    </row>
    <row r="824">
      <c r="A824" s="3" t="s">
        <v>850</v>
      </c>
      <c r="B824" s="4" t="s">
        <v>3</v>
      </c>
    </row>
    <row r="825">
      <c r="A825" s="3" t="s">
        <v>850</v>
      </c>
      <c r="B825" s="4" t="s">
        <v>8</v>
      </c>
    </row>
    <row r="826">
      <c r="A826" s="3" t="s">
        <v>850</v>
      </c>
      <c r="B826" s="4" t="s">
        <v>8</v>
      </c>
    </row>
    <row r="827">
      <c r="A827" s="3" t="s">
        <v>850</v>
      </c>
      <c r="B827" s="4" t="s">
        <v>8</v>
      </c>
    </row>
    <row r="828">
      <c r="A828" s="3" t="s">
        <v>850</v>
      </c>
      <c r="B828" s="4" t="s">
        <v>3</v>
      </c>
    </row>
    <row r="829">
      <c r="A829" s="3" t="s">
        <v>850</v>
      </c>
      <c r="B829" s="4" t="s">
        <v>8</v>
      </c>
    </row>
    <row r="830">
      <c r="A830" s="3" t="s">
        <v>850</v>
      </c>
      <c r="B830" s="4" t="s">
        <v>3</v>
      </c>
    </row>
    <row r="831">
      <c r="A831" s="3" t="s">
        <v>850</v>
      </c>
      <c r="B831" s="4" t="s">
        <v>3</v>
      </c>
    </row>
    <row r="832">
      <c r="A832" s="3" t="s">
        <v>850</v>
      </c>
      <c r="B832" s="4" t="s">
        <v>3</v>
      </c>
    </row>
    <row r="833">
      <c r="A833" s="3" t="s">
        <v>850</v>
      </c>
      <c r="B833" s="4" t="s">
        <v>8</v>
      </c>
    </row>
    <row r="834">
      <c r="A834" s="3" t="s">
        <v>850</v>
      </c>
      <c r="B834" s="4" t="s">
        <v>3</v>
      </c>
    </row>
    <row r="835">
      <c r="A835" s="3" t="s">
        <v>850</v>
      </c>
      <c r="B835" s="4" t="s">
        <v>3</v>
      </c>
    </row>
    <row r="836">
      <c r="A836" s="3" t="s">
        <v>850</v>
      </c>
      <c r="B836" s="4" t="s">
        <v>8</v>
      </c>
    </row>
    <row r="837">
      <c r="A837" s="3" t="s">
        <v>850</v>
      </c>
      <c r="B837" s="4" t="s">
        <v>3</v>
      </c>
    </row>
    <row r="838">
      <c r="A838" s="3" t="s">
        <v>850</v>
      </c>
      <c r="B838" s="4" t="s">
        <v>8</v>
      </c>
    </row>
    <row r="839">
      <c r="A839" s="3" t="s">
        <v>850</v>
      </c>
      <c r="B839" s="4" t="s">
        <v>3</v>
      </c>
    </row>
    <row r="840">
      <c r="A840" s="3" t="s">
        <v>850</v>
      </c>
      <c r="B840" s="4" t="s">
        <v>8</v>
      </c>
    </row>
    <row r="841">
      <c r="A841" s="3" t="s">
        <v>868</v>
      </c>
      <c r="B841" s="4" t="s">
        <v>8</v>
      </c>
    </row>
    <row r="842">
      <c r="A842" s="3" t="s">
        <v>868</v>
      </c>
      <c r="B842" s="4" t="s">
        <v>3</v>
      </c>
    </row>
    <row r="843">
      <c r="A843" s="3" t="s">
        <v>868</v>
      </c>
      <c r="B843" s="4" t="s">
        <v>8</v>
      </c>
    </row>
    <row r="844">
      <c r="A844" s="3" t="s">
        <v>868</v>
      </c>
      <c r="B844" s="4" t="s">
        <v>3</v>
      </c>
    </row>
    <row r="845">
      <c r="A845" s="3" t="s">
        <v>868</v>
      </c>
      <c r="B845" s="4" t="s">
        <v>8</v>
      </c>
    </row>
    <row r="846">
      <c r="A846" s="3" t="s">
        <v>868</v>
      </c>
      <c r="B846" s="4" t="s">
        <v>3</v>
      </c>
    </row>
    <row r="847">
      <c r="A847" s="3" t="s">
        <v>868</v>
      </c>
      <c r="B847" s="4" t="s">
        <v>8</v>
      </c>
    </row>
    <row r="848">
      <c r="A848" s="3" t="s">
        <v>868</v>
      </c>
      <c r="B848" s="4" t="s">
        <v>8</v>
      </c>
    </row>
    <row r="849">
      <c r="A849" s="3" t="s">
        <v>868</v>
      </c>
      <c r="B849" s="4" t="s">
        <v>3</v>
      </c>
    </row>
    <row r="850">
      <c r="A850" s="3" t="s">
        <v>868</v>
      </c>
      <c r="B850" s="4" t="s">
        <v>3</v>
      </c>
    </row>
    <row r="851">
      <c r="A851" s="3" t="s">
        <v>868</v>
      </c>
      <c r="B851" s="4" t="s">
        <v>8</v>
      </c>
    </row>
    <row r="852">
      <c r="A852" s="3" t="s">
        <v>868</v>
      </c>
      <c r="B852" s="4" t="s">
        <v>3</v>
      </c>
    </row>
    <row r="853">
      <c r="A853" s="3" t="s">
        <v>868</v>
      </c>
      <c r="B853" s="4" t="s">
        <v>3</v>
      </c>
    </row>
    <row r="854">
      <c r="A854" s="3" t="s">
        <v>868</v>
      </c>
      <c r="B854" s="4" t="s">
        <v>8</v>
      </c>
    </row>
    <row r="855">
      <c r="A855" s="3" t="s">
        <v>868</v>
      </c>
      <c r="B855" s="4" t="s">
        <v>8</v>
      </c>
    </row>
    <row r="856">
      <c r="A856" s="3" t="s">
        <v>868</v>
      </c>
      <c r="B856" s="4" t="s">
        <v>3</v>
      </c>
    </row>
    <row r="857">
      <c r="A857" s="3" t="s">
        <v>868</v>
      </c>
      <c r="B857" s="4" t="s">
        <v>8</v>
      </c>
    </row>
    <row r="858">
      <c r="A858" s="3" t="s">
        <v>868</v>
      </c>
      <c r="B858" s="4" t="s">
        <v>3</v>
      </c>
    </row>
    <row r="859">
      <c r="A859" s="3" t="s">
        <v>868</v>
      </c>
      <c r="B859" s="4" t="s">
        <v>8</v>
      </c>
    </row>
    <row r="860">
      <c r="A860" s="3" t="s">
        <v>868</v>
      </c>
      <c r="B860" s="4" t="s">
        <v>8</v>
      </c>
    </row>
    <row r="861">
      <c r="A861" s="3" t="s">
        <v>888</v>
      </c>
      <c r="B861" s="4" t="s">
        <v>8</v>
      </c>
    </row>
    <row r="862">
      <c r="A862" s="3" t="s">
        <v>888</v>
      </c>
      <c r="B862" s="4" t="s">
        <v>8</v>
      </c>
    </row>
    <row r="863">
      <c r="A863" s="3" t="s">
        <v>888</v>
      </c>
      <c r="B863" s="4" t="s">
        <v>3</v>
      </c>
    </row>
    <row r="864">
      <c r="A864" s="3" t="s">
        <v>888</v>
      </c>
      <c r="B864" s="4" t="s">
        <v>3</v>
      </c>
    </row>
    <row r="865">
      <c r="A865" s="3" t="s">
        <v>888</v>
      </c>
      <c r="B865" s="4" t="s">
        <v>3</v>
      </c>
    </row>
    <row r="866">
      <c r="A866" s="3" t="s">
        <v>888</v>
      </c>
      <c r="B866" s="4" t="s">
        <v>8</v>
      </c>
    </row>
    <row r="867">
      <c r="A867" s="3" t="s">
        <v>888</v>
      </c>
      <c r="B867" s="4" t="s">
        <v>3</v>
      </c>
    </row>
    <row r="868">
      <c r="A868" s="3" t="s">
        <v>888</v>
      </c>
      <c r="B868" s="4" t="s">
        <v>8</v>
      </c>
    </row>
    <row r="869">
      <c r="A869" s="3" t="s">
        <v>888</v>
      </c>
      <c r="B869" s="4" t="s">
        <v>3</v>
      </c>
    </row>
    <row r="870">
      <c r="A870" s="3" t="s">
        <v>888</v>
      </c>
      <c r="B870" s="4" t="s">
        <v>3</v>
      </c>
    </row>
    <row r="871">
      <c r="A871" s="3" t="s">
        <v>888</v>
      </c>
      <c r="B871" s="4" t="s">
        <v>3</v>
      </c>
    </row>
    <row r="872">
      <c r="A872" s="3" t="s">
        <v>888</v>
      </c>
      <c r="B872" s="4" t="s">
        <v>3</v>
      </c>
    </row>
    <row r="873">
      <c r="A873" s="3" t="s">
        <v>888</v>
      </c>
      <c r="B873" s="4" t="s">
        <v>8</v>
      </c>
    </row>
    <row r="874">
      <c r="A874" s="3" t="s">
        <v>888</v>
      </c>
      <c r="B874" s="4" t="s">
        <v>8</v>
      </c>
    </row>
    <row r="875">
      <c r="A875" s="3" t="s">
        <v>888</v>
      </c>
      <c r="B875" s="4" t="s">
        <v>8</v>
      </c>
    </row>
    <row r="876">
      <c r="A876" s="3" t="s">
        <v>888</v>
      </c>
      <c r="B876" s="4" t="s">
        <v>3</v>
      </c>
    </row>
    <row r="877">
      <c r="A877" s="3" t="s">
        <v>888</v>
      </c>
      <c r="B877" s="4" t="s">
        <v>3</v>
      </c>
    </row>
    <row r="878">
      <c r="A878" s="3" t="s">
        <v>888</v>
      </c>
      <c r="B878" s="4" t="s">
        <v>3</v>
      </c>
    </row>
    <row r="879">
      <c r="A879" s="3" t="s">
        <v>888</v>
      </c>
      <c r="B879" s="4" t="s">
        <v>8</v>
      </c>
    </row>
    <row r="880">
      <c r="A880" s="3" t="s">
        <v>888</v>
      </c>
      <c r="B880" s="4" t="s">
        <v>8</v>
      </c>
    </row>
    <row r="881">
      <c r="A881" s="3" t="s">
        <v>909</v>
      </c>
      <c r="B881" s="4" t="s">
        <v>3</v>
      </c>
    </row>
    <row r="882">
      <c r="A882" s="3" t="s">
        <v>909</v>
      </c>
      <c r="B882" s="4" t="s">
        <v>3</v>
      </c>
    </row>
    <row r="883">
      <c r="A883" s="3" t="s">
        <v>909</v>
      </c>
      <c r="B883" s="4" t="s">
        <v>8</v>
      </c>
    </row>
    <row r="884">
      <c r="A884" s="3" t="s">
        <v>909</v>
      </c>
      <c r="B884" s="4" t="s">
        <v>3</v>
      </c>
    </row>
    <row r="885">
      <c r="A885" s="3" t="s">
        <v>909</v>
      </c>
      <c r="B885" s="4" t="s">
        <v>3</v>
      </c>
    </row>
    <row r="886">
      <c r="A886" s="3" t="s">
        <v>909</v>
      </c>
      <c r="B886" s="4" t="s">
        <v>8</v>
      </c>
    </row>
    <row r="887">
      <c r="A887" s="3" t="s">
        <v>909</v>
      </c>
      <c r="B887" s="4" t="s">
        <v>8</v>
      </c>
    </row>
    <row r="888">
      <c r="A888" s="3" t="s">
        <v>909</v>
      </c>
      <c r="B888" s="4" t="s">
        <v>8</v>
      </c>
    </row>
    <row r="889">
      <c r="A889" s="3" t="s">
        <v>909</v>
      </c>
      <c r="B889" s="4" t="s">
        <v>3</v>
      </c>
    </row>
    <row r="890">
      <c r="A890" s="3" t="s">
        <v>909</v>
      </c>
      <c r="B890" s="4" t="s">
        <v>8</v>
      </c>
    </row>
    <row r="891">
      <c r="A891" s="3" t="s">
        <v>909</v>
      </c>
      <c r="B891" s="4" t="s">
        <v>3</v>
      </c>
    </row>
    <row r="892">
      <c r="A892" s="3" t="s">
        <v>909</v>
      </c>
      <c r="B892" s="4" t="s">
        <v>8</v>
      </c>
    </row>
    <row r="893">
      <c r="A893" s="3" t="s">
        <v>909</v>
      </c>
      <c r="B893" s="4" t="s">
        <v>3</v>
      </c>
    </row>
    <row r="894">
      <c r="A894" s="3" t="s">
        <v>909</v>
      </c>
      <c r="B894" s="4" t="s">
        <v>8</v>
      </c>
    </row>
    <row r="895">
      <c r="A895" s="3" t="s">
        <v>909</v>
      </c>
      <c r="B895" s="4" t="s">
        <v>3</v>
      </c>
    </row>
    <row r="896">
      <c r="A896" s="3" t="s">
        <v>909</v>
      </c>
      <c r="B896" s="4" t="s">
        <v>3</v>
      </c>
    </row>
    <row r="897">
      <c r="A897" s="3" t="s">
        <v>909</v>
      </c>
      <c r="B897" s="4" t="s">
        <v>8</v>
      </c>
    </row>
    <row r="898">
      <c r="A898" s="3" t="s">
        <v>909</v>
      </c>
      <c r="B898" s="4" t="s">
        <v>3</v>
      </c>
    </row>
    <row r="899">
      <c r="A899" s="3" t="s">
        <v>909</v>
      </c>
      <c r="B899" s="4" t="s">
        <v>3</v>
      </c>
    </row>
    <row r="900">
      <c r="A900" s="3" t="s">
        <v>909</v>
      </c>
      <c r="B900" s="4" t="s">
        <v>8</v>
      </c>
    </row>
    <row r="901">
      <c r="A901" s="3" t="s">
        <v>928</v>
      </c>
      <c r="B901" s="4" t="s">
        <v>8</v>
      </c>
    </row>
    <row r="902">
      <c r="A902" s="3" t="s">
        <v>928</v>
      </c>
      <c r="B902" s="4" t="s">
        <v>8</v>
      </c>
    </row>
    <row r="903">
      <c r="A903" s="3" t="s">
        <v>928</v>
      </c>
      <c r="B903" s="4" t="s">
        <v>3</v>
      </c>
    </row>
    <row r="904">
      <c r="A904" s="3" t="s">
        <v>928</v>
      </c>
      <c r="B904" s="4" t="s">
        <v>8</v>
      </c>
    </row>
    <row r="905">
      <c r="A905" s="3" t="s">
        <v>928</v>
      </c>
      <c r="B905" s="4" t="s">
        <v>3</v>
      </c>
    </row>
    <row r="906">
      <c r="A906" s="3" t="s">
        <v>928</v>
      </c>
      <c r="B906" s="4" t="s">
        <v>3</v>
      </c>
    </row>
    <row r="907">
      <c r="A907" s="3" t="s">
        <v>928</v>
      </c>
      <c r="B907" s="4" t="s">
        <v>8</v>
      </c>
    </row>
    <row r="908">
      <c r="A908" s="3" t="s">
        <v>928</v>
      </c>
      <c r="B908" s="4" t="s">
        <v>3</v>
      </c>
    </row>
    <row r="909">
      <c r="A909" s="3" t="s">
        <v>928</v>
      </c>
      <c r="B909" s="4" t="s">
        <v>3</v>
      </c>
    </row>
    <row r="910">
      <c r="A910" s="3" t="s">
        <v>928</v>
      </c>
      <c r="B910" s="4" t="s">
        <v>8</v>
      </c>
    </row>
    <row r="911">
      <c r="A911" s="3" t="s">
        <v>928</v>
      </c>
      <c r="B911" s="4" t="s">
        <v>8</v>
      </c>
    </row>
    <row r="912">
      <c r="A912" s="3" t="s">
        <v>928</v>
      </c>
      <c r="B912" s="4" t="s">
        <v>8</v>
      </c>
    </row>
    <row r="913">
      <c r="A913" s="3" t="s">
        <v>928</v>
      </c>
      <c r="B913" s="4" t="s">
        <v>8</v>
      </c>
    </row>
    <row r="914">
      <c r="A914" s="3" t="s">
        <v>928</v>
      </c>
      <c r="B914" s="4" t="s">
        <v>3</v>
      </c>
    </row>
    <row r="915">
      <c r="A915" s="3" t="s">
        <v>928</v>
      </c>
      <c r="B915" s="4" t="s">
        <v>3</v>
      </c>
    </row>
    <row r="916">
      <c r="A916" s="3" t="s">
        <v>928</v>
      </c>
      <c r="B916" s="4" t="s">
        <v>8</v>
      </c>
    </row>
    <row r="917">
      <c r="A917" s="3" t="s">
        <v>928</v>
      </c>
      <c r="B917" s="4" t="s">
        <v>3</v>
      </c>
    </row>
    <row r="918">
      <c r="A918" s="3" t="s">
        <v>928</v>
      </c>
      <c r="B918" s="4" t="s">
        <v>8</v>
      </c>
    </row>
    <row r="919">
      <c r="A919" s="3" t="s">
        <v>928</v>
      </c>
      <c r="B919" s="4" t="s">
        <v>8</v>
      </c>
    </row>
    <row r="920">
      <c r="A920" s="3" t="s">
        <v>928</v>
      </c>
      <c r="B920" s="4" t="s">
        <v>8</v>
      </c>
    </row>
    <row r="921">
      <c r="A921" s="3" t="s">
        <v>948</v>
      </c>
      <c r="B921" s="4" t="s">
        <v>3</v>
      </c>
    </row>
    <row r="922">
      <c r="A922" s="3" t="s">
        <v>948</v>
      </c>
      <c r="B922" s="4" t="s">
        <v>8</v>
      </c>
    </row>
    <row r="923">
      <c r="A923" s="3" t="s">
        <v>948</v>
      </c>
      <c r="B923" s="4" t="s">
        <v>8</v>
      </c>
    </row>
    <row r="924">
      <c r="A924" s="3" t="s">
        <v>948</v>
      </c>
      <c r="B924" s="4" t="s">
        <v>3</v>
      </c>
    </row>
    <row r="925">
      <c r="A925" s="3" t="s">
        <v>948</v>
      </c>
      <c r="B925" s="4" t="s">
        <v>3</v>
      </c>
    </row>
    <row r="926">
      <c r="A926" s="3" t="s">
        <v>948</v>
      </c>
      <c r="B926" s="4" t="s">
        <v>8</v>
      </c>
    </row>
    <row r="927">
      <c r="A927" s="3" t="s">
        <v>948</v>
      </c>
      <c r="B927" s="4" t="s">
        <v>8</v>
      </c>
    </row>
    <row r="928">
      <c r="A928" s="3" t="s">
        <v>948</v>
      </c>
      <c r="B928" s="4" t="s">
        <v>3</v>
      </c>
    </row>
    <row r="929">
      <c r="A929" s="3" t="s">
        <v>948</v>
      </c>
      <c r="B929" s="4" t="s">
        <v>8</v>
      </c>
    </row>
    <row r="930">
      <c r="A930" s="3" t="s">
        <v>948</v>
      </c>
      <c r="B930" s="4" t="s">
        <v>3</v>
      </c>
    </row>
    <row r="931">
      <c r="A931" s="3" t="s">
        <v>948</v>
      </c>
      <c r="B931" s="4" t="s">
        <v>8</v>
      </c>
    </row>
    <row r="932">
      <c r="A932" s="3" t="s">
        <v>948</v>
      </c>
      <c r="B932" s="4" t="s">
        <v>8</v>
      </c>
    </row>
    <row r="933">
      <c r="A933" s="3" t="s">
        <v>948</v>
      </c>
      <c r="B933" s="4" t="s">
        <v>8</v>
      </c>
    </row>
    <row r="934">
      <c r="A934" s="3" t="s">
        <v>948</v>
      </c>
      <c r="B934" s="4" t="s">
        <v>8</v>
      </c>
    </row>
    <row r="935">
      <c r="A935" s="3" t="s">
        <v>948</v>
      </c>
      <c r="B935" s="4" t="s">
        <v>3</v>
      </c>
    </row>
    <row r="936">
      <c r="A936" s="3" t="s">
        <v>948</v>
      </c>
      <c r="B936" s="4" t="s">
        <v>3</v>
      </c>
    </row>
    <row r="937">
      <c r="A937" s="3" t="s">
        <v>948</v>
      </c>
      <c r="B937" s="4" t="s">
        <v>3</v>
      </c>
    </row>
    <row r="938">
      <c r="A938" s="3" t="s">
        <v>948</v>
      </c>
      <c r="B938" s="4" t="s">
        <v>8</v>
      </c>
    </row>
    <row r="939">
      <c r="A939" s="3" t="s">
        <v>948</v>
      </c>
      <c r="B939" s="4" t="s">
        <v>8</v>
      </c>
    </row>
    <row r="940">
      <c r="A940" s="3" t="s">
        <v>948</v>
      </c>
      <c r="B940" s="4" t="s">
        <v>8</v>
      </c>
    </row>
    <row r="941">
      <c r="A941" s="3" t="s">
        <v>965</v>
      </c>
      <c r="B941" s="4" t="s">
        <v>3</v>
      </c>
    </row>
    <row r="942">
      <c r="A942" s="3" t="s">
        <v>965</v>
      </c>
      <c r="B942" s="4" t="s">
        <v>3</v>
      </c>
    </row>
    <row r="943">
      <c r="A943" s="3" t="s">
        <v>965</v>
      </c>
      <c r="B943" s="4" t="s">
        <v>3</v>
      </c>
    </row>
    <row r="944">
      <c r="A944" s="3" t="s">
        <v>965</v>
      </c>
      <c r="B944" s="4" t="s">
        <v>8</v>
      </c>
    </row>
    <row r="945">
      <c r="A945" s="3" t="s">
        <v>965</v>
      </c>
      <c r="B945" s="4" t="s">
        <v>3</v>
      </c>
    </row>
    <row r="946">
      <c r="A946" s="3" t="s">
        <v>965</v>
      </c>
      <c r="B946" s="4" t="s">
        <v>8</v>
      </c>
    </row>
    <row r="947">
      <c r="A947" s="3" t="s">
        <v>965</v>
      </c>
      <c r="B947" s="4" t="s">
        <v>8</v>
      </c>
    </row>
    <row r="948">
      <c r="A948" s="3" t="s">
        <v>965</v>
      </c>
      <c r="B948" s="4" t="s">
        <v>8</v>
      </c>
    </row>
    <row r="949">
      <c r="A949" s="3" t="s">
        <v>965</v>
      </c>
      <c r="B949" s="4" t="s">
        <v>3</v>
      </c>
    </row>
    <row r="950">
      <c r="A950" s="3" t="s">
        <v>965</v>
      </c>
      <c r="B950" s="4" t="s">
        <v>3</v>
      </c>
    </row>
    <row r="951">
      <c r="A951" s="3" t="s">
        <v>965</v>
      </c>
      <c r="B951" s="4" t="s">
        <v>3</v>
      </c>
    </row>
    <row r="952">
      <c r="A952" s="3" t="s">
        <v>965</v>
      </c>
      <c r="B952" s="4" t="s">
        <v>8</v>
      </c>
    </row>
    <row r="953">
      <c r="A953" s="3" t="s">
        <v>965</v>
      </c>
      <c r="B953" s="4" t="s">
        <v>3</v>
      </c>
    </row>
    <row r="954">
      <c r="A954" s="3" t="s">
        <v>965</v>
      </c>
      <c r="B954" s="4" t="s">
        <v>3</v>
      </c>
    </row>
    <row r="955">
      <c r="A955" s="3" t="s">
        <v>965</v>
      </c>
      <c r="B955" s="4" t="s">
        <v>3</v>
      </c>
    </row>
    <row r="956">
      <c r="A956" s="3" t="s">
        <v>965</v>
      </c>
      <c r="B956" s="4" t="s">
        <v>3</v>
      </c>
    </row>
    <row r="957">
      <c r="A957" s="3" t="s">
        <v>965</v>
      </c>
      <c r="B957" s="4" t="s">
        <v>3</v>
      </c>
    </row>
    <row r="958">
      <c r="A958" s="3" t="s">
        <v>965</v>
      </c>
      <c r="B958" s="4" t="s">
        <v>8</v>
      </c>
    </row>
    <row r="959">
      <c r="A959" s="3" t="s">
        <v>965</v>
      </c>
      <c r="B959" s="4" t="s">
        <v>8</v>
      </c>
    </row>
    <row r="960">
      <c r="A960" s="3" t="s">
        <v>965</v>
      </c>
      <c r="B960" s="4" t="s">
        <v>3</v>
      </c>
    </row>
    <row r="961">
      <c r="A961" s="3" t="s">
        <v>981</v>
      </c>
      <c r="B961" s="4" t="s">
        <v>3</v>
      </c>
    </row>
    <row r="962">
      <c r="A962" s="3" t="s">
        <v>981</v>
      </c>
      <c r="B962" s="4" t="s">
        <v>8</v>
      </c>
    </row>
    <row r="963">
      <c r="A963" s="3" t="s">
        <v>981</v>
      </c>
      <c r="B963" s="4" t="s">
        <v>8</v>
      </c>
    </row>
    <row r="964">
      <c r="A964" s="3" t="s">
        <v>981</v>
      </c>
      <c r="B964" s="4" t="s">
        <v>8</v>
      </c>
    </row>
    <row r="965">
      <c r="A965" s="3" t="s">
        <v>981</v>
      </c>
      <c r="B965" s="4" t="s">
        <v>3</v>
      </c>
    </row>
    <row r="966">
      <c r="A966" s="3" t="s">
        <v>981</v>
      </c>
      <c r="B966" s="4" t="s">
        <v>8</v>
      </c>
    </row>
    <row r="967">
      <c r="A967" s="3" t="s">
        <v>981</v>
      </c>
      <c r="B967" s="4" t="s">
        <v>3</v>
      </c>
    </row>
    <row r="968">
      <c r="A968" s="3" t="s">
        <v>981</v>
      </c>
      <c r="B968" s="4" t="s">
        <v>8</v>
      </c>
    </row>
    <row r="969">
      <c r="A969" s="3" t="s">
        <v>981</v>
      </c>
      <c r="B969" s="4" t="s">
        <v>3</v>
      </c>
    </row>
    <row r="970">
      <c r="A970" s="3" t="s">
        <v>981</v>
      </c>
      <c r="B970" s="4" t="s">
        <v>3</v>
      </c>
    </row>
    <row r="971">
      <c r="A971" s="3" t="s">
        <v>981</v>
      </c>
      <c r="B971" s="4" t="s">
        <v>3</v>
      </c>
    </row>
    <row r="972">
      <c r="A972" s="3" t="s">
        <v>981</v>
      </c>
      <c r="B972" s="4" t="s">
        <v>3</v>
      </c>
    </row>
    <row r="973">
      <c r="A973" s="3" t="s">
        <v>981</v>
      </c>
      <c r="B973" s="4" t="s">
        <v>8</v>
      </c>
    </row>
    <row r="974">
      <c r="A974" s="3" t="s">
        <v>981</v>
      </c>
      <c r="B974" s="4" t="s">
        <v>3</v>
      </c>
    </row>
    <row r="975">
      <c r="A975" s="3" t="s">
        <v>981</v>
      </c>
      <c r="B975" s="4" t="s">
        <v>8</v>
      </c>
    </row>
    <row r="976">
      <c r="A976" s="3" t="s">
        <v>981</v>
      </c>
      <c r="B976" s="4" t="s">
        <v>8</v>
      </c>
    </row>
    <row r="977">
      <c r="A977" s="3" t="s">
        <v>981</v>
      </c>
      <c r="B977" s="4" t="s">
        <v>3</v>
      </c>
    </row>
    <row r="978">
      <c r="A978" s="3" t="s">
        <v>981</v>
      </c>
      <c r="B978" s="4" t="s">
        <v>3</v>
      </c>
    </row>
    <row r="979">
      <c r="A979" s="3" t="s">
        <v>981</v>
      </c>
      <c r="B979" s="4" t="s">
        <v>3</v>
      </c>
    </row>
    <row r="980">
      <c r="A980" s="3" t="s">
        <v>981</v>
      </c>
      <c r="B980" s="4" t="s">
        <v>3</v>
      </c>
    </row>
    <row r="981">
      <c r="A981" s="3" t="s">
        <v>1000</v>
      </c>
      <c r="B981" s="4" t="s">
        <v>8</v>
      </c>
    </row>
    <row r="982">
      <c r="A982" s="3" t="s">
        <v>1000</v>
      </c>
      <c r="B982" s="4" t="s">
        <v>3</v>
      </c>
    </row>
    <row r="983">
      <c r="A983" s="3" t="s">
        <v>1000</v>
      </c>
      <c r="B983" s="4" t="s">
        <v>3</v>
      </c>
    </row>
    <row r="984">
      <c r="A984" s="3" t="s">
        <v>1000</v>
      </c>
      <c r="B984" s="4" t="s">
        <v>3</v>
      </c>
    </row>
    <row r="985">
      <c r="A985" s="3" t="s">
        <v>1000</v>
      </c>
      <c r="B985" s="4" t="s">
        <v>8</v>
      </c>
    </row>
    <row r="986">
      <c r="A986" s="3" t="s">
        <v>1000</v>
      </c>
      <c r="B986" s="4" t="s">
        <v>3</v>
      </c>
    </row>
    <row r="987">
      <c r="A987" s="3" t="s">
        <v>1000</v>
      </c>
      <c r="B987" s="4" t="s">
        <v>8</v>
      </c>
    </row>
    <row r="988">
      <c r="A988" s="3" t="s">
        <v>1000</v>
      </c>
      <c r="B988" s="4" t="s">
        <v>8</v>
      </c>
    </row>
    <row r="989">
      <c r="A989" s="3" t="s">
        <v>1000</v>
      </c>
      <c r="B989" s="4" t="s">
        <v>3</v>
      </c>
    </row>
    <row r="990">
      <c r="A990" s="3" t="s">
        <v>1000</v>
      </c>
      <c r="B990" s="4" t="s">
        <v>8</v>
      </c>
    </row>
    <row r="991">
      <c r="A991" s="3" t="s">
        <v>1000</v>
      </c>
      <c r="B991" s="4" t="s">
        <v>3</v>
      </c>
    </row>
    <row r="992">
      <c r="A992" s="3" t="s">
        <v>1000</v>
      </c>
      <c r="B992" s="4" t="s">
        <v>8</v>
      </c>
    </row>
    <row r="993">
      <c r="A993" s="3" t="s">
        <v>1000</v>
      </c>
      <c r="B993" s="4" t="s">
        <v>8</v>
      </c>
    </row>
    <row r="994">
      <c r="A994" s="3" t="s">
        <v>1000</v>
      </c>
      <c r="B994" s="4" t="s">
        <v>3</v>
      </c>
    </row>
    <row r="995">
      <c r="A995" s="3" t="s">
        <v>1000</v>
      </c>
      <c r="B995" s="4" t="s">
        <v>8</v>
      </c>
    </row>
    <row r="996">
      <c r="A996" s="3" t="s">
        <v>1000</v>
      </c>
      <c r="B996" s="4" t="s">
        <v>3</v>
      </c>
    </row>
    <row r="997">
      <c r="A997" s="3" t="s">
        <v>1000</v>
      </c>
      <c r="B997" s="4" t="s">
        <v>8</v>
      </c>
    </row>
    <row r="998">
      <c r="A998" s="3" t="s">
        <v>1000</v>
      </c>
      <c r="B998" s="4" t="s">
        <v>8</v>
      </c>
    </row>
    <row r="999">
      <c r="A999" s="3" t="s">
        <v>1000</v>
      </c>
      <c r="B999" s="4" t="s">
        <v>3</v>
      </c>
    </row>
    <row r="1000">
      <c r="A1000" s="3" t="s">
        <v>1000</v>
      </c>
      <c r="B1000" s="4" t="s">
        <v>3</v>
      </c>
    </row>
    <row r="1001">
      <c r="A1001" s="3" t="s">
        <v>1016</v>
      </c>
      <c r="B1001" s="4" t="s">
        <v>8</v>
      </c>
    </row>
    <row r="1002">
      <c r="A1002" s="3" t="s">
        <v>1016</v>
      </c>
      <c r="B1002" s="4" t="s">
        <v>8</v>
      </c>
    </row>
    <row r="1003">
      <c r="A1003" s="3" t="s">
        <v>1016</v>
      </c>
      <c r="B1003" s="4" t="s">
        <v>8</v>
      </c>
    </row>
    <row r="1004">
      <c r="A1004" s="3" t="s">
        <v>1016</v>
      </c>
      <c r="B1004" s="4" t="s">
        <v>3</v>
      </c>
    </row>
    <row r="1005">
      <c r="A1005" s="3" t="s">
        <v>1016</v>
      </c>
      <c r="B1005" s="4" t="s">
        <v>8</v>
      </c>
    </row>
    <row r="1006">
      <c r="A1006" s="3" t="s">
        <v>1016</v>
      </c>
      <c r="B1006" s="4" t="s">
        <v>8</v>
      </c>
    </row>
    <row r="1007">
      <c r="A1007" s="3" t="s">
        <v>1016</v>
      </c>
      <c r="B1007" s="4" t="s">
        <v>8</v>
      </c>
    </row>
    <row r="1008">
      <c r="A1008" s="3" t="s">
        <v>1016</v>
      </c>
      <c r="B1008" s="4" t="s">
        <v>3</v>
      </c>
    </row>
    <row r="1009">
      <c r="A1009" s="3" t="s">
        <v>1016</v>
      </c>
      <c r="B1009" s="4" t="s">
        <v>8</v>
      </c>
    </row>
    <row r="1010">
      <c r="A1010" s="3" t="s">
        <v>1016</v>
      </c>
      <c r="B1010" s="4" t="s">
        <v>3</v>
      </c>
    </row>
    <row r="1011">
      <c r="A1011" s="3" t="s">
        <v>1016</v>
      </c>
      <c r="B1011" s="4" t="s">
        <v>8</v>
      </c>
    </row>
    <row r="1012">
      <c r="A1012" s="3" t="s">
        <v>1016</v>
      </c>
      <c r="B1012" s="4" t="s">
        <v>8</v>
      </c>
    </row>
    <row r="1013">
      <c r="A1013" s="3" t="s">
        <v>1016</v>
      </c>
      <c r="B1013" s="4" t="s">
        <v>3</v>
      </c>
    </row>
    <row r="1014">
      <c r="A1014" s="3" t="s">
        <v>1016</v>
      </c>
      <c r="B1014" s="4" t="s">
        <v>8</v>
      </c>
    </row>
    <row r="1015">
      <c r="A1015" s="3" t="s">
        <v>1016</v>
      </c>
      <c r="B1015" s="4" t="s">
        <v>3</v>
      </c>
    </row>
    <row r="1016">
      <c r="A1016" s="3" t="s">
        <v>1016</v>
      </c>
      <c r="B1016" s="4" t="s">
        <v>8</v>
      </c>
    </row>
    <row r="1017">
      <c r="A1017" s="3" t="s">
        <v>1016</v>
      </c>
      <c r="B1017" s="4" t="s">
        <v>8</v>
      </c>
    </row>
    <row r="1018">
      <c r="A1018" s="3" t="s">
        <v>1016</v>
      </c>
      <c r="B1018" s="4" t="s">
        <v>3</v>
      </c>
    </row>
    <row r="1019">
      <c r="A1019" s="3" t="s">
        <v>1016</v>
      </c>
      <c r="B1019" s="4" t="s">
        <v>8</v>
      </c>
    </row>
    <row r="1020">
      <c r="A1020" s="3" t="s">
        <v>1016</v>
      </c>
      <c r="B1020" s="4" t="s">
        <v>8</v>
      </c>
    </row>
    <row r="1021">
      <c r="A1021" s="3" t="s">
        <v>1034</v>
      </c>
      <c r="B1021" s="4" t="s">
        <v>3</v>
      </c>
    </row>
    <row r="1022">
      <c r="A1022" s="3" t="s">
        <v>1034</v>
      </c>
      <c r="B1022" s="4" t="s">
        <v>8</v>
      </c>
    </row>
    <row r="1023">
      <c r="A1023" s="3" t="s">
        <v>1034</v>
      </c>
      <c r="B1023" s="4" t="s">
        <v>3</v>
      </c>
    </row>
    <row r="1024">
      <c r="A1024" s="3" t="s">
        <v>1034</v>
      </c>
      <c r="B1024" s="4" t="s">
        <v>3</v>
      </c>
    </row>
    <row r="1025">
      <c r="A1025" s="3" t="s">
        <v>1034</v>
      </c>
      <c r="B1025" s="4" t="s">
        <v>8</v>
      </c>
    </row>
    <row r="1026">
      <c r="A1026" s="3" t="s">
        <v>1034</v>
      </c>
      <c r="B1026" s="4" t="s">
        <v>3</v>
      </c>
    </row>
    <row r="1027">
      <c r="A1027" s="3" t="s">
        <v>1034</v>
      </c>
      <c r="B1027" s="4" t="s">
        <v>3</v>
      </c>
    </row>
    <row r="1028">
      <c r="A1028" s="3" t="s">
        <v>1034</v>
      </c>
      <c r="B1028" s="4" t="s">
        <v>8</v>
      </c>
    </row>
    <row r="1029">
      <c r="A1029" s="3" t="s">
        <v>1034</v>
      </c>
      <c r="B1029" s="4" t="s">
        <v>3</v>
      </c>
    </row>
    <row r="1030">
      <c r="A1030" s="3" t="s">
        <v>1034</v>
      </c>
      <c r="B1030" s="4" t="s">
        <v>3</v>
      </c>
    </row>
    <row r="1031">
      <c r="A1031" s="3" t="s">
        <v>1034</v>
      </c>
      <c r="B1031" s="4" t="s">
        <v>8</v>
      </c>
    </row>
    <row r="1032">
      <c r="A1032" s="3" t="s">
        <v>1034</v>
      </c>
      <c r="B1032" s="4" t="s">
        <v>8</v>
      </c>
    </row>
    <row r="1033">
      <c r="A1033" s="3" t="s">
        <v>1034</v>
      </c>
      <c r="B1033" s="4" t="s">
        <v>3</v>
      </c>
    </row>
    <row r="1034">
      <c r="A1034" s="3" t="s">
        <v>1034</v>
      </c>
      <c r="B1034" s="4" t="s">
        <v>8</v>
      </c>
    </row>
    <row r="1035">
      <c r="A1035" s="3" t="s">
        <v>1034</v>
      </c>
      <c r="B1035" s="4" t="s">
        <v>3</v>
      </c>
    </row>
    <row r="1036">
      <c r="A1036" s="3" t="s">
        <v>1034</v>
      </c>
      <c r="B1036" s="4" t="s">
        <v>3</v>
      </c>
    </row>
    <row r="1037">
      <c r="A1037" s="3" t="s">
        <v>1034</v>
      </c>
      <c r="B1037" s="4" t="s">
        <v>3</v>
      </c>
    </row>
    <row r="1038">
      <c r="A1038" s="3" t="s">
        <v>1034</v>
      </c>
      <c r="B1038" s="4" t="s">
        <v>3</v>
      </c>
    </row>
    <row r="1039">
      <c r="A1039" s="3" t="s">
        <v>1034</v>
      </c>
      <c r="B1039" s="4" t="s">
        <v>8</v>
      </c>
    </row>
    <row r="1040">
      <c r="A1040" s="3" t="s">
        <v>1034</v>
      </c>
      <c r="B1040" s="4" t="s">
        <v>3</v>
      </c>
    </row>
    <row r="1041">
      <c r="A1041" s="3" t="s">
        <v>1052</v>
      </c>
      <c r="B1041" s="4" t="s">
        <v>3</v>
      </c>
    </row>
    <row r="1042">
      <c r="A1042" s="3" t="s">
        <v>1052</v>
      </c>
      <c r="B1042" s="4" t="s">
        <v>3</v>
      </c>
    </row>
    <row r="1043">
      <c r="A1043" s="3" t="s">
        <v>1052</v>
      </c>
      <c r="B1043" s="4" t="s">
        <v>3</v>
      </c>
    </row>
    <row r="1044">
      <c r="A1044" s="3" t="s">
        <v>1052</v>
      </c>
      <c r="B1044" s="4" t="s">
        <v>8</v>
      </c>
    </row>
    <row r="1045">
      <c r="A1045" s="3" t="s">
        <v>1052</v>
      </c>
      <c r="B1045" s="4" t="s">
        <v>3</v>
      </c>
    </row>
    <row r="1046">
      <c r="A1046" s="3" t="s">
        <v>1052</v>
      </c>
      <c r="B1046" s="4" t="s">
        <v>8</v>
      </c>
    </row>
    <row r="1047">
      <c r="A1047" s="3" t="s">
        <v>1052</v>
      </c>
      <c r="B1047" s="4" t="s">
        <v>3</v>
      </c>
    </row>
    <row r="1048">
      <c r="A1048" s="3" t="s">
        <v>1052</v>
      </c>
      <c r="B1048" s="4" t="s">
        <v>8</v>
      </c>
    </row>
    <row r="1049">
      <c r="A1049" s="3" t="s">
        <v>1052</v>
      </c>
      <c r="B1049" s="4" t="s">
        <v>8</v>
      </c>
    </row>
    <row r="1050">
      <c r="A1050" s="3" t="s">
        <v>1052</v>
      </c>
      <c r="B1050" s="4" t="s">
        <v>8</v>
      </c>
    </row>
    <row r="1051">
      <c r="A1051" s="3" t="s">
        <v>1052</v>
      </c>
      <c r="B1051" s="4" t="s">
        <v>8</v>
      </c>
    </row>
    <row r="1052">
      <c r="A1052" s="3" t="s">
        <v>1052</v>
      </c>
      <c r="B1052" s="4" t="s">
        <v>3</v>
      </c>
    </row>
    <row r="1053">
      <c r="A1053" s="3" t="s">
        <v>1052</v>
      </c>
      <c r="B1053" s="4" t="s">
        <v>3</v>
      </c>
    </row>
    <row r="1054">
      <c r="A1054" s="3" t="s">
        <v>1052</v>
      </c>
      <c r="B1054" s="4" t="s">
        <v>8</v>
      </c>
    </row>
    <row r="1055">
      <c r="A1055" s="3" t="s">
        <v>1052</v>
      </c>
      <c r="B1055" s="4" t="s">
        <v>8</v>
      </c>
    </row>
    <row r="1056">
      <c r="A1056" s="3" t="s">
        <v>1052</v>
      </c>
      <c r="B1056" s="4" t="s">
        <v>8</v>
      </c>
    </row>
    <row r="1057">
      <c r="A1057" s="3" t="s">
        <v>1052</v>
      </c>
      <c r="B1057" s="4" t="s">
        <v>8</v>
      </c>
    </row>
    <row r="1058">
      <c r="A1058" s="3" t="s">
        <v>1052</v>
      </c>
      <c r="B1058" s="4" t="s">
        <v>3</v>
      </c>
    </row>
    <row r="1059">
      <c r="A1059" s="3" t="s">
        <v>1052</v>
      </c>
      <c r="B1059" s="4" t="s">
        <v>8</v>
      </c>
    </row>
    <row r="1060">
      <c r="A1060" s="3" t="s">
        <v>1052</v>
      </c>
      <c r="B1060" s="4" t="s">
        <v>8</v>
      </c>
    </row>
    <row r="1061">
      <c r="A1061" s="3" t="s">
        <v>1070</v>
      </c>
      <c r="B1061" s="4" t="s">
        <v>3</v>
      </c>
    </row>
    <row r="1062">
      <c r="A1062" s="3" t="s">
        <v>1070</v>
      </c>
      <c r="B1062" s="4" t="s">
        <v>3</v>
      </c>
    </row>
    <row r="1063">
      <c r="A1063" s="3" t="s">
        <v>1070</v>
      </c>
      <c r="B1063" s="4" t="s">
        <v>3</v>
      </c>
    </row>
    <row r="1064">
      <c r="A1064" s="3" t="s">
        <v>1070</v>
      </c>
      <c r="B1064" s="4" t="s">
        <v>8</v>
      </c>
    </row>
    <row r="1065">
      <c r="A1065" s="3" t="s">
        <v>1070</v>
      </c>
      <c r="B1065" s="4" t="s">
        <v>8</v>
      </c>
    </row>
    <row r="1066">
      <c r="A1066" s="3" t="s">
        <v>1070</v>
      </c>
      <c r="B1066" s="4" t="s">
        <v>8</v>
      </c>
    </row>
    <row r="1067">
      <c r="A1067" s="3" t="s">
        <v>1070</v>
      </c>
      <c r="B1067" s="4" t="s">
        <v>8</v>
      </c>
    </row>
    <row r="1068">
      <c r="A1068" s="3" t="s">
        <v>1070</v>
      </c>
      <c r="B1068" s="4" t="s">
        <v>8</v>
      </c>
    </row>
    <row r="1069">
      <c r="A1069" s="3" t="s">
        <v>1070</v>
      </c>
      <c r="B1069" s="4" t="s">
        <v>8</v>
      </c>
    </row>
    <row r="1070">
      <c r="A1070" s="3" t="s">
        <v>1070</v>
      </c>
      <c r="B1070" s="4" t="s">
        <v>3</v>
      </c>
    </row>
    <row r="1071">
      <c r="A1071" s="3" t="s">
        <v>1070</v>
      </c>
      <c r="B1071" s="4" t="s">
        <v>8</v>
      </c>
    </row>
    <row r="1072">
      <c r="A1072" s="3" t="s">
        <v>1070</v>
      </c>
      <c r="B1072" s="4" t="s">
        <v>3</v>
      </c>
    </row>
    <row r="1073">
      <c r="A1073" s="3" t="s">
        <v>1070</v>
      </c>
      <c r="B1073" s="4" t="s">
        <v>8</v>
      </c>
    </row>
    <row r="1074">
      <c r="A1074" s="3" t="s">
        <v>1070</v>
      </c>
      <c r="B1074" s="4" t="s">
        <v>3</v>
      </c>
    </row>
    <row r="1075">
      <c r="A1075" s="3" t="s">
        <v>1070</v>
      </c>
      <c r="B1075" s="4" t="s">
        <v>3</v>
      </c>
    </row>
    <row r="1076">
      <c r="A1076" s="3" t="s">
        <v>1070</v>
      </c>
      <c r="B1076" s="4" t="s">
        <v>8</v>
      </c>
    </row>
    <row r="1077">
      <c r="A1077" s="3" t="s">
        <v>1070</v>
      </c>
      <c r="B1077" s="4" t="s">
        <v>3</v>
      </c>
    </row>
    <row r="1078">
      <c r="A1078" s="3" t="s">
        <v>1070</v>
      </c>
      <c r="B1078" s="4" t="s">
        <v>8</v>
      </c>
    </row>
    <row r="1079">
      <c r="A1079" s="3" t="s">
        <v>1070</v>
      </c>
      <c r="B1079" s="4" t="s">
        <v>3</v>
      </c>
    </row>
    <row r="1080">
      <c r="A1080" s="3" t="s">
        <v>1070</v>
      </c>
      <c r="B1080" s="4" t="s">
        <v>8</v>
      </c>
    </row>
    <row r="1081">
      <c r="A1081" s="3" t="s">
        <v>1085</v>
      </c>
      <c r="B1081" s="4" t="s">
        <v>3</v>
      </c>
    </row>
    <row r="1082">
      <c r="A1082" s="3" t="s">
        <v>1085</v>
      </c>
      <c r="B1082" s="4" t="s">
        <v>3</v>
      </c>
    </row>
    <row r="1083">
      <c r="A1083" s="3" t="s">
        <v>1085</v>
      </c>
      <c r="B1083" s="4" t="s">
        <v>3</v>
      </c>
    </row>
    <row r="1084">
      <c r="A1084" s="3" t="s">
        <v>1085</v>
      </c>
      <c r="B1084" s="4" t="s">
        <v>8</v>
      </c>
    </row>
    <row r="1085">
      <c r="A1085" s="3" t="s">
        <v>1085</v>
      </c>
      <c r="B1085" s="4" t="s">
        <v>8</v>
      </c>
    </row>
    <row r="1086">
      <c r="A1086" s="3" t="s">
        <v>1085</v>
      </c>
      <c r="B1086" s="4" t="s">
        <v>8</v>
      </c>
    </row>
    <row r="1087">
      <c r="A1087" s="3" t="s">
        <v>1085</v>
      </c>
      <c r="B1087" s="4" t="s">
        <v>3</v>
      </c>
    </row>
    <row r="1088">
      <c r="A1088" s="3" t="s">
        <v>1085</v>
      </c>
      <c r="B1088" s="4" t="s">
        <v>8</v>
      </c>
    </row>
    <row r="1089">
      <c r="A1089" s="3" t="s">
        <v>1085</v>
      </c>
      <c r="B1089" s="4" t="s">
        <v>8</v>
      </c>
    </row>
    <row r="1090">
      <c r="A1090" s="3" t="s">
        <v>1085</v>
      </c>
      <c r="B1090" s="4" t="s">
        <v>3</v>
      </c>
    </row>
    <row r="1091">
      <c r="A1091" s="3" t="s">
        <v>1085</v>
      </c>
      <c r="B1091" s="4" t="s">
        <v>3</v>
      </c>
    </row>
    <row r="1092">
      <c r="A1092" s="3" t="s">
        <v>1085</v>
      </c>
      <c r="B1092" s="4" t="s">
        <v>8</v>
      </c>
    </row>
    <row r="1093">
      <c r="A1093" s="3" t="s">
        <v>1085</v>
      </c>
      <c r="B1093" s="4" t="s">
        <v>8</v>
      </c>
    </row>
    <row r="1094">
      <c r="A1094" s="3" t="s">
        <v>1085</v>
      </c>
      <c r="B1094" s="4" t="s">
        <v>3</v>
      </c>
    </row>
    <row r="1095">
      <c r="A1095" s="3" t="s">
        <v>1085</v>
      </c>
      <c r="B1095" s="4" t="s">
        <v>8</v>
      </c>
    </row>
    <row r="1096">
      <c r="A1096" s="3" t="s">
        <v>1085</v>
      </c>
      <c r="B1096" s="4" t="s">
        <v>8</v>
      </c>
    </row>
    <row r="1097">
      <c r="A1097" s="3" t="s">
        <v>1085</v>
      </c>
      <c r="B1097" s="4" t="s">
        <v>8</v>
      </c>
    </row>
    <row r="1098">
      <c r="A1098" s="3" t="s">
        <v>1085</v>
      </c>
      <c r="B1098" s="4" t="s">
        <v>8</v>
      </c>
    </row>
    <row r="1099">
      <c r="A1099" s="3" t="s">
        <v>1085</v>
      </c>
      <c r="B1099" s="4" t="s">
        <v>3</v>
      </c>
    </row>
    <row r="1100">
      <c r="A1100" s="3" t="s">
        <v>1085</v>
      </c>
      <c r="B1100" s="4" t="s">
        <v>8</v>
      </c>
    </row>
    <row r="1101">
      <c r="A1101" s="3" t="s">
        <v>1101</v>
      </c>
      <c r="B1101" s="4" t="s">
        <v>3</v>
      </c>
    </row>
    <row r="1102">
      <c r="A1102" s="3" t="s">
        <v>1101</v>
      </c>
      <c r="B1102" s="4" t="s">
        <v>3</v>
      </c>
    </row>
    <row r="1103">
      <c r="A1103" s="3" t="s">
        <v>1101</v>
      </c>
      <c r="B1103" s="4" t="s">
        <v>8</v>
      </c>
    </row>
    <row r="1104">
      <c r="A1104" s="3" t="s">
        <v>1101</v>
      </c>
      <c r="B1104" s="4" t="s">
        <v>3</v>
      </c>
    </row>
    <row r="1105">
      <c r="A1105" s="3" t="s">
        <v>1101</v>
      </c>
      <c r="B1105" s="4" t="s">
        <v>8</v>
      </c>
    </row>
    <row r="1106">
      <c r="A1106" s="3" t="s">
        <v>1101</v>
      </c>
      <c r="B1106" s="4" t="s">
        <v>3</v>
      </c>
    </row>
    <row r="1107">
      <c r="A1107" s="3" t="s">
        <v>1101</v>
      </c>
      <c r="B1107" s="4" t="s">
        <v>8</v>
      </c>
    </row>
    <row r="1108">
      <c r="A1108" s="3" t="s">
        <v>1101</v>
      </c>
      <c r="B1108" s="4" t="s">
        <v>8</v>
      </c>
    </row>
    <row r="1109">
      <c r="A1109" s="3" t="s">
        <v>1101</v>
      </c>
      <c r="B1109" s="4" t="s">
        <v>3</v>
      </c>
    </row>
    <row r="1110">
      <c r="A1110" s="3" t="s">
        <v>1101</v>
      </c>
      <c r="B1110" s="4" t="s">
        <v>8</v>
      </c>
    </row>
    <row r="1111">
      <c r="A1111" s="3" t="s">
        <v>1101</v>
      </c>
      <c r="B1111" s="4" t="s">
        <v>8</v>
      </c>
    </row>
    <row r="1112">
      <c r="A1112" s="3" t="s">
        <v>1101</v>
      </c>
      <c r="B1112" s="4" t="s">
        <v>3</v>
      </c>
    </row>
    <row r="1113">
      <c r="A1113" s="3" t="s">
        <v>1101</v>
      </c>
      <c r="B1113" s="4" t="s">
        <v>8</v>
      </c>
    </row>
    <row r="1114">
      <c r="A1114" s="3" t="s">
        <v>1101</v>
      </c>
      <c r="B1114" s="4" t="s">
        <v>8</v>
      </c>
    </row>
    <row r="1115">
      <c r="A1115" s="3" t="s">
        <v>1101</v>
      </c>
      <c r="B1115" s="4" t="s">
        <v>3</v>
      </c>
    </row>
    <row r="1116">
      <c r="A1116" s="3" t="s">
        <v>1101</v>
      </c>
      <c r="B1116" s="4" t="s">
        <v>3</v>
      </c>
    </row>
    <row r="1117">
      <c r="A1117" s="3" t="s">
        <v>1101</v>
      </c>
      <c r="B1117" s="4" t="s">
        <v>8</v>
      </c>
    </row>
    <row r="1118">
      <c r="A1118" s="3" t="s">
        <v>1101</v>
      </c>
      <c r="B1118" s="4" t="s">
        <v>8</v>
      </c>
    </row>
    <row r="1119">
      <c r="A1119" s="3" t="s">
        <v>1101</v>
      </c>
      <c r="B1119" s="4" t="s">
        <v>3</v>
      </c>
    </row>
    <row r="1120">
      <c r="A1120" s="3" t="s">
        <v>1101</v>
      </c>
      <c r="B1120" s="4" t="s">
        <v>3</v>
      </c>
    </row>
    <row r="1121">
      <c r="A1121" s="3" t="s">
        <v>1117</v>
      </c>
      <c r="B1121" s="4" t="s">
        <v>3</v>
      </c>
    </row>
    <row r="1122">
      <c r="A1122" s="3" t="s">
        <v>1117</v>
      </c>
      <c r="B1122" s="4" t="s">
        <v>3</v>
      </c>
    </row>
    <row r="1123">
      <c r="A1123" s="3" t="s">
        <v>1117</v>
      </c>
      <c r="B1123" s="4" t="s">
        <v>8</v>
      </c>
    </row>
    <row r="1124">
      <c r="A1124" s="3" t="s">
        <v>1117</v>
      </c>
      <c r="B1124" s="4" t="s">
        <v>3</v>
      </c>
    </row>
    <row r="1125">
      <c r="A1125" s="3" t="s">
        <v>1117</v>
      </c>
      <c r="B1125" s="4" t="s">
        <v>3</v>
      </c>
    </row>
    <row r="1126">
      <c r="A1126" s="3" t="s">
        <v>1117</v>
      </c>
      <c r="B1126" s="4" t="s">
        <v>8</v>
      </c>
    </row>
    <row r="1127">
      <c r="A1127" s="3" t="s">
        <v>1117</v>
      </c>
      <c r="B1127" s="4" t="s">
        <v>8</v>
      </c>
    </row>
    <row r="1128">
      <c r="A1128" s="3" t="s">
        <v>1117</v>
      </c>
      <c r="B1128" s="4" t="s">
        <v>3</v>
      </c>
    </row>
    <row r="1129">
      <c r="A1129" s="3" t="s">
        <v>1117</v>
      </c>
      <c r="B1129" s="4" t="s">
        <v>3</v>
      </c>
    </row>
    <row r="1130">
      <c r="A1130" s="3" t="s">
        <v>1117</v>
      </c>
      <c r="B1130" s="4" t="s">
        <v>8</v>
      </c>
    </row>
    <row r="1131">
      <c r="A1131" s="3" t="s">
        <v>1117</v>
      </c>
      <c r="B1131" s="4" t="s">
        <v>3</v>
      </c>
    </row>
    <row r="1132">
      <c r="A1132" s="3" t="s">
        <v>1117</v>
      </c>
      <c r="B1132" s="4" t="s">
        <v>8</v>
      </c>
    </row>
    <row r="1133">
      <c r="A1133" s="3" t="s">
        <v>1117</v>
      </c>
      <c r="B1133" s="4" t="s">
        <v>8</v>
      </c>
    </row>
    <row r="1134">
      <c r="A1134" s="3" t="s">
        <v>1117</v>
      </c>
      <c r="B1134" s="4" t="s">
        <v>8</v>
      </c>
    </row>
    <row r="1135">
      <c r="A1135" s="3" t="s">
        <v>1117</v>
      </c>
      <c r="B1135" s="4" t="s">
        <v>8</v>
      </c>
    </row>
    <row r="1136">
      <c r="A1136" s="3" t="s">
        <v>1117</v>
      </c>
      <c r="B1136" s="4" t="s">
        <v>3</v>
      </c>
    </row>
    <row r="1137">
      <c r="A1137" s="3" t="s">
        <v>1117</v>
      </c>
      <c r="B1137" s="4" t="s">
        <v>8</v>
      </c>
    </row>
    <row r="1138">
      <c r="A1138" s="3" t="s">
        <v>1117</v>
      </c>
      <c r="B1138" s="4" t="s">
        <v>8</v>
      </c>
    </row>
    <row r="1139">
      <c r="A1139" s="3" t="s">
        <v>1117</v>
      </c>
      <c r="B1139" s="4" t="s">
        <v>3</v>
      </c>
    </row>
    <row r="1140">
      <c r="A1140" s="3" t="s">
        <v>1117</v>
      </c>
      <c r="B1140" s="4" t="s">
        <v>8</v>
      </c>
    </row>
    <row r="1141">
      <c r="A1141" s="3" t="s">
        <v>1132</v>
      </c>
      <c r="B1141" s="4" t="s">
        <v>3</v>
      </c>
    </row>
    <row r="1142">
      <c r="A1142" s="3" t="s">
        <v>1132</v>
      </c>
      <c r="B1142" s="4" t="s">
        <v>8</v>
      </c>
    </row>
    <row r="1143">
      <c r="A1143" s="3" t="s">
        <v>1132</v>
      </c>
      <c r="B1143" s="4" t="s">
        <v>8</v>
      </c>
    </row>
    <row r="1144">
      <c r="A1144" s="3" t="s">
        <v>1132</v>
      </c>
      <c r="B1144" s="4" t="s">
        <v>3</v>
      </c>
    </row>
    <row r="1145">
      <c r="A1145" s="3" t="s">
        <v>1132</v>
      </c>
      <c r="B1145" s="4" t="s">
        <v>8</v>
      </c>
    </row>
    <row r="1146">
      <c r="A1146" s="3" t="s">
        <v>1132</v>
      </c>
      <c r="B1146" s="4" t="s">
        <v>8</v>
      </c>
    </row>
    <row r="1147">
      <c r="A1147" s="3" t="s">
        <v>1132</v>
      </c>
      <c r="B1147" s="4" t="s">
        <v>3</v>
      </c>
    </row>
    <row r="1148">
      <c r="A1148" s="3" t="s">
        <v>1132</v>
      </c>
      <c r="B1148" s="4" t="s">
        <v>3</v>
      </c>
    </row>
    <row r="1149">
      <c r="A1149" s="3" t="s">
        <v>1132</v>
      </c>
      <c r="B1149" s="4" t="s">
        <v>3</v>
      </c>
    </row>
    <row r="1150">
      <c r="A1150" s="3" t="s">
        <v>1132</v>
      </c>
      <c r="B1150" s="4" t="s">
        <v>3</v>
      </c>
    </row>
    <row r="1151">
      <c r="A1151" s="3" t="s">
        <v>1132</v>
      </c>
      <c r="B1151" s="4" t="s">
        <v>3</v>
      </c>
    </row>
    <row r="1152">
      <c r="A1152" s="3" t="s">
        <v>1132</v>
      </c>
      <c r="B1152" s="4" t="s">
        <v>3</v>
      </c>
    </row>
    <row r="1153">
      <c r="A1153" s="3" t="s">
        <v>1132</v>
      </c>
      <c r="B1153" s="4" t="s">
        <v>3</v>
      </c>
    </row>
    <row r="1154">
      <c r="A1154" s="3" t="s">
        <v>1132</v>
      </c>
      <c r="B1154" s="4" t="s">
        <v>3</v>
      </c>
    </row>
    <row r="1155">
      <c r="A1155" s="3" t="s">
        <v>1132</v>
      </c>
      <c r="B1155" s="4" t="s">
        <v>8</v>
      </c>
    </row>
    <row r="1156">
      <c r="A1156" s="3" t="s">
        <v>1132</v>
      </c>
      <c r="B1156" s="4" t="s">
        <v>3</v>
      </c>
    </row>
    <row r="1157">
      <c r="A1157" s="3" t="s">
        <v>1132</v>
      </c>
      <c r="B1157" s="4" t="s">
        <v>3</v>
      </c>
    </row>
    <row r="1158">
      <c r="A1158" s="3" t="s">
        <v>1132</v>
      </c>
      <c r="B1158" s="4" t="s">
        <v>8</v>
      </c>
    </row>
    <row r="1159">
      <c r="A1159" s="3" t="s">
        <v>1132</v>
      </c>
      <c r="B1159" s="4" t="s">
        <v>8</v>
      </c>
    </row>
    <row r="1160">
      <c r="A1160" s="3" t="s">
        <v>1132</v>
      </c>
      <c r="B1160" s="4" t="s">
        <v>8</v>
      </c>
    </row>
    <row r="1161">
      <c r="A1161" s="3" t="s">
        <v>1150</v>
      </c>
      <c r="B1161" s="4" t="s">
        <v>3</v>
      </c>
    </row>
    <row r="1162">
      <c r="A1162" s="3" t="s">
        <v>1150</v>
      </c>
      <c r="B1162" s="4" t="s">
        <v>8</v>
      </c>
    </row>
    <row r="1163">
      <c r="A1163" s="3" t="s">
        <v>1150</v>
      </c>
      <c r="B1163" s="4" t="s">
        <v>8</v>
      </c>
    </row>
    <row r="1164">
      <c r="A1164" s="3" t="s">
        <v>1150</v>
      </c>
      <c r="B1164" s="4" t="s">
        <v>3</v>
      </c>
    </row>
    <row r="1165">
      <c r="A1165" s="3" t="s">
        <v>1150</v>
      </c>
      <c r="B1165" s="4" t="s">
        <v>8</v>
      </c>
    </row>
    <row r="1166">
      <c r="A1166" s="3" t="s">
        <v>1150</v>
      </c>
      <c r="B1166" s="4" t="s">
        <v>3</v>
      </c>
    </row>
    <row r="1167">
      <c r="A1167" s="3" t="s">
        <v>1150</v>
      </c>
      <c r="B1167" s="4" t="s">
        <v>8</v>
      </c>
    </row>
    <row r="1168">
      <c r="A1168" s="3" t="s">
        <v>1150</v>
      </c>
      <c r="B1168" s="4" t="s">
        <v>8</v>
      </c>
    </row>
    <row r="1169">
      <c r="A1169" s="3" t="s">
        <v>1150</v>
      </c>
      <c r="B1169" s="4" t="s">
        <v>8</v>
      </c>
    </row>
    <row r="1170">
      <c r="A1170" s="3" t="s">
        <v>1150</v>
      </c>
      <c r="B1170" s="4" t="s">
        <v>8</v>
      </c>
    </row>
    <row r="1171">
      <c r="A1171" s="3" t="s">
        <v>1150</v>
      </c>
      <c r="B1171" s="4" t="s">
        <v>8</v>
      </c>
    </row>
    <row r="1172">
      <c r="A1172" s="3" t="s">
        <v>1150</v>
      </c>
      <c r="B1172" s="4" t="s">
        <v>3</v>
      </c>
    </row>
    <row r="1173">
      <c r="A1173" s="3" t="s">
        <v>1150</v>
      </c>
      <c r="B1173" s="4" t="s">
        <v>8</v>
      </c>
    </row>
    <row r="1174">
      <c r="A1174" s="3" t="s">
        <v>1150</v>
      </c>
      <c r="B1174" s="4" t="s">
        <v>3</v>
      </c>
    </row>
    <row r="1175">
      <c r="A1175" s="3" t="s">
        <v>1150</v>
      </c>
      <c r="B1175" s="4" t="s">
        <v>3</v>
      </c>
    </row>
    <row r="1176">
      <c r="A1176" s="3" t="s">
        <v>1150</v>
      </c>
      <c r="B1176" s="4" t="s">
        <v>3</v>
      </c>
    </row>
    <row r="1177">
      <c r="A1177" s="3" t="s">
        <v>1150</v>
      </c>
      <c r="B1177" s="4" t="s">
        <v>8</v>
      </c>
    </row>
    <row r="1178">
      <c r="A1178" s="3" t="s">
        <v>1150</v>
      </c>
      <c r="B1178" s="4" t="s">
        <v>3</v>
      </c>
    </row>
    <row r="1179">
      <c r="A1179" s="3" t="s">
        <v>1150</v>
      </c>
      <c r="B1179" s="4" t="s">
        <v>3</v>
      </c>
    </row>
    <row r="1180">
      <c r="A1180" s="3" t="s">
        <v>1150</v>
      </c>
      <c r="B1180" s="4" t="s">
        <v>8</v>
      </c>
    </row>
    <row r="1181">
      <c r="A1181" s="3" t="s">
        <v>1168</v>
      </c>
      <c r="B1181" s="4" t="s">
        <v>3</v>
      </c>
    </row>
    <row r="1182">
      <c r="A1182" s="3" t="s">
        <v>1168</v>
      </c>
      <c r="B1182" s="4" t="s">
        <v>3</v>
      </c>
    </row>
    <row r="1183">
      <c r="A1183" s="3" t="s">
        <v>1168</v>
      </c>
      <c r="B1183" s="4" t="s">
        <v>3</v>
      </c>
    </row>
    <row r="1184">
      <c r="A1184" s="3" t="s">
        <v>1168</v>
      </c>
      <c r="B1184" s="4" t="s">
        <v>8</v>
      </c>
    </row>
    <row r="1185">
      <c r="A1185" s="3" t="s">
        <v>1168</v>
      </c>
      <c r="B1185" s="4" t="s">
        <v>3</v>
      </c>
    </row>
    <row r="1186">
      <c r="A1186" s="3" t="s">
        <v>1168</v>
      </c>
      <c r="B1186" s="4" t="s">
        <v>3</v>
      </c>
    </row>
    <row r="1187">
      <c r="A1187" s="3" t="s">
        <v>1168</v>
      </c>
      <c r="B1187" s="4" t="s">
        <v>3</v>
      </c>
    </row>
    <row r="1188">
      <c r="A1188" s="3" t="s">
        <v>1168</v>
      </c>
      <c r="B1188" s="4" t="s">
        <v>8</v>
      </c>
    </row>
    <row r="1189">
      <c r="A1189" s="3" t="s">
        <v>1168</v>
      </c>
      <c r="B1189" s="4" t="s">
        <v>3</v>
      </c>
    </row>
    <row r="1190">
      <c r="A1190" s="3" t="s">
        <v>1168</v>
      </c>
      <c r="B1190" s="4" t="s">
        <v>8</v>
      </c>
    </row>
    <row r="1191">
      <c r="A1191" s="3" t="s">
        <v>1168</v>
      </c>
      <c r="B1191" s="4" t="s">
        <v>3</v>
      </c>
    </row>
    <row r="1192">
      <c r="A1192" s="3" t="s">
        <v>1168</v>
      </c>
      <c r="B1192" s="4" t="s">
        <v>3</v>
      </c>
    </row>
    <row r="1193">
      <c r="A1193" s="3" t="s">
        <v>1168</v>
      </c>
      <c r="B1193" s="4" t="s">
        <v>3</v>
      </c>
    </row>
    <row r="1194">
      <c r="A1194" s="3" t="s">
        <v>1168</v>
      </c>
      <c r="B1194" s="4" t="s">
        <v>3</v>
      </c>
    </row>
    <row r="1195">
      <c r="A1195" s="3" t="s">
        <v>1168</v>
      </c>
      <c r="B1195" s="4" t="s">
        <v>8</v>
      </c>
    </row>
    <row r="1196">
      <c r="A1196" s="3" t="s">
        <v>1168</v>
      </c>
      <c r="B1196" s="4" t="s">
        <v>3</v>
      </c>
    </row>
    <row r="1197">
      <c r="A1197" s="3" t="s">
        <v>1168</v>
      </c>
      <c r="B1197" s="4" t="s">
        <v>8</v>
      </c>
    </row>
    <row r="1198">
      <c r="A1198" s="3" t="s">
        <v>1168</v>
      </c>
      <c r="B1198" s="4" t="s">
        <v>8</v>
      </c>
    </row>
    <row r="1199">
      <c r="A1199" s="3" t="s">
        <v>1168</v>
      </c>
      <c r="B1199" s="4" t="s">
        <v>8</v>
      </c>
    </row>
    <row r="1200">
      <c r="A1200" s="3" t="s">
        <v>1168</v>
      </c>
      <c r="B1200" s="4" t="s">
        <v>3</v>
      </c>
    </row>
    <row r="1201">
      <c r="A1201" s="3" t="s">
        <v>1182</v>
      </c>
      <c r="B1201" s="4" t="s">
        <v>8</v>
      </c>
    </row>
    <row r="1202">
      <c r="A1202" s="3" t="s">
        <v>1182</v>
      </c>
      <c r="B1202" s="4" t="s">
        <v>8</v>
      </c>
    </row>
    <row r="1203">
      <c r="A1203" s="3" t="s">
        <v>1182</v>
      </c>
      <c r="B1203" s="4" t="s">
        <v>3</v>
      </c>
    </row>
    <row r="1204">
      <c r="A1204" s="3" t="s">
        <v>1182</v>
      </c>
      <c r="B1204" s="4" t="s">
        <v>3</v>
      </c>
    </row>
    <row r="1205">
      <c r="A1205" s="3" t="s">
        <v>1182</v>
      </c>
      <c r="B1205" s="4" t="s">
        <v>3</v>
      </c>
    </row>
    <row r="1206">
      <c r="A1206" s="3" t="s">
        <v>1182</v>
      </c>
      <c r="B1206" s="4" t="s">
        <v>8</v>
      </c>
    </row>
    <row r="1207">
      <c r="A1207" s="3" t="s">
        <v>1182</v>
      </c>
      <c r="B1207" s="4" t="s">
        <v>8</v>
      </c>
    </row>
    <row r="1208">
      <c r="A1208" s="3" t="s">
        <v>1182</v>
      </c>
      <c r="B1208" s="4" t="s">
        <v>3</v>
      </c>
    </row>
    <row r="1209">
      <c r="A1209" s="3" t="s">
        <v>1182</v>
      </c>
      <c r="B1209" s="4" t="s">
        <v>3</v>
      </c>
    </row>
    <row r="1210">
      <c r="A1210" s="3" t="s">
        <v>1182</v>
      </c>
      <c r="B1210" s="4" t="s">
        <v>8</v>
      </c>
    </row>
    <row r="1211">
      <c r="A1211" s="3" t="s">
        <v>1182</v>
      </c>
      <c r="B1211" s="4" t="s">
        <v>8</v>
      </c>
    </row>
    <row r="1212">
      <c r="A1212" s="3" t="s">
        <v>1182</v>
      </c>
      <c r="B1212" s="4" t="s">
        <v>3</v>
      </c>
    </row>
    <row r="1213">
      <c r="A1213" s="3" t="s">
        <v>1182</v>
      </c>
      <c r="B1213" s="4" t="s">
        <v>3</v>
      </c>
    </row>
    <row r="1214">
      <c r="A1214" s="3" t="s">
        <v>1182</v>
      </c>
      <c r="B1214" s="4" t="s">
        <v>3</v>
      </c>
    </row>
    <row r="1215">
      <c r="A1215" s="3" t="s">
        <v>1182</v>
      </c>
      <c r="B1215" s="4" t="s">
        <v>8</v>
      </c>
    </row>
    <row r="1216">
      <c r="A1216" s="3" t="s">
        <v>1182</v>
      </c>
      <c r="B1216" s="4" t="s">
        <v>8</v>
      </c>
    </row>
    <row r="1217">
      <c r="A1217" s="3" t="s">
        <v>1182</v>
      </c>
      <c r="B1217" s="4" t="s">
        <v>8</v>
      </c>
    </row>
    <row r="1218">
      <c r="A1218" s="3" t="s">
        <v>1182</v>
      </c>
      <c r="B1218" s="4" t="s">
        <v>3</v>
      </c>
    </row>
    <row r="1219">
      <c r="A1219" s="3" t="s">
        <v>1182</v>
      </c>
      <c r="B1219" s="4" t="s">
        <v>3</v>
      </c>
    </row>
    <row r="1220">
      <c r="A1220" s="3" t="s">
        <v>1182</v>
      </c>
      <c r="B1220" s="4" t="s">
        <v>3</v>
      </c>
    </row>
    <row r="1221">
      <c r="A1221" s="3" t="s">
        <v>1199</v>
      </c>
      <c r="B1221" s="4" t="s">
        <v>8</v>
      </c>
    </row>
    <row r="1222">
      <c r="A1222" s="3" t="s">
        <v>1199</v>
      </c>
      <c r="B1222" s="4" t="s">
        <v>8</v>
      </c>
    </row>
    <row r="1223">
      <c r="A1223" s="3" t="s">
        <v>1199</v>
      </c>
      <c r="B1223" s="4" t="s">
        <v>3</v>
      </c>
    </row>
    <row r="1224">
      <c r="A1224" s="3" t="s">
        <v>1199</v>
      </c>
      <c r="B1224" s="4" t="s">
        <v>3</v>
      </c>
    </row>
    <row r="1225">
      <c r="A1225" s="3" t="s">
        <v>1199</v>
      </c>
      <c r="B1225" s="4" t="s">
        <v>8</v>
      </c>
    </row>
    <row r="1226">
      <c r="A1226" s="3" t="s">
        <v>1199</v>
      </c>
      <c r="B1226" s="4" t="s">
        <v>8</v>
      </c>
    </row>
    <row r="1227">
      <c r="A1227" s="3" t="s">
        <v>1199</v>
      </c>
      <c r="B1227" s="4" t="s">
        <v>3</v>
      </c>
    </row>
    <row r="1228">
      <c r="A1228" s="3" t="s">
        <v>1199</v>
      </c>
      <c r="B1228" s="4" t="s">
        <v>8</v>
      </c>
    </row>
    <row r="1229">
      <c r="A1229" s="3" t="s">
        <v>1199</v>
      </c>
      <c r="B1229" s="4" t="s">
        <v>3</v>
      </c>
    </row>
    <row r="1230">
      <c r="A1230" s="3" t="s">
        <v>1199</v>
      </c>
      <c r="B1230" s="4" t="s">
        <v>8</v>
      </c>
    </row>
    <row r="1231">
      <c r="A1231" s="3" t="s">
        <v>1199</v>
      </c>
      <c r="B1231" s="4" t="s">
        <v>8</v>
      </c>
    </row>
    <row r="1232">
      <c r="A1232" s="3" t="s">
        <v>1199</v>
      </c>
      <c r="B1232" s="4" t="s">
        <v>3</v>
      </c>
    </row>
    <row r="1233">
      <c r="A1233" s="3" t="s">
        <v>1199</v>
      </c>
      <c r="B1233" s="4" t="s">
        <v>3</v>
      </c>
    </row>
    <row r="1234">
      <c r="A1234" s="3" t="s">
        <v>1199</v>
      </c>
      <c r="B1234" s="4" t="s">
        <v>3</v>
      </c>
    </row>
    <row r="1235">
      <c r="A1235" s="3" t="s">
        <v>1199</v>
      </c>
      <c r="B1235" s="4" t="s">
        <v>3</v>
      </c>
    </row>
    <row r="1236">
      <c r="A1236" s="3" t="s">
        <v>1199</v>
      </c>
      <c r="B1236" s="4" t="s">
        <v>8</v>
      </c>
    </row>
    <row r="1237">
      <c r="A1237" s="3" t="s">
        <v>1199</v>
      </c>
      <c r="B1237" s="4" t="s">
        <v>8</v>
      </c>
    </row>
    <row r="1238">
      <c r="A1238" s="3" t="s">
        <v>1199</v>
      </c>
      <c r="B1238" s="4" t="s">
        <v>3</v>
      </c>
    </row>
    <row r="1239">
      <c r="A1239" s="3" t="s">
        <v>1199</v>
      </c>
      <c r="B1239" s="4" t="s">
        <v>8</v>
      </c>
    </row>
    <row r="1240">
      <c r="A1240" s="3" t="s">
        <v>1199</v>
      </c>
      <c r="B1240" s="4" t="s">
        <v>8</v>
      </c>
    </row>
    <row r="1241">
      <c r="A1241" s="3" t="s">
        <v>1214</v>
      </c>
      <c r="B1241" s="4" t="s">
        <v>3</v>
      </c>
    </row>
    <row r="1242">
      <c r="A1242" s="3" t="s">
        <v>1214</v>
      </c>
      <c r="B1242" s="4" t="s">
        <v>8</v>
      </c>
    </row>
    <row r="1243">
      <c r="A1243" s="3" t="s">
        <v>1214</v>
      </c>
      <c r="B1243" s="4" t="s">
        <v>3</v>
      </c>
    </row>
    <row r="1244">
      <c r="A1244" s="3" t="s">
        <v>1214</v>
      </c>
      <c r="B1244" s="4" t="s">
        <v>8</v>
      </c>
    </row>
    <row r="1245">
      <c r="A1245" s="3" t="s">
        <v>1214</v>
      </c>
      <c r="B1245" s="4" t="s">
        <v>8</v>
      </c>
    </row>
    <row r="1246">
      <c r="A1246" s="3" t="s">
        <v>1214</v>
      </c>
      <c r="B1246" s="4" t="s">
        <v>8</v>
      </c>
    </row>
    <row r="1247">
      <c r="A1247" s="3" t="s">
        <v>1214</v>
      </c>
      <c r="B1247" s="4" t="s">
        <v>8</v>
      </c>
    </row>
    <row r="1248">
      <c r="A1248" s="3" t="s">
        <v>1214</v>
      </c>
      <c r="B1248" s="4" t="s">
        <v>3</v>
      </c>
    </row>
    <row r="1249">
      <c r="A1249" s="3" t="s">
        <v>1214</v>
      </c>
      <c r="B1249" s="4" t="s">
        <v>3</v>
      </c>
    </row>
    <row r="1250">
      <c r="A1250" s="3" t="s">
        <v>1214</v>
      </c>
      <c r="B1250" s="4" t="s">
        <v>3</v>
      </c>
    </row>
    <row r="1251">
      <c r="A1251" s="3" t="s">
        <v>1214</v>
      </c>
      <c r="B1251" s="4" t="s">
        <v>3</v>
      </c>
    </row>
    <row r="1252">
      <c r="A1252" s="3" t="s">
        <v>1214</v>
      </c>
      <c r="B1252" s="4" t="s">
        <v>8</v>
      </c>
    </row>
    <row r="1253">
      <c r="A1253" s="3" t="s">
        <v>1214</v>
      </c>
      <c r="B1253" s="4" t="s">
        <v>3</v>
      </c>
    </row>
    <row r="1254">
      <c r="A1254" s="3" t="s">
        <v>1214</v>
      </c>
      <c r="B1254" s="4" t="s">
        <v>8</v>
      </c>
    </row>
    <row r="1255">
      <c r="A1255" s="3" t="s">
        <v>1214</v>
      </c>
      <c r="B1255" s="4" t="s">
        <v>8</v>
      </c>
    </row>
    <row r="1256">
      <c r="A1256" s="3" t="s">
        <v>1214</v>
      </c>
      <c r="B1256" s="4" t="s">
        <v>8</v>
      </c>
    </row>
    <row r="1257">
      <c r="A1257" s="3" t="s">
        <v>1214</v>
      </c>
      <c r="B1257" s="4" t="s">
        <v>8</v>
      </c>
    </row>
    <row r="1258">
      <c r="A1258" s="3" t="s">
        <v>1214</v>
      </c>
      <c r="B1258" s="4" t="s">
        <v>8</v>
      </c>
    </row>
    <row r="1259">
      <c r="A1259" s="3" t="s">
        <v>1214</v>
      </c>
      <c r="B1259" s="4" t="s">
        <v>8</v>
      </c>
    </row>
    <row r="1260">
      <c r="A1260" s="3" t="s">
        <v>1214</v>
      </c>
      <c r="B1260" s="4" t="s">
        <v>8</v>
      </c>
    </row>
    <row r="1261">
      <c r="A1261" s="3" t="s">
        <v>1229</v>
      </c>
      <c r="B1261" s="4" t="s">
        <v>3</v>
      </c>
    </row>
    <row r="1262">
      <c r="A1262" s="3" t="s">
        <v>1229</v>
      </c>
      <c r="B1262" s="4" t="s">
        <v>8</v>
      </c>
    </row>
    <row r="1263">
      <c r="A1263" s="3" t="s">
        <v>1229</v>
      </c>
      <c r="B1263" s="4" t="s">
        <v>8</v>
      </c>
    </row>
    <row r="1264">
      <c r="A1264" s="3" t="s">
        <v>1229</v>
      </c>
      <c r="B1264" s="4" t="s">
        <v>8</v>
      </c>
    </row>
    <row r="1265">
      <c r="A1265" s="3" t="s">
        <v>1229</v>
      </c>
      <c r="B1265" s="4" t="s">
        <v>8</v>
      </c>
    </row>
    <row r="1266">
      <c r="A1266" s="3" t="s">
        <v>1229</v>
      </c>
      <c r="B1266" s="4" t="s">
        <v>3</v>
      </c>
    </row>
    <row r="1267">
      <c r="A1267" s="3" t="s">
        <v>1229</v>
      </c>
      <c r="B1267" s="4" t="s">
        <v>3</v>
      </c>
    </row>
    <row r="1268">
      <c r="A1268" s="3" t="s">
        <v>1229</v>
      </c>
      <c r="B1268" s="4" t="s">
        <v>3</v>
      </c>
    </row>
    <row r="1269">
      <c r="A1269" s="3" t="s">
        <v>1229</v>
      </c>
      <c r="B1269" s="4" t="s">
        <v>8</v>
      </c>
    </row>
    <row r="1270">
      <c r="A1270" s="3" t="s">
        <v>1229</v>
      </c>
      <c r="B1270" s="4" t="s">
        <v>8</v>
      </c>
    </row>
    <row r="1271">
      <c r="A1271" s="3" t="s">
        <v>1229</v>
      </c>
      <c r="B1271" s="4" t="s">
        <v>3</v>
      </c>
    </row>
    <row r="1272">
      <c r="A1272" s="3" t="s">
        <v>1229</v>
      </c>
      <c r="B1272" s="4" t="s">
        <v>8</v>
      </c>
    </row>
    <row r="1273">
      <c r="A1273" s="3" t="s">
        <v>1229</v>
      </c>
      <c r="B1273" s="4" t="s">
        <v>8</v>
      </c>
    </row>
    <row r="1274">
      <c r="A1274" s="3" t="s">
        <v>1229</v>
      </c>
      <c r="B1274" s="4" t="s">
        <v>8</v>
      </c>
    </row>
    <row r="1275">
      <c r="A1275" s="3" t="s">
        <v>1229</v>
      </c>
      <c r="B1275" s="4" t="s">
        <v>8</v>
      </c>
    </row>
    <row r="1276">
      <c r="A1276" s="3" t="s">
        <v>1229</v>
      </c>
      <c r="B1276" s="4" t="s">
        <v>8</v>
      </c>
    </row>
    <row r="1277">
      <c r="A1277" s="3" t="s">
        <v>1229</v>
      </c>
      <c r="B1277" s="4" t="s">
        <v>8</v>
      </c>
    </row>
    <row r="1278">
      <c r="A1278" s="3" t="s">
        <v>1229</v>
      </c>
      <c r="B1278" s="4" t="s">
        <v>3</v>
      </c>
    </row>
    <row r="1279">
      <c r="A1279" s="3" t="s">
        <v>1229</v>
      </c>
      <c r="B1279" s="4" t="s">
        <v>3</v>
      </c>
    </row>
    <row r="1280">
      <c r="A1280" s="3" t="s">
        <v>1229</v>
      </c>
      <c r="B1280" s="4" t="s">
        <v>3</v>
      </c>
    </row>
    <row r="1281">
      <c r="A1281" s="3" t="s">
        <v>1241</v>
      </c>
      <c r="B1281" s="4" t="s">
        <v>3</v>
      </c>
    </row>
    <row r="1282">
      <c r="A1282" s="3" t="s">
        <v>1241</v>
      </c>
      <c r="B1282" s="4" t="s">
        <v>3</v>
      </c>
    </row>
    <row r="1283">
      <c r="A1283" s="3" t="s">
        <v>1241</v>
      </c>
      <c r="B1283" s="4" t="s">
        <v>8</v>
      </c>
    </row>
    <row r="1284">
      <c r="A1284" s="3" t="s">
        <v>1241</v>
      </c>
      <c r="B1284" s="4" t="s">
        <v>3</v>
      </c>
    </row>
    <row r="1285">
      <c r="A1285" s="3" t="s">
        <v>1241</v>
      </c>
      <c r="B1285" s="4" t="s">
        <v>8</v>
      </c>
    </row>
    <row r="1286">
      <c r="A1286" s="3" t="s">
        <v>1241</v>
      </c>
      <c r="B1286" s="4" t="s">
        <v>8</v>
      </c>
    </row>
    <row r="1287">
      <c r="A1287" s="3" t="s">
        <v>1241</v>
      </c>
      <c r="B1287" s="4" t="s">
        <v>8</v>
      </c>
    </row>
    <row r="1288">
      <c r="A1288" s="3" t="s">
        <v>1241</v>
      </c>
      <c r="B1288" s="4" t="s">
        <v>8</v>
      </c>
    </row>
    <row r="1289">
      <c r="A1289" s="3" t="s">
        <v>1241</v>
      </c>
      <c r="B1289" s="4" t="s">
        <v>8</v>
      </c>
    </row>
    <row r="1290">
      <c r="A1290" s="3" t="s">
        <v>1241</v>
      </c>
      <c r="B1290" s="4" t="s">
        <v>8</v>
      </c>
    </row>
    <row r="1291">
      <c r="A1291" s="3" t="s">
        <v>1241</v>
      </c>
      <c r="B1291" s="4" t="s">
        <v>8</v>
      </c>
    </row>
    <row r="1292">
      <c r="A1292" s="3" t="s">
        <v>1241</v>
      </c>
      <c r="B1292" s="4" t="s">
        <v>8</v>
      </c>
    </row>
    <row r="1293">
      <c r="A1293" s="3" t="s">
        <v>1241</v>
      </c>
      <c r="B1293" s="4" t="s">
        <v>3</v>
      </c>
    </row>
    <row r="1294">
      <c r="A1294" s="3" t="s">
        <v>1241</v>
      </c>
      <c r="B1294" s="4" t="s">
        <v>3</v>
      </c>
    </row>
    <row r="1295">
      <c r="A1295" s="3" t="s">
        <v>1241</v>
      </c>
      <c r="B1295" s="4" t="s">
        <v>8</v>
      </c>
    </row>
    <row r="1296">
      <c r="A1296" s="3" t="s">
        <v>1241</v>
      </c>
      <c r="B1296" s="4" t="s">
        <v>8</v>
      </c>
    </row>
    <row r="1297">
      <c r="A1297" s="3" t="s">
        <v>1241</v>
      </c>
      <c r="B1297" s="4" t="s">
        <v>3</v>
      </c>
    </row>
    <row r="1298">
      <c r="A1298" s="3" t="s">
        <v>1241</v>
      </c>
      <c r="B1298" s="4" t="s">
        <v>3</v>
      </c>
    </row>
    <row r="1299">
      <c r="A1299" s="3" t="s">
        <v>1241</v>
      </c>
      <c r="B1299" s="4" t="s">
        <v>3</v>
      </c>
    </row>
    <row r="1300">
      <c r="A1300" s="3" t="s">
        <v>1241</v>
      </c>
      <c r="B1300" s="4" t="s">
        <v>3</v>
      </c>
    </row>
    <row r="1301">
      <c r="A1301" s="3" t="s">
        <v>1259</v>
      </c>
      <c r="B1301" s="4" t="s">
        <v>8</v>
      </c>
    </row>
    <row r="1302">
      <c r="A1302" s="3" t="s">
        <v>1259</v>
      </c>
      <c r="B1302" s="4" t="s">
        <v>3</v>
      </c>
    </row>
    <row r="1303">
      <c r="A1303" s="3" t="s">
        <v>1259</v>
      </c>
      <c r="B1303" s="4" t="s">
        <v>8</v>
      </c>
    </row>
    <row r="1304">
      <c r="A1304" s="3" t="s">
        <v>1259</v>
      </c>
      <c r="B1304" s="4" t="s">
        <v>8</v>
      </c>
    </row>
    <row r="1305">
      <c r="A1305" s="3" t="s">
        <v>1259</v>
      </c>
      <c r="B1305" s="4" t="s">
        <v>3</v>
      </c>
    </row>
    <row r="1306">
      <c r="A1306" s="3" t="s">
        <v>1259</v>
      </c>
      <c r="B1306" s="4" t="s">
        <v>8</v>
      </c>
    </row>
    <row r="1307">
      <c r="A1307" s="3" t="s">
        <v>1259</v>
      </c>
      <c r="B1307" s="4" t="s">
        <v>3</v>
      </c>
    </row>
    <row r="1308">
      <c r="A1308" s="3" t="s">
        <v>1259</v>
      </c>
      <c r="B1308" s="4" t="s">
        <v>8</v>
      </c>
    </row>
    <row r="1309">
      <c r="A1309" s="3" t="s">
        <v>1259</v>
      </c>
      <c r="B1309" s="4" t="s">
        <v>8</v>
      </c>
    </row>
    <row r="1310">
      <c r="A1310" s="3" t="s">
        <v>1259</v>
      </c>
      <c r="B1310" s="4" t="s">
        <v>8</v>
      </c>
    </row>
    <row r="1311">
      <c r="A1311" s="3" t="s">
        <v>1259</v>
      </c>
      <c r="B1311" s="4" t="s">
        <v>3</v>
      </c>
    </row>
    <row r="1312">
      <c r="A1312" s="3" t="s">
        <v>1259</v>
      </c>
      <c r="B1312" s="4" t="s">
        <v>8</v>
      </c>
    </row>
    <row r="1313">
      <c r="A1313" s="3" t="s">
        <v>1259</v>
      </c>
      <c r="B1313" s="4" t="s">
        <v>8</v>
      </c>
    </row>
    <row r="1314">
      <c r="A1314" s="3" t="s">
        <v>1259</v>
      </c>
      <c r="B1314" s="4" t="s">
        <v>8</v>
      </c>
    </row>
    <row r="1315">
      <c r="A1315" s="3" t="s">
        <v>1259</v>
      </c>
      <c r="B1315" s="4" t="s">
        <v>3</v>
      </c>
    </row>
    <row r="1316">
      <c r="A1316" s="3" t="s">
        <v>1259</v>
      </c>
      <c r="B1316" s="4" t="s">
        <v>3</v>
      </c>
    </row>
    <row r="1317">
      <c r="A1317" s="3" t="s">
        <v>1259</v>
      </c>
      <c r="B1317" s="4" t="s">
        <v>3</v>
      </c>
    </row>
    <row r="1318">
      <c r="A1318" s="3" t="s">
        <v>1259</v>
      </c>
      <c r="B1318" s="4" t="s">
        <v>3</v>
      </c>
    </row>
    <row r="1319">
      <c r="A1319" s="3" t="s">
        <v>1259</v>
      </c>
      <c r="B1319" s="4" t="s">
        <v>3</v>
      </c>
    </row>
    <row r="1320">
      <c r="A1320" s="3" t="s">
        <v>1259</v>
      </c>
      <c r="B1320" s="4" t="s">
        <v>8</v>
      </c>
    </row>
    <row r="1321">
      <c r="A1321" s="3" t="s">
        <v>1279</v>
      </c>
      <c r="B1321" s="4" t="s">
        <v>3</v>
      </c>
    </row>
    <row r="1322">
      <c r="A1322" s="3" t="s">
        <v>1279</v>
      </c>
      <c r="B1322" s="4" t="s">
        <v>8</v>
      </c>
    </row>
    <row r="1323">
      <c r="A1323" s="3" t="s">
        <v>1279</v>
      </c>
      <c r="B1323" s="4" t="s">
        <v>3</v>
      </c>
    </row>
    <row r="1324">
      <c r="A1324" s="3" t="s">
        <v>1279</v>
      </c>
      <c r="B1324" s="4" t="s">
        <v>3</v>
      </c>
    </row>
    <row r="1325">
      <c r="A1325" s="3" t="s">
        <v>1279</v>
      </c>
      <c r="B1325" s="4" t="s">
        <v>8</v>
      </c>
    </row>
    <row r="1326">
      <c r="A1326" s="3" t="s">
        <v>1279</v>
      </c>
      <c r="B1326" s="4" t="s">
        <v>8</v>
      </c>
    </row>
    <row r="1327">
      <c r="A1327" s="3" t="s">
        <v>1279</v>
      </c>
      <c r="B1327" s="4" t="s">
        <v>8</v>
      </c>
    </row>
    <row r="1328">
      <c r="A1328" s="3" t="s">
        <v>1279</v>
      </c>
      <c r="B1328" s="4" t="s">
        <v>3</v>
      </c>
    </row>
    <row r="1329">
      <c r="A1329" s="3" t="s">
        <v>1279</v>
      </c>
      <c r="B1329" s="4" t="s">
        <v>8</v>
      </c>
    </row>
    <row r="1330">
      <c r="A1330" s="3" t="s">
        <v>1279</v>
      </c>
      <c r="B1330" s="4" t="s">
        <v>3</v>
      </c>
    </row>
    <row r="1331">
      <c r="A1331" s="3" t="s">
        <v>1279</v>
      </c>
      <c r="B1331" s="4" t="s">
        <v>8</v>
      </c>
    </row>
    <row r="1332">
      <c r="A1332" s="3" t="s">
        <v>1279</v>
      </c>
      <c r="B1332" s="4" t="s">
        <v>8</v>
      </c>
    </row>
    <row r="1333">
      <c r="A1333" s="3" t="s">
        <v>1279</v>
      </c>
      <c r="B1333" s="4" t="s">
        <v>3</v>
      </c>
    </row>
    <row r="1334">
      <c r="A1334" s="3" t="s">
        <v>1279</v>
      </c>
      <c r="B1334" s="4" t="s">
        <v>3</v>
      </c>
    </row>
    <row r="1335">
      <c r="A1335" s="3" t="s">
        <v>1279</v>
      </c>
      <c r="B1335" s="4" t="s">
        <v>3</v>
      </c>
    </row>
    <row r="1336">
      <c r="A1336" s="3" t="s">
        <v>1279</v>
      </c>
      <c r="B1336" s="4" t="s">
        <v>3</v>
      </c>
    </row>
    <row r="1337">
      <c r="A1337" s="3" t="s">
        <v>1279</v>
      </c>
      <c r="B1337" s="4" t="s">
        <v>3</v>
      </c>
    </row>
    <row r="1338">
      <c r="A1338" s="3" t="s">
        <v>1279</v>
      </c>
      <c r="B1338" s="4" t="s">
        <v>3</v>
      </c>
    </row>
    <row r="1339">
      <c r="A1339" s="3" t="s">
        <v>1279</v>
      </c>
      <c r="B1339" s="4" t="s">
        <v>8</v>
      </c>
    </row>
    <row r="1340">
      <c r="A1340" s="3" t="s">
        <v>1279</v>
      </c>
      <c r="B1340" s="4" t="s">
        <v>8</v>
      </c>
    </row>
    <row r="1341">
      <c r="A1341" s="3" t="s">
        <v>1296</v>
      </c>
      <c r="B1341" s="4" t="s">
        <v>8</v>
      </c>
    </row>
    <row r="1342">
      <c r="A1342" s="3" t="s">
        <v>1296</v>
      </c>
      <c r="B1342" s="4" t="s">
        <v>3</v>
      </c>
    </row>
    <row r="1343">
      <c r="A1343" s="3" t="s">
        <v>1296</v>
      </c>
      <c r="B1343" s="4" t="s">
        <v>3</v>
      </c>
    </row>
    <row r="1344">
      <c r="A1344" s="3" t="s">
        <v>1296</v>
      </c>
      <c r="B1344" s="4" t="s">
        <v>8</v>
      </c>
    </row>
    <row r="1345">
      <c r="A1345" s="3" t="s">
        <v>1296</v>
      </c>
      <c r="B1345" s="4" t="s">
        <v>3</v>
      </c>
    </row>
    <row r="1346">
      <c r="A1346" s="3" t="s">
        <v>1296</v>
      </c>
      <c r="B1346" s="4" t="s">
        <v>8</v>
      </c>
    </row>
    <row r="1347">
      <c r="A1347" s="3" t="s">
        <v>1296</v>
      </c>
      <c r="B1347" s="4" t="s">
        <v>8</v>
      </c>
    </row>
    <row r="1348">
      <c r="A1348" s="3" t="s">
        <v>1296</v>
      </c>
      <c r="B1348" s="4" t="s">
        <v>8</v>
      </c>
    </row>
    <row r="1349">
      <c r="A1349" s="3" t="s">
        <v>1296</v>
      </c>
      <c r="B1349" s="4" t="s">
        <v>8</v>
      </c>
    </row>
    <row r="1350">
      <c r="A1350" s="3" t="s">
        <v>1296</v>
      </c>
      <c r="B1350" s="4" t="s">
        <v>3</v>
      </c>
    </row>
    <row r="1351">
      <c r="A1351" s="3" t="s">
        <v>1296</v>
      </c>
      <c r="B1351" s="4" t="s">
        <v>3</v>
      </c>
    </row>
    <row r="1352">
      <c r="A1352" s="3" t="s">
        <v>1296</v>
      </c>
      <c r="B1352" s="4" t="s">
        <v>3</v>
      </c>
    </row>
    <row r="1353">
      <c r="A1353" s="3" t="s">
        <v>1296</v>
      </c>
      <c r="B1353" s="4" t="s">
        <v>8</v>
      </c>
    </row>
    <row r="1354">
      <c r="A1354" s="3" t="s">
        <v>1296</v>
      </c>
      <c r="B1354" s="4" t="s">
        <v>8</v>
      </c>
    </row>
    <row r="1355">
      <c r="A1355" s="3" t="s">
        <v>1296</v>
      </c>
      <c r="B1355" s="4" t="s">
        <v>8</v>
      </c>
    </row>
    <row r="1356">
      <c r="A1356" s="3" t="s">
        <v>1296</v>
      </c>
      <c r="B1356" s="4" t="s">
        <v>3</v>
      </c>
    </row>
    <row r="1357">
      <c r="A1357" s="3" t="s">
        <v>1296</v>
      </c>
      <c r="B1357" s="4" t="s">
        <v>3</v>
      </c>
    </row>
    <row r="1358">
      <c r="A1358" s="3" t="s">
        <v>1296</v>
      </c>
      <c r="B1358" s="4" t="s">
        <v>3</v>
      </c>
    </row>
    <row r="1359">
      <c r="A1359" s="3" t="s">
        <v>1296</v>
      </c>
      <c r="B1359" s="4" t="s">
        <v>3</v>
      </c>
    </row>
    <row r="1360">
      <c r="A1360" s="3" t="s">
        <v>1296</v>
      </c>
      <c r="B1360" s="4" t="s">
        <v>3</v>
      </c>
    </row>
    <row r="1361">
      <c r="A1361" s="3" t="s">
        <v>1309</v>
      </c>
      <c r="B1361" s="4" t="s">
        <v>8</v>
      </c>
    </row>
    <row r="1362">
      <c r="A1362" s="3" t="s">
        <v>1309</v>
      </c>
      <c r="B1362" s="4" t="s">
        <v>8</v>
      </c>
    </row>
    <row r="1363">
      <c r="A1363" s="3" t="s">
        <v>1309</v>
      </c>
      <c r="B1363" s="4" t="s">
        <v>3</v>
      </c>
    </row>
    <row r="1364">
      <c r="A1364" s="3" t="s">
        <v>1309</v>
      </c>
      <c r="B1364" s="4" t="s">
        <v>8</v>
      </c>
    </row>
    <row r="1365">
      <c r="A1365" s="3" t="s">
        <v>1309</v>
      </c>
      <c r="B1365" s="4" t="s">
        <v>3</v>
      </c>
    </row>
    <row r="1366">
      <c r="A1366" s="3" t="s">
        <v>1309</v>
      </c>
      <c r="B1366" s="4" t="s">
        <v>8</v>
      </c>
    </row>
    <row r="1367">
      <c r="A1367" s="3" t="s">
        <v>1309</v>
      </c>
      <c r="B1367" s="4" t="s">
        <v>3</v>
      </c>
    </row>
    <row r="1368">
      <c r="A1368" s="3" t="s">
        <v>1309</v>
      </c>
      <c r="B1368" s="4" t="s">
        <v>8</v>
      </c>
    </row>
    <row r="1369">
      <c r="A1369" s="3" t="s">
        <v>1309</v>
      </c>
      <c r="B1369" s="4" t="s">
        <v>3</v>
      </c>
    </row>
    <row r="1370">
      <c r="A1370" s="3" t="s">
        <v>1309</v>
      </c>
      <c r="B1370" s="4" t="s">
        <v>8</v>
      </c>
    </row>
    <row r="1371">
      <c r="A1371" s="3" t="s">
        <v>1309</v>
      </c>
      <c r="B1371" s="4" t="s">
        <v>3</v>
      </c>
    </row>
    <row r="1372">
      <c r="A1372" s="3" t="s">
        <v>1309</v>
      </c>
      <c r="B1372" s="4" t="s">
        <v>3</v>
      </c>
    </row>
    <row r="1373">
      <c r="A1373" s="3" t="s">
        <v>1309</v>
      </c>
      <c r="B1373" s="4" t="s">
        <v>8</v>
      </c>
    </row>
    <row r="1374">
      <c r="A1374" s="3" t="s">
        <v>1309</v>
      </c>
      <c r="B1374" s="4" t="s">
        <v>3</v>
      </c>
    </row>
    <row r="1375">
      <c r="A1375" s="3" t="s">
        <v>1309</v>
      </c>
      <c r="B1375" s="4" t="s">
        <v>8</v>
      </c>
    </row>
    <row r="1376">
      <c r="A1376" s="3" t="s">
        <v>1309</v>
      </c>
      <c r="B1376" s="4" t="s">
        <v>3</v>
      </c>
    </row>
    <row r="1377">
      <c r="A1377" s="3" t="s">
        <v>1309</v>
      </c>
      <c r="B1377" s="4" t="s">
        <v>3</v>
      </c>
    </row>
    <row r="1378">
      <c r="A1378" s="3" t="s">
        <v>1309</v>
      </c>
      <c r="B1378" s="4" t="s">
        <v>8</v>
      </c>
    </row>
    <row r="1379">
      <c r="A1379" s="3" t="s">
        <v>1309</v>
      </c>
      <c r="B1379" s="4" t="s">
        <v>8</v>
      </c>
    </row>
    <row r="1380">
      <c r="A1380" s="3" t="s">
        <v>1309</v>
      </c>
      <c r="B1380" s="4" t="s">
        <v>8</v>
      </c>
    </row>
    <row r="1381">
      <c r="A1381" s="3" t="s">
        <v>1326</v>
      </c>
      <c r="B1381" s="4" t="s">
        <v>3</v>
      </c>
    </row>
    <row r="1382">
      <c r="A1382" s="3" t="s">
        <v>1326</v>
      </c>
      <c r="B1382" s="4" t="s">
        <v>8</v>
      </c>
    </row>
    <row r="1383">
      <c r="A1383" s="3" t="s">
        <v>1326</v>
      </c>
      <c r="B1383" s="4" t="s">
        <v>3</v>
      </c>
    </row>
    <row r="1384">
      <c r="A1384" s="3" t="s">
        <v>1326</v>
      </c>
      <c r="B1384" s="4" t="s">
        <v>8</v>
      </c>
    </row>
    <row r="1385">
      <c r="A1385" s="3" t="s">
        <v>1326</v>
      </c>
      <c r="B1385" s="4" t="s">
        <v>8</v>
      </c>
    </row>
    <row r="1386">
      <c r="A1386" s="3" t="s">
        <v>1326</v>
      </c>
      <c r="B1386" s="4" t="s">
        <v>8</v>
      </c>
    </row>
    <row r="1387">
      <c r="A1387" s="3" t="s">
        <v>1326</v>
      </c>
      <c r="B1387" s="4" t="s">
        <v>8</v>
      </c>
    </row>
    <row r="1388">
      <c r="A1388" s="3" t="s">
        <v>1326</v>
      </c>
      <c r="B1388" s="4" t="s">
        <v>8</v>
      </c>
    </row>
    <row r="1389">
      <c r="A1389" s="3" t="s">
        <v>1326</v>
      </c>
      <c r="B1389" s="4" t="s">
        <v>8</v>
      </c>
    </row>
    <row r="1390">
      <c r="A1390" s="3" t="s">
        <v>1326</v>
      </c>
      <c r="B1390" s="4" t="s">
        <v>3</v>
      </c>
    </row>
    <row r="1391">
      <c r="A1391" s="3" t="s">
        <v>1326</v>
      </c>
      <c r="B1391" s="4" t="s">
        <v>3</v>
      </c>
    </row>
    <row r="1392">
      <c r="A1392" s="3" t="s">
        <v>1326</v>
      </c>
      <c r="B1392" s="4" t="s">
        <v>8</v>
      </c>
    </row>
    <row r="1393">
      <c r="A1393" s="3" t="s">
        <v>1326</v>
      </c>
      <c r="B1393" s="4" t="s">
        <v>8</v>
      </c>
    </row>
    <row r="1394">
      <c r="A1394" s="3" t="s">
        <v>1326</v>
      </c>
      <c r="B1394" s="4" t="s">
        <v>8</v>
      </c>
    </row>
    <row r="1395">
      <c r="A1395" s="3" t="s">
        <v>1326</v>
      </c>
      <c r="B1395" s="4" t="s">
        <v>3</v>
      </c>
    </row>
    <row r="1396">
      <c r="A1396" s="3" t="s">
        <v>1326</v>
      </c>
      <c r="B1396" s="4" t="s">
        <v>8</v>
      </c>
    </row>
    <row r="1397">
      <c r="A1397" s="3" t="s">
        <v>1326</v>
      </c>
      <c r="B1397" s="4" t="s">
        <v>8</v>
      </c>
    </row>
    <row r="1398">
      <c r="A1398" s="3" t="s">
        <v>1326</v>
      </c>
      <c r="B1398" s="4" t="s">
        <v>3</v>
      </c>
    </row>
    <row r="1399">
      <c r="A1399" s="3" t="s">
        <v>1326</v>
      </c>
      <c r="B1399" s="4" t="s">
        <v>3</v>
      </c>
    </row>
    <row r="1400">
      <c r="A1400" s="3" t="s">
        <v>1326</v>
      </c>
      <c r="B1400" s="4" t="s">
        <v>3</v>
      </c>
    </row>
    <row r="1401">
      <c r="A1401" s="3" t="s">
        <v>1340</v>
      </c>
      <c r="B1401" s="4" t="s">
        <v>3</v>
      </c>
    </row>
    <row r="1402">
      <c r="A1402" s="3" t="s">
        <v>1340</v>
      </c>
      <c r="B1402" s="4" t="s">
        <v>8</v>
      </c>
    </row>
    <row r="1403">
      <c r="A1403" s="3" t="s">
        <v>1340</v>
      </c>
      <c r="B1403" s="4" t="s">
        <v>3</v>
      </c>
    </row>
    <row r="1404">
      <c r="A1404" s="3" t="s">
        <v>1340</v>
      </c>
      <c r="B1404" s="4" t="s">
        <v>3</v>
      </c>
    </row>
    <row r="1405">
      <c r="A1405" s="3" t="s">
        <v>1340</v>
      </c>
      <c r="B1405" s="4" t="s">
        <v>8</v>
      </c>
    </row>
    <row r="1406">
      <c r="A1406" s="3" t="s">
        <v>1340</v>
      </c>
      <c r="B1406" s="4" t="s">
        <v>3</v>
      </c>
    </row>
    <row r="1407">
      <c r="A1407" s="3" t="s">
        <v>1340</v>
      </c>
      <c r="B1407" s="4" t="s">
        <v>8</v>
      </c>
    </row>
    <row r="1408">
      <c r="A1408" s="3" t="s">
        <v>1340</v>
      </c>
      <c r="B1408" s="4" t="s">
        <v>3</v>
      </c>
    </row>
    <row r="1409">
      <c r="A1409" s="3" t="s">
        <v>1340</v>
      </c>
      <c r="B1409" s="4" t="s">
        <v>3</v>
      </c>
    </row>
    <row r="1410">
      <c r="A1410" s="3" t="s">
        <v>1340</v>
      </c>
      <c r="B1410" s="4" t="s">
        <v>8</v>
      </c>
    </row>
    <row r="1411">
      <c r="A1411" s="3" t="s">
        <v>1340</v>
      </c>
      <c r="B1411" s="4" t="s">
        <v>8</v>
      </c>
    </row>
    <row r="1412">
      <c r="A1412" s="3" t="s">
        <v>1340</v>
      </c>
      <c r="B1412" s="4" t="s">
        <v>3</v>
      </c>
    </row>
    <row r="1413">
      <c r="A1413" s="3" t="s">
        <v>1340</v>
      </c>
      <c r="B1413" s="4" t="s">
        <v>3</v>
      </c>
    </row>
    <row r="1414">
      <c r="A1414" s="3" t="s">
        <v>1340</v>
      </c>
      <c r="B1414" s="4" t="s">
        <v>8</v>
      </c>
    </row>
    <row r="1415">
      <c r="A1415" s="3" t="s">
        <v>1340</v>
      </c>
      <c r="B1415" s="4" t="s">
        <v>3</v>
      </c>
    </row>
    <row r="1416">
      <c r="A1416" s="3" t="s">
        <v>1340</v>
      </c>
      <c r="B1416" s="4" t="s">
        <v>8</v>
      </c>
    </row>
    <row r="1417">
      <c r="A1417" s="3" t="s">
        <v>1340</v>
      </c>
      <c r="B1417" s="4" t="s">
        <v>3</v>
      </c>
    </row>
    <row r="1418">
      <c r="A1418" s="3" t="s">
        <v>1340</v>
      </c>
      <c r="B1418" s="4" t="s">
        <v>3</v>
      </c>
    </row>
    <row r="1419">
      <c r="A1419" s="3" t="s">
        <v>1340</v>
      </c>
      <c r="B1419" s="4" t="s">
        <v>3</v>
      </c>
    </row>
    <row r="1420">
      <c r="A1420" s="3" t="s">
        <v>1340</v>
      </c>
      <c r="B1420" s="4" t="s">
        <v>3</v>
      </c>
    </row>
    <row r="1421">
      <c r="A1421" s="3" t="s">
        <v>1357</v>
      </c>
      <c r="B1421" s="4" t="s">
        <v>8</v>
      </c>
    </row>
    <row r="1422">
      <c r="A1422" s="3" t="s">
        <v>1357</v>
      </c>
      <c r="B1422" s="4" t="s">
        <v>3</v>
      </c>
    </row>
    <row r="1423">
      <c r="A1423" s="3" t="s">
        <v>1357</v>
      </c>
      <c r="B1423" s="4" t="s">
        <v>8</v>
      </c>
    </row>
    <row r="1424">
      <c r="A1424" s="3" t="s">
        <v>1357</v>
      </c>
      <c r="B1424" s="4" t="s">
        <v>8</v>
      </c>
    </row>
    <row r="1425">
      <c r="A1425" s="3" t="s">
        <v>1357</v>
      </c>
      <c r="B1425" s="4" t="s">
        <v>3</v>
      </c>
    </row>
    <row r="1426">
      <c r="A1426" s="3" t="s">
        <v>1357</v>
      </c>
      <c r="B1426" s="4" t="s">
        <v>8</v>
      </c>
    </row>
    <row r="1427">
      <c r="A1427" s="3" t="s">
        <v>1357</v>
      </c>
      <c r="B1427" s="4" t="s">
        <v>3</v>
      </c>
    </row>
    <row r="1428">
      <c r="A1428" s="3" t="s">
        <v>1357</v>
      </c>
      <c r="B1428" s="4" t="s">
        <v>3</v>
      </c>
    </row>
    <row r="1429">
      <c r="A1429" s="3" t="s">
        <v>1357</v>
      </c>
      <c r="B1429" s="4" t="s">
        <v>8</v>
      </c>
    </row>
    <row r="1430">
      <c r="A1430" s="3" t="s">
        <v>1357</v>
      </c>
      <c r="B1430" s="4" t="s">
        <v>3</v>
      </c>
    </row>
    <row r="1431">
      <c r="A1431" s="3" t="s">
        <v>1357</v>
      </c>
      <c r="B1431" s="4" t="s">
        <v>8</v>
      </c>
    </row>
    <row r="1432">
      <c r="A1432" s="3" t="s">
        <v>1357</v>
      </c>
      <c r="B1432" s="4" t="s">
        <v>3</v>
      </c>
    </row>
    <row r="1433">
      <c r="A1433" s="3" t="s">
        <v>1357</v>
      </c>
      <c r="B1433" s="4" t="s">
        <v>3</v>
      </c>
    </row>
    <row r="1434">
      <c r="A1434" s="3" t="s">
        <v>1357</v>
      </c>
      <c r="B1434" s="4" t="s">
        <v>8</v>
      </c>
    </row>
    <row r="1435">
      <c r="A1435" s="3" t="s">
        <v>1357</v>
      </c>
      <c r="B1435" s="4" t="s">
        <v>3</v>
      </c>
    </row>
    <row r="1436">
      <c r="A1436" s="3" t="s">
        <v>1357</v>
      </c>
      <c r="B1436" s="4" t="s">
        <v>3</v>
      </c>
    </row>
    <row r="1437">
      <c r="A1437" s="3" t="s">
        <v>1357</v>
      </c>
      <c r="B1437" s="4" t="s">
        <v>3</v>
      </c>
    </row>
    <row r="1438">
      <c r="A1438" s="3" t="s">
        <v>1357</v>
      </c>
      <c r="B1438" s="4" t="s">
        <v>8</v>
      </c>
    </row>
    <row r="1439">
      <c r="A1439" s="3" t="s">
        <v>1357</v>
      </c>
      <c r="B1439" s="4" t="s">
        <v>8</v>
      </c>
    </row>
    <row r="1440">
      <c r="A1440" s="3" t="s">
        <v>1357</v>
      </c>
      <c r="B1440" s="4" t="s">
        <v>3</v>
      </c>
    </row>
    <row r="1441">
      <c r="A1441" s="3" t="s">
        <v>1371</v>
      </c>
      <c r="B1441" s="4" t="s">
        <v>3</v>
      </c>
    </row>
    <row r="1442">
      <c r="A1442" s="3" t="s">
        <v>1371</v>
      </c>
      <c r="B1442" s="4" t="s">
        <v>8</v>
      </c>
    </row>
    <row r="1443">
      <c r="A1443" s="3" t="s">
        <v>1371</v>
      </c>
      <c r="B1443" s="4" t="s">
        <v>8</v>
      </c>
    </row>
    <row r="1444">
      <c r="A1444" s="3" t="s">
        <v>1371</v>
      </c>
      <c r="B1444" s="4" t="s">
        <v>8</v>
      </c>
    </row>
    <row r="1445">
      <c r="A1445" s="3" t="s">
        <v>1371</v>
      </c>
      <c r="B1445" s="4" t="s">
        <v>3</v>
      </c>
    </row>
    <row r="1446">
      <c r="A1446" s="3" t="s">
        <v>1371</v>
      </c>
      <c r="B1446" s="4" t="s">
        <v>8</v>
      </c>
    </row>
    <row r="1447">
      <c r="A1447" s="3" t="s">
        <v>1371</v>
      </c>
      <c r="B1447" s="4" t="s">
        <v>8</v>
      </c>
    </row>
    <row r="1448">
      <c r="A1448" s="3" t="s">
        <v>1371</v>
      </c>
      <c r="B1448" s="4" t="s">
        <v>3</v>
      </c>
    </row>
    <row r="1449">
      <c r="A1449" s="3" t="s">
        <v>1371</v>
      </c>
      <c r="B1449" s="4" t="s">
        <v>8</v>
      </c>
    </row>
    <row r="1450">
      <c r="A1450" s="3" t="s">
        <v>1371</v>
      </c>
      <c r="B1450" s="4" t="s">
        <v>3</v>
      </c>
    </row>
    <row r="1451">
      <c r="A1451" s="3" t="s">
        <v>1371</v>
      </c>
      <c r="B1451" s="4" t="s">
        <v>8</v>
      </c>
    </row>
    <row r="1452">
      <c r="A1452" s="3" t="s">
        <v>1371</v>
      </c>
      <c r="B1452" s="4" t="s">
        <v>8</v>
      </c>
    </row>
    <row r="1453">
      <c r="A1453" s="3" t="s">
        <v>1371</v>
      </c>
      <c r="B1453" s="4" t="s">
        <v>3</v>
      </c>
    </row>
    <row r="1454">
      <c r="A1454" s="3" t="s">
        <v>1371</v>
      </c>
      <c r="B1454" s="4" t="s">
        <v>8</v>
      </c>
    </row>
    <row r="1455">
      <c r="A1455" s="3" t="s">
        <v>1371</v>
      </c>
      <c r="B1455" s="4" t="s">
        <v>3</v>
      </c>
    </row>
    <row r="1456">
      <c r="A1456" s="3" t="s">
        <v>1371</v>
      </c>
      <c r="B1456" s="4" t="s">
        <v>8</v>
      </c>
    </row>
    <row r="1457">
      <c r="A1457" s="3" t="s">
        <v>1371</v>
      </c>
      <c r="B1457" s="4" t="s">
        <v>8</v>
      </c>
    </row>
    <row r="1458">
      <c r="A1458" s="3" t="s">
        <v>1371</v>
      </c>
      <c r="B1458" s="4" t="s">
        <v>3</v>
      </c>
    </row>
    <row r="1459">
      <c r="A1459" s="3" t="s">
        <v>1371</v>
      </c>
      <c r="B1459" s="4" t="s">
        <v>3</v>
      </c>
    </row>
    <row r="1460">
      <c r="A1460" s="3" t="s">
        <v>1371</v>
      </c>
      <c r="B1460" s="4" t="s">
        <v>3</v>
      </c>
    </row>
    <row r="1461">
      <c r="A1461" s="3" t="s">
        <v>1385</v>
      </c>
      <c r="B1461" s="4" t="s">
        <v>3</v>
      </c>
    </row>
    <row r="1462">
      <c r="A1462" s="3" t="s">
        <v>1385</v>
      </c>
      <c r="B1462" s="4" t="s">
        <v>3</v>
      </c>
    </row>
    <row r="1463">
      <c r="A1463" s="3" t="s">
        <v>1385</v>
      </c>
      <c r="B1463" s="4" t="s">
        <v>3</v>
      </c>
    </row>
    <row r="1464">
      <c r="A1464" s="3" t="s">
        <v>1385</v>
      </c>
      <c r="B1464" s="4" t="s">
        <v>3</v>
      </c>
    </row>
    <row r="1465">
      <c r="A1465" s="3" t="s">
        <v>1385</v>
      </c>
      <c r="B1465" s="4" t="s">
        <v>3</v>
      </c>
    </row>
    <row r="1466">
      <c r="A1466" s="3" t="s">
        <v>1385</v>
      </c>
      <c r="B1466" s="4" t="s">
        <v>8</v>
      </c>
    </row>
    <row r="1467">
      <c r="A1467" s="3" t="s">
        <v>1385</v>
      </c>
      <c r="B1467" s="4" t="s">
        <v>8</v>
      </c>
    </row>
    <row r="1468">
      <c r="A1468" s="3" t="s">
        <v>1385</v>
      </c>
      <c r="B1468" s="4" t="s">
        <v>3</v>
      </c>
    </row>
    <row r="1469">
      <c r="A1469" s="3" t="s">
        <v>1385</v>
      </c>
      <c r="B1469" s="4" t="s">
        <v>8</v>
      </c>
    </row>
    <row r="1470">
      <c r="A1470" s="3" t="s">
        <v>1385</v>
      </c>
      <c r="B1470" s="4" t="s">
        <v>8</v>
      </c>
    </row>
    <row r="1471">
      <c r="A1471" s="3" t="s">
        <v>1385</v>
      </c>
      <c r="B1471" s="4" t="s">
        <v>8</v>
      </c>
    </row>
    <row r="1472">
      <c r="A1472" s="3" t="s">
        <v>1385</v>
      </c>
      <c r="B1472" s="4" t="s">
        <v>8</v>
      </c>
    </row>
    <row r="1473">
      <c r="A1473" s="3" t="s">
        <v>1385</v>
      </c>
      <c r="B1473" s="4" t="s">
        <v>8</v>
      </c>
    </row>
    <row r="1474">
      <c r="A1474" s="3" t="s">
        <v>1385</v>
      </c>
      <c r="B1474" s="4" t="s">
        <v>3</v>
      </c>
    </row>
    <row r="1475">
      <c r="A1475" s="3" t="s">
        <v>1385</v>
      </c>
      <c r="B1475" s="4" t="s">
        <v>8</v>
      </c>
    </row>
    <row r="1476">
      <c r="A1476" s="3" t="s">
        <v>1385</v>
      </c>
      <c r="B1476" s="4" t="s">
        <v>8</v>
      </c>
    </row>
    <row r="1477">
      <c r="A1477" s="3" t="s">
        <v>1385</v>
      </c>
      <c r="B1477" s="4" t="s">
        <v>3</v>
      </c>
    </row>
    <row r="1478">
      <c r="A1478" s="3" t="s">
        <v>1385</v>
      </c>
      <c r="B1478" s="4" t="s">
        <v>8</v>
      </c>
    </row>
    <row r="1479">
      <c r="A1479" s="3" t="s">
        <v>1385</v>
      </c>
      <c r="B1479" s="4" t="s">
        <v>3</v>
      </c>
    </row>
    <row r="1480">
      <c r="A1480" s="3" t="s">
        <v>1385</v>
      </c>
      <c r="B1480" s="4" t="s">
        <v>8</v>
      </c>
    </row>
    <row r="1481">
      <c r="A1481" s="3" t="s">
        <v>1399</v>
      </c>
      <c r="B1481" s="4" t="s">
        <v>8</v>
      </c>
    </row>
    <row r="1482">
      <c r="A1482" s="3" t="s">
        <v>1399</v>
      </c>
      <c r="B1482" s="4" t="s">
        <v>3</v>
      </c>
    </row>
    <row r="1483">
      <c r="A1483" s="3" t="s">
        <v>1399</v>
      </c>
      <c r="B1483" s="4" t="s">
        <v>3</v>
      </c>
    </row>
    <row r="1484">
      <c r="A1484" s="3" t="s">
        <v>1399</v>
      </c>
      <c r="B1484" s="4" t="s">
        <v>3</v>
      </c>
    </row>
    <row r="1485">
      <c r="A1485" s="3" t="s">
        <v>1399</v>
      </c>
      <c r="B1485" s="4" t="s">
        <v>8</v>
      </c>
    </row>
    <row r="1486">
      <c r="A1486" s="3" t="s">
        <v>1399</v>
      </c>
      <c r="B1486" s="4" t="s">
        <v>8</v>
      </c>
    </row>
    <row r="1487">
      <c r="A1487" s="3" t="s">
        <v>1399</v>
      </c>
      <c r="B1487" s="4" t="s">
        <v>8</v>
      </c>
    </row>
    <row r="1488">
      <c r="A1488" s="3" t="s">
        <v>1399</v>
      </c>
      <c r="B1488" s="4" t="s">
        <v>8</v>
      </c>
    </row>
    <row r="1489">
      <c r="A1489" s="3" t="s">
        <v>1399</v>
      </c>
      <c r="B1489" s="4" t="s">
        <v>8</v>
      </c>
    </row>
    <row r="1490">
      <c r="A1490" s="3" t="s">
        <v>1399</v>
      </c>
      <c r="B1490" s="4" t="s">
        <v>8</v>
      </c>
    </row>
    <row r="1491">
      <c r="A1491" s="3" t="s">
        <v>1399</v>
      </c>
      <c r="B1491" s="4" t="s">
        <v>3</v>
      </c>
    </row>
    <row r="1492">
      <c r="A1492" s="3" t="s">
        <v>1399</v>
      </c>
      <c r="B1492" s="4" t="s">
        <v>8</v>
      </c>
    </row>
    <row r="1493">
      <c r="A1493" s="3" t="s">
        <v>1399</v>
      </c>
      <c r="B1493" s="4" t="s">
        <v>3</v>
      </c>
    </row>
    <row r="1494">
      <c r="A1494" s="3" t="s">
        <v>1399</v>
      </c>
      <c r="B1494" s="4" t="s">
        <v>8</v>
      </c>
    </row>
    <row r="1495">
      <c r="A1495" s="3" t="s">
        <v>1399</v>
      </c>
      <c r="B1495" s="4" t="s">
        <v>8</v>
      </c>
    </row>
    <row r="1496">
      <c r="A1496" s="3" t="s">
        <v>1399</v>
      </c>
      <c r="B1496" s="4" t="s">
        <v>3</v>
      </c>
    </row>
    <row r="1497">
      <c r="A1497" s="3" t="s">
        <v>1399</v>
      </c>
      <c r="B1497" s="4" t="s">
        <v>3</v>
      </c>
    </row>
    <row r="1498">
      <c r="A1498" s="3" t="s">
        <v>1399</v>
      </c>
      <c r="B1498" s="4" t="s">
        <v>8</v>
      </c>
    </row>
    <row r="1499">
      <c r="A1499" s="3" t="s">
        <v>1399</v>
      </c>
      <c r="B1499" s="4" t="s">
        <v>8</v>
      </c>
    </row>
    <row r="1500">
      <c r="A1500" s="3" t="s">
        <v>1399</v>
      </c>
      <c r="B1500" s="4" t="s">
        <v>3</v>
      </c>
    </row>
    <row r="1501">
      <c r="A1501" s="3" t="s">
        <v>1415</v>
      </c>
      <c r="B1501" s="4" t="s">
        <v>3</v>
      </c>
    </row>
    <row r="1502">
      <c r="A1502" s="3" t="s">
        <v>1415</v>
      </c>
      <c r="B1502" s="4" t="s">
        <v>3</v>
      </c>
    </row>
    <row r="1503">
      <c r="A1503" s="3" t="s">
        <v>1415</v>
      </c>
      <c r="B1503" s="4" t="s">
        <v>8</v>
      </c>
    </row>
    <row r="1504">
      <c r="A1504" s="3" t="s">
        <v>1415</v>
      </c>
      <c r="B1504" s="4" t="s">
        <v>8</v>
      </c>
    </row>
    <row r="1505">
      <c r="A1505" s="3" t="s">
        <v>1415</v>
      </c>
      <c r="B1505" s="4" t="s">
        <v>3</v>
      </c>
    </row>
    <row r="1506">
      <c r="A1506" s="3" t="s">
        <v>1415</v>
      </c>
      <c r="B1506" s="4" t="s">
        <v>3</v>
      </c>
    </row>
    <row r="1507">
      <c r="A1507" s="3" t="s">
        <v>1415</v>
      </c>
      <c r="B1507" s="4" t="s">
        <v>8</v>
      </c>
    </row>
    <row r="1508">
      <c r="A1508" s="3" t="s">
        <v>1415</v>
      </c>
      <c r="B1508" s="4" t="s">
        <v>8</v>
      </c>
    </row>
    <row r="1509">
      <c r="A1509" s="3" t="s">
        <v>1415</v>
      </c>
      <c r="B1509" s="4" t="s">
        <v>3</v>
      </c>
    </row>
    <row r="1510">
      <c r="A1510" s="3" t="s">
        <v>1415</v>
      </c>
      <c r="B1510" s="4" t="s">
        <v>8</v>
      </c>
    </row>
    <row r="1511">
      <c r="A1511" s="3" t="s">
        <v>1415</v>
      </c>
      <c r="B1511" s="4" t="s">
        <v>8</v>
      </c>
    </row>
    <row r="1512">
      <c r="A1512" s="3" t="s">
        <v>1415</v>
      </c>
      <c r="B1512" s="4" t="s">
        <v>8</v>
      </c>
    </row>
    <row r="1513">
      <c r="A1513" s="3" t="s">
        <v>1415</v>
      </c>
      <c r="B1513" s="4" t="s">
        <v>8</v>
      </c>
    </row>
    <row r="1514">
      <c r="A1514" s="3" t="s">
        <v>1415</v>
      </c>
      <c r="B1514" s="4" t="s">
        <v>3</v>
      </c>
    </row>
    <row r="1515">
      <c r="A1515" s="3" t="s">
        <v>1415</v>
      </c>
      <c r="B1515" s="4" t="s">
        <v>8</v>
      </c>
    </row>
    <row r="1516">
      <c r="A1516" s="3" t="s">
        <v>1415</v>
      </c>
      <c r="B1516" s="4" t="s">
        <v>8</v>
      </c>
    </row>
    <row r="1517">
      <c r="A1517" s="3" t="s">
        <v>1415</v>
      </c>
      <c r="B1517" s="4" t="s">
        <v>8</v>
      </c>
    </row>
    <row r="1518">
      <c r="A1518" s="3" t="s">
        <v>1415</v>
      </c>
      <c r="B1518" s="4" t="s">
        <v>3</v>
      </c>
    </row>
    <row r="1519">
      <c r="A1519" s="3" t="s">
        <v>1415</v>
      </c>
      <c r="B1519" s="4" t="s">
        <v>3</v>
      </c>
    </row>
    <row r="1520">
      <c r="A1520" s="3" t="s">
        <v>1415</v>
      </c>
      <c r="B1520" s="4" t="s">
        <v>3</v>
      </c>
    </row>
    <row r="1521">
      <c r="A1521" s="3" t="s">
        <v>1428</v>
      </c>
      <c r="B1521" s="4" t="s">
        <v>3</v>
      </c>
    </row>
    <row r="1522">
      <c r="A1522" s="3" t="s">
        <v>1428</v>
      </c>
      <c r="B1522" s="4" t="s">
        <v>8</v>
      </c>
    </row>
    <row r="1523">
      <c r="A1523" s="3" t="s">
        <v>1428</v>
      </c>
      <c r="B1523" s="4" t="s">
        <v>8</v>
      </c>
    </row>
    <row r="1524">
      <c r="A1524" s="3" t="s">
        <v>1428</v>
      </c>
      <c r="B1524" s="4" t="s">
        <v>3</v>
      </c>
    </row>
    <row r="1525">
      <c r="A1525" s="3" t="s">
        <v>1428</v>
      </c>
      <c r="B1525" s="4" t="s">
        <v>3</v>
      </c>
    </row>
    <row r="1526">
      <c r="A1526" s="3" t="s">
        <v>1428</v>
      </c>
      <c r="B1526" s="4" t="s">
        <v>3</v>
      </c>
    </row>
    <row r="1527">
      <c r="A1527" s="3" t="s">
        <v>1428</v>
      </c>
      <c r="B1527" s="4" t="s">
        <v>3</v>
      </c>
    </row>
    <row r="1528">
      <c r="A1528" s="3" t="s">
        <v>1428</v>
      </c>
      <c r="B1528" s="4" t="s">
        <v>3</v>
      </c>
    </row>
    <row r="1529">
      <c r="A1529" s="3" t="s">
        <v>1428</v>
      </c>
      <c r="B1529" s="4" t="s">
        <v>3</v>
      </c>
    </row>
    <row r="1530">
      <c r="A1530" s="3" t="s">
        <v>1428</v>
      </c>
      <c r="B1530" s="4" t="s">
        <v>3</v>
      </c>
    </row>
    <row r="1531">
      <c r="A1531" s="3" t="s">
        <v>1428</v>
      </c>
      <c r="B1531" s="4" t="s">
        <v>3</v>
      </c>
    </row>
    <row r="1532">
      <c r="A1532" s="3" t="s">
        <v>1428</v>
      </c>
      <c r="B1532" s="4" t="s">
        <v>3</v>
      </c>
    </row>
    <row r="1533">
      <c r="A1533" s="3" t="s">
        <v>1428</v>
      </c>
      <c r="B1533" s="4" t="s">
        <v>8</v>
      </c>
    </row>
    <row r="1534">
      <c r="A1534" s="3" t="s">
        <v>1428</v>
      </c>
      <c r="B1534" s="4" t="s">
        <v>8</v>
      </c>
    </row>
    <row r="1535">
      <c r="A1535" s="3" t="s">
        <v>1428</v>
      </c>
      <c r="B1535" s="4" t="s">
        <v>3</v>
      </c>
    </row>
    <row r="1536">
      <c r="A1536" s="3" t="s">
        <v>1428</v>
      </c>
      <c r="B1536" s="4" t="s">
        <v>8</v>
      </c>
    </row>
    <row r="1537">
      <c r="A1537" s="3" t="s">
        <v>1428</v>
      </c>
      <c r="B1537" s="4" t="s">
        <v>8</v>
      </c>
    </row>
    <row r="1538">
      <c r="A1538" s="3" t="s">
        <v>1428</v>
      </c>
      <c r="B1538" s="4" t="s">
        <v>8</v>
      </c>
    </row>
    <row r="1539">
      <c r="A1539" s="3" t="s">
        <v>1428</v>
      </c>
      <c r="B1539" s="4" t="s">
        <v>8</v>
      </c>
    </row>
    <row r="1540">
      <c r="A1540" s="3" t="s">
        <v>1428</v>
      </c>
      <c r="B1540" s="4" t="s">
        <v>3</v>
      </c>
    </row>
    <row r="1541">
      <c r="A1541" s="3" t="s">
        <v>1444</v>
      </c>
      <c r="B1541" s="4" t="s">
        <v>3</v>
      </c>
    </row>
    <row r="1542">
      <c r="A1542" s="3" t="s">
        <v>1444</v>
      </c>
      <c r="B1542" s="4" t="s">
        <v>8</v>
      </c>
    </row>
    <row r="1543">
      <c r="A1543" s="3" t="s">
        <v>1444</v>
      </c>
      <c r="B1543" s="4" t="s">
        <v>8</v>
      </c>
    </row>
    <row r="1544">
      <c r="A1544" s="3" t="s">
        <v>1444</v>
      </c>
      <c r="B1544" s="4" t="s">
        <v>8</v>
      </c>
    </row>
    <row r="1545">
      <c r="A1545" s="3" t="s">
        <v>1444</v>
      </c>
      <c r="B1545" s="4" t="s">
        <v>3</v>
      </c>
    </row>
    <row r="1546">
      <c r="A1546" s="3" t="s">
        <v>1444</v>
      </c>
      <c r="B1546" s="4" t="s">
        <v>3</v>
      </c>
    </row>
    <row r="1547">
      <c r="A1547" s="3" t="s">
        <v>1444</v>
      </c>
      <c r="B1547" s="4" t="s">
        <v>3</v>
      </c>
    </row>
    <row r="1548">
      <c r="A1548" s="3" t="s">
        <v>1444</v>
      </c>
      <c r="B1548" s="4" t="s">
        <v>3</v>
      </c>
    </row>
    <row r="1549">
      <c r="A1549" s="3" t="s">
        <v>1444</v>
      </c>
      <c r="B1549" s="4" t="s">
        <v>8</v>
      </c>
    </row>
    <row r="1550">
      <c r="A1550" s="3" t="s">
        <v>1444</v>
      </c>
      <c r="B1550" s="4" t="s">
        <v>3</v>
      </c>
    </row>
    <row r="1551">
      <c r="A1551" s="3" t="s">
        <v>1444</v>
      </c>
      <c r="B1551" s="4" t="s">
        <v>3</v>
      </c>
    </row>
    <row r="1552">
      <c r="A1552" s="3" t="s">
        <v>1444</v>
      </c>
      <c r="B1552" s="4" t="s">
        <v>8</v>
      </c>
    </row>
    <row r="1553">
      <c r="A1553" s="3" t="s">
        <v>1444</v>
      </c>
      <c r="B1553" s="4" t="s">
        <v>3</v>
      </c>
    </row>
    <row r="1554">
      <c r="A1554" s="3" t="s">
        <v>1444</v>
      </c>
      <c r="B1554" s="4" t="s">
        <v>8</v>
      </c>
    </row>
    <row r="1555">
      <c r="A1555" s="3" t="s">
        <v>1444</v>
      </c>
      <c r="B1555" s="4" t="s">
        <v>8</v>
      </c>
    </row>
    <row r="1556">
      <c r="A1556" s="3" t="s">
        <v>1444</v>
      </c>
      <c r="B1556" s="4" t="s">
        <v>8</v>
      </c>
    </row>
    <row r="1557">
      <c r="A1557" s="3" t="s">
        <v>1444</v>
      </c>
      <c r="B1557" s="4" t="s">
        <v>8</v>
      </c>
    </row>
    <row r="1558">
      <c r="A1558" s="3" t="s">
        <v>1444</v>
      </c>
      <c r="B1558" s="4" t="s">
        <v>8</v>
      </c>
    </row>
    <row r="1559">
      <c r="A1559" s="3" t="s">
        <v>1444</v>
      </c>
      <c r="B1559" s="4" t="s">
        <v>8</v>
      </c>
    </row>
    <row r="1560">
      <c r="A1560" s="3" t="s">
        <v>1444</v>
      </c>
      <c r="B1560" s="4" t="s">
        <v>8</v>
      </c>
    </row>
    <row r="1561">
      <c r="A1561" s="3" t="s">
        <v>1454</v>
      </c>
      <c r="B1561" s="4" t="s">
        <v>8</v>
      </c>
    </row>
    <row r="1562">
      <c r="A1562" s="3" t="s">
        <v>1454</v>
      </c>
      <c r="B1562" s="4" t="s">
        <v>3</v>
      </c>
    </row>
    <row r="1563">
      <c r="A1563" s="3" t="s">
        <v>1454</v>
      </c>
      <c r="B1563" s="4" t="s">
        <v>8</v>
      </c>
    </row>
    <row r="1564">
      <c r="A1564" s="3" t="s">
        <v>1454</v>
      </c>
      <c r="B1564" s="4" t="s">
        <v>8</v>
      </c>
    </row>
    <row r="1565">
      <c r="A1565" s="3" t="s">
        <v>1454</v>
      </c>
      <c r="B1565" s="4" t="s">
        <v>8</v>
      </c>
    </row>
    <row r="1566">
      <c r="A1566" s="3" t="s">
        <v>1454</v>
      </c>
      <c r="B1566" s="4" t="s">
        <v>8</v>
      </c>
    </row>
    <row r="1567">
      <c r="A1567" s="3" t="s">
        <v>1454</v>
      </c>
      <c r="B1567" s="4" t="s">
        <v>8</v>
      </c>
    </row>
    <row r="1568">
      <c r="A1568" s="3" t="s">
        <v>1454</v>
      </c>
      <c r="B1568" s="4" t="s">
        <v>3</v>
      </c>
    </row>
    <row r="1569">
      <c r="A1569" s="3" t="s">
        <v>1454</v>
      </c>
      <c r="B1569" s="4" t="s">
        <v>8</v>
      </c>
    </row>
    <row r="1570">
      <c r="A1570" s="3" t="s">
        <v>1454</v>
      </c>
      <c r="B1570" s="4" t="s">
        <v>8</v>
      </c>
    </row>
    <row r="1571">
      <c r="A1571" s="3" t="s">
        <v>1454</v>
      </c>
      <c r="B1571" s="4" t="s">
        <v>3</v>
      </c>
    </row>
    <row r="1572">
      <c r="A1572" s="3" t="s">
        <v>1454</v>
      </c>
      <c r="B1572" s="4" t="s">
        <v>3</v>
      </c>
    </row>
    <row r="1573">
      <c r="A1573" s="3" t="s">
        <v>1454</v>
      </c>
      <c r="B1573" s="4" t="s">
        <v>3</v>
      </c>
    </row>
    <row r="1574">
      <c r="A1574" s="3" t="s">
        <v>1454</v>
      </c>
      <c r="B1574" s="4" t="s">
        <v>8</v>
      </c>
    </row>
    <row r="1575">
      <c r="A1575" s="3" t="s">
        <v>1454</v>
      </c>
      <c r="B1575" s="4" t="s">
        <v>8</v>
      </c>
    </row>
    <row r="1576">
      <c r="A1576" s="3" t="s">
        <v>1454</v>
      </c>
      <c r="B1576" s="4" t="s">
        <v>8</v>
      </c>
    </row>
    <row r="1577">
      <c r="A1577" s="3" t="s">
        <v>1454</v>
      </c>
      <c r="B1577" s="4" t="s">
        <v>3</v>
      </c>
    </row>
    <row r="1578">
      <c r="A1578" s="3" t="s">
        <v>1454</v>
      </c>
      <c r="B1578" s="4" t="s">
        <v>3</v>
      </c>
    </row>
    <row r="1579">
      <c r="A1579" s="3" t="s">
        <v>1454</v>
      </c>
      <c r="B1579" s="4" t="s">
        <v>3</v>
      </c>
    </row>
    <row r="1580">
      <c r="A1580" s="3" t="s">
        <v>1454</v>
      </c>
      <c r="B1580" s="4" t="s">
        <v>3</v>
      </c>
    </row>
    <row r="1581">
      <c r="A1581" s="3" t="s">
        <v>1467</v>
      </c>
      <c r="B1581" s="4" t="s">
        <v>3</v>
      </c>
    </row>
    <row r="1582">
      <c r="A1582" s="3" t="s">
        <v>1467</v>
      </c>
      <c r="B1582" s="4" t="s">
        <v>3</v>
      </c>
    </row>
    <row r="1583">
      <c r="A1583" s="3" t="s">
        <v>1467</v>
      </c>
      <c r="B1583" s="4" t="s">
        <v>8</v>
      </c>
    </row>
    <row r="1584">
      <c r="A1584" s="3" t="s">
        <v>1467</v>
      </c>
      <c r="B1584" s="4" t="s">
        <v>3</v>
      </c>
    </row>
    <row r="1585">
      <c r="A1585" s="3" t="s">
        <v>1467</v>
      </c>
      <c r="B1585" s="4" t="s">
        <v>3</v>
      </c>
    </row>
    <row r="1586">
      <c r="A1586" s="3" t="s">
        <v>1467</v>
      </c>
      <c r="B1586" s="4" t="s">
        <v>8</v>
      </c>
    </row>
    <row r="1587">
      <c r="A1587" s="3" t="s">
        <v>1467</v>
      </c>
      <c r="B1587" s="4" t="s">
        <v>3</v>
      </c>
    </row>
    <row r="1588">
      <c r="A1588" s="3" t="s">
        <v>1467</v>
      </c>
      <c r="B1588" s="4" t="s">
        <v>3</v>
      </c>
    </row>
    <row r="1589">
      <c r="A1589" s="3" t="s">
        <v>1467</v>
      </c>
      <c r="B1589" s="4" t="s">
        <v>8</v>
      </c>
    </row>
    <row r="1590">
      <c r="A1590" s="3" t="s">
        <v>1467</v>
      </c>
      <c r="B1590" s="4" t="s">
        <v>3</v>
      </c>
    </row>
    <row r="1591">
      <c r="A1591" s="3" t="s">
        <v>1467</v>
      </c>
      <c r="B1591" s="4" t="s">
        <v>3</v>
      </c>
    </row>
    <row r="1592">
      <c r="A1592" s="3" t="s">
        <v>1467</v>
      </c>
      <c r="B1592" s="4" t="s">
        <v>8</v>
      </c>
    </row>
    <row r="1593">
      <c r="A1593" s="3" t="s">
        <v>1467</v>
      </c>
      <c r="B1593" s="4" t="s">
        <v>3</v>
      </c>
    </row>
    <row r="1594">
      <c r="A1594" s="3" t="s">
        <v>1467</v>
      </c>
      <c r="B1594" s="4" t="s">
        <v>8</v>
      </c>
    </row>
    <row r="1595">
      <c r="A1595" s="3" t="s">
        <v>1467</v>
      </c>
      <c r="B1595" s="4" t="s">
        <v>3</v>
      </c>
    </row>
    <row r="1596">
      <c r="A1596" s="3" t="s">
        <v>1467</v>
      </c>
      <c r="B1596" s="4" t="s">
        <v>3</v>
      </c>
    </row>
    <row r="1597">
      <c r="A1597" s="3" t="s">
        <v>1467</v>
      </c>
      <c r="B1597" s="4" t="s">
        <v>3</v>
      </c>
    </row>
    <row r="1598">
      <c r="A1598" s="3" t="s">
        <v>1467</v>
      </c>
      <c r="B1598" s="4" t="s">
        <v>8</v>
      </c>
    </row>
    <row r="1599">
      <c r="A1599" s="3" t="s">
        <v>1467</v>
      </c>
      <c r="B1599" s="4" t="s">
        <v>3</v>
      </c>
    </row>
    <row r="1600">
      <c r="A1600" s="3" t="s">
        <v>1467</v>
      </c>
      <c r="B1600" s="4" t="s">
        <v>3</v>
      </c>
    </row>
    <row r="1601">
      <c r="A1601" s="3" t="s">
        <v>1484</v>
      </c>
      <c r="B1601" s="4" t="s">
        <v>3</v>
      </c>
    </row>
    <row r="1602">
      <c r="A1602" s="3" t="s">
        <v>1484</v>
      </c>
      <c r="B1602" s="4" t="s">
        <v>8</v>
      </c>
    </row>
    <row r="1603">
      <c r="A1603" s="3" t="s">
        <v>1484</v>
      </c>
      <c r="B1603" s="4" t="s">
        <v>3</v>
      </c>
    </row>
    <row r="1604">
      <c r="A1604" s="3" t="s">
        <v>1484</v>
      </c>
      <c r="B1604" s="4" t="s">
        <v>3</v>
      </c>
    </row>
    <row r="1605">
      <c r="A1605" s="3" t="s">
        <v>1484</v>
      </c>
      <c r="B1605" s="4" t="s">
        <v>8</v>
      </c>
    </row>
    <row r="1606">
      <c r="A1606" s="3" t="s">
        <v>1484</v>
      </c>
      <c r="B1606" s="4" t="s">
        <v>3</v>
      </c>
    </row>
    <row r="1607">
      <c r="A1607" s="3" t="s">
        <v>1484</v>
      </c>
      <c r="B1607" s="4" t="s">
        <v>3</v>
      </c>
    </row>
    <row r="1608">
      <c r="A1608" s="3" t="s">
        <v>1484</v>
      </c>
      <c r="B1608" s="4" t="s">
        <v>3</v>
      </c>
    </row>
    <row r="1609">
      <c r="A1609" s="3" t="s">
        <v>1484</v>
      </c>
      <c r="B1609" s="4" t="s">
        <v>8</v>
      </c>
    </row>
    <row r="1610">
      <c r="A1610" s="3" t="s">
        <v>1484</v>
      </c>
      <c r="B1610" s="4" t="s">
        <v>8</v>
      </c>
    </row>
    <row r="1611">
      <c r="A1611" s="3" t="s">
        <v>1484</v>
      </c>
      <c r="B1611" s="4" t="s">
        <v>3</v>
      </c>
    </row>
    <row r="1612">
      <c r="A1612" s="3" t="s">
        <v>1484</v>
      </c>
      <c r="B1612" s="4" t="s">
        <v>3</v>
      </c>
    </row>
    <row r="1613">
      <c r="A1613" s="3" t="s">
        <v>1484</v>
      </c>
      <c r="B1613" s="4" t="s">
        <v>3</v>
      </c>
    </row>
    <row r="1614">
      <c r="A1614" s="3" t="s">
        <v>1484</v>
      </c>
      <c r="B1614" s="4" t="s">
        <v>3</v>
      </c>
    </row>
    <row r="1615">
      <c r="A1615" s="3" t="s">
        <v>1484</v>
      </c>
      <c r="B1615" s="4" t="s">
        <v>3</v>
      </c>
    </row>
    <row r="1616">
      <c r="A1616" s="3" t="s">
        <v>1484</v>
      </c>
      <c r="B1616" s="4" t="s">
        <v>8</v>
      </c>
    </row>
    <row r="1617">
      <c r="A1617" s="3" t="s">
        <v>1484</v>
      </c>
      <c r="B1617" s="4" t="s">
        <v>3</v>
      </c>
    </row>
    <row r="1618">
      <c r="A1618" s="3" t="s">
        <v>1484</v>
      </c>
      <c r="B1618" s="4" t="s">
        <v>3</v>
      </c>
    </row>
    <row r="1619">
      <c r="A1619" s="3" t="s">
        <v>1484</v>
      </c>
      <c r="B1619" s="4" t="s">
        <v>3</v>
      </c>
    </row>
    <row r="1620">
      <c r="A1620" s="3" t="s">
        <v>1484</v>
      </c>
      <c r="B1620" s="4" t="s">
        <v>8</v>
      </c>
    </row>
    <row r="1621">
      <c r="A1621" s="3" t="s">
        <v>1498</v>
      </c>
      <c r="B1621" s="4" t="s">
        <v>8</v>
      </c>
    </row>
    <row r="1622">
      <c r="A1622" s="3" t="s">
        <v>1498</v>
      </c>
      <c r="B1622" s="4" t="s">
        <v>3</v>
      </c>
    </row>
    <row r="1623">
      <c r="A1623" s="3" t="s">
        <v>1498</v>
      </c>
      <c r="B1623" s="4" t="s">
        <v>3</v>
      </c>
    </row>
    <row r="1624">
      <c r="A1624" s="3" t="s">
        <v>1498</v>
      </c>
      <c r="B1624" s="4" t="s">
        <v>8</v>
      </c>
    </row>
    <row r="1625">
      <c r="A1625" s="3" t="s">
        <v>1498</v>
      </c>
      <c r="B1625" s="4" t="s">
        <v>8</v>
      </c>
    </row>
    <row r="1626">
      <c r="A1626" s="3" t="s">
        <v>1498</v>
      </c>
      <c r="B1626" s="4" t="s">
        <v>8</v>
      </c>
    </row>
    <row r="1627">
      <c r="A1627" s="3" t="s">
        <v>1498</v>
      </c>
      <c r="B1627" s="4" t="s">
        <v>8</v>
      </c>
    </row>
    <row r="1628">
      <c r="A1628" s="3" t="s">
        <v>1498</v>
      </c>
      <c r="B1628" s="4" t="s">
        <v>8</v>
      </c>
    </row>
    <row r="1629">
      <c r="A1629" s="3" t="s">
        <v>1498</v>
      </c>
      <c r="B1629" s="4" t="s">
        <v>3</v>
      </c>
    </row>
    <row r="1630">
      <c r="A1630" s="3" t="s">
        <v>1498</v>
      </c>
      <c r="B1630" s="4" t="s">
        <v>3</v>
      </c>
    </row>
    <row r="1631">
      <c r="A1631" s="3" t="s">
        <v>1498</v>
      </c>
      <c r="B1631" s="4" t="s">
        <v>3</v>
      </c>
    </row>
    <row r="1632">
      <c r="A1632" s="3" t="s">
        <v>1498</v>
      </c>
      <c r="B1632" s="4" t="s">
        <v>8</v>
      </c>
    </row>
    <row r="1633">
      <c r="A1633" s="3" t="s">
        <v>1498</v>
      </c>
      <c r="B1633" s="4" t="s">
        <v>3</v>
      </c>
    </row>
    <row r="1634">
      <c r="A1634" s="3" t="s">
        <v>1498</v>
      </c>
      <c r="B1634" s="4" t="s">
        <v>3</v>
      </c>
    </row>
    <row r="1635">
      <c r="A1635" s="3" t="s">
        <v>1498</v>
      </c>
      <c r="B1635" s="4" t="s">
        <v>3</v>
      </c>
    </row>
    <row r="1636">
      <c r="A1636" s="3" t="s">
        <v>1498</v>
      </c>
      <c r="B1636" s="4" t="s">
        <v>3</v>
      </c>
    </row>
    <row r="1637">
      <c r="A1637" s="3" t="s">
        <v>1498</v>
      </c>
      <c r="B1637" s="4" t="s">
        <v>8</v>
      </c>
    </row>
    <row r="1638">
      <c r="A1638" s="3" t="s">
        <v>1498</v>
      </c>
      <c r="B1638" s="4" t="s">
        <v>8</v>
      </c>
    </row>
    <row r="1639">
      <c r="A1639" s="3" t="s">
        <v>1498</v>
      </c>
      <c r="B1639" s="4" t="s">
        <v>8</v>
      </c>
    </row>
    <row r="1640">
      <c r="A1640" s="3" t="s">
        <v>1498</v>
      </c>
      <c r="B1640" s="4" t="s">
        <v>8</v>
      </c>
    </row>
    <row r="1641">
      <c r="A1641" s="3" t="s">
        <v>1515</v>
      </c>
      <c r="B1641" s="4" t="s">
        <v>3</v>
      </c>
    </row>
    <row r="1642">
      <c r="A1642" s="3" t="s">
        <v>1515</v>
      </c>
      <c r="B1642" s="4" t="s">
        <v>3</v>
      </c>
    </row>
    <row r="1643">
      <c r="A1643" s="3" t="s">
        <v>1515</v>
      </c>
      <c r="B1643" s="4" t="s">
        <v>3</v>
      </c>
    </row>
    <row r="1644">
      <c r="A1644" s="3" t="s">
        <v>1515</v>
      </c>
      <c r="B1644" s="4" t="s">
        <v>8</v>
      </c>
    </row>
    <row r="1645">
      <c r="A1645" s="3" t="s">
        <v>1515</v>
      </c>
      <c r="B1645" s="4" t="s">
        <v>8</v>
      </c>
    </row>
    <row r="1646">
      <c r="A1646" s="3" t="s">
        <v>1515</v>
      </c>
      <c r="B1646" s="4" t="s">
        <v>8</v>
      </c>
    </row>
    <row r="1647">
      <c r="A1647" s="3" t="s">
        <v>1515</v>
      </c>
      <c r="B1647" s="4" t="s">
        <v>3</v>
      </c>
    </row>
    <row r="1648">
      <c r="A1648" s="3" t="s">
        <v>1515</v>
      </c>
      <c r="B1648" s="4" t="s">
        <v>3</v>
      </c>
    </row>
    <row r="1649">
      <c r="A1649" s="3" t="s">
        <v>1515</v>
      </c>
      <c r="B1649" s="4" t="s">
        <v>8</v>
      </c>
    </row>
    <row r="1650">
      <c r="A1650" s="3" t="s">
        <v>1515</v>
      </c>
      <c r="B1650" s="4" t="s">
        <v>8</v>
      </c>
    </row>
    <row r="1651">
      <c r="A1651" s="3" t="s">
        <v>1515</v>
      </c>
      <c r="B1651" s="4" t="s">
        <v>8</v>
      </c>
    </row>
    <row r="1652">
      <c r="A1652" s="3" t="s">
        <v>1515</v>
      </c>
      <c r="B1652" s="4" t="s">
        <v>3</v>
      </c>
    </row>
    <row r="1653">
      <c r="A1653" s="3" t="s">
        <v>1515</v>
      </c>
      <c r="B1653" s="4" t="s">
        <v>3</v>
      </c>
    </row>
    <row r="1654">
      <c r="A1654" s="3" t="s">
        <v>1515</v>
      </c>
      <c r="B1654" s="4" t="s">
        <v>8</v>
      </c>
    </row>
    <row r="1655">
      <c r="A1655" s="3" t="s">
        <v>1515</v>
      </c>
      <c r="B1655" s="4" t="s">
        <v>3</v>
      </c>
    </row>
    <row r="1656">
      <c r="A1656" s="3" t="s">
        <v>1515</v>
      </c>
      <c r="B1656" s="4" t="s">
        <v>3</v>
      </c>
    </row>
    <row r="1657">
      <c r="A1657" s="3" t="s">
        <v>1515</v>
      </c>
      <c r="B1657" s="4" t="s">
        <v>8</v>
      </c>
    </row>
    <row r="1658">
      <c r="A1658" s="3" t="s">
        <v>1515</v>
      </c>
      <c r="B1658" s="4" t="s">
        <v>3</v>
      </c>
    </row>
    <row r="1659">
      <c r="A1659" s="3" t="s">
        <v>1515</v>
      </c>
      <c r="B1659" s="4" t="s">
        <v>8</v>
      </c>
    </row>
    <row r="1660">
      <c r="A1660" s="3" t="s">
        <v>1515</v>
      </c>
      <c r="B1660" s="4" t="s">
        <v>3</v>
      </c>
    </row>
    <row r="1661">
      <c r="A1661" s="3" t="s">
        <v>1531</v>
      </c>
      <c r="B1661" s="4" t="s">
        <v>8</v>
      </c>
    </row>
    <row r="1662">
      <c r="A1662" s="3" t="s">
        <v>1531</v>
      </c>
      <c r="B1662" s="4" t="s">
        <v>8</v>
      </c>
    </row>
    <row r="1663">
      <c r="A1663" s="3" t="s">
        <v>1531</v>
      </c>
      <c r="B1663" s="4" t="s">
        <v>8</v>
      </c>
    </row>
    <row r="1664">
      <c r="A1664" s="3" t="s">
        <v>1531</v>
      </c>
      <c r="B1664" s="4" t="s">
        <v>8</v>
      </c>
    </row>
    <row r="1665">
      <c r="A1665" s="3" t="s">
        <v>1531</v>
      </c>
      <c r="B1665" s="4" t="s">
        <v>3</v>
      </c>
    </row>
    <row r="1666">
      <c r="A1666" s="3" t="s">
        <v>1531</v>
      </c>
      <c r="B1666" s="4" t="s">
        <v>8</v>
      </c>
    </row>
    <row r="1667">
      <c r="A1667" s="3" t="s">
        <v>1531</v>
      </c>
      <c r="B1667" s="4" t="s">
        <v>8</v>
      </c>
    </row>
    <row r="1668">
      <c r="A1668" s="3" t="s">
        <v>1531</v>
      </c>
      <c r="B1668" s="4" t="s">
        <v>8</v>
      </c>
    </row>
    <row r="1669">
      <c r="A1669" s="3" t="s">
        <v>1531</v>
      </c>
      <c r="B1669" s="4" t="s">
        <v>3</v>
      </c>
    </row>
    <row r="1670">
      <c r="A1670" s="3" t="s">
        <v>1531</v>
      </c>
      <c r="B1670" s="4" t="s">
        <v>8</v>
      </c>
    </row>
    <row r="1671">
      <c r="A1671" s="3" t="s">
        <v>1531</v>
      </c>
      <c r="B1671" s="4" t="s">
        <v>3</v>
      </c>
    </row>
    <row r="1672">
      <c r="A1672" s="3" t="s">
        <v>1531</v>
      </c>
      <c r="B1672" s="4" t="s">
        <v>8</v>
      </c>
    </row>
    <row r="1673">
      <c r="A1673" s="3" t="s">
        <v>1531</v>
      </c>
      <c r="B1673" s="4" t="s">
        <v>3</v>
      </c>
    </row>
    <row r="1674">
      <c r="A1674" s="3" t="s">
        <v>1531</v>
      </c>
      <c r="B1674" s="4" t="s">
        <v>3</v>
      </c>
    </row>
    <row r="1675">
      <c r="A1675" s="3" t="s">
        <v>1531</v>
      </c>
      <c r="B1675" s="4" t="s">
        <v>8</v>
      </c>
    </row>
    <row r="1676">
      <c r="A1676" s="3" t="s">
        <v>1531</v>
      </c>
      <c r="B1676" s="4" t="s">
        <v>3</v>
      </c>
    </row>
    <row r="1677">
      <c r="A1677" s="3" t="s">
        <v>1531</v>
      </c>
      <c r="B1677" s="4" t="s">
        <v>8</v>
      </c>
    </row>
    <row r="1678">
      <c r="A1678" s="3" t="s">
        <v>1531</v>
      </c>
      <c r="B1678" s="4" t="s">
        <v>8</v>
      </c>
    </row>
    <row r="1679">
      <c r="A1679" s="3" t="s">
        <v>1531</v>
      </c>
      <c r="B1679" s="4" t="s">
        <v>8</v>
      </c>
    </row>
    <row r="1680">
      <c r="A1680" s="3" t="s">
        <v>1531</v>
      </c>
      <c r="B1680" s="4" t="s">
        <v>3</v>
      </c>
    </row>
    <row r="1681">
      <c r="A1681" s="3" t="s">
        <v>1548</v>
      </c>
      <c r="B1681" s="4" t="s">
        <v>8</v>
      </c>
    </row>
    <row r="1682">
      <c r="A1682" s="3" t="s">
        <v>1548</v>
      </c>
      <c r="B1682" s="4" t="s">
        <v>3</v>
      </c>
    </row>
    <row r="1683">
      <c r="A1683" s="3" t="s">
        <v>1548</v>
      </c>
      <c r="B1683" s="4" t="s">
        <v>8</v>
      </c>
    </row>
    <row r="1684">
      <c r="A1684" s="3" t="s">
        <v>1548</v>
      </c>
      <c r="B1684" s="4" t="s">
        <v>8</v>
      </c>
    </row>
    <row r="1685">
      <c r="A1685" s="3" t="s">
        <v>1548</v>
      </c>
      <c r="B1685" s="4" t="s">
        <v>3</v>
      </c>
    </row>
    <row r="1686">
      <c r="A1686" s="3" t="s">
        <v>1548</v>
      </c>
      <c r="B1686" s="4" t="s">
        <v>3</v>
      </c>
    </row>
    <row r="1687">
      <c r="A1687" s="3" t="s">
        <v>1548</v>
      </c>
      <c r="B1687" s="4" t="s">
        <v>8</v>
      </c>
    </row>
    <row r="1688">
      <c r="A1688" s="3" t="s">
        <v>1548</v>
      </c>
      <c r="B1688" s="4" t="s">
        <v>3</v>
      </c>
    </row>
    <row r="1689">
      <c r="A1689" s="3" t="s">
        <v>1548</v>
      </c>
      <c r="B1689" s="4" t="s">
        <v>3</v>
      </c>
    </row>
    <row r="1690">
      <c r="A1690" s="3" t="s">
        <v>1548</v>
      </c>
      <c r="B1690" s="4" t="s">
        <v>8</v>
      </c>
    </row>
    <row r="1691">
      <c r="A1691" s="3" t="s">
        <v>1548</v>
      </c>
      <c r="B1691" s="4" t="s">
        <v>8</v>
      </c>
    </row>
    <row r="1692">
      <c r="A1692" s="3" t="s">
        <v>1548</v>
      </c>
      <c r="B1692" s="4" t="s">
        <v>3</v>
      </c>
    </row>
    <row r="1693">
      <c r="A1693" s="3" t="s">
        <v>1548</v>
      </c>
      <c r="B1693" s="4" t="s">
        <v>3</v>
      </c>
    </row>
    <row r="1694">
      <c r="A1694" s="3" t="s">
        <v>1548</v>
      </c>
      <c r="B1694" s="4" t="s">
        <v>8</v>
      </c>
    </row>
    <row r="1695">
      <c r="A1695" s="3" t="s">
        <v>1548</v>
      </c>
      <c r="B1695" s="4" t="s">
        <v>8</v>
      </c>
    </row>
    <row r="1696">
      <c r="A1696" s="3" t="s">
        <v>1548</v>
      </c>
      <c r="B1696" s="4" t="s">
        <v>3</v>
      </c>
    </row>
    <row r="1697">
      <c r="A1697" s="3" t="s">
        <v>1548</v>
      </c>
      <c r="B1697" s="4" t="s">
        <v>3</v>
      </c>
    </row>
    <row r="1698">
      <c r="A1698" s="3" t="s">
        <v>1548</v>
      </c>
      <c r="B1698" s="4" t="s">
        <v>8</v>
      </c>
    </row>
    <row r="1699">
      <c r="A1699" s="3" t="s">
        <v>1548</v>
      </c>
      <c r="B1699" s="4" t="s">
        <v>3</v>
      </c>
    </row>
    <row r="1700">
      <c r="A1700" s="3" t="s">
        <v>1548</v>
      </c>
      <c r="B1700" s="4" t="s">
        <v>8</v>
      </c>
    </row>
    <row r="1701">
      <c r="A1701" s="3" t="s">
        <v>1559</v>
      </c>
      <c r="B1701" s="4" t="s">
        <v>3</v>
      </c>
    </row>
    <row r="1702">
      <c r="A1702" s="3" t="s">
        <v>1559</v>
      </c>
      <c r="B1702" s="4" t="s">
        <v>8</v>
      </c>
    </row>
    <row r="1703">
      <c r="A1703" s="3" t="s">
        <v>1559</v>
      </c>
      <c r="B1703" s="4" t="s">
        <v>8</v>
      </c>
    </row>
    <row r="1704">
      <c r="A1704" s="3" t="s">
        <v>1559</v>
      </c>
      <c r="B1704" s="4" t="s">
        <v>8</v>
      </c>
    </row>
    <row r="1705">
      <c r="A1705" s="3" t="s">
        <v>1559</v>
      </c>
      <c r="B1705" s="4" t="s">
        <v>3</v>
      </c>
    </row>
    <row r="1706">
      <c r="A1706" s="3" t="s">
        <v>1559</v>
      </c>
      <c r="B1706" s="4" t="s">
        <v>3</v>
      </c>
    </row>
    <row r="1707">
      <c r="A1707" s="3" t="s">
        <v>1559</v>
      </c>
      <c r="B1707" s="4" t="s">
        <v>8</v>
      </c>
    </row>
    <row r="1708">
      <c r="A1708" s="3" t="s">
        <v>1559</v>
      </c>
      <c r="B1708" s="4" t="s">
        <v>3</v>
      </c>
    </row>
    <row r="1709">
      <c r="A1709" s="3" t="s">
        <v>1559</v>
      </c>
      <c r="B1709" s="4" t="s">
        <v>8</v>
      </c>
    </row>
    <row r="1710">
      <c r="A1710" s="3" t="s">
        <v>1559</v>
      </c>
      <c r="B1710" s="4" t="s">
        <v>8</v>
      </c>
    </row>
    <row r="1711">
      <c r="A1711" s="3" t="s">
        <v>1559</v>
      </c>
      <c r="B1711" s="4" t="s">
        <v>3</v>
      </c>
    </row>
    <row r="1712">
      <c r="A1712" s="3" t="s">
        <v>1559</v>
      </c>
      <c r="B1712" s="4" t="s">
        <v>8</v>
      </c>
    </row>
    <row r="1713">
      <c r="A1713" s="3" t="s">
        <v>1559</v>
      </c>
      <c r="B1713" s="4" t="s">
        <v>3</v>
      </c>
    </row>
    <row r="1714">
      <c r="A1714" s="3" t="s">
        <v>1559</v>
      </c>
      <c r="B1714" s="4" t="s">
        <v>3</v>
      </c>
    </row>
    <row r="1715">
      <c r="A1715" s="3" t="s">
        <v>1559</v>
      </c>
      <c r="B1715" s="4" t="s">
        <v>3</v>
      </c>
    </row>
    <row r="1716">
      <c r="A1716" s="3" t="s">
        <v>1559</v>
      </c>
      <c r="B1716" s="4" t="s">
        <v>8</v>
      </c>
    </row>
    <row r="1717">
      <c r="A1717" s="3" t="s">
        <v>1559</v>
      </c>
      <c r="B1717" s="4" t="s">
        <v>3</v>
      </c>
    </row>
    <row r="1718">
      <c r="A1718" s="3" t="s">
        <v>1559</v>
      </c>
      <c r="B1718" s="4" t="s">
        <v>3</v>
      </c>
    </row>
    <row r="1719">
      <c r="A1719" s="3" t="s">
        <v>1559</v>
      </c>
      <c r="B1719" s="4" t="s">
        <v>8</v>
      </c>
    </row>
    <row r="1720">
      <c r="A1720" s="3" t="s">
        <v>1559</v>
      </c>
      <c r="B1720" s="4" t="s">
        <v>8</v>
      </c>
    </row>
    <row r="1721">
      <c r="A1721" s="3" t="s">
        <v>1575</v>
      </c>
      <c r="B1721" s="4" t="s">
        <v>8</v>
      </c>
    </row>
    <row r="1722">
      <c r="A1722" s="3" t="s">
        <v>1575</v>
      </c>
      <c r="B1722" s="4" t="s">
        <v>3</v>
      </c>
    </row>
    <row r="1723">
      <c r="A1723" s="3" t="s">
        <v>1575</v>
      </c>
      <c r="B1723" s="4" t="s">
        <v>8</v>
      </c>
    </row>
    <row r="1724">
      <c r="A1724" s="3" t="s">
        <v>1575</v>
      </c>
      <c r="B1724" s="4" t="s">
        <v>3</v>
      </c>
    </row>
    <row r="1725">
      <c r="A1725" s="3" t="s">
        <v>1575</v>
      </c>
      <c r="B1725" s="4" t="s">
        <v>8</v>
      </c>
    </row>
    <row r="1726">
      <c r="A1726" s="3" t="s">
        <v>1575</v>
      </c>
      <c r="B1726" s="4" t="s">
        <v>8</v>
      </c>
    </row>
    <row r="1727">
      <c r="A1727" s="3" t="s">
        <v>1575</v>
      </c>
      <c r="B1727" s="4" t="s">
        <v>8</v>
      </c>
    </row>
    <row r="1728">
      <c r="A1728" s="3" t="s">
        <v>1575</v>
      </c>
      <c r="B1728" s="4" t="s">
        <v>8</v>
      </c>
    </row>
    <row r="1729">
      <c r="A1729" s="3" t="s">
        <v>1575</v>
      </c>
      <c r="B1729" s="4" t="s">
        <v>3</v>
      </c>
    </row>
    <row r="1730">
      <c r="A1730" s="3" t="s">
        <v>1575</v>
      </c>
      <c r="B1730" s="4" t="s">
        <v>3</v>
      </c>
    </row>
    <row r="1731">
      <c r="A1731" s="3" t="s">
        <v>1575</v>
      </c>
      <c r="B1731" s="4" t="s">
        <v>8</v>
      </c>
    </row>
    <row r="1732">
      <c r="A1732" s="3" t="s">
        <v>1575</v>
      </c>
      <c r="B1732" s="4" t="s">
        <v>3</v>
      </c>
    </row>
    <row r="1733">
      <c r="A1733" s="3" t="s">
        <v>1575</v>
      </c>
      <c r="B1733" s="4" t="s">
        <v>3</v>
      </c>
    </row>
    <row r="1734">
      <c r="A1734" s="3" t="s">
        <v>1575</v>
      </c>
      <c r="B1734" s="4" t="s">
        <v>3</v>
      </c>
    </row>
    <row r="1735">
      <c r="A1735" s="3" t="s">
        <v>1575</v>
      </c>
      <c r="B1735" s="4" t="s">
        <v>3</v>
      </c>
    </row>
    <row r="1736">
      <c r="A1736" s="3" t="s">
        <v>1575</v>
      </c>
      <c r="B1736" s="4" t="s">
        <v>3</v>
      </c>
    </row>
    <row r="1737">
      <c r="A1737" s="3" t="s">
        <v>1575</v>
      </c>
      <c r="B1737" s="4" t="s">
        <v>3</v>
      </c>
    </row>
    <row r="1738">
      <c r="A1738" s="3" t="s">
        <v>1575</v>
      </c>
      <c r="B1738" s="4" t="s">
        <v>3</v>
      </c>
    </row>
    <row r="1739">
      <c r="A1739" s="3" t="s">
        <v>1575</v>
      </c>
      <c r="B1739" s="4" t="s">
        <v>8</v>
      </c>
    </row>
    <row r="1740">
      <c r="A1740" s="3" t="s">
        <v>1575</v>
      </c>
      <c r="B1740" s="4" t="s">
        <v>3</v>
      </c>
    </row>
    <row r="1741">
      <c r="A1741" s="3" t="s">
        <v>1586</v>
      </c>
      <c r="B1741" s="4" t="s">
        <v>8</v>
      </c>
    </row>
    <row r="1742">
      <c r="A1742" s="3" t="s">
        <v>1586</v>
      </c>
      <c r="B1742" s="4" t="s">
        <v>3</v>
      </c>
    </row>
    <row r="1743">
      <c r="A1743" s="3" t="s">
        <v>1586</v>
      </c>
      <c r="B1743" s="4" t="s">
        <v>8</v>
      </c>
    </row>
    <row r="1744">
      <c r="A1744" s="3" t="s">
        <v>1586</v>
      </c>
      <c r="B1744" s="4" t="s">
        <v>8</v>
      </c>
    </row>
    <row r="1745">
      <c r="A1745" s="3" t="s">
        <v>1586</v>
      </c>
      <c r="B1745" s="4" t="s">
        <v>3</v>
      </c>
    </row>
    <row r="1746">
      <c r="A1746" s="3" t="s">
        <v>1586</v>
      </c>
      <c r="B1746" s="4" t="s">
        <v>8</v>
      </c>
    </row>
    <row r="1747">
      <c r="A1747" s="3" t="s">
        <v>1586</v>
      </c>
      <c r="B1747" s="4" t="s">
        <v>8</v>
      </c>
    </row>
    <row r="1748">
      <c r="A1748" s="3" t="s">
        <v>1586</v>
      </c>
      <c r="B1748" s="4" t="s">
        <v>3</v>
      </c>
    </row>
    <row r="1749">
      <c r="A1749" s="3" t="s">
        <v>1586</v>
      </c>
      <c r="B1749" s="4" t="s">
        <v>3</v>
      </c>
    </row>
    <row r="1750">
      <c r="A1750" s="3" t="s">
        <v>1586</v>
      </c>
      <c r="B1750" s="4" t="s">
        <v>3</v>
      </c>
    </row>
    <row r="1751">
      <c r="A1751" s="3" t="s">
        <v>1586</v>
      </c>
      <c r="B1751" s="4" t="s">
        <v>3</v>
      </c>
    </row>
    <row r="1752">
      <c r="A1752" s="3" t="s">
        <v>1586</v>
      </c>
      <c r="B1752" s="4" t="s">
        <v>8</v>
      </c>
    </row>
    <row r="1753">
      <c r="A1753" s="3" t="s">
        <v>1586</v>
      </c>
      <c r="B1753" s="4" t="s">
        <v>3</v>
      </c>
    </row>
    <row r="1754">
      <c r="A1754" s="3" t="s">
        <v>1586</v>
      </c>
      <c r="B1754" s="4" t="s">
        <v>3</v>
      </c>
    </row>
    <row r="1755">
      <c r="A1755" s="3" t="s">
        <v>1586</v>
      </c>
      <c r="B1755" s="4" t="s">
        <v>3</v>
      </c>
    </row>
    <row r="1756">
      <c r="A1756" s="3" t="s">
        <v>1586</v>
      </c>
      <c r="B1756" s="4" t="s">
        <v>3</v>
      </c>
    </row>
    <row r="1757">
      <c r="A1757" s="3" t="s">
        <v>1586</v>
      </c>
      <c r="B1757" s="4" t="s">
        <v>8</v>
      </c>
    </row>
    <row r="1758">
      <c r="A1758" s="3" t="s">
        <v>1586</v>
      </c>
      <c r="B1758" s="4" t="s">
        <v>8</v>
      </c>
    </row>
    <row r="1759">
      <c r="A1759" s="3" t="s">
        <v>1586</v>
      </c>
      <c r="B1759" s="4" t="s">
        <v>3</v>
      </c>
    </row>
    <row r="1760">
      <c r="A1760" s="3" t="s">
        <v>1586</v>
      </c>
      <c r="B1760" s="4" t="s">
        <v>8</v>
      </c>
    </row>
    <row r="1761">
      <c r="A1761" s="3" t="s">
        <v>1603</v>
      </c>
      <c r="B1761" s="4" t="s">
        <v>3</v>
      </c>
    </row>
    <row r="1762">
      <c r="A1762" s="3" t="s">
        <v>1603</v>
      </c>
      <c r="B1762" s="4" t="s">
        <v>8</v>
      </c>
    </row>
    <row r="1763">
      <c r="A1763" s="3" t="s">
        <v>1603</v>
      </c>
      <c r="B1763" s="4" t="s">
        <v>3</v>
      </c>
    </row>
    <row r="1764">
      <c r="A1764" s="3" t="s">
        <v>1603</v>
      </c>
      <c r="B1764" s="4" t="s">
        <v>3</v>
      </c>
    </row>
    <row r="1765">
      <c r="A1765" s="3" t="s">
        <v>1603</v>
      </c>
      <c r="B1765" s="4" t="s">
        <v>8</v>
      </c>
    </row>
    <row r="1766">
      <c r="A1766" s="3" t="s">
        <v>1603</v>
      </c>
      <c r="B1766" s="4" t="s">
        <v>3</v>
      </c>
    </row>
    <row r="1767">
      <c r="A1767" s="3" t="s">
        <v>1603</v>
      </c>
      <c r="B1767" s="4" t="s">
        <v>3</v>
      </c>
    </row>
    <row r="1768">
      <c r="A1768" s="3" t="s">
        <v>1603</v>
      </c>
      <c r="B1768" s="4" t="s">
        <v>3</v>
      </c>
    </row>
    <row r="1769">
      <c r="A1769" s="3" t="s">
        <v>1603</v>
      </c>
      <c r="B1769" s="4" t="s">
        <v>8</v>
      </c>
    </row>
    <row r="1770">
      <c r="A1770" s="3" t="s">
        <v>1603</v>
      </c>
      <c r="B1770" s="4" t="s">
        <v>3</v>
      </c>
    </row>
    <row r="1771">
      <c r="A1771" s="3" t="s">
        <v>1603</v>
      </c>
      <c r="B1771" s="4" t="s">
        <v>3</v>
      </c>
    </row>
    <row r="1772">
      <c r="A1772" s="3" t="s">
        <v>1603</v>
      </c>
      <c r="B1772" s="4" t="s">
        <v>8</v>
      </c>
    </row>
    <row r="1773">
      <c r="A1773" s="3" t="s">
        <v>1603</v>
      </c>
      <c r="B1773" s="4" t="s">
        <v>8</v>
      </c>
    </row>
    <row r="1774">
      <c r="A1774" s="3" t="s">
        <v>1603</v>
      </c>
      <c r="B1774" s="4" t="s">
        <v>3</v>
      </c>
    </row>
    <row r="1775">
      <c r="A1775" s="3" t="s">
        <v>1603</v>
      </c>
      <c r="B1775" s="4" t="s">
        <v>8</v>
      </c>
    </row>
    <row r="1776">
      <c r="A1776" s="3" t="s">
        <v>1603</v>
      </c>
      <c r="B1776" s="4" t="s">
        <v>3</v>
      </c>
    </row>
    <row r="1777">
      <c r="A1777" s="3" t="s">
        <v>1603</v>
      </c>
      <c r="B1777" s="4" t="s">
        <v>8</v>
      </c>
    </row>
    <row r="1778">
      <c r="A1778" s="3" t="s">
        <v>1603</v>
      </c>
      <c r="B1778" s="4" t="s">
        <v>3</v>
      </c>
    </row>
    <row r="1779">
      <c r="A1779" s="3" t="s">
        <v>1603</v>
      </c>
      <c r="B1779" s="4" t="s">
        <v>3</v>
      </c>
    </row>
    <row r="1780">
      <c r="A1780" s="3" t="s">
        <v>1603</v>
      </c>
      <c r="B1780" s="4" t="s">
        <v>8</v>
      </c>
    </row>
    <row r="1781">
      <c r="A1781" s="3" t="s">
        <v>1616</v>
      </c>
      <c r="B1781" s="4" t="s">
        <v>3</v>
      </c>
    </row>
    <row r="1782">
      <c r="A1782" s="3" t="s">
        <v>1616</v>
      </c>
      <c r="B1782" s="4" t="s">
        <v>8</v>
      </c>
    </row>
    <row r="1783">
      <c r="A1783" s="3" t="s">
        <v>1616</v>
      </c>
      <c r="B1783" s="4" t="s">
        <v>3</v>
      </c>
    </row>
    <row r="1784">
      <c r="A1784" s="3" t="s">
        <v>1616</v>
      </c>
      <c r="B1784" s="4" t="s">
        <v>3</v>
      </c>
    </row>
    <row r="1785">
      <c r="A1785" s="3" t="s">
        <v>1616</v>
      </c>
      <c r="B1785" s="4" t="s">
        <v>3</v>
      </c>
    </row>
    <row r="1786">
      <c r="A1786" s="3" t="s">
        <v>1616</v>
      </c>
      <c r="B1786" s="4" t="s">
        <v>3</v>
      </c>
    </row>
    <row r="1787">
      <c r="A1787" s="3" t="s">
        <v>1616</v>
      </c>
      <c r="B1787" s="4" t="s">
        <v>8</v>
      </c>
    </row>
    <row r="1788">
      <c r="A1788" s="3" t="s">
        <v>1616</v>
      </c>
      <c r="B1788" s="4" t="s">
        <v>3</v>
      </c>
    </row>
    <row r="1789">
      <c r="A1789" s="3" t="s">
        <v>1616</v>
      </c>
      <c r="B1789" s="4" t="s">
        <v>3</v>
      </c>
    </row>
    <row r="1790">
      <c r="A1790" s="3" t="s">
        <v>1616</v>
      </c>
      <c r="B1790" s="4" t="s">
        <v>3</v>
      </c>
    </row>
    <row r="1791">
      <c r="A1791" s="3" t="s">
        <v>1616</v>
      </c>
      <c r="B1791" s="4" t="s">
        <v>8</v>
      </c>
    </row>
    <row r="1792">
      <c r="A1792" s="3" t="s">
        <v>1616</v>
      </c>
      <c r="B1792" s="4" t="s">
        <v>8</v>
      </c>
    </row>
    <row r="1793">
      <c r="A1793" s="3" t="s">
        <v>1616</v>
      </c>
      <c r="B1793" s="4" t="s">
        <v>3</v>
      </c>
    </row>
    <row r="1794">
      <c r="A1794" s="3" t="s">
        <v>1616</v>
      </c>
      <c r="B1794" s="4" t="s">
        <v>3</v>
      </c>
    </row>
    <row r="1795">
      <c r="A1795" s="3" t="s">
        <v>1616</v>
      </c>
      <c r="B1795" s="4" t="s">
        <v>8</v>
      </c>
    </row>
    <row r="1796">
      <c r="A1796" s="3" t="s">
        <v>1616</v>
      </c>
      <c r="B1796" s="4" t="s">
        <v>3</v>
      </c>
    </row>
    <row r="1797">
      <c r="A1797" s="3" t="s">
        <v>1616</v>
      </c>
      <c r="B1797" s="4" t="s">
        <v>8</v>
      </c>
    </row>
    <row r="1798">
      <c r="A1798" s="3" t="s">
        <v>1616</v>
      </c>
      <c r="B1798" s="4" t="s">
        <v>8</v>
      </c>
    </row>
    <row r="1799">
      <c r="A1799" s="3" t="s">
        <v>1616</v>
      </c>
      <c r="B1799" s="4" t="s">
        <v>3</v>
      </c>
    </row>
    <row r="1800">
      <c r="A1800" s="3" t="s">
        <v>1616</v>
      </c>
      <c r="B1800" s="4" t="s">
        <v>8</v>
      </c>
    </row>
    <row r="1801">
      <c r="A1801" s="3" t="s">
        <v>1633</v>
      </c>
      <c r="B1801" s="4" t="s">
        <v>3</v>
      </c>
    </row>
    <row r="1802">
      <c r="A1802" s="3" t="s">
        <v>1633</v>
      </c>
      <c r="B1802" s="4" t="s">
        <v>8</v>
      </c>
    </row>
    <row r="1803">
      <c r="A1803" s="3" t="s">
        <v>1633</v>
      </c>
      <c r="B1803" s="4" t="s">
        <v>8</v>
      </c>
    </row>
    <row r="1804">
      <c r="A1804" s="3" t="s">
        <v>1633</v>
      </c>
      <c r="B1804" s="4" t="s">
        <v>3</v>
      </c>
    </row>
    <row r="1805">
      <c r="A1805" s="3" t="s">
        <v>1633</v>
      </c>
      <c r="B1805" s="4" t="s">
        <v>8</v>
      </c>
    </row>
    <row r="1806">
      <c r="A1806" s="3" t="s">
        <v>1633</v>
      </c>
      <c r="B1806" s="4" t="s">
        <v>3</v>
      </c>
    </row>
    <row r="1807">
      <c r="A1807" s="3" t="s">
        <v>1633</v>
      </c>
      <c r="B1807" s="4" t="s">
        <v>3</v>
      </c>
    </row>
    <row r="1808">
      <c r="A1808" s="3" t="s">
        <v>1633</v>
      </c>
      <c r="B1808" s="4" t="s">
        <v>8</v>
      </c>
    </row>
    <row r="1809">
      <c r="A1809" s="3" t="s">
        <v>1633</v>
      </c>
      <c r="B1809" s="4" t="s">
        <v>8</v>
      </c>
    </row>
    <row r="1810">
      <c r="A1810" s="3" t="s">
        <v>1633</v>
      </c>
      <c r="B1810" s="4" t="s">
        <v>8</v>
      </c>
    </row>
    <row r="1811">
      <c r="A1811" s="3" t="s">
        <v>1633</v>
      </c>
      <c r="B1811" s="4" t="s">
        <v>3</v>
      </c>
    </row>
    <row r="1812">
      <c r="A1812" s="3" t="s">
        <v>1633</v>
      </c>
      <c r="B1812" s="4" t="s">
        <v>3</v>
      </c>
    </row>
    <row r="1813">
      <c r="A1813" s="3" t="s">
        <v>1633</v>
      </c>
      <c r="B1813" s="4" t="s">
        <v>3</v>
      </c>
    </row>
    <row r="1814">
      <c r="A1814" s="3" t="s">
        <v>1633</v>
      </c>
      <c r="B1814" s="4" t="s">
        <v>8</v>
      </c>
    </row>
    <row r="1815">
      <c r="A1815" s="3" t="s">
        <v>1633</v>
      </c>
      <c r="B1815" s="4" t="s">
        <v>8</v>
      </c>
    </row>
    <row r="1816">
      <c r="A1816" s="3" t="s">
        <v>1633</v>
      </c>
      <c r="B1816" s="4" t="s">
        <v>8</v>
      </c>
    </row>
    <row r="1817">
      <c r="A1817" s="3" t="s">
        <v>1633</v>
      </c>
      <c r="B1817" s="4" t="s">
        <v>3</v>
      </c>
    </row>
    <row r="1818">
      <c r="A1818" s="3" t="s">
        <v>1633</v>
      </c>
      <c r="B1818" s="4" t="s">
        <v>3</v>
      </c>
    </row>
    <row r="1819">
      <c r="A1819" s="3" t="s">
        <v>1633</v>
      </c>
      <c r="B1819" s="4" t="s">
        <v>3</v>
      </c>
    </row>
    <row r="1820">
      <c r="A1820" s="3" t="s">
        <v>1633</v>
      </c>
      <c r="B1820" s="4" t="s">
        <v>8</v>
      </c>
    </row>
    <row r="1821">
      <c r="A1821" s="3" t="s">
        <v>1644</v>
      </c>
      <c r="B1821" s="4" t="s">
        <v>3</v>
      </c>
    </row>
    <row r="1822">
      <c r="A1822" s="3" t="s">
        <v>1644</v>
      </c>
      <c r="B1822" s="4" t="s">
        <v>8</v>
      </c>
    </row>
    <row r="1823">
      <c r="A1823" s="3" t="s">
        <v>1644</v>
      </c>
      <c r="B1823" s="4" t="s">
        <v>3</v>
      </c>
    </row>
    <row r="1824">
      <c r="A1824" s="3" t="s">
        <v>1644</v>
      </c>
      <c r="B1824" s="4" t="s">
        <v>3</v>
      </c>
    </row>
    <row r="1825">
      <c r="A1825" s="3" t="s">
        <v>1644</v>
      </c>
      <c r="B1825" s="4" t="s">
        <v>3</v>
      </c>
    </row>
    <row r="1826">
      <c r="A1826" s="3" t="s">
        <v>1644</v>
      </c>
      <c r="B1826" s="4" t="s">
        <v>3</v>
      </c>
    </row>
    <row r="1827">
      <c r="A1827" s="3" t="s">
        <v>1644</v>
      </c>
      <c r="B1827" s="4" t="s">
        <v>8</v>
      </c>
    </row>
    <row r="1828">
      <c r="A1828" s="3" t="s">
        <v>1644</v>
      </c>
      <c r="B1828" s="4" t="s">
        <v>3</v>
      </c>
    </row>
    <row r="1829">
      <c r="A1829" s="3" t="s">
        <v>1644</v>
      </c>
      <c r="B1829" s="4" t="s">
        <v>3</v>
      </c>
    </row>
    <row r="1830">
      <c r="A1830" s="3" t="s">
        <v>1644</v>
      </c>
      <c r="B1830" s="4" t="s">
        <v>8</v>
      </c>
    </row>
    <row r="1831">
      <c r="A1831" s="3" t="s">
        <v>1644</v>
      </c>
      <c r="B1831" s="4" t="s">
        <v>3</v>
      </c>
    </row>
    <row r="1832">
      <c r="A1832" s="3" t="s">
        <v>1644</v>
      </c>
      <c r="B1832" s="4" t="s">
        <v>3</v>
      </c>
    </row>
    <row r="1833">
      <c r="A1833" s="3" t="s">
        <v>1644</v>
      </c>
      <c r="B1833" s="4" t="s">
        <v>8</v>
      </c>
    </row>
    <row r="1834">
      <c r="A1834" s="3" t="s">
        <v>1644</v>
      </c>
      <c r="B1834" s="4" t="s">
        <v>3</v>
      </c>
    </row>
    <row r="1835">
      <c r="A1835" s="3" t="s">
        <v>1644</v>
      </c>
      <c r="B1835" s="4" t="s">
        <v>3</v>
      </c>
    </row>
    <row r="1836">
      <c r="A1836" s="3" t="s">
        <v>1644</v>
      </c>
      <c r="B1836" s="4" t="s">
        <v>8</v>
      </c>
    </row>
    <row r="1837">
      <c r="A1837" s="3" t="s">
        <v>1644</v>
      </c>
      <c r="B1837" s="4" t="s">
        <v>8</v>
      </c>
    </row>
    <row r="1838">
      <c r="A1838" s="3" t="s">
        <v>1644</v>
      </c>
      <c r="B1838" s="4" t="s">
        <v>3</v>
      </c>
    </row>
    <row r="1839">
      <c r="A1839" s="3" t="s">
        <v>1644</v>
      </c>
      <c r="B1839" s="4" t="s">
        <v>3</v>
      </c>
    </row>
    <row r="1840">
      <c r="A1840" s="3" t="s">
        <v>1644</v>
      </c>
      <c r="B1840" s="4" t="s">
        <v>3</v>
      </c>
    </row>
    <row r="1841">
      <c r="A1841" s="3" t="s">
        <v>1658</v>
      </c>
      <c r="B1841" s="4" t="s">
        <v>8</v>
      </c>
    </row>
    <row r="1842">
      <c r="A1842" s="3" t="s">
        <v>1658</v>
      </c>
      <c r="B1842" s="4" t="s">
        <v>3</v>
      </c>
    </row>
    <row r="1843">
      <c r="A1843" s="3" t="s">
        <v>1658</v>
      </c>
      <c r="B1843" s="4" t="s">
        <v>8</v>
      </c>
    </row>
    <row r="1844">
      <c r="A1844" s="3" t="s">
        <v>1658</v>
      </c>
      <c r="B1844" s="4" t="s">
        <v>8</v>
      </c>
    </row>
    <row r="1845">
      <c r="A1845" s="3" t="s">
        <v>1658</v>
      </c>
      <c r="B1845" s="4" t="s">
        <v>3</v>
      </c>
    </row>
    <row r="1846">
      <c r="A1846" s="3" t="s">
        <v>1658</v>
      </c>
      <c r="B1846" s="4" t="s">
        <v>8</v>
      </c>
    </row>
    <row r="1847">
      <c r="A1847" s="3" t="s">
        <v>1658</v>
      </c>
      <c r="B1847" s="4" t="s">
        <v>8</v>
      </c>
    </row>
    <row r="1848">
      <c r="A1848" s="3" t="s">
        <v>1658</v>
      </c>
      <c r="B1848" s="4" t="s">
        <v>3</v>
      </c>
    </row>
    <row r="1849">
      <c r="A1849" s="3" t="s">
        <v>1658</v>
      </c>
      <c r="B1849" s="4" t="s">
        <v>8</v>
      </c>
    </row>
    <row r="1850">
      <c r="A1850" s="3" t="s">
        <v>1658</v>
      </c>
      <c r="B1850" s="4" t="s">
        <v>3</v>
      </c>
    </row>
    <row r="1851">
      <c r="A1851" s="3" t="s">
        <v>1658</v>
      </c>
      <c r="B1851" s="4" t="s">
        <v>3</v>
      </c>
    </row>
    <row r="1852">
      <c r="A1852" s="3" t="s">
        <v>1658</v>
      </c>
      <c r="B1852" s="4" t="s">
        <v>8</v>
      </c>
    </row>
    <row r="1853">
      <c r="A1853" s="3" t="s">
        <v>1658</v>
      </c>
      <c r="B1853" s="4" t="s">
        <v>8</v>
      </c>
    </row>
    <row r="1854">
      <c r="A1854" s="3" t="s">
        <v>1658</v>
      </c>
      <c r="B1854" s="4" t="s">
        <v>8</v>
      </c>
    </row>
    <row r="1855">
      <c r="A1855" s="3" t="s">
        <v>1658</v>
      </c>
      <c r="B1855" s="4" t="s">
        <v>3</v>
      </c>
    </row>
    <row r="1856">
      <c r="A1856" s="3" t="s">
        <v>1658</v>
      </c>
      <c r="B1856" s="4" t="s">
        <v>3</v>
      </c>
    </row>
    <row r="1857">
      <c r="A1857" s="3" t="s">
        <v>1658</v>
      </c>
      <c r="B1857" s="4" t="s">
        <v>8</v>
      </c>
    </row>
    <row r="1858">
      <c r="A1858" s="3" t="s">
        <v>1658</v>
      </c>
      <c r="B1858" s="4" t="s">
        <v>8</v>
      </c>
    </row>
    <row r="1859">
      <c r="A1859" s="3" t="s">
        <v>1658</v>
      </c>
      <c r="B1859" s="4" t="s">
        <v>3</v>
      </c>
    </row>
    <row r="1860">
      <c r="A1860" s="3" t="s">
        <v>1658</v>
      </c>
      <c r="B1860" s="4" t="s">
        <v>3</v>
      </c>
    </row>
    <row r="1861">
      <c r="A1861" s="3" t="s">
        <v>1672</v>
      </c>
      <c r="B1861" s="4" t="s">
        <v>8</v>
      </c>
    </row>
    <row r="1862">
      <c r="A1862" s="3" t="s">
        <v>1672</v>
      </c>
      <c r="B1862" s="4" t="s">
        <v>3</v>
      </c>
    </row>
    <row r="1863">
      <c r="A1863" s="3" t="s">
        <v>1672</v>
      </c>
      <c r="B1863" s="4" t="s">
        <v>3</v>
      </c>
    </row>
    <row r="1864">
      <c r="A1864" s="3" t="s">
        <v>1672</v>
      </c>
      <c r="B1864" s="4" t="s">
        <v>3</v>
      </c>
    </row>
    <row r="1865">
      <c r="A1865" s="3" t="s">
        <v>1672</v>
      </c>
      <c r="B1865" s="4" t="s">
        <v>3</v>
      </c>
    </row>
    <row r="1866">
      <c r="A1866" s="3" t="s">
        <v>1672</v>
      </c>
      <c r="B1866" s="4" t="s">
        <v>8</v>
      </c>
    </row>
    <row r="1867">
      <c r="A1867" s="3" t="s">
        <v>1672</v>
      </c>
      <c r="B1867" s="4" t="s">
        <v>8</v>
      </c>
    </row>
    <row r="1868">
      <c r="A1868" s="3" t="s">
        <v>1672</v>
      </c>
      <c r="B1868" s="4" t="s">
        <v>3</v>
      </c>
    </row>
    <row r="1869">
      <c r="A1869" s="3" t="s">
        <v>1672</v>
      </c>
      <c r="B1869" s="4" t="s">
        <v>8</v>
      </c>
    </row>
    <row r="1870">
      <c r="A1870" s="3" t="s">
        <v>1672</v>
      </c>
      <c r="B1870" s="4" t="s">
        <v>3</v>
      </c>
    </row>
    <row r="1871">
      <c r="A1871" s="3" t="s">
        <v>1672</v>
      </c>
      <c r="B1871" s="4" t="s">
        <v>3</v>
      </c>
    </row>
    <row r="1872">
      <c r="A1872" s="3" t="s">
        <v>1672</v>
      </c>
      <c r="B1872" s="4" t="s">
        <v>3</v>
      </c>
    </row>
    <row r="1873">
      <c r="A1873" s="3" t="s">
        <v>1672</v>
      </c>
      <c r="B1873" s="4" t="s">
        <v>3</v>
      </c>
    </row>
    <row r="1874">
      <c r="A1874" s="3" t="s">
        <v>1672</v>
      </c>
      <c r="B1874" s="4" t="s">
        <v>8</v>
      </c>
    </row>
    <row r="1875">
      <c r="A1875" s="3" t="s">
        <v>1672</v>
      </c>
      <c r="B1875" s="4" t="s">
        <v>3</v>
      </c>
    </row>
    <row r="1876">
      <c r="A1876" s="3" t="s">
        <v>1672</v>
      </c>
      <c r="B1876" s="4" t="s">
        <v>3</v>
      </c>
    </row>
    <row r="1877">
      <c r="A1877" s="3" t="s">
        <v>1672</v>
      </c>
      <c r="B1877" s="4" t="s">
        <v>8</v>
      </c>
    </row>
    <row r="1878">
      <c r="A1878" s="3" t="s">
        <v>1672</v>
      </c>
      <c r="B1878" s="4" t="s">
        <v>3</v>
      </c>
    </row>
    <row r="1879">
      <c r="A1879" s="3" t="s">
        <v>1672</v>
      </c>
      <c r="B1879" s="4" t="s">
        <v>3</v>
      </c>
    </row>
    <row r="1880">
      <c r="A1880" s="3" t="s">
        <v>1672</v>
      </c>
      <c r="B1880" s="4" t="s">
        <v>3</v>
      </c>
    </row>
    <row r="1881">
      <c r="A1881" s="3" t="s">
        <v>1688</v>
      </c>
      <c r="B1881" s="4" t="s">
        <v>3</v>
      </c>
    </row>
    <row r="1882">
      <c r="A1882" s="3" t="s">
        <v>1688</v>
      </c>
      <c r="B1882" s="4" t="s">
        <v>8</v>
      </c>
    </row>
    <row r="1883">
      <c r="A1883" s="3" t="s">
        <v>1688</v>
      </c>
      <c r="B1883" s="4" t="s">
        <v>8</v>
      </c>
    </row>
    <row r="1884">
      <c r="A1884" s="3" t="s">
        <v>1688</v>
      </c>
      <c r="B1884" s="4" t="s">
        <v>3</v>
      </c>
    </row>
    <row r="1885">
      <c r="A1885" s="3" t="s">
        <v>1688</v>
      </c>
      <c r="B1885" s="4" t="s">
        <v>8</v>
      </c>
    </row>
    <row r="1886">
      <c r="A1886" s="3" t="s">
        <v>1688</v>
      </c>
      <c r="B1886" s="4" t="s">
        <v>8</v>
      </c>
    </row>
    <row r="1887">
      <c r="A1887" s="3" t="s">
        <v>1688</v>
      </c>
      <c r="B1887" s="4" t="s">
        <v>3</v>
      </c>
    </row>
    <row r="1888">
      <c r="A1888" s="3" t="s">
        <v>1688</v>
      </c>
      <c r="B1888" s="4" t="s">
        <v>3</v>
      </c>
    </row>
    <row r="1889">
      <c r="A1889" s="3" t="s">
        <v>1688</v>
      </c>
      <c r="B1889" s="4" t="s">
        <v>8</v>
      </c>
    </row>
    <row r="1890">
      <c r="A1890" s="3" t="s">
        <v>1688</v>
      </c>
      <c r="B1890" s="4" t="s">
        <v>8</v>
      </c>
    </row>
    <row r="1891">
      <c r="A1891" s="3" t="s">
        <v>1688</v>
      </c>
      <c r="B1891" s="4" t="s">
        <v>8</v>
      </c>
    </row>
    <row r="1892">
      <c r="A1892" s="3" t="s">
        <v>1688</v>
      </c>
      <c r="B1892" s="4" t="s">
        <v>8</v>
      </c>
    </row>
    <row r="1893">
      <c r="A1893" s="3" t="s">
        <v>1688</v>
      </c>
      <c r="B1893" s="4" t="s">
        <v>8</v>
      </c>
    </row>
    <row r="1894">
      <c r="A1894" s="3" t="s">
        <v>1688</v>
      </c>
      <c r="B1894" s="4" t="s">
        <v>8</v>
      </c>
    </row>
    <row r="1895">
      <c r="A1895" s="3" t="s">
        <v>1688</v>
      </c>
      <c r="B1895" s="4" t="s">
        <v>8</v>
      </c>
    </row>
    <row r="1896">
      <c r="A1896" s="3" t="s">
        <v>1688</v>
      </c>
      <c r="B1896" s="4" t="s">
        <v>3</v>
      </c>
    </row>
    <row r="1897">
      <c r="A1897" s="3" t="s">
        <v>1688</v>
      </c>
      <c r="B1897" s="4" t="s">
        <v>8</v>
      </c>
    </row>
    <row r="1898">
      <c r="A1898" s="3" t="s">
        <v>1688</v>
      </c>
      <c r="B1898" s="4" t="s">
        <v>8</v>
      </c>
    </row>
    <row r="1899">
      <c r="A1899" s="3" t="s">
        <v>1688</v>
      </c>
      <c r="B1899" s="4" t="s">
        <v>8</v>
      </c>
    </row>
    <row r="1900">
      <c r="A1900" s="3" t="s">
        <v>1688</v>
      </c>
      <c r="B1900" s="4" t="s">
        <v>3</v>
      </c>
    </row>
    <row r="1901">
      <c r="A1901" s="3" t="s">
        <v>1702</v>
      </c>
      <c r="B1901" s="4" t="s">
        <v>8</v>
      </c>
    </row>
    <row r="1902">
      <c r="A1902" s="3" t="s">
        <v>1702</v>
      </c>
      <c r="B1902" s="4" t="s">
        <v>3</v>
      </c>
    </row>
    <row r="1903">
      <c r="A1903" s="3" t="s">
        <v>1702</v>
      </c>
      <c r="B1903" s="4" t="s">
        <v>3</v>
      </c>
    </row>
    <row r="1904">
      <c r="A1904" s="3" t="s">
        <v>1702</v>
      </c>
      <c r="B1904" s="4" t="s">
        <v>8</v>
      </c>
    </row>
    <row r="1905">
      <c r="A1905" s="3" t="s">
        <v>1702</v>
      </c>
      <c r="B1905" s="4" t="s">
        <v>8</v>
      </c>
    </row>
    <row r="1906">
      <c r="A1906" s="3" t="s">
        <v>1702</v>
      </c>
      <c r="B1906" s="4" t="s">
        <v>3</v>
      </c>
    </row>
    <row r="1907">
      <c r="A1907" s="3" t="s">
        <v>1702</v>
      </c>
      <c r="B1907" s="4" t="s">
        <v>8</v>
      </c>
    </row>
    <row r="1908">
      <c r="A1908" s="3" t="s">
        <v>1702</v>
      </c>
      <c r="B1908" s="4" t="s">
        <v>8</v>
      </c>
    </row>
    <row r="1909">
      <c r="A1909" s="3" t="s">
        <v>1702</v>
      </c>
      <c r="B1909" s="4" t="s">
        <v>3</v>
      </c>
    </row>
    <row r="1910">
      <c r="A1910" s="3" t="s">
        <v>1702</v>
      </c>
      <c r="B1910" s="4" t="s">
        <v>3</v>
      </c>
    </row>
    <row r="1911">
      <c r="A1911" s="3" t="s">
        <v>1702</v>
      </c>
      <c r="B1911" s="4" t="s">
        <v>3</v>
      </c>
    </row>
    <row r="1912">
      <c r="A1912" s="3" t="s">
        <v>1702</v>
      </c>
      <c r="B1912" s="4" t="s">
        <v>3</v>
      </c>
    </row>
    <row r="1913">
      <c r="A1913" s="3" t="s">
        <v>1702</v>
      </c>
      <c r="B1913" s="4" t="s">
        <v>8</v>
      </c>
    </row>
    <row r="1914">
      <c r="A1914" s="3" t="s">
        <v>1702</v>
      </c>
      <c r="B1914" s="4" t="s">
        <v>8</v>
      </c>
    </row>
    <row r="1915">
      <c r="A1915" s="3" t="s">
        <v>1702</v>
      </c>
      <c r="B1915" s="4" t="s">
        <v>8</v>
      </c>
    </row>
    <row r="1916">
      <c r="A1916" s="3" t="s">
        <v>1702</v>
      </c>
      <c r="B1916" s="4" t="s">
        <v>8</v>
      </c>
    </row>
    <row r="1917">
      <c r="A1917" s="3" t="s">
        <v>1702</v>
      </c>
      <c r="B1917" s="4" t="s">
        <v>3</v>
      </c>
    </row>
    <row r="1918">
      <c r="A1918" s="3" t="s">
        <v>1702</v>
      </c>
      <c r="B1918" s="4" t="s">
        <v>3</v>
      </c>
    </row>
    <row r="1919">
      <c r="A1919" s="3" t="s">
        <v>1702</v>
      </c>
      <c r="B1919" s="4" t="s">
        <v>3</v>
      </c>
    </row>
    <row r="1920">
      <c r="A1920" s="3" t="s">
        <v>1702</v>
      </c>
      <c r="B1920" s="4" t="s">
        <v>8</v>
      </c>
    </row>
    <row r="1921">
      <c r="A1921" s="3" t="s">
        <v>1719</v>
      </c>
      <c r="B1921" s="4" t="s">
        <v>3</v>
      </c>
    </row>
    <row r="1922">
      <c r="A1922" s="3" t="s">
        <v>1719</v>
      </c>
      <c r="B1922" s="4" t="s">
        <v>8</v>
      </c>
    </row>
    <row r="1923">
      <c r="A1923" s="3" t="s">
        <v>1719</v>
      </c>
      <c r="B1923" s="4" t="s">
        <v>8</v>
      </c>
    </row>
    <row r="1924">
      <c r="A1924" s="3" t="s">
        <v>1719</v>
      </c>
      <c r="B1924" s="4" t="s">
        <v>8</v>
      </c>
    </row>
    <row r="1925">
      <c r="A1925" s="3" t="s">
        <v>1719</v>
      </c>
      <c r="B1925" s="4" t="s">
        <v>8</v>
      </c>
    </row>
    <row r="1926">
      <c r="A1926" s="3" t="s">
        <v>1719</v>
      </c>
      <c r="B1926" s="4" t="s">
        <v>8</v>
      </c>
    </row>
    <row r="1927">
      <c r="A1927" s="3" t="s">
        <v>1719</v>
      </c>
      <c r="B1927" s="4" t="s">
        <v>8</v>
      </c>
    </row>
    <row r="1928">
      <c r="A1928" s="3" t="s">
        <v>1719</v>
      </c>
      <c r="B1928" s="4" t="s">
        <v>8</v>
      </c>
    </row>
    <row r="1929">
      <c r="A1929" s="3" t="s">
        <v>1719</v>
      </c>
      <c r="B1929" s="4" t="s">
        <v>8</v>
      </c>
    </row>
    <row r="1930">
      <c r="A1930" s="3" t="s">
        <v>1719</v>
      </c>
      <c r="B1930" s="4" t="s">
        <v>3</v>
      </c>
    </row>
    <row r="1931">
      <c r="A1931" s="3" t="s">
        <v>1719</v>
      </c>
      <c r="B1931" s="4" t="s">
        <v>3</v>
      </c>
    </row>
    <row r="1932">
      <c r="A1932" s="3" t="s">
        <v>1719</v>
      </c>
      <c r="B1932" s="4" t="s">
        <v>8</v>
      </c>
    </row>
    <row r="1933">
      <c r="A1933" s="3" t="s">
        <v>1719</v>
      </c>
      <c r="B1933" s="4" t="s">
        <v>8</v>
      </c>
    </row>
    <row r="1934">
      <c r="A1934" s="3" t="s">
        <v>1719</v>
      </c>
      <c r="B1934" s="4" t="s">
        <v>8</v>
      </c>
    </row>
    <row r="1935">
      <c r="A1935" s="3" t="s">
        <v>1719</v>
      </c>
      <c r="B1935" s="4" t="s">
        <v>3</v>
      </c>
    </row>
    <row r="1936">
      <c r="A1936" s="3" t="s">
        <v>1719</v>
      </c>
      <c r="B1936" s="4" t="s">
        <v>3</v>
      </c>
    </row>
    <row r="1937">
      <c r="A1937" s="3" t="s">
        <v>1719</v>
      </c>
      <c r="B1937" s="4" t="s">
        <v>8</v>
      </c>
    </row>
    <row r="1938">
      <c r="A1938" s="3" t="s">
        <v>1719</v>
      </c>
      <c r="B1938" s="4" t="s">
        <v>8</v>
      </c>
    </row>
    <row r="1939">
      <c r="A1939" s="3" t="s">
        <v>1719</v>
      </c>
      <c r="B1939" s="4" t="s">
        <v>3</v>
      </c>
    </row>
    <row r="1940">
      <c r="A1940" s="3" t="s">
        <v>1719</v>
      </c>
      <c r="B1940" s="4" t="s">
        <v>8</v>
      </c>
    </row>
    <row r="1941">
      <c r="A1941" s="3" t="s">
        <v>1735</v>
      </c>
      <c r="B1941" s="4" t="s">
        <v>3</v>
      </c>
    </row>
    <row r="1942">
      <c r="A1942" s="3" t="s">
        <v>1735</v>
      </c>
      <c r="B1942" s="4" t="s">
        <v>8</v>
      </c>
    </row>
    <row r="1943">
      <c r="A1943" s="3" t="s">
        <v>1735</v>
      </c>
      <c r="B1943" s="4" t="s">
        <v>3</v>
      </c>
    </row>
    <row r="1944">
      <c r="A1944" s="3" t="s">
        <v>1735</v>
      </c>
      <c r="B1944" s="4" t="s">
        <v>8</v>
      </c>
    </row>
    <row r="1945">
      <c r="A1945" s="3" t="s">
        <v>1735</v>
      </c>
      <c r="B1945" s="4" t="s">
        <v>8</v>
      </c>
    </row>
    <row r="1946">
      <c r="A1946" s="3" t="s">
        <v>1735</v>
      </c>
      <c r="B1946" s="4" t="s">
        <v>8</v>
      </c>
    </row>
    <row r="1947">
      <c r="A1947" s="3" t="s">
        <v>1735</v>
      </c>
      <c r="B1947" s="4" t="s">
        <v>3</v>
      </c>
    </row>
    <row r="1948">
      <c r="A1948" s="3" t="s">
        <v>1735</v>
      </c>
      <c r="B1948" s="4" t="s">
        <v>8</v>
      </c>
    </row>
    <row r="1949">
      <c r="A1949" s="3" t="s">
        <v>1735</v>
      </c>
      <c r="B1949" s="4" t="s">
        <v>8</v>
      </c>
    </row>
    <row r="1950">
      <c r="A1950" s="3" t="s">
        <v>1735</v>
      </c>
      <c r="B1950" s="4" t="s">
        <v>8</v>
      </c>
    </row>
    <row r="1951">
      <c r="A1951" s="3" t="s">
        <v>1735</v>
      </c>
      <c r="B1951" s="4" t="s">
        <v>3</v>
      </c>
    </row>
    <row r="1952">
      <c r="A1952" s="3" t="s">
        <v>1735</v>
      </c>
      <c r="B1952" s="4" t="s">
        <v>3</v>
      </c>
    </row>
    <row r="1953">
      <c r="A1953" s="3" t="s">
        <v>1735</v>
      </c>
      <c r="B1953" s="4" t="s">
        <v>8</v>
      </c>
    </row>
    <row r="1954">
      <c r="A1954" s="3" t="s">
        <v>1735</v>
      </c>
      <c r="B1954" s="4" t="s">
        <v>8</v>
      </c>
    </row>
    <row r="1955">
      <c r="A1955" s="3" t="s">
        <v>1735</v>
      </c>
      <c r="B1955" s="4" t="s">
        <v>3</v>
      </c>
    </row>
    <row r="1956">
      <c r="A1956" s="3" t="s">
        <v>1735</v>
      </c>
      <c r="B1956" s="4" t="s">
        <v>8</v>
      </c>
    </row>
    <row r="1957">
      <c r="A1957" s="3" t="s">
        <v>1735</v>
      </c>
      <c r="B1957" s="4" t="s">
        <v>8</v>
      </c>
    </row>
    <row r="1958">
      <c r="A1958" s="3" t="s">
        <v>1735</v>
      </c>
      <c r="B1958" s="4" t="s">
        <v>3</v>
      </c>
    </row>
    <row r="1959">
      <c r="A1959" s="3" t="s">
        <v>1735</v>
      </c>
      <c r="B1959" s="4" t="s">
        <v>8</v>
      </c>
    </row>
    <row r="1960">
      <c r="A1960" s="3" t="s">
        <v>1735</v>
      </c>
      <c r="B1960" s="4" t="s">
        <v>8</v>
      </c>
    </row>
    <row r="1961">
      <c r="A1961" s="3" t="s">
        <v>1750</v>
      </c>
      <c r="B1961" s="4" t="s">
        <v>3</v>
      </c>
    </row>
    <row r="1962">
      <c r="A1962" s="3" t="s">
        <v>1750</v>
      </c>
      <c r="B1962" s="4" t="s">
        <v>3</v>
      </c>
    </row>
    <row r="1963">
      <c r="A1963" s="3" t="s">
        <v>1750</v>
      </c>
      <c r="B1963" s="4" t="s">
        <v>3</v>
      </c>
    </row>
    <row r="1964">
      <c r="A1964" s="3" t="s">
        <v>1750</v>
      </c>
      <c r="B1964" s="4" t="s">
        <v>8</v>
      </c>
    </row>
    <row r="1965">
      <c r="A1965" s="3" t="s">
        <v>1750</v>
      </c>
      <c r="B1965" s="4" t="s">
        <v>8</v>
      </c>
    </row>
    <row r="1966">
      <c r="A1966" s="3" t="s">
        <v>1750</v>
      </c>
      <c r="B1966" s="4" t="s">
        <v>8</v>
      </c>
    </row>
    <row r="1967">
      <c r="A1967" s="3" t="s">
        <v>1750</v>
      </c>
      <c r="B1967" s="4" t="s">
        <v>8</v>
      </c>
    </row>
    <row r="1968">
      <c r="A1968" s="3" t="s">
        <v>1750</v>
      </c>
      <c r="B1968" s="4" t="s">
        <v>3</v>
      </c>
    </row>
    <row r="1969">
      <c r="A1969" s="3" t="s">
        <v>1750</v>
      </c>
      <c r="B1969" s="4" t="s">
        <v>8</v>
      </c>
    </row>
    <row r="1970">
      <c r="A1970" s="3" t="s">
        <v>1750</v>
      </c>
      <c r="B1970" s="4" t="s">
        <v>8</v>
      </c>
    </row>
    <row r="1971">
      <c r="A1971" s="3" t="s">
        <v>1750</v>
      </c>
      <c r="B1971" s="4" t="s">
        <v>8</v>
      </c>
    </row>
    <row r="1972">
      <c r="A1972" s="3" t="s">
        <v>1750</v>
      </c>
      <c r="B1972" s="4" t="s">
        <v>8</v>
      </c>
    </row>
    <row r="1973">
      <c r="A1973" s="3" t="s">
        <v>1750</v>
      </c>
      <c r="B1973" s="4" t="s">
        <v>3</v>
      </c>
    </row>
    <row r="1974">
      <c r="A1974" s="3" t="s">
        <v>1750</v>
      </c>
      <c r="B1974" s="4" t="s">
        <v>8</v>
      </c>
    </row>
    <row r="1975">
      <c r="A1975" s="3" t="s">
        <v>1750</v>
      </c>
      <c r="B1975" s="4" t="s">
        <v>3</v>
      </c>
    </row>
    <row r="1976">
      <c r="A1976" s="3" t="s">
        <v>1750</v>
      </c>
      <c r="B1976" s="4" t="s">
        <v>3</v>
      </c>
    </row>
    <row r="1977">
      <c r="A1977" s="3" t="s">
        <v>1750</v>
      </c>
      <c r="B1977" s="4" t="s">
        <v>8</v>
      </c>
    </row>
    <row r="1978">
      <c r="A1978" s="3" t="s">
        <v>1750</v>
      </c>
      <c r="B1978" s="4" t="s">
        <v>8</v>
      </c>
    </row>
    <row r="1979">
      <c r="A1979" s="3" t="s">
        <v>1750</v>
      </c>
      <c r="B1979" s="4" t="s">
        <v>8</v>
      </c>
    </row>
    <row r="1980">
      <c r="A1980" s="3" t="s">
        <v>1750</v>
      </c>
      <c r="B1980" s="4" t="s">
        <v>8</v>
      </c>
    </row>
    <row r="1981">
      <c r="A1981" s="3" t="s">
        <v>1766</v>
      </c>
      <c r="B1981" s="4" t="s">
        <v>8</v>
      </c>
    </row>
    <row r="1982">
      <c r="A1982" s="3" t="s">
        <v>1766</v>
      </c>
      <c r="B1982" s="4" t="s">
        <v>3</v>
      </c>
    </row>
    <row r="1983">
      <c r="A1983" s="3" t="s">
        <v>1766</v>
      </c>
      <c r="B1983" s="4" t="s">
        <v>3</v>
      </c>
    </row>
    <row r="1984">
      <c r="A1984" s="3" t="s">
        <v>1766</v>
      </c>
      <c r="B1984" s="4" t="s">
        <v>3</v>
      </c>
    </row>
    <row r="1985">
      <c r="A1985" s="3" t="s">
        <v>1766</v>
      </c>
      <c r="B1985" s="4" t="s">
        <v>3</v>
      </c>
    </row>
    <row r="1986">
      <c r="A1986" s="3" t="s">
        <v>1766</v>
      </c>
      <c r="B1986" s="4" t="s">
        <v>8</v>
      </c>
    </row>
    <row r="1987">
      <c r="A1987" s="3" t="s">
        <v>1766</v>
      </c>
      <c r="B1987" s="4" t="s">
        <v>3</v>
      </c>
    </row>
    <row r="1988">
      <c r="A1988" s="3" t="s">
        <v>1766</v>
      </c>
      <c r="B1988" s="4" t="s">
        <v>8</v>
      </c>
    </row>
    <row r="1989">
      <c r="A1989" s="3" t="s">
        <v>1766</v>
      </c>
      <c r="B1989" s="4" t="s">
        <v>3</v>
      </c>
    </row>
    <row r="1990">
      <c r="A1990" s="3" t="s">
        <v>1766</v>
      </c>
      <c r="B1990" s="4" t="s">
        <v>8</v>
      </c>
    </row>
    <row r="1991">
      <c r="A1991" s="3" t="s">
        <v>1766</v>
      </c>
      <c r="B1991" s="4" t="s">
        <v>8</v>
      </c>
    </row>
    <row r="1992">
      <c r="A1992" s="3" t="s">
        <v>1766</v>
      </c>
      <c r="B1992" s="4" t="s">
        <v>8</v>
      </c>
    </row>
    <row r="1993">
      <c r="A1993" s="3" t="s">
        <v>1766</v>
      </c>
      <c r="B1993" s="4" t="s">
        <v>3</v>
      </c>
    </row>
    <row r="1994">
      <c r="A1994" s="3" t="s">
        <v>1766</v>
      </c>
      <c r="B1994" s="4" t="s">
        <v>8</v>
      </c>
    </row>
    <row r="1995">
      <c r="A1995" s="3" t="s">
        <v>1766</v>
      </c>
      <c r="B1995" s="4" t="s">
        <v>8</v>
      </c>
    </row>
    <row r="1996">
      <c r="A1996" s="3" t="s">
        <v>1766</v>
      </c>
      <c r="B1996" s="4" t="s">
        <v>8</v>
      </c>
    </row>
    <row r="1997">
      <c r="A1997" s="3" t="s">
        <v>1766</v>
      </c>
      <c r="B1997" s="4" t="s">
        <v>3</v>
      </c>
    </row>
    <row r="1998">
      <c r="A1998" s="3" t="s">
        <v>1766</v>
      </c>
      <c r="B1998" s="4" t="s">
        <v>8</v>
      </c>
    </row>
    <row r="1999">
      <c r="A1999" s="3" t="s">
        <v>1766</v>
      </c>
      <c r="B1999" s="4" t="s">
        <v>3</v>
      </c>
    </row>
    <row r="2000">
      <c r="A2000" s="3" t="s">
        <v>1766</v>
      </c>
      <c r="B2000" s="4" t="s">
        <v>3</v>
      </c>
    </row>
    <row r="2001">
      <c r="A2001" s="3" t="s">
        <v>1776</v>
      </c>
      <c r="B2001" s="4" t="s">
        <v>1777</v>
      </c>
    </row>
    <row r="2002">
      <c r="A2002" s="12"/>
      <c r="B2002" s="13"/>
    </row>
    <row r="2003">
      <c r="A2003" s="12"/>
      <c r="B2003" s="13"/>
    </row>
  </sheetData>
  <conditionalFormatting sqref="A1:A2003">
    <cfRule type="notContainsBlanks" dxfId="0" priority="1">
      <formula>LEN(TRIM(A1))&gt;0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0"/>
    <col customWidth="1" min="5" max="5" width="14.25"/>
  </cols>
  <sheetData>
    <row r="1">
      <c r="A1" s="28">
        <v>65.02</v>
      </c>
      <c r="B1" s="9" t="s">
        <v>1889</v>
      </c>
      <c r="D1" s="9" t="s">
        <v>1890</v>
      </c>
      <c r="F1" s="9" t="s">
        <v>1891</v>
      </c>
      <c r="H1" s="9" t="s">
        <v>1892</v>
      </c>
      <c r="J1" s="9" t="s">
        <v>1893</v>
      </c>
      <c r="L1" s="9" t="s">
        <v>1894</v>
      </c>
    </row>
    <row r="2">
      <c r="A2" s="28">
        <v>37.56</v>
      </c>
      <c r="B2" s="18">
        <f>SUM(A:A)</f>
        <v>50905.24</v>
      </c>
      <c r="D2" s="19">
        <f>MIN(A:A)</f>
        <v>1.3</v>
      </c>
      <c r="F2" s="18">
        <f>MAX(A:A)</f>
        <v>80.28</v>
      </c>
      <c r="H2" s="18">
        <f>MEDIAN(A:A)</f>
        <v>19.245</v>
      </c>
      <c r="J2" s="18">
        <f>MEDIAN(A:A)</f>
        <v>19.245</v>
      </c>
      <c r="L2" s="27">
        <f>MODE(A:A)</f>
        <v>10.71</v>
      </c>
    </row>
    <row r="3">
      <c r="A3" s="28">
        <v>10.51</v>
      </c>
    </row>
    <row r="4">
      <c r="A4" s="28">
        <v>18.4</v>
      </c>
      <c r="C4" s="9" t="s">
        <v>1895</v>
      </c>
      <c r="E4" s="16" t="s">
        <v>1896</v>
      </c>
    </row>
    <row r="5">
      <c r="A5" s="28">
        <v>15.9</v>
      </c>
      <c r="C5" s="23">
        <f>VAR(A:A)</f>
        <v>328.6490598</v>
      </c>
      <c r="E5" s="23">
        <f>STDEV(A:A)</f>
        <v>18.12868059</v>
      </c>
    </row>
    <row r="6">
      <c r="A6" s="28">
        <v>13.34</v>
      </c>
    </row>
    <row r="7">
      <c r="A7" s="28">
        <v>16.55</v>
      </c>
    </row>
    <row r="8">
      <c r="A8" s="28">
        <v>8.98</v>
      </c>
    </row>
    <row r="9">
      <c r="A9" s="28">
        <v>16.3</v>
      </c>
    </row>
    <row r="10">
      <c r="A10" s="28">
        <v>42.04</v>
      </c>
    </row>
    <row r="11">
      <c r="A11" s="28">
        <v>68.56</v>
      </c>
    </row>
    <row r="12">
      <c r="A12" s="28">
        <v>8.52</v>
      </c>
    </row>
    <row r="13">
      <c r="A13" s="28">
        <v>13.48</v>
      </c>
    </row>
    <row r="14">
      <c r="A14" s="28">
        <v>11.66</v>
      </c>
    </row>
    <row r="15">
      <c r="A15" s="28">
        <v>15.16</v>
      </c>
    </row>
    <row r="16">
      <c r="A16" s="28">
        <v>18.3</v>
      </c>
    </row>
    <row r="17">
      <c r="A17" s="28">
        <v>15.01</v>
      </c>
    </row>
    <row r="18">
      <c r="A18" s="28">
        <v>8.87</v>
      </c>
    </row>
    <row r="19">
      <c r="A19" s="28">
        <v>13.36</v>
      </c>
    </row>
    <row r="20">
      <c r="A20" s="28">
        <v>24.51</v>
      </c>
    </row>
    <row r="21">
      <c r="A21" s="28">
        <v>69.74</v>
      </c>
    </row>
    <row r="22">
      <c r="A22" s="28">
        <v>11.45</v>
      </c>
    </row>
    <row r="23">
      <c r="A23" s="28">
        <v>10.57</v>
      </c>
    </row>
    <row r="24">
      <c r="A24" s="28">
        <v>33.08</v>
      </c>
    </row>
    <row r="25">
      <c r="A25" s="28">
        <v>36.01</v>
      </c>
    </row>
    <row r="26">
      <c r="A26" s="28">
        <v>10.87</v>
      </c>
    </row>
    <row r="27">
      <c r="A27" s="28">
        <v>34.22</v>
      </c>
    </row>
    <row r="28">
      <c r="A28" s="28">
        <v>38.39</v>
      </c>
    </row>
    <row r="29">
      <c r="A29" s="28">
        <v>21.33</v>
      </c>
    </row>
    <row r="30">
      <c r="A30" s="28">
        <v>3.04</v>
      </c>
    </row>
    <row r="31">
      <c r="A31" s="28">
        <v>35.98</v>
      </c>
    </row>
    <row r="32">
      <c r="A32" s="28">
        <v>4.3</v>
      </c>
    </row>
    <row r="33">
      <c r="A33" s="28">
        <v>17.61</v>
      </c>
    </row>
    <row r="34">
      <c r="A34" s="28">
        <v>39.57</v>
      </c>
    </row>
    <row r="35">
      <c r="A35" s="28">
        <v>47.61</v>
      </c>
    </row>
    <row r="36">
      <c r="A36" s="28">
        <v>12.95</v>
      </c>
    </row>
    <row r="37">
      <c r="A37" s="28">
        <v>63.19</v>
      </c>
    </row>
    <row r="38">
      <c r="A38" s="28">
        <v>38.92</v>
      </c>
    </row>
    <row r="39">
      <c r="A39" s="28">
        <v>14.47</v>
      </c>
    </row>
    <row r="40">
      <c r="A40" s="28">
        <v>28.15</v>
      </c>
    </row>
    <row r="41">
      <c r="A41" s="28">
        <v>20.41</v>
      </c>
    </row>
    <row r="42">
      <c r="A42" s="28">
        <v>21.59</v>
      </c>
    </row>
    <row r="43">
      <c r="A43" s="28">
        <v>38.03</v>
      </c>
    </row>
    <row r="44">
      <c r="A44" s="28">
        <v>19.16</v>
      </c>
    </row>
    <row r="45">
      <c r="A45" s="28">
        <v>39.66</v>
      </c>
    </row>
    <row r="46">
      <c r="A46" s="28">
        <v>14.07</v>
      </c>
    </row>
    <row r="47">
      <c r="A47" s="28">
        <v>25.68</v>
      </c>
    </row>
    <row r="48">
      <c r="A48" s="28">
        <v>13.08</v>
      </c>
    </row>
    <row r="49">
      <c r="A49" s="28">
        <v>38.54</v>
      </c>
    </row>
    <row r="50">
      <c r="A50" s="28">
        <v>60.17</v>
      </c>
    </row>
    <row r="51">
      <c r="A51" s="28">
        <v>32.67</v>
      </c>
    </row>
    <row r="52">
      <c r="A52" s="28">
        <v>18.42</v>
      </c>
    </row>
    <row r="53">
      <c r="A53" s="28">
        <v>58.5</v>
      </c>
    </row>
    <row r="54">
      <c r="A54" s="28">
        <v>28.31</v>
      </c>
    </row>
    <row r="55">
      <c r="A55" s="28">
        <v>20.55</v>
      </c>
    </row>
    <row r="56">
      <c r="A56" s="28">
        <v>34.47</v>
      </c>
    </row>
    <row r="57">
      <c r="A57" s="28">
        <v>28.68</v>
      </c>
    </row>
    <row r="58">
      <c r="A58" s="28">
        <v>75.56</v>
      </c>
    </row>
    <row r="59">
      <c r="A59" s="28">
        <v>27.96</v>
      </c>
    </row>
    <row r="60">
      <c r="A60" s="28">
        <v>10.53</v>
      </c>
    </row>
    <row r="61">
      <c r="A61" s="28">
        <v>78.26</v>
      </c>
    </row>
    <row r="62">
      <c r="A62" s="28">
        <v>26.72</v>
      </c>
    </row>
    <row r="63">
      <c r="A63" s="28">
        <v>6.78</v>
      </c>
    </row>
    <row r="64">
      <c r="A64" s="28">
        <v>61.74</v>
      </c>
    </row>
    <row r="65">
      <c r="A65" s="28">
        <v>8.74</v>
      </c>
    </row>
    <row r="66">
      <c r="A66" s="28">
        <v>3.48</v>
      </c>
    </row>
    <row r="67">
      <c r="A67" s="28">
        <v>29.89</v>
      </c>
    </row>
    <row r="68">
      <c r="A68" s="28">
        <v>2.17</v>
      </c>
    </row>
    <row r="69">
      <c r="A69" s="28">
        <v>39.41</v>
      </c>
    </row>
    <row r="70">
      <c r="A70" s="28">
        <v>32.32</v>
      </c>
    </row>
    <row r="71">
      <c r="A71" s="28">
        <v>30.81</v>
      </c>
    </row>
    <row r="72">
      <c r="A72" s="28">
        <v>27.62</v>
      </c>
    </row>
    <row r="73">
      <c r="A73" s="28">
        <v>18.52</v>
      </c>
    </row>
    <row r="74">
      <c r="A74" s="28">
        <v>3.83</v>
      </c>
    </row>
    <row r="75">
      <c r="A75" s="28">
        <v>14.11</v>
      </c>
    </row>
    <row r="76">
      <c r="A76" s="28">
        <v>10.69</v>
      </c>
    </row>
    <row r="77">
      <c r="A77" s="28">
        <v>13.84</v>
      </c>
    </row>
    <row r="78">
      <c r="A78" s="28">
        <v>10.56</v>
      </c>
    </row>
    <row r="79">
      <c r="A79" s="28">
        <v>16.36</v>
      </c>
    </row>
    <row r="80">
      <c r="A80" s="28">
        <v>30.74</v>
      </c>
    </row>
    <row r="81">
      <c r="A81" s="28">
        <v>31.14</v>
      </c>
    </row>
    <row r="82">
      <c r="A82" s="28">
        <v>13.27</v>
      </c>
    </row>
    <row r="83">
      <c r="A83" s="28">
        <v>4.11</v>
      </c>
    </row>
    <row r="84">
      <c r="A84" s="28">
        <v>17.25</v>
      </c>
    </row>
    <row r="85">
      <c r="A85" s="28">
        <v>32.99</v>
      </c>
    </row>
    <row r="86">
      <c r="A86" s="28">
        <v>11.61</v>
      </c>
    </row>
    <row r="87">
      <c r="A87" s="28">
        <v>69.58</v>
      </c>
    </row>
    <row r="88">
      <c r="A88" s="28">
        <v>65.19</v>
      </c>
    </row>
    <row r="89">
      <c r="A89" s="28">
        <v>38.91</v>
      </c>
    </row>
    <row r="90">
      <c r="A90" s="28">
        <v>21.05</v>
      </c>
    </row>
    <row r="91">
      <c r="A91" s="28">
        <v>32.48</v>
      </c>
    </row>
    <row r="92">
      <c r="A92" s="28">
        <v>20.69</v>
      </c>
    </row>
    <row r="93">
      <c r="A93" s="28">
        <v>4.36</v>
      </c>
    </row>
    <row r="94">
      <c r="A94" s="28">
        <v>55.15</v>
      </c>
    </row>
    <row r="95">
      <c r="A95" s="28">
        <v>33.5</v>
      </c>
    </row>
    <row r="96">
      <c r="A96" s="28">
        <v>10.84</v>
      </c>
    </row>
    <row r="97">
      <c r="A97" s="28">
        <v>16.06</v>
      </c>
    </row>
    <row r="98">
      <c r="A98" s="28">
        <v>3.09</v>
      </c>
    </row>
    <row r="99">
      <c r="A99" s="28">
        <v>15.88</v>
      </c>
    </row>
    <row r="100">
      <c r="A100" s="28">
        <v>10.26</v>
      </c>
    </row>
    <row r="101">
      <c r="A101" s="28">
        <v>2.95</v>
      </c>
    </row>
    <row r="102">
      <c r="A102" s="28">
        <v>18.82</v>
      </c>
    </row>
    <row r="103">
      <c r="A103" s="28">
        <v>20.32</v>
      </c>
    </row>
    <row r="104">
      <c r="A104" s="28">
        <v>24.74</v>
      </c>
    </row>
    <row r="105">
      <c r="A105" s="28">
        <v>33.45</v>
      </c>
    </row>
    <row r="106">
      <c r="A106" s="28">
        <v>56.69</v>
      </c>
    </row>
    <row r="107">
      <c r="A107" s="28">
        <v>37.38</v>
      </c>
    </row>
    <row r="108">
      <c r="A108" s="28">
        <v>31.23</v>
      </c>
    </row>
    <row r="109">
      <c r="A109" s="28">
        <v>36.51</v>
      </c>
    </row>
    <row r="110">
      <c r="A110" s="28">
        <v>27.43</v>
      </c>
    </row>
    <row r="111">
      <c r="A111" s="28">
        <v>72.37</v>
      </c>
    </row>
    <row r="112">
      <c r="A112" s="28">
        <v>26.77</v>
      </c>
    </row>
    <row r="113">
      <c r="A113" s="28">
        <v>44.27</v>
      </c>
    </row>
    <row r="114">
      <c r="A114" s="28">
        <v>44.93</v>
      </c>
    </row>
    <row r="115">
      <c r="A115" s="28">
        <v>19.5</v>
      </c>
    </row>
    <row r="116">
      <c r="A116" s="28">
        <v>1.78</v>
      </c>
    </row>
    <row r="117">
      <c r="A117" s="28">
        <v>69.22</v>
      </c>
    </row>
    <row r="118">
      <c r="A118" s="28">
        <v>10.39</v>
      </c>
    </row>
    <row r="119">
      <c r="A119" s="28">
        <v>76.07</v>
      </c>
    </row>
    <row r="120">
      <c r="A120" s="28">
        <v>39.31</v>
      </c>
    </row>
    <row r="121">
      <c r="A121" s="28">
        <v>37.63</v>
      </c>
    </row>
    <row r="122">
      <c r="A122" s="28">
        <v>37.71</v>
      </c>
    </row>
    <row r="123">
      <c r="A123" s="28">
        <v>75.71</v>
      </c>
    </row>
    <row r="124">
      <c r="A124" s="28">
        <v>2.12</v>
      </c>
    </row>
    <row r="125">
      <c r="A125" s="28">
        <v>8.44</v>
      </c>
    </row>
    <row r="126">
      <c r="A126" s="28">
        <v>3.86</v>
      </c>
    </row>
    <row r="127">
      <c r="A127" s="28">
        <v>36.98</v>
      </c>
    </row>
    <row r="128">
      <c r="A128" s="28">
        <v>37.23</v>
      </c>
    </row>
    <row r="129">
      <c r="A129" s="28">
        <v>32.17</v>
      </c>
    </row>
    <row r="130">
      <c r="A130" s="28">
        <v>39.04</v>
      </c>
    </row>
    <row r="131">
      <c r="A131" s="28">
        <v>24.78</v>
      </c>
    </row>
    <row r="132">
      <c r="A132" s="28">
        <v>62.06</v>
      </c>
    </row>
    <row r="133">
      <c r="A133" s="28">
        <v>21.9</v>
      </c>
    </row>
    <row r="134">
      <c r="A134" s="28">
        <v>3.89</v>
      </c>
    </row>
    <row r="135">
      <c r="A135" s="28">
        <v>38.84</v>
      </c>
    </row>
    <row r="136">
      <c r="A136" s="28">
        <v>25.59</v>
      </c>
    </row>
    <row r="137">
      <c r="A137" s="28">
        <v>15.68</v>
      </c>
    </row>
    <row r="138">
      <c r="A138" s="28">
        <v>63.2</v>
      </c>
    </row>
    <row r="139">
      <c r="A139" s="28">
        <v>30.03</v>
      </c>
    </row>
    <row r="140">
      <c r="A140" s="28">
        <v>12.15</v>
      </c>
    </row>
    <row r="141">
      <c r="A141" s="28">
        <v>11.26</v>
      </c>
    </row>
    <row r="142">
      <c r="A142" s="28">
        <v>26.22</v>
      </c>
    </row>
    <row r="143">
      <c r="A143" s="28">
        <v>2.28</v>
      </c>
    </row>
    <row r="144">
      <c r="A144" s="28">
        <v>49.9</v>
      </c>
    </row>
    <row r="145">
      <c r="A145" s="28">
        <v>28.95</v>
      </c>
    </row>
    <row r="146">
      <c r="A146" s="28">
        <v>13.83</v>
      </c>
    </row>
    <row r="147">
      <c r="A147" s="28">
        <v>16.63</v>
      </c>
    </row>
    <row r="148">
      <c r="A148" s="28">
        <v>11.18</v>
      </c>
    </row>
    <row r="149">
      <c r="A149" s="28">
        <v>15.71</v>
      </c>
    </row>
    <row r="150">
      <c r="A150" s="28">
        <v>10.67</v>
      </c>
    </row>
    <row r="151">
      <c r="A151" s="28">
        <v>62.55</v>
      </c>
    </row>
    <row r="152">
      <c r="A152" s="28">
        <v>11.25</v>
      </c>
    </row>
    <row r="153">
      <c r="A153" s="28">
        <v>16.38</v>
      </c>
    </row>
    <row r="154">
      <c r="A154" s="28">
        <v>25.01</v>
      </c>
    </row>
    <row r="155">
      <c r="A155" s="28">
        <v>15.98</v>
      </c>
    </row>
    <row r="156">
      <c r="A156" s="28">
        <v>22.67</v>
      </c>
    </row>
    <row r="157">
      <c r="A157" s="28">
        <v>65.44</v>
      </c>
    </row>
    <row r="158">
      <c r="A158" s="28">
        <v>10.64</v>
      </c>
    </row>
    <row r="159">
      <c r="A159" s="28">
        <v>11.78</v>
      </c>
    </row>
    <row r="160">
      <c r="A160" s="28">
        <v>10.89</v>
      </c>
    </row>
    <row r="161">
      <c r="A161" s="28">
        <v>3.28</v>
      </c>
    </row>
    <row r="162">
      <c r="A162" s="28">
        <v>13.72</v>
      </c>
    </row>
    <row r="163">
      <c r="A163" s="28">
        <v>12.3</v>
      </c>
    </row>
    <row r="164">
      <c r="A164" s="28">
        <v>14.27</v>
      </c>
    </row>
    <row r="165">
      <c r="A165" s="28">
        <v>5.36</v>
      </c>
    </row>
    <row r="166">
      <c r="A166" s="28">
        <v>35.6</v>
      </c>
    </row>
    <row r="167">
      <c r="A167" s="28">
        <v>15.32</v>
      </c>
    </row>
    <row r="168">
      <c r="A168" s="28">
        <v>10.71</v>
      </c>
    </row>
    <row r="169">
      <c r="A169" s="28">
        <v>29.78</v>
      </c>
    </row>
    <row r="170">
      <c r="A170" s="28">
        <v>41.09</v>
      </c>
    </row>
    <row r="171">
      <c r="A171" s="28">
        <v>55.9</v>
      </c>
    </row>
    <row r="172">
      <c r="A172" s="28">
        <v>16.56</v>
      </c>
    </row>
    <row r="173">
      <c r="A173" s="28">
        <v>11.29</v>
      </c>
    </row>
    <row r="174">
      <c r="A174" s="28">
        <v>11.01</v>
      </c>
    </row>
    <row r="175">
      <c r="A175" s="28">
        <v>2.52</v>
      </c>
    </row>
    <row r="176">
      <c r="A176" s="28">
        <v>52.58</v>
      </c>
    </row>
    <row r="177">
      <c r="A177" s="28">
        <v>23.51</v>
      </c>
    </row>
    <row r="178">
      <c r="A178" s="28">
        <v>22.82</v>
      </c>
    </row>
    <row r="179">
      <c r="A179" s="28">
        <v>26.4</v>
      </c>
    </row>
    <row r="180">
      <c r="A180" s="28">
        <v>13.07</v>
      </c>
    </row>
    <row r="181">
      <c r="A181" s="28">
        <v>4.7</v>
      </c>
    </row>
    <row r="182">
      <c r="A182" s="28">
        <v>2.25</v>
      </c>
    </row>
    <row r="183">
      <c r="A183" s="28">
        <v>12.37</v>
      </c>
    </row>
    <row r="184">
      <c r="A184" s="28">
        <v>26.32</v>
      </c>
    </row>
    <row r="185">
      <c r="A185" s="28">
        <v>34.95</v>
      </c>
    </row>
    <row r="186">
      <c r="A186" s="28">
        <v>16.88</v>
      </c>
    </row>
    <row r="187">
      <c r="A187" s="28">
        <v>19.93</v>
      </c>
    </row>
    <row r="188">
      <c r="A188" s="28">
        <v>56.69</v>
      </c>
    </row>
    <row r="189">
      <c r="A189" s="28">
        <v>44.34</v>
      </c>
    </row>
    <row r="190">
      <c r="A190" s="28">
        <v>48.79</v>
      </c>
    </row>
    <row r="191">
      <c r="A191" s="28">
        <v>40.24</v>
      </c>
    </row>
    <row r="192">
      <c r="A192" s="28">
        <v>63.18</v>
      </c>
    </row>
    <row r="193">
      <c r="A193" s="28">
        <v>14.44</v>
      </c>
    </row>
    <row r="194">
      <c r="A194" s="28">
        <v>14.02</v>
      </c>
    </row>
    <row r="195">
      <c r="A195" s="28">
        <v>19.6</v>
      </c>
    </row>
    <row r="196">
      <c r="A196" s="28">
        <v>26.54</v>
      </c>
    </row>
    <row r="197">
      <c r="A197" s="28">
        <v>34.34</v>
      </c>
    </row>
    <row r="198">
      <c r="A198" s="28">
        <v>53.27</v>
      </c>
    </row>
    <row r="199">
      <c r="A199" s="28">
        <v>32.7</v>
      </c>
    </row>
    <row r="200">
      <c r="A200" s="28">
        <v>14.58</v>
      </c>
    </row>
    <row r="201">
      <c r="A201" s="28">
        <v>38.09</v>
      </c>
    </row>
    <row r="202">
      <c r="A202" s="28">
        <v>3.57</v>
      </c>
    </row>
    <row r="203">
      <c r="A203" s="28">
        <v>40.46</v>
      </c>
    </row>
    <row r="204">
      <c r="A204" s="28">
        <v>46.32</v>
      </c>
    </row>
    <row r="205">
      <c r="A205" s="28">
        <v>12.52</v>
      </c>
    </row>
    <row r="206">
      <c r="A206" s="28">
        <v>13.24</v>
      </c>
    </row>
    <row r="207">
      <c r="A207" s="28">
        <v>12.52</v>
      </c>
    </row>
    <row r="208">
      <c r="A208" s="28">
        <v>4.38</v>
      </c>
    </row>
    <row r="209">
      <c r="A209" s="28">
        <v>31.58</v>
      </c>
    </row>
    <row r="210">
      <c r="A210" s="28">
        <v>23.17</v>
      </c>
    </row>
    <row r="211">
      <c r="A211" s="28">
        <v>18.22</v>
      </c>
    </row>
    <row r="212">
      <c r="A212" s="28">
        <v>1.84</v>
      </c>
    </row>
    <row r="213">
      <c r="A213" s="28">
        <v>2.93</v>
      </c>
    </row>
    <row r="214">
      <c r="A214" s="28">
        <v>20.53</v>
      </c>
    </row>
    <row r="215">
      <c r="A215" s="28">
        <v>12.5</v>
      </c>
    </row>
    <row r="216">
      <c r="A216" s="28">
        <v>15.48</v>
      </c>
    </row>
    <row r="217">
      <c r="A217" s="28">
        <v>37.22</v>
      </c>
    </row>
    <row r="218">
      <c r="A218" s="28">
        <v>43.31</v>
      </c>
    </row>
    <row r="219">
      <c r="A219" s="28">
        <v>14.74</v>
      </c>
    </row>
    <row r="220">
      <c r="A220" s="28">
        <v>29.02</v>
      </c>
    </row>
    <row r="221">
      <c r="A221" s="28">
        <v>11.74</v>
      </c>
    </row>
    <row r="222">
      <c r="A222" s="28">
        <v>30.78</v>
      </c>
    </row>
    <row r="223">
      <c r="A223" s="28">
        <v>26.02</v>
      </c>
    </row>
    <row r="224">
      <c r="A224" s="28">
        <v>60.36</v>
      </c>
    </row>
    <row r="225">
      <c r="A225" s="28">
        <v>22.64</v>
      </c>
    </row>
    <row r="226">
      <c r="A226" s="28">
        <v>36.72</v>
      </c>
    </row>
    <row r="227">
      <c r="A227" s="28">
        <v>11.26</v>
      </c>
    </row>
    <row r="228">
      <c r="A228" s="28">
        <v>12.03</v>
      </c>
    </row>
    <row r="229">
      <c r="A229" s="28">
        <v>46.55</v>
      </c>
    </row>
    <row r="230">
      <c r="A230" s="28">
        <v>14.88</v>
      </c>
    </row>
    <row r="231">
      <c r="A231" s="28">
        <v>4.56</v>
      </c>
    </row>
    <row r="232">
      <c r="A232" s="28">
        <v>41.76</v>
      </c>
    </row>
    <row r="233">
      <c r="A233" s="28">
        <v>10.14</v>
      </c>
    </row>
    <row r="234">
      <c r="A234" s="28">
        <v>34.37</v>
      </c>
    </row>
    <row r="235">
      <c r="A235" s="28">
        <v>51.5</v>
      </c>
    </row>
    <row r="236">
      <c r="A236" s="28">
        <v>56.92</v>
      </c>
    </row>
    <row r="237">
      <c r="A237" s="28">
        <v>48.63</v>
      </c>
    </row>
    <row r="238">
      <c r="A238" s="28">
        <v>25.05</v>
      </c>
    </row>
    <row r="239">
      <c r="A239" s="28">
        <v>27.42</v>
      </c>
    </row>
    <row r="240">
      <c r="A240" s="28">
        <v>6.78</v>
      </c>
    </row>
    <row r="241">
      <c r="A241" s="28">
        <v>55.27</v>
      </c>
    </row>
    <row r="242">
      <c r="A242" s="28">
        <v>29.99</v>
      </c>
    </row>
    <row r="243">
      <c r="A243" s="28">
        <v>31.21</v>
      </c>
    </row>
    <row r="244">
      <c r="A244" s="28">
        <v>40.7</v>
      </c>
    </row>
    <row r="245">
      <c r="A245" s="28">
        <v>48.33</v>
      </c>
    </row>
    <row r="246">
      <c r="A246" s="28">
        <v>40.02</v>
      </c>
    </row>
    <row r="247">
      <c r="A247" s="28">
        <v>10.07</v>
      </c>
    </row>
    <row r="248">
      <c r="A248" s="28">
        <v>64.9</v>
      </c>
    </row>
    <row r="249">
      <c r="A249" s="28">
        <v>37.17</v>
      </c>
    </row>
    <row r="250">
      <c r="A250" s="28">
        <v>56.28</v>
      </c>
    </row>
    <row r="251">
      <c r="A251" s="28">
        <v>10.48</v>
      </c>
    </row>
    <row r="252">
      <c r="A252" s="28">
        <v>4.25</v>
      </c>
    </row>
    <row r="253">
      <c r="A253" s="28">
        <v>3.9</v>
      </c>
    </row>
    <row r="254">
      <c r="A254" s="28">
        <v>64.94</v>
      </c>
    </row>
    <row r="255">
      <c r="A255" s="28">
        <v>21.84</v>
      </c>
    </row>
    <row r="256">
      <c r="A256" s="28">
        <v>34.55</v>
      </c>
    </row>
    <row r="257">
      <c r="A257" s="28">
        <v>1.37</v>
      </c>
    </row>
    <row r="258">
      <c r="A258" s="28">
        <v>44.27</v>
      </c>
    </row>
    <row r="259">
      <c r="A259" s="28">
        <v>10.43</v>
      </c>
    </row>
    <row r="260">
      <c r="A260" s="28">
        <v>29.36</v>
      </c>
    </row>
    <row r="261">
      <c r="A261" s="28">
        <v>11.88</v>
      </c>
    </row>
    <row r="262">
      <c r="A262" s="28">
        <v>12.49</v>
      </c>
    </row>
    <row r="263">
      <c r="A263" s="28">
        <v>28.05</v>
      </c>
    </row>
    <row r="264">
      <c r="A264" s="28">
        <v>10.78</v>
      </c>
    </row>
    <row r="265">
      <c r="A265" s="28">
        <v>66.49</v>
      </c>
    </row>
    <row r="266">
      <c r="A266" s="28">
        <v>48.93</v>
      </c>
    </row>
    <row r="267">
      <c r="A267" s="28">
        <v>44.33</v>
      </c>
    </row>
    <row r="268">
      <c r="A268" s="28">
        <v>30.01</v>
      </c>
    </row>
    <row r="269">
      <c r="A269" s="28">
        <v>75.94</v>
      </c>
    </row>
    <row r="270">
      <c r="A270" s="28">
        <v>1.67</v>
      </c>
    </row>
    <row r="271">
      <c r="A271" s="28">
        <v>25.52</v>
      </c>
    </row>
    <row r="272">
      <c r="A272" s="28">
        <v>42.86</v>
      </c>
    </row>
    <row r="273">
      <c r="A273" s="28">
        <v>16.37</v>
      </c>
    </row>
    <row r="274">
      <c r="A274" s="28">
        <v>49.68</v>
      </c>
    </row>
    <row r="275">
      <c r="A275" s="28">
        <v>57.79</v>
      </c>
    </row>
    <row r="276">
      <c r="A276" s="28">
        <v>14.22</v>
      </c>
    </row>
    <row r="277">
      <c r="A277" s="28">
        <v>29.15</v>
      </c>
    </row>
    <row r="278">
      <c r="A278" s="28">
        <v>12.26</v>
      </c>
    </row>
    <row r="279">
      <c r="A279" s="28">
        <v>26.01</v>
      </c>
    </row>
    <row r="280">
      <c r="A280" s="28">
        <v>14.2</v>
      </c>
    </row>
    <row r="281">
      <c r="A281" s="28">
        <v>56.68</v>
      </c>
    </row>
    <row r="282">
      <c r="A282" s="28">
        <v>32.06</v>
      </c>
    </row>
    <row r="283">
      <c r="A283" s="28">
        <v>21.24</v>
      </c>
    </row>
    <row r="284">
      <c r="A284" s="28">
        <v>16.54</v>
      </c>
    </row>
    <row r="285">
      <c r="A285" s="28">
        <v>58.65</v>
      </c>
    </row>
    <row r="286">
      <c r="A286" s="28">
        <v>26.54</v>
      </c>
    </row>
    <row r="287">
      <c r="A287" s="28">
        <v>10.47</v>
      </c>
    </row>
    <row r="288">
      <c r="A288" s="28">
        <v>18.32</v>
      </c>
    </row>
    <row r="289">
      <c r="A289" s="28">
        <v>17.37</v>
      </c>
    </row>
    <row r="290">
      <c r="A290" s="28">
        <v>27.89</v>
      </c>
    </row>
    <row r="291">
      <c r="A291" s="28">
        <v>18.64</v>
      </c>
    </row>
    <row r="292">
      <c r="A292" s="28">
        <v>14.77</v>
      </c>
    </row>
    <row r="293">
      <c r="A293" s="28">
        <v>29.22</v>
      </c>
    </row>
    <row r="294">
      <c r="A294" s="28">
        <v>15.89</v>
      </c>
    </row>
    <row r="295">
      <c r="A295" s="28">
        <v>3.22</v>
      </c>
    </row>
    <row r="296">
      <c r="A296" s="28">
        <v>10.43</v>
      </c>
    </row>
    <row r="297">
      <c r="A297" s="28">
        <v>65.88</v>
      </c>
    </row>
    <row r="298">
      <c r="A298" s="28">
        <v>12.41</v>
      </c>
    </row>
    <row r="299">
      <c r="A299" s="28">
        <v>11.96</v>
      </c>
    </row>
    <row r="300">
      <c r="A300" s="28">
        <v>12.6</v>
      </c>
    </row>
    <row r="301">
      <c r="A301" s="28">
        <v>37.73</v>
      </c>
    </row>
    <row r="302">
      <c r="A302" s="28">
        <v>12.59</v>
      </c>
    </row>
    <row r="303">
      <c r="A303" s="28">
        <v>55.75</v>
      </c>
    </row>
    <row r="304">
      <c r="A304" s="28">
        <v>2.26</v>
      </c>
    </row>
    <row r="305">
      <c r="A305" s="28">
        <v>11.77</v>
      </c>
    </row>
    <row r="306">
      <c r="A306" s="28">
        <v>13.53</v>
      </c>
    </row>
    <row r="307">
      <c r="A307" s="28">
        <v>31.1</v>
      </c>
    </row>
    <row r="308">
      <c r="A308" s="28">
        <v>32.06</v>
      </c>
    </row>
    <row r="309">
      <c r="A309" s="28">
        <v>32.68</v>
      </c>
    </row>
    <row r="310">
      <c r="A310" s="28">
        <v>5.34</v>
      </c>
    </row>
    <row r="311">
      <c r="A311" s="28">
        <v>42.18</v>
      </c>
    </row>
    <row r="312">
      <c r="A312" s="28">
        <v>62.25</v>
      </c>
    </row>
    <row r="313">
      <c r="A313" s="28">
        <v>14.72</v>
      </c>
    </row>
    <row r="314">
      <c r="A314" s="28">
        <v>17.66</v>
      </c>
    </row>
    <row r="315">
      <c r="A315" s="28">
        <v>15.42</v>
      </c>
    </row>
    <row r="316">
      <c r="A316" s="28">
        <v>72.92</v>
      </c>
    </row>
    <row r="317">
      <c r="A317" s="28">
        <v>19.8</v>
      </c>
    </row>
    <row r="318">
      <c r="A318" s="28">
        <v>76.7</v>
      </c>
    </row>
    <row r="319">
      <c r="A319" s="28">
        <v>43.62</v>
      </c>
    </row>
    <row r="320">
      <c r="A320" s="28">
        <v>11.85</v>
      </c>
    </row>
    <row r="321">
      <c r="A321" s="28">
        <v>14.14</v>
      </c>
    </row>
    <row r="322">
      <c r="A322" s="28">
        <v>76.16</v>
      </c>
    </row>
    <row r="323">
      <c r="A323" s="28">
        <v>9.2</v>
      </c>
    </row>
    <row r="324">
      <c r="A324" s="28">
        <v>50.95</v>
      </c>
    </row>
    <row r="325">
      <c r="A325" s="28">
        <v>2.71</v>
      </c>
    </row>
    <row r="326">
      <c r="A326" s="28">
        <v>3.49</v>
      </c>
    </row>
    <row r="327">
      <c r="A327" s="28">
        <v>40.26</v>
      </c>
    </row>
    <row r="328">
      <c r="A328" s="28">
        <v>34.6</v>
      </c>
    </row>
    <row r="329">
      <c r="A329" s="28">
        <v>56.72</v>
      </c>
    </row>
    <row r="330">
      <c r="A330" s="28">
        <v>29.79</v>
      </c>
    </row>
    <row r="331">
      <c r="A331" s="28">
        <v>68.89</v>
      </c>
    </row>
    <row r="332">
      <c r="A332" s="28">
        <v>24.86</v>
      </c>
    </row>
    <row r="333">
      <c r="A333" s="28">
        <v>76.29</v>
      </c>
    </row>
    <row r="334">
      <c r="A334" s="28">
        <v>2.05</v>
      </c>
    </row>
    <row r="335">
      <c r="A335" s="28">
        <v>17.02</v>
      </c>
    </row>
    <row r="336">
      <c r="A336" s="28">
        <v>14.42</v>
      </c>
    </row>
    <row r="337">
      <c r="A337" s="28">
        <v>26.62</v>
      </c>
    </row>
    <row r="338">
      <c r="A338" s="28">
        <v>14.06</v>
      </c>
    </row>
    <row r="339">
      <c r="A339" s="28">
        <v>36.75</v>
      </c>
    </row>
    <row r="340">
      <c r="A340" s="28">
        <v>18.44</v>
      </c>
    </row>
    <row r="341">
      <c r="A341" s="28">
        <v>37.17</v>
      </c>
    </row>
    <row r="342">
      <c r="A342" s="28">
        <v>71.27</v>
      </c>
    </row>
    <row r="343">
      <c r="A343" s="28">
        <v>38.76</v>
      </c>
    </row>
    <row r="344">
      <c r="A344" s="28">
        <v>34.39</v>
      </c>
    </row>
    <row r="345">
      <c r="A345" s="28">
        <v>53.56</v>
      </c>
    </row>
    <row r="346">
      <c r="A346" s="28">
        <v>11.55</v>
      </c>
    </row>
    <row r="347">
      <c r="A347" s="28">
        <v>12.9</v>
      </c>
    </row>
    <row r="348">
      <c r="A348" s="28">
        <v>50.22</v>
      </c>
    </row>
    <row r="349">
      <c r="A349" s="28">
        <v>12.46</v>
      </c>
    </row>
    <row r="350">
      <c r="A350" s="28">
        <v>32.22</v>
      </c>
    </row>
    <row r="351">
      <c r="A351" s="28">
        <v>38.95</v>
      </c>
    </row>
    <row r="352">
      <c r="A352" s="28">
        <v>10.0</v>
      </c>
    </row>
    <row r="353">
      <c r="A353" s="28">
        <v>11.26</v>
      </c>
    </row>
    <row r="354">
      <c r="A354" s="28">
        <v>29.94</v>
      </c>
    </row>
    <row r="355">
      <c r="A355" s="28">
        <v>10.14</v>
      </c>
    </row>
    <row r="356">
      <c r="A356" s="28">
        <v>12.97</v>
      </c>
    </row>
    <row r="357">
      <c r="A357" s="28">
        <v>66.92</v>
      </c>
    </row>
    <row r="358">
      <c r="A358" s="28">
        <v>34.32</v>
      </c>
    </row>
    <row r="359">
      <c r="A359" s="28">
        <v>16.09</v>
      </c>
    </row>
    <row r="360">
      <c r="A360" s="28">
        <v>39.28</v>
      </c>
    </row>
    <row r="361">
      <c r="A361" s="28">
        <v>35.35</v>
      </c>
    </row>
    <row r="362">
      <c r="A362" s="28">
        <v>17.52</v>
      </c>
    </row>
    <row r="363">
      <c r="A363" s="28">
        <v>33.87</v>
      </c>
    </row>
    <row r="364">
      <c r="A364" s="28">
        <v>4.12</v>
      </c>
    </row>
    <row r="365">
      <c r="A365" s="28">
        <v>16.33</v>
      </c>
    </row>
    <row r="366">
      <c r="A366" s="28">
        <v>3.75</v>
      </c>
    </row>
    <row r="367">
      <c r="A367" s="28">
        <v>11.63</v>
      </c>
    </row>
    <row r="368">
      <c r="A368" s="28">
        <v>33.94</v>
      </c>
    </row>
    <row r="369">
      <c r="A369" s="28">
        <v>19.53</v>
      </c>
    </row>
    <row r="370">
      <c r="A370" s="28">
        <v>14.79</v>
      </c>
    </row>
    <row r="371">
      <c r="A371" s="28">
        <v>49.07</v>
      </c>
    </row>
    <row r="372">
      <c r="A372" s="28">
        <v>58.94</v>
      </c>
    </row>
    <row r="373">
      <c r="A373" s="28">
        <v>11.86</v>
      </c>
    </row>
    <row r="374">
      <c r="A374" s="28">
        <v>15.77</v>
      </c>
    </row>
    <row r="375">
      <c r="A375" s="28">
        <v>44.01</v>
      </c>
    </row>
    <row r="376">
      <c r="A376" s="28">
        <v>31.54</v>
      </c>
    </row>
    <row r="377">
      <c r="A377" s="28">
        <v>11.91</v>
      </c>
    </row>
    <row r="378">
      <c r="A378" s="28">
        <v>15.23</v>
      </c>
    </row>
    <row r="379">
      <c r="A379" s="28">
        <v>10.63</v>
      </c>
    </row>
    <row r="380">
      <c r="A380" s="28">
        <v>2.93</v>
      </c>
    </row>
    <row r="381">
      <c r="A381" s="28">
        <v>51.47</v>
      </c>
    </row>
    <row r="382">
      <c r="A382" s="28">
        <v>32.26</v>
      </c>
    </row>
    <row r="383">
      <c r="A383" s="28">
        <v>31.3</v>
      </c>
    </row>
    <row r="384">
      <c r="A384" s="28">
        <v>24.7</v>
      </c>
    </row>
    <row r="385">
      <c r="A385" s="28">
        <v>10.71</v>
      </c>
    </row>
    <row r="386">
      <c r="A386" s="28">
        <v>10.19</v>
      </c>
    </row>
    <row r="387">
      <c r="A387" s="28">
        <v>25.9</v>
      </c>
    </row>
    <row r="388">
      <c r="A388" s="28">
        <v>77.05</v>
      </c>
    </row>
    <row r="389">
      <c r="A389" s="28">
        <v>26.21</v>
      </c>
    </row>
    <row r="390">
      <c r="A390" s="28">
        <v>10.83</v>
      </c>
    </row>
    <row r="391">
      <c r="A391" s="28">
        <v>12.4</v>
      </c>
    </row>
    <row r="392">
      <c r="A392" s="28">
        <v>12.23</v>
      </c>
    </row>
    <row r="393">
      <c r="A393" s="28">
        <v>26.58</v>
      </c>
    </row>
    <row r="394">
      <c r="A394" s="28">
        <v>54.2</v>
      </c>
    </row>
    <row r="395">
      <c r="A395" s="28">
        <v>46.82</v>
      </c>
    </row>
    <row r="396">
      <c r="A396" s="28">
        <v>23.67</v>
      </c>
    </row>
    <row r="397">
      <c r="A397" s="28">
        <v>18.31</v>
      </c>
    </row>
    <row r="398">
      <c r="A398" s="28">
        <v>57.38</v>
      </c>
    </row>
    <row r="399">
      <c r="A399" s="28">
        <v>11.75</v>
      </c>
    </row>
    <row r="400">
      <c r="A400" s="28">
        <v>38.8</v>
      </c>
    </row>
    <row r="401">
      <c r="A401" s="28">
        <v>12.21</v>
      </c>
    </row>
    <row r="402">
      <c r="A402" s="28">
        <v>3.79</v>
      </c>
    </row>
    <row r="403">
      <c r="A403" s="28">
        <v>15.11</v>
      </c>
    </row>
    <row r="404">
      <c r="A404" s="28">
        <v>10.18</v>
      </c>
    </row>
    <row r="405">
      <c r="A405" s="28">
        <v>12.7</v>
      </c>
    </row>
    <row r="406">
      <c r="A406" s="28">
        <v>69.0</v>
      </c>
    </row>
    <row r="407">
      <c r="A407" s="28">
        <v>1.48</v>
      </c>
    </row>
    <row r="408">
      <c r="A408" s="28">
        <v>51.31</v>
      </c>
    </row>
    <row r="409">
      <c r="A409" s="28">
        <v>46.58</v>
      </c>
    </row>
    <row r="410">
      <c r="A410" s="28">
        <v>12.5</v>
      </c>
    </row>
    <row r="411">
      <c r="A411" s="28">
        <v>8.5</v>
      </c>
    </row>
    <row r="412">
      <c r="A412" s="28">
        <v>23.98</v>
      </c>
    </row>
    <row r="413">
      <c r="A413" s="28">
        <v>31.6</v>
      </c>
    </row>
    <row r="414">
      <c r="A414" s="28">
        <v>57.97</v>
      </c>
    </row>
    <row r="415">
      <c r="A415" s="28">
        <v>2.17</v>
      </c>
    </row>
    <row r="416">
      <c r="A416" s="28">
        <v>14.85</v>
      </c>
    </row>
    <row r="417">
      <c r="A417" s="28">
        <v>25.39</v>
      </c>
    </row>
    <row r="418">
      <c r="A418" s="28">
        <v>38.62</v>
      </c>
    </row>
    <row r="419">
      <c r="A419" s="28">
        <v>20.33</v>
      </c>
    </row>
    <row r="420">
      <c r="A420" s="28">
        <v>17.51</v>
      </c>
    </row>
    <row r="421">
      <c r="A421" s="28">
        <v>10.17</v>
      </c>
    </row>
    <row r="422">
      <c r="A422" s="28">
        <v>39.62</v>
      </c>
    </row>
    <row r="423">
      <c r="A423" s="28">
        <v>39.24</v>
      </c>
    </row>
    <row r="424">
      <c r="A424" s="28">
        <v>12.92</v>
      </c>
    </row>
    <row r="425">
      <c r="A425" s="28">
        <v>11.31</v>
      </c>
    </row>
    <row r="426">
      <c r="A426" s="28">
        <v>11.03</v>
      </c>
    </row>
    <row r="427">
      <c r="A427" s="28">
        <v>31.64</v>
      </c>
    </row>
    <row r="428">
      <c r="A428" s="28">
        <v>64.53</v>
      </c>
    </row>
    <row r="429">
      <c r="A429" s="28">
        <v>55.69</v>
      </c>
    </row>
    <row r="430">
      <c r="A430" s="28">
        <v>2.59</v>
      </c>
    </row>
    <row r="431">
      <c r="A431" s="28">
        <v>30.94</v>
      </c>
    </row>
    <row r="432">
      <c r="A432" s="28">
        <v>2.43</v>
      </c>
    </row>
    <row r="433">
      <c r="A433" s="28">
        <v>31.76</v>
      </c>
    </row>
    <row r="434">
      <c r="A434" s="28">
        <v>13.05</v>
      </c>
    </row>
    <row r="435">
      <c r="A435" s="28">
        <v>21.24</v>
      </c>
    </row>
    <row r="436">
      <c r="A436" s="28">
        <v>4.91</v>
      </c>
    </row>
    <row r="437">
      <c r="A437" s="28">
        <v>19.03</v>
      </c>
    </row>
    <row r="438">
      <c r="A438" s="28">
        <v>12.75</v>
      </c>
    </row>
    <row r="439">
      <c r="A439" s="28">
        <v>48.79</v>
      </c>
    </row>
    <row r="440">
      <c r="A440" s="28">
        <v>69.69</v>
      </c>
    </row>
    <row r="441">
      <c r="A441" s="28">
        <v>30.15</v>
      </c>
    </row>
    <row r="442">
      <c r="A442" s="28">
        <v>31.4</v>
      </c>
    </row>
    <row r="443">
      <c r="A443" s="28">
        <v>41.99</v>
      </c>
    </row>
    <row r="444">
      <c r="A444" s="28">
        <v>11.52</v>
      </c>
    </row>
    <row r="445">
      <c r="A445" s="28">
        <v>15.8</v>
      </c>
    </row>
    <row r="446">
      <c r="A446" s="28">
        <v>38.57</v>
      </c>
    </row>
    <row r="447">
      <c r="A447" s="28">
        <v>39.47</v>
      </c>
    </row>
    <row r="448">
      <c r="A448" s="28">
        <v>13.6</v>
      </c>
    </row>
    <row r="449">
      <c r="A449" s="28">
        <v>4.94</v>
      </c>
    </row>
    <row r="450">
      <c r="A450" s="28">
        <v>2.81</v>
      </c>
    </row>
    <row r="451">
      <c r="A451" s="28">
        <v>39.86</v>
      </c>
    </row>
    <row r="452">
      <c r="A452" s="28">
        <v>48.24</v>
      </c>
    </row>
    <row r="453">
      <c r="A453" s="28">
        <v>10.46</v>
      </c>
    </row>
    <row r="454">
      <c r="A454" s="28">
        <v>10.68</v>
      </c>
    </row>
    <row r="455">
      <c r="A455" s="28">
        <v>10.56</v>
      </c>
    </row>
    <row r="456">
      <c r="A456" s="28">
        <v>4.08</v>
      </c>
    </row>
    <row r="457">
      <c r="A457" s="28">
        <v>11.67</v>
      </c>
    </row>
    <row r="458">
      <c r="A458" s="28">
        <v>24.93</v>
      </c>
    </row>
    <row r="459">
      <c r="A459" s="28">
        <v>14.26</v>
      </c>
    </row>
    <row r="460">
      <c r="A460" s="28">
        <v>23.47</v>
      </c>
    </row>
    <row r="461">
      <c r="A461" s="28">
        <v>27.39</v>
      </c>
    </row>
    <row r="462">
      <c r="A462" s="28">
        <v>12.68</v>
      </c>
    </row>
    <row r="463">
      <c r="A463" s="28">
        <v>27.86</v>
      </c>
    </row>
    <row r="464">
      <c r="A464" s="28">
        <v>16.73</v>
      </c>
    </row>
    <row r="465">
      <c r="A465" s="28">
        <v>25.03</v>
      </c>
    </row>
    <row r="466">
      <c r="A466" s="28">
        <v>19.19</v>
      </c>
    </row>
    <row r="467">
      <c r="A467" s="28">
        <v>11.54</v>
      </c>
    </row>
    <row r="468">
      <c r="A468" s="28">
        <v>41.88</v>
      </c>
    </row>
    <row r="469">
      <c r="A469" s="28">
        <v>10.6</v>
      </c>
    </row>
    <row r="470">
      <c r="A470" s="28">
        <v>16.59</v>
      </c>
    </row>
    <row r="471">
      <c r="A471" s="28">
        <v>41.04</v>
      </c>
    </row>
    <row r="472">
      <c r="A472" s="28">
        <v>11.11</v>
      </c>
    </row>
    <row r="473">
      <c r="A473" s="28">
        <v>15.92</v>
      </c>
    </row>
    <row r="474">
      <c r="A474" s="28">
        <v>31.44</v>
      </c>
    </row>
    <row r="475">
      <c r="A475" s="28">
        <v>36.27</v>
      </c>
    </row>
    <row r="476">
      <c r="A476" s="28">
        <v>31.01</v>
      </c>
    </row>
    <row r="477">
      <c r="A477" s="28">
        <v>5.21</v>
      </c>
    </row>
    <row r="478">
      <c r="A478" s="28">
        <v>59.32</v>
      </c>
    </row>
    <row r="479">
      <c r="A479" s="28">
        <v>14.0</v>
      </c>
    </row>
    <row r="480">
      <c r="A480" s="28">
        <v>26.5</v>
      </c>
    </row>
    <row r="481">
      <c r="A481" s="28">
        <v>60.34</v>
      </c>
    </row>
    <row r="482">
      <c r="A482" s="28">
        <v>61.1</v>
      </c>
    </row>
    <row r="483">
      <c r="A483" s="28">
        <v>33.66</v>
      </c>
    </row>
    <row r="484">
      <c r="A484" s="28">
        <v>16.2</v>
      </c>
    </row>
    <row r="485">
      <c r="A485" s="28">
        <v>17.03</v>
      </c>
    </row>
    <row r="486">
      <c r="A486" s="28">
        <v>29.06</v>
      </c>
    </row>
    <row r="487">
      <c r="A487" s="28">
        <v>13.74</v>
      </c>
    </row>
    <row r="488">
      <c r="A488" s="28">
        <v>29.3</v>
      </c>
    </row>
    <row r="489">
      <c r="A489" s="28">
        <v>4.27</v>
      </c>
    </row>
    <row r="490">
      <c r="A490" s="28">
        <v>41.63</v>
      </c>
    </row>
    <row r="491">
      <c r="A491" s="28">
        <v>26.57</v>
      </c>
    </row>
    <row r="492">
      <c r="A492" s="28">
        <v>47.73</v>
      </c>
    </row>
    <row r="493">
      <c r="A493" s="28">
        <v>52.25</v>
      </c>
    </row>
    <row r="494">
      <c r="A494" s="28">
        <v>14.96</v>
      </c>
    </row>
    <row r="495">
      <c r="A495" s="28">
        <v>23.19</v>
      </c>
    </row>
    <row r="496">
      <c r="A496" s="28">
        <v>27.82</v>
      </c>
    </row>
    <row r="497">
      <c r="A497" s="28">
        <v>59.43</v>
      </c>
    </row>
    <row r="498">
      <c r="A498" s="28">
        <v>11.7</v>
      </c>
    </row>
    <row r="499">
      <c r="A499" s="28">
        <v>32.05</v>
      </c>
    </row>
    <row r="500">
      <c r="A500" s="28">
        <v>47.12</v>
      </c>
    </row>
    <row r="501">
      <c r="A501" s="28">
        <v>60.68</v>
      </c>
    </row>
    <row r="502">
      <c r="A502" s="28">
        <v>36.47</v>
      </c>
    </row>
    <row r="503">
      <c r="A503" s="28">
        <v>50.9</v>
      </c>
    </row>
    <row r="504">
      <c r="A504" s="28">
        <v>12.31</v>
      </c>
    </row>
    <row r="505">
      <c r="A505" s="28">
        <v>69.47</v>
      </c>
    </row>
    <row r="506">
      <c r="A506" s="28">
        <v>14.43</v>
      </c>
    </row>
    <row r="507">
      <c r="A507" s="28">
        <v>14.96</v>
      </c>
    </row>
    <row r="508">
      <c r="A508" s="28">
        <v>35.79</v>
      </c>
    </row>
    <row r="509">
      <c r="A509" s="28">
        <v>13.97</v>
      </c>
    </row>
    <row r="510">
      <c r="A510" s="28">
        <v>36.13</v>
      </c>
    </row>
    <row r="511">
      <c r="A511" s="28">
        <v>17.49</v>
      </c>
    </row>
    <row r="512">
      <c r="A512" s="28">
        <v>37.15</v>
      </c>
    </row>
    <row r="513">
      <c r="A513" s="28">
        <v>15.51</v>
      </c>
    </row>
    <row r="514">
      <c r="A514" s="28">
        <v>10.76</v>
      </c>
    </row>
    <row r="515">
      <c r="A515" s="28">
        <v>14.13</v>
      </c>
    </row>
    <row r="516">
      <c r="A516" s="28">
        <v>23.9</v>
      </c>
    </row>
    <row r="517">
      <c r="A517" s="28">
        <v>52.9</v>
      </c>
    </row>
    <row r="518">
      <c r="A518" s="28">
        <v>12.37</v>
      </c>
    </row>
    <row r="519">
      <c r="A519" s="28">
        <v>11.79</v>
      </c>
    </row>
    <row r="520">
      <c r="A520" s="28">
        <v>63.09</v>
      </c>
    </row>
    <row r="521">
      <c r="A521" s="28">
        <v>8.9</v>
      </c>
    </row>
    <row r="522">
      <c r="A522" s="28">
        <v>73.99</v>
      </c>
    </row>
    <row r="523">
      <c r="A523" s="28">
        <v>36.28</v>
      </c>
    </row>
    <row r="524">
      <c r="A524" s="28">
        <v>15.25</v>
      </c>
    </row>
    <row r="525">
      <c r="A525" s="28">
        <v>19.19</v>
      </c>
    </row>
    <row r="526">
      <c r="A526" s="28">
        <v>21.44</v>
      </c>
    </row>
    <row r="527">
      <c r="A527" s="28">
        <v>11.56</v>
      </c>
    </row>
    <row r="528">
      <c r="A528" s="28">
        <v>19.74</v>
      </c>
    </row>
    <row r="529">
      <c r="A529" s="28">
        <v>10.57</v>
      </c>
    </row>
    <row r="530">
      <c r="A530" s="28">
        <v>52.15</v>
      </c>
    </row>
    <row r="531">
      <c r="A531" s="28">
        <v>11.9</v>
      </c>
    </row>
    <row r="532">
      <c r="A532" s="28">
        <v>18.64</v>
      </c>
    </row>
    <row r="533">
      <c r="A533" s="28">
        <v>11.84</v>
      </c>
    </row>
    <row r="534">
      <c r="A534" s="28">
        <v>50.7</v>
      </c>
    </row>
    <row r="535">
      <c r="A535" s="28">
        <v>3.96</v>
      </c>
    </row>
    <row r="536">
      <c r="A536" s="28">
        <v>16.92</v>
      </c>
    </row>
    <row r="537">
      <c r="A537" s="28">
        <v>12.07</v>
      </c>
    </row>
    <row r="538">
      <c r="A538" s="28">
        <v>37.75</v>
      </c>
    </row>
    <row r="539">
      <c r="A539" s="28">
        <v>18.28</v>
      </c>
    </row>
    <row r="540">
      <c r="A540" s="28">
        <v>32.67</v>
      </c>
    </row>
    <row r="541">
      <c r="A541" s="28">
        <v>23.03</v>
      </c>
    </row>
    <row r="542">
      <c r="A542" s="28">
        <v>20.65</v>
      </c>
    </row>
    <row r="543">
      <c r="A543" s="28">
        <v>2.04</v>
      </c>
    </row>
    <row r="544">
      <c r="A544" s="28">
        <v>12.41</v>
      </c>
    </row>
    <row r="545">
      <c r="A545" s="28">
        <v>29.04</v>
      </c>
    </row>
    <row r="546">
      <c r="A546" s="28">
        <v>27.47</v>
      </c>
    </row>
    <row r="547">
      <c r="A547" s="28">
        <v>33.89</v>
      </c>
    </row>
    <row r="548">
      <c r="A548" s="28">
        <v>59.58</v>
      </c>
    </row>
    <row r="549">
      <c r="A549" s="28">
        <v>10.35</v>
      </c>
    </row>
    <row r="550">
      <c r="A550" s="28">
        <v>58.19</v>
      </c>
    </row>
    <row r="551">
      <c r="A551" s="28">
        <v>1.76</v>
      </c>
    </row>
    <row r="552">
      <c r="A552" s="28">
        <v>14.95</v>
      </c>
    </row>
    <row r="553">
      <c r="A553" s="28">
        <v>10.81</v>
      </c>
    </row>
    <row r="554">
      <c r="A554" s="28">
        <v>12.29</v>
      </c>
    </row>
    <row r="555">
      <c r="A555" s="28">
        <v>2.61</v>
      </c>
    </row>
    <row r="556">
      <c r="A556" s="28">
        <v>12.61</v>
      </c>
    </row>
    <row r="557">
      <c r="A557" s="28">
        <v>37.14</v>
      </c>
    </row>
    <row r="558">
      <c r="A558" s="28">
        <v>14.66</v>
      </c>
    </row>
    <row r="559">
      <c r="A559" s="28">
        <v>14.15</v>
      </c>
    </row>
    <row r="560">
      <c r="A560" s="28">
        <v>2.28</v>
      </c>
    </row>
    <row r="561">
      <c r="A561" s="28">
        <v>12.09</v>
      </c>
    </row>
    <row r="562">
      <c r="A562" s="28">
        <v>16.8</v>
      </c>
    </row>
    <row r="563">
      <c r="A563" s="28">
        <v>5.14</v>
      </c>
    </row>
    <row r="564">
      <c r="A564" s="28">
        <v>38.14</v>
      </c>
    </row>
    <row r="565">
      <c r="A565" s="28">
        <v>18.35</v>
      </c>
    </row>
    <row r="566">
      <c r="A566" s="28">
        <v>1.49</v>
      </c>
    </row>
    <row r="567">
      <c r="A567" s="28">
        <v>14.42</v>
      </c>
    </row>
    <row r="568">
      <c r="A568" s="28">
        <v>31.51</v>
      </c>
    </row>
    <row r="569">
      <c r="A569" s="28">
        <v>46.4</v>
      </c>
    </row>
    <row r="570">
      <c r="A570" s="28">
        <v>15.51</v>
      </c>
    </row>
    <row r="571">
      <c r="A571" s="28">
        <v>1.3</v>
      </c>
    </row>
    <row r="572">
      <c r="A572" s="28">
        <v>52.01</v>
      </c>
    </row>
    <row r="573">
      <c r="A573" s="28">
        <v>4.33</v>
      </c>
    </row>
    <row r="574">
      <c r="A574" s="28">
        <v>41.45</v>
      </c>
    </row>
    <row r="575">
      <c r="A575" s="28">
        <v>13.53</v>
      </c>
    </row>
    <row r="576">
      <c r="A576" s="28">
        <v>35.08</v>
      </c>
    </row>
    <row r="577">
      <c r="A577" s="28">
        <v>27.02</v>
      </c>
    </row>
    <row r="578">
      <c r="A578" s="28">
        <v>15.54</v>
      </c>
    </row>
    <row r="579">
      <c r="A579" s="28">
        <v>14.71</v>
      </c>
    </row>
    <row r="580">
      <c r="A580" s="28">
        <v>10.55</v>
      </c>
    </row>
    <row r="581">
      <c r="A581" s="28">
        <v>10.3</v>
      </c>
    </row>
    <row r="582">
      <c r="A582" s="28">
        <v>46.74</v>
      </c>
    </row>
    <row r="583">
      <c r="A583" s="28">
        <v>40.18</v>
      </c>
    </row>
    <row r="584">
      <c r="A584" s="28">
        <v>11.66</v>
      </c>
    </row>
    <row r="585">
      <c r="A585" s="28">
        <v>1.7</v>
      </c>
    </row>
    <row r="586">
      <c r="A586" s="28">
        <v>12.06</v>
      </c>
    </row>
    <row r="587">
      <c r="A587" s="28">
        <v>38.86</v>
      </c>
    </row>
    <row r="588">
      <c r="A588" s="28">
        <v>11.45</v>
      </c>
    </row>
    <row r="589">
      <c r="A589" s="28">
        <v>29.61</v>
      </c>
    </row>
    <row r="590">
      <c r="A590" s="28">
        <v>3.33</v>
      </c>
    </row>
    <row r="591">
      <c r="A591" s="28">
        <v>7.16</v>
      </c>
    </row>
    <row r="592">
      <c r="A592" s="28">
        <v>10.16</v>
      </c>
    </row>
    <row r="593">
      <c r="A593" s="28">
        <v>14.8</v>
      </c>
    </row>
    <row r="594">
      <c r="A594" s="28">
        <v>32.56</v>
      </c>
    </row>
    <row r="595">
      <c r="A595" s="28">
        <v>27.78</v>
      </c>
    </row>
    <row r="596">
      <c r="A596" s="28">
        <v>13.0</v>
      </c>
    </row>
    <row r="597">
      <c r="A597" s="28">
        <v>10.18</v>
      </c>
    </row>
    <row r="598">
      <c r="A598" s="28">
        <v>27.07</v>
      </c>
    </row>
    <row r="599">
      <c r="A599" s="28">
        <v>14.93</v>
      </c>
    </row>
    <row r="600">
      <c r="A600" s="28">
        <v>67.87</v>
      </c>
    </row>
    <row r="601">
      <c r="A601" s="28">
        <v>14.75</v>
      </c>
    </row>
    <row r="602">
      <c r="A602" s="28">
        <v>17.34</v>
      </c>
    </row>
    <row r="603">
      <c r="A603" s="28">
        <v>3.37</v>
      </c>
    </row>
    <row r="604">
      <c r="A604" s="28">
        <v>39.93</v>
      </c>
    </row>
    <row r="605">
      <c r="A605" s="28">
        <v>4.02</v>
      </c>
    </row>
    <row r="606">
      <c r="A606" s="28">
        <v>35.07</v>
      </c>
    </row>
    <row r="607">
      <c r="A607" s="28">
        <v>19.18</v>
      </c>
    </row>
    <row r="608">
      <c r="A608" s="28">
        <v>11.83</v>
      </c>
    </row>
    <row r="609">
      <c r="A609" s="28">
        <v>32.1</v>
      </c>
    </row>
    <row r="610">
      <c r="A610" s="28">
        <v>46.29</v>
      </c>
    </row>
    <row r="611">
      <c r="A611" s="28">
        <v>3.19</v>
      </c>
    </row>
    <row r="612">
      <c r="A612" s="28">
        <v>65.14</v>
      </c>
    </row>
    <row r="613">
      <c r="A613" s="28">
        <v>2.26</v>
      </c>
    </row>
    <row r="614">
      <c r="A614" s="28">
        <v>26.13</v>
      </c>
    </row>
    <row r="615">
      <c r="A615" s="28">
        <v>47.73</v>
      </c>
    </row>
    <row r="616">
      <c r="A616" s="28">
        <v>34.7</v>
      </c>
    </row>
    <row r="617">
      <c r="A617" s="28">
        <v>11.97</v>
      </c>
    </row>
    <row r="618">
      <c r="A618" s="28">
        <v>10.6</v>
      </c>
    </row>
    <row r="619">
      <c r="A619" s="28">
        <v>11.64</v>
      </c>
    </row>
    <row r="620">
      <c r="A620" s="28">
        <v>4.3</v>
      </c>
    </row>
    <row r="621">
      <c r="A621" s="28">
        <v>41.64</v>
      </c>
    </row>
    <row r="622">
      <c r="A622" s="28">
        <v>17.65</v>
      </c>
    </row>
    <row r="623">
      <c r="A623" s="28">
        <v>16.05</v>
      </c>
    </row>
    <row r="624">
      <c r="A624" s="28">
        <v>30.14</v>
      </c>
    </row>
    <row r="625">
      <c r="A625" s="28">
        <v>25.49</v>
      </c>
    </row>
    <row r="626">
      <c r="A626" s="28">
        <v>11.76</v>
      </c>
    </row>
    <row r="627">
      <c r="A627" s="28">
        <v>23.1</v>
      </c>
    </row>
    <row r="628">
      <c r="A628" s="28">
        <v>12.3</v>
      </c>
    </row>
    <row r="629">
      <c r="A629" s="28">
        <v>23.38</v>
      </c>
    </row>
    <row r="630">
      <c r="A630" s="28">
        <v>20.13</v>
      </c>
    </row>
    <row r="631">
      <c r="A631" s="28">
        <v>15.76</v>
      </c>
    </row>
    <row r="632">
      <c r="A632" s="28">
        <v>29.83</v>
      </c>
    </row>
    <row r="633">
      <c r="A633" s="28">
        <v>21.86</v>
      </c>
    </row>
    <row r="634">
      <c r="A634" s="28">
        <v>15.88</v>
      </c>
    </row>
    <row r="635">
      <c r="A635" s="28">
        <v>28.66</v>
      </c>
    </row>
    <row r="636">
      <c r="A636" s="28">
        <v>37.81</v>
      </c>
    </row>
    <row r="637">
      <c r="A637" s="28">
        <v>5.24</v>
      </c>
    </row>
    <row r="638">
      <c r="A638" s="28">
        <v>10.16</v>
      </c>
    </row>
    <row r="639">
      <c r="A639" s="28">
        <v>15.62</v>
      </c>
    </row>
    <row r="640">
      <c r="A640" s="28">
        <v>16.49</v>
      </c>
    </row>
    <row r="641">
      <c r="A641" s="28">
        <v>21.42</v>
      </c>
    </row>
    <row r="642">
      <c r="A642" s="28">
        <v>38.2</v>
      </c>
    </row>
    <row r="643">
      <c r="A643" s="28">
        <v>18.66</v>
      </c>
    </row>
    <row r="644">
      <c r="A644" s="28">
        <v>30.32</v>
      </c>
    </row>
    <row r="645">
      <c r="A645" s="28">
        <v>25.53</v>
      </c>
    </row>
    <row r="646">
      <c r="A646" s="28">
        <v>11.52</v>
      </c>
    </row>
    <row r="647">
      <c r="A647" s="28">
        <v>15.9</v>
      </c>
    </row>
    <row r="648">
      <c r="A648" s="28">
        <v>10.76</v>
      </c>
    </row>
    <row r="649">
      <c r="A649" s="28">
        <v>47.91</v>
      </c>
    </row>
    <row r="650">
      <c r="A650" s="28">
        <v>14.08</v>
      </c>
    </row>
    <row r="651">
      <c r="A651" s="28">
        <v>12.41</v>
      </c>
    </row>
    <row r="652">
      <c r="A652" s="28">
        <v>10.77</v>
      </c>
    </row>
    <row r="653">
      <c r="A653" s="28">
        <v>4.1</v>
      </c>
    </row>
    <row r="654">
      <c r="A654" s="28">
        <v>38.58</v>
      </c>
    </row>
    <row r="655">
      <c r="A655" s="28">
        <v>4.54</v>
      </c>
    </row>
    <row r="656">
      <c r="A656" s="28">
        <v>27.63</v>
      </c>
    </row>
    <row r="657">
      <c r="A657" s="28">
        <v>29.78</v>
      </c>
    </row>
    <row r="658">
      <c r="A658" s="28">
        <v>11.45</v>
      </c>
    </row>
    <row r="659">
      <c r="A659" s="28">
        <v>28.67</v>
      </c>
    </row>
    <row r="660">
      <c r="A660" s="28">
        <v>20.52</v>
      </c>
    </row>
    <row r="661">
      <c r="A661" s="28">
        <v>53.44</v>
      </c>
    </row>
    <row r="662">
      <c r="A662" s="28">
        <v>22.9</v>
      </c>
    </row>
    <row r="663">
      <c r="A663" s="28">
        <v>10.25</v>
      </c>
    </row>
    <row r="664">
      <c r="A664" s="28">
        <v>36.03</v>
      </c>
    </row>
    <row r="665">
      <c r="A665" s="28">
        <v>20.61</v>
      </c>
    </row>
    <row r="666">
      <c r="A666" s="28">
        <v>10.41</v>
      </c>
    </row>
    <row r="667">
      <c r="A667" s="28">
        <v>56.47</v>
      </c>
    </row>
    <row r="668">
      <c r="A668" s="28">
        <v>23.9</v>
      </c>
    </row>
    <row r="669">
      <c r="A669" s="28">
        <v>32.69</v>
      </c>
    </row>
    <row r="670">
      <c r="A670" s="28">
        <v>10.44</v>
      </c>
    </row>
    <row r="671">
      <c r="A671" s="28">
        <v>36.46</v>
      </c>
    </row>
    <row r="672">
      <c r="A672" s="28">
        <v>12.62</v>
      </c>
    </row>
    <row r="673">
      <c r="A673" s="28">
        <v>22.06</v>
      </c>
    </row>
    <row r="674">
      <c r="A674" s="28">
        <v>39.19</v>
      </c>
    </row>
    <row r="675">
      <c r="A675" s="28">
        <v>48.85</v>
      </c>
    </row>
    <row r="676">
      <c r="A676" s="28">
        <v>72.92</v>
      </c>
    </row>
    <row r="677">
      <c r="A677" s="28">
        <v>34.01</v>
      </c>
    </row>
    <row r="678">
      <c r="A678" s="28">
        <v>14.44</v>
      </c>
    </row>
    <row r="679">
      <c r="A679" s="28">
        <v>76.21</v>
      </c>
    </row>
    <row r="680">
      <c r="A680" s="28">
        <v>18.37</v>
      </c>
    </row>
    <row r="681">
      <c r="A681" s="28">
        <v>10.63</v>
      </c>
    </row>
    <row r="682">
      <c r="A682" s="28">
        <v>12.09</v>
      </c>
    </row>
    <row r="683">
      <c r="A683" s="28">
        <v>4.64</v>
      </c>
    </row>
    <row r="684">
      <c r="A684" s="28">
        <v>57.77</v>
      </c>
    </row>
    <row r="685">
      <c r="A685" s="28">
        <v>21.24</v>
      </c>
    </row>
    <row r="686">
      <c r="A686" s="28">
        <v>3.23</v>
      </c>
    </row>
    <row r="687">
      <c r="A687" s="28">
        <v>1.52</v>
      </c>
    </row>
    <row r="688">
      <c r="A688" s="28">
        <v>24.35</v>
      </c>
    </row>
    <row r="689">
      <c r="A689" s="28">
        <v>3.71</v>
      </c>
    </row>
    <row r="690">
      <c r="A690" s="28">
        <v>19.91</v>
      </c>
    </row>
    <row r="691">
      <c r="A691" s="28">
        <v>9.93</v>
      </c>
    </row>
    <row r="692">
      <c r="A692" s="28">
        <v>13.21</v>
      </c>
    </row>
    <row r="693">
      <c r="A693" s="28">
        <v>10.26</v>
      </c>
    </row>
    <row r="694">
      <c r="A694" s="28">
        <v>13.23</v>
      </c>
    </row>
    <row r="695">
      <c r="A695" s="28">
        <v>73.16</v>
      </c>
    </row>
    <row r="696">
      <c r="A696" s="28">
        <v>11.02</v>
      </c>
    </row>
    <row r="697">
      <c r="A697" s="28">
        <v>13.9</v>
      </c>
    </row>
    <row r="698">
      <c r="A698" s="28">
        <v>68.65</v>
      </c>
    </row>
    <row r="699">
      <c r="A699" s="28">
        <v>20.59</v>
      </c>
    </row>
    <row r="700">
      <c r="A700" s="28">
        <v>41.7</v>
      </c>
    </row>
    <row r="701">
      <c r="A701" s="28">
        <v>12.5</v>
      </c>
    </row>
    <row r="702">
      <c r="A702" s="28">
        <v>14.58</v>
      </c>
    </row>
    <row r="703">
      <c r="A703" s="28">
        <v>14.9</v>
      </c>
    </row>
    <row r="704">
      <c r="A704" s="28">
        <v>15.52</v>
      </c>
    </row>
    <row r="705">
      <c r="A705" s="28">
        <v>47.64</v>
      </c>
    </row>
    <row r="706">
      <c r="A706" s="28">
        <v>37.81</v>
      </c>
    </row>
    <row r="707">
      <c r="A707" s="28">
        <v>27.34</v>
      </c>
    </row>
    <row r="708">
      <c r="A708" s="28">
        <v>16.52</v>
      </c>
    </row>
    <row r="709">
      <c r="A709" s="28">
        <v>30.02</v>
      </c>
    </row>
    <row r="710">
      <c r="A710" s="28">
        <v>39.02</v>
      </c>
    </row>
    <row r="711">
      <c r="A711" s="28">
        <v>3.25</v>
      </c>
    </row>
    <row r="712">
      <c r="A712" s="28">
        <v>68.3</v>
      </c>
    </row>
    <row r="713">
      <c r="A713" s="28">
        <v>47.88</v>
      </c>
    </row>
    <row r="714">
      <c r="A714" s="28">
        <v>12.64</v>
      </c>
    </row>
    <row r="715">
      <c r="A715" s="28">
        <v>58.54</v>
      </c>
    </row>
    <row r="716">
      <c r="A716" s="28">
        <v>32.9</v>
      </c>
    </row>
    <row r="717">
      <c r="A717" s="28">
        <v>29.44</v>
      </c>
    </row>
    <row r="718">
      <c r="A718" s="28">
        <v>15.51</v>
      </c>
    </row>
    <row r="719">
      <c r="A719" s="28">
        <v>69.53</v>
      </c>
    </row>
    <row r="720">
      <c r="A720" s="28">
        <v>3.68</v>
      </c>
    </row>
    <row r="721">
      <c r="A721" s="28">
        <v>24.74</v>
      </c>
    </row>
    <row r="722">
      <c r="A722" s="28">
        <v>41.04</v>
      </c>
    </row>
    <row r="723">
      <c r="A723" s="28">
        <v>13.33</v>
      </c>
    </row>
    <row r="724">
      <c r="A724" s="28">
        <v>10.34</v>
      </c>
    </row>
    <row r="725">
      <c r="A725" s="28">
        <v>26.67</v>
      </c>
    </row>
    <row r="726">
      <c r="A726" s="28">
        <v>14.34</v>
      </c>
    </row>
    <row r="727">
      <c r="A727" s="28">
        <v>47.66</v>
      </c>
    </row>
    <row r="728">
      <c r="A728" s="28">
        <v>18.79</v>
      </c>
    </row>
    <row r="729">
      <c r="A729" s="28">
        <v>33.65</v>
      </c>
    </row>
    <row r="730">
      <c r="A730" s="28">
        <v>12.71</v>
      </c>
    </row>
    <row r="731">
      <c r="A731" s="28">
        <v>62.74</v>
      </c>
    </row>
    <row r="732">
      <c r="A732" s="28">
        <v>17.65</v>
      </c>
    </row>
    <row r="733">
      <c r="A733" s="28">
        <v>50.67</v>
      </c>
    </row>
    <row r="734">
      <c r="A734" s="28">
        <v>12.11</v>
      </c>
    </row>
    <row r="735">
      <c r="A735" s="28">
        <v>14.35</v>
      </c>
    </row>
    <row r="736">
      <c r="A736" s="28">
        <v>59.63</v>
      </c>
    </row>
    <row r="737">
      <c r="A737" s="28">
        <v>3.73</v>
      </c>
    </row>
    <row r="738">
      <c r="A738" s="28">
        <v>10.54</v>
      </c>
    </row>
    <row r="739">
      <c r="A739" s="28">
        <v>16.39</v>
      </c>
    </row>
    <row r="740">
      <c r="A740" s="28">
        <v>43.82</v>
      </c>
    </row>
    <row r="741">
      <c r="A741" s="28">
        <v>72.42</v>
      </c>
    </row>
    <row r="742">
      <c r="A742" s="28">
        <v>16.56</v>
      </c>
    </row>
    <row r="743">
      <c r="A743" s="28">
        <v>30.98</v>
      </c>
    </row>
    <row r="744">
      <c r="A744" s="28">
        <v>14.78</v>
      </c>
    </row>
    <row r="745">
      <c r="A745" s="28">
        <v>46.48</v>
      </c>
    </row>
    <row r="746">
      <c r="A746" s="28">
        <v>5.22</v>
      </c>
    </row>
    <row r="747">
      <c r="A747" s="28">
        <v>30.12</v>
      </c>
    </row>
    <row r="748">
      <c r="A748" s="28">
        <v>13.17</v>
      </c>
    </row>
    <row r="749">
      <c r="A749" s="28">
        <v>40.5</v>
      </c>
    </row>
    <row r="750">
      <c r="A750" s="28">
        <v>21.54</v>
      </c>
    </row>
    <row r="751">
      <c r="A751" s="28">
        <v>18.63</v>
      </c>
    </row>
    <row r="752">
      <c r="A752" s="28">
        <v>4.79</v>
      </c>
    </row>
    <row r="753">
      <c r="A753" s="28">
        <v>38.76</v>
      </c>
    </row>
    <row r="754">
      <c r="A754" s="28">
        <v>12.87</v>
      </c>
    </row>
    <row r="755">
      <c r="A755" s="28">
        <v>18.52</v>
      </c>
    </row>
    <row r="756">
      <c r="A756" s="28">
        <v>16.33</v>
      </c>
    </row>
    <row r="757">
      <c r="A757" s="28">
        <v>2.57</v>
      </c>
    </row>
    <row r="758">
      <c r="A758" s="28">
        <v>16.89</v>
      </c>
    </row>
    <row r="759">
      <c r="A759" s="28">
        <v>31.87</v>
      </c>
    </row>
    <row r="760">
      <c r="A760" s="28">
        <v>11.37</v>
      </c>
    </row>
    <row r="761">
      <c r="A761" s="28">
        <v>35.96</v>
      </c>
    </row>
    <row r="762">
      <c r="A762" s="28">
        <v>32.28</v>
      </c>
    </row>
    <row r="763">
      <c r="A763" s="28">
        <v>19.57</v>
      </c>
    </row>
    <row r="764">
      <c r="A764" s="28">
        <v>5.35</v>
      </c>
    </row>
    <row r="765">
      <c r="A765" s="28">
        <v>11.25</v>
      </c>
    </row>
    <row r="766">
      <c r="A766" s="28">
        <v>32.67</v>
      </c>
    </row>
    <row r="767">
      <c r="A767" s="28">
        <v>12.18</v>
      </c>
    </row>
    <row r="768">
      <c r="A768" s="28">
        <v>12.78</v>
      </c>
    </row>
    <row r="769">
      <c r="A769" s="28">
        <v>30.25</v>
      </c>
    </row>
    <row r="770">
      <c r="A770" s="28">
        <v>23.68</v>
      </c>
    </row>
    <row r="771">
      <c r="A771" s="28">
        <v>2.85</v>
      </c>
    </row>
    <row r="772">
      <c r="A772" s="28">
        <v>32.41</v>
      </c>
    </row>
    <row r="773">
      <c r="A773" s="28">
        <v>10.19</v>
      </c>
    </row>
    <row r="774">
      <c r="A774" s="28">
        <v>12.26</v>
      </c>
    </row>
    <row r="775">
      <c r="A775" s="28">
        <v>29.42</v>
      </c>
    </row>
    <row r="776">
      <c r="A776" s="28">
        <v>2.96</v>
      </c>
    </row>
    <row r="777">
      <c r="A777" s="28">
        <v>3.03</v>
      </c>
    </row>
    <row r="778">
      <c r="A778" s="28">
        <v>3.67</v>
      </c>
    </row>
    <row r="779">
      <c r="A779" s="28">
        <v>25.78</v>
      </c>
    </row>
    <row r="780">
      <c r="A780" s="28">
        <v>19.8</v>
      </c>
    </row>
    <row r="781">
      <c r="A781" s="28">
        <v>7.56</v>
      </c>
    </row>
    <row r="782">
      <c r="A782" s="28">
        <v>28.13</v>
      </c>
    </row>
    <row r="783">
      <c r="A783" s="28">
        <v>41.5</v>
      </c>
    </row>
    <row r="784">
      <c r="A784" s="28">
        <v>28.18</v>
      </c>
    </row>
    <row r="785">
      <c r="A785" s="28">
        <v>19.82</v>
      </c>
    </row>
    <row r="786">
      <c r="A786" s="28">
        <v>24.98</v>
      </c>
    </row>
    <row r="787">
      <c r="A787" s="28">
        <v>17.88</v>
      </c>
    </row>
    <row r="788">
      <c r="A788" s="28">
        <v>10.52</v>
      </c>
    </row>
    <row r="789">
      <c r="A789" s="28">
        <v>2.62</v>
      </c>
    </row>
    <row r="790">
      <c r="A790" s="28">
        <v>30.76</v>
      </c>
    </row>
    <row r="791">
      <c r="A791" s="28">
        <v>3.61</v>
      </c>
    </row>
    <row r="792">
      <c r="A792" s="28">
        <v>21.75</v>
      </c>
    </row>
    <row r="793">
      <c r="A793" s="28">
        <v>12.84</v>
      </c>
    </row>
    <row r="794">
      <c r="A794" s="28">
        <v>13.67</v>
      </c>
    </row>
    <row r="795">
      <c r="A795" s="28">
        <v>32.55</v>
      </c>
    </row>
    <row r="796">
      <c r="A796" s="28">
        <v>12.86</v>
      </c>
    </row>
    <row r="797">
      <c r="A797" s="28">
        <v>2.28</v>
      </c>
    </row>
    <row r="798">
      <c r="A798" s="28">
        <v>12.52</v>
      </c>
    </row>
    <row r="799">
      <c r="A799" s="28">
        <v>5.27</v>
      </c>
    </row>
    <row r="800">
      <c r="A800" s="28">
        <v>13.88</v>
      </c>
    </row>
    <row r="801">
      <c r="A801" s="28">
        <v>4.02</v>
      </c>
    </row>
    <row r="802">
      <c r="A802" s="28">
        <v>3.48</v>
      </c>
    </row>
    <row r="803">
      <c r="A803" s="28">
        <v>30.3</v>
      </c>
    </row>
    <row r="804">
      <c r="A804" s="28">
        <v>18.35</v>
      </c>
    </row>
    <row r="805">
      <c r="A805" s="28">
        <v>32.82</v>
      </c>
    </row>
    <row r="806">
      <c r="A806" s="28">
        <v>54.68</v>
      </c>
    </row>
    <row r="807">
      <c r="A807" s="28">
        <v>8.16</v>
      </c>
    </row>
    <row r="808">
      <c r="A808" s="28">
        <v>64.88</v>
      </c>
    </row>
    <row r="809">
      <c r="A809" s="28">
        <v>33.51</v>
      </c>
    </row>
    <row r="810">
      <c r="A810" s="28">
        <v>4.62</v>
      </c>
    </row>
    <row r="811">
      <c r="A811" s="28">
        <v>34.18</v>
      </c>
    </row>
    <row r="812">
      <c r="A812" s="28">
        <v>10.73</v>
      </c>
    </row>
    <row r="813">
      <c r="A813" s="28">
        <v>33.54</v>
      </c>
    </row>
    <row r="814">
      <c r="A814" s="28">
        <v>37.78</v>
      </c>
    </row>
    <row r="815">
      <c r="A815" s="28">
        <v>31.4</v>
      </c>
    </row>
    <row r="816">
      <c r="A816" s="28">
        <v>69.83</v>
      </c>
    </row>
    <row r="817">
      <c r="A817" s="28">
        <v>14.25</v>
      </c>
    </row>
    <row r="818">
      <c r="A818" s="28">
        <v>31.34</v>
      </c>
    </row>
    <row r="819">
      <c r="A819" s="28">
        <v>13.62</v>
      </c>
    </row>
    <row r="820">
      <c r="A820" s="28">
        <v>30.9</v>
      </c>
    </row>
    <row r="821">
      <c r="A821" s="28">
        <v>11.77</v>
      </c>
    </row>
    <row r="822">
      <c r="A822" s="28">
        <v>30.2</v>
      </c>
    </row>
    <row r="823">
      <c r="A823" s="28">
        <v>19.29</v>
      </c>
    </row>
    <row r="824">
      <c r="A824" s="28">
        <v>2.39</v>
      </c>
    </row>
    <row r="825">
      <c r="A825" s="28">
        <v>13.74</v>
      </c>
    </row>
    <row r="826">
      <c r="A826" s="28">
        <v>75.13</v>
      </c>
    </row>
    <row r="827">
      <c r="A827" s="28">
        <v>5.31</v>
      </c>
    </row>
    <row r="828">
      <c r="A828" s="28">
        <v>54.72</v>
      </c>
    </row>
    <row r="829">
      <c r="A829" s="28">
        <v>2.44</v>
      </c>
    </row>
    <row r="830">
      <c r="A830" s="28">
        <v>36.62</v>
      </c>
    </row>
    <row r="831">
      <c r="A831" s="28">
        <v>10.59</v>
      </c>
    </row>
    <row r="832">
      <c r="A832" s="28">
        <v>15.03</v>
      </c>
    </row>
    <row r="833">
      <c r="A833" s="28">
        <v>10.18</v>
      </c>
    </row>
    <row r="834">
      <c r="A834" s="28">
        <v>37.83</v>
      </c>
    </row>
    <row r="835">
      <c r="A835" s="28">
        <v>22.66</v>
      </c>
    </row>
    <row r="836">
      <c r="A836" s="28">
        <v>12.31</v>
      </c>
    </row>
    <row r="837">
      <c r="A837" s="28">
        <v>36.82</v>
      </c>
    </row>
    <row r="838">
      <c r="A838" s="28">
        <v>60.83</v>
      </c>
    </row>
    <row r="839">
      <c r="A839" s="28">
        <v>13.81</v>
      </c>
    </row>
    <row r="840">
      <c r="A840" s="28">
        <v>51.65</v>
      </c>
    </row>
    <row r="841">
      <c r="A841" s="28">
        <v>38.93</v>
      </c>
    </row>
    <row r="842">
      <c r="A842" s="28">
        <v>46.44</v>
      </c>
    </row>
    <row r="843">
      <c r="A843" s="28">
        <v>2.42</v>
      </c>
    </row>
    <row r="844">
      <c r="A844" s="28">
        <v>14.98</v>
      </c>
    </row>
    <row r="845">
      <c r="A845" s="28">
        <v>40.52</v>
      </c>
    </row>
    <row r="846">
      <c r="A846" s="28">
        <v>14.48</v>
      </c>
    </row>
    <row r="847">
      <c r="A847" s="28">
        <v>29.81</v>
      </c>
    </row>
    <row r="848">
      <c r="A848" s="28">
        <v>32.24</v>
      </c>
    </row>
    <row r="849">
      <c r="A849" s="28">
        <v>24.91</v>
      </c>
    </row>
    <row r="850">
      <c r="A850" s="28">
        <v>13.76</v>
      </c>
    </row>
    <row r="851">
      <c r="A851" s="28">
        <v>44.68</v>
      </c>
    </row>
    <row r="852">
      <c r="A852" s="28">
        <v>29.31</v>
      </c>
    </row>
    <row r="853">
      <c r="A853" s="28">
        <v>10.99</v>
      </c>
    </row>
    <row r="854">
      <c r="A854" s="28">
        <v>10.63</v>
      </c>
    </row>
    <row r="855">
      <c r="A855" s="28">
        <v>2.83</v>
      </c>
    </row>
    <row r="856">
      <c r="A856" s="28">
        <v>35.76</v>
      </c>
    </row>
    <row r="857">
      <c r="A857" s="28">
        <v>5.36</v>
      </c>
    </row>
    <row r="858">
      <c r="A858" s="28">
        <v>16.61</v>
      </c>
    </row>
    <row r="859">
      <c r="A859" s="28">
        <v>25.54</v>
      </c>
    </row>
    <row r="860">
      <c r="A860" s="28">
        <v>70.68</v>
      </c>
    </row>
    <row r="861">
      <c r="A861" s="28">
        <v>20.72</v>
      </c>
    </row>
    <row r="862">
      <c r="A862" s="28">
        <v>29.09</v>
      </c>
    </row>
    <row r="863">
      <c r="A863" s="28">
        <v>23.04</v>
      </c>
    </row>
    <row r="864">
      <c r="A864" s="28">
        <v>3.98</v>
      </c>
    </row>
    <row r="865">
      <c r="A865" s="28">
        <v>27.32</v>
      </c>
    </row>
    <row r="866">
      <c r="A866" s="28">
        <v>3.21</v>
      </c>
    </row>
    <row r="867">
      <c r="A867" s="28">
        <v>37.67</v>
      </c>
    </row>
    <row r="868">
      <c r="A868" s="28">
        <v>22.75</v>
      </c>
    </row>
    <row r="869">
      <c r="A869" s="28">
        <v>12.61</v>
      </c>
    </row>
    <row r="870">
      <c r="A870" s="28">
        <v>12.89</v>
      </c>
    </row>
    <row r="871">
      <c r="A871" s="28">
        <v>3.85</v>
      </c>
    </row>
    <row r="872">
      <c r="A872" s="28">
        <v>36.54</v>
      </c>
    </row>
    <row r="873">
      <c r="A873" s="28">
        <v>24.32</v>
      </c>
    </row>
    <row r="874">
      <c r="A874" s="28">
        <v>28.65</v>
      </c>
    </row>
    <row r="875">
      <c r="A875" s="28">
        <v>15.45</v>
      </c>
    </row>
    <row r="876">
      <c r="A876" s="28">
        <v>13.66</v>
      </c>
    </row>
    <row r="877">
      <c r="A877" s="28">
        <v>2.5</v>
      </c>
    </row>
    <row r="878">
      <c r="A878" s="28">
        <v>10.49</v>
      </c>
    </row>
    <row r="879">
      <c r="A879" s="28">
        <v>19.48</v>
      </c>
    </row>
    <row r="880">
      <c r="A880" s="28">
        <v>34.92</v>
      </c>
    </row>
    <row r="881">
      <c r="A881" s="28">
        <v>14.14</v>
      </c>
    </row>
    <row r="882">
      <c r="A882" s="28">
        <v>30.05</v>
      </c>
    </row>
    <row r="883">
      <c r="A883" s="28">
        <v>14.32</v>
      </c>
    </row>
    <row r="884">
      <c r="A884" s="28">
        <v>14.91</v>
      </c>
    </row>
    <row r="885">
      <c r="A885" s="28">
        <v>49.67</v>
      </c>
    </row>
    <row r="886">
      <c r="A886" s="28">
        <v>66.35</v>
      </c>
    </row>
    <row r="887">
      <c r="A887" s="28">
        <v>14.53</v>
      </c>
    </row>
    <row r="888">
      <c r="A888" s="28">
        <v>12.04</v>
      </c>
    </row>
    <row r="889">
      <c r="A889" s="28">
        <v>14.45</v>
      </c>
    </row>
    <row r="890">
      <c r="A890" s="28">
        <v>41.03</v>
      </c>
    </row>
    <row r="891">
      <c r="A891" s="28">
        <v>9.93</v>
      </c>
    </row>
    <row r="892">
      <c r="A892" s="28">
        <v>14.01</v>
      </c>
    </row>
    <row r="893">
      <c r="A893" s="28">
        <v>12.17</v>
      </c>
    </row>
    <row r="894">
      <c r="A894" s="28">
        <v>59.3</v>
      </c>
    </row>
    <row r="895">
      <c r="A895" s="28">
        <v>63.55</v>
      </c>
    </row>
    <row r="896">
      <c r="A896" s="28">
        <v>27.22</v>
      </c>
    </row>
    <row r="897">
      <c r="A897" s="28">
        <v>26.03</v>
      </c>
    </row>
    <row r="898">
      <c r="A898" s="28">
        <v>51.69</v>
      </c>
    </row>
    <row r="899">
      <c r="A899" s="28">
        <v>31.66</v>
      </c>
    </row>
    <row r="900">
      <c r="A900" s="28">
        <v>10.99</v>
      </c>
    </row>
    <row r="901">
      <c r="A901" s="28">
        <v>3.14</v>
      </c>
    </row>
    <row r="902">
      <c r="A902" s="28">
        <v>7.91</v>
      </c>
    </row>
    <row r="903">
      <c r="A903" s="28">
        <v>26.05</v>
      </c>
    </row>
    <row r="904">
      <c r="A904" s="28">
        <v>11.69</v>
      </c>
    </row>
    <row r="905">
      <c r="A905" s="28">
        <v>12.67</v>
      </c>
    </row>
    <row r="906">
      <c r="A906" s="28">
        <v>26.74</v>
      </c>
    </row>
    <row r="907">
      <c r="A907" s="28">
        <v>17.54</v>
      </c>
    </row>
    <row r="908">
      <c r="A908" s="28">
        <v>18.33</v>
      </c>
    </row>
    <row r="909">
      <c r="A909" s="28">
        <v>15.16</v>
      </c>
    </row>
    <row r="910">
      <c r="A910" s="28">
        <v>16.47</v>
      </c>
    </row>
    <row r="911">
      <c r="A911" s="28">
        <v>2.5</v>
      </c>
    </row>
    <row r="912">
      <c r="A912" s="28">
        <v>13.69</v>
      </c>
    </row>
    <row r="913">
      <c r="A913" s="28">
        <v>34.11</v>
      </c>
    </row>
    <row r="914">
      <c r="A914" s="28">
        <v>48.37</v>
      </c>
    </row>
    <row r="915">
      <c r="A915" s="28">
        <v>35.63</v>
      </c>
    </row>
    <row r="916">
      <c r="A916" s="28">
        <v>14.56</v>
      </c>
    </row>
    <row r="917">
      <c r="A917" s="28">
        <v>15.05</v>
      </c>
    </row>
    <row r="918">
      <c r="A918" s="28">
        <v>7.1</v>
      </c>
    </row>
    <row r="919">
      <c r="A919" s="28">
        <v>10.61</v>
      </c>
    </row>
    <row r="920">
      <c r="A920" s="28">
        <v>31.25</v>
      </c>
    </row>
    <row r="921">
      <c r="A921" s="28">
        <v>21.55</v>
      </c>
    </row>
    <row r="922">
      <c r="A922" s="28">
        <v>10.5</v>
      </c>
    </row>
    <row r="923">
      <c r="A923" s="28">
        <v>10.31</v>
      </c>
    </row>
    <row r="924">
      <c r="A924" s="28">
        <v>21.13</v>
      </c>
    </row>
    <row r="925">
      <c r="A925" s="28">
        <v>33.81</v>
      </c>
    </row>
    <row r="926">
      <c r="A926" s="28">
        <v>29.52</v>
      </c>
    </row>
    <row r="927">
      <c r="A927" s="28">
        <v>56.49</v>
      </c>
    </row>
    <row r="928">
      <c r="A928" s="28">
        <v>3.83</v>
      </c>
    </row>
    <row r="929">
      <c r="A929" s="28">
        <v>58.77</v>
      </c>
    </row>
    <row r="930">
      <c r="A930" s="28">
        <v>1.93</v>
      </c>
    </row>
    <row r="931">
      <c r="A931" s="28">
        <v>2.58</v>
      </c>
    </row>
    <row r="932">
      <c r="A932" s="28">
        <v>10.91</v>
      </c>
    </row>
    <row r="933">
      <c r="A933" s="28">
        <v>3.6</v>
      </c>
    </row>
    <row r="934">
      <c r="A934" s="28">
        <v>15.2</v>
      </c>
    </row>
    <row r="935">
      <c r="A935" s="28">
        <v>10.89</v>
      </c>
    </row>
    <row r="936">
      <c r="A936" s="28">
        <v>3.92</v>
      </c>
    </row>
    <row r="937">
      <c r="A937" s="28">
        <v>11.42</v>
      </c>
    </row>
    <row r="938">
      <c r="A938" s="28">
        <v>7.16</v>
      </c>
    </row>
    <row r="939">
      <c r="A939" s="28">
        <v>14.78</v>
      </c>
    </row>
    <row r="940">
      <c r="A940" s="28">
        <v>38.98</v>
      </c>
    </row>
    <row r="941">
      <c r="A941" s="28">
        <v>11.95</v>
      </c>
    </row>
    <row r="942">
      <c r="A942" s="28">
        <v>3.17</v>
      </c>
    </row>
    <row r="943">
      <c r="A943" s="28">
        <v>12.52</v>
      </c>
    </row>
    <row r="944">
      <c r="A944" s="28">
        <v>57.91</v>
      </c>
    </row>
    <row r="945">
      <c r="A945" s="28">
        <v>17.67</v>
      </c>
    </row>
    <row r="946">
      <c r="A946" s="28">
        <v>12.21</v>
      </c>
    </row>
    <row r="947">
      <c r="A947" s="28">
        <v>22.72</v>
      </c>
    </row>
    <row r="948">
      <c r="A948" s="28">
        <v>51.9</v>
      </c>
    </row>
    <row r="949">
      <c r="A949" s="28">
        <v>61.54</v>
      </c>
    </row>
    <row r="950">
      <c r="A950" s="28">
        <v>11.65</v>
      </c>
    </row>
    <row r="951">
      <c r="A951" s="28">
        <v>2.84</v>
      </c>
    </row>
    <row r="952">
      <c r="A952" s="28">
        <v>12.13</v>
      </c>
    </row>
    <row r="953">
      <c r="A953" s="28">
        <v>33.51</v>
      </c>
    </row>
    <row r="954">
      <c r="A954" s="28">
        <v>40.21</v>
      </c>
    </row>
    <row r="955">
      <c r="A955" s="28">
        <v>56.8</v>
      </c>
    </row>
    <row r="956">
      <c r="A956" s="28">
        <v>28.47</v>
      </c>
    </row>
    <row r="957">
      <c r="A957" s="28">
        <v>28.67</v>
      </c>
    </row>
    <row r="958">
      <c r="A958" s="28">
        <v>43.59</v>
      </c>
    </row>
    <row r="959">
      <c r="A959" s="28">
        <v>14.58</v>
      </c>
    </row>
    <row r="960">
      <c r="A960" s="28">
        <v>12.3</v>
      </c>
    </row>
    <row r="961">
      <c r="A961" s="28">
        <v>3.84</v>
      </c>
    </row>
    <row r="962">
      <c r="A962" s="28">
        <v>34.54</v>
      </c>
    </row>
    <row r="963">
      <c r="A963" s="28">
        <v>33.94</v>
      </c>
    </row>
    <row r="964">
      <c r="A964" s="28">
        <v>3.9</v>
      </c>
    </row>
    <row r="965">
      <c r="A965" s="28">
        <v>2.47</v>
      </c>
    </row>
    <row r="966">
      <c r="A966" s="28">
        <v>14.97</v>
      </c>
    </row>
    <row r="967">
      <c r="A967" s="28">
        <v>40.28</v>
      </c>
    </row>
    <row r="968">
      <c r="A968" s="28">
        <v>11.5</v>
      </c>
    </row>
    <row r="969">
      <c r="A969" s="28">
        <v>15.14</v>
      </c>
    </row>
    <row r="970">
      <c r="A970" s="28">
        <v>26.47</v>
      </c>
    </row>
    <row r="971">
      <c r="A971" s="28">
        <v>32.64</v>
      </c>
    </row>
    <row r="972">
      <c r="A972" s="28">
        <v>12.19</v>
      </c>
    </row>
    <row r="973">
      <c r="A973" s="28">
        <v>11.75</v>
      </c>
    </row>
    <row r="974">
      <c r="A974" s="28">
        <v>49.78</v>
      </c>
    </row>
    <row r="975">
      <c r="A975" s="28">
        <v>34.56</v>
      </c>
    </row>
    <row r="976">
      <c r="A976" s="28">
        <v>21.35</v>
      </c>
    </row>
    <row r="977">
      <c r="A977" s="28">
        <v>25.57</v>
      </c>
    </row>
    <row r="978">
      <c r="A978" s="28">
        <v>15.86</v>
      </c>
    </row>
    <row r="979">
      <c r="A979" s="28">
        <v>18.45</v>
      </c>
    </row>
    <row r="980">
      <c r="A980" s="28">
        <v>68.85</v>
      </c>
    </row>
    <row r="981">
      <c r="A981" s="28">
        <v>21.69</v>
      </c>
    </row>
    <row r="982">
      <c r="A982" s="28">
        <v>35.38</v>
      </c>
    </row>
    <row r="983">
      <c r="A983" s="28">
        <v>18.56</v>
      </c>
    </row>
    <row r="984">
      <c r="A984" s="28">
        <v>3.28</v>
      </c>
    </row>
    <row r="985">
      <c r="A985" s="28">
        <v>80.28</v>
      </c>
    </row>
    <row r="986">
      <c r="A986" s="28">
        <v>11.9</v>
      </c>
    </row>
    <row r="987">
      <c r="A987" s="28">
        <v>25.03</v>
      </c>
    </row>
    <row r="988">
      <c r="A988" s="28">
        <v>67.65</v>
      </c>
    </row>
    <row r="989">
      <c r="A989" s="28">
        <v>32.92</v>
      </c>
    </row>
    <row r="990">
      <c r="A990" s="28">
        <v>77.3</v>
      </c>
    </row>
    <row r="991">
      <c r="A991" s="28">
        <v>15.1</v>
      </c>
    </row>
    <row r="992">
      <c r="A992" s="28">
        <v>14.02</v>
      </c>
    </row>
    <row r="993">
      <c r="A993" s="28">
        <v>47.14</v>
      </c>
    </row>
    <row r="994">
      <c r="A994" s="28">
        <v>36.61</v>
      </c>
    </row>
    <row r="995">
      <c r="A995" s="28">
        <v>10.73</v>
      </c>
    </row>
    <row r="996">
      <c r="A996" s="28">
        <v>16.94</v>
      </c>
    </row>
    <row r="997">
      <c r="A997" s="28">
        <v>19.6</v>
      </c>
    </row>
    <row r="998">
      <c r="A998" s="28">
        <v>20.23</v>
      </c>
    </row>
    <row r="999">
      <c r="A999" s="28">
        <v>64.66</v>
      </c>
    </row>
    <row r="1000">
      <c r="A1000" s="28">
        <v>10.33</v>
      </c>
    </row>
    <row r="1001">
      <c r="A1001" s="28">
        <v>12.44</v>
      </c>
    </row>
    <row r="1002">
      <c r="A1002" s="28">
        <v>28.96</v>
      </c>
    </row>
    <row r="1003">
      <c r="A1003" s="28">
        <v>39.75</v>
      </c>
    </row>
    <row r="1004">
      <c r="A1004" s="28">
        <v>3.75</v>
      </c>
    </row>
    <row r="1005">
      <c r="A1005" s="28">
        <v>10.69</v>
      </c>
    </row>
    <row r="1006">
      <c r="A1006" s="28">
        <v>46.36</v>
      </c>
    </row>
    <row r="1007">
      <c r="A1007" s="28">
        <v>10.42</v>
      </c>
    </row>
    <row r="1008">
      <c r="A1008" s="28">
        <v>10.07</v>
      </c>
    </row>
    <row r="1009">
      <c r="A1009" s="28">
        <v>60.55</v>
      </c>
    </row>
    <row r="1010">
      <c r="A1010" s="28">
        <v>65.54</v>
      </c>
    </row>
    <row r="1011">
      <c r="A1011" s="28">
        <v>50.85</v>
      </c>
    </row>
    <row r="1012">
      <c r="A1012" s="28">
        <v>17.29</v>
      </c>
    </row>
    <row r="1013">
      <c r="A1013" s="28">
        <v>13.85</v>
      </c>
    </row>
    <row r="1014">
      <c r="A1014" s="28">
        <v>53.79</v>
      </c>
    </row>
    <row r="1015">
      <c r="A1015" s="28">
        <v>17.04</v>
      </c>
    </row>
    <row r="1016">
      <c r="A1016" s="28">
        <v>18.65</v>
      </c>
    </row>
    <row r="1017">
      <c r="A1017" s="28">
        <v>22.44</v>
      </c>
    </row>
    <row r="1018">
      <c r="A1018" s="28">
        <v>79.47</v>
      </c>
    </row>
    <row r="1019">
      <c r="A1019" s="28">
        <v>52.79</v>
      </c>
    </row>
    <row r="1020">
      <c r="A1020" s="28">
        <v>11.37</v>
      </c>
    </row>
    <row r="1021">
      <c r="A1021" s="28">
        <v>53.3</v>
      </c>
    </row>
    <row r="1022">
      <c r="A1022" s="28">
        <v>69.63</v>
      </c>
    </row>
    <row r="1023">
      <c r="A1023" s="28">
        <v>36.61</v>
      </c>
    </row>
    <row r="1024">
      <c r="A1024" s="28">
        <v>47.76</v>
      </c>
    </row>
    <row r="1025">
      <c r="A1025" s="28">
        <v>20.77</v>
      </c>
    </row>
    <row r="1026">
      <c r="A1026" s="28">
        <v>2.38</v>
      </c>
    </row>
    <row r="1027">
      <c r="A1027" s="28">
        <v>3.18</v>
      </c>
    </row>
    <row r="1028">
      <c r="A1028" s="28">
        <v>31.14</v>
      </c>
    </row>
    <row r="1029">
      <c r="A1029" s="28">
        <v>32.28</v>
      </c>
    </row>
    <row r="1030">
      <c r="A1030" s="28">
        <v>74.68</v>
      </c>
    </row>
    <row r="1031">
      <c r="A1031" s="28">
        <v>42.2</v>
      </c>
    </row>
    <row r="1032">
      <c r="A1032" s="28">
        <v>41.14</v>
      </c>
    </row>
    <row r="1033">
      <c r="A1033" s="28">
        <v>35.31</v>
      </c>
    </row>
    <row r="1034">
      <c r="A1034" s="28">
        <v>14.77</v>
      </c>
    </row>
    <row r="1035">
      <c r="A1035" s="28">
        <v>10.88</v>
      </c>
    </row>
    <row r="1036">
      <c r="A1036" s="28">
        <v>74.26</v>
      </c>
    </row>
    <row r="1037">
      <c r="A1037" s="28">
        <v>4.05</v>
      </c>
    </row>
    <row r="1038">
      <c r="A1038" s="28">
        <v>11.32</v>
      </c>
    </row>
    <row r="1039">
      <c r="A1039" s="28">
        <v>18.43</v>
      </c>
    </row>
    <row r="1040">
      <c r="A1040" s="28">
        <v>22.18</v>
      </c>
    </row>
    <row r="1041">
      <c r="A1041" s="28">
        <v>34.13</v>
      </c>
    </row>
    <row r="1042">
      <c r="A1042" s="28">
        <v>10.68</v>
      </c>
    </row>
    <row r="1043">
      <c r="A1043" s="28">
        <v>10.65</v>
      </c>
    </row>
    <row r="1044">
      <c r="A1044" s="28">
        <v>12.32</v>
      </c>
    </row>
    <row r="1045">
      <c r="A1045" s="28">
        <v>3.23</v>
      </c>
    </row>
    <row r="1046">
      <c r="A1046" s="28">
        <v>14.22</v>
      </c>
    </row>
    <row r="1047">
      <c r="A1047" s="28">
        <v>65.27</v>
      </c>
    </row>
    <row r="1048">
      <c r="A1048" s="28">
        <v>16.0</v>
      </c>
    </row>
    <row r="1049">
      <c r="A1049" s="28">
        <v>33.33</v>
      </c>
    </row>
    <row r="1050">
      <c r="A1050" s="28">
        <v>32.79</v>
      </c>
    </row>
    <row r="1051">
      <c r="A1051" s="28">
        <v>11.85</v>
      </c>
    </row>
    <row r="1052">
      <c r="A1052" s="28">
        <v>29.75</v>
      </c>
    </row>
    <row r="1053">
      <c r="A1053" s="28">
        <v>64.4</v>
      </c>
    </row>
    <row r="1054">
      <c r="A1054" s="28">
        <v>4.06</v>
      </c>
    </row>
    <row r="1055">
      <c r="A1055" s="28">
        <v>5.41</v>
      </c>
    </row>
    <row r="1056">
      <c r="A1056" s="28">
        <v>15.58</v>
      </c>
    </row>
    <row r="1057">
      <c r="A1057" s="28">
        <v>14.36</v>
      </c>
    </row>
    <row r="1058">
      <c r="A1058" s="28">
        <v>49.32</v>
      </c>
    </row>
    <row r="1059">
      <c r="A1059" s="28">
        <v>51.91</v>
      </c>
    </row>
    <row r="1060">
      <c r="A1060" s="28">
        <v>60.53</v>
      </c>
    </row>
    <row r="1061">
      <c r="A1061" s="28">
        <v>16.26</v>
      </c>
    </row>
    <row r="1062">
      <c r="A1062" s="28">
        <v>3.26</v>
      </c>
    </row>
    <row r="1063">
      <c r="A1063" s="28">
        <v>10.74</v>
      </c>
    </row>
    <row r="1064">
      <c r="A1064" s="28">
        <v>56.57</v>
      </c>
    </row>
    <row r="1065">
      <c r="A1065" s="28">
        <v>69.01</v>
      </c>
    </row>
    <row r="1066">
      <c r="A1066" s="28">
        <v>10.84</v>
      </c>
    </row>
    <row r="1067">
      <c r="A1067" s="28">
        <v>14.65</v>
      </c>
    </row>
    <row r="1068">
      <c r="A1068" s="28">
        <v>10.33</v>
      </c>
    </row>
    <row r="1069">
      <c r="A1069" s="28">
        <v>46.9</v>
      </c>
    </row>
    <row r="1070">
      <c r="A1070" s="28">
        <v>12.57</v>
      </c>
    </row>
    <row r="1071">
      <c r="A1071" s="28">
        <v>14.8</v>
      </c>
    </row>
    <row r="1072">
      <c r="A1072" s="28">
        <v>20.45</v>
      </c>
    </row>
    <row r="1073">
      <c r="A1073" s="28">
        <v>20.13</v>
      </c>
    </row>
    <row r="1074">
      <c r="A1074" s="28">
        <v>10.74</v>
      </c>
    </row>
    <row r="1075">
      <c r="A1075" s="28">
        <v>45.16</v>
      </c>
    </row>
    <row r="1076">
      <c r="A1076" s="28">
        <v>9.29</v>
      </c>
    </row>
    <row r="1077">
      <c r="A1077" s="28">
        <v>14.44</v>
      </c>
    </row>
    <row r="1078">
      <c r="A1078" s="28">
        <v>3.41</v>
      </c>
    </row>
    <row r="1079">
      <c r="A1079" s="28">
        <v>32.47</v>
      </c>
    </row>
    <row r="1080">
      <c r="A1080" s="28">
        <v>10.57</v>
      </c>
    </row>
    <row r="1081">
      <c r="A1081" s="28">
        <v>69.3</v>
      </c>
    </row>
    <row r="1082">
      <c r="A1082" s="28">
        <v>12.75</v>
      </c>
    </row>
    <row r="1083">
      <c r="A1083" s="28">
        <v>10.72</v>
      </c>
    </row>
    <row r="1084">
      <c r="A1084" s="28">
        <v>11.92</v>
      </c>
    </row>
    <row r="1085">
      <c r="A1085" s="28">
        <v>23.22</v>
      </c>
    </row>
    <row r="1086">
      <c r="A1086" s="28">
        <v>60.6</v>
      </c>
    </row>
    <row r="1087">
      <c r="A1087" s="28">
        <v>1.71</v>
      </c>
    </row>
    <row r="1088">
      <c r="A1088" s="28">
        <v>17.07</v>
      </c>
    </row>
    <row r="1089">
      <c r="A1089" s="28">
        <v>10.65</v>
      </c>
    </row>
    <row r="1090">
      <c r="A1090" s="28">
        <v>14.08</v>
      </c>
    </row>
    <row r="1091">
      <c r="A1091" s="28">
        <v>20.23</v>
      </c>
    </row>
    <row r="1092">
      <c r="A1092" s="28">
        <v>53.37</v>
      </c>
    </row>
    <row r="1093">
      <c r="A1093" s="28">
        <v>12.6</v>
      </c>
    </row>
    <row r="1094">
      <c r="A1094" s="28">
        <v>77.94</v>
      </c>
    </row>
    <row r="1095">
      <c r="A1095" s="28">
        <v>13.21</v>
      </c>
    </row>
    <row r="1096">
      <c r="A1096" s="28">
        <v>29.29</v>
      </c>
    </row>
    <row r="1097">
      <c r="A1097" s="28">
        <v>33.88</v>
      </c>
    </row>
    <row r="1098">
      <c r="A1098" s="28">
        <v>13.87</v>
      </c>
    </row>
    <row r="1099">
      <c r="A1099" s="28">
        <v>13.25</v>
      </c>
    </row>
    <row r="1100">
      <c r="A1100" s="28">
        <v>67.79</v>
      </c>
    </row>
    <row r="1101">
      <c r="A1101" s="28">
        <v>1.55</v>
      </c>
    </row>
    <row r="1102">
      <c r="A1102" s="28">
        <v>19.7</v>
      </c>
    </row>
    <row r="1103">
      <c r="A1103" s="28">
        <v>18.36</v>
      </c>
    </row>
    <row r="1104">
      <c r="A1104" s="28">
        <v>62.16</v>
      </c>
    </row>
    <row r="1105">
      <c r="A1105" s="28">
        <v>28.59</v>
      </c>
    </row>
    <row r="1106">
      <c r="A1106" s="28">
        <v>49.97</v>
      </c>
    </row>
    <row r="1107">
      <c r="A1107" s="28">
        <v>37.03</v>
      </c>
    </row>
    <row r="1108">
      <c r="A1108" s="28">
        <v>12.05</v>
      </c>
    </row>
    <row r="1109">
      <c r="A1109" s="28">
        <v>37.83</v>
      </c>
    </row>
    <row r="1110">
      <c r="A1110" s="28">
        <v>13.0</v>
      </c>
    </row>
    <row r="1111">
      <c r="A1111" s="28">
        <v>14.17</v>
      </c>
    </row>
    <row r="1112">
      <c r="A1112" s="28">
        <v>15.74</v>
      </c>
    </row>
    <row r="1113">
      <c r="A1113" s="28">
        <v>12.71</v>
      </c>
    </row>
    <row r="1114">
      <c r="A1114" s="28">
        <v>36.0</v>
      </c>
    </row>
    <row r="1115">
      <c r="A1115" s="28">
        <v>16.08</v>
      </c>
    </row>
    <row r="1116">
      <c r="A1116" s="28">
        <v>14.44</v>
      </c>
    </row>
    <row r="1117">
      <c r="A1117" s="28">
        <v>27.53</v>
      </c>
    </row>
    <row r="1118">
      <c r="A1118" s="28">
        <v>69.63</v>
      </c>
    </row>
    <row r="1119">
      <c r="A1119" s="28">
        <v>30.08</v>
      </c>
    </row>
    <row r="1120">
      <c r="A1120" s="28">
        <v>27.73</v>
      </c>
    </row>
    <row r="1121">
      <c r="A1121" s="28">
        <v>75.0</v>
      </c>
    </row>
    <row r="1122">
      <c r="A1122" s="28">
        <v>14.87</v>
      </c>
    </row>
    <row r="1123">
      <c r="A1123" s="28">
        <v>4.44</v>
      </c>
    </row>
    <row r="1124">
      <c r="A1124" s="28">
        <v>10.46</v>
      </c>
    </row>
    <row r="1125">
      <c r="A1125" s="28">
        <v>13.6</v>
      </c>
    </row>
    <row r="1126">
      <c r="A1126" s="28">
        <v>14.07</v>
      </c>
    </row>
    <row r="1127">
      <c r="A1127" s="28">
        <v>52.71</v>
      </c>
    </row>
    <row r="1128">
      <c r="A1128" s="28">
        <v>38.72</v>
      </c>
    </row>
    <row r="1129">
      <c r="A1129" s="28">
        <v>10.55</v>
      </c>
    </row>
    <row r="1130">
      <c r="A1130" s="28">
        <v>28.13</v>
      </c>
    </row>
    <row r="1131">
      <c r="A1131" s="28">
        <v>3.54</v>
      </c>
    </row>
    <row r="1132">
      <c r="A1132" s="28">
        <v>4.75</v>
      </c>
    </row>
    <row r="1133">
      <c r="A1133" s="28">
        <v>21.37</v>
      </c>
    </row>
    <row r="1134">
      <c r="A1134" s="28">
        <v>19.69</v>
      </c>
    </row>
    <row r="1135">
      <c r="A1135" s="28">
        <v>35.57</v>
      </c>
    </row>
    <row r="1136">
      <c r="A1136" s="28">
        <v>14.77</v>
      </c>
    </row>
    <row r="1137">
      <c r="A1137" s="28">
        <v>16.07</v>
      </c>
    </row>
    <row r="1138">
      <c r="A1138" s="28">
        <v>15.45</v>
      </c>
    </row>
    <row r="1139">
      <c r="A1139" s="28">
        <v>27.19</v>
      </c>
    </row>
    <row r="1140">
      <c r="A1140" s="28">
        <v>37.35</v>
      </c>
    </row>
    <row r="1141">
      <c r="A1141" s="28">
        <v>49.31</v>
      </c>
    </row>
    <row r="1142">
      <c r="A1142" s="28">
        <v>13.0</v>
      </c>
    </row>
    <row r="1143">
      <c r="A1143" s="28">
        <v>14.08</v>
      </c>
    </row>
    <row r="1144">
      <c r="A1144" s="28">
        <v>3.38</v>
      </c>
    </row>
    <row r="1145">
      <c r="A1145" s="28">
        <v>14.83</v>
      </c>
    </row>
    <row r="1146">
      <c r="A1146" s="28">
        <v>19.64</v>
      </c>
    </row>
    <row r="1147">
      <c r="A1147" s="28">
        <v>29.46</v>
      </c>
    </row>
    <row r="1148">
      <c r="A1148" s="28">
        <v>22.44</v>
      </c>
    </row>
    <row r="1149">
      <c r="A1149" s="28">
        <v>60.74</v>
      </c>
    </row>
    <row r="1150">
      <c r="A1150" s="28">
        <v>21.46</v>
      </c>
    </row>
    <row r="1151">
      <c r="A1151" s="28">
        <v>3.06</v>
      </c>
    </row>
    <row r="1152">
      <c r="A1152" s="28">
        <v>27.87</v>
      </c>
    </row>
    <row r="1153">
      <c r="A1153" s="28">
        <v>59.82</v>
      </c>
    </row>
    <row r="1154">
      <c r="A1154" s="28">
        <v>28.55</v>
      </c>
    </row>
    <row r="1155">
      <c r="A1155" s="28">
        <v>20.35</v>
      </c>
    </row>
    <row r="1156">
      <c r="A1156" s="28">
        <v>32.6</v>
      </c>
    </row>
    <row r="1157">
      <c r="A1157" s="28">
        <v>18.89</v>
      </c>
    </row>
    <row r="1158">
      <c r="A1158" s="28">
        <v>29.23</v>
      </c>
    </row>
    <row r="1159">
      <c r="A1159" s="28">
        <v>10.32</v>
      </c>
    </row>
    <row r="1160">
      <c r="A1160" s="28">
        <v>29.46</v>
      </c>
    </row>
    <row r="1161">
      <c r="A1161" s="28">
        <v>74.48</v>
      </c>
    </row>
    <row r="1162">
      <c r="A1162" s="28">
        <v>57.22</v>
      </c>
    </row>
    <row r="1163">
      <c r="A1163" s="28">
        <v>41.96</v>
      </c>
    </row>
    <row r="1164">
      <c r="A1164" s="28">
        <v>35.57</v>
      </c>
    </row>
    <row r="1165">
      <c r="A1165" s="28">
        <v>25.27</v>
      </c>
    </row>
    <row r="1166">
      <c r="A1166" s="28">
        <v>3.45</v>
      </c>
    </row>
    <row r="1167">
      <c r="A1167" s="28">
        <v>55.73</v>
      </c>
    </row>
    <row r="1168">
      <c r="A1168" s="28">
        <v>40.48</v>
      </c>
    </row>
    <row r="1169">
      <c r="A1169" s="28">
        <v>11.8</v>
      </c>
    </row>
    <row r="1170">
      <c r="A1170" s="28">
        <v>2.55</v>
      </c>
    </row>
    <row r="1171">
      <c r="A1171" s="28">
        <v>13.72</v>
      </c>
    </row>
    <row r="1172">
      <c r="A1172" s="28">
        <v>11.98</v>
      </c>
    </row>
    <row r="1173">
      <c r="A1173" s="28">
        <v>36.14</v>
      </c>
    </row>
    <row r="1174">
      <c r="A1174" s="28">
        <v>2.49</v>
      </c>
    </row>
    <row r="1175">
      <c r="A1175" s="28">
        <v>16.36</v>
      </c>
    </row>
    <row r="1176">
      <c r="A1176" s="28">
        <v>26.13</v>
      </c>
    </row>
    <row r="1177">
      <c r="A1177" s="28">
        <v>23.8</v>
      </c>
    </row>
    <row r="1178">
      <c r="A1178" s="28">
        <v>1.43</v>
      </c>
    </row>
    <row r="1179">
      <c r="A1179" s="28">
        <v>28.87</v>
      </c>
    </row>
    <row r="1180">
      <c r="A1180" s="28">
        <v>1.97</v>
      </c>
    </row>
    <row r="1181">
      <c r="A1181" s="28">
        <v>78.94</v>
      </c>
    </row>
    <row r="1182">
      <c r="A1182" s="28">
        <v>8.44</v>
      </c>
    </row>
    <row r="1183">
      <c r="A1183" s="28">
        <v>2.16</v>
      </c>
    </row>
    <row r="1184">
      <c r="A1184" s="28">
        <v>21.83</v>
      </c>
    </row>
    <row r="1185">
      <c r="A1185" s="28">
        <v>23.22</v>
      </c>
    </row>
    <row r="1186">
      <c r="A1186" s="28">
        <v>15.15</v>
      </c>
    </row>
    <row r="1187">
      <c r="A1187" s="28">
        <v>40.66</v>
      </c>
    </row>
    <row r="1188">
      <c r="A1188" s="28">
        <v>10.81</v>
      </c>
    </row>
    <row r="1189">
      <c r="A1189" s="28">
        <v>11.73</v>
      </c>
    </row>
    <row r="1190">
      <c r="A1190" s="28">
        <v>13.36</v>
      </c>
    </row>
    <row r="1191">
      <c r="A1191" s="28">
        <v>28.85</v>
      </c>
    </row>
    <row r="1192">
      <c r="A1192" s="28">
        <v>3.98</v>
      </c>
    </row>
    <row r="1193">
      <c r="A1193" s="28">
        <v>12.55</v>
      </c>
    </row>
    <row r="1194">
      <c r="A1194" s="28">
        <v>10.51</v>
      </c>
    </row>
    <row r="1195">
      <c r="A1195" s="28">
        <v>38.19</v>
      </c>
    </row>
    <row r="1196">
      <c r="A1196" s="28">
        <v>13.63</v>
      </c>
    </row>
    <row r="1197">
      <c r="A1197" s="28">
        <v>33.48</v>
      </c>
    </row>
    <row r="1198">
      <c r="A1198" s="28">
        <v>52.94</v>
      </c>
    </row>
    <row r="1199">
      <c r="A1199" s="28">
        <v>12.13</v>
      </c>
    </row>
    <row r="1200">
      <c r="A1200" s="28">
        <v>12.59</v>
      </c>
    </row>
    <row r="1201">
      <c r="A1201" s="28">
        <v>47.36</v>
      </c>
    </row>
    <row r="1202">
      <c r="A1202" s="28">
        <v>44.79</v>
      </c>
    </row>
    <row r="1203">
      <c r="A1203" s="28">
        <v>53.27</v>
      </c>
    </row>
    <row r="1204">
      <c r="A1204" s="28">
        <v>10.24</v>
      </c>
    </row>
    <row r="1205">
      <c r="A1205" s="28">
        <v>57.2</v>
      </c>
    </row>
    <row r="1206">
      <c r="A1206" s="28">
        <v>22.05</v>
      </c>
    </row>
    <row r="1207">
      <c r="A1207" s="28">
        <v>15.41</v>
      </c>
    </row>
    <row r="1208">
      <c r="A1208" s="28">
        <v>51.2</v>
      </c>
    </row>
    <row r="1209">
      <c r="A1209" s="28">
        <v>41.27</v>
      </c>
    </row>
    <row r="1210">
      <c r="A1210" s="28">
        <v>19.68</v>
      </c>
    </row>
    <row r="1211">
      <c r="A1211" s="28">
        <v>11.19</v>
      </c>
    </row>
    <row r="1212">
      <c r="A1212" s="28">
        <v>27.17</v>
      </c>
    </row>
    <row r="1213">
      <c r="A1213" s="28">
        <v>10.56</v>
      </c>
    </row>
    <row r="1214">
      <c r="A1214" s="28">
        <v>71.8</v>
      </c>
    </row>
    <row r="1215">
      <c r="A1215" s="28">
        <v>12.54</v>
      </c>
    </row>
    <row r="1216">
      <c r="A1216" s="28">
        <v>18.69</v>
      </c>
    </row>
    <row r="1217">
      <c r="A1217" s="28">
        <v>19.29</v>
      </c>
    </row>
    <row r="1218">
      <c r="A1218" s="28">
        <v>40.89</v>
      </c>
    </row>
    <row r="1219">
      <c r="A1219" s="28">
        <v>10.81</v>
      </c>
    </row>
    <row r="1220">
      <c r="A1220" s="28">
        <v>41.96</v>
      </c>
    </row>
    <row r="1221">
      <c r="A1221" s="28">
        <v>12.41</v>
      </c>
    </row>
    <row r="1222">
      <c r="A1222" s="28">
        <v>10.73</v>
      </c>
    </row>
    <row r="1223">
      <c r="A1223" s="28">
        <v>24.87</v>
      </c>
    </row>
    <row r="1224">
      <c r="A1224" s="28">
        <v>28.17</v>
      </c>
    </row>
    <row r="1225">
      <c r="A1225" s="28">
        <v>35.34</v>
      </c>
    </row>
    <row r="1226">
      <c r="A1226" s="28">
        <v>52.0</v>
      </c>
    </row>
    <row r="1227">
      <c r="A1227" s="28">
        <v>25.62</v>
      </c>
    </row>
    <row r="1228">
      <c r="A1228" s="28">
        <v>2.87</v>
      </c>
    </row>
    <row r="1229">
      <c r="A1229" s="28">
        <v>30.65</v>
      </c>
    </row>
    <row r="1230">
      <c r="A1230" s="28">
        <v>10.75</v>
      </c>
    </row>
    <row r="1231">
      <c r="A1231" s="28">
        <v>12.21</v>
      </c>
    </row>
    <row r="1232">
      <c r="A1232" s="28">
        <v>21.74</v>
      </c>
    </row>
    <row r="1233">
      <c r="A1233" s="28">
        <v>13.76</v>
      </c>
    </row>
    <row r="1234">
      <c r="A1234" s="28">
        <v>31.08</v>
      </c>
    </row>
    <row r="1235">
      <c r="A1235" s="28">
        <v>19.17</v>
      </c>
    </row>
    <row r="1236">
      <c r="A1236" s="28">
        <v>35.14</v>
      </c>
    </row>
    <row r="1237">
      <c r="A1237" s="28">
        <v>11.7</v>
      </c>
    </row>
    <row r="1238">
      <c r="A1238" s="28">
        <v>12.04</v>
      </c>
    </row>
    <row r="1239">
      <c r="A1239" s="28">
        <v>10.75</v>
      </c>
    </row>
    <row r="1240">
      <c r="A1240" s="28">
        <v>14.19</v>
      </c>
    </row>
    <row r="1241">
      <c r="A1241" s="28">
        <v>33.99</v>
      </c>
    </row>
    <row r="1242">
      <c r="A1242" s="28">
        <v>13.72</v>
      </c>
    </row>
    <row r="1243">
      <c r="A1243" s="28">
        <v>54.76</v>
      </c>
    </row>
    <row r="1244">
      <c r="A1244" s="28">
        <v>4.24</v>
      </c>
    </row>
    <row r="1245">
      <c r="A1245" s="28">
        <v>12.61</v>
      </c>
    </row>
    <row r="1246">
      <c r="A1246" s="28">
        <v>13.47</v>
      </c>
    </row>
    <row r="1247">
      <c r="A1247" s="28">
        <v>33.38</v>
      </c>
    </row>
    <row r="1248">
      <c r="A1248" s="28">
        <v>15.4</v>
      </c>
    </row>
    <row r="1249">
      <c r="A1249" s="28">
        <v>26.81</v>
      </c>
    </row>
    <row r="1250">
      <c r="A1250" s="28">
        <v>31.12</v>
      </c>
    </row>
    <row r="1251">
      <c r="A1251" s="28">
        <v>38.14</v>
      </c>
    </row>
    <row r="1252">
      <c r="A1252" s="28">
        <v>11.0</v>
      </c>
    </row>
    <row r="1253">
      <c r="A1253" s="28">
        <v>17.34</v>
      </c>
    </row>
    <row r="1254">
      <c r="A1254" s="28">
        <v>25.79</v>
      </c>
    </row>
    <row r="1255">
      <c r="A1255" s="28">
        <v>23.29</v>
      </c>
    </row>
    <row r="1256">
      <c r="A1256" s="28">
        <v>66.35</v>
      </c>
    </row>
    <row r="1257">
      <c r="A1257" s="28">
        <v>13.41</v>
      </c>
    </row>
    <row r="1258">
      <c r="A1258" s="28">
        <v>12.21</v>
      </c>
    </row>
    <row r="1259">
      <c r="A1259" s="28">
        <v>12.9</v>
      </c>
    </row>
    <row r="1260">
      <c r="A1260" s="28">
        <v>36.42</v>
      </c>
    </row>
    <row r="1261">
      <c r="A1261" s="28">
        <v>11.73</v>
      </c>
    </row>
    <row r="1262">
      <c r="A1262" s="28">
        <v>12.35</v>
      </c>
    </row>
    <row r="1263">
      <c r="A1263" s="28">
        <v>2.05</v>
      </c>
    </row>
    <row r="1264">
      <c r="A1264" s="28">
        <v>63.81</v>
      </c>
    </row>
    <row r="1265">
      <c r="A1265" s="28">
        <v>25.1</v>
      </c>
    </row>
    <row r="1266">
      <c r="A1266" s="28">
        <v>21.69</v>
      </c>
    </row>
    <row r="1267">
      <c r="A1267" s="28">
        <v>36.98</v>
      </c>
    </row>
    <row r="1268">
      <c r="A1268" s="28">
        <v>12.95</v>
      </c>
    </row>
    <row r="1269">
      <c r="A1269" s="28">
        <v>19.1</v>
      </c>
    </row>
    <row r="1270">
      <c r="A1270" s="28">
        <v>3.58</v>
      </c>
    </row>
    <row r="1271">
      <c r="A1271" s="28">
        <v>3.21</v>
      </c>
    </row>
    <row r="1272">
      <c r="A1272" s="28">
        <v>2.17</v>
      </c>
    </row>
    <row r="1273">
      <c r="A1273" s="28">
        <v>51.7</v>
      </c>
    </row>
    <row r="1274">
      <c r="A1274" s="28">
        <v>41.41</v>
      </c>
    </row>
    <row r="1275">
      <c r="A1275" s="28">
        <v>10.64</v>
      </c>
    </row>
    <row r="1276">
      <c r="A1276" s="28">
        <v>2.68</v>
      </c>
    </row>
    <row r="1277">
      <c r="A1277" s="28">
        <v>11.86</v>
      </c>
    </row>
    <row r="1278">
      <c r="A1278" s="28">
        <v>15.98</v>
      </c>
    </row>
    <row r="1279">
      <c r="A1279" s="28">
        <v>31.46</v>
      </c>
    </row>
    <row r="1280">
      <c r="A1280" s="28">
        <v>11.81</v>
      </c>
    </row>
    <row r="1281">
      <c r="A1281" s="28">
        <v>77.01</v>
      </c>
    </row>
    <row r="1282">
      <c r="A1282" s="28">
        <v>35.57</v>
      </c>
    </row>
    <row r="1283">
      <c r="A1283" s="28">
        <v>40.39</v>
      </c>
    </row>
    <row r="1284">
      <c r="A1284" s="28">
        <v>4.83</v>
      </c>
    </row>
    <row r="1285">
      <c r="A1285" s="28">
        <v>13.4</v>
      </c>
    </row>
    <row r="1286">
      <c r="A1286" s="28">
        <v>15.73</v>
      </c>
    </row>
    <row r="1287">
      <c r="A1287" s="28">
        <v>33.83</v>
      </c>
    </row>
    <row r="1288">
      <c r="A1288" s="28">
        <v>12.81</v>
      </c>
    </row>
    <row r="1289">
      <c r="A1289" s="28">
        <v>24.73</v>
      </c>
    </row>
    <row r="1290">
      <c r="A1290" s="28">
        <v>22.97</v>
      </c>
    </row>
    <row r="1291">
      <c r="A1291" s="28">
        <v>6.85</v>
      </c>
    </row>
    <row r="1292">
      <c r="A1292" s="28">
        <v>32.37</v>
      </c>
    </row>
    <row r="1293">
      <c r="A1293" s="28">
        <v>42.79</v>
      </c>
    </row>
    <row r="1294">
      <c r="A1294" s="28">
        <v>42.19</v>
      </c>
    </row>
    <row r="1295">
      <c r="A1295" s="28">
        <v>61.61</v>
      </c>
    </row>
    <row r="1296">
      <c r="A1296" s="28">
        <v>15.62</v>
      </c>
    </row>
    <row r="1297">
      <c r="A1297" s="28">
        <v>10.62</v>
      </c>
    </row>
    <row r="1298">
      <c r="A1298" s="28">
        <v>38.67</v>
      </c>
    </row>
    <row r="1299">
      <c r="A1299" s="28">
        <v>13.47</v>
      </c>
    </row>
    <row r="1300">
      <c r="A1300" s="28">
        <v>27.32</v>
      </c>
    </row>
    <row r="1301">
      <c r="A1301" s="28">
        <v>5.38</v>
      </c>
    </row>
    <row r="1302">
      <c r="A1302" s="28">
        <v>41.3</v>
      </c>
    </row>
    <row r="1303">
      <c r="A1303" s="28">
        <v>1.91</v>
      </c>
    </row>
    <row r="1304">
      <c r="A1304" s="28">
        <v>13.78</v>
      </c>
    </row>
    <row r="1305">
      <c r="A1305" s="28">
        <v>69.19</v>
      </c>
    </row>
    <row r="1306">
      <c r="A1306" s="28">
        <v>37.49</v>
      </c>
    </row>
    <row r="1307">
      <c r="A1307" s="28">
        <v>44.95</v>
      </c>
    </row>
    <row r="1308">
      <c r="A1308" s="28">
        <v>28.41</v>
      </c>
    </row>
    <row r="1309">
      <c r="A1309" s="28">
        <v>47.04</v>
      </c>
    </row>
    <row r="1310">
      <c r="A1310" s="28">
        <v>69.52</v>
      </c>
    </row>
    <row r="1311">
      <c r="A1311" s="28">
        <v>42.2</v>
      </c>
    </row>
    <row r="1312">
      <c r="A1312" s="28">
        <v>19.72</v>
      </c>
    </row>
    <row r="1313">
      <c r="A1313" s="28">
        <v>66.8</v>
      </c>
    </row>
    <row r="1314">
      <c r="A1314" s="28">
        <v>3.66</v>
      </c>
    </row>
    <row r="1315">
      <c r="A1315" s="28">
        <v>17.77</v>
      </c>
    </row>
    <row r="1316">
      <c r="A1316" s="28">
        <v>3.32</v>
      </c>
    </row>
    <row r="1317">
      <c r="A1317" s="28">
        <v>55.74</v>
      </c>
    </row>
    <row r="1318">
      <c r="A1318" s="28">
        <v>32.38</v>
      </c>
    </row>
    <row r="1319">
      <c r="A1319" s="28">
        <v>24.99</v>
      </c>
    </row>
    <row r="1320">
      <c r="A1320" s="28">
        <v>14.78</v>
      </c>
    </row>
    <row r="1321">
      <c r="A1321" s="28">
        <v>12.93</v>
      </c>
    </row>
    <row r="1322">
      <c r="A1322" s="28">
        <v>79.64</v>
      </c>
    </row>
    <row r="1323">
      <c r="A1323" s="28">
        <v>45.26</v>
      </c>
    </row>
    <row r="1324">
      <c r="A1324" s="28">
        <v>40.71</v>
      </c>
    </row>
    <row r="1325">
      <c r="A1325" s="28">
        <v>19.23</v>
      </c>
    </row>
    <row r="1326">
      <c r="A1326" s="28">
        <v>15.72</v>
      </c>
    </row>
    <row r="1327">
      <c r="A1327" s="28">
        <v>40.58</v>
      </c>
    </row>
    <row r="1328">
      <c r="A1328" s="28">
        <v>27.29</v>
      </c>
    </row>
    <row r="1329">
      <c r="A1329" s="28">
        <v>39.37</v>
      </c>
    </row>
    <row r="1330">
      <c r="A1330" s="28">
        <v>3.73</v>
      </c>
    </row>
    <row r="1331">
      <c r="A1331" s="28">
        <v>15.08</v>
      </c>
    </row>
    <row r="1332">
      <c r="A1332" s="28">
        <v>13.95</v>
      </c>
    </row>
    <row r="1333">
      <c r="A1333" s="28">
        <v>13.59</v>
      </c>
    </row>
    <row r="1334">
      <c r="A1334" s="28">
        <v>15.66</v>
      </c>
    </row>
    <row r="1335">
      <c r="A1335" s="28">
        <v>17.37</v>
      </c>
    </row>
    <row r="1336">
      <c r="A1336" s="28">
        <v>12.18</v>
      </c>
    </row>
    <row r="1337">
      <c r="A1337" s="28">
        <v>33.32</v>
      </c>
    </row>
    <row r="1338">
      <c r="A1338" s="28">
        <v>15.24</v>
      </c>
    </row>
    <row r="1339">
      <c r="A1339" s="28">
        <v>12.2</v>
      </c>
    </row>
    <row r="1340">
      <c r="A1340" s="28">
        <v>12.95</v>
      </c>
    </row>
    <row r="1341">
      <c r="A1341" s="28">
        <v>17.96</v>
      </c>
    </row>
    <row r="1342">
      <c r="A1342" s="28">
        <v>2.32</v>
      </c>
    </row>
    <row r="1343">
      <c r="A1343" s="28">
        <v>3.67</v>
      </c>
    </row>
    <row r="1344">
      <c r="A1344" s="28">
        <v>19.26</v>
      </c>
    </row>
    <row r="1345">
      <c r="A1345" s="28">
        <v>2.33</v>
      </c>
    </row>
    <row r="1346">
      <c r="A1346" s="28">
        <v>35.38</v>
      </c>
    </row>
    <row r="1347">
      <c r="A1347" s="28">
        <v>35.24</v>
      </c>
    </row>
    <row r="1348">
      <c r="A1348" s="28">
        <v>32.54</v>
      </c>
    </row>
    <row r="1349">
      <c r="A1349" s="28">
        <v>63.81</v>
      </c>
    </row>
    <row r="1350">
      <c r="A1350" s="28">
        <v>18.72</v>
      </c>
    </row>
    <row r="1351">
      <c r="A1351" s="28">
        <v>10.49</v>
      </c>
    </row>
    <row r="1352">
      <c r="A1352" s="28">
        <v>33.86</v>
      </c>
    </row>
    <row r="1353">
      <c r="A1353" s="28">
        <v>69.62</v>
      </c>
    </row>
    <row r="1354">
      <c r="A1354" s="28">
        <v>14.9</v>
      </c>
    </row>
    <row r="1355">
      <c r="A1355" s="28">
        <v>29.42</v>
      </c>
    </row>
    <row r="1356">
      <c r="A1356" s="28">
        <v>39.42</v>
      </c>
    </row>
    <row r="1357">
      <c r="A1357" s="28">
        <v>14.53</v>
      </c>
    </row>
    <row r="1358">
      <c r="A1358" s="28">
        <v>37.5</v>
      </c>
    </row>
    <row r="1359">
      <c r="A1359" s="28">
        <v>10.24</v>
      </c>
    </row>
    <row r="1360">
      <c r="A1360" s="28">
        <v>31.67</v>
      </c>
    </row>
    <row r="1361">
      <c r="A1361" s="28">
        <v>13.44</v>
      </c>
    </row>
    <row r="1362">
      <c r="A1362" s="28">
        <v>11.52</v>
      </c>
    </row>
    <row r="1363">
      <c r="A1363" s="28">
        <v>2.31</v>
      </c>
    </row>
    <row r="1364">
      <c r="A1364" s="28">
        <v>14.49</v>
      </c>
    </row>
    <row r="1365">
      <c r="A1365" s="28">
        <v>10.46</v>
      </c>
    </row>
    <row r="1366">
      <c r="A1366" s="28">
        <v>16.61</v>
      </c>
    </row>
    <row r="1367">
      <c r="A1367" s="28">
        <v>32.12</v>
      </c>
    </row>
    <row r="1368">
      <c r="A1368" s="28">
        <v>10.71</v>
      </c>
    </row>
    <row r="1369">
      <c r="A1369" s="28">
        <v>1.39</v>
      </c>
    </row>
    <row r="1370">
      <c r="A1370" s="28">
        <v>15.87</v>
      </c>
    </row>
    <row r="1371">
      <c r="A1371" s="28">
        <v>5.4</v>
      </c>
    </row>
    <row r="1372">
      <c r="A1372" s="28">
        <v>10.21</v>
      </c>
    </row>
    <row r="1373">
      <c r="A1373" s="28">
        <v>11.59</v>
      </c>
    </row>
    <row r="1374">
      <c r="A1374" s="28">
        <v>34.61</v>
      </c>
    </row>
    <row r="1375">
      <c r="A1375" s="28">
        <v>2.45</v>
      </c>
    </row>
    <row r="1376">
      <c r="A1376" s="28">
        <v>12.24</v>
      </c>
    </row>
    <row r="1377">
      <c r="A1377" s="28">
        <v>29.28</v>
      </c>
    </row>
    <row r="1378">
      <c r="A1378" s="28">
        <v>54.34</v>
      </c>
    </row>
    <row r="1379">
      <c r="A1379" s="28">
        <v>30.89</v>
      </c>
    </row>
    <row r="1380">
      <c r="A1380" s="28">
        <v>37.22</v>
      </c>
    </row>
    <row r="1381">
      <c r="A1381" s="28">
        <v>10.44</v>
      </c>
    </row>
    <row r="1382">
      <c r="A1382" s="28">
        <v>3.49</v>
      </c>
    </row>
    <row r="1383">
      <c r="A1383" s="28">
        <v>18.07</v>
      </c>
    </row>
    <row r="1384">
      <c r="A1384" s="28">
        <v>11.76</v>
      </c>
    </row>
    <row r="1385">
      <c r="A1385" s="28">
        <v>2.34</v>
      </c>
    </row>
    <row r="1386">
      <c r="A1386" s="28">
        <v>32.71</v>
      </c>
    </row>
    <row r="1387">
      <c r="A1387" s="28">
        <v>12.55</v>
      </c>
    </row>
    <row r="1388">
      <c r="A1388" s="28">
        <v>17.14</v>
      </c>
    </row>
    <row r="1389">
      <c r="A1389" s="28">
        <v>10.43</v>
      </c>
    </row>
    <row r="1390">
      <c r="A1390" s="28">
        <v>19.22</v>
      </c>
    </row>
    <row r="1391">
      <c r="A1391" s="28">
        <v>70.04</v>
      </c>
    </row>
    <row r="1392">
      <c r="A1392" s="28">
        <v>13.34</v>
      </c>
    </row>
    <row r="1393">
      <c r="A1393" s="28">
        <v>19.84</v>
      </c>
    </row>
    <row r="1394">
      <c r="A1394" s="28">
        <v>53.87</v>
      </c>
    </row>
    <row r="1395">
      <c r="A1395" s="28">
        <v>41.8</v>
      </c>
    </row>
    <row r="1396">
      <c r="A1396" s="28">
        <v>2.19</v>
      </c>
    </row>
    <row r="1397">
      <c r="A1397" s="28">
        <v>34.23</v>
      </c>
    </row>
    <row r="1398">
      <c r="A1398" s="28">
        <v>15.91</v>
      </c>
    </row>
    <row r="1399">
      <c r="A1399" s="28">
        <v>15.07</v>
      </c>
    </row>
    <row r="1400">
      <c r="A1400" s="28">
        <v>28.17</v>
      </c>
    </row>
    <row r="1401">
      <c r="A1401" s="28">
        <v>10.53</v>
      </c>
    </row>
    <row r="1402">
      <c r="A1402" s="28">
        <v>19.36</v>
      </c>
    </row>
    <row r="1403">
      <c r="A1403" s="28">
        <v>30.41</v>
      </c>
    </row>
    <row r="1404">
      <c r="A1404" s="28">
        <v>15.05</v>
      </c>
    </row>
    <row r="1405">
      <c r="A1405" s="28">
        <v>11.95</v>
      </c>
    </row>
    <row r="1406">
      <c r="A1406" s="28">
        <v>60.88</v>
      </c>
    </row>
    <row r="1407">
      <c r="A1407" s="28">
        <v>41.61</v>
      </c>
    </row>
    <row r="1408">
      <c r="A1408" s="28">
        <v>12.62</v>
      </c>
    </row>
    <row r="1409">
      <c r="A1409" s="28">
        <v>29.2</v>
      </c>
    </row>
    <row r="1410">
      <c r="A1410" s="28">
        <v>60.02</v>
      </c>
    </row>
    <row r="1411">
      <c r="A1411" s="28">
        <v>37.57</v>
      </c>
    </row>
    <row r="1412">
      <c r="A1412" s="28">
        <v>63.78</v>
      </c>
    </row>
    <row r="1413">
      <c r="A1413" s="28">
        <v>27.37</v>
      </c>
    </row>
    <row r="1414">
      <c r="A1414" s="28">
        <v>12.3</v>
      </c>
    </row>
    <row r="1415">
      <c r="A1415" s="28">
        <v>32.65</v>
      </c>
    </row>
    <row r="1416">
      <c r="A1416" s="28">
        <v>4.31</v>
      </c>
    </row>
    <row r="1417">
      <c r="A1417" s="28">
        <v>28.81</v>
      </c>
    </row>
    <row r="1418">
      <c r="A1418" s="28">
        <v>57.49</v>
      </c>
    </row>
    <row r="1419">
      <c r="A1419" s="28">
        <v>17.05</v>
      </c>
    </row>
    <row r="1420">
      <c r="A1420" s="28">
        <v>21.57</v>
      </c>
    </row>
    <row r="1421">
      <c r="A1421" s="28">
        <v>63.3</v>
      </c>
    </row>
    <row r="1422">
      <c r="A1422" s="28">
        <v>3.86</v>
      </c>
    </row>
    <row r="1423">
      <c r="A1423" s="28">
        <v>33.16</v>
      </c>
    </row>
    <row r="1424">
      <c r="A1424" s="28">
        <v>30.84</v>
      </c>
    </row>
    <row r="1425">
      <c r="A1425" s="28">
        <v>12.97</v>
      </c>
    </row>
    <row r="1426">
      <c r="A1426" s="28">
        <v>31.5</v>
      </c>
    </row>
    <row r="1427">
      <c r="A1427" s="28">
        <v>14.24</v>
      </c>
    </row>
    <row r="1428">
      <c r="A1428" s="28">
        <v>3.39</v>
      </c>
    </row>
    <row r="1429">
      <c r="A1429" s="28">
        <v>16.51</v>
      </c>
    </row>
    <row r="1430">
      <c r="A1430" s="28">
        <v>3.14</v>
      </c>
    </row>
    <row r="1431">
      <c r="A1431" s="28">
        <v>10.59</v>
      </c>
    </row>
    <row r="1432">
      <c r="A1432" s="28">
        <v>39.29</v>
      </c>
    </row>
    <row r="1433">
      <c r="A1433" s="28">
        <v>39.66</v>
      </c>
    </row>
    <row r="1434">
      <c r="A1434" s="28">
        <v>31.76</v>
      </c>
    </row>
    <row r="1435">
      <c r="A1435" s="28">
        <v>13.15</v>
      </c>
    </row>
    <row r="1436">
      <c r="A1436" s="28">
        <v>17.24</v>
      </c>
    </row>
    <row r="1437">
      <c r="A1437" s="28">
        <v>14.88</v>
      </c>
    </row>
    <row r="1438">
      <c r="A1438" s="28">
        <v>36.32</v>
      </c>
    </row>
    <row r="1439">
      <c r="A1439" s="28">
        <v>30.64</v>
      </c>
    </row>
    <row r="1440">
      <c r="A1440" s="28">
        <v>24.73</v>
      </c>
    </row>
    <row r="1441">
      <c r="A1441" s="28">
        <v>13.74</v>
      </c>
    </row>
    <row r="1442">
      <c r="A1442" s="28">
        <v>2.4</v>
      </c>
    </row>
    <row r="1443">
      <c r="A1443" s="28">
        <v>10.49</v>
      </c>
    </row>
    <row r="1444">
      <c r="A1444" s="28">
        <v>39.01</v>
      </c>
    </row>
    <row r="1445">
      <c r="A1445" s="28">
        <v>33.17</v>
      </c>
    </row>
    <row r="1446">
      <c r="A1446" s="28">
        <v>10.71</v>
      </c>
    </row>
    <row r="1447">
      <c r="A1447" s="28">
        <v>10.73</v>
      </c>
    </row>
    <row r="1448">
      <c r="A1448" s="28">
        <v>59.17</v>
      </c>
    </row>
    <row r="1449">
      <c r="A1449" s="28">
        <v>12.72</v>
      </c>
    </row>
    <row r="1450">
      <c r="A1450" s="28">
        <v>59.4</v>
      </c>
    </row>
    <row r="1451">
      <c r="A1451" s="28">
        <v>16.32</v>
      </c>
    </row>
    <row r="1452">
      <c r="A1452" s="28">
        <v>30.42</v>
      </c>
    </row>
    <row r="1453">
      <c r="A1453" s="28">
        <v>68.76</v>
      </c>
    </row>
    <row r="1454">
      <c r="A1454" s="28">
        <v>28.23</v>
      </c>
    </row>
    <row r="1455">
      <c r="A1455" s="28">
        <v>14.15</v>
      </c>
    </row>
    <row r="1456">
      <c r="A1456" s="28">
        <v>12.72</v>
      </c>
    </row>
    <row r="1457">
      <c r="A1457" s="28">
        <v>54.36</v>
      </c>
    </row>
    <row r="1458">
      <c r="A1458" s="28">
        <v>22.59</v>
      </c>
    </row>
    <row r="1459">
      <c r="A1459" s="28">
        <v>10.16</v>
      </c>
    </row>
    <row r="1460">
      <c r="A1460" s="28">
        <v>14.41</v>
      </c>
    </row>
    <row r="1461">
      <c r="A1461" s="28">
        <v>18.97</v>
      </c>
    </row>
    <row r="1462">
      <c r="A1462" s="28">
        <v>76.14</v>
      </c>
    </row>
    <row r="1463">
      <c r="A1463" s="28">
        <v>18.8</v>
      </c>
    </row>
    <row r="1464">
      <c r="A1464" s="28">
        <v>67.05</v>
      </c>
    </row>
    <row r="1465">
      <c r="A1465" s="28">
        <v>34.95</v>
      </c>
    </row>
    <row r="1466">
      <c r="A1466" s="28">
        <v>2.52</v>
      </c>
    </row>
    <row r="1467">
      <c r="A1467" s="28">
        <v>67.93</v>
      </c>
    </row>
    <row r="1468">
      <c r="A1468" s="28">
        <v>2.54</v>
      </c>
    </row>
    <row r="1469">
      <c r="A1469" s="28">
        <v>2.81</v>
      </c>
    </row>
    <row r="1470">
      <c r="A1470" s="28">
        <v>10.93</v>
      </c>
    </row>
    <row r="1471">
      <c r="A1471" s="28">
        <v>14.13</v>
      </c>
    </row>
    <row r="1472">
      <c r="A1472" s="28">
        <v>3.28</v>
      </c>
    </row>
    <row r="1473">
      <c r="A1473" s="28">
        <v>18.53</v>
      </c>
    </row>
    <row r="1474">
      <c r="A1474" s="28">
        <v>4.83</v>
      </c>
    </row>
    <row r="1475">
      <c r="A1475" s="28">
        <v>3.7</v>
      </c>
    </row>
    <row r="1476">
      <c r="A1476" s="28">
        <v>4.59</v>
      </c>
    </row>
    <row r="1477">
      <c r="A1477" s="28">
        <v>29.44</v>
      </c>
    </row>
    <row r="1478">
      <c r="A1478" s="28">
        <v>46.23</v>
      </c>
    </row>
    <row r="1479">
      <c r="A1479" s="28">
        <v>36.81</v>
      </c>
    </row>
    <row r="1480">
      <c r="A1480" s="28">
        <v>36.51</v>
      </c>
    </row>
    <row r="1481">
      <c r="A1481" s="28">
        <v>48.46</v>
      </c>
    </row>
    <row r="1482">
      <c r="A1482" s="28">
        <v>14.52</v>
      </c>
    </row>
    <row r="1483">
      <c r="A1483" s="28">
        <v>62.35</v>
      </c>
    </row>
    <row r="1484">
      <c r="A1484" s="28">
        <v>72.29</v>
      </c>
    </row>
    <row r="1485">
      <c r="A1485" s="28">
        <v>41.67</v>
      </c>
    </row>
    <row r="1486">
      <c r="A1486" s="28">
        <v>27.86</v>
      </c>
    </row>
    <row r="1487">
      <c r="A1487" s="28">
        <v>12.63</v>
      </c>
    </row>
    <row r="1488">
      <c r="A1488" s="28">
        <v>12.81</v>
      </c>
    </row>
    <row r="1489">
      <c r="A1489" s="28">
        <v>28.14</v>
      </c>
    </row>
    <row r="1490">
      <c r="A1490" s="28">
        <v>35.77</v>
      </c>
    </row>
    <row r="1491">
      <c r="A1491" s="28">
        <v>53.66</v>
      </c>
    </row>
    <row r="1492">
      <c r="A1492" s="28">
        <v>19.84</v>
      </c>
    </row>
    <row r="1493">
      <c r="A1493" s="28">
        <v>14.93</v>
      </c>
    </row>
    <row r="1494">
      <c r="A1494" s="28">
        <v>16.46</v>
      </c>
    </row>
    <row r="1495">
      <c r="A1495" s="28">
        <v>33.32</v>
      </c>
    </row>
    <row r="1496">
      <c r="A1496" s="28">
        <v>39.1</v>
      </c>
    </row>
    <row r="1497">
      <c r="A1497" s="28">
        <v>13.55</v>
      </c>
    </row>
    <row r="1498">
      <c r="A1498" s="28">
        <v>31.24</v>
      </c>
    </row>
    <row r="1499">
      <c r="A1499" s="28">
        <v>16.25</v>
      </c>
    </row>
    <row r="1500">
      <c r="A1500" s="28">
        <v>15.72</v>
      </c>
    </row>
    <row r="1501">
      <c r="A1501" s="28">
        <v>4.24</v>
      </c>
    </row>
    <row r="1502">
      <c r="A1502" s="28">
        <v>36.28</v>
      </c>
    </row>
    <row r="1503">
      <c r="A1503" s="28">
        <v>20.58</v>
      </c>
    </row>
    <row r="1504">
      <c r="A1504" s="28">
        <v>12.11</v>
      </c>
    </row>
    <row r="1505">
      <c r="A1505" s="28">
        <v>22.1</v>
      </c>
    </row>
    <row r="1506">
      <c r="A1506" s="28">
        <v>11.96</v>
      </c>
    </row>
    <row r="1507">
      <c r="A1507" s="28">
        <v>64.95</v>
      </c>
    </row>
    <row r="1508">
      <c r="A1508" s="28">
        <v>22.92</v>
      </c>
    </row>
    <row r="1509">
      <c r="A1509" s="28">
        <v>55.97</v>
      </c>
    </row>
    <row r="1510">
      <c r="A1510" s="28">
        <v>39.8</v>
      </c>
    </row>
    <row r="1511">
      <c r="A1511" s="28">
        <v>11.78</v>
      </c>
    </row>
    <row r="1512">
      <c r="A1512" s="28">
        <v>27.94</v>
      </c>
    </row>
    <row r="1513">
      <c r="A1513" s="28">
        <v>43.53</v>
      </c>
    </row>
    <row r="1514">
      <c r="A1514" s="28">
        <v>11.96</v>
      </c>
    </row>
    <row r="1515">
      <c r="A1515" s="28">
        <v>10.27</v>
      </c>
    </row>
    <row r="1516">
      <c r="A1516" s="28">
        <v>13.23</v>
      </c>
    </row>
    <row r="1517">
      <c r="A1517" s="28">
        <v>34.16</v>
      </c>
    </row>
    <row r="1518">
      <c r="A1518" s="28">
        <v>11.71</v>
      </c>
    </row>
    <row r="1519">
      <c r="A1519" s="28">
        <v>14.12</v>
      </c>
    </row>
    <row r="1520">
      <c r="A1520" s="28">
        <v>15.16</v>
      </c>
    </row>
    <row r="1521">
      <c r="A1521" s="28">
        <v>2.62</v>
      </c>
    </row>
    <row r="1522">
      <c r="A1522" s="28">
        <v>13.02</v>
      </c>
    </row>
    <row r="1523">
      <c r="A1523" s="28">
        <v>56.44</v>
      </c>
    </row>
    <row r="1524">
      <c r="A1524" s="28">
        <v>16.0</v>
      </c>
    </row>
    <row r="1525">
      <c r="A1525" s="28">
        <v>47.57</v>
      </c>
    </row>
    <row r="1526">
      <c r="A1526" s="28">
        <v>31.24</v>
      </c>
    </row>
    <row r="1527">
      <c r="A1527" s="28">
        <v>34.73</v>
      </c>
    </row>
    <row r="1528">
      <c r="A1528" s="28">
        <v>13.26</v>
      </c>
    </row>
    <row r="1529">
      <c r="A1529" s="28">
        <v>19.73</v>
      </c>
    </row>
    <row r="1530">
      <c r="A1530" s="28">
        <v>4.8</v>
      </c>
    </row>
    <row r="1531">
      <c r="A1531" s="28">
        <v>16.77</v>
      </c>
    </row>
    <row r="1532">
      <c r="A1532" s="28">
        <v>22.33</v>
      </c>
    </row>
    <row r="1533">
      <c r="A1533" s="28">
        <v>14.21</v>
      </c>
    </row>
    <row r="1534">
      <c r="A1534" s="28">
        <v>47.91</v>
      </c>
    </row>
    <row r="1535">
      <c r="A1535" s="28">
        <v>3.05</v>
      </c>
    </row>
    <row r="1536">
      <c r="A1536" s="28">
        <v>14.81</v>
      </c>
    </row>
    <row r="1537">
      <c r="A1537" s="28">
        <v>56.13</v>
      </c>
    </row>
    <row r="1538">
      <c r="A1538" s="28">
        <v>14.68</v>
      </c>
    </row>
    <row r="1539">
      <c r="A1539" s="28">
        <v>33.86</v>
      </c>
    </row>
    <row r="1540">
      <c r="A1540" s="28">
        <v>10.75</v>
      </c>
    </row>
    <row r="1541">
      <c r="A1541" s="28">
        <v>53.3</v>
      </c>
    </row>
    <row r="1542">
      <c r="A1542" s="28">
        <v>36.17</v>
      </c>
    </row>
    <row r="1543">
      <c r="A1543" s="28">
        <v>34.48</v>
      </c>
    </row>
    <row r="1544">
      <c r="A1544" s="28">
        <v>14.35</v>
      </c>
    </row>
    <row r="1545">
      <c r="A1545" s="28">
        <v>21.01</v>
      </c>
    </row>
    <row r="1546">
      <c r="A1546" s="28">
        <v>53.45</v>
      </c>
    </row>
    <row r="1547">
      <c r="A1547" s="28">
        <v>3.68</v>
      </c>
    </row>
    <row r="1548">
      <c r="A1548" s="28">
        <v>17.29</v>
      </c>
    </row>
    <row r="1549">
      <c r="A1549" s="28">
        <v>4.25</v>
      </c>
    </row>
    <row r="1550">
      <c r="A1550" s="28">
        <v>75.41</v>
      </c>
    </row>
    <row r="1551">
      <c r="A1551" s="28">
        <v>2.93</v>
      </c>
    </row>
    <row r="1552">
      <c r="A1552" s="28">
        <v>11.78</v>
      </c>
    </row>
    <row r="1553">
      <c r="A1553" s="28">
        <v>59.4</v>
      </c>
    </row>
    <row r="1554">
      <c r="A1554" s="28">
        <v>2.94</v>
      </c>
    </row>
    <row r="1555">
      <c r="A1555" s="28">
        <v>10.88</v>
      </c>
    </row>
    <row r="1556">
      <c r="A1556" s="28">
        <v>12.73</v>
      </c>
    </row>
    <row r="1557">
      <c r="A1557" s="28">
        <v>2.93</v>
      </c>
    </row>
    <row r="1558">
      <c r="A1558" s="28">
        <v>16.89</v>
      </c>
    </row>
    <row r="1559">
      <c r="A1559" s="28">
        <v>14.96</v>
      </c>
    </row>
    <row r="1560">
      <c r="A1560" s="28">
        <v>12.28</v>
      </c>
    </row>
    <row r="1561">
      <c r="A1561" s="28">
        <v>70.26</v>
      </c>
    </row>
    <row r="1562">
      <c r="A1562" s="28">
        <v>28.38</v>
      </c>
    </row>
    <row r="1563">
      <c r="A1563" s="28">
        <v>56.81</v>
      </c>
    </row>
    <row r="1564">
      <c r="A1564" s="28">
        <v>10.71</v>
      </c>
    </row>
    <row r="1565">
      <c r="A1565" s="28">
        <v>11.48</v>
      </c>
    </row>
    <row r="1566">
      <c r="A1566" s="28">
        <v>11.98</v>
      </c>
    </row>
    <row r="1567">
      <c r="A1567" s="28">
        <v>2.12</v>
      </c>
    </row>
    <row r="1568">
      <c r="A1568" s="28">
        <v>20.16</v>
      </c>
    </row>
    <row r="1569">
      <c r="A1569" s="28">
        <v>41.57</v>
      </c>
    </row>
    <row r="1570">
      <c r="A1570" s="28">
        <v>16.43</v>
      </c>
    </row>
    <row r="1571">
      <c r="A1571" s="28">
        <v>29.87</v>
      </c>
    </row>
    <row r="1572">
      <c r="A1572" s="28">
        <v>10.83</v>
      </c>
    </row>
    <row r="1573">
      <c r="A1573" s="28">
        <v>16.77</v>
      </c>
    </row>
    <row r="1574">
      <c r="A1574" s="28">
        <v>17.69</v>
      </c>
    </row>
    <row r="1575">
      <c r="A1575" s="28">
        <v>39.88</v>
      </c>
    </row>
    <row r="1576">
      <c r="A1576" s="28">
        <v>52.77</v>
      </c>
    </row>
    <row r="1577">
      <c r="A1577" s="28">
        <v>10.47</v>
      </c>
    </row>
    <row r="1578">
      <c r="A1578" s="28">
        <v>31.67</v>
      </c>
    </row>
    <row r="1579">
      <c r="A1579" s="28">
        <v>13.02</v>
      </c>
    </row>
    <row r="1580">
      <c r="A1580" s="28">
        <v>10.93</v>
      </c>
    </row>
    <row r="1581">
      <c r="A1581" s="28">
        <v>39.74</v>
      </c>
    </row>
    <row r="1582">
      <c r="A1582" s="28">
        <v>10.12</v>
      </c>
    </row>
    <row r="1583">
      <c r="A1583" s="28">
        <v>47.9</v>
      </c>
    </row>
    <row r="1584">
      <c r="A1584" s="28">
        <v>11.89</v>
      </c>
    </row>
    <row r="1585">
      <c r="A1585" s="28">
        <v>12.09</v>
      </c>
    </row>
    <row r="1586">
      <c r="A1586" s="28">
        <v>47.93</v>
      </c>
    </row>
    <row r="1587">
      <c r="A1587" s="28">
        <v>16.85</v>
      </c>
    </row>
    <row r="1588">
      <c r="A1588" s="28">
        <v>16.45</v>
      </c>
    </row>
    <row r="1589">
      <c r="A1589" s="28">
        <v>21.96</v>
      </c>
    </row>
    <row r="1590">
      <c r="A1590" s="28">
        <v>27.27</v>
      </c>
    </row>
    <row r="1591">
      <c r="A1591" s="28">
        <v>11.23</v>
      </c>
    </row>
    <row r="1592">
      <c r="A1592" s="28">
        <v>49.73</v>
      </c>
    </row>
    <row r="1593">
      <c r="A1593" s="28">
        <v>21.04</v>
      </c>
    </row>
    <row r="1594">
      <c r="A1594" s="28">
        <v>17.42</v>
      </c>
    </row>
    <row r="1595">
      <c r="A1595" s="28">
        <v>7.97</v>
      </c>
    </row>
    <row r="1596">
      <c r="A1596" s="28">
        <v>10.69</v>
      </c>
    </row>
    <row r="1597">
      <c r="A1597" s="28">
        <v>2.99</v>
      </c>
    </row>
    <row r="1598">
      <c r="A1598" s="28">
        <v>39.24</v>
      </c>
    </row>
    <row r="1599">
      <c r="A1599" s="28">
        <v>38.54</v>
      </c>
    </row>
    <row r="1600">
      <c r="A1600" s="28">
        <v>12.09</v>
      </c>
    </row>
    <row r="1601">
      <c r="A1601" s="28">
        <v>65.39</v>
      </c>
    </row>
    <row r="1602">
      <c r="A1602" s="28">
        <v>10.33</v>
      </c>
    </row>
    <row r="1603">
      <c r="A1603" s="28">
        <v>18.53</v>
      </c>
    </row>
    <row r="1604">
      <c r="A1604" s="28">
        <v>15.12</v>
      </c>
    </row>
    <row r="1605">
      <c r="A1605" s="28">
        <v>13.79</v>
      </c>
    </row>
    <row r="1606">
      <c r="A1606" s="28">
        <v>12.11</v>
      </c>
    </row>
    <row r="1607">
      <c r="A1607" s="28">
        <v>34.8</v>
      </c>
    </row>
    <row r="1608">
      <c r="A1608" s="28">
        <v>38.41</v>
      </c>
    </row>
    <row r="1609">
      <c r="A1609" s="28">
        <v>13.59</v>
      </c>
    </row>
    <row r="1610">
      <c r="A1610" s="28">
        <v>4.18</v>
      </c>
    </row>
    <row r="1611">
      <c r="A1611" s="28">
        <v>12.64</v>
      </c>
    </row>
    <row r="1612">
      <c r="A1612" s="28">
        <v>66.64</v>
      </c>
    </row>
    <row r="1613">
      <c r="A1613" s="28">
        <v>32.44</v>
      </c>
    </row>
    <row r="1614">
      <c r="A1614" s="28">
        <v>36.84</v>
      </c>
    </row>
    <row r="1615">
      <c r="A1615" s="28">
        <v>28.6</v>
      </c>
    </row>
    <row r="1616">
      <c r="A1616" s="28">
        <v>10.31</v>
      </c>
    </row>
    <row r="1617">
      <c r="A1617" s="28">
        <v>4.14</v>
      </c>
    </row>
    <row r="1618">
      <c r="A1618" s="28">
        <v>10.18</v>
      </c>
    </row>
    <row r="1619">
      <c r="A1619" s="28">
        <v>28.75</v>
      </c>
    </row>
    <row r="1620">
      <c r="A1620" s="28">
        <v>12.93</v>
      </c>
    </row>
    <row r="1621">
      <c r="A1621" s="28">
        <v>1.54</v>
      </c>
    </row>
    <row r="1622">
      <c r="A1622" s="28">
        <v>26.42</v>
      </c>
    </row>
    <row r="1623">
      <c r="A1623" s="28">
        <v>14.53</v>
      </c>
    </row>
    <row r="1624">
      <c r="A1624" s="28">
        <v>4.11</v>
      </c>
    </row>
    <row r="1625">
      <c r="A1625" s="28">
        <v>19.38</v>
      </c>
    </row>
    <row r="1626">
      <c r="A1626" s="28">
        <v>3.37</v>
      </c>
    </row>
    <row r="1627">
      <c r="A1627" s="28">
        <v>2.74</v>
      </c>
    </row>
    <row r="1628">
      <c r="A1628" s="28">
        <v>16.21</v>
      </c>
    </row>
    <row r="1629">
      <c r="A1629" s="28">
        <v>33.53</v>
      </c>
    </row>
    <row r="1630">
      <c r="A1630" s="28">
        <v>17.08</v>
      </c>
    </row>
    <row r="1631">
      <c r="A1631" s="28">
        <v>33.62</v>
      </c>
    </row>
    <row r="1632">
      <c r="A1632" s="28">
        <v>59.5</v>
      </c>
    </row>
    <row r="1633">
      <c r="A1633" s="28">
        <v>22.41</v>
      </c>
    </row>
    <row r="1634">
      <c r="A1634" s="28">
        <v>72.01</v>
      </c>
    </row>
    <row r="1635">
      <c r="A1635" s="28">
        <v>32.27</v>
      </c>
    </row>
    <row r="1636">
      <c r="A1636" s="28">
        <v>18.01</v>
      </c>
    </row>
    <row r="1637">
      <c r="A1637" s="28">
        <v>11.94</v>
      </c>
    </row>
    <row r="1638">
      <c r="A1638" s="28">
        <v>14.92</v>
      </c>
    </row>
    <row r="1639">
      <c r="A1639" s="28">
        <v>13.9</v>
      </c>
    </row>
    <row r="1640">
      <c r="A1640" s="28">
        <v>10.24</v>
      </c>
    </row>
    <row r="1641">
      <c r="A1641" s="28">
        <v>49.41</v>
      </c>
    </row>
    <row r="1642">
      <c r="A1642" s="28">
        <v>71.1</v>
      </c>
    </row>
    <row r="1643">
      <c r="A1643" s="28">
        <v>10.6</v>
      </c>
    </row>
    <row r="1644">
      <c r="A1644" s="28">
        <v>45.32</v>
      </c>
    </row>
    <row r="1645">
      <c r="A1645" s="28">
        <v>20.29</v>
      </c>
    </row>
    <row r="1646">
      <c r="A1646" s="28">
        <v>29.55</v>
      </c>
    </row>
    <row r="1647">
      <c r="A1647" s="28">
        <v>13.53</v>
      </c>
    </row>
    <row r="1648">
      <c r="A1648" s="28">
        <v>30.05</v>
      </c>
    </row>
    <row r="1649">
      <c r="A1649" s="28">
        <v>51.07</v>
      </c>
    </row>
    <row r="1650">
      <c r="A1650" s="28">
        <v>32.09</v>
      </c>
    </row>
    <row r="1651">
      <c r="A1651" s="28">
        <v>43.63</v>
      </c>
    </row>
    <row r="1652">
      <c r="A1652" s="28">
        <v>32.03</v>
      </c>
    </row>
    <row r="1653">
      <c r="A1653" s="28">
        <v>46.98</v>
      </c>
    </row>
    <row r="1654">
      <c r="A1654" s="28">
        <v>56.0</v>
      </c>
    </row>
    <row r="1655">
      <c r="A1655" s="28">
        <v>2.44</v>
      </c>
    </row>
    <row r="1656">
      <c r="A1656" s="28">
        <v>14.2</v>
      </c>
    </row>
    <row r="1657">
      <c r="A1657" s="28">
        <v>14.18</v>
      </c>
    </row>
    <row r="1658">
      <c r="A1658" s="28">
        <v>40.62</v>
      </c>
    </row>
    <row r="1659">
      <c r="A1659" s="28">
        <v>42.9</v>
      </c>
    </row>
    <row r="1660">
      <c r="A1660" s="28">
        <v>60.53</v>
      </c>
    </row>
    <row r="1661">
      <c r="A1661" s="28">
        <v>33.05</v>
      </c>
    </row>
    <row r="1662">
      <c r="A1662" s="28">
        <v>45.96</v>
      </c>
    </row>
    <row r="1663">
      <c r="A1663" s="28">
        <v>25.63</v>
      </c>
    </row>
    <row r="1664">
      <c r="A1664" s="28">
        <v>46.42</v>
      </c>
    </row>
    <row r="1665">
      <c r="A1665" s="28">
        <v>1.6</v>
      </c>
    </row>
    <row r="1666">
      <c r="A1666" s="28">
        <v>14.34</v>
      </c>
    </row>
    <row r="1667">
      <c r="A1667" s="28">
        <v>62.29</v>
      </c>
    </row>
    <row r="1668">
      <c r="A1668" s="28">
        <v>21.47</v>
      </c>
    </row>
    <row r="1669">
      <c r="A1669" s="28">
        <v>14.66</v>
      </c>
    </row>
    <row r="1670">
      <c r="A1670" s="28">
        <v>14.33</v>
      </c>
    </row>
    <row r="1671">
      <c r="A1671" s="28">
        <v>70.09</v>
      </c>
    </row>
    <row r="1672">
      <c r="A1672" s="28">
        <v>40.85</v>
      </c>
    </row>
    <row r="1673">
      <c r="A1673" s="28">
        <v>1.36</v>
      </c>
    </row>
    <row r="1674">
      <c r="A1674" s="28">
        <v>5.3</v>
      </c>
    </row>
    <row r="1675">
      <c r="A1675" s="28">
        <v>12.35</v>
      </c>
    </row>
    <row r="1676">
      <c r="A1676" s="28">
        <v>13.63</v>
      </c>
    </row>
    <row r="1677">
      <c r="A1677" s="28">
        <v>76.78</v>
      </c>
    </row>
    <row r="1678">
      <c r="A1678" s="28">
        <v>10.46</v>
      </c>
    </row>
    <row r="1679">
      <c r="A1679" s="28">
        <v>64.85</v>
      </c>
    </row>
    <row r="1680">
      <c r="A1680" s="28">
        <v>30.86</v>
      </c>
    </row>
    <row r="1681">
      <c r="A1681" s="28">
        <v>32.06</v>
      </c>
    </row>
    <row r="1682">
      <c r="A1682" s="28">
        <v>13.32</v>
      </c>
    </row>
    <row r="1683">
      <c r="A1683" s="28">
        <v>31.68</v>
      </c>
    </row>
    <row r="1684">
      <c r="A1684" s="28">
        <v>11.71</v>
      </c>
    </row>
    <row r="1685">
      <c r="A1685" s="28">
        <v>56.87</v>
      </c>
    </row>
    <row r="1686">
      <c r="A1686" s="28">
        <v>74.74</v>
      </c>
    </row>
    <row r="1687">
      <c r="A1687" s="28">
        <v>26.02</v>
      </c>
    </row>
    <row r="1688">
      <c r="A1688" s="28">
        <v>12.09</v>
      </c>
    </row>
    <row r="1689">
      <c r="A1689" s="28">
        <v>10.5</v>
      </c>
    </row>
    <row r="1690">
      <c r="A1690" s="28">
        <v>2.95</v>
      </c>
    </row>
    <row r="1691">
      <c r="A1691" s="28">
        <v>35.0</v>
      </c>
    </row>
    <row r="1692">
      <c r="A1692" s="28">
        <v>32.39</v>
      </c>
    </row>
    <row r="1693">
      <c r="A1693" s="28">
        <v>32.99</v>
      </c>
    </row>
    <row r="1694">
      <c r="A1694" s="28">
        <v>13.66</v>
      </c>
    </row>
    <row r="1695">
      <c r="A1695" s="28">
        <v>12.48</v>
      </c>
    </row>
    <row r="1696">
      <c r="A1696" s="28">
        <v>2.2</v>
      </c>
    </row>
    <row r="1697">
      <c r="A1697" s="28">
        <v>10.49</v>
      </c>
    </row>
    <row r="1698">
      <c r="A1698" s="28">
        <v>32.44</v>
      </c>
    </row>
    <row r="1699">
      <c r="A1699" s="28">
        <v>11.9</v>
      </c>
    </row>
    <row r="1700">
      <c r="A1700" s="28">
        <v>36.95</v>
      </c>
    </row>
    <row r="1701">
      <c r="A1701" s="28">
        <v>26.99</v>
      </c>
    </row>
    <row r="1702">
      <c r="A1702" s="28">
        <v>15.13</v>
      </c>
    </row>
    <row r="1703">
      <c r="A1703" s="28">
        <v>18.14</v>
      </c>
    </row>
    <row r="1704">
      <c r="A1704" s="28">
        <v>48.16</v>
      </c>
    </row>
    <row r="1705">
      <c r="A1705" s="28">
        <v>12.98</v>
      </c>
    </row>
    <row r="1706">
      <c r="A1706" s="28">
        <v>19.03</v>
      </c>
    </row>
    <row r="1707">
      <c r="A1707" s="28">
        <v>32.41</v>
      </c>
    </row>
    <row r="1708">
      <c r="A1708" s="28">
        <v>10.78</v>
      </c>
    </row>
    <row r="1709">
      <c r="A1709" s="28">
        <v>8.27</v>
      </c>
    </row>
    <row r="1710">
      <c r="A1710" s="28">
        <v>60.53</v>
      </c>
    </row>
    <row r="1711">
      <c r="A1711" s="28">
        <v>20.97</v>
      </c>
    </row>
    <row r="1712">
      <c r="A1712" s="28">
        <v>13.69</v>
      </c>
    </row>
    <row r="1713">
      <c r="A1713" s="28">
        <v>11.62</v>
      </c>
    </row>
    <row r="1714">
      <c r="A1714" s="28">
        <v>18.67</v>
      </c>
    </row>
    <row r="1715">
      <c r="A1715" s="28">
        <v>63.88</v>
      </c>
    </row>
    <row r="1716">
      <c r="A1716" s="28">
        <v>14.13</v>
      </c>
    </row>
    <row r="1717">
      <c r="A1717" s="28">
        <v>12.91</v>
      </c>
    </row>
    <row r="1718">
      <c r="A1718" s="28">
        <v>52.31</v>
      </c>
    </row>
    <row r="1719">
      <c r="A1719" s="28">
        <v>18.08</v>
      </c>
    </row>
    <row r="1720">
      <c r="A1720" s="28">
        <v>45.04</v>
      </c>
    </row>
    <row r="1721">
      <c r="A1721" s="28">
        <v>13.25</v>
      </c>
    </row>
    <row r="1722">
      <c r="A1722" s="28">
        <v>28.48</v>
      </c>
    </row>
    <row r="1723">
      <c r="A1723" s="28">
        <v>24.32</v>
      </c>
    </row>
    <row r="1724">
      <c r="A1724" s="28">
        <v>36.01</v>
      </c>
    </row>
    <row r="1725">
      <c r="A1725" s="28">
        <v>41.45</v>
      </c>
    </row>
    <row r="1726">
      <c r="A1726" s="28">
        <v>30.18</v>
      </c>
    </row>
    <row r="1727">
      <c r="A1727" s="28">
        <v>37.94</v>
      </c>
    </row>
    <row r="1728">
      <c r="A1728" s="28">
        <v>20.7</v>
      </c>
    </row>
    <row r="1729">
      <c r="A1729" s="28">
        <v>10.83</v>
      </c>
    </row>
    <row r="1730">
      <c r="A1730" s="28">
        <v>15.0</v>
      </c>
    </row>
    <row r="1731">
      <c r="A1731" s="28">
        <v>14.93</v>
      </c>
    </row>
    <row r="1732">
      <c r="A1732" s="28">
        <v>2.07</v>
      </c>
    </row>
    <row r="1733">
      <c r="A1733" s="28">
        <v>14.81</v>
      </c>
    </row>
    <row r="1734">
      <c r="A1734" s="28">
        <v>22.02</v>
      </c>
    </row>
    <row r="1735">
      <c r="A1735" s="28">
        <v>54.78</v>
      </c>
    </row>
    <row r="1736">
      <c r="A1736" s="28">
        <v>12.32</v>
      </c>
    </row>
    <row r="1737">
      <c r="A1737" s="28">
        <v>13.91</v>
      </c>
    </row>
    <row r="1738">
      <c r="A1738" s="28">
        <v>14.8</v>
      </c>
    </row>
    <row r="1739">
      <c r="A1739" s="28">
        <v>14.26</v>
      </c>
    </row>
    <row r="1740">
      <c r="A1740" s="28">
        <v>9.46</v>
      </c>
    </row>
    <row r="1741">
      <c r="A1741" s="28">
        <v>31.59</v>
      </c>
    </row>
    <row r="1742">
      <c r="A1742" s="28">
        <v>13.56</v>
      </c>
    </row>
    <row r="1743">
      <c r="A1743" s="28">
        <v>30.78</v>
      </c>
    </row>
    <row r="1744">
      <c r="A1744" s="28">
        <v>21.55</v>
      </c>
    </row>
    <row r="1745">
      <c r="A1745" s="28">
        <v>7.61</v>
      </c>
    </row>
    <row r="1746">
      <c r="A1746" s="28">
        <v>17.24</v>
      </c>
    </row>
    <row r="1747">
      <c r="A1747" s="28">
        <v>23.62</v>
      </c>
    </row>
    <row r="1748">
      <c r="A1748" s="28">
        <v>11.68</v>
      </c>
    </row>
    <row r="1749">
      <c r="A1749" s="28">
        <v>28.2</v>
      </c>
    </row>
    <row r="1750">
      <c r="A1750" s="28">
        <v>12.47</v>
      </c>
    </row>
    <row r="1751">
      <c r="A1751" s="28">
        <v>51.35</v>
      </c>
    </row>
    <row r="1752">
      <c r="A1752" s="28">
        <v>39.91</v>
      </c>
    </row>
    <row r="1753">
      <c r="A1753" s="28">
        <v>8.52</v>
      </c>
    </row>
    <row r="1754">
      <c r="A1754" s="28">
        <v>36.26</v>
      </c>
    </row>
    <row r="1755">
      <c r="A1755" s="28">
        <v>14.16</v>
      </c>
    </row>
    <row r="1756">
      <c r="A1756" s="28">
        <v>51.9</v>
      </c>
    </row>
    <row r="1757">
      <c r="A1757" s="28">
        <v>2.7</v>
      </c>
    </row>
    <row r="1758">
      <c r="A1758" s="28">
        <v>33.85</v>
      </c>
    </row>
    <row r="1759">
      <c r="A1759" s="28">
        <v>37.74</v>
      </c>
    </row>
    <row r="1760">
      <c r="A1760" s="28">
        <v>34.94</v>
      </c>
    </row>
    <row r="1761">
      <c r="A1761" s="28">
        <v>28.67</v>
      </c>
    </row>
    <row r="1762">
      <c r="A1762" s="28">
        <v>39.3</v>
      </c>
    </row>
    <row r="1763">
      <c r="A1763" s="28">
        <v>11.89</v>
      </c>
    </row>
    <row r="1764">
      <c r="A1764" s="28">
        <v>40.02</v>
      </c>
    </row>
    <row r="1765">
      <c r="A1765" s="28">
        <v>4.62</v>
      </c>
    </row>
    <row r="1766">
      <c r="A1766" s="28">
        <v>10.57</v>
      </c>
    </row>
    <row r="1767">
      <c r="A1767" s="28">
        <v>14.39</v>
      </c>
    </row>
    <row r="1768">
      <c r="A1768" s="28">
        <v>11.77</v>
      </c>
    </row>
    <row r="1769">
      <c r="A1769" s="28">
        <v>32.5</v>
      </c>
    </row>
    <row r="1770">
      <c r="A1770" s="28">
        <v>37.24</v>
      </c>
    </row>
    <row r="1771">
      <c r="A1771" s="28">
        <v>16.57</v>
      </c>
    </row>
    <row r="1772">
      <c r="A1772" s="28">
        <v>3.78</v>
      </c>
    </row>
    <row r="1773">
      <c r="A1773" s="28">
        <v>21.42</v>
      </c>
    </row>
    <row r="1774">
      <c r="A1774" s="28">
        <v>78.34</v>
      </c>
    </row>
    <row r="1775">
      <c r="A1775" s="28">
        <v>40.34</v>
      </c>
    </row>
    <row r="1776">
      <c r="A1776" s="28">
        <v>29.1</v>
      </c>
    </row>
    <row r="1777">
      <c r="A1777" s="28">
        <v>68.13</v>
      </c>
    </row>
    <row r="1778">
      <c r="A1778" s="28">
        <v>30.42</v>
      </c>
    </row>
    <row r="1779">
      <c r="A1779" s="28">
        <v>22.9</v>
      </c>
    </row>
    <row r="1780">
      <c r="A1780" s="28">
        <v>12.82</v>
      </c>
    </row>
    <row r="1781">
      <c r="A1781" s="28">
        <v>57.47</v>
      </c>
    </row>
    <row r="1782">
      <c r="A1782" s="28">
        <v>16.48</v>
      </c>
    </row>
    <row r="1783">
      <c r="A1783" s="28">
        <v>68.36</v>
      </c>
    </row>
    <row r="1784">
      <c r="A1784" s="28">
        <v>21.18</v>
      </c>
    </row>
    <row r="1785">
      <c r="A1785" s="28">
        <v>13.27</v>
      </c>
    </row>
    <row r="1786">
      <c r="A1786" s="28">
        <v>40.4</v>
      </c>
    </row>
    <row r="1787">
      <c r="A1787" s="28">
        <v>15.65</v>
      </c>
    </row>
    <row r="1788">
      <c r="A1788" s="28">
        <v>29.51</v>
      </c>
    </row>
    <row r="1789">
      <c r="A1789" s="28">
        <v>41.32</v>
      </c>
    </row>
    <row r="1790">
      <c r="A1790" s="28">
        <v>9.52</v>
      </c>
    </row>
    <row r="1791">
      <c r="A1791" s="28">
        <v>10.38</v>
      </c>
    </row>
    <row r="1792">
      <c r="A1792" s="28">
        <v>33.68</v>
      </c>
    </row>
    <row r="1793">
      <c r="A1793" s="28">
        <v>15.09</v>
      </c>
    </row>
    <row r="1794">
      <c r="A1794" s="28">
        <v>14.32</v>
      </c>
    </row>
    <row r="1795">
      <c r="A1795" s="28">
        <v>39.01</v>
      </c>
    </row>
    <row r="1796">
      <c r="A1796" s="28">
        <v>16.81</v>
      </c>
    </row>
    <row r="1797">
      <c r="A1797" s="28">
        <v>18.65</v>
      </c>
    </row>
    <row r="1798">
      <c r="A1798" s="28">
        <v>46.22</v>
      </c>
    </row>
    <row r="1799">
      <c r="A1799" s="28">
        <v>53.78</v>
      </c>
    </row>
    <row r="1800">
      <c r="A1800" s="28">
        <v>10.44</v>
      </c>
    </row>
    <row r="1801">
      <c r="A1801" s="28">
        <v>10.29</v>
      </c>
    </row>
    <row r="1802">
      <c r="A1802" s="28">
        <v>15.02</v>
      </c>
    </row>
    <row r="1803">
      <c r="A1803" s="28">
        <v>1.96</v>
      </c>
    </row>
    <row r="1804">
      <c r="A1804" s="28">
        <v>3.49</v>
      </c>
    </row>
    <row r="1805">
      <c r="A1805" s="28">
        <v>12.36</v>
      </c>
    </row>
    <row r="1806">
      <c r="A1806" s="28">
        <v>14.63</v>
      </c>
    </row>
    <row r="1807">
      <c r="A1807" s="28">
        <v>13.25</v>
      </c>
    </row>
    <row r="1808">
      <c r="A1808" s="28">
        <v>71.01</v>
      </c>
    </row>
    <row r="1809">
      <c r="A1809" s="28">
        <v>36.0</v>
      </c>
    </row>
    <row r="1810">
      <c r="A1810" s="28">
        <v>15.67</v>
      </c>
    </row>
    <row r="1811">
      <c r="A1811" s="28">
        <v>2.81</v>
      </c>
    </row>
    <row r="1812">
      <c r="A1812" s="28">
        <v>3.22</v>
      </c>
    </row>
    <row r="1813">
      <c r="A1813" s="28">
        <v>61.21</v>
      </c>
    </row>
    <row r="1814">
      <c r="A1814" s="28">
        <v>53.14</v>
      </c>
    </row>
    <row r="1815">
      <c r="A1815" s="28">
        <v>18.89</v>
      </c>
    </row>
    <row r="1816">
      <c r="A1816" s="28">
        <v>31.62</v>
      </c>
    </row>
    <row r="1817">
      <c r="A1817" s="28">
        <v>10.47</v>
      </c>
    </row>
    <row r="1818">
      <c r="A1818" s="28">
        <v>14.02</v>
      </c>
    </row>
    <row r="1819">
      <c r="A1819" s="28">
        <v>37.38</v>
      </c>
    </row>
    <row r="1820">
      <c r="A1820" s="28">
        <v>13.85</v>
      </c>
    </row>
    <row r="1821">
      <c r="A1821" s="28">
        <v>42.85</v>
      </c>
    </row>
    <row r="1822">
      <c r="A1822" s="28">
        <v>15.85</v>
      </c>
    </row>
    <row r="1823">
      <c r="A1823" s="28">
        <v>30.65</v>
      </c>
    </row>
    <row r="1824">
      <c r="A1824" s="28">
        <v>10.68</v>
      </c>
    </row>
    <row r="1825">
      <c r="A1825" s="28">
        <v>1.76</v>
      </c>
    </row>
    <row r="1826">
      <c r="A1826" s="28">
        <v>61.07</v>
      </c>
    </row>
    <row r="1827">
      <c r="A1827" s="28">
        <v>3.91</v>
      </c>
    </row>
    <row r="1828">
      <c r="A1828" s="28">
        <v>56.59</v>
      </c>
    </row>
    <row r="1829">
      <c r="A1829" s="28">
        <v>36.81</v>
      </c>
    </row>
    <row r="1830">
      <c r="A1830" s="28">
        <v>4.61</v>
      </c>
    </row>
    <row r="1831">
      <c r="A1831" s="28">
        <v>21.37</v>
      </c>
    </row>
    <row r="1832">
      <c r="A1832" s="28">
        <v>13.7</v>
      </c>
    </row>
    <row r="1833">
      <c r="A1833" s="28">
        <v>13.84</v>
      </c>
    </row>
    <row r="1834">
      <c r="A1834" s="28">
        <v>22.15</v>
      </c>
    </row>
    <row r="1835">
      <c r="A1835" s="28">
        <v>12.37</v>
      </c>
    </row>
    <row r="1836">
      <c r="A1836" s="28">
        <v>13.66</v>
      </c>
    </row>
    <row r="1837">
      <c r="A1837" s="28">
        <v>38.65</v>
      </c>
    </row>
    <row r="1838">
      <c r="A1838" s="28">
        <v>39.64</v>
      </c>
    </row>
    <row r="1839">
      <c r="A1839" s="28">
        <v>27.35</v>
      </c>
    </row>
    <row r="1840">
      <c r="A1840" s="28">
        <v>25.34</v>
      </c>
    </row>
    <row r="1841">
      <c r="A1841" s="28">
        <v>41.79</v>
      </c>
    </row>
    <row r="1842">
      <c r="A1842" s="28">
        <v>31.86</v>
      </c>
    </row>
    <row r="1843">
      <c r="A1843" s="28">
        <v>10.71</v>
      </c>
    </row>
    <row r="1844">
      <c r="A1844" s="28">
        <v>3.38</v>
      </c>
    </row>
    <row r="1845">
      <c r="A1845" s="28">
        <v>36.41</v>
      </c>
    </row>
    <row r="1846">
      <c r="A1846" s="28">
        <v>35.01</v>
      </c>
    </row>
    <row r="1847">
      <c r="A1847" s="28">
        <v>12.33</v>
      </c>
    </row>
    <row r="1848">
      <c r="A1848" s="28">
        <v>29.64</v>
      </c>
    </row>
    <row r="1849">
      <c r="A1849" s="28">
        <v>22.75</v>
      </c>
    </row>
    <row r="1850">
      <c r="A1850" s="28">
        <v>19.75</v>
      </c>
    </row>
    <row r="1851">
      <c r="A1851" s="28">
        <v>36.04</v>
      </c>
    </row>
    <row r="1852">
      <c r="A1852" s="28">
        <v>18.51</v>
      </c>
    </row>
    <row r="1853">
      <c r="A1853" s="28">
        <v>21.69</v>
      </c>
    </row>
    <row r="1854">
      <c r="A1854" s="28">
        <v>17.94</v>
      </c>
    </row>
    <row r="1855">
      <c r="A1855" s="28">
        <v>19.52</v>
      </c>
    </row>
    <row r="1856">
      <c r="A1856" s="28">
        <v>43.74</v>
      </c>
    </row>
    <row r="1857">
      <c r="A1857" s="28">
        <v>10.93</v>
      </c>
    </row>
    <row r="1858">
      <c r="A1858" s="28">
        <v>35.22</v>
      </c>
    </row>
    <row r="1859">
      <c r="A1859" s="28">
        <v>12.67</v>
      </c>
    </row>
    <row r="1860">
      <c r="A1860" s="28">
        <v>56.92</v>
      </c>
    </row>
    <row r="1861">
      <c r="A1861" s="28">
        <v>26.86</v>
      </c>
    </row>
    <row r="1862">
      <c r="A1862" s="28">
        <v>27.42</v>
      </c>
    </row>
    <row r="1863">
      <c r="A1863" s="28">
        <v>61.78</v>
      </c>
    </row>
    <row r="1864">
      <c r="A1864" s="28">
        <v>1.79</v>
      </c>
    </row>
    <row r="1865">
      <c r="A1865" s="28">
        <v>13.8</v>
      </c>
    </row>
    <row r="1866">
      <c r="A1866" s="28">
        <v>78.91</v>
      </c>
    </row>
    <row r="1867">
      <c r="A1867" s="28">
        <v>42.18</v>
      </c>
    </row>
    <row r="1868">
      <c r="A1868" s="28">
        <v>37.34</v>
      </c>
    </row>
    <row r="1869">
      <c r="A1869" s="28">
        <v>14.05</v>
      </c>
    </row>
    <row r="1870">
      <c r="A1870" s="28">
        <v>54.64</v>
      </c>
    </row>
    <row r="1871">
      <c r="A1871" s="28">
        <v>24.82</v>
      </c>
    </row>
    <row r="1872">
      <c r="A1872" s="28">
        <v>12.11</v>
      </c>
    </row>
    <row r="1873">
      <c r="A1873" s="28">
        <v>10.72</v>
      </c>
    </row>
    <row r="1874">
      <c r="A1874" s="28">
        <v>40.82</v>
      </c>
    </row>
    <row r="1875">
      <c r="A1875" s="28">
        <v>55.41</v>
      </c>
    </row>
    <row r="1876">
      <c r="A1876" s="28">
        <v>36.23</v>
      </c>
    </row>
    <row r="1877">
      <c r="A1877" s="28">
        <v>11.31</v>
      </c>
    </row>
    <row r="1878">
      <c r="A1878" s="28">
        <v>10.73</v>
      </c>
    </row>
    <row r="1879">
      <c r="A1879" s="28">
        <v>27.16</v>
      </c>
    </row>
    <row r="1880">
      <c r="A1880" s="28">
        <v>37.16</v>
      </c>
    </row>
    <row r="1881">
      <c r="A1881" s="28">
        <v>54.7</v>
      </c>
    </row>
    <row r="1882">
      <c r="A1882" s="28">
        <v>47.17</v>
      </c>
    </row>
    <row r="1883">
      <c r="A1883" s="28">
        <v>35.02</v>
      </c>
    </row>
    <row r="1884">
      <c r="A1884" s="28">
        <v>9.68</v>
      </c>
    </row>
    <row r="1885">
      <c r="A1885" s="28">
        <v>13.45</v>
      </c>
    </row>
    <row r="1886">
      <c r="A1886" s="28">
        <v>14.51</v>
      </c>
    </row>
    <row r="1887">
      <c r="A1887" s="28">
        <v>5.32</v>
      </c>
    </row>
    <row r="1888">
      <c r="A1888" s="28">
        <v>15.05</v>
      </c>
    </row>
    <row r="1889">
      <c r="A1889" s="28">
        <v>13.47</v>
      </c>
    </row>
    <row r="1890">
      <c r="A1890" s="28">
        <v>3.75</v>
      </c>
    </row>
    <row r="1891">
      <c r="A1891" s="28">
        <v>31.28</v>
      </c>
    </row>
    <row r="1892">
      <c r="A1892" s="28">
        <v>4.35</v>
      </c>
    </row>
    <row r="1893">
      <c r="A1893" s="28">
        <v>31.34</v>
      </c>
    </row>
    <row r="1894">
      <c r="A1894" s="28">
        <v>10.33</v>
      </c>
    </row>
    <row r="1895">
      <c r="A1895" s="28">
        <v>11.09</v>
      </c>
    </row>
    <row r="1896">
      <c r="A1896" s="28">
        <v>15.8</v>
      </c>
    </row>
    <row r="1897">
      <c r="A1897" s="28">
        <v>33.28</v>
      </c>
    </row>
    <row r="1898">
      <c r="A1898" s="28">
        <v>15.2</v>
      </c>
    </row>
    <row r="1899">
      <c r="A1899" s="28">
        <v>12.0</v>
      </c>
    </row>
    <row r="1900">
      <c r="A1900" s="28">
        <v>31.15</v>
      </c>
    </row>
    <row r="1901">
      <c r="A1901" s="28">
        <v>20.18</v>
      </c>
    </row>
    <row r="1902">
      <c r="A1902" s="28">
        <v>31.2</v>
      </c>
    </row>
    <row r="1903">
      <c r="A1903" s="28">
        <v>13.48</v>
      </c>
    </row>
    <row r="1904">
      <c r="A1904" s="28">
        <v>60.44</v>
      </c>
    </row>
    <row r="1905">
      <c r="A1905" s="28">
        <v>19.04</v>
      </c>
    </row>
    <row r="1906">
      <c r="A1906" s="28">
        <v>25.43</v>
      </c>
    </row>
    <row r="1907">
      <c r="A1907" s="28">
        <v>30.09</v>
      </c>
    </row>
    <row r="1908">
      <c r="A1908" s="28">
        <v>18.07</v>
      </c>
    </row>
    <row r="1909">
      <c r="A1909" s="28">
        <v>10.9</v>
      </c>
    </row>
    <row r="1910">
      <c r="A1910" s="28">
        <v>33.96</v>
      </c>
    </row>
    <row r="1911">
      <c r="A1911" s="28">
        <v>31.99</v>
      </c>
    </row>
    <row r="1912">
      <c r="A1912" s="28">
        <v>39.58</v>
      </c>
    </row>
    <row r="1913">
      <c r="A1913" s="28">
        <v>10.54</v>
      </c>
    </row>
    <row r="1914">
      <c r="A1914" s="28">
        <v>12.52</v>
      </c>
    </row>
    <row r="1915">
      <c r="A1915" s="28">
        <v>12.26</v>
      </c>
    </row>
    <row r="1916">
      <c r="A1916" s="28">
        <v>16.95</v>
      </c>
    </row>
    <row r="1917">
      <c r="A1917" s="28">
        <v>39.54</v>
      </c>
    </row>
    <row r="1918">
      <c r="A1918" s="28">
        <v>1.94</v>
      </c>
    </row>
    <row r="1919">
      <c r="A1919" s="28">
        <v>13.3</v>
      </c>
    </row>
    <row r="1920">
      <c r="A1920" s="28">
        <v>21.53</v>
      </c>
    </row>
    <row r="1921">
      <c r="A1921" s="28">
        <v>30.19</v>
      </c>
    </row>
    <row r="1922">
      <c r="A1922" s="28">
        <v>49.11</v>
      </c>
    </row>
    <row r="1923">
      <c r="A1923" s="28">
        <v>8.93</v>
      </c>
    </row>
    <row r="1924">
      <c r="A1924" s="28">
        <v>42.34</v>
      </c>
    </row>
    <row r="1925">
      <c r="A1925" s="28">
        <v>38.48</v>
      </c>
    </row>
    <row r="1926">
      <c r="A1926" s="28">
        <v>3.17</v>
      </c>
    </row>
    <row r="1927">
      <c r="A1927" s="28">
        <v>12.1</v>
      </c>
    </row>
    <row r="1928">
      <c r="A1928" s="28">
        <v>7.47</v>
      </c>
    </row>
    <row r="1929">
      <c r="A1929" s="28">
        <v>17.39</v>
      </c>
    </row>
    <row r="1930">
      <c r="A1930" s="28">
        <v>22.44</v>
      </c>
    </row>
    <row r="1931">
      <c r="A1931" s="28">
        <v>1.41</v>
      </c>
    </row>
    <row r="1932">
      <c r="A1932" s="28">
        <v>12.23</v>
      </c>
    </row>
    <row r="1933">
      <c r="A1933" s="28">
        <v>39.52</v>
      </c>
    </row>
    <row r="1934">
      <c r="A1934" s="28">
        <v>26.12</v>
      </c>
    </row>
    <row r="1935">
      <c r="A1935" s="28">
        <v>28.17</v>
      </c>
    </row>
    <row r="1936">
      <c r="A1936" s="28">
        <v>25.38</v>
      </c>
    </row>
    <row r="1937">
      <c r="A1937" s="28">
        <v>12.13</v>
      </c>
    </row>
    <row r="1938">
      <c r="A1938" s="28">
        <v>49.05</v>
      </c>
    </row>
    <row r="1939">
      <c r="A1939" s="28">
        <v>28.01</v>
      </c>
    </row>
    <row r="1940">
      <c r="A1940" s="28">
        <v>54.18</v>
      </c>
    </row>
    <row r="1941">
      <c r="A1941" s="28">
        <v>12.57</v>
      </c>
    </row>
    <row r="1942">
      <c r="A1942" s="28">
        <v>27.74</v>
      </c>
    </row>
    <row r="1943">
      <c r="A1943" s="28">
        <v>40.7</v>
      </c>
    </row>
    <row r="1944">
      <c r="A1944" s="28">
        <v>11.93</v>
      </c>
    </row>
    <row r="1945">
      <c r="A1945" s="28">
        <v>80.04</v>
      </c>
    </row>
    <row r="1946">
      <c r="A1946" s="28">
        <v>24.07</v>
      </c>
    </row>
    <row r="1947">
      <c r="A1947" s="28">
        <v>3.35</v>
      </c>
    </row>
    <row r="1948">
      <c r="A1948" s="28">
        <v>18.62</v>
      </c>
    </row>
    <row r="1949">
      <c r="A1949" s="28">
        <v>11.16</v>
      </c>
    </row>
    <row r="1950">
      <c r="A1950" s="28">
        <v>5.0</v>
      </c>
    </row>
    <row r="1951">
      <c r="A1951" s="28">
        <v>2.52</v>
      </c>
    </row>
    <row r="1952">
      <c r="A1952" s="28">
        <v>34.78</v>
      </c>
    </row>
    <row r="1953">
      <c r="A1953" s="28">
        <v>17.55</v>
      </c>
    </row>
    <row r="1954">
      <c r="A1954" s="28">
        <v>17.91</v>
      </c>
    </row>
    <row r="1955">
      <c r="A1955" s="28">
        <v>73.96</v>
      </c>
    </row>
    <row r="1956">
      <c r="A1956" s="28">
        <v>14.92</v>
      </c>
    </row>
    <row r="1957">
      <c r="A1957" s="28">
        <v>19.28</v>
      </c>
    </row>
    <row r="1958">
      <c r="A1958" s="28">
        <v>12.68</v>
      </c>
    </row>
    <row r="1959">
      <c r="A1959" s="28">
        <v>13.7</v>
      </c>
    </row>
    <row r="1960">
      <c r="A1960" s="28">
        <v>18.28</v>
      </c>
    </row>
    <row r="1961">
      <c r="A1961" s="28">
        <v>10.91</v>
      </c>
    </row>
    <row r="1962">
      <c r="A1962" s="28">
        <v>15.57</v>
      </c>
    </row>
    <row r="1963">
      <c r="A1963" s="28">
        <v>12.51</v>
      </c>
    </row>
    <row r="1964">
      <c r="A1964" s="28">
        <v>3.64</v>
      </c>
    </row>
    <row r="1965">
      <c r="A1965" s="28">
        <v>23.66</v>
      </c>
    </row>
    <row r="1966">
      <c r="A1966" s="28">
        <v>29.11</v>
      </c>
    </row>
    <row r="1967">
      <c r="A1967" s="28">
        <v>17.63</v>
      </c>
    </row>
    <row r="1968">
      <c r="A1968" s="28">
        <v>19.29</v>
      </c>
    </row>
    <row r="1969">
      <c r="A1969" s="28">
        <v>26.88</v>
      </c>
    </row>
    <row r="1970">
      <c r="A1970" s="28">
        <v>1.54</v>
      </c>
    </row>
    <row r="1971">
      <c r="A1971" s="28">
        <v>35.86</v>
      </c>
    </row>
    <row r="1972">
      <c r="A1972" s="28">
        <v>34.28</v>
      </c>
    </row>
    <row r="1973">
      <c r="A1973" s="28">
        <v>43.57</v>
      </c>
    </row>
    <row r="1974">
      <c r="A1974" s="28">
        <v>37.34</v>
      </c>
    </row>
    <row r="1975">
      <c r="A1975" s="28">
        <v>3.4</v>
      </c>
    </row>
    <row r="1976">
      <c r="A1976" s="28">
        <v>52.46</v>
      </c>
    </row>
    <row r="1977">
      <c r="A1977" s="28">
        <v>14.41</v>
      </c>
    </row>
    <row r="1978">
      <c r="A1978" s="28">
        <v>34.98</v>
      </c>
    </row>
    <row r="1979">
      <c r="A1979" s="28">
        <v>3.31</v>
      </c>
    </row>
    <row r="1980">
      <c r="A1980" s="28">
        <v>1.96</v>
      </c>
    </row>
    <row r="1981">
      <c r="A1981" s="28">
        <v>24.53</v>
      </c>
    </row>
    <row r="1982">
      <c r="A1982" s="28">
        <v>43.3</v>
      </c>
    </row>
    <row r="1983">
      <c r="A1983" s="28">
        <v>10.78</v>
      </c>
    </row>
    <row r="1984">
      <c r="A1984" s="28">
        <v>20.5</v>
      </c>
    </row>
    <row r="1985">
      <c r="A1985" s="28">
        <v>4.75</v>
      </c>
    </row>
    <row r="1986">
      <c r="A1986" s="28">
        <v>39.88</v>
      </c>
    </row>
    <row r="1987">
      <c r="A1987" s="28">
        <v>14.72</v>
      </c>
    </row>
    <row r="1988">
      <c r="A1988" s="28">
        <v>17.02</v>
      </c>
    </row>
    <row r="1989">
      <c r="A1989" s="28">
        <v>14.65</v>
      </c>
    </row>
    <row r="1990">
      <c r="A1990" s="28">
        <v>18.62</v>
      </c>
    </row>
    <row r="1991">
      <c r="A1991" s="28">
        <v>64.95</v>
      </c>
    </row>
    <row r="1992">
      <c r="A1992" s="28">
        <v>40.93</v>
      </c>
    </row>
    <row r="1993">
      <c r="A1993" s="28">
        <v>12.86</v>
      </c>
    </row>
    <row r="1994">
      <c r="A1994" s="28">
        <v>36.69</v>
      </c>
    </row>
    <row r="1995">
      <c r="A1995" s="28">
        <v>20.88</v>
      </c>
    </row>
    <row r="1996">
      <c r="A1996" s="28">
        <v>14.15</v>
      </c>
    </row>
    <row r="1997">
      <c r="A1997" s="28">
        <v>2.05</v>
      </c>
    </row>
    <row r="1998">
      <c r="A1998" s="28">
        <v>13.22</v>
      </c>
    </row>
    <row r="1999">
      <c r="A1999" s="28">
        <v>18.33</v>
      </c>
    </row>
    <row r="2000">
      <c r="A2000" s="28">
        <v>30.03</v>
      </c>
    </row>
    <row r="2001">
      <c r="A2001" s="28" t="s">
        <v>1779</v>
      </c>
    </row>
    <row r="2002">
      <c r="A2002" s="28"/>
    </row>
    <row r="2003">
      <c r="A2003" s="2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2.63"/>
  </cols>
  <sheetData>
    <row r="1"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7">
        <v>44949.0</v>
      </c>
      <c r="I1" s="8">
        <f t="shared" ref="I1:I2000" si="1">DAY(H1)</f>
        <v>23</v>
      </c>
      <c r="J1" s="9">
        <f t="shared" ref="J1:J2000" si="2">MONTH(H1
)</f>
        <v>1</v>
      </c>
      <c r="K1" s="9">
        <f t="shared" ref="K1:K2000" si="3">YEAR(H1)</f>
        <v>2023</v>
      </c>
      <c r="M1" s="29">
        <f>IFERROR(__xludf.DUMMYFUNCTION("QUERY(H:H)
"),44949.0)</f>
        <v>44949</v>
      </c>
      <c r="O1" s="30">
        <f>FORECAST(12, J:J, I:I)</f>
        <v>6.629739936</v>
      </c>
    </row>
    <row r="2">
      <c r="C2" s="10" t="s">
        <v>1</v>
      </c>
      <c r="D2" s="3" t="s">
        <v>2</v>
      </c>
      <c r="E2" s="4" t="s">
        <v>3</v>
      </c>
      <c r="F2" s="5" t="s">
        <v>6</v>
      </c>
      <c r="G2" s="6" t="s">
        <v>7</v>
      </c>
      <c r="H2" s="7">
        <v>44950.0</v>
      </c>
      <c r="I2" s="8">
        <f t="shared" si="1"/>
        <v>24</v>
      </c>
      <c r="J2" s="9">
        <f t="shared" si="2"/>
        <v>1</v>
      </c>
      <c r="K2" s="9">
        <f t="shared" si="3"/>
        <v>2023</v>
      </c>
      <c r="M2" s="25">
        <f>IFERROR(__xludf.DUMMYFUNCTION("""COMPUTED_VALUE"""),44950.0)</f>
        <v>44950</v>
      </c>
      <c r="O2" s="9" t="s">
        <v>1897</v>
      </c>
    </row>
    <row r="3">
      <c r="C3" s="10" t="s">
        <v>1</v>
      </c>
      <c r="D3" s="3" t="s">
        <v>2</v>
      </c>
      <c r="E3" s="4" t="s">
        <v>8</v>
      </c>
      <c r="F3" s="5" t="s">
        <v>9</v>
      </c>
      <c r="G3" s="6" t="s">
        <v>10</v>
      </c>
      <c r="H3" s="7">
        <v>44986.0</v>
      </c>
      <c r="I3" s="8">
        <f t="shared" si="1"/>
        <v>1</v>
      </c>
      <c r="J3" s="9">
        <f t="shared" si="2"/>
        <v>3</v>
      </c>
      <c r="K3" s="9">
        <f t="shared" si="3"/>
        <v>2023</v>
      </c>
      <c r="M3" s="25">
        <f>IFERROR(__xludf.DUMMYFUNCTION("""COMPUTED_VALUE"""),44986.0)</f>
        <v>44986</v>
      </c>
    </row>
    <row r="4">
      <c r="C4" s="10" t="s">
        <v>1</v>
      </c>
      <c r="D4" s="3" t="s">
        <v>2</v>
      </c>
      <c r="E4" s="4" t="s">
        <v>8</v>
      </c>
      <c r="F4" s="5" t="s">
        <v>11</v>
      </c>
      <c r="G4" s="6" t="s">
        <v>12</v>
      </c>
      <c r="H4" s="7">
        <v>44992.0</v>
      </c>
      <c r="I4" s="8">
        <f t="shared" si="1"/>
        <v>7</v>
      </c>
      <c r="J4" s="9">
        <f t="shared" si="2"/>
        <v>3</v>
      </c>
      <c r="K4" s="9">
        <f t="shared" si="3"/>
        <v>2023</v>
      </c>
      <c r="M4" s="25">
        <f>IFERROR(__xludf.DUMMYFUNCTION("""COMPUTED_VALUE"""),44992.0)</f>
        <v>44992</v>
      </c>
    </row>
    <row r="5">
      <c r="C5" s="10" t="s">
        <v>1</v>
      </c>
      <c r="D5" s="3" t="s">
        <v>2</v>
      </c>
      <c r="E5" s="4" t="s">
        <v>8</v>
      </c>
      <c r="F5" s="5" t="s">
        <v>13</v>
      </c>
      <c r="G5" s="6" t="s">
        <v>14</v>
      </c>
      <c r="H5" s="7">
        <v>44998.0</v>
      </c>
      <c r="I5" s="8">
        <f t="shared" si="1"/>
        <v>13</v>
      </c>
      <c r="J5" s="9">
        <f t="shared" si="2"/>
        <v>3</v>
      </c>
      <c r="K5" s="9">
        <f t="shared" si="3"/>
        <v>2023</v>
      </c>
      <c r="M5" s="25">
        <f>IFERROR(__xludf.DUMMYFUNCTION("""COMPUTED_VALUE"""),44998.0)</f>
        <v>44998</v>
      </c>
    </row>
    <row r="6">
      <c r="C6" s="10" t="s">
        <v>1</v>
      </c>
      <c r="D6" s="3" t="s">
        <v>2</v>
      </c>
      <c r="E6" s="4" t="s">
        <v>8</v>
      </c>
      <c r="F6" s="5" t="s">
        <v>15</v>
      </c>
      <c r="G6" s="6" t="s">
        <v>16</v>
      </c>
      <c r="H6" s="7">
        <v>44999.0</v>
      </c>
      <c r="I6" s="8">
        <f t="shared" si="1"/>
        <v>14</v>
      </c>
      <c r="J6" s="9">
        <f t="shared" si="2"/>
        <v>3</v>
      </c>
      <c r="K6" s="9">
        <f t="shared" si="3"/>
        <v>2023</v>
      </c>
      <c r="M6" s="25">
        <f>IFERROR(__xludf.DUMMYFUNCTION("""COMPUTED_VALUE"""),44999.0)</f>
        <v>44999</v>
      </c>
    </row>
    <row r="7">
      <c r="C7" s="10" t="s">
        <v>1</v>
      </c>
      <c r="D7" s="3" t="s">
        <v>2</v>
      </c>
      <c r="E7" s="4" t="s">
        <v>8</v>
      </c>
      <c r="F7" s="5" t="s">
        <v>17</v>
      </c>
      <c r="G7" s="6" t="s">
        <v>18</v>
      </c>
      <c r="H7" s="7">
        <v>45035.0</v>
      </c>
      <c r="I7" s="8">
        <f t="shared" si="1"/>
        <v>19</v>
      </c>
      <c r="J7" s="9">
        <f t="shared" si="2"/>
        <v>4</v>
      </c>
      <c r="K7" s="9">
        <f t="shared" si="3"/>
        <v>2023</v>
      </c>
      <c r="M7" s="25">
        <f>IFERROR(__xludf.DUMMYFUNCTION("""COMPUTED_VALUE"""),45035.0)</f>
        <v>45035</v>
      </c>
    </row>
    <row r="8">
      <c r="C8" s="10" t="s">
        <v>1</v>
      </c>
      <c r="D8" s="3" t="s">
        <v>2</v>
      </c>
      <c r="E8" s="4" t="s">
        <v>8</v>
      </c>
      <c r="F8" s="5" t="s">
        <v>19</v>
      </c>
      <c r="G8" s="6" t="s">
        <v>20</v>
      </c>
      <c r="H8" s="7">
        <v>45073.0</v>
      </c>
      <c r="I8" s="8">
        <f t="shared" si="1"/>
        <v>27</v>
      </c>
      <c r="J8" s="9">
        <f t="shared" si="2"/>
        <v>5</v>
      </c>
      <c r="K8" s="9">
        <f t="shared" si="3"/>
        <v>2023</v>
      </c>
      <c r="M8" s="25">
        <f>IFERROR(__xludf.DUMMYFUNCTION("""COMPUTED_VALUE"""),45073.0)</f>
        <v>45073</v>
      </c>
    </row>
    <row r="9">
      <c r="C9" s="10" t="s">
        <v>1</v>
      </c>
      <c r="D9" s="3" t="s">
        <v>2</v>
      </c>
      <c r="E9" s="4" t="s">
        <v>3</v>
      </c>
      <c r="F9" s="5" t="s">
        <v>21</v>
      </c>
      <c r="G9" s="6" t="s">
        <v>22</v>
      </c>
      <c r="H9" s="7">
        <v>45074.0</v>
      </c>
      <c r="I9" s="8">
        <f t="shared" si="1"/>
        <v>28</v>
      </c>
      <c r="J9" s="9">
        <f t="shared" si="2"/>
        <v>5</v>
      </c>
      <c r="K9" s="9">
        <f t="shared" si="3"/>
        <v>2023</v>
      </c>
      <c r="M9" s="25">
        <f>IFERROR(__xludf.DUMMYFUNCTION("""COMPUTED_VALUE"""),45074.0)</f>
        <v>45074</v>
      </c>
    </row>
    <row r="10">
      <c r="C10" s="10" t="s">
        <v>1</v>
      </c>
      <c r="D10" s="3" t="s">
        <v>2</v>
      </c>
      <c r="E10" s="4" t="s">
        <v>8</v>
      </c>
      <c r="F10" s="5" t="s">
        <v>23</v>
      </c>
      <c r="G10" s="6" t="s">
        <v>24</v>
      </c>
      <c r="H10" s="7">
        <v>45092.0</v>
      </c>
      <c r="I10" s="8">
        <f t="shared" si="1"/>
        <v>15</v>
      </c>
      <c r="J10" s="9">
        <f t="shared" si="2"/>
        <v>6</v>
      </c>
      <c r="K10" s="9">
        <f t="shared" si="3"/>
        <v>2023</v>
      </c>
      <c r="M10" s="25">
        <f>IFERROR(__xludf.DUMMYFUNCTION("""COMPUTED_VALUE"""),45092.0)</f>
        <v>45092</v>
      </c>
    </row>
    <row r="11">
      <c r="C11" s="10" t="s">
        <v>1</v>
      </c>
      <c r="D11" s="3" t="s">
        <v>2</v>
      </c>
      <c r="E11" s="4" t="s">
        <v>8</v>
      </c>
      <c r="F11" s="5" t="s">
        <v>4</v>
      </c>
      <c r="G11" s="6" t="s">
        <v>25</v>
      </c>
      <c r="H11" s="7">
        <v>45124.0</v>
      </c>
      <c r="I11" s="8">
        <f t="shared" si="1"/>
        <v>17</v>
      </c>
      <c r="J11" s="9">
        <f t="shared" si="2"/>
        <v>7</v>
      </c>
      <c r="K11" s="9">
        <f t="shared" si="3"/>
        <v>2023</v>
      </c>
      <c r="M11" s="25">
        <f>IFERROR(__xludf.DUMMYFUNCTION("""COMPUTED_VALUE"""),45124.0)</f>
        <v>45124</v>
      </c>
    </row>
    <row r="12">
      <c r="C12" s="10" t="s">
        <v>1</v>
      </c>
      <c r="D12" s="3" t="s">
        <v>2</v>
      </c>
      <c r="E12" s="4" t="s">
        <v>8</v>
      </c>
      <c r="F12" s="5" t="s">
        <v>19</v>
      </c>
      <c r="G12" s="6" t="s">
        <v>26</v>
      </c>
      <c r="H12" s="7">
        <v>45126.0</v>
      </c>
      <c r="I12" s="8">
        <f t="shared" si="1"/>
        <v>19</v>
      </c>
      <c r="J12" s="9">
        <f t="shared" si="2"/>
        <v>7</v>
      </c>
      <c r="K12" s="9">
        <f t="shared" si="3"/>
        <v>2023</v>
      </c>
      <c r="M12" s="25">
        <f>IFERROR(__xludf.DUMMYFUNCTION("""COMPUTED_VALUE"""),45126.0)</f>
        <v>45126</v>
      </c>
    </row>
    <row r="13">
      <c r="C13" s="10" t="s">
        <v>1</v>
      </c>
      <c r="D13" s="3" t="s">
        <v>2</v>
      </c>
      <c r="E13" s="4" t="s">
        <v>8</v>
      </c>
      <c r="F13" s="5" t="s">
        <v>21</v>
      </c>
      <c r="G13" s="6" t="s">
        <v>27</v>
      </c>
      <c r="H13" s="7">
        <v>45154.0</v>
      </c>
      <c r="I13" s="8">
        <f t="shared" si="1"/>
        <v>16</v>
      </c>
      <c r="J13" s="9">
        <f t="shared" si="2"/>
        <v>8</v>
      </c>
      <c r="K13" s="9">
        <f t="shared" si="3"/>
        <v>2023</v>
      </c>
      <c r="M13" s="25">
        <f>IFERROR(__xludf.DUMMYFUNCTION("""COMPUTED_VALUE"""),45154.0)</f>
        <v>45154</v>
      </c>
    </row>
    <row r="14">
      <c r="C14" s="10" t="s">
        <v>1</v>
      </c>
      <c r="D14" s="3" t="s">
        <v>2</v>
      </c>
      <c r="E14" s="4" t="s">
        <v>3</v>
      </c>
      <c r="F14" s="5" t="s">
        <v>28</v>
      </c>
      <c r="G14" s="6" t="s">
        <v>29</v>
      </c>
      <c r="H14" s="7">
        <v>45181.0</v>
      </c>
      <c r="I14" s="8">
        <f t="shared" si="1"/>
        <v>12</v>
      </c>
      <c r="J14" s="9">
        <f t="shared" si="2"/>
        <v>9</v>
      </c>
      <c r="K14" s="9">
        <f t="shared" si="3"/>
        <v>2023</v>
      </c>
      <c r="M14" s="25">
        <f>IFERROR(__xludf.DUMMYFUNCTION("""COMPUTED_VALUE"""),45181.0)</f>
        <v>45181</v>
      </c>
    </row>
    <row r="15">
      <c r="C15" s="10" t="s">
        <v>1</v>
      </c>
      <c r="D15" s="3" t="s">
        <v>2</v>
      </c>
      <c r="E15" s="4" t="s">
        <v>3</v>
      </c>
      <c r="F15" s="5" t="s">
        <v>9</v>
      </c>
      <c r="G15" s="6" t="s">
        <v>30</v>
      </c>
      <c r="H15" s="7">
        <v>45194.0</v>
      </c>
      <c r="I15" s="8">
        <f t="shared" si="1"/>
        <v>25</v>
      </c>
      <c r="J15" s="9">
        <f t="shared" si="2"/>
        <v>9</v>
      </c>
      <c r="K15" s="9">
        <f t="shared" si="3"/>
        <v>2023</v>
      </c>
      <c r="M15" s="25">
        <f>IFERROR(__xludf.DUMMYFUNCTION("""COMPUTED_VALUE"""),45194.0)</f>
        <v>45194</v>
      </c>
    </row>
    <row r="16">
      <c r="C16" s="10" t="s">
        <v>1</v>
      </c>
      <c r="D16" s="3" t="s">
        <v>2</v>
      </c>
      <c r="E16" s="4" t="s">
        <v>3</v>
      </c>
      <c r="F16" s="5" t="s">
        <v>11</v>
      </c>
      <c r="G16" s="6" t="s">
        <v>31</v>
      </c>
      <c r="H16" s="7">
        <v>45194.0</v>
      </c>
      <c r="I16" s="8">
        <f t="shared" si="1"/>
        <v>25</v>
      </c>
      <c r="J16" s="9">
        <f t="shared" si="2"/>
        <v>9</v>
      </c>
      <c r="K16" s="9">
        <f t="shared" si="3"/>
        <v>2023</v>
      </c>
      <c r="M16" s="25">
        <f>IFERROR(__xludf.DUMMYFUNCTION("""COMPUTED_VALUE"""),45194.0)</f>
        <v>45194</v>
      </c>
    </row>
    <row r="17">
      <c r="C17" s="10" t="s">
        <v>1</v>
      </c>
      <c r="D17" s="3" t="s">
        <v>2</v>
      </c>
      <c r="E17" s="4" t="s">
        <v>3</v>
      </c>
      <c r="F17" s="5" t="s">
        <v>9</v>
      </c>
      <c r="G17" s="6" t="s">
        <v>32</v>
      </c>
      <c r="H17" s="7">
        <v>45205.0</v>
      </c>
      <c r="I17" s="8">
        <f t="shared" si="1"/>
        <v>6</v>
      </c>
      <c r="J17" s="9">
        <f t="shared" si="2"/>
        <v>10</v>
      </c>
      <c r="K17" s="9">
        <f t="shared" si="3"/>
        <v>2023</v>
      </c>
      <c r="M17" s="25">
        <f>IFERROR(__xludf.DUMMYFUNCTION("""COMPUTED_VALUE"""),45205.0)</f>
        <v>45205</v>
      </c>
    </row>
    <row r="18">
      <c r="C18" s="10" t="s">
        <v>1</v>
      </c>
      <c r="D18" s="3" t="s">
        <v>2</v>
      </c>
      <c r="E18" s="4" t="s">
        <v>8</v>
      </c>
      <c r="F18" s="5" t="s">
        <v>19</v>
      </c>
      <c r="G18" s="6" t="s">
        <v>33</v>
      </c>
      <c r="H18" s="7">
        <v>45221.0</v>
      </c>
      <c r="I18" s="8">
        <f t="shared" si="1"/>
        <v>22</v>
      </c>
      <c r="J18" s="9">
        <f t="shared" si="2"/>
        <v>10</v>
      </c>
      <c r="K18" s="9">
        <f t="shared" si="3"/>
        <v>2023</v>
      </c>
      <c r="M18" s="25">
        <f>IFERROR(__xludf.DUMMYFUNCTION("""COMPUTED_VALUE"""),45221.0)</f>
        <v>45221</v>
      </c>
    </row>
    <row r="19">
      <c r="C19" s="10" t="s">
        <v>1</v>
      </c>
      <c r="D19" s="3" t="s">
        <v>2</v>
      </c>
      <c r="E19" s="4" t="s">
        <v>3</v>
      </c>
      <c r="F19" s="5" t="s">
        <v>11</v>
      </c>
      <c r="G19" s="6" t="s">
        <v>34</v>
      </c>
      <c r="H19" s="7">
        <v>45245.0</v>
      </c>
      <c r="I19" s="8">
        <f t="shared" si="1"/>
        <v>15</v>
      </c>
      <c r="J19" s="9">
        <f t="shared" si="2"/>
        <v>11</v>
      </c>
      <c r="K19" s="9">
        <f t="shared" si="3"/>
        <v>2023</v>
      </c>
      <c r="M19" s="25">
        <f>IFERROR(__xludf.DUMMYFUNCTION("""COMPUTED_VALUE"""),45245.0)</f>
        <v>45245</v>
      </c>
    </row>
    <row r="20">
      <c r="C20" s="10" t="s">
        <v>1</v>
      </c>
      <c r="D20" s="3" t="s">
        <v>2</v>
      </c>
      <c r="E20" s="4" t="s">
        <v>3</v>
      </c>
      <c r="F20" s="5" t="s">
        <v>35</v>
      </c>
      <c r="G20" s="6" t="s">
        <v>36</v>
      </c>
      <c r="H20" s="7">
        <v>45281.0</v>
      </c>
      <c r="I20" s="8">
        <f t="shared" si="1"/>
        <v>21</v>
      </c>
      <c r="J20" s="9">
        <f t="shared" si="2"/>
        <v>12</v>
      </c>
      <c r="K20" s="9">
        <f t="shared" si="3"/>
        <v>2023</v>
      </c>
      <c r="M20" s="25">
        <f>IFERROR(__xludf.DUMMYFUNCTION("""COMPUTED_VALUE"""),45281.0)</f>
        <v>45281</v>
      </c>
    </row>
    <row r="21">
      <c r="C21" s="10" t="s">
        <v>37</v>
      </c>
      <c r="D21" s="3" t="s">
        <v>38</v>
      </c>
      <c r="E21" s="4" t="s">
        <v>8</v>
      </c>
      <c r="F21" s="5" t="s">
        <v>39</v>
      </c>
      <c r="G21" s="6" t="s">
        <v>40</v>
      </c>
      <c r="H21" s="7">
        <v>44930.0</v>
      </c>
      <c r="I21" s="8">
        <f t="shared" si="1"/>
        <v>4</v>
      </c>
      <c r="J21" s="9">
        <f t="shared" si="2"/>
        <v>1</v>
      </c>
      <c r="K21" s="9">
        <f t="shared" si="3"/>
        <v>2023</v>
      </c>
      <c r="M21" s="25">
        <f>IFERROR(__xludf.DUMMYFUNCTION("""COMPUTED_VALUE"""),44930.0)</f>
        <v>44930</v>
      </c>
    </row>
    <row r="22">
      <c r="C22" s="10" t="s">
        <v>37</v>
      </c>
      <c r="D22" s="3" t="s">
        <v>38</v>
      </c>
      <c r="E22" s="4" t="s">
        <v>8</v>
      </c>
      <c r="F22" s="5" t="s">
        <v>9</v>
      </c>
      <c r="G22" s="6" t="s">
        <v>41</v>
      </c>
      <c r="H22" s="7">
        <v>44946.0</v>
      </c>
      <c r="I22" s="8">
        <f t="shared" si="1"/>
        <v>20</v>
      </c>
      <c r="J22" s="9">
        <f t="shared" si="2"/>
        <v>1</v>
      </c>
      <c r="K22" s="9">
        <f t="shared" si="3"/>
        <v>2023</v>
      </c>
      <c r="M22" s="25">
        <f>IFERROR(__xludf.DUMMYFUNCTION("""COMPUTED_VALUE"""),44946.0)</f>
        <v>44946</v>
      </c>
    </row>
    <row r="23">
      <c r="C23" s="10" t="s">
        <v>37</v>
      </c>
      <c r="D23" s="3" t="s">
        <v>38</v>
      </c>
      <c r="E23" s="4" t="s">
        <v>8</v>
      </c>
      <c r="F23" s="5" t="s">
        <v>42</v>
      </c>
      <c r="G23" s="6" t="s">
        <v>43</v>
      </c>
      <c r="H23" s="7">
        <v>44959.0</v>
      </c>
      <c r="I23" s="8">
        <f t="shared" si="1"/>
        <v>2</v>
      </c>
      <c r="J23" s="9">
        <f t="shared" si="2"/>
        <v>2</v>
      </c>
      <c r="K23" s="9">
        <f t="shared" si="3"/>
        <v>2023</v>
      </c>
      <c r="M23" s="25">
        <f>IFERROR(__xludf.DUMMYFUNCTION("""COMPUTED_VALUE"""),44959.0)</f>
        <v>44959</v>
      </c>
    </row>
    <row r="24">
      <c r="C24" s="10" t="s">
        <v>37</v>
      </c>
      <c r="D24" s="3" t="s">
        <v>38</v>
      </c>
      <c r="E24" s="4" t="s">
        <v>3</v>
      </c>
      <c r="F24" s="5" t="s">
        <v>35</v>
      </c>
      <c r="G24" s="6" t="s">
        <v>44</v>
      </c>
      <c r="H24" s="7">
        <v>44970.0</v>
      </c>
      <c r="I24" s="8">
        <f t="shared" si="1"/>
        <v>13</v>
      </c>
      <c r="J24" s="9">
        <f t="shared" si="2"/>
        <v>2</v>
      </c>
      <c r="K24" s="9">
        <f t="shared" si="3"/>
        <v>2023</v>
      </c>
      <c r="M24" s="25">
        <f>IFERROR(__xludf.DUMMYFUNCTION("""COMPUTED_VALUE"""),44970.0)</f>
        <v>44970</v>
      </c>
    </row>
    <row r="25">
      <c r="C25" s="10" t="s">
        <v>37</v>
      </c>
      <c r="D25" s="3" t="s">
        <v>38</v>
      </c>
      <c r="E25" s="4" t="s">
        <v>8</v>
      </c>
      <c r="F25" s="5" t="s">
        <v>45</v>
      </c>
      <c r="G25" s="6" t="s">
        <v>46</v>
      </c>
      <c r="H25" s="7">
        <v>44972.0</v>
      </c>
      <c r="I25" s="8">
        <f t="shared" si="1"/>
        <v>15</v>
      </c>
      <c r="J25" s="9">
        <f t="shared" si="2"/>
        <v>2</v>
      </c>
      <c r="K25" s="9">
        <f t="shared" si="3"/>
        <v>2023</v>
      </c>
      <c r="M25" s="25">
        <f>IFERROR(__xludf.DUMMYFUNCTION("""COMPUTED_VALUE"""),44972.0)</f>
        <v>44972</v>
      </c>
    </row>
    <row r="26">
      <c r="C26" s="10" t="s">
        <v>37</v>
      </c>
      <c r="D26" s="3" t="s">
        <v>38</v>
      </c>
      <c r="E26" s="4" t="s">
        <v>8</v>
      </c>
      <c r="F26" s="5" t="s">
        <v>42</v>
      </c>
      <c r="G26" s="6" t="s">
        <v>47</v>
      </c>
      <c r="H26" s="7">
        <v>44980.0</v>
      </c>
      <c r="I26" s="8">
        <f t="shared" si="1"/>
        <v>23</v>
      </c>
      <c r="J26" s="9">
        <f t="shared" si="2"/>
        <v>2</v>
      </c>
      <c r="K26" s="9">
        <f t="shared" si="3"/>
        <v>2023</v>
      </c>
      <c r="M26" s="25">
        <f>IFERROR(__xludf.DUMMYFUNCTION("""COMPUTED_VALUE"""),44980.0)</f>
        <v>44980</v>
      </c>
    </row>
    <row r="27">
      <c r="C27" s="10" t="s">
        <v>37</v>
      </c>
      <c r="D27" s="3" t="s">
        <v>38</v>
      </c>
      <c r="E27" s="4" t="s">
        <v>8</v>
      </c>
      <c r="F27" s="5" t="s">
        <v>23</v>
      </c>
      <c r="G27" s="6" t="s">
        <v>48</v>
      </c>
      <c r="H27" s="7">
        <v>45002.0</v>
      </c>
      <c r="I27" s="8">
        <f t="shared" si="1"/>
        <v>17</v>
      </c>
      <c r="J27" s="9">
        <f t="shared" si="2"/>
        <v>3</v>
      </c>
      <c r="K27" s="9">
        <f t="shared" si="3"/>
        <v>2023</v>
      </c>
      <c r="M27" s="25">
        <f>IFERROR(__xludf.DUMMYFUNCTION("""COMPUTED_VALUE"""),45002.0)</f>
        <v>45002</v>
      </c>
    </row>
    <row r="28">
      <c r="C28" s="10" t="s">
        <v>37</v>
      </c>
      <c r="D28" s="3" t="s">
        <v>38</v>
      </c>
      <c r="E28" s="4" t="s">
        <v>3</v>
      </c>
      <c r="F28" s="5" t="s">
        <v>6</v>
      </c>
      <c r="G28" s="6" t="s">
        <v>49</v>
      </c>
      <c r="H28" s="7">
        <v>45038.0</v>
      </c>
      <c r="I28" s="8">
        <f t="shared" si="1"/>
        <v>22</v>
      </c>
      <c r="J28" s="9">
        <f t="shared" si="2"/>
        <v>4</v>
      </c>
      <c r="K28" s="9">
        <f t="shared" si="3"/>
        <v>2023</v>
      </c>
      <c r="M28" s="25">
        <f>IFERROR(__xludf.DUMMYFUNCTION("""COMPUTED_VALUE"""),45038.0)</f>
        <v>45038</v>
      </c>
    </row>
    <row r="29">
      <c r="C29" s="10" t="s">
        <v>37</v>
      </c>
      <c r="D29" s="3" t="s">
        <v>38</v>
      </c>
      <c r="E29" s="4" t="s">
        <v>3</v>
      </c>
      <c r="F29" s="5" t="s">
        <v>35</v>
      </c>
      <c r="G29" s="6" t="s">
        <v>50</v>
      </c>
      <c r="H29" s="7">
        <v>45058.0</v>
      </c>
      <c r="I29" s="8">
        <f t="shared" si="1"/>
        <v>12</v>
      </c>
      <c r="J29" s="9">
        <f t="shared" si="2"/>
        <v>5</v>
      </c>
      <c r="K29" s="9">
        <f t="shared" si="3"/>
        <v>2023</v>
      </c>
      <c r="M29" s="25">
        <f>IFERROR(__xludf.DUMMYFUNCTION("""COMPUTED_VALUE"""),45058.0)</f>
        <v>45058</v>
      </c>
    </row>
    <row r="30">
      <c r="C30" s="10" t="s">
        <v>37</v>
      </c>
      <c r="D30" s="3" t="s">
        <v>38</v>
      </c>
      <c r="E30" s="4" t="s">
        <v>3</v>
      </c>
      <c r="F30" s="5" t="s">
        <v>51</v>
      </c>
      <c r="G30" s="6" t="s">
        <v>52</v>
      </c>
      <c r="H30" s="7">
        <v>45099.0</v>
      </c>
      <c r="I30" s="8">
        <f t="shared" si="1"/>
        <v>22</v>
      </c>
      <c r="J30" s="9">
        <f t="shared" si="2"/>
        <v>6</v>
      </c>
      <c r="K30" s="9">
        <f t="shared" si="3"/>
        <v>2023</v>
      </c>
      <c r="M30" s="25">
        <f>IFERROR(__xludf.DUMMYFUNCTION("""COMPUTED_VALUE"""),45099.0)</f>
        <v>45099</v>
      </c>
    </row>
    <row r="31">
      <c r="C31" s="10" t="s">
        <v>37</v>
      </c>
      <c r="D31" s="3" t="s">
        <v>38</v>
      </c>
      <c r="E31" s="4" t="s">
        <v>3</v>
      </c>
      <c r="F31" s="5" t="s">
        <v>45</v>
      </c>
      <c r="G31" s="6" t="s">
        <v>53</v>
      </c>
      <c r="H31" s="7">
        <v>45109.0</v>
      </c>
      <c r="I31" s="8">
        <f t="shared" si="1"/>
        <v>2</v>
      </c>
      <c r="J31" s="9">
        <f t="shared" si="2"/>
        <v>7</v>
      </c>
      <c r="K31" s="9">
        <f t="shared" si="3"/>
        <v>2023</v>
      </c>
      <c r="M31" s="25">
        <f>IFERROR(__xludf.DUMMYFUNCTION("""COMPUTED_VALUE"""),45109.0)</f>
        <v>45109</v>
      </c>
    </row>
    <row r="32">
      <c r="C32" s="10" t="s">
        <v>37</v>
      </c>
      <c r="D32" s="3" t="s">
        <v>38</v>
      </c>
      <c r="E32" s="4" t="s">
        <v>3</v>
      </c>
      <c r="F32" s="5" t="s">
        <v>51</v>
      </c>
      <c r="G32" s="6" t="s">
        <v>54</v>
      </c>
      <c r="H32" s="7">
        <v>45114.0</v>
      </c>
      <c r="I32" s="8">
        <f t="shared" si="1"/>
        <v>7</v>
      </c>
      <c r="J32" s="9">
        <f t="shared" si="2"/>
        <v>7</v>
      </c>
      <c r="K32" s="9">
        <f t="shared" si="3"/>
        <v>2023</v>
      </c>
      <c r="M32" s="25">
        <f>IFERROR(__xludf.DUMMYFUNCTION("""COMPUTED_VALUE"""),45114.0)</f>
        <v>45114</v>
      </c>
    </row>
    <row r="33">
      <c r="C33" s="10" t="s">
        <v>37</v>
      </c>
      <c r="D33" s="3" t="s">
        <v>38</v>
      </c>
      <c r="E33" s="4" t="s">
        <v>3</v>
      </c>
      <c r="F33" s="5" t="s">
        <v>11</v>
      </c>
      <c r="G33" s="6" t="s">
        <v>55</v>
      </c>
      <c r="H33" s="7">
        <v>45131.0</v>
      </c>
      <c r="I33" s="8">
        <f t="shared" si="1"/>
        <v>24</v>
      </c>
      <c r="J33" s="9">
        <f t="shared" si="2"/>
        <v>7</v>
      </c>
      <c r="K33" s="9">
        <f t="shared" si="3"/>
        <v>2023</v>
      </c>
      <c r="M33" s="25">
        <f>IFERROR(__xludf.DUMMYFUNCTION("""COMPUTED_VALUE"""),45131.0)</f>
        <v>45131</v>
      </c>
    </row>
    <row r="34">
      <c r="C34" s="10" t="s">
        <v>37</v>
      </c>
      <c r="D34" s="3" t="s">
        <v>38</v>
      </c>
      <c r="E34" s="4" t="s">
        <v>8</v>
      </c>
      <c r="F34" s="5" t="s">
        <v>23</v>
      </c>
      <c r="G34" s="6" t="s">
        <v>56</v>
      </c>
      <c r="H34" s="7">
        <v>45133.0</v>
      </c>
      <c r="I34" s="8">
        <f t="shared" si="1"/>
        <v>26</v>
      </c>
      <c r="J34" s="9">
        <f t="shared" si="2"/>
        <v>7</v>
      </c>
      <c r="K34" s="9">
        <f t="shared" si="3"/>
        <v>2023</v>
      </c>
      <c r="M34" s="25">
        <f>IFERROR(__xludf.DUMMYFUNCTION("""COMPUTED_VALUE"""),45133.0)</f>
        <v>45133</v>
      </c>
    </row>
    <row r="35">
      <c r="C35" s="10" t="s">
        <v>37</v>
      </c>
      <c r="D35" s="3" t="s">
        <v>38</v>
      </c>
      <c r="E35" s="4" t="s">
        <v>3</v>
      </c>
      <c r="F35" s="5" t="s">
        <v>4</v>
      </c>
      <c r="G35" s="6" t="s">
        <v>57</v>
      </c>
      <c r="H35" s="7">
        <v>45159.0</v>
      </c>
      <c r="I35" s="8">
        <f t="shared" si="1"/>
        <v>21</v>
      </c>
      <c r="J35" s="9">
        <f t="shared" si="2"/>
        <v>8</v>
      </c>
      <c r="K35" s="9">
        <f t="shared" si="3"/>
        <v>2023</v>
      </c>
      <c r="M35" s="25">
        <f>IFERROR(__xludf.DUMMYFUNCTION("""COMPUTED_VALUE"""),45159.0)</f>
        <v>45159</v>
      </c>
    </row>
    <row r="36">
      <c r="C36" s="10" t="s">
        <v>37</v>
      </c>
      <c r="D36" s="3" t="s">
        <v>38</v>
      </c>
      <c r="E36" s="4" t="s">
        <v>8</v>
      </c>
      <c r="F36" s="5" t="s">
        <v>15</v>
      </c>
      <c r="G36" s="6" t="s">
        <v>58</v>
      </c>
      <c r="H36" s="7">
        <v>45179.0</v>
      </c>
      <c r="I36" s="8">
        <f t="shared" si="1"/>
        <v>10</v>
      </c>
      <c r="J36" s="9">
        <f t="shared" si="2"/>
        <v>9</v>
      </c>
      <c r="K36" s="9">
        <f t="shared" si="3"/>
        <v>2023</v>
      </c>
      <c r="M36" s="25">
        <f>IFERROR(__xludf.DUMMYFUNCTION("""COMPUTED_VALUE"""),45179.0)</f>
        <v>45179</v>
      </c>
    </row>
    <row r="37">
      <c r="C37" s="10" t="s">
        <v>37</v>
      </c>
      <c r="D37" s="3" t="s">
        <v>38</v>
      </c>
      <c r="E37" s="4" t="s">
        <v>8</v>
      </c>
      <c r="F37" s="5" t="s">
        <v>39</v>
      </c>
      <c r="G37" s="6" t="s">
        <v>59</v>
      </c>
      <c r="H37" s="7">
        <v>45202.0</v>
      </c>
      <c r="I37" s="8">
        <f t="shared" si="1"/>
        <v>3</v>
      </c>
      <c r="J37" s="9">
        <f t="shared" si="2"/>
        <v>10</v>
      </c>
      <c r="K37" s="9">
        <f t="shared" si="3"/>
        <v>2023</v>
      </c>
      <c r="M37" s="25">
        <f>IFERROR(__xludf.DUMMYFUNCTION("""COMPUTED_VALUE"""),45202.0)</f>
        <v>45202</v>
      </c>
    </row>
    <row r="38">
      <c r="C38" s="10" t="s">
        <v>37</v>
      </c>
      <c r="D38" s="3" t="s">
        <v>38</v>
      </c>
      <c r="E38" s="4" t="s">
        <v>8</v>
      </c>
      <c r="F38" s="5" t="s">
        <v>45</v>
      </c>
      <c r="G38" s="6" t="s">
        <v>60</v>
      </c>
      <c r="H38" s="7">
        <v>45246.0</v>
      </c>
      <c r="I38" s="8">
        <f t="shared" si="1"/>
        <v>16</v>
      </c>
      <c r="J38" s="9">
        <f t="shared" si="2"/>
        <v>11</v>
      </c>
      <c r="K38" s="9">
        <f t="shared" si="3"/>
        <v>2023</v>
      </c>
      <c r="M38" s="25">
        <f>IFERROR(__xludf.DUMMYFUNCTION("""COMPUTED_VALUE"""),45246.0)</f>
        <v>45246</v>
      </c>
    </row>
    <row r="39">
      <c r="C39" s="10" t="s">
        <v>37</v>
      </c>
      <c r="D39" s="3" t="s">
        <v>38</v>
      </c>
      <c r="E39" s="4" t="s">
        <v>8</v>
      </c>
      <c r="F39" s="5" t="s">
        <v>21</v>
      </c>
      <c r="G39" s="6" t="s">
        <v>61</v>
      </c>
      <c r="H39" s="7">
        <v>45268.0</v>
      </c>
      <c r="I39" s="8">
        <f t="shared" si="1"/>
        <v>8</v>
      </c>
      <c r="J39" s="9">
        <f t="shared" si="2"/>
        <v>12</v>
      </c>
      <c r="K39" s="9">
        <f t="shared" si="3"/>
        <v>2023</v>
      </c>
      <c r="M39" s="25">
        <f>IFERROR(__xludf.DUMMYFUNCTION("""COMPUTED_VALUE"""),45268.0)</f>
        <v>45268</v>
      </c>
    </row>
    <row r="40">
      <c r="C40" s="10" t="s">
        <v>37</v>
      </c>
      <c r="D40" s="3" t="s">
        <v>38</v>
      </c>
      <c r="E40" s="4" t="s">
        <v>3</v>
      </c>
      <c r="F40" s="5" t="s">
        <v>35</v>
      </c>
      <c r="G40" s="6" t="s">
        <v>62</v>
      </c>
      <c r="H40" s="7">
        <v>45270.0</v>
      </c>
      <c r="I40" s="8">
        <f t="shared" si="1"/>
        <v>10</v>
      </c>
      <c r="J40" s="9">
        <f t="shared" si="2"/>
        <v>12</v>
      </c>
      <c r="K40" s="9">
        <f t="shared" si="3"/>
        <v>2023</v>
      </c>
      <c r="M40" s="25">
        <f>IFERROR(__xludf.DUMMYFUNCTION("""COMPUTED_VALUE"""),45270.0)</f>
        <v>45270</v>
      </c>
    </row>
    <row r="41">
      <c r="C41" s="10" t="s">
        <v>63</v>
      </c>
      <c r="D41" s="3" t="s">
        <v>64</v>
      </c>
      <c r="E41" s="4" t="s">
        <v>8</v>
      </c>
      <c r="F41" s="5" t="s">
        <v>17</v>
      </c>
      <c r="G41" s="6" t="s">
        <v>65</v>
      </c>
      <c r="H41" s="7">
        <v>44930.0</v>
      </c>
      <c r="I41" s="8">
        <f t="shared" si="1"/>
        <v>4</v>
      </c>
      <c r="J41" s="9">
        <f t="shared" si="2"/>
        <v>1</v>
      </c>
      <c r="K41" s="9">
        <f t="shared" si="3"/>
        <v>2023</v>
      </c>
      <c r="M41" s="25">
        <f>IFERROR(__xludf.DUMMYFUNCTION("""COMPUTED_VALUE"""),44930.0)</f>
        <v>44930</v>
      </c>
    </row>
    <row r="42">
      <c r="C42" s="10" t="s">
        <v>63</v>
      </c>
      <c r="D42" s="3" t="s">
        <v>64</v>
      </c>
      <c r="E42" s="4" t="s">
        <v>3</v>
      </c>
      <c r="F42" s="5" t="s">
        <v>13</v>
      </c>
      <c r="G42" s="6" t="s">
        <v>66</v>
      </c>
      <c r="H42" s="7">
        <v>44946.0</v>
      </c>
      <c r="I42" s="8">
        <f t="shared" si="1"/>
        <v>20</v>
      </c>
      <c r="J42" s="9">
        <f t="shared" si="2"/>
        <v>1</v>
      </c>
      <c r="K42" s="9">
        <f t="shared" si="3"/>
        <v>2023</v>
      </c>
      <c r="M42" s="25">
        <f>IFERROR(__xludf.DUMMYFUNCTION("""COMPUTED_VALUE"""),44946.0)</f>
        <v>44946</v>
      </c>
    </row>
    <row r="43">
      <c r="C43" s="10" t="s">
        <v>63</v>
      </c>
      <c r="D43" s="3" t="s">
        <v>64</v>
      </c>
      <c r="E43" s="4" t="s">
        <v>3</v>
      </c>
      <c r="F43" s="5" t="s">
        <v>23</v>
      </c>
      <c r="G43" s="6" t="s">
        <v>67</v>
      </c>
      <c r="H43" s="7">
        <v>44962.0</v>
      </c>
      <c r="I43" s="8">
        <f t="shared" si="1"/>
        <v>5</v>
      </c>
      <c r="J43" s="9">
        <f t="shared" si="2"/>
        <v>2</v>
      </c>
      <c r="K43" s="9">
        <f t="shared" si="3"/>
        <v>2023</v>
      </c>
      <c r="M43" s="25">
        <f>IFERROR(__xludf.DUMMYFUNCTION("""COMPUTED_VALUE"""),44962.0)</f>
        <v>44962</v>
      </c>
    </row>
    <row r="44">
      <c r="C44" s="10" t="s">
        <v>63</v>
      </c>
      <c r="D44" s="3" t="s">
        <v>64</v>
      </c>
      <c r="E44" s="4" t="s">
        <v>8</v>
      </c>
      <c r="F44" s="5" t="s">
        <v>19</v>
      </c>
      <c r="G44" s="6" t="s">
        <v>68</v>
      </c>
      <c r="H44" s="7">
        <v>44970.0</v>
      </c>
      <c r="I44" s="8">
        <f t="shared" si="1"/>
        <v>13</v>
      </c>
      <c r="J44" s="9">
        <f t="shared" si="2"/>
        <v>2</v>
      </c>
      <c r="K44" s="9">
        <f t="shared" si="3"/>
        <v>2023</v>
      </c>
      <c r="M44" s="25">
        <f>IFERROR(__xludf.DUMMYFUNCTION("""COMPUTED_VALUE"""),44970.0)</f>
        <v>44970</v>
      </c>
    </row>
    <row r="45">
      <c r="C45" s="10" t="s">
        <v>63</v>
      </c>
      <c r="D45" s="3" t="s">
        <v>64</v>
      </c>
      <c r="E45" s="4" t="s">
        <v>8</v>
      </c>
      <c r="F45" s="5" t="s">
        <v>23</v>
      </c>
      <c r="G45" s="6" t="s">
        <v>69</v>
      </c>
      <c r="H45" s="7">
        <v>44975.0</v>
      </c>
      <c r="I45" s="8">
        <f t="shared" si="1"/>
        <v>18</v>
      </c>
      <c r="J45" s="9">
        <f t="shared" si="2"/>
        <v>2</v>
      </c>
      <c r="K45" s="9">
        <f t="shared" si="3"/>
        <v>2023</v>
      </c>
      <c r="M45" s="25">
        <f>IFERROR(__xludf.DUMMYFUNCTION("""COMPUTED_VALUE"""),44975.0)</f>
        <v>44975</v>
      </c>
    </row>
    <row r="46">
      <c r="C46" s="10" t="s">
        <v>63</v>
      </c>
      <c r="D46" s="3" t="s">
        <v>64</v>
      </c>
      <c r="E46" s="4" t="s">
        <v>8</v>
      </c>
      <c r="F46" s="5" t="s">
        <v>9</v>
      </c>
      <c r="G46" s="6" t="s">
        <v>70</v>
      </c>
      <c r="H46" s="7">
        <v>44982.0</v>
      </c>
      <c r="I46" s="8">
        <f t="shared" si="1"/>
        <v>25</v>
      </c>
      <c r="J46" s="9">
        <f t="shared" si="2"/>
        <v>2</v>
      </c>
      <c r="K46" s="9">
        <f t="shared" si="3"/>
        <v>2023</v>
      </c>
      <c r="M46" s="25">
        <f>IFERROR(__xludf.DUMMYFUNCTION("""COMPUTED_VALUE"""),44982.0)</f>
        <v>44982</v>
      </c>
    </row>
    <row r="47">
      <c r="C47" s="10" t="s">
        <v>63</v>
      </c>
      <c r="D47" s="3" t="s">
        <v>64</v>
      </c>
      <c r="E47" s="4" t="s">
        <v>8</v>
      </c>
      <c r="F47" s="5" t="s">
        <v>71</v>
      </c>
      <c r="G47" s="6" t="s">
        <v>72</v>
      </c>
      <c r="H47" s="7">
        <v>44989.0</v>
      </c>
      <c r="I47" s="8">
        <f t="shared" si="1"/>
        <v>4</v>
      </c>
      <c r="J47" s="9">
        <f t="shared" si="2"/>
        <v>3</v>
      </c>
      <c r="K47" s="9">
        <f t="shared" si="3"/>
        <v>2023</v>
      </c>
      <c r="M47" s="25">
        <f>IFERROR(__xludf.DUMMYFUNCTION("""COMPUTED_VALUE"""),44989.0)</f>
        <v>44989</v>
      </c>
    </row>
    <row r="48">
      <c r="C48" s="10" t="s">
        <v>63</v>
      </c>
      <c r="D48" s="3" t="s">
        <v>64</v>
      </c>
      <c r="E48" s="4" t="s">
        <v>8</v>
      </c>
      <c r="F48" s="5" t="s">
        <v>19</v>
      </c>
      <c r="G48" s="6" t="s">
        <v>73</v>
      </c>
      <c r="H48" s="7">
        <v>44999.0</v>
      </c>
      <c r="I48" s="8">
        <f t="shared" si="1"/>
        <v>14</v>
      </c>
      <c r="J48" s="9">
        <f t="shared" si="2"/>
        <v>3</v>
      </c>
      <c r="K48" s="9">
        <f t="shared" si="3"/>
        <v>2023</v>
      </c>
      <c r="M48" s="25">
        <f>IFERROR(__xludf.DUMMYFUNCTION("""COMPUTED_VALUE"""),44999.0)</f>
        <v>44999</v>
      </c>
    </row>
    <row r="49">
      <c r="C49" s="10" t="s">
        <v>63</v>
      </c>
      <c r="D49" s="3" t="s">
        <v>64</v>
      </c>
      <c r="E49" s="4" t="s">
        <v>3</v>
      </c>
      <c r="F49" s="5" t="s">
        <v>23</v>
      </c>
      <c r="G49" s="6" t="s">
        <v>74</v>
      </c>
      <c r="H49" s="7">
        <v>45033.0</v>
      </c>
      <c r="I49" s="8">
        <f t="shared" si="1"/>
        <v>17</v>
      </c>
      <c r="J49" s="9">
        <f t="shared" si="2"/>
        <v>4</v>
      </c>
      <c r="K49" s="9">
        <f t="shared" si="3"/>
        <v>2023</v>
      </c>
      <c r="M49" s="25">
        <f>IFERROR(__xludf.DUMMYFUNCTION("""COMPUTED_VALUE"""),45033.0)</f>
        <v>45033</v>
      </c>
    </row>
    <row r="50">
      <c r="C50" s="10" t="s">
        <v>63</v>
      </c>
      <c r="D50" s="3" t="s">
        <v>64</v>
      </c>
      <c r="E50" s="4" t="s">
        <v>3</v>
      </c>
      <c r="F50" s="5" t="s">
        <v>4</v>
      </c>
      <c r="G50" s="6" t="s">
        <v>75</v>
      </c>
      <c r="H50" s="7">
        <v>45033.0</v>
      </c>
      <c r="I50" s="8">
        <f t="shared" si="1"/>
        <v>17</v>
      </c>
      <c r="J50" s="9">
        <f t="shared" si="2"/>
        <v>4</v>
      </c>
      <c r="K50" s="9">
        <f t="shared" si="3"/>
        <v>2023</v>
      </c>
      <c r="M50" s="25">
        <f>IFERROR(__xludf.DUMMYFUNCTION("""COMPUTED_VALUE"""),45033.0)</f>
        <v>45033</v>
      </c>
    </row>
    <row r="51">
      <c r="C51" s="10" t="s">
        <v>63</v>
      </c>
      <c r="D51" s="3" t="s">
        <v>64</v>
      </c>
      <c r="E51" s="4" t="s">
        <v>8</v>
      </c>
      <c r="F51" s="5" t="s">
        <v>76</v>
      </c>
      <c r="G51" s="6" t="s">
        <v>77</v>
      </c>
      <c r="H51" s="7">
        <v>45056.0</v>
      </c>
      <c r="I51" s="8">
        <f t="shared" si="1"/>
        <v>10</v>
      </c>
      <c r="J51" s="9">
        <f t="shared" si="2"/>
        <v>5</v>
      </c>
      <c r="K51" s="9">
        <f t="shared" si="3"/>
        <v>2023</v>
      </c>
      <c r="M51" s="25">
        <f>IFERROR(__xludf.DUMMYFUNCTION("""COMPUTED_VALUE"""),45056.0)</f>
        <v>45056</v>
      </c>
    </row>
    <row r="52">
      <c r="C52" s="10" t="s">
        <v>63</v>
      </c>
      <c r="D52" s="3" t="s">
        <v>64</v>
      </c>
      <c r="E52" s="4" t="s">
        <v>8</v>
      </c>
      <c r="F52" s="5" t="s">
        <v>11</v>
      </c>
      <c r="G52" s="6" t="s">
        <v>78</v>
      </c>
      <c r="H52" s="7">
        <v>45139.0</v>
      </c>
      <c r="I52" s="8">
        <f t="shared" si="1"/>
        <v>1</v>
      </c>
      <c r="J52" s="9">
        <f t="shared" si="2"/>
        <v>8</v>
      </c>
      <c r="K52" s="9">
        <f t="shared" si="3"/>
        <v>2023</v>
      </c>
      <c r="M52" s="25">
        <f>IFERROR(__xludf.DUMMYFUNCTION("""COMPUTED_VALUE"""),45139.0)</f>
        <v>45139</v>
      </c>
    </row>
    <row r="53">
      <c r="C53" s="10" t="s">
        <v>63</v>
      </c>
      <c r="D53" s="3" t="s">
        <v>64</v>
      </c>
      <c r="E53" s="4" t="s">
        <v>3</v>
      </c>
      <c r="F53" s="5" t="s">
        <v>4</v>
      </c>
      <c r="G53" s="6" t="s">
        <v>79</v>
      </c>
      <c r="H53" s="7">
        <v>45150.0</v>
      </c>
      <c r="I53" s="8">
        <f t="shared" si="1"/>
        <v>12</v>
      </c>
      <c r="J53" s="9">
        <f t="shared" si="2"/>
        <v>8</v>
      </c>
      <c r="K53" s="9">
        <f t="shared" si="3"/>
        <v>2023</v>
      </c>
      <c r="M53" s="25">
        <f>IFERROR(__xludf.DUMMYFUNCTION("""COMPUTED_VALUE"""),45150.0)</f>
        <v>45150</v>
      </c>
    </row>
    <row r="54">
      <c r="C54" s="10" t="s">
        <v>63</v>
      </c>
      <c r="D54" s="3" t="s">
        <v>64</v>
      </c>
      <c r="E54" s="4" t="s">
        <v>3</v>
      </c>
      <c r="F54" s="5" t="s">
        <v>35</v>
      </c>
      <c r="G54" s="6" t="s">
        <v>80</v>
      </c>
      <c r="H54" s="7">
        <v>45158.0</v>
      </c>
      <c r="I54" s="8">
        <f t="shared" si="1"/>
        <v>20</v>
      </c>
      <c r="J54" s="9">
        <f t="shared" si="2"/>
        <v>8</v>
      </c>
      <c r="K54" s="9">
        <f t="shared" si="3"/>
        <v>2023</v>
      </c>
      <c r="M54" s="25">
        <f>IFERROR(__xludf.DUMMYFUNCTION("""COMPUTED_VALUE"""),45158.0)</f>
        <v>45158</v>
      </c>
    </row>
    <row r="55">
      <c r="C55" s="10" t="s">
        <v>63</v>
      </c>
      <c r="D55" s="3" t="s">
        <v>64</v>
      </c>
      <c r="E55" s="4" t="s">
        <v>8</v>
      </c>
      <c r="F55" s="5" t="s">
        <v>11</v>
      </c>
      <c r="G55" s="6" t="s">
        <v>81</v>
      </c>
      <c r="H55" s="7">
        <v>45176.0</v>
      </c>
      <c r="I55" s="8">
        <f t="shared" si="1"/>
        <v>7</v>
      </c>
      <c r="J55" s="9">
        <f t="shared" si="2"/>
        <v>9</v>
      </c>
      <c r="K55" s="9">
        <f t="shared" si="3"/>
        <v>2023</v>
      </c>
      <c r="M55" s="25">
        <f>IFERROR(__xludf.DUMMYFUNCTION("""COMPUTED_VALUE"""),45176.0)</f>
        <v>45176</v>
      </c>
    </row>
    <row r="56">
      <c r="C56" s="10" t="s">
        <v>63</v>
      </c>
      <c r="D56" s="3" t="s">
        <v>64</v>
      </c>
      <c r="E56" s="4" t="s">
        <v>3</v>
      </c>
      <c r="F56" s="5" t="s">
        <v>23</v>
      </c>
      <c r="G56" s="6" t="s">
        <v>82</v>
      </c>
      <c r="H56" s="7">
        <v>45188.0</v>
      </c>
      <c r="I56" s="8">
        <f t="shared" si="1"/>
        <v>19</v>
      </c>
      <c r="J56" s="9">
        <f t="shared" si="2"/>
        <v>9</v>
      </c>
      <c r="K56" s="9">
        <f t="shared" si="3"/>
        <v>2023</v>
      </c>
      <c r="M56" s="25">
        <f>IFERROR(__xludf.DUMMYFUNCTION("""COMPUTED_VALUE"""),45188.0)</f>
        <v>45188</v>
      </c>
    </row>
    <row r="57">
      <c r="C57" s="10" t="s">
        <v>63</v>
      </c>
      <c r="D57" s="3" t="s">
        <v>64</v>
      </c>
      <c r="E57" s="4" t="s">
        <v>3</v>
      </c>
      <c r="F57" s="5" t="s">
        <v>35</v>
      </c>
      <c r="G57" s="6" t="s">
        <v>83</v>
      </c>
      <c r="H57" s="7">
        <v>45196.0</v>
      </c>
      <c r="I57" s="8">
        <f t="shared" si="1"/>
        <v>27</v>
      </c>
      <c r="J57" s="9">
        <f t="shared" si="2"/>
        <v>9</v>
      </c>
      <c r="K57" s="9">
        <f t="shared" si="3"/>
        <v>2023</v>
      </c>
      <c r="M57" s="25">
        <f>IFERROR(__xludf.DUMMYFUNCTION("""COMPUTED_VALUE"""),45196.0)</f>
        <v>45196</v>
      </c>
    </row>
    <row r="58">
      <c r="C58" s="10" t="s">
        <v>63</v>
      </c>
      <c r="D58" s="3" t="s">
        <v>64</v>
      </c>
      <c r="E58" s="4" t="s">
        <v>3</v>
      </c>
      <c r="F58" s="5" t="s">
        <v>39</v>
      </c>
      <c r="G58" s="6" t="s">
        <v>84</v>
      </c>
      <c r="H58" s="7">
        <v>45214.0</v>
      </c>
      <c r="I58" s="8">
        <f t="shared" si="1"/>
        <v>15</v>
      </c>
      <c r="J58" s="9">
        <f t="shared" si="2"/>
        <v>10</v>
      </c>
      <c r="K58" s="9">
        <f t="shared" si="3"/>
        <v>2023</v>
      </c>
      <c r="M58" s="25">
        <f>IFERROR(__xludf.DUMMYFUNCTION("""COMPUTED_VALUE"""),45214.0)</f>
        <v>45214</v>
      </c>
    </row>
    <row r="59">
      <c r="C59" s="10" t="s">
        <v>63</v>
      </c>
      <c r="D59" s="3" t="s">
        <v>64</v>
      </c>
      <c r="E59" s="4" t="s">
        <v>3</v>
      </c>
      <c r="F59" s="5" t="s">
        <v>71</v>
      </c>
      <c r="G59" s="6" t="s">
        <v>85</v>
      </c>
      <c r="H59" s="7">
        <v>45235.0</v>
      </c>
      <c r="I59" s="8">
        <f t="shared" si="1"/>
        <v>5</v>
      </c>
      <c r="J59" s="9">
        <f t="shared" si="2"/>
        <v>11</v>
      </c>
      <c r="K59" s="9">
        <f t="shared" si="3"/>
        <v>2023</v>
      </c>
      <c r="M59" s="25">
        <f>IFERROR(__xludf.DUMMYFUNCTION("""COMPUTED_VALUE"""),45235.0)</f>
        <v>45235</v>
      </c>
    </row>
    <row r="60">
      <c r="C60" s="10" t="s">
        <v>63</v>
      </c>
      <c r="D60" s="3" t="s">
        <v>64</v>
      </c>
      <c r="E60" s="4" t="s">
        <v>8</v>
      </c>
      <c r="F60" s="5" t="s">
        <v>9</v>
      </c>
      <c r="G60" s="6" t="s">
        <v>86</v>
      </c>
      <c r="H60" s="7">
        <v>45279.0</v>
      </c>
      <c r="I60" s="8">
        <f t="shared" si="1"/>
        <v>19</v>
      </c>
      <c r="J60" s="9">
        <f t="shared" si="2"/>
        <v>12</v>
      </c>
      <c r="K60" s="9">
        <f t="shared" si="3"/>
        <v>2023</v>
      </c>
      <c r="M60" s="25">
        <f>IFERROR(__xludf.DUMMYFUNCTION("""COMPUTED_VALUE"""),45279.0)</f>
        <v>45279</v>
      </c>
    </row>
    <row r="61">
      <c r="A61" s="2" t="s">
        <v>1</v>
      </c>
      <c r="B61" s="3" t="s">
        <v>2</v>
      </c>
      <c r="C61" s="10" t="s">
        <v>87</v>
      </c>
      <c r="D61" s="3" t="s">
        <v>88</v>
      </c>
      <c r="E61" s="4" t="s">
        <v>8</v>
      </c>
      <c r="F61" s="5" t="s">
        <v>39</v>
      </c>
      <c r="G61" s="6" t="s">
        <v>89</v>
      </c>
      <c r="H61" s="7">
        <v>44934.0</v>
      </c>
      <c r="I61" s="8">
        <f t="shared" si="1"/>
        <v>8</v>
      </c>
      <c r="J61" s="9">
        <f t="shared" si="2"/>
        <v>1</v>
      </c>
      <c r="K61" s="9">
        <f t="shared" si="3"/>
        <v>2023</v>
      </c>
      <c r="M61" s="25">
        <f>IFERROR(__xludf.DUMMYFUNCTION("""COMPUTED_VALUE"""),44934.0)</f>
        <v>44934</v>
      </c>
    </row>
    <row r="62">
      <c r="A62" s="10" t="s">
        <v>1</v>
      </c>
      <c r="B62" s="3" t="s">
        <v>2</v>
      </c>
      <c r="C62" s="10" t="s">
        <v>87</v>
      </c>
      <c r="D62" s="3" t="s">
        <v>88</v>
      </c>
      <c r="E62" s="4" t="s">
        <v>8</v>
      </c>
      <c r="F62" s="5" t="s">
        <v>35</v>
      </c>
      <c r="G62" s="6" t="s">
        <v>90</v>
      </c>
      <c r="H62" s="7">
        <v>44938.0</v>
      </c>
      <c r="I62" s="8">
        <f t="shared" si="1"/>
        <v>12</v>
      </c>
      <c r="J62" s="9">
        <f t="shared" si="2"/>
        <v>1</v>
      </c>
      <c r="K62" s="9">
        <f t="shared" si="3"/>
        <v>2023</v>
      </c>
      <c r="M62" s="25">
        <f>IFERROR(__xludf.DUMMYFUNCTION("""COMPUTED_VALUE"""),44938.0)</f>
        <v>44938</v>
      </c>
    </row>
    <row r="63">
      <c r="A63" s="10" t="s">
        <v>1</v>
      </c>
      <c r="B63" s="3" t="s">
        <v>2</v>
      </c>
      <c r="C63" s="10" t="s">
        <v>87</v>
      </c>
      <c r="D63" s="3" t="s">
        <v>88</v>
      </c>
      <c r="E63" s="4" t="s">
        <v>8</v>
      </c>
      <c r="F63" s="5" t="s">
        <v>19</v>
      </c>
      <c r="G63" s="6" t="s">
        <v>91</v>
      </c>
      <c r="H63" s="7">
        <v>44958.0</v>
      </c>
      <c r="I63" s="8">
        <f t="shared" si="1"/>
        <v>1</v>
      </c>
      <c r="J63" s="9">
        <f t="shared" si="2"/>
        <v>2</v>
      </c>
      <c r="K63" s="9">
        <f t="shared" si="3"/>
        <v>2023</v>
      </c>
      <c r="M63" s="25">
        <f>IFERROR(__xludf.DUMMYFUNCTION("""COMPUTED_VALUE"""),44958.0)</f>
        <v>44958</v>
      </c>
    </row>
    <row r="64">
      <c r="A64" s="10" t="s">
        <v>1</v>
      </c>
      <c r="B64" s="3" t="s">
        <v>2</v>
      </c>
      <c r="C64" s="10" t="s">
        <v>87</v>
      </c>
      <c r="D64" s="3" t="s">
        <v>88</v>
      </c>
      <c r="E64" s="4" t="s">
        <v>8</v>
      </c>
      <c r="F64" s="5" t="s">
        <v>4</v>
      </c>
      <c r="G64" s="6" t="s">
        <v>92</v>
      </c>
      <c r="H64" s="7">
        <v>44963.0</v>
      </c>
      <c r="I64" s="8">
        <f t="shared" si="1"/>
        <v>6</v>
      </c>
      <c r="J64" s="9">
        <f t="shared" si="2"/>
        <v>2</v>
      </c>
      <c r="K64" s="9">
        <f t="shared" si="3"/>
        <v>2023</v>
      </c>
      <c r="M64" s="25">
        <f>IFERROR(__xludf.DUMMYFUNCTION("""COMPUTED_VALUE"""),44963.0)</f>
        <v>44963</v>
      </c>
    </row>
    <row r="65">
      <c r="A65" s="10" t="s">
        <v>1</v>
      </c>
      <c r="B65" s="3" t="s">
        <v>2</v>
      </c>
      <c r="C65" s="10" t="s">
        <v>87</v>
      </c>
      <c r="D65" s="3" t="s">
        <v>88</v>
      </c>
      <c r="E65" s="4" t="s">
        <v>3</v>
      </c>
      <c r="F65" s="5" t="s">
        <v>19</v>
      </c>
      <c r="G65" s="6" t="s">
        <v>93</v>
      </c>
      <c r="H65" s="7">
        <v>44995.0</v>
      </c>
      <c r="I65" s="8">
        <f t="shared" si="1"/>
        <v>10</v>
      </c>
      <c r="J65" s="9">
        <f t="shared" si="2"/>
        <v>3</v>
      </c>
      <c r="K65" s="9">
        <f t="shared" si="3"/>
        <v>2023</v>
      </c>
      <c r="M65" s="25">
        <f>IFERROR(__xludf.DUMMYFUNCTION("""COMPUTED_VALUE"""),44995.0)</f>
        <v>44995</v>
      </c>
    </row>
    <row r="66">
      <c r="A66" s="10" t="s">
        <v>1</v>
      </c>
      <c r="B66" s="3" t="s">
        <v>2</v>
      </c>
      <c r="C66" s="10" t="s">
        <v>87</v>
      </c>
      <c r="D66" s="3" t="s">
        <v>88</v>
      </c>
      <c r="E66" s="4" t="s">
        <v>3</v>
      </c>
      <c r="F66" s="5" t="s">
        <v>51</v>
      </c>
      <c r="G66" s="6" t="s">
        <v>94</v>
      </c>
      <c r="H66" s="7">
        <v>45029.0</v>
      </c>
      <c r="I66" s="8">
        <f t="shared" si="1"/>
        <v>13</v>
      </c>
      <c r="J66" s="9">
        <f t="shared" si="2"/>
        <v>4</v>
      </c>
      <c r="K66" s="9">
        <f t="shared" si="3"/>
        <v>2023</v>
      </c>
      <c r="M66" s="25">
        <f>IFERROR(__xludf.DUMMYFUNCTION("""COMPUTED_VALUE"""),45029.0)</f>
        <v>45029</v>
      </c>
    </row>
    <row r="67">
      <c r="A67" s="10" t="s">
        <v>1</v>
      </c>
      <c r="B67" s="3" t="s">
        <v>2</v>
      </c>
      <c r="C67" s="10" t="s">
        <v>87</v>
      </c>
      <c r="D67" s="3" t="s">
        <v>88</v>
      </c>
      <c r="E67" s="4" t="s">
        <v>8</v>
      </c>
      <c r="F67" s="5" t="s">
        <v>35</v>
      </c>
      <c r="G67" s="6" t="s">
        <v>95</v>
      </c>
      <c r="H67" s="7">
        <v>45041.0</v>
      </c>
      <c r="I67" s="8">
        <f t="shared" si="1"/>
        <v>25</v>
      </c>
      <c r="J67" s="9">
        <f t="shared" si="2"/>
        <v>4</v>
      </c>
      <c r="K67" s="9">
        <f t="shared" si="3"/>
        <v>2023</v>
      </c>
      <c r="M67" s="25">
        <f>IFERROR(__xludf.DUMMYFUNCTION("""COMPUTED_VALUE"""),45041.0)</f>
        <v>45041</v>
      </c>
    </row>
    <row r="68">
      <c r="A68" s="10" t="s">
        <v>1</v>
      </c>
      <c r="B68" s="3" t="s">
        <v>2</v>
      </c>
      <c r="C68" s="10" t="s">
        <v>87</v>
      </c>
      <c r="D68" s="3" t="s">
        <v>88</v>
      </c>
      <c r="E68" s="4" t="s">
        <v>3</v>
      </c>
      <c r="F68" s="5" t="s">
        <v>96</v>
      </c>
      <c r="G68" s="6" t="s">
        <v>97</v>
      </c>
      <c r="H68" s="7">
        <v>45062.0</v>
      </c>
      <c r="I68" s="8">
        <f t="shared" si="1"/>
        <v>16</v>
      </c>
      <c r="J68" s="9">
        <f t="shared" si="2"/>
        <v>5</v>
      </c>
      <c r="K68" s="9">
        <f t="shared" si="3"/>
        <v>2023</v>
      </c>
      <c r="M68" s="25">
        <f>IFERROR(__xludf.DUMMYFUNCTION("""COMPUTED_VALUE"""),45062.0)</f>
        <v>45062</v>
      </c>
    </row>
    <row r="69">
      <c r="A69" s="10" t="s">
        <v>1</v>
      </c>
      <c r="B69" s="3" t="s">
        <v>2</v>
      </c>
      <c r="C69" s="10" t="s">
        <v>87</v>
      </c>
      <c r="D69" s="3" t="s">
        <v>88</v>
      </c>
      <c r="E69" s="4" t="s">
        <v>8</v>
      </c>
      <c r="F69" s="5" t="s">
        <v>76</v>
      </c>
      <c r="G69" s="6" t="s">
        <v>98</v>
      </c>
      <c r="H69" s="7">
        <v>45064.0</v>
      </c>
      <c r="I69" s="8">
        <f t="shared" si="1"/>
        <v>18</v>
      </c>
      <c r="J69" s="9">
        <f t="shared" si="2"/>
        <v>5</v>
      </c>
      <c r="K69" s="9">
        <f t="shared" si="3"/>
        <v>2023</v>
      </c>
      <c r="M69" s="25">
        <f>IFERROR(__xludf.DUMMYFUNCTION("""COMPUTED_VALUE"""),45064.0)</f>
        <v>45064</v>
      </c>
    </row>
    <row r="70">
      <c r="A70" s="10" t="s">
        <v>1</v>
      </c>
      <c r="B70" s="3" t="s">
        <v>2</v>
      </c>
      <c r="C70" s="10" t="s">
        <v>87</v>
      </c>
      <c r="D70" s="3" t="s">
        <v>88</v>
      </c>
      <c r="E70" s="4" t="s">
        <v>3</v>
      </c>
      <c r="F70" s="5" t="s">
        <v>23</v>
      </c>
      <c r="G70" s="6" t="s">
        <v>99</v>
      </c>
      <c r="H70" s="7">
        <v>45065.0</v>
      </c>
      <c r="I70" s="8">
        <f t="shared" si="1"/>
        <v>19</v>
      </c>
      <c r="J70" s="9">
        <f t="shared" si="2"/>
        <v>5</v>
      </c>
      <c r="K70" s="9">
        <f t="shared" si="3"/>
        <v>2023</v>
      </c>
      <c r="M70" s="25">
        <f>IFERROR(__xludf.DUMMYFUNCTION("""COMPUTED_VALUE"""),45065.0)</f>
        <v>45065</v>
      </c>
    </row>
    <row r="71">
      <c r="A71" s="10" t="s">
        <v>1</v>
      </c>
      <c r="B71" s="3" t="s">
        <v>2</v>
      </c>
      <c r="C71" s="10" t="s">
        <v>87</v>
      </c>
      <c r="D71" s="3" t="s">
        <v>88</v>
      </c>
      <c r="E71" s="4" t="s">
        <v>8</v>
      </c>
      <c r="F71" s="5" t="s">
        <v>71</v>
      </c>
      <c r="G71" s="6" t="s">
        <v>100</v>
      </c>
      <c r="H71" s="7">
        <v>45068.0</v>
      </c>
      <c r="I71" s="8">
        <f t="shared" si="1"/>
        <v>22</v>
      </c>
      <c r="J71" s="9">
        <f t="shared" si="2"/>
        <v>5</v>
      </c>
      <c r="K71" s="9">
        <f t="shared" si="3"/>
        <v>2023</v>
      </c>
      <c r="M71" s="25">
        <f>IFERROR(__xludf.DUMMYFUNCTION("""COMPUTED_VALUE"""),45068.0)</f>
        <v>45068</v>
      </c>
    </row>
    <row r="72">
      <c r="A72" s="10" t="s">
        <v>1</v>
      </c>
      <c r="B72" s="3" t="s">
        <v>2</v>
      </c>
      <c r="C72" s="10" t="s">
        <v>87</v>
      </c>
      <c r="D72" s="3" t="s">
        <v>88</v>
      </c>
      <c r="E72" s="4" t="s">
        <v>3</v>
      </c>
      <c r="F72" s="5" t="s">
        <v>76</v>
      </c>
      <c r="G72" s="6" t="s">
        <v>101</v>
      </c>
      <c r="H72" s="7">
        <v>45074.0</v>
      </c>
      <c r="I72" s="8">
        <f t="shared" si="1"/>
        <v>28</v>
      </c>
      <c r="J72" s="9">
        <f t="shared" si="2"/>
        <v>5</v>
      </c>
      <c r="K72" s="9">
        <f t="shared" si="3"/>
        <v>2023</v>
      </c>
      <c r="M72" s="25">
        <f>IFERROR(__xludf.DUMMYFUNCTION("""COMPUTED_VALUE"""),45074.0)</f>
        <v>45074</v>
      </c>
    </row>
    <row r="73">
      <c r="A73" s="10" t="s">
        <v>1</v>
      </c>
      <c r="B73" s="3" t="s">
        <v>2</v>
      </c>
      <c r="C73" s="10" t="s">
        <v>87</v>
      </c>
      <c r="D73" s="3" t="s">
        <v>88</v>
      </c>
      <c r="E73" s="4" t="s">
        <v>8</v>
      </c>
      <c r="F73" s="5" t="s">
        <v>11</v>
      </c>
      <c r="G73" s="6" t="s">
        <v>102</v>
      </c>
      <c r="H73" s="7">
        <v>45090.0</v>
      </c>
      <c r="I73" s="8">
        <f t="shared" si="1"/>
        <v>13</v>
      </c>
      <c r="J73" s="9">
        <f t="shared" si="2"/>
        <v>6</v>
      </c>
      <c r="K73" s="9">
        <f t="shared" si="3"/>
        <v>2023</v>
      </c>
      <c r="M73" s="25">
        <f>IFERROR(__xludf.DUMMYFUNCTION("""COMPUTED_VALUE"""),45090.0)</f>
        <v>45090</v>
      </c>
    </row>
    <row r="74">
      <c r="A74" s="10" t="s">
        <v>1</v>
      </c>
      <c r="B74" s="3" t="s">
        <v>2</v>
      </c>
      <c r="C74" s="10" t="s">
        <v>87</v>
      </c>
      <c r="D74" s="3" t="s">
        <v>88</v>
      </c>
      <c r="E74" s="4" t="s">
        <v>3</v>
      </c>
      <c r="F74" s="5" t="s">
        <v>51</v>
      </c>
      <c r="G74" s="6" t="s">
        <v>103</v>
      </c>
      <c r="H74" s="7">
        <v>45098.0</v>
      </c>
      <c r="I74" s="8">
        <f t="shared" si="1"/>
        <v>21</v>
      </c>
      <c r="J74" s="9">
        <f t="shared" si="2"/>
        <v>6</v>
      </c>
      <c r="K74" s="9">
        <f t="shared" si="3"/>
        <v>2023</v>
      </c>
      <c r="M74" s="25">
        <f>IFERROR(__xludf.DUMMYFUNCTION("""COMPUTED_VALUE"""),45098.0)</f>
        <v>45098</v>
      </c>
    </row>
    <row r="75">
      <c r="A75" s="10" t="s">
        <v>1</v>
      </c>
      <c r="B75" s="3" t="s">
        <v>2</v>
      </c>
      <c r="C75" s="10" t="s">
        <v>87</v>
      </c>
      <c r="D75" s="3" t="s">
        <v>88</v>
      </c>
      <c r="E75" s="4" t="s">
        <v>3</v>
      </c>
      <c r="F75" s="5" t="s">
        <v>17</v>
      </c>
      <c r="G75" s="6" t="s">
        <v>104</v>
      </c>
      <c r="H75" s="7">
        <v>45132.0</v>
      </c>
      <c r="I75" s="8">
        <f t="shared" si="1"/>
        <v>25</v>
      </c>
      <c r="J75" s="9">
        <f t="shared" si="2"/>
        <v>7</v>
      </c>
      <c r="K75" s="9">
        <f t="shared" si="3"/>
        <v>2023</v>
      </c>
      <c r="M75" s="25">
        <f>IFERROR(__xludf.DUMMYFUNCTION("""COMPUTED_VALUE"""),45132.0)</f>
        <v>45132</v>
      </c>
    </row>
    <row r="76">
      <c r="A76" s="10" t="s">
        <v>1</v>
      </c>
      <c r="B76" s="3" t="s">
        <v>2</v>
      </c>
      <c r="C76" s="10" t="s">
        <v>87</v>
      </c>
      <c r="D76" s="3" t="s">
        <v>88</v>
      </c>
      <c r="E76" s="4" t="s">
        <v>8</v>
      </c>
      <c r="F76" s="5" t="s">
        <v>42</v>
      </c>
      <c r="G76" s="6" t="s">
        <v>105</v>
      </c>
      <c r="H76" s="7">
        <v>45142.0</v>
      </c>
      <c r="I76" s="8">
        <f t="shared" si="1"/>
        <v>4</v>
      </c>
      <c r="J76" s="9">
        <f t="shared" si="2"/>
        <v>8</v>
      </c>
      <c r="K76" s="9">
        <f t="shared" si="3"/>
        <v>2023</v>
      </c>
      <c r="M76" s="25">
        <f>IFERROR(__xludf.DUMMYFUNCTION("""COMPUTED_VALUE"""),45142.0)</f>
        <v>45142</v>
      </c>
    </row>
    <row r="77">
      <c r="A77" s="10" t="s">
        <v>1</v>
      </c>
      <c r="B77" s="3" t="s">
        <v>2</v>
      </c>
      <c r="C77" s="10" t="s">
        <v>87</v>
      </c>
      <c r="D77" s="3" t="s">
        <v>88</v>
      </c>
      <c r="E77" s="4" t="s">
        <v>3</v>
      </c>
      <c r="F77" s="5" t="s">
        <v>15</v>
      </c>
      <c r="G77" s="6" t="s">
        <v>106</v>
      </c>
      <c r="H77" s="7">
        <v>45157.0</v>
      </c>
      <c r="I77" s="8">
        <f t="shared" si="1"/>
        <v>19</v>
      </c>
      <c r="J77" s="9">
        <f t="shared" si="2"/>
        <v>8</v>
      </c>
      <c r="K77" s="9">
        <f t="shared" si="3"/>
        <v>2023</v>
      </c>
      <c r="M77" s="25">
        <f>IFERROR(__xludf.DUMMYFUNCTION("""COMPUTED_VALUE"""),45157.0)</f>
        <v>45157</v>
      </c>
    </row>
    <row r="78">
      <c r="A78" s="10" t="s">
        <v>1</v>
      </c>
      <c r="B78" s="3" t="s">
        <v>2</v>
      </c>
      <c r="C78" s="10" t="s">
        <v>87</v>
      </c>
      <c r="D78" s="3" t="s">
        <v>88</v>
      </c>
      <c r="E78" s="4" t="s">
        <v>8</v>
      </c>
      <c r="F78" s="5" t="s">
        <v>9</v>
      </c>
      <c r="G78" s="6" t="s">
        <v>107</v>
      </c>
      <c r="H78" s="7">
        <v>45208.0</v>
      </c>
      <c r="I78" s="8">
        <f t="shared" si="1"/>
        <v>9</v>
      </c>
      <c r="J78" s="9">
        <f t="shared" si="2"/>
        <v>10</v>
      </c>
      <c r="K78" s="9">
        <f t="shared" si="3"/>
        <v>2023</v>
      </c>
      <c r="M78" s="25">
        <f>IFERROR(__xludf.DUMMYFUNCTION("""COMPUTED_VALUE"""),45208.0)</f>
        <v>45208</v>
      </c>
    </row>
    <row r="79">
      <c r="A79" s="10" t="s">
        <v>1</v>
      </c>
      <c r="B79" s="3" t="s">
        <v>2</v>
      </c>
      <c r="C79" s="10" t="s">
        <v>87</v>
      </c>
      <c r="D79" s="3" t="s">
        <v>88</v>
      </c>
      <c r="E79" s="4" t="s">
        <v>3</v>
      </c>
      <c r="F79" s="5" t="s">
        <v>21</v>
      </c>
      <c r="G79" s="6" t="s">
        <v>108</v>
      </c>
      <c r="H79" s="7">
        <v>45245.0</v>
      </c>
      <c r="I79" s="8">
        <f t="shared" si="1"/>
        <v>15</v>
      </c>
      <c r="J79" s="9">
        <f t="shared" si="2"/>
        <v>11</v>
      </c>
      <c r="K79" s="9">
        <f t="shared" si="3"/>
        <v>2023</v>
      </c>
      <c r="M79" s="25">
        <f>IFERROR(__xludf.DUMMYFUNCTION("""COMPUTED_VALUE"""),45245.0)</f>
        <v>45245</v>
      </c>
    </row>
    <row r="80">
      <c r="A80" s="10" t="s">
        <v>1</v>
      </c>
      <c r="B80" s="3" t="s">
        <v>2</v>
      </c>
      <c r="C80" s="10" t="s">
        <v>87</v>
      </c>
      <c r="D80" s="3" t="s">
        <v>88</v>
      </c>
      <c r="E80" s="4" t="s">
        <v>3</v>
      </c>
      <c r="F80" s="5" t="s">
        <v>71</v>
      </c>
      <c r="G80" s="6" t="s">
        <v>109</v>
      </c>
      <c r="H80" s="7">
        <v>45254.0</v>
      </c>
      <c r="I80" s="8">
        <f t="shared" si="1"/>
        <v>24</v>
      </c>
      <c r="J80" s="9">
        <f t="shared" si="2"/>
        <v>11</v>
      </c>
      <c r="K80" s="9">
        <f t="shared" si="3"/>
        <v>2023</v>
      </c>
      <c r="M80" s="25">
        <f>IFERROR(__xludf.DUMMYFUNCTION("""COMPUTED_VALUE"""),45254.0)</f>
        <v>45254</v>
      </c>
    </row>
    <row r="81">
      <c r="A81" s="10" t="s">
        <v>37</v>
      </c>
      <c r="B81" s="3" t="s">
        <v>38</v>
      </c>
      <c r="C81" s="10" t="s">
        <v>110</v>
      </c>
      <c r="D81" s="3" t="s">
        <v>111</v>
      </c>
      <c r="E81" s="4" t="s">
        <v>8</v>
      </c>
      <c r="F81" s="5" t="s">
        <v>45</v>
      </c>
      <c r="G81" s="6" t="s">
        <v>112</v>
      </c>
      <c r="H81" s="7">
        <v>44943.0</v>
      </c>
      <c r="I81" s="8">
        <f t="shared" si="1"/>
        <v>17</v>
      </c>
      <c r="J81" s="9">
        <f t="shared" si="2"/>
        <v>1</v>
      </c>
      <c r="K81" s="9">
        <f t="shared" si="3"/>
        <v>2023</v>
      </c>
      <c r="M81" s="25">
        <f>IFERROR(__xludf.DUMMYFUNCTION("""COMPUTED_VALUE"""),44943.0)</f>
        <v>44943</v>
      </c>
    </row>
    <row r="82">
      <c r="A82" s="10" t="s">
        <v>37</v>
      </c>
      <c r="B82" s="3" t="s">
        <v>38</v>
      </c>
      <c r="C82" s="10" t="s">
        <v>110</v>
      </c>
      <c r="D82" s="3" t="s">
        <v>111</v>
      </c>
      <c r="E82" s="4" t="s">
        <v>8</v>
      </c>
      <c r="F82" s="5" t="s">
        <v>9</v>
      </c>
      <c r="G82" s="6" t="s">
        <v>113</v>
      </c>
      <c r="H82" s="7">
        <v>44949.0</v>
      </c>
      <c r="I82" s="8">
        <f t="shared" si="1"/>
        <v>23</v>
      </c>
      <c r="J82" s="9">
        <f t="shared" si="2"/>
        <v>1</v>
      </c>
      <c r="K82" s="9">
        <f t="shared" si="3"/>
        <v>2023</v>
      </c>
      <c r="M82" s="25">
        <f>IFERROR(__xludf.DUMMYFUNCTION("""COMPUTED_VALUE"""),44949.0)</f>
        <v>44949</v>
      </c>
    </row>
    <row r="83">
      <c r="A83" s="10" t="s">
        <v>37</v>
      </c>
      <c r="B83" s="3" t="s">
        <v>38</v>
      </c>
      <c r="C83" s="10" t="s">
        <v>110</v>
      </c>
      <c r="D83" s="3" t="s">
        <v>111</v>
      </c>
      <c r="E83" s="4" t="s">
        <v>8</v>
      </c>
      <c r="F83" s="5" t="s">
        <v>51</v>
      </c>
      <c r="G83" s="6" t="s">
        <v>114</v>
      </c>
      <c r="H83" s="7">
        <v>44962.0</v>
      </c>
      <c r="I83" s="8">
        <f t="shared" si="1"/>
        <v>5</v>
      </c>
      <c r="J83" s="9">
        <f t="shared" si="2"/>
        <v>2</v>
      </c>
      <c r="K83" s="9">
        <f t="shared" si="3"/>
        <v>2023</v>
      </c>
      <c r="M83" s="25">
        <f>IFERROR(__xludf.DUMMYFUNCTION("""COMPUTED_VALUE"""),44962.0)</f>
        <v>44962</v>
      </c>
    </row>
    <row r="84">
      <c r="A84" s="10" t="s">
        <v>37</v>
      </c>
      <c r="B84" s="3" t="s">
        <v>38</v>
      </c>
      <c r="C84" s="10" t="s">
        <v>110</v>
      </c>
      <c r="D84" s="3" t="s">
        <v>111</v>
      </c>
      <c r="E84" s="4" t="s">
        <v>3</v>
      </c>
      <c r="F84" s="5" t="s">
        <v>11</v>
      </c>
      <c r="G84" s="6" t="s">
        <v>115</v>
      </c>
      <c r="H84" s="7">
        <v>44994.0</v>
      </c>
      <c r="I84" s="8">
        <f t="shared" si="1"/>
        <v>9</v>
      </c>
      <c r="J84" s="9">
        <f t="shared" si="2"/>
        <v>3</v>
      </c>
      <c r="K84" s="9">
        <f t="shared" si="3"/>
        <v>2023</v>
      </c>
      <c r="M84" s="25">
        <f>IFERROR(__xludf.DUMMYFUNCTION("""COMPUTED_VALUE"""),44994.0)</f>
        <v>44994</v>
      </c>
    </row>
    <row r="85">
      <c r="A85" s="10" t="s">
        <v>37</v>
      </c>
      <c r="B85" s="3" t="s">
        <v>38</v>
      </c>
      <c r="C85" s="10" t="s">
        <v>110</v>
      </c>
      <c r="D85" s="3" t="s">
        <v>111</v>
      </c>
      <c r="E85" s="4" t="s">
        <v>8</v>
      </c>
      <c r="F85" s="5" t="s">
        <v>23</v>
      </c>
      <c r="G85" s="6" t="s">
        <v>116</v>
      </c>
      <c r="H85" s="7">
        <v>45000.0</v>
      </c>
      <c r="I85" s="8">
        <f t="shared" si="1"/>
        <v>15</v>
      </c>
      <c r="J85" s="9">
        <f t="shared" si="2"/>
        <v>3</v>
      </c>
      <c r="K85" s="9">
        <f t="shared" si="3"/>
        <v>2023</v>
      </c>
      <c r="M85" s="25">
        <f>IFERROR(__xludf.DUMMYFUNCTION("""COMPUTED_VALUE"""),45000.0)</f>
        <v>45000</v>
      </c>
    </row>
    <row r="86">
      <c r="A86" s="10" t="s">
        <v>37</v>
      </c>
      <c r="B86" s="3" t="s">
        <v>38</v>
      </c>
      <c r="C86" s="10" t="s">
        <v>110</v>
      </c>
      <c r="D86" s="3" t="s">
        <v>111</v>
      </c>
      <c r="E86" s="4" t="s">
        <v>8</v>
      </c>
      <c r="F86" s="5" t="s">
        <v>9</v>
      </c>
      <c r="G86" s="6" t="s">
        <v>117</v>
      </c>
      <c r="H86" s="7">
        <v>45034.0</v>
      </c>
      <c r="I86" s="8">
        <f t="shared" si="1"/>
        <v>18</v>
      </c>
      <c r="J86" s="9">
        <f t="shared" si="2"/>
        <v>4</v>
      </c>
      <c r="K86" s="9">
        <f t="shared" si="3"/>
        <v>2023</v>
      </c>
      <c r="M86" s="25">
        <f>IFERROR(__xludf.DUMMYFUNCTION("""COMPUTED_VALUE"""),45034.0)</f>
        <v>45034</v>
      </c>
    </row>
    <row r="87">
      <c r="A87" s="10" t="s">
        <v>37</v>
      </c>
      <c r="B87" s="3" t="s">
        <v>38</v>
      </c>
      <c r="C87" s="10" t="s">
        <v>110</v>
      </c>
      <c r="D87" s="3" t="s">
        <v>111</v>
      </c>
      <c r="E87" s="4" t="s">
        <v>8</v>
      </c>
      <c r="F87" s="5" t="s">
        <v>39</v>
      </c>
      <c r="G87" s="6" t="s">
        <v>118</v>
      </c>
      <c r="H87" s="7">
        <v>45040.0</v>
      </c>
      <c r="I87" s="8">
        <f t="shared" si="1"/>
        <v>24</v>
      </c>
      <c r="J87" s="9">
        <f t="shared" si="2"/>
        <v>4</v>
      </c>
      <c r="K87" s="9">
        <f t="shared" si="3"/>
        <v>2023</v>
      </c>
      <c r="M87" s="25">
        <f>IFERROR(__xludf.DUMMYFUNCTION("""COMPUTED_VALUE"""),45040.0)</f>
        <v>45040</v>
      </c>
    </row>
    <row r="88">
      <c r="A88" s="10" t="s">
        <v>37</v>
      </c>
      <c r="B88" s="3" t="s">
        <v>38</v>
      </c>
      <c r="C88" s="10" t="s">
        <v>110</v>
      </c>
      <c r="D88" s="3" t="s">
        <v>111</v>
      </c>
      <c r="E88" s="4" t="s">
        <v>8</v>
      </c>
      <c r="F88" s="5" t="s">
        <v>39</v>
      </c>
      <c r="G88" s="6" t="s">
        <v>119</v>
      </c>
      <c r="H88" s="7">
        <v>45074.0</v>
      </c>
      <c r="I88" s="8">
        <f t="shared" si="1"/>
        <v>28</v>
      </c>
      <c r="J88" s="9">
        <f t="shared" si="2"/>
        <v>5</v>
      </c>
      <c r="K88" s="9">
        <f t="shared" si="3"/>
        <v>2023</v>
      </c>
      <c r="M88" s="25">
        <f>IFERROR(__xludf.DUMMYFUNCTION("""COMPUTED_VALUE"""),45074.0)</f>
        <v>45074</v>
      </c>
    </row>
    <row r="89">
      <c r="A89" s="10" t="s">
        <v>37</v>
      </c>
      <c r="B89" s="3" t="s">
        <v>38</v>
      </c>
      <c r="C89" s="10" t="s">
        <v>110</v>
      </c>
      <c r="D89" s="3" t="s">
        <v>111</v>
      </c>
      <c r="E89" s="4" t="s">
        <v>3</v>
      </c>
      <c r="F89" s="5" t="s">
        <v>120</v>
      </c>
      <c r="G89" s="6" t="s">
        <v>121</v>
      </c>
      <c r="H89" s="7">
        <v>45079.0</v>
      </c>
      <c r="I89" s="8">
        <f t="shared" si="1"/>
        <v>2</v>
      </c>
      <c r="J89" s="9">
        <f t="shared" si="2"/>
        <v>6</v>
      </c>
      <c r="K89" s="9">
        <f t="shared" si="3"/>
        <v>2023</v>
      </c>
      <c r="M89" s="25">
        <f>IFERROR(__xludf.DUMMYFUNCTION("""COMPUTED_VALUE"""),45079.0)</f>
        <v>45079</v>
      </c>
    </row>
    <row r="90">
      <c r="A90" s="10" t="s">
        <v>37</v>
      </c>
      <c r="B90" s="3" t="s">
        <v>38</v>
      </c>
      <c r="C90" s="10" t="s">
        <v>110</v>
      </c>
      <c r="D90" s="3" t="s">
        <v>111</v>
      </c>
      <c r="E90" s="4" t="s">
        <v>8</v>
      </c>
      <c r="F90" s="5" t="s">
        <v>13</v>
      </c>
      <c r="G90" s="6" t="s">
        <v>122</v>
      </c>
      <c r="H90" s="7">
        <v>45111.0</v>
      </c>
      <c r="I90" s="8">
        <f t="shared" si="1"/>
        <v>4</v>
      </c>
      <c r="J90" s="9">
        <f t="shared" si="2"/>
        <v>7</v>
      </c>
      <c r="K90" s="9">
        <f t="shared" si="3"/>
        <v>2023</v>
      </c>
      <c r="M90" s="25">
        <f>IFERROR(__xludf.DUMMYFUNCTION("""COMPUTED_VALUE"""),45111.0)</f>
        <v>45111</v>
      </c>
    </row>
    <row r="91">
      <c r="A91" s="10" t="s">
        <v>37</v>
      </c>
      <c r="B91" s="3" t="s">
        <v>38</v>
      </c>
      <c r="C91" s="10" t="s">
        <v>110</v>
      </c>
      <c r="D91" s="3" t="s">
        <v>111</v>
      </c>
      <c r="E91" s="4" t="s">
        <v>8</v>
      </c>
      <c r="F91" s="5" t="s">
        <v>71</v>
      </c>
      <c r="G91" s="6" t="s">
        <v>123</v>
      </c>
      <c r="H91" s="7">
        <v>45134.0</v>
      </c>
      <c r="I91" s="8">
        <f t="shared" si="1"/>
        <v>27</v>
      </c>
      <c r="J91" s="9">
        <f t="shared" si="2"/>
        <v>7</v>
      </c>
      <c r="K91" s="9">
        <f t="shared" si="3"/>
        <v>2023</v>
      </c>
      <c r="M91" s="25">
        <f>IFERROR(__xludf.DUMMYFUNCTION("""COMPUTED_VALUE"""),45134.0)</f>
        <v>45134</v>
      </c>
    </row>
    <row r="92">
      <c r="A92" s="10" t="s">
        <v>37</v>
      </c>
      <c r="B92" s="3" t="s">
        <v>38</v>
      </c>
      <c r="C92" s="10" t="s">
        <v>110</v>
      </c>
      <c r="D92" s="3" t="s">
        <v>111</v>
      </c>
      <c r="E92" s="4" t="s">
        <v>3</v>
      </c>
      <c r="F92" s="5" t="s">
        <v>13</v>
      </c>
      <c r="G92" s="6" t="s">
        <v>124</v>
      </c>
      <c r="H92" s="7">
        <v>45165.0</v>
      </c>
      <c r="I92" s="8">
        <f t="shared" si="1"/>
        <v>27</v>
      </c>
      <c r="J92" s="9">
        <f t="shared" si="2"/>
        <v>8</v>
      </c>
      <c r="K92" s="9">
        <f t="shared" si="3"/>
        <v>2023</v>
      </c>
      <c r="M92" s="25">
        <f>IFERROR(__xludf.DUMMYFUNCTION("""COMPUTED_VALUE"""),45165.0)</f>
        <v>45165</v>
      </c>
    </row>
    <row r="93">
      <c r="A93" s="10" t="s">
        <v>37</v>
      </c>
      <c r="B93" s="3" t="s">
        <v>38</v>
      </c>
      <c r="C93" s="10" t="s">
        <v>110</v>
      </c>
      <c r="D93" s="3" t="s">
        <v>111</v>
      </c>
      <c r="E93" s="4" t="s">
        <v>3</v>
      </c>
      <c r="F93" s="5" t="s">
        <v>96</v>
      </c>
      <c r="G93" s="6" t="s">
        <v>125</v>
      </c>
      <c r="H93" s="7">
        <v>45184.0</v>
      </c>
      <c r="I93" s="8">
        <f t="shared" si="1"/>
        <v>15</v>
      </c>
      <c r="J93" s="9">
        <f t="shared" si="2"/>
        <v>9</v>
      </c>
      <c r="K93" s="9">
        <f t="shared" si="3"/>
        <v>2023</v>
      </c>
      <c r="M93" s="25">
        <f>IFERROR(__xludf.DUMMYFUNCTION("""COMPUTED_VALUE"""),45184.0)</f>
        <v>45184</v>
      </c>
    </row>
    <row r="94">
      <c r="A94" s="10" t="s">
        <v>37</v>
      </c>
      <c r="B94" s="3" t="s">
        <v>38</v>
      </c>
      <c r="C94" s="10" t="s">
        <v>110</v>
      </c>
      <c r="D94" s="3" t="s">
        <v>111</v>
      </c>
      <c r="E94" s="4" t="s">
        <v>3</v>
      </c>
      <c r="F94" s="5" t="s">
        <v>6</v>
      </c>
      <c r="G94" s="6" t="s">
        <v>126</v>
      </c>
      <c r="H94" s="7">
        <v>45187.0</v>
      </c>
      <c r="I94" s="8">
        <f t="shared" si="1"/>
        <v>18</v>
      </c>
      <c r="J94" s="9">
        <f t="shared" si="2"/>
        <v>9</v>
      </c>
      <c r="K94" s="9">
        <f t="shared" si="3"/>
        <v>2023</v>
      </c>
      <c r="M94" s="25">
        <f>IFERROR(__xludf.DUMMYFUNCTION("""COMPUTED_VALUE"""),45187.0)</f>
        <v>45187</v>
      </c>
    </row>
    <row r="95">
      <c r="A95" s="10" t="s">
        <v>37</v>
      </c>
      <c r="B95" s="3" t="s">
        <v>38</v>
      </c>
      <c r="C95" s="10" t="s">
        <v>110</v>
      </c>
      <c r="D95" s="3" t="s">
        <v>111</v>
      </c>
      <c r="E95" s="4" t="s">
        <v>8</v>
      </c>
      <c r="F95" s="5" t="s">
        <v>76</v>
      </c>
      <c r="G95" s="6" t="s">
        <v>127</v>
      </c>
      <c r="H95" s="7">
        <v>45233.0</v>
      </c>
      <c r="I95" s="8">
        <f t="shared" si="1"/>
        <v>3</v>
      </c>
      <c r="J95" s="9">
        <f t="shared" si="2"/>
        <v>11</v>
      </c>
      <c r="K95" s="9">
        <f t="shared" si="3"/>
        <v>2023</v>
      </c>
      <c r="M95" s="25">
        <f>IFERROR(__xludf.DUMMYFUNCTION("""COMPUTED_VALUE"""),45233.0)</f>
        <v>45233</v>
      </c>
    </row>
    <row r="96">
      <c r="A96" s="10" t="s">
        <v>37</v>
      </c>
      <c r="B96" s="3" t="s">
        <v>38</v>
      </c>
      <c r="C96" s="10" t="s">
        <v>110</v>
      </c>
      <c r="D96" s="3" t="s">
        <v>111</v>
      </c>
      <c r="E96" s="4" t="s">
        <v>3</v>
      </c>
      <c r="F96" s="5" t="s">
        <v>28</v>
      </c>
      <c r="G96" s="6" t="s">
        <v>128</v>
      </c>
      <c r="H96" s="7">
        <v>45239.0</v>
      </c>
      <c r="I96" s="8">
        <f t="shared" si="1"/>
        <v>9</v>
      </c>
      <c r="J96" s="9">
        <f t="shared" si="2"/>
        <v>11</v>
      </c>
      <c r="K96" s="9">
        <f t="shared" si="3"/>
        <v>2023</v>
      </c>
      <c r="M96" s="25">
        <f>IFERROR(__xludf.DUMMYFUNCTION("""COMPUTED_VALUE"""),45239.0)</f>
        <v>45239</v>
      </c>
    </row>
    <row r="97">
      <c r="A97" s="10" t="s">
        <v>37</v>
      </c>
      <c r="B97" s="3" t="s">
        <v>38</v>
      </c>
      <c r="C97" s="10" t="s">
        <v>110</v>
      </c>
      <c r="D97" s="3" t="s">
        <v>111</v>
      </c>
      <c r="E97" s="4" t="s">
        <v>3</v>
      </c>
      <c r="F97" s="5" t="s">
        <v>11</v>
      </c>
      <c r="G97" s="6" t="s">
        <v>129</v>
      </c>
      <c r="H97" s="7">
        <v>45241.0</v>
      </c>
      <c r="I97" s="8">
        <f t="shared" si="1"/>
        <v>11</v>
      </c>
      <c r="J97" s="9">
        <f t="shared" si="2"/>
        <v>11</v>
      </c>
      <c r="K97" s="9">
        <f t="shared" si="3"/>
        <v>2023</v>
      </c>
      <c r="M97" s="25">
        <f>IFERROR(__xludf.DUMMYFUNCTION("""COMPUTED_VALUE"""),45241.0)</f>
        <v>45241</v>
      </c>
    </row>
    <row r="98">
      <c r="A98" s="10" t="s">
        <v>37</v>
      </c>
      <c r="B98" s="3" t="s">
        <v>38</v>
      </c>
      <c r="C98" s="10" t="s">
        <v>110</v>
      </c>
      <c r="D98" s="3" t="s">
        <v>111</v>
      </c>
      <c r="E98" s="4" t="s">
        <v>8</v>
      </c>
      <c r="F98" s="5" t="s">
        <v>96</v>
      </c>
      <c r="G98" s="6" t="s">
        <v>130</v>
      </c>
      <c r="H98" s="7">
        <v>45258.0</v>
      </c>
      <c r="I98" s="8">
        <f t="shared" si="1"/>
        <v>28</v>
      </c>
      <c r="J98" s="9">
        <f t="shared" si="2"/>
        <v>11</v>
      </c>
      <c r="K98" s="9">
        <f t="shared" si="3"/>
        <v>2023</v>
      </c>
      <c r="M98" s="25">
        <f>IFERROR(__xludf.DUMMYFUNCTION("""COMPUTED_VALUE"""),45258.0)</f>
        <v>45258</v>
      </c>
    </row>
    <row r="99">
      <c r="A99" s="10" t="s">
        <v>37</v>
      </c>
      <c r="B99" s="3" t="s">
        <v>38</v>
      </c>
      <c r="C99" s="10" t="s">
        <v>110</v>
      </c>
      <c r="D99" s="3" t="s">
        <v>111</v>
      </c>
      <c r="E99" s="4" t="s">
        <v>3</v>
      </c>
      <c r="F99" s="5" t="s">
        <v>21</v>
      </c>
      <c r="G99" s="6" t="s">
        <v>131</v>
      </c>
      <c r="H99" s="7">
        <v>45261.0</v>
      </c>
      <c r="I99" s="8">
        <f t="shared" si="1"/>
        <v>1</v>
      </c>
      <c r="J99" s="9">
        <f t="shared" si="2"/>
        <v>12</v>
      </c>
      <c r="K99" s="9">
        <f t="shared" si="3"/>
        <v>2023</v>
      </c>
      <c r="M99" s="25">
        <f>IFERROR(__xludf.DUMMYFUNCTION("""COMPUTED_VALUE"""),45261.0)</f>
        <v>45261</v>
      </c>
    </row>
    <row r="100">
      <c r="A100" s="10" t="s">
        <v>37</v>
      </c>
      <c r="B100" s="3" t="s">
        <v>38</v>
      </c>
      <c r="C100" s="10" t="s">
        <v>110</v>
      </c>
      <c r="D100" s="3" t="s">
        <v>111</v>
      </c>
      <c r="E100" s="4" t="s">
        <v>8</v>
      </c>
      <c r="F100" s="5" t="s">
        <v>42</v>
      </c>
      <c r="G100" s="6" t="s">
        <v>132</v>
      </c>
      <c r="H100" s="7">
        <v>45274.0</v>
      </c>
      <c r="I100" s="8">
        <f t="shared" si="1"/>
        <v>14</v>
      </c>
      <c r="J100" s="9">
        <f t="shared" si="2"/>
        <v>12</v>
      </c>
      <c r="K100" s="9">
        <f t="shared" si="3"/>
        <v>2023</v>
      </c>
      <c r="M100" s="25">
        <f>IFERROR(__xludf.DUMMYFUNCTION("""COMPUTED_VALUE"""),45274.0)</f>
        <v>45274</v>
      </c>
    </row>
    <row r="101">
      <c r="A101" s="10" t="s">
        <v>63</v>
      </c>
      <c r="B101" s="3" t="s">
        <v>64</v>
      </c>
      <c r="C101" s="10" t="s">
        <v>133</v>
      </c>
      <c r="D101" s="3" t="s">
        <v>134</v>
      </c>
      <c r="E101" s="4" t="s">
        <v>3</v>
      </c>
      <c r="F101" s="5" t="s">
        <v>96</v>
      </c>
      <c r="G101" s="6" t="s">
        <v>135</v>
      </c>
      <c r="H101" s="7">
        <v>44947.0</v>
      </c>
      <c r="I101" s="8">
        <f t="shared" si="1"/>
        <v>21</v>
      </c>
      <c r="J101" s="9">
        <f t="shared" si="2"/>
        <v>1</v>
      </c>
      <c r="K101" s="9">
        <f t="shared" si="3"/>
        <v>2023</v>
      </c>
      <c r="M101" s="25">
        <f>IFERROR(__xludf.DUMMYFUNCTION("""COMPUTED_VALUE"""),44947.0)</f>
        <v>44947</v>
      </c>
    </row>
    <row r="102">
      <c r="A102" s="10" t="s">
        <v>63</v>
      </c>
      <c r="B102" s="3" t="s">
        <v>64</v>
      </c>
      <c r="C102" s="10" t="s">
        <v>133</v>
      </c>
      <c r="D102" s="3" t="s">
        <v>134</v>
      </c>
      <c r="E102" s="4" t="s">
        <v>3</v>
      </c>
      <c r="F102" s="5" t="s">
        <v>13</v>
      </c>
      <c r="G102" s="6" t="s">
        <v>136</v>
      </c>
      <c r="H102" s="7">
        <v>44967.0</v>
      </c>
      <c r="I102" s="8">
        <f t="shared" si="1"/>
        <v>10</v>
      </c>
      <c r="J102" s="9">
        <f t="shared" si="2"/>
        <v>2</v>
      </c>
      <c r="K102" s="9">
        <f t="shared" si="3"/>
        <v>2023</v>
      </c>
      <c r="M102" s="25">
        <f>IFERROR(__xludf.DUMMYFUNCTION("""COMPUTED_VALUE"""),44967.0)</f>
        <v>44967</v>
      </c>
    </row>
    <row r="103">
      <c r="A103" s="10" t="s">
        <v>63</v>
      </c>
      <c r="B103" s="3" t="s">
        <v>64</v>
      </c>
      <c r="C103" s="10" t="s">
        <v>133</v>
      </c>
      <c r="D103" s="3" t="s">
        <v>134</v>
      </c>
      <c r="E103" s="4" t="s">
        <v>3</v>
      </c>
      <c r="F103" s="5" t="s">
        <v>11</v>
      </c>
      <c r="G103" s="6" t="s">
        <v>137</v>
      </c>
      <c r="H103" s="7">
        <v>44968.0</v>
      </c>
      <c r="I103" s="8">
        <f t="shared" si="1"/>
        <v>11</v>
      </c>
      <c r="J103" s="9">
        <f t="shared" si="2"/>
        <v>2</v>
      </c>
      <c r="K103" s="9">
        <f t="shared" si="3"/>
        <v>2023</v>
      </c>
      <c r="M103" s="25">
        <f>IFERROR(__xludf.DUMMYFUNCTION("""COMPUTED_VALUE"""),44968.0)</f>
        <v>44968</v>
      </c>
    </row>
    <row r="104">
      <c r="A104" s="10" t="s">
        <v>63</v>
      </c>
      <c r="B104" s="3" t="s">
        <v>64</v>
      </c>
      <c r="C104" s="10" t="s">
        <v>133</v>
      </c>
      <c r="D104" s="3" t="s">
        <v>134</v>
      </c>
      <c r="E104" s="4" t="s">
        <v>8</v>
      </c>
      <c r="F104" s="5" t="s">
        <v>35</v>
      </c>
      <c r="G104" s="6" t="s">
        <v>138</v>
      </c>
      <c r="H104" s="7">
        <v>44981.0</v>
      </c>
      <c r="I104" s="8">
        <f t="shared" si="1"/>
        <v>24</v>
      </c>
      <c r="J104" s="9">
        <f t="shared" si="2"/>
        <v>2</v>
      </c>
      <c r="K104" s="9">
        <f t="shared" si="3"/>
        <v>2023</v>
      </c>
      <c r="M104" s="25">
        <f>IFERROR(__xludf.DUMMYFUNCTION("""COMPUTED_VALUE"""),44981.0)</f>
        <v>44981</v>
      </c>
    </row>
    <row r="105">
      <c r="A105" s="10" t="s">
        <v>63</v>
      </c>
      <c r="B105" s="3" t="s">
        <v>64</v>
      </c>
      <c r="C105" s="10" t="s">
        <v>133</v>
      </c>
      <c r="D105" s="3" t="s">
        <v>134</v>
      </c>
      <c r="E105" s="4" t="s">
        <v>3</v>
      </c>
      <c r="F105" s="5" t="s">
        <v>23</v>
      </c>
      <c r="G105" s="6" t="s">
        <v>139</v>
      </c>
      <c r="H105" s="7">
        <v>45001.0</v>
      </c>
      <c r="I105" s="8">
        <f t="shared" si="1"/>
        <v>16</v>
      </c>
      <c r="J105" s="9">
        <f t="shared" si="2"/>
        <v>3</v>
      </c>
      <c r="K105" s="9">
        <f t="shared" si="3"/>
        <v>2023</v>
      </c>
      <c r="M105" s="25">
        <f>IFERROR(__xludf.DUMMYFUNCTION("""COMPUTED_VALUE"""),45001.0)</f>
        <v>45001</v>
      </c>
    </row>
    <row r="106">
      <c r="A106" s="10" t="s">
        <v>63</v>
      </c>
      <c r="B106" s="3" t="s">
        <v>64</v>
      </c>
      <c r="C106" s="10" t="s">
        <v>133</v>
      </c>
      <c r="D106" s="3" t="s">
        <v>134</v>
      </c>
      <c r="E106" s="4" t="s">
        <v>3</v>
      </c>
      <c r="F106" s="5" t="s">
        <v>120</v>
      </c>
      <c r="G106" s="6" t="s">
        <v>140</v>
      </c>
      <c r="H106" s="7">
        <v>45023.0</v>
      </c>
      <c r="I106" s="8">
        <f t="shared" si="1"/>
        <v>7</v>
      </c>
      <c r="J106" s="9">
        <f t="shared" si="2"/>
        <v>4</v>
      </c>
      <c r="K106" s="9">
        <f t="shared" si="3"/>
        <v>2023</v>
      </c>
      <c r="M106" s="25">
        <f>IFERROR(__xludf.DUMMYFUNCTION("""COMPUTED_VALUE"""),45023.0)</f>
        <v>45023</v>
      </c>
    </row>
    <row r="107">
      <c r="A107" s="10" t="s">
        <v>63</v>
      </c>
      <c r="B107" s="3" t="s">
        <v>64</v>
      </c>
      <c r="C107" s="10" t="s">
        <v>133</v>
      </c>
      <c r="D107" s="3" t="s">
        <v>134</v>
      </c>
      <c r="E107" s="4" t="s">
        <v>8</v>
      </c>
      <c r="F107" s="5" t="s">
        <v>23</v>
      </c>
      <c r="G107" s="6" t="s">
        <v>141</v>
      </c>
      <c r="H107" s="7">
        <v>45028.0</v>
      </c>
      <c r="I107" s="8">
        <f t="shared" si="1"/>
        <v>12</v>
      </c>
      <c r="J107" s="9">
        <f t="shared" si="2"/>
        <v>4</v>
      </c>
      <c r="K107" s="9">
        <f t="shared" si="3"/>
        <v>2023</v>
      </c>
      <c r="M107" s="25">
        <f>IFERROR(__xludf.DUMMYFUNCTION("""COMPUTED_VALUE"""),45028.0)</f>
        <v>45028</v>
      </c>
    </row>
    <row r="108">
      <c r="A108" s="10" t="s">
        <v>63</v>
      </c>
      <c r="B108" s="3" t="s">
        <v>64</v>
      </c>
      <c r="C108" s="10" t="s">
        <v>133</v>
      </c>
      <c r="D108" s="3" t="s">
        <v>134</v>
      </c>
      <c r="E108" s="4" t="s">
        <v>8</v>
      </c>
      <c r="F108" s="5" t="s">
        <v>45</v>
      </c>
      <c r="G108" s="6" t="s">
        <v>142</v>
      </c>
      <c r="H108" s="7">
        <v>45097.0</v>
      </c>
      <c r="I108" s="8">
        <f t="shared" si="1"/>
        <v>20</v>
      </c>
      <c r="J108" s="9">
        <f t="shared" si="2"/>
        <v>6</v>
      </c>
      <c r="K108" s="9">
        <f t="shared" si="3"/>
        <v>2023</v>
      </c>
      <c r="M108" s="25">
        <f>IFERROR(__xludf.DUMMYFUNCTION("""COMPUTED_VALUE"""),45097.0)</f>
        <v>45097</v>
      </c>
    </row>
    <row r="109">
      <c r="A109" s="10" t="s">
        <v>63</v>
      </c>
      <c r="B109" s="3" t="s">
        <v>64</v>
      </c>
      <c r="C109" s="10" t="s">
        <v>133</v>
      </c>
      <c r="D109" s="3" t="s">
        <v>134</v>
      </c>
      <c r="E109" s="4" t="s">
        <v>8</v>
      </c>
      <c r="F109" s="5" t="s">
        <v>120</v>
      </c>
      <c r="G109" s="6" t="s">
        <v>143</v>
      </c>
      <c r="H109" s="7">
        <v>45100.0</v>
      </c>
      <c r="I109" s="8">
        <f t="shared" si="1"/>
        <v>23</v>
      </c>
      <c r="J109" s="9">
        <f t="shared" si="2"/>
        <v>6</v>
      </c>
      <c r="K109" s="9">
        <f t="shared" si="3"/>
        <v>2023</v>
      </c>
      <c r="M109" s="25">
        <f>IFERROR(__xludf.DUMMYFUNCTION("""COMPUTED_VALUE"""),45100.0)</f>
        <v>45100</v>
      </c>
    </row>
    <row r="110">
      <c r="A110" s="10" t="s">
        <v>63</v>
      </c>
      <c r="B110" s="3" t="s">
        <v>64</v>
      </c>
      <c r="C110" s="10" t="s">
        <v>133</v>
      </c>
      <c r="D110" s="3" t="s">
        <v>134</v>
      </c>
      <c r="E110" s="4" t="s">
        <v>3</v>
      </c>
      <c r="F110" s="5" t="s">
        <v>71</v>
      </c>
      <c r="G110" s="6" t="s">
        <v>144</v>
      </c>
      <c r="H110" s="7">
        <v>45148.0</v>
      </c>
      <c r="I110" s="8">
        <f t="shared" si="1"/>
        <v>10</v>
      </c>
      <c r="J110" s="9">
        <f t="shared" si="2"/>
        <v>8</v>
      </c>
      <c r="K110" s="9">
        <f t="shared" si="3"/>
        <v>2023</v>
      </c>
      <c r="M110" s="25">
        <f>IFERROR(__xludf.DUMMYFUNCTION("""COMPUTED_VALUE"""),45148.0)</f>
        <v>45148</v>
      </c>
    </row>
    <row r="111">
      <c r="A111" s="10" t="s">
        <v>63</v>
      </c>
      <c r="B111" s="3" t="s">
        <v>64</v>
      </c>
      <c r="C111" s="10" t="s">
        <v>133</v>
      </c>
      <c r="D111" s="3" t="s">
        <v>134</v>
      </c>
      <c r="E111" s="4" t="s">
        <v>8</v>
      </c>
      <c r="F111" s="5" t="s">
        <v>39</v>
      </c>
      <c r="G111" s="6" t="s">
        <v>145</v>
      </c>
      <c r="H111" s="7">
        <v>45153.0</v>
      </c>
      <c r="I111" s="8">
        <f t="shared" si="1"/>
        <v>15</v>
      </c>
      <c r="J111" s="9">
        <f t="shared" si="2"/>
        <v>8</v>
      </c>
      <c r="K111" s="9">
        <f t="shared" si="3"/>
        <v>2023</v>
      </c>
      <c r="M111" s="25">
        <f>IFERROR(__xludf.DUMMYFUNCTION("""COMPUTED_VALUE"""),45153.0)</f>
        <v>45153</v>
      </c>
    </row>
    <row r="112">
      <c r="A112" s="10" t="s">
        <v>63</v>
      </c>
      <c r="B112" s="3" t="s">
        <v>64</v>
      </c>
      <c r="C112" s="10" t="s">
        <v>133</v>
      </c>
      <c r="D112" s="3" t="s">
        <v>134</v>
      </c>
      <c r="E112" s="4" t="s">
        <v>8</v>
      </c>
      <c r="F112" s="5" t="s">
        <v>35</v>
      </c>
      <c r="G112" s="6" t="s">
        <v>146</v>
      </c>
      <c r="H112" s="7">
        <v>45157.0</v>
      </c>
      <c r="I112" s="8">
        <f t="shared" si="1"/>
        <v>19</v>
      </c>
      <c r="J112" s="9">
        <f t="shared" si="2"/>
        <v>8</v>
      </c>
      <c r="K112" s="9">
        <f t="shared" si="3"/>
        <v>2023</v>
      </c>
      <c r="M112" s="25">
        <f>IFERROR(__xludf.DUMMYFUNCTION("""COMPUTED_VALUE"""),45157.0)</f>
        <v>45157</v>
      </c>
    </row>
    <row r="113">
      <c r="A113" s="10" t="s">
        <v>63</v>
      </c>
      <c r="B113" s="3" t="s">
        <v>64</v>
      </c>
      <c r="C113" s="10" t="s">
        <v>133</v>
      </c>
      <c r="D113" s="3" t="s">
        <v>134</v>
      </c>
      <c r="E113" s="4" t="s">
        <v>8</v>
      </c>
      <c r="F113" s="5" t="s">
        <v>6</v>
      </c>
      <c r="G113" s="6" t="s">
        <v>147</v>
      </c>
      <c r="H113" s="7">
        <v>45170.0</v>
      </c>
      <c r="I113" s="8">
        <f t="shared" si="1"/>
        <v>1</v>
      </c>
      <c r="J113" s="9">
        <f t="shared" si="2"/>
        <v>9</v>
      </c>
      <c r="K113" s="9">
        <f t="shared" si="3"/>
        <v>2023</v>
      </c>
      <c r="M113" s="25">
        <f>IFERROR(__xludf.DUMMYFUNCTION("""COMPUTED_VALUE"""),45170.0)</f>
        <v>45170</v>
      </c>
    </row>
    <row r="114">
      <c r="A114" s="10" t="s">
        <v>63</v>
      </c>
      <c r="B114" s="3" t="s">
        <v>64</v>
      </c>
      <c r="C114" s="10" t="s">
        <v>133</v>
      </c>
      <c r="D114" s="3" t="s">
        <v>134</v>
      </c>
      <c r="E114" s="4" t="s">
        <v>8</v>
      </c>
      <c r="F114" s="5" t="s">
        <v>120</v>
      </c>
      <c r="G114" s="6" t="s">
        <v>148</v>
      </c>
      <c r="H114" s="7">
        <v>45178.0</v>
      </c>
      <c r="I114" s="8">
        <f t="shared" si="1"/>
        <v>9</v>
      </c>
      <c r="J114" s="9">
        <f t="shared" si="2"/>
        <v>9</v>
      </c>
      <c r="K114" s="9">
        <f t="shared" si="3"/>
        <v>2023</v>
      </c>
      <c r="M114" s="25">
        <f>IFERROR(__xludf.DUMMYFUNCTION("""COMPUTED_VALUE"""),45178.0)</f>
        <v>45178</v>
      </c>
    </row>
    <row r="115">
      <c r="A115" s="10" t="s">
        <v>63</v>
      </c>
      <c r="B115" s="3" t="s">
        <v>64</v>
      </c>
      <c r="C115" s="10" t="s">
        <v>133</v>
      </c>
      <c r="D115" s="3" t="s">
        <v>134</v>
      </c>
      <c r="E115" s="4" t="s">
        <v>8</v>
      </c>
      <c r="F115" s="5" t="s">
        <v>13</v>
      </c>
      <c r="G115" s="6" t="s">
        <v>149</v>
      </c>
      <c r="H115" s="7">
        <v>45182.0</v>
      </c>
      <c r="I115" s="8">
        <f t="shared" si="1"/>
        <v>13</v>
      </c>
      <c r="J115" s="9">
        <f t="shared" si="2"/>
        <v>9</v>
      </c>
      <c r="K115" s="9">
        <f t="shared" si="3"/>
        <v>2023</v>
      </c>
      <c r="M115" s="25">
        <f>IFERROR(__xludf.DUMMYFUNCTION("""COMPUTED_VALUE"""),45182.0)</f>
        <v>45182</v>
      </c>
    </row>
    <row r="116">
      <c r="A116" s="10" t="s">
        <v>63</v>
      </c>
      <c r="B116" s="3" t="s">
        <v>64</v>
      </c>
      <c r="C116" s="10" t="s">
        <v>133</v>
      </c>
      <c r="D116" s="3" t="s">
        <v>134</v>
      </c>
      <c r="E116" s="4" t="s">
        <v>8</v>
      </c>
      <c r="F116" s="5" t="s">
        <v>96</v>
      </c>
      <c r="G116" s="6" t="s">
        <v>150</v>
      </c>
      <c r="H116" s="7">
        <v>45195.0</v>
      </c>
      <c r="I116" s="8">
        <f t="shared" si="1"/>
        <v>26</v>
      </c>
      <c r="J116" s="9">
        <f t="shared" si="2"/>
        <v>9</v>
      </c>
      <c r="K116" s="9">
        <f t="shared" si="3"/>
        <v>2023</v>
      </c>
      <c r="M116" s="25">
        <f>IFERROR(__xludf.DUMMYFUNCTION("""COMPUTED_VALUE"""),45195.0)</f>
        <v>45195</v>
      </c>
    </row>
    <row r="117">
      <c r="A117" s="10" t="s">
        <v>63</v>
      </c>
      <c r="B117" s="3" t="s">
        <v>64</v>
      </c>
      <c r="C117" s="10" t="s">
        <v>133</v>
      </c>
      <c r="D117" s="3" t="s">
        <v>134</v>
      </c>
      <c r="E117" s="4" t="s">
        <v>8</v>
      </c>
      <c r="F117" s="5" t="s">
        <v>39</v>
      </c>
      <c r="G117" s="6" t="s">
        <v>151</v>
      </c>
      <c r="H117" s="7">
        <v>45211.0</v>
      </c>
      <c r="I117" s="8">
        <f t="shared" si="1"/>
        <v>12</v>
      </c>
      <c r="J117" s="9">
        <f t="shared" si="2"/>
        <v>10</v>
      </c>
      <c r="K117" s="9">
        <f t="shared" si="3"/>
        <v>2023</v>
      </c>
      <c r="M117" s="25">
        <f>IFERROR(__xludf.DUMMYFUNCTION("""COMPUTED_VALUE"""),45211.0)</f>
        <v>45211</v>
      </c>
    </row>
    <row r="118">
      <c r="A118" s="10" t="s">
        <v>63</v>
      </c>
      <c r="B118" s="3" t="s">
        <v>64</v>
      </c>
      <c r="C118" s="10" t="s">
        <v>133</v>
      </c>
      <c r="D118" s="3" t="s">
        <v>134</v>
      </c>
      <c r="E118" s="4" t="s">
        <v>3</v>
      </c>
      <c r="F118" s="5" t="s">
        <v>42</v>
      </c>
      <c r="G118" s="6" t="s">
        <v>152</v>
      </c>
      <c r="H118" s="7">
        <v>45218.0</v>
      </c>
      <c r="I118" s="8">
        <f t="shared" si="1"/>
        <v>19</v>
      </c>
      <c r="J118" s="9">
        <f t="shared" si="2"/>
        <v>10</v>
      </c>
      <c r="K118" s="9">
        <f t="shared" si="3"/>
        <v>2023</v>
      </c>
      <c r="M118" s="25">
        <f>IFERROR(__xludf.DUMMYFUNCTION("""COMPUTED_VALUE"""),45218.0)</f>
        <v>45218</v>
      </c>
    </row>
    <row r="119">
      <c r="A119" s="10" t="s">
        <v>63</v>
      </c>
      <c r="B119" s="3" t="s">
        <v>64</v>
      </c>
      <c r="C119" s="10" t="s">
        <v>133</v>
      </c>
      <c r="D119" s="3" t="s">
        <v>134</v>
      </c>
      <c r="E119" s="4" t="s">
        <v>3</v>
      </c>
      <c r="F119" s="5" t="s">
        <v>39</v>
      </c>
      <c r="G119" s="6" t="s">
        <v>153</v>
      </c>
      <c r="H119" s="7">
        <v>45278.0</v>
      </c>
      <c r="I119" s="8">
        <f t="shared" si="1"/>
        <v>18</v>
      </c>
      <c r="J119" s="9">
        <f t="shared" si="2"/>
        <v>12</v>
      </c>
      <c r="K119" s="9">
        <f t="shared" si="3"/>
        <v>2023</v>
      </c>
      <c r="M119" s="25">
        <f>IFERROR(__xludf.DUMMYFUNCTION("""COMPUTED_VALUE"""),45278.0)</f>
        <v>45278</v>
      </c>
    </row>
    <row r="120">
      <c r="A120" s="10" t="s">
        <v>63</v>
      </c>
      <c r="B120" s="3" t="s">
        <v>64</v>
      </c>
      <c r="C120" s="10" t="s">
        <v>133</v>
      </c>
      <c r="D120" s="3" t="s">
        <v>134</v>
      </c>
      <c r="E120" s="4" t="s">
        <v>3</v>
      </c>
      <c r="F120" s="5" t="s">
        <v>76</v>
      </c>
      <c r="G120" s="6" t="s">
        <v>154</v>
      </c>
      <c r="H120" s="7">
        <v>45284.0</v>
      </c>
      <c r="I120" s="8">
        <f t="shared" si="1"/>
        <v>24</v>
      </c>
      <c r="J120" s="9">
        <f t="shared" si="2"/>
        <v>12</v>
      </c>
      <c r="K120" s="9">
        <f t="shared" si="3"/>
        <v>2023</v>
      </c>
      <c r="M120" s="25">
        <f>IFERROR(__xludf.DUMMYFUNCTION("""COMPUTED_VALUE"""),45284.0)</f>
        <v>45284</v>
      </c>
    </row>
    <row r="121">
      <c r="A121" s="10" t="s">
        <v>87</v>
      </c>
      <c r="B121" s="3" t="s">
        <v>88</v>
      </c>
      <c r="C121" s="10" t="s">
        <v>155</v>
      </c>
      <c r="D121" s="3" t="s">
        <v>156</v>
      </c>
      <c r="E121" s="4" t="s">
        <v>3</v>
      </c>
      <c r="F121" s="5" t="s">
        <v>23</v>
      </c>
      <c r="G121" s="6" t="s">
        <v>157</v>
      </c>
      <c r="H121" s="7">
        <v>44934.0</v>
      </c>
      <c r="I121" s="8">
        <f t="shared" si="1"/>
        <v>8</v>
      </c>
      <c r="J121" s="9">
        <f t="shared" si="2"/>
        <v>1</v>
      </c>
      <c r="K121" s="9">
        <f t="shared" si="3"/>
        <v>2023</v>
      </c>
      <c r="M121" s="25">
        <f>IFERROR(__xludf.DUMMYFUNCTION("""COMPUTED_VALUE"""),44934.0)</f>
        <v>44934</v>
      </c>
    </row>
    <row r="122">
      <c r="A122" s="10" t="s">
        <v>87</v>
      </c>
      <c r="B122" s="3" t="s">
        <v>88</v>
      </c>
      <c r="C122" s="10" t="s">
        <v>155</v>
      </c>
      <c r="D122" s="3" t="s">
        <v>156</v>
      </c>
      <c r="E122" s="4" t="s">
        <v>8</v>
      </c>
      <c r="F122" s="5" t="s">
        <v>76</v>
      </c>
      <c r="G122" s="6" t="s">
        <v>158</v>
      </c>
      <c r="H122" s="7">
        <v>44939.0</v>
      </c>
      <c r="I122" s="8">
        <f t="shared" si="1"/>
        <v>13</v>
      </c>
      <c r="J122" s="9">
        <f t="shared" si="2"/>
        <v>1</v>
      </c>
      <c r="K122" s="9">
        <f t="shared" si="3"/>
        <v>2023</v>
      </c>
      <c r="M122" s="25">
        <f>IFERROR(__xludf.DUMMYFUNCTION("""COMPUTED_VALUE"""),44939.0)</f>
        <v>44939</v>
      </c>
    </row>
    <row r="123">
      <c r="A123" s="10" t="s">
        <v>87</v>
      </c>
      <c r="B123" s="3" t="s">
        <v>88</v>
      </c>
      <c r="C123" s="10" t="s">
        <v>155</v>
      </c>
      <c r="D123" s="3" t="s">
        <v>156</v>
      </c>
      <c r="E123" s="4" t="s">
        <v>8</v>
      </c>
      <c r="F123" s="5" t="s">
        <v>39</v>
      </c>
      <c r="G123" s="6" t="s">
        <v>159</v>
      </c>
      <c r="H123" s="7">
        <v>44978.0</v>
      </c>
      <c r="I123" s="8">
        <f t="shared" si="1"/>
        <v>21</v>
      </c>
      <c r="J123" s="9">
        <f t="shared" si="2"/>
        <v>2</v>
      </c>
      <c r="K123" s="9">
        <f t="shared" si="3"/>
        <v>2023</v>
      </c>
      <c r="M123" s="25">
        <f>IFERROR(__xludf.DUMMYFUNCTION("""COMPUTED_VALUE"""),44978.0)</f>
        <v>44978</v>
      </c>
    </row>
    <row r="124">
      <c r="A124" s="10" t="s">
        <v>87</v>
      </c>
      <c r="B124" s="3" t="s">
        <v>88</v>
      </c>
      <c r="C124" s="10" t="s">
        <v>155</v>
      </c>
      <c r="D124" s="3" t="s">
        <v>156</v>
      </c>
      <c r="E124" s="4" t="s">
        <v>3</v>
      </c>
      <c r="F124" s="5" t="s">
        <v>96</v>
      </c>
      <c r="G124" s="6" t="s">
        <v>160</v>
      </c>
      <c r="H124" s="7">
        <v>44984.0</v>
      </c>
      <c r="I124" s="8">
        <f t="shared" si="1"/>
        <v>27</v>
      </c>
      <c r="J124" s="9">
        <f t="shared" si="2"/>
        <v>2</v>
      </c>
      <c r="K124" s="9">
        <f t="shared" si="3"/>
        <v>2023</v>
      </c>
      <c r="M124" s="25">
        <f>IFERROR(__xludf.DUMMYFUNCTION("""COMPUTED_VALUE"""),44984.0)</f>
        <v>44984</v>
      </c>
    </row>
    <row r="125">
      <c r="A125" s="10" t="s">
        <v>87</v>
      </c>
      <c r="B125" s="3" t="s">
        <v>88</v>
      </c>
      <c r="C125" s="10" t="s">
        <v>155</v>
      </c>
      <c r="D125" s="3" t="s">
        <v>156</v>
      </c>
      <c r="E125" s="4" t="s">
        <v>8</v>
      </c>
      <c r="F125" s="5" t="s">
        <v>19</v>
      </c>
      <c r="G125" s="6" t="s">
        <v>161</v>
      </c>
      <c r="H125" s="7">
        <v>44987.0</v>
      </c>
      <c r="I125" s="8">
        <f t="shared" si="1"/>
        <v>2</v>
      </c>
      <c r="J125" s="9">
        <f t="shared" si="2"/>
        <v>3</v>
      </c>
      <c r="K125" s="9">
        <f t="shared" si="3"/>
        <v>2023</v>
      </c>
      <c r="M125" s="25">
        <f>IFERROR(__xludf.DUMMYFUNCTION("""COMPUTED_VALUE"""),44987.0)</f>
        <v>44987</v>
      </c>
    </row>
    <row r="126">
      <c r="A126" s="10" t="s">
        <v>87</v>
      </c>
      <c r="B126" s="3" t="s">
        <v>88</v>
      </c>
      <c r="C126" s="10" t="s">
        <v>155</v>
      </c>
      <c r="D126" s="3" t="s">
        <v>156</v>
      </c>
      <c r="E126" s="4" t="s">
        <v>8</v>
      </c>
      <c r="F126" s="5" t="s">
        <v>51</v>
      </c>
      <c r="G126" s="6" t="s">
        <v>162</v>
      </c>
      <c r="H126" s="7">
        <v>45013.0</v>
      </c>
      <c r="I126" s="8">
        <f t="shared" si="1"/>
        <v>28</v>
      </c>
      <c r="J126" s="9">
        <f t="shared" si="2"/>
        <v>3</v>
      </c>
      <c r="K126" s="9">
        <f t="shared" si="3"/>
        <v>2023</v>
      </c>
      <c r="M126" s="25">
        <f>IFERROR(__xludf.DUMMYFUNCTION("""COMPUTED_VALUE"""),45013.0)</f>
        <v>45013</v>
      </c>
    </row>
    <row r="127">
      <c r="A127" s="10" t="s">
        <v>87</v>
      </c>
      <c r="B127" s="3" t="s">
        <v>88</v>
      </c>
      <c r="C127" s="10" t="s">
        <v>155</v>
      </c>
      <c r="D127" s="3" t="s">
        <v>156</v>
      </c>
      <c r="E127" s="4" t="s">
        <v>8</v>
      </c>
      <c r="F127" s="5" t="s">
        <v>45</v>
      </c>
      <c r="G127" s="6" t="s">
        <v>163</v>
      </c>
      <c r="H127" s="7">
        <v>45019.0</v>
      </c>
      <c r="I127" s="8">
        <f t="shared" si="1"/>
        <v>3</v>
      </c>
      <c r="J127" s="9">
        <f t="shared" si="2"/>
        <v>4</v>
      </c>
      <c r="K127" s="9">
        <f t="shared" si="3"/>
        <v>2023</v>
      </c>
      <c r="M127" s="25">
        <f>IFERROR(__xludf.DUMMYFUNCTION("""COMPUTED_VALUE"""),45019.0)</f>
        <v>45019</v>
      </c>
    </row>
    <row r="128">
      <c r="A128" s="10" t="s">
        <v>87</v>
      </c>
      <c r="B128" s="3" t="s">
        <v>88</v>
      </c>
      <c r="C128" s="10" t="s">
        <v>155</v>
      </c>
      <c r="D128" s="3" t="s">
        <v>156</v>
      </c>
      <c r="E128" s="4" t="s">
        <v>8</v>
      </c>
      <c r="F128" s="5" t="s">
        <v>23</v>
      </c>
      <c r="G128" s="6" t="s">
        <v>164</v>
      </c>
      <c r="H128" s="7">
        <v>45035.0</v>
      </c>
      <c r="I128" s="8">
        <f t="shared" si="1"/>
        <v>19</v>
      </c>
      <c r="J128" s="9">
        <f t="shared" si="2"/>
        <v>4</v>
      </c>
      <c r="K128" s="9">
        <f t="shared" si="3"/>
        <v>2023</v>
      </c>
      <c r="M128" s="25">
        <f>IFERROR(__xludf.DUMMYFUNCTION("""COMPUTED_VALUE"""),45035.0)</f>
        <v>45035</v>
      </c>
    </row>
    <row r="129">
      <c r="A129" s="10" t="s">
        <v>87</v>
      </c>
      <c r="B129" s="3" t="s">
        <v>88</v>
      </c>
      <c r="C129" s="10" t="s">
        <v>155</v>
      </c>
      <c r="D129" s="3" t="s">
        <v>156</v>
      </c>
      <c r="E129" s="4" t="s">
        <v>3</v>
      </c>
      <c r="F129" s="5" t="s">
        <v>71</v>
      </c>
      <c r="G129" s="6" t="s">
        <v>165</v>
      </c>
      <c r="H129" s="7">
        <v>45050.0</v>
      </c>
      <c r="I129" s="8">
        <f t="shared" si="1"/>
        <v>4</v>
      </c>
      <c r="J129" s="9">
        <f t="shared" si="2"/>
        <v>5</v>
      </c>
      <c r="K129" s="9">
        <f t="shared" si="3"/>
        <v>2023</v>
      </c>
      <c r="M129" s="25">
        <f>IFERROR(__xludf.DUMMYFUNCTION("""COMPUTED_VALUE"""),45050.0)</f>
        <v>45050</v>
      </c>
    </row>
    <row r="130">
      <c r="A130" s="10" t="s">
        <v>87</v>
      </c>
      <c r="B130" s="3" t="s">
        <v>88</v>
      </c>
      <c r="C130" s="10" t="s">
        <v>155</v>
      </c>
      <c r="D130" s="3" t="s">
        <v>156</v>
      </c>
      <c r="E130" s="4" t="s">
        <v>8</v>
      </c>
      <c r="F130" s="5" t="s">
        <v>23</v>
      </c>
      <c r="G130" s="6" t="s">
        <v>166</v>
      </c>
      <c r="H130" s="7">
        <v>45058.0</v>
      </c>
      <c r="I130" s="8">
        <f t="shared" si="1"/>
        <v>12</v>
      </c>
      <c r="J130" s="9">
        <f t="shared" si="2"/>
        <v>5</v>
      </c>
      <c r="K130" s="9">
        <f t="shared" si="3"/>
        <v>2023</v>
      </c>
      <c r="M130" s="25">
        <f>IFERROR(__xludf.DUMMYFUNCTION("""COMPUTED_VALUE"""),45058.0)</f>
        <v>45058</v>
      </c>
    </row>
    <row r="131">
      <c r="A131" s="10" t="s">
        <v>87</v>
      </c>
      <c r="B131" s="3" t="s">
        <v>88</v>
      </c>
      <c r="C131" s="10" t="s">
        <v>155</v>
      </c>
      <c r="D131" s="3" t="s">
        <v>156</v>
      </c>
      <c r="E131" s="4" t="s">
        <v>8</v>
      </c>
      <c r="F131" s="5" t="s">
        <v>13</v>
      </c>
      <c r="G131" s="6" t="s">
        <v>167</v>
      </c>
      <c r="H131" s="7">
        <v>45074.0</v>
      </c>
      <c r="I131" s="8">
        <f t="shared" si="1"/>
        <v>28</v>
      </c>
      <c r="J131" s="9">
        <f t="shared" si="2"/>
        <v>5</v>
      </c>
      <c r="K131" s="9">
        <f t="shared" si="3"/>
        <v>2023</v>
      </c>
      <c r="M131" s="25">
        <f>IFERROR(__xludf.DUMMYFUNCTION("""COMPUTED_VALUE"""),45074.0)</f>
        <v>45074</v>
      </c>
    </row>
    <row r="132">
      <c r="A132" s="10" t="s">
        <v>87</v>
      </c>
      <c r="B132" s="3" t="s">
        <v>88</v>
      </c>
      <c r="C132" s="10" t="s">
        <v>155</v>
      </c>
      <c r="D132" s="3" t="s">
        <v>156</v>
      </c>
      <c r="E132" s="4" t="s">
        <v>8</v>
      </c>
      <c r="F132" s="5" t="s">
        <v>4</v>
      </c>
      <c r="G132" s="6" t="s">
        <v>168</v>
      </c>
      <c r="H132" s="7">
        <v>45100.0</v>
      </c>
      <c r="I132" s="8">
        <f t="shared" si="1"/>
        <v>23</v>
      </c>
      <c r="J132" s="9">
        <f t="shared" si="2"/>
        <v>6</v>
      </c>
      <c r="K132" s="9">
        <f t="shared" si="3"/>
        <v>2023</v>
      </c>
      <c r="M132" s="25">
        <f>IFERROR(__xludf.DUMMYFUNCTION("""COMPUTED_VALUE"""),45100.0)</f>
        <v>45100</v>
      </c>
    </row>
    <row r="133">
      <c r="A133" s="10" t="s">
        <v>87</v>
      </c>
      <c r="B133" s="3" t="s">
        <v>88</v>
      </c>
      <c r="C133" s="10" t="s">
        <v>155</v>
      </c>
      <c r="D133" s="3" t="s">
        <v>156</v>
      </c>
      <c r="E133" s="4" t="s">
        <v>3</v>
      </c>
      <c r="F133" s="5" t="s">
        <v>76</v>
      </c>
      <c r="G133" s="6" t="s">
        <v>169</v>
      </c>
      <c r="H133" s="7">
        <v>45188.0</v>
      </c>
      <c r="I133" s="8">
        <f t="shared" si="1"/>
        <v>19</v>
      </c>
      <c r="J133" s="9">
        <f t="shared" si="2"/>
        <v>9</v>
      </c>
      <c r="K133" s="9">
        <f t="shared" si="3"/>
        <v>2023</v>
      </c>
      <c r="M133" s="25">
        <f>IFERROR(__xludf.DUMMYFUNCTION("""COMPUTED_VALUE"""),45188.0)</f>
        <v>45188</v>
      </c>
    </row>
    <row r="134">
      <c r="A134" s="10" t="s">
        <v>87</v>
      </c>
      <c r="B134" s="3" t="s">
        <v>88</v>
      </c>
      <c r="C134" s="10" t="s">
        <v>155</v>
      </c>
      <c r="D134" s="3" t="s">
        <v>156</v>
      </c>
      <c r="E134" s="4" t="s">
        <v>3</v>
      </c>
      <c r="F134" s="5" t="s">
        <v>96</v>
      </c>
      <c r="G134" s="6" t="s">
        <v>170</v>
      </c>
      <c r="H134" s="7">
        <v>45200.0</v>
      </c>
      <c r="I134" s="8">
        <f t="shared" si="1"/>
        <v>1</v>
      </c>
      <c r="J134" s="9">
        <f t="shared" si="2"/>
        <v>10</v>
      </c>
      <c r="K134" s="9">
        <f t="shared" si="3"/>
        <v>2023</v>
      </c>
      <c r="M134" s="25">
        <f>IFERROR(__xludf.DUMMYFUNCTION("""COMPUTED_VALUE"""),45200.0)</f>
        <v>45200</v>
      </c>
    </row>
    <row r="135">
      <c r="A135" s="10" t="s">
        <v>87</v>
      </c>
      <c r="B135" s="3" t="s">
        <v>88</v>
      </c>
      <c r="C135" s="10" t="s">
        <v>155</v>
      </c>
      <c r="D135" s="3" t="s">
        <v>156</v>
      </c>
      <c r="E135" s="4" t="s">
        <v>8</v>
      </c>
      <c r="F135" s="5" t="s">
        <v>23</v>
      </c>
      <c r="G135" s="6" t="s">
        <v>171</v>
      </c>
      <c r="H135" s="7">
        <v>45200.0</v>
      </c>
      <c r="I135" s="8">
        <f t="shared" si="1"/>
        <v>1</v>
      </c>
      <c r="J135" s="9">
        <f t="shared" si="2"/>
        <v>10</v>
      </c>
      <c r="K135" s="9">
        <f t="shared" si="3"/>
        <v>2023</v>
      </c>
      <c r="M135" s="25">
        <f>IFERROR(__xludf.DUMMYFUNCTION("""COMPUTED_VALUE"""),45200.0)</f>
        <v>45200</v>
      </c>
    </row>
    <row r="136">
      <c r="A136" s="10" t="s">
        <v>87</v>
      </c>
      <c r="B136" s="3" t="s">
        <v>88</v>
      </c>
      <c r="C136" s="10" t="s">
        <v>155</v>
      </c>
      <c r="D136" s="3" t="s">
        <v>156</v>
      </c>
      <c r="E136" s="4" t="s">
        <v>8</v>
      </c>
      <c r="F136" s="5" t="s">
        <v>71</v>
      </c>
      <c r="G136" s="6" t="s">
        <v>172</v>
      </c>
      <c r="H136" s="7">
        <v>45213.0</v>
      </c>
      <c r="I136" s="8">
        <f t="shared" si="1"/>
        <v>14</v>
      </c>
      <c r="J136" s="9">
        <f t="shared" si="2"/>
        <v>10</v>
      </c>
      <c r="K136" s="9">
        <f t="shared" si="3"/>
        <v>2023</v>
      </c>
      <c r="M136" s="25">
        <f>IFERROR(__xludf.DUMMYFUNCTION("""COMPUTED_VALUE"""),45213.0)</f>
        <v>45213</v>
      </c>
    </row>
    <row r="137">
      <c r="A137" s="10" t="s">
        <v>87</v>
      </c>
      <c r="B137" s="3" t="s">
        <v>88</v>
      </c>
      <c r="C137" s="10" t="s">
        <v>155</v>
      </c>
      <c r="D137" s="3" t="s">
        <v>156</v>
      </c>
      <c r="E137" s="4" t="s">
        <v>3</v>
      </c>
      <c r="F137" s="5" t="s">
        <v>21</v>
      </c>
      <c r="G137" s="6" t="s">
        <v>173</v>
      </c>
      <c r="H137" s="7">
        <v>45246.0</v>
      </c>
      <c r="I137" s="8">
        <f t="shared" si="1"/>
        <v>16</v>
      </c>
      <c r="J137" s="9">
        <f t="shared" si="2"/>
        <v>11</v>
      </c>
      <c r="K137" s="9">
        <f t="shared" si="3"/>
        <v>2023</v>
      </c>
      <c r="M137" s="25">
        <f>IFERROR(__xludf.DUMMYFUNCTION("""COMPUTED_VALUE"""),45246.0)</f>
        <v>45246</v>
      </c>
    </row>
    <row r="138">
      <c r="A138" s="10" t="s">
        <v>87</v>
      </c>
      <c r="B138" s="3" t="s">
        <v>88</v>
      </c>
      <c r="C138" s="10" t="s">
        <v>155</v>
      </c>
      <c r="D138" s="3" t="s">
        <v>156</v>
      </c>
      <c r="E138" s="4" t="s">
        <v>8</v>
      </c>
      <c r="F138" s="5" t="s">
        <v>39</v>
      </c>
      <c r="G138" s="6" t="s">
        <v>174</v>
      </c>
      <c r="H138" s="7">
        <v>45257.0</v>
      </c>
      <c r="I138" s="8">
        <f t="shared" si="1"/>
        <v>27</v>
      </c>
      <c r="J138" s="9">
        <f t="shared" si="2"/>
        <v>11</v>
      </c>
      <c r="K138" s="9">
        <f t="shared" si="3"/>
        <v>2023</v>
      </c>
      <c r="M138" s="25">
        <f>IFERROR(__xludf.DUMMYFUNCTION("""COMPUTED_VALUE"""),45257.0)</f>
        <v>45257</v>
      </c>
    </row>
    <row r="139">
      <c r="A139" s="10" t="s">
        <v>87</v>
      </c>
      <c r="B139" s="3" t="s">
        <v>88</v>
      </c>
      <c r="C139" s="10" t="s">
        <v>155</v>
      </c>
      <c r="D139" s="3" t="s">
        <v>156</v>
      </c>
      <c r="E139" s="4" t="s">
        <v>8</v>
      </c>
      <c r="F139" s="5" t="s">
        <v>76</v>
      </c>
      <c r="G139" s="6" t="s">
        <v>175</v>
      </c>
      <c r="H139" s="7">
        <v>45261.0</v>
      </c>
      <c r="I139" s="8">
        <f t="shared" si="1"/>
        <v>1</v>
      </c>
      <c r="J139" s="9">
        <f t="shared" si="2"/>
        <v>12</v>
      </c>
      <c r="K139" s="9">
        <f t="shared" si="3"/>
        <v>2023</v>
      </c>
      <c r="M139" s="25">
        <f>IFERROR(__xludf.DUMMYFUNCTION("""COMPUTED_VALUE"""),45261.0)</f>
        <v>45261</v>
      </c>
    </row>
    <row r="140">
      <c r="A140" s="10" t="s">
        <v>87</v>
      </c>
      <c r="B140" s="3" t="s">
        <v>88</v>
      </c>
      <c r="C140" s="10" t="s">
        <v>155</v>
      </c>
      <c r="D140" s="3" t="s">
        <v>156</v>
      </c>
      <c r="E140" s="4" t="s">
        <v>8</v>
      </c>
      <c r="F140" s="5" t="s">
        <v>28</v>
      </c>
      <c r="G140" s="6" t="s">
        <v>176</v>
      </c>
      <c r="H140" s="7">
        <v>45286.0</v>
      </c>
      <c r="I140" s="8">
        <f t="shared" si="1"/>
        <v>26</v>
      </c>
      <c r="J140" s="9">
        <f t="shared" si="2"/>
        <v>12</v>
      </c>
      <c r="K140" s="9">
        <f t="shared" si="3"/>
        <v>2023</v>
      </c>
      <c r="M140" s="25">
        <f>IFERROR(__xludf.DUMMYFUNCTION("""COMPUTED_VALUE"""),45286.0)</f>
        <v>45286</v>
      </c>
    </row>
    <row r="141">
      <c r="A141" s="10" t="s">
        <v>110</v>
      </c>
      <c r="B141" s="3" t="s">
        <v>111</v>
      </c>
      <c r="C141" s="10" t="s">
        <v>177</v>
      </c>
      <c r="D141" s="3" t="s">
        <v>178</v>
      </c>
      <c r="E141" s="4" t="s">
        <v>8</v>
      </c>
      <c r="F141" s="5" t="s">
        <v>28</v>
      </c>
      <c r="G141" s="6" t="s">
        <v>179</v>
      </c>
      <c r="H141" s="7">
        <v>44932.0</v>
      </c>
      <c r="I141" s="8">
        <f t="shared" si="1"/>
        <v>6</v>
      </c>
      <c r="J141" s="9">
        <f t="shared" si="2"/>
        <v>1</v>
      </c>
      <c r="K141" s="9">
        <f t="shared" si="3"/>
        <v>2023</v>
      </c>
      <c r="M141" s="25">
        <f>IFERROR(__xludf.DUMMYFUNCTION("""COMPUTED_VALUE"""),44932.0)</f>
        <v>44932</v>
      </c>
    </row>
    <row r="142">
      <c r="A142" s="10" t="s">
        <v>110</v>
      </c>
      <c r="B142" s="3" t="s">
        <v>111</v>
      </c>
      <c r="C142" s="10" t="s">
        <v>177</v>
      </c>
      <c r="D142" s="3" t="s">
        <v>178</v>
      </c>
      <c r="E142" s="4" t="s">
        <v>3</v>
      </c>
      <c r="F142" s="5" t="s">
        <v>35</v>
      </c>
      <c r="G142" s="6" t="s">
        <v>180</v>
      </c>
      <c r="H142" s="7">
        <v>44982.0</v>
      </c>
      <c r="I142" s="8">
        <f t="shared" si="1"/>
        <v>25</v>
      </c>
      <c r="J142" s="9">
        <f t="shared" si="2"/>
        <v>2</v>
      </c>
      <c r="K142" s="9">
        <f t="shared" si="3"/>
        <v>2023</v>
      </c>
      <c r="M142" s="25">
        <f>IFERROR(__xludf.DUMMYFUNCTION("""COMPUTED_VALUE"""),44982.0)</f>
        <v>44982</v>
      </c>
    </row>
    <row r="143">
      <c r="A143" s="10" t="s">
        <v>110</v>
      </c>
      <c r="B143" s="3" t="s">
        <v>111</v>
      </c>
      <c r="C143" s="10" t="s">
        <v>177</v>
      </c>
      <c r="D143" s="3" t="s">
        <v>178</v>
      </c>
      <c r="E143" s="4" t="s">
        <v>3</v>
      </c>
      <c r="F143" s="5" t="s">
        <v>51</v>
      </c>
      <c r="G143" s="6" t="s">
        <v>181</v>
      </c>
      <c r="H143" s="7">
        <v>44985.0</v>
      </c>
      <c r="I143" s="8">
        <f t="shared" si="1"/>
        <v>28</v>
      </c>
      <c r="J143" s="9">
        <f t="shared" si="2"/>
        <v>2</v>
      </c>
      <c r="K143" s="9">
        <f t="shared" si="3"/>
        <v>2023</v>
      </c>
      <c r="M143" s="25">
        <f>IFERROR(__xludf.DUMMYFUNCTION("""COMPUTED_VALUE"""),44985.0)</f>
        <v>44985</v>
      </c>
    </row>
    <row r="144">
      <c r="A144" s="10" t="s">
        <v>110</v>
      </c>
      <c r="B144" s="3" t="s">
        <v>111</v>
      </c>
      <c r="C144" s="10" t="s">
        <v>177</v>
      </c>
      <c r="D144" s="3" t="s">
        <v>178</v>
      </c>
      <c r="E144" s="4" t="s">
        <v>3</v>
      </c>
      <c r="F144" s="5" t="s">
        <v>4</v>
      </c>
      <c r="G144" s="6" t="s">
        <v>182</v>
      </c>
      <c r="H144" s="7">
        <v>44985.0</v>
      </c>
      <c r="I144" s="8">
        <f t="shared" si="1"/>
        <v>28</v>
      </c>
      <c r="J144" s="9">
        <f t="shared" si="2"/>
        <v>2</v>
      </c>
      <c r="K144" s="9">
        <f t="shared" si="3"/>
        <v>2023</v>
      </c>
      <c r="M144" s="25">
        <f>IFERROR(__xludf.DUMMYFUNCTION("""COMPUTED_VALUE"""),44985.0)</f>
        <v>44985</v>
      </c>
    </row>
    <row r="145">
      <c r="A145" s="10" t="s">
        <v>110</v>
      </c>
      <c r="B145" s="3" t="s">
        <v>111</v>
      </c>
      <c r="C145" s="10" t="s">
        <v>177</v>
      </c>
      <c r="D145" s="3" t="s">
        <v>178</v>
      </c>
      <c r="E145" s="4" t="s">
        <v>3</v>
      </c>
      <c r="F145" s="5" t="s">
        <v>45</v>
      </c>
      <c r="G145" s="6" t="s">
        <v>183</v>
      </c>
      <c r="H145" s="7">
        <v>45008.0</v>
      </c>
      <c r="I145" s="8">
        <f t="shared" si="1"/>
        <v>23</v>
      </c>
      <c r="J145" s="9">
        <f t="shared" si="2"/>
        <v>3</v>
      </c>
      <c r="K145" s="9">
        <f t="shared" si="3"/>
        <v>2023</v>
      </c>
      <c r="M145" s="25">
        <f>IFERROR(__xludf.DUMMYFUNCTION("""COMPUTED_VALUE"""),45008.0)</f>
        <v>45008</v>
      </c>
    </row>
    <row r="146">
      <c r="A146" s="10" t="s">
        <v>110</v>
      </c>
      <c r="B146" s="3" t="s">
        <v>111</v>
      </c>
      <c r="C146" s="10" t="s">
        <v>177</v>
      </c>
      <c r="D146" s="3" t="s">
        <v>178</v>
      </c>
      <c r="E146" s="4" t="s">
        <v>8</v>
      </c>
      <c r="F146" s="5" t="s">
        <v>9</v>
      </c>
      <c r="G146" s="6" t="s">
        <v>184</v>
      </c>
      <c r="H146" s="7">
        <v>45081.0</v>
      </c>
      <c r="I146" s="8">
        <f t="shared" si="1"/>
        <v>4</v>
      </c>
      <c r="J146" s="9">
        <f t="shared" si="2"/>
        <v>6</v>
      </c>
      <c r="K146" s="9">
        <f t="shared" si="3"/>
        <v>2023</v>
      </c>
      <c r="M146" s="25">
        <f>IFERROR(__xludf.DUMMYFUNCTION("""COMPUTED_VALUE"""),45081.0)</f>
        <v>45081</v>
      </c>
    </row>
    <row r="147">
      <c r="A147" s="10" t="s">
        <v>110</v>
      </c>
      <c r="B147" s="3" t="s">
        <v>111</v>
      </c>
      <c r="C147" s="10" t="s">
        <v>177</v>
      </c>
      <c r="D147" s="3" t="s">
        <v>178</v>
      </c>
      <c r="E147" s="4" t="s">
        <v>8</v>
      </c>
      <c r="F147" s="5" t="s">
        <v>11</v>
      </c>
      <c r="G147" s="6" t="s">
        <v>185</v>
      </c>
      <c r="H147" s="7">
        <v>45087.0</v>
      </c>
      <c r="I147" s="8">
        <f t="shared" si="1"/>
        <v>10</v>
      </c>
      <c r="J147" s="9">
        <f t="shared" si="2"/>
        <v>6</v>
      </c>
      <c r="K147" s="9">
        <f t="shared" si="3"/>
        <v>2023</v>
      </c>
      <c r="M147" s="25">
        <f>IFERROR(__xludf.DUMMYFUNCTION("""COMPUTED_VALUE"""),45087.0)</f>
        <v>45087</v>
      </c>
    </row>
    <row r="148">
      <c r="A148" s="10" t="s">
        <v>110</v>
      </c>
      <c r="B148" s="3" t="s">
        <v>111</v>
      </c>
      <c r="C148" s="10" t="s">
        <v>177</v>
      </c>
      <c r="D148" s="3" t="s">
        <v>178</v>
      </c>
      <c r="E148" s="4" t="s">
        <v>8</v>
      </c>
      <c r="F148" s="5" t="s">
        <v>28</v>
      </c>
      <c r="G148" s="6" t="s">
        <v>186</v>
      </c>
      <c r="H148" s="7">
        <v>45089.0</v>
      </c>
      <c r="I148" s="8">
        <f t="shared" si="1"/>
        <v>12</v>
      </c>
      <c r="J148" s="9">
        <f t="shared" si="2"/>
        <v>6</v>
      </c>
      <c r="K148" s="9">
        <f t="shared" si="3"/>
        <v>2023</v>
      </c>
      <c r="M148" s="25">
        <f>IFERROR(__xludf.DUMMYFUNCTION("""COMPUTED_VALUE"""),45089.0)</f>
        <v>45089</v>
      </c>
    </row>
    <row r="149">
      <c r="A149" s="10" t="s">
        <v>110</v>
      </c>
      <c r="B149" s="3" t="s">
        <v>111</v>
      </c>
      <c r="C149" s="10" t="s">
        <v>177</v>
      </c>
      <c r="D149" s="3" t="s">
        <v>178</v>
      </c>
      <c r="E149" s="4" t="s">
        <v>8</v>
      </c>
      <c r="F149" s="5" t="s">
        <v>21</v>
      </c>
      <c r="G149" s="6" t="s">
        <v>187</v>
      </c>
      <c r="H149" s="7">
        <v>45101.0</v>
      </c>
      <c r="I149" s="8">
        <f t="shared" si="1"/>
        <v>24</v>
      </c>
      <c r="J149" s="9">
        <f t="shared" si="2"/>
        <v>6</v>
      </c>
      <c r="K149" s="9">
        <f t="shared" si="3"/>
        <v>2023</v>
      </c>
      <c r="M149" s="25">
        <f>IFERROR(__xludf.DUMMYFUNCTION("""COMPUTED_VALUE"""),45101.0)</f>
        <v>45101</v>
      </c>
    </row>
    <row r="150">
      <c r="A150" s="10" t="s">
        <v>110</v>
      </c>
      <c r="B150" s="3" t="s">
        <v>111</v>
      </c>
      <c r="C150" s="10" t="s">
        <v>177</v>
      </c>
      <c r="D150" s="3" t="s">
        <v>178</v>
      </c>
      <c r="E150" s="4" t="s">
        <v>3</v>
      </c>
      <c r="F150" s="5" t="s">
        <v>42</v>
      </c>
      <c r="G150" s="6" t="s">
        <v>188</v>
      </c>
      <c r="H150" s="7">
        <v>45111.0</v>
      </c>
      <c r="I150" s="8">
        <f t="shared" si="1"/>
        <v>4</v>
      </c>
      <c r="J150" s="9">
        <f t="shared" si="2"/>
        <v>7</v>
      </c>
      <c r="K150" s="9">
        <f t="shared" si="3"/>
        <v>2023</v>
      </c>
      <c r="M150" s="25">
        <f>IFERROR(__xludf.DUMMYFUNCTION("""COMPUTED_VALUE"""),45111.0)</f>
        <v>45111</v>
      </c>
    </row>
    <row r="151">
      <c r="A151" s="10" t="s">
        <v>110</v>
      </c>
      <c r="B151" s="3" t="s">
        <v>111</v>
      </c>
      <c r="C151" s="10" t="s">
        <v>177</v>
      </c>
      <c r="D151" s="3" t="s">
        <v>178</v>
      </c>
      <c r="E151" s="4" t="s">
        <v>3</v>
      </c>
      <c r="F151" s="5" t="s">
        <v>39</v>
      </c>
      <c r="G151" s="6" t="s">
        <v>189</v>
      </c>
      <c r="H151" s="7">
        <v>45129.0</v>
      </c>
      <c r="I151" s="8">
        <f t="shared" si="1"/>
        <v>22</v>
      </c>
      <c r="J151" s="9">
        <f t="shared" si="2"/>
        <v>7</v>
      </c>
      <c r="K151" s="9">
        <f t="shared" si="3"/>
        <v>2023</v>
      </c>
      <c r="M151" s="25">
        <f>IFERROR(__xludf.DUMMYFUNCTION("""COMPUTED_VALUE"""),45129.0)</f>
        <v>45129</v>
      </c>
    </row>
    <row r="152">
      <c r="A152" s="10" t="s">
        <v>110</v>
      </c>
      <c r="B152" s="3" t="s">
        <v>111</v>
      </c>
      <c r="C152" s="10" t="s">
        <v>177</v>
      </c>
      <c r="D152" s="3" t="s">
        <v>178</v>
      </c>
      <c r="E152" s="4" t="s">
        <v>3</v>
      </c>
      <c r="F152" s="5" t="s">
        <v>9</v>
      </c>
      <c r="G152" s="6" t="s">
        <v>190</v>
      </c>
      <c r="H152" s="7">
        <v>45149.0</v>
      </c>
      <c r="I152" s="8">
        <f t="shared" si="1"/>
        <v>11</v>
      </c>
      <c r="J152" s="9">
        <f t="shared" si="2"/>
        <v>8</v>
      </c>
      <c r="K152" s="9">
        <f t="shared" si="3"/>
        <v>2023</v>
      </c>
      <c r="M152" s="25">
        <f>IFERROR(__xludf.DUMMYFUNCTION("""COMPUTED_VALUE"""),45149.0)</f>
        <v>45149</v>
      </c>
    </row>
    <row r="153">
      <c r="A153" s="10" t="s">
        <v>110</v>
      </c>
      <c r="B153" s="3" t="s">
        <v>111</v>
      </c>
      <c r="C153" s="10" t="s">
        <v>177</v>
      </c>
      <c r="D153" s="3" t="s">
        <v>178</v>
      </c>
      <c r="E153" s="4" t="s">
        <v>3</v>
      </c>
      <c r="F153" s="5" t="s">
        <v>17</v>
      </c>
      <c r="G153" s="6" t="s">
        <v>191</v>
      </c>
      <c r="H153" s="7">
        <v>45186.0</v>
      </c>
      <c r="I153" s="8">
        <f t="shared" si="1"/>
        <v>17</v>
      </c>
      <c r="J153" s="9">
        <f t="shared" si="2"/>
        <v>9</v>
      </c>
      <c r="K153" s="9">
        <f t="shared" si="3"/>
        <v>2023</v>
      </c>
      <c r="M153" s="25">
        <f>IFERROR(__xludf.DUMMYFUNCTION("""COMPUTED_VALUE"""),45186.0)</f>
        <v>45186</v>
      </c>
    </row>
    <row r="154">
      <c r="A154" s="10" t="s">
        <v>110</v>
      </c>
      <c r="B154" s="3" t="s">
        <v>111</v>
      </c>
      <c r="C154" s="10" t="s">
        <v>177</v>
      </c>
      <c r="D154" s="3" t="s">
        <v>178</v>
      </c>
      <c r="E154" s="4" t="s">
        <v>8</v>
      </c>
      <c r="F154" s="5" t="s">
        <v>76</v>
      </c>
      <c r="G154" s="6" t="s">
        <v>192</v>
      </c>
      <c r="H154" s="7">
        <v>45205.0</v>
      </c>
      <c r="I154" s="8">
        <f t="shared" si="1"/>
        <v>6</v>
      </c>
      <c r="J154" s="9">
        <f t="shared" si="2"/>
        <v>10</v>
      </c>
      <c r="K154" s="9">
        <f t="shared" si="3"/>
        <v>2023</v>
      </c>
      <c r="M154" s="25">
        <f>IFERROR(__xludf.DUMMYFUNCTION("""COMPUTED_VALUE"""),45205.0)</f>
        <v>45205</v>
      </c>
    </row>
    <row r="155">
      <c r="A155" s="10" t="s">
        <v>110</v>
      </c>
      <c r="B155" s="3" t="s">
        <v>111</v>
      </c>
      <c r="C155" s="10" t="s">
        <v>177</v>
      </c>
      <c r="D155" s="3" t="s">
        <v>178</v>
      </c>
      <c r="E155" s="4" t="s">
        <v>8</v>
      </c>
      <c r="F155" s="5" t="s">
        <v>21</v>
      </c>
      <c r="G155" s="6" t="s">
        <v>193</v>
      </c>
      <c r="H155" s="7">
        <v>45205.0</v>
      </c>
      <c r="I155" s="8">
        <f t="shared" si="1"/>
        <v>6</v>
      </c>
      <c r="J155" s="9">
        <f t="shared" si="2"/>
        <v>10</v>
      </c>
      <c r="K155" s="9">
        <f t="shared" si="3"/>
        <v>2023</v>
      </c>
      <c r="M155" s="25">
        <f>IFERROR(__xludf.DUMMYFUNCTION("""COMPUTED_VALUE"""),45205.0)</f>
        <v>45205</v>
      </c>
    </row>
    <row r="156">
      <c r="A156" s="10" t="s">
        <v>110</v>
      </c>
      <c r="B156" s="3" t="s">
        <v>111</v>
      </c>
      <c r="C156" s="10" t="s">
        <v>177</v>
      </c>
      <c r="D156" s="3" t="s">
        <v>178</v>
      </c>
      <c r="E156" s="4" t="s">
        <v>3</v>
      </c>
      <c r="F156" s="5" t="s">
        <v>76</v>
      </c>
      <c r="G156" s="6" t="s">
        <v>194</v>
      </c>
      <c r="H156" s="7">
        <v>45223.0</v>
      </c>
      <c r="I156" s="8">
        <f t="shared" si="1"/>
        <v>24</v>
      </c>
      <c r="J156" s="9">
        <f t="shared" si="2"/>
        <v>10</v>
      </c>
      <c r="K156" s="9">
        <f t="shared" si="3"/>
        <v>2023</v>
      </c>
      <c r="M156" s="25">
        <f>IFERROR(__xludf.DUMMYFUNCTION("""COMPUTED_VALUE"""),45223.0)</f>
        <v>45223</v>
      </c>
    </row>
    <row r="157">
      <c r="A157" s="10" t="s">
        <v>110</v>
      </c>
      <c r="B157" s="3" t="s">
        <v>111</v>
      </c>
      <c r="C157" s="10" t="s">
        <v>177</v>
      </c>
      <c r="D157" s="3" t="s">
        <v>178</v>
      </c>
      <c r="E157" s="4" t="s">
        <v>8</v>
      </c>
      <c r="F157" s="5" t="s">
        <v>4</v>
      </c>
      <c r="G157" s="6" t="s">
        <v>195</v>
      </c>
      <c r="H157" s="7">
        <v>45234.0</v>
      </c>
      <c r="I157" s="8">
        <f t="shared" si="1"/>
        <v>4</v>
      </c>
      <c r="J157" s="9">
        <f t="shared" si="2"/>
        <v>11</v>
      </c>
      <c r="K157" s="9">
        <f t="shared" si="3"/>
        <v>2023</v>
      </c>
      <c r="M157" s="25">
        <f>IFERROR(__xludf.DUMMYFUNCTION("""COMPUTED_VALUE"""),45234.0)</f>
        <v>45234</v>
      </c>
    </row>
    <row r="158">
      <c r="A158" s="10" t="s">
        <v>110</v>
      </c>
      <c r="B158" s="3" t="s">
        <v>111</v>
      </c>
      <c r="C158" s="10" t="s">
        <v>177</v>
      </c>
      <c r="D158" s="3" t="s">
        <v>178</v>
      </c>
      <c r="E158" s="4" t="s">
        <v>8</v>
      </c>
      <c r="F158" s="5" t="s">
        <v>42</v>
      </c>
      <c r="G158" s="6" t="s">
        <v>196</v>
      </c>
      <c r="H158" s="7">
        <v>45238.0</v>
      </c>
      <c r="I158" s="8">
        <f t="shared" si="1"/>
        <v>8</v>
      </c>
      <c r="J158" s="9">
        <f t="shared" si="2"/>
        <v>11</v>
      </c>
      <c r="K158" s="9">
        <f t="shared" si="3"/>
        <v>2023</v>
      </c>
      <c r="M158" s="25">
        <f>IFERROR(__xludf.DUMMYFUNCTION("""COMPUTED_VALUE"""),45238.0)</f>
        <v>45238</v>
      </c>
    </row>
    <row r="159">
      <c r="A159" s="10" t="s">
        <v>110</v>
      </c>
      <c r="B159" s="3" t="s">
        <v>111</v>
      </c>
      <c r="C159" s="10" t="s">
        <v>177</v>
      </c>
      <c r="D159" s="3" t="s">
        <v>178</v>
      </c>
      <c r="E159" s="4" t="s">
        <v>8</v>
      </c>
      <c r="F159" s="5" t="s">
        <v>9</v>
      </c>
      <c r="G159" s="6" t="s">
        <v>197</v>
      </c>
      <c r="H159" s="7">
        <v>45244.0</v>
      </c>
      <c r="I159" s="8">
        <f t="shared" si="1"/>
        <v>14</v>
      </c>
      <c r="J159" s="9">
        <f t="shared" si="2"/>
        <v>11</v>
      </c>
      <c r="K159" s="9">
        <f t="shared" si="3"/>
        <v>2023</v>
      </c>
      <c r="M159" s="25">
        <f>IFERROR(__xludf.DUMMYFUNCTION("""COMPUTED_VALUE"""),45244.0)</f>
        <v>45244</v>
      </c>
    </row>
    <row r="160">
      <c r="A160" s="10" t="s">
        <v>110</v>
      </c>
      <c r="B160" s="3" t="s">
        <v>111</v>
      </c>
      <c r="C160" s="10" t="s">
        <v>177</v>
      </c>
      <c r="D160" s="3" t="s">
        <v>178</v>
      </c>
      <c r="E160" s="4" t="s">
        <v>8</v>
      </c>
      <c r="F160" s="5" t="s">
        <v>28</v>
      </c>
      <c r="G160" s="6" t="s">
        <v>198</v>
      </c>
      <c r="H160" s="7">
        <v>45249.0</v>
      </c>
      <c r="I160" s="8">
        <f t="shared" si="1"/>
        <v>19</v>
      </c>
      <c r="J160" s="9">
        <f t="shared" si="2"/>
        <v>11</v>
      </c>
      <c r="K160" s="9">
        <f t="shared" si="3"/>
        <v>2023</v>
      </c>
      <c r="M160" s="25">
        <f>IFERROR(__xludf.DUMMYFUNCTION("""COMPUTED_VALUE"""),45249.0)</f>
        <v>45249</v>
      </c>
    </row>
    <row r="161">
      <c r="A161" s="10" t="s">
        <v>133</v>
      </c>
      <c r="B161" s="3" t="s">
        <v>134</v>
      </c>
      <c r="C161" s="10" t="s">
        <v>199</v>
      </c>
      <c r="D161" s="3" t="s">
        <v>200</v>
      </c>
      <c r="E161" s="4" t="s">
        <v>3</v>
      </c>
      <c r="F161" s="5" t="s">
        <v>96</v>
      </c>
      <c r="G161" s="6" t="s">
        <v>201</v>
      </c>
      <c r="H161" s="7">
        <v>44959.0</v>
      </c>
      <c r="I161" s="8">
        <f t="shared" si="1"/>
        <v>2</v>
      </c>
      <c r="J161" s="9">
        <f t="shared" si="2"/>
        <v>2</v>
      </c>
      <c r="K161" s="9">
        <f t="shared" si="3"/>
        <v>2023</v>
      </c>
      <c r="M161" s="25">
        <f>IFERROR(__xludf.DUMMYFUNCTION("""COMPUTED_VALUE"""),44959.0)</f>
        <v>44959</v>
      </c>
    </row>
    <row r="162">
      <c r="A162" s="10" t="s">
        <v>133</v>
      </c>
      <c r="B162" s="3" t="s">
        <v>134</v>
      </c>
      <c r="C162" s="10" t="s">
        <v>199</v>
      </c>
      <c r="D162" s="3" t="s">
        <v>200</v>
      </c>
      <c r="E162" s="4" t="s">
        <v>8</v>
      </c>
      <c r="F162" s="5" t="s">
        <v>15</v>
      </c>
      <c r="G162" s="6" t="s">
        <v>202</v>
      </c>
      <c r="H162" s="7">
        <v>44969.0</v>
      </c>
      <c r="I162" s="8">
        <f t="shared" si="1"/>
        <v>12</v>
      </c>
      <c r="J162" s="9">
        <f t="shared" si="2"/>
        <v>2</v>
      </c>
      <c r="K162" s="9">
        <f t="shared" si="3"/>
        <v>2023</v>
      </c>
      <c r="M162" s="25">
        <f>IFERROR(__xludf.DUMMYFUNCTION("""COMPUTED_VALUE"""),44969.0)</f>
        <v>44969</v>
      </c>
    </row>
    <row r="163">
      <c r="A163" s="10" t="s">
        <v>133</v>
      </c>
      <c r="B163" s="3" t="s">
        <v>134</v>
      </c>
      <c r="C163" s="10" t="s">
        <v>199</v>
      </c>
      <c r="D163" s="3" t="s">
        <v>200</v>
      </c>
      <c r="E163" s="4" t="s">
        <v>8</v>
      </c>
      <c r="F163" s="5" t="s">
        <v>28</v>
      </c>
      <c r="G163" s="6" t="s">
        <v>203</v>
      </c>
      <c r="H163" s="7">
        <v>44979.0</v>
      </c>
      <c r="I163" s="8">
        <f t="shared" si="1"/>
        <v>22</v>
      </c>
      <c r="J163" s="9">
        <f t="shared" si="2"/>
        <v>2</v>
      </c>
      <c r="K163" s="9">
        <f t="shared" si="3"/>
        <v>2023</v>
      </c>
      <c r="M163" s="25">
        <f>IFERROR(__xludf.DUMMYFUNCTION("""COMPUTED_VALUE"""),44979.0)</f>
        <v>44979</v>
      </c>
    </row>
    <row r="164">
      <c r="A164" s="10" t="s">
        <v>133</v>
      </c>
      <c r="B164" s="3" t="s">
        <v>134</v>
      </c>
      <c r="C164" s="10" t="s">
        <v>199</v>
      </c>
      <c r="D164" s="3" t="s">
        <v>200</v>
      </c>
      <c r="E164" s="4" t="s">
        <v>3</v>
      </c>
      <c r="F164" s="5" t="s">
        <v>15</v>
      </c>
      <c r="G164" s="6" t="s">
        <v>204</v>
      </c>
      <c r="H164" s="7">
        <v>44984.0</v>
      </c>
      <c r="I164" s="8">
        <f t="shared" si="1"/>
        <v>27</v>
      </c>
      <c r="J164" s="9">
        <f t="shared" si="2"/>
        <v>2</v>
      </c>
      <c r="K164" s="9">
        <f t="shared" si="3"/>
        <v>2023</v>
      </c>
      <c r="M164" s="25">
        <f>IFERROR(__xludf.DUMMYFUNCTION("""COMPUTED_VALUE"""),44984.0)</f>
        <v>44984</v>
      </c>
    </row>
    <row r="165">
      <c r="A165" s="10" t="s">
        <v>133</v>
      </c>
      <c r="B165" s="3" t="s">
        <v>134</v>
      </c>
      <c r="C165" s="10" t="s">
        <v>199</v>
      </c>
      <c r="D165" s="3" t="s">
        <v>200</v>
      </c>
      <c r="E165" s="4" t="s">
        <v>3</v>
      </c>
      <c r="F165" s="5" t="s">
        <v>51</v>
      </c>
      <c r="G165" s="6" t="s">
        <v>205</v>
      </c>
      <c r="H165" s="7">
        <v>45001.0</v>
      </c>
      <c r="I165" s="8">
        <f t="shared" si="1"/>
        <v>16</v>
      </c>
      <c r="J165" s="9">
        <f t="shared" si="2"/>
        <v>3</v>
      </c>
      <c r="K165" s="9">
        <f t="shared" si="3"/>
        <v>2023</v>
      </c>
      <c r="M165" s="25">
        <f>IFERROR(__xludf.DUMMYFUNCTION("""COMPUTED_VALUE"""),45001.0)</f>
        <v>45001</v>
      </c>
    </row>
    <row r="166">
      <c r="A166" s="10" t="s">
        <v>133</v>
      </c>
      <c r="B166" s="3" t="s">
        <v>134</v>
      </c>
      <c r="C166" s="10" t="s">
        <v>199</v>
      </c>
      <c r="D166" s="3" t="s">
        <v>200</v>
      </c>
      <c r="E166" s="4" t="s">
        <v>8</v>
      </c>
      <c r="F166" s="5" t="s">
        <v>45</v>
      </c>
      <c r="G166" s="6" t="s">
        <v>206</v>
      </c>
      <c r="H166" s="7">
        <v>45050.0</v>
      </c>
      <c r="I166" s="8">
        <f t="shared" si="1"/>
        <v>4</v>
      </c>
      <c r="J166" s="9">
        <f t="shared" si="2"/>
        <v>5</v>
      </c>
      <c r="K166" s="9">
        <f t="shared" si="3"/>
        <v>2023</v>
      </c>
      <c r="M166" s="25">
        <f>IFERROR(__xludf.DUMMYFUNCTION("""COMPUTED_VALUE"""),45050.0)</f>
        <v>45050</v>
      </c>
    </row>
    <row r="167">
      <c r="A167" s="10" t="s">
        <v>133</v>
      </c>
      <c r="B167" s="3" t="s">
        <v>134</v>
      </c>
      <c r="C167" s="10" t="s">
        <v>199</v>
      </c>
      <c r="D167" s="3" t="s">
        <v>200</v>
      </c>
      <c r="E167" s="4" t="s">
        <v>3</v>
      </c>
      <c r="F167" s="5" t="s">
        <v>13</v>
      </c>
      <c r="G167" s="6" t="s">
        <v>207</v>
      </c>
      <c r="H167" s="7">
        <v>45053.0</v>
      </c>
      <c r="I167" s="8">
        <f t="shared" si="1"/>
        <v>7</v>
      </c>
      <c r="J167" s="9">
        <f t="shared" si="2"/>
        <v>5</v>
      </c>
      <c r="K167" s="9">
        <f t="shared" si="3"/>
        <v>2023</v>
      </c>
      <c r="M167" s="25">
        <f>IFERROR(__xludf.DUMMYFUNCTION("""COMPUTED_VALUE"""),45053.0)</f>
        <v>45053</v>
      </c>
    </row>
    <row r="168">
      <c r="A168" s="10" t="s">
        <v>133</v>
      </c>
      <c r="B168" s="3" t="s">
        <v>134</v>
      </c>
      <c r="C168" s="10" t="s">
        <v>199</v>
      </c>
      <c r="D168" s="3" t="s">
        <v>200</v>
      </c>
      <c r="E168" s="4" t="s">
        <v>8</v>
      </c>
      <c r="F168" s="5" t="s">
        <v>42</v>
      </c>
      <c r="G168" s="6" t="s">
        <v>208</v>
      </c>
      <c r="H168" s="7">
        <v>45058.0</v>
      </c>
      <c r="I168" s="8">
        <f t="shared" si="1"/>
        <v>12</v>
      </c>
      <c r="J168" s="9">
        <f t="shared" si="2"/>
        <v>5</v>
      </c>
      <c r="K168" s="9">
        <f t="shared" si="3"/>
        <v>2023</v>
      </c>
      <c r="M168" s="25">
        <f>IFERROR(__xludf.DUMMYFUNCTION("""COMPUTED_VALUE"""),45058.0)</f>
        <v>45058</v>
      </c>
    </row>
    <row r="169">
      <c r="A169" s="10" t="s">
        <v>133</v>
      </c>
      <c r="B169" s="3" t="s">
        <v>134</v>
      </c>
      <c r="C169" s="10" t="s">
        <v>199</v>
      </c>
      <c r="D169" s="3" t="s">
        <v>200</v>
      </c>
      <c r="E169" s="4" t="s">
        <v>8</v>
      </c>
      <c r="F169" s="5" t="s">
        <v>76</v>
      </c>
      <c r="G169" s="6" t="s">
        <v>209</v>
      </c>
      <c r="H169" s="7">
        <v>45069.0</v>
      </c>
      <c r="I169" s="8">
        <f t="shared" si="1"/>
        <v>23</v>
      </c>
      <c r="J169" s="9">
        <f t="shared" si="2"/>
        <v>5</v>
      </c>
      <c r="K169" s="9">
        <f t="shared" si="3"/>
        <v>2023</v>
      </c>
      <c r="M169" s="25">
        <f>IFERROR(__xludf.DUMMYFUNCTION("""COMPUTED_VALUE"""),45069.0)</f>
        <v>45069</v>
      </c>
    </row>
    <row r="170">
      <c r="A170" s="10" t="s">
        <v>133</v>
      </c>
      <c r="B170" s="3" t="s">
        <v>134</v>
      </c>
      <c r="C170" s="10" t="s">
        <v>199</v>
      </c>
      <c r="D170" s="3" t="s">
        <v>200</v>
      </c>
      <c r="E170" s="4" t="s">
        <v>3</v>
      </c>
      <c r="F170" s="5" t="s">
        <v>23</v>
      </c>
      <c r="G170" s="6" t="s">
        <v>210</v>
      </c>
      <c r="H170" s="7">
        <v>45131.0</v>
      </c>
      <c r="I170" s="8">
        <f t="shared" si="1"/>
        <v>24</v>
      </c>
      <c r="J170" s="9">
        <f t="shared" si="2"/>
        <v>7</v>
      </c>
      <c r="K170" s="9">
        <f t="shared" si="3"/>
        <v>2023</v>
      </c>
      <c r="M170" s="25">
        <f>IFERROR(__xludf.DUMMYFUNCTION("""COMPUTED_VALUE"""),45131.0)</f>
        <v>45131</v>
      </c>
    </row>
    <row r="171">
      <c r="A171" s="10" t="s">
        <v>133</v>
      </c>
      <c r="B171" s="3" t="s">
        <v>134</v>
      </c>
      <c r="C171" s="10" t="s">
        <v>199</v>
      </c>
      <c r="D171" s="3" t="s">
        <v>200</v>
      </c>
      <c r="E171" s="4" t="s">
        <v>8</v>
      </c>
      <c r="F171" s="5" t="s">
        <v>4</v>
      </c>
      <c r="G171" s="6" t="s">
        <v>211</v>
      </c>
      <c r="H171" s="7">
        <v>45144.0</v>
      </c>
      <c r="I171" s="8">
        <f t="shared" si="1"/>
        <v>6</v>
      </c>
      <c r="J171" s="9">
        <f t="shared" si="2"/>
        <v>8</v>
      </c>
      <c r="K171" s="9">
        <f t="shared" si="3"/>
        <v>2023</v>
      </c>
      <c r="M171" s="25">
        <f>IFERROR(__xludf.DUMMYFUNCTION("""COMPUTED_VALUE"""),45144.0)</f>
        <v>45144</v>
      </c>
    </row>
    <row r="172">
      <c r="A172" s="10" t="s">
        <v>133</v>
      </c>
      <c r="B172" s="3" t="s">
        <v>134</v>
      </c>
      <c r="C172" s="10" t="s">
        <v>199</v>
      </c>
      <c r="D172" s="3" t="s">
        <v>200</v>
      </c>
      <c r="E172" s="4" t="s">
        <v>3</v>
      </c>
      <c r="F172" s="5" t="s">
        <v>21</v>
      </c>
      <c r="G172" s="6" t="s">
        <v>212</v>
      </c>
      <c r="H172" s="7">
        <v>45151.0</v>
      </c>
      <c r="I172" s="8">
        <f t="shared" si="1"/>
        <v>13</v>
      </c>
      <c r="J172" s="9">
        <f t="shared" si="2"/>
        <v>8</v>
      </c>
      <c r="K172" s="9">
        <f t="shared" si="3"/>
        <v>2023</v>
      </c>
      <c r="M172" s="25">
        <f>IFERROR(__xludf.DUMMYFUNCTION("""COMPUTED_VALUE"""),45151.0)</f>
        <v>45151</v>
      </c>
    </row>
    <row r="173">
      <c r="A173" s="10" t="s">
        <v>133</v>
      </c>
      <c r="B173" s="3" t="s">
        <v>134</v>
      </c>
      <c r="C173" s="10" t="s">
        <v>199</v>
      </c>
      <c r="D173" s="3" t="s">
        <v>200</v>
      </c>
      <c r="E173" s="4" t="s">
        <v>8</v>
      </c>
      <c r="F173" s="5" t="s">
        <v>28</v>
      </c>
      <c r="G173" s="6" t="s">
        <v>213</v>
      </c>
      <c r="H173" s="7">
        <v>45160.0</v>
      </c>
      <c r="I173" s="8">
        <f t="shared" si="1"/>
        <v>22</v>
      </c>
      <c r="J173" s="9">
        <f t="shared" si="2"/>
        <v>8</v>
      </c>
      <c r="K173" s="9">
        <f t="shared" si="3"/>
        <v>2023</v>
      </c>
      <c r="M173" s="25">
        <f>IFERROR(__xludf.DUMMYFUNCTION("""COMPUTED_VALUE"""),45160.0)</f>
        <v>45160</v>
      </c>
    </row>
    <row r="174">
      <c r="A174" s="10" t="s">
        <v>133</v>
      </c>
      <c r="B174" s="3" t="s">
        <v>134</v>
      </c>
      <c r="C174" s="10" t="s">
        <v>199</v>
      </c>
      <c r="D174" s="3" t="s">
        <v>200</v>
      </c>
      <c r="E174" s="4" t="s">
        <v>3</v>
      </c>
      <c r="F174" s="5" t="s">
        <v>28</v>
      </c>
      <c r="G174" s="6" t="s">
        <v>214</v>
      </c>
      <c r="H174" s="7">
        <v>45183.0</v>
      </c>
      <c r="I174" s="8">
        <f t="shared" si="1"/>
        <v>14</v>
      </c>
      <c r="J174" s="9">
        <f t="shared" si="2"/>
        <v>9</v>
      </c>
      <c r="K174" s="9">
        <f t="shared" si="3"/>
        <v>2023</v>
      </c>
      <c r="M174" s="25">
        <f>IFERROR(__xludf.DUMMYFUNCTION("""COMPUTED_VALUE"""),45183.0)</f>
        <v>45183</v>
      </c>
    </row>
    <row r="175">
      <c r="A175" s="10" t="s">
        <v>133</v>
      </c>
      <c r="B175" s="3" t="s">
        <v>134</v>
      </c>
      <c r="C175" s="10" t="s">
        <v>199</v>
      </c>
      <c r="D175" s="3" t="s">
        <v>200</v>
      </c>
      <c r="E175" s="4" t="s">
        <v>8</v>
      </c>
      <c r="F175" s="5" t="s">
        <v>51</v>
      </c>
      <c r="G175" s="6" t="s">
        <v>215</v>
      </c>
      <c r="H175" s="7">
        <v>45212.0</v>
      </c>
      <c r="I175" s="8">
        <f t="shared" si="1"/>
        <v>13</v>
      </c>
      <c r="J175" s="9">
        <f t="shared" si="2"/>
        <v>10</v>
      </c>
      <c r="K175" s="9">
        <f t="shared" si="3"/>
        <v>2023</v>
      </c>
      <c r="M175" s="25">
        <f>IFERROR(__xludf.DUMMYFUNCTION("""COMPUTED_VALUE"""),45212.0)</f>
        <v>45212</v>
      </c>
    </row>
    <row r="176">
      <c r="A176" s="10" t="s">
        <v>133</v>
      </c>
      <c r="B176" s="3" t="s">
        <v>134</v>
      </c>
      <c r="C176" s="10" t="s">
        <v>199</v>
      </c>
      <c r="D176" s="3" t="s">
        <v>200</v>
      </c>
      <c r="E176" s="4" t="s">
        <v>8</v>
      </c>
      <c r="F176" s="5" t="s">
        <v>4</v>
      </c>
      <c r="G176" s="6" t="s">
        <v>216</v>
      </c>
      <c r="H176" s="7">
        <v>45247.0</v>
      </c>
      <c r="I176" s="8">
        <f t="shared" si="1"/>
        <v>17</v>
      </c>
      <c r="J176" s="9">
        <f t="shared" si="2"/>
        <v>11</v>
      </c>
      <c r="K176" s="9">
        <f t="shared" si="3"/>
        <v>2023</v>
      </c>
      <c r="M176" s="25">
        <f>IFERROR(__xludf.DUMMYFUNCTION("""COMPUTED_VALUE"""),45247.0)</f>
        <v>45247</v>
      </c>
    </row>
    <row r="177">
      <c r="A177" s="10" t="s">
        <v>133</v>
      </c>
      <c r="B177" s="3" t="s">
        <v>134</v>
      </c>
      <c r="C177" s="10" t="s">
        <v>199</v>
      </c>
      <c r="D177" s="3" t="s">
        <v>200</v>
      </c>
      <c r="E177" s="4" t="s">
        <v>3</v>
      </c>
      <c r="F177" s="5" t="s">
        <v>35</v>
      </c>
      <c r="G177" s="6" t="s">
        <v>217</v>
      </c>
      <c r="H177" s="7">
        <v>45258.0</v>
      </c>
      <c r="I177" s="8">
        <f t="shared" si="1"/>
        <v>28</v>
      </c>
      <c r="J177" s="9">
        <f t="shared" si="2"/>
        <v>11</v>
      </c>
      <c r="K177" s="9">
        <f t="shared" si="3"/>
        <v>2023</v>
      </c>
      <c r="M177" s="25">
        <f>IFERROR(__xludf.DUMMYFUNCTION("""COMPUTED_VALUE"""),45258.0)</f>
        <v>45258</v>
      </c>
    </row>
    <row r="178">
      <c r="A178" s="10" t="s">
        <v>133</v>
      </c>
      <c r="B178" s="3" t="s">
        <v>134</v>
      </c>
      <c r="C178" s="10" t="s">
        <v>199</v>
      </c>
      <c r="D178" s="3" t="s">
        <v>200</v>
      </c>
      <c r="E178" s="4" t="s">
        <v>8</v>
      </c>
      <c r="F178" s="5" t="s">
        <v>13</v>
      </c>
      <c r="G178" s="6" t="s">
        <v>218</v>
      </c>
      <c r="H178" s="7">
        <v>45278.0</v>
      </c>
      <c r="I178" s="8">
        <f t="shared" si="1"/>
        <v>18</v>
      </c>
      <c r="J178" s="9">
        <f t="shared" si="2"/>
        <v>12</v>
      </c>
      <c r="K178" s="9">
        <f t="shared" si="3"/>
        <v>2023</v>
      </c>
      <c r="M178" s="25">
        <f>IFERROR(__xludf.DUMMYFUNCTION("""COMPUTED_VALUE"""),45278.0)</f>
        <v>45278</v>
      </c>
    </row>
    <row r="179">
      <c r="A179" s="10" t="s">
        <v>133</v>
      </c>
      <c r="B179" s="3" t="s">
        <v>134</v>
      </c>
      <c r="C179" s="10" t="s">
        <v>199</v>
      </c>
      <c r="D179" s="3" t="s">
        <v>200</v>
      </c>
      <c r="E179" s="4" t="s">
        <v>3</v>
      </c>
      <c r="F179" s="5" t="s">
        <v>35</v>
      </c>
      <c r="G179" s="6" t="s">
        <v>219</v>
      </c>
      <c r="H179" s="7">
        <v>45278.0</v>
      </c>
      <c r="I179" s="8">
        <f t="shared" si="1"/>
        <v>18</v>
      </c>
      <c r="J179" s="9">
        <f t="shared" si="2"/>
        <v>12</v>
      </c>
      <c r="K179" s="9">
        <f t="shared" si="3"/>
        <v>2023</v>
      </c>
      <c r="M179" s="25">
        <f>IFERROR(__xludf.DUMMYFUNCTION("""COMPUTED_VALUE"""),45278.0)</f>
        <v>45278</v>
      </c>
    </row>
    <row r="180">
      <c r="A180" s="10" t="s">
        <v>133</v>
      </c>
      <c r="B180" s="3" t="s">
        <v>134</v>
      </c>
      <c r="C180" s="10" t="s">
        <v>199</v>
      </c>
      <c r="D180" s="3" t="s">
        <v>200</v>
      </c>
      <c r="E180" s="4" t="s">
        <v>3</v>
      </c>
      <c r="F180" s="5" t="s">
        <v>9</v>
      </c>
      <c r="G180" s="6" t="s">
        <v>220</v>
      </c>
      <c r="H180" s="7">
        <v>45280.0</v>
      </c>
      <c r="I180" s="8">
        <f t="shared" si="1"/>
        <v>20</v>
      </c>
      <c r="J180" s="9">
        <f t="shared" si="2"/>
        <v>12</v>
      </c>
      <c r="K180" s="9">
        <f t="shared" si="3"/>
        <v>2023</v>
      </c>
      <c r="M180" s="25">
        <f>IFERROR(__xludf.DUMMYFUNCTION("""COMPUTED_VALUE"""),45280.0)</f>
        <v>45280</v>
      </c>
    </row>
    <row r="181">
      <c r="A181" s="10" t="s">
        <v>155</v>
      </c>
      <c r="B181" s="3" t="s">
        <v>156</v>
      </c>
      <c r="C181" s="10" t="s">
        <v>221</v>
      </c>
      <c r="D181" s="3" t="s">
        <v>222</v>
      </c>
      <c r="E181" s="4" t="s">
        <v>8</v>
      </c>
      <c r="F181" s="5" t="s">
        <v>51</v>
      </c>
      <c r="G181" s="6" t="s">
        <v>223</v>
      </c>
      <c r="H181" s="7">
        <v>44940.0</v>
      </c>
      <c r="I181" s="8">
        <f t="shared" si="1"/>
        <v>14</v>
      </c>
      <c r="J181" s="9">
        <f t="shared" si="2"/>
        <v>1</v>
      </c>
      <c r="K181" s="9">
        <f t="shared" si="3"/>
        <v>2023</v>
      </c>
      <c r="M181" s="25">
        <f>IFERROR(__xludf.DUMMYFUNCTION("""COMPUTED_VALUE"""),44940.0)</f>
        <v>44940</v>
      </c>
    </row>
    <row r="182">
      <c r="A182" s="10" t="s">
        <v>155</v>
      </c>
      <c r="B182" s="3" t="s">
        <v>156</v>
      </c>
      <c r="C182" s="10" t="s">
        <v>221</v>
      </c>
      <c r="D182" s="3" t="s">
        <v>222</v>
      </c>
      <c r="E182" s="4" t="s">
        <v>8</v>
      </c>
      <c r="F182" s="5" t="s">
        <v>96</v>
      </c>
      <c r="G182" s="6" t="s">
        <v>224</v>
      </c>
      <c r="H182" s="7">
        <v>44979.0</v>
      </c>
      <c r="I182" s="8">
        <f t="shared" si="1"/>
        <v>22</v>
      </c>
      <c r="J182" s="9">
        <f t="shared" si="2"/>
        <v>2</v>
      </c>
      <c r="K182" s="9">
        <f t="shared" si="3"/>
        <v>2023</v>
      </c>
      <c r="M182" s="25">
        <f>IFERROR(__xludf.DUMMYFUNCTION("""COMPUTED_VALUE"""),44979.0)</f>
        <v>44979</v>
      </c>
    </row>
    <row r="183">
      <c r="A183" s="10" t="s">
        <v>155</v>
      </c>
      <c r="B183" s="3" t="s">
        <v>156</v>
      </c>
      <c r="C183" s="10" t="s">
        <v>221</v>
      </c>
      <c r="D183" s="3" t="s">
        <v>222</v>
      </c>
      <c r="E183" s="4" t="s">
        <v>3</v>
      </c>
      <c r="F183" s="5" t="s">
        <v>15</v>
      </c>
      <c r="G183" s="6" t="s">
        <v>225</v>
      </c>
      <c r="H183" s="7">
        <v>44979.0</v>
      </c>
      <c r="I183" s="8">
        <f t="shared" si="1"/>
        <v>22</v>
      </c>
      <c r="J183" s="9">
        <f t="shared" si="2"/>
        <v>2</v>
      </c>
      <c r="K183" s="9">
        <f t="shared" si="3"/>
        <v>2023</v>
      </c>
      <c r="M183" s="25">
        <f>IFERROR(__xludf.DUMMYFUNCTION("""COMPUTED_VALUE"""),44979.0)</f>
        <v>44979</v>
      </c>
    </row>
    <row r="184">
      <c r="A184" s="10" t="s">
        <v>155</v>
      </c>
      <c r="B184" s="3" t="s">
        <v>156</v>
      </c>
      <c r="C184" s="10" t="s">
        <v>221</v>
      </c>
      <c r="D184" s="3" t="s">
        <v>222</v>
      </c>
      <c r="E184" s="4" t="s">
        <v>3</v>
      </c>
      <c r="F184" s="5" t="s">
        <v>71</v>
      </c>
      <c r="G184" s="6" t="s">
        <v>226</v>
      </c>
      <c r="H184" s="7">
        <v>44981.0</v>
      </c>
      <c r="I184" s="8">
        <f t="shared" si="1"/>
        <v>24</v>
      </c>
      <c r="J184" s="9">
        <f t="shared" si="2"/>
        <v>2</v>
      </c>
      <c r="K184" s="9">
        <f t="shared" si="3"/>
        <v>2023</v>
      </c>
      <c r="M184" s="25">
        <f>IFERROR(__xludf.DUMMYFUNCTION("""COMPUTED_VALUE"""),44981.0)</f>
        <v>44981</v>
      </c>
    </row>
    <row r="185">
      <c r="A185" s="10" t="s">
        <v>155</v>
      </c>
      <c r="B185" s="3" t="s">
        <v>156</v>
      </c>
      <c r="C185" s="10" t="s">
        <v>221</v>
      </c>
      <c r="D185" s="3" t="s">
        <v>222</v>
      </c>
      <c r="E185" s="4" t="s">
        <v>8</v>
      </c>
      <c r="F185" s="5" t="s">
        <v>120</v>
      </c>
      <c r="G185" s="6" t="s">
        <v>227</v>
      </c>
      <c r="H185" s="7">
        <v>44988.0</v>
      </c>
      <c r="I185" s="8">
        <f t="shared" si="1"/>
        <v>3</v>
      </c>
      <c r="J185" s="9">
        <f t="shared" si="2"/>
        <v>3</v>
      </c>
      <c r="K185" s="9">
        <f t="shared" si="3"/>
        <v>2023</v>
      </c>
      <c r="M185" s="25">
        <f>IFERROR(__xludf.DUMMYFUNCTION("""COMPUTED_VALUE"""),44988.0)</f>
        <v>44988</v>
      </c>
    </row>
    <row r="186">
      <c r="A186" s="10" t="s">
        <v>155</v>
      </c>
      <c r="B186" s="3" t="s">
        <v>156</v>
      </c>
      <c r="C186" s="10" t="s">
        <v>221</v>
      </c>
      <c r="D186" s="3" t="s">
        <v>222</v>
      </c>
      <c r="E186" s="4" t="s">
        <v>8</v>
      </c>
      <c r="F186" s="5" t="s">
        <v>17</v>
      </c>
      <c r="G186" s="6" t="s">
        <v>228</v>
      </c>
      <c r="H186" s="7">
        <v>44990.0</v>
      </c>
      <c r="I186" s="8">
        <f t="shared" si="1"/>
        <v>5</v>
      </c>
      <c r="J186" s="9">
        <f t="shared" si="2"/>
        <v>3</v>
      </c>
      <c r="K186" s="9">
        <f t="shared" si="3"/>
        <v>2023</v>
      </c>
      <c r="M186" s="25">
        <f>IFERROR(__xludf.DUMMYFUNCTION("""COMPUTED_VALUE"""),44990.0)</f>
        <v>44990</v>
      </c>
    </row>
    <row r="187">
      <c r="A187" s="10" t="s">
        <v>155</v>
      </c>
      <c r="B187" s="3" t="s">
        <v>156</v>
      </c>
      <c r="C187" s="10" t="s">
        <v>221</v>
      </c>
      <c r="D187" s="3" t="s">
        <v>222</v>
      </c>
      <c r="E187" s="4" t="s">
        <v>8</v>
      </c>
      <c r="F187" s="5" t="s">
        <v>19</v>
      </c>
      <c r="G187" s="6" t="s">
        <v>229</v>
      </c>
      <c r="H187" s="7">
        <v>45009.0</v>
      </c>
      <c r="I187" s="8">
        <f t="shared" si="1"/>
        <v>24</v>
      </c>
      <c r="J187" s="9">
        <f t="shared" si="2"/>
        <v>3</v>
      </c>
      <c r="K187" s="9">
        <f t="shared" si="3"/>
        <v>2023</v>
      </c>
      <c r="M187" s="25">
        <f>IFERROR(__xludf.DUMMYFUNCTION("""COMPUTED_VALUE"""),45009.0)</f>
        <v>45009</v>
      </c>
    </row>
    <row r="188">
      <c r="A188" s="10" t="s">
        <v>155</v>
      </c>
      <c r="B188" s="3" t="s">
        <v>156</v>
      </c>
      <c r="C188" s="10" t="s">
        <v>221</v>
      </c>
      <c r="D188" s="3" t="s">
        <v>222</v>
      </c>
      <c r="E188" s="4" t="s">
        <v>8</v>
      </c>
      <c r="F188" s="5" t="s">
        <v>4</v>
      </c>
      <c r="G188" s="6" t="s">
        <v>140</v>
      </c>
      <c r="H188" s="7">
        <v>45036.0</v>
      </c>
      <c r="I188" s="8">
        <f t="shared" si="1"/>
        <v>20</v>
      </c>
      <c r="J188" s="9">
        <f t="shared" si="2"/>
        <v>4</v>
      </c>
      <c r="K188" s="9">
        <f t="shared" si="3"/>
        <v>2023</v>
      </c>
      <c r="M188" s="25">
        <f>IFERROR(__xludf.DUMMYFUNCTION("""COMPUTED_VALUE"""),45036.0)</f>
        <v>45036</v>
      </c>
    </row>
    <row r="189">
      <c r="A189" s="10" t="s">
        <v>155</v>
      </c>
      <c r="B189" s="3" t="s">
        <v>156</v>
      </c>
      <c r="C189" s="10" t="s">
        <v>221</v>
      </c>
      <c r="D189" s="3" t="s">
        <v>222</v>
      </c>
      <c r="E189" s="4" t="s">
        <v>8</v>
      </c>
      <c r="F189" s="5" t="s">
        <v>120</v>
      </c>
      <c r="G189" s="6" t="s">
        <v>230</v>
      </c>
      <c r="H189" s="7">
        <v>45066.0</v>
      </c>
      <c r="I189" s="8">
        <f t="shared" si="1"/>
        <v>20</v>
      </c>
      <c r="J189" s="9">
        <f t="shared" si="2"/>
        <v>5</v>
      </c>
      <c r="K189" s="9">
        <f t="shared" si="3"/>
        <v>2023</v>
      </c>
      <c r="M189" s="25">
        <f>IFERROR(__xludf.DUMMYFUNCTION("""COMPUTED_VALUE"""),45066.0)</f>
        <v>45066</v>
      </c>
    </row>
    <row r="190">
      <c r="A190" s="10" t="s">
        <v>155</v>
      </c>
      <c r="B190" s="3" t="s">
        <v>156</v>
      </c>
      <c r="C190" s="10" t="s">
        <v>221</v>
      </c>
      <c r="D190" s="3" t="s">
        <v>222</v>
      </c>
      <c r="E190" s="4" t="s">
        <v>8</v>
      </c>
      <c r="F190" s="5" t="s">
        <v>4</v>
      </c>
      <c r="G190" s="6" t="s">
        <v>231</v>
      </c>
      <c r="H190" s="7">
        <v>45082.0</v>
      </c>
      <c r="I190" s="8">
        <f t="shared" si="1"/>
        <v>5</v>
      </c>
      <c r="J190" s="9">
        <f t="shared" si="2"/>
        <v>6</v>
      </c>
      <c r="K190" s="9">
        <f t="shared" si="3"/>
        <v>2023</v>
      </c>
      <c r="M190" s="25">
        <f>IFERROR(__xludf.DUMMYFUNCTION("""COMPUTED_VALUE"""),45082.0)</f>
        <v>45082</v>
      </c>
    </row>
    <row r="191">
      <c r="A191" s="10" t="s">
        <v>155</v>
      </c>
      <c r="B191" s="3" t="s">
        <v>156</v>
      </c>
      <c r="C191" s="10" t="s">
        <v>221</v>
      </c>
      <c r="D191" s="3" t="s">
        <v>222</v>
      </c>
      <c r="E191" s="4" t="s">
        <v>3</v>
      </c>
      <c r="F191" s="5" t="s">
        <v>76</v>
      </c>
      <c r="G191" s="6" t="s">
        <v>232</v>
      </c>
      <c r="H191" s="7">
        <v>45135.0</v>
      </c>
      <c r="I191" s="8">
        <f t="shared" si="1"/>
        <v>28</v>
      </c>
      <c r="J191" s="9">
        <f t="shared" si="2"/>
        <v>7</v>
      </c>
      <c r="K191" s="9">
        <f t="shared" si="3"/>
        <v>2023</v>
      </c>
      <c r="M191" s="25">
        <f>IFERROR(__xludf.DUMMYFUNCTION("""COMPUTED_VALUE"""),45135.0)</f>
        <v>45135</v>
      </c>
    </row>
    <row r="192">
      <c r="A192" s="10" t="s">
        <v>155</v>
      </c>
      <c r="B192" s="3" t="s">
        <v>156</v>
      </c>
      <c r="C192" s="10" t="s">
        <v>221</v>
      </c>
      <c r="D192" s="3" t="s">
        <v>222</v>
      </c>
      <c r="E192" s="4" t="s">
        <v>3</v>
      </c>
      <c r="F192" s="5" t="s">
        <v>39</v>
      </c>
      <c r="G192" s="6" t="s">
        <v>233</v>
      </c>
      <c r="H192" s="7">
        <v>45152.0</v>
      </c>
      <c r="I192" s="8">
        <f t="shared" si="1"/>
        <v>14</v>
      </c>
      <c r="J192" s="9">
        <f t="shared" si="2"/>
        <v>8</v>
      </c>
      <c r="K192" s="9">
        <f t="shared" si="3"/>
        <v>2023</v>
      </c>
      <c r="M192" s="25">
        <f>IFERROR(__xludf.DUMMYFUNCTION("""COMPUTED_VALUE"""),45152.0)</f>
        <v>45152</v>
      </c>
    </row>
    <row r="193">
      <c r="A193" s="10" t="s">
        <v>155</v>
      </c>
      <c r="B193" s="3" t="s">
        <v>156</v>
      </c>
      <c r="C193" s="10" t="s">
        <v>221</v>
      </c>
      <c r="D193" s="3" t="s">
        <v>222</v>
      </c>
      <c r="E193" s="4" t="s">
        <v>3</v>
      </c>
      <c r="F193" s="5" t="s">
        <v>21</v>
      </c>
      <c r="G193" s="6" t="s">
        <v>234</v>
      </c>
      <c r="H193" s="7">
        <v>45156.0</v>
      </c>
      <c r="I193" s="8">
        <f t="shared" si="1"/>
        <v>18</v>
      </c>
      <c r="J193" s="9">
        <f t="shared" si="2"/>
        <v>8</v>
      </c>
      <c r="K193" s="9">
        <f t="shared" si="3"/>
        <v>2023</v>
      </c>
      <c r="M193" s="25">
        <f>IFERROR(__xludf.DUMMYFUNCTION("""COMPUTED_VALUE"""),45156.0)</f>
        <v>45156</v>
      </c>
    </row>
    <row r="194">
      <c r="A194" s="10" t="s">
        <v>155</v>
      </c>
      <c r="B194" s="3" t="s">
        <v>156</v>
      </c>
      <c r="C194" s="10" t="s">
        <v>221</v>
      </c>
      <c r="D194" s="3" t="s">
        <v>222</v>
      </c>
      <c r="E194" s="4" t="s">
        <v>3</v>
      </c>
      <c r="F194" s="5" t="s">
        <v>15</v>
      </c>
      <c r="G194" s="6" t="s">
        <v>235</v>
      </c>
      <c r="H194" s="7">
        <v>45162.0</v>
      </c>
      <c r="I194" s="8">
        <f t="shared" si="1"/>
        <v>24</v>
      </c>
      <c r="J194" s="9">
        <f t="shared" si="2"/>
        <v>8</v>
      </c>
      <c r="K194" s="9">
        <f t="shared" si="3"/>
        <v>2023</v>
      </c>
      <c r="M194" s="25">
        <f>IFERROR(__xludf.DUMMYFUNCTION("""COMPUTED_VALUE"""),45162.0)</f>
        <v>45162</v>
      </c>
    </row>
    <row r="195">
      <c r="A195" s="10" t="s">
        <v>155</v>
      </c>
      <c r="B195" s="3" t="s">
        <v>156</v>
      </c>
      <c r="C195" s="10" t="s">
        <v>221</v>
      </c>
      <c r="D195" s="3" t="s">
        <v>222</v>
      </c>
      <c r="E195" s="4" t="s">
        <v>8</v>
      </c>
      <c r="F195" s="5" t="s">
        <v>76</v>
      </c>
      <c r="G195" s="6" t="s">
        <v>236</v>
      </c>
      <c r="H195" s="7">
        <v>45180.0</v>
      </c>
      <c r="I195" s="8">
        <f t="shared" si="1"/>
        <v>11</v>
      </c>
      <c r="J195" s="9">
        <f t="shared" si="2"/>
        <v>9</v>
      </c>
      <c r="K195" s="9">
        <f t="shared" si="3"/>
        <v>2023</v>
      </c>
      <c r="M195" s="25">
        <f>IFERROR(__xludf.DUMMYFUNCTION("""COMPUTED_VALUE"""),45180.0)</f>
        <v>45180</v>
      </c>
    </row>
    <row r="196">
      <c r="A196" s="10" t="s">
        <v>155</v>
      </c>
      <c r="B196" s="3" t="s">
        <v>156</v>
      </c>
      <c r="C196" s="10" t="s">
        <v>221</v>
      </c>
      <c r="D196" s="3" t="s">
        <v>222</v>
      </c>
      <c r="E196" s="4" t="s">
        <v>8</v>
      </c>
      <c r="F196" s="5" t="s">
        <v>71</v>
      </c>
      <c r="G196" s="6" t="s">
        <v>237</v>
      </c>
      <c r="H196" s="7">
        <v>45206.0</v>
      </c>
      <c r="I196" s="8">
        <f t="shared" si="1"/>
        <v>7</v>
      </c>
      <c r="J196" s="9">
        <f t="shared" si="2"/>
        <v>10</v>
      </c>
      <c r="K196" s="9">
        <f t="shared" si="3"/>
        <v>2023</v>
      </c>
      <c r="M196" s="25">
        <f>IFERROR(__xludf.DUMMYFUNCTION("""COMPUTED_VALUE"""),45206.0)</f>
        <v>45206</v>
      </c>
    </row>
    <row r="197">
      <c r="A197" s="10" t="s">
        <v>155</v>
      </c>
      <c r="B197" s="3" t="s">
        <v>156</v>
      </c>
      <c r="C197" s="10" t="s">
        <v>221</v>
      </c>
      <c r="D197" s="3" t="s">
        <v>222</v>
      </c>
      <c r="E197" s="4" t="s">
        <v>8</v>
      </c>
      <c r="F197" s="5" t="s">
        <v>23</v>
      </c>
      <c r="G197" s="6" t="s">
        <v>238</v>
      </c>
      <c r="H197" s="7">
        <v>45213.0</v>
      </c>
      <c r="I197" s="8">
        <f t="shared" si="1"/>
        <v>14</v>
      </c>
      <c r="J197" s="9">
        <f t="shared" si="2"/>
        <v>10</v>
      </c>
      <c r="K197" s="9">
        <f t="shared" si="3"/>
        <v>2023</v>
      </c>
      <c r="M197" s="25">
        <f>IFERROR(__xludf.DUMMYFUNCTION("""COMPUTED_VALUE"""),45213.0)</f>
        <v>45213</v>
      </c>
    </row>
    <row r="198">
      <c r="A198" s="10" t="s">
        <v>155</v>
      </c>
      <c r="B198" s="3" t="s">
        <v>156</v>
      </c>
      <c r="C198" s="10" t="s">
        <v>221</v>
      </c>
      <c r="D198" s="3" t="s">
        <v>222</v>
      </c>
      <c r="E198" s="4" t="s">
        <v>8</v>
      </c>
      <c r="F198" s="5" t="s">
        <v>120</v>
      </c>
      <c r="G198" s="6" t="s">
        <v>239</v>
      </c>
      <c r="H198" s="7">
        <v>45237.0</v>
      </c>
      <c r="I198" s="8">
        <f t="shared" si="1"/>
        <v>7</v>
      </c>
      <c r="J198" s="9">
        <f t="shared" si="2"/>
        <v>11</v>
      </c>
      <c r="K198" s="9">
        <f t="shared" si="3"/>
        <v>2023</v>
      </c>
      <c r="M198" s="25">
        <f>IFERROR(__xludf.DUMMYFUNCTION("""COMPUTED_VALUE"""),45237.0)</f>
        <v>45237</v>
      </c>
    </row>
    <row r="199">
      <c r="A199" s="10" t="s">
        <v>155</v>
      </c>
      <c r="B199" s="3" t="s">
        <v>156</v>
      </c>
      <c r="C199" s="10" t="s">
        <v>221</v>
      </c>
      <c r="D199" s="3" t="s">
        <v>222</v>
      </c>
      <c r="E199" s="4" t="s">
        <v>3</v>
      </c>
      <c r="F199" s="5" t="s">
        <v>23</v>
      </c>
      <c r="G199" s="6" t="s">
        <v>240</v>
      </c>
      <c r="H199" s="7">
        <v>45277.0</v>
      </c>
      <c r="I199" s="8">
        <f t="shared" si="1"/>
        <v>17</v>
      </c>
      <c r="J199" s="9">
        <f t="shared" si="2"/>
        <v>12</v>
      </c>
      <c r="K199" s="9">
        <f t="shared" si="3"/>
        <v>2023</v>
      </c>
      <c r="M199" s="25">
        <f>IFERROR(__xludf.DUMMYFUNCTION("""COMPUTED_VALUE"""),45277.0)</f>
        <v>45277</v>
      </c>
    </row>
    <row r="200">
      <c r="A200" s="10" t="s">
        <v>155</v>
      </c>
      <c r="B200" s="3" t="s">
        <v>156</v>
      </c>
      <c r="C200" s="10" t="s">
        <v>221</v>
      </c>
      <c r="D200" s="3" t="s">
        <v>222</v>
      </c>
      <c r="E200" s="4" t="s">
        <v>8</v>
      </c>
      <c r="F200" s="5" t="s">
        <v>9</v>
      </c>
      <c r="G200" s="6" t="s">
        <v>241</v>
      </c>
      <c r="H200" s="7">
        <v>45281.0</v>
      </c>
      <c r="I200" s="8">
        <f t="shared" si="1"/>
        <v>21</v>
      </c>
      <c r="J200" s="9">
        <f t="shared" si="2"/>
        <v>12</v>
      </c>
      <c r="K200" s="9">
        <f t="shared" si="3"/>
        <v>2023</v>
      </c>
      <c r="M200" s="25">
        <f>IFERROR(__xludf.DUMMYFUNCTION("""COMPUTED_VALUE"""),45281.0)</f>
        <v>45281</v>
      </c>
    </row>
    <row r="201">
      <c r="A201" s="10" t="s">
        <v>177</v>
      </c>
      <c r="B201" s="3" t="s">
        <v>178</v>
      </c>
      <c r="C201" s="10" t="s">
        <v>242</v>
      </c>
      <c r="D201" s="3" t="s">
        <v>243</v>
      </c>
      <c r="E201" s="4" t="s">
        <v>8</v>
      </c>
      <c r="F201" s="5" t="s">
        <v>45</v>
      </c>
      <c r="G201" s="6" t="s">
        <v>244</v>
      </c>
      <c r="H201" s="7">
        <v>44971.0</v>
      </c>
      <c r="I201" s="8">
        <f t="shared" si="1"/>
        <v>14</v>
      </c>
      <c r="J201" s="9">
        <f t="shared" si="2"/>
        <v>2</v>
      </c>
      <c r="K201" s="9">
        <f t="shared" si="3"/>
        <v>2023</v>
      </c>
      <c r="M201" s="25">
        <f>IFERROR(__xludf.DUMMYFUNCTION("""COMPUTED_VALUE"""),44971.0)</f>
        <v>44971</v>
      </c>
    </row>
    <row r="202">
      <c r="A202" s="10" t="s">
        <v>177</v>
      </c>
      <c r="B202" s="3" t="s">
        <v>178</v>
      </c>
      <c r="C202" s="10" t="s">
        <v>242</v>
      </c>
      <c r="D202" s="3" t="s">
        <v>243</v>
      </c>
      <c r="E202" s="4" t="s">
        <v>3</v>
      </c>
      <c r="F202" s="5" t="s">
        <v>96</v>
      </c>
      <c r="G202" s="6" t="s">
        <v>245</v>
      </c>
      <c r="H202" s="7">
        <v>45003.0</v>
      </c>
      <c r="I202" s="8">
        <f t="shared" si="1"/>
        <v>18</v>
      </c>
      <c r="J202" s="9">
        <f t="shared" si="2"/>
        <v>3</v>
      </c>
      <c r="K202" s="9">
        <f t="shared" si="3"/>
        <v>2023</v>
      </c>
      <c r="M202" s="25">
        <f>IFERROR(__xludf.DUMMYFUNCTION("""COMPUTED_VALUE"""),45003.0)</f>
        <v>45003</v>
      </c>
    </row>
    <row r="203">
      <c r="A203" s="10" t="s">
        <v>177</v>
      </c>
      <c r="B203" s="3" t="s">
        <v>178</v>
      </c>
      <c r="C203" s="10" t="s">
        <v>242</v>
      </c>
      <c r="D203" s="3" t="s">
        <v>243</v>
      </c>
      <c r="E203" s="4" t="s">
        <v>3</v>
      </c>
      <c r="F203" s="5" t="s">
        <v>23</v>
      </c>
      <c r="G203" s="6" t="s">
        <v>246</v>
      </c>
      <c r="H203" s="7">
        <v>45011.0</v>
      </c>
      <c r="I203" s="8">
        <f t="shared" si="1"/>
        <v>26</v>
      </c>
      <c r="J203" s="9">
        <f t="shared" si="2"/>
        <v>3</v>
      </c>
      <c r="K203" s="9">
        <f t="shared" si="3"/>
        <v>2023</v>
      </c>
      <c r="M203" s="25">
        <f>IFERROR(__xludf.DUMMYFUNCTION("""COMPUTED_VALUE"""),45011.0)</f>
        <v>45011</v>
      </c>
    </row>
    <row r="204">
      <c r="A204" s="10" t="s">
        <v>177</v>
      </c>
      <c r="B204" s="3" t="s">
        <v>178</v>
      </c>
      <c r="C204" s="10" t="s">
        <v>242</v>
      </c>
      <c r="D204" s="3" t="s">
        <v>243</v>
      </c>
      <c r="E204" s="4" t="s">
        <v>8</v>
      </c>
      <c r="F204" s="5" t="s">
        <v>120</v>
      </c>
      <c r="G204" s="6" t="s">
        <v>247</v>
      </c>
      <c r="H204" s="7">
        <v>45055.0</v>
      </c>
      <c r="I204" s="8">
        <f t="shared" si="1"/>
        <v>9</v>
      </c>
      <c r="J204" s="9">
        <f t="shared" si="2"/>
        <v>5</v>
      </c>
      <c r="K204" s="9">
        <f t="shared" si="3"/>
        <v>2023</v>
      </c>
      <c r="M204" s="25">
        <f>IFERROR(__xludf.DUMMYFUNCTION("""COMPUTED_VALUE"""),45055.0)</f>
        <v>45055</v>
      </c>
    </row>
    <row r="205">
      <c r="A205" s="10" t="s">
        <v>177</v>
      </c>
      <c r="B205" s="3" t="s">
        <v>178</v>
      </c>
      <c r="C205" s="10" t="s">
        <v>242</v>
      </c>
      <c r="D205" s="3" t="s">
        <v>243</v>
      </c>
      <c r="E205" s="4" t="s">
        <v>3</v>
      </c>
      <c r="F205" s="5" t="s">
        <v>21</v>
      </c>
      <c r="G205" s="6" t="s">
        <v>248</v>
      </c>
      <c r="H205" s="7">
        <v>45089.0</v>
      </c>
      <c r="I205" s="8">
        <f t="shared" si="1"/>
        <v>12</v>
      </c>
      <c r="J205" s="9">
        <f t="shared" si="2"/>
        <v>6</v>
      </c>
      <c r="K205" s="9">
        <f t="shared" si="3"/>
        <v>2023</v>
      </c>
      <c r="M205" s="25">
        <f>IFERROR(__xludf.DUMMYFUNCTION("""COMPUTED_VALUE"""),45089.0)</f>
        <v>45089</v>
      </c>
    </row>
    <row r="206">
      <c r="A206" s="10" t="s">
        <v>177</v>
      </c>
      <c r="B206" s="3" t="s">
        <v>178</v>
      </c>
      <c r="C206" s="10" t="s">
        <v>242</v>
      </c>
      <c r="D206" s="3" t="s">
        <v>243</v>
      </c>
      <c r="E206" s="4" t="s">
        <v>8</v>
      </c>
      <c r="F206" s="5" t="s">
        <v>15</v>
      </c>
      <c r="G206" s="6" t="s">
        <v>249</v>
      </c>
      <c r="H206" s="7">
        <v>45121.0</v>
      </c>
      <c r="I206" s="8">
        <f t="shared" si="1"/>
        <v>14</v>
      </c>
      <c r="J206" s="9">
        <f t="shared" si="2"/>
        <v>7</v>
      </c>
      <c r="K206" s="9">
        <f t="shared" si="3"/>
        <v>2023</v>
      </c>
      <c r="M206" s="25">
        <f>IFERROR(__xludf.DUMMYFUNCTION("""COMPUTED_VALUE"""),45121.0)</f>
        <v>45121</v>
      </c>
    </row>
    <row r="207">
      <c r="A207" s="10" t="s">
        <v>177</v>
      </c>
      <c r="B207" s="3" t="s">
        <v>178</v>
      </c>
      <c r="C207" s="10" t="s">
        <v>242</v>
      </c>
      <c r="D207" s="3" t="s">
        <v>243</v>
      </c>
      <c r="E207" s="4" t="s">
        <v>8</v>
      </c>
      <c r="F207" s="5" t="s">
        <v>17</v>
      </c>
      <c r="G207" s="6" t="s">
        <v>248</v>
      </c>
      <c r="H207" s="7">
        <v>45121.0</v>
      </c>
      <c r="I207" s="8">
        <f t="shared" si="1"/>
        <v>14</v>
      </c>
      <c r="J207" s="9">
        <f t="shared" si="2"/>
        <v>7</v>
      </c>
      <c r="K207" s="9">
        <f t="shared" si="3"/>
        <v>2023</v>
      </c>
      <c r="M207" s="25">
        <f>IFERROR(__xludf.DUMMYFUNCTION("""COMPUTED_VALUE"""),45121.0)</f>
        <v>45121</v>
      </c>
    </row>
    <row r="208">
      <c r="A208" s="10" t="s">
        <v>177</v>
      </c>
      <c r="B208" s="3" t="s">
        <v>178</v>
      </c>
      <c r="C208" s="10" t="s">
        <v>242</v>
      </c>
      <c r="D208" s="3" t="s">
        <v>243</v>
      </c>
      <c r="E208" s="4" t="s">
        <v>3</v>
      </c>
      <c r="F208" s="5" t="s">
        <v>96</v>
      </c>
      <c r="G208" s="6" t="s">
        <v>250</v>
      </c>
      <c r="H208" s="7">
        <v>45148.0</v>
      </c>
      <c r="I208" s="8">
        <f t="shared" si="1"/>
        <v>10</v>
      </c>
      <c r="J208" s="9">
        <f t="shared" si="2"/>
        <v>8</v>
      </c>
      <c r="K208" s="9">
        <f t="shared" si="3"/>
        <v>2023</v>
      </c>
      <c r="M208" s="25">
        <f>IFERROR(__xludf.DUMMYFUNCTION("""COMPUTED_VALUE"""),45148.0)</f>
        <v>45148</v>
      </c>
    </row>
    <row r="209">
      <c r="A209" s="10" t="s">
        <v>177</v>
      </c>
      <c r="B209" s="3" t="s">
        <v>178</v>
      </c>
      <c r="C209" s="10" t="s">
        <v>242</v>
      </c>
      <c r="D209" s="3" t="s">
        <v>243</v>
      </c>
      <c r="E209" s="4" t="s">
        <v>8</v>
      </c>
      <c r="F209" s="5" t="s">
        <v>23</v>
      </c>
      <c r="G209" s="6" t="s">
        <v>251</v>
      </c>
      <c r="H209" s="7">
        <v>45185.0</v>
      </c>
      <c r="I209" s="8">
        <f t="shared" si="1"/>
        <v>16</v>
      </c>
      <c r="J209" s="9">
        <f t="shared" si="2"/>
        <v>9</v>
      </c>
      <c r="K209" s="9">
        <f t="shared" si="3"/>
        <v>2023</v>
      </c>
      <c r="M209" s="25">
        <f>IFERROR(__xludf.DUMMYFUNCTION("""COMPUTED_VALUE"""),45185.0)</f>
        <v>45185</v>
      </c>
    </row>
    <row r="210">
      <c r="A210" s="10" t="s">
        <v>177</v>
      </c>
      <c r="B210" s="3" t="s">
        <v>178</v>
      </c>
      <c r="C210" s="10" t="s">
        <v>242</v>
      </c>
      <c r="D210" s="3" t="s">
        <v>243</v>
      </c>
      <c r="E210" s="4" t="s">
        <v>3</v>
      </c>
      <c r="F210" s="5" t="s">
        <v>35</v>
      </c>
      <c r="G210" s="6" t="s">
        <v>252</v>
      </c>
      <c r="H210" s="7">
        <v>45187.0</v>
      </c>
      <c r="I210" s="8">
        <f t="shared" si="1"/>
        <v>18</v>
      </c>
      <c r="J210" s="9">
        <f t="shared" si="2"/>
        <v>9</v>
      </c>
      <c r="K210" s="9">
        <f t="shared" si="3"/>
        <v>2023</v>
      </c>
      <c r="M210" s="25">
        <f>IFERROR(__xludf.DUMMYFUNCTION("""COMPUTED_VALUE"""),45187.0)</f>
        <v>45187</v>
      </c>
    </row>
    <row r="211">
      <c r="A211" s="10" t="s">
        <v>177</v>
      </c>
      <c r="B211" s="3" t="s">
        <v>178</v>
      </c>
      <c r="C211" s="10" t="s">
        <v>242</v>
      </c>
      <c r="D211" s="3" t="s">
        <v>243</v>
      </c>
      <c r="E211" s="4" t="s">
        <v>8</v>
      </c>
      <c r="F211" s="5" t="s">
        <v>76</v>
      </c>
      <c r="G211" s="6" t="s">
        <v>253</v>
      </c>
      <c r="H211" s="7">
        <v>45210.0</v>
      </c>
      <c r="I211" s="8">
        <f t="shared" si="1"/>
        <v>11</v>
      </c>
      <c r="J211" s="9">
        <f t="shared" si="2"/>
        <v>10</v>
      </c>
      <c r="K211" s="9">
        <f t="shared" si="3"/>
        <v>2023</v>
      </c>
      <c r="M211" s="25">
        <f>IFERROR(__xludf.DUMMYFUNCTION("""COMPUTED_VALUE"""),45210.0)</f>
        <v>45210</v>
      </c>
    </row>
    <row r="212">
      <c r="A212" s="10" t="s">
        <v>177</v>
      </c>
      <c r="B212" s="3" t="s">
        <v>178</v>
      </c>
      <c r="C212" s="10" t="s">
        <v>242</v>
      </c>
      <c r="D212" s="3" t="s">
        <v>243</v>
      </c>
      <c r="E212" s="4" t="s">
        <v>3</v>
      </c>
      <c r="F212" s="5" t="s">
        <v>96</v>
      </c>
      <c r="G212" s="6" t="s">
        <v>254</v>
      </c>
      <c r="H212" s="7">
        <v>45211.0</v>
      </c>
      <c r="I212" s="8">
        <f t="shared" si="1"/>
        <v>12</v>
      </c>
      <c r="J212" s="9">
        <f t="shared" si="2"/>
        <v>10</v>
      </c>
      <c r="K212" s="9">
        <f t="shared" si="3"/>
        <v>2023</v>
      </c>
      <c r="M212" s="25">
        <f>IFERROR(__xludf.DUMMYFUNCTION("""COMPUTED_VALUE"""),45211.0)</f>
        <v>45211</v>
      </c>
    </row>
    <row r="213">
      <c r="A213" s="10" t="s">
        <v>177</v>
      </c>
      <c r="B213" s="3" t="s">
        <v>178</v>
      </c>
      <c r="C213" s="10" t="s">
        <v>242</v>
      </c>
      <c r="D213" s="3" t="s">
        <v>243</v>
      </c>
      <c r="E213" s="4" t="s">
        <v>8</v>
      </c>
      <c r="F213" s="5" t="s">
        <v>96</v>
      </c>
      <c r="G213" s="6" t="s">
        <v>255</v>
      </c>
      <c r="H213" s="7">
        <v>45226.0</v>
      </c>
      <c r="I213" s="8">
        <f t="shared" si="1"/>
        <v>27</v>
      </c>
      <c r="J213" s="9">
        <f t="shared" si="2"/>
        <v>10</v>
      </c>
      <c r="K213" s="9">
        <f t="shared" si="3"/>
        <v>2023</v>
      </c>
      <c r="M213" s="25">
        <f>IFERROR(__xludf.DUMMYFUNCTION("""COMPUTED_VALUE"""),45226.0)</f>
        <v>45226</v>
      </c>
    </row>
    <row r="214">
      <c r="A214" s="10" t="s">
        <v>177</v>
      </c>
      <c r="B214" s="3" t="s">
        <v>178</v>
      </c>
      <c r="C214" s="10" t="s">
        <v>242</v>
      </c>
      <c r="D214" s="3" t="s">
        <v>243</v>
      </c>
      <c r="E214" s="4" t="s">
        <v>3</v>
      </c>
      <c r="F214" s="5" t="s">
        <v>17</v>
      </c>
      <c r="G214" s="6" t="s">
        <v>256</v>
      </c>
      <c r="H214" s="7">
        <v>45233.0</v>
      </c>
      <c r="I214" s="8">
        <f t="shared" si="1"/>
        <v>3</v>
      </c>
      <c r="J214" s="9">
        <f t="shared" si="2"/>
        <v>11</v>
      </c>
      <c r="K214" s="9">
        <f t="shared" si="3"/>
        <v>2023</v>
      </c>
      <c r="M214" s="25">
        <f>IFERROR(__xludf.DUMMYFUNCTION("""COMPUTED_VALUE"""),45233.0)</f>
        <v>45233</v>
      </c>
    </row>
    <row r="215">
      <c r="A215" s="10" t="s">
        <v>177</v>
      </c>
      <c r="B215" s="3" t="s">
        <v>178</v>
      </c>
      <c r="C215" s="10" t="s">
        <v>242</v>
      </c>
      <c r="D215" s="3" t="s">
        <v>243</v>
      </c>
      <c r="E215" s="4" t="s">
        <v>3</v>
      </c>
      <c r="F215" s="5" t="s">
        <v>17</v>
      </c>
      <c r="G215" s="6" t="s">
        <v>257</v>
      </c>
      <c r="H215" s="7">
        <v>45239.0</v>
      </c>
      <c r="I215" s="8">
        <f t="shared" si="1"/>
        <v>9</v>
      </c>
      <c r="J215" s="9">
        <f t="shared" si="2"/>
        <v>11</v>
      </c>
      <c r="K215" s="9">
        <f t="shared" si="3"/>
        <v>2023</v>
      </c>
      <c r="M215" s="25">
        <f>IFERROR(__xludf.DUMMYFUNCTION("""COMPUTED_VALUE"""),45239.0)</f>
        <v>45239</v>
      </c>
    </row>
    <row r="216">
      <c r="A216" s="10" t="s">
        <v>177</v>
      </c>
      <c r="B216" s="3" t="s">
        <v>178</v>
      </c>
      <c r="C216" s="10" t="s">
        <v>242</v>
      </c>
      <c r="D216" s="3" t="s">
        <v>243</v>
      </c>
      <c r="E216" s="4" t="s">
        <v>8</v>
      </c>
      <c r="F216" s="5" t="s">
        <v>13</v>
      </c>
      <c r="G216" s="6" t="s">
        <v>258</v>
      </c>
      <c r="H216" s="7">
        <v>45245.0</v>
      </c>
      <c r="I216" s="8">
        <f t="shared" si="1"/>
        <v>15</v>
      </c>
      <c r="J216" s="9">
        <f t="shared" si="2"/>
        <v>11</v>
      </c>
      <c r="K216" s="9">
        <f t="shared" si="3"/>
        <v>2023</v>
      </c>
      <c r="M216" s="25">
        <f>IFERROR(__xludf.DUMMYFUNCTION("""COMPUTED_VALUE"""),45245.0)</f>
        <v>45245</v>
      </c>
    </row>
    <row r="217">
      <c r="A217" s="10" t="s">
        <v>177</v>
      </c>
      <c r="B217" s="3" t="s">
        <v>178</v>
      </c>
      <c r="C217" s="10" t="s">
        <v>242</v>
      </c>
      <c r="D217" s="3" t="s">
        <v>243</v>
      </c>
      <c r="E217" s="4" t="s">
        <v>8</v>
      </c>
      <c r="F217" s="5" t="s">
        <v>120</v>
      </c>
      <c r="G217" s="6" t="s">
        <v>259</v>
      </c>
      <c r="H217" s="7">
        <v>45264.0</v>
      </c>
      <c r="I217" s="8">
        <f t="shared" si="1"/>
        <v>4</v>
      </c>
      <c r="J217" s="9">
        <f t="shared" si="2"/>
        <v>12</v>
      </c>
      <c r="K217" s="9">
        <f t="shared" si="3"/>
        <v>2023</v>
      </c>
      <c r="M217" s="25">
        <f>IFERROR(__xludf.DUMMYFUNCTION("""COMPUTED_VALUE"""),45264.0)</f>
        <v>45264</v>
      </c>
    </row>
    <row r="218">
      <c r="A218" s="10" t="s">
        <v>177</v>
      </c>
      <c r="B218" s="3" t="s">
        <v>178</v>
      </c>
      <c r="C218" s="10" t="s">
        <v>242</v>
      </c>
      <c r="D218" s="3" t="s">
        <v>243</v>
      </c>
      <c r="E218" s="4" t="s">
        <v>8</v>
      </c>
      <c r="F218" s="5" t="s">
        <v>120</v>
      </c>
      <c r="G218" s="6" t="s">
        <v>260</v>
      </c>
      <c r="H218" s="7">
        <v>45280.0</v>
      </c>
      <c r="I218" s="8">
        <f t="shared" si="1"/>
        <v>20</v>
      </c>
      <c r="J218" s="9">
        <f t="shared" si="2"/>
        <v>12</v>
      </c>
      <c r="K218" s="9">
        <f t="shared" si="3"/>
        <v>2023</v>
      </c>
      <c r="M218" s="25">
        <f>IFERROR(__xludf.DUMMYFUNCTION("""COMPUTED_VALUE"""),45280.0)</f>
        <v>45280</v>
      </c>
    </row>
    <row r="219">
      <c r="A219" s="10" t="s">
        <v>177</v>
      </c>
      <c r="B219" s="3" t="s">
        <v>178</v>
      </c>
      <c r="C219" s="10" t="s">
        <v>242</v>
      </c>
      <c r="D219" s="3" t="s">
        <v>243</v>
      </c>
      <c r="E219" s="4" t="s">
        <v>8</v>
      </c>
      <c r="F219" s="5" t="s">
        <v>17</v>
      </c>
      <c r="G219" s="6" t="s">
        <v>261</v>
      </c>
      <c r="H219" s="7">
        <v>45283.0</v>
      </c>
      <c r="I219" s="8">
        <f t="shared" si="1"/>
        <v>23</v>
      </c>
      <c r="J219" s="9">
        <f t="shared" si="2"/>
        <v>12</v>
      </c>
      <c r="K219" s="9">
        <f t="shared" si="3"/>
        <v>2023</v>
      </c>
      <c r="M219" s="25">
        <f>IFERROR(__xludf.DUMMYFUNCTION("""COMPUTED_VALUE"""),45283.0)</f>
        <v>45283</v>
      </c>
    </row>
    <row r="220">
      <c r="A220" s="10" t="s">
        <v>177</v>
      </c>
      <c r="B220" s="3" t="s">
        <v>178</v>
      </c>
      <c r="C220" s="10" t="s">
        <v>242</v>
      </c>
      <c r="D220" s="3" t="s">
        <v>243</v>
      </c>
      <c r="E220" s="4" t="s">
        <v>3</v>
      </c>
      <c r="F220" s="5" t="s">
        <v>45</v>
      </c>
      <c r="G220" s="6" t="s">
        <v>262</v>
      </c>
      <c r="H220" s="7">
        <v>45286.0</v>
      </c>
      <c r="I220" s="8">
        <f t="shared" si="1"/>
        <v>26</v>
      </c>
      <c r="J220" s="9">
        <f t="shared" si="2"/>
        <v>12</v>
      </c>
      <c r="K220" s="9">
        <f t="shared" si="3"/>
        <v>2023</v>
      </c>
      <c r="M220" s="25">
        <f>IFERROR(__xludf.DUMMYFUNCTION("""COMPUTED_VALUE"""),45286.0)</f>
        <v>45286</v>
      </c>
    </row>
    <row r="221">
      <c r="A221" s="10" t="s">
        <v>199</v>
      </c>
      <c r="B221" s="3" t="s">
        <v>200</v>
      </c>
      <c r="C221" s="10" t="s">
        <v>263</v>
      </c>
      <c r="D221" s="3" t="s">
        <v>264</v>
      </c>
      <c r="E221" s="4" t="s">
        <v>8</v>
      </c>
      <c r="F221" s="5" t="s">
        <v>28</v>
      </c>
      <c r="G221" s="6" t="s">
        <v>265</v>
      </c>
      <c r="H221" s="7">
        <v>44948.0</v>
      </c>
      <c r="I221" s="8">
        <f t="shared" si="1"/>
        <v>22</v>
      </c>
      <c r="J221" s="9">
        <f t="shared" si="2"/>
        <v>1</v>
      </c>
      <c r="K221" s="9">
        <f t="shared" si="3"/>
        <v>2023</v>
      </c>
      <c r="M221" s="25">
        <f>IFERROR(__xludf.DUMMYFUNCTION("""COMPUTED_VALUE"""),44948.0)</f>
        <v>44948</v>
      </c>
    </row>
    <row r="222">
      <c r="A222" s="10" t="s">
        <v>199</v>
      </c>
      <c r="B222" s="3" t="s">
        <v>200</v>
      </c>
      <c r="C222" s="10" t="s">
        <v>263</v>
      </c>
      <c r="D222" s="3" t="s">
        <v>264</v>
      </c>
      <c r="E222" s="4" t="s">
        <v>8</v>
      </c>
      <c r="F222" s="5" t="s">
        <v>71</v>
      </c>
      <c r="G222" s="6" t="s">
        <v>266</v>
      </c>
      <c r="H222" s="7">
        <v>44992.0</v>
      </c>
      <c r="I222" s="8">
        <f t="shared" si="1"/>
        <v>7</v>
      </c>
      <c r="J222" s="9">
        <f t="shared" si="2"/>
        <v>3</v>
      </c>
      <c r="K222" s="9">
        <f t="shared" si="3"/>
        <v>2023</v>
      </c>
      <c r="M222" s="25">
        <f>IFERROR(__xludf.DUMMYFUNCTION("""COMPUTED_VALUE"""),44992.0)</f>
        <v>44992</v>
      </c>
    </row>
    <row r="223">
      <c r="A223" s="10" t="s">
        <v>199</v>
      </c>
      <c r="B223" s="3" t="s">
        <v>200</v>
      </c>
      <c r="C223" s="10" t="s">
        <v>263</v>
      </c>
      <c r="D223" s="3" t="s">
        <v>264</v>
      </c>
      <c r="E223" s="4" t="s">
        <v>3</v>
      </c>
      <c r="F223" s="5" t="s">
        <v>35</v>
      </c>
      <c r="G223" s="6" t="s">
        <v>267</v>
      </c>
      <c r="H223" s="7">
        <v>45018.0</v>
      </c>
      <c r="I223" s="8">
        <f t="shared" si="1"/>
        <v>2</v>
      </c>
      <c r="J223" s="9">
        <f t="shared" si="2"/>
        <v>4</v>
      </c>
      <c r="K223" s="9">
        <f t="shared" si="3"/>
        <v>2023</v>
      </c>
      <c r="M223" s="25">
        <f>IFERROR(__xludf.DUMMYFUNCTION("""COMPUTED_VALUE"""),45018.0)</f>
        <v>45018</v>
      </c>
    </row>
    <row r="224">
      <c r="A224" s="10" t="s">
        <v>199</v>
      </c>
      <c r="B224" s="3" t="s">
        <v>200</v>
      </c>
      <c r="C224" s="10" t="s">
        <v>263</v>
      </c>
      <c r="D224" s="3" t="s">
        <v>264</v>
      </c>
      <c r="E224" s="4" t="s">
        <v>8</v>
      </c>
      <c r="F224" s="5" t="s">
        <v>4</v>
      </c>
      <c r="G224" s="6" t="s">
        <v>268</v>
      </c>
      <c r="H224" s="7">
        <v>45019.0</v>
      </c>
      <c r="I224" s="8">
        <f t="shared" si="1"/>
        <v>3</v>
      </c>
      <c r="J224" s="9">
        <f t="shared" si="2"/>
        <v>4</v>
      </c>
      <c r="K224" s="9">
        <f t="shared" si="3"/>
        <v>2023</v>
      </c>
      <c r="M224" s="25">
        <f>IFERROR(__xludf.DUMMYFUNCTION("""COMPUTED_VALUE"""),45019.0)</f>
        <v>45019</v>
      </c>
    </row>
    <row r="225">
      <c r="A225" s="10" t="s">
        <v>199</v>
      </c>
      <c r="B225" s="3" t="s">
        <v>200</v>
      </c>
      <c r="C225" s="10" t="s">
        <v>263</v>
      </c>
      <c r="D225" s="3" t="s">
        <v>264</v>
      </c>
      <c r="E225" s="4" t="s">
        <v>8</v>
      </c>
      <c r="F225" s="5" t="s">
        <v>35</v>
      </c>
      <c r="G225" s="6" t="s">
        <v>269</v>
      </c>
      <c r="H225" s="7">
        <v>45026.0</v>
      </c>
      <c r="I225" s="8">
        <f t="shared" si="1"/>
        <v>10</v>
      </c>
      <c r="J225" s="9">
        <f t="shared" si="2"/>
        <v>4</v>
      </c>
      <c r="K225" s="9">
        <f t="shared" si="3"/>
        <v>2023</v>
      </c>
      <c r="M225" s="25">
        <f>IFERROR(__xludf.DUMMYFUNCTION("""COMPUTED_VALUE"""),45026.0)</f>
        <v>45026</v>
      </c>
    </row>
    <row r="226">
      <c r="A226" s="10" t="s">
        <v>199</v>
      </c>
      <c r="B226" s="3" t="s">
        <v>200</v>
      </c>
      <c r="C226" s="10" t="s">
        <v>263</v>
      </c>
      <c r="D226" s="3" t="s">
        <v>264</v>
      </c>
      <c r="E226" s="4" t="s">
        <v>3</v>
      </c>
      <c r="F226" s="5" t="s">
        <v>76</v>
      </c>
      <c r="G226" s="6" t="s">
        <v>270</v>
      </c>
      <c r="H226" s="7">
        <v>45041.0</v>
      </c>
      <c r="I226" s="8">
        <f t="shared" si="1"/>
        <v>25</v>
      </c>
      <c r="J226" s="9">
        <f t="shared" si="2"/>
        <v>4</v>
      </c>
      <c r="K226" s="9">
        <f t="shared" si="3"/>
        <v>2023</v>
      </c>
      <c r="M226" s="25">
        <f>IFERROR(__xludf.DUMMYFUNCTION("""COMPUTED_VALUE"""),45041.0)</f>
        <v>45041</v>
      </c>
    </row>
    <row r="227">
      <c r="A227" s="10" t="s">
        <v>199</v>
      </c>
      <c r="B227" s="3" t="s">
        <v>200</v>
      </c>
      <c r="C227" s="10" t="s">
        <v>263</v>
      </c>
      <c r="D227" s="3" t="s">
        <v>264</v>
      </c>
      <c r="E227" s="4" t="s">
        <v>8</v>
      </c>
      <c r="F227" s="5" t="s">
        <v>9</v>
      </c>
      <c r="G227" s="6" t="s">
        <v>179</v>
      </c>
      <c r="H227" s="7">
        <v>45049.0</v>
      </c>
      <c r="I227" s="8">
        <f t="shared" si="1"/>
        <v>3</v>
      </c>
      <c r="J227" s="9">
        <f t="shared" si="2"/>
        <v>5</v>
      </c>
      <c r="K227" s="9">
        <f t="shared" si="3"/>
        <v>2023</v>
      </c>
      <c r="M227" s="25">
        <f>IFERROR(__xludf.DUMMYFUNCTION("""COMPUTED_VALUE"""),45049.0)</f>
        <v>45049</v>
      </c>
    </row>
    <row r="228">
      <c r="A228" s="10" t="s">
        <v>199</v>
      </c>
      <c r="B228" s="3" t="s">
        <v>200</v>
      </c>
      <c r="C228" s="10" t="s">
        <v>263</v>
      </c>
      <c r="D228" s="3" t="s">
        <v>264</v>
      </c>
      <c r="E228" s="4" t="s">
        <v>8</v>
      </c>
      <c r="F228" s="5" t="s">
        <v>19</v>
      </c>
      <c r="G228" s="6" t="s">
        <v>271</v>
      </c>
      <c r="H228" s="7">
        <v>45059.0</v>
      </c>
      <c r="I228" s="8">
        <f t="shared" si="1"/>
        <v>13</v>
      </c>
      <c r="J228" s="9">
        <f t="shared" si="2"/>
        <v>5</v>
      </c>
      <c r="K228" s="9">
        <f t="shared" si="3"/>
        <v>2023</v>
      </c>
      <c r="M228" s="25">
        <f>IFERROR(__xludf.DUMMYFUNCTION("""COMPUTED_VALUE"""),45059.0)</f>
        <v>45059</v>
      </c>
    </row>
    <row r="229">
      <c r="A229" s="10" t="s">
        <v>199</v>
      </c>
      <c r="B229" s="3" t="s">
        <v>200</v>
      </c>
      <c r="C229" s="10" t="s">
        <v>263</v>
      </c>
      <c r="D229" s="3" t="s">
        <v>264</v>
      </c>
      <c r="E229" s="4" t="s">
        <v>8</v>
      </c>
      <c r="F229" s="5" t="s">
        <v>6</v>
      </c>
      <c r="G229" s="6" t="s">
        <v>272</v>
      </c>
      <c r="H229" s="7">
        <v>45070.0</v>
      </c>
      <c r="I229" s="8">
        <f t="shared" si="1"/>
        <v>24</v>
      </c>
      <c r="J229" s="9">
        <f t="shared" si="2"/>
        <v>5</v>
      </c>
      <c r="K229" s="9">
        <f t="shared" si="3"/>
        <v>2023</v>
      </c>
      <c r="M229" s="25">
        <f>IFERROR(__xludf.DUMMYFUNCTION("""COMPUTED_VALUE"""),45070.0)</f>
        <v>45070</v>
      </c>
    </row>
    <row r="230">
      <c r="A230" s="10" t="s">
        <v>199</v>
      </c>
      <c r="B230" s="3" t="s">
        <v>200</v>
      </c>
      <c r="C230" s="10" t="s">
        <v>263</v>
      </c>
      <c r="D230" s="3" t="s">
        <v>264</v>
      </c>
      <c r="E230" s="4" t="s">
        <v>8</v>
      </c>
      <c r="F230" s="5" t="s">
        <v>9</v>
      </c>
      <c r="G230" s="6" t="s">
        <v>273</v>
      </c>
      <c r="H230" s="7">
        <v>45092.0</v>
      </c>
      <c r="I230" s="8">
        <f t="shared" si="1"/>
        <v>15</v>
      </c>
      <c r="J230" s="9">
        <f t="shared" si="2"/>
        <v>6</v>
      </c>
      <c r="K230" s="9">
        <f t="shared" si="3"/>
        <v>2023</v>
      </c>
      <c r="M230" s="25">
        <f>IFERROR(__xludf.DUMMYFUNCTION("""COMPUTED_VALUE"""),45092.0)</f>
        <v>45092</v>
      </c>
    </row>
    <row r="231">
      <c r="A231" s="10" t="s">
        <v>199</v>
      </c>
      <c r="B231" s="3" t="s">
        <v>200</v>
      </c>
      <c r="C231" s="10" t="s">
        <v>263</v>
      </c>
      <c r="D231" s="3" t="s">
        <v>264</v>
      </c>
      <c r="E231" s="4" t="s">
        <v>3</v>
      </c>
      <c r="F231" s="5" t="s">
        <v>51</v>
      </c>
      <c r="G231" s="6" t="s">
        <v>274</v>
      </c>
      <c r="H231" s="7">
        <v>45116.0</v>
      </c>
      <c r="I231" s="8">
        <f t="shared" si="1"/>
        <v>9</v>
      </c>
      <c r="J231" s="9">
        <f t="shared" si="2"/>
        <v>7</v>
      </c>
      <c r="K231" s="9">
        <f t="shared" si="3"/>
        <v>2023</v>
      </c>
      <c r="M231" s="25">
        <f>IFERROR(__xludf.DUMMYFUNCTION("""COMPUTED_VALUE"""),45116.0)</f>
        <v>45116</v>
      </c>
    </row>
    <row r="232">
      <c r="A232" s="10" t="s">
        <v>199</v>
      </c>
      <c r="B232" s="3" t="s">
        <v>200</v>
      </c>
      <c r="C232" s="10" t="s">
        <v>263</v>
      </c>
      <c r="D232" s="3" t="s">
        <v>264</v>
      </c>
      <c r="E232" s="4" t="s">
        <v>3</v>
      </c>
      <c r="F232" s="5" t="s">
        <v>76</v>
      </c>
      <c r="G232" s="6" t="s">
        <v>275</v>
      </c>
      <c r="H232" s="7">
        <v>45122.0</v>
      </c>
      <c r="I232" s="8">
        <f t="shared" si="1"/>
        <v>15</v>
      </c>
      <c r="J232" s="9">
        <f t="shared" si="2"/>
        <v>7</v>
      </c>
      <c r="K232" s="9">
        <f t="shared" si="3"/>
        <v>2023</v>
      </c>
      <c r="M232" s="25">
        <f>IFERROR(__xludf.DUMMYFUNCTION("""COMPUTED_VALUE"""),45122.0)</f>
        <v>45122</v>
      </c>
    </row>
    <row r="233">
      <c r="A233" s="10" t="s">
        <v>199</v>
      </c>
      <c r="B233" s="3" t="s">
        <v>200</v>
      </c>
      <c r="C233" s="10" t="s">
        <v>263</v>
      </c>
      <c r="D233" s="3" t="s">
        <v>264</v>
      </c>
      <c r="E233" s="4" t="s">
        <v>3</v>
      </c>
      <c r="F233" s="5" t="s">
        <v>42</v>
      </c>
      <c r="G233" s="6" t="s">
        <v>276</v>
      </c>
      <c r="H233" s="7">
        <v>45148.0</v>
      </c>
      <c r="I233" s="8">
        <f t="shared" si="1"/>
        <v>10</v>
      </c>
      <c r="J233" s="9">
        <f t="shared" si="2"/>
        <v>8</v>
      </c>
      <c r="K233" s="9">
        <f t="shared" si="3"/>
        <v>2023</v>
      </c>
      <c r="M233" s="25">
        <f>IFERROR(__xludf.DUMMYFUNCTION("""COMPUTED_VALUE"""),45148.0)</f>
        <v>45148</v>
      </c>
    </row>
    <row r="234">
      <c r="A234" s="10" t="s">
        <v>199</v>
      </c>
      <c r="B234" s="3" t="s">
        <v>200</v>
      </c>
      <c r="C234" s="10" t="s">
        <v>263</v>
      </c>
      <c r="D234" s="3" t="s">
        <v>264</v>
      </c>
      <c r="E234" s="4" t="s">
        <v>8</v>
      </c>
      <c r="F234" s="5" t="s">
        <v>45</v>
      </c>
      <c r="G234" s="6" t="s">
        <v>277</v>
      </c>
      <c r="H234" s="7">
        <v>45151.0</v>
      </c>
      <c r="I234" s="8">
        <f t="shared" si="1"/>
        <v>13</v>
      </c>
      <c r="J234" s="9">
        <f t="shared" si="2"/>
        <v>8</v>
      </c>
      <c r="K234" s="9">
        <f t="shared" si="3"/>
        <v>2023</v>
      </c>
      <c r="M234" s="25">
        <f>IFERROR(__xludf.DUMMYFUNCTION("""COMPUTED_VALUE"""),45151.0)</f>
        <v>45151</v>
      </c>
    </row>
    <row r="235">
      <c r="A235" s="10" t="s">
        <v>199</v>
      </c>
      <c r="B235" s="3" t="s">
        <v>200</v>
      </c>
      <c r="C235" s="10" t="s">
        <v>263</v>
      </c>
      <c r="D235" s="3" t="s">
        <v>264</v>
      </c>
      <c r="E235" s="4" t="s">
        <v>8</v>
      </c>
      <c r="F235" s="5" t="s">
        <v>4</v>
      </c>
      <c r="G235" s="6" t="s">
        <v>278</v>
      </c>
      <c r="H235" s="7">
        <v>45184.0</v>
      </c>
      <c r="I235" s="8">
        <f t="shared" si="1"/>
        <v>15</v>
      </c>
      <c r="J235" s="9">
        <f t="shared" si="2"/>
        <v>9</v>
      </c>
      <c r="K235" s="9">
        <f t="shared" si="3"/>
        <v>2023</v>
      </c>
      <c r="M235" s="25">
        <f>IFERROR(__xludf.DUMMYFUNCTION("""COMPUTED_VALUE"""),45184.0)</f>
        <v>45184</v>
      </c>
    </row>
    <row r="236">
      <c r="A236" s="10" t="s">
        <v>199</v>
      </c>
      <c r="B236" s="3" t="s">
        <v>200</v>
      </c>
      <c r="C236" s="10" t="s">
        <v>263</v>
      </c>
      <c r="D236" s="3" t="s">
        <v>264</v>
      </c>
      <c r="E236" s="4" t="s">
        <v>8</v>
      </c>
      <c r="F236" s="5" t="s">
        <v>120</v>
      </c>
      <c r="G236" s="6" t="s">
        <v>279</v>
      </c>
      <c r="H236" s="7">
        <v>45190.0</v>
      </c>
      <c r="I236" s="8">
        <f t="shared" si="1"/>
        <v>21</v>
      </c>
      <c r="J236" s="9">
        <f t="shared" si="2"/>
        <v>9</v>
      </c>
      <c r="K236" s="9">
        <f t="shared" si="3"/>
        <v>2023</v>
      </c>
      <c r="M236" s="25">
        <f>IFERROR(__xludf.DUMMYFUNCTION("""COMPUTED_VALUE"""),45190.0)</f>
        <v>45190</v>
      </c>
    </row>
    <row r="237">
      <c r="A237" s="10" t="s">
        <v>199</v>
      </c>
      <c r="B237" s="3" t="s">
        <v>200</v>
      </c>
      <c r="C237" s="10" t="s">
        <v>263</v>
      </c>
      <c r="D237" s="3" t="s">
        <v>264</v>
      </c>
      <c r="E237" s="4" t="s">
        <v>8</v>
      </c>
      <c r="F237" s="5" t="s">
        <v>120</v>
      </c>
      <c r="G237" s="6" t="s">
        <v>280</v>
      </c>
      <c r="H237" s="7">
        <v>45223.0</v>
      </c>
      <c r="I237" s="8">
        <f t="shared" si="1"/>
        <v>24</v>
      </c>
      <c r="J237" s="9">
        <f t="shared" si="2"/>
        <v>10</v>
      </c>
      <c r="K237" s="9">
        <f t="shared" si="3"/>
        <v>2023</v>
      </c>
      <c r="M237" s="25">
        <f>IFERROR(__xludf.DUMMYFUNCTION("""COMPUTED_VALUE"""),45223.0)</f>
        <v>45223</v>
      </c>
    </row>
    <row r="238">
      <c r="A238" s="10" t="s">
        <v>199</v>
      </c>
      <c r="B238" s="3" t="s">
        <v>200</v>
      </c>
      <c r="C238" s="10" t="s">
        <v>263</v>
      </c>
      <c r="D238" s="3" t="s">
        <v>264</v>
      </c>
      <c r="E238" s="4" t="s">
        <v>8</v>
      </c>
      <c r="F238" s="5" t="s">
        <v>13</v>
      </c>
      <c r="G238" s="6" t="s">
        <v>281</v>
      </c>
      <c r="H238" s="7">
        <v>45242.0</v>
      </c>
      <c r="I238" s="8">
        <f t="shared" si="1"/>
        <v>12</v>
      </c>
      <c r="J238" s="9">
        <f t="shared" si="2"/>
        <v>11</v>
      </c>
      <c r="K238" s="9">
        <f t="shared" si="3"/>
        <v>2023</v>
      </c>
      <c r="M238" s="25">
        <f>IFERROR(__xludf.DUMMYFUNCTION("""COMPUTED_VALUE"""),45242.0)</f>
        <v>45242</v>
      </c>
    </row>
    <row r="239">
      <c r="A239" s="10" t="s">
        <v>199</v>
      </c>
      <c r="B239" s="3" t="s">
        <v>200</v>
      </c>
      <c r="C239" s="10" t="s">
        <v>263</v>
      </c>
      <c r="D239" s="3" t="s">
        <v>264</v>
      </c>
      <c r="E239" s="4" t="s">
        <v>3</v>
      </c>
      <c r="F239" s="5" t="s">
        <v>35</v>
      </c>
      <c r="G239" s="6" t="s">
        <v>282</v>
      </c>
      <c r="H239" s="7">
        <v>45275.0</v>
      </c>
      <c r="I239" s="8">
        <f t="shared" si="1"/>
        <v>15</v>
      </c>
      <c r="J239" s="9">
        <f t="shared" si="2"/>
        <v>12</v>
      </c>
      <c r="K239" s="9">
        <f t="shared" si="3"/>
        <v>2023</v>
      </c>
      <c r="M239" s="25">
        <f>IFERROR(__xludf.DUMMYFUNCTION("""COMPUTED_VALUE"""),45275.0)</f>
        <v>45275</v>
      </c>
    </row>
    <row r="240">
      <c r="A240" s="10" t="s">
        <v>199</v>
      </c>
      <c r="B240" s="3" t="s">
        <v>200</v>
      </c>
      <c r="C240" s="10" t="s">
        <v>263</v>
      </c>
      <c r="D240" s="3" t="s">
        <v>264</v>
      </c>
      <c r="E240" s="4" t="s">
        <v>3</v>
      </c>
      <c r="F240" s="5" t="s">
        <v>19</v>
      </c>
      <c r="G240" s="6" t="s">
        <v>91</v>
      </c>
      <c r="H240" s="7">
        <v>45279.0</v>
      </c>
      <c r="I240" s="8">
        <f t="shared" si="1"/>
        <v>19</v>
      </c>
      <c r="J240" s="9">
        <f t="shared" si="2"/>
        <v>12</v>
      </c>
      <c r="K240" s="9">
        <f t="shared" si="3"/>
        <v>2023</v>
      </c>
      <c r="M240" s="25">
        <f>IFERROR(__xludf.DUMMYFUNCTION("""COMPUTED_VALUE"""),45279.0)</f>
        <v>45279</v>
      </c>
    </row>
    <row r="241">
      <c r="A241" s="10" t="s">
        <v>221</v>
      </c>
      <c r="B241" s="3" t="s">
        <v>222</v>
      </c>
      <c r="C241" s="10" t="s">
        <v>283</v>
      </c>
      <c r="D241" s="3" t="s">
        <v>284</v>
      </c>
      <c r="E241" s="4" t="s">
        <v>3</v>
      </c>
      <c r="F241" s="5" t="s">
        <v>120</v>
      </c>
      <c r="G241" s="6" t="s">
        <v>285</v>
      </c>
      <c r="H241" s="7">
        <v>44938.0</v>
      </c>
      <c r="I241" s="8">
        <f t="shared" si="1"/>
        <v>12</v>
      </c>
      <c r="J241" s="9">
        <f t="shared" si="2"/>
        <v>1</v>
      </c>
      <c r="K241" s="9">
        <f t="shared" si="3"/>
        <v>2023</v>
      </c>
      <c r="M241" s="25">
        <f>IFERROR(__xludf.DUMMYFUNCTION("""COMPUTED_VALUE"""),44938.0)</f>
        <v>44938</v>
      </c>
    </row>
    <row r="242">
      <c r="A242" s="10" t="s">
        <v>221</v>
      </c>
      <c r="B242" s="3" t="s">
        <v>222</v>
      </c>
      <c r="C242" s="10" t="s">
        <v>283</v>
      </c>
      <c r="D242" s="3" t="s">
        <v>284</v>
      </c>
      <c r="E242" s="4" t="s">
        <v>3</v>
      </c>
      <c r="F242" s="5" t="s">
        <v>71</v>
      </c>
      <c r="G242" s="6" t="s">
        <v>286</v>
      </c>
      <c r="H242" s="7">
        <v>44988.0</v>
      </c>
      <c r="I242" s="8">
        <f t="shared" si="1"/>
        <v>3</v>
      </c>
      <c r="J242" s="9">
        <f t="shared" si="2"/>
        <v>3</v>
      </c>
      <c r="K242" s="9">
        <f t="shared" si="3"/>
        <v>2023</v>
      </c>
      <c r="M242" s="25">
        <f>IFERROR(__xludf.DUMMYFUNCTION("""COMPUTED_VALUE"""),44988.0)</f>
        <v>44988</v>
      </c>
    </row>
    <row r="243">
      <c r="A243" s="10" t="s">
        <v>221</v>
      </c>
      <c r="B243" s="3" t="s">
        <v>222</v>
      </c>
      <c r="C243" s="10" t="s">
        <v>283</v>
      </c>
      <c r="D243" s="3" t="s">
        <v>284</v>
      </c>
      <c r="E243" s="4" t="s">
        <v>8</v>
      </c>
      <c r="F243" s="5" t="s">
        <v>35</v>
      </c>
      <c r="G243" s="6" t="s">
        <v>287</v>
      </c>
      <c r="H243" s="7">
        <v>45013.0</v>
      </c>
      <c r="I243" s="8">
        <f t="shared" si="1"/>
        <v>28</v>
      </c>
      <c r="J243" s="9">
        <f t="shared" si="2"/>
        <v>3</v>
      </c>
      <c r="K243" s="9">
        <f t="shared" si="3"/>
        <v>2023</v>
      </c>
      <c r="M243" s="25">
        <f>IFERROR(__xludf.DUMMYFUNCTION("""COMPUTED_VALUE"""),45013.0)</f>
        <v>45013</v>
      </c>
    </row>
    <row r="244">
      <c r="A244" s="10" t="s">
        <v>221</v>
      </c>
      <c r="B244" s="3" t="s">
        <v>222</v>
      </c>
      <c r="C244" s="10" t="s">
        <v>283</v>
      </c>
      <c r="D244" s="3" t="s">
        <v>284</v>
      </c>
      <c r="E244" s="4" t="s">
        <v>8</v>
      </c>
      <c r="F244" s="5" t="s">
        <v>6</v>
      </c>
      <c r="G244" s="6" t="s">
        <v>288</v>
      </c>
      <c r="H244" s="7">
        <v>45018.0</v>
      </c>
      <c r="I244" s="8">
        <f t="shared" si="1"/>
        <v>2</v>
      </c>
      <c r="J244" s="9">
        <f t="shared" si="2"/>
        <v>4</v>
      </c>
      <c r="K244" s="9">
        <f t="shared" si="3"/>
        <v>2023</v>
      </c>
      <c r="M244" s="25">
        <f>IFERROR(__xludf.DUMMYFUNCTION("""COMPUTED_VALUE"""),45018.0)</f>
        <v>45018</v>
      </c>
    </row>
    <row r="245">
      <c r="A245" s="10" t="s">
        <v>221</v>
      </c>
      <c r="B245" s="3" t="s">
        <v>222</v>
      </c>
      <c r="C245" s="10" t="s">
        <v>283</v>
      </c>
      <c r="D245" s="3" t="s">
        <v>284</v>
      </c>
      <c r="E245" s="4" t="s">
        <v>8</v>
      </c>
      <c r="F245" s="5" t="s">
        <v>6</v>
      </c>
      <c r="G245" s="6" t="s">
        <v>289</v>
      </c>
      <c r="H245" s="7">
        <v>45020.0</v>
      </c>
      <c r="I245" s="8">
        <f t="shared" si="1"/>
        <v>4</v>
      </c>
      <c r="J245" s="9">
        <f t="shared" si="2"/>
        <v>4</v>
      </c>
      <c r="K245" s="9">
        <f t="shared" si="3"/>
        <v>2023</v>
      </c>
      <c r="M245" s="25">
        <f>IFERROR(__xludf.DUMMYFUNCTION("""COMPUTED_VALUE"""),45020.0)</f>
        <v>45020</v>
      </c>
    </row>
    <row r="246">
      <c r="A246" s="10" t="s">
        <v>221</v>
      </c>
      <c r="B246" s="3" t="s">
        <v>222</v>
      </c>
      <c r="C246" s="10" t="s">
        <v>283</v>
      </c>
      <c r="D246" s="3" t="s">
        <v>284</v>
      </c>
      <c r="E246" s="4" t="s">
        <v>8</v>
      </c>
      <c r="F246" s="5" t="s">
        <v>76</v>
      </c>
      <c r="G246" s="6" t="s">
        <v>290</v>
      </c>
      <c r="H246" s="7">
        <v>45022.0</v>
      </c>
      <c r="I246" s="8">
        <f t="shared" si="1"/>
        <v>6</v>
      </c>
      <c r="J246" s="9">
        <f t="shared" si="2"/>
        <v>4</v>
      </c>
      <c r="K246" s="9">
        <f t="shared" si="3"/>
        <v>2023</v>
      </c>
      <c r="M246" s="25">
        <f>IFERROR(__xludf.DUMMYFUNCTION("""COMPUTED_VALUE"""),45022.0)</f>
        <v>45022</v>
      </c>
    </row>
    <row r="247">
      <c r="A247" s="10" t="s">
        <v>221</v>
      </c>
      <c r="B247" s="3" t="s">
        <v>222</v>
      </c>
      <c r="C247" s="10" t="s">
        <v>283</v>
      </c>
      <c r="D247" s="3" t="s">
        <v>284</v>
      </c>
      <c r="E247" s="4" t="s">
        <v>3</v>
      </c>
      <c r="F247" s="5" t="s">
        <v>9</v>
      </c>
      <c r="G247" s="6" t="s">
        <v>291</v>
      </c>
      <c r="H247" s="7">
        <v>45036.0</v>
      </c>
      <c r="I247" s="8">
        <f t="shared" si="1"/>
        <v>20</v>
      </c>
      <c r="J247" s="9">
        <f t="shared" si="2"/>
        <v>4</v>
      </c>
      <c r="K247" s="9">
        <f t="shared" si="3"/>
        <v>2023</v>
      </c>
      <c r="M247" s="25">
        <f>IFERROR(__xludf.DUMMYFUNCTION("""COMPUTED_VALUE"""),45036.0)</f>
        <v>45036</v>
      </c>
    </row>
    <row r="248">
      <c r="A248" s="10" t="s">
        <v>221</v>
      </c>
      <c r="B248" s="3" t="s">
        <v>222</v>
      </c>
      <c r="C248" s="10" t="s">
        <v>283</v>
      </c>
      <c r="D248" s="3" t="s">
        <v>284</v>
      </c>
      <c r="E248" s="4" t="s">
        <v>3</v>
      </c>
      <c r="F248" s="5" t="s">
        <v>4</v>
      </c>
      <c r="G248" s="6" t="s">
        <v>292</v>
      </c>
      <c r="H248" s="7">
        <v>45060.0</v>
      </c>
      <c r="I248" s="8">
        <f t="shared" si="1"/>
        <v>14</v>
      </c>
      <c r="J248" s="9">
        <f t="shared" si="2"/>
        <v>5</v>
      </c>
      <c r="K248" s="9">
        <f t="shared" si="3"/>
        <v>2023</v>
      </c>
      <c r="M248" s="25">
        <f>IFERROR(__xludf.DUMMYFUNCTION("""COMPUTED_VALUE"""),45060.0)</f>
        <v>45060</v>
      </c>
    </row>
    <row r="249">
      <c r="A249" s="10" t="s">
        <v>221</v>
      </c>
      <c r="B249" s="3" t="s">
        <v>222</v>
      </c>
      <c r="C249" s="10" t="s">
        <v>283</v>
      </c>
      <c r="D249" s="3" t="s">
        <v>284</v>
      </c>
      <c r="E249" s="4" t="s">
        <v>3</v>
      </c>
      <c r="F249" s="5" t="s">
        <v>23</v>
      </c>
      <c r="G249" s="6" t="s">
        <v>293</v>
      </c>
      <c r="H249" s="7">
        <v>45062.0</v>
      </c>
      <c r="I249" s="8">
        <f t="shared" si="1"/>
        <v>16</v>
      </c>
      <c r="J249" s="9">
        <f t="shared" si="2"/>
        <v>5</v>
      </c>
      <c r="K249" s="9">
        <f t="shared" si="3"/>
        <v>2023</v>
      </c>
      <c r="M249" s="25">
        <f>IFERROR(__xludf.DUMMYFUNCTION("""COMPUTED_VALUE"""),45062.0)</f>
        <v>45062</v>
      </c>
    </row>
    <row r="250">
      <c r="A250" s="10" t="s">
        <v>221</v>
      </c>
      <c r="B250" s="3" t="s">
        <v>222</v>
      </c>
      <c r="C250" s="10" t="s">
        <v>283</v>
      </c>
      <c r="D250" s="3" t="s">
        <v>284</v>
      </c>
      <c r="E250" s="4" t="s">
        <v>3</v>
      </c>
      <c r="F250" s="5" t="s">
        <v>4</v>
      </c>
      <c r="G250" s="6" t="s">
        <v>294</v>
      </c>
      <c r="H250" s="7">
        <v>45087.0</v>
      </c>
      <c r="I250" s="8">
        <f t="shared" si="1"/>
        <v>10</v>
      </c>
      <c r="J250" s="9">
        <f t="shared" si="2"/>
        <v>6</v>
      </c>
      <c r="K250" s="9">
        <f t="shared" si="3"/>
        <v>2023</v>
      </c>
      <c r="M250" s="25">
        <f>IFERROR(__xludf.DUMMYFUNCTION("""COMPUTED_VALUE"""),45087.0)</f>
        <v>45087</v>
      </c>
    </row>
    <row r="251">
      <c r="A251" s="10" t="s">
        <v>221</v>
      </c>
      <c r="B251" s="3" t="s">
        <v>222</v>
      </c>
      <c r="C251" s="10" t="s">
        <v>283</v>
      </c>
      <c r="D251" s="3" t="s">
        <v>284</v>
      </c>
      <c r="E251" s="4" t="s">
        <v>3</v>
      </c>
      <c r="F251" s="5" t="s">
        <v>42</v>
      </c>
      <c r="G251" s="6" t="s">
        <v>295</v>
      </c>
      <c r="H251" s="7">
        <v>45102.0</v>
      </c>
      <c r="I251" s="8">
        <f t="shared" si="1"/>
        <v>25</v>
      </c>
      <c r="J251" s="9">
        <f t="shared" si="2"/>
        <v>6</v>
      </c>
      <c r="K251" s="9">
        <f t="shared" si="3"/>
        <v>2023</v>
      </c>
      <c r="M251" s="25">
        <f>IFERROR(__xludf.DUMMYFUNCTION("""COMPUTED_VALUE"""),45102.0)</f>
        <v>45102</v>
      </c>
    </row>
    <row r="252">
      <c r="A252" s="10" t="s">
        <v>221</v>
      </c>
      <c r="B252" s="3" t="s">
        <v>222</v>
      </c>
      <c r="C252" s="10" t="s">
        <v>283</v>
      </c>
      <c r="D252" s="3" t="s">
        <v>284</v>
      </c>
      <c r="E252" s="4" t="s">
        <v>3</v>
      </c>
      <c r="F252" s="5" t="s">
        <v>96</v>
      </c>
      <c r="G252" s="6" t="s">
        <v>296</v>
      </c>
      <c r="H252" s="7">
        <v>45119.0</v>
      </c>
      <c r="I252" s="8">
        <f t="shared" si="1"/>
        <v>12</v>
      </c>
      <c r="J252" s="9">
        <f t="shared" si="2"/>
        <v>7</v>
      </c>
      <c r="K252" s="9">
        <f t="shared" si="3"/>
        <v>2023</v>
      </c>
      <c r="M252" s="25">
        <f>IFERROR(__xludf.DUMMYFUNCTION("""COMPUTED_VALUE"""),45119.0)</f>
        <v>45119</v>
      </c>
    </row>
    <row r="253">
      <c r="A253" s="10" t="s">
        <v>221</v>
      </c>
      <c r="B253" s="3" t="s">
        <v>222</v>
      </c>
      <c r="C253" s="10" t="s">
        <v>283</v>
      </c>
      <c r="D253" s="3" t="s">
        <v>284</v>
      </c>
      <c r="E253" s="4" t="s">
        <v>8</v>
      </c>
      <c r="F253" s="5" t="s">
        <v>96</v>
      </c>
      <c r="G253" s="6" t="s">
        <v>297</v>
      </c>
      <c r="H253" s="7">
        <v>45122.0</v>
      </c>
      <c r="I253" s="8">
        <f t="shared" si="1"/>
        <v>15</v>
      </c>
      <c r="J253" s="9">
        <f t="shared" si="2"/>
        <v>7</v>
      </c>
      <c r="K253" s="9">
        <f t="shared" si="3"/>
        <v>2023</v>
      </c>
      <c r="M253" s="25">
        <f>IFERROR(__xludf.DUMMYFUNCTION("""COMPUTED_VALUE"""),45122.0)</f>
        <v>45122</v>
      </c>
    </row>
    <row r="254">
      <c r="A254" s="10" t="s">
        <v>221</v>
      </c>
      <c r="B254" s="3" t="s">
        <v>222</v>
      </c>
      <c r="C254" s="10" t="s">
        <v>283</v>
      </c>
      <c r="D254" s="3" t="s">
        <v>284</v>
      </c>
      <c r="E254" s="4" t="s">
        <v>8</v>
      </c>
      <c r="F254" s="5" t="s">
        <v>39</v>
      </c>
      <c r="G254" s="6" t="s">
        <v>298</v>
      </c>
      <c r="H254" s="7">
        <v>45146.0</v>
      </c>
      <c r="I254" s="8">
        <f t="shared" si="1"/>
        <v>8</v>
      </c>
      <c r="J254" s="9">
        <f t="shared" si="2"/>
        <v>8</v>
      </c>
      <c r="K254" s="9">
        <f t="shared" si="3"/>
        <v>2023</v>
      </c>
      <c r="M254" s="25">
        <f>IFERROR(__xludf.DUMMYFUNCTION("""COMPUTED_VALUE"""),45146.0)</f>
        <v>45146</v>
      </c>
    </row>
    <row r="255">
      <c r="A255" s="10" t="s">
        <v>221</v>
      </c>
      <c r="B255" s="3" t="s">
        <v>222</v>
      </c>
      <c r="C255" s="10" t="s">
        <v>283</v>
      </c>
      <c r="D255" s="3" t="s">
        <v>284</v>
      </c>
      <c r="E255" s="4" t="s">
        <v>3</v>
      </c>
      <c r="F255" s="5" t="s">
        <v>17</v>
      </c>
      <c r="G255" s="6" t="s">
        <v>299</v>
      </c>
      <c r="H255" s="7">
        <v>45155.0</v>
      </c>
      <c r="I255" s="8">
        <f t="shared" si="1"/>
        <v>17</v>
      </c>
      <c r="J255" s="9">
        <f t="shared" si="2"/>
        <v>8</v>
      </c>
      <c r="K255" s="9">
        <f t="shared" si="3"/>
        <v>2023</v>
      </c>
      <c r="M255" s="25">
        <f>IFERROR(__xludf.DUMMYFUNCTION("""COMPUTED_VALUE"""),45155.0)</f>
        <v>45155</v>
      </c>
    </row>
    <row r="256">
      <c r="A256" s="10" t="s">
        <v>221</v>
      </c>
      <c r="B256" s="3" t="s">
        <v>222</v>
      </c>
      <c r="C256" s="10" t="s">
        <v>283</v>
      </c>
      <c r="D256" s="3" t="s">
        <v>284</v>
      </c>
      <c r="E256" s="4" t="s">
        <v>8</v>
      </c>
      <c r="F256" s="5" t="s">
        <v>120</v>
      </c>
      <c r="G256" s="6" t="s">
        <v>300</v>
      </c>
      <c r="H256" s="7">
        <v>45158.0</v>
      </c>
      <c r="I256" s="8">
        <f t="shared" si="1"/>
        <v>20</v>
      </c>
      <c r="J256" s="9">
        <f t="shared" si="2"/>
        <v>8</v>
      </c>
      <c r="K256" s="9">
        <f t="shared" si="3"/>
        <v>2023</v>
      </c>
      <c r="M256" s="25">
        <f>IFERROR(__xludf.DUMMYFUNCTION("""COMPUTED_VALUE"""),45158.0)</f>
        <v>45158</v>
      </c>
    </row>
    <row r="257">
      <c r="A257" s="10" t="s">
        <v>221</v>
      </c>
      <c r="B257" s="3" t="s">
        <v>222</v>
      </c>
      <c r="C257" s="10" t="s">
        <v>283</v>
      </c>
      <c r="D257" s="3" t="s">
        <v>284</v>
      </c>
      <c r="E257" s="4" t="s">
        <v>8</v>
      </c>
      <c r="F257" s="5" t="s">
        <v>96</v>
      </c>
      <c r="G257" s="6" t="s">
        <v>301</v>
      </c>
      <c r="H257" s="7">
        <v>45171.0</v>
      </c>
      <c r="I257" s="8">
        <f t="shared" si="1"/>
        <v>2</v>
      </c>
      <c r="J257" s="9">
        <f t="shared" si="2"/>
        <v>9</v>
      </c>
      <c r="K257" s="9">
        <f t="shared" si="3"/>
        <v>2023</v>
      </c>
      <c r="M257" s="25">
        <f>IFERROR(__xludf.DUMMYFUNCTION("""COMPUTED_VALUE"""),45171.0)</f>
        <v>45171</v>
      </c>
    </row>
    <row r="258">
      <c r="A258" s="10" t="s">
        <v>221</v>
      </c>
      <c r="B258" s="3" t="s">
        <v>222</v>
      </c>
      <c r="C258" s="10" t="s">
        <v>283</v>
      </c>
      <c r="D258" s="3" t="s">
        <v>284</v>
      </c>
      <c r="E258" s="4" t="s">
        <v>3</v>
      </c>
      <c r="F258" s="5" t="s">
        <v>120</v>
      </c>
      <c r="G258" s="6" t="s">
        <v>147</v>
      </c>
      <c r="H258" s="7">
        <v>45174.0</v>
      </c>
      <c r="I258" s="8">
        <f t="shared" si="1"/>
        <v>5</v>
      </c>
      <c r="J258" s="9">
        <f t="shared" si="2"/>
        <v>9</v>
      </c>
      <c r="K258" s="9">
        <f t="shared" si="3"/>
        <v>2023</v>
      </c>
      <c r="M258" s="25">
        <f>IFERROR(__xludf.DUMMYFUNCTION("""COMPUTED_VALUE"""),45174.0)</f>
        <v>45174</v>
      </c>
    </row>
    <row r="259">
      <c r="A259" s="10" t="s">
        <v>221</v>
      </c>
      <c r="B259" s="3" t="s">
        <v>222</v>
      </c>
      <c r="C259" s="10" t="s">
        <v>283</v>
      </c>
      <c r="D259" s="3" t="s">
        <v>284</v>
      </c>
      <c r="E259" s="4" t="s">
        <v>8</v>
      </c>
      <c r="F259" s="5" t="s">
        <v>42</v>
      </c>
      <c r="G259" s="6" t="s">
        <v>302</v>
      </c>
      <c r="H259" s="7">
        <v>45216.0</v>
      </c>
      <c r="I259" s="8">
        <f t="shared" si="1"/>
        <v>17</v>
      </c>
      <c r="J259" s="9">
        <f t="shared" si="2"/>
        <v>10</v>
      </c>
      <c r="K259" s="9">
        <f t="shared" si="3"/>
        <v>2023</v>
      </c>
      <c r="M259" s="25">
        <f>IFERROR(__xludf.DUMMYFUNCTION("""COMPUTED_VALUE"""),45216.0)</f>
        <v>45216</v>
      </c>
    </row>
    <row r="260">
      <c r="A260" s="10" t="s">
        <v>221</v>
      </c>
      <c r="B260" s="3" t="s">
        <v>222</v>
      </c>
      <c r="C260" s="10" t="s">
        <v>283</v>
      </c>
      <c r="D260" s="3" t="s">
        <v>284</v>
      </c>
      <c r="E260" s="4" t="s">
        <v>3</v>
      </c>
      <c r="F260" s="5" t="s">
        <v>35</v>
      </c>
      <c r="G260" s="6" t="s">
        <v>303</v>
      </c>
      <c r="H260" s="7">
        <v>45231.0</v>
      </c>
      <c r="I260" s="8">
        <f t="shared" si="1"/>
        <v>1</v>
      </c>
      <c r="J260" s="9">
        <f t="shared" si="2"/>
        <v>11</v>
      </c>
      <c r="K260" s="9">
        <f t="shared" si="3"/>
        <v>2023</v>
      </c>
      <c r="M260" s="25">
        <f>IFERROR(__xludf.DUMMYFUNCTION("""COMPUTED_VALUE"""),45231.0)</f>
        <v>45231</v>
      </c>
    </row>
    <row r="261">
      <c r="A261" s="10" t="s">
        <v>242</v>
      </c>
      <c r="B261" s="3" t="s">
        <v>243</v>
      </c>
      <c r="C261" s="10" t="s">
        <v>304</v>
      </c>
      <c r="D261" s="3" t="s">
        <v>305</v>
      </c>
      <c r="E261" s="4" t="s">
        <v>8</v>
      </c>
      <c r="F261" s="5" t="s">
        <v>21</v>
      </c>
      <c r="G261" s="6" t="s">
        <v>306</v>
      </c>
      <c r="H261" s="7">
        <v>44943.0</v>
      </c>
      <c r="I261" s="8">
        <f t="shared" si="1"/>
        <v>17</v>
      </c>
      <c r="J261" s="9">
        <f t="shared" si="2"/>
        <v>1</v>
      </c>
      <c r="K261" s="9">
        <f t="shared" si="3"/>
        <v>2023</v>
      </c>
      <c r="M261" s="25">
        <f>IFERROR(__xludf.DUMMYFUNCTION("""COMPUTED_VALUE"""),44943.0)</f>
        <v>44943</v>
      </c>
    </row>
    <row r="262">
      <c r="A262" s="10" t="s">
        <v>242</v>
      </c>
      <c r="B262" s="3" t="s">
        <v>243</v>
      </c>
      <c r="C262" s="10" t="s">
        <v>304</v>
      </c>
      <c r="D262" s="3" t="s">
        <v>305</v>
      </c>
      <c r="E262" s="4" t="s">
        <v>8</v>
      </c>
      <c r="F262" s="5" t="s">
        <v>15</v>
      </c>
      <c r="G262" s="6" t="s">
        <v>307</v>
      </c>
      <c r="H262" s="7">
        <v>44951.0</v>
      </c>
      <c r="I262" s="8">
        <f t="shared" si="1"/>
        <v>25</v>
      </c>
      <c r="J262" s="9">
        <f t="shared" si="2"/>
        <v>1</v>
      </c>
      <c r="K262" s="9">
        <f t="shared" si="3"/>
        <v>2023</v>
      </c>
      <c r="M262" s="25">
        <f>IFERROR(__xludf.DUMMYFUNCTION("""COMPUTED_VALUE"""),44951.0)</f>
        <v>44951</v>
      </c>
    </row>
    <row r="263">
      <c r="A263" s="10" t="s">
        <v>242</v>
      </c>
      <c r="B263" s="3" t="s">
        <v>243</v>
      </c>
      <c r="C263" s="10" t="s">
        <v>304</v>
      </c>
      <c r="D263" s="3" t="s">
        <v>305</v>
      </c>
      <c r="E263" s="4" t="s">
        <v>8</v>
      </c>
      <c r="F263" s="5" t="s">
        <v>71</v>
      </c>
      <c r="G263" s="6" t="s">
        <v>308</v>
      </c>
      <c r="H263" s="7">
        <v>44953.0</v>
      </c>
      <c r="I263" s="8">
        <f t="shared" si="1"/>
        <v>27</v>
      </c>
      <c r="J263" s="9">
        <f t="shared" si="2"/>
        <v>1</v>
      </c>
      <c r="K263" s="9">
        <f t="shared" si="3"/>
        <v>2023</v>
      </c>
      <c r="M263" s="25">
        <f>IFERROR(__xludf.DUMMYFUNCTION("""COMPUTED_VALUE"""),44953.0)</f>
        <v>44953</v>
      </c>
    </row>
    <row r="264">
      <c r="A264" s="10" t="s">
        <v>242</v>
      </c>
      <c r="B264" s="3" t="s">
        <v>243</v>
      </c>
      <c r="C264" s="10" t="s">
        <v>304</v>
      </c>
      <c r="D264" s="3" t="s">
        <v>305</v>
      </c>
      <c r="E264" s="4" t="s">
        <v>8</v>
      </c>
      <c r="F264" s="5" t="s">
        <v>42</v>
      </c>
      <c r="G264" s="6" t="s">
        <v>309</v>
      </c>
      <c r="H264" s="7">
        <v>44978.0</v>
      </c>
      <c r="I264" s="8">
        <f t="shared" si="1"/>
        <v>21</v>
      </c>
      <c r="J264" s="9">
        <f t="shared" si="2"/>
        <v>2</v>
      </c>
      <c r="K264" s="9">
        <f t="shared" si="3"/>
        <v>2023</v>
      </c>
      <c r="M264" s="25">
        <f>IFERROR(__xludf.DUMMYFUNCTION("""COMPUTED_VALUE"""),44978.0)</f>
        <v>44978</v>
      </c>
    </row>
    <row r="265">
      <c r="A265" s="10" t="s">
        <v>242</v>
      </c>
      <c r="B265" s="3" t="s">
        <v>243</v>
      </c>
      <c r="C265" s="10" t="s">
        <v>304</v>
      </c>
      <c r="D265" s="3" t="s">
        <v>305</v>
      </c>
      <c r="E265" s="4" t="s">
        <v>8</v>
      </c>
      <c r="F265" s="5" t="s">
        <v>39</v>
      </c>
      <c r="G265" s="6" t="s">
        <v>310</v>
      </c>
      <c r="H265" s="7">
        <v>44999.0</v>
      </c>
      <c r="I265" s="8">
        <f t="shared" si="1"/>
        <v>14</v>
      </c>
      <c r="J265" s="9">
        <f t="shared" si="2"/>
        <v>3</v>
      </c>
      <c r="K265" s="9">
        <f t="shared" si="3"/>
        <v>2023</v>
      </c>
      <c r="M265" s="25">
        <f>IFERROR(__xludf.DUMMYFUNCTION("""COMPUTED_VALUE"""),44999.0)</f>
        <v>44999</v>
      </c>
    </row>
    <row r="266">
      <c r="A266" s="10" t="s">
        <v>242</v>
      </c>
      <c r="B266" s="3" t="s">
        <v>243</v>
      </c>
      <c r="C266" s="10" t="s">
        <v>304</v>
      </c>
      <c r="D266" s="3" t="s">
        <v>305</v>
      </c>
      <c r="E266" s="4" t="s">
        <v>3</v>
      </c>
      <c r="F266" s="5" t="s">
        <v>4</v>
      </c>
      <c r="G266" s="6" t="s">
        <v>311</v>
      </c>
      <c r="H266" s="7">
        <v>45012.0</v>
      </c>
      <c r="I266" s="8">
        <f t="shared" si="1"/>
        <v>27</v>
      </c>
      <c r="J266" s="9">
        <f t="shared" si="2"/>
        <v>3</v>
      </c>
      <c r="K266" s="9">
        <f t="shared" si="3"/>
        <v>2023</v>
      </c>
      <c r="M266" s="25">
        <f>IFERROR(__xludf.DUMMYFUNCTION("""COMPUTED_VALUE"""),45012.0)</f>
        <v>45012</v>
      </c>
    </row>
    <row r="267">
      <c r="A267" s="10" t="s">
        <v>242</v>
      </c>
      <c r="B267" s="3" t="s">
        <v>243</v>
      </c>
      <c r="C267" s="10" t="s">
        <v>304</v>
      </c>
      <c r="D267" s="3" t="s">
        <v>305</v>
      </c>
      <c r="E267" s="4" t="s">
        <v>3</v>
      </c>
      <c r="F267" s="5" t="s">
        <v>6</v>
      </c>
      <c r="G267" s="6" t="s">
        <v>312</v>
      </c>
      <c r="H267" s="7">
        <v>45019.0</v>
      </c>
      <c r="I267" s="8">
        <f t="shared" si="1"/>
        <v>3</v>
      </c>
      <c r="J267" s="9">
        <f t="shared" si="2"/>
        <v>4</v>
      </c>
      <c r="K267" s="9">
        <f t="shared" si="3"/>
        <v>2023</v>
      </c>
      <c r="M267" s="25">
        <f>IFERROR(__xludf.DUMMYFUNCTION("""COMPUTED_VALUE"""),45019.0)</f>
        <v>45019</v>
      </c>
    </row>
    <row r="268">
      <c r="A268" s="10" t="s">
        <v>242</v>
      </c>
      <c r="B268" s="3" t="s">
        <v>243</v>
      </c>
      <c r="C268" s="10" t="s">
        <v>304</v>
      </c>
      <c r="D268" s="3" t="s">
        <v>305</v>
      </c>
      <c r="E268" s="4" t="s">
        <v>3</v>
      </c>
      <c r="F268" s="5" t="s">
        <v>35</v>
      </c>
      <c r="G268" s="6" t="s">
        <v>313</v>
      </c>
      <c r="H268" s="7">
        <v>45033.0</v>
      </c>
      <c r="I268" s="8">
        <f t="shared" si="1"/>
        <v>17</v>
      </c>
      <c r="J268" s="9">
        <f t="shared" si="2"/>
        <v>4</v>
      </c>
      <c r="K268" s="9">
        <f t="shared" si="3"/>
        <v>2023</v>
      </c>
      <c r="M268" s="25">
        <f>IFERROR(__xludf.DUMMYFUNCTION("""COMPUTED_VALUE"""),45033.0)</f>
        <v>45033</v>
      </c>
    </row>
    <row r="269">
      <c r="A269" s="10" t="s">
        <v>242</v>
      </c>
      <c r="B269" s="3" t="s">
        <v>243</v>
      </c>
      <c r="C269" s="10" t="s">
        <v>304</v>
      </c>
      <c r="D269" s="3" t="s">
        <v>305</v>
      </c>
      <c r="E269" s="4" t="s">
        <v>8</v>
      </c>
      <c r="F269" s="5" t="s">
        <v>39</v>
      </c>
      <c r="G269" s="6" t="s">
        <v>314</v>
      </c>
      <c r="H269" s="7">
        <v>45054.0</v>
      </c>
      <c r="I269" s="8">
        <f t="shared" si="1"/>
        <v>8</v>
      </c>
      <c r="J269" s="9">
        <f t="shared" si="2"/>
        <v>5</v>
      </c>
      <c r="K269" s="9">
        <f t="shared" si="3"/>
        <v>2023</v>
      </c>
      <c r="M269" s="25">
        <f>IFERROR(__xludf.DUMMYFUNCTION("""COMPUTED_VALUE"""),45054.0)</f>
        <v>45054</v>
      </c>
    </row>
    <row r="270">
      <c r="A270" s="10" t="s">
        <v>242</v>
      </c>
      <c r="B270" s="3" t="s">
        <v>243</v>
      </c>
      <c r="C270" s="10" t="s">
        <v>304</v>
      </c>
      <c r="D270" s="3" t="s">
        <v>305</v>
      </c>
      <c r="E270" s="4" t="s">
        <v>8</v>
      </c>
      <c r="F270" s="5" t="s">
        <v>96</v>
      </c>
      <c r="G270" s="6" t="s">
        <v>315</v>
      </c>
      <c r="H270" s="7">
        <v>45122.0</v>
      </c>
      <c r="I270" s="8">
        <f t="shared" si="1"/>
        <v>15</v>
      </c>
      <c r="J270" s="9">
        <f t="shared" si="2"/>
        <v>7</v>
      </c>
      <c r="K270" s="9">
        <f t="shared" si="3"/>
        <v>2023</v>
      </c>
      <c r="M270" s="25">
        <f>IFERROR(__xludf.DUMMYFUNCTION("""COMPUTED_VALUE"""),45122.0)</f>
        <v>45122</v>
      </c>
    </row>
    <row r="271">
      <c r="A271" s="10" t="s">
        <v>242</v>
      </c>
      <c r="B271" s="3" t="s">
        <v>243</v>
      </c>
      <c r="C271" s="10" t="s">
        <v>304</v>
      </c>
      <c r="D271" s="3" t="s">
        <v>305</v>
      </c>
      <c r="E271" s="4" t="s">
        <v>8</v>
      </c>
      <c r="F271" s="5" t="s">
        <v>71</v>
      </c>
      <c r="G271" s="6" t="s">
        <v>316</v>
      </c>
      <c r="H271" s="7">
        <v>45157.0</v>
      </c>
      <c r="I271" s="8">
        <f t="shared" si="1"/>
        <v>19</v>
      </c>
      <c r="J271" s="9">
        <f t="shared" si="2"/>
        <v>8</v>
      </c>
      <c r="K271" s="9">
        <f t="shared" si="3"/>
        <v>2023</v>
      </c>
      <c r="M271" s="25">
        <f>IFERROR(__xludf.DUMMYFUNCTION("""COMPUTED_VALUE"""),45157.0)</f>
        <v>45157</v>
      </c>
    </row>
    <row r="272">
      <c r="A272" s="10" t="s">
        <v>242</v>
      </c>
      <c r="B272" s="3" t="s">
        <v>243</v>
      </c>
      <c r="C272" s="10" t="s">
        <v>304</v>
      </c>
      <c r="D272" s="3" t="s">
        <v>305</v>
      </c>
      <c r="E272" s="4" t="s">
        <v>8</v>
      </c>
      <c r="F272" s="5" t="s">
        <v>76</v>
      </c>
      <c r="G272" s="6" t="s">
        <v>317</v>
      </c>
      <c r="H272" s="7">
        <v>45186.0</v>
      </c>
      <c r="I272" s="8">
        <f t="shared" si="1"/>
        <v>17</v>
      </c>
      <c r="J272" s="9">
        <f t="shared" si="2"/>
        <v>9</v>
      </c>
      <c r="K272" s="9">
        <f t="shared" si="3"/>
        <v>2023</v>
      </c>
      <c r="M272" s="25">
        <f>IFERROR(__xludf.DUMMYFUNCTION("""COMPUTED_VALUE"""),45186.0)</f>
        <v>45186</v>
      </c>
    </row>
    <row r="273">
      <c r="A273" s="10" t="s">
        <v>242</v>
      </c>
      <c r="B273" s="3" t="s">
        <v>243</v>
      </c>
      <c r="C273" s="10" t="s">
        <v>304</v>
      </c>
      <c r="D273" s="3" t="s">
        <v>305</v>
      </c>
      <c r="E273" s="4" t="s">
        <v>3</v>
      </c>
      <c r="F273" s="5" t="s">
        <v>21</v>
      </c>
      <c r="G273" s="6" t="s">
        <v>318</v>
      </c>
      <c r="H273" s="7">
        <v>45209.0</v>
      </c>
      <c r="I273" s="8">
        <f t="shared" si="1"/>
        <v>10</v>
      </c>
      <c r="J273" s="9">
        <f t="shared" si="2"/>
        <v>10</v>
      </c>
      <c r="K273" s="9">
        <f t="shared" si="3"/>
        <v>2023</v>
      </c>
      <c r="M273" s="25">
        <f>IFERROR(__xludf.DUMMYFUNCTION("""COMPUTED_VALUE"""),45209.0)</f>
        <v>45209</v>
      </c>
    </row>
    <row r="274">
      <c r="A274" s="10" t="s">
        <v>242</v>
      </c>
      <c r="B274" s="3" t="s">
        <v>243</v>
      </c>
      <c r="C274" s="10" t="s">
        <v>304</v>
      </c>
      <c r="D274" s="3" t="s">
        <v>305</v>
      </c>
      <c r="E274" s="4" t="s">
        <v>8</v>
      </c>
      <c r="F274" s="5" t="s">
        <v>4</v>
      </c>
      <c r="G274" s="6" t="s">
        <v>319</v>
      </c>
      <c r="H274" s="7">
        <v>45216.0</v>
      </c>
      <c r="I274" s="8">
        <f t="shared" si="1"/>
        <v>17</v>
      </c>
      <c r="J274" s="9">
        <f t="shared" si="2"/>
        <v>10</v>
      </c>
      <c r="K274" s="9">
        <f t="shared" si="3"/>
        <v>2023</v>
      </c>
      <c r="M274" s="25">
        <f>IFERROR(__xludf.DUMMYFUNCTION("""COMPUTED_VALUE"""),45216.0)</f>
        <v>45216</v>
      </c>
    </row>
    <row r="275">
      <c r="A275" s="10" t="s">
        <v>242</v>
      </c>
      <c r="B275" s="3" t="s">
        <v>243</v>
      </c>
      <c r="C275" s="10" t="s">
        <v>304</v>
      </c>
      <c r="D275" s="3" t="s">
        <v>305</v>
      </c>
      <c r="E275" s="4" t="s">
        <v>8</v>
      </c>
      <c r="F275" s="5" t="s">
        <v>4</v>
      </c>
      <c r="G275" s="6" t="s">
        <v>320</v>
      </c>
      <c r="H275" s="7">
        <v>45231.0</v>
      </c>
      <c r="I275" s="8">
        <f t="shared" si="1"/>
        <v>1</v>
      </c>
      <c r="J275" s="9">
        <f t="shared" si="2"/>
        <v>11</v>
      </c>
      <c r="K275" s="9">
        <f t="shared" si="3"/>
        <v>2023</v>
      </c>
      <c r="M275" s="25">
        <f>IFERROR(__xludf.DUMMYFUNCTION("""COMPUTED_VALUE"""),45231.0)</f>
        <v>45231</v>
      </c>
    </row>
    <row r="276">
      <c r="A276" s="10" t="s">
        <v>242</v>
      </c>
      <c r="B276" s="3" t="s">
        <v>243</v>
      </c>
      <c r="C276" s="10" t="s">
        <v>304</v>
      </c>
      <c r="D276" s="3" t="s">
        <v>305</v>
      </c>
      <c r="E276" s="4" t="s">
        <v>8</v>
      </c>
      <c r="F276" s="5" t="s">
        <v>15</v>
      </c>
      <c r="G276" s="6" t="s">
        <v>321</v>
      </c>
      <c r="H276" s="7">
        <v>45242.0</v>
      </c>
      <c r="I276" s="8">
        <f t="shared" si="1"/>
        <v>12</v>
      </c>
      <c r="J276" s="9">
        <f t="shared" si="2"/>
        <v>11</v>
      </c>
      <c r="K276" s="9">
        <f t="shared" si="3"/>
        <v>2023</v>
      </c>
      <c r="M276" s="25">
        <f>IFERROR(__xludf.DUMMYFUNCTION("""COMPUTED_VALUE"""),45242.0)</f>
        <v>45242</v>
      </c>
    </row>
    <row r="277">
      <c r="A277" s="10" t="s">
        <v>242</v>
      </c>
      <c r="B277" s="3" t="s">
        <v>243</v>
      </c>
      <c r="C277" s="10" t="s">
        <v>304</v>
      </c>
      <c r="D277" s="3" t="s">
        <v>305</v>
      </c>
      <c r="E277" s="4" t="s">
        <v>3</v>
      </c>
      <c r="F277" s="5" t="s">
        <v>45</v>
      </c>
      <c r="G277" s="6" t="s">
        <v>322</v>
      </c>
      <c r="H277" s="7">
        <v>45253.0</v>
      </c>
      <c r="I277" s="8">
        <f t="shared" si="1"/>
        <v>23</v>
      </c>
      <c r="J277" s="9">
        <f t="shared" si="2"/>
        <v>11</v>
      </c>
      <c r="K277" s="9">
        <f t="shared" si="3"/>
        <v>2023</v>
      </c>
      <c r="M277" s="25">
        <f>IFERROR(__xludf.DUMMYFUNCTION("""COMPUTED_VALUE"""),45253.0)</f>
        <v>45253</v>
      </c>
    </row>
    <row r="278">
      <c r="A278" s="10" t="s">
        <v>242</v>
      </c>
      <c r="B278" s="3" t="s">
        <v>243</v>
      </c>
      <c r="C278" s="10" t="s">
        <v>304</v>
      </c>
      <c r="D278" s="3" t="s">
        <v>305</v>
      </c>
      <c r="E278" s="4" t="s">
        <v>3</v>
      </c>
      <c r="F278" s="5" t="s">
        <v>9</v>
      </c>
      <c r="G278" s="6" t="s">
        <v>323</v>
      </c>
      <c r="H278" s="7">
        <v>45273.0</v>
      </c>
      <c r="I278" s="8">
        <f t="shared" si="1"/>
        <v>13</v>
      </c>
      <c r="J278" s="9">
        <f t="shared" si="2"/>
        <v>12</v>
      </c>
      <c r="K278" s="9">
        <f t="shared" si="3"/>
        <v>2023</v>
      </c>
      <c r="M278" s="25">
        <f>IFERROR(__xludf.DUMMYFUNCTION("""COMPUTED_VALUE"""),45273.0)</f>
        <v>45273</v>
      </c>
    </row>
    <row r="279">
      <c r="A279" s="10" t="s">
        <v>242</v>
      </c>
      <c r="B279" s="3" t="s">
        <v>243</v>
      </c>
      <c r="C279" s="10" t="s">
        <v>304</v>
      </c>
      <c r="D279" s="3" t="s">
        <v>305</v>
      </c>
      <c r="E279" s="4" t="s">
        <v>8</v>
      </c>
      <c r="F279" s="5" t="s">
        <v>71</v>
      </c>
      <c r="G279" s="6" t="s">
        <v>324</v>
      </c>
      <c r="H279" s="7">
        <v>45273.0</v>
      </c>
      <c r="I279" s="8">
        <f t="shared" si="1"/>
        <v>13</v>
      </c>
      <c r="J279" s="9">
        <f t="shared" si="2"/>
        <v>12</v>
      </c>
      <c r="K279" s="9">
        <f t="shared" si="3"/>
        <v>2023</v>
      </c>
      <c r="M279" s="25">
        <f>IFERROR(__xludf.DUMMYFUNCTION("""COMPUTED_VALUE"""),45273.0)</f>
        <v>45273</v>
      </c>
    </row>
    <row r="280">
      <c r="A280" s="10" t="s">
        <v>242</v>
      </c>
      <c r="B280" s="3" t="s">
        <v>243</v>
      </c>
      <c r="C280" s="10" t="s">
        <v>304</v>
      </c>
      <c r="D280" s="3" t="s">
        <v>305</v>
      </c>
      <c r="E280" s="4" t="s">
        <v>3</v>
      </c>
      <c r="F280" s="5" t="s">
        <v>15</v>
      </c>
      <c r="G280" s="6" t="s">
        <v>325</v>
      </c>
      <c r="H280" s="7">
        <v>45281.0</v>
      </c>
      <c r="I280" s="8">
        <f t="shared" si="1"/>
        <v>21</v>
      </c>
      <c r="J280" s="9">
        <f t="shared" si="2"/>
        <v>12</v>
      </c>
      <c r="K280" s="9">
        <f t="shared" si="3"/>
        <v>2023</v>
      </c>
      <c r="M280" s="25">
        <f>IFERROR(__xludf.DUMMYFUNCTION("""COMPUTED_VALUE"""),45281.0)</f>
        <v>45281</v>
      </c>
    </row>
    <row r="281">
      <c r="A281" s="10" t="s">
        <v>263</v>
      </c>
      <c r="B281" s="3" t="s">
        <v>264</v>
      </c>
      <c r="C281" s="10" t="s">
        <v>326</v>
      </c>
      <c r="D281" s="3" t="s">
        <v>327</v>
      </c>
      <c r="E281" s="4" t="s">
        <v>3</v>
      </c>
      <c r="F281" s="5" t="s">
        <v>120</v>
      </c>
      <c r="G281" s="6" t="s">
        <v>328</v>
      </c>
      <c r="H281" s="7">
        <v>44929.0</v>
      </c>
      <c r="I281" s="8">
        <f t="shared" si="1"/>
        <v>3</v>
      </c>
      <c r="J281" s="9">
        <f t="shared" si="2"/>
        <v>1</v>
      </c>
      <c r="K281" s="9">
        <f t="shared" si="3"/>
        <v>2023</v>
      </c>
      <c r="M281" s="25">
        <f>IFERROR(__xludf.DUMMYFUNCTION("""COMPUTED_VALUE"""),44929.0)</f>
        <v>44929</v>
      </c>
    </row>
    <row r="282">
      <c r="A282" s="10" t="s">
        <v>263</v>
      </c>
      <c r="B282" s="3" t="s">
        <v>264</v>
      </c>
      <c r="C282" s="10" t="s">
        <v>326</v>
      </c>
      <c r="D282" s="3" t="s">
        <v>327</v>
      </c>
      <c r="E282" s="4" t="s">
        <v>3</v>
      </c>
      <c r="F282" s="5" t="s">
        <v>23</v>
      </c>
      <c r="G282" s="6" t="s">
        <v>329</v>
      </c>
      <c r="H282" s="7">
        <v>44949.0</v>
      </c>
      <c r="I282" s="8">
        <f t="shared" si="1"/>
        <v>23</v>
      </c>
      <c r="J282" s="9">
        <f t="shared" si="2"/>
        <v>1</v>
      </c>
      <c r="K282" s="9">
        <f t="shared" si="3"/>
        <v>2023</v>
      </c>
      <c r="M282" s="25">
        <f>IFERROR(__xludf.DUMMYFUNCTION("""COMPUTED_VALUE"""),44949.0)</f>
        <v>44949</v>
      </c>
    </row>
    <row r="283">
      <c r="A283" s="10" t="s">
        <v>263</v>
      </c>
      <c r="B283" s="3" t="s">
        <v>264</v>
      </c>
      <c r="C283" s="10" t="s">
        <v>326</v>
      </c>
      <c r="D283" s="3" t="s">
        <v>327</v>
      </c>
      <c r="E283" s="4" t="s">
        <v>8</v>
      </c>
      <c r="F283" s="5" t="s">
        <v>13</v>
      </c>
      <c r="G283" s="6" t="s">
        <v>330</v>
      </c>
      <c r="H283" s="7">
        <v>44960.0</v>
      </c>
      <c r="I283" s="8">
        <f t="shared" si="1"/>
        <v>3</v>
      </c>
      <c r="J283" s="9">
        <f t="shared" si="2"/>
        <v>2</v>
      </c>
      <c r="K283" s="9">
        <f t="shared" si="3"/>
        <v>2023</v>
      </c>
      <c r="M283" s="25">
        <f>IFERROR(__xludf.DUMMYFUNCTION("""COMPUTED_VALUE"""),44960.0)</f>
        <v>44960</v>
      </c>
    </row>
    <row r="284">
      <c r="A284" s="10" t="s">
        <v>263</v>
      </c>
      <c r="B284" s="3" t="s">
        <v>264</v>
      </c>
      <c r="C284" s="10" t="s">
        <v>326</v>
      </c>
      <c r="D284" s="3" t="s">
        <v>327</v>
      </c>
      <c r="E284" s="4" t="s">
        <v>3</v>
      </c>
      <c r="F284" s="5" t="s">
        <v>11</v>
      </c>
      <c r="G284" s="6" t="s">
        <v>331</v>
      </c>
      <c r="H284" s="7">
        <v>44966.0</v>
      </c>
      <c r="I284" s="8">
        <f t="shared" si="1"/>
        <v>9</v>
      </c>
      <c r="J284" s="9">
        <f t="shared" si="2"/>
        <v>2</v>
      </c>
      <c r="K284" s="9">
        <f t="shared" si="3"/>
        <v>2023</v>
      </c>
      <c r="M284" s="25">
        <f>IFERROR(__xludf.DUMMYFUNCTION("""COMPUTED_VALUE"""),44966.0)</f>
        <v>44966</v>
      </c>
    </row>
    <row r="285">
      <c r="A285" s="10" t="s">
        <v>263</v>
      </c>
      <c r="B285" s="3" t="s">
        <v>264</v>
      </c>
      <c r="C285" s="10" t="s">
        <v>326</v>
      </c>
      <c r="D285" s="3" t="s">
        <v>327</v>
      </c>
      <c r="E285" s="4" t="s">
        <v>3</v>
      </c>
      <c r="F285" s="5" t="s">
        <v>120</v>
      </c>
      <c r="G285" s="6" t="s">
        <v>332</v>
      </c>
      <c r="H285" s="7">
        <v>44985.0</v>
      </c>
      <c r="I285" s="8">
        <f t="shared" si="1"/>
        <v>28</v>
      </c>
      <c r="J285" s="9">
        <f t="shared" si="2"/>
        <v>2</v>
      </c>
      <c r="K285" s="9">
        <f t="shared" si="3"/>
        <v>2023</v>
      </c>
      <c r="M285" s="25">
        <f>IFERROR(__xludf.DUMMYFUNCTION("""COMPUTED_VALUE"""),44985.0)</f>
        <v>44985</v>
      </c>
    </row>
    <row r="286">
      <c r="A286" s="10" t="s">
        <v>263</v>
      </c>
      <c r="B286" s="3" t="s">
        <v>264</v>
      </c>
      <c r="C286" s="10" t="s">
        <v>326</v>
      </c>
      <c r="D286" s="3" t="s">
        <v>327</v>
      </c>
      <c r="E286" s="4" t="s">
        <v>8</v>
      </c>
      <c r="F286" s="5" t="s">
        <v>35</v>
      </c>
      <c r="G286" s="6" t="s">
        <v>237</v>
      </c>
      <c r="H286" s="7">
        <v>45010.0</v>
      </c>
      <c r="I286" s="8">
        <f t="shared" si="1"/>
        <v>25</v>
      </c>
      <c r="J286" s="9">
        <f t="shared" si="2"/>
        <v>3</v>
      </c>
      <c r="K286" s="9">
        <f t="shared" si="3"/>
        <v>2023</v>
      </c>
      <c r="M286" s="25">
        <f>IFERROR(__xludf.DUMMYFUNCTION("""COMPUTED_VALUE"""),45010.0)</f>
        <v>45010</v>
      </c>
    </row>
    <row r="287">
      <c r="A287" s="10" t="s">
        <v>263</v>
      </c>
      <c r="B287" s="3" t="s">
        <v>264</v>
      </c>
      <c r="C287" s="10" t="s">
        <v>326</v>
      </c>
      <c r="D287" s="3" t="s">
        <v>327</v>
      </c>
      <c r="E287" s="4" t="s">
        <v>8</v>
      </c>
      <c r="F287" s="5" t="s">
        <v>42</v>
      </c>
      <c r="G287" s="6" t="s">
        <v>333</v>
      </c>
      <c r="H287" s="7">
        <v>45028.0</v>
      </c>
      <c r="I287" s="8">
        <f t="shared" si="1"/>
        <v>12</v>
      </c>
      <c r="J287" s="9">
        <f t="shared" si="2"/>
        <v>4</v>
      </c>
      <c r="K287" s="9">
        <f t="shared" si="3"/>
        <v>2023</v>
      </c>
      <c r="M287" s="25">
        <f>IFERROR(__xludf.DUMMYFUNCTION("""COMPUTED_VALUE"""),45028.0)</f>
        <v>45028</v>
      </c>
    </row>
    <row r="288">
      <c r="A288" s="10" t="s">
        <v>263</v>
      </c>
      <c r="B288" s="3" t="s">
        <v>264</v>
      </c>
      <c r="C288" s="10" t="s">
        <v>326</v>
      </c>
      <c r="D288" s="3" t="s">
        <v>327</v>
      </c>
      <c r="E288" s="4" t="s">
        <v>8</v>
      </c>
      <c r="F288" s="5" t="s">
        <v>11</v>
      </c>
      <c r="G288" s="6" t="s">
        <v>334</v>
      </c>
      <c r="H288" s="7">
        <v>45040.0</v>
      </c>
      <c r="I288" s="8">
        <f t="shared" si="1"/>
        <v>24</v>
      </c>
      <c r="J288" s="9">
        <f t="shared" si="2"/>
        <v>4</v>
      </c>
      <c r="K288" s="9">
        <f t="shared" si="3"/>
        <v>2023</v>
      </c>
      <c r="M288" s="25">
        <f>IFERROR(__xludf.DUMMYFUNCTION("""COMPUTED_VALUE"""),45040.0)</f>
        <v>45040</v>
      </c>
    </row>
    <row r="289">
      <c r="A289" s="10" t="s">
        <v>263</v>
      </c>
      <c r="B289" s="3" t="s">
        <v>264</v>
      </c>
      <c r="C289" s="10" t="s">
        <v>326</v>
      </c>
      <c r="D289" s="3" t="s">
        <v>327</v>
      </c>
      <c r="E289" s="4" t="s">
        <v>8</v>
      </c>
      <c r="F289" s="5" t="s">
        <v>11</v>
      </c>
      <c r="G289" s="6" t="s">
        <v>335</v>
      </c>
      <c r="H289" s="7">
        <v>45063.0</v>
      </c>
      <c r="I289" s="8">
        <f t="shared" si="1"/>
        <v>17</v>
      </c>
      <c r="J289" s="9">
        <f t="shared" si="2"/>
        <v>5</v>
      </c>
      <c r="K289" s="9">
        <f t="shared" si="3"/>
        <v>2023</v>
      </c>
      <c r="M289" s="25">
        <f>IFERROR(__xludf.DUMMYFUNCTION("""COMPUTED_VALUE"""),45063.0)</f>
        <v>45063</v>
      </c>
    </row>
    <row r="290">
      <c r="A290" s="10" t="s">
        <v>263</v>
      </c>
      <c r="B290" s="3" t="s">
        <v>264</v>
      </c>
      <c r="C290" s="10" t="s">
        <v>326</v>
      </c>
      <c r="D290" s="3" t="s">
        <v>327</v>
      </c>
      <c r="E290" s="4" t="s">
        <v>8</v>
      </c>
      <c r="F290" s="5" t="s">
        <v>45</v>
      </c>
      <c r="G290" s="6" t="s">
        <v>336</v>
      </c>
      <c r="H290" s="7">
        <v>45079.0</v>
      </c>
      <c r="I290" s="8">
        <f t="shared" si="1"/>
        <v>2</v>
      </c>
      <c r="J290" s="9">
        <f t="shared" si="2"/>
        <v>6</v>
      </c>
      <c r="K290" s="9">
        <f t="shared" si="3"/>
        <v>2023</v>
      </c>
      <c r="M290" s="25">
        <f>IFERROR(__xludf.DUMMYFUNCTION("""COMPUTED_VALUE"""),45079.0)</f>
        <v>45079</v>
      </c>
    </row>
    <row r="291">
      <c r="A291" s="10" t="s">
        <v>263</v>
      </c>
      <c r="B291" s="3" t="s">
        <v>264</v>
      </c>
      <c r="C291" s="10" t="s">
        <v>326</v>
      </c>
      <c r="D291" s="3" t="s">
        <v>327</v>
      </c>
      <c r="E291" s="4" t="s">
        <v>3</v>
      </c>
      <c r="F291" s="5" t="s">
        <v>11</v>
      </c>
      <c r="G291" s="6" t="s">
        <v>337</v>
      </c>
      <c r="H291" s="7">
        <v>45087.0</v>
      </c>
      <c r="I291" s="8">
        <f t="shared" si="1"/>
        <v>10</v>
      </c>
      <c r="J291" s="9">
        <f t="shared" si="2"/>
        <v>6</v>
      </c>
      <c r="K291" s="9">
        <f t="shared" si="3"/>
        <v>2023</v>
      </c>
      <c r="M291" s="25">
        <f>IFERROR(__xludf.DUMMYFUNCTION("""COMPUTED_VALUE"""),45087.0)</f>
        <v>45087</v>
      </c>
    </row>
    <row r="292">
      <c r="A292" s="10" t="s">
        <v>263</v>
      </c>
      <c r="B292" s="3" t="s">
        <v>264</v>
      </c>
      <c r="C292" s="10" t="s">
        <v>326</v>
      </c>
      <c r="D292" s="3" t="s">
        <v>327</v>
      </c>
      <c r="E292" s="4" t="s">
        <v>8</v>
      </c>
      <c r="F292" s="5" t="s">
        <v>17</v>
      </c>
      <c r="G292" s="6" t="s">
        <v>338</v>
      </c>
      <c r="H292" s="7">
        <v>45088.0</v>
      </c>
      <c r="I292" s="8">
        <f t="shared" si="1"/>
        <v>11</v>
      </c>
      <c r="J292" s="9">
        <f t="shared" si="2"/>
        <v>6</v>
      </c>
      <c r="K292" s="9">
        <f t="shared" si="3"/>
        <v>2023</v>
      </c>
      <c r="M292" s="25">
        <f>IFERROR(__xludf.DUMMYFUNCTION("""COMPUTED_VALUE"""),45088.0)</f>
        <v>45088</v>
      </c>
    </row>
    <row r="293">
      <c r="A293" s="10" t="s">
        <v>263</v>
      </c>
      <c r="B293" s="3" t="s">
        <v>264</v>
      </c>
      <c r="C293" s="10" t="s">
        <v>326</v>
      </c>
      <c r="D293" s="3" t="s">
        <v>327</v>
      </c>
      <c r="E293" s="4" t="s">
        <v>8</v>
      </c>
      <c r="F293" s="5" t="s">
        <v>76</v>
      </c>
      <c r="G293" s="6" t="s">
        <v>339</v>
      </c>
      <c r="H293" s="7">
        <v>45101.0</v>
      </c>
      <c r="I293" s="8">
        <f t="shared" si="1"/>
        <v>24</v>
      </c>
      <c r="J293" s="9">
        <f t="shared" si="2"/>
        <v>6</v>
      </c>
      <c r="K293" s="9">
        <f t="shared" si="3"/>
        <v>2023</v>
      </c>
      <c r="M293" s="25">
        <f>IFERROR(__xludf.DUMMYFUNCTION("""COMPUTED_VALUE"""),45101.0)</f>
        <v>45101</v>
      </c>
    </row>
    <row r="294">
      <c r="A294" s="10" t="s">
        <v>263</v>
      </c>
      <c r="B294" s="3" t="s">
        <v>264</v>
      </c>
      <c r="C294" s="10" t="s">
        <v>326</v>
      </c>
      <c r="D294" s="3" t="s">
        <v>327</v>
      </c>
      <c r="E294" s="4" t="s">
        <v>3</v>
      </c>
      <c r="F294" s="5" t="s">
        <v>21</v>
      </c>
      <c r="G294" s="6" t="s">
        <v>340</v>
      </c>
      <c r="H294" s="7">
        <v>45123.0</v>
      </c>
      <c r="I294" s="8">
        <f t="shared" si="1"/>
        <v>16</v>
      </c>
      <c r="J294" s="9">
        <f t="shared" si="2"/>
        <v>7</v>
      </c>
      <c r="K294" s="9">
        <f t="shared" si="3"/>
        <v>2023</v>
      </c>
      <c r="M294" s="25">
        <f>IFERROR(__xludf.DUMMYFUNCTION("""COMPUTED_VALUE"""),45123.0)</f>
        <v>45123</v>
      </c>
    </row>
    <row r="295">
      <c r="A295" s="10" t="s">
        <v>263</v>
      </c>
      <c r="B295" s="3" t="s">
        <v>264</v>
      </c>
      <c r="C295" s="10" t="s">
        <v>326</v>
      </c>
      <c r="D295" s="3" t="s">
        <v>327</v>
      </c>
      <c r="E295" s="4" t="s">
        <v>3</v>
      </c>
      <c r="F295" s="5" t="s">
        <v>51</v>
      </c>
      <c r="G295" s="6" t="s">
        <v>341</v>
      </c>
      <c r="H295" s="7">
        <v>45156.0</v>
      </c>
      <c r="I295" s="8">
        <f t="shared" si="1"/>
        <v>18</v>
      </c>
      <c r="J295" s="9">
        <f t="shared" si="2"/>
        <v>8</v>
      </c>
      <c r="K295" s="9">
        <f t="shared" si="3"/>
        <v>2023</v>
      </c>
      <c r="M295" s="25">
        <f>IFERROR(__xludf.DUMMYFUNCTION("""COMPUTED_VALUE"""),45156.0)</f>
        <v>45156</v>
      </c>
    </row>
    <row r="296">
      <c r="A296" s="10" t="s">
        <v>263</v>
      </c>
      <c r="B296" s="3" t="s">
        <v>264</v>
      </c>
      <c r="C296" s="10" t="s">
        <v>326</v>
      </c>
      <c r="D296" s="3" t="s">
        <v>327</v>
      </c>
      <c r="E296" s="4" t="s">
        <v>8</v>
      </c>
      <c r="F296" s="5" t="s">
        <v>42</v>
      </c>
      <c r="G296" s="6" t="s">
        <v>302</v>
      </c>
      <c r="H296" s="7">
        <v>45160.0</v>
      </c>
      <c r="I296" s="8">
        <f t="shared" si="1"/>
        <v>22</v>
      </c>
      <c r="J296" s="9">
        <f t="shared" si="2"/>
        <v>8</v>
      </c>
      <c r="K296" s="9">
        <f t="shared" si="3"/>
        <v>2023</v>
      </c>
      <c r="M296" s="25">
        <f>IFERROR(__xludf.DUMMYFUNCTION("""COMPUTED_VALUE"""),45160.0)</f>
        <v>45160</v>
      </c>
    </row>
    <row r="297">
      <c r="A297" s="10" t="s">
        <v>263</v>
      </c>
      <c r="B297" s="3" t="s">
        <v>264</v>
      </c>
      <c r="C297" s="10" t="s">
        <v>326</v>
      </c>
      <c r="D297" s="3" t="s">
        <v>327</v>
      </c>
      <c r="E297" s="4" t="s">
        <v>3</v>
      </c>
      <c r="F297" s="5" t="s">
        <v>4</v>
      </c>
      <c r="G297" s="6" t="s">
        <v>342</v>
      </c>
      <c r="H297" s="7">
        <v>45224.0</v>
      </c>
      <c r="I297" s="8">
        <f t="shared" si="1"/>
        <v>25</v>
      </c>
      <c r="J297" s="9">
        <f t="shared" si="2"/>
        <v>10</v>
      </c>
      <c r="K297" s="9">
        <f t="shared" si="3"/>
        <v>2023</v>
      </c>
      <c r="M297" s="25">
        <f>IFERROR(__xludf.DUMMYFUNCTION("""COMPUTED_VALUE"""),45224.0)</f>
        <v>45224</v>
      </c>
    </row>
    <row r="298">
      <c r="A298" s="10" t="s">
        <v>263</v>
      </c>
      <c r="B298" s="3" t="s">
        <v>264</v>
      </c>
      <c r="C298" s="10" t="s">
        <v>326</v>
      </c>
      <c r="D298" s="3" t="s">
        <v>327</v>
      </c>
      <c r="E298" s="4" t="s">
        <v>3</v>
      </c>
      <c r="F298" s="5" t="s">
        <v>15</v>
      </c>
      <c r="G298" s="6" t="s">
        <v>343</v>
      </c>
      <c r="H298" s="7">
        <v>45233.0</v>
      </c>
      <c r="I298" s="8">
        <f t="shared" si="1"/>
        <v>3</v>
      </c>
      <c r="J298" s="9">
        <f t="shared" si="2"/>
        <v>11</v>
      </c>
      <c r="K298" s="9">
        <f t="shared" si="3"/>
        <v>2023</v>
      </c>
      <c r="M298" s="25">
        <f>IFERROR(__xludf.DUMMYFUNCTION("""COMPUTED_VALUE"""),45233.0)</f>
        <v>45233</v>
      </c>
    </row>
    <row r="299">
      <c r="A299" s="10" t="s">
        <v>263</v>
      </c>
      <c r="B299" s="3" t="s">
        <v>264</v>
      </c>
      <c r="C299" s="10" t="s">
        <v>326</v>
      </c>
      <c r="D299" s="3" t="s">
        <v>327</v>
      </c>
      <c r="E299" s="4" t="s">
        <v>8</v>
      </c>
      <c r="F299" s="5" t="s">
        <v>28</v>
      </c>
      <c r="G299" s="6" t="s">
        <v>344</v>
      </c>
      <c r="H299" s="7">
        <v>45247.0</v>
      </c>
      <c r="I299" s="8">
        <f t="shared" si="1"/>
        <v>17</v>
      </c>
      <c r="J299" s="9">
        <f t="shared" si="2"/>
        <v>11</v>
      </c>
      <c r="K299" s="9">
        <f t="shared" si="3"/>
        <v>2023</v>
      </c>
      <c r="M299" s="25">
        <f>IFERROR(__xludf.DUMMYFUNCTION("""COMPUTED_VALUE"""),45247.0)</f>
        <v>45247</v>
      </c>
    </row>
    <row r="300">
      <c r="A300" s="10" t="s">
        <v>263</v>
      </c>
      <c r="B300" s="3" t="s">
        <v>264</v>
      </c>
      <c r="C300" s="10" t="s">
        <v>326</v>
      </c>
      <c r="D300" s="3" t="s">
        <v>327</v>
      </c>
      <c r="E300" s="4" t="s">
        <v>3</v>
      </c>
      <c r="F300" s="5" t="s">
        <v>28</v>
      </c>
      <c r="G300" s="6" t="s">
        <v>345</v>
      </c>
      <c r="H300" s="7">
        <v>45264.0</v>
      </c>
      <c r="I300" s="8">
        <f t="shared" si="1"/>
        <v>4</v>
      </c>
      <c r="J300" s="9">
        <f t="shared" si="2"/>
        <v>12</v>
      </c>
      <c r="K300" s="9">
        <f t="shared" si="3"/>
        <v>2023</v>
      </c>
      <c r="M300" s="25">
        <f>IFERROR(__xludf.DUMMYFUNCTION("""COMPUTED_VALUE"""),45264.0)</f>
        <v>45264</v>
      </c>
    </row>
    <row r="301">
      <c r="A301" s="10" t="s">
        <v>283</v>
      </c>
      <c r="B301" s="3" t="s">
        <v>284</v>
      </c>
      <c r="C301" s="10" t="s">
        <v>346</v>
      </c>
      <c r="D301" s="3" t="s">
        <v>347</v>
      </c>
      <c r="E301" s="4" t="s">
        <v>8</v>
      </c>
      <c r="F301" s="5" t="s">
        <v>23</v>
      </c>
      <c r="G301" s="6" t="s">
        <v>348</v>
      </c>
      <c r="H301" s="7">
        <v>44944.0</v>
      </c>
      <c r="I301" s="8">
        <f t="shared" si="1"/>
        <v>18</v>
      </c>
      <c r="J301" s="9">
        <f t="shared" si="2"/>
        <v>1</v>
      </c>
      <c r="K301" s="9">
        <f t="shared" si="3"/>
        <v>2023</v>
      </c>
      <c r="M301" s="25">
        <f>IFERROR(__xludf.DUMMYFUNCTION("""COMPUTED_VALUE"""),44944.0)</f>
        <v>44944</v>
      </c>
    </row>
    <row r="302">
      <c r="A302" s="10" t="s">
        <v>283</v>
      </c>
      <c r="B302" s="3" t="s">
        <v>284</v>
      </c>
      <c r="C302" s="10" t="s">
        <v>346</v>
      </c>
      <c r="D302" s="3" t="s">
        <v>347</v>
      </c>
      <c r="E302" s="4" t="s">
        <v>8</v>
      </c>
      <c r="F302" s="5" t="s">
        <v>28</v>
      </c>
      <c r="G302" s="6" t="s">
        <v>349</v>
      </c>
      <c r="H302" s="7">
        <v>44946.0</v>
      </c>
      <c r="I302" s="8">
        <f t="shared" si="1"/>
        <v>20</v>
      </c>
      <c r="J302" s="9">
        <f t="shared" si="2"/>
        <v>1</v>
      </c>
      <c r="K302" s="9">
        <f t="shared" si="3"/>
        <v>2023</v>
      </c>
      <c r="M302" s="25">
        <f>IFERROR(__xludf.DUMMYFUNCTION("""COMPUTED_VALUE"""),44946.0)</f>
        <v>44946</v>
      </c>
    </row>
    <row r="303">
      <c r="A303" s="10" t="s">
        <v>283</v>
      </c>
      <c r="B303" s="3" t="s">
        <v>284</v>
      </c>
      <c r="C303" s="10" t="s">
        <v>346</v>
      </c>
      <c r="D303" s="3" t="s">
        <v>347</v>
      </c>
      <c r="E303" s="4" t="s">
        <v>3</v>
      </c>
      <c r="F303" s="5" t="s">
        <v>6</v>
      </c>
      <c r="G303" s="6" t="s">
        <v>350</v>
      </c>
      <c r="H303" s="7">
        <v>44948.0</v>
      </c>
      <c r="I303" s="8">
        <f t="shared" si="1"/>
        <v>22</v>
      </c>
      <c r="J303" s="9">
        <f t="shared" si="2"/>
        <v>1</v>
      </c>
      <c r="K303" s="9">
        <f t="shared" si="3"/>
        <v>2023</v>
      </c>
      <c r="M303" s="25">
        <f>IFERROR(__xludf.DUMMYFUNCTION("""COMPUTED_VALUE"""),44948.0)</f>
        <v>44948</v>
      </c>
    </row>
    <row r="304">
      <c r="A304" s="10" t="s">
        <v>283</v>
      </c>
      <c r="B304" s="3" t="s">
        <v>284</v>
      </c>
      <c r="C304" s="10" t="s">
        <v>346</v>
      </c>
      <c r="D304" s="3" t="s">
        <v>347</v>
      </c>
      <c r="E304" s="4" t="s">
        <v>3</v>
      </c>
      <c r="F304" s="5" t="s">
        <v>51</v>
      </c>
      <c r="G304" s="6" t="s">
        <v>351</v>
      </c>
      <c r="H304" s="7">
        <v>44988.0</v>
      </c>
      <c r="I304" s="8">
        <f t="shared" si="1"/>
        <v>3</v>
      </c>
      <c r="J304" s="9">
        <f t="shared" si="2"/>
        <v>3</v>
      </c>
      <c r="K304" s="9">
        <f t="shared" si="3"/>
        <v>2023</v>
      </c>
      <c r="M304" s="25">
        <f>IFERROR(__xludf.DUMMYFUNCTION("""COMPUTED_VALUE"""),44988.0)</f>
        <v>44988</v>
      </c>
    </row>
    <row r="305">
      <c r="A305" s="10" t="s">
        <v>283</v>
      </c>
      <c r="B305" s="3" t="s">
        <v>284</v>
      </c>
      <c r="C305" s="10" t="s">
        <v>346</v>
      </c>
      <c r="D305" s="3" t="s">
        <v>347</v>
      </c>
      <c r="E305" s="4" t="s">
        <v>8</v>
      </c>
      <c r="F305" s="5" t="s">
        <v>21</v>
      </c>
      <c r="G305" s="6" t="s">
        <v>352</v>
      </c>
      <c r="H305" s="7">
        <v>45093.0</v>
      </c>
      <c r="I305" s="8">
        <f t="shared" si="1"/>
        <v>16</v>
      </c>
      <c r="J305" s="9">
        <f t="shared" si="2"/>
        <v>6</v>
      </c>
      <c r="K305" s="9">
        <f t="shared" si="3"/>
        <v>2023</v>
      </c>
      <c r="M305" s="25">
        <f>IFERROR(__xludf.DUMMYFUNCTION("""COMPUTED_VALUE"""),45093.0)</f>
        <v>45093</v>
      </c>
    </row>
    <row r="306">
      <c r="A306" s="10" t="s">
        <v>283</v>
      </c>
      <c r="B306" s="3" t="s">
        <v>284</v>
      </c>
      <c r="C306" s="10" t="s">
        <v>346</v>
      </c>
      <c r="D306" s="3" t="s">
        <v>347</v>
      </c>
      <c r="E306" s="4" t="s">
        <v>3</v>
      </c>
      <c r="F306" s="5" t="s">
        <v>15</v>
      </c>
      <c r="G306" s="6" t="s">
        <v>353</v>
      </c>
      <c r="H306" s="7">
        <v>45113.0</v>
      </c>
      <c r="I306" s="8">
        <f t="shared" si="1"/>
        <v>6</v>
      </c>
      <c r="J306" s="9">
        <f t="shared" si="2"/>
        <v>7</v>
      </c>
      <c r="K306" s="9">
        <f t="shared" si="3"/>
        <v>2023</v>
      </c>
      <c r="M306" s="25">
        <f>IFERROR(__xludf.DUMMYFUNCTION("""COMPUTED_VALUE"""),45113.0)</f>
        <v>45113</v>
      </c>
    </row>
    <row r="307">
      <c r="A307" s="10" t="s">
        <v>283</v>
      </c>
      <c r="B307" s="3" t="s">
        <v>284</v>
      </c>
      <c r="C307" s="10" t="s">
        <v>346</v>
      </c>
      <c r="D307" s="3" t="s">
        <v>347</v>
      </c>
      <c r="E307" s="4" t="s">
        <v>8</v>
      </c>
      <c r="F307" s="5" t="s">
        <v>45</v>
      </c>
      <c r="G307" s="6" t="s">
        <v>354</v>
      </c>
      <c r="H307" s="7">
        <v>45113.0</v>
      </c>
      <c r="I307" s="8">
        <f t="shared" si="1"/>
        <v>6</v>
      </c>
      <c r="J307" s="9">
        <f t="shared" si="2"/>
        <v>7</v>
      </c>
      <c r="K307" s="9">
        <f t="shared" si="3"/>
        <v>2023</v>
      </c>
      <c r="M307" s="25">
        <f>IFERROR(__xludf.DUMMYFUNCTION("""COMPUTED_VALUE"""),45113.0)</f>
        <v>45113</v>
      </c>
    </row>
    <row r="308">
      <c r="A308" s="10" t="s">
        <v>283</v>
      </c>
      <c r="B308" s="3" t="s">
        <v>284</v>
      </c>
      <c r="C308" s="10" t="s">
        <v>346</v>
      </c>
      <c r="D308" s="3" t="s">
        <v>347</v>
      </c>
      <c r="E308" s="4" t="s">
        <v>8</v>
      </c>
      <c r="F308" s="5" t="s">
        <v>71</v>
      </c>
      <c r="G308" s="6" t="s">
        <v>329</v>
      </c>
      <c r="H308" s="7">
        <v>45121.0</v>
      </c>
      <c r="I308" s="8">
        <f t="shared" si="1"/>
        <v>14</v>
      </c>
      <c r="J308" s="9">
        <f t="shared" si="2"/>
        <v>7</v>
      </c>
      <c r="K308" s="9">
        <f t="shared" si="3"/>
        <v>2023</v>
      </c>
      <c r="M308" s="25">
        <f>IFERROR(__xludf.DUMMYFUNCTION("""COMPUTED_VALUE"""),45121.0)</f>
        <v>45121</v>
      </c>
    </row>
    <row r="309">
      <c r="A309" s="10" t="s">
        <v>283</v>
      </c>
      <c r="B309" s="3" t="s">
        <v>284</v>
      </c>
      <c r="C309" s="10" t="s">
        <v>346</v>
      </c>
      <c r="D309" s="3" t="s">
        <v>347</v>
      </c>
      <c r="E309" s="4" t="s">
        <v>8</v>
      </c>
      <c r="F309" s="5" t="s">
        <v>45</v>
      </c>
      <c r="G309" s="6" t="s">
        <v>355</v>
      </c>
      <c r="H309" s="7">
        <v>45130.0</v>
      </c>
      <c r="I309" s="8">
        <f t="shared" si="1"/>
        <v>23</v>
      </c>
      <c r="J309" s="9">
        <f t="shared" si="2"/>
        <v>7</v>
      </c>
      <c r="K309" s="9">
        <f t="shared" si="3"/>
        <v>2023</v>
      </c>
      <c r="M309" s="25">
        <f>IFERROR(__xludf.DUMMYFUNCTION("""COMPUTED_VALUE"""),45130.0)</f>
        <v>45130</v>
      </c>
    </row>
    <row r="310">
      <c r="A310" s="10" t="s">
        <v>283</v>
      </c>
      <c r="B310" s="3" t="s">
        <v>284</v>
      </c>
      <c r="C310" s="10" t="s">
        <v>346</v>
      </c>
      <c r="D310" s="3" t="s">
        <v>347</v>
      </c>
      <c r="E310" s="4" t="s">
        <v>3</v>
      </c>
      <c r="F310" s="5" t="s">
        <v>51</v>
      </c>
      <c r="G310" s="6" t="s">
        <v>356</v>
      </c>
      <c r="H310" s="7">
        <v>45146.0</v>
      </c>
      <c r="I310" s="8">
        <f t="shared" si="1"/>
        <v>8</v>
      </c>
      <c r="J310" s="9">
        <f t="shared" si="2"/>
        <v>8</v>
      </c>
      <c r="K310" s="9">
        <f t="shared" si="3"/>
        <v>2023</v>
      </c>
      <c r="M310" s="25">
        <f>IFERROR(__xludf.DUMMYFUNCTION("""COMPUTED_VALUE"""),45146.0)</f>
        <v>45146</v>
      </c>
    </row>
    <row r="311">
      <c r="A311" s="10" t="s">
        <v>283</v>
      </c>
      <c r="B311" s="3" t="s">
        <v>284</v>
      </c>
      <c r="C311" s="10" t="s">
        <v>346</v>
      </c>
      <c r="D311" s="3" t="s">
        <v>347</v>
      </c>
      <c r="E311" s="4" t="s">
        <v>3</v>
      </c>
      <c r="F311" s="5" t="s">
        <v>23</v>
      </c>
      <c r="G311" s="6" t="s">
        <v>357</v>
      </c>
      <c r="H311" s="7">
        <v>45150.0</v>
      </c>
      <c r="I311" s="8">
        <f t="shared" si="1"/>
        <v>12</v>
      </c>
      <c r="J311" s="9">
        <f t="shared" si="2"/>
        <v>8</v>
      </c>
      <c r="K311" s="9">
        <f t="shared" si="3"/>
        <v>2023</v>
      </c>
      <c r="M311" s="25">
        <f>IFERROR(__xludf.DUMMYFUNCTION("""COMPUTED_VALUE"""),45150.0)</f>
        <v>45150</v>
      </c>
    </row>
    <row r="312">
      <c r="A312" s="10" t="s">
        <v>283</v>
      </c>
      <c r="B312" s="3" t="s">
        <v>284</v>
      </c>
      <c r="C312" s="10" t="s">
        <v>346</v>
      </c>
      <c r="D312" s="3" t="s">
        <v>347</v>
      </c>
      <c r="E312" s="4" t="s">
        <v>3</v>
      </c>
      <c r="F312" s="5" t="s">
        <v>4</v>
      </c>
      <c r="G312" s="6" t="s">
        <v>358</v>
      </c>
      <c r="H312" s="7">
        <v>45159.0</v>
      </c>
      <c r="I312" s="8">
        <f t="shared" si="1"/>
        <v>21</v>
      </c>
      <c r="J312" s="9">
        <f t="shared" si="2"/>
        <v>8</v>
      </c>
      <c r="K312" s="9">
        <f t="shared" si="3"/>
        <v>2023</v>
      </c>
      <c r="M312" s="25">
        <f>IFERROR(__xludf.DUMMYFUNCTION("""COMPUTED_VALUE"""),45159.0)</f>
        <v>45159</v>
      </c>
    </row>
    <row r="313">
      <c r="A313" s="10" t="s">
        <v>283</v>
      </c>
      <c r="B313" s="3" t="s">
        <v>284</v>
      </c>
      <c r="C313" s="10" t="s">
        <v>346</v>
      </c>
      <c r="D313" s="3" t="s">
        <v>347</v>
      </c>
      <c r="E313" s="4" t="s">
        <v>3</v>
      </c>
      <c r="F313" s="5" t="s">
        <v>9</v>
      </c>
      <c r="G313" s="6" t="s">
        <v>359</v>
      </c>
      <c r="H313" s="7">
        <v>45190.0</v>
      </c>
      <c r="I313" s="8">
        <f t="shared" si="1"/>
        <v>21</v>
      </c>
      <c r="J313" s="9">
        <f t="shared" si="2"/>
        <v>9</v>
      </c>
      <c r="K313" s="9">
        <f t="shared" si="3"/>
        <v>2023</v>
      </c>
      <c r="M313" s="25">
        <f>IFERROR(__xludf.DUMMYFUNCTION("""COMPUTED_VALUE"""),45190.0)</f>
        <v>45190</v>
      </c>
    </row>
    <row r="314">
      <c r="A314" s="10" t="s">
        <v>283</v>
      </c>
      <c r="B314" s="3" t="s">
        <v>284</v>
      </c>
      <c r="C314" s="10" t="s">
        <v>346</v>
      </c>
      <c r="D314" s="3" t="s">
        <v>347</v>
      </c>
      <c r="E314" s="4" t="s">
        <v>3</v>
      </c>
      <c r="F314" s="5" t="s">
        <v>13</v>
      </c>
      <c r="G314" s="6" t="s">
        <v>360</v>
      </c>
      <c r="H314" s="7">
        <v>45222.0</v>
      </c>
      <c r="I314" s="8">
        <f t="shared" si="1"/>
        <v>23</v>
      </c>
      <c r="J314" s="9">
        <f t="shared" si="2"/>
        <v>10</v>
      </c>
      <c r="K314" s="9">
        <f t="shared" si="3"/>
        <v>2023</v>
      </c>
      <c r="M314" s="25">
        <f>IFERROR(__xludf.DUMMYFUNCTION("""COMPUTED_VALUE"""),45222.0)</f>
        <v>45222</v>
      </c>
    </row>
    <row r="315">
      <c r="A315" s="10" t="s">
        <v>283</v>
      </c>
      <c r="B315" s="3" t="s">
        <v>284</v>
      </c>
      <c r="C315" s="10" t="s">
        <v>346</v>
      </c>
      <c r="D315" s="3" t="s">
        <v>347</v>
      </c>
      <c r="E315" s="4" t="s">
        <v>3</v>
      </c>
      <c r="F315" s="5" t="s">
        <v>17</v>
      </c>
      <c r="G315" s="6" t="s">
        <v>361</v>
      </c>
      <c r="H315" s="7">
        <v>45227.0</v>
      </c>
      <c r="I315" s="8">
        <f t="shared" si="1"/>
        <v>28</v>
      </c>
      <c r="J315" s="9">
        <f t="shared" si="2"/>
        <v>10</v>
      </c>
      <c r="K315" s="9">
        <f t="shared" si="3"/>
        <v>2023</v>
      </c>
      <c r="M315" s="25">
        <f>IFERROR(__xludf.DUMMYFUNCTION("""COMPUTED_VALUE"""),45227.0)</f>
        <v>45227</v>
      </c>
    </row>
    <row r="316">
      <c r="A316" s="10" t="s">
        <v>283</v>
      </c>
      <c r="B316" s="3" t="s">
        <v>284</v>
      </c>
      <c r="C316" s="10" t="s">
        <v>346</v>
      </c>
      <c r="D316" s="3" t="s">
        <v>347</v>
      </c>
      <c r="E316" s="4" t="s">
        <v>8</v>
      </c>
      <c r="F316" s="5" t="s">
        <v>39</v>
      </c>
      <c r="G316" s="6" t="s">
        <v>362</v>
      </c>
      <c r="H316" s="7">
        <v>45253.0</v>
      </c>
      <c r="I316" s="8">
        <f t="shared" si="1"/>
        <v>23</v>
      </c>
      <c r="J316" s="9">
        <f t="shared" si="2"/>
        <v>11</v>
      </c>
      <c r="K316" s="9">
        <f t="shared" si="3"/>
        <v>2023</v>
      </c>
      <c r="M316" s="25">
        <f>IFERROR(__xludf.DUMMYFUNCTION("""COMPUTED_VALUE"""),45253.0)</f>
        <v>45253</v>
      </c>
    </row>
    <row r="317">
      <c r="A317" s="10" t="s">
        <v>283</v>
      </c>
      <c r="B317" s="3" t="s">
        <v>284</v>
      </c>
      <c r="C317" s="10" t="s">
        <v>346</v>
      </c>
      <c r="D317" s="3" t="s">
        <v>347</v>
      </c>
      <c r="E317" s="4" t="s">
        <v>3</v>
      </c>
      <c r="F317" s="5" t="s">
        <v>11</v>
      </c>
      <c r="G317" s="6" t="s">
        <v>363</v>
      </c>
      <c r="H317" s="7">
        <v>45258.0</v>
      </c>
      <c r="I317" s="8">
        <f t="shared" si="1"/>
        <v>28</v>
      </c>
      <c r="J317" s="9">
        <f t="shared" si="2"/>
        <v>11</v>
      </c>
      <c r="K317" s="9">
        <f t="shared" si="3"/>
        <v>2023</v>
      </c>
      <c r="M317" s="25">
        <f>IFERROR(__xludf.DUMMYFUNCTION("""COMPUTED_VALUE"""),45258.0)</f>
        <v>45258</v>
      </c>
    </row>
    <row r="318">
      <c r="A318" s="10" t="s">
        <v>283</v>
      </c>
      <c r="B318" s="3" t="s">
        <v>284</v>
      </c>
      <c r="C318" s="10" t="s">
        <v>346</v>
      </c>
      <c r="D318" s="3" t="s">
        <v>347</v>
      </c>
      <c r="E318" s="4" t="s">
        <v>3</v>
      </c>
      <c r="F318" s="5" t="s">
        <v>39</v>
      </c>
      <c r="G318" s="6" t="s">
        <v>364</v>
      </c>
      <c r="H318" s="7">
        <v>45265.0</v>
      </c>
      <c r="I318" s="8">
        <f t="shared" si="1"/>
        <v>5</v>
      </c>
      <c r="J318" s="9">
        <f t="shared" si="2"/>
        <v>12</v>
      </c>
      <c r="K318" s="9">
        <f t="shared" si="3"/>
        <v>2023</v>
      </c>
      <c r="M318" s="25">
        <f>IFERROR(__xludf.DUMMYFUNCTION("""COMPUTED_VALUE"""),45265.0)</f>
        <v>45265</v>
      </c>
    </row>
    <row r="319">
      <c r="A319" s="10" t="s">
        <v>283</v>
      </c>
      <c r="B319" s="3" t="s">
        <v>284</v>
      </c>
      <c r="C319" s="10" t="s">
        <v>346</v>
      </c>
      <c r="D319" s="3" t="s">
        <v>347</v>
      </c>
      <c r="E319" s="4" t="s">
        <v>8</v>
      </c>
      <c r="F319" s="5" t="s">
        <v>6</v>
      </c>
      <c r="G319" s="6" t="s">
        <v>365</v>
      </c>
      <c r="H319" s="7">
        <v>45266.0</v>
      </c>
      <c r="I319" s="8">
        <f t="shared" si="1"/>
        <v>6</v>
      </c>
      <c r="J319" s="9">
        <f t="shared" si="2"/>
        <v>12</v>
      </c>
      <c r="K319" s="9">
        <f t="shared" si="3"/>
        <v>2023</v>
      </c>
      <c r="M319" s="25">
        <f>IFERROR(__xludf.DUMMYFUNCTION("""COMPUTED_VALUE"""),45266.0)</f>
        <v>45266</v>
      </c>
    </row>
    <row r="320">
      <c r="A320" s="10" t="s">
        <v>283</v>
      </c>
      <c r="B320" s="3" t="s">
        <v>284</v>
      </c>
      <c r="C320" s="10" t="s">
        <v>346</v>
      </c>
      <c r="D320" s="3" t="s">
        <v>347</v>
      </c>
      <c r="E320" s="4" t="s">
        <v>3</v>
      </c>
      <c r="F320" s="5" t="s">
        <v>15</v>
      </c>
      <c r="G320" s="6" t="s">
        <v>366</v>
      </c>
      <c r="H320" s="7">
        <v>45267.0</v>
      </c>
      <c r="I320" s="8">
        <f t="shared" si="1"/>
        <v>7</v>
      </c>
      <c r="J320" s="9">
        <f t="shared" si="2"/>
        <v>12</v>
      </c>
      <c r="K320" s="9">
        <f t="shared" si="3"/>
        <v>2023</v>
      </c>
      <c r="M320" s="25">
        <f>IFERROR(__xludf.DUMMYFUNCTION("""COMPUTED_VALUE"""),45267.0)</f>
        <v>45267</v>
      </c>
    </row>
    <row r="321">
      <c r="A321" s="10" t="s">
        <v>304</v>
      </c>
      <c r="B321" s="3" t="s">
        <v>305</v>
      </c>
      <c r="C321" s="10" t="s">
        <v>367</v>
      </c>
      <c r="D321" s="3" t="s">
        <v>368</v>
      </c>
      <c r="E321" s="4" t="s">
        <v>8</v>
      </c>
      <c r="F321" s="5" t="s">
        <v>15</v>
      </c>
      <c r="G321" s="6" t="s">
        <v>369</v>
      </c>
      <c r="H321" s="7">
        <v>44953.0</v>
      </c>
      <c r="I321" s="8">
        <f t="shared" si="1"/>
        <v>27</v>
      </c>
      <c r="J321" s="9">
        <f t="shared" si="2"/>
        <v>1</v>
      </c>
      <c r="K321" s="9">
        <f t="shared" si="3"/>
        <v>2023</v>
      </c>
      <c r="M321" s="25">
        <f>IFERROR(__xludf.DUMMYFUNCTION("""COMPUTED_VALUE"""),44953.0)</f>
        <v>44953</v>
      </c>
    </row>
    <row r="322">
      <c r="A322" s="10" t="s">
        <v>304</v>
      </c>
      <c r="B322" s="3" t="s">
        <v>305</v>
      </c>
      <c r="C322" s="10" t="s">
        <v>367</v>
      </c>
      <c r="D322" s="3" t="s">
        <v>368</v>
      </c>
      <c r="E322" s="4" t="s">
        <v>3</v>
      </c>
      <c r="F322" s="5" t="s">
        <v>39</v>
      </c>
      <c r="G322" s="6" t="s">
        <v>370</v>
      </c>
      <c r="H322" s="7">
        <v>44971.0</v>
      </c>
      <c r="I322" s="8">
        <f t="shared" si="1"/>
        <v>14</v>
      </c>
      <c r="J322" s="9">
        <f t="shared" si="2"/>
        <v>2</v>
      </c>
      <c r="K322" s="9">
        <f t="shared" si="3"/>
        <v>2023</v>
      </c>
      <c r="M322" s="25">
        <f>IFERROR(__xludf.DUMMYFUNCTION("""COMPUTED_VALUE"""),44971.0)</f>
        <v>44971</v>
      </c>
    </row>
    <row r="323">
      <c r="A323" s="10" t="s">
        <v>304</v>
      </c>
      <c r="B323" s="3" t="s">
        <v>305</v>
      </c>
      <c r="C323" s="10" t="s">
        <v>367</v>
      </c>
      <c r="D323" s="3" t="s">
        <v>368</v>
      </c>
      <c r="E323" s="4" t="s">
        <v>3</v>
      </c>
      <c r="F323" s="5" t="s">
        <v>19</v>
      </c>
      <c r="G323" s="6" t="s">
        <v>371</v>
      </c>
      <c r="H323" s="7">
        <v>44975.0</v>
      </c>
      <c r="I323" s="8">
        <f t="shared" si="1"/>
        <v>18</v>
      </c>
      <c r="J323" s="9">
        <f t="shared" si="2"/>
        <v>2</v>
      </c>
      <c r="K323" s="9">
        <f t="shared" si="3"/>
        <v>2023</v>
      </c>
      <c r="M323" s="25">
        <f>IFERROR(__xludf.DUMMYFUNCTION("""COMPUTED_VALUE"""),44975.0)</f>
        <v>44975</v>
      </c>
    </row>
    <row r="324">
      <c r="A324" s="10" t="s">
        <v>304</v>
      </c>
      <c r="B324" s="3" t="s">
        <v>305</v>
      </c>
      <c r="C324" s="10" t="s">
        <v>367</v>
      </c>
      <c r="D324" s="3" t="s">
        <v>368</v>
      </c>
      <c r="E324" s="4" t="s">
        <v>8</v>
      </c>
      <c r="F324" s="5" t="s">
        <v>6</v>
      </c>
      <c r="G324" s="6" t="s">
        <v>372</v>
      </c>
      <c r="H324" s="7">
        <v>45065.0</v>
      </c>
      <c r="I324" s="8">
        <f t="shared" si="1"/>
        <v>19</v>
      </c>
      <c r="J324" s="9">
        <f t="shared" si="2"/>
        <v>5</v>
      </c>
      <c r="K324" s="9">
        <f t="shared" si="3"/>
        <v>2023</v>
      </c>
      <c r="M324" s="25">
        <f>IFERROR(__xludf.DUMMYFUNCTION("""COMPUTED_VALUE"""),45065.0)</f>
        <v>45065</v>
      </c>
    </row>
    <row r="325">
      <c r="A325" s="10" t="s">
        <v>304</v>
      </c>
      <c r="B325" s="3" t="s">
        <v>305</v>
      </c>
      <c r="C325" s="10" t="s">
        <v>367</v>
      </c>
      <c r="D325" s="3" t="s">
        <v>368</v>
      </c>
      <c r="E325" s="4" t="s">
        <v>8</v>
      </c>
      <c r="F325" s="5" t="s">
        <v>51</v>
      </c>
      <c r="G325" s="6" t="s">
        <v>373</v>
      </c>
      <c r="H325" s="7">
        <v>45082.0</v>
      </c>
      <c r="I325" s="8">
        <f t="shared" si="1"/>
        <v>5</v>
      </c>
      <c r="J325" s="9">
        <f t="shared" si="2"/>
        <v>6</v>
      </c>
      <c r="K325" s="9">
        <f t="shared" si="3"/>
        <v>2023</v>
      </c>
      <c r="M325" s="25">
        <f>IFERROR(__xludf.DUMMYFUNCTION("""COMPUTED_VALUE"""),45082.0)</f>
        <v>45082</v>
      </c>
    </row>
    <row r="326">
      <c r="A326" s="10" t="s">
        <v>304</v>
      </c>
      <c r="B326" s="3" t="s">
        <v>305</v>
      </c>
      <c r="C326" s="10" t="s">
        <v>367</v>
      </c>
      <c r="D326" s="3" t="s">
        <v>368</v>
      </c>
      <c r="E326" s="4" t="s">
        <v>3</v>
      </c>
      <c r="F326" s="5" t="s">
        <v>51</v>
      </c>
      <c r="G326" s="6" t="s">
        <v>374</v>
      </c>
      <c r="H326" s="7">
        <v>45088.0</v>
      </c>
      <c r="I326" s="8">
        <f t="shared" si="1"/>
        <v>11</v>
      </c>
      <c r="J326" s="9">
        <f t="shared" si="2"/>
        <v>6</v>
      </c>
      <c r="K326" s="9">
        <f t="shared" si="3"/>
        <v>2023</v>
      </c>
      <c r="M326" s="25">
        <f>IFERROR(__xludf.DUMMYFUNCTION("""COMPUTED_VALUE"""),45088.0)</f>
        <v>45088</v>
      </c>
    </row>
    <row r="327">
      <c r="A327" s="10" t="s">
        <v>304</v>
      </c>
      <c r="B327" s="3" t="s">
        <v>305</v>
      </c>
      <c r="C327" s="10" t="s">
        <v>367</v>
      </c>
      <c r="D327" s="3" t="s">
        <v>368</v>
      </c>
      <c r="E327" s="4" t="s">
        <v>3</v>
      </c>
      <c r="F327" s="5" t="s">
        <v>6</v>
      </c>
      <c r="G327" s="6" t="s">
        <v>375</v>
      </c>
      <c r="H327" s="7">
        <v>45092.0</v>
      </c>
      <c r="I327" s="8">
        <f t="shared" si="1"/>
        <v>15</v>
      </c>
      <c r="J327" s="9">
        <f t="shared" si="2"/>
        <v>6</v>
      </c>
      <c r="K327" s="9">
        <f t="shared" si="3"/>
        <v>2023</v>
      </c>
      <c r="M327" s="25">
        <f>IFERROR(__xludf.DUMMYFUNCTION("""COMPUTED_VALUE"""),45092.0)</f>
        <v>45092</v>
      </c>
    </row>
    <row r="328">
      <c r="A328" s="10" t="s">
        <v>304</v>
      </c>
      <c r="B328" s="3" t="s">
        <v>305</v>
      </c>
      <c r="C328" s="10" t="s">
        <v>367</v>
      </c>
      <c r="D328" s="3" t="s">
        <v>368</v>
      </c>
      <c r="E328" s="4" t="s">
        <v>3</v>
      </c>
      <c r="F328" s="5" t="s">
        <v>45</v>
      </c>
      <c r="G328" s="6" t="s">
        <v>376</v>
      </c>
      <c r="H328" s="7">
        <v>45120.0</v>
      </c>
      <c r="I328" s="8">
        <f t="shared" si="1"/>
        <v>13</v>
      </c>
      <c r="J328" s="9">
        <f t="shared" si="2"/>
        <v>7</v>
      </c>
      <c r="K328" s="9">
        <f t="shared" si="3"/>
        <v>2023</v>
      </c>
      <c r="M328" s="25">
        <f>IFERROR(__xludf.DUMMYFUNCTION("""COMPUTED_VALUE"""),45120.0)</f>
        <v>45120</v>
      </c>
    </row>
    <row r="329">
      <c r="A329" s="10" t="s">
        <v>304</v>
      </c>
      <c r="B329" s="3" t="s">
        <v>305</v>
      </c>
      <c r="C329" s="10" t="s">
        <v>367</v>
      </c>
      <c r="D329" s="3" t="s">
        <v>368</v>
      </c>
      <c r="E329" s="4" t="s">
        <v>3</v>
      </c>
      <c r="F329" s="5" t="s">
        <v>120</v>
      </c>
      <c r="G329" s="6" t="s">
        <v>377</v>
      </c>
      <c r="H329" s="7">
        <v>45126.0</v>
      </c>
      <c r="I329" s="8">
        <f t="shared" si="1"/>
        <v>19</v>
      </c>
      <c r="J329" s="9">
        <f t="shared" si="2"/>
        <v>7</v>
      </c>
      <c r="K329" s="9">
        <f t="shared" si="3"/>
        <v>2023</v>
      </c>
      <c r="M329" s="25">
        <f>IFERROR(__xludf.DUMMYFUNCTION("""COMPUTED_VALUE"""),45126.0)</f>
        <v>45126</v>
      </c>
    </row>
    <row r="330">
      <c r="A330" s="10" t="s">
        <v>304</v>
      </c>
      <c r="B330" s="3" t="s">
        <v>305</v>
      </c>
      <c r="C330" s="10" t="s">
        <v>367</v>
      </c>
      <c r="D330" s="3" t="s">
        <v>368</v>
      </c>
      <c r="E330" s="4" t="s">
        <v>3</v>
      </c>
      <c r="F330" s="5" t="s">
        <v>71</v>
      </c>
      <c r="G330" s="6" t="s">
        <v>378</v>
      </c>
      <c r="H330" s="7">
        <v>45153.0</v>
      </c>
      <c r="I330" s="8">
        <f t="shared" si="1"/>
        <v>15</v>
      </c>
      <c r="J330" s="9">
        <f t="shared" si="2"/>
        <v>8</v>
      </c>
      <c r="K330" s="9">
        <f t="shared" si="3"/>
        <v>2023</v>
      </c>
      <c r="M330" s="25">
        <f>IFERROR(__xludf.DUMMYFUNCTION("""COMPUTED_VALUE"""),45153.0)</f>
        <v>45153</v>
      </c>
    </row>
    <row r="331">
      <c r="A331" s="10" t="s">
        <v>304</v>
      </c>
      <c r="B331" s="3" t="s">
        <v>305</v>
      </c>
      <c r="C331" s="10" t="s">
        <v>367</v>
      </c>
      <c r="D331" s="3" t="s">
        <v>368</v>
      </c>
      <c r="E331" s="4" t="s">
        <v>3</v>
      </c>
      <c r="F331" s="5" t="s">
        <v>4</v>
      </c>
      <c r="G331" s="6" t="s">
        <v>379</v>
      </c>
      <c r="H331" s="7">
        <v>45165.0</v>
      </c>
      <c r="I331" s="8">
        <f t="shared" si="1"/>
        <v>27</v>
      </c>
      <c r="J331" s="9">
        <f t="shared" si="2"/>
        <v>8</v>
      </c>
      <c r="K331" s="9">
        <f t="shared" si="3"/>
        <v>2023</v>
      </c>
      <c r="M331" s="25">
        <f>IFERROR(__xludf.DUMMYFUNCTION("""COMPUTED_VALUE"""),45165.0)</f>
        <v>45165</v>
      </c>
    </row>
    <row r="332">
      <c r="A332" s="10" t="s">
        <v>304</v>
      </c>
      <c r="B332" s="3" t="s">
        <v>305</v>
      </c>
      <c r="C332" s="10" t="s">
        <v>367</v>
      </c>
      <c r="D332" s="3" t="s">
        <v>368</v>
      </c>
      <c r="E332" s="4" t="s">
        <v>8</v>
      </c>
      <c r="F332" s="5" t="s">
        <v>13</v>
      </c>
      <c r="G332" s="6" t="s">
        <v>380</v>
      </c>
      <c r="H332" s="7">
        <v>45180.0</v>
      </c>
      <c r="I332" s="8">
        <f t="shared" si="1"/>
        <v>11</v>
      </c>
      <c r="J332" s="9">
        <f t="shared" si="2"/>
        <v>9</v>
      </c>
      <c r="K332" s="9">
        <f t="shared" si="3"/>
        <v>2023</v>
      </c>
      <c r="M332" s="25">
        <f>IFERROR(__xludf.DUMMYFUNCTION("""COMPUTED_VALUE"""),45180.0)</f>
        <v>45180</v>
      </c>
    </row>
    <row r="333">
      <c r="A333" s="10" t="s">
        <v>304</v>
      </c>
      <c r="B333" s="3" t="s">
        <v>305</v>
      </c>
      <c r="C333" s="10" t="s">
        <v>367</v>
      </c>
      <c r="D333" s="3" t="s">
        <v>368</v>
      </c>
      <c r="E333" s="4" t="s">
        <v>8</v>
      </c>
      <c r="F333" s="5" t="s">
        <v>39</v>
      </c>
      <c r="G333" s="6" t="s">
        <v>381</v>
      </c>
      <c r="H333" s="7">
        <v>45189.0</v>
      </c>
      <c r="I333" s="8">
        <f t="shared" si="1"/>
        <v>20</v>
      </c>
      <c r="J333" s="9">
        <f t="shared" si="2"/>
        <v>9</v>
      </c>
      <c r="K333" s="9">
        <f t="shared" si="3"/>
        <v>2023</v>
      </c>
      <c r="M333" s="25">
        <f>IFERROR(__xludf.DUMMYFUNCTION("""COMPUTED_VALUE"""),45189.0)</f>
        <v>45189</v>
      </c>
    </row>
    <row r="334">
      <c r="A334" s="10" t="s">
        <v>304</v>
      </c>
      <c r="B334" s="3" t="s">
        <v>305</v>
      </c>
      <c r="C334" s="10" t="s">
        <v>367</v>
      </c>
      <c r="D334" s="3" t="s">
        <v>368</v>
      </c>
      <c r="E334" s="4" t="s">
        <v>8</v>
      </c>
      <c r="F334" s="5" t="s">
        <v>51</v>
      </c>
      <c r="G334" s="6" t="s">
        <v>382</v>
      </c>
      <c r="H334" s="7">
        <v>45193.0</v>
      </c>
      <c r="I334" s="8">
        <f t="shared" si="1"/>
        <v>24</v>
      </c>
      <c r="J334" s="9">
        <f t="shared" si="2"/>
        <v>9</v>
      </c>
      <c r="K334" s="9">
        <f t="shared" si="3"/>
        <v>2023</v>
      </c>
      <c r="M334" s="25">
        <f>IFERROR(__xludf.DUMMYFUNCTION("""COMPUTED_VALUE"""),45193.0)</f>
        <v>45193</v>
      </c>
    </row>
    <row r="335">
      <c r="A335" s="10" t="s">
        <v>304</v>
      </c>
      <c r="B335" s="3" t="s">
        <v>305</v>
      </c>
      <c r="C335" s="10" t="s">
        <v>367</v>
      </c>
      <c r="D335" s="3" t="s">
        <v>368</v>
      </c>
      <c r="E335" s="4" t="s">
        <v>3</v>
      </c>
      <c r="F335" s="5" t="s">
        <v>21</v>
      </c>
      <c r="G335" s="6" t="s">
        <v>383</v>
      </c>
      <c r="H335" s="7">
        <v>45241.0</v>
      </c>
      <c r="I335" s="8">
        <f t="shared" si="1"/>
        <v>11</v>
      </c>
      <c r="J335" s="9">
        <f t="shared" si="2"/>
        <v>11</v>
      </c>
      <c r="K335" s="9">
        <f t="shared" si="3"/>
        <v>2023</v>
      </c>
      <c r="M335" s="25">
        <f>IFERROR(__xludf.DUMMYFUNCTION("""COMPUTED_VALUE"""),45241.0)</f>
        <v>45241</v>
      </c>
    </row>
    <row r="336">
      <c r="A336" s="10" t="s">
        <v>304</v>
      </c>
      <c r="B336" s="3" t="s">
        <v>305</v>
      </c>
      <c r="C336" s="10" t="s">
        <v>367</v>
      </c>
      <c r="D336" s="3" t="s">
        <v>368</v>
      </c>
      <c r="E336" s="4" t="s">
        <v>3</v>
      </c>
      <c r="F336" s="5" t="s">
        <v>21</v>
      </c>
      <c r="G336" s="6" t="s">
        <v>384</v>
      </c>
      <c r="H336" s="7">
        <v>45270.0</v>
      </c>
      <c r="I336" s="8">
        <f t="shared" si="1"/>
        <v>10</v>
      </c>
      <c r="J336" s="9">
        <f t="shared" si="2"/>
        <v>12</v>
      </c>
      <c r="K336" s="9">
        <f t="shared" si="3"/>
        <v>2023</v>
      </c>
      <c r="M336" s="25">
        <f>IFERROR(__xludf.DUMMYFUNCTION("""COMPUTED_VALUE"""),45270.0)</f>
        <v>45270</v>
      </c>
    </row>
    <row r="337">
      <c r="A337" s="10" t="s">
        <v>304</v>
      </c>
      <c r="B337" s="3" t="s">
        <v>305</v>
      </c>
      <c r="C337" s="10" t="s">
        <v>367</v>
      </c>
      <c r="D337" s="3" t="s">
        <v>368</v>
      </c>
      <c r="E337" s="4" t="s">
        <v>8</v>
      </c>
      <c r="F337" s="5" t="s">
        <v>45</v>
      </c>
      <c r="G337" s="6" t="s">
        <v>385</v>
      </c>
      <c r="H337" s="7">
        <v>45272.0</v>
      </c>
      <c r="I337" s="8">
        <f t="shared" si="1"/>
        <v>12</v>
      </c>
      <c r="J337" s="9">
        <f t="shared" si="2"/>
        <v>12</v>
      </c>
      <c r="K337" s="9">
        <f t="shared" si="3"/>
        <v>2023</v>
      </c>
      <c r="M337" s="25">
        <f>IFERROR(__xludf.DUMMYFUNCTION("""COMPUTED_VALUE"""),45272.0)</f>
        <v>45272</v>
      </c>
    </row>
    <row r="338">
      <c r="A338" s="10" t="s">
        <v>304</v>
      </c>
      <c r="B338" s="3" t="s">
        <v>305</v>
      </c>
      <c r="C338" s="10" t="s">
        <v>367</v>
      </c>
      <c r="D338" s="3" t="s">
        <v>368</v>
      </c>
      <c r="E338" s="4" t="s">
        <v>8</v>
      </c>
      <c r="F338" s="5" t="s">
        <v>9</v>
      </c>
      <c r="G338" s="6" t="s">
        <v>386</v>
      </c>
      <c r="H338" s="7">
        <v>45277.0</v>
      </c>
      <c r="I338" s="8">
        <f t="shared" si="1"/>
        <v>17</v>
      </c>
      <c r="J338" s="9">
        <f t="shared" si="2"/>
        <v>12</v>
      </c>
      <c r="K338" s="9">
        <f t="shared" si="3"/>
        <v>2023</v>
      </c>
      <c r="M338" s="25">
        <f>IFERROR(__xludf.DUMMYFUNCTION("""COMPUTED_VALUE"""),45277.0)</f>
        <v>45277</v>
      </c>
    </row>
    <row r="339">
      <c r="A339" s="10" t="s">
        <v>304</v>
      </c>
      <c r="B339" s="3" t="s">
        <v>305</v>
      </c>
      <c r="C339" s="10" t="s">
        <v>367</v>
      </c>
      <c r="D339" s="3" t="s">
        <v>368</v>
      </c>
      <c r="E339" s="4" t="s">
        <v>3</v>
      </c>
      <c r="F339" s="5" t="s">
        <v>23</v>
      </c>
      <c r="G339" s="6" t="s">
        <v>387</v>
      </c>
      <c r="H339" s="7">
        <v>45286.0</v>
      </c>
      <c r="I339" s="8">
        <f t="shared" si="1"/>
        <v>26</v>
      </c>
      <c r="J339" s="9">
        <f t="shared" si="2"/>
        <v>12</v>
      </c>
      <c r="K339" s="9">
        <f t="shared" si="3"/>
        <v>2023</v>
      </c>
      <c r="M339" s="25">
        <f>IFERROR(__xludf.DUMMYFUNCTION("""COMPUTED_VALUE"""),45286.0)</f>
        <v>45286</v>
      </c>
    </row>
    <row r="340">
      <c r="A340" s="10" t="s">
        <v>304</v>
      </c>
      <c r="B340" s="3" t="s">
        <v>305</v>
      </c>
      <c r="C340" s="10" t="s">
        <v>367</v>
      </c>
      <c r="D340" s="3" t="s">
        <v>368</v>
      </c>
      <c r="E340" s="4" t="s">
        <v>3</v>
      </c>
      <c r="F340" s="5" t="s">
        <v>11</v>
      </c>
      <c r="G340" s="6" t="s">
        <v>388</v>
      </c>
      <c r="H340" s="7">
        <v>45288.0</v>
      </c>
      <c r="I340" s="8">
        <f t="shared" si="1"/>
        <v>28</v>
      </c>
      <c r="J340" s="9">
        <f t="shared" si="2"/>
        <v>12</v>
      </c>
      <c r="K340" s="9">
        <f t="shared" si="3"/>
        <v>2023</v>
      </c>
      <c r="M340" s="25">
        <f>IFERROR(__xludf.DUMMYFUNCTION("""COMPUTED_VALUE"""),45288.0)</f>
        <v>45288</v>
      </c>
    </row>
    <row r="341">
      <c r="A341" s="10" t="s">
        <v>326</v>
      </c>
      <c r="B341" s="3" t="s">
        <v>327</v>
      </c>
      <c r="C341" s="10" t="s">
        <v>389</v>
      </c>
      <c r="D341" s="3" t="s">
        <v>390</v>
      </c>
      <c r="E341" s="4" t="s">
        <v>3</v>
      </c>
      <c r="F341" s="5" t="s">
        <v>45</v>
      </c>
      <c r="G341" s="6" t="s">
        <v>293</v>
      </c>
      <c r="H341" s="7">
        <v>44982.0</v>
      </c>
      <c r="I341" s="8">
        <f t="shared" si="1"/>
        <v>25</v>
      </c>
      <c r="J341" s="9">
        <f t="shared" si="2"/>
        <v>2</v>
      </c>
      <c r="K341" s="9">
        <f t="shared" si="3"/>
        <v>2023</v>
      </c>
      <c r="M341" s="25">
        <f>IFERROR(__xludf.DUMMYFUNCTION("""COMPUTED_VALUE"""),44982.0)</f>
        <v>44982</v>
      </c>
    </row>
    <row r="342">
      <c r="A342" s="10" t="s">
        <v>326</v>
      </c>
      <c r="B342" s="3" t="s">
        <v>327</v>
      </c>
      <c r="C342" s="10" t="s">
        <v>389</v>
      </c>
      <c r="D342" s="3" t="s">
        <v>390</v>
      </c>
      <c r="E342" s="4" t="s">
        <v>8</v>
      </c>
      <c r="F342" s="5" t="s">
        <v>39</v>
      </c>
      <c r="G342" s="6" t="s">
        <v>391</v>
      </c>
      <c r="H342" s="7">
        <v>44989.0</v>
      </c>
      <c r="I342" s="8">
        <f t="shared" si="1"/>
        <v>4</v>
      </c>
      <c r="J342" s="9">
        <f t="shared" si="2"/>
        <v>3</v>
      </c>
      <c r="K342" s="9">
        <f t="shared" si="3"/>
        <v>2023</v>
      </c>
      <c r="M342" s="25">
        <f>IFERROR(__xludf.DUMMYFUNCTION("""COMPUTED_VALUE"""),44989.0)</f>
        <v>44989</v>
      </c>
    </row>
    <row r="343">
      <c r="A343" s="10" t="s">
        <v>326</v>
      </c>
      <c r="B343" s="3" t="s">
        <v>327</v>
      </c>
      <c r="C343" s="10" t="s">
        <v>389</v>
      </c>
      <c r="D343" s="3" t="s">
        <v>390</v>
      </c>
      <c r="E343" s="4" t="s">
        <v>3</v>
      </c>
      <c r="F343" s="5" t="s">
        <v>45</v>
      </c>
      <c r="G343" s="6" t="s">
        <v>392</v>
      </c>
      <c r="H343" s="7">
        <v>44991.0</v>
      </c>
      <c r="I343" s="8">
        <f t="shared" si="1"/>
        <v>6</v>
      </c>
      <c r="J343" s="9">
        <f t="shared" si="2"/>
        <v>3</v>
      </c>
      <c r="K343" s="9">
        <f t="shared" si="3"/>
        <v>2023</v>
      </c>
      <c r="M343" s="25">
        <f>IFERROR(__xludf.DUMMYFUNCTION("""COMPUTED_VALUE"""),44991.0)</f>
        <v>44991</v>
      </c>
    </row>
    <row r="344">
      <c r="A344" s="10" t="s">
        <v>326</v>
      </c>
      <c r="B344" s="3" t="s">
        <v>327</v>
      </c>
      <c r="C344" s="10" t="s">
        <v>389</v>
      </c>
      <c r="D344" s="3" t="s">
        <v>390</v>
      </c>
      <c r="E344" s="4" t="s">
        <v>3</v>
      </c>
      <c r="F344" s="5" t="s">
        <v>76</v>
      </c>
      <c r="G344" s="6" t="s">
        <v>393</v>
      </c>
      <c r="H344" s="7">
        <v>44999.0</v>
      </c>
      <c r="I344" s="8">
        <f t="shared" si="1"/>
        <v>14</v>
      </c>
      <c r="J344" s="9">
        <f t="shared" si="2"/>
        <v>3</v>
      </c>
      <c r="K344" s="9">
        <f t="shared" si="3"/>
        <v>2023</v>
      </c>
      <c r="M344" s="25">
        <f>IFERROR(__xludf.DUMMYFUNCTION("""COMPUTED_VALUE"""),44999.0)</f>
        <v>44999</v>
      </c>
    </row>
    <row r="345">
      <c r="A345" s="10" t="s">
        <v>326</v>
      </c>
      <c r="B345" s="3" t="s">
        <v>327</v>
      </c>
      <c r="C345" s="10" t="s">
        <v>389</v>
      </c>
      <c r="D345" s="3" t="s">
        <v>390</v>
      </c>
      <c r="E345" s="4" t="s">
        <v>8</v>
      </c>
      <c r="F345" s="5" t="s">
        <v>6</v>
      </c>
      <c r="G345" s="6" t="s">
        <v>394</v>
      </c>
      <c r="H345" s="7">
        <v>45043.0</v>
      </c>
      <c r="I345" s="8">
        <f t="shared" si="1"/>
        <v>27</v>
      </c>
      <c r="J345" s="9">
        <f t="shared" si="2"/>
        <v>4</v>
      </c>
      <c r="K345" s="9">
        <f t="shared" si="3"/>
        <v>2023</v>
      </c>
      <c r="M345" s="25">
        <f>IFERROR(__xludf.DUMMYFUNCTION("""COMPUTED_VALUE"""),45043.0)</f>
        <v>45043</v>
      </c>
    </row>
    <row r="346">
      <c r="A346" s="10" t="s">
        <v>326</v>
      </c>
      <c r="B346" s="3" t="s">
        <v>327</v>
      </c>
      <c r="C346" s="10" t="s">
        <v>389</v>
      </c>
      <c r="D346" s="3" t="s">
        <v>390</v>
      </c>
      <c r="E346" s="4" t="s">
        <v>3</v>
      </c>
      <c r="F346" s="5" t="s">
        <v>9</v>
      </c>
      <c r="G346" s="6" t="s">
        <v>395</v>
      </c>
      <c r="H346" s="7">
        <v>45055.0</v>
      </c>
      <c r="I346" s="8">
        <f t="shared" si="1"/>
        <v>9</v>
      </c>
      <c r="J346" s="9">
        <f t="shared" si="2"/>
        <v>5</v>
      </c>
      <c r="K346" s="9">
        <f t="shared" si="3"/>
        <v>2023</v>
      </c>
      <c r="M346" s="25">
        <f>IFERROR(__xludf.DUMMYFUNCTION("""COMPUTED_VALUE"""),45055.0)</f>
        <v>45055</v>
      </c>
    </row>
    <row r="347">
      <c r="A347" s="10" t="s">
        <v>326</v>
      </c>
      <c r="B347" s="3" t="s">
        <v>327</v>
      </c>
      <c r="C347" s="10" t="s">
        <v>389</v>
      </c>
      <c r="D347" s="3" t="s">
        <v>390</v>
      </c>
      <c r="E347" s="4" t="s">
        <v>3</v>
      </c>
      <c r="F347" s="5" t="s">
        <v>21</v>
      </c>
      <c r="G347" s="6" t="s">
        <v>396</v>
      </c>
      <c r="H347" s="7">
        <v>45059.0</v>
      </c>
      <c r="I347" s="8">
        <f t="shared" si="1"/>
        <v>13</v>
      </c>
      <c r="J347" s="9">
        <f t="shared" si="2"/>
        <v>5</v>
      </c>
      <c r="K347" s="9">
        <f t="shared" si="3"/>
        <v>2023</v>
      </c>
      <c r="M347" s="25">
        <f>IFERROR(__xludf.DUMMYFUNCTION("""COMPUTED_VALUE"""),45059.0)</f>
        <v>45059</v>
      </c>
    </row>
    <row r="348">
      <c r="A348" s="10" t="s">
        <v>326</v>
      </c>
      <c r="B348" s="3" t="s">
        <v>327</v>
      </c>
      <c r="C348" s="10" t="s">
        <v>389</v>
      </c>
      <c r="D348" s="3" t="s">
        <v>390</v>
      </c>
      <c r="E348" s="4" t="s">
        <v>8</v>
      </c>
      <c r="F348" s="5" t="s">
        <v>120</v>
      </c>
      <c r="G348" s="6" t="s">
        <v>397</v>
      </c>
      <c r="H348" s="7">
        <v>45066.0</v>
      </c>
      <c r="I348" s="8">
        <f t="shared" si="1"/>
        <v>20</v>
      </c>
      <c r="J348" s="9">
        <f t="shared" si="2"/>
        <v>5</v>
      </c>
      <c r="K348" s="9">
        <f t="shared" si="3"/>
        <v>2023</v>
      </c>
      <c r="M348" s="25">
        <f>IFERROR(__xludf.DUMMYFUNCTION("""COMPUTED_VALUE"""),45066.0)</f>
        <v>45066</v>
      </c>
    </row>
    <row r="349">
      <c r="A349" s="10" t="s">
        <v>326</v>
      </c>
      <c r="B349" s="3" t="s">
        <v>327</v>
      </c>
      <c r="C349" s="10" t="s">
        <v>389</v>
      </c>
      <c r="D349" s="3" t="s">
        <v>390</v>
      </c>
      <c r="E349" s="4" t="s">
        <v>8</v>
      </c>
      <c r="F349" s="5" t="s">
        <v>28</v>
      </c>
      <c r="G349" s="6" t="s">
        <v>398</v>
      </c>
      <c r="H349" s="7">
        <v>45100.0</v>
      </c>
      <c r="I349" s="8">
        <f t="shared" si="1"/>
        <v>23</v>
      </c>
      <c r="J349" s="9">
        <f t="shared" si="2"/>
        <v>6</v>
      </c>
      <c r="K349" s="9">
        <f t="shared" si="3"/>
        <v>2023</v>
      </c>
      <c r="M349" s="25">
        <f>IFERROR(__xludf.DUMMYFUNCTION("""COMPUTED_VALUE"""),45100.0)</f>
        <v>45100</v>
      </c>
    </row>
    <row r="350">
      <c r="A350" s="10" t="s">
        <v>326</v>
      </c>
      <c r="B350" s="3" t="s">
        <v>327</v>
      </c>
      <c r="C350" s="10" t="s">
        <v>389</v>
      </c>
      <c r="D350" s="3" t="s">
        <v>390</v>
      </c>
      <c r="E350" s="4" t="s">
        <v>8</v>
      </c>
      <c r="F350" s="5" t="s">
        <v>35</v>
      </c>
      <c r="G350" s="6" t="s">
        <v>399</v>
      </c>
      <c r="H350" s="7">
        <v>45101.0</v>
      </c>
      <c r="I350" s="8">
        <f t="shared" si="1"/>
        <v>24</v>
      </c>
      <c r="J350" s="9">
        <f t="shared" si="2"/>
        <v>6</v>
      </c>
      <c r="K350" s="9">
        <f t="shared" si="3"/>
        <v>2023</v>
      </c>
      <c r="M350" s="25">
        <f>IFERROR(__xludf.DUMMYFUNCTION("""COMPUTED_VALUE"""),45101.0)</f>
        <v>45101</v>
      </c>
    </row>
    <row r="351">
      <c r="A351" s="10" t="s">
        <v>326</v>
      </c>
      <c r="B351" s="3" t="s">
        <v>327</v>
      </c>
      <c r="C351" s="10" t="s">
        <v>389</v>
      </c>
      <c r="D351" s="3" t="s">
        <v>390</v>
      </c>
      <c r="E351" s="4" t="s">
        <v>3</v>
      </c>
      <c r="F351" s="5" t="s">
        <v>45</v>
      </c>
      <c r="G351" s="6" t="s">
        <v>400</v>
      </c>
      <c r="H351" s="7">
        <v>45116.0</v>
      </c>
      <c r="I351" s="8">
        <f t="shared" si="1"/>
        <v>9</v>
      </c>
      <c r="J351" s="9">
        <f t="shared" si="2"/>
        <v>7</v>
      </c>
      <c r="K351" s="9">
        <f t="shared" si="3"/>
        <v>2023</v>
      </c>
      <c r="M351" s="25">
        <f>IFERROR(__xludf.DUMMYFUNCTION("""COMPUTED_VALUE"""),45116.0)</f>
        <v>45116</v>
      </c>
    </row>
    <row r="352">
      <c r="A352" s="10" t="s">
        <v>326</v>
      </c>
      <c r="B352" s="3" t="s">
        <v>327</v>
      </c>
      <c r="C352" s="10" t="s">
        <v>389</v>
      </c>
      <c r="D352" s="3" t="s">
        <v>390</v>
      </c>
      <c r="E352" s="4" t="s">
        <v>8</v>
      </c>
      <c r="F352" s="5" t="s">
        <v>19</v>
      </c>
      <c r="G352" s="6" t="s">
        <v>401</v>
      </c>
      <c r="H352" s="7">
        <v>45161.0</v>
      </c>
      <c r="I352" s="8">
        <f t="shared" si="1"/>
        <v>23</v>
      </c>
      <c r="J352" s="9">
        <f t="shared" si="2"/>
        <v>8</v>
      </c>
      <c r="K352" s="9">
        <f t="shared" si="3"/>
        <v>2023</v>
      </c>
      <c r="M352" s="25">
        <f>IFERROR(__xludf.DUMMYFUNCTION("""COMPUTED_VALUE"""),45161.0)</f>
        <v>45161</v>
      </c>
    </row>
    <row r="353">
      <c r="A353" s="10" t="s">
        <v>326</v>
      </c>
      <c r="B353" s="3" t="s">
        <v>327</v>
      </c>
      <c r="C353" s="10" t="s">
        <v>389</v>
      </c>
      <c r="D353" s="3" t="s">
        <v>390</v>
      </c>
      <c r="E353" s="4" t="s">
        <v>3</v>
      </c>
      <c r="F353" s="5" t="s">
        <v>9</v>
      </c>
      <c r="G353" s="6" t="s">
        <v>179</v>
      </c>
      <c r="H353" s="7">
        <v>45162.0</v>
      </c>
      <c r="I353" s="8">
        <f t="shared" si="1"/>
        <v>24</v>
      </c>
      <c r="J353" s="9">
        <f t="shared" si="2"/>
        <v>8</v>
      </c>
      <c r="K353" s="9">
        <f t="shared" si="3"/>
        <v>2023</v>
      </c>
      <c r="M353" s="25">
        <f>IFERROR(__xludf.DUMMYFUNCTION("""COMPUTED_VALUE"""),45162.0)</f>
        <v>45162</v>
      </c>
    </row>
    <row r="354">
      <c r="A354" s="10" t="s">
        <v>326</v>
      </c>
      <c r="B354" s="3" t="s">
        <v>327</v>
      </c>
      <c r="C354" s="10" t="s">
        <v>389</v>
      </c>
      <c r="D354" s="3" t="s">
        <v>390</v>
      </c>
      <c r="E354" s="4" t="s">
        <v>8</v>
      </c>
      <c r="F354" s="5" t="s">
        <v>35</v>
      </c>
      <c r="G354" s="6" t="s">
        <v>402</v>
      </c>
      <c r="H354" s="7">
        <v>45165.0</v>
      </c>
      <c r="I354" s="8">
        <f t="shared" si="1"/>
        <v>27</v>
      </c>
      <c r="J354" s="9">
        <f t="shared" si="2"/>
        <v>8</v>
      </c>
      <c r="K354" s="9">
        <f t="shared" si="3"/>
        <v>2023</v>
      </c>
      <c r="M354" s="25">
        <f>IFERROR(__xludf.DUMMYFUNCTION("""COMPUTED_VALUE"""),45165.0)</f>
        <v>45165</v>
      </c>
    </row>
    <row r="355">
      <c r="A355" s="10" t="s">
        <v>326</v>
      </c>
      <c r="B355" s="3" t="s">
        <v>327</v>
      </c>
      <c r="C355" s="10" t="s">
        <v>389</v>
      </c>
      <c r="D355" s="3" t="s">
        <v>390</v>
      </c>
      <c r="E355" s="4" t="s">
        <v>8</v>
      </c>
      <c r="F355" s="5" t="s">
        <v>9</v>
      </c>
      <c r="G355" s="6" t="s">
        <v>276</v>
      </c>
      <c r="H355" s="7">
        <v>45172.0</v>
      </c>
      <c r="I355" s="8">
        <f t="shared" si="1"/>
        <v>3</v>
      </c>
      <c r="J355" s="9">
        <f t="shared" si="2"/>
        <v>9</v>
      </c>
      <c r="K355" s="9">
        <f t="shared" si="3"/>
        <v>2023</v>
      </c>
      <c r="M355" s="25">
        <f>IFERROR(__xludf.DUMMYFUNCTION("""COMPUTED_VALUE"""),45172.0)</f>
        <v>45172</v>
      </c>
    </row>
    <row r="356">
      <c r="A356" s="10" t="s">
        <v>326</v>
      </c>
      <c r="B356" s="3" t="s">
        <v>327</v>
      </c>
      <c r="C356" s="10" t="s">
        <v>389</v>
      </c>
      <c r="D356" s="3" t="s">
        <v>390</v>
      </c>
      <c r="E356" s="4" t="s">
        <v>8</v>
      </c>
      <c r="F356" s="5" t="s">
        <v>9</v>
      </c>
      <c r="G356" s="6" t="s">
        <v>403</v>
      </c>
      <c r="H356" s="7">
        <v>45204.0</v>
      </c>
      <c r="I356" s="8">
        <f t="shared" si="1"/>
        <v>5</v>
      </c>
      <c r="J356" s="9">
        <f t="shared" si="2"/>
        <v>10</v>
      </c>
      <c r="K356" s="9">
        <f t="shared" si="3"/>
        <v>2023</v>
      </c>
      <c r="M356" s="25">
        <f>IFERROR(__xludf.DUMMYFUNCTION("""COMPUTED_VALUE"""),45204.0)</f>
        <v>45204</v>
      </c>
    </row>
    <row r="357">
      <c r="A357" s="10" t="s">
        <v>326</v>
      </c>
      <c r="B357" s="3" t="s">
        <v>327</v>
      </c>
      <c r="C357" s="10" t="s">
        <v>389</v>
      </c>
      <c r="D357" s="3" t="s">
        <v>390</v>
      </c>
      <c r="E357" s="4" t="s">
        <v>3</v>
      </c>
      <c r="F357" s="5" t="s">
        <v>4</v>
      </c>
      <c r="G357" s="6" t="s">
        <v>404</v>
      </c>
      <c r="H357" s="7">
        <v>45212.0</v>
      </c>
      <c r="I357" s="8">
        <f t="shared" si="1"/>
        <v>13</v>
      </c>
      <c r="J357" s="9">
        <f t="shared" si="2"/>
        <v>10</v>
      </c>
      <c r="K357" s="9">
        <f t="shared" si="3"/>
        <v>2023</v>
      </c>
      <c r="M357" s="25">
        <f>IFERROR(__xludf.DUMMYFUNCTION("""COMPUTED_VALUE"""),45212.0)</f>
        <v>45212</v>
      </c>
    </row>
    <row r="358">
      <c r="A358" s="10" t="s">
        <v>326</v>
      </c>
      <c r="B358" s="3" t="s">
        <v>327</v>
      </c>
      <c r="C358" s="10" t="s">
        <v>389</v>
      </c>
      <c r="D358" s="3" t="s">
        <v>390</v>
      </c>
      <c r="E358" s="4" t="s">
        <v>3</v>
      </c>
      <c r="F358" s="5" t="s">
        <v>45</v>
      </c>
      <c r="G358" s="6" t="s">
        <v>405</v>
      </c>
      <c r="H358" s="7">
        <v>45233.0</v>
      </c>
      <c r="I358" s="8">
        <f t="shared" si="1"/>
        <v>3</v>
      </c>
      <c r="J358" s="9">
        <f t="shared" si="2"/>
        <v>11</v>
      </c>
      <c r="K358" s="9">
        <f t="shared" si="3"/>
        <v>2023</v>
      </c>
      <c r="M358" s="25">
        <f>IFERROR(__xludf.DUMMYFUNCTION("""COMPUTED_VALUE"""),45233.0)</f>
        <v>45233</v>
      </c>
    </row>
    <row r="359">
      <c r="A359" s="10" t="s">
        <v>326</v>
      </c>
      <c r="B359" s="3" t="s">
        <v>327</v>
      </c>
      <c r="C359" s="10" t="s">
        <v>389</v>
      </c>
      <c r="D359" s="3" t="s">
        <v>390</v>
      </c>
      <c r="E359" s="4" t="s">
        <v>3</v>
      </c>
      <c r="F359" s="5" t="s">
        <v>21</v>
      </c>
      <c r="G359" s="6" t="s">
        <v>406</v>
      </c>
      <c r="H359" s="7">
        <v>45246.0</v>
      </c>
      <c r="I359" s="8">
        <f t="shared" si="1"/>
        <v>16</v>
      </c>
      <c r="J359" s="9">
        <f t="shared" si="2"/>
        <v>11</v>
      </c>
      <c r="K359" s="9">
        <f t="shared" si="3"/>
        <v>2023</v>
      </c>
      <c r="M359" s="25">
        <f>IFERROR(__xludf.DUMMYFUNCTION("""COMPUTED_VALUE"""),45246.0)</f>
        <v>45246</v>
      </c>
    </row>
    <row r="360">
      <c r="A360" s="10" t="s">
        <v>326</v>
      </c>
      <c r="B360" s="3" t="s">
        <v>327</v>
      </c>
      <c r="C360" s="10" t="s">
        <v>389</v>
      </c>
      <c r="D360" s="3" t="s">
        <v>390</v>
      </c>
      <c r="E360" s="4" t="s">
        <v>8</v>
      </c>
      <c r="F360" s="5" t="s">
        <v>23</v>
      </c>
      <c r="G360" s="6" t="s">
        <v>407</v>
      </c>
      <c r="H360" s="7">
        <v>45249.0</v>
      </c>
      <c r="I360" s="8">
        <f t="shared" si="1"/>
        <v>19</v>
      </c>
      <c r="J360" s="9">
        <f t="shared" si="2"/>
        <v>11</v>
      </c>
      <c r="K360" s="9">
        <f t="shared" si="3"/>
        <v>2023</v>
      </c>
      <c r="M360" s="25">
        <f>IFERROR(__xludf.DUMMYFUNCTION("""COMPUTED_VALUE"""),45249.0)</f>
        <v>45249</v>
      </c>
    </row>
    <row r="361">
      <c r="A361" s="10" t="s">
        <v>346</v>
      </c>
      <c r="B361" s="3" t="s">
        <v>347</v>
      </c>
      <c r="C361" s="10" t="s">
        <v>408</v>
      </c>
      <c r="D361" s="3" t="s">
        <v>409</v>
      </c>
      <c r="E361" s="4" t="s">
        <v>8</v>
      </c>
      <c r="F361" s="5" t="s">
        <v>45</v>
      </c>
      <c r="G361" s="6" t="s">
        <v>410</v>
      </c>
      <c r="H361" s="7">
        <v>44949.0</v>
      </c>
      <c r="I361" s="8">
        <f t="shared" si="1"/>
        <v>23</v>
      </c>
      <c r="J361" s="9">
        <f t="shared" si="2"/>
        <v>1</v>
      </c>
      <c r="K361" s="9">
        <f t="shared" si="3"/>
        <v>2023</v>
      </c>
      <c r="M361" s="25">
        <f>IFERROR(__xludf.DUMMYFUNCTION("""COMPUTED_VALUE"""),44949.0)</f>
        <v>44949</v>
      </c>
    </row>
    <row r="362">
      <c r="A362" s="10" t="s">
        <v>346</v>
      </c>
      <c r="B362" s="3" t="s">
        <v>347</v>
      </c>
      <c r="C362" s="10" t="s">
        <v>408</v>
      </c>
      <c r="D362" s="3" t="s">
        <v>409</v>
      </c>
      <c r="E362" s="4" t="s">
        <v>3</v>
      </c>
      <c r="F362" s="5" t="s">
        <v>11</v>
      </c>
      <c r="G362" s="6" t="s">
        <v>411</v>
      </c>
      <c r="H362" s="7">
        <v>45035.0</v>
      </c>
      <c r="I362" s="8">
        <f t="shared" si="1"/>
        <v>19</v>
      </c>
      <c r="J362" s="9">
        <f t="shared" si="2"/>
        <v>4</v>
      </c>
      <c r="K362" s="9">
        <f t="shared" si="3"/>
        <v>2023</v>
      </c>
      <c r="M362" s="25">
        <f>IFERROR(__xludf.DUMMYFUNCTION("""COMPUTED_VALUE"""),45035.0)</f>
        <v>45035</v>
      </c>
    </row>
    <row r="363">
      <c r="A363" s="10" t="s">
        <v>346</v>
      </c>
      <c r="B363" s="3" t="s">
        <v>347</v>
      </c>
      <c r="C363" s="10" t="s">
        <v>408</v>
      </c>
      <c r="D363" s="3" t="s">
        <v>409</v>
      </c>
      <c r="E363" s="4" t="s">
        <v>8</v>
      </c>
      <c r="F363" s="5" t="s">
        <v>23</v>
      </c>
      <c r="G363" s="6" t="s">
        <v>412</v>
      </c>
      <c r="H363" s="7">
        <v>45058.0</v>
      </c>
      <c r="I363" s="8">
        <f t="shared" si="1"/>
        <v>12</v>
      </c>
      <c r="J363" s="9">
        <f t="shared" si="2"/>
        <v>5</v>
      </c>
      <c r="K363" s="9">
        <f t="shared" si="3"/>
        <v>2023</v>
      </c>
      <c r="M363" s="25">
        <f>IFERROR(__xludf.DUMMYFUNCTION("""COMPUTED_VALUE"""),45058.0)</f>
        <v>45058</v>
      </c>
    </row>
    <row r="364">
      <c r="A364" s="10" t="s">
        <v>346</v>
      </c>
      <c r="B364" s="3" t="s">
        <v>347</v>
      </c>
      <c r="C364" s="10" t="s">
        <v>408</v>
      </c>
      <c r="D364" s="3" t="s">
        <v>409</v>
      </c>
      <c r="E364" s="4" t="s">
        <v>3</v>
      </c>
      <c r="F364" s="5" t="s">
        <v>51</v>
      </c>
      <c r="G364" s="6" t="s">
        <v>413</v>
      </c>
      <c r="H364" s="7">
        <v>45065.0</v>
      </c>
      <c r="I364" s="8">
        <f t="shared" si="1"/>
        <v>19</v>
      </c>
      <c r="J364" s="9">
        <f t="shared" si="2"/>
        <v>5</v>
      </c>
      <c r="K364" s="9">
        <f t="shared" si="3"/>
        <v>2023</v>
      </c>
      <c r="M364" s="25">
        <f>IFERROR(__xludf.DUMMYFUNCTION("""COMPUTED_VALUE"""),45065.0)</f>
        <v>45065</v>
      </c>
    </row>
    <row r="365">
      <c r="A365" s="10" t="s">
        <v>346</v>
      </c>
      <c r="B365" s="3" t="s">
        <v>347</v>
      </c>
      <c r="C365" s="10" t="s">
        <v>408</v>
      </c>
      <c r="D365" s="3" t="s">
        <v>409</v>
      </c>
      <c r="E365" s="4" t="s">
        <v>8</v>
      </c>
      <c r="F365" s="5" t="s">
        <v>11</v>
      </c>
      <c r="G365" s="6" t="s">
        <v>414</v>
      </c>
      <c r="H365" s="7">
        <v>45079.0</v>
      </c>
      <c r="I365" s="8">
        <f t="shared" si="1"/>
        <v>2</v>
      </c>
      <c r="J365" s="9">
        <f t="shared" si="2"/>
        <v>6</v>
      </c>
      <c r="K365" s="9">
        <f t="shared" si="3"/>
        <v>2023</v>
      </c>
      <c r="M365" s="25">
        <f>IFERROR(__xludf.DUMMYFUNCTION("""COMPUTED_VALUE"""),45079.0)</f>
        <v>45079</v>
      </c>
    </row>
    <row r="366">
      <c r="A366" s="10" t="s">
        <v>346</v>
      </c>
      <c r="B366" s="3" t="s">
        <v>347</v>
      </c>
      <c r="C366" s="10" t="s">
        <v>408</v>
      </c>
      <c r="D366" s="3" t="s">
        <v>409</v>
      </c>
      <c r="E366" s="4" t="s">
        <v>3</v>
      </c>
      <c r="F366" s="5" t="s">
        <v>96</v>
      </c>
      <c r="G366" s="6" t="s">
        <v>415</v>
      </c>
      <c r="H366" s="7">
        <v>45080.0</v>
      </c>
      <c r="I366" s="8">
        <f t="shared" si="1"/>
        <v>3</v>
      </c>
      <c r="J366" s="9">
        <f t="shared" si="2"/>
        <v>6</v>
      </c>
      <c r="K366" s="9">
        <f t="shared" si="3"/>
        <v>2023</v>
      </c>
      <c r="M366" s="25">
        <f>IFERROR(__xludf.DUMMYFUNCTION("""COMPUTED_VALUE"""),45080.0)</f>
        <v>45080</v>
      </c>
    </row>
    <row r="367">
      <c r="A367" s="10" t="s">
        <v>346</v>
      </c>
      <c r="B367" s="3" t="s">
        <v>347</v>
      </c>
      <c r="C367" s="10" t="s">
        <v>408</v>
      </c>
      <c r="D367" s="3" t="s">
        <v>409</v>
      </c>
      <c r="E367" s="4" t="s">
        <v>8</v>
      </c>
      <c r="F367" s="5" t="s">
        <v>28</v>
      </c>
      <c r="G367" s="6" t="s">
        <v>416</v>
      </c>
      <c r="H367" s="7">
        <v>45090.0</v>
      </c>
      <c r="I367" s="8">
        <f t="shared" si="1"/>
        <v>13</v>
      </c>
      <c r="J367" s="9">
        <f t="shared" si="2"/>
        <v>6</v>
      </c>
      <c r="K367" s="9">
        <f t="shared" si="3"/>
        <v>2023</v>
      </c>
      <c r="M367" s="25">
        <f>IFERROR(__xludf.DUMMYFUNCTION("""COMPUTED_VALUE"""),45090.0)</f>
        <v>45090</v>
      </c>
    </row>
    <row r="368">
      <c r="A368" s="10" t="s">
        <v>346</v>
      </c>
      <c r="B368" s="3" t="s">
        <v>347</v>
      </c>
      <c r="C368" s="10" t="s">
        <v>408</v>
      </c>
      <c r="D368" s="3" t="s">
        <v>409</v>
      </c>
      <c r="E368" s="4" t="s">
        <v>8</v>
      </c>
      <c r="F368" s="5" t="s">
        <v>45</v>
      </c>
      <c r="G368" s="6" t="s">
        <v>417</v>
      </c>
      <c r="H368" s="7">
        <v>45133.0</v>
      </c>
      <c r="I368" s="8">
        <f t="shared" si="1"/>
        <v>26</v>
      </c>
      <c r="J368" s="9">
        <f t="shared" si="2"/>
        <v>7</v>
      </c>
      <c r="K368" s="9">
        <f t="shared" si="3"/>
        <v>2023</v>
      </c>
      <c r="M368" s="25">
        <f>IFERROR(__xludf.DUMMYFUNCTION("""COMPUTED_VALUE"""),45133.0)</f>
        <v>45133</v>
      </c>
    </row>
    <row r="369">
      <c r="A369" s="10" t="s">
        <v>346</v>
      </c>
      <c r="B369" s="3" t="s">
        <v>347</v>
      </c>
      <c r="C369" s="10" t="s">
        <v>408</v>
      </c>
      <c r="D369" s="3" t="s">
        <v>409</v>
      </c>
      <c r="E369" s="4" t="s">
        <v>3</v>
      </c>
      <c r="F369" s="5" t="s">
        <v>19</v>
      </c>
      <c r="G369" s="6" t="s">
        <v>418</v>
      </c>
      <c r="H369" s="7">
        <v>45155.0</v>
      </c>
      <c r="I369" s="8">
        <f t="shared" si="1"/>
        <v>17</v>
      </c>
      <c r="J369" s="9">
        <f t="shared" si="2"/>
        <v>8</v>
      </c>
      <c r="K369" s="9">
        <f t="shared" si="3"/>
        <v>2023</v>
      </c>
      <c r="M369" s="25">
        <f>IFERROR(__xludf.DUMMYFUNCTION("""COMPUTED_VALUE"""),45155.0)</f>
        <v>45155</v>
      </c>
    </row>
    <row r="370">
      <c r="A370" s="10" t="s">
        <v>346</v>
      </c>
      <c r="B370" s="3" t="s">
        <v>347</v>
      </c>
      <c r="C370" s="10" t="s">
        <v>408</v>
      </c>
      <c r="D370" s="3" t="s">
        <v>409</v>
      </c>
      <c r="E370" s="4" t="s">
        <v>3</v>
      </c>
      <c r="F370" s="5" t="s">
        <v>11</v>
      </c>
      <c r="G370" s="6" t="s">
        <v>419</v>
      </c>
      <c r="H370" s="7">
        <v>45157.0</v>
      </c>
      <c r="I370" s="8">
        <f t="shared" si="1"/>
        <v>19</v>
      </c>
      <c r="J370" s="9">
        <f t="shared" si="2"/>
        <v>8</v>
      </c>
      <c r="K370" s="9">
        <f t="shared" si="3"/>
        <v>2023</v>
      </c>
      <c r="M370" s="25">
        <f>IFERROR(__xludf.DUMMYFUNCTION("""COMPUTED_VALUE"""),45157.0)</f>
        <v>45157</v>
      </c>
    </row>
    <row r="371">
      <c r="A371" s="10" t="s">
        <v>346</v>
      </c>
      <c r="B371" s="3" t="s">
        <v>347</v>
      </c>
      <c r="C371" s="10" t="s">
        <v>408</v>
      </c>
      <c r="D371" s="3" t="s">
        <v>409</v>
      </c>
      <c r="E371" s="4" t="s">
        <v>3</v>
      </c>
      <c r="F371" s="5" t="s">
        <v>6</v>
      </c>
      <c r="G371" s="6" t="s">
        <v>420</v>
      </c>
      <c r="H371" s="7">
        <v>45182.0</v>
      </c>
      <c r="I371" s="8">
        <f t="shared" si="1"/>
        <v>13</v>
      </c>
      <c r="J371" s="9">
        <f t="shared" si="2"/>
        <v>9</v>
      </c>
      <c r="K371" s="9">
        <f t="shared" si="3"/>
        <v>2023</v>
      </c>
      <c r="M371" s="25">
        <f>IFERROR(__xludf.DUMMYFUNCTION("""COMPUTED_VALUE"""),45182.0)</f>
        <v>45182</v>
      </c>
    </row>
    <row r="372">
      <c r="A372" s="10" t="s">
        <v>346</v>
      </c>
      <c r="B372" s="3" t="s">
        <v>347</v>
      </c>
      <c r="C372" s="10" t="s">
        <v>408</v>
      </c>
      <c r="D372" s="3" t="s">
        <v>409</v>
      </c>
      <c r="E372" s="4" t="s">
        <v>3</v>
      </c>
      <c r="F372" s="5" t="s">
        <v>4</v>
      </c>
      <c r="G372" s="6" t="s">
        <v>421</v>
      </c>
      <c r="H372" s="7">
        <v>45208.0</v>
      </c>
      <c r="I372" s="8">
        <f t="shared" si="1"/>
        <v>9</v>
      </c>
      <c r="J372" s="9">
        <f t="shared" si="2"/>
        <v>10</v>
      </c>
      <c r="K372" s="9">
        <f t="shared" si="3"/>
        <v>2023</v>
      </c>
      <c r="M372" s="25">
        <f>IFERROR(__xludf.DUMMYFUNCTION("""COMPUTED_VALUE"""),45208.0)</f>
        <v>45208</v>
      </c>
    </row>
    <row r="373">
      <c r="A373" s="10" t="s">
        <v>346</v>
      </c>
      <c r="B373" s="3" t="s">
        <v>347</v>
      </c>
      <c r="C373" s="10" t="s">
        <v>408</v>
      </c>
      <c r="D373" s="3" t="s">
        <v>409</v>
      </c>
      <c r="E373" s="4" t="s">
        <v>8</v>
      </c>
      <c r="F373" s="5" t="s">
        <v>21</v>
      </c>
      <c r="G373" s="6" t="s">
        <v>422</v>
      </c>
      <c r="H373" s="7">
        <v>45221.0</v>
      </c>
      <c r="I373" s="8">
        <f t="shared" si="1"/>
        <v>22</v>
      </c>
      <c r="J373" s="9">
        <f t="shared" si="2"/>
        <v>10</v>
      </c>
      <c r="K373" s="9">
        <f t="shared" si="3"/>
        <v>2023</v>
      </c>
      <c r="M373" s="25">
        <f>IFERROR(__xludf.DUMMYFUNCTION("""COMPUTED_VALUE"""),45221.0)</f>
        <v>45221</v>
      </c>
    </row>
    <row r="374">
      <c r="A374" s="10" t="s">
        <v>346</v>
      </c>
      <c r="B374" s="3" t="s">
        <v>347</v>
      </c>
      <c r="C374" s="10" t="s">
        <v>408</v>
      </c>
      <c r="D374" s="3" t="s">
        <v>409</v>
      </c>
      <c r="E374" s="4" t="s">
        <v>8</v>
      </c>
      <c r="F374" s="5" t="s">
        <v>17</v>
      </c>
      <c r="G374" s="6" t="s">
        <v>423</v>
      </c>
      <c r="H374" s="7">
        <v>45223.0</v>
      </c>
      <c r="I374" s="8">
        <f t="shared" si="1"/>
        <v>24</v>
      </c>
      <c r="J374" s="9">
        <f t="shared" si="2"/>
        <v>10</v>
      </c>
      <c r="K374" s="9">
        <f t="shared" si="3"/>
        <v>2023</v>
      </c>
      <c r="M374" s="25">
        <f>IFERROR(__xludf.DUMMYFUNCTION("""COMPUTED_VALUE"""),45223.0)</f>
        <v>45223</v>
      </c>
    </row>
    <row r="375">
      <c r="A375" s="10" t="s">
        <v>346</v>
      </c>
      <c r="B375" s="3" t="s">
        <v>347</v>
      </c>
      <c r="C375" s="10" t="s">
        <v>408</v>
      </c>
      <c r="D375" s="3" t="s">
        <v>409</v>
      </c>
      <c r="E375" s="4" t="s">
        <v>8</v>
      </c>
      <c r="F375" s="5" t="s">
        <v>120</v>
      </c>
      <c r="G375" s="6" t="s">
        <v>424</v>
      </c>
      <c r="H375" s="7">
        <v>45242.0</v>
      </c>
      <c r="I375" s="8">
        <f t="shared" si="1"/>
        <v>12</v>
      </c>
      <c r="J375" s="9">
        <f t="shared" si="2"/>
        <v>11</v>
      </c>
      <c r="K375" s="9">
        <f t="shared" si="3"/>
        <v>2023</v>
      </c>
      <c r="M375" s="25">
        <f>IFERROR(__xludf.DUMMYFUNCTION("""COMPUTED_VALUE"""),45242.0)</f>
        <v>45242</v>
      </c>
    </row>
    <row r="376">
      <c r="A376" s="10" t="s">
        <v>346</v>
      </c>
      <c r="B376" s="3" t="s">
        <v>347</v>
      </c>
      <c r="C376" s="10" t="s">
        <v>408</v>
      </c>
      <c r="D376" s="3" t="s">
        <v>409</v>
      </c>
      <c r="E376" s="4" t="s">
        <v>8</v>
      </c>
      <c r="F376" s="5" t="s">
        <v>71</v>
      </c>
      <c r="G376" s="6" t="s">
        <v>425</v>
      </c>
      <c r="H376" s="7">
        <v>45244.0</v>
      </c>
      <c r="I376" s="8">
        <f t="shared" si="1"/>
        <v>14</v>
      </c>
      <c r="J376" s="9">
        <f t="shared" si="2"/>
        <v>11</v>
      </c>
      <c r="K376" s="9">
        <f t="shared" si="3"/>
        <v>2023</v>
      </c>
      <c r="M376" s="25">
        <f>IFERROR(__xludf.DUMMYFUNCTION("""COMPUTED_VALUE"""),45244.0)</f>
        <v>45244</v>
      </c>
    </row>
    <row r="377">
      <c r="A377" s="10" t="s">
        <v>346</v>
      </c>
      <c r="B377" s="3" t="s">
        <v>347</v>
      </c>
      <c r="C377" s="10" t="s">
        <v>408</v>
      </c>
      <c r="D377" s="3" t="s">
        <v>409</v>
      </c>
      <c r="E377" s="4" t="s">
        <v>8</v>
      </c>
      <c r="F377" s="5" t="s">
        <v>21</v>
      </c>
      <c r="G377" s="6" t="s">
        <v>426</v>
      </c>
      <c r="H377" s="7">
        <v>45255.0</v>
      </c>
      <c r="I377" s="8">
        <f t="shared" si="1"/>
        <v>25</v>
      </c>
      <c r="J377" s="9">
        <f t="shared" si="2"/>
        <v>11</v>
      </c>
      <c r="K377" s="9">
        <f t="shared" si="3"/>
        <v>2023</v>
      </c>
      <c r="M377" s="25">
        <f>IFERROR(__xludf.DUMMYFUNCTION("""COMPUTED_VALUE"""),45255.0)</f>
        <v>45255</v>
      </c>
    </row>
    <row r="378">
      <c r="A378" s="10" t="s">
        <v>346</v>
      </c>
      <c r="B378" s="3" t="s">
        <v>347</v>
      </c>
      <c r="C378" s="10" t="s">
        <v>408</v>
      </c>
      <c r="D378" s="3" t="s">
        <v>409</v>
      </c>
      <c r="E378" s="4" t="s">
        <v>8</v>
      </c>
      <c r="F378" s="5" t="s">
        <v>21</v>
      </c>
      <c r="G378" s="6" t="s">
        <v>427</v>
      </c>
      <c r="H378" s="7">
        <v>45267.0</v>
      </c>
      <c r="I378" s="8">
        <f t="shared" si="1"/>
        <v>7</v>
      </c>
      <c r="J378" s="9">
        <f t="shared" si="2"/>
        <v>12</v>
      </c>
      <c r="K378" s="9">
        <f t="shared" si="3"/>
        <v>2023</v>
      </c>
      <c r="M378" s="25">
        <f>IFERROR(__xludf.DUMMYFUNCTION("""COMPUTED_VALUE"""),45267.0)</f>
        <v>45267</v>
      </c>
    </row>
    <row r="379">
      <c r="A379" s="10" t="s">
        <v>346</v>
      </c>
      <c r="B379" s="3" t="s">
        <v>347</v>
      </c>
      <c r="C379" s="10" t="s">
        <v>408</v>
      </c>
      <c r="D379" s="3" t="s">
        <v>409</v>
      </c>
      <c r="E379" s="4" t="s">
        <v>3</v>
      </c>
      <c r="F379" s="5" t="s">
        <v>42</v>
      </c>
      <c r="G379" s="6" t="s">
        <v>428</v>
      </c>
      <c r="H379" s="7">
        <v>45278.0</v>
      </c>
      <c r="I379" s="8">
        <f t="shared" si="1"/>
        <v>18</v>
      </c>
      <c r="J379" s="9">
        <f t="shared" si="2"/>
        <v>12</v>
      </c>
      <c r="K379" s="9">
        <f t="shared" si="3"/>
        <v>2023</v>
      </c>
      <c r="M379" s="25">
        <f>IFERROR(__xludf.DUMMYFUNCTION("""COMPUTED_VALUE"""),45278.0)</f>
        <v>45278</v>
      </c>
    </row>
    <row r="380">
      <c r="A380" s="10" t="s">
        <v>346</v>
      </c>
      <c r="B380" s="3" t="s">
        <v>347</v>
      </c>
      <c r="C380" s="10" t="s">
        <v>408</v>
      </c>
      <c r="D380" s="3" t="s">
        <v>409</v>
      </c>
      <c r="E380" s="4" t="s">
        <v>3</v>
      </c>
      <c r="F380" s="5" t="s">
        <v>51</v>
      </c>
      <c r="G380" s="6" t="s">
        <v>255</v>
      </c>
      <c r="H380" s="7">
        <v>45279.0</v>
      </c>
      <c r="I380" s="8">
        <f t="shared" si="1"/>
        <v>19</v>
      </c>
      <c r="J380" s="9">
        <f t="shared" si="2"/>
        <v>12</v>
      </c>
      <c r="K380" s="9">
        <f t="shared" si="3"/>
        <v>2023</v>
      </c>
      <c r="M380" s="25">
        <f>IFERROR(__xludf.DUMMYFUNCTION("""COMPUTED_VALUE"""),45279.0)</f>
        <v>45279</v>
      </c>
    </row>
    <row r="381">
      <c r="A381" s="10" t="s">
        <v>367</v>
      </c>
      <c r="B381" s="3" t="s">
        <v>368</v>
      </c>
      <c r="C381" s="10" t="s">
        <v>429</v>
      </c>
      <c r="D381" s="3" t="s">
        <v>430</v>
      </c>
      <c r="E381" s="4" t="s">
        <v>8</v>
      </c>
      <c r="F381" s="5" t="s">
        <v>6</v>
      </c>
      <c r="G381" s="6" t="s">
        <v>431</v>
      </c>
      <c r="H381" s="7">
        <v>44942.0</v>
      </c>
      <c r="I381" s="8">
        <f t="shared" si="1"/>
        <v>16</v>
      </c>
      <c r="J381" s="9">
        <f t="shared" si="2"/>
        <v>1</v>
      </c>
      <c r="K381" s="9">
        <f t="shared" si="3"/>
        <v>2023</v>
      </c>
      <c r="M381" s="25">
        <f>IFERROR(__xludf.DUMMYFUNCTION("""COMPUTED_VALUE"""),44942.0)</f>
        <v>44942</v>
      </c>
    </row>
    <row r="382">
      <c r="A382" s="10" t="s">
        <v>367</v>
      </c>
      <c r="B382" s="3" t="s">
        <v>368</v>
      </c>
      <c r="C382" s="10" t="s">
        <v>429</v>
      </c>
      <c r="D382" s="3" t="s">
        <v>430</v>
      </c>
      <c r="E382" s="4" t="s">
        <v>3</v>
      </c>
      <c r="F382" s="5" t="s">
        <v>35</v>
      </c>
      <c r="G382" s="6" t="s">
        <v>432</v>
      </c>
      <c r="H382" s="7">
        <v>44943.0</v>
      </c>
      <c r="I382" s="8">
        <f t="shared" si="1"/>
        <v>17</v>
      </c>
      <c r="J382" s="9">
        <f t="shared" si="2"/>
        <v>1</v>
      </c>
      <c r="K382" s="9">
        <f t="shared" si="3"/>
        <v>2023</v>
      </c>
      <c r="M382" s="25">
        <f>IFERROR(__xludf.DUMMYFUNCTION("""COMPUTED_VALUE"""),44943.0)</f>
        <v>44943</v>
      </c>
    </row>
    <row r="383">
      <c r="A383" s="10" t="s">
        <v>367</v>
      </c>
      <c r="B383" s="3" t="s">
        <v>368</v>
      </c>
      <c r="C383" s="10" t="s">
        <v>429</v>
      </c>
      <c r="D383" s="3" t="s">
        <v>430</v>
      </c>
      <c r="E383" s="4" t="s">
        <v>8</v>
      </c>
      <c r="F383" s="5" t="s">
        <v>71</v>
      </c>
      <c r="G383" s="6" t="s">
        <v>433</v>
      </c>
      <c r="H383" s="7">
        <v>44959.0</v>
      </c>
      <c r="I383" s="8">
        <f t="shared" si="1"/>
        <v>2</v>
      </c>
      <c r="J383" s="9">
        <f t="shared" si="2"/>
        <v>2</v>
      </c>
      <c r="K383" s="9">
        <f t="shared" si="3"/>
        <v>2023</v>
      </c>
      <c r="M383" s="25">
        <f>IFERROR(__xludf.DUMMYFUNCTION("""COMPUTED_VALUE"""),44959.0)</f>
        <v>44959</v>
      </c>
    </row>
    <row r="384">
      <c r="A384" s="10" t="s">
        <v>367</v>
      </c>
      <c r="B384" s="3" t="s">
        <v>368</v>
      </c>
      <c r="C384" s="10" t="s">
        <v>429</v>
      </c>
      <c r="D384" s="3" t="s">
        <v>430</v>
      </c>
      <c r="E384" s="4" t="s">
        <v>8</v>
      </c>
      <c r="F384" s="5" t="s">
        <v>35</v>
      </c>
      <c r="G384" s="6" t="s">
        <v>434</v>
      </c>
      <c r="H384" s="7">
        <v>44969.0</v>
      </c>
      <c r="I384" s="8">
        <f t="shared" si="1"/>
        <v>12</v>
      </c>
      <c r="J384" s="9">
        <f t="shared" si="2"/>
        <v>2</v>
      </c>
      <c r="K384" s="9">
        <f t="shared" si="3"/>
        <v>2023</v>
      </c>
      <c r="M384" s="25">
        <f>IFERROR(__xludf.DUMMYFUNCTION("""COMPUTED_VALUE"""),44969.0)</f>
        <v>44969</v>
      </c>
    </row>
    <row r="385">
      <c r="A385" s="10" t="s">
        <v>367</v>
      </c>
      <c r="B385" s="3" t="s">
        <v>368</v>
      </c>
      <c r="C385" s="10" t="s">
        <v>429</v>
      </c>
      <c r="D385" s="3" t="s">
        <v>430</v>
      </c>
      <c r="E385" s="4" t="s">
        <v>8</v>
      </c>
      <c r="F385" s="5" t="s">
        <v>42</v>
      </c>
      <c r="G385" s="6" t="s">
        <v>208</v>
      </c>
      <c r="H385" s="7">
        <v>44972.0</v>
      </c>
      <c r="I385" s="8">
        <f t="shared" si="1"/>
        <v>15</v>
      </c>
      <c r="J385" s="9">
        <f t="shared" si="2"/>
        <v>2</v>
      </c>
      <c r="K385" s="9">
        <f t="shared" si="3"/>
        <v>2023</v>
      </c>
      <c r="M385" s="25">
        <f>IFERROR(__xludf.DUMMYFUNCTION("""COMPUTED_VALUE"""),44972.0)</f>
        <v>44972</v>
      </c>
    </row>
    <row r="386">
      <c r="A386" s="10" t="s">
        <v>367</v>
      </c>
      <c r="B386" s="3" t="s">
        <v>368</v>
      </c>
      <c r="C386" s="10" t="s">
        <v>429</v>
      </c>
      <c r="D386" s="3" t="s">
        <v>430</v>
      </c>
      <c r="E386" s="4" t="s">
        <v>3</v>
      </c>
      <c r="F386" s="5" t="s">
        <v>42</v>
      </c>
      <c r="G386" s="6" t="s">
        <v>435</v>
      </c>
      <c r="H386" s="7">
        <v>44991.0</v>
      </c>
      <c r="I386" s="8">
        <f t="shared" si="1"/>
        <v>6</v>
      </c>
      <c r="J386" s="9">
        <f t="shared" si="2"/>
        <v>3</v>
      </c>
      <c r="K386" s="9">
        <f t="shared" si="3"/>
        <v>2023</v>
      </c>
      <c r="M386" s="25">
        <f>IFERROR(__xludf.DUMMYFUNCTION("""COMPUTED_VALUE"""),44991.0)</f>
        <v>44991</v>
      </c>
    </row>
    <row r="387">
      <c r="A387" s="10" t="s">
        <v>367</v>
      </c>
      <c r="B387" s="3" t="s">
        <v>368</v>
      </c>
      <c r="C387" s="10" t="s">
        <v>429</v>
      </c>
      <c r="D387" s="3" t="s">
        <v>430</v>
      </c>
      <c r="E387" s="4" t="s">
        <v>8</v>
      </c>
      <c r="F387" s="5" t="s">
        <v>76</v>
      </c>
      <c r="G387" s="6" t="s">
        <v>436</v>
      </c>
      <c r="H387" s="7">
        <v>45041.0</v>
      </c>
      <c r="I387" s="8">
        <f t="shared" si="1"/>
        <v>25</v>
      </c>
      <c r="J387" s="9">
        <f t="shared" si="2"/>
        <v>4</v>
      </c>
      <c r="K387" s="9">
        <f t="shared" si="3"/>
        <v>2023</v>
      </c>
      <c r="M387" s="25">
        <f>IFERROR(__xludf.DUMMYFUNCTION("""COMPUTED_VALUE"""),45041.0)</f>
        <v>45041</v>
      </c>
    </row>
    <row r="388">
      <c r="A388" s="10" t="s">
        <v>367</v>
      </c>
      <c r="B388" s="3" t="s">
        <v>368</v>
      </c>
      <c r="C388" s="10" t="s">
        <v>429</v>
      </c>
      <c r="D388" s="3" t="s">
        <v>430</v>
      </c>
      <c r="E388" s="4" t="s">
        <v>3</v>
      </c>
      <c r="F388" s="5" t="s">
        <v>39</v>
      </c>
      <c r="G388" s="6" t="s">
        <v>437</v>
      </c>
      <c r="H388" s="7">
        <v>45070.0</v>
      </c>
      <c r="I388" s="8">
        <f t="shared" si="1"/>
        <v>24</v>
      </c>
      <c r="J388" s="9">
        <f t="shared" si="2"/>
        <v>5</v>
      </c>
      <c r="K388" s="9">
        <f t="shared" si="3"/>
        <v>2023</v>
      </c>
      <c r="M388" s="25">
        <f>IFERROR(__xludf.DUMMYFUNCTION("""COMPUTED_VALUE"""),45070.0)</f>
        <v>45070</v>
      </c>
    </row>
    <row r="389">
      <c r="A389" s="10" t="s">
        <v>367</v>
      </c>
      <c r="B389" s="3" t="s">
        <v>368</v>
      </c>
      <c r="C389" s="10" t="s">
        <v>429</v>
      </c>
      <c r="D389" s="3" t="s">
        <v>430</v>
      </c>
      <c r="E389" s="4" t="s">
        <v>8</v>
      </c>
      <c r="F389" s="5" t="s">
        <v>71</v>
      </c>
      <c r="G389" s="6" t="s">
        <v>438</v>
      </c>
      <c r="H389" s="7">
        <v>45072.0</v>
      </c>
      <c r="I389" s="8">
        <f t="shared" si="1"/>
        <v>26</v>
      </c>
      <c r="J389" s="9">
        <f t="shared" si="2"/>
        <v>5</v>
      </c>
      <c r="K389" s="9">
        <f t="shared" si="3"/>
        <v>2023</v>
      </c>
      <c r="M389" s="25">
        <f>IFERROR(__xludf.DUMMYFUNCTION("""COMPUTED_VALUE"""),45072.0)</f>
        <v>45072</v>
      </c>
    </row>
    <row r="390">
      <c r="A390" s="10" t="s">
        <v>367</v>
      </c>
      <c r="B390" s="3" t="s">
        <v>368</v>
      </c>
      <c r="C390" s="10" t="s">
        <v>429</v>
      </c>
      <c r="D390" s="3" t="s">
        <v>430</v>
      </c>
      <c r="E390" s="4" t="s">
        <v>3</v>
      </c>
      <c r="F390" s="5" t="s">
        <v>42</v>
      </c>
      <c r="G390" s="6" t="s">
        <v>439</v>
      </c>
      <c r="H390" s="7">
        <v>45079.0</v>
      </c>
      <c r="I390" s="8">
        <f t="shared" si="1"/>
        <v>2</v>
      </c>
      <c r="J390" s="9">
        <f t="shared" si="2"/>
        <v>6</v>
      </c>
      <c r="K390" s="9">
        <f t="shared" si="3"/>
        <v>2023</v>
      </c>
      <c r="M390" s="25">
        <f>IFERROR(__xludf.DUMMYFUNCTION("""COMPUTED_VALUE"""),45079.0)</f>
        <v>45079</v>
      </c>
    </row>
    <row r="391">
      <c r="A391" s="10" t="s">
        <v>367</v>
      </c>
      <c r="B391" s="3" t="s">
        <v>368</v>
      </c>
      <c r="C391" s="10" t="s">
        <v>429</v>
      </c>
      <c r="D391" s="3" t="s">
        <v>430</v>
      </c>
      <c r="E391" s="4" t="s">
        <v>3</v>
      </c>
      <c r="F391" s="5" t="s">
        <v>28</v>
      </c>
      <c r="G391" s="6" t="s">
        <v>440</v>
      </c>
      <c r="H391" s="7">
        <v>45119.0</v>
      </c>
      <c r="I391" s="8">
        <f t="shared" si="1"/>
        <v>12</v>
      </c>
      <c r="J391" s="9">
        <f t="shared" si="2"/>
        <v>7</v>
      </c>
      <c r="K391" s="9">
        <f t="shared" si="3"/>
        <v>2023</v>
      </c>
      <c r="M391" s="25">
        <f>IFERROR(__xludf.DUMMYFUNCTION("""COMPUTED_VALUE"""),45119.0)</f>
        <v>45119</v>
      </c>
    </row>
    <row r="392">
      <c r="A392" s="10" t="s">
        <v>367</v>
      </c>
      <c r="B392" s="3" t="s">
        <v>368</v>
      </c>
      <c r="C392" s="10" t="s">
        <v>429</v>
      </c>
      <c r="D392" s="3" t="s">
        <v>430</v>
      </c>
      <c r="E392" s="4" t="s">
        <v>3</v>
      </c>
      <c r="F392" s="5" t="s">
        <v>21</v>
      </c>
      <c r="G392" s="6" t="s">
        <v>441</v>
      </c>
      <c r="H392" s="7">
        <v>45124.0</v>
      </c>
      <c r="I392" s="8">
        <f t="shared" si="1"/>
        <v>17</v>
      </c>
      <c r="J392" s="9">
        <f t="shared" si="2"/>
        <v>7</v>
      </c>
      <c r="K392" s="9">
        <f t="shared" si="3"/>
        <v>2023</v>
      </c>
      <c r="M392" s="25">
        <f>IFERROR(__xludf.DUMMYFUNCTION("""COMPUTED_VALUE"""),45124.0)</f>
        <v>45124</v>
      </c>
    </row>
    <row r="393">
      <c r="A393" s="10" t="s">
        <v>367</v>
      </c>
      <c r="B393" s="3" t="s">
        <v>368</v>
      </c>
      <c r="C393" s="10" t="s">
        <v>429</v>
      </c>
      <c r="D393" s="3" t="s">
        <v>430</v>
      </c>
      <c r="E393" s="4" t="s">
        <v>8</v>
      </c>
      <c r="F393" s="5" t="s">
        <v>45</v>
      </c>
      <c r="G393" s="6" t="s">
        <v>442</v>
      </c>
      <c r="H393" s="7">
        <v>45148.0</v>
      </c>
      <c r="I393" s="8">
        <f t="shared" si="1"/>
        <v>10</v>
      </c>
      <c r="J393" s="9">
        <f t="shared" si="2"/>
        <v>8</v>
      </c>
      <c r="K393" s="9">
        <f t="shared" si="3"/>
        <v>2023</v>
      </c>
      <c r="M393" s="25">
        <f>IFERROR(__xludf.DUMMYFUNCTION("""COMPUTED_VALUE"""),45148.0)</f>
        <v>45148</v>
      </c>
    </row>
    <row r="394">
      <c r="A394" s="10" t="s">
        <v>367</v>
      </c>
      <c r="B394" s="3" t="s">
        <v>368</v>
      </c>
      <c r="C394" s="10" t="s">
        <v>429</v>
      </c>
      <c r="D394" s="3" t="s">
        <v>430</v>
      </c>
      <c r="E394" s="4" t="s">
        <v>3</v>
      </c>
      <c r="F394" s="5" t="s">
        <v>120</v>
      </c>
      <c r="G394" s="6" t="s">
        <v>443</v>
      </c>
      <c r="H394" s="7">
        <v>45170.0</v>
      </c>
      <c r="I394" s="8">
        <f t="shared" si="1"/>
        <v>1</v>
      </c>
      <c r="J394" s="9">
        <f t="shared" si="2"/>
        <v>9</v>
      </c>
      <c r="K394" s="9">
        <f t="shared" si="3"/>
        <v>2023</v>
      </c>
      <c r="M394" s="25">
        <f>IFERROR(__xludf.DUMMYFUNCTION("""COMPUTED_VALUE"""),45170.0)</f>
        <v>45170</v>
      </c>
    </row>
    <row r="395">
      <c r="A395" s="10" t="s">
        <v>367</v>
      </c>
      <c r="B395" s="3" t="s">
        <v>368</v>
      </c>
      <c r="C395" s="10" t="s">
        <v>429</v>
      </c>
      <c r="D395" s="3" t="s">
        <v>430</v>
      </c>
      <c r="E395" s="4" t="s">
        <v>3</v>
      </c>
      <c r="F395" s="5" t="s">
        <v>120</v>
      </c>
      <c r="G395" s="6" t="s">
        <v>444</v>
      </c>
      <c r="H395" s="7">
        <v>45182.0</v>
      </c>
      <c r="I395" s="8">
        <f t="shared" si="1"/>
        <v>13</v>
      </c>
      <c r="J395" s="9">
        <f t="shared" si="2"/>
        <v>9</v>
      </c>
      <c r="K395" s="9">
        <f t="shared" si="3"/>
        <v>2023</v>
      </c>
      <c r="M395" s="25">
        <f>IFERROR(__xludf.DUMMYFUNCTION("""COMPUTED_VALUE"""),45182.0)</f>
        <v>45182</v>
      </c>
    </row>
    <row r="396">
      <c r="A396" s="10" t="s">
        <v>367</v>
      </c>
      <c r="B396" s="3" t="s">
        <v>368</v>
      </c>
      <c r="C396" s="10" t="s">
        <v>429</v>
      </c>
      <c r="D396" s="3" t="s">
        <v>430</v>
      </c>
      <c r="E396" s="4" t="s">
        <v>3</v>
      </c>
      <c r="F396" s="5" t="s">
        <v>13</v>
      </c>
      <c r="G396" s="6" t="s">
        <v>445</v>
      </c>
      <c r="H396" s="7">
        <v>45225.0</v>
      </c>
      <c r="I396" s="8">
        <f t="shared" si="1"/>
        <v>26</v>
      </c>
      <c r="J396" s="9">
        <f t="shared" si="2"/>
        <v>10</v>
      </c>
      <c r="K396" s="9">
        <f t="shared" si="3"/>
        <v>2023</v>
      </c>
      <c r="M396" s="25">
        <f>IFERROR(__xludf.DUMMYFUNCTION("""COMPUTED_VALUE"""),45225.0)</f>
        <v>45225</v>
      </c>
    </row>
    <row r="397">
      <c r="A397" s="10" t="s">
        <v>367</v>
      </c>
      <c r="B397" s="3" t="s">
        <v>368</v>
      </c>
      <c r="C397" s="10" t="s">
        <v>429</v>
      </c>
      <c r="D397" s="3" t="s">
        <v>430</v>
      </c>
      <c r="E397" s="4" t="s">
        <v>8</v>
      </c>
      <c r="F397" s="5" t="s">
        <v>11</v>
      </c>
      <c r="G397" s="6" t="s">
        <v>446</v>
      </c>
      <c r="H397" s="7">
        <v>45236.0</v>
      </c>
      <c r="I397" s="8">
        <f t="shared" si="1"/>
        <v>6</v>
      </c>
      <c r="J397" s="9">
        <f t="shared" si="2"/>
        <v>11</v>
      </c>
      <c r="K397" s="9">
        <f t="shared" si="3"/>
        <v>2023</v>
      </c>
      <c r="M397" s="25">
        <f>IFERROR(__xludf.DUMMYFUNCTION("""COMPUTED_VALUE"""),45236.0)</f>
        <v>45236</v>
      </c>
    </row>
    <row r="398">
      <c r="A398" s="10" t="s">
        <v>367</v>
      </c>
      <c r="B398" s="3" t="s">
        <v>368</v>
      </c>
      <c r="C398" s="10" t="s">
        <v>429</v>
      </c>
      <c r="D398" s="3" t="s">
        <v>430</v>
      </c>
      <c r="E398" s="4" t="s">
        <v>8</v>
      </c>
      <c r="F398" s="5" t="s">
        <v>120</v>
      </c>
      <c r="G398" s="6" t="s">
        <v>447</v>
      </c>
      <c r="H398" s="7">
        <v>45238.0</v>
      </c>
      <c r="I398" s="8">
        <f t="shared" si="1"/>
        <v>8</v>
      </c>
      <c r="J398" s="9">
        <f t="shared" si="2"/>
        <v>11</v>
      </c>
      <c r="K398" s="9">
        <f t="shared" si="3"/>
        <v>2023</v>
      </c>
      <c r="M398" s="25">
        <f>IFERROR(__xludf.DUMMYFUNCTION("""COMPUTED_VALUE"""),45238.0)</f>
        <v>45238</v>
      </c>
    </row>
    <row r="399">
      <c r="A399" s="10" t="s">
        <v>367</v>
      </c>
      <c r="B399" s="3" t="s">
        <v>368</v>
      </c>
      <c r="C399" s="10" t="s">
        <v>429</v>
      </c>
      <c r="D399" s="3" t="s">
        <v>430</v>
      </c>
      <c r="E399" s="4" t="s">
        <v>3</v>
      </c>
      <c r="F399" s="5" t="s">
        <v>28</v>
      </c>
      <c r="G399" s="6" t="s">
        <v>448</v>
      </c>
      <c r="H399" s="7">
        <v>45242.0</v>
      </c>
      <c r="I399" s="8">
        <f t="shared" si="1"/>
        <v>12</v>
      </c>
      <c r="J399" s="9">
        <f t="shared" si="2"/>
        <v>11</v>
      </c>
      <c r="K399" s="9">
        <f t="shared" si="3"/>
        <v>2023</v>
      </c>
      <c r="M399" s="25">
        <f>IFERROR(__xludf.DUMMYFUNCTION("""COMPUTED_VALUE"""),45242.0)</f>
        <v>45242</v>
      </c>
    </row>
    <row r="400">
      <c r="A400" s="10" t="s">
        <v>367</v>
      </c>
      <c r="B400" s="3" t="s">
        <v>368</v>
      </c>
      <c r="C400" s="10" t="s">
        <v>429</v>
      </c>
      <c r="D400" s="3" t="s">
        <v>430</v>
      </c>
      <c r="E400" s="4" t="s">
        <v>3</v>
      </c>
      <c r="F400" s="5" t="s">
        <v>23</v>
      </c>
      <c r="G400" s="6" t="s">
        <v>449</v>
      </c>
      <c r="H400" s="7">
        <v>45245.0</v>
      </c>
      <c r="I400" s="8">
        <f t="shared" si="1"/>
        <v>15</v>
      </c>
      <c r="J400" s="9">
        <f t="shared" si="2"/>
        <v>11</v>
      </c>
      <c r="K400" s="9">
        <f t="shared" si="3"/>
        <v>2023</v>
      </c>
      <c r="M400" s="25">
        <f>IFERROR(__xludf.DUMMYFUNCTION("""COMPUTED_VALUE"""),45245.0)</f>
        <v>45245</v>
      </c>
    </row>
    <row r="401">
      <c r="A401" s="10" t="s">
        <v>389</v>
      </c>
      <c r="B401" s="3" t="s">
        <v>390</v>
      </c>
      <c r="C401" s="10" t="s">
        <v>450</v>
      </c>
      <c r="D401" s="3" t="s">
        <v>451</v>
      </c>
      <c r="E401" s="4" t="s">
        <v>3</v>
      </c>
      <c r="F401" s="5" t="s">
        <v>15</v>
      </c>
      <c r="G401" s="6" t="s">
        <v>452</v>
      </c>
      <c r="H401" s="7">
        <v>44948.0</v>
      </c>
      <c r="I401" s="8">
        <f t="shared" si="1"/>
        <v>22</v>
      </c>
      <c r="J401" s="9">
        <f t="shared" si="2"/>
        <v>1</v>
      </c>
      <c r="K401" s="9">
        <f t="shared" si="3"/>
        <v>2023</v>
      </c>
      <c r="M401" s="25">
        <f>IFERROR(__xludf.DUMMYFUNCTION("""COMPUTED_VALUE"""),44948.0)</f>
        <v>44948</v>
      </c>
    </row>
    <row r="402">
      <c r="A402" s="10" t="s">
        <v>389</v>
      </c>
      <c r="B402" s="3" t="s">
        <v>390</v>
      </c>
      <c r="C402" s="10" t="s">
        <v>450</v>
      </c>
      <c r="D402" s="3" t="s">
        <v>451</v>
      </c>
      <c r="E402" s="4" t="s">
        <v>3</v>
      </c>
      <c r="F402" s="5" t="s">
        <v>96</v>
      </c>
      <c r="G402" s="6" t="s">
        <v>453</v>
      </c>
      <c r="H402" s="7">
        <v>44960.0</v>
      </c>
      <c r="I402" s="8">
        <f t="shared" si="1"/>
        <v>3</v>
      </c>
      <c r="J402" s="9">
        <f t="shared" si="2"/>
        <v>2</v>
      </c>
      <c r="K402" s="9">
        <f t="shared" si="3"/>
        <v>2023</v>
      </c>
      <c r="M402" s="25">
        <f>IFERROR(__xludf.DUMMYFUNCTION("""COMPUTED_VALUE"""),44960.0)</f>
        <v>44960</v>
      </c>
    </row>
    <row r="403">
      <c r="A403" s="10" t="s">
        <v>389</v>
      </c>
      <c r="B403" s="3" t="s">
        <v>390</v>
      </c>
      <c r="C403" s="10" t="s">
        <v>450</v>
      </c>
      <c r="D403" s="3" t="s">
        <v>451</v>
      </c>
      <c r="E403" s="4" t="s">
        <v>3</v>
      </c>
      <c r="F403" s="5" t="s">
        <v>17</v>
      </c>
      <c r="G403" s="6" t="s">
        <v>454</v>
      </c>
      <c r="H403" s="7">
        <v>44960.0</v>
      </c>
      <c r="I403" s="8">
        <f t="shared" si="1"/>
        <v>3</v>
      </c>
      <c r="J403" s="9">
        <f t="shared" si="2"/>
        <v>2</v>
      </c>
      <c r="K403" s="9">
        <f t="shared" si="3"/>
        <v>2023</v>
      </c>
      <c r="M403" s="25">
        <f>IFERROR(__xludf.DUMMYFUNCTION("""COMPUTED_VALUE"""),44960.0)</f>
        <v>44960</v>
      </c>
    </row>
    <row r="404">
      <c r="A404" s="10" t="s">
        <v>389</v>
      </c>
      <c r="B404" s="3" t="s">
        <v>390</v>
      </c>
      <c r="C404" s="10" t="s">
        <v>450</v>
      </c>
      <c r="D404" s="3" t="s">
        <v>451</v>
      </c>
      <c r="E404" s="4" t="s">
        <v>3</v>
      </c>
      <c r="F404" s="5" t="s">
        <v>42</v>
      </c>
      <c r="G404" s="6" t="s">
        <v>455</v>
      </c>
      <c r="H404" s="7">
        <v>44986.0</v>
      </c>
      <c r="I404" s="8">
        <f t="shared" si="1"/>
        <v>1</v>
      </c>
      <c r="J404" s="9">
        <f t="shared" si="2"/>
        <v>3</v>
      </c>
      <c r="K404" s="9">
        <f t="shared" si="3"/>
        <v>2023</v>
      </c>
      <c r="M404" s="25">
        <f>IFERROR(__xludf.DUMMYFUNCTION("""COMPUTED_VALUE"""),44986.0)</f>
        <v>44986</v>
      </c>
    </row>
    <row r="405">
      <c r="A405" s="10" t="s">
        <v>389</v>
      </c>
      <c r="B405" s="3" t="s">
        <v>390</v>
      </c>
      <c r="C405" s="10" t="s">
        <v>450</v>
      </c>
      <c r="D405" s="3" t="s">
        <v>451</v>
      </c>
      <c r="E405" s="4" t="s">
        <v>3</v>
      </c>
      <c r="F405" s="5" t="s">
        <v>21</v>
      </c>
      <c r="G405" s="6" t="s">
        <v>456</v>
      </c>
      <c r="H405" s="7">
        <v>45004.0</v>
      </c>
      <c r="I405" s="8">
        <f t="shared" si="1"/>
        <v>19</v>
      </c>
      <c r="J405" s="9">
        <f t="shared" si="2"/>
        <v>3</v>
      </c>
      <c r="K405" s="9">
        <f t="shared" si="3"/>
        <v>2023</v>
      </c>
      <c r="M405" s="25">
        <f>IFERROR(__xludf.DUMMYFUNCTION("""COMPUTED_VALUE"""),45004.0)</f>
        <v>45004</v>
      </c>
    </row>
    <row r="406">
      <c r="A406" s="10" t="s">
        <v>389</v>
      </c>
      <c r="B406" s="3" t="s">
        <v>390</v>
      </c>
      <c r="C406" s="10" t="s">
        <v>450</v>
      </c>
      <c r="D406" s="3" t="s">
        <v>451</v>
      </c>
      <c r="E406" s="4" t="s">
        <v>3</v>
      </c>
      <c r="F406" s="5" t="s">
        <v>4</v>
      </c>
      <c r="G406" s="6" t="s">
        <v>457</v>
      </c>
      <c r="H406" s="7">
        <v>45032.0</v>
      </c>
      <c r="I406" s="8">
        <f t="shared" si="1"/>
        <v>16</v>
      </c>
      <c r="J406" s="9">
        <f t="shared" si="2"/>
        <v>4</v>
      </c>
      <c r="K406" s="9">
        <f t="shared" si="3"/>
        <v>2023</v>
      </c>
      <c r="M406" s="25">
        <f>IFERROR(__xludf.DUMMYFUNCTION("""COMPUTED_VALUE"""),45032.0)</f>
        <v>45032</v>
      </c>
    </row>
    <row r="407">
      <c r="A407" s="10" t="s">
        <v>389</v>
      </c>
      <c r="B407" s="3" t="s">
        <v>390</v>
      </c>
      <c r="C407" s="10" t="s">
        <v>450</v>
      </c>
      <c r="D407" s="3" t="s">
        <v>451</v>
      </c>
      <c r="E407" s="4" t="s">
        <v>3</v>
      </c>
      <c r="F407" s="5" t="s">
        <v>96</v>
      </c>
      <c r="G407" s="6" t="s">
        <v>458</v>
      </c>
      <c r="H407" s="7">
        <v>45042.0</v>
      </c>
      <c r="I407" s="8">
        <f t="shared" si="1"/>
        <v>26</v>
      </c>
      <c r="J407" s="9">
        <f t="shared" si="2"/>
        <v>4</v>
      </c>
      <c r="K407" s="9">
        <f t="shared" si="3"/>
        <v>2023</v>
      </c>
      <c r="M407" s="25">
        <f>IFERROR(__xludf.DUMMYFUNCTION("""COMPUTED_VALUE"""),45042.0)</f>
        <v>45042</v>
      </c>
    </row>
    <row r="408">
      <c r="A408" s="10" t="s">
        <v>389</v>
      </c>
      <c r="B408" s="3" t="s">
        <v>390</v>
      </c>
      <c r="C408" s="10" t="s">
        <v>450</v>
      </c>
      <c r="D408" s="3" t="s">
        <v>451</v>
      </c>
      <c r="E408" s="4" t="s">
        <v>8</v>
      </c>
      <c r="F408" s="5" t="s">
        <v>120</v>
      </c>
      <c r="G408" s="6" t="s">
        <v>459</v>
      </c>
      <c r="H408" s="7">
        <v>45056.0</v>
      </c>
      <c r="I408" s="8">
        <f t="shared" si="1"/>
        <v>10</v>
      </c>
      <c r="J408" s="9">
        <f t="shared" si="2"/>
        <v>5</v>
      </c>
      <c r="K408" s="9">
        <f t="shared" si="3"/>
        <v>2023</v>
      </c>
      <c r="M408" s="25">
        <f>IFERROR(__xludf.DUMMYFUNCTION("""COMPUTED_VALUE"""),45056.0)</f>
        <v>45056</v>
      </c>
    </row>
    <row r="409">
      <c r="A409" s="10" t="s">
        <v>389</v>
      </c>
      <c r="B409" s="3" t="s">
        <v>390</v>
      </c>
      <c r="C409" s="10" t="s">
        <v>450</v>
      </c>
      <c r="D409" s="3" t="s">
        <v>451</v>
      </c>
      <c r="E409" s="4" t="s">
        <v>3</v>
      </c>
      <c r="F409" s="5" t="s">
        <v>4</v>
      </c>
      <c r="G409" s="6" t="s">
        <v>460</v>
      </c>
      <c r="H409" s="7">
        <v>45064.0</v>
      </c>
      <c r="I409" s="8">
        <f t="shared" si="1"/>
        <v>18</v>
      </c>
      <c r="J409" s="9">
        <f t="shared" si="2"/>
        <v>5</v>
      </c>
      <c r="K409" s="9">
        <f t="shared" si="3"/>
        <v>2023</v>
      </c>
      <c r="M409" s="25">
        <f>IFERROR(__xludf.DUMMYFUNCTION("""COMPUTED_VALUE"""),45064.0)</f>
        <v>45064</v>
      </c>
    </row>
    <row r="410">
      <c r="A410" s="10" t="s">
        <v>389</v>
      </c>
      <c r="B410" s="3" t="s">
        <v>390</v>
      </c>
      <c r="C410" s="10" t="s">
        <v>450</v>
      </c>
      <c r="D410" s="3" t="s">
        <v>451</v>
      </c>
      <c r="E410" s="4" t="s">
        <v>3</v>
      </c>
      <c r="F410" s="5" t="s">
        <v>15</v>
      </c>
      <c r="G410" s="6" t="s">
        <v>257</v>
      </c>
      <c r="H410" s="7">
        <v>45084.0</v>
      </c>
      <c r="I410" s="8">
        <f t="shared" si="1"/>
        <v>7</v>
      </c>
      <c r="J410" s="9">
        <f t="shared" si="2"/>
        <v>6</v>
      </c>
      <c r="K410" s="9">
        <f t="shared" si="3"/>
        <v>2023</v>
      </c>
      <c r="M410" s="25">
        <f>IFERROR(__xludf.DUMMYFUNCTION("""COMPUTED_VALUE"""),45084.0)</f>
        <v>45084</v>
      </c>
    </row>
    <row r="411">
      <c r="A411" s="10" t="s">
        <v>389</v>
      </c>
      <c r="B411" s="3" t="s">
        <v>390</v>
      </c>
      <c r="C411" s="10" t="s">
        <v>450</v>
      </c>
      <c r="D411" s="3" t="s">
        <v>451</v>
      </c>
      <c r="E411" s="4" t="s">
        <v>8</v>
      </c>
      <c r="F411" s="5" t="s">
        <v>19</v>
      </c>
      <c r="G411" s="6" t="s">
        <v>461</v>
      </c>
      <c r="H411" s="7">
        <v>45108.0</v>
      </c>
      <c r="I411" s="8">
        <f t="shared" si="1"/>
        <v>1</v>
      </c>
      <c r="J411" s="9">
        <f t="shared" si="2"/>
        <v>7</v>
      </c>
      <c r="K411" s="9">
        <f t="shared" si="3"/>
        <v>2023</v>
      </c>
      <c r="M411" s="25">
        <f>IFERROR(__xludf.DUMMYFUNCTION("""COMPUTED_VALUE"""),45108.0)</f>
        <v>45108</v>
      </c>
    </row>
    <row r="412">
      <c r="A412" s="10" t="s">
        <v>389</v>
      </c>
      <c r="B412" s="3" t="s">
        <v>390</v>
      </c>
      <c r="C412" s="10" t="s">
        <v>450</v>
      </c>
      <c r="D412" s="3" t="s">
        <v>451</v>
      </c>
      <c r="E412" s="4" t="s">
        <v>3</v>
      </c>
      <c r="F412" s="5" t="s">
        <v>13</v>
      </c>
      <c r="G412" s="6" t="s">
        <v>462</v>
      </c>
      <c r="H412" s="7">
        <v>45112.0</v>
      </c>
      <c r="I412" s="8">
        <f t="shared" si="1"/>
        <v>5</v>
      </c>
      <c r="J412" s="9">
        <f t="shared" si="2"/>
        <v>7</v>
      </c>
      <c r="K412" s="9">
        <f t="shared" si="3"/>
        <v>2023</v>
      </c>
      <c r="M412" s="25">
        <f>IFERROR(__xludf.DUMMYFUNCTION("""COMPUTED_VALUE"""),45112.0)</f>
        <v>45112</v>
      </c>
    </row>
    <row r="413">
      <c r="A413" s="10" t="s">
        <v>389</v>
      </c>
      <c r="B413" s="3" t="s">
        <v>390</v>
      </c>
      <c r="C413" s="10" t="s">
        <v>450</v>
      </c>
      <c r="D413" s="3" t="s">
        <v>451</v>
      </c>
      <c r="E413" s="4" t="s">
        <v>8</v>
      </c>
      <c r="F413" s="5" t="s">
        <v>45</v>
      </c>
      <c r="G413" s="6" t="s">
        <v>463</v>
      </c>
      <c r="H413" s="7">
        <v>45160.0</v>
      </c>
      <c r="I413" s="8">
        <f t="shared" si="1"/>
        <v>22</v>
      </c>
      <c r="J413" s="9">
        <f t="shared" si="2"/>
        <v>8</v>
      </c>
      <c r="K413" s="9">
        <f t="shared" si="3"/>
        <v>2023</v>
      </c>
      <c r="M413" s="25">
        <f>IFERROR(__xludf.DUMMYFUNCTION("""COMPUTED_VALUE"""),45160.0)</f>
        <v>45160</v>
      </c>
    </row>
    <row r="414">
      <c r="A414" s="10" t="s">
        <v>389</v>
      </c>
      <c r="B414" s="3" t="s">
        <v>390</v>
      </c>
      <c r="C414" s="10" t="s">
        <v>450</v>
      </c>
      <c r="D414" s="3" t="s">
        <v>451</v>
      </c>
      <c r="E414" s="4" t="s">
        <v>8</v>
      </c>
      <c r="F414" s="5" t="s">
        <v>4</v>
      </c>
      <c r="G414" s="6" t="s">
        <v>464</v>
      </c>
      <c r="H414" s="7">
        <v>45162.0</v>
      </c>
      <c r="I414" s="8">
        <f t="shared" si="1"/>
        <v>24</v>
      </c>
      <c r="J414" s="9">
        <f t="shared" si="2"/>
        <v>8</v>
      </c>
      <c r="K414" s="9">
        <f t="shared" si="3"/>
        <v>2023</v>
      </c>
      <c r="M414" s="25">
        <f>IFERROR(__xludf.DUMMYFUNCTION("""COMPUTED_VALUE"""),45162.0)</f>
        <v>45162</v>
      </c>
    </row>
    <row r="415">
      <c r="A415" s="10" t="s">
        <v>389</v>
      </c>
      <c r="B415" s="3" t="s">
        <v>390</v>
      </c>
      <c r="C415" s="10" t="s">
        <v>450</v>
      </c>
      <c r="D415" s="3" t="s">
        <v>451</v>
      </c>
      <c r="E415" s="4" t="s">
        <v>3</v>
      </c>
      <c r="F415" s="5" t="s">
        <v>51</v>
      </c>
      <c r="G415" s="6" t="s">
        <v>97</v>
      </c>
      <c r="H415" s="7">
        <v>45164.0</v>
      </c>
      <c r="I415" s="8">
        <f t="shared" si="1"/>
        <v>26</v>
      </c>
      <c r="J415" s="9">
        <f t="shared" si="2"/>
        <v>8</v>
      </c>
      <c r="K415" s="9">
        <f t="shared" si="3"/>
        <v>2023</v>
      </c>
      <c r="M415" s="25">
        <f>IFERROR(__xludf.DUMMYFUNCTION("""COMPUTED_VALUE"""),45164.0)</f>
        <v>45164</v>
      </c>
    </row>
    <row r="416">
      <c r="A416" s="10" t="s">
        <v>389</v>
      </c>
      <c r="B416" s="3" t="s">
        <v>390</v>
      </c>
      <c r="C416" s="10" t="s">
        <v>450</v>
      </c>
      <c r="D416" s="3" t="s">
        <v>451</v>
      </c>
      <c r="E416" s="4" t="s">
        <v>3</v>
      </c>
      <c r="F416" s="5" t="s">
        <v>11</v>
      </c>
      <c r="G416" s="6" t="s">
        <v>465</v>
      </c>
      <c r="H416" s="7">
        <v>45170.0</v>
      </c>
      <c r="I416" s="8">
        <f t="shared" si="1"/>
        <v>1</v>
      </c>
      <c r="J416" s="9">
        <f t="shared" si="2"/>
        <v>9</v>
      </c>
      <c r="K416" s="9">
        <f t="shared" si="3"/>
        <v>2023</v>
      </c>
      <c r="M416" s="25">
        <f>IFERROR(__xludf.DUMMYFUNCTION("""COMPUTED_VALUE"""),45170.0)</f>
        <v>45170</v>
      </c>
    </row>
    <row r="417">
      <c r="A417" s="10" t="s">
        <v>389</v>
      </c>
      <c r="B417" s="3" t="s">
        <v>390</v>
      </c>
      <c r="C417" s="10" t="s">
        <v>450</v>
      </c>
      <c r="D417" s="3" t="s">
        <v>451</v>
      </c>
      <c r="E417" s="4" t="s">
        <v>3</v>
      </c>
      <c r="F417" s="5" t="s">
        <v>35</v>
      </c>
      <c r="G417" s="6" t="s">
        <v>466</v>
      </c>
      <c r="H417" s="7">
        <v>45182.0</v>
      </c>
      <c r="I417" s="8">
        <f t="shared" si="1"/>
        <v>13</v>
      </c>
      <c r="J417" s="9">
        <f t="shared" si="2"/>
        <v>9</v>
      </c>
      <c r="K417" s="9">
        <f t="shared" si="3"/>
        <v>2023</v>
      </c>
      <c r="M417" s="25">
        <f>IFERROR(__xludf.DUMMYFUNCTION("""COMPUTED_VALUE"""),45182.0)</f>
        <v>45182</v>
      </c>
    </row>
    <row r="418">
      <c r="A418" s="10" t="s">
        <v>389</v>
      </c>
      <c r="B418" s="3" t="s">
        <v>390</v>
      </c>
      <c r="C418" s="10" t="s">
        <v>450</v>
      </c>
      <c r="D418" s="3" t="s">
        <v>451</v>
      </c>
      <c r="E418" s="4" t="s">
        <v>8</v>
      </c>
      <c r="F418" s="5" t="s">
        <v>23</v>
      </c>
      <c r="G418" s="6" t="s">
        <v>467</v>
      </c>
      <c r="H418" s="7">
        <v>45235.0</v>
      </c>
      <c r="I418" s="8">
        <f t="shared" si="1"/>
        <v>5</v>
      </c>
      <c r="J418" s="9">
        <f t="shared" si="2"/>
        <v>11</v>
      </c>
      <c r="K418" s="9">
        <f t="shared" si="3"/>
        <v>2023</v>
      </c>
      <c r="M418" s="25">
        <f>IFERROR(__xludf.DUMMYFUNCTION("""COMPUTED_VALUE"""),45235.0)</f>
        <v>45235</v>
      </c>
    </row>
    <row r="419">
      <c r="A419" s="10" t="s">
        <v>389</v>
      </c>
      <c r="B419" s="3" t="s">
        <v>390</v>
      </c>
      <c r="C419" s="10" t="s">
        <v>450</v>
      </c>
      <c r="D419" s="3" t="s">
        <v>451</v>
      </c>
      <c r="E419" s="4" t="s">
        <v>8</v>
      </c>
      <c r="F419" s="5" t="s">
        <v>11</v>
      </c>
      <c r="G419" s="6" t="s">
        <v>468</v>
      </c>
      <c r="H419" s="7">
        <v>45255.0</v>
      </c>
      <c r="I419" s="8">
        <f t="shared" si="1"/>
        <v>25</v>
      </c>
      <c r="J419" s="9">
        <f t="shared" si="2"/>
        <v>11</v>
      </c>
      <c r="K419" s="9">
        <f t="shared" si="3"/>
        <v>2023</v>
      </c>
      <c r="M419" s="25">
        <f>IFERROR(__xludf.DUMMYFUNCTION("""COMPUTED_VALUE"""),45255.0)</f>
        <v>45255</v>
      </c>
    </row>
    <row r="420">
      <c r="A420" s="10" t="s">
        <v>389</v>
      </c>
      <c r="B420" s="3" t="s">
        <v>390</v>
      </c>
      <c r="C420" s="10" t="s">
        <v>450</v>
      </c>
      <c r="D420" s="3" t="s">
        <v>451</v>
      </c>
      <c r="E420" s="4" t="s">
        <v>3</v>
      </c>
      <c r="F420" s="5" t="s">
        <v>13</v>
      </c>
      <c r="G420" s="6" t="s">
        <v>469</v>
      </c>
      <c r="H420" s="7">
        <v>45282.0</v>
      </c>
      <c r="I420" s="8">
        <f t="shared" si="1"/>
        <v>22</v>
      </c>
      <c r="J420" s="9">
        <f t="shared" si="2"/>
        <v>12</v>
      </c>
      <c r="K420" s="9">
        <f t="shared" si="3"/>
        <v>2023</v>
      </c>
      <c r="M420" s="25">
        <f>IFERROR(__xludf.DUMMYFUNCTION("""COMPUTED_VALUE"""),45282.0)</f>
        <v>45282</v>
      </c>
    </row>
    <row r="421">
      <c r="A421" s="10" t="s">
        <v>408</v>
      </c>
      <c r="B421" s="3" t="s">
        <v>409</v>
      </c>
      <c r="C421" s="10" t="s">
        <v>470</v>
      </c>
      <c r="D421" s="3" t="s">
        <v>471</v>
      </c>
      <c r="E421" s="4" t="s">
        <v>3</v>
      </c>
      <c r="F421" s="5" t="s">
        <v>42</v>
      </c>
      <c r="G421" s="6" t="s">
        <v>472</v>
      </c>
      <c r="H421" s="7">
        <v>44937.0</v>
      </c>
      <c r="I421" s="8">
        <f t="shared" si="1"/>
        <v>11</v>
      </c>
      <c r="J421" s="9">
        <f t="shared" si="2"/>
        <v>1</v>
      </c>
      <c r="K421" s="9">
        <f t="shared" si="3"/>
        <v>2023</v>
      </c>
      <c r="M421" s="25">
        <f>IFERROR(__xludf.DUMMYFUNCTION("""COMPUTED_VALUE"""),44937.0)</f>
        <v>44937</v>
      </c>
    </row>
    <row r="422">
      <c r="A422" s="10" t="s">
        <v>408</v>
      </c>
      <c r="B422" s="3" t="s">
        <v>409</v>
      </c>
      <c r="C422" s="10" t="s">
        <v>470</v>
      </c>
      <c r="D422" s="3" t="s">
        <v>471</v>
      </c>
      <c r="E422" s="4" t="s">
        <v>3</v>
      </c>
      <c r="F422" s="5" t="s">
        <v>6</v>
      </c>
      <c r="G422" s="6" t="s">
        <v>473</v>
      </c>
      <c r="H422" s="7">
        <v>44998.0</v>
      </c>
      <c r="I422" s="8">
        <f t="shared" si="1"/>
        <v>13</v>
      </c>
      <c r="J422" s="9">
        <f t="shared" si="2"/>
        <v>3</v>
      </c>
      <c r="K422" s="9">
        <f t="shared" si="3"/>
        <v>2023</v>
      </c>
      <c r="M422" s="25">
        <f>IFERROR(__xludf.DUMMYFUNCTION("""COMPUTED_VALUE"""),44998.0)</f>
        <v>44998</v>
      </c>
    </row>
    <row r="423">
      <c r="A423" s="10" t="s">
        <v>408</v>
      </c>
      <c r="B423" s="3" t="s">
        <v>409</v>
      </c>
      <c r="C423" s="10" t="s">
        <v>470</v>
      </c>
      <c r="D423" s="3" t="s">
        <v>471</v>
      </c>
      <c r="E423" s="4" t="s">
        <v>3</v>
      </c>
      <c r="F423" s="5" t="s">
        <v>76</v>
      </c>
      <c r="G423" s="6" t="s">
        <v>474</v>
      </c>
      <c r="H423" s="7">
        <v>45010.0</v>
      </c>
      <c r="I423" s="8">
        <f t="shared" si="1"/>
        <v>25</v>
      </c>
      <c r="J423" s="9">
        <f t="shared" si="2"/>
        <v>3</v>
      </c>
      <c r="K423" s="9">
        <f t="shared" si="3"/>
        <v>2023</v>
      </c>
      <c r="M423" s="25">
        <f>IFERROR(__xludf.DUMMYFUNCTION("""COMPUTED_VALUE"""),45010.0)</f>
        <v>45010</v>
      </c>
    </row>
    <row r="424">
      <c r="A424" s="10" t="s">
        <v>408</v>
      </c>
      <c r="B424" s="3" t="s">
        <v>409</v>
      </c>
      <c r="C424" s="10" t="s">
        <v>470</v>
      </c>
      <c r="D424" s="3" t="s">
        <v>471</v>
      </c>
      <c r="E424" s="4" t="s">
        <v>8</v>
      </c>
      <c r="F424" s="5" t="s">
        <v>15</v>
      </c>
      <c r="G424" s="6" t="s">
        <v>475</v>
      </c>
      <c r="H424" s="7">
        <v>45049.0</v>
      </c>
      <c r="I424" s="8">
        <f t="shared" si="1"/>
        <v>3</v>
      </c>
      <c r="J424" s="9">
        <f t="shared" si="2"/>
        <v>5</v>
      </c>
      <c r="K424" s="9">
        <f t="shared" si="3"/>
        <v>2023</v>
      </c>
      <c r="M424" s="25">
        <f>IFERROR(__xludf.DUMMYFUNCTION("""COMPUTED_VALUE"""),45049.0)</f>
        <v>45049</v>
      </c>
    </row>
    <row r="425">
      <c r="A425" s="10" t="s">
        <v>408</v>
      </c>
      <c r="B425" s="3" t="s">
        <v>409</v>
      </c>
      <c r="C425" s="10" t="s">
        <v>470</v>
      </c>
      <c r="D425" s="3" t="s">
        <v>471</v>
      </c>
      <c r="E425" s="4" t="s">
        <v>3</v>
      </c>
      <c r="F425" s="5" t="s">
        <v>28</v>
      </c>
      <c r="G425" s="6" t="s">
        <v>476</v>
      </c>
      <c r="H425" s="7">
        <v>45111.0</v>
      </c>
      <c r="I425" s="8">
        <f t="shared" si="1"/>
        <v>4</v>
      </c>
      <c r="J425" s="9">
        <f t="shared" si="2"/>
        <v>7</v>
      </c>
      <c r="K425" s="9">
        <f t="shared" si="3"/>
        <v>2023</v>
      </c>
      <c r="M425" s="25">
        <f>IFERROR(__xludf.DUMMYFUNCTION("""COMPUTED_VALUE"""),45111.0)</f>
        <v>45111</v>
      </c>
    </row>
    <row r="426">
      <c r="A426" s="10" t="s">
        <v>408</v>
      </c>
      <c r="B426" s="3" t="s">
        <v>409</v>
      </c>
      <c r="C426" s="10" t="s">
        <v>470</v>
      </c>
      <c r="D426" s="3" t="s">
        <v>471</v>
      </c>
      <c r="E426" s="4" t="s">
        <v>3</v>
      </c>
      <c r="F426" s="5" t="s">
        <v>28</v>
      </c>
      <c r="G426" s="6" t="s">
        <v>477</v>
      </c>
      <c r="H426" s="7">
        <v>45129.0</v>
      </c>
      <c r="I426" s="8">
        <f t="shared" si="1"/>
        <v>22</v>
      </c>
      <c r="J426" s="9">
        <f t="shared" si="2"/>
        <v>7</v>
      </c>
      <c r="K426" s="9">
        <f t="shared" si="3"/>
        <v>2023</v>
      </c>
      <c r="M426" s="25">
        <f>IFERROR(__xludf.DUMMYFUNCTION("""COMPUTED_VALUE"""),45129.0)</f>
        <v>45129</v>
      </c>
    </row>
    <row r="427">
      <c r="A427" s="10" t="s">
        <v>408</v>
      </c>
      <c r="B427" s="3" t="s">
        <v>409</v>
      </c>
      <c r="C427" s="10" t="s">
        <v>470</v>
      </c>
      <c r="D427" s="3" t="s">
        <v>471</v>
      </c>
      <c r="E427" s="4" t="s">
        <v>3</v>
      </c>
      <c r="F427" s="5" t="s">
        <v>45</v>
      </c>
      <c r="G427" s="6" t="s">
        <v>478</v>
      </c>
      <c r="H427" s="7">
        <v>45133.0</v>
      </c>
      <c r="I427" s="8">
        <f t="shared" si="1"/>
        <v>26</v>
      </c>
      <c r="J427" s="9">
        <f t="shared" si="2"/>
        <v>7</v>
      </c>
      <c r="K427" s="9">
        <f t="shared" si="3"/>
        <v>2023</v>
      </c>
      <c r="M427" s="25">
        <f>IFERROR(__xludf.DUMMYFUNCTION("""COMPUTED_VALUE"""),45133.0)</f>
        <v>45133</v>
      </c>
    </row>
    <row r="428">
      <c r="A428" s="10" t="s">
        <v>408</v>
      </c>
      <c r="B428" s="3" t="s">
        <v>409</v>
      </c>
      <c r="C428" s="10" t="s">
        <v>470</v>
      </c>
      <c r="D428" s="3" t="s">
        <v>471</v>
      </c>
      <c r="E428" s="4" t="s">
        <v>3</v>
      </c>
      <c r="F428" s="5" t="s">
        <v>39</v>
      </c>
      <c r="G428" s="6" t="s">
        <v>479</v>
      </c>
      <c r="H428" s="7">
        <v>45179.0</v>
      </c>
      <c r="I428" s="8">
        <f t="shared" si="1"/>
        <v>10</v>
      </c>
      <c r="J428" s="9">
        <f t="shared" si="2"/>
        <v>9</v>
      </c>
      <c r="K428" s="9">
        <f t="shared" si="3"/>
        <v>2023</v>
      </c>
      <c r="M428" s="25">
        <f>IFERROR(__xludf.DUMMYFUNCTION("""COMPUTED_VALUE"""),45179.0)</f>
        <v>45179</v>
      </c>
    </row>
    <row r="429">
      <c r="A429" s="10" t="s">
        <v>408</v>
      </c>
      <c r="B429" s="3" t="s">
        <v>409</v>
      </c>
      <c r="C429" s="10" t="s">
        <v>470</v>
      </c>
      <c r="D429" s="3" t="s">
        <v>471</v>
      </c>
      <c r="E429" s="4" t="s">
        <v>3</v>
      </c>
      <c r="F429" s="5" t="s">
        <v>6</v>
      </c>
      <c r="G429" s="6" t="s">
        <v>480</v>
      </c>
      <c r="H429" s="7">
        <v>45181.0</v>
      </c>
      <c r="I429" s="8">
        <f t="shared" si="1"/>
        <v>12</v>
      </c>
      <c r="J429" s="9">
        <f t="shared" si="2"/>
        <v>9</v>
      </c>
      <c r="K429" s="9">
        <f t="shared" si="3"/>
        <v>2023</v>
      </c>
      <c r="M429" s="25">
        <f>IFERROR(__xludf.DUMMYFUNCTION("""COMPUTED_VALUE"""),45181.0)</f>
        <v>45181</v>
      </c>
    </row>
    <row r="430">
      <c r="A430" s="10" t="s">
        <v>408</v>
      </c>
      <c r="B430" s="3" t="s">
        <v>409</v>
      </c>
      <c r="C430" s="10" t="s">
        <v>470</v>
      </c>
      <c r="D430" s="3" t="s">
        <v>471</v>
      </c>
      <c r="E430" s="4" t="s">
        <v>8</v>
      </c>
      <c r="F430" s="5" t="s">
        <v>51</v>
      </c>
      <c r="G430" s="6" t="s">
        <v>481</v>
      </c>
      <c r="H430" s="7">
        <v>45183.0</v>
      </c>
      <c r="I430" s="8">
        <f t="shared" si="1"/>
        <v>14</v>
      </c>
      <c r="J430" s="9">
        <f t="shared" si="2"/>
        <v>9</v>
      </c>
      <c r="K430" s="9">
        <f t="shared" si="3"/>
        <v>2023</v>
      </c>
      <c r="M430" s="25">
        <f>IFERROR(__xludf.DUMMYFUNCTION("""COMPUTED_VALUE"""),45183.0)</f>
        <v>45183</v>
      </c>
    </row>
    <row r="431">
      <c r="A431" s="10" t="s">
        <v>408</v>
      </c>
      <c r="B431" s="3" t="s">
        <v>409</v>
      </c>
      <c r="C431" s="10" t="s">
        <v>470</v>
      </c>
      <c r="D431" s="3" t="s">
        <v>471</v>
      </c>
      <c r="E431" s="4" t="s">
        <v>3</v>
      </c>
      <c r="F431" s="5" t="s">
        <v>45</v>
      </c>
      <c r="G431" s="6" t="s">
        <v>482</v>
      </c>
      <c r="H431" s="7">
        <v>45195.0</v>
      </c>
      <c r="I431" s="8">
        <f t="shared" si="1"/>
        <v>26</v>
      </c>
      <c r="J431" s="9">
        <f t="shared" si="2"/>
        <v>9</v>
      </c>
      <c r="K431" s="9">
        <f t="shared" si="3"/>
        <v>2023</v>
      </c>
      <c r="M431" s="25">
        <f>IFERROR(__xludf.DUMMYFUNCTION("""COMPUTED_VALUE"""),45195.0)</f>
        <v>45195</v>
      </c>
    </row>
    <row r="432">
      <c r="A432" s="10" t="s">
        <v>408</v>
      </c>
      <c r="B432" s="3" t="s">
        <v>409</v>
      </c>
      <c r="C432" s="10" t="s">
        <v>470</v>
      </c>
      <c r="D432" s="3" t="s">
        <v>471</v>
      </c>
      <c r="E432" s="4" t="s">
        <v>8</v>
      </c>
      <c r="F432" s="5" t="s">
        <v>51</v>
      </c>
      <c r="G432" s="6" t="s">
        <v>483</v>
      </c>
      <c r="H432" s="7">
        <v>45204.0</v>
      </c>
      <c r="I432" s="8">
        <f t="shared" si="1"/>
        <v>5</v>
      </c>
      <c r="J432" s="9">
        <f t="shared" si="2"/>
        <v>10</v>
      </c>
      <c r="K432" s="9">
        <f t="shared" si="3"/>
        <v>2023</v>
      </c>
      <c r="M432" s="25">
        <f>IFERROR(__xludf.DUMMYFUNCTION("""COMPUTED_VALUE"""),45204.0)</f>
        <v>45204</v>
      </c>
    </row>
    <row r="433">
      <c r="A433" s="10" t="s">
        <v>408</v>
      </c>
      <c r="B433" s="3" t="s">
        <v>409</v>
      </c>
      <c r="C433" s="10" t="s">
        <v>470</v>
      </c>
      <c r="D433" s="3" t="s">
        <v>471</v>
      </c>
      <c r="E433" s="4" t="s">
        <v>8</v>
      </c>
      <c r="F433" s="5" t="s">
        <v>71</v>
      </c>
      <c r="G433" s="6" t="s">
        <v>484</v>
      </c>
      <c r="H433" s="7">
        <v>45216.0</v>
      </c>
      <c r="I433" s="8">
        <f t="shared" si="1"/>
        <v>17</v>
      </c>
      <c r="J433" s="9">
        <f t="shared" si="2"/>
        <v>10</v>
      </c>
      <c r="K433" s="9">
        <f t="shared" si="3"/>
        <v>2023</v>
      </c>
      <c r="M433" s="25">
        <f>IFERROR(__xludf.DUMMYFUNCTION("""COMPUTED_VALUE"""),45216.0)</f>
        <v>45216</v>
      </c>
    </row>
    <row r="434">
      <c r="A434" s="10" t="s">
        <v>408</v>
      </c>
      <c r="B434" s="3" t="s">
        <v>409</v>
      </c>
      <c r="C434" s="10" t="s">
        <v>470</v>
      </c>
      <c r="D434" s="3" t="s">
        <v>471</v>
      </c>
      <c r="E434" s="4" t="s">
        <v>8</v>
      </c>
      <c r="F434" s="5" t="s">
        <v>9</v>
      </c>
      <c r="G434" s="6" t="s">
        <v>485</v>
      </c>
      <c r="H434" s="7">
        <v>45219.0</v>
      </c>
      <c r="I434" s="8">
        <f t="shared" si="1"/>
        <v>20</v>
      </c>
      <c r="J434" s="9">
        <f t="shared" si="2"/>
        <v>10</v>
      </c>
      <c r="K434" s="9">
        <f t="shared" si="3"/>
        <v>2023</v>
      </c>
      <c r="M434" s="25">
        <f>IFERROR(__xludf.DUMMYFUNCTION("""COMPUTED_VALUE"""),45219.0)</f>
        <v>45219</v>
      </c>
    </row>
    <row r="435">
      <c r="A435" s="10" t="s">
        <v>408</v>
      </c>
      <c r="B435" s="3" t="s">
        <v>409</v>
      </c>
      <c r="C435" s="10" t="s">
        <v>470</v>
      </c>
      <c r="D435" s="3" t="s">
        <v>471</v>
      </c>
      <c r="E435" s="4" t="s">
        <v>8</v>
      </c>
      <c r="F435" s="5" t="s">
        <v>17</v>
      </c>
      <c r="G435" s="6" t="s">
        <v>330</v>
      </c>
      <c r="H435" s="7">
        <v>45231.0</v>
      </c>
      <c r="I435" s="8">
        <f t="shared" si="1"/>
        <v>1</v>
      </c>
      <c r="J435" s="9">
        <f t="shared" si="2"/>
        <v>11</v>
      </c>
      <c r="K435" s="9">
        <f t="shared" si="3"/>
        <v>2023</v>
      </c>
      <c r="M435" s="25">
        <f>IFERROR(__xludf.DUMMYFUNCTION("""COMPUTED_VALUE"""),45231.0)</f>
        <v>45231</v>
      </c>
    </row>
    <row r="436">
      <c r="A436" s="10" t="s">
        <v>408</v>
      </c>
      <c r="B436" s="3" t="s">
        <v>409</v>
      </c>
      <c r="C436" s="10" t="s">
        <v>470</v>
      </c>
      <c r="D436" s="3" t="s">
        <v>471</v>
      </c>
      <c r="E436" s="4" t="s">
        <v>3</v>
      </c>
      <c r="F436" s="5" t="s">
        <v>51</v>
      </c>
      <c r="G436" s="6" t="s">
        <v>486</v>
      </c>
      <c r="H436" s="7">
        <v>45254.0</v>
      </c>
      <c r="I436" s="8">
        <f t="shared" si="1"/>
        <v>24</v>
      </c>
      <c r="J436" s="9">
        <f t="shared" si="2"/>
        <v>11</v>
      </c>
      <c r="K436" s="9">
        <f t="shared" si="3"/>
        <v>2023</v>
      </c>
      <c r="M436" s="25">
        <f>IFERROR(__xludf.DUMMYFUNCTION("""COMPUTED_VALUE"""),45254.0)</f>
        <v>45254</v>
      </c>
    </row>
    <row r="437">
      <c r="A437" s="10" t="s">
        <v>408</v>
      </c>
      <c r="B437" s="3" t="s">
        <v>409</v>
      </c>
      <c r="C437" s="10" t="s">
        <v>470</v>
      </c>
      <c r="D437" s="3" t="s">
        <v>471</v>
      </c>
      <c r="E437" s="4" t="s">
        <v>3</v>
      </c>
      <c r="F437" s="5" t="s">
        <v>76</v>
      </c>
      <c r="G437" s="6" t="s">
        <v>487</v>
      </c>
      <c r="H437" s="7">
        <v>45255.0</v>
      </c>
      <c r="I437" s="8">
        <f t="shared" si="1"/>
        <v>25</v>
      </c>
      <c r="J437" s="9">
        <f t="shared" si="2"/>
        <v>11</v>
      </c>
      <c r="K437" s="9">
        <f t="shared" si="3"/>
        <v>2023</v>
      </c>
      <c r="M437" s="25">
        <f>IFERROR(__xludf.DUMMYFUNCTION("""COMPUTED_VALUE"""),45255.0)</f>
        <v>45255</v>
      </c>
    </row>
    <row r="438">
      <c r="A438" s="10" t="s">
        <v>408</v>
      </c>
      <c r="B438" s="3" t="s">
        <v>409</v>
      </c>
      <c r="C438" s="10" t="s">
        <v>470</v>
      </c>
      <c r="D438" s="3" t="s">
        <v>471</v>
      </c>
      <c r="E438" s="4" t="s">
        <v>8</v>
      </c>
      <c r="F438" s="5" t="s">
        <v>17</v>
      </c>
      <c r="G438" s="6" t="s">
        <v>488</v>
      </c>
      <c r="H438" s="7">
        <v>45280.0</v>
      </c>
      <c r="I438" s="8">
        <f t="shared" si="1"/>
        <v>20</v>
      </c>
      <c r="J438" s="9">
        <f t="shared" si="2"/>
        <v>12</v>
      </c>
      <c r="K438" s="9">
        <f t="shared" si="3"/>
        <v>2023</v>
      </c>
      <c r="M438" s="25">
        <f>IFERROR(__xludf.DUMMYFUNCTION("""COMPUTED_VALUE"""),45280.0)</f>
        <v>45280</v>
      </c>
    </row>
    <row r="439">
      <c r="A439" s="10" t="s">
        <v>408</v>
      </c>
      <c r="B439" s="3" t="s">
        <v>409</v>
      </c>
      <c r="C439" s="10" t="s">
        <v>470</v>
      </c>
      <c r="D439" s="3" t="s">
        <v>471</v>
      </c>
      <c r="E439" s="4" t="s">
        <v>3</v>
      </c>
      <c r="F439" s="5" t="s">
        <v>120</v>
      </c>
      <c r="G439" s="6" t="s">
        <v>231</v>
      </c>
      <c r="H439" s="7">
        <v>45281.0</v>
      </c>
      <c r="I439" s="8">
        <f t="shared" si="1"/>
        <v>21</v>
      </c>
      <c r="J439" s="9">
        <f t="shared" si="2"/>
        <v>12</v>
      </c>
      <c r="K439" s="9">
        <f t="shared" si="3"/>
        <v>2023</v>
      </c>
      <c r="M439" s="25">
        <f>IFERROR(__xludf.DUMMYFUNCTION("""COMPUTED_VALUE"""),45281.0)</f>
        <v>45281</v>
      </c>
    </row>
    <row r="440">
      <c r="A440" s="10" t="s">
        <v>408</v>
      </c>
      <c r="B440" s="3" t="s">
        <v>409</v>
      </c>
      <c r="C440" s="10" t="s">
        <v>470</v>
      </c>
      <c r="D440" s="3" t="s">
        <v>471</v>
      </c>
      <c r="E440" s="4" t="s">
        <v>8</v>
      </c>
      <c r="F440" s="5" t="s">
        <v>39</v>
      </c>
      <c r="G440" s="6" t="s">
        <v>489</v>
      </c>
      <c r="H440" s="7">
        <v>45281.0</v>
      </c>
      <c r="I440" s="8">
        <f t="shared" si="1"/>
        <v>21</v>
      </c>
      <c r="J440" s="9">
        <f t="shared" si="2"/>
        <v>12</v>
      </c>
      <c r="K440" s="9">
        <f t="shared" si="3"/>
        <v>2023</v>
      </c>
      <c r="M440" s="25">
        <f>IFERROR(__xludf.DUMMYFUNCTION("""COMPUTED_VALUE"""),45281.0)</f>
        <v>45281</v>
      </c>
    </row>
    <row r="441">
      <c r="A441" s="10" t="s">
        <v>429</v>
      </c>
      <c r="B441" s="3" t="s">
        <v>430</v>
      </c>
      <c r="C441" s="10" t="s">
        <v>490</v>
      </c>
      <c r="D441" s="3" t="s">
        <v>491</v>
      </c>
      <c r="E441" s="4" t="s">
        <v>8</v>
      </c>
      <c r="F441" s="5" t="s">
        <v>35</v>
      </c>
      <c r="G441" s="6" t="s">
        <v>492</v>
      </c>
      <c r="H441" s="7">
        <v>44979.0</v>
      </c>
      <c r="I441" s="8">
        <f t="shared" si="1"/>
        <v>22</v>
      </c>
      <c r="J441" s="9">
        <f t="shared" si="2"/>
        <v>2</v>
      </c>
      <c r="K441" s="9">
        <f t="shared" si="3"/>
        <v>2023</v>
      </c>
      <c r="M441" s="25">
        <f>IFERROR(__xludf.DUMMYFUNCTION("""COMPUTED_VALUE"""),44979.0)</f>
        <v>44979</v>
      </c>
    </row>
    <row r="442">
      <c r="A442" s="10" t="s">
        <v>429</v>
      </c>
      <c r="B442" s="3" t="s">
        <v>430</v>
      </c>
      <c r="C442" s="10" t="s">
        <v>490</v>
      </c>
      <c r="D442" s="3" t="s">
        <v>491</v>
      </c>
      <c r="E442" s="4" t="s">
        <v>3</v>
      </c>
      <c r="F442" s="5" t="s">
        <v>71</v>
      </c>
      <c r="G442" s="6" t="s">
        <v>493</v>
      </c>
      <c r="H442" s="7">
        <v>44981.0</v>
      </c>
      <c r="I442" s="8">
        <f t="shared" si="1"/>
        <v>24</v>
      </c>
      <c r="J442" s="9">
        <f t="shared" si="2"/>
        <v>2</v>
      </c>
      <c r="K442" s="9">
        <f t="shared" si="3"/>
        <v>2023</v>
      </c>
      <c r="M442" s="25">
        <f>IFERROR(__xludf.DUMMYFUNCTION("""COMPUTED_VALUE"""),44981.0)</f>
        <v>44981</v>
      </c>
    </row>
    <row r="443">
      <c r="A443" s="10" t="s">
        <v>429</v>
      </c>
      <c r="B443" s="3" t="s">
        <v>430</v>
      </c>
      <c r="C443" s="10" t="s">
        <v>490</v>
      </c>
      <c r="D443" s="3" t="s">
        <v>491</v>
      </c>
      <c r="E443" s="4" t="s">
        <v>8</v>
      </c>
      <c r="F443" s="5" t="s">
        <v>23</v>
      </c>
      <c r="G443" s="6" t="s">
        <v>494</v>
      </c>
      <c r="H443" s="7">
        <v>44990.0</v>
      </c>
      <c r="I443" s="8">
        <f t="shared" si="1"/>
        <v>5</v>
      </c>
      <c r="J443" s="9">
        <f t="shared" si="2"/>
        <v>3</v>
      </c>
      <c r="K443" s="9">
        <f t="shared" si="3"/>
        <v>2023</v>
      </c>
      <c r="M443" s="25">
        <f>IFERROR(__xludf.DUMMYFUNCTION("""COMPUTED_VALUE"""),44990.0)</f>
        <v>44990</v>
      </c>
    </row>
    <row r="444">
      <c r="A444" s="10" t="s">
        <v>429</v>
      </c>
      <c r="B444" s="3" t="s">
        <v>430</v>
      </c>
      <c r="C444" s="10" t="s">
        <v>490</v>
      </c>
      <c r="D444" s="3" t="s">
        <v>491</v>
      </c>
      <c r="E444" s="4" t="s">
        <v>8</v>
      </c>
      <c r="F444" s="5" t="s">
        <v>28</v>
      </c>
      <c r="G444" s="6" t="s">
        <v>495</v>
      </c>
      <c r="H444" s="7">
        <v>45026.0</v>
      </c>
      <c r="I444" s="8">
        <f t="shared" si="1"/>
        <v>10</v>
      </c>
      <c r="J444" s="9">
        <f t="shared" si="2"/>
        <v>4</v>
      </c>
      <c r="K444" s="9">
        <f t="shared" si="3"/>
        <v>2023</v>
      </c>
      <c r="M444" s="25">
        <f>IFERROR(__xludf.DUMMYFUNCTION("""COMPUTED_VALUE"""),45026.0)</f>
        <v>45026</v>
      </c>
    </row>
    <row r="445">
      <c r="A445" s="10" t="s">
        <v>429</v>
      </c>
      <c r="B445" s="3" t="s">
        <v>430</v>
      </c>
      <c r="C445" s="10" t="s">
        <v>490</v>
      </c>
      <c r="D445" s="3" t="s">
        <v>491</v>
      </c>
      <c r="E445" s="4" t="s">
        <v>8</v>
      </c>
      <c r="F445" s="5" t="s">
        <v>13</v>
      </c>
      <c r="G445" s="6" t="s">
        <v>496</v>
      </c>
      <c r="H445" s="7">
        <v>45066.0</v>
      </c>
      <c r="I445" s="8">
        <f t="shared" si="1"/>
        <v>20</v>
      </c>
      <c r="J445" s="9">
        <f t="shared" si="2"/>
        <v>5</v>
      </c>
      <c r="K445" s="9">
        <f t="shared" si="3"/>
        <v>2023</v>
      </c>
      <c r="M445" s="25">
        <f>IFERROR(__xludf.DUMMYFUNCTION("""COMPUTED_VALUE"""),45066.0)</f>
        <v>45066</v>
      </c>
    </row>
    <row r="446">
      <c r="A446" s="10" t="s">
        <v>429</v>
      </c>
      <c r="B446" s="3" t="s">
        <v>430</v>
      </c>
      <c r="C446" s="10" t="s">
        <v>490</v>
      </c>
      <c r="D446" s="3" t="s">
        <v>491</v>
      </c>
      <c r="E446" s="4" t="s">
        <v>3</v>
      </c>
      <c r="F446" s="5" t="s">
        <v>120</v>
      </c>
      <c r="G446" s="6" t="s">
        <v>497</v>
      </c>
      <c r="H446" s="7">
        <v>45067.0</v>
      </c>
      <c r="I446" s="8">
        <f t="shared" si="1"/>
        <v>21</v>
      </c>
      <c r="J446" s="9">
        <f t="shared" si="2"/>
        <v>5</v>
      </c>
      <c r="K446" s="9">
        <f t="shared" si="3"/>
        <v>2023</v>
      </c>
      <c r="M446" s="25">
        <f>IFERROR(__xludf.DUMMYFUNCTION("""COMPUTED_VALUE"""),45067.0)</f>
        <v>45067</v>
      </c>
    </row>
    <row r="447">
      <c r="A447" s="10" t="s">
        <v>429</v>
      </c>
      <c r="B447" s="3" t="s">
        <v>430</v>
      </c>
      <c r="C447" s="10" t="s">
        <v>490</v>
      </c>
      <c r="D447" s="3" t="s">
        <v>491</v>
      </c>
      <c r="E447" s="4" t="s">
        <v>3</v>
      </c>
      <c r="F447" s="5" t="s">
        <v>23</v>
      </c>
      <c r="G447" s="6" t="s">
        <v>498</v>
      </c>
      <c r="H447" s="7">
        <v>45078.0</v>
      </c>
      <c r="I447" s="8">
        <f t="shared" si="1"/>
        <v>1</v>
      </c>
      <c r="J447" s="9">
        <f t="shared" si="2"/>
        <v>6</v>
      </c>
      <c r="K447" s="9">
        <f t="shared" si="3"/>
        <v>2023</v>
      </c>
      <c r="M447" s="25">
        <f>IFERROR(__xludf.DUMMYFUNCTION("""COMPUTED_VALUE"""),45078.0)</f>
        <v>45078</v>
      </c>
    </row>
    <row r="448">
      <c r="A448" s="10" t="s">
        <v>429</v>
      </c>
      <c r="B448" s="3" t="s">
        <v>430</v>
      </c>
      <c r="C448" s="10" t="s">
        <v>490</v>
      </c>
      <c r="D448" s="3" t="s">
        <v>491</v>
      </c>
      <c r="E448" s="4" t="s">
        <v>3</v>
      </c>
      <c r="F448" s="5" t="s">
        <v>15</v>
      </c>
      <c r="G448" s="6" t="s">
        <v>499</v>
      </c>
      <c r="H448" s="7">
        <v>45085.0</v>
      </c>
      <c r="I448" s="8">
        <f t="shared" si="1"/>
        <v>8</v>
      </c>
      <c r="J448" s="9">
        <f t="shared" si="2"/>
        <v>6</v>
      </c>
      <c r="K448" s="9">
        <f t="shared" si="3"/>
        <v>2023</v>
      </c>
      <c r="M448" s="25">
        <f>IFERROR(__xludf.DUMMYFUNCTION("""COMPUTED_VALUE"""),45085.0)</f>
        <v>45085</v>
      </c>
    </row>
    <row r="449">
      <c r="A449" s="10" t="s">
        <v>429</v>
      </c>
      <c r="B449" s="3" t="s">
        <v>430</v>
      </c>
      <c r="C449" s="10" t="s">
        <v>490</v>
      </c>
      <c r="D449" s="3" t="s">
        <v>491</v>
      </c>
      <c r="E449" s="4" t="s">
        <v>8</v>
      </c>
      <c r="F449" s="5" t="s">
        <v>51</v>
      </c>
      <c r="G449" s="6" t="s">
        <v>500</v>
      </c>
      <c r="H449" s="7">
        <v>45094.0</v>
      </c>
      <c r="I449" s="8">
        <f t="shared" si="1"/>
        <v>17</v>
      </c>
      <c r="J449" s="9">
        <f t="shared" si="2"/>
        <v>6</v>
      </c>
      <c r="K449" s="9">
        <f t="shared" si="3"/>
        <v>2023</v>
      </c>
      <c r="M449" s="25">
        <f>IFERROR(__xludf.DUMMYFUNCTION("""COMPUTED_VALUE"""),45094.0)</f>
        <v>45094</v>
      </c>
    </row>
    <row r="450">
      <c r="A450" s="10" t="s">
        <v>429</v>
      </c>
      <c r="B450" s="3" t="s">
        <v>430</v>
      </c>
      <c r="C450" s="10" t="s">
        <v>490</v>
      </c>
      <c r="D450" s="3" t="s">
        <v>491</v>
      </c>
      <c r="E450" s="4" t="s">
        <v>3</v>
      </c>
      <c r="F450" s="5" t="s">
        <v>96</v>
      </c>
      <c r="G450" s="6" t="s">
        <v>501</v>
      </c>
      <c r="H450" s="7">
        <v>45125.0</v>
      </c>
      <c r="I450" s="8">
        <f t="shared" si="1"/>
        <v>18</v>
      </c>
      <c r="J450" s="9">
        <f t="shared" si="2"/>
        <v>7</v>
      </c>
      <c r="K450" s="9">
        <f t="shared" si="3"/>
        <v>2023</v>
      </c>
      <c r="M450" s="25">
        <f>IFERROR(__xludf.DUMMYFUNCTION("""COMPUTED_VALUE"""),45125.0)</f>
        <v>45125</v>
      </c>
    </row>
    <row r="451">
      <c r="A451" s="10" t="s">
        <v>429</v>
      </c>
      <c r="B451" s="3" t="s">
        <v>430</v>
      </c>
      <c r="C451" s="10" t="s">
        <v>490</v>
      </c>
      <c r="D451" s="3" t="s">
        <v>491</v>
      </c>
      <c r="E451" s="4" t="s">
        <v>3</v>
      </c>
      <c r="F451" s="5" t="s">
        <v>23</v>
      </c>
      <c r="G451" s="6" t="s">
        <v>502</v>
      </c>
      <c r="H451" s="7">
        <v>45156.0</v>
      </c>
      <c r="I451" s="8">
        <f t="shared" si="1"/>
        <v>18</v>
      </c>
      <c r="J451" s="9">
        <f t="shared" si="2"/>
        <v>8</v>
      </c>
      <c r="K451" s="9">
        <f t="shared" si="3"/>
        <v>2023</v>
      </c>
      <c r="M451" s="25">
        <f>IFERROR(__xludf.DUMMYFUNCTION("""COMPUTED_VALUE"""),45156.0)</f>
        <v>45156</v>
      </c>
    </row>
    <row r="452">
      <c r="A452" s="10" t="s">
        <v>429</v>
      </c>
      <c r="B452" s="3" t="s">
        <v>430</v>
      </c>
      <c r="C452" s="10" t="s">
        <v>490</v>
      </c>
      <c r="D452" s="3" t="s">
        <v>491</v>
      </c>
      <c r="E452" s="4" t="s">
        <v>3</v>
      </c>
      <c r="F452" s="5" t="s">
        <v>120</v>
      </c>
      <c r="G452" s="6" t="s">
        <v>503</v>
      </c>
      <c r="H452" s="7">
        <v>45157.0</v>
      </c>
      <c r="I452" s="8">
        <f t="shared" si="1"/>
        <v>19</v>
      </c>
      <c r="J452" s="9">
        <f t="shared" si="2"/>
        <v>8</v>
      </c>
      <c r="K452" s="9">
        <f t="shared" si="3"/>
        <v>2023</v>
      </c>
      <c r="M452" s="25">
        <f>IFERROR(__xludf.DUMMYFUNCTION("""COMPUTED_VALUE"""),45157.0)</f>
        <v>45157</v>
      </c>
    </row>
    <row r="453">
      <c r="A453" s="10" t="s">
        <v>429</v>
      </c>
      <c r="B453" s="3" t="s">
        <v>430</v>
      </c>
      <c r="C453" s="10" t="s">
        <v>490</v>
      </c>
      <c r="D453" s="3" t="s">
        <v>491</v>
      </c>
      <c r="E453" s="4" t="s">
        <v>3</v>
      </c>
      <c r="F453" s="5" t="s">
        <v>42</v>
      </c>
      <c r="G453" s="6" t="s">
        <v>504</v>
      </c>
      <c r="H453" s="7">
        <v>45159.0</v>
      </c>
      <c r="I453" s="8">
        <f t="shared" si="1"/>
        <v>21</v>
      </c>
      <c r="J453" s="9">
        <f t="shared" si="2"/>
        <v>8</v>
      </c>
      <c r="K453" s="9">
        <f t="shared" si="3"/>
        <v>2023</v>
      </c>
      <c r="M453" s="25">
        <f>IFERROR(__xludf.DUMMYFUNCTION("""COMPUTED_VALUE"""),45159.0)</f>
        <v>45159</v>
      </c>
    </row>
    <row r="454">
      <c r="A454" s="10" t="s">
        <v>429</v>
      </c>
      <c r="B454" s="3" t="s">
        <v>430</v>
      </c>
      <c r="C454" s="10" t="s">
        <v>490</v>
      </c>
      <c r="D454" s="3" t="s">
        <v>491</v>
      </c>
      <c r="E454" s="4" t="s">
        <v>3</v>
      </c>
      <c r="F454" s="5" t="s">
        <v>9</v>
      </c>
      <c r="G454" s="6" t="s">
        <v>505</v>
      </c>
      <c r="H454" s="7">
        <v>45185.0</v>
      </c>
      <c r="I454" s="8">
        <f t="shared" si="1"/>
        <v>16</v>
      </c>
      <c r="J454" s="9">
        <f t="shared" si="2"/>
        <v>9</v>
      </c>
      <c r="K454" s="9">
        <f t="shared" si="3"/>
        <v>2023</v>
      </c>
      <c r="M454" s="25">
        <f>IFERROR(__xludf.DUMMYFUNCTION("""COMPUTED_VALUE"""),45185.0)</f>
        <v>45185</v>
      </c>
    </row>
    <row r="455">
      <c r="A455" s="10" t="s">
        <v>429</v>
      </c>
      <c r="B455" s="3" t="s">
        <v>430</v>
      </c>
      <c r="C455" s="10" t="s">
        <v>490</v>
      </c>
      <c r="D455" s="3" t="s">
        <v>491</v>
      </c>
      <c r="E455" s="4" t="s">
        <v>3</v>
      </c>
      <c r="F455" s="5" t="s">
        <v>42</v>
      </c>
      <c r="G455" s="6" t="s">
        <v>107</v>
      </c>
      <c r="H455" s="7">
        <v>45186.0</v>
      </c>
      <c r="I455" s="8">
        <f t="shared" si="1"/>
        <v>17</v>
      </c>
      <c r="J455" s="9">
        <f t="shared" si="2"/>
        <v>9</v>
      </c>
      <c r="K455" s="9">
        <f t="shared" si="3"/>
        <v>2023</v>
      </c>
      <c r="M455" s="25">
        <f>IFERROR(__xludf.DUMMYFUNCTION("""COMPUTED_VALUE"""),45186.0)</f>
        <v>45186</v>
      </c>
    </row>
    <row r="456">
      <c r="A456" s="10" t="s">
        <v>429</v>
      </c>
      <c r="B456" s="3" t="s">
        <v>430</v>
      </c>
      <c r="C456" s="10" t="s">
        <v>490</v>
      </c>
      <c r="D456" s="3" t="s">
        <v>491</v>
      </c>
      <c r="E456" s="4" t="s">
        <v>3</v>
      </c>
      <c r="F456" s="5" t="s">
        <v>51</v>
      </c>
      <c r="G456" s="6" t="s">
        <v>506</v>
      </c>
      <c r="H456" s="7">
        <v>45219.0</v>
      </c>
      <c r="I456" s="8">
        <f t="shared" si="1"/>
        <v>20</v>
      </c>
      <c r="J456" s="9">
        <f t="shared" si="2"/>
        <v>10</v>
      </c>
      <c r="K456" s="9">
        <f t="shared" si="3"/>
        <v>2023</v>
      </c>
      <c r="M456" s="25">
        <f>IFERROR(__xludf.DUMMYFUNCTION("""COMPUTED_VALUE"""),45219.0)</f>
        <v>45219</v>
      </c>
    </row>
    <row r="457">
      <c r="A457" s="10" t="s">
        <v>429</v>
      </c>
      <c r="B457" s="3" t="s">
        <v>430</v>
      </c>
      <c r="C457" s="10" t="s">
        <v>490</v>
      </c>
      <c r="D457" s="3" t="s">
        <v>491</v>
      </c>
      <c r="E457" s="4" t="s">
        <v>8</v>
      </c>
      <c r="F457" s="5" t="s">
        <v>9</v>
      </c>
      <c r="G457" s="6" t="s">
        <v>507</v>
      </c>
      <c r="H457" s="7">
        <v>45235.0</v>
      </c>
      <c r="I457" s="8">
        <f t="shared" si="1"/>
        <v>5</v>
      </c>
      <c r="J457" s="9">
        <f t="shared" si="2"/>
        <v>11</v>
      </c>
      <c r="K457" s="9">
        <f t="shared" si="3"/>
        <v>2023</v>
      </c>
      <c r="M457" s="25">
        <f>IFERROR(__xludf.DUMMYFUNCTION("""COMPUTED_VALUE"""),45235.0)</f>
        <v>45235</v>
      </c>
    </row>
    <row r="458">
      <c r="A458" s="10" t="s">
        <v>429</v>
      </c>
      <c r="B458" s="3" t="s">
        <v>430</v>
      </c>
      <c r="C458" s="10" t="s">
        <v>490</v>
      </c>
      <c r="D458" s="3" t="s">
        <v>491</v>
      </c>
      <c r="E458" s="4" t="s">
        <v>3</v>
      </c>
      <c r="F458" s="5" t="s">
        <v>13</v>
      </c>
      <c r="G458" s="6" t="s">
        <v>508</v>
      </c>
      <c r="H458" s="7">
        <v>45271.0</v>
      </c>
      <c r="I458" s="8">
        <f t="shared" si="1"/>
        <v>11</v>
      </c>
      <c r="J458" s="9">
        <f t="shared" si="2"/>
        <v>12</v>
      </c>
      <c r="K458" s="9">
        <f t="shared" si="3"/>
        <v>2023</v>
      </c>
      <c r="M458" s="25">
        <f>IFERROR(__xludf.DUMMYFUNCTION("""COMPUTED_VALUE"""),45271.0)</f>
        <v>45271</v>
      </c>
    </row>
    <row r="459">
      <c r="A459" s="10" t="s">
        <v>429</v>
      </c>
      <c r="B459" s="3" t="s">
        <v>430</v>
      </c>
      <c r="C459" s="10" t="s">
        <v>490</v>
      </c>
      <c r="D459" s="3" t="s">
        <v>491</v>
      </c>
      <c r="E459" s="4" t="s">
        <v>3</v>
      </c>
      <c r="F459" s="5" t="s">
        <v>21</v>
      </c>
      <c r="G459" s="6" t="s">
        <v>509</v>
      </c>
      <c r="H459" s="7">
        <v>45272.0</v>
      </c>
      <c r="I459" s="8">
        <f t="shared" si="1"/>
        <v>12</v>
      </c>
      <c r="J459" s="9">
        <f t="shared" si="2"/>
        <v>12</v>
      </c>
      <c r="K459" s="9">
        <f t="shared" si="3"/>
        <v>2023</v>
      </c>
      <c r="M459" s="25">
        <f>IFERROR(__xludf.DUMMYFUNCTION("""COMPUTED_VALUE"""),45272.0)</f>
        <v>45272</v>
      </c>
    </row>
    <row r="460">
      <c r="A460" s="10" t="s">
        <v>429</v>
      </c>
      <c r="B460" s="3" t="s">
        <v>430</v>
      </c>
      <c r="C460" s="10" t="s">
        <v>490</v>
      </c>
      <c r="D460" s="3" t="s">
        <v>491</v>
      </c>
      <c r="E460" s="4" t="s">
        <v>8</v>
      </c>
      <c r="F460" s="5" t="s">
        <v>35</v>
      </c>
      <c r="G460" s="6" t="s">
        <v>510</v>
      </c>
      <c r="H460" s="7">
        <v>45279.0</v>
      </c>
      <c r="I460" s="8">
        <f t="shared" si="1"/>
        <v>19</v>
      </c>
      <c r="J460" s="9">
        <f t="shared" si="2"/>
        <v>12</v>
      </c>
      <c r="K460" s="9">
        <f t="shared" si="3"/>
        <v>2023</v>
      </c>
      <c r="M460" s="25">
        <f>IFERROR(__xludf.DUMMYFUNCTION("""COMPUTED_VALUE"""),45279.0)</f>
        <v>45279</v>
      </c>
    </row>
    <row r="461">
      <c r="A461" s="10" t="s">
        <v>450</v>
      </c>
      <c r="B461" s="3" t="s">
        <v>451</v>
      </c>
      <c r="C461" s="10" t="s">
        <v>511</v>
      </c>
      <c r="D461" s="3" t="s">
        <v>512</v>
      </c>
      <c r="E461" s="4" t="s">
        <v>3</v>
      </c>
      <c r="F461" s="5" t="s">
        <v>35</v>
      </c>
      <c r="G461" s="6" t="s">
        <v>513</v>
      </c>
      <c r="H461" s="7">
        <v>44938.0</v>
      </c>
      <c r="I461" s="8">
        <f t="shared" si="1"/>
        <v>12</v>
      </c>
      <c r="J461" s="9">
        <f t="shared" si="2"/>
        <v>1</v>
      </c>
      <c r="K461" s="9">
        <f t="shared" si="3"/>
        <v>2023</v>
      </c>
      <c r="M461" s="25">
        <f>IFERROR(__xludf.DUMMYFUNCTION("""COMPUTED_VALUE"""),44938.0)</f>
        <v>44938</v>
      </c>
    </row>
    <row r="462">
      <c r="A462" s="10" t="s">
        <v>450</v>
      </c>
      <c r="B462" s="3" t="s">
        <v>451</v>
      </c>
      <c r="C462" s="10" t="s">
        <v>511</v>
      </c>
      <c r="D462" s="3" t="s">
        <v>512</v>
      </c>
      <c r="E462" s="4" t="s">
        <v>8</v>
      </c>
      <c r="F462" s="5" t="s">
        <v>17</v>
      </c>
      <c r="G462" s="6" t="s">
        <v>514</v>
      </c>
      <c r="H462" s="7">
        <v>44948.0</v>
      </c>
      <c r="I462" s="8">
        <f t="shared" si="1"/>
        <v>22</v>
      </c>
      <c r="J462" s="9">
        <f t="shared" si="2"/>
        <v>1</v>
      </c>
      <c r="K462" s="9">
        <f t="shared" si="3"/>
        <v>2023</v>
      </c>
      <c r="M462" s="25">
        <f>IFERROR(__xludf.DUMMYFUNCTION("""COMPUTED_VALUE"""),44948.0)</f>
        <v>44948</v>
      </c>
    </row>
    <row r="463">
      <c r="A463" s="10" t="s">
        <v>450</v>
      </c>
      <c r="B463" s="3" t="s">
        <v>451</v>
      </c>
      <c r="C463" s="10" t="s">
        <v>511</v>
      </c>
      <c r="D463" s="3" t="s">
        <v>512</v>
      </c>
      <c r="E463" s="4" t="s">
        <v>3</v>
      </c>
      <c r="F463" s="5" t="s">
        <v>71</v>
      </c>
      <c r="G463" s="6" t="s">
        <v>515</v>
      </c>
      <c r="H463" s="7">
        <v>44971.0</v>
      </c>
      <c r="I463" s="8">
        <f t="shared" si="1"/>
        <v>14</v>
      </c>
      <c r="J463" s="9">
        <f t="shared" si="2"/>
        <v>2</v>
      </c>
      <c r="K463" s="9">
        <f t="shared" si="3"/>
        <v>2023</v>
      </c>
      <c r="M463" s="25">
        <f>IFERROR(__xludf.DUMMYFUNCTION("""COMPUTED_VALUE"""),44971.0)</f>
        <v>44971</v>
      </c>
    </row>
    <row r="464">
      <c r="A464" s="10" t="s">
        <v>450</v>
      </c>
      <c r="B464" s="3" t="s">
        <v>451</v>
      </c>
      <c r="C464" s="10" t="s">
        <v>511</v>
      </c>
      <c r="D464" s="3" t="s">
        <v>512</v>
      </c>
      <c r="E464" s="4" t="s">
        <v>8</v>
      </c>
      <c r="F464" s="5" t="s">
        <v>21</v>
      </c>
      <c r="G464" s="6" t="s">
        <v>516</v>
      </c>
      <c r="H464" s="7">
        <v>44975.0</v>
      </c>
      <c r="I464" s="8">
        <f t="shared" si="1"/>
        <v>18</v>
      </c>
      <c r="J464" s="9">
        <f t="shared" si="2"/>
        <v>2</v>
      </c>
      <c r="K464" s="9">
        <f t="shared" si="3"/>
        <v>2023</v>
      </c>
      <c r="M464" s="25">
        <f>IFERROR(__xludf.DUMMYFUNCTION("""COMPUTED_VALUE"""),44975.0)</f>
        <v>44975</v>
      </c>
    </row>
    <row r="465">
      <c r="A465" s="10" t="s">
        <v>450</v>
      </c>
      <c r="B465" s="3" t="s">
        <v>451</v>
      </c>
      <c r="C465" s="10" t="s">
        <v>511</v>
      </c>
      <c r="D465" s="3" t="s">
        <v>512</v>
      </c>
      <c r="E465" s="4" t="s">
        <v>8</v>
      </c>
      <c r="F465" s="5" t="s">
        <v>35</v>
      </c>
      <c r="G465" s="6" t="s">
        <v>517</v>
      </c>
      <c r="H465" s="7">
        <v>44988.0</v>
      </c>
      <c r="I465" s="8">
        <f t="shared" si="1"/>
        <v>3</v>
      </c>
      <c r="J465" s="9">
        <f t="shared" si="2"/>
        <v>3</v>
      </c>
      <c r="K465" s="9">
        <f t="shared" si="3"/>
        <v>2023</v>
      </c>
      <c r="M465" s="25">
        <f>IFERROR(__xludf.DUMMYFUNCTION("""COMPUTED_VALUE"""),44988.0)</f>
        <v>44988</v>
      </c>
    </row>
    <row r="466">
      <c r="A466" s="10" t="s">
        <v>450</v>
      </c>
      <c r="B466" s="3" t="s">
        <v>451</v>
      </c>
      <c r="C466" s="10" t="s">
        <v>511</v>
      </c>
      <c r="D466" s="3" t="s">
        <v>512</v>
      </c>
      <c r="E466" s="4" t="s">
        <v>8</v>
      </c>
      <c r="F466" s="5" t="s">
        <v>11</v>
      </c>
      <c r="G466" s="6" t="s">
        <v>518</v>
      </c>
      <c r="H466" s="7">
        <v>44992.0</v>
      </c>
      <c r="I466" s="8">
        <f t="shared" si="1"/>
        <v>7</v>
      </c>
      <c r="J466" s="9">
        <f t="shared" si="2"/>
        <v>3</v>
      </c>
      <c r="K466" s="9">
        <f t="shared" si="3"/>
        <v>2023</v>
      </c>
      <c r="M466" s="25">
        <f>IFERROR(__xludf.DUMMYFUNCTION("""COMPUTED_VALUE"""),44992.0)</f>
        <v>44992</v>
      </c>
    </row>
    <row r="467">
      <c r="A467" s="10" t="s">
        <v>450</v>
      </c>
      <c r="B467" s="3" t="s">
        <v>451</v>
      </c>
      <c r="C467" s="10" t="s">
        <v>511</v>
      </c>
      <c r="D467" s="3" t="s">
        <v>512</v>
      </c>
      <c r="E467" s="4" t="s">
        <v>8</v>
      </c>
      <c r="F467" s="5" t="s">
        <v>28</v>
      </c>
      <c r="G467" s="6" t="s">
        <v>519</v>
      </c>
      <c r="H467" s="7">
        <v>45023.0</v>
      </c>
      <c r="I467" s="8">
        <f t="shared" si="1"/>
        <v>7</v>
      </c>
      <c r="J467" s="9">
        <f t="shared" si="2"/>
        <v>4</v>
      </c>
      <c r="K467" s="9">
        <f t="shared" si="3"/>
        <v>2023</v>
      </c>
      <c r="M467" s="25">
        <f>IFERROR(__xludf.DUMMYFUNCTION("""COMPUTED_VALUE"""),45023.0)</f>
        <v>45023</v>
      </c>
    </row>
    <row r="468">
      <c r="A468" s="10" t="s">
        <v>450</v>
      </c>
      <c r="B468" s="3" t="s">
        <v>451</v>
      </c>
      <c r="C468" s="10" t="s">
        <v>511</v>
      </c>
      <c r="D468" s="3" t="s">
        <v>512</v>
      </c>
      <c r="E468" s="4" t="s">
        <v>8</v>
      </c>
      <c r="F468" s="5" t="s">
        <v>23</v>
      </c>
      <c r="G468" s="6" t="s">
        <v>520</v>
      </c>
      <c r="H468" s="7">
        <v>45091.0</v>
      </c>
      <c r="I468" s="8">
        <f t="shared" si="1"/>
        <v>14</v>
      </c>
      <c r="J468" s="9">
        <f t="shared" si="2"/>
        <v>6</v>
      </c>
      <c r="K468" s="9">
        <f t="shared" si="3"/>
        <v>2023</v>
      </c>
      <c r="M468" s="25">
        <f>IFERROR(__xludf.DUMMYFUNCTION("""COMPUTED_VALUE"""),45091.0)</f>
        <v>45091</v>
      </c>
    </row>
    <row r="469">
      <c r="A469" s="10" t="s">
        <v>450</v>
      </c>
      <c r="B469" s="3" t="s">
        <v>451</v>
      </c>
      <c r="C469" s="10" t="s">
        <v>511</v>
      </c>
      <c r="D469" s="3" t="s">
        <v>512</v>
      </c>
      <c r="E469" s="4" t="s">
        <v>3</v>
      </c>
      <c r="F469" s="5" t="s">
        <v>42</v>
      </c>
      <c r="G469" s="6" t="s">
        <v>521</v>
      </c>
      <c r="H469" s="7">
        <v>45105.0</v>
      </c>
      <c r="I469" s="8">
        <f t="shared" si="1"/>
        <v>28</v>
      </c>
      <c r="J469" s="9">
        <f t="shared" si="2"/>
        <v>6</v>
      </c>
      <c r="K469" s="9">
        <f t="shared" si="3"/>
        <v>2023</v>
      </c>
      <c r="M469" s="25">
        <f>IFERROR(__xludf.DUMMYFUNCTION("""COMPUTED_VALUE"""),45105.0)</f>
        <v>45105</v>
      </c>
    </row>
    <row r="470">
      <c r="A470" s="10" t="s">
        <v>450</v>
      </c>
      <c r="B470" s="3" t="s">
        <v>451</v>
      </c>
      <c r="C470" s="10" t="s">
        <v>511</v>
      </c>
      <c r="D470" s="3" t="s">
        <v>512</v>
      </c>
      <c r="E470" s="4" t="s">
        <v>8</v>
      </c>
      <c r="F470" s="5" t="s">
        <v>19</v>
      </c>
      <c r="G470" s="6" t="s">
        <v>522</v>
      </c>
      <c r="H470" s="7">
        <v>45125.0</v>
      </c>
      <c r="I470" s="8">
        <f t="shared" si="1"/>
        <v>18</v>
      </c>
      <c r="J470" s="9">
        <f t="shared" si="2"/>
        <v>7</v>
      </c>
      <c r="K470" s="9">
        <f t="shared" si="3"/>
        <v>2023</v>
      </c>
      <c r="M470" s="25">
        <f>IFERROR(__xludf.DUMMYFUNCTION("""COMPUTED_VALUE"""),45125.0)</f>
        <v>45125</v>
      </c>
    </row>
    <row r="471">
      <c r="A471" s="10" t="s">
        <v>450</v>
      </c>
      <c r="B471" s="3" t="s">
        <v>451</v>
      </c>
      <c r="C471" s="10" t="s">
        <v>511</v>
      </c>
      <c r="D471" s="3" t="s">
        <v>512</v>
      </c>
      <c r="E471" s="4" t="s">
        <v>8</v>
      </c>
      <c r="F471" s="5" t="s">
        <v>23</v>
      </c>
      <c r="G471" s="6" t="s">
        <v>523</v>
      </c>
      <c r="H471" s="7">
        <v>45140.0</v>
      </c>
      <c r="I471" s="8">
        <f t="shared" si="1"/>
        <v>2</v>
      </c>
      <c r="J471" s="9">
        <f t="shared" si="2"/>
        <v>8</v>
      </c>
      <c r="K471" s="9">
        <f t="shared" si="3"/>
        <v>2023</v>
      </c>
      <c r="M471" s="25">
        <f>IFERROR(__xludf.DUMMYFUNCTION("""COMPUTED_VALUE"""),45140.0)</f>
        <v>45140</v>
      </c>
    </row>
    <row r="472">
      <c r="A472" s="10" t="s">
        <v>450</v>
      </c>
      <c r="B472" s="3" t="s">
        <v>451</v>
      </c>
      <c r="C472" s="10" t="s">
        <v>511</v>
      </c>
      <c r="D472" s="3" t="s">
        <v>512</v>
      </c>
      <c r="E472" s="4" t="s">
        <v>3</v>
      </c>
      <c r="F472" s="5" t="s">
        <v>19</v>
      </c>
      <c r="G472" s="6" t="s">
        <v>524</v>
      </c>
      <c r="H472" s="7">
        <v>45157.0</v>
      </c>
      <c r="I472" s="8">
        <f t="shared" si="1"/>
        <v>19</v>
      </c>
      <c r="J472" s="9">
        <f t="shared" si="2"/>
        <v>8</v>
      </c>
      <c r="K472" s="9">
        <f t="shared" si="3"/>
        <v>2023</v>
      </c>
      <c r="M472" s="25">
        <f>IFERROR(__xludf.DUMMYFUNCTION("""COMPUTED_VALUE"""),45157.0)</f>
        <v>45157</v>
      </c>
    </row>
    <row r="473">
      <c r="A473" s="10" t="s">
        <v>450</v>
      </c>
      <c r="B473" s="3" t="s">
        <v>451</v>
      </c>
      <c r="C473" s="10" t="s">
        <v>511</v>
      </c>
      <c r="D473" s="3" t="s">
        <v>512</v>
      </c>
      <c r="E473" s="4" t="s">
        <v>8</v>
      </c>
      <c r="F473" s="5" t="s">
        <v>11</v>
      </c>
      <c r="G473" s="6" t="s">
        <v>525</v>
      </c>
      <c r="H473" s="7">
        <v>45160.0</v>
      </c>
      <c r="I473" s="8">
        <f t="shared" si="1"/>
        <v>22</v>
      </c>
      <c r="J473" s="9">
        <f t="shared" si="2"/>
        <v>8</v>
      </c>
      <c r="K473" s="9">
        <f t="shared" si="3"/>
        <v>2023</v>
      </c>
      <c r="M473" s="25">
        <f>IFERROR(__xludf.DUMMYFUNCTION("""COMPUTED_VALUE"""),45160.0)</f>
        <v>45160</v>
      </c>
    </row>
    <row r="474">
      <c r="A474" s="10" t="s">
        <v>450</v>
      </c>
      <c r="B474" s="3" t="s">
        <v>451</v>
      </c>
      <c r="C474" s="10" t="s">
        <v>511</v>
      </c>
      <c r="D474" s="3" t="s">
        <v>512</v>
      </c>
      <c r="E474" s="4" t="s">
        <v>8</v>
      </c>
      <c r="F474" s="5" t="s">
        <v>76</v>
      </c>
      <c r="G474" s="6" t="s">
        <v>526</v>
      </c>
      <c r="H474" s="7">
        <v>45164.0</v>
      </c>
      <c r="I474" s="8">
        <f t="shared" si="1"/>
        <v>26</v>
      </c>
      <c r="J474" s="9">
        <f t="shared" si="2"/>
        <v>8</v>
      </c>
      <c r="K474" s="9">
        <f t="shared" si="3"/>
        <v>2023</v>
      </c>
      <c r="M474" s="25">
        <f>IFERROR(__xludf.DUMMYFUNCTION("""COMPUTED_VALUE"""),45164.0)</f>
        <v>45164</v>
      </c>
    </row>
    <row r="475">
      <c r="A475" s="10" t="s">
        <v>450</v>
      </c>
      <c r="B475" s="3" t="s">
        <v>451</v>
      </c>
      <c r="C475" s="10" t="s">
        <v>511</v>
      </c>
      <c r="D475" s="3" t="s">
        <v>512</v>
      </c>
      <c r="E475" s="4" t="s">
        <v>3</v>
      </c>
      <c r="F475" s="5" t="s">
        <v>45</v>
      </c>
      <c r="G475" s="6" t="s">
        <v>527</v>
      </c>
      <c r="H475" s="7">
        <v>45216.0</v>
      </c>
      <c r="I475" s="8">
        <f t="shared" si="1"/>
        <v>17</v>
      </c>
      <c r="J475" s="9">
        <f t="shared" si="2"/>
        <v>10</v>
      </c>
      <c r="K475" s="9">
        <f t="shared" si="3"/>
        <v>2023</v>
      </c>
      <c r="M475" s="25">
        <f>IFERROR(__xludf.DUMMYFUNCTION("""COMPUTED_VALUE"""),45216.0)</f>
        <v>45216</v>
      </c>
    </row>
    <row r="476">
      <c r="A476" s="10" t="s">
        <v>450</v>
      </c>
      <c r="B476" s="3" t="s">
        <v>451</v>
      </c>
      <c r="C476" s="10" t="s">
        <v>511</v>
      </c>
      <c r="D476" s="3" t="s">
        <v>512</v>
      </c>
      <c r="E476" s="4" t="s">
        <v>8</v>
      </c>
      <c r="F476" s="5" t="s">
        <v>45</v>
      </c>
      <c r="G476" s="6" t="s">
        <v>528</v>
      </c>
      <c r="H476" s="7">
        <v>45226.0</v>
      </c>
      <c r="I476" s="8">
        <f t="shared" si="1"/>
        <v>27</v>
      </c>
      <c r="J476" s="9">
        <f t="shared" si="2"/>
        <v>10</v>
      </c>
      <c r="K476" s="9">
        <f t="shared" si="3"/>
        <v>2023</v>
      </c>
      <c r="M476" s="25">
        <f>IFERROR(__xludf.DUMMYFUNCTION("""COMPUTED_VALUE"""),45226.0)</f>
        <v>45226</v>
      </c>
    </row>
    <row r="477">
      <c r="A477" s="10" t="s">
        <v>450</v>
      </c>
      <c r="B477" s="3" t="s">
        <v>451</v>
      </c>
      <c r="C477" s="10" t="s">
        <v>511</v>
      </c>
      <c r="D477" s="3" t="s">
        <v>512</v>
      </c>
      <c r="E477" s="4" t="s">
        <v>3</v>
      </c>
      <c r="F477" s="5" t="s">
        <v>51</v>
      </c>
      <c r="G477" s="6" t="s">
        <v>529</v>
      </c>
      <c r="H477" s="7">
        <v>45257.0</v>
      </c>
      <c r="I477" s="8">
        <f t="shared" si="1"/>
        <v>27</v>
      </c>
      <c r="J477" s="9">
        <f t="shared" si="2"/>
        <v>11</v>
      </c>
      <c r="K477" s="9">
        <f t="shared" si="3"/>
        <v>2023</v>
      </c>
      <c r="M477" s="25">
        <f>IFERROR(__xludf.DUMMYFUNCTION("""COMPUTED_VALUE"""),45257.0)</f>
        <v>45257</v>
      </c>
    </row>
    <row r="478">
      <c r="A478" s="10" t="s">
        <v>450</v>
      </c>
      <c r="B478" s="3" t="s">
        <v>451</v>
      </c>
      <c r="C478" s="10" t="s">
        <v>511</v>
      </c>
      <c r="D478" s="3" t="s">
        <v>512</v>
      </c>
      <c r="E478" s="4" t="s">
        <v>8</v>
      </c>
      <c r="F478" s="5" t="s">
        <v>39</v>
      </c>
      <c r="G478" s="6" t="s">
        <v>530</v>
      </c>
      <c r="H478" s="7">
        <v>45271.0</v>
      </c>
      <c r="I478" s="8">
        <f t="shared" si="1"/>
        <v>11</v>
      </c>
      <c r="J478" s="9">
        <f t="shared" si="2"/>
        <v>12</v>
      </c>
      <c r="K478" s="9">
        <f t="shared" si="3"/>
        <v>2023</v>
      </c>
      <c r="M478" s="25">
        <f>IFERROR(__xludf.DUMMYFUNCTION("""COMPUTED_VALUE"""),45271.0)</f>
        <v>45271</v>
      </c>
    </row>
    <row r="479">
      <c r="A479" s="10" t="s">
        <v>450</v>
      </c>
      <c r="B479" s="3" t="s">
        <v>451</v>
      </c>
      <c r="C479" s="10" t="s">
        <v>511</v>
      </c>
      <c r="D479" s="3" t="s">
        <v>512</v>
      </c>
      <c r="E479" s="4" t="s">
        <v>3</v>
      </c>
      <c r="F479" s="5" t="s">
        <v>21</v>
      </c>
      <c r="G479" s="6" t="s">
        <v>531</v>
      </c>
      <c r="H479" s="7">
        <v>45271.0</v>
      </c>
      <c r="I479" s="8">
        <f t="shared" si="1"/>
        <v>11</v>
      </c>
      <c r="J479" s="9">
        <f t="shared" si="2"/>
        <v>12</v>
      </c>
      <c r="K479" s="9">
        <f t="shared" si="3"/>
        <v>2023</v>
      </c>
      <c r="M479" s="25">
        <f>IFERROR(__xludf.DUMMYFUNCTION("""COMPUTED_VALUE"""),45271.0)</f>
        <v>45271</v>
      </c>
    </row>
    <row r="480">
      <c r="A480" s="10" t="s">
        <v>450</v>
      </c>
      <c r="B480" s="3" t="s">
        <v>451</v>
      </c>
      <c r="C480" s="10" t="s">
        <v>511</v>
      </c>
      <c r="D480" s="3" t="s">
        <v>512</v>
      </c>
      <c r="E480" s="4" t="s">
        <v>3</v>
      </c>
      <c r="F480" s="5" t="s">
        <v>76</v>
      </c>
      <c r="G480" s="6" t="s">
        <v>532</v>
      </c>
      <c r="H480" s="7">
        <v>45277.0</v>
      </c>
      <c r="I480" s="8">
        <f t="shared" si="1"/>
        <v>17</v>
      </c>
      <c r="J480" s="9">
        <f t="shared" si="2"/>
        <v>12</v>
      </c>
      <c r="K480" s="9">
        <f t="shared" si="3"/>
        <v>2023</v>
      </c>
      <c r="M480" s="25">
        <f>IFERROR(__xludf.DUMMYFUNCTION("""COMPUTED_VALUE"""),45277.0)</f>
        <v>45277</v>
      </c>
    </row>
    <row r="481">
      <c r="A481" s="10" t="s">
        <v>470</v>
      </c>
      <c r="B481" s="3" t="s">
        <v>471</v>
      </c>
      <c r="C481" s="10" t="s">
        <v>533</v>
      </c>
      <c r="D481" s="3" t="s">
        <v>534</v>
      </c>
      <c r="E481" s="4" t="s">
        <v>3</v>
      </c>
      <c r="F481" s="5" t="s">
        <v>39</v>
      </c>
      <c r="G481" s="6" t="s">
        <v>535</v>
      </c>
      <c r="H481" s="7">
        <v>44941.0</v>
      </c>
      <c r="I481" s="8">
        <f t="shared" si="1"/>
        <v>15</v>
      </c>
      <c r="J481" s="9">
        <f t="shared" si="2"/>
        <v>1</v>
      </c>
      <c r="K481" s="9">
        <f t="shared" si="3"/>
        <v>2023</v>
      </c>
      <c r="M481" s="25">
        <f>IFERROR(__xludf.DUMMYFUNCTION("""COMPUTED_VALUE"""),44941.0)</f>
        <v>44941</v>
      </c>
    </row>
    <row r="482">
      <c r="A482" s="10" t="s">
        <v>470</v>
      </c>
      <c r="B482" s="3" t="s">
        <v>471</v>
      </c>
      <c r="C482" s="10" t="s">
        <v>533</v>
      </c>
      <c r="D482" s="3" t="s">
        <v>534</v>
      </c>
      <c r="E482" s="4" t="s">
        <v>3</v>
      </c>
      <c r="F482" s="5" t="s">
        <v>39</v>
      </c>
      <c r="G482" s="6" t="s">
        <v>536</v>
      </c>
      <c r="H482" s="7">
        <v>44953.0</v>
      </c>
      <c r="I482" s="8">
        <f t="shared" si="1"/>
        <v>27</v>
      </c>
      <c r="J482" s="9">
        <f t="shared" si="2"/>
        <v>1</v>
      </c>
      <c r="K482" s="9">
        <f t="shared" si="3"/>
        <v>2023</v>
      </c>
      <c r="M482" s="25">
        <f>IFERROR(__xludf.DUMMYFUNCTION("""COMPUTED_VALUE"""),44953.0)</f>
        <v>44953</v>
      </c>
    </row>
    <row r="483">
      <c r="A483" s="10" t="s">
        <v>470</v>
      </c>
      <c r="B483" s="3" t="s">
        <v>471</v>
      </c>
      <c r="C483" s="10" t="s">
        <v>533</v>
      </c>
      <c r="D483" s="3" t="s">
        <v>534</v>
      </c>
      <c r="E483" s="4" t="s">
        <v>3</v>
      </c>
      <c r="F483" s="5" t="s">
        <v>35</v>
      </c>
      <c r="G483" s="6" t="s">
        <v>537</v>
      </c>
      <c r="H483" s="7">
        <v>44953.0</v>
      </c>
      <c r="I483" s="8">
        <f t="shared" si="1"/>
        <v>27</v>
      </c>
      <c r="J483" s="9">
        <f t="shared" si="2"/>
        <v>1</v>
      </c>
      <c r="K483" s="9">
        <f t="shared" si="3"/>
        <v>2023</v>
      </c>
      <c r="M483" s="25">
        <f>IFERROR(__xludf.DUMMYFUNCTION("""COMPUTED_VALUE"""),44953.0)</f>
        <v>44953</v>
      </c>
    </row>
    <row r="484">
      <c r="A484" s="10" t="s">
        <v>470</v>
      </c>
      <c r="B484" s="3" t="s">
        <v>471</v>
      </c>
      <c r="C484" s="10" t="s">
        <v>533</v>
      </c>
      <c r="D484" s="3" t="s">
        <v>534</v>
      </c>
      <c r="E484" s="4" t="s">
        <v>8</v>
      </c>
      <c r="F484" s="5" t="s">
        <v>21</v>
      </c>
      <c r="G484" s="6" t="s">
        <v>538</v>
      </c>
      <c r="H484" s="7">
        <v>44964.0</v>
      </c>
      <c r="I484" s="8">
        <f t="shared" si="1"/>
        <v>7</v>
      </c>
      <c r="J484" s="9">
        <f t="shared" si="2"/>
        <v>2</v>
      </c>
      <c r="K484" s="9">
        <f t="shared" si="3"/>
        <v>2023</v>
      </c>
      <c r="M484" s="25">
        <f>IFERROR(__xludf.DUMMYFUNCTION("""COMPUTED_VALUE"""),44964.0)</f>
        <v>44964</v>
      </c>
    </row>
    <row r="485">
      <c r="A485" s="10" t="s">
        <v>470</v>
      </c>
      <c r="B485" s="3" t="s">
        <v>471</v>
      </c>
      <c r="C485" s="10" t="s">
        <v>533</v>
      </c>
      <c r="D485" s="3" t="s">
        <v>534</v>
      </c>
      <c r="E485" s="4" t="s">
        <v>3</v>
      </c>
      <c r="F485" s="5" t="s">
        <v>21</v>
      </c>
      <c r="G485" s="6" t="s">
        <v>539</v>
      </c>
      <c r="H485" s="7">
        <v>44988.0</v>
      </c>
      <c r="I485" s="8">
        <f t="shared" si="1"/>
        <v>3</v>
      </c>
      <c r="J485" s="9">
        <f t="shared" si="2"/>
        <v>3</v>
      </c>
      <c r="K485" s="9">
        <f t="shared" si="3"/>
        <v>2023</v>
      </c>
      <c r="M485" s="25">
        <f>IFERROR(__xludf.DUMMYFUNCTION("""COMPUTED_VALUE"""),44988.0)</f>
        <v>44988</v>
      </c>
    </row>
    <row r="486">
      <c r="A486" s="10" t="s">
        <v>470</v>
      </c>
      <c r="B486" s="3" t="s">
        <v>471</v>
      </c>
      <c r="C486" s="10" t="s">
        <v>533</v>
      </c>
      <c r="D486" s="3" t="s">
        <v>534</v>
      </c>
      <c r="E486" s="4" t="s">
        <v>3</v>
      </c>
      <c r="F486" s="5" t="s">
        <v>71</v>
      </c>
      <c r="G486" s="6" t="s">
        <v>540</v>
      </c>
      <c r="H486" s="7">
        <v>45021.0</v>
      </c>
      <c r="I486" s="8">
        <f t="shared" si="1"/>
        <v>5</v>
      </c>
      <c r="J486" s="9">
        <f t="shared" si="2"/>
        <v>4</v>
      </c>
      <c r="K486" s="9">
        <f t="shared" si="3"/>
        <v>2023</v>
      </c>
      <c r="M486" s="25">
        <f>IFERROR(__xludf.DUMMYFUNCTION("""COMPUTED_VALUE"""),45021.0)</f>
        <v>45021</v>
      </c>
    </row>
    <row r="487">
      <c r="A487" s="10" t="s">
        <v>470</v>
      </c>
      <c r="B487" s="3" t="s">
        <v>471</v>
      </c>
      <c r="C487" s="10" t="s">
        <v>533</v>
      </c>
      <c r="D487" s="3" t="s">
        <v>534</v>
      </c>
      <c r="E487" s="4" t="s">
        <v>3</v>
      </c>
      <c r="F487" s="5" t="s">
        <v>21</v>
      </c>
      <c r="G487" s="6" t="s">
        <v>541</v>
      </c>
      <c r="H487" s="7">
        <v>45021.0</v>
      </c>
      <c r="I487" s="8">
        <f t="shared" si="1"/>
        <v>5</v>
      </c>
      <c r="J487" s="9">
        <f t="shared" si="2"/>
        <v>4</v>
      </c>
      <c r="K487" s="9">
        <f t="shared" si="3"/>
        <v>2023</v>
      </c>
      <c r="M487" s="25">
        <f>IFERROR(__xludf.DUMMYFUNCTION("""COMPUTED_VALUE"""),45021.0)</f>
        <v>45021</v>
      </c>
    </row>
    <row r="488">
      <c r="A488" s="10" t="s">
        <v>470</v>
      </c>
      <c r="B488" s="3" t="s">
        <v>471</v>
      </c>
      <c r="C488" s="10" t="s">
        <v>533</v>
      </c>
      <c r="D488" s="3" t="s">
        <v>534</v>
      </c>
      <c r="E488" s="4" t="s">
        <v>8</v>
      </c>
      <c r="F488" s="5" t="s">
        <v>71</v>
      </c>
      <c r="G488" s="6" t="s">
        <v>542</v>
      </c>
      <c r="H488" s="7">
        <v>45022.0</v>
      </c>
      <c r="I488" s="8">
        <f t="shared" si="1"/>
        <v>6</v>
      </c>
      <c r="J488" s="9">
        <f t="shared" si="2"/>
        <v>4</v>
      </c>
      <c r="K488" s="9">
        <f t="shared" si="3"/>
        <v>2023</v>
      </c>
      <c r="M488" s="25">
        <f>IFERROR(__xludf.DUMMYFUNCTION("""COMPUTED_VALUE"""),45022.0)</f>
        <v>45022</v>
      </c>
    </row>
    <row r="489">
      <c r="A489" s="10" t="s">
        <v>470</v>
      </c>
      <c r="B489" s="3" t="s">
        <v>471</v>
      </c>
      <c r="C489" s="10" t="s">
        <v>533</v>
      </c>
      <c r="D489" s="3" t="s">
        <v>534</v>
      </c>
      <c r="E489" s="4" t="s">
        <v>3</v>
      </c>
      <c r="F489" s="5" t="s">
        <v>96</v>
      </c>
      <c r="G489" s="6" t="s">
        <v>543</v>
      </c>
      <c r="H489" s="7">
        <v>45044.0</v>
      </c>
      <c r="I489" s="8">
        <f t="shared" si="1"/>
        <v>28</v>
      </c>
      <c r="J489" s="9">
        <f t="shared" si="2"/>
        <v>4</v>
      </c>
      <c r="K489" s="9">
        <f t="shared" si="3"/>
        <v>2023</v>
      </c>
      <c r="M489" s="25">
        <f>IFERROR(__xludf.DUMMYFUNCTION("""COMPUTED_VALUE"""),45044.0)</f>
        <v>45044</v>
      </c>
    </row>
    <row r="490">
      <c r="A490" s="10" t="s">
        <v>470</v>
      </c>
      <c r="B490" s="3" t="s">
        <v>471</v>
      </c>
      <c r="C490" s="10" t="s">
        <v>533</v>
      </c>
      <c r="D490" s="3" t="s">
        <v>534</v>
      </c>
      <c r="E490" s="4" t="s">
        <v>8</v>
      </c>
      <c r="F490" s="5" t="s">
        <v>23</v>
      </c>
      <c r="G490" s="6" t="s">
        <v>544</v>
      </c>
      <c r="H490" s="7">
        <v>45055.0</v>
      </c>
      <c r="I490" s="8">
        <f t="shared" si="1"/>
        <v>9</v>
      </c>
      <c r="J490" s="9">
        <f t="shared" si="2"/>
        <v>5</v>
      </c>
      <c r="K490" s="9">
        <f t="shared" si="3"/>
        <v>2023</v>
      </c>
      <c r="M490" s="25">
        <f>IFERROR(__xludf.DUMMYFUNCTION("""COMPUTED_VALUE"""),45055.0)</f>
        <v>45055</v>
      </c>
    </row>
    <row r="491">
      <c r="A491" s="10" t="s">
        <v>470</v>
      </c>
      <c r="B491" s="3" t="s">
        <v>471</v>
      </c>
      <c r="C491" s="10" t="s">
        <v>533</v>
      </c>
      <c r="D491" s="3" t="s">
        <v>534</v>
      </c>
      <c r="E491" s="4" t="s">
        <v>3</v>
      </c>
      <c r="F491" s="5" t="s">
        <v>71</v>
      </c>
      <c r="G491" s="6" t="s">
        <v>545</v>
      </c>
      <c r="H491" s="7">
        <v>45063.0</v>
      </c>
      <c r="I491" s="8">
        <f t="shared" si="1"/>
        <v>17</v>
      </c>
      <c r="J491" s="9">
        <f t="shared" si="2"/>
        <v>5</v>
      </c>
      <c r="K491" s="9">
        <f t="shared" si="3"/>
        <v>2023</v>
      </c>
      <c r="M491" s="25">
        <f>IFERROR(__xludf.DUMMYFUNCTION("""COMPUTED_VALUE"""),45063.0)</f>
        <v>45063</v>
      </c>
    </row>
    <row r="492">
      <c r="A492" s="10" t="s">
        <v>470</v>
      </c>
      <c r="B492" s="3" t="s">
        <v>471</v>
      </c>
      <c r="C492" s="10" t="s">
        <v>533</v>
      </c>
      <c r="D492" s="3" t="s">
        <v>534</v>
      </c>
      <c r="E492" s="4" t="s">
        <v>3</v>
      </c>
      <c r="F492" s="5" t="s">
        <v>6</v>
      </c>
      <c r="G492" s="6" t="s">
        <v>546</v>
      </c>
      <c r="H492" s="7">
        <v>45084.0</v>
      </c>
      <c r="I492" s="8">
        <f t="shared" si="1"/>
        <v>7</v>
      </c>
      <c r="J492" s="9">
        <f t="shared" si="2"/>
        <v>6</v>
      </c>
      <c r="K492" s="9">
        <f t="shared" si="3"/>
        <v>2023</v>
      </c>
      <c r="M492" s="25">
        <f>IFERROR(__xludf.DUMMYFUNCTION("""COMPUTED_VALUE"""),45084.0)</f>
        <v>45084</v>
      </c>
    </row>
    <row r="493">
      <c r="A493" s="10" t="s">
        <v>470</v>
      </c>
      <c r="B493" s="3" t="s">
        <v>471</v>
      </c>
      <c r="C493" s="10" t="s">
        <v>533</v>
      </c>
      <c r="D493" s="3" t="s">
        <v>534</v>
      </c>
      <c r="E493" s="4" t="s">
        <v>3</v>
      </c>
      <c r="F493" s="5" t="s">
        <v>6</v>
      </c>
      <c r="G493" s="6" t="s">
        <v>547</v>
      </c>
      <c r="H493" s="7">
        <v>45125.0</v>
      </c>
      <c r="I493" s="8">
        <f t="shared" si="1"/>
        <v>18</v>
      </c>
      <c r="J493" s="9">
        <f t="shared" si="2"/>
        <v>7</v>
      </c>
      <c r="K493" s="9">
        <f t="shared" si="3"/>
        <v>2023</v>
      </c>
      <c r="M493" s="25">
        <f>IFERROR(__xludf.DUMMYFUNCTION("""COMPUTED_VALUE"""),45125.0)</f>
        <v>45125</v>
      </c>
    </row>
    <row r="494">
      <c r="A494" s="10" t="s">
        <v>470</v>
      </c>
      <c r="B494" s="3" t="s">
        <v>471</v>
      </c>
      <c r="C494" s="10" t="s">
        <v>533</v>
      </c>
      <c r="D494" s="3" t="s">
        <v>534</v>
      </c>
      <c r="E494" s="4" t="s">
        <v>3</v>
      </c>
      <c r="F494" s="5" t="s">
        <v>15</v>
      </c>
      <c r="G494" s="6" t="s">
        <v>548</v>
      </c>
      <c r="H494" s="7">
        <v>45129.0</v>
      </c>
      <c r="I494" s="8">
        <f t="shared" si="1"/>
        <v>22</v>
      </c>
      <c r="J494" s="9">
        <f t="shared" si="2"/>
        <v>7</v>
      </c>
      <c r="K494" s="9">
        <f t="shared" si="3"/>
        <v>2023</v>
      </c>
      <c r="M494" s="25">
        <f>IFERROR(__xludf.DUMMYFUNCTION("""COMPUTED_VALUE"""),45129.0)</f>
        <v>45129</v>
      </c>
    </row>
    <row r="495">
      <c r="A495" s="10" t="s">
        <v>470</v>
      </c>
      <c r="B495" s="3" t="s">
        <v>471</v>
      </c>
      <c r="C495" s="10" t="s">
        <v>533</v>
      </c>
      <c r="D495" s="3" t="s">
        <v>534</v>
      </c>
      <c r="E495" s="4" t="s">
        <v>3</v>
      </c>
      <c r="F495" s="5" t="s">
        <v>35</v>
      </c>
      <c r="G495" s="6" t="s">
        <v>549</v>
      </c>
      <c r="H495" s="7">
        <v>45144.0</v>
      </c>
      <c r="I495" s="8">
        <f t="shared" si="1"/>
        <v>6</v>
      </c>
      <c r="J495" s="9">
        <f t="shared" si="2"/>
        <v>8</v>
      </c>
      <c r="K495" s="9">
        <f t="shared" si="3"/>
        <v>2023</v>
      </c>
      <c r="M495" s="25">
        <f>IFERROR(__xludf.DUMMYFUNCTION("""COMPUTED_VALUE"""),45144.0)</f>
        <v>45144</v>
      </c>
    </row>
    <row r="496">
      <c r="A496" s="10" t="s">
        <v>470</v>
      </c>
      <c r="B496" s="3" t="s">
        <v>471</v>
      </c>
      <c r="C496" s="10" t="s">
        <v>533</v>
      </c>
      <c r="D496" s="3" t="s">
        <v>534</v>
      </c>
      <c r="E496" s="4" t="s">
        <v>8</v>
      </c>
      <c r="F496" s="5" t="s">
        <v>35</v>
      </c>
      <c r="G496" s="6" t="s">
        <v>550</v>
      </c>
      <c r="H496" s="7">
        <v>45158.0</v>
      </c>
      <c r="I496" s="8">
        <f t="shared" si="1"/>
        <v>20</v>
      </c>
      <c r="J496" s="9">
        <f t="shared" si="2"/>
        <v>8</v>
      </c>
      <c r="K496" s="9">
        <f t="shared" si="3"/>
        <v>2023</v>
      </c>
      <c r="M496" s="25">
        <f>IFERROR(__xludf.DUMMYFUNCTION("""COMPUTED_VALUE"""),45158.0)</f>
        <v>45158</v>
      </c>
    </row>
    <row r="497">
      <c r="A497" s="10" t="s">
        <v>470</v>
      </c>
      <c r="B497" s="3" t="s">
        <v>471</v>
      </c>
      <c r="C497" s="10" t="s">
        <v>533</v>
      </c>
      <c r="D497" s="3" t="s">
        <v>534</v>
      </c>
      <c r="E497" s="4" t="s">
        <v>3</v>
      </c>
      <c r="F497" s="5" t="s">
        <v>4</v>
      </c>
      <c r="G497" s="6" t="s">
        <v>551</v>
      </c>
      <c r="H497" s="7">
        <v>45218.0</v>
      </c>
      <c r="I497" s="8">
        <f t="shared" si="1"/>
        <v>19</v>
      </c>
      <c r="J497" s="9">
        <f t="shared" si="2"/>
        <v>10</v>
      </c>
      <c r="K497" s="9">
        <f t="shared" si="3"/>
        <v>2023</v>
      </c>
      <c r="M497" s="25">
        <f>IFERROR(__xludf.DUMMYFUNCTION("""COMPUTED_VALUE"""),45218.0)</f>
        <v>45218</v>
      </c>
    </row>
    <row r="498">
      <c r="A498" s="10" t="s">
        <v>470</v>
      </c>
      <c r="B498" s="3" t="s">
        <v>471</v>
      </c>
      <c r="C498" s="10" t="s">
        <v>533</v>
      </c>
      <c r="D498" s="3" t="s">
        <v>534</v>
      </c>
      <c r="E498" s="4" t="s">
        <v>8</v>
      </c>
      <c r="F498" s="5" t="s">
        <v>28</v>
      </c>
      <c r="G498" s="6" t="s">
        <v>552</v>
      </c>
      <c r="H498" s="7">
        <v>45220.0</v>
      </c>
      <c r="I498" s="8">
        <f t="shared" si="1"/>
        <v>21</v>
      </c>
      <c r="J498" s="9">
        <f t="shared" si="2"/>
        <v>10</v>
      </c>
      <c r="K498" s="9">
        <f t="shared" si="3"/>
        <v>2023</v>
      </c>
      <c r="M498" s="25">
        <f>IFERROR(__xludf.DUMMYFUNCTION("""COMPUTED_VALUE"""),45220.0)</f>
        <v>45220</v>
      </c>
    </row>
    <row r="499">
      <c r="A499" s="10" t="s">
        <v>470</v>
      </c>
      <c r="B499" s="3" t="s">
        <v>471</v>
      </c>
      <c r="C499" s="10" t="s">
        <v>533</v>
      </c>
      <c r="D499" s="3" t="s">
        <v>534</v>
      </c>
      <c r="E499" s="4" t="s">
        <v>8</v>
      </c>
      <c r="F499" s="5" t="s">
        <v>45</v>
      </c>
      <c r="G499" s="6" t="s">
        <v>553</v>
      </c>
      <c r="H499" s="7">
        <v>45248.0</v>
      </c>
      <c r="I499" s="8">
        <f t="shared" si="1"/>
        <v>18</v>
      </c>
      <c r="J499" s="9">
        <f t="shared" si="2"/>
        <v>11</v>
      </c>
      <c r="K499" s="9">
        <f t="shared" si="3"/>
        <v>2023</v>
      </c>
      <c r="M499" s="25">
        <f>IFERROR(__xludf.DUMMYFUNCTION("""COMPUTED_VALUE"""),45248.0)</f>
        <v>45248</v>
      </c>
    </row>
    <row r="500">
      <c r="A500" s="10" t="s">
        <v>470</v>
      </c>
      <c r="B500" s="3" t="s">
        <v>471</v>
      </c>
      <c r="C500" s="10" t="s">
        <v>533</v>
      </c>
      <c r="D500" s="3" t="s">
        <v>534</v>
      </c>
      <c r="E500" s="4" t="s">
        <v>8</v>
      </c>
      <c r="F500" s="5" t="s">
        <v>120</v>
      </c>
      <c r="G500" s="6" t="s">
        <v>554</v>
      </c>
      <c r="H500" s="7">
        <v>45252.0</v>
      </c>
      <c r="I500" s="8">
        <f t="shared" si="1"/>
        <v>22</v>
      </c>
      <c r="J500" s="9">
        <f t="shared" si="2"/>
        <v>11</v>
      </c>
      <c r="K500" s="9">
        <f t="shared" si="3"/>
        <v>2023</v>
      </c>
      <c r="M500" s="25">
        <f>IFERROR(__xludf.DUMMYFUNCTION("""COMPUTED_VALUE"""),45252.0)</f>
        <v>45252</v>
      </c>
    </row>
    <row r="501">
      <c r="A501" s="10" t="s">
        <v>490</v>
      </c>
      <c r="B501" s="3" t="s">
        <v>491</v>
      </c>
      <c r="C501" s="10" t="s">
        <v>555</v>
      </c>
      <c r="D501" s="3" t="s">
        <v>556</v>
      </c>
      <c r="E501" s="4" t="s">
        <v>3</v>
      </c>
      <c r="F501" s="5" t="s">
        <v>4</v>
      </c>
      <c r="G501" s="6" t="s">
        <v>557</v>
      </c>
      <c r="H501" s="7">
        <v>44960.0</v>
      </c>
      <c r="I501" s="8">
        <f t="shared" si="1"/>
        <v>3</v>
      </c>
      <c r="J501" s="9">
        <f t="shared" si="2"/>
        <v>2</v>
      </c>
      <c r="K501" s="9">
        <f t="shared" si="3"/>
        <v>2023</v>
      </c>
      <c r="M501" s="25">
        <f>IFERROR(__xludf.DUMMYFUNCTION("""COMPUTED_VALUE"""),44960.0)</f>
        <v>44960</v>
      </c>
    </row>
    <row r="502">
      <c r="A502" s="10" t="s">
        <v>490</v>
      </c>
      <c r="B502" s="3" t="s">
        <v>491</v>
      </c>
      <c r="C502" s="10" t="s">
        <v>555</v>
      </c>
      <c r="D502" s="3" t="s">
        <v>556</v>
      </c>
      <c r="E502" s="4" t="s">
        <v>8</v>
      </c>
      <c r="F502" s="5" t="s">
        <v>6</v>
      </c>
      <c r="G502" s="6" t="s">
        <v>558</v>
      </c>
      <c r="H502" s="7">
        <v>44980.0</v>
      </c>
      <c r="I502" s="8">
        <f t="shared" si="1"/>
        <v>23</v>
      </c>
      <c r="J502" s="9">
        <f t="shared" si="2"/>
        <v>2</v>
      </c>
      <c r="K502" s="9">
        <f t="shared" si="3"/>
        <v>2023</v>
      </c>
      <c r="M502" s="25">
        <f>IFERROR(__xludf.DUMMYFUNCTION("""COMPUTED_VALUE"""),44980.0)</f>
        <v>44980</v>
      </c>
    </row>
    <row r="503">
      <c r="A503" s="10" t="s">
        <v>490</v>
      </c>
      <c r="B503" s="3" t="s">
        <v>491</v>
      </c>
      <c r="C503" s="10" t="s">
        <v>555</v>
      </c>
      <c r="D503" s="3" t="s">
        <v>556</v>
      </c>
      <c r="E503" s="4" t="s">
        <v>8</v>
      </c>
      <c r="F503" s="5" t="s">
        <v>6</v>
      </c>
      <c r="G503" s="6" t="s">
        <v>559</v>
      </c>
      <c r="H503" s="7">
        <v>45007.0</v>
      </c>
      <c r="I503" s="8">
        <f t="shared" si="1"/>
        <v>22</v>
      </c>
      <c r="J503" s="9">
        <f t="shared" si="2"/>
        <v>3</v>
      </c>
      <c r="K503" s="9">
        <f t="shared" si="3"/>
        <v>2023</v>
      </c>
      <c r="M503" s="25">
        <f>IFERROR(__xludf.DUMMYFUNCTION("""COMPUTED_VALUE"""),45007.0)</f>
        <v>45007</v>
      </c>
    </row>
    <row r="504">
      <c r="A504" s="10" t="s">
        <v>490</v>
      </c>
      <c r="B504" s="3" t="s">
        <v>491</v>
      </c>
      <c r="C504" s="10" t="s">
        <v>555</v>
      </c>
      <c r="D504" s="3" t="s">
        <v>556</v>
      </c>
      <c r="E504" s="4" t="s">
        <v>8</v>
      </c>
      <c r="F504" s="5" t="s">
        <v>15</v>
      </c>
      <c r="G504" s="6" t="s">
        <v>560</v>
      </c>
      <c r="H504" s="7">
        <v>45018.0</v>
      </c>
      <c r="I504" s="8">
        <f t="shared" si="1"/>
        <v>2</v>
      </c>
      <c r="J504" s="9">
        <f t="shared" si="2"/>
        <v>4</v>
      </c>
      <c r="K504" s="9">
        <f t="shared" si="3"/>
        <v>2023</v>
      </c>
      <c r="M504" s="25">
        <f>IFERROR(__xludf.DUMMYFUNCTION("""COMPUTED_VALUE"""),45018.0)</f>
        <v>45018</v>
      </c>
    </row>
    <row r="505">
      <c r="A505" s="10" t="s">
        <v>490</v>
      </c>
      <c r="B505" s="3" t="s">
        <v>491</v>
      </c>
      <c r="C505" s="10" t="s">
        <v>555</v>
      </c>
      <c r="D505" s="3" t="s">
        <v>556</v>
      </c>
      <c r="E505" s="4" t="s">
        <v>8</v>
      </c>
      <c r="F505" s="5" t="s">
        <v>39</v>
      </c>
      <c r="G505" s="6" t="s">
        <v>561</v>
      </c>
      <c r="H505" s="7">
        <v>45023.0</v>
      </c>
      <c r="I505" s="8">
        <f t="shared" si="1"/>
        <v>7</v>
      </c>
      <c r="J505" s="9">
        <f t="shared" si="2"/>
        <v>4</v>
      </c>
      <c r="K505" s="9">
        <f t="shared" si="3"/>
        <v>2023</v>
      </c>
      <c r="M505" s="25">
        <f>IFERROR(__xludf.DUMMYFUNCTION("""COMPUTED_VALUE"""),45023.0)</f>
        <v>45023</v>
      </c>
    </row>
    <row r="506">
      <c r="A506" s="10" t="s">
        <v>490</v>
      </c>
      <c r="B506" s="3" t="s">
        <v>491</v>
      </c>
      <c r="C506" s="10" t="s">
        <v>555</v>
      </c>
      <c r="D506" s="3" t="s">
        <v>556</v>
      </c>
      <c r="E506" s="4" t="s">
        <v>3</v>
      </c>
      <c r="F506" s="5" t="s">
        <v>17</v>
      </c>
      <c r="G506" s="6" t="s">
        <v>562</v>
      </c>
      <c r="H506" s="7">
        <v>45054.0</v>
      </c>
      <c r="I506" s="8">
        <f t="shared" si="1"/>
        <v>8</v>
      </c>
      <c r="J506" s="9">
        <f t="shared" si="2"/>
        <v>5</v>
      </c>
      <c r="K506" s="9">
        <f t="shared" si="3"/>
        <v>2023</v>
      </c>
      <c r="M506" s="25">
        <f>IFERROR(__xludf.DUMMYFUNCTION("""COMPUTED_VALUE"""),45054.0)</f>
        <v>45054</v>
      </c>
    </row>
    <row r="507">
      <c r="A507" s="10" t="s">
        <v>490</v>
      </c>
      <c r="B507" s="3" t="s">
        <v>491</v>
      </c>
      <c r="C507" s="10" t="s">
        <v>555</v>
      </c>
      <c r="D507" s="3" t="s">
        <v>556</v>
      </c>
      <c r="E507" s="4" t="s">
        <v>8</v>
      </c>
      <c r="F507" s="5" t="s">
        <v>9</v>
      </c>
      <c r="G507" s="6" t="s">
        <v>548</v>
      </c>
      <c r="H507" s="7">
        <v>45059.0</v>
      </c>
      <c r="I507" s="8">
        <f t="shared" si="1"/>
        <v>13</v>
      </c>
      <c r="J507" s="9">
        <f t="shared" si="2"/>
        <v>5</v>
      </c>
      <c r="K507" s="9">
        <f t="shared" si="3"/>
        <v>2023</v>
      </c>
      <c r="M507" s="25">
        <f>IFERROR(__xludf.DUMMYFUNCTION("""COMPUTED_VALUE"""),45059.0)</f>
        <v>45059</v>
      </c>
    </row>
    <row r="508">
      <c r="A508" s="10" t="s">
        <v>490</v>
      </c>
      <c r="B508" s="3" t="s">
        <v>491</v>
      </c>
      <c r="C508" s="10" t="s">
        <v>555</v>
      </c>
      <c r="D508" s="3" t="s">
        <v>556</v>
      </c>
      <c r="E508" s="4" t="s">
        <v>8</v>
      </c>
      <c r="F508" s="5" t="s">
        <v>23</v>
      </c>
      <c r="G508" s="6" t="s">
        <v>563</v>
      </c>
      <c r="H508" s="7">
        <v>45098.0</v>
      </c>
      <c r="I508" s="8">
        <f t="shared" si="1"/>
        <v>21</v>
      </c>
      <c r="J508" s="9">
        <f t="shared" si="2"/>
        <v>6</v>
      </c>
      <c r="K508" s="9">
        <f t="shared" si="3"/>
        <v>2023</v>
      </c>
      <c r="M508" s="25">
        <f>IFERROR(__xludf.DUMMYFUNCTION("""COMPUTED_VALUE"""),45098.0)</f>
        <v>45098</v>
      </c>
    </row>
    <row r="509">
      <c r="A509" s="10" t="s">
        <v>490</v>
      </c>
      <c r="B509" s="3" t="s">
        <v>491</v>
      </c>
      <c r="C509" s="10" t="s">
        <v>555</v>
      </c>
      <c r="D509" s="3" t="s">
        <v>556</v>
      </c>
      <c r="E509" s="4" t="s">
        <v>3</v>
      </c>
      <c r="F509" s="5" t="s">
        <v>11</v>
      </c>
      <c r="G509" s="6" t="s">
        <v>564</v>
      </c>
      <c r="H509" s="7">
        <v>45113.0</v>
      </c>
      <c r="I509" s="8">
        <f t="shared" si="1"/>
        <v>6</v>
      </c>
      <c r="J509" s="9">
        <f t="shared" si="2"/>
        <v>7</v>
      </c>
      <c r="K509" s="9">
        <f t="shared" si="3"/>
        <v>2023</v>
      </c>
      <c r="M509" s="25">
        <f>IFERROR(__xludf.DUMMYFUNCTION("""COMPUTED_VALUE"""),45113.0)</f>
        <v>45113</v>
      </c>
    </row>
    <row r="510">
      <c r="A510" s="10" t="s">
        <v>490</v>
      </c>
      <c r="B510" s="3" t="s">
        <v>491</v>
      </c>
      <c r="C510" s="10" t="s">
        <v>555</v>
      </c>
      <c r="D510" s="3" t="s">
        <v>556</v>
      </c>
      <c r="E510" s="4" t="s">
        <v>3</v>
      </c>
      <c r="F510" s="5" t="s">
        <v>23</v>
      </c>
      <c r="G510" s="6" t="s">
        <v>565</v>
      </c>
      <c r="H510" s="7">
        <v>45123.0</v>
      </c>
      <c r="I510" s="8">
        <f t="shared" si="1"/>
        <v>16</v>
      </c>
      <c r="J510" s="9">
        <f t="shared" si="2"/>
        <v>7</v>
      </c>
      <c r="K510" s="9">
        <f t="shared" si="3"/>
        <v>2023</v>
      </c>
      <c r="M510" s="25">
        <f>IFERROR(__xludf.DUMMYFUNCTION("""COMPUTED_VALUE"""),45123.0)</f>
        <v>45123</v>
      </c>
    </row>
    <row r="511">
      <c r="A511" s="10" t="s">
        <v>490</v>
      </c>
      <c r="B511" s="3" t="s">
        <v>491</v>
      </c>
      <c r="C511" s="10" t="s">
        <v>555</v>
      </c>
      <c r="D511" s="3" t="s">
        <v>556</v>
      </c>
      <c r="E511" s="4" t="s">
        <v>3</v>
      </c>
      <c r="F511" s="5" t="s">
        <v>76</v>
      </c>
      <c r="G511" s="6" t="s">
        <v>566</v>
      </c>
      <c r="H511" s="7">
        <v>45141.0</v>
      </c>
      <c r="I511" s="8">
        <f t="shared" si="1"/>
        <v>3</v>
      </c>
      <c r="J511" s="9">
        <f t="shared" si="2"/>
        <v>8</v>
      </c>
      <c r="K511" s="9">
        <f t="shared" si="3"/>
        <v>2023</v>
      </c>
      <c r="M511" s="25">
        <f>IFERROR(__xludf.DUMMYFUNCTION("""COMPUTED_VALUE"""),45141.0)</f>
        <v>45141</v>
      </c>
    </row>
    <row r="512">
      <c r="A512" s="10" t="s">
        <v>490</v>
      </c>
      <c r="B512" s="3" t="s">
        <v>491</v>
      </c>
      <c r="C512" s="10" t="s">
        <v>555</v>
      </c>
      <c r="D512" s="3" t="s">
        <v>556</v>
      </c>
      <c r="E512" s="4" t="s">
        <v>8</v>
      </c>
      <c r="F512" s="5" t="s">
        <v>45</v>
      </c>
      <c r="G512" s="6" t="s">
        <v>567</v>
      </c>
      <c r="H512" s="7">
        <v>45144.0</v>
      </c>
      <c r="I512" s="8">
        <f t="shared" si="1"/>
        <v>6</v>
      </c>
      <c r="J512" s="9">
        <f t="shared" si="2"/>
        <v>8</v>
      </c>
      <c r="K512" s="9">
        <f t="shared" si="3"/>
        <v>2023</v>
      </c>
      <c r="M512" s="25">
        <f>IFERROR(__xludf.DUMMYFUNCTION("""COMPUTED_VALUE"""),45144.0)</f>
        <v>45144</v>
      </c>
    </row>
    <row r="513">
      <c r="A513" s="10" t="s">
        <v>490</v>
      </c>
      <c r="B513" s="3" t="s">
        <v>491</v>
      </c>
      <c r="C513" s="10" t="s">
        <v>555</v>
      </c>
      <c r="D513" s="3" t="s">
        <v>556</v>
      </c>
      <c r="E513" s="4" t="s">
        <v>8</v>
      </c>
      <c r="F513" s="5" t="s">
        <v>17</v>
      </c>
      <c r="G513" s="6" t="s">
        <v>568</v>
      </c>
      <c r="H513" s="7">
        <v>45149.0</v>
      </c>
      <c r="I513" s="8">
        <f t="shared" si="1"/>
        <v>11</v>
      </c>
      <c r="J513" s="9">
        <f t="shared" si="2"/>
        <v>8</v>
      </c>
      <c r="K513" s="9">
        <f t="shared" si="3"/>
        <v>2023</v>
      </c>
      <c r="M513" s="25">
        <f>IFERROR(__xludf.DUMMYFUNCTION("""COMPUTED_VALUE"""),45149.0)</f>
        <v>45149</v>
      </c>
    </row>
    <row r="514">
      <c r="A514" s="10" t="s">
        <v>490</v>
      </c>
      <c r="B514" s="3" t="s">
        <v>491</v>
      </c>
      <c r="C514" s="10" t="s">
        <v>555</v>
      </c>
      <c r="D514" s="3" t="s">
        <v>556</v>
      </c>
      <c r="E514" s="4" t="s">
        <v>3</v>
      </c>
      <c r="F514" s="5" t="s">
        <v>42</v>
      </c>
      <c r="G514" s="6" t="s">
        <v>569</v>
      </c>
      <c r="H514" s="7">
        <v>45172.0</v>
      </c>
      <c r="I514" s="8">
        <f t="shared" si="1"/>
        <v>3</v>
      </c>
      <c r="J514" s="9">
        <f t="shared" si="2"/>
        <v>9</v>
      </c>
      <c r="K514" s="9">
        <f t="shared" si="3"/>
        <v>2023</v>
      </c>
      <c r="M514" s="25">
        <f>IFERROR(__xludf.DUMMYFUNCTION("""COMPUTED_VALUE"""),45172.0)</f>
        <v>45172</v>
      </c>
    </row>
    <row r="515">
      <c r="A515" s="10" t="s">
        <v>490</v>
      </c>
      <c r="B515" s="3" t="s">
        <v>491</v>
      </c>
      <c r="C515" s="10" t="s">
        <v>555</v>
      </c>
      <c r="D515" s="3" t="s">
        <v>556</v>
      </c>
      <c r="E515" s="4" t="s">
        <v>3</v>
      </c>
      <c r="F515" s="5" t="s">
        <v>15</v>
      </c>
      <c r="G515" s="6" t="s">
        <v>570</v>
      </c>
      <c r="H515" s="7">
        <v>45209.0</v>
      </c>
      <c r="I515" s="8">
        <f t="shared" si="1"/>
        <v>10</v>
      </c>
      <c r="J515" s="9">
        <f t="shared" si="2"/>
        <v>10</v>
      </c>
      <c r="K515" s="9">
        <f t="shared" si="3"/>
        <v>2023</v>
      </c>
      <c r="M515" s="25">
        <f>IFERROR(__xludf.DUMMYFUNCTION("""COMPUTED_VALUE"""),45209.0)</f>
        <v>45209</v>
      </c>
    </row>
    <row r="516">
      <c r="A516" s="10" t="s">
        <v>490</v>
      </c>
      <c r="B516" s="3" t="s">
        <v>491</v>
      </c>
      <c r="C516" s="10" t="s">
        <v>555</v>
      </c>
      <c r="D516" s="3" t="s">
        <v>556</v>
      </c>
      <c r="E516" s="4" t="s">
        <v>3</v>
      </c>
      <c r="F516" s="5" t="s">
        <v>13</v>
      </c>
      <c r="G516" s="6" t="s">
        <v>571</v>
      </c>
      <c r="H516" s="7">
        <v>45216.0</v>
      </c>
      <c r="I516" s="8">
        <f t="shared" si="1"/>
        <v>17</v>
      </c>
      <c r="J516" s="9">
        <f t="shared" si="2"/>
        <v>10</v>
      </c>
      <c r="K516" s="9">
        <f t="shared" si="3"/>
        <v>2023</v>
      </c>
      <c r="M516" s="25">
        <f>IFERROR(__xludf.DUMMYFUNCTION("""COMPUTED_VALUE"""),45216.0)</f>
        <v>45216</v>
      </c>
    </row>
    <row r="517">
      <c r="A517" s="10" t="s">
        <v>490</v>
      </c>
      <c r="B517" s="3" t="s">
        <v>491</v>
      </c>
      <c r="C517" s="10" t="s">
        <v>555</v>
      </c>
      <c r="D517" s="3" t="s">
        <v>556</v>
      </c>
      <c r="E517" s="4" t="s">
        <v>3</v>
      </c>
      <c r="F517" s="5" t="s">
        <v>6</v>
      </c>
      <c r="G517" s="6" t="s">
        <v>572</v>
      </c>
      <c r="H517" s="7">
        <v>45225.0</v>
      </c>
      <c r="I517" s="8">
        <f t="shared" si="1"/>
        <v>26</v>
      </c>
      <c r="J517" s="9">
        <f t="shared" si="2"/>
        <v>10</v>
      </c>
      <c r="K517" s="9">
        <f t="shared" si="3"/>
        <v>2023</v>
      </c>
      <c r="M517" s="25">
        <f>IFERROR(__xludf.DUMMYFUNCTION("""COMPUTED_VALUE"""),45225.0)</f>
        <v>45225</v>
      </c>
    </row>
    <row r="518">
      <c r="A518" s="10" t="s">
        <v>490</v>
      </c>
      <c r="B518" s="3" t="s">
        <v>491</v>
      </c>
      <c r="C518" s="10" t="s">
        <v>555</v>
      </c>
      <c r="D518" s="3" t="s">
        <v>556</v>
      </c>
      <c r="E518" s="4" t="s">
        <v>8</v>
      </c>
      <c r="F518" s="5" t="s">
        <v>15</v>
      </c>
      <c r="G518" s="6" t="s">
        <v>225</v>
      </c>
      <c r="H518" s="7">
        <v>45246.0</v>
      </c>
      <c r="I518" s="8">
        <f t="shared" si="1"/>
        <v>16</v>
      </c>
      <c r="J518" s="9">
        <f t="shared" si="2"/>
        <v>11</v>
      </c>
      <c r="K518" s="9">
        <f t="shared" si="3"/>
        <v>2023</v>
      </c>
      <c r="M518" s="25">
        <f>IFERROR(__xludf.DUMMYFUNCTION("""COMPUTED_VALUE"""),45246.0)</f>
        <v>45246</v>
      </c>
    </row>
    <row r="519">
      <c r="A519" s="10" t="s">
        <v>490</v>
      </c>
      <c r="B519" s="3" t="s">
        <v>491</v>
      </c>
      <c r="C519" s="10" t="s">
        <v>555</v>
      </c>
      <c r="D519" s="3" t="s">
        <v>556</v>
      </c>
      <c r="E519" s="4" t="s">
        <v>8</v>
      </c>
      <c r="F519" s="5" t="s">
        <v>15</v>
      </c>
      <c r="G519" s="6" t="s">
        <v>573</v>
      </c>
      <c r="H519" s="7">
        <v>45247.0</v>
      </c>
      <c r="I519" s="8">
        <f t="shared" si="1"/>
        <v>17</v>
      </c>
      <c r="J519" s="9">
        <f t="shared" si="2"/>
        <v>11</v>
      </c>
      <c r="K519" s="9">
        <f t="shared" si="3"/>
        <v>2023</v>
      </c>
      <c r="M519" s="25">
        <f>IFERROR(__xludf.DUMMYFUNCTION("""COMPUTED_VALUE"""),45247.0)</f>
        <v>45247</v>
      </c>
    </row>
    <row r="520">
      <c r="A520" s="10" t="s">
        <v>490</v>
      </c>
      <c r="B520" s="3" t="s">
        <v>491</v>
      </c>
      <c r="C520" s="10" t="s">
        <v>555</v>
      </c>
      <c r="D520" s="3" t="s">
        <v>556</v>
      </c>
      <c r="E520" s="4" t="s">
        <v>3</v>
      </c>
      <c r="F520" s="5" t="s">
        <v>39</v>
      </c>
      <c r="G520" s="6" t="s">
        <v>574</v>
      </c>
      <c r="H520" s="7">
        <v>45286.0</v>
      </c>
      <c r="I520" s="8">
        <f t="shared" si="1"/>
        <v>26</v>
      </c>
      <c r="J520" s="9">
        <f t="shared" si="2"/>
        <v>12</v>
      </c>
      <c r="K520" s="9">
        <f t="shared" si="3"/>
        <v>2023</v>
      </c>
      <c r="M520" s="25">
        <f>IFERROR(__xludf.DUMMYFUNCTION("""COMPUTED_VALUE"""),45286.0)</f>
        <v>45286</v>
      </c>
    </row>
    <row r="521">
      <c r="A521" s="10" t="s">
        <v>511</v>
      </c>
      <c r="B521" s="3" t="s">
        <v>512</v>
      </c>
      <c r="C521" s="10" t="s">
        <v>575</v>
      </c>
      <c r="D521" s="3" t="s">
        <v>576</v>
      </c>
      <c r="E521" s="4" t="s">
        <v>3</v>
      </c>
      <c r="F521" s="5" t="s">
        <v>19</v>
      </c>
      <c r="G521" s="6" t="s">
        <v>577</v>
      </c>
      <c r="H521" s="7">
        <v>44944.0</v>
      </c>
      <c r="I521" s="8">
        <f t="shared" si="1"/>
        <v>18</v>
      </c>
      <c r="J521" s="9">
        <f t="shared" si="2"/>
        <v>1</v>
      </c>
      <c r="K521" s="9">
        <f t="shared" si="3"/>
        <v>2023</v>
      </c>
      <c r="M521" s="25">
        <f>IFERROR(__xludf.DUMMYFUNCTION("""COMPUTED_VALUE"""),44944.0)</f>
        <v>44944</v>
      </c>
    </row>
    <row r="522">
      <c r="A522" s="10" t="s">
        <v>511</v>
      </c>
      <c r="B522" s="3" t="s">
        <v>512</v>
      </c>
      <c r="C522" s="10" t="s">
        <v>575</v>
      </c>
      <c r="D522" s="3" t="s">
        <v>576</v>
      </c>
      <c r="E522" s="4" t="s">
        <v>8</v>
      </c>
      <c r="F522" s="5" t="s">
        <v>39</v>
      </c>
      <c r="G522" s="6" t="s">
        <v>578</v>
      </c>
      <c r="H522" s="7">
        <v>44952.0</v>
      </c>
      <c r="I522" s="8">
        <f t="shared" si="1"/>
        <v>26</v>
      </c>
      <c r="J522" s="9">
        <f t="shared" si="2"/>
        <v>1</v>
      </c>
      <c r="K522" s="9">
        <f t="shared" si="3"/>
        <v>2023</v>
      </c>
      <c r="M522" s="25">
        <f>IFERROR(__xludf.DUMMYFUNCTION("""COMPUTED_VALUE"""),44952.0)</f>
        <v>44952</v>
      </c>
    </row>
    <row r="523">
      <c r="A523" s="10" t="s">
        <v>511</v>
      </c>
      <c r="B523" s="3" t="s">
        <v>512</v>
      </c>
      <c r="C523" s="10" t="s">
        <v>575</v>
      </c>
      <c r="D523" s="3" t="s">
        <v>576</v>
      </c>
      <c r="E523" s="4" t="s">
        <v>3</v>
      </c>
      <c r="F523" s="5" t="s">
        <v>23</v>
      </c>
      <c r="G523" s="6" t="s">
        <v>579</v>
      </c>
      <c r="H523" s="7">
        <v>44969.0</v>
      </c>
      <c r="I523" s="8">
        <f t="shared" si="1"/>
        <v>12</v>
      </c>
      <c r="J523" s="9">
        <f t="shared" si="2"/>
        <v>2</v>
      </c>
      <c r="K523" s="9">
        <f t="shared" si="3"/>
        <v>2023</v>
      </c>
      <c r="M523" s="25">
        <f>IFERROR(__xludf.DUMMYFUNCTION("""COMPUTED_VALUE"""),44969.0)</f>
        <v>44969</v>
      </c>
    </row>
    <row r="524">
      <c r="A524" s="10" t="s">
        <v>511</v>
      </c>
      <c r="B524" s="3" t="s">
        <v>512</v>
      </c>
      <c r="C524" s="10" t="s">
        <v>575</v>
      </c>
      <c r="D524" s="3" t="s">
        <v>576</v>
      </c>
      <c r="E524" s="4" t="s">
        <v>8</v>
      </c>
      <c r="F524" s="5" t="s">
        <v>21</v>
      </c>
      <c r="G524" s="6" t="s">
        <v>580</v>
      </c>
      <c r="H524" s="7">
        <v>44979.0</v>
      </c>
      <c r="I524" s="8">
        <f t="shared" si="1"/>
        <v>22</v>
      </c>
      <c r="J524" s="9">
        <f t="shared" si="2"/>
        <v>2</v>
      </c>
      <c r="K524" s="9">
        <f t="shared" si="3"/>
        <v>2023</v>
      </c>
      <c r="M524" s="25">
        <f>IFERROR(__xludf.DUMMYFUNCTION("""COMPUTED_VALUE"""),44979.0)</f>
        <v>44979</v>
      </c>
    </row>
    <row r="525">
      <c r="A525" s="10" t="s">
        <v>511</v>
      </c>
      <c r="B525" s="3" t="s">
        <v>512</v>
      </c>
      <c r="C525" s="10" t="s">
        <v>575</v>
      </c>
      <c r="D525" s="3" t="s">
        <v>576</v>
      </c>
      <c r="E525" s="4" t="s">
        <v>8</v>
      </c>
      <c r="F525" s="5" t="s">
        <v>13</v>
      </c>
      <c r="G525" s="6" t="s">
        <v>518</v>
      </c>
      <c r="H525" s="7">
        <v>45008.0</v>
      </c>
      <c r="I525" s="8">
        <f t="shared" si="1"/>
        <v>23</v>
      </c>
      <c r="J525" s="9">
        <f t="shared" si="2"/>
        <v>3</v>
      </c>
      <c r="K525" s="9">
        <f t="shared" si="3"/>
        <v>2023</v>
      </c>
      <c r="M525" s="25">
        <f>IFERROR(__xludf.DUMMYFUNCTION("""COMPUTED_VALUE"""),45008.0)</f>
        <v>45008</v>
      </c>
    </row>
    <row r="526">
      <c r="A526" s="10" t="s">
        <v>511</v>
      </c>
      <c r="B526" s="3" t="s">
        <v>512</v>
      </c>
      <c r="C526" s="10" t="s">
        <v>575</v>
      </c>
      <c r="D526" s="3" t="s">
        <v>576</v>
      </c>
      <c r="E526" s="4" t="s">
        <v>8</v>
      </c>
      <c r="F526" s="5" t="s">
        <v>76</v>
      </c>
      <c r="G526" s="6" t="s">
        <v>581</v>
      </c>
      <c r="H526" s="7">
        <v>45018.0</v>
      </c>
      <c r="I526" s="8">
        <f t="shared" si="1"/>
        <v>2</v>
      </c>
      <c r="J526" s="9">
        <f t="shared" si="2"/>
        <v>4</v>
      </c>
      <c r="K526" s="9">
        <f t="shared" si="3"/>
        <v>2023</v>
      </c>
      <c r="M526" s="25">
        <f>IFERROR(__xludf.DUMMYFUNCTION("""COMPUTED_VALUE"""),45018.0)</f>
        <v>45018</v>
      </c>
    </row>
    <row r="527">
      <c r="A527" s="10" t="s">
        <v>511</v>
      </c>
      <c r="B527" s="3" t="s">
        <v>512</v>
      </c>
      <c r="C527" s="10" t="s">
        <v>575</v>
      </c>
      <c r="D527" s="3" t="s">
        <v>576</v>
      </c>
      <c r="E527" s="4" t="s">
        <v>8</v>
      </c>
      <c r="F527" s="5" t="s">
        <v>9</v>
      </c>
      <c r="G527" s="6" t="s">
        <v>582</v>
      </c>
      <c r="H527" s="7">
        <v>45023.0</v>
      </c>
      <c r="I527" s="8">
        <f t="shared" si="1"/>
        <v>7</v>
      </c>
      <c r="J527" s="9">
        <f t="shared" si="2"/>
        <v>4</v>
      </c>
      <c r="K527" s="9">
        <f t="shared" si="3"/>
        <v>2023</v>
      </c>
      <c r="M527" s="25">
        <f>IFERROR(__xludf.DUMMYFUNCTION("""COMPUTED_VALUE"""),45023.0)</f>
        <v>45023</v>
      </c>
    </row>
    <row r="528">
      <c r="A528" s="10" t="s">
        <v>511</v>
      </c>
      <c r="B528" s="3" t="s">
        <v>512</v>
      </c>
      <c r="C528" s="10" t="s">
        <v>575</v>
      </c>
      <c r="D528" s="3" t="s">
        <v>576</v>
      </c>
      <c r="E528" s="4" t="s">
        <v>8</v>
      </c>
      <c r="F528" s="5" t="s">
        <v>11</v>
      </c>
      <c r="G528" s="6" t="s">
        <v>583</v>
      </c>
      <c r="H528" s="7">
        <v>45030.0</v>
      </c>
      <c r="I528" s="8">
        <f t="shared" si="1"/>
        <v>14</v>
      </c>
      <c r="J528" s="9">
        <f t="shared" si="2"/>
        <v>4</v>
      </c>
      <c r="K528" s="9">
        <f t="shared" si="3"/>
        <v>2023</v>
      </c>
      <c r="M528" s="25">
        <f>IFERROR(__xludf.DUMMYFUNCTION("""COMPUTED_VALUE"""),45030.0)</f>
        <v>45030</v>
      </c>
    </row>
    <row r="529">
      <c r="A529" s="10" t="s">
        <v>511</v>
      </c>
      <c r="B529" s="3" t="s">
        <v>512</v>
      </c>
      <c r="C529" s="10" t="s">
        <v>575</v>
      </c>
      <c r="D529" s="3" t="s">
        <v>576</v>
      </c>
      <c r="E529" s="4" t="s">
        <v>8</v>
      </c>
      <c r="F529" s="5" t="s">
        <v>9</v>
      </c>
      <c r="G529" s="6" t="s">
        <v>43</v>
      </c>
      <c r="H529" s="7">
        <v>45037.0</v>
      </c>
      <c r="I529" s="8">
        <f t="shared" si="1"/>
        <v>21</v>
      </c>
      <c r="J529" s="9">
        <f t="shared" si="2"/>
        <v>4</v>
      </c>
      <c r="K529" s="9">
        <f t="shared" si="3"/>
        <v>2023</v>
      </c>
      <c r="M529" s="25">
        <f>IFERROR(__xludf.DUMMYFUNCTION("""COMPUTED_VALUE"""),45037.0)</f>
        <v>45037</v>
      </c>
    </row>
    <row r="530">
      <c r="A530" s="10" t="s">
        <v>511</v>
      </c>
      <c r="B530" s="3" t="s">
        <v>512</v>
      </c>
      <c r="C530" s="10" t="s">
        <v>575</v>
      </c>
      <c r="D530" s="3" t="s">
        <v>576</v>
      </c>
      <c r="E530" s="4" t="s">
        <v>8</v>
      </c>
      <c r="F530" s="5" t="s">
        <v>6</v>
      </c>
      <c r="G530" s="6" t="s">
        <v>584</v>
      </c>
      <c r="H530" s="7">
        <v>45061.0</v>
      </c>
      <c r="I530" s="8">
        <f t="shared" si="1"/>
        <v>15</v>
      </c>
      <c r="J530" s="9">
        <f t="shared" si="2"/>
        <v>5</v>
      </c>
      <c r="K530" s="9">
        <f t="shared" si="3"/>
        <v>2023</v>
      </c>
      <c r="M530" s="25">
        <f>IFERROR(__xludf.DUMMYFUNCTION("""COMPUTED_VALUE"""),45061.0)</f>
        <v>45061</v>
      </c>
    </row>
    <row r="531">
      <c r="A531" s="10" t="s">
        <v>511</v>
      </c>
      <c r="B531" s="3" t="s">
        <v>512</v>
      </c>
      <c r="C531" s="10" t="s">
        <v>575</v>
      </c>
      <c r="D531" s="3" t="s">
        <v>576</v>
      </c>
      <c r="E531" s="4" t="s">
        <v>3</v>
      </c>
      <c r="F531" s="5" t="s">
        <v>9</v>
      </c>
      <c r="G531" s="6" t="s">
        <v>585</v>
      </c>
      <c r="H531" s="7">
        <v>45072.0</v>
      </c>
      <c r="I531" s="8">
        <f t="shared" si="1"/>
        <v>26</v>
      </c>
      <c r="J531" s="9">
        <f t="shared" si="2"/>
        <v>5</v>
      </c>
      <c r="K531" s="9">
        <f t="shared" si="3"/>
        <v>2023</v>
      </c>
      <c r="M531" s="25">
        <f>IFERROR(__xludf.DUMMYFUNCTION("""COMPUTED_VALUE"""),45072.0)</f>
        <v>45072</v>
      </c>
    </row>
    <row r="532">
      <c r="A532" s="10" t="s">
        <v>511</v>
      </c>
      <c r="B532" s="3" t="s">
        <v>512</v>
      </c>
      <c r="C532" s="10" t="s">
        <v>575</v>
      </c>
      <c r="D532" s="3" t="s">
        <v>576</v>
      </c>
      <c r="E532" s="4" t="s">
        <v>3</v>
      </c>
      <c r="F532" s="5" t="s">
        <v>76</v>
      </c>
      <c r="G532" s="6" t="s">
        <v>337</v>
      </c>
      <c r="H532" s="7">
        <v>45083.0</v>
      </c>
      <c r="I532" s="8">
        <f t="shared" si="1"/>
        <v>6</v>
      </c>
      <c r="J532" s="9">
        <f t="shared" si="2"/>
        <v>6</v>
      </c>
      <c r="K532" s="9">
        <f t="shared" si="3"/>
        <v>2023</v>
      </c>
      <c r="M532" s="25">
        <f>IFERROR(__xludf.DUMMYFUNCTION("""COMPUTED_VALUE"""),45083.0)</f>
        <v>45083</v>
      </c>
    </row>
    <row r="533">
      <c r="A533" s="10" t="s">
        <v>511</v>
      </c>
      <c r="B533" s="3" t="s">
        <v>512</v>
      </c>
      <c r="C533" s="10" t="s">
        <v>575</v>
      </c>
      <c r="D533" s="3" t="s">
        <v>576</v>
      </c>
      <c r="E533" s="4" t="s">
        <v>8</v>
      </c>
      <c r="F533" s="5" t="s">
        <v>28</v>
      </c>
      <c r="G533" s="6" t="s">
        <v>586</v>
      </c>
      <c r="H533" s="7">
        <v>45094.0</v>
      </c>
      <c r="I533" s="8">
        <f t="shared" si="1"/>
        <v>17</v>
      </c>
      <c r="J533" s="9">
        <f t="shared" si="2"/>
        <v>6</v>
      </c>
      <c r="K533" s="9">
        <f t="shared" si="3"/>
        <v>2023</v>
      </c>
      <c r="M533" s="25">
        <f>IFERROR(__xludf.DUMMYFUNCTION("""COMPUTED_VALUE"""),45094.0)</f>
        <v>45094</v>
      </c>
    </row>
    <row r="534">
      <c r="A534" s="10" t="s">
        <v>511</v>
      </c>
      <c r="B534" s="3" t="s">
        <v>512</v>
      </c>
      <c r="C534" s="10" t="s">
        <v>575</v>
      </c>
      <c r="D534" s="3" t="s">
        <v>576</v>
      </c>
      <c r="E534" s="4" t="s">
        <v>8</v>
      </c>
      <c r="F534" s="5" t="s">
        <v>6</v>
      </c>
      <c r="G534" s="6" t="s">
        <v>587</v>
      </c>
      <c r="H534" s="7">
        <v>45101.0</v>
      </c>
      <c r="I534" s="8">
        <f t="shared" si="1"/>
        <v>24</v>
      </c>
      <c r="J534" s="9">
        <f t="shared" si="2"/>
        <v>6</v>
      </c>
      <c r="K534" s="9">
        <f t="shared" si="3"/>
        <v>2023</v>
      </c>
      <c r="M534" s="25">
        <f>IFERROR(__xludf.DUMMYFUNCTION("""COMPUTED_VALUE"""),45101.0)</f>
        <v>45101</v>
      </c>
    </row>
    <row r="535">
      <c r="A535" s="10" t="s">
        <v>511</v>
      </c>
      <c r="B535" s="3" t="s">
        <v>512</v>
      </c>
      <c r="C535" s="10" t="s">
        <v>575</v>
      </c>
      <c r="D535" s="3" t="s">
        <v>576</v>
      </c>
      <c r="E535" s="4" t="s">
        <v>3</v>
      </c>
      <c r="F535" s="5" t="s">
        <v>51</v>
      </c>
      <c r="G535" s="6" t="s">
        <v>588</v>
      </c>
      <c r="H535" s="7">
        <v>45104.0</v>
      </c>
      <c r="I535" s="8">
        <f t="shared" si="1"/>
        <v>27</v>
      </c>
      <c r="J535" s="9">
        <f t="shared" si="2"/>
        <v>6</v>
      </c>
      <c r="K535" s="9">
        <f t="shared" si="3"/>
        <v>2023</v>
      </c>
      <c r="M535" s="25">
        <f>IFERROR(__xludf.DUMMYFUNCTION("""COMPUTED_VALUE"""),45104.0)</f>
        <v>45104</v>
      </c>
    </row>
    <row r="536">
      <c r="A536" s="10" t="s">
        <v>511</v>
      </c>
      <c r="B536" s="3" t="s">
        <v>512</v>
      </c>
      <c r="C536" s="10" t="s">
        <v>575</v>
      </c>
      <c r="D536" s="3" t="s">
        <v>576</v>
      </c>
      <c r="E536" s="4" t="s">
        <v>8</v>
      </c>
      <c r="F536" s="5" t="s">
        <v>17</v>
      </c>
      <c r="G536" s="6" t="s">
        <v>589</v>
      </c>
      <c r="H536" s="7">
        <v>45115.0</v>
      </c>
      <c r="I536" s="8">
        <f t="shared" si="1"/>
        <v>8</v>
      </c>
      <c r="J536" s="9">
        <f t="shared" si="2"/>
        <v>7</v>
      </c>
      <c r="K536" s="9">
        <f t="shared" si="3"/>
        <v>2023</v>
      </c>
      <c r="M536" s="25">
        <f>IFERROR(__xludf.DUMMYFUNCTION("""COMPUTED_VALUE"""),45115.0)</f>
        <v>45115</v>
      </c>
    </row>
    <row r="537">
      <c r="A537" s="10" t="s">
        <v>511</v>
      </c>
      <c r="B537" s="3" t="s">
        <v>512</v>
      </c>
      <c r="C537" s="10" t="s">
        <v>575</v>
      </c>
      <c r="D537" s="3" t="s">
        <v>576</v>
      </c>
      <c r="E537" s="4" t="s">
        <v>8</v>
      </c>
      <c r="F537" s="5" t="s">
        <v>9</v>
      </c>
      <c r="G537" s="6" t="s">
        <v>590</v>
      </c>
      <c r="H537" s="7">
        <v>45154.0</v>
      </c>
      <c r="I537" s="8">
        <f t="shared" si="1"/>
        <v>16</v>
      </c>
      <c r="J537" s="9">
        <f t="shared" si="2"/>
        <v>8</v>
      </c>
      <c r="K537" s="9">
        <f t="shared" si="3"/>
        <v>2023</v>
      </c>
      <c r="M537" s="25">
        <f>IFERROR(__xludf.DUMMYFUNCTION("""COMPUTED_VALUE"""),45154.0)</f>
        <v>45154</v>
      </c>
    </row>
    <row r="538">
      <c r="A538" s="10" t="s">
        <v>511</v>
      </c>
      <c r="B538" s="3" t="s">
        <v>512</v>
      </c>
      <c r="C538" s="10" t="s">
        <v>575</v>
      </c>
      <c r="D538" s="3" t="s">
        <v>576</v>
      </c>
      <c r="E538" s="4" t="s">
        <v>8</v>
      </c>
      <c r="F538" s="5" t="s">
        <v>45</v>
      </c>
      <c r="G538" s="6" t="s">
        <v>591</v>
      </c>
      <c r="H538" s="7">
        <v>45219.0</v>
      </c>
      <c r="I538" s="8">
        <f t="shared" si="1"/>
        <v>20</v>
      </c>
      <c r="J538" s="9">
        <f t="shared" si="2"/>
        <v>10</v>
      </c>
      <c r="K538" s="9">
        <f t="shared" si="3"/>
        <v>2023</v>
      </c>
      <c r="M538" s="25">
        <f>IFERROR(__xludf.DUMMYFUNCTION("""COMPUTED_VALUE"""),45219.0)</f>
        <v>45219</v>
      </c>
    </row>
    <row r="539">
      <c r="A539" s="10" t="s">
        <v>511</v>
      </c>
      <c r="B539" s="3" t="s">
        <v>512</v>
      </c>
      <c r="C539" s="10" t="s">
        <v>575</v>
      </c>
      <c r="D539" s="3" t="s">
        <v>576</v>
      </c>
      <c r="E539" s="4" t="s">
        <v>3</v>
      </c>
      <c r="F539" s="5" t="s">
        <v>13</v>
      </c>
      <c r="G539" s="6" t="s">
        <v>592</v>
      </c>
      <c r="H539" s="7">
        <v>45226.0</v>
      </c>
      <c r="I539" s="8">
        <f t="shared" si="1"/>
        <v>27</v>
      </c>
      <c r="J539" s="9">
        <f t="shared" si="2"/>
        <v>10</v>
      </c>
      <c r="K539" s="9">
        <f t="shared" si="3"/>
        <v>2023</v>
      </c>
      <c r="M539" s="25">
        <f>IFERROR(__xludf.DUMMYFUNCTION("""COMPUTED_VALUE"""),45226.0)</f>
        <v>45226</v>
      </c>
    </row>
    <row r="540">
      <c r="A540" s="10" t="s">
        <v>511</v>
      </c>
      <c r="B540" s="3" t="s">
        <v>512</v>
      </c>
      <c r="C540" s="10" t="s">
        <v>575</v>
      </c>
      <c r="D540" s="3" t="s">
        <v>576</v>
      </c>
      <c r="E540" s="4" t="s">
        <v>8</v>
      </c>
      <c r="F540" s="5" t="s">
        <v>23</v>
      </c>
      <c r="G540" s="6" t="s">
        <v>77</v>
      </c>
      <c r="H540" s="7">
        <v>45270.0</v>
      </c>
      <c r="I540" s="8">
        <f t="shared" si="1"/>
        <v>10</v>
      </c>
      <c r="J540" s="9">
        <f t="shared" si="2"/>
        <v>12</v>
      </c>
      <c r="K540" s="9">
        <f t="shared" si="3"/>
        <v>2023</v>
      </c>
      <c r="M540" s="25">
        <f>IFERROR(__xludf.DUMMYFUNCTION("""COMPUTED_VALUE"""),45270.0)</f>
        <v>45270</v>
      </c>
    </row>
    <row r="541">
      <c r="A541" s="10" t="s">
        <v>533</v>
      </c>
      <c r="B541" s="3" t="s">
        <v>534</v>
      </c>
      <c r="C541" s="10" t="s">
        <v>593</v>
      </c>
      <c r="D541" s="3" t="s">
        <v>594</v>
      </c>
      <c r="E541" s="4" t="s">
        <v>8</v>
      </c>
      <c r="F541" s="5" t="s">
        <v>35</v>
      </c>
      <c r="G541" s="6" t="s">
        <v>595</v>
      </c>
      <c r="H541" s="7">
        <v>44930.0</v>
      </c>
      <c r="I541" s="8">
        <f t="shared" si="1"/>
        <v>4</v>
      </c>
      <c r="J541" s="9">
        <f t="shared" si="2"/>
        <v>1</v>
      </c>
      <c r="K541" s="9">
        <f t="shared" si="3"/>
        <v>2023</v>
      </c>
      <c r="M541" s="25">
        <f>IFERROR(__xludf.DUMMYFUNCTION("""COMPUTED_VALUE"""),44930.0)</f>
        <v>44930</v>
      </c>
    </row>
    <row r="542">
      <c r="A542" s="10" t="s">
        <v>533</v>
      </c>
      <c r="B542" s="3" t="s">
        <v>534</v>
      </c>
      <c r="C542" s="10" t="s">
        <v>593</v>
      </c>
      <c r="D542" s="3" t="s">
        <v>594</v>
      </c>
      <c r="E542" s="4" t="s">
        <v>8</v>
      </c>
      <c r="F542" s="5" t="s">
        <v>17</v>
      </c>
      <c r="G542" s="6" t="s">
        <v>596</v>
      </c>
      <c r="H542" s="7">
        <v>44958.0</v>
      </c>
      <c r="I542" s="8">
        <f t="shared" si="1"/>
        <v>1</v>
      </c>
      <c r="J542" s="9">
        <f t="shared" si="2"/>
        <v>2</v>
      </c>
      <c r="K542" s="9">
        <f t="shared" si="3"/>
        <v>2023</v>
      </c>
      <c r="M542" s="25">
        <f>IFERROR(__xludf.DUMMYFUNCTION("""COMPUTED_VALUE"""),44958.0)</f>
        <v>44958</v>
      </c>
    </row>
    <row r="543">
      <c r="A543" s="10" t="s">
        <v>533</v>
      </c>
      <c r="B543" s="3" t="s">
        <v>534</v>
      </c>
      <c r="C543" s="10" t="s">
        <v>593</v>
      </c>
      <c r="D543" s="3" t="s">
        <v>594</v>
      </c>
      <c r="E543" s="4" t="s">
        <v>8</v>
      </c>
      <c r="F543" s="5" t="s">
        <v>96</v>
      </c>
      <c r="G543" s="6" t="s">
        <v>597</v>
      </c>
      <c r="H543" s="7">
        <v>44980.0</v>
      </c>
      <c r="I543" s="8">
        <f t="shared" si="1"/>
        <v>23</v>
      </c>
      <c r="J543" s="9">
        <f t="shared" si="2"/>
        <v>2</v>
      </c>
      <c r="K543" s="9">
        <f t="shared" si="3"/>
        <v>2023</v>
      </c>
      <c r="M543" s="25">
        <f>IFERROR(__xludf.DUMMYFUNCTION("""COMPUTED_VALUE"""),44980.0)</f>
        <v>44980</v>
      </c>
    </row>
    <row r="544">
      <c r="A544" s="10" t="s">
        <v>533</v>
      </c>
      <c r="B544" s="3" t="s">
        <v>534</v>
      </c>
      <c r="C544" s="10" t="s">
        <v>593</v>
      </c>
      <c r="D544" s="3" t="s">
        <v>594</v>
      </c>
      <c r="E544" s="4" t="s">
        <v>8</v>
      </c>
      <c r="F544" s="5" t="s">
        <v>21</v>
      </c>
      <c r="G544" s="6" t="s">
        <v>343</v>
      </c>
      <c r="H544" s="7">
        <v>44995.0</v>
      </c>
      <c r="I544" s="8">
        <f t="shared" si="1"/>
        <v>10</v>
      </c>
      <c r="J544" s="9">
        <f t="shared" si="2"/>
        <v>3</v>
      </c>
      <c r="K544" s="9">
        <f t="shared" si="3"/>
        <v>2023</v>
      </c>
      <c r="M544" s="25">
        <f>IFERROR(__xludf.DUMMYFUNCTION("""COMPUTED_VALUE"""),44995.0)</f>
        <v>44995</v>
      </c>
    </row>
    <row r="545">
      <c r="A545" s="10" t="s">
        <v>533</v>
      </c>
      <c r="B545" s="3" t="s">
        <v>534</v>
      </c>
      <c r="C545" s="10" t="s">
        <v>593</v>
      </c>
      <c r="D545" s="3" t="s">
        <v>594</v>
      </c>
      <c r="E545" s="4" t="s">
        <v>8</v>
      </c>
      <c r="F545" s="5" t="s">
        <v>71</v>
      </c>
      <c r="G545" s="6" t="s">
        <v>598</v>
      </c>
      <c r="H545" s="7">
        <v>45008.0</v>
      </c>
      <c r="I545" s="8">
        <f t="shared" si="1"/>
        <v>23</v>
      </c>
      <c r="J545" s="9">
        <f t="shared" si="2"/>
        <v>3</v>
      </c>
      <c r="K545" s="9">
        <f t="shared" si="3"/>
        <v>2023</v>
      </c>
      <c r="M545" s="25">
        <f>IFERROR(__xludf.DUMMYFUNCTION("""COMPUTED_VALUE"""),45008.0)</f>
        <v>45008</v>
      </c>
    </row>
    <row r="546">
      <c r="A546" s="10" t="s">
        <v>533</v>
      </c>
      <c r="B546" s="3" t="s">
        <v>534</v>
      </c>
      <c r="C546" s="10" t="s">
        <v>593</v>
      </c>
      <c r="D546" s="3" t="s">
        <v>594</v>
      </c>
      <c r="E546" s="4" t="s">
        <v>3</v>
      </c>
      <c r="F546" s="5" t="s">
        <v>71</v>
      </c>
      <c r="G546" s="6" t="s">
        <v>599</v>
      </c>
      <c r="H546" s="7">
        <v>45022.0</v>
      </c>
      <c r="I546" s="8">
        <f t="shared" si="1"/>
        <v>6</v>
      </c>
      <c r="J546" s="9">
        <f t="shared" si="2"/>
        <v>4</v>
      </c>
      <c r="K546" s="9">
        <f t="shared" si="3"/>
        <v>2023</v>
      </c>
      <c r="M546" s="25">
        <f>IFERROR(__xludf.DUMMYFUNCTION("""COMPUTED_VALUE"""),45022.0)</f>
        <v>45022</v>
      </c>
    </row>
    <row r="547">
      <c r="A547" s="10" t="s">
        <v>533</v>
      </c>
      <c r="B547" s="3" t="s">
        <v>534</v>
      </c>
      <c r="C547" s="10" t="s">
        <v>593</v>
      </c>
      <c r="D547" s="3" t="s">
        <v>594</v>
      </c>
      <c r="E547" s="4" t="s">
        <v>3</v>
      </c>
      <c r="F547" s="5" t="s">
        <v>35</v>
      </c>
      <c r="G547" s="6" t="s">
        <v>600</v>
      </c>
      <c r="H547" s="7">
        <v>45026.0</v>
      </c>
      <c r="I547" s="8">
        <f t="shared" si="1"/>
        <v>10</v>
      </c>
      <c r="J547" s="9">
        <f t="shared" si="2"/>
        <v>4</v>
      </c>
      <c r="K547" s="9">
        <f t="shared" si="3"/>
        <v>2023</v>
      </c>
      <c r="M547" s="25">
        <f>IFERROR(__xludf.DUMMYFUNCTION("""COMPUTED_VALUE"""),45026.0)</f>
        <v>45026</v>
      </c>
    </row>
    <row r="548">
      <c r="A548" s="10" t="s">
        <v>533</v>
      </c>
      <c r="B548" s="3" t="s">
        <v>534</v>
      </c>
      <c r="C548" s="10" t="s">
        <v>593</v>
      </c>
      <c r="D548" s="3" t="s">
        <v>594</v>
      </c>
      <c r="E548" s="4" t="s">
        <v>3</v>
      </c>
      <c r="F548" s="5" t="s">
        <v>39</v>
      </c>
      <c r="G548" s="6" t="s">
        <v>601</v>
      </c>
      <c r="H548" s="7">
        <v>45033.0</v>
      </c>
      <c r="I548" s="8">
        <f t="shared" si="1"/>
        <v>17</v>
      </c>
      <c r="J548" s="9">
        <f t="shared" si="2"/>
        <v>4</v>
      </c>
      <c r="K548" s="9">
        <f t="shared" si="3"/>
        <v>2023</v>
      </c>
      <c r="M548" s="25">
        <f>IFERROR(__xludf.DUMMYFUNCTION("""COMPUTED_VALUE"""),45033.0)</f>
        <v>45033</v>
      </c>
    </row>
    <row r="549">
      <c r="A549" s="10" t="s">
        <v>533</v>
      </c>
      <c r="B549" s="3" t="s">
        <v>534</v>
      </c>
      <c r="C549" s="10" t="s">
        <v>593</v>
      </c>
      <c r="D549" s="3" t="s">
        <v>594</v>
      </c>
      <c r="E549" s="4" t="s">
        <v>3</v>
      </c>
      <c r="F549" s="5" t="s">
        <v>42</v>
      </c>
      <c r="G549" s="6" t="s">
        <v>602</v>
      </c>
      <c r="H549" s="7">
        <v>45051.0</v>
      </c>
      <c r="I549" s="8">
        <f t="shared" si="1"/>
        <v>5</v>
      </c>
      <c r="J549" s="9">
        <f t="shared" si="2"/>
        <v>5</v>
      </c>
      <c r="K549" s="9">
        <f t="shared" si="3"/>
        <v>2023</v>
      </c>
      <c r="M549" s="25">
        <f>IFERROR(__xludf.DUMMYFUNCTION("""COMPUTED_VALUE"""),45051.0)</f>
        <v>45051</v>
      </c>
    </row>
    <row r="550">
      <c r="A550" s="10" t="s">
        <v>533</v>
      </c>
      <c r="B550" s="3" t="s">
        <v>534</v>
      </c>
      <c r="C550" s="10" t="s">
        <v>593</v>
      </c>
      <c r="D550" s="3" t="s">
        <v>594</v>
      </c>
      <c r="E550" s="4" t="s">
        <v>8</v>
      </c>
      <c r="F550" s="5" t="s">
        <v>120</v>
      </c>
      <c r="G550" s="6" t="s">
        <v>603</v>
      </c>
      <c r="H550" s="7">
        <v>45052.0</v>
      </c>
      <c r="I550" s="8">
        <f t="shared" si="1"/>
        <v>6</v>
      </c>
      <c r="J550" s="9">
        <f t="shared" si="2"/>
        <v>5</v>
      </c>
      <c r="K550" s="9">
        <f t="shared" si="3"/>
        <v>2023</v>
      </c>
      <c r="M550" s="25">
        <f>IFERROR(__xludf.DUMMYFUNCTION("""COMPUTED_VALUE"""),45052.0)</f>
        <v>45052</v>
      </c>
    </row>
    <row r="551">
      <c r="A551" s="10" t="s">
        <v>533</v>
      </c>
      <c r="B551" s="3" t="s">
        <v>534</v>
      </c>
      <c r="C551" s="10" t="s">
        <v>593</v>
      </c>
      <c r="D551" s="3" t="s">
        <v>594</v>
      </c>
      <c r="E551" s="4" t="s">
        <v>3</v>
      </c>
      <c r="F551" s="5" t="s">
        <v>96</v>
      </c>
      <c r="G551" s="6" t="s">
        <v>604</v>
      </c>
      <c r="H551" s="7">
        <v>45081.0</v>
      </c>
      <c r="I551" s="8">
        <f t="shared" si="1"/>
        <v>4</v>
      </c>
      <c r="J551" s="9">
        <f t="shared" si="2"/>
        <v>6</v>
      </c>
      <c r="K551" s="9">
        <f t="shared" si="3"/>
        <v>2023</v>
      </c>
      <c r="M551" s="25">
        <f>IFERROR(__xludf.DUMMYFUNCTION("""COMPUTED_VALUE"""),45081.0)</f>
        <v>45081</v>
      </c>
    </row>
    <row r="552">
      <c r="A552" s="10" t="s">
        <v>533</v>
      </c>
      <c r="B552" s="3" t="s">
        <v>534</v>
      </c>
      <c r="C552" s="10" t="s">
        <v>593</v>
      </c>
      <c r="D552" s="3" t="s">
        <v>594</v>
      </c>
      <c r="E552" s="4" t="s">
        <v>3</v>
      </c>
      <c r="F552" s="5" t="s">
        <v>13</v>
      </c>
      <c r="G552" s="6" t="s">
        <v>605</v>
      </c>
      <c r="H552" s="7">
        <v>45086.0</v>
      </c>
      <c r="I552" s="8">
        <f t="shared" si="1"/>
        <v>9</v>
      </c>
      <c r="J552" s="9">
        <f t="shared" si="2"/>
        <v>6</v>
      </c>
      <c r="K552" s="9">
        <f t="shared" si="3"/>
        <v>2023</v>
      </c>
      <c r="M552" s="25">
        <f>IFERROR(__xludf.DUMMYFUNCTION("""COMPUTED_VALUE"""),45086.0)</f>
        <v>45086</v>
      </c>
    </row>
    <row r="553">
      <c r="A553" s="10" t="s">
        <v>533</v>
      </c>
      <c r="B553" s="3" t="s">
        <v>534</v>
      </c>
      <c r="C553" s="10" t="s">
        <v>593</v>
      </c>
      <c r="D553" s="3" t="s">
        <v>594</v>
      </c>
      <c r="E553" s="4" t="s">
        <v>8</v>
      </c>
      <c r="F553" s="5" t="s">
        <v>42</v>
      </c>
      <c r="G553" s="6" t="s">
        <v>606</v>
      </c>
      <c r="H553" s="7">
        <v>45130.0</v>
      </c>
      <c r="I553" s="8">
        <f t="shared" si="1"/>
        <v>23</v>
      </c>
      <c r="J553" s="9">
        <f t="shared" si="2"/>
        <v>7</v>
      </c>
      <c r="K553" s="9">
        <f t="shared" si="3"/>
        <v>2023</v>
      </c>
      <c r="M553" s="25">
        <f>IFERROR(__xludf.DUMMYFUNCTION("""COMPUTED_VALUE"""),45130.0)</f>
        <v>45130</v>
      </c>
    </row>
    <row r="554">
      <c r="A554" s="10" t="s">
        <v>533</v>
      </c>
      <c r="B554" s="3" t="s">
        <v>534</v>
      </c>
      <c r="C554" s="10" t="s">
        <v>593</v>
      </c>
      <c r="D554" s="3" t="s">
        <v>594</v>
      </c>
      <c r="E554" s="4" t="s">
        <v>3</v>
      </c>
      <c r="F554" s="5" t="s">
        <v>9</v>
      </c>
      <c r="G554" s="6" t="s">
        <v>607</v>
      </c>
      <c r="H554" s="7">
        <v>45154.0</v>
      </c>
      <c r="I554" s="8">
        <f t="shared" si="1"/>
        <v>16</v>
      </c>
      <c r="J554" s="9">
        <f t="shared" si="2"/>
        <v>8</v>
      </c>
      <c r="K554" s="9">
        <f t="shared" si="3"/>
        <v>2023</v>
      </c>
      <c r="M554" s="25">
        <f>IFERROR(__xludf.DUMMYFUNCTION("""COMPUTED_VALUE"""),45154.0)</f>
        <v>45154</v>
      </c>
    </row>
    <row r="555">
      <c r="A555" s="10" t="s">
        <v>533</v>
      </c>
      <c r="B555" s="3" t="s">
        <v>534</v>
      </c>
      <c r="C555" s="10" t="s">
        <v>593</v>
      </c>
      <c r="D555" s="3" t="s">
        <v>594</v>
      </c>
      <c r="E555" s="4" t="s">
        <v>3</v>
      </c>
      <c r="F555" s="5" t="s">
        <v>51</v>
      </c>
      <c r="G555" s="6" t="s">
        <v>608</v>
      </c>
      <c r="H555" s="7">
        <v>45159.0</v>
      </c>
      <c r="I555" s="8">
        <f t="shared" si="1"/>
        <v>21</v>
      </c>
      <c r="J555" s="9">
        <f t="shared" si="2"/>
        <v>8</v>
      </c>
      <c r="K555" s="9">
        <f t="shared" si="3"/>
        <v>2023</v>
      </c>
      <c r="M555" s="25">
        <f>IFERROR(__xludf.DUMMYFUNCTION("""COMPUTED_VALUE"""),45159.0)</f>
        <v>45159</v>
      </c>
    </row>
    <row r="556">
      <c r="A556" s="10" t="s">
        <v>533</v>
      </c>
      <c r="B556" s="3" t="s">
        <v>534</v>
      </c>
      <c r="C556" s="10" t="s">
        <v>593</v>
      </c>
      <c r="D556" s="3" t="s">
        <v>594</v>
      </c>
      <c r="E556" s="4" t="s">
        <v>3</v>
      </c>
      <c r="F556" s="5" t="s">
        <v>15</v>
      </c>
      <c r="G556" s="6" t="s">
        <v>609</v>
      </c>
      <c r="H556" s="7">
        <v>45161.0</v>
      </c>
      <c r="I556" s="8">
        <f t="shared" si="1"/>
        <v>23</v>
      </c>
      <c r="J556" s="9">
        <f t="shared" si="2"/>
        <v>8</v>
      </c>
      <c r="K556" s="9">
        <f t="shared" si="3"/>
        <v>2023</v>
      </c>
      <c r="M556" s="25">
        <f>IFERROR(__xludf.DUMMYFUNCTION("""COMPUTED_VALUE"""),45161.0)</f>
        <v>45161</v>
      </c>
    </row>
    <row r="557">
      <c r="A557" s="10" t="s">
        <v>533</v>
      </c>
      <c r="B557" s="3" t="s">
        <v>534</v>
      </c>
      <c r="C557" s="10" t="s">
        <v>593</v>
      </c>
      <c r="D557" s="3" t="s">
        <v>594</v>
      </c>
      <c r="E557" s="4" t="s">
        <v>8</v>
      </c>
      <c r="F557" s="5" t="s">
        <v>23</v>
      </c>
      <c r="G557" s="6" t="s">
        <v>610</v>
      </c>
      <c r="H557" s="7">
        <v>45184.0</v>
      </c>
      <c r="I557" s="8">
        <f t="shared" si="1"/>
        <v>15</v>
      </c>
      <c r="J557" s="9">
        <f t="shared" si="2"/>
        <v>9</v>
      </c>
      <c r="K557" s="9">
        <f t="shared" si="3"/>
        <v>2023</v>
      </c>
      <c r="M557" s="25">
        <f>IFERROR(__xludf.DUMMYFUNCTION("""COMPUTED_VALUE"""),45184.0)</f>
        <v>45184</v>
      </c>
    </row>
    <row r="558">
      <c r="A558" s="10" t="s">
        <v>533</v>
      </c>
      <c r="B558" s="3" t="s">
        <v>534</v>
      </c>
      <c r="C558" s="10" t="s">
        <v>593</v>
      </c>
      <c r="D558" s="3" t="s">
        <v>594</v>
      </c>
      <c r="E558" s="4" t="s">
        <v>3</v>
      </c>
      <c r="F558" s="5" t="s">
        <v>15</v>
      </c>
      <c r="G558" s="6" t="s">
        <v>611</v>
      </c>
      <c r="H558" s="7">
        <v>45239.0</v>
      </c>
      <c r="I558" s="8">
        <f t="shared" si="1"/>
        <v>9</v>
      </c>
      <c r="J558" s="9">
        <f t="shared" si="2"/>
        <v>11</v>
      </c>
      <c r="K558" s="9">
        <f t="shared" si="3"/>
        <v>2023</v>
      </c>
      <c r="M558" s="25">
        <f>IFERROR(__xludf.DUMMYFUNCTION("""COMPUTED_VALUE"""),45239.0)</f>
        <v>45239</v>
      </c>
    </row>
    <row r="559">
      <c r="A559" s="10" t="s">
        <v>533</v>
      </c>
      <c r="B559" s="3" t="s">
        <v>534</v>
      </c>
      <c r="C559" s="10" t="s">
        <v>593</v>
      </c>
      <c r="D559" s="3" t="s">
        <v>594</v>
      </c>
      <c r="E559" s="4" t="s">
        <v>8</v>
      </c>
      <c r="F559" s="5" t="s">
        <v>21</v>
      </c>
      <c r="G559" s="6" t="s">
        <v>612</v>
      </c>
      <c r="H559" s="7">
        <v>45255.0</v>
      </c>
      <c r="I559" s="8">
        <f t="shared" si="1"/>
        <v>25</v>
      </c>
      <c r="J559" s="9">
        <f t="shared" si="2"/>
        <v>11</v>
      </c>
      <c r="K559" s="9">
        <f t="shared" si="3"/>
        <v>2023</v>
      </c>
      <c r="M559" s="25">
        <f>IFERROR(__xludf.DUMMYFUNCTION("""COMPUTED_VALUE"""),45255.0)</f>
        <v>45255</v>
      </c>
    </row>
    <row r="560">
      <c r="A560" s="10" t="s">
        <v>533</v>
      </c>
      <c r="B560" s="3" t="s">
        <v>534</v>
      </c>
      <c r="C560" s="10" t="s">
        <v>593</v>
      </c>
      <c r="D560" s="3" t="s">
        <v>594</v>
      </c>
      <c r="E560" s="4" t="s">
        <v>8</v>
      </c>
      <c r="F560" s="5" t="s">
        <v>51</v>
      </c>
      <c r="G560" s="6" t="s">
        <v>181</v>
      </c>
      <c r="H560" s="7">
        <v>45265.0</v>
      </c>
      <c r="I560" s="8">
        <f t="shared" si="1"/>
        <v>5</v>
      </c>
      <c r="J560" s="9">
        <f t="shared" si="2"/>
        <v>12</v>
      </c>
      <c r="K560" s="9">
        <f t="shared" si="3"/>
        <v>2023</v>
      </c>
      <c r="M560" s="25">
        <f>IFERROR(__xludf.DUMMYFUNCTION("""COMPUTED_VALUE"""),45265.0)</f>
        <v>45265</v>
      </c>
    </row>
    <row r="561">
      <c r="A561" s="10" t="s">
        <v>555</v>
      </c>
      <c r="B561" s="3" t="s">
        <v>556</v>
      </c>
      <c r="C561" s="10" t="s">
        <v>613</v>
      </c>
      <c r="D561" s="3" t="s">
        <v>614</v>
      </c>
      <c r="E561" s="4" t="s">
        <v>8</v>
      </c>
      <c r="F561" s="5" t="s">
        <v>19</v>
      </c>
      <c r="G561" s="6" t="s">
        <v>615</v>
      </c>
      <c r="H561" s="7">
        <v>44935.0</v>
      </c>
      <c r="I561" s="8">
        <f t="shared" si="1"/>
        <v>9</v>
      </c>
      <c r="J561" s="9">
        <f t="shared" si="2"/>
        <v>1</v>
      </c>
      <c r="K561" s="9">
        <f t="shared" si="3"/>
        <v>2023</v>
      </c>
      <c r="M561" s="25">
        <f>IFERROR(__xludf.DUMMYFUNCTION("""COMPUTED_VALUE"""),44935.0)</f>
        <v>44935</v>
      </c>
    </row>
    <row r="562">
      <c r="A562" s="10" t="s">
        <v>555</v>
      </c>
      <c r="B562" s="3" t="s">
        <v>556</v>
      </c>
      <c r="C562" s="10" t="s">
        <v>613</v>
      </c>
      <c r="D562" s="3" t="s">
        <v>614</v>
      </c>
      <c r="E562" s="4" t="s">
        <v>8</v>
      </c>
      <c r="F562" s="5" t="s">
        <v>13</v>
      </c>
      <c r="G562" s="6" t="s">
        <v>616</v>
      </c>
      <c r="H562" s="7">
        <v>44940.0</v>
      </c>
      <c r="I562" s="8">
        <f t="shared" si="1"/>
        <v>14</v>
      </c>
      <c r="J562" s="9">
        <f t="shared" si="2"/>
        <v>1</v>
      </c>
      <c r="K562" s="9">
        <f t="shared" si="3"/>
        <v>2023</v>
      </c>
      <c r="M562" s="25">
        <f>IFERROR(__xludf.DUMMYFUNCTION("""COMPUTED_VALUE"""),44940.0)</f>
        <v>44940</v>
      </c>
    </row>
    <row r="563">
      <c r="A563" s="10" t="s">
        <v>555</v>
      </c>
      <c r="B563" s="3" t="s">
        <v>556</v>
      </c>
      <c r="C563" s="10" t="s">
        <v>613</v>
      </c>
      <c r="D563" s="3" t="s">
        <v>614</v>
      </c>
      <c r="E563" s="4" t="s">
        <v>8</v>
      </c>
      <c r="F563" s="5" t="s">
        <v>51</v>
      </c>
      <c r="G563" s="6" t="s">
        <v>617</v>
      </c>
      <c r="H563" s="7">
        <v>44989.0</v>
      </c>
      <c r="I563" s="8">
        <f t="shared" si="1"/>
        <v>4</v>
      </c>
      <c r="J563" s="9">
        <f t="shared" si="2"/>
        <v>3</v>
      </c>
      <c r="K563" s="9">
        <f t="shared" si="3"/>
        <v>2023</v>
      </c>
      <c r="M563" s="25">
        <f>IFERROR(__xludf.DUMMYFUNCTION("""COMPUTED_VALUE"""),44989.0)</f>
        <v>44989</v>
      </c>
    </row>
    <row r="564">
      <c r="A564" s="10" t="s">
        <v>555</v>
      </c>
      <c r="B564" s="3" t="s">
        <v>556</v>
      </c>
      <c r="C564" s="10" t="s">
        <v>613</v>
      </c>
      <c r="D564" s="3" t="s">
        <v>614</v>
      </c>
      <c r="E564" s="4" t="s">
        <v>8</v>
      </c>
      <c r="F564" s="5" t="s">
        <v>23</v>
      </c>
      <c r="G564" s="6" t="s">
        <v>618</v>
      </c>
      <c r="H564" s="7">
        <v>44992.0</v>
      </c>
      <c r="I564" s="8">
        <f t="shared" si="1"/>
        <v>7</v>
      </c>
      <c r="J564" s="9">
        <f t="shared" si="2"/>
        <v>3</v>
      </c>
      <c r="K564" s="9">
        <f t="shared" si="3"/>
        <v>2023</v>
      </c>
      <c r="M564" s="25">
        <f>IFERROR(__xludf.DUMMYFUNCTION("""COMPUTED_VALUE"""),44992.0)</f>
        <v>44992</v>
      </c>
    </row>
    <row r="565">
      <c r="A565" s="10" t="s">
        <v>555</v>
      </c>
      <c r="B565" s="3" t="s">
        <v>556</v>
      </c>
      <c r="C565" s="10" t="s">
        <v>613</v>
      </c>
      <c r="D565" s="3" t="s">
        <v>614</v>
      </c>
      <c r="E565" s="4" t="s">
        <v>3</v>
      </c>
      <c r="F565" s="5" t="s">
        <v>11</v>
      </c>
      <c r="G565" s="6" t="s">
        <v>619</v>
      </c>
      <c r="H565" s="7">
        <v>45000.0</v>
      </c>
      <c r="I565" s="8">
        <f t="shared" si="1"/>
        <v>15</v>
      </c>
      <c r="J565" s="9">
        <f t="shared" si="2"/>
        <v>3</v>
      </c>
      <c r="K565" s="9">
        <f t="shared" si="3"/>
        <v>2023</v>
      </c>
      <c r="M565" s="25">
        <f>IFERROR(__xludf.DUMMYFUNCTION("""COMPUTED_VALUE"""),45000.0)</f>
        <v>45000</v>
      </c>
    </row>
    <row r="566">
      <c r="A566" s="10" t="s">
        <v>555</v>
      </c>
      <c r="B566" s="3" t="s">
        <v>556</v>
      </c>
      <c r="C566" s="10" t="s">
        <v>613</v>
      </c>
      <c r="D566" s="3" t="s">
        <v>614</v>
      </c>
      <c r="E566" s="4" t="s">
        <v>3</v>
      </c>
      <c r="F566" s="5" t="s">
        <v>96</v>
      </c>
      <c r="G566" s="6" t="s">
        <v>620</v>
      </c>
      <c r="H566" s="7">
        <v>45024.0</v>
      </c>
      <c r="I566" s="8">
        <f t="shared" si="1"/>
        <v>8</v>
      </c>
      <c r="J566" s="9">
        <f t="shared" si="2"/>
        <v>4</v>
      </c>
      <c r="K566" s="9">
        <f t="shared" si="3"/>
        <v>2023</v>
      </c>
      <c r="M566" s="25">
        <f>IFERROR(__xludf.DUMMYFUNCTION("""COMPUTED_VALUE"""),45024.0)</f>
        <v>45024</v>
      </c>
    </row>
    <row r="567">
      <c r="A567" s="10" t="s">
        <v>555</v>
      </c>
      <c r="B567" s="3" t="s">
        <v>556</v>
      </c>
      <c r="C567" s="10" t="s">
        <v>613</v>
      </c>
      <c r="D567" s="3" t="s">
        <v>614</v>
      </c>
      <c r="E567" s="4" t="s">
        <v>8</v>
      </c>
      <c r="F567" s="5" t="s">
        <v>15</v>
      </c>
      <c r="G567" s="6" t="s">
        <v>384</v>
      </c>
      <c r="H567" s="7">
        <v>45030.0</v>
      </c>
      <c r="I567" s="8">
        <f t="shared" si="1"/>
        <v>14</v>
      </c>
      <c r="J567" s="9">
        <f t="shared" si="2"/>
        <v>4</v>
      </c>
      <c r="K567" s="9">
        <f t="shared" si="3"/>
        <v>2023</v>
      </c>
      <c r="M567" s="25">
        <f>IFERROR(__xludf.DUMMYFUNCTION("""COMPUTED_VALUE"""),45030.0)</f>
        <v>45030</v>
      </c>
    </row>
    <row r="568">
      <c r="A568" s="10" t="s">
        <v>555</v>
      </c>
      <c r="B568" s="3" t="s">
        <v>556</v>
      </c>
      <c r="C568" s="10" t="s">
        <v>613</v>
      </c>
      <c r="D568" s="3" t="s">
        <v>614</v>
      </c>
      <c r="E568" s="4" t="s">
        <v>8</v>
      </c>
      <c r="F568" s="5" t="s">
        <v>71</v>
      </c>
      <c r="G568" s="6" t="s">
        <v>621</v>
      </c>
      <c r="H568" s="7">
        <v>45034.0</v>
      </c>
      <c r="I568" s="8">
        <f t="shared" si="1"/>
        <v>18</v>
      </c>
      <c r="J568" s="9">
        <f t="shared" si="2"/>
        <v>4</v>
      </c>
      <c r="K568" s="9">
        <f t="shared" si="3"/>
        <v>2023</v>
      </c>
      <c r="M568" s="25">
        <f>IFERROR(__xludf.DUMMYFUNCTION("""COMPUTED_VALUE"""),45034.0)</f>
        <v>45034</v>
      </c>
    </row>
    <row r="569">
      <c r="A569" s="10" t="s">
        <v>555</v>
      </c>
      <c r="B569" s="3" t="s">
        <v>556</v>
      </c>
      <c r="C569" s="10" t="s">
        <v>613</v>
      </c>
      <c r="D569" s="3" t="s">
        <v>614</v>
      </c>
      <c r="E569" s="4" t="s">
        <v>3</v>
      </c>
      <c r="F569" s="5" t="s">
        <v>120</v>
      </c>
      <c r="G569" s="6" t="s">
        <v>622</v>
      </c>
      <c r="H569" s="7">
        <v>45059.0</v>
      </c>
      <c r="I569" s="8">
        <f t="shared" si="1"/>
        <v>13</v>
      </c>
      <c r="J569" s="9">
        <f t="shared" si="2"/>
        <v>5</v>
      </c>
      <c r="K569" s="9">
        <f t="shared" si="3"/>
        <v>2023</v>
      </c>
      <c r="M569" s="25">
        <f>IFERROR(__xludf.DUMMYFUNCTION("""COMPUTED_VALUE"""),45059.0)</f>
        <v>45059</v>
      </c>
    </row>
    <row r="570">
      <c r="A570" s="10" t="s">
        <v>555</v>
      </c>
      <c r="B570" s="3" t="s">
        <v>556</v>
      </c>
      <c r="C570" s="10" t="s">
        <v>613</v>
      </c>
      <c r="D570" s="3" t="s">
        <v>614</v>
      </c>
      <c r="E570" s="4" t="s">
        <v>3</v>
      </c>
      <c r="F570" s="5" t="s">
        <v>21</v>
      </c>
      <c r="G570" s="6" t="s">
        <v>568</v>
      </c>
      <c r="H570" s="7">
        <v>45083.0</v>
      </c>
      <c r="I570" s="8">
        <f t="shared" si="1"/>
        <v>6</v>
      </c>
      <c r="J570" s="9">
        <f t="shared" si="2"/>
        <v>6</v>
      </c>
      <c r="K570" s="9">
        <f t="shared" si="3"/>
        <v>2023</v>
      </c>
      <c r="M570" s="25">
        <f>IFERROR(__xludf.DUMMYFUNCTION("""COMPUTED_VALUE"""),45083.0)</f>
        <v>45083</v>
      </c>
    </row>
    <row r="571">
      <c r="A571" s="10" t="s">
        <v>555</v>
      </c>
      <c r="B571" s="3" t="s">
        <v>556</v>
      </c>
      <c r="C571" s="10" t="s">
        <v>613</v>
      </c>
      <c r="D571" s="3" t="s">
        <v>614</v>
      </c>
      <c r="E571" s="4" t="s">
        <v>8</v>
      </c>
      <c r="F571" s="5" t="s">
        <v>96</v>
      </c>
      <c r="G571" s="6" t="s">
        <v>623</v>
      </c>
      <c r="H571" s="7">
        <v>45113.0</v>
      </c>
      <c r="I571" s="8">
        <f t="shared" si="1"/>
        <v>6</v>
      </c>
      <c r="J571" s="9">
        <f t="shared" si="2"/>
        <v>7</v>
      </c>
      <c r="K571" s="9">
        <f t="shared" si="3"/>
        <v>2023</v>
      </c>
      <c r="M571" s="25">
        <f>IFERROR(__xludf.DUMMYFUNCTION("""COMPUTED_VALUE"""),45113.0)</f>
        <v>45113</v>
      </c>
    </row>
    <row r="572">
      <c r="A572" s="10" t="s">
        <v>555</v>
      </c>
      <c r="B572" s="3" t="s">
        <v>556</v>
      </c>
      <c r="C572" s="10" t="s">
        <v>613</v>
      </c>
      <c r="D572" s="3" t="s">
        <v>614</v>
      </c>
      <c r="E572" s="4" t="s">
        <v>8</v>
      </c>
      <c r="F572" s="5" t="s">
        <v>6</v>
      </c>
      <c r="G572" s="6" t="s">
        <v>624</v>
      </c>
      <c r="H572" s="7">
        <v>45165.0</v>
      </c>
      <c r="I572" s="8">
        <f t="shared" si="1"/>
        <v>27</v>
      </c>
      <c r="J572" s="9">
        <f t="shared" si="2"/>
        <v>8</v>
      </c>
      <c r="K572" s="9">
        <f t="shared" si="3"/>
        <v>2023</v>
      </c>
      <c r="M572" s="25">
        <f>IFERROR(__xludf.DUMMYFUNCTION("""COMPUTED_VALUE"""),45165.0)</f>
        <v>45165</v>
      </c>
    </row>
    <row r="573">
      <c r="A573" s="10" t="s">
        <v>555</v>
      </c>
      <c r="B573" s="3" t="s">
        <v>556</v>
      </c>
      <c r="C573" s="10" t="s">
        <v>613</v>
      </c>
      <c r="D573" s="3" t="s">
        <v>614</v>
      </c>
      <c r="E573" s="4" t="s">
        <v>8</v>
      </c>
      <c r="F573" s="5" t="s">
        <v>51</v>
      </c>
      <c r="G573" s="6" t="s">
        <v>625</v>
      </c>
      <c r="H573" s="7">
        <v>45181.0</v>
      </c>
      <c r="I573" s="8">
        <f t="shared" si="1"/>
        <v>12</v>
      </c>
      <c r="J573" s="9">
        <f t="shared" si="2"/>
        <v>9</v>
      </c>
      <c r="K573" s="9">
        <f t="shared" si="3"/>
        <v>2023</v>
      </c>
      <c r="M573" s="25">
        <f>IFERROR(__xludf.DUMMYFUNCTION("""COMPUTED_VALUE"""),45181.0)</f>
        <v>45181</v>
      </c>
    </row>
    <row r="574">
      <c r="A574" s="10" t="s">
        <v>555</v>
      </c>
      <c r="B574" s="3" t="s">
        <v>556</v>
      </c>
      <c r="C574" s="10" t="s">
        <v>613</v>
      </c>
      <c r="D574" s="3" t="s">
        <v>614</v>
      </c>
      <c r="E574" s="4" t="s">
        <v>8</v>
      </c>
      <c r="F574" s="5" t="s">
        <v>76</v>
      </c>
      <c r="G574" s="6" t="s">
        <v>626</v>
      </c>
      <c r="H574" s="7">
        <v>45189.0</v>
      </c>
      <c r="I574" s="8">
        <f t="shared" si="1"/>
        <v>20</v>
      </c>
      <c r="J574" s="9">
        <f t="shared" si="2"/>
        <v>9</v>
      </c>
      <c r="K574" s="9">
        <f t="shared" si="3"/>
        <v>2023</v>
      </c>
      <c r="M574" s="25">
        <f>IFERROR(__xludf.DUMMYFUNCTION("""COMPUTED_VALUE"""),45189.0)</f>
        <v>45189</v>
      </c>
    </row>
    <row r="575">
      <c r="A575" s="10" t="s">
        <v>555</v>
      </c>
      <c r="B575" s="3" t="s">
        <v>556</v>
      </c>
      <c r="C575" s="10" t="s">
        <v>613</v>
      </c>
      <c r="D575" s="3" t="s">
        <v>614</v>
      </c>
      <c r="E575" s="4" t="s">
        <v>8</v>
      </c>
      <c r="F575" s="5" t="s">
        <v>15</v>
      </c>
      <c r="G575" s="6" t="s">
        <v>353</v>
      </c>
      <c r="H575" s="7">
        <v>45227.0</v>
      </c>
      <c r="I575" s="8">
        <f t="shared" si="1"/>
        <v>28</v>
      </c>
      <c r="J575" s="9">
        <f t="shared" si="2"/>
        <v>10</v>
      </c>
      <c r="K575" s="9">
        <f t="shared" si="3"/>
        <v>2023</v>
      </c>
      <c r="M575" s="25">
        <f>IFERROR(__xludf.DUMMYFUNCTION("""COMPUTED_VALUE"""),45227.0)</f>
        <v>45227</v>
      </c>
    </row>
    <row r="576">
      <c r="A576" s="10" t="s">
        <v>555</v>
      </c>
      <c r="B576" s="3" t="s">
        <v>556</v>
      </c>
      <c r="C576" s="10" t="s">
        <v>613</v>
      </c>
      <c r="D576" s="3" t="s">
        <v>614</v>
      </c>
      <c r="E576" s="4" t="s">
        <v>3</v>
      </c>
      <c r="F576" s="5" t="s">
        <v>76</v>
      </c>
      <c r="G576" s="6" t="s">
        <v>627</v>
      </c>
      <c r="H576" s="7">
        <v>45240.0</v>
      </c>
      <c r="I576" s="8">
        <f t="shared" si="1"/>
        <v>10</v>
      </c>
      <c r="J576" s="9">
        <f t="shared" si="2"/>
        <v>11</v>
      </c>
      <c r="K576" s="9">
        <f t="shared" si="3"/>
        <v>2023</v>
      </c>
      <c r="M576" s="25">
        <f>IFERROR(__xludf.DUMMYFUNCTION("""COMPUTED_VALUE"""),45240.0)</f>
        <v>45240</v>
      </c>
    </row>
    <row r="577">
      <c r="A577" s="10" t="s">
        <v>555</v>
      </c>
      <c r="B577" s="3" t="s">
        <v>556</v>
      </c>
      <c r="C577" s="10" t="s">
        <v>613</v>
      </c>
      <c r="D577" s="3" t="s">
        <v>614</v>
      </c>
      <c r="E577" s="4" t="s">
        <v>3</v>
      </c>
      <c r="F577" s="5" t="s">
        <v>35</v>
      </c>
      <c r="G577" s="6" t="s">
        <v>628</v>
      </c>
      <c r="H577" s="7">
        <v>45246.0</v>
      </c>
      <c r="I577" s="8">
        <f t="shared" si="1"/>
        <v>16</v>
      </c>
      <c r="J577" s="9">
        <f t="shared" si="2"/>
        <v>11</v>
      </c>
      <c r="K577" s="9">
        <f t="shared" si="3"/>
        <v>2023</v>
      </c>
      <c r="M577" s="25">
        <f>IFERROR(__xludf.DUMMYFUNCTION("""COMPUTED_VALUE"""),45246.0)</f>
        <v>45246</v>
      </c>
    </row>
    <row r="578">
      <c r="A578" s="10" t="s">
        <v>555</v>
      </c>
      <c r="B578" s="3" t="s">
        <v>556</v>
      </c>
      <c r="C578" s="10" t="s">
        <v>613</v>
      </c>
      <c r="D578" s="3" t="s">
        <v>614</v>
      </c>
      <c r="E578" s="4" t="s">
        <v>8</v>
      </c>
      <c r="F578" s="5" t="s">
        <v>21</v>
      </c>
      <c r="G578" s="6" t="s">
        <v>629</v>
      </c>
      <c r="H578" s="7">
        <v>45251.0</v>
      </c>
      <c r="I578" s="8">
        <f t="shared" si="1"/>
        <v>21</v>
      </c>
      <c r="J578" s="9">
        <f t="shared" si="2"/>
        <v>11</v>
      </c>
      <c r="K578" s="9">
        <f t="shared" si="3"/>
        <v>2023</v>
      </c>
      <c r="M578" s="25">
        <f>IFERROR(__xludf.DUMMYFUNCTION("""COMPUTED_VALUE"""),45251.0)</f>
        <v>45251</v>
      </c>
    </row>
    <row r="579">
      <c r="A579" s="10" t="s">
        <v>555</v>
      </c>
      <c r="B579" s="3" t="s">
        <v>556</v>
      </c>
      <c r="C579" s="10" t="s">
        <v>613</v>
      </c>
      <c r="D579" s="3" t="s">
        <v>614</v>
      </c>
      <c r="E579" s="4" t="s">
        <v>3</v>
      </c>
      <c r="F579" s="5" t="s">
        <v>19</v>
      </c>
      <c r="G579" s="6" t="s">
        <v>630</v>
      </c>
      <c r="H579" s="7">
        <v>45272.0</v>
      </c>
      <c r="I579" s="8">
        <f t="shared" si="1"/>
        <v>12</v>
      </c>
      <c r="J579" s="9">
        <f t="shared" si="2"/>
        <v>12</v>
      </c>
      <c r="K579" s="9">
        <f t="shared" si="3"/>
        <v>2023</v>
      </c>
      <c r="M579" s="25">
        <f>IFERROR(__xludf.DUMMYFUNCTION("""COMPUTED_VALUE"""),45272.0)</f>
        <v>45272</v>
      </c>
    </row>
    <row r="580">
      <c r="A580" s="10" t="s">
        <v>555</v>
      </c>
      <c r="B580" s="3" t="s">
        <v>556</v>
      </c>
      <c r="C580" s="10" t="s">
        <v>613</v>
      </c>
      <c r="D580" s="3" t="s">
        <v>614</v>
      </c>
      <c r="E580" s="4" t="s">
        <v>8</v>
      </c>
      <c r="F580" s="5" t="s">
        <v>42</v>
      </c>
      <c r="G580" s="6" t="s">
        <v>631</v>
      </c>
      <c r="H580" s="7">
        <v>45280.0</v>
      </c>
      <c r="I580" s="8">
        <f t="shared" si="1"/>
        <v>20</v>
      </c>
      <c r="J580" s="9">
        <f t="shared" si="2"/>
        <v>12</v>
      </c>
      <c r="K580" s="9">
        <f t="shared" si="3"/>
        <v>2023</v>
      </c>
      <c r="M580" s="25">
        <f>IFERROR(__xludf.DUMMYFUNCTION("""COMPUTED_VALUE"""),45280.0)</f>
        <v>45280</v>
      </c>
    </row>
    <row r="581">
      <c r="A581" s="10" t="s">
        <v>575</v>
      </c>
      <c r="B581" s="3" t="s">
        <v>576</v>
      </c>
      <c r="C581" s="10" t="s">
        <v>632</v>
      </c>
      <c r="D581" s="3" t="s">
        <v>633</v>
      </c>
      <c r="E581" s="4" t="s">
        <v>8</v>
      </c>
      <c r="F581" s="5" t="s">
        <v>42</v>
      </c>
      <c r="G581" s="6" t="s">
        <v>634</v>
      </c>
      <c r="H581" s="7">
        <v>44927.0</v>
      </c>
      <c r="I581" s="8">
        <f t="shared" si="1"/>
        <v>1</v>
      </c>
      <c r="J581" s="9">
        <f t="shared" si="2"/>
        <v>1</v>
      </c>
      <c r="K581" s="9">
        <f t="shared" si="3"/>
        <v>2023</v>
      </c>
      <c r="M581" s="25">
        <f>IFERROR(__xludf.DUMMYFUNCTION("""COMPUTED_VALUE"""),44927.0)</f>
        <v>44927</v>
      </c>
    </row>
    <row r="582">
      <c r="A582" s="10" t="s">
        <v>575</v>
      </c>
      <c r="B582" s="3" t="s">
        <v>576</v>
      </c>
      <c r="C582" s="10" t="s">
        <v>632</v>
      </c>
      <c r="D582" s="3" t="s">
        <v>633</v>
      </c>
      <c r="E582" s="4" t="s">
        <v>8</v>
      </c>
      <c r="F582" s="5" t="s">
        <v>4</v>
      </c>
      <c r="G582" s="6" t="s">
        <v>635</v>
      </c>
      <c r="H582" s="7">
        <v>44928.0</v>
      </c>
      <c r="I582" s="8">
        <f t="shared" si="1"/>
        <v>2</v>
      </c>
      <c r="J582" s="9">
        <f t="shared" si="2"/>
        <v>1</v>
      </c>
      <c r="K582" s="9">
        <f t="shared" si="3"/>
        <v>2023</v>
      </c>
      <c r="M582" s="25">
        <f>IFERROR(__xludf.DUMMYFUNCTION("""COMPUTED_VALUE"""),44928.0)</f>
        <v>44928</v>
      </c>
    </row>
    <row r="583">
      <c r="A583" s="10" t="s">
        <v>575</v>
      </c>
      <c r="B583" s="3" t="s">
        <v>576</v>
      </c>
      <c r="C583" s="10" t="s">
        <v>632</v>
      </c>
      <c r="D583" s="3" t="s">
        <v>633</v>
      </c>
      <c r="E583" s="4" t="s">
        <v>8</v>
      </c>
      <c r="F583" s="5" t="s">
        <v>120</v>
      </c>
      <c r="G583" s="6" t="s">
        <v>636</v>
      </c>
      <c r="H583" s="7">
        <v>44932.0</v>
      </c>
      <c r="I583" s="8">
        <f t="shared" si="1"/>
        <v>6</v>
      </c>
      <c r="J583" s="9">
        <f t="shared" si="2"/>
        <v>1</v>
      </c>
      <c r="K583" s="9">
        <f t="shared" si="3"/>
        <v>2023</v>
      </c>
      <c r="M583" s="25">
        <f>IFERROR(__xludf.DUMMYFUNCTION("""COMPUTED_VALUE"""),44932.0)</f>
        <v>44932</v>
      </c>
    </row>
    <row r="584">
      <c r="A584" s="10" t="s">
        <v>575</v>
      </c>
      <c r="B584" s="3" t="s">
        <v>576</v>
      </c>
      <c r="C584" s="10" t="s">
        <v>632</v>
      </c>
      <c r="D584" s="3" t="s">
        <v>633</v>
      </c>
      <c r="E584" s="4" t="s">
        <v>8</v>
      </c>
      <c r="F584" s="5" t="s">
        <v>17</v>
      </c>
      <c r="G584" s="6" t="s">
        <v>29</v>
      </c>
      <c r="H584" s="7">
        <v>44967.0</v>
      </c>
      <c r="I584" s="8">
        <f t="shared" si="1"/>
        <v>10</v>
      </c>
      <c r="J584" s="9">
        <f t="shared" si="2"/>
        <v>2</v>
      </c>
      <c r="K584" s="9">
        <f t="shared" si="3"/>
        <v>2023</v>
      </c>
      <c r="M584" s="25">
        <f>IFERROR(__xludf.DUMMYFUNCTION("""COMPUTED_VALUE"""),44967.0)</f>
        <v>44967</v>
      </c>
    </row>
    <row r="585">
      <c r="A585" s="10" t="s">
        <v>575</v>
      </c>
      <c r="B585" s="3" t="s">
        <v>576</v>
      </c>
      <c r="C585" s="10" t="s">
        <v>632</v>
      </c>
      <c r="D585" s="3" t="s">
        <v>633</v>
      </c>
      <c r="E585" s="4" t="s">
        <v>8</v>
      </c>
      <c r="F585" s="5" t="s">
        <v>96</v>
      </c>
      <c r="G585" s="6" t="s">
        <v>637</v>
      </c>
      <c r="H585" s="7">
        <v>44973.0</v>
      </c>
      <c r="I585" s="8">
        <f t="shared" si="1"/>
        <v>16</v>
      </c>
      <c r="J585" s="9">
        <f t="shared" si="2"/>
        <v>2</v>
      </c>
      <c r="K585" s="9">
        <f t="shared" si="3"/>
        <v>2023</v>
      </c>
      <c r="M585" s="25">
        <f>IFERROR(__xludf.DUMMYFUNCTION("""COMPUTED_VALUE"""),44973.0)</f>
        <v>44973</v>
      </c>
    </row>
    <row r="586">
      <c r="A586" s="10" t="s">
        <v>575</v>
      </c>
      <c r="B586" s="3" t="s">
        <v>576</v>
      </c>
      <c r="C586" s="10" t="s">
        <v>632</v>
      </c>
      <c r="D586" s="3" t="s">
        <v>633</v>
      </c>
      <c r="E586" s="4" t="s">
        <v>8</v>
      </c>
      <c r="F586" s="5" t="s">
        <v>28</v>
      </c>
      <c r="G586" s="6" t="s">
        <v>638</v>
      </c>
      <c r="H586" s="7">
        <v>45000.0</v>
      </c>
      <c r="I586" s="8">
        <f t="shared" si="1"/>
        <v>15</v>
      </c>
      <c r="J586" s="9">
        <f t="shared" si="2"/>
        <v>3</v>
      </c>
      <c r="K586" s="9">
        <f t="shared" si="3"/>
        <v>2023</v>
      </c>
      <c r="M586" s="25">
        <f>IFERROR(__xludf.DUMMYFUNCTION("""COMPUTED_VALUE"""),45000.0)</f>
        <v>45000</v>
      </c>
    </row>
    <row r="587">
      <c r="A587" s="10" t="s">
        <v>575</v>
      </c>
      <c r="B587" s="3" t="s">
        <v>576</v>
      </c>
      <c r="C587" s="10" t="s">
        <v>632</v>
      </c>
      <c r="D587" s="3" t="s">
        <v>633</v>
      </c>
      <c r="E587" s="4" t="s">
        <v>3</v>
      </c>
      <c r="F587" s="5" t="s">
        <v>76</v>
      </c>
      <c r="G587" s="6" t="s">
        <v>639</v>
      </c>
      <c r="H587" s="7">
        <v>45062.0</v>
      </c>
      <c r="I587" s="8">
        <f t="shared" si="1"/>
        <v>16</v>
      </c>
      <c r="J587" s="9">
        <f t="shared" si="2"/>
        <v>5</v>
      </c>
      <c r="K587" s="9">
        <f t="shared" si="3"/>
        <v>2023</v>
      </c>
      <c r="M587" s="25">
        <f>IFERROR(__xludf.DUMMYFUNCTION("""COMPUTED_VALUE"""),45062.0)</f>
        <v>45062</v>
      </c>
    </row>
    <row r="588">
      <c r="A588" s="10" t="s">
        <v>575</v>
      </c>
      <c r="B588" s="3" t="s">
        <v>576</v>
      </c>
      <c r="C588" s="10" t="s">
        <v>632</v>
      </c>
      <c r="D588" s="3" t="s">
        <v>633</v>
      </c>
      <c r="E588" s="4" t="s">
        <v>8</v>
      </c>
      <c r="F588" s="5" t="s">
        <v>19</v>
      </c>
      <c r="G588" s="6" t="s">
        <v>41</v>
      </c>
      <c r="H588" s="7">
        <v>45068.0</v>
      </c>
      <c r="I588" s="8">
        <f t="shared" si="1"/>
        <v>22</v>
      </c>
      <c r="J588" s="9">
        <f t="shared" si="2"/>
        <v>5</v>
      </c>
      <c r="K588" s="9">
        <f t="shared" si="3"/>
        <v>2023</v>
      </c>
      <c r="M588" s="25">
        <f>IFERROR(__xludf.DUMMYFUNCTION("""COMPUTED_VALUE"""),45068.0)</f>
        <v>45068</v>
      </c>
    </row>
    <row r="589">
      <c r="A589" s="10" t="s">
        <v>575</v>
      </c>
      <c r="B589" s="3" t="s">
        <v>576</v>
      </c>
      <c r="C589" s="10" t="s">
        <v>632</v>
      </c>
      <c r="D589" s="3" t="s">
        <v>633</v>
      </c>
      <c r="E589" s="4" t="s">
        <v>8</v>
      </c>
      <c r="F589" s="5" t="s">
        <v>45</v>
      </c>
      <c r="G589" s="6" t="s">
        <v>640</v>
      </c>
      <c r="H589" s="7">
        <v>45081.0</v>
      </c>
      <c r="I589" s="8">
        <f t="shared" si="1"/>
        <v>4</v>
      </c>
      <c r="J589" s="9">
        <f t="shared" si="2"/>
        <v>6</v>
      </c>
      <c r="K589" s="9">
        <f t="shared" si="3"/>
        <v>2023</v>
      </c>
      <c r="M589" s="25">
        <f>IFERROR(__xludf.DUMMYFUNCTION("""COMPUTED_VALUE"""),45081.0)</f>
        <v>45081</v>
      </c>
    </row>
    <row r="590">
      <c r="A590" s="10" t="s">
        <v>575</v>
      </c>
      <c r="B590" s="3" t="s">
        <v>576</v>
      </c>
      <c r="C590" s="10" t="s">
        <v>632</v>
      </c>
      <c r="D590" s="3" t="s">
        <v>633</v>
      </c>
      <c r="E590" s="4" t="s">
        <v>8</v>
      </c>
      <c r="F590" s="5" t="s">
        <v>96</v>
      </c>
      <c r="G590" s="6" t="s">
        <v>641</v>
      </c>
      <c r="H590" s="7">
        <v>45086.0</v>
      </c>
      <c r="I590" s="8">
        <f t="shared" si="1"/>
        <v>9</v>
      </c>
      <c r="J590" s="9">
        <f t="shared" si="2"/>
        <v>6</v>
      </c>
      <c r="K590" s="9">
        <f t="shared" si="3"/>
        <v>2023</v>
      </c>
      <c r="M590" s="25">
        <f>IFERROR(__xludf.DUMMYFUNCTION("""COMPUTED_VALUE"""),45086.0)</f>
        <v>45086</v>
      </c>
    </row>
    <row r="591">
      <c r="A591" s="10" t="s">
        <v>575</v>
      </c>
      <c r="B591" s="3" t="s">
        <v>576</v>
      </c>
      <c r="C591" s="10" t="s">
        <v>632</v>
      </c>
      <c r="D591" s="3" t="s">
        <v>633</v>
      </c>
      <c r="E591" s="4" t="s">
        <v>8</v>
      </c>
      <c r="F591" s="5" t="s">
        <v>19</v>
      </c>
      <c r="G591" s="6" t="s">
        <v>642</v>
      </c>
      <c r="H591" s="7">
        <v>45134.0</v>
      </c>
      <c r="I591" s="8">
        <f t="shared" si="1"/>
        <v>27</v>
      </c>
      <c r="J591" s="9">
        <f t="shared" si="2"/>
        <v>7</v>
      </c>
      <c r="K591" s="9">
        <f t="shared" si="3"/>
        <v>2023</v>
      </c>
      <c r="M591" s="25">
        <f>IFERROR(__xludf.DUMMYFUNCTION("""COMPUTED_VALUE"""),45134.0)</f>
        <v>45134</v>
      </c>
    </row>
    <row r="592">
      <c r="A592" s="10" t="s">
        <v>575</v>
      </c>
      <c r="B592" s="3" t="s">
        <v>576</v>
      </c>
      <c r="C592" s="10" t="s">
        <v>632</v>
      </c>
      <c r="D592" s="3" t="s">
        <v>633</v>
      </c>
      <c r="E592" s="4" t="s">
        <v>3</v>
      </c>
      <c r="F592" s="5" t="s">
        <v>42</v>
      </c>
      <c r="G592" s="6" t="s">
        <v>643</v>
      </c>
      <c r="H592" s="7">
        <v>45146.0</v>
      </c>
      <c r="I592" s="8">
        <f t="shared" si="1"/>
        <v>8</v>
      </c>
      <c r="J592" s="9">
        <f t="shared" si="2"/>
        <v>8</v>
      </c>
      <c r="K592" s="9">
        <f t="shared" si="3"/>
        <v>2023</v>
      </c>
      <c r="M592" s="25">
        <f>IFERROR(__xludf.DUMMYFUNCTION("""COMPUTED_VALUE"""),45146.0)</f>
        <v>45146</v>
      </c>
    </row>
    <row r="593">
      <c r="A593" s="10" t="s">
        <v>575</v>
      </c>
      <c r="B593" s="3" t="s">
        <v>576</v>
      </c>
      <c r="C593" s="10" t="s">
        <v>632</v>
      </c>
      <c r="D593" s="3" t="s">
        <v>633</v>
      </c>
      <c r="E593" s="4" t="s">
        <v>8</v>
      </c>
      <c r="F593" s="5" t="s">
        <v>9</v>
      </c>
      <c r="G593" s="6" t="s">
        <v>644</v>
      </c>
      <c r="H593" s="7">
        <v>45147.0</v>
      </c>
      <c r="I593" s="8">
        <f t="shared" si="1"/>
        <v>9</v>
      </c>
      <c r="J593" s="9">
        <f t="shared" si="2"/>
        <v>8</v>
      </c>
      <c r="K593" s="9">
        <f t="shared" si="3"/>
        <v>2023</v>
      </c>
      <c r="M593" s="25">
        <f>IFERROR(__xludf.DUMMYFUNCTION("""COMPUTED_VALUE"""),45147.0)</f>
        <v>45147</v>
      </c>
    </row>
    <row r="594">
      <c r="A594" s="10" t="s">
        <v>575</v>
      </c>
      <c r="B594" s="3" t="s">
        <v>576</v>
      </c>
      <c r="C594" s="10" t="s">
        <v>632</v>
      </c>
      <c r="D594" s="3" t="s">
        <v>633</v>
      </c>
      <c r="E594" s="4" t="s">
        <v>3</v>
      </c>
      <c r="F594" s="5" t="s">
        <v>76</v>
      </c>
      <c r="G594" s="6" t="s">
        <v>645</v>
      </c>
      <c r="H594" s="7">
        <v>45166.0</v>
      </c>
      <c r="I594" s="8">
        <f t="shared" si="1"/>
        <v>28</v>
      </c>
      <c r="J594" s="9">
        <f t="shared" si="2"/>
        <v>8</v>
      </c>
      <c r="K594" s="9">
        <f t="shared" si="3"/>
        <v>2023</v>
      </c>
      <c r="M594" s="25">
        <f>IFERROR(__xludf.DUMMYFUNCTION("""COMPUTED_VALUE"""),45166.0)</f>
        <v>45166</v>
      </c>
    </row>
    <row r="595">
      <c r="A595" s="10" t="s">
        <v>575</v>
      </c>
      <c r="B595" s="3" t="s">
        <v>576</v>
      </c>
      <c r="C595" s="10" t="s">
        <v>632</v>
      </c>
      <c r="D595" s="3" t="s">
        <v>633</v>
      </c>
      <c r="E595" s="4" t="s">
        <v>3</v>
      </c>
      <c r="F595" s="5" t="s">
        <v>71</v>
      </c>
      <c r="G595" s="6" t="s">
        <v>646</v>
      </c>
      <c r="H595" s="7">
        <v>45177.0</v>
      </c>
      <c r="I595" s="8">
        <f t="shared" si="1"/>
        <v>8</v>
      </c>
      <c r="J595" s="9">
        <f t="shared" si="2"/>
        <v>9</v>
      </c>
      <c r="K595" s="9">
        <f t="shared" si="3"/>
        <v>2023</v>
      </c>
      <c r="M595" s="25">
        <f>IFERROR(__xludf.DUMMYFUNCTION("""COMPUTED_VALUE"""),45177.0)</f>
        <v>45177</v>
      </c>
    </row>
    <row r="596">
      <c r="A596" s="10" t="s">
        <v>575</v>
      </c>
      <c r="B596" s="3" t="s">
        <v>576</v>
      </c>
      <c r="C596" s="10" t="s">
        <v>632</v>
      </c>
      <c r="D596" s="3" t="s">
        <v>633</v>
      </c>
      <c r="E596" s="4" t="s">
        <v>3</v>
      </c>
      <c r="F596" s="5" t="s">
        <v>9</v>
      </c>
      <c r="G596" s="6" t="s">
        <v>647</v>
      </c>
      <c r="H596" s="7">
        <v>45183.0</v>
      </c>
      <c r="I596" s="8">
        <f t="shared" si="1"/>
        <v>14</v>
      </c>
      <c r="J596" s="9">
        <f t="shared" si="2"/>
        <v>9</v>
      </c>
      <c r="K596" s="9">
        <f t="shared" si="3"/>
        <v>2023</v>
      </c>
      <c r="M596" s="25">
        <f>IFERROR(__xludf.DUMMYFUNCTION("""COMPUTED_VALUE"""),45183.0)</f>
        <v>45183</v>
      </c>
    </row>
    <row r="597">
      <c r="A597" s="10" t="s">
        <v>575</v>
      </c>
      <c r="B597" s="3" t="s">
        <v>576</v>
      </c>
      <c r="C597" s="10" t="s">
        <v>632</v>
      </c>
      <c r="D597" s="3" t="s">
        <v>633</v>
      </c>
      <c r="E597" s="4" t="s">
        <v>3</v>
      </c>
      <c r="F597" s="5" t="s">
        <v>42</v>
      </c>
      <c r="G597" s="6" t="s">
        <v>455</v>
      </c>
      <c r="H597" s="7">
        <v>45224.0</v>
      </c>
      <c r="I597" s="8">
        <f t="shared" si="1"/>
        <v>25</v>
      </c>
      <c r="J597" s="9">
        <f t="shared" si="2"/>
        <v>10</v>
      </c>
      <c r="K597" s="9">
        <f t="shared" si="3"/>
        <v>2023</v>
      </c>
      <c r="M597" s="25">
        <f>IFERROR(__xludf.DUMMYFUNCTION("""COMPUTED_VALUE"""),45224.0)</f>
        <v>45224</v>
      </c>
    </row>
    <row r="598">
      <c r="A598" s="10" t="s">
        <v>575</v>
      </c>
      <c r="B598" s="3" t="s">
        <v>576</v>
      </c>
      <c r="C598" s="10" t="s">
        <v>632</v>
      </c>
      <c r="D598" s="3" t="s">
        <v>633</v>
      </c>
      <c r="E598" s="4" t="s">
        <v>8</v>
      </c>
      <c r="F598" s="5" t="s">
        <v>71</v>
      </c>
      <c r="G598" s="6" t="s">
        <v>648</v>
      </c>
      <c r="H598" s="7">
        <v>45240.0</v>
      </c>
      <c r="I598" s="8">
        <f t="shared" si="1"/>
        <v>10</v>
      </c>
      <c r="J598" s="9">
        <f t="shared" si="2"/>
        <v>11</v>
      </c>
      <c r="K598" s="9">
        <f t="shared" si="3"/>
        <v>2023</v>
      </c>
      <c r="M598" s="25">
        <f>IFERROR(__xludf.DUMMYFUNCTION("""COMPUTED_VALUE"""),45240.0)</f>
        <v>45240</v>
      </c>
    </row>
    <row r="599">
      <c r="A599" s="10" t="s">
        <v>575</v>
      </c>
      <c r="B599" s="3" t="s">
        <v>576</v>
      </c>
      <c r="C599" s="10" t="s">
        <v>632</v>
      </c>
      <c r="D599" s="3" t="s">
        <v>633</v>
      </c>
      <c r="E599" s="4" t="s">
        <v>8</v>
      </c>
      <c r="F599" s="5" t="s">
        <v>15</v>
      </c>
      <c r="G599" s="6" t="s">
        <v>649</v>
      </c>
      <c r="H599" s="7">
        <v>45241.0</v>
      </c>
      <c r="I599" s="8">
        <f t="shared" si="1"/>
        <v>11</v>
      </c>
      <c r="J599" s="9">
        <f t="shared" si="2"/>
        <v>11</v>
      </c>
      <c r="K599" s="9">
        <f t="shared" si="3"/>
        <v>2023</v>
      </c>
      <c r="M599" s="25">
        <f>IFERROR(__xludf.DUMMYFUNCTION("""COMPUTED_VALUE"""),45241.0)</f>
        <v>45241</v>
      </c>
    </row>
    <row r="600">
      <c r="A600" s="10" t="s">
        <v>575</v>
      </c>
      <c r="B600" s="3" t="s">
        <v>576</v>
      </c>
      <c r="C600" s="10" t="s">
        <v>632</v>
      </c>
      <c r="D600" s="3" t="s">
        <v>633</v>
      </c>
      <c r="E600" s="4" t="s">
        <v>8</v>
      </c>
      <c r="F600" s="5" t="s">
        <v>39</v>
      </c>
      <c r="G600" s="6" t="s">
        <v>650</v>
      </c>
      <c r="H600" s="7">
        <v>45248.0</v>
      </c>
      <c r="I600" s="8">
        <f t="shared" si="1"/>
        <v>18</v>
      </c>
      <c r="J600" s="9">
        <f t="shared" si="2"/>
        <v>11</v>
      </c>
      <c r="K600" s="9">
        <f t="shared" si="3"/>
        <v>2023</v>
      </c>
      <c r="M600" s="25">
        <f>IFERROR(__xludf.DUMMYFUNCTION("""COMPUTED_VALUE"""),45248.0)</f>
        <v>45248</v>
      </c>
    </row>
    <row r="601">
      <c r="A601" s="10" t="s">
        <v>593</v>
      </c>
      <c r="B601" s="3" t="s">
        <v>594</v>
      </c>
      <c r="C601" s="10" t="s">
        <v>651</v>
      </c>
      <c r="D601" s="3" t="s">
        <v>652</v>
      </c>
      <c r="E601" s="4" t="s">
        <v>8</v>
      </c>
      <c r="F601" s="5" t="s">
        <v>15</v>
      </c>
      <c r="G601" s="6" t="s">
        <v>653</v>
      </c>
      <c r="H601" s="7">
        <v>44972.0</v>
      </c>
      <c r="I601" s="8">
        <f t="shared" si="1"/>
        <v>15</v>
      </c>
      <c r="J601" s="9">
        <f t="shared" si="2"/>
        <v>2</v>
      </c>
      <c r="K601" s="9">
        <f t="shared" si="3"/>
        <v>2023</v>
      </c>
      <c r="M601" s="25">
        <f>IFERROR(__xludf.DUMMYFUNCTION("""COMPUTED_VALUE"""),44972.0)</f>
        <v>44972</v>
      </c>
    </row>
    <row r="602">
      <c r="A602" s="10" t="s">
        <v>593</v>
      </c>
      <c r="B602" s="3" t="s">
        <v>594</v>
      </c>
      <c r="C602" s="10" t="s">
        <v>651</v>
      </c>
      <c r="D602" s="3" t="s">
        <v>652</v>
      </c>
      <c r="E602" s="4" t="s">
        <v>3</v>
      </c>
      <c r="F602" s="5" t="s">
        <v>11</v>
      </c>
      <c r="G602" s="6" t="s">
        <v>654</v>
      </c>
      <c r="H602" s="7">
        <v>44975.0</v>
      </c>
      <c r="I602" s="8">
        <f t="shared" si="1"/>
        <v>18</v>
      </c>
      <c r="J602" s="9">
        <f t="shared" si="2"/>
        <v>2</v>
      </c>
      <c r="K602" s="9">
        <f t="shared" si="3"/>
        <v>2023</v>
      </c>
      <c r="M602" s="25">
        <f>IFERROR(__xludf.DUMMYFUNCTION("""COMPUTED_VALUE"""),44975.0)</f>
        <v>44975</v>
      </c>
    </row>
    <row r="603">
      <c r="A603" s="10" t="s">
        <v>593</v>
      </c>
      <c r="B603" s="3" t="s">
        <v>594</v>
      </c>
      <c r="C603" s="10" t="s">
        <v>651</v>
      </c>
      <c r="D603" s="3" t="s">
        <v>652</v>
      </c>
      <c r="E603" s="4" t="s">
        <v>3</v>
      </c>
      <c r="F603" s="5" t="s">
        <v>96</v>
      </c>
      <c r="G603" s="6" t="s">
        <v>655</v>
      </c>
      <c r="H603" s="7">
        <v>44979.0</v>
      </c>
      <c r="I603" s="8">
        <f t="shared" si="1"/>
        <v>22</v>
      </c>
      <c r="J603" s="9">
        <f t="shared" si="2"/>
        <v>2</v>
      </c>
      <c r="K603" s="9">
        <f t="shared" si="3"/>
        <v>2023</v>
      </c>
      <c r="M603" s="25">
        <f>IFERROR(__xludf.DUMMYFUNCTION("""COMPUTED_VALUE"""),44979.0)</f>
        <v>44979</v>
      </c>
    </row>
    <row r="604">
      <c r="A604" s="10" t="s">
        <v>593</v>
      </c>
      <c r="B604" s="3" t="s">
        <v>594</v>
      </c>
      <c r="C604" s="10" t="s">
        <v>651</v>
      </c>
      <c r="D604" s="3" t="s">
        <v>652</v>
      </c>
      <c r="E604" s="4" t="s">
        <v>3</v>
      </c>
      <c r="F604" s="5" t="s">
        <v>23</v>
      </c>
      <c r="G604" s="6" t="s">
        <v>656</v>
      </c>
      <c r="H604" s="7">
        <v>45008.0</v>
      </c>
      <c r="I604" s="8">
        <f t="shared" si="1"/>
        <v>23</v>
      </c>
      <c r="J604" s="9">
        <f t="shared" si="2"/>
        <v>3</v>
      </c>
      <c r="K604" s="9">
        <f t="shared" si="3"/>
        <v>2023</v>
      </c>
      <c r="M604" s="25">
        <f>IFERROR(__xludf.DUMMYFUNCTION("""COMPUTED_VALUE"""),45008.0)</f>
        <v>45008</v>
      </c>
    </row>
    <row r="605">
      <c r="A605" s="10" t="s">
        <v>593</v>
      </c>
      <c r="B605" s="3" t="s">
        <v>594</v>
      </c>
      <c r="C605" s="10" t="s">
        <v>651</v>
      </c>
      <c r="D605" s="3" t="s">
        <v>652</v>
      </c>
      <c r="E605" s="4" t="s">
        <v>3</v>
      </c>
      <c r="F605" s="5" t="s">
        <v>96</v>
      </c>
      <c r="G605" s="6" t="s">
        <v>657</v>
      </c>
      <c r="H605" s="7">
        <v>45034.0</v>
      </c>
      <c r="I605" s="8">
        <f t="shared" si="1"/>
        <v>18</v>
      </c>
      <c r="J605" s="9">
        <f t="shared" si="2"/>
        <v>4</v>
      </c>
      <c r="K605" s="9">
        <f t="shared" si="3"/>
        <v>2023</v>
      </c>
      <c r="M605" s="25">
        <f>IFERROR(__xludf.DUMMYFUNCTION("""COMPUTED_VALUE"""),45034.0)</f>
        <v>45034</v>
      </c>
    </row>
    <row r="606">
      <c r="A606" s="10" t="s">
        <v>593</v>
      </c>
      <c r="B606" s="3" t="s">
        <v>594</v>
      </c>
      <c r="C606" s="10" t="s">
        <v>651</v>
      </c>
      <c r="D606" s="3" t="s">
        <v>652</v>
      </c>
      <c r="E606" s="4" t="s">
        <v>8</v>
      </c>
      <c r="F606" s="5" t="s">
        <v>45</v>
      </c>
      <c r="G606" s="6" t="s">
        <v>658</v>
      </c>
      <c r="H606" s="7">
        <v>45038.0</v>
      </c>
      <c r="I606" s="8">
        <f t="shared" si="1"/>
        <v>22</v>
      </c>
      <c r="J606" s="9">
        <f t="shared" si="2"/>
        <v>4</v>
      </c>
      <c r="K606" s="9">
        <f t="shared" si="3"/>
        <v>2023</v>
      </c>
      <c r="M606" s="25">
        <f>IFERROR(__xludf.DUMMYFUNCTION("""COMPUTED_VALUE"""),45038.0)</f>
        <v>45038</v>
      </c>
    </row>
    <row r="607">
      <c r="A607" s="10" t="s">
        <v>593</v>
      </c>
      <c r="B607" s="3" t="s">
        <v>594</v>
      </c>
      <c r="C607" s="10" t="s">
        <v>651</v>
      </c>
      <c r="D607" s="3" t="s">
        <v>652</v>
      </c>
      <c r="E607" s="4" t="s">
        <v>8</v>
      </c>
      <c r="F607" s="5" t="s">
        <v>13</v>
      </c>
      <c r="G607" s="6" t="s">
        <v>659</v>
      </c>
      <c r="H607" s="7">
        <v>45049.0</v>
      </c>
      <c r="I607" s="8">
        <f t="shared" si="1"/>
        <v>3</v>
      </c>
      <c r="J607" s="9">
        <f t="shared" si="2"/>
        <v>5</v>
      </c>
      <c r="K607" s="9">
        <f t="shared" si="3"/>
        <v>2023</v>
      </c>
      <c r="M607" s="25">
        <f>IFERROR(__xludf.DUMMYFUNCTION("""COMPUTED_VALUE"""),45049.0)</f>
        <v>45049</v>
      </c>
    </row>
    <row r="608">
      <c r="A608" s="10" t="s">
        <v>593</v>
      </c>
      <c r="B608" s="3" t="s">
        <v>594</v>
      </c>
      <c r="C608" s="10" t="s">
        <v>651</v>
      </c>
      <c r="D608" s="3" t="s">
        <v>652</v>
      </c>
      <c r="E608" s="4" t="s">
        <v>3</v>
      </c>
      <c r="F608" s="5" t="s">
        <v>15</v>
      </c>
      <c r="G608" s="6" t="s">
        <v>660</v>
      </c>
      <c r="H608" s="7">
        <v>45058.0</v>
      </c>
      <c r="I608" s="8">
        <f t="shared" si="1"/>
        <v>12</v>
      </c>
      <c r="J608" s="9">
        <f t="shared" si="2"/>
        <v>5</v>
      </c>
      <c r="K608" s="9">
        <f t="shared" si="3"/>
        <v>2023</v>
      </c>
      <c r="M608" s="25">
        <f>IFERROR(__xludf.DUMMYFUNCTION("""COMPUTED_VALUE"""),45058.0)</f>
        <v>45058</v>
      </c>
    </row>
    <row r="609">
      <c r="A609" s="10" t="s">
        <v>593</v>
      </c>
      <c r="B609" s="3" t="s">
        <v>594</v>
      </c>
      <c r="C609" s="10" t="s">
        <v>651</v>
      </c>
      <c r="D609" s="3" t="s">
        <v>652</v>
      </c>
      <c r="E609" s="4" t="s">
        <v>8</v>
      </c>
      <c r="F609" s="5" t="s">
        <v>35</v>
      </c>
      <c r="G609" s="6" t="s">
        <v>661</v>
      </c>
      <c r="H609" s="7">
        <v>45074.0</v>
      </c>
      <c r="I609" s="8">
        <f t="shared" si="1"/>
        <v>28</v>
      </c>
      <c r="J609" s="9">
        <f t="shared" si="2"/>
        <v>5</v>
      </c>
      <c r="K609" s="9">
        <f t="shared" si="3"/>
        <v>2023</v>
      </c>
      <c r="M609" s="25">
        <f>IFERROR(__xludf.DUMMYFUNCTION("""COMPUTED_VALUE"""),45074.0)</f>
        <v>45074</v>
      </c>
    </row>
    <row r="610">
      <c r="A610" s="10" t="s">
        <v>593</v>
      </c>
      <c r="B610" s="3" t="s">
        <v>594</v>
      </c>
      <c r="C610" s="10" t="s">
        <v>651</v>
      </c>
      <c r="D610" s="3" t="s">
        <v>652</v>
      </c>
      <c r="E610" s="4" t="s">
        <v>3</v>
      </c>
      <c r="F610" s="5" t="s">
        <v>120</v>
      </c>
      <c r="G610" s="6" t="s">
        <v>662</v>
      </c>
      <c r="H610" s="7">
        <v>45149.0</v>
      </c>
      <c r="I610" s="8">
        <f t="shared" si="1"/>
        <v>11</v>
      </c>
      <c r="J610" s="9">
        <f t="shared" si="2"/>
        <v>8</v>
      </c>
      <c r="K610" s="9">
        <f t="shared" si="3"/>
        <v>2023</v>
      </c>
      <c r="M610" s="25">
        <f>IFERROR(__xludf.DUMMYFUNCTION("""COMPUTED_VALUE"""),45149.0)</f>
        <v>45149</v>
      </c>
    </row>
    <row r="611">
      <c r="A611" s="10" t="s">
        <v>593</v>
      </c>
      <c r="B611" s="3" t="s">
        <v>594</v>
      </c>
      <c r="C611" s="10" t="s">
        <v>651</v>
      </c>
      <c r="D611" s="3" t="s">
        <v>652</v>
      </c>
      <c r="E611" s="4" t="s">
        <v>3</v>
      </c>
      <c r="F611" s="5" t="s">
        <v>96</v>
      </c>
      <c r="G611" s="6" t="s">
        <v>663</v>
      </c>
      <c r="H611" s="7">
        <v>45150.0</v>
      </c>
      <c r="I611" s="8">
        <f t="shared" si="1"/>
        <v>12</v>
      </c>
      <c r="J611" s="9">
        <f t="shared" si="2"/>
        <v>8</v>
      </c>
      <c r="K611" s="9">
        <f t="shared" si="3"/>
        <v>2023</v>
      </c>
      <c r="M611" s="25">
        <f>IFERROR(__xludf.DUMMYFUNCTION("""COMPUTED_VALUE"""),45150.0)</f>
        <v>45150</v>
      </c>
    </row>
    <row r="612">
      <c r="A612" s="10" t="s">
        <v>593</v>
      </c>
      <c r="B612" s="3" t="s">
        <v>594</v>
      </c>
      <c r="C612" s="10" t="s">
        <v>651</v>
      </c>
      <c r="D612" s="3" t="s">
        <v>652</v>
      </c>
      <c r="E612" s="4" t="s">
        <v>3</v>
      </c>
      <c r="F612" s="5" t="s">
        <v>39</v>
      </c>
      <c r="G612" s="6" t="s">
        <v>664</v>
      </c>
      <c r="H612" s="7">
        <v>45160.0</v>
      </c>
      <c r="I612" s="8">
        <f t="shared" si="1"/>
        <v>22</v>
      </c>
      <c r="J612" s="9">
        <f t="shared" si="2"/>
        <v>8</v>
      </c>
      <c r="K612" s="9">
        <f t="shared" si="3"/>
        <v>2023</v>
      </c>
      <c r="M612" s="25">
        <f>IFERROR(__xludf.DUMMYFUNCTION("""COMPUTED_VALUE"""),45160.0)</f>
        <v>45160</v>
      </c>
    </row>
    <row r="613">
      <c r="A613" s="10" t="s">
        <v>593</v>
      </c>
      <c r="B613" s="3" t="s">
        <v>594</v>
      </c>
      <c r="C613" s="10" t="s">
        <v>651</v>
      </c>
      <c r="D613" s="3" t="s">
        <v>652</v>
      </c>
      <c r="E613" s="4" t="s">
        <v>3</v>
      </c>
      <c r="F613" s="5" t="s">
        <v>96</v>
      </c>
      <c r="G613" s="6" t="s">
        <v>351</v>
      </c>
      <c r="H613" s="7">
        <v>45162.0</v>
      </c>
      <c r="I613" s="8">
        <f t="shared" si="1"/>
        <v>24</v>
      </c>
      <c r="J613" s="9">
        <f t="shared" si="2"/>
        <v>8</v>
      </c>
      <c r="K613" s="9">
        <f t="shared" si="3"/>
        <v>2023</v>
      </c>
      <c r="M613" s="25">
        <f>IFERROR(__xludf.DUMMYFUNCTION("""COMPUTED_VALUE"""),45162.0)</f>
        <v>45162</v>
      </c>
    </row>
    <row r="614">
      <c r="A614" s="10" t="s">
        <v>593</v>
      </c>
      <c r="B614" s="3" t="s">
        <v>594</v>
      </c>
      <c r="C614" s="10" t="s">
        <v>651</v>
      </c>
      <c r="D614" s="3" t="s">
        <v>652</v>
      </c>
      <c r="E614" s="4" t="s">
        <v>8</v>
      </c>
      <c r="F614" s="5" t="s">
        <v>35</v>
      </c>
      <c r="G614" s="6" t="s">
        <v>665</v>
      </c>
      <c r="H614" s="7">
        <v>45164.0</v>
      </c>
      <c r="I614" s="8">
        <f t="shared" si="1"/>
        <v>26</v>
      </c>
      <c r="J614" s="9">
        <f t="shared" si="2"/>
        <v>8</v>
      </c>
      <c r="K614" s="9">
        <f t="shared" si="3"/>
        <v>2023</v>
      </c>
      <c r="M614" s="25">
        <f>IFERROR(__xludf.DUMMYFUNCTION("""COMPUTED_VALUE"""),45164.0)</f>
        <v>45164</v>
      </c>
    </row>
    <row r="615">
      <c r="A615" s="10" t="s">
        <v>593</v>
      </c>
      <c r="B615" s="3" t="s">
        <v>594</v>
      </c>
      <c r="C615" s="10" t="s">
        <v>651</v>
      </c>
      <c r="D615" s="3" t="s">
        <v>652</v>
      </c>
      <c r="E615" s="4" t="s">
        <v>3</v>
      </c>
      <c r="F615" s="5" t="s">
        <v>4</v>
      </c>
      <c r="G615" s="6" t="s">
        <v>546</v>
      </c>
      <c r="H615" s="7">
        <v>45188.0</v>
      </c>
      <c r="I615" s="8">
        <f t="shared" si="1"/>
        <v>19</v>
      </c>
      <c r="J615" s="9">
        <f t="shared" si="2"/>
        <v>9</v>
      </c>
      <c r="K615" s="9">
        <f t="shared" si="3"/>
        <v>2023</v>
      </c>
      <c r="M615" s="25">
        <f>IFERROR(__xludf.DUMMYFUNCTION("""COMPUTED_VALUE"""),45188.0)</f>
        <v>45188</v>
      </c>
    </row>
    <row r="616">
      <c r="A616" s="10" t="s">
        <v>593</v>
      </c>
      <c r="B616" s="3" t="s">
        <v>594</v>
      </c>
      <c r="C616" s="10" t="s">
        <v>651</v>
      </c>
      <c r="D616" s="3" t="s">
        <v>652</v>
      </c>
      <c r="E616" s="4" t="s">
        <v>8</v>
      </c>
      <c r="F616" s="5" t="s">
        <v>23</v>
      </c>
      <c r="G616" s="6" t="s">
        <v>666</v>
      </c>
      <c r="H616" s="7">
        <v>45205.0</v>
      </c>
      <c r="I616" s="8">
        <f t="shared" si="1"/>
        <v>6</v>
      </c>
      <c r="J616" s="9">
        <f t="shared" si="2"/>
        <v>10</v>
      </c>
      <c r="K616" s="9">
        <f t="shared" si="3"/>
        <v>2023</v>
      </c>
      <c r="M616" s="25">
        <f>IFERROR(__xludf.DUMMYFUNCTION("""COMPUTED_VALUE"""),45205.0)</f>
        <v>45205</v>
      </c>
    </row>
    <row r="617">
      <c r="A617" s="10" t="s">
        <v>593</v>
      </c>
      <c r="B617" s="3" t="s">
        <v>594</v>
      </c>
      <c r="C617" s="10" t="s">
        <v>651</v>
      </c>
      <c r="D617" s="3" t="s">
        <v>652</v>
      </c>
      <c r="E617" s="4" t="s">
        <v>8</v>
      </c>
      <c r="F617" s="5" t="s">
        <v>28</v>
      </c>
      <c r="G617" s="6" t="s">
        <v>667</v>
      </c>
      <c r="H617" s="7">
        <v>45249.0</v>
      </c>
      <c r="I617" s="8">
        <f t="shared" si="1"/>
        <v>19</v>
      </c>
      <c r="J617" s="9">
        <f t="shared" si="2"/>
        <v>11</v>
      </c>
      <c r="K617" s="9">
        <f t="shared" si="3"/>
        <v>2023</v>
      </c>
      <c r="M617" s="25">
        <f>IFERROR(__xludf.DUMMYFUNCTION("""COMPUTED_VALUE"""),45249.0)</f>
        <v>45249</v>
      </c>
    </row>
    <row r="618">
      <c r="A618" s="10" t="s">
        <v>593</v>
      </c>
      <c r="B618" s="3" t="s">
        <v>594</v>
      </c>
      <c r="C618" s="10" t="s">
        <v>651</v>
      </c>
      <c r="D618" s="3" t="s">
        <v>652</v>
      </c>
      <c r="E618" s="4" t="s">
        <v>3</v>
      </c>
      <c r="F618" s="5" t="s">
        <v>19</v>
      </c>
      <c r="G618" s="6" t="s">
        <v>521</v>
      </c>
      <c r="H618" s="7">
        <v>45256.0</v>
      </c>
      <c r="I618" s="8">
        <f t="shared" si="1"/>
        <v>26</v>
      </c>
      <c r="J618" s="9">
        <f t="shared" si="2"/>
        <v>11</v>
      </c>
      <c r="K618" s="9">
        <f t="shared" si="3"/>
        <v>2023</v>
      </c>
      <c r="M618" s="25">
        <f>IFERROR(__xludf.DUMMYFUNCTION("""COMPUTED_VALUE"""),45256.0)</f>
        <v>45256</v>
      </c>
    </row>
    <row r="619">
      <c r="A619" s="10" t="s">
        <v>593</v>
      </c>
      <c r="B619" s="3" t="s">
        <v>594</v>
      </c>
      <c r="C619" s="10" t="s">
        <v>651</v>
      </c>
      <c r="D619" s="3" t="s">
        <v>652</v>
      </c>
      <c r="E619" s="4" t="s">
        <v>8</v>
      </c>
      <c r="F619" s="5" t="s">
        <v>28</v>
      </c>
      <c r="G619" s="6" t="s">
        <v>668</v>
      </c>
      <c r="H619" s="7">
        <v>45275.0</v>
      </c>
      <c r="I619" s="8">
        <f t="shared" si="1"/>
        <v>15</v>
      </c>
      <c r="J619" s="9">
        <f t="shared" si="2"/>
        <v>12</v>
      </c>
      <c r="K619" s="9">
        <f t="shared" si="3"/>
        <v>2023</v>
      </c>
      <c r="M619" s="25">
        <f>IFERROR(__xludf.DUMMYFUNCTION("""COMPUTED_VALUE"""),45275.0)</f>
        <v>45275</v>
      </c>
    </row>
    <row r="620">
      <c r="A620" s="10" t="s">
        <v>593</v>
      </c>
      <c r="B620" s="3" t="s">
        <v>594</v>
      </c>
      <c r="C620" s="10" t="s">
        <v>651</v>
      </c>
      <c r="D620" s="3" t="s">
        <v>652</v>
      </c>
      <c r="E620" s="4" t="s">
        <v>3</v>
      </c>
      <c r="F620" s="5" t="s">
        <v>96</v>
      </c>
      <c r="G620" s="6" t="s">
        <v>54</v>
      </c>
      <c r="H620" s="7">
        <v>45280.0</v>
      </c>
      <c r="I620" s="8">
        <f t="shared" si="1"/>
        <v>20</v>
      </c>
      <c r="J620" s="9">
        <f t="shared" si="2"/>
        <v>12</v>
      </c>
      <c r="K620" s="9">
        <f t="shared" si="3"/>
        <v>2023</v>
      </c>
      <c r="M620" s="25">
        <f>IFERROR(__xludf.DUMMYFUNCTION("""COMPUTED_VALUE"""),45280.0)</f>
        <v>45280</v>
      </c>
    </row>
    <row r="621">
      <c r="A621" s="10" t="s">
        <v>613</v>
      </c>
      <c r="B621" s="3" t="s">
        <v>614</v>
      </c>
      <c r="C621" s="10" t="s">
        <v>669</v>
      </c>
      <c r="D621" s="3" t="s">
        <v>670</v>
      </c>
      <c r="E621" s="4" t="s">
        <v>3</v>
      </c>
      <c r="F621" s="5" t="s">
        <v>120</v>
      </c>
      <c r="G621" s="6" t="s">
        <v>671</v>
      </c>
      <c r="H621" s="7">
        <v>44940.0</v>
      </c>
      <c r="I621" s="8">
        <f t="shared" si="1"/>
        <v>14</v>
      </c>
      <c r="J621" s="9">
        <f t="shared" si="2"/>
        <v>1</v>
      </c>
      <c r="K621" s="9">
        <f t="shared" si="3"/>
        <v>2023</v>
      </c>
      <c r="M621" s="25">
        <f>IFERROR(__xludf.DUMMYFUNCTION("""COMPUTED_VALUE"""),44940.0)</f>
        <v>44940</v>
      </c>
    </row>
    <row r="622">
      <c r="A622" s="10" t="s">
        <v>613</v>
      </c>
      <c r="B622" s="3" t="s">
        <v>614</v>
      </c>
      <c r="C622" s="10" t="s">
        <v>669</v>
      </c>
      <c r="D622" s="3" t="s">
        <v>670</v>
      </c>
      <c r="E622" s="4" t="s">
        <v>3</v>
      </c>
      <c r="F622" s="5" t="s">
        <v>11</v>
      </c>
      <c r="G622" s="6" t="s">
        <v>672</v>
      </c>
      <c r="H622" s="7">
        <v>44963.0</v>
      </c>
      <c r="I622" s="8">
        <f t="shared" si="1"/>
        <v>6</v>
      </c>
      <c r="J622" s="9">
        <f t="shared" si="2"/>
        <v>2</v>
      </c>
      <c r="K622" s="9">
        <f t="shared" si="3"/>
        <v>2023</v>
      </c>
      <c r="M622" s="25">
        <f>IFERROR(__xludf.DUMMYFUNCTION("""COMPUTED_VALUE"""),44963.0)</f>
        <v>44963</v>
      </c>
    </row>
    <row r="623">
      <c r="A623" s="10" t="s">
        <v>613</v>
      </c>
      <c r="B623" s="3" t="s">
        <v>614</v>
      </c>
      <c r="C623" s="10" t="s">
        <v>669</v>
      </c>
      <c r="D623" s="3" t="s">
        <v>670</v>
      </c>
      <c r="E623" s="4" t="s">
        <v>8</v>
      </c>
      <c r="F623" s="5" t="s">
        <v>13</v>
      </c>
      <c r="G623" s="6" t="s">
        <v>673</v>
      </c>
      <c r="H623" s="7">
        <v>44968.0</v>
      </c>
      <c r="I623" s="8">
        <f t="shared" si="1"/>
        <v>11</v>
      </c>
      <c r="J623" s="9">
        <f t="shared" si="2"/>
        <v>2</v>
      </c>
      <c r="K623" s="9">
        <f t="shared" si="3"/>
        <v>2023</v>
      </c>
      <c r="M623" s="25">
        <f>IFERROR(__xludf.DUMMYFUNCTION("""COMPUTED_VALUE"""),44968.0)</f>
        <v>44968</v>
      </c>
    </row>
    <row r="624">
      <c r="A624" s="10" t="s">
        <v>613</v>
      </c>
      <c r="B624" s="3" t="s">
        <v>614</v>
      </c>
      <c r="C624" s="10" t="s">
        <v>669</v>
      </c>
      <c r="D624" s="3" t="s">
        <v>670</v>
      </c>
      <c r="E624" s="4" t="s">
        <v>8</v>
      </c>
      <c r="F624" s="5" t="s">
        <v>71</v>
      </c>
      <c r="G624" s="6" t="s">
        <v>674</v>
      </c>
      <c r="H624" s="7">
        <v>44973.0</v>
      </c>
      <c r="I624" s="8">
        <f t="shared" si="1"/>
        <v>16</v>
      </c>
      <c r="J624" s="9">
        <f t="shared" si="2"/>
        <v>2</v>
      </c>
      <c r="K624" s="9">
        <f t="shared" si="3"/>
        <v>2023</v>
      </c>
      <c r="M624" s="25">
        <f>IFERROR(__xludf.DUMMYFUNCTION("""COMPUTED_VALUE"""),44973.0)</f>
        <v>44973</v>
      </c>
    </row>
    <row r="625">
      <c r="A625" s="10" t="s">
        <v>613</v>
      </c>
      <c r="B625" s="3" t="s">
        <v>614</v>
      </c>
      <c r="C625" s="10" t="s">
        <v>669</v>
      </c>
      <c r="D625" s="3" t="s">
        <v>670</v>
      </c>
      <c r="E625" s="4" t="s">
        <v>3</v>
      </c>
      <c r="F625" s="5" t="s">
        <v>76</v>
      </c>
      <c r="G625" s="6" t="s">
        <v>675</v>
      </c>
      <c r="H625" s="7">
        <v>44978.0</v>
      </c>
      <c r="I625" s="8">
        <f t="shared" si="1"/>
        <v>21</v>
      </c>
      <c r="J625" s="9">
        <f t="shared" si="2"/>
        <v>2</v>
      </c>
      <c r="K625" s="9">
        <f t="shared" si="3"/>
        <v>2023</v>
      </c>
      <c r="M625" s="25">
        <f>IFERROR(__xludf.DUMMYFUNCTION("""COMPUTED_VALUE"""),44978.0)</f>
        <v>44978</v>
      </c>
    </row>
    <row r="626">
      <c r="A626" s="10" t="s">
        <v>613</v>
      </c>
      <c r="B626" s="3" t="s">
        <v>614</v>
      </c>
      <c r="C626" s="10" t="s">
        <v>669</v>
      </c>
      <c r="D626" s="3" t="s">
        <v>670</v>
      </c>
      <c r="E626" s="4" t="s">
        <v>3</v>
      </c>
      <c r="F626" s="5" t="s">
        <v>28</v>
      </c>
      <c r="G626" s="6" t="s">
        <v>676</v>
      </c>
      <c r="H626" s="7">
        <v>44995.0</v>
      </c>
      <c r="I626" s="8">
        <f t="shared" si="1"/>
        <v>10</v>
      </c>
      <c r="J626" s="9">
        <f t="shared" si="2"/>
        <v>3</v>
      </c>
      <c r="K626" s="9">
        <f t="shared" si="3"/>
        <v>2023</v>
      </c>
      <c r="M626" s="25">
        <f>IFERROR(__xludf.DUMMYFUNCTION("""COMPUTED_VALUE"""),44995.0)</f>
        <v>44995</v>
      </c>
    </row>
    <row r="627">
      <c r="A627" s="10" t="s">
        <v>613</v>
      </c>
      <c r="B627" s="3" t="s">
        <v>614</v>
      </c>
      <c r="C627" s="10" t="s">
        <v>669</v>
      </c>
      <c r="D627" s="3" t="s">
        <v>670</v>
      </c>
      <c r="E627" s="4" t="s">
        <v>3</v>
      </c>
      <c r="F627" s="5" t="s">
        <v>35</v>
      </c>
      <c r="G627" s="6" t="s">
        <v>677</v>
      </c>
      <c r="H627" s="7">
        <v>45011.0</v>
      </c>
      <c r="I627" s="8">
        <f t="shared" si="1"/>
        <v>26</v>
      </c>
      <c r="J627" s="9">
        <f t="shared" si="2"/>
        <v>3</v>
      </c>
      <c r="K627" s="9">
        <f t="shared" si="3"/>
        <v>2023</v>
      </c>
      <c r="M627" s="25">
        <f>IFERROR(__xludf.DUMMYFUNCTION("""COMPUTED_VALUE"""),45011.0)</f>
        <v>45011</v>
      </c>
    </row>
    <row r="628">
      <c r="A628" s="10" t="s">
        <v>613</v>
      </c>
      <c r="B628" s="3" t="s">
        <v>614</v>
      </c>
      <c r="C628" s="10" t="s">
        <v>669</v>
      </c>
      <c r="D628" s="3" t="s">
        <v>670</v>
      </c>
      <c r="E628" s="4" t="s">
        <v>3</v>
      </c>
      <c r="F628" s="5" t="s">
        <v>28</v>
      </c>
      <c r="G628" s="6" t="s">
        <v>203</v>
      </c>
      <c r="H628" s="7">
        <v>45028.0</v>
      </c>
      <c r="I628" s="8">
        <f t="shared" si="1"/>
        <v>12</v>
      </c>
      <c r="J628" s="9">
        <f t="shared" si="2"/>
        <v>4</v>
      </c>
      <c r="K628" s="9">
        <f t="shared" si="3"/>
        <v>2023</v>
      </c>
      <c r="M628" s="25">
        <f>IFERROR(__xludf.DUMMYFUNCTION("""COMPUTED_VALUE"""),45028.0)</f>
        <v>45028</v>
      </c>
    </row>
    <row r="629">
      <c r="A629" s="10" t="s">
        <v>613</v>
      </c>
      <c r="B629" s="3" t="s">
        <v>614</v>
      </c>
      <c r="C629" s="10" t="s">
        <v>669</v>
      </c>
      <c r="D629" s="3" t="s">
        <v>670</v>
      </c>
      <c r="E629" s="4" t="s">
        <v>8</v>
      </c>
      <c r="F629" s="5" t="s">
        <v>13</v>
      </c>
      <c r="G629" s="6" t="s">
        <v>678</v>
      </c>
      <c r="H629" s="7">
        <v>45060.0</v>
      </c>
      <c r="I629" s="8">
        <f t="shared" si="1"/>
        <v>14</v>
      </c>
      <c r="J629" s="9">
        <f t="shared" si="2"/>
        <v>5</v>
      </c>
      <c r="K629" s="9">
        <f t="shared" si="3"/>
        <v>2023</v>
      </c>
      <c r="M629" s="25">
        <f>IFERROR(__xludf.DUMMYFUNCTION("""COMPUTED_VALUE"""),45060.0)</f>
        <v>45060</v>
      </c>
    </row>
    <row r="630">
      <c r="A630" s="10" t="s">
        <v>613</v>
      </c>
      <c r="B630" s="3" t="s">
        <v>614</v>
      </c>
      <c r="C630" s="10" t="s">
        <v>669</v>
      </c>
      <c r="D630" s="3" t="s">
        <v>670</v>
      </c>
      <c r="E630" s="4" t="s">
        <v>3</v>
      </c>
      <c r="F630" s="5" t="s">
        <v>11</v>
      </c>
      <c r="G630" s="6" t="s">
        <v>679</v>
      </c>
      <c r="H630" s="7">
        <v>45087.0</v>
      </c>
      <c r="I630" s="8">
        <f t="shared" si="1"/>
        <v>10</v>
      </c>
      <c r="J630" s="9">
        <f t="shared" si="2"/>
        <v>6</v>
      </c>
      <c r="K630" s="9">
        <f t="shared" si="3"/>
        <v>2023</v>
      </c>
      <c r="M630" s="25">
        <f>IFERROR(__xludf.DUMMYFUNCTION("""COMPUTED_VALUE"""),45087.0)</f>
        <v>45087</v>
      </c>
    </row>
    <row r="631">
      <c r="A631" s="10" t="s">
        <v>613</v>
      </c>
      <c r="B631" s="3" t="s">
        <v>614</v>
      </c>
      <c r="C631" s="10" t="s">
        <v>669</v>
      </c>
      <c r="D631" s="3" t="s">
        <v>670</v>
      </c>
      <c r="E631" s="4" t="s">
        <v>8</v>
      </c>
      <c r="F631" s="5" t="s">
        <v>17</v>
      </c>
      <c r="G631" s="6" t="s">
        <v>680</v>
      </c>
      <c r="H631" s="7">
        <v>45142.0</v>
      </c>
      <c r="I631" s="8">
        <f t="shared" si="1"/>
        <v>4</v>
      </c>
      <c r="J631" s="9">
        <f t="shared" si="2"/>
        <v>8</v>
      </c>
      <c r="K631" s="9">
        <f t="shared" si="3"/>
        <v>2023</v>
      </c>
      <c r="M631" s="25">
        <f>IFERROR(__xludf.DUMMYFUNCTION("""COMPUTED_VALUE"""),45142.0)</f>
        <v>45142</v>
      </c>
    </row>
    <row r="632">
      <c r="A632" s="10" t="s">
        <v>613</v>
      </c>
      <c r="B632" s="3" t="s">
        <v>614</v>
      </c>
      <c r="C632" s="10" t="s">
        <v>669</v>
      </c>
      <c r="D632" s="3" t="s">
        <v>670</v>
      </c>
      <c r="E632" s="4" t="s">
        <v>8</v>
      </c>
      <c r="F632" s="5" t="s">
        <v>71</v>
      </c>
      <c r="G632" s="6" t="s">
        <v>681</v>
      </c>
      <c r="H632" s="7">
        <v>45146.0</v>
      </c>
      <c r="I632" s="8">
        <f t="shared" si="1"/>
        <v>8</v>
      </c>
      <c r="J632" s="9">
        <f t="shared" si="2"/>
        <v>8</v>
      </c>
      <c r="K632" s="9">
        <f t="shared" si="3"/>
        <v>2023</v>
      </c>
      <c r="M632" s="25">
        <f>IFERROR(__xludf.DUMMYFUNCTION("""COMPUTED_VALUE"""),45146.0)</f>
        <v>45146</v>
      </c>
    </row>
    <row r="633">
      <c r="A633" s="10" t="s">
        <v>613</v>
      </c>
      <c r="B633" s="3" t="s">
        <v>614</v>
      </c>
      <c r="C633" s="10" t="s">
        <v>669</v>
      </c>
      <c r="D633" s="3" t="s">
        <v>670</v>
      </c>
      <c r="E633" s="4" t="s">
        <v>8</v>
      </c>
      <c r="F633" s="5" t="s">
        <v>35</v>
      </c>
      <c r="G633" s="6" t="s">
        <v>682</v>
      </c>
      <c r="H633" s="7">
        <v>45150.0</v>
      </c>
      <c r="I633" s="8">
        <f t="shared" si="1"/>
        <v>12</v>
      </c>
      <c r="J633" s="9">
        <f t="shared" si="2"/>
        <v>8</v>
      </c>
      <c r="K633" s="9">
        <f t="shared" si="3"/>
        <v>2023</v>
      </c>
      <c r="M633" s="25">
        <f>IFERROR(__xludf.DUMMYFUNCTION("""COMPUTED_VALUE"""),45150.0)</f>
        <v>45150</v>
      </c>
    </row>
    <row r="634">
      <c r="A634" s="10" t="s">
        <v>613</v>
      </c>
      <c r="B634" s="3" t="s">
        <v>614</v>
      </c>
      <c r="C634" s="10" t="s">
        <v>669</v>
      </c>
      <c r="D634" s="3" t="s">
        <v>670</v>
      </c>
      <c r="E634" s="4" t="s">
        <v>8</v>
      </c>
      <c r="F634" s="5" t="s">
        <v>17</v>
      </c>
      <c r="G634" s="6" t="s">
        <v>131</v>
      </c>
      <c r="H634" s="7">
        <v>45153.0</v>
      </c>
      <c r="I634" s="8">
        <f t="shared" si="1"/>
        <v>15</v>
      </c>
      <c r="J634" s="9">
        <f t="shared" si="2"/>
        <v>8</v>
      </c>
      <c r="K634" s="9">
        <f t="shared" si="3"/>
        <v>2023</v>
      </c>
      <c r="M634" s="25">
        <f>IFERROR(__xludf.DUMMYFUNCTION("""COMPUTED_VALUE"""),45153.0)</f>
        <v>45153</v>
      </c>
    </row>
    <row r="635">
      <c r="A635" s="10" t="s">
        <v>613</v>
      </c>
      <c r="B635" s="3" t="s">
        <v>614</v>
      </c>
      <c r="C635" s="10" t="s">
        <v>669</v>
      </c>
      <c r="D635" s="3" t="s">
        <v>670</v>
      </c>
      <c r="E635" s="4" t="s">
        <v>3</v>
      </c>
      <c r="F635" s="5" t="s">
        <v>71</v>
      </c>
      <c r="G635" s="6" t="s">
        <v>683</v>
      </c>
      <c r="H635" s="7">
        <v>45166.0</v>
      </c>
      <c r="I635" s="8">
        <f t="shared" si="1"/>
        <v>28</v>
      </c>
      <c r="J635" s="9">
        <f t="shared" si="2"/>
        <v>8</v>
      </c>
      <c r="K635" s="9">
        <f t="shared" si="3"/>
        <v>2023</v>
      </c>
      <c r="M635" s="25">
        <f>IFERROR(__xludf.DUMMYFUNCTION("""COMPUTED_VALUE"""),45166.0)</f>
        <v>45166</v>
      </c>
    </row>
    <row r="636">
      <c r="A636" s="10" t="s">
        <v>613</v>
      </c>
      <c r="B636" s="3" t="s">
        <v>614</v>
      </c>
      <c r="C636" s="10" t="s">
        <v>669</v>
      </c>
      <c r="D636" s="3" t="s">
        <v>670</v>
      </c>
      <c r="E636" s="4" t="s">
        <v>3</v>
      </c>
      <c r="F636" s="5" t="s">
        <v>23</v>
      </c>
      <c r="G636" s="6" t="s">
        <v>684</v>
      </c>
      <c r="H636" s="7">
        <v>45170.0</v>
      </c>
      <c r="I636" s="8">
        <f t="shared" si="1"/>
        <v>1</v>
      </c>
      <c r="J636" s="9">
        <f t="shared" si="2"/>
        <v>9</v>
      </c>
      <c r="K636" s="9">
        <f t="shared" si="3"/>
        <v>2023</v>
      </c>
      <c r="M636" s="25">
        <f>IFERROR(__xludf.DUMMYFUNCTION("""COMPUTED_VALUE"""),45170.0)</f>
        <v>45170</v>
      </c>
    </row>
    <row r="637">
      <c r="A637" s="10" t="s">
        <v>613</v>
      </c>
      <c r="B637" s="3" t="s">
        <v>614</v>
      </c>
      <c r="C637" s="10" t="s">
        <v>669</v>
      </c>
      <c r="D637" s="3" t="s">
        <v>670</v>
      </c>
      <c r="E637" s="4" t="s">
        <v>8</v>
      </c>
      <c r="F637" s="5" t="s">
        <v>51</v>
      </c>
      <c r="G637" s="6" t="s">
        <v>685</v>
      </c>
      <c r="H637" s="7">
        <v>45179.0</v>
      </c>
      <c r="I637" s="8">
        <f t="shared" si="1"/>
        <v>10</v>
      </c>
      <c r="J637" s="9">
        <f t="shared" si="2"/>
        <v>9</v>
      </c>
      <c r="K637" s="9">
        <f t="shared" si="3"/>
        <v>2023</v>
      </c>
      <c r="M637" s="25">
        <f>IFERROR(__xludf.DUMMYFUNCTION("""COMPUTED_VALUE"""),45179.0)</f>
        <v>45179</v>
      </c>
    </row>
    <row r="638">
      <c r="A638" s="10" t="s">
        <v>613</v>
      </c>
      <c r="B638" s="3" t="s">
        <v>614</v>
      </c>
      <c r="C638" s="10" t="s">
        <v>669</v>
      </c>
      <c r="D638" s="3" t="s">
        <v>670</v>
      </c>
      <c r="E638" s="4" t="s">
        <v>8</v>
      </c>
      <c r="F638" s="5" t="s">
        <v>42</v>
      </c>
      <c r="G638" s="6" t="s">
        <v>643</v>
      </c>
      <c r="H638" s="7">
        <v>45183.0</v>
      </c>
      <c r="I638" s="8">
        <f t="shared" si="1"/>
        <v>14</v>
      </c>
      <c r="J638" s="9">
        <f t="shared" si="2"/>
        <v>9</v>
      </c>
      <c r="K638" s="9">
        <f t="shared" si="3"/>
        <v>2023</v>
      </c>
      <c r="M638" s="25">
        <f>IFERROR(__xludf.DUMMYFUNCTION("""COMPUTED_VALUE"""),45183.0)</f>
        <v>45183</v>
      </c>
    </row>
    <row r="639">
      <c r="A639" s="10" t="s">
        <v>613</v>
      </c>
      <c r="B639" s="3" t="s">
        <v>614</v>
      </c>
      <c r="C639" s="10" t="s">
        <v>669</v>
      </c>
      <c r="D639" s="3" t="s">
        <v>670</v>
      </c>
      <c r="E639" s="4" t="s">
        <v>3</v>
      </c>
      <c r="F639" s="5" t="s">
        <v>11</v>
      </c>
      <c r="G639" s="6" t="s">
        <v>686</v>
      </c>
      <c r="H639" s="7">
        <v>45187.0</v>
      </c>
      <c r="I639" s="8">
        <f t="shared" si="1"/>
        <v>18</v>
      </c>
      <c r="J639" s="9">
        <f t="shared" si="2"/>
        <v>9</v>
      </c>
      <c r="K639" s="9">
        <f t="shared" si="3"/>
        <v>2023</v>
      </c>
      <c r="M639" s="25">
        <f>IFERROR(__xludf.DUMMYFUNCTION("""COMPUTED_VALUE"""),45187.0)</f>
        <v>45187</v>
      </c>
    </row>
    <row r="640">
      <c r="A640" s="10" t="s">
        <v>613</v>
      </c>
      <c r="B640" s="3" t="s">
        <v>614</v>
      </c>
      <c r="C640" s="10" t="s">
        <v>669</v>
      </c>
      <c r="D640" s="3" t="s">
        <v>670</v>
      </c>
      <c r="E640" s="4" t="s">
        <v>8</v>
      </c>
      <c r="F640" s="5" t="s">
        <v>19</v>
      </c>
      <c r="G640" s="6" t="s">
        <v>687</v>
      </c>
      <c r="H640" s="7">
        <v>45192.0</v>
      </c>
      <c r="I640" s="8">
        <f t="shared" si="1"/>
        <v>23</v>
      </c>
      <c r="J640" s="9">
        <f t="shared" si="2"/>
        <v>9</v>
      </c>
      <c r="K640" s="9">
        <f t="shared" si="3"/>
        <v>2023</v>
      </c>
      <c r="M640" s="25">
        <f>IFERROR(__xludf.DUMMYFUNCTION("""COMPUTED_VALUE"""),45192.0)</f>
        <v>45192</v>
      </c>
    </row>
    <row r="641">
      <c r="A641" s="10" t="s">
        <v>632</v>
      </c>
      <c r="B641" s="3" t="s">
        <v>633</v>
      </c>
      <c r="C641" s="10" t="s">
        <v>688</v>
      </c>
      <c r="D641" s="3" t="s">
        <v>689</v>
      </c>
      <c r="E641" s="4" t="s">
        <v>3</v>
      </c>
      <c r="F641" s="5" t="s">
        <v>35</v>
      </c>
      <c r="G641" s="6" t="s">
        <v>690</v>
      </c>
      <c r="H641" s="7">
        <v>44949.0</v>
      </c>
      <c r="I641" s="8">
        <f t="shared" si="1"/>
        <v>23</v>
      </c>
      <c r="J641" s="9">
        <f t="shared" si="2"/>
        <v>1</v>
      </c>
      <c r="K641" s="9">
        <f t="shared" si="3"/>
        <v>2023</v>
      </c>
      <c r="M641" s="25">
        <f>IFERROR(__xludf.DUMMYFUNCTION("""COMPUTED_VALUE"""),44949.0)</f>
        <v>44949</v>
      </c>
    </row>
    <row r="642">
      <c r="A642" s="10" t="s">
        <v>632</v>
      </c>
      <c r="B642" s="3" t="s">
        <v>633</v>
      </c>
      <c r="C642" s="10" t="s">
        <v>688</v>
      </c>
      <c r="D642" s="3" t="s">
        <v>689</v>
      </c>
      <c r="E642" s="4" t="s">
        <v>8</v>
      </c>
      <c r="F642" s="5" t="s">
        <v>23</v>
      </c>
      <c r="G642" s="6" t="s">
        <v>691</v>
      </c>
      <c r="H642" s="7">
        <v>44952.0</v>
      </c>
      <c r="I642" s="8">
        <f t="shared" si="1"/>
        <v>26</v>
      </c>
      <c r="J642" s="9">
        <f t="shared" si="2"/>
        <v>1</v>
      </c>
      <c r="K642" s="9">
        <f t="shared" si="3"/>
        <v>2023</v>
      </c>
      <c r="M642" s="25">
        <f>IFERROR(__xludf.DUMMYFUNCTION("""COMPUTED_VALUE"""),44952.0)</f>
        <v>44952</v>
      </c>
    </row>
    <row r="643">
      <c r="A643" s="10" t="s">
        <v>632</v>
      </c>
      <c r="B643" s="3" t="s">
        <v>633</v>
      </c>
      <c r="C643" s="10" t="s">
        <v>688</v>
      </c>
      <c r="D643" s="3" t="s">
        <v>689</v>
      </c>
      <c r="E643" s="4" t="s">
        <v>3</v>
      </c>
      <c r="F643" s="5" t="s">
        <v>11</v>
      </c>
      <c r="G643" s="6" t="s">
        <v>692</v>
      </c>
      <c r="H643" s="7">
        <v>44954.0</v>
      </c>
      <c r="I643" s="8">
        <f t="shared" si="1"/>
        <v>28</v>
      </c>
      <c r="J643" s="9">
        <f t="shared" si="2"/>
        <v>1</v>
      </c>
      <c r="K643" s="9">
        <f t="shared" si="3"/>
        <v>2023</v>
      </c>
      <c r="M643" s="25">
        <f>IFERROR(__xludf.DUMMYFUNCTION("""COMPUTED_VALUE"""),44954.0)</f>
        <v>44954</v>
      </c>
    </row>
    <row r="644">
      <c r="A644" s="10" t="s">
        <v>632</v>
      </c>
      <c r="B644" s="3" t="s">
        <v>633</v>
      </c>
      <c r="C644" s="10" t="s">
        <v>688</v>
      </c>
      <c r="D644" s="3" t="s">
        <v>689</v>
      </c>
      <c r="E644" s="4" t="s">
        <v>8</v>
      </c>
      <c r="F644" s="5" t="s">
        <v>35</v>
      </c>
      <c r="G644" s="6" t="s">
        <v>693</v>
      </c>
      <c r="H644" s="7">
        <v>44960.0</v>
      </c>
      <c r="I644" s="8">
        <f t="shared" si="1"/>
        <v>3</v>
      </c>
      <c r="J644" s="9">
        <f t="shared" si="2"/>
        <v>2</v>
      </c>
      <c r="K644" s="9">
        <f t="shared" si="3"/>
        <v>2023</v>
      </c>
      <c r="M644" s="25">
        <f>IFERROR(__xludf.DUMMYFUNCTION("""COMPUTED_VALUE"""),44960.0)</f>
        <v>44960</v>
      </c>
    </row>
    <row r="645">
      <c r="A645" s="10" t="s">
        <v>632</v>
      </c>
      <c r="B645" s="3" t="s">
        <v>633</v>
      </c>
      <c r="C645" s="10" t="s">
        <v>688</v>
      </c>
      <c r="D645" s="3" t="s">
        <v>689</v>
      </c>
      <c r="E645" s="4" t="s">
        <v>8</v>
      </c>
      <c r="F645" s="5" t="s">
        <v>76</v>
      </c>
      <c r="G645" s="6" t="s">
        <v>694</v>
      </c>
      <c r="H645" s="7">
        <v>44968.0</v>
      </c>
      <c r="I645" s="8">
        <f t="shared" si="1"/>
        <v>11</v>
      </c>
      <c r="J645" s="9">
        <f t="shared" si="2"/>
        <v>2</v>
      </c>
      <c r="K645" s="9">
        <f t="shared" si="3"/>
        <v>2023</v>
      </c>
      <c r="M645" s="25">
        <f>IFERROR(__xludf.DUMMYFUNCTION("""COMPUTED_VALUE"""),44968.0)</f>
        <v>44968</v>
      </c>
    </row>
    <row r="646">
      <c r="A646" s="10" t="s">
        <v>632</v>
      </c>
      <c r="B646" s="3" t="s">
        <v>633</v>
      </c>
      <c r="C646" s="10" t="s">
        <v>688</v>
      </c>
      <c r="D646" s="3" t="s">
        <v>689</v>
      </c>
      <c r="E646" s="4" t="s">
        <v>3</v>
      </c>
      <c r="F646" s="5" t="s">
        <v>9</v>
      </c>
      <c r="G646" s="6" t="s">
        <v>495</v>
      </c>
      <c r="H646" s="7">
        <v>44988.0</v>
      </c>
      <c r="I646" s="8">
        <f t="shared" si="1"/>
        <v>3</v>
      </c>
      <c r="J646" s="9">
        <f t="shared" si="2"/>
        <v>3</v>
      </c>
      <c r="K646" s="9">
        <f t="shared" si="3"/>
        <v>2023</v>
      </c>
      <c r="M646" s="25">
        <f>IFERROR(__xludf.DUMMYFUNCTION("""COMPUTED_VALUE"""),44988.0)</f>
        <v>44988</v>
      </c>
    </row>
    <row r="647">
      <c r="A647" s="10" t="s">
        <v>632</v>
      </c>
      <c r="B647" s="3" t="s">
        <v>633</v>
      </c>
      <c r="C647" s="10" t="s">
        <v>688</v>
      </c>
      <c r="D647" s="3" t="s">
        <v>689</v>
      </c>
      <c r="E647" s="4" t="s">
        <v>8</v>
      </c>
      <c r="F647" s="5" t="s">
        <v>21</v>
      </c>
      <c r="G647" s="6" t="s">
        <v>14</v>
      </c>
      <c r="H647" s="7">
        <v>45011.0</v>
      </c>
      <c r="I647" s="8">
        <f t="shared" si="1"/>
        <v>26</v>
      </c>
      <c r="J647" s="9">
        <f t="shared" si="2"/>
        <v>3</v>
      </c>
      <c r="K647" s="9">
        <f t="shared" si="3"/>
        <v>2023</v>
      </c>
      <c r="M647" s="25">
        <f>IFERROR(__xludf.DUMMYFUNCTION("""COMPUTED_VALUE"""),45011.0)</f>
        <v>45011</v>
      </c>
    </row>
    <row r="648">
      <c r="A648" s="10" t="s">
        <v>632</v>
      </c>
      <c r="B648" s="3" t="s">
        <v>633</v>
      </c>
      <c r="C648" s="10" t="s">
        <v>688</v>
      </c>
      <c r="D648" s="3" t="s">
        <v>689</v>
      </c>
      <c r="E648" s="4" t="s">
        <v>3</v>
      </c>
      <c r="F648" s="5" t="s">
        <v>42</v>
      </c>
      <c r="G648" s="6" t="s">
        <v>569</v>
      </c>
      <c r="H648" s="7">
        <v>45011.0</v>
      </c>
      <c r="I648" s="8">
        <f t="shared" si="1"/>
        <v>26</v>
      </c>
      <c r="J648" s="9">
        <f t="shared" si="2"/>
        <v>3</v>
      </c>
      <c r="K648" s="9">
        <f t="shared" si="3"/>
        <v>2023</v>
      </c>
      <c r="M648" s="25">
        <f>IFERROR(__xludf.DUMMYFUNCTION("""COMPUTED_VALUE"""),45011.0)</f>
        <v>45011</v>
      </c>
    </row>
    <row r="649">
      <c r="A649" s="10" t="s">
        <v>632</v>
      </c>
      <c r="B649" s="3" t="s">
        <v>633</v>
      </c>
      <c r="C649" s="10" t="s">
        <v>688</v>
      </c>
      <c r="D649" s="3" t="s">
        <v>689</v>
      </c>
      <c r="E649" s="4" t="s">
        <v>8</v>
      </c>
      <c r="F649" s="5" t="s">
        <v>6</v>
      </c>
      <c r="G649" s="6" t="s">
        <v>695</v>
      </c>
      <c r="H649" s="7">
        <v>45044.0</v>
      </c>
      <c r="I649" s="8">
        <f t="shared" si="1"/>
        <v>28</v>
      </c>
      <c r="J649" s="9">
        <f t="shared" si="2"/>
        <v>4</v>
      </c>
      <c r="K649" s="9">
        <f t="shared" si="3"/>
        <v>2023</v>
      </c>
      <c r="M649" s="25">
        <f>IFERROR(__xludf.DUMMYFUNCTION("""COMPUTED_VALUE"""),45044.0)</f>
        <v>45044</v>
      </c>
    </row>
    <row r="650">
      <c r="A650" s="10" t="s">
        <v>632</v>
      </c>
      <c r="B650" s="3" t="s">
        <v>633</v>
      </c>
      <c r="C650" s="10" t="s">
        <v>688</v>
      </c>
      <c r="D650" s="3" t="s">
        <v>689</v>
      </c>
      <c r="E650" s="4" t="s">
        <v>3</v>
      </c>
      <c r="F650" s="5" t="s">
        <v>15</v>
      </c>
      <c r="G650" s="6" t="s">
        <v>696</v>
      </c>
      <c r="H650" s="7">
        <v>45051.0</v>
      </c>
      <c r="I650" s="8">
        <f t="shared" si="1"/>
        <v>5</v>
      </c>
      <c r="J650" s="9">
        <f t="shared" si="2"/>
        <v>5</v>
      </c>
      <c r="K650" s="9">
        <f t="shared" si="3"/>
        <v>2023</v>
      </c>
      <c r="M650" s="25">
        <f>IFERROR(__xludf.DUMMYFUNCTION("""COMPUTED_VALUE"""),45051.0)</f>
        <v>45051</v>
      </c>
    </row>
    <row r="651">
      <c r="A651" s="10" t="s">
        <v>632</v>
      </c>
      <c r="B651" s="3" t="s">
        <v>633</v>
      </c>
      <c r="C651" s="10" t="s">
        <v>688</v>
      </c>
      <c r="D651" s="3" t="s">
        <v>689</v>
      </c>
      <c r="E651" s="4" t="s">
        <v>3</v>
      </c>
      <c r="F651" s="5" t="s">
        <v>9</v>
      </c>
      <c r="G651" s="6" t="s">
        <v>343</v>
      </c>
      <c r="H651" s="7">
        <v>45055.0</v>
      </c>
      <c r="I651" s="8">
        <f t="shared" si="1"/>
        <v>9</v>
      </c>
      <c r="J651" s="9">
        <f t="shared" si="2"/>
        <v>5</v>
      </c>
      <c r="K651" s="9">
        <f t="shared" si="3"/>
        <v>2023</v>
      </c>
      <c r="M651" s="25">
        <f>IFERROR(__xludf.DUMMYFUNCTION("""COMPUTED_VALUE"""),45055.0)</f>
        <v>45055</v>
      </c>
    </row>
    <row r="652">
      <c r="A652" s="10" t="s">
        <v>632</v>
      </c>
      <c r="B652" s="3" t="s">
        <v>633</v>
      </c>
      <c r="C652" s="10" t="s">
        <v>688</v>
      </c>
      <c r="D652" s="3" t="s">
        <v>689</v>
      </c>
      <c r="E652" s="4" t="s">
        <v>3</v>
      </c>
      <c r="F652" s="5" t="s">
        <v>9</v>
      </c>
      <c r="G652" s="6" t="s">
        <v>697</v>
      </c>
      <c r="H652" s="7">
        <v>45056.0</v>
      </c>
      <c r="I652" s="8">
        <f t="shared" si="1"/>
        <v>10</v>
      </c>
      <c r="J652" s="9">
        <f t="shared" si="2"/>
        <v>5</v>
      </c>
      <c r="K652" s="9">
        <f t="shared" si="3"/>
        <v>2023</v>
      </c>
      <c r="M652" s="25">
        <f>IFERROR(__xludf.DUMMYFUNCTION("""COMPUTED_VALUE"""),45056.0)</f>
        <v>45056</v>
      </c>
    </row>
    <row r="653">
      <c r="A653" s="10" t="s">
        <v>632</v>
      </c>
      <c r="B653" s="3" t="s">
        <v>633</v>
      </c>
      <c r="C653" s="10" t="s">
        <v>688</v>
      </c>
      <c r="D653" s="3" t="s">
        <v>689</v>
      </c>
      <c r="E653" s="4" t="s">
        <v>8</v>
      </c>
      <c r="F653" s="5" t="s">
        <v>51</v>
      </c>
      <c r="G653" s="6" t="s">
        <v>698</v>
      </c>
      <c r="H653" s="7">
        <v>45056.0</v>
      </c>
      <c r="I653" s="8">
        <f t="shared" si="1"/>
        <v>10</v>
      </c>
      <c r="J653" s="9">
        <f t="shared" si="2"/>
        <v>5</v>
      </c>
      <c r="K653" s="9">
        <f t="shared" si="3"/>
        <v>2023</v>
      </c>
      <c r="M653" s="25">
        <f>IFERROR(__xludf.DUMMYFUNCTION("""COMPUTED_VALUE"""),45056.0)</f>
        <v>45056</v>
      </c>
    </row>
    <row r="654">
      <c r="A654" s="10" t="s">
        <v>632</v>
      </c>
      <c r="B654" s="3" t="s">
        <v>633</v>
      </c>
      <c r="C654" s="10" t="s">
        <v>688</v>
      </c>
      <c r="D654" s="3" t="s">
        <v>689</v>
      </c>
      <c r="E654" s="4" t="s">
        <v>8</v>
      </c>
      <c r="F654" s="5" t="s">
        <v>45</v>
      </c>
      <c r="G654" s="6" t="s">
        <v>699</v>
      </c>
      <c r="H654" s="7">
        <v>45124.0</v>
      </c>
      <c r="I654" s="8">
        <f t="shared" si="1"/>
        <v>17</v>
      </c>
      <c r="J654" s="9">
        <f t="shared" si="2"/>
        <v>7</v>
      </c>
      <c r="K654" s="9">
        <f t="shared" si="3"/>
        <v>2023</v>
      </c>
      <c r="M654" s="25">
        <f>IFERROR(__xludf.DUMMYFUNCTION("""COMPUTED_VALUE"""),45124.0)</f>
        <v>45124</v>
      </c>
    </row>
    <row r="655">
      <c r="A655" s="10" t="s">
        <v>632</v>
      </c>
      <c r="B655" s="3" t="s">
        <v>633</v>
      </c>
      <c r="C655" s="10" t="s">
        <v>688</v>
      </c>
      <c r="D655" s="3" t="s">
        <v>689</v>
      </c>
      <c r="E655" s="4" t="s">
        <v>8</v>
      </c>
      <c r="F655" s="5" t="s">
        <v>51</v>
      </c>
      <c r="G655" s="6" t="s">
        <v>700</v>
      </c>
      <c r="H655" s="7">
        <v>45186.0</v>
      </c>
      <c r="I655" s="8">
        <f t="shared" si="1"/>
        <v>17</v>
      </c>
      <c r="J655" s="9">
        <f t="shared" si="2"/>
        <v>9</v>
      </c>
      <c r="K655" s="9">
        <f t="shared" si="3"/>
        <v>2023</v>
      </c>
      <c r="M655" s="25">
        <f>IFERROR(__xludf.DUMMYFUNCTION("""COMPUTED_VALUE"""),45186.0)</f>
        <v>45186</v>
      </c>
    </row>
    <row r="656">
      <c r="A656" s="10" t="s">
        <v>632</v>
      </c>
      <c r="B656" s="3" t="s">
        <v>633</v>
      </c>
      <c r="C656" s="10" t="s">
        <v>688</v>
      </c>
      <c r="D656" s="3" t="s">
        <v>689</v>
      </c>
      <c r="E656" s="4" t="s">
        <v>8</v>
      </c>
      <c r="F656" s="5" t="s">
        <v>76</v>
      </c>
      <c r="G656" s="6" t="s">
        <v>701</v>
      </c>
      <c r="H656" s="7">
        <v>45269.0</v>
      </c>
      <c r="I656" s="8">
        <f t="shared" si="1"/>
        <v>9</v>
      </c>
      <c r="J656" s="9">
        <f t="shared" si="2"/>
        <v>12</v>
      </c>
      <c r="K656" s="9">
        <f t="shared" si="3"/>
        <v>2023</v>
      </c>
      <c r="M656" s="25">
        <f>IFERROR(__xludf.DUMMYFUNCTION("""COMPUTED_VALUE"""),45269.0)</f>
        <v>45269</v>
      </c>
    </row>
    <row r="657">
      <c r="A657" s="10" t="s">
        <v>632</v>
      </c>
      <c r="B657" s="3" t="s">
        <v>633</v>
      </c>
      <c r="C657" s="10" t="s">
        <v>688</v>
      </c>
      <c r="D657" s="3" t="s">
        <v>689</v>
      </c>
      <c r="E657" s="4" t="s">
        <v>8</v>
      </c>
      <c r="F657" s="5" t="s">
        <v>71</v>
      </c>
      <c r="G657" s="6" t="s">
        <v>209</v>
      </c>
      <c r="H657" s="7">
        <v>45275.0</v>
      </c>
      <c r="I657" s="8">
        <f t="shared" si="1"/>
        <v>15</v>
      </c>
      <c r="J657" s="9">
        <f t="shared" si="2"/>
        <v>12</v>
      </c>
      <c r="K657" s="9">
        <f t="shared" si="3"/>
        <v>2023</v>
      </c>
      <c r="M657" s="25">
        <f>IFERROR(__xludf.DUMMYFUNCTION("""COMPUTED_VALUE"""),45275.0)</f>
        <v>45275</v>
      </c>
    </row>
    <row r="658">
      <c r="A658" s="10" t="s">
        <v>632</v>
      </c>
      <c r="B658" s="3" t="s">
        <v>633</v>
      </c>
      <c r="C658" s="10" t="s">
        <v>688</v>
      </c>
      <c r="D658" s="3" t="s">
        <v>689</v>
      </c>
      <c r="E658" s="4" t="s">
        <v>3</v>
      </c>
      <c r="F658" s="5" t="s">
        <v>28</v>
      </c>
      <c r="G658" s="6" t="s">
        <v>41</v>
      </c>
      <c r="H658" s="7">
        <v>45275.0</v>
      </c>
      <c r="I658" s="8">
        <f t="shared" si="1"/>
        <v>15</v>
      </c>
      <c r="J658" s="9">
        <f t="shared" si="2"/>
        <v>12</v>
      </c>
      <c r="K658" s="9">
        <f t="shared" si="3"/>
        <v>2023</v>
      </c>
      <c r="M658" s="25">
        <f>IFERROR(__xludf.DUMMYFUNCTION("""COMPUTED_VALUE"""),45275.0)</f>
        <v>45275</v>
      </c>
    </row>
    <row r="659">
      <c r="A659" s="10" t="s">
        <v>632</v>
      </c>
      <c r="B659" s="3" t="s">
        <v>633</v>
      </c>
      <c r="C659" s="10" t="s">
        <v>688</v>
      </c>
      <c r="D659" s="3" t="s">
        <v>689</v>
      </c>
      <c r="E659" s="4" t="s">
        <v>8</v>
      </c>
      <c r="F659" s="5" t="s">
        <v>71</v>
      </c>
      <c r="G659" s="6" t="s">
        <v>702</v>
      </c>
      <c r="H659" s="7">
        <v>45282.0</v>
      </c>
      <c r="I659" s="8">
        <f t="shared" si="1"/>
        <v>22</v>
      </c>
      <c r="J659" s="9">
        <f t="shared" si="2"/>
        <v>12</v>
      </c>
      <c r="K659" s="9">
        <f t="shared" si="3"/>
        <v>2023</v>
      </c>
      <c r="M659" s="25">
        <f>IFERROR(__xludf.DUMMYFUNCTION("""COMPUTED_VALUE"""),45282.0)</f>
        <v>45282</v>
      </c>
    </row>
    <row r="660">
      <c r="A660" s="10" t="s">
        <v>632</v>
      </c>
      <c r="B660" s="3" t="s">
        <v>633</v>
      </c>
      <c r="C660" s="10" t="s">
        <v>688</v>
      </c>
      <c r="D660" s="3" t="s">
        <v>689</v>
      </c>
      <c r="E660" s="4" t="s">
        <v>8</v>
      </c>
      <c r="F660" s="5" t="s">
        <v>17</v>
      </c>
      <c r="G660" s="6" t="s">
        <v>703</v>
      </c>
      <c r="H660" s="7">
        <v>45288.0</v>
      </c>
      <c r="I660" s="8">
        <f t="shared" si="1"/>
        <v>28</v>
      </c>
      <c r="J660" s="9">
        <f t="shared" si="2"/>
        <v>12</v>
      </c>
      <c r="K660" s="9">
        <f t="shared" si="3"/>
        <v>2023</v>
      </c>
      <c r="M660" s="25">
        <f>IFERROR(__xludf.DUMMYFUNCTION("""COMPUTED_VALUE"""),45288.0)</f>
        <v>45288</v>
      </c>
    </row>
    <row r="661">
      <c r="A661" s="10" t="s">
        <v>651</v>
      </c>
      <c r="B661" s="3" t="s">
        <v>652</v>
      </c>
      <c r="C661" s="10" t="s">
        <v>704</v>
      </c>
      <c r="D661" s="3" t="s">
        <v>705</v>
      </c>
      <c r="E661" s="4" t="s">
        <v>8</v>
      </c>
      <c r="F661" s="5" t="s">
        <v>6</v>
      </c>
      <c r="G661" s="6" t="s">
        <v>706</v>
      </c>
      <c r="H661" s="7">
        <v>44945.0</v>
      </c>
      <c r="I661" s="8">
        <f t="shared" si="1"/>
        <v>19</v>
      </c>
      <c r="J661" s="9">
        <f t="shared" si="2"/>
        <v>1</v>
      </c>
      <c r="K661" s="9">
        <f t="shared" si="3"/>
        <v>2023</v>
      </c>
      <c r="M661" s="25">
        <f>IFERROR(__xludf.DUMMYFUNCTION("""COMPUTED_VALUE"""),44945.0)</f>
        <v>44945</v>
      </c>
    </row>
    <row r="662">
      <c r="A662" s="10" t="s">
        <v>651</v>
      </c>
      <c r="B662" s="3" t="s">
        <v>652</v>
      </c>
      <c r="C662" s="10" t="s">
        <v>704</v>
      </c>
      <c r="D662" s="3" t="s">
        <v>705</v>
      </c>
      <c r="E662" s="4" t="s">
        <v>3</v>
      </c>
      <c r="F662" s="5" t="s">
        <v>13</v>
      </c>
      <c r="G662" s="6" t="s">
        <v>707</v>
      </c>
      <c r="H662" s="7">
        <v>44959.0</v>
      </c>
      <c r="I662" s="8">
        <f t="shared" si="1"/>
        <v>2</v>
      </c>
      <c r="J662" s="9">
        <f t="shared" si="2"/>
        <v>2</v>
      </c>
      <c r="K662" s="9">
        <f t="shared" si="3"/>
        <v>2023</v>
      </c>
      <c r="M662" s="25">
        <f>IFERROR(__xludf.DUMMYFUNCTION("""COMPUTED_VALUE"""),44959.0)</f>
        <v>44959</v>
      </c>
    </row>
    <row r="663">
      <c r="A663" s="10" t="s">
        <v>651</v>
      </c>
      <c r="B663" s="3" t="s">
        <v>652</v>
      </c>
      <c r="C663" s="10" t="s">
        <v>704</v>
      </c>
      <c r="D663" s="3" t="s">
        <v>705</v>
      </c>
      <c r="E663" s="4" t="s">
        <v>3</v>
      </c>
      <c r="F663" s="5" t="s">
        <v>42</v>
      </c>
      <c r="G663" s="6" t="s">
        <v>708</v>
      </c>
      <c r="H663" s="7">
        <v>44964.0</v>
      </c>
      <c r="I663" s="8">
        <f t="shared" si="1"/>
        <v>7</v>
      </c>
      <c r="J663" s="9">
        <f t="shared" si="2"/>
        <v>2</v>
      </c>
      <c r="K663" s="9">
        <f t="shared" si="3"/>
        <v>2023</v>
      </c>
      <c r="M663" s="25">
        <f>IFERROR(__xludf.DUMMYFUNCTION("""COMPUTED_VALUE"""),44964.0)</f>
        <v>44964</v>
      </c>
    </row>
    <row r="664">
      <c r="A664" s="10" t="s">
        <v>651</v>
      </c>
      <c r="B664" s="3" t="s">
        <v>652</v>
      </c>
      <c r="C664" s="10" t="s">
        <v>704</v>
      </c>
      <c r="D664" s="3" t="s">
        <v>705</v>
      </c>
      <c r="E664" s="4" t="s">
        <v>8</v>
      </c>
      <c r="F664" s="5" t="s">
        <v>76</v>
      </c>
      <c r="G664" s="6" t="s">
        <v>709</v>
      </c>
      <c r="H664" s="7">
        <v>44975.0</v>
      </c>
      <c r="I664" s="8">
        <f t="shared" si="1"/>
        <v>18</v>
      </c>
      <c r="J664" s="9">
        <f t="shared" si="2"/>
        <v>2</v>
      </c>
      <c r="K664" s="9">
        <f t="shared" si="3"/>
        <v>2023</v>
      </c>
      <c r="M664" s="25">
        <f>IFERROR(__xludf.DUMMYFUNCTION("""COMPUTED_VALUE"""),44975.0)</f>
        <v>44975</v>
      </c>
    </row>
    <row r="665">
      <c r="A665" s="10" t="s">
        <v>651</v>
      </c>
      <c r="B665" s="3" t="s">
        <v>652</v>
      </c>
      <c r="C665" s="10" t="s">
        <v>704</v>
      </c>
      <c r="D665" s="3" t="s">
        <v>705</v>
      </c>
      <c r="E665" s="4" t="s">
        <v>8</v>
      </c>
      <c r="F665" s="5" t="s">
        <v>11</v>
      </c>
      <c r="G665" s="6" t="s">
        <v>710</v>
      </c>
      <c r="H665" s="7">
        <v>45003.0</v>
      </c>
      <c r="I665" s="8">
        <f t="shared" si="1"/>
        <v>18</v>
      </c>
      <c r="J665" s="9">
        <f t="shared" si="2"/>
        <v>3</v>
      </c>
      <c r="K665" s="9">
        <f t="shared" si="3"/>
        <v>2023</v>
      </c>
      <c r="M665" s="25">
        <f>IFERROR(__xludf.DUMMYFUNCTION("""COMPUTED_VALUE"""),45003.0)</f>
        <v>45003</v>
      </c>
    </row>
    <row r="666">
      <c r="A666" s="10" t="s">
        <v>651</v>
      </c>
      <c r="B666" s="3" t="s">
        <v>652</v>
      </c>
      <c r="C666" s="10" t="s">
        <v>704</v>
      </c>
      <c r="D666" s="3" t="s">
        <v>705</v>
      </c>
      <c r="E666" s="4" t="s">
        <v>8</v>
      </c>
      <c r="F666" s="5" t="s">
        <v>19</v>
      </c>
      <c r="G666" s="6" t="s">
        <v>711</v>
      </c>
      <c r="H666" s="7">
        <v>45025.0</v>
      </c>
      <c r="I666" s="8">
        <f t="shared" si="1"/>
        <v>9</v>
      </c>
      <c r="J666" s="9">
        <f t="shared" si="2"/>
        <v>4</v>
      </c>
      <c r="K666" s="9">
        <f t="shared" si="3"/>
        <v>2023</v>
      </c>
      <c r="M666" s="25">
        <f>IFERROR(__xludf.DUMMYFUNCTION("""COMPUTED_VALUE"""),45025.0)</f>
        <v>45025</v>
      </c>
    </row>
    <row r="667">
      <c r="A667" s="10" t="s">
        <v>651</v>
      </c>
      <c r="B667" s="3" t="s">
        <v>652</v>
      </c>
      <c r="C667" s="10" t="s">
        <v>704</v>
      </c>
      <c r="D667" s="3" t="s">
        <v>705</v>
      </c>
      <c r="E667" s="4" t="s">
        <v>3</v>
      </c>
      <c r="F667" s="5" t="s">
        <v>6</v>
      </c>
      <c r="G667" s="6" t="s">
        <v>712</v>
      </c>
      <c r="H667" s="7">
        <v>45040.0</v>
      </c>
      <c r="I667" s="8">
        <f t="shared" si="1"/>
        <v>24</v>
      </c>
      <c r="J667" s="9">
        <f t="shared" si="2"/>
        <v>4</v>
      </c>
      <c r="K667" s="9">
        <f t="shared" si="3"/>
        <v>2023</v>
      </c>
      <c r="M667" s="25">
        <f>IFERROR(__xludf.DUMMYFUNCTION("""COMPUTED_VALUE"""),45040.0)</f>
        <v>45040</v>
      </c>
    </row>
    <row r="668">
      <c r="A668" s="10" t="s">
        <v>651</v>
      </c>
      <c r="B668" s="3" t="s">
        <v>652</v>
      </c>
      <c r="C668" s="10" t="s">
        <v>704</v>
      </c>
      <c r="D668" s="3" t="s">
        <v>705</v>
      </c>
      <c r="E668" s="4" t="s">
        <v>3</v>
      </c>
      <c r="F668" s="5" t="s">
        <v>13</v>
      </c>
      <c r="G668" s="6" t="s">
        <v>571</v>
      </c>
      <c r="H668" s="7">
        <v>45056.0</v>
      </c>
      <c r="I668" s="8">
        <f t="shared" si="1"/>
        <v>10</v>
      </c>
      <c r="J668" s="9">
        <f t="shared" si="2"/>
        <v>5</v>
      </c>
      <c r="K668" s="9">
        <f t="shared" si="3"/>
        <v>2023</v>
      </c>
      <c r="M668" s="25">
        <f>IFERROR(__xludf.DUMMYFUNCTION("""COMPUTED_VALUE"""),45056.0)</f>
        <v>45056</v>
      </c>
    </row>
    <row r="669">
      <c r="A669" s="10" t="s">
        <v>651</v>
      </c>
      <c r="B669" s="3" t="s">
        <v>652</v>
      </c>
      <c r="C669" s="10" t="s">
        <v>704</v>
      </c>
      <c r="D669" s="3" t="s">
        <v>705</v>
      </c>
      <c r="E669" s="4" t="s">
        <v>3</v>
      </c>
      <c r="F669" s="5" t="s">
        <v>35</v>
      </c>
      <c r="G669" s="6" t="s">
        <v>713</v>
      </c>
      <c r="H669" s="7">
        <v>45069.0</v>
      </c>
      <c r="I669" s="8">
        <f t="shared" si="1"/>
        <v>23</v>
      </c>
      <c r="J669" s="9">
        <f t="shared" si="2"/>
        <v>5</v>
      </c>
      <c r="K669" s="9">
        <f t="shared" si="3"/>
        <v>2023</v>
      </c>
      <c r="M669" s="25">
        <f>IFERROR(__xludf.DUMMYFUNCTION("""COMPUTED_VALUE"""),45069.0)</f>
        <v>45069</v>
      </c>
    </row>
    <row r="670">
      <c r="A670" s="10" t="s">
        <v>651</v>
      </c>
      <c r="B670" s="3" t="s">
        <v>652</v>
      </c>
      <c r="C670" s="10" t="s">
        <v>704</v>
      </c>
      <c r="D670" s="3" t="s">
        <v>705</v>
      </c>
      <c r="E670" s="4" t="s">
        <v>8</v>
      </c>
      <c r="F670" s="5" t="s">
        <v>42</v>
      </c>
      <c r="G670" s="6" t="s">
        <v>714</v>
      </c>
      <c r="H670" s="7">
        <v>45096.0</v>
      </c>
      <c r="I670" s="8">
        <f t="shared" si="1"/>
        <v>19</v>
      </c>
      <c r="J670" s="9">
        <f t="shared" si="2"/>
        <v>6</v>
      </c>
      <c r="K670" s="9">
        <f t="shared" si="3"/>
        <v>2023</v>
      </c>
      <c r="M670" s="25">
        <f>IFERROR(__xludf.DUMMYFUNCTION("""COMPUTED_VALUE"""),45096.0)</f>
        <v>45096</v>
      </c>
    </row>
    <row r="671">
      <c r="A671" s="10" t="s">
        <v>651</v>
      </c>
      <c r="B671" s="3" t="s">
        <v>652</v>
      </c>
      <c r="C671" s="10" t="s">
        <v>704</v>
      </c>
      <c r="D671" s="3" t="s">
        <v>705</v>
      </c>
      <c r="E671" s="4" t="s">
        <v>8</v>
      </c>
      <c r="F671" s="5" t="s">
        <v>6</v>
      </c>
      <c r="G671" s="6" t="s">
        <v>715</v>
      </c>
      <c r="H671" s="7">
        <v>45147.0</v>
      </c>
      <c r="I671" s="8">
        <f t="shared" si="1"/>
        <v>9</v>
      </c>
      <c r="J671" s="9">
        <f t="shared" si="2"/>
        <v>8</v>
      </c>
      <c r="K671" s="9">
        <f t="shared" si="3"/>
        <v>2023</v>
      </c>
      <c r="M671" s="25">
        <f>IFERROR(__xludf.DUMMYFUNCTION("""COMPUTED_VALUE"""),45147.0)</f>
        <v>45147</v>
      </c>
    </row>
    <row r="672">
      <c r="A672" s="10" t="s">
        <v>651</v>
      </c>
      <c r="B672" s="3" t="s">
        <v>652</v>
      </c>
      <c r="C672" s="10" t="s">
        <v>704</v>
      </c>
      <c r="D672" s="3" t="s">
        <v>705</v>
      </c>
      <c r="E672" s="4" t="s">
        <v>8</v>
      </c>
      <c r="F672" s="5" t="s">
        <v>15</v>
      </c>
      <c r="G672" s="6" t="s">
        <v>716</v>
      </c>
      <c r="H672" s="7">
        <v>45174.0</v>
      </c>
      <c r="I672" s="8">
        <f t="shared" si="1"/>
        <v>5</v>
      </c>
      <c r="J672" s="9">
        <f t="shared" si="2"/>
        <v>9</v>
      </c>
      <c r="K672" s="9">
        <f t="shared" si="3"/>
        <v>2023</v>
      </c>
      <c r="M672" s="25">
        <f>IFERROR(__xludf.DUMMYFUNCTION("""COMPUTED_VALUE"""),45174.0)</f>
        <v>45174</v>
      </c>
    </row>
    <row r="673">
      <c r="A673" s="10" t="s">
        <v>651</v>
      </c>
      <c r="B673" s="3" t="s">
        <v>652</v>
      </c>
      <c r="C673" s="10" t="s">
        <v>704</v>
      </c>
      <c r="D673" s="3" t="s">
        <v>705</v>
      </c>
      <c r="E673" s="4" t="s">
        <v>3</v>
      </c>
      <c r="F673" s="5" t="s">
        <v>35</v>
      </c>
      <c r="G673" s="6" t="s">
        <v>717</v>
      </c>
      <c r="H673" s="7">
        <v>45186.0</v>
      </c>
      <c r="I673" s="8">
        <f t="shared" si="1"/>
        <v>17</v>
      </c>
      <c r="J673" s="9">
        <f t="shared" si="2"/>
        <v>9</v>
      </c>
      <c r="K673" s="9">
        <f t="shared" si="3"/>
        <v>2023</v>
      </c>
      <c r="M673" s="25">
        <f>IFERROR(__xludf.DUMMYFUNCTION("""COMPUTED_VALUE"""),45186.0)</f>
        <v>45186</v>
      </c>
    </row>
    <row r="674">
      <c r="A674" s="10" t="s">
        <v>651</v>
      </c>
      <c r="B674" s="3" t="s">
        <v>652</v>
      </c>
      <c r="C674" s="10" t="s">
        <v>704</v>
      </c>
      <c r="D674" s="3" t="s">
        <v>705</v>
      </c>
      <c r="E674" s="4" t="s">
        <v>3</v>
      </c>
      <c r="F674" s="5" t="s">
        <v>76</v>
      </c>
      <c r="G674" s="6" t="s">
        <v>718</v>
      </c>
      <c r="H674" s="7">
        <v>45187.0</v>
      </c>
      <c r="I674" s="8">
        <f t="shared" si="1"/>
        <v>18</v>
      </c>
      <c r="J674" s="9">
        <f t="shared" si="2"/>
        <v>9</v>
      </c>
      <c r="K674" s="9">
        <f t="shared" si="3"/>
        <v>2023</v>
      </c>
      <c r="M674" s="25">
        <f>IFERROR(__xludf.DUMMYFUNCTION("""COMPUTED_VALUE"""),45187.0)</f>
        <v>45187</v>
      </c>
    </row>
    <row r="675">
      <c r="A675" s="10" t="s">
        <v>651</v>
      </c>
      <c r="B675" s="3" t="s">
        <v>652</v>
      </c>
      <c r="C675" s="10" t="s">
        <v>704</v>
      </c>
      <c r="D675" s="3" t="s">
        <v>705</v>
      </c>
      <c r="E675" s="4" t="s">
        <v>8</v>
      </c>
      <c r="F675" s="5" t="s">
        <v>6</v>
      </c>
      <c r="G675" s="6" t="s">
        <v>719</v>
      </c>
      <c r="H675" s="7">
        <v>45207.0</v>
      </c>
      <c r="I675" s="8">
        <f t="shared" si="1"/>
        <v>8</v>
      </c>
      <c r="J675" s="9">
        <f t="shared" si="2"/>
        <v>10</v>
      </c>
      <c r="K675" s="9">
        <f t="shared" si="3"/>
        <v>2023</v>
      </c>
      <c r="M675" s="25">
        <f>IFERROR(__xludf.DUMMYFUNCTION("""COMPUTED_VALUE"""),45207.0)</f>
        <v>45207</v>
      </c>
    </row>
    <row r="676">
      <c r="A676" s="10" t="s">
        <v>651</v>
      </c>
      <c r="B676" s="3" t="s">
        <v>652</v>
      </c>
      <c r="C676" s="10" t="s">
        <v>704</v>
      </c>
      <c r="D676" s="3" t="s">
        <v>705</v>
      </c>
      <c r="E676" s="4" t="s">
        <v>8</v>
      </c>
      <c r="F676" s="5" t="s">
        <v>39</v>
      </c>
      <c r="G676" s="6" t="s">
        <v>362</v>
      </c>
      <c r="H676" s="7">
        <v>45226.0</v>
      </c>
      <c r="I676" s="8">
        <f t="shared" si="1"/>
        <v>27</v>
      </c>
      <c r="J676" s="9">
        <f t="shared" si="2"/>
        <v>10</v>
      </c>
      <c r="K676" s="9">
        <f t="shared" si="3"/>
        <v>2023</v>
      </c>
      <c r="M676" s="25">
        <f>IFERROR(__xludf.DUMMYFUNCTION("""COMPUTED_VALUE"""),45226.0)</f>
        <v>45226</v>
      </c>
    </row>
    <row r="677">
      <c r="A677" s="10" t="s">
        <v>651</v>
      </c>
      <c r="B677" s="3" t="s">
        <v>652</v>
      </c>
      <c r="C677" s="10" t="s">
        <v>704</v>
      </c>
      <c r="D677" s="3" t="s">
        <v>705</v>
      </c>
      <c r="E677" s="4" t="s">
        <v>3</v>
      </c>
      <c r="F677" s="5" t="s">
        <v>120</v>
      </c>
      <c r="G677" s="6" t="s">
        <v>720</v>
      </c>
      <c r="H677" s="7">
        <v>45243.0</v>
      </c>
      <c r="I677" s="8">
        <f t="shared" si="1"/>
        <v>13</v>
      </c>
      <c r="J677" s="9">
        <f t="shared" si="2"/>
        <v>11</v>
      </c>
      <c r="K677" s="9">
        <f t="shared" si="3"/>
        <v>2023</v>
      </c>
      <c r="M677" s="25">
        <f>IFERROR(__xludf.DUMMYFUNCTION("""COMPUTED_VALUE"""),45243.0)</f>
        <v>45243</v>
      </c>
    </row>
    <row r="678">
      <c r="A678" s="10" t="s">
        <v>651</v>
      </c>
      <c r="B678" s="3" t="s">
        <v>652</v>
      </c>
      <c r="C678" s="10" t="s">
        <v>704</v>
      </c>
      <c r="D678" s="3" t="s">
        <v>705</v>
      </c>
      <c r="E678" s="4" t="s">
        <v>8</v>
      </c>
      <c r="F678" s="5" t="s">
        <v>11</v>
      </c>
      <c r="G678" s="6" t="s">
        <v>234</v>
      </c>
      <c r="H678" s="7">
        <v>45252.0</v>
      </c>
      <c r="I678" s="8">
        <f t="shared" si="1"/>
        <v>22</v>
      </c>
      <c r="J678" s="9">
        <f t="shared" si="2"/>
        <v>11</v>
      </c>
      <c r="K678" s="9">
        <f t="shared" si="3"/>
        <v>2023</v>
      </c>
      <c r="M678" s="25">
        <f>IFERROR(__xludf.DUMMYFUNCTION("""COMPUTED_VALUE"""),45252.0)</f>
        <v>45252</v>
      </c>
    </row>
    <row r="679">
      <c r="A679" s="10" t="s">
        <v>651</v>
      </c>
      <c r="B679" s="3" t="s">
        <v>652</v>
      </c>
      <c r="C679" s="10" t="s">
        <v>704</v>
      </c>
      <c r="D679" s="3" t="s">
        <v>705</v>
      </c>
      <c r="E679" s="4" t="s">
        <v>8</v>
      </c>
      <c r="F679" s="5" t="s">
        <v>39</v>
      </c>
      <c r="G679" s="6" t="s">
        <v>721</v>
      </c>
      <c r="H679" s="7">
        <v>45253.0</v>
      </c>
      <c r="I679" s="8">
        <f t="shared" si="1"/>
        <v>23</v>
      </c>
      <c r="J679" s="9">
        <f t="shared" si="2"/>
        <v>11</v>
      </c>
      <c r="K679" s="9">
        <f t="shared" si="3"/>
        <v>2023</v>
      </c>
      <c r="M679" s="25">
        <f>IFERROR(__xludf.DUMMYFUNCTION("""COMPUTED_VALUE"""),45253.0)</f>
        <v>45253</v>
      </c>
    </row>
    <row r="680">
      <c r="A680" s="10" t="s">
        <v>651</v>
      </c>
      <c r="B680" s="3" t="s">
        <v>652</v>
      </c>
      <c r="C680" s="10" t="s">
        <v>704</v>
      </c>
      <c r="D680" s="3" t="s">
        <v>705</v>
      </c>
      <c r="E680" s="4" t="s">
        <v>8</v>
      </c>
      <c r="F680" s="5" t="s">
        <v>11</v>
      </c>
      <c r="G680" s="6" t="s">
        <v>722</v>
      </c>
      <c r="H680" s="7">
        <v>45283.0</v>
      </c>
      <c r="I680" s="8">
        <f t="shared" si="1"/>
        <v>23</v>
      </c>
      <c r="J680" s="9">
        <f t="shared" si="2"/>
        <v>12</v>
      </c>
      <c r="K680" s="9">
        <f t="shared" si="3"/>
        <v>2023</v>
      </c>
      <c r="M680" s="25">
        <f>IFERROR(__xludf.DUMMYFUNCTION("""COMPUTED_VALUE"""),45283.0)</f>
        <v>45283</v>
      </c>
    </row>
    <row r="681">
      <c r="A681" s="10" t="s">
        <v>669</v>
      </c>
      <c r="B681" s="3" t="s">
        <v>670</v>
      </c>
      <c r="C681" s="10" t="s">
        <v>723</v>
      </c>
      <c r="D681" s="3" t="s">
        <v>724</v>
      </c>
      <c r="E681" s="4" t="s">
        <v>3</v>
      </c>
      <c r="F681" s="5" t="s">
        <v>28</v>
      </c>
      <c r="G681" s="6" t="s">
        <v>428</v>
      </c>
      <c r="H681" s="7">
        <v>44937.0</v>
      </c>
      <c r="I681" s="8">
        <f t="shared" si="1"/>
        <v>11</v>
      </c>
      <c r="J681" s="9">
        <f t="shared" si="2"/>
        <v>1</v>
      </c>
      <c r="K681" s="9">
        <f t="shared" si="3"/>
        <v>2023</v>
      </c>
      <c r="M681" s="25">
        <f>IFERROR(__xludf.DUMMYFUNCTION("""COMPUTED_VALUE"""),44937.0)</f>
        <v>44937</v>
      </c>
    </row>
    <row r="682">
      <c r="A682" s="10" t="s">
        <v>669</v>
      </c>
      <c r="B682" s="3" t="s">
        <v>670</v>
      </c>
      <c r="C682" s="10" t="s">
        <v>723</v>
      </c>
      <c r="D682" s="3" t="s">
        <v>724</v>
      </c>
      <c r="E682" s="4" t="s">
        <v>3</v>
      </c>
      <c r="F682" s="5" t="s">
        <v>28</v>
      </c>
      <c r="G682" s="6" t="s">
        <v>615</v>
      </c>
      <c r="H682" s="7">
        <v>44968.0</v>
      </c>
      <c r="I682" s="8">
        <f t="shared" si="1"/>
        <v>11</v>
      </c>
      <c r="J682" s="9">
        <f t="shared" si="2"/>
        <v>2</v>
      </c>
      <c r="K682" s="9">
        <f t="shared" si="3"/>
        <v>2023</v>
      </c>
      <c r="M682" s="25">
        <f>IFERROR(__xludf.DUMMYFUNCTION("""COMPUTED_VALUE"""),44968.0)</f>
        <v>44968</v>
      </c>
    </row>
    <row r="683">
      <c r="A683" s="10" t="s">
        <v>669</v>
      </c>
      <c r="B683" s="3" t="s">
        <v>670</v>
      </c>
      <c r="C683" s="10" t="s">
        <v>723</v>
      </c>
      <c r="D683" s="3" t="s">
        <v>724</v>
      </c>
      <c r="E683" s="4" t="s">
        <v>8</v>
      </c>
      <c r="F683" s="5" t="s">
        <v>51</v>
      </c>
      <c r="G683" s="6" t="s">
        <v>725</v>
      </c>
      <c r="H683" s="7">
        <v>44981.0</v>
      </c>
      <c r="I683" s="8">
        <f t="shared" si="1"/>
        <v>24</v>
      </c>
      <c r="J683" s="9">
        <f t="shared" si="2"/>
        <v>2</v>
      </c>
      <c r="K683" s="9">
        <f t="shared" si="3"/>
        <v>2023</v>
      </c>
      <c r="M683" s="25">
        <f>IFERROR(__xludf.DUMMYFUNCTION("""COMPUTED_VALUE"""),44981.0)</f>
        <v>44981</v>
      </c>
    </row>
    <row r="684">
      <c r="A684" s="10" t="s">
        <v>669</v>
      </c>
      <c r="B684" s="3" t="s">
        <v>670</v>
      </c>
      <c r="C684" s="10" t="s">
        <v>723</v>
      </c>
      <c r="D684" s="3" t="s">
        <v>724</v>
      </c>
      <c r="E684" s="4" t="s">
        <v>8</v>
      </c>
      <c r="F684" s="5" t="s">
        <v>4</v>
      </c>
      <c r="G684" s="6" t="s">
        <v>726</v>
      </c>
      <c r="H684" s="7">
        <v>44993.0</v>
      </c>
      <c r="I684" s="8">
        <f t="shared" si="1"/>
        <v>8</v>
      </c>
      <c r="J684" s="9">
        <f t="shared" si="2"/>
        <v>3</v>
      </c>
      <c r="K684" s="9">
        <f t="shared" si="3"/>
        <v>2023</v>
      </c>
      <c r="M684" s="25">
        <f>IFERROR(__xludf.DUMMYFUNCTION("""COMPUTED_VALUE"""),44993.0)</f>
        <v>44993</v>
      </c>
    </row>
    <row r="685">
      <c r="A685" s="10" t="s">
        <v>669</v>
      </c>
      <c r="B685" s="3" t="s">
        <v>670</v>
      </c>
      <c r="C685" s="10" t="s">
        <v>723</v>
      </c>
      <c r="D685" s="3" t="s">
        <v>724</v>
      </c>
      <c r="E685" s="4" t="s">
        <v>8</v>
      </c>
      <c r="F685" s="5" t="s">
        <v>17</v>
      </c>
      <c r="G685" s="6" t="s">
        <v>330</v>
      </c>
      <c r="H685" s="7">
        <v>45037.0</v>
      </c>
      <c r="I685" s="8">
        <f t="shared" si="1"/>
        <v>21</v>
      </c>
      <c r="J685" s="9">
        <f t="shared" si="2"/>
        <v>4</v>
      </c>
      <c r="K685" s="9">
        <f t="shared" si="3"/>
        <v>2023</v>
      </c>
      <c r="M685" s="25">
        <f>IFERROR(__xludf.DUMMYFUNCTION("""COMPUTED_VALUE"""),45037.0)</f>
        <v>45037</v>
      </c>
    </row>
    <row r="686">
      <c r="A686" s="10" t="s">
        <v>669</v>
      </c>
      <c r="B686" s="3" t="s">
        <v>670</v>
      </c>
      <c r="C686" s="10" t="s">
        <v>723</v>
      </c>
      <c r="D686" s="3" t="s">
        <v>724</v>
      </c>
      <c r="E686" s="4" t="s">
        <v>8</v>
      </c>
      <c r="F686" s="5" t="s">
        <v>51</v>
      </c>
      <c r="G686" s="6" t="s">
        <v>727</v>
      </c>
      <c r="H686" s="7">
        <v>45060.0</v>
      </c>
      <c r="I686" s="8">
        <f t="shared" si="1"/>
        <v>14</v>
      </c>
      <c r="J686" s="9">
        <f t="shared" si="2"/>
        <v>5</v>
      </c>
      <c r="K686" s="9">
        <f t="shared" si="3"/>
        <v>2023</v>
      </c>
      <c r="M686" s="25">
        <f>IFERROR(__xludf.DUMMYFUNCTION("""COMPUTED_VALUE"""),45060.0)</f>
        <v>45060</v>
      </c>
    </row>
    <row r="687">
      <c r="A687" s="10" t="s">
        <v>669</v>
      </c>
      <c r="B687" s="3" t="s">
        <v>670</v>
      </c>
      <c r="C687" s="10" t="s">
        <v>723</v>
      </c>
      <c r="D687" s="3" t="s">
        <v>724</v>
      </c>
      <c r="E687" s="4" t="s">
        <v>8</v>
      </c>
      <c r="F687" s="5" t="s">
        <v>96</v>
      </c>
      <c r="G687" s="6" t="s">
        <v>728</v>
      </c>
      <c r="H687" s="7">
        <v>45062.0</v>
      </c>
      <c r="I687" s="8">
        <f t="shared" si="1"/>
        <v>16</v>
      </c>
      <c r="J687" s="9">
        <f t="shared" si="2"/>
        <v>5</v>
      </c>
      <c r="K687" s="9">
        <f t="shared" si="3"/>
        <v>2023</v>
      </c>
      <c r="M687" s="25">
        <f>IFERROR(__xludf.DUMMYFUNCTION("""COMPUTED_VALUE"""),45062.0)</f>
        <v>45062</v>
      </c>
    </row>
    <row r="688">
      <c r="A688" s="10" t="s">
        <v>669</v>
      </c>
      <c r="B688" s="3" t="s">
        <v>670</v>
      </c>
      <c r="C688" s="10" t="s">
        <v>723</v>
      </c>
      <c r="D688" s="3" t="s">
        <v>724</v>
      </c>
      <c r="E688" s="4" t="s">
        <v>8</v>
      </c>
      <c r="F688" s="5" t="s">
        <v>76</v>
      </c>
      <c r="G688" s="6" t="s">
        <v>729</v>
      </c>
      <c r="H688" s="7">
        <v>45063.0</v>
      </c>
      <c r="I688" s="8">
        <f t="shared" si="1"/>
        <v>17</v>
      </c>
      <c r="J688" s="9">
        <f t="shared" si="2"/>
        <v>5</v>
      </c>
      <c r="K688" s="9">
        <f t="shared" si="3"/>
        <v>2023</v>
      </c>
      <c r="M688" s="25">
        <f>IFERROR(__xludf.DUMMYFUNCTION("""COMPUTED_VALUE"""),45063.0)</f>
        <v>45063</v>
      </c>
    </row>
    <row r="689">
      <c r="A689" s="10" t="s">
        <v>669</v>
      </c>
      <c r="B689" s="3" t="s">
        <v>670</v>
      </c>
      <c r="C689" s="10" t="s">
        <v>723</v>
      </c>
      <c r="D689" s="3" t="s">
        <v>724</v>
      </c>
      <c r="E689" s="4" t="s">
        <v>3</v>
      </c>
      <c r="F689" s="5" t="s">
        <v>96</v>
      </c>
      <c r="G689" s="6" t="s">
        <v>730</v>
      </c>
      <c r="H689" s="7">
        <v>45085.0</v>
      </c>
      <c r="I689" s="8">
        <f t="shared" si="1"/>
        <v>8</v>
      </c>
      <c r="J689" s="9">
        <f t="shared" si="2"/>
        <v>6</v>
      </c>
      <c r="K689" s="9">
        <f t="shared" si="3"/>
        <v>2023</v>
      </c>
      <c r="M689" s="25">
        <f>IFERROR(__xludf.DUMMYFUNCTION("""COMPUTED_VALUE"""),45085.0)</f>
        <v>45085</v>
      </c>
    </row>
    <row r="690">
      <c r="A690" s="10" t="s">
        <v>669</v>
      </c>
      <c r="B690" s="3" t="s">
        <v>670</v>
      </c>
      <c r="C690" s="10" t="s">
        <v>723</v>
      </c>
      <c r="D690" s="3" t="s">
        <v>724</v>
      </c>
      <c r="E690" s="4" t="s">
        <v>8</v>
      </c>
      <c r="F690" s="5" t="s">
        <v>11</v>
      </c>
      <c r="G690" s="6" t="s">
        <v>731</v>
      </c>
      <c r="H690" s="7">
        <v>45087.0</v>
      </c>
      <c r="I690" s="8">
        <f t="shared" si="1"/>
        <v>10</v>
      </c>
      <c r="J690" s="9">
        <f t="shared" si="2"/>
        <v>6</v>
      </c>
      <c r="K690" s="9">
        <f t="shared" si="3"/>
        <v>2023</v>
      </c>
      <c r="M690" s="25">
        <f>IFERROR(__xludf.DUMMYFUNCTION("""COMPUTED_VALUE"""),45087.0)</f>
        <v>45087</v>
      </c>
    </row>
    <row r="691">
      <c r="A691" s="10" t="s">
        <v>669</v>
      </c>
      <c r="B691" s="3" t="s">
        <v>670</v>
      </c>
      <c r="C691" s="10" t="s">
        <v>723</v>
      </c>
      <c r="D691" s="3" t="s">
        <v>724</v>
      </c>
      <c r="E691" s="4" t="s">
        <v>3</v>
      </c>
      <c r="F691" s="5" t="s">
        <v>19</v>
      </c>
      <c r="G691" s="6" t="s">
        <v>732</v>
      </c>
      <c r="H691" s="7">
        <v>45093.0</v>
      </c>
      <c r="I691" s="8">
        <f t="shared" si="1"/>
        <v>16</v>
      </c>
      <c r="J691" s="9">
        <f t="shared" si="2"/>
        <v>6</v>
      </c>
      <c r="K691" s="9">
        <f t="shared" si="3"/>
        <v>2023</v>
      </c>
      <c r="M691" s="25">
        <f>IFERROR(__xludf.DUMMYFUNCTION("""COMPUTED_VALUE"""),45093.0)</f>
        <v>45093</v>
      </c>
    </row>
    <row r="692">
      <c r="A692" s="10" t="s">
        <v>669</v>
      </c>
      <c r="B692" s="3" t="s">
        <v>670</v>
      </c>
      <c r="C692" s="10" t="s">
        <v>723</v>
      </c>
      <c r="D692" s="3" t="s">
        <v>724</v>
      </c>
      <c r="E692" s="4" t="s">
        <v>8</v>
      </c>
      <c r="F692" s="5" t="s">
        <v>21</v>
      </c>
      <c r="G692" s="6" t="s">
        <v>733</v>
      </c>
      <c r="H692" s="7">
        <v>45098.0</v>
      </c>
      <c r="I692" s="8">
        <f t="shared" si="1"/>
        <v>21</v>
      </c>
      <c r="J692" s="9">
        <f t="shared" si="2"/>
        <v>6</v>
      </c>
      <c r="K692" s="9">
        <f t="shared" si="3"/>
        <v>2023</v>
      </c>
      <c r="M692" s="25">
        <f>IFERROR(__xludf.DUMMYFUNCTION("""COMPUTED_VALUE"""),45098.0)</f>
        <v>45098</v>
      </c>
    </row>
    <row r="693">
      <c r="A693" s="10" t="s">
        <v>669</v>
      </c>
      <c r="B693" s="3" t="s">
        <v>670</v>
      </c>
      <c r="C693" s="10" t="s">
        <v>723</v>
      </c>
      <c r="D693" s="3" t="s">
        <v>724</v>
      </c>
      <c r="E693" s="4" t="s">
        <v>3</v>
      </c>
      <c r="F693" s="5" t="s">
        <v>9</v>
      </c>
      <c r="G693" s="6" t="s">
        <v>132</v>
      </c>
      <c r="H693" s="7">
        <v>45117.0</v>
      </c>
      <c r="I693" s="8">
        <f t="shared" si="1"/>
        <v>10</v>
      </c>
      <c r="J693" s="9">
        <f t="shared" si="2"/>
        <v>7</v>
      </c>
      <c r="K693" s="9">
        <f t="shared" si="3"/>
        <v>2023</v>
      </c>
      <c r="M693" s="25">
        <f>IFERROR(__xludf.DUMMYFUNCTION("""COMPUTED_VALUE"""),45117.0)</f>
        <v>45117</v>
      </c>
    </row>
    <row r="694">
      <c r="A694" s="10" t="s">
        <v>669</v>
      </c>
      <c r="B694" s="3" t="s">
        <v>670</v>
      </c>
      <c r="C694" s="10" t="s">
        <v>723</v>
      </c>
      <c r="D694" s="3" t="s">
        <v>724</v>
      </c>
      <c r="E694" s="4" t="s">
        <v>8</v>
      </c>
      <c r="F694" s="5" t="s">
        <v>17</v>
      </c>
      <c r="G694" s="6" t="s">
        <v>734</v>
      </c>
      <c r="H694" s="7">
        <v>45150.0</v>
      </c>
      <c r="I694" s="8">
        <f t="shared" si="1"/>
        <v>12</v>
      </c>
      <c r="J694" s="9">
        <f t="shared" si="2"/>
        <v>8</v>
      </c>
      <c r="K694" s="9">
        <f t="shared" si="3"/>
        <v>2023</v>
      </c>
      <c r="M694" s="25">
        <f>IFERROR(__xludf.DUMMYFUNCTION("""COMPUTED_VALUE"""),45150.0)</f>
        <v>45150</v>
      </c>
    </row>
    <row r="695">
      <c r="A695" s="10" t="s">
        <v>669</v>
      </c>
      <c r="B695" s="3" t="s">
        <v>670</v>
      </c>
      <c r="C695" s="10" t="s">
        <v>723</v>
      </c>
      <c r="D695" s="3" t="s">
        <v>724</v>
      </c>
      <c r="E695" s="4" t="s">
        <v>8</v>
      </c>
      <c r="F695" s="5" t="s">
        <v>39</v>
      </c>
      <c r="G695" s="6" t="s">
        <v>735</v>
      </c>
      <c r="H695" s="7">
        <v>45195.0</v>
      </c>
      <c r="I695" s="8">
        <f t="shared" si="1"/>
        <v>26</v>
      </c>
      <c r="J695" s="9">
        <f t="shared" si="2"/>
        <v>9</v>
      </c>
      <c r="K695" s="9">
        <f t="shared" si="3"/>
        <v>2023</v>
      </c>
      <c r="M695" s="25">
        <f>IFERROR(__xludf.DUMMYFUNCTION("""COMPUTED_VALUE"""),45195.0)</f>
        <v>45195</v>
      </c>
    </row>
    <row r="696">
      <c r="A696" s="10" t="s">
        <v>669</v>
      </c>
      <c r="B696" s="3" t="s">
        <v>670</v>
      </c>
      <c r="C696" s="10" t="s">
        <v>723</v>
      </c>
      <c r="D696" s="3" t="s">
        <v>724</v>
      </c>
      <c r="E696" s="4" t="s">
        <v>3</v>
      </c>
      <c r="F696" s="5" t="s">
        <v>9</v>
      </c>
      <c r="G696" s="6" t="s">
        <v>736</v>
      </c>
      <c r="H696" s="7">
        <v>45222.0</v>
      </c>
      <c r="I696" s="8">
        <f t="shared" si="1"/>
        <v>23</v>
      </c>
      <c r="J696" s="9">
        <f t="shared" si="2"/>
        <v>10</v>
      </c>
      <c r="K696" s="9">
        <f t="shared" si="3"/>
        <v>2023</v>
      </c>
      <c r="M696" s="25">
        <f>IFERROR(__xludf.DUMMYFUNCTION("""COMPUTED_VALUE"""),45222.0)</f>
        <v>45222</v>
      </c>
    </row>
    <row r="697">
      <c r="A697" s="10" t="s">
        <v>669</v>
      </c>
      <c r="B697" s="3" t="s">
        <v>670</v>
      </c>
      <c r="C697" s="10" t="s">
        <v>723</v>
      </c>
      <c r="D697" s="3" t="s">
        <v>724</v>
      </c>
      <c r="E697" s="4" t="s">
        <v>3</v>
      </c>
      <c r="F697" s="5" t="s">
        <v>15</v>
      </c>
      <c r="G697" s="6" t="s">
        <v>737</v>
      </c>
      <c r="H697" s="7">
        <v>45223.0</v>
      </c>
      <c r="I697" s="8">
        <f t="shared" si="1"/>
        <v>24</v>
      </c>
      <c r="J697" s="9">
        <f t="shared" si="2"/>
        <v>10</v>
      </c>
      <c r="K697" s="9">
        <f t="shared" si="3"/>
        <v>2023</v>
      </c>
      <c r="M697" s="25">
        <f>IFERROR(__xludf.DUMMYFUNCTION("""COMPUTED_VALUE"""),45223.0)</f>
        <v>45223</v>
      </c>
    </row>
    <row r="698">
      <c r="A698" s="10" t="s">
        <v>669</v>
      </c>
      <c r="B698" s="3" t="s">
        <v>670</v>
      </c>
      <c r="C698" s="10" t="s">
        <v>723</v>
      </c>
      <c r="D698" s="3" t="s">
        <v>724</v>
      </c>
      <c r="E698" s="4" t="s">
        <v>3</v>
      </c>
      <c r="F698" s="5" t="s">
        <v>4</v>
      </c>
      <c r="G698" s="6" t="s">
        <v>738</v>
      </c>
      <c r="H698" s="7">
        <v>45245.0</v>
      </c>
      <c r="I698" s="8">
        <f t="shared" si="1"/>
        <v>15</v>
      </c>
      <c r="J698" s="9">
        <f t="shared" si="2"/>
        <v>11</v>
      </c>
      <c r="K698" s="9">
        <f t="shared" si="3"/>
        <v>2023</v>
      </c>
      <c r="M698" s="25">
        <f>IFERROR(__xludf.DUMMYFUNCTION("""COMPUTED_VALUE"""),45245.0)</f>
        <v>45245</v>
      </c>
    </row>
    <row r="699">
      <c r="A699" s="10" t="s">
        <v>669</v>
      </c>
      <c r="B699" s="3" t="s">
        <v>670</v>
      </c>
      <c r="C699" s="10" t="s">
        <v>723</v>
      </c>
      <c r="D699" s="3" t="s">
        <v>724</v>
      </c>
      <c r="E699" s="4" t="s">
        <v>8</v>
      </c>
      <c r="F699" s="5" t="s">
        <v>17</v>
      </c>
      <c r="G699" s="6" t="s">
        <v>739</v>
      </c>
      <c r="H699" s="7">
        <v>45265.0</v>
      </c>
      <c r="I699" s="8">
        <f t="shared" si="1"/>
        <v>5</v>
      </c>
      <c r="J699" s="9">
        <f t="shared" si="2"/>
        <v>12</v>
      </c>
      <c r="K699" s="9">
        <f t="shared" si="3"/>
        <v>2023</v>
      </c>
      <c r="M699" s="25">
        <f>IFERROR(__xludf.DUMMYFUNCTION("""COMPUTED_VALUE"""),45265.0)</f>
        <v>45265</v>
      </c>
    </row>
    <row r="700">
      <c r="A700" s="10" t="s">
        <v>669</v>
      </c>
      <c r="B700" s="3" t="s">
        <v>670</v>
      </c>
      <c r="C700" s="10" t="s">
        <v>723</v>
      </c>
      <c r="D700" s="3" t="s">
        <v>724</v>
      </c>
      <c r="E700" s="4" t="s">
        <v>3</v>
      </c>
      <c r="F700" s="5" t="s">
        <v>23</v>
      </c>
      <c r="G700" s="6" t="s">
        <v>740</v>
      </c>
      <c r="H700" s="7">
        <v>45288.0</v>
      </c>
      <c r="I700" s="8">
        <f t="shared" si="1"/>
        <v>28</v>
      </c>
      <c r="J700" s="9">
        <f t="shared" si="2"/>
        <v>12</v>
      </c>
      <c r="K700" s="9">
        <f t="shared" si="3"/>
        <v>2023</v>
      </c>
      <c r="M700" s="25">
        <f>IFERROR(__xludf.DUMMYFUNCTION("""COMPUTED_VALUE"""),45288.0)</f>
        <v>45288</v>
      </c>
    </row>
    <row r="701">
      <c r="A701" s="10" t="s">
        <v>688</v>
      </c>
      <c r="B701" s="3" t="s">
        <v>689</v>
      </c>
      <c r="C701" s="10" t="s">
        <v>741</v>
      </c>
      <c r="D701" s="3" t="s">
        <v>742</v>
      </c>
      <c r="E701" s="4" t="s">
        <v>3</v>
      </c>
      <c r="F701" s="5" t="s">
        <v>28</v>
      </c>
      <c r="G701" s="6" t="s">
        <v>257</v>
      </c>
      <c r="H701" s="7">
        <v>44931.0</v>
      </c>
      <c r="I701" s="8">
        <f t="shared" si="1"/>
        <v>5</v>
      </c>
      <c r="J701" s="9">
        <f t="shared" si="2"/>
        <v>1</v>
      </c>
      <c r="K701" s="9">
        <f t="shared" si="3"/>
        <v>2023</v>
      </c>
      <c r="M701" s="25">
        <f>IFERROR(__xludf.DUMMYFUNCTION("""COMPUTED_VALUE"""),44931.0)</f>
        <v>44931</v>
      </c>
    </row>
    <row r="702">
      <c r="A702" s="10" t="s">
        <v>688</v>
      </c>
      <c r="B702" s="3" t="s">
        <v>689</v>
      </c>
      <c r="C702" s="10" t="s">
        <v>741</v>
      </c>
      <c r="D702" s="3" t="s">
        <v>742</v>
      </c>
      <c r="E702" s="4" t="s">
        <v>3</v>
      </c>
      <c r="F702" s="5" t="s">
        <v>21</v>
      </c>
      <c r="G702" s="6" t="s">
        <v>241</v>
      </c>
      <c r="H702" s="7">
        <v>44946.0</v>
      </c>
      <c r="I702" s="8">
        <f t="shared" si="1"/>
        <v>20</v>
      </c>
      <c r="J702" s="9">
        <f t="shared" si="2"/>
        <v>1</v>
      </c>
      <c r="K702" s="9">
        <f t="shared" si="3"/>
        <v>2023</v>
      </c>
      <c r="M702" s="25">
        <f>IFERROR(__xludf.DUMMYFUNCTION("""COMPUTED_VALUE"""),44946.0)</f>
        <v>44946</v>
      </c>
    </row>
    <row r="703">
      <c r="A703" s="10" t="s">
        <v>688</v>
      </c>
      <c r="B703" s="3" t="s">
        <v>689</v>
      </c>
      <c r="C703" s="10" t="s">
        <v>741</v>
      </c>
      <c r="D703" s="3" t="s">
        <v>742</v>
      </c>
      <c r="E703" s="4" t="s">
        <v>3</v>
      </c>
      <c r="F703" s="5" t="s">
        <v>11</v>
      </c>
      <c r="G703" s="6" t="s">
        <v>743</v>
      </c>
      <c r="H703" s="7">
        <v>44960.0</v>
      </c>
      <c r="I703" s="8">
        <f t="shared" si="1"/>
        <v>3</v>
      </c>
      <c r="J703" s="9">
        <f t="shared" si="2"/>
        <v>2</v>
      </c>
      <c r="K703" s="9">
        <f t="shared" si="3"/>
        <v>2023</v>
      </c>
      <c r="M703" s="25">
        <f>IFERROR(__xludf.DUMMYFUNCTION("""COMPUTED_VALUE"""),44960.0)</f>
        <v>44960</v>
      </c>
    </row>
    <row r="704">
      <c r="A704" s="10" t="s">
        <v>688</v>
      </c>
      <c r="B704" s="3" t="s">
        <v>689</v>
      </c>
      <c r="C704" s="10" t="s">
        <v>741</v>
      </c>
      <c r="D704" s="3" t="s">
        <v>742</v>
      </c>
      <c r="E704" s="4" t="s">
        <v>8</v>
      </c>
      <c r="F704" s="5" t="s">
        <v>19</v>
      </c>
      <c r="G704" s="6" t="s">
        <v>744</v>
      </c>
      <c r="H704" s="7">
        <v>44970.0</v>
      </c>
      <c r="I704" s="8">
        <f t="shared" si="1"/>
        <v>13</v>
      </c>
      <c r="J704" s="9">
        <f t="shared" si="2"/>
        <v>2</v>
      </c>
      <c r="K704" s="9">
        <f t="shared" si="3"/>
        <v>2023</v>
      </c>
      <c r="M704" s="25">
        <f>IFERROR(__xludf.DUMMYFUNCTION("""COMPUTED_VALUE"""),44970.0)</f>
        <v>44970</v>
      </c>
    </row>
    <row r="705">
      <c r="A705" s="10" t="s">
        <v>688</v>
      </c>
      <c r="B705" s="3" t="s">
        <v>689</v>
      </c>
      <c r="C705" s="10" t="s">
        <v>741</v>
      </c>
      <c r="D705" s="3" t="s">
        <v>742</v>
      </c>
      <c r="E705" s="4" t="s">
        <v>3</v>
      </c>
      <c r="F705" s="5" t="s">
        <v>4</v>
      </c>
      <c r="G705" s="6" t="s">
        <v>745</v>
      </c>
      <c r="H705" s="7">
        <v>44993.0</v>
      </c>
      <c r="I705" s="8">
        <f t="shared" si="1"/>
        <v>8</v>
      </c>
      <c r="J705" s="9">
        <f t="shared" si="2"/>
        <v>3</v>
      </c>
      <c r="K705" s="9">
        <f t="shared" si="3"/>
        <v>2023</v>
      </c>
      <c r="M705" s="25">
        <f>IFERROR(__xludf.DUMMYFUNCTION("""COMPUTED_VALUE"""),44993.0)</f>
        <v>44993</v>
      </c>
    </row>
    <row r="706">
      <c r="A706" s="10" t="s">
        <v>688</v>
      </c>
      <c r="B706" s="3" t="s">
        <v>689</v>
      </c>
      <c r="C706" s="10" t="s">
        <v>741</v>
      </c>
      <c r="D706" s="3" t="s">
        <v>742</v>
      </c>
      <c r="E706" s="4" t="s">
        <v>8</v>
      </c>
      <c r="F706" s="5" t="s">
        <v>45</v>
      </c>
      <c r="G706" s="6" t="s">
        <v>684</v>
      </c>
      <c r="H706" s="7">
        <v>45004.0</v>
      </c>
      <c r="I706" s="8">
        <f t="shared" si="1"/>
        <v>19</v>
      </c>
      <c r="J706" s="9">
        <f t="shared" si="2"/>
        <v>3</v>
      </c>
      <c r="K706" s="9">
        <f t="shared" si="3"/>
        <v>2023</v>
      </c>
      <c r="M706" s="25">
        <f>IFERROR(__xludf.DUMMYFUNCTION("""COMPUTED_VALUE"""),45004.0)</f>
        <v>45004</v>
      </c>
    </row>
    <row r="707">
      <c r="A707" s="10" t="s">
        <v>688</v>
      </c>
      <c r="B707" s="3" t="s">
        <v>689</v>
      </c>
      <c r="C707" s="10" t="s">
        <v>741</v>
      </c>
      <c r="D707" s="3" t="s">
        <v>742</v>
      </c>
      <c r="E707" s="4" t="s">
        <v>8</v>
      </c>
      <c r="F707" s="5" t="s">
        <v>71</v>
      </c>
      <c r="G707" s="6" t="s">
        <v>746</v>
      </c>
      <c r="H707" s="7">
        <v>45068.0</v>
      </c>
      <c r="I707" s="8">
        <f t="shared" si="1"/>
        <v>22</v>
      </c>
      <c r="J707" s="9">
        <f t="shared" si="2"/>
        <v>5</v>
      </c>
      <c r="K707" s="9">
        <f t="shared" si="3"/>
        <v>2023</v>
      </c>
      <c r="M707" s="25">
        <f>IFERROR(__xludf.DUMMYFUNCTION("""COMPUTED_VALUE"""),45068.0)</f>
        <v>45068</v>
      </c>
    </row>
    <row r="708">
      <c r="A708" s="10" t="s">
        <v>688</v>
      </c>
      <c r="B708" s="3" t="s">
        <v>689</v>
      </c>
      <c r="C708" s="10" t="s">
        <v>741</v>
      </c>
      <c r="D708" s="3" t="s">
        <v>742</v>
      </c>
      <c r="E708" s="4" t="s">
        <v>8</v>
      </c>
      <c r="F708" s="5" t="s">
        <v>11</v>
      </c>
      <c r="G708" s="6" t="s">
        <v>747</v>
      </c>
      <c r="H708" s="7">
        <v>45088.0</v>
      </c>
      <c r="I708" s="8">
        <f t="shared" si="1"/>
        <v>11</v>
      </c>
      <c r="J708" s="9">
        <f t="shared" si="2"/>
        <v>6</v>
      </c>
      <c r="K708" s="9">
        <f t="shared" si="3"/>
        <v>2023</v>
      </c>
      <c r="M708" s="25">
        <f>IFERROR(__xludf.DUMMYFUNCTION("""COMPUTED_VALUE"""),45088.0)</f>
        <v>45088</v>
      </c>
    </row>
    <row r="709">
      <c r="A709" s="10" t="s">
        <v>688</v>
      </c>
      <c r="B709" s="3" t="s">
        <v>689</v>
      </c>
      <c r="C709" s="10" t="s">
        <v>741</v>
      </c>
      <c r="D709" s="3" t="s">
        <v>742</v>
      </c>
      <c r="E709" s="4" t="s">
        <v>3</v>
      </c>
      <c r="F709" s="5" t="s">
        <v>35</v>
      </c>
      <c r="G709" s="6" t="s">
        <v>748</v>
      </c>
      <c r="H709" s="7">
        <v>45128.0</v>
      </c>
      <c r="I709" s="8">
        <f t="shared" si="1"/>
        <v>21</v>
      </c>
      <c r="J709" s="9">
        <f t="shared" si="2"/>
        <v>7</v>
      </c>
      <c r="K709" s="9">
        <f t="shared" si="3"/>
        <v>2023</v>
      </c>
      <c r="M709" s="25">
        <f>IFERROR(__xludf.DUMMYFUNCTION("""COMPUTED_VALUE"""),45128.0)</f>
        <v>45128</v>
      </c>
    </row>
    <row r="710">
      <c r="A710" s="10" t="s">
        <v>688</v>
      </c>
      <c r="B710" s="3" t="s">
        <v>689</v>
      </c>
      <c r="C710" s="10" t="s">
        <v>741</v>
      </c>
      <c r="D710" s="3" t="s">
        <v>742</v>
      </c>
      <c r="E710" s="4" t="s">
        <v>3</v>
      </c>
      <c r="F710" s="5" t="s">
        <v>23</v>
      </c>
      <c r="G710" s="6" t="s">
        <v>749</v>
      </c>
      <c r="H710" s="7">
        <v>45131.0</v>
      </c>
      <c r="I710" s="8">
        <f t="shared" si="1"/>
        <v>24</v>
      </c>
      <c r="J710" s="9">
        <f t="shared" si="2"/>
        <v>7</v>
      </c>
      <c r="K710" s="9">
        <f t="shared" si="3"/>
        <v>2023</v>
      </c>
      <c r="M710" s="25">
        <f>IFERROR(__xludf.DUMMYFUNCTION("""COMPUTED_VALUE"""),45131.0)</f>
        <v>45131</v>
      </c>
    </row>
    <row r="711">
      <c r="A711" s="10" t="s">
        <v>688</v>
      </c>
      <c r="B711" s="3" t="s">
        <v>689</v>
      </c>
      <c r="C711" s="10" t="s">
        <v>741</v>
      </c>
      <c r="D711" s="3" t="s">
        <v>742</v>
      </c>
      <c r="E711" s="4" t="s">
        <v>8</v>
      </c>
      <c r="F711" s="5" t="s">
        <v>96</v>
      </c>
      <c r="G711" s="6" t="s">
        <v>750</v>
      </c>
      <c r="H711" s="7">
        <v>45142.0</v>
      </c>
      <c r="I711" s="8">
        <f t="shared" si="1"/>
        <v>4</v>
      </c>
      <c r="J711" s="9">
        <f t="shared" si="2"/>
        <v>8</v>
      </c>
      <c r="K711" s="9">
        <f t="shared" si="3"/>
        <v>2023</v>
      </c>
      <c r="M711" s="25">
        <f>IFERROR(__xludf.DUMMYFUNCTION("""COMPUTED_VALUE"""),45142.0)</f>
        <v>45142</v>
      </c>
    </row>
    <row r="712">
      <c r="A712" s="10" t="s">
        <v>688</v>
      </c>
      <c r="B712" s="3" t="s">
        <v>689</v>
      </c>
      <c r="C712" s="10" t="s">
        <v>741</v>
      </c>
      <c r="D712" s="3" t="s">
        <v>742</v>
      </c>
      <c r="E712" s="4" t="s">
        <v>8</v>
      </c>
      <c r="F712" s="5" t="s">
        <v>4</v>
      </c>
      <c r="G712" s="6" t="s">
        <v>751</v>
      </c>
      <c r="H712" s="7">
        <v>45148.0</v>
      </c>
      <c r="I712" s="8">
        <f t="shared" si="1"/>
        <v>10</v>
      </c>
      <c r="J712" s="9">
        <f t="shared" si="2"/>
        <v>8</v>
      </c>
      <c r="K712" s="9">
        <f t="shared" si="3"/>
        <v>2023</v>
      </c>
      <c r="M712" s="25">
        <f>IFERROR(__xludf.DUMMYFUNCTION("""COMPUTED_VALUE"""),45148.0)</f>
        <v>45148</v>
      </c>
    </row>
    <row r="713">
      <c r="A713" s="10" t="s">
        <v>688</v>
      </c>
      <c r="B713" s="3" t="s">
        <v>689</v>
      </c>
      <c r="C713" s="10" t="s">
        <v>741</v>
      </c>
      <c r="D713" s="3" t="s">
        <v>742</v>
      </c>
      <c r="E713" s="4" t="s">
        <v>8</v>
      </c>
      <c r="F713" s="5" t="s">
        <v>4</v>
      </c>
      <c r="G713" s="6" t="s">
        <v>752</v>
      </c>
      <c r="H713" s="7">
        <v>45151.0</v>
      </c>
      <c r="I713" s="8">
        <f t="shared" si="1"/>
        <v>13</v>
      </c>
      <c r="J713" s="9">
        <f t="shared" si="2"/>
        <v>8</v>
      </c>
      <c r="K713" s="9">
        <f t="shared" si="3"/>
        <v>2023</v>
      </c>
      <c r="M713" s="25">
        <f>IFERROR(__xludf.DUMMYFUNCTION("""COMPUTED_VALUE"""),45151.0)</f>
        <v>45151</v>
      </c>
    </row>
    <row r="714">
      <c r="A714" s="10" t="s">
        <v>688</v>
      </c>
      <c r="B714" s="3" t="s">
        <v>689</v>
      </c>
      <c r="C714" s="10" t="s">
        <v>741</v>
      </c>
      <c r="D714" s="3" t="s">
        <v>742</v>
      </c>
      <c r="E714" s="4" t="s">
        <v>8</v>
      </c>
      <c r="F714" s="5" t="s">
        <v>9</v>
      </c>
      <c r="G714" s="6" t="s">
        <v>753</v>
      </c>
      <c r="H714" s="7">
        <v>45164.0</v>
      </c>
      <c r="I714" s="8">
        <f t="shared" si="1"/>
        <v>26</v>
      </c>
      <c r="J714" s="9">
        <f t="shared" si="2"/>
        <v>8</v>
      </c>
      <c r="K714" s="9">
        <f t="shared" si="3"/>
        <v>2023</v>
      </c>
      <c r="M714" s="25">
        <f>IFERROR(__xludf.DUMMYFUNCTION("""COMPUTED_VALUE"""),45164.0)</f>
        <v>45164</v>
      </c>
    </row>
    <row r="715">
      <c r="A715" s="10" t="s">
        <v>688</v>
      </c>
      <c r="B715" s="3" t="s">
        <v>689</v>
      </c>
      <c r="C715" s="10" t="s">
        <v>741</v>
      </c>
      <c r="D715" s="3" t="s">
        <v>742</v>
      </c>
      <c r="E715" s="4" t="s">
        <v>3</v>
      </c>
      <c r="F715" s="5" t="s">
        <v>120</v>
      </c>
      <c r="G715" s="6" t="s">
        <v>754</v>
      </c>
      <c r="H715" s="7">
        <v>45184.0</v>
      </c>
      <c r="I715" s="8">
        <f t="shared" si="1"/>
        <v>15</v>
      </c>
      <c r="J715" s="9">
        <f t="shared" si="2"/>
        <v>9</v>
      </c>
      <c r="K715" s="9">
        <f t="shared" si="3"/>
        <v>2023</v>
      </c>
      <c r="M715" s="25">
        <f>IFERROR(__xludf.DUMMYFUNCTION("""COMPUTED_VALUE"""),45184.0)</f>
        <v>45184</v>
      </c>
    </row>
    <row r="716">
      <c r="A716" s="10" t="s">
        <v>688</v>
      </c>
      <c r="B716" s="3" t="s">
        <v>689</v>
      </c>
      <c r="C716" s="10" t="s">
        <v>741</v>
      </c>
      <c r="D716" s="3" t="s">
        <v>742</v>
      </c>
      <c r="E716" s="4" t="s">
        <v>8</v>
      </c>
      <c r="F716" s="5" t="s">
        <v>76</v>
      </c>
      <c r="G716" s="6" t="s">
        <v>755</v>
      </c>
      <c r="H716" s="7">
        <v>45200.0</v>
      </c>
      <c r="I716" s="8">
        <f t="shared" si="1"/>
        <v>1</v>
      </c>
      <c r="J716" s="9">
        <f t="shared" si="2"/>
        <v>10</v>
      </c>
      <c r="K716" s="9">
        <f t="shared" si="3"/>
        <v>2023</v>
      </c>
      <c r="M716" s="25">
        <f>IFERROR(__xludf.DUMMYFUNCTION("""COMPUTED_VALUE"""),45200.0)</f>
        <v>45200</v>
      </c>
    </row>
    <row r="717">
      <c r="A717" s="10" t="s">
        <v>688</v>
      </c>
      <c r="B717" s="3" t="s">
        <v>689</v>
      </c>
      <c r="C717" s="10" t="s">
        <v>741</v>
      </c>
      <c r="D717" s="3" t="s">
        <v>742</v>
      </c>
      <c r="E717" s="4" t="s">
        <v>3</v>
      </c>
      <c r="F717" s="5" t="s">
        <v>71</v>
      </c>
      <c r="G717" s="6" t="s">
        <v>756</v>
      </c>
      <c r="H717" s="7">
        <v>45201.0</v>
      </c>
      <c r="I717" s="8">
        <f t="shared" si="1"/>
        <v>2</v>
      </c>
      <c r="J717" s="9">
        <f t="shared" si="2"/>
        <v>10</v>
      </c>
      <c r="K717" s="9">
        <f t="shared" si="3"/>
        <v>2023</v>
      </c>
      <c r="M717" s="25">
        <f>IFERROR(__xludf.DUMMYFUNCTION("""COMPUTED_VALUE"""),45201.0)</f>
        <v>45201</v>
      </c>
    </row>
    <row r="718">
      <c r="A718" s="10" t="s">
        <v>688</v>
      </c>
      <c r="B718" s="3" t="s">
        <v>689</v>
      </c>
      <c r="C718" s="10" t="s">
        <v>741</v>
      </c>
      <c r="D718" s="3" t="s">
        <v>742</v>
      </c>
      <c r="E718" s="4" t="s">
        <v>3</v>
      </c>
      <c r="F718" s="5" t="s">
        <v>13</v>
      </c>
      <c r="G718" s="6" t="s">
        <v>568</v>
      </c>
      <c r="H718" s="7">
        <v>45215.0</v>
      </c>
      <c r="I718" s="8">
        <f t="shared" si="1"/>
        <v>16</v>
      </c>
      <c r="J718" s="9">
        <f t="shared" si="2"/>
        <v>10</v>
      </c>
      <c r="K718" s="9">
        <f t="shared" si="3"/>
        <v>2023</v>
      </c>
      <c r="M718" s="25">
        <f>IFERROR(__xludf.DUMMYFUNCTION("""COMPUTED_VALUE"""),45215.0)</f>
        <v>45215</v>
      </c>
    </row>
    <row r="719">
      <c r="A719" s="10" t="s">
        <v>688</v>
      </c>
      <c r="B719" s="3" t="s">
        <v>689</v>
      </c>
      <c r="C719" s="10" t="s">
        <v>741</v>
      </c>
      <c r="D719" s="3" t="s">
        <v>742</v>
      </c>
      <c r="E719" s="4" t="s">
        <v>8</v>
      </c>
      <c r="F719" s="5" t="s">
        <v>39</v>
      </c>
      <c r="G719" s="6" t="s">
        <v>757</v>
      </c>
      <c r="H719" s="7">
        <v>45225.0</v>
      </c>
      <c r="I719" s="8">
        <f t="shared" si="1"/>
        <v>26</v>
      </c>
      <c r="J719" s="9">
        <f t="shared" si="2"/>
        <v>10</v>
      </c>
      <c r="K719" s="9">
        <f t="shared" si="3"/>
        <v>2023</v>
      </c>
      <c r="M719" s="25">
        <f>IFERROR(__xludf.DUMMYFUNCTION("""COMPUTED_VALUE"""),45225.0)</f>
        <v>45225</v>
      </c>
    </row>
    <row r="720">
      <c r="A720" s="10" t="s">
        <v>688</v>
      </c>
      <c r="B720" s="3" t="s">
        <v>689</v>
      </c>
      <c r="C720" s="10" t="s">
        <v>741</v>
      </c>
      <c r="D720" s="3" t="s">
        <v>742</v>
      </c>
      <c r="E720" s="4" t="s">
        <v>3</v>
      </c>
      <c r="F720" s="5" t="s">
        <v>96</v>
      </c>
      <c r="G720" s="6" t="s">
        <v>758</v>
      </c>
      <c r="H720" s="7">
        <v>45253.0</v>
      </c>
      <c r="I720" s="8">
        <f t="shared" si="1"/>
        <v>23</v>
      </c>
      <c r="J720" s="9">
        <f t="shared" si="2"/>
        <v>11</v>
      </c>
      <c r="K720" s="9">
        <f t="shared" si="3"/>
        <v>2023</v>
      </c>
      <c r="M720" s="25">
        <f>IFERROR(__xludf.DUMMYFUNCTION("""COMPUTED_VALUE"""),45253.0)</f>
        <v>45253</v>
      </c>
    </row>
    <row r="721">
      <c r="A721" s="10" t="s">
        <v>704</v>
      </c>
      <c r="B721" s="3" t="s">
        <v>705</v>
      </c>
      <c r="C721" s="10" t="s">
        <v>759</v>
      </c>
      <c r="D721" s="3" t="s">
        <v>760</v>
      </c>
      <c r="E721" s="4" t="s">
        <v>8</v>
      </c>
      <c r="F721" s="5" t="s">
        <v>35</v>
      </c>
      <c r="G721" s="6" t="s">
        <v>138</v>
      </c>
      <c r="H721" s="7">
        <v>44998.0</v>
      </c>
      <c r="I721" s="8">
        <f t="shared" si="1"/>
        <v>13</v>
      </c>
      <c r="J721" s="9">
        <f t="shared" si="2"/>
        <v>3</v>
      </c>
      <c r="K721" s="9">
        <f t="shared" si="3"/>
        <v>2023</v>
      </c>
      <c r="M721" s="25">
        <f>IFERROR(__xludf.DUMMYFUNCTION("""COMPUTED_VALUE"""),44998.0)</f>
        <v>44998</v>
      </c>
    </row>
    <row r="722">
      <c r="A722" s="10" t="s">
        <v>704</v>
      </c>
      <c r="B722" s="3" t="s">
        <v>705</v>
      </c>
      <c r="C722" s="10" t="s">
        <v>759</v>
      </c>
      <c r="D722" s="3" t="s">
        <v>760</v>
      </c>
      <c r="E722" s="4" t="s">
        <v>3</v>
      </c>
      <c r="F722" s="5" t="s">
        <v>23</v>
      </c>
      <c r="G722" s="6" t="s">
        <v>523</v>
      </c>
      <c r="H722" s="7">
        <v>45008.0</v>
      </c>
      <c r="I722" s="8">
        <f t="shared" si="1"/>
        <v>23</v>
      </c>
      <c r="J722" s="9">
        <f t="shared" si="2"/>
        <v>3</v>
      </c>
      <c r="K722" s="9">
        <f t="shared" si="3"/>
        <v>2023</v>
      </c>
      <c r="M722" s="25">
        <f>IFERROR(__xludf.DUMMYFUNCTION("""COMPUTED_VALUE"""),45008.0)</f>
        <v>45008</v>
      </c>
    </row>
    <row r="723">
      <c r="A723" s="10" t="s">
        <v>704</v>
      </c>
      <c r="B723" s="3" t="s">
        <v>705</v>
      </c>
      <c r="C723" s="10" t="s">
        <v>759</v>
      </c>
      <c r="D723" s="3" t="s">
        <v>760</v>
      </c>
      <c r="E723" s="4" t="s">
        <v>3</v>
      </c>
      <c r="F723" s="5" t="s">
        <v>15</v>
      </c>
      <c r="G723" s="6" t="s">
        <v>761</v>
      </c>
      <c r="H723" s="7">
        <v>45023.0</v>
      </c>
      <c r="I723" s="8">
        <f t="shared" si="1"/>
        <v>7</v>
      </c>
      <c r="J723" s="9">
        <f t="shared" si="2"/>
        <v>4</v>
      </c>
      <c r="K723" s="9">
        <f t="shared" si="3"/>
        <v>2023</v>
      </c>
      <c r="M723" s="25">
        <f>IFERROR(__xludf.DUMMYFUNCTION("""COMPUTED_VALUE"""),45023.0)</f>
        <v>45023</v>
      </c>
    </row>
    <row r="724">
      <c r="A724" s="10" t="s">
        <v>704</v>
      </c>
      <c r="B724" s="3" t="s">
        <v>705</v>
      </c>
      <c r="C724" s="10" t="s">
        <v>759</v>
      </c>
      <c r="D724" s="3" t="s">
        <v>760</v>
      </c>
      <c r="E724" s="4" t="s">
        <v>3</v>
      </c>
      <c r="F724" s="5" t="s">
        <v>42</v>
      </c>
      <c r="G724" s="6" t="s">
        <v>762</v>
      </c>
      <c r="H724" s="7">
        <v>45029.0</v>
      </c>
      <c r="I724" s="8">
        <f t="shared" si="1"/>
        <v>13</v>
      </c>
      <c r="J724" s="9">
        <f t="shared" si="2"/>
        <v>4</v>
      </c>
      <c r="K724" s="9">
        <f t="shared" si="3"/>
        <v>2023</v>
      </c>
      <c r="M724" s="25">
        <f>IFERROR(__xludf.DUMMYFUNCTION("""COMPUTED_VALUE"""),45029.0)</f>
        <v>45029</v>
      </c>
    </row>
    <row r="725">
      <c r="A725" s="10" t="s">
        <v>704</v>
      </c>
      <c r="B725" s="3" t="s">
        <v>705</v>
      </c>
      <c r="C725" s="10" t="s">
        <v>759</v>
      </c>
      <c r="D725" s="3" t="s">
        <v>760</v>
      </c>
      <c r="E725" s="4" t="s">
        <v>3</v>
      </c>
      <c r="F725" s="5" t="s">
        <v>45</v>
      </c>
      <c r="G725" s="6" t="s">
        <v>763</v>
      </c>
      <c r="H725" s="7">
        <v>45033.0</v>
      </c>
      <c r="I725" s="8">
        <f t="shared" si="1"/>
        <v>17</v>
      </c>
      <c r="J725" s="9">
        <f t="shared" si="2"/>
        <v>4</v>
      </c>
      <c r="K725" s="9">
        <f t="shared" si="3"/>
        <v>2023</v>
      </c>
      <c r="M725" s="25">
        <f>IFERROR(__xludf.DUMMYFUNCTION("""COMPUTED_VALUE"""),45033.0)</f>
        <v>45033</v>
      </c>
    </row>
    <row r="726">
      <c r="A726" s="10" t="s">
        <v>704</v>
      </c>
      <c r="B726" s="3" t="s">
        <v>705</v>
      </c>
      <c r="C726" s="10" t="s">
        <v>759</v>
      </c>
      <c r="D726" s="3" t="s">
        <v>760</v>
      </c>
      <c r="E726" s="4" t="s">
        <v>3</v>
      </c>
      <c r="F726" s="5" t="s">
        <v>9</v>
      </c>
      <c r="G726" s="6" t="s">
        <v>764</v>
      </c>
      <c r="H726" s="7">
        <v>45042.0</v>
      </c>
      <c r="I726" s="8">
        <f t="shared" si="1"/>
        <v>26</v>
      </c>
      <c r="J726" s="9">
        <f t="shared" si="2"/>
        <v>4</v>
      </c>
      <c r="K726" s="9">
        <f t="shared" si="3"/>
        <v>2023</v>
      </c>
      <c r="M726" s="25">
        <f>IFERROR(__xludf.DUMMYFUNCTION("""COMPUTED_VALUE"""),45042.0)</f>
        <v>45042</v>
      </c>
    </row>
    <row r="727">
      <c r="A727" s="10" t="s">
        <v>704</v>
      </c>
      <c r="B727" s="3" t="s">
        <v>705</v>
      </c>
      <c r="C727" s="10" t="s">
        <v>759</v>
      </c>
      <c r="D727" s="3" t="s">
        <v>760</v>
      </c>
      <c r="E727" s="4" t="s">
        <v>8</v>
      </c>
      <c r="F727" s="5" t="s">
        <v>6</v>
      </c>
      <c r="G727" s="6" t="s">
        <v>765</v>
      </c>
      <c r="H727" s="7">
        <v>45049.0</v>
      </c>
      <c r="I727" s="8">
        <f t="shared" si="1"/>
        <v>3</v>
      </c>
      <c r="J727" s="9">
        <f t="shared" si="2"/>
        <v>5</v>
      </c>
      <c r="K727" s="9">
        <f t="shared" si="3"/>
        <v>2023</v>
      </c>
      <c r="M727" s="25">
        <f>IFERROR(__xludf.DUMMYFUNCTION("""COMPUTED_VALUE"""),45049.0)</f>
        <v>45049</v>
      </c>
    </row>
    <row r="728">
      <c r="A728" s="10" t="s">
        <v>704</v>
      </c>
      <c r="B728" s="3" t="s">
        <v>705</v>
      </c>
      <c r="C728" s="10" t="s">
        <v>759</v>
      </c>
      <c r="D728" s="3" t="s">
        <v>760</v>
      </c>
      <c r="E728" s="4" t="s">
        <v>8</v>
      </c>
      <c r="F728" s="5" t="s">
        <v>17</v>
      </c>
      <c r="G728" s="6" t="s">
        <v>766</v>
      </c>
      <c r="H728" s="7">
        <v>45062.0</v>
      </c>
      <c r="I728" s="8">
        <f t="shared" si="1"/>
        <v>16</v>
      </c>
      <c r="J728" s="9">
        <f t="shared" si="2"/>
        <v>5</v>
      </c>
      <c r="K728" s="9">
        <f t="shared" si="3"/>
        <v>2023</v>
      </c>
      <c r="M728" s="25">
        <f>IFERROR(__xludf.DUMMYFUNCTION("""COMPUTED_VALUE"""),45062.0)</f>
        <v>45062</v>
      </c>
    </row>
    <row r="729">
      <c r="A729" s="10" t="s">
        <v>704</v>
      </c>
      <c r="B729" s="3" t="s">
        <v>705</v>
      </c>
      <c r="C729" s="10" t="s">
        <v>759</v>
      </c>
      <c r="D729" s="3" t="s">
        <v>760</v>
      </c>
      <c r="E729" s="4" t="s">
        <v>3</v>
      </c>
      <c r="F729" s="5" t="s">
        <v>35</v>
      </c>
      <c r="G729" s="6" t="s">
        <v>767</v>
      </c>
      <c r="H729" s="7">
        <v>45069.0</v>
      </c>
      <c r="I729" s="8">
        <f t="shared" si="1"/>
        <v>23</v>
      </c>
      <c r="J729" s="9">
        <f t="shared" si="2"/>
        <v>5</v>
      </c>
      <c r="K729" s="9">
        <f t="shared" si="3"/>
        <v>2023</v>
      </c>
      <c r="M729" s="25">
        <f>IFERROR(__xludf.DUMMYFUNCTION("""COMPUTED_VALUE"""),45069.0)</f>
        <v>45069</v>
      </c>
    </row>
    <row r="730">
      <c r="A730" s="10" t="s">
        <v>704</v>
      </c>
      <c r="B730" s="3" t="s">
        <v>705</v>
      </c>
      <c r="C730" s="10" t="s">
        <v>759</v>
      </c>
      <c r="D730" s="3" t="s">
        <v>760</v>
      </c>
      <c r="E730" s="4" t="s">
        <v>3</v>
      </c>
      <c r="F730" s="5" t="s">
        <v>9</v>
      </c>
      <c r="G730" s="6" t="s">
        <v>768</v>
      </c>
      <c r="H730" s="7">
        <v>45081.0</v>
      </c>
      <c r="I730" s="8">
        <f t="shared" si="1"/>
        <v>4</v>
      </c>
      <c r="J730" s="9">
        <f t="shared" si="2"/>
        <v>6</v>
      </c>
      <c r="K730" s="9">
        <f t="shared" si="3"/>
        <v>2023</v>
      </c>
      <c r="M730" s="25">
        <f>IFERROR(__xludf.DUMMYFUNCTION("""COMPUTED_VALUE"""),45081.0)</f>
        <v>45081</v>
      </c>
    </row>
    <row r="731">
      <c r="A731" s="10" t="s">
        <v>704</v>
      </c>
      <c r="B731" s="3" t="s">
        <v>705</v>
      </c>
      <c r="C731" s="10" t="s">
        <v>759</v>
      </c>
      <c r="D731" s="3" t="s">
        <v>760</v>
      </c>
      <c r="E731" s="4" t="s">
        <v>3</v>
      </c>
      <c r="F731" s="5" t="s">
        <v>39</v>
      </c>
      <c r="G731" s="6" t="s">
        <v>769</v>
      </c>
      <c r="H731" s="7">
        <v>45088.0</v>
      </c>
      <c r="I731" s="8">
        <f t="shared" si="1"/>
        <v>11</v>
      </c>
      <c r="J731" s="9">
        <f t="shared" si="2"/>
        <v>6</v>
      </c>
      <c r="K731" s="9">
        <f t="shared" si="3"/>
        <v>2023</v>
      </c>
      <c r="M731" s="25">
        <f>IFERROR(__xludf.DUMMYFUNCTION("""COMPUTED_VALUE"""),45088.0)</f>
        <v>45088</v>
      </c>
    </row>
    <row r="732">
      <c r="A732" s="10" t="s">
        <v>704</v>
      </c>
      <c r="B732" s="3" t="s">
        <v>705</v>
      </c>
      <c r="C732" s="10" t="s">
        <v>759</v>
      </c>
      <c r="D732" s="3" t="s">
        <v>760</v>
      </c>
      <c r="E732" s="4" t="s">
        <v>3</v>
      </c>
      <c r="F732" s="5" t="s">
        <v>13</v>
      </c>
      <c r="G732" s="6" t="s">
        <v>672</v>
      </c>
      <c r="H732" s="7">
        <v>45095.0</v>
      </c>
      <c r="I732" s="8">
        <f t="shared" si="1"/>
        <v>18</v>
      </c>
      <c r="J732" s="9">
        <f t="shared" si="2"/>
        <v>6</v>
      </c>
      <c r="K732" s="9">
        <f t="shared" si="3"/>
        <v>2023</v>
      </c>
      <c r="M732" s="25">
        <f>IFERROR(__xludf.DUMMYFUNCTION("""COMPUTED_VALUE"""),45095.0)</f>
        <v>45095</v>
      </c>
    </row>
    <row r="733">
      <c r="A733" s="10" t="s">
        <v>704</v>
      </c>
      <c r="B733" s="3" t="s">
        <v>705</v>
      </c>
      <c r="C733" s="10" t="s">
        <v>759</v>
      </c>
      <c r="D733" s="3" t="s">
        <v>760</v>
      </c>
      <c r="E733" s="4" t="s">
        <v>8</v>
      </c>
      <c r="F733" s="5" t="s">
        <v>6</v>
      </c>
      <c r="G733" s="6" t="s">
        <v>770</v>
      </c>
      <c r="H733" s="7">
        <v>45154.0</v>
      </c>
      <c r="I733" s="8">
        <f t="shared" si="1"/>
        <v>16</v>
      </c>
      <c r="J733" s="9">
        <f t="shared" si="2"/>
        <v>8</v>
      </c>
      <c r="K733" s="9">
        <f t="shared" si="3"/>
        <v>2023</v>
      </c>
      <c r="M733" s="25">
        <f>IFERROR(__xludf.DUMMYFUNCTION("""COMPUTED_VALUE"""),45154.0)</f>
        <v>45154</v>
      </c>
    </row>
    <row r="734">
      <c r="A734" s="10" t="s">
        <v>704</v>
      </c>
      <c r="B734" s="3" t="s">
        <v>705</v>
      </c>
      <c r="C734" s="10" t="s">
        <v>759</v>
      </c>
      <c r="D734" s="3" t="s">
        <v>760</v>
      </c>
      <c r="E734" s="4" t="s">
        <v>8</v>
      </c>
      <c r="F734" s="5" t="s">
        <v>9</v>
      </c>
      <c r="G734" s="6" t="s">
        <v>771</v>
      </c>
      <c r="H734" s="7">
        <v>45172.0</v>
      </c>
      <c r="I734" s="8">
        <f t="shared" si="1"/>
        <v>3</v>
      </c>
      <c r="J734" s="9">
        <f t="shared" si="2"/>
        <v>9</v>
      </c>
      <c r="K734" s="9">
        <f t="shared" si="3"/>
        <v>2023</v>
      </c>
      <c r="M734" s="25">
        <f>IFERROR(__xludf.DUMMYFUNCTION("""COMPUTED_VALUE"""),45172.0)</f>
        <v>45172</v>
      </c>
    </row>
    <row r="735">
      <c r="A735" s="10" t="s">
        <v>704</v>
      </c>
      <c r="B735" s="3" t="s">
        <v>705</v>
      </c>
      <c r="C735" s="10" t="s">
        <v>759</v>
      </c>
      <c r="D735" s="3" t="s">
        <v>760</v>
      </c>
      <c r="E735" s="4" t="s">
        <v>8</v>
      </c>
      <c r="F735" s="5" t="s">
        <v>21</v>
      </c>
      <c r="G735" s="6" t="s">
        <v>772</v>
      </c>
      <c r="H735" s="7">
        <v>45177.0</v>
      </c>
      <c r="I735" s="8">
        <f t="shared" si="1"/>
        <v>8</v>
      </c>
      <c r="J735" s="9">
        <f t="shared" si="2"/>
        <v>9</v>
      </c>
      <c r="K735" s="9">
        <f t="shared" si="3"/>
        <v>2023</v>
      </c>
      <c r="M735" s="25">
        <f>IFERROR(__xludf.DUMMYFUNCTION("""COMPUTED_VALUE"""),45177.0)</f>
        <v>45177</v>
      </c>
    </row>
    <row r="736">
      <c r="A736" s="10" t="s">
        <v>704</v>
      </c>
      <c r="B736" s="3" t="s">
        <v>705</v>
      </c>
      <c r="C736" s="10" t="s">
        <v>759</v>
      </c>
      <c r="D736" s="3" t="s">
        <v>760</v>
      </c>
      <c r="E736" s="4" t="s">
        <v>8</v>
      </c>
      <c r="F736" s="5" t="s">
        <v>4</v>
      </c>
      <c r="G736" s="6" t="s">
        <v>773</v>
      </c>
      <c r="H736" s="7">
        <v>45180.0</v>
      </c>
      <c r="I736" s="8">
        <f t="shared" si="1"/>
        <v>11</v>
      </c>
      <c r="J736" s="9">
        <f t="shared" si="2"/>
        <v>9</v>
      </c>
      <c r="K736" s="9">
        <f t="shared" si="3"/>
        <v>2023</v>
      </c>
      <c r="M736" s="25">
        <f>IFERROR(__xludf.DUMMYFUNCTION("""COMPUTED_VALUE"""),45180.0)</f>
        <v>45180</v>
      </c>
    </row>
    <row r="737">
      <c r="A737" s="10" t="s">
        <v>704</v>
      </c>
      <c r="B737" s="3" t="s">
        <v>705</v>
      </c>
      <c r="C737" s="10" t="s">
        <v>759</v>
      </c>
      <c r="D737" s="3" t="s">
        <v>760</v>
      </c>
      <c r="E737" s="4" t="s">
        <v>3</v>
      </c>
      <c r="F737" s="5" t="s">
        <v>51</v>
      </c>
      <c r="G737" s="6" t="s">
        <v>774</v>
      </c>
      <c r="H737" s="7">
        <v>45217.0</v>
      </c>
      <c r="I737" s="8">
        <f t="shared" si="1"/>
        <v>18</v>
      </c>
      <c r="J737" s="9">
        <f t="shared" si="2"/>
        <v>10</v>
      </c>
      <c r="K737" s="9">
        <f t="shared" si="3"/>
        <v>2023</v>
      </c>
      <c r="M737" s="25">
        <f>IFERROR(__xludf.DUMMYFUNCTION("""COMPUTED_VALUE"""),45217.0)</f>
        <v>45217</v>
      </c>
    </row>
    <row r="738">
      <c r="A738" s="10" t="s">
        <v>704</v>
      </c>
      <c r="B738" s="3" t="s">
        <v>705</v>
      </c>
      <c r="C738" s="10" t="s">
        <v>759</v>
      </c>
      <c r="D738" s="3" t="s">
        <v>760</v>
      </c>
      <c r="E738" s="4" t="s">
        <v>8</v>
      </c>
      <c r="F738" s="5" t="s">
        <v>9</v>
      </c>
      <c r="G738" s="6" t="s">
        <v>775</v>
      </c>
      <c r="H738" s="7">
        <v>45255.0</v>
      </c>
      <c r="I738" s="8">
        <f t="shared" si="1"/>
        <v>25</v>
      </c>
      <c r="J738" s="9">
        <f t="shared" si="2"/>
        <v>11</v>
      </c>
      <c r="K738" s="9">
        <f t="shared" si="3"/>
        <v>2023</v>
      </c>
      <c r="M738" s="25">
        <f>IFERROR(__xludf.DUMMYFUNCTION("""COMPUTED_VALUE"""),45255.0)</f>
        <v>45255</v>
      </c>
    </row>
    <row r="739">
      <c r="A739" s="10" t="s">
        <v>704</v>
      </c>
      <c r="B739" s="3" t="s">
        <v>705</v>
      </c>
      <c r="C739" s="10" t="s">
        <v>759</v>
      </c>
      <c r="D739" s="3" t="s">
        <v>760</v>
      </c>
      <c r="E739" s="4" t="s">
        <v>3</v>
      </c>
      <c r="F739" s="5" t="s">
        <v>13</v>
      </c>
      <c r="G739" s="6" t="s">
        <v>776</v>
      </c>
      <c r="H739" s="7">
        <v>45265.0</v>
      </c>
      <c r="I739" s="8">
        <f t="shared" si="1"/>
        <v>5</v>
      </c>
      <c r="J739" s="9">
        <f t="shared" si="2"/>
        <v>12</v>
      </c>
      <c r="K739" s="9">
        <f t="shared" si="3"/>
        <v>2023</v>
      </c>
      <c r="M739" s="25">
        <f>IFERROR(__xludf.DUMMYFUNCTION("""COMPUTED_VALUE"""),45265.0)</f>
        <v>45265</v>
      </c>
    </row>
    <row r="740">
      <c r="A740" s="10" t="s">
        <v>704</v>
      </c>
      <c r="B740" s="3" t="s">
        <v>705</v>
      </c>
      <c r="C740" s="10" t="s">
        <v>759</v>
      </c>
      <c r="D740" s="3" t="s">
        <v>760</v>
      </c>
      <c r="E740" s="4" t="s">
        <v>3</v>
      </c>
      <c r="F740" s="5" t="s">
        <v>6</v>
      </c>
      <c r="G740" s="6" t="s">
        <v>777</v>
      </c>
      <c r="H740" s="7">
        <v>45284.0</v>
      </c>
      <c r="I740" s="8">
        <f t="shared" si="1"/>
        <v>24</v>
      </c>
      <c r="J740" s="9">
        <f t="shared" si="2"/>
        <v>12</v>
      </c>
      <c r="K740" s="9">
        <f t="shared" si="3"/>
        <v>2023</v>
      </c>
      <c r="M740" s="25">
        <f>IFERROR(__xludf.DUMMYFUNCTION("""COMPUTED_VALUE"""),45284.0)</f>
        <v>45284</v>
      </c>
    </row>
    <row r="741">
      <c r="A741" s="10" t="s">
        <v>723</v>
      </c>
      <c r="B741" s="3" t="s">
        <v>724</v>
      </c>
      <c r="C741" s="10" t="s">
        <v>778</v>
      </c>
      <c r="D741" s="3" t="s">
        <v>779</v>
      </c>
      <c r="E741" s="4" t="s">
        <v>3</v>
      </c>
      <c r="F741" s="5" t="s">
        <v>39</v>
      </c>
      <c r="G741" s="6" t="s">
        <v>780</v>
      </c>
      <c r="H741" s="7">
        <v>44934.0</v>
      </c>
      <c r="I741" s="8">
        <f t="shared" si="1"/>
        <v>8</v>
      </c>
      <c r="J741" s="9">
        <f t="shared" si="2"/>
        <v>1</v>
      </c>
      <c r="K741" s="9">
        <f t="shared" si="3"/>
        <v>2023</v>
      </c>
      <c r="M741" s="25">
        <f>IFERROR(__xludf.DUMMYFUNCTION("""COMPUTED_VALUE"""),44934.0)</f>
        <v>44934</v>
      </c>
    </row>
    <row r="742">
      <c r="A742" s="10" t="s">
        <v>723</v>
      </c>
      <c r="B742" s="3" t="s">
        <v>724</v>
      </c>
      <c r="C742" s="10" t="s">
        <v>778</v>
      </c>
      <c r="D742" s="3" t="s">
        <v>779</v>
      </c>
      <c r="E742" s="4" t="s">
        <v>8</v>
      </c>
      <c r="F742" s="5" t="s">
        <v>11</v>
      </c>
      <c r="G742" s="6" t="s">
        <v>212</v>
      </c>
      <c r="H742" s="7">
        <v>44950.0</v>
      </c>
      <c r="I742" s="8">
        <f t="shared" si="1"/>
        <v>24</v>
      </c>
      <c r="J742" s="9">
        <f t="shared" si="2"/>
        <v>1</v>
      </c>
      <c r="K742" s="9">
        <f t="shared" si="3"/>
        <v>2023</v>
      </c>
      <c r="M742" s="25">
        <f>IFERROR(__xludf.DUMMYFUNCTION("""COMPUTED_VALUE"""),44950.0)</f>
        <v>44950</v>
      </c>
    </row>
    <row r="743">
      <c r="A743" s="10" t="s">
        <v>723</v>
      </c>
      <c r="B743" s="3" t="s">
        <v>724</v>
      </c>
      <c r="C743" s="10" t="s">
        <v>778</v>
      </c>
      <c r="D743" s="3" t="s">
        <v>779</v>
      </c>
      <c r="E743" s="4" t="s">
        <v>8</v>
      </c>
      <c r="F743" s="5" t="s">
        <v>71</v>
      </c>
      <c r="G743" s="6" t="s">
        <v>781</v>
      </c>
      <c r="H743" s="7">
        <v>44959.0</v>
      </c>
      <c r="I743" s="8">
        <f t="shared" si="1"/>
        <v>2</v>
      </c>
      <c r="J743" s="9">
        <f t="shared" si="2"/>
        <v>2</v>
      </c>
      <c r="K743" s="9">
        <f t="shared" si="3"/>
        <v>2023</v>
      </c>
      <c r="M743" s="25">
        <f>IFERROR(__xludf.DUMMYFUNCTION("""COMPUTED_VALUE"""),44959.0)</f>
        <v>44959</v>
      </c>
    </row>
    <row r="744">
      <c r="A744" s="10" t="s">
        <v>723</v>
      </c>
      <c r="B744" s="3" t="s">
        <v>724</v>
      </c>
      <c r="C744" s="10" t="s">
        <v>778</v>
      </c>
      <c r="D744" s="3" t="s">
        <v>779</v>
      </c>
      <c r="E744" s="4" t="s">
        <v>8</v>
      </c>
      <c r="F744" s="5" t="s">
        <v>11</v>
      </c>
      <c r="G744" s="6" t="s">
        <v>782</v>
      </c>
      <c r="H744" s="7">
        <v>44969.0</v>
      </c>
      <c r="I744" s="8">
        <f t="shared" si="1"/>
        <v>12</v>
      </c>
      <c r="J744" s="9">
        <f t="shared" si="2"/>
        <v>2</v>
      </c>
      <c r="K744" s="9">
        <f t="shared" si="3"/>
        <v>2023</v>
      </c>
      <c r="M744" s="25">
        <f>IFERROR(__xludf.DUMMYFUNCTION("""COMPUTED_VALUE"""),44969.0)</f>
        <v>44969</v>
      </c>
    </row>
    <row r="745">
      <c r="A745" s="10" t="s">
        <v>723</v>
      </c>
      <c r="B745" s="3" t="s">
        <v>724</v>
      </c>
      <c r="C745" s="10" t="s">
        <v>778</v>
      </c>
      <c r="D745" s="3" t="s">
        <v>779</v>
      </c>
      <c r="E745" s="4" t="s">
        <v>8</v>
      </c>
      <c r="F745" s="5" t="s">
        <v>6</v>
      </c>
      <c r="G745" s="6" t="s">
        <v>783</v>
      </c>
      <c r="H745" s="7">
        <v>44971.0</v>
      </c>
      <c r="I745" s="8">
        <f t="shared" si="1"/>
        <v>14</v>
      </c>
      <c r="J745" s="9">
        <f t="shared" si="2"/>
        <v>2</v>
      </c>
      <c r="K745" s="9">
        <f t="shared" si="3"/>
        <v>2023</v>
      </c>
      <c r="M745" s="25">
        <f>IFERROR(__xludf.DUMMYFUNCTION("""COMPUTED_VALUE"""),44971.0)</f>
        <v>44971</v>
      </c>
    </row>
    <row r="746">
      <c r="A746" s="10" t="s">
        <v>723</v>
      </c>
      <c r="B746" s="3" t="s">
        <v>724</v>
      </c>
      <c r="C746" s="10" t="s">
        <v>778</v>
      </c>
      <c r="D746" s="3" t="s">
        <v>779</v>
      </c>
      <c r="E746" s="4" t="s">
        <v>8</v>
      </c>
      <c r="F746" s="5" t="s">
        <v>51</v>
      </c>
      <c r="G746" s="6" t="s">
        <v>784</v>
      </c>
      <c r="H746" s="7">
        <v>44977.0</v>
      </c>
      <c r="I746" s="8">
        <f t="shared" si="1"/>
        <v>20</v>
      </c>
      <c r="J746" s="9">
        <f t="shared" si="2"/>
        <v>2</v>
      </c>
      <c r="K746" s="9">
        <f t="shared" si="3"/>
        <v>2023</v>
      </c>
      <c r="M746" s="25">
        <f>IFERROR(__xludf.DUMMYFUNCTION("""COMPUTED_VALUE"""),44977.0)</f>
        <v>44977</v>
      </c>
    </row>
    <row r="747">
      <c r="A747" s="10" t="s">
        <v>723</v>
      </c>
      <c r="B747" s="3" t="s">
        <v>724</v>
      </c>
      <c r="C747" s="10" t="s">
        <v>778</v>
      </c>
      <c r="D747" s="3" t="s">
        <v>779</v>
      </c>
      <c r="E747" s="4" t="s">
        <v>3</v>
      </c>
      <c r="F747" s="5" t="s">
        <v>71</v>
      </c>
      <c r="G747" s="6" t="s">
        <v>785</v>
      </c>
      <c r="H747" s="7">
        <v>45009.0</v>
      </c>
      <c r="I747" s="8">
        <f t="shared" si="1"/>
        <v>24</v>
      </c>
      <c r="J747" s="9">
        <f t="shared" si="2"/>
        <v>3</v>
      </c>
      <c r="K747" s="9">
        <f t="shared" si="3"/>
        <v>2023</v>
      </c>
      <c r="M747" s="25">
        <f>IFERROR(__xludf.DUMMYFUNCTION("""COMPUTED_VALUE"""),45009.0)</f>
        <v>45009</v>
      </c>
    </row>
    <row r="748">
      <c r="A748" s="10" t="s">
        <v>723</v>
      </c>
      <c r="B748" s="3" t="s">
        <v>724</v>
      </c>
      <c r="C748" s="10" t="s">
        <v>778</v>
      </c>
      <c r="D748" s="3" t="s">
        <v>779</v>
      </c>
      <c r="E748" s="4" t="s">
        <v>8</v>
      </c>
      <c r="F748" s="5" t="s">
        <v>15</v>
      </c>
      <c r="G748" s="6" t="s">
        <v>786</v>
      </c>
      <c r="H748" s="7">
        <v>45029.0</v>
      </c>
      <c r="I748" s="8">
        <f t="shared" si="1"/>
        <v>13</v>
      </c>
      <c r="J748" s="9">
        <f t="shared" si="2"/>
        <v>4</v>
      </c>
      <c r="K748" s="9">
        <f t="shared" si="3"/>
        <v>2023</v>
      </c>
      <c r="M748" s="25">
        <f>IFERROR(__xludf.DUMMYFUNCTION("""COMPUTED_VALUE"""),45029.0)</f>
        <v>45029</v>
      </c>
    </row>
    <row r="749">
      <c r="A749" s="10" t="s">
        <v>723</v>
      </c>
      <c r="B749" s="3" t="s">
        <v>724</v>
      </c>
      <c r="C749" s="10" t="s">
        <v>778</v>
      </c>
      <c r="D749" s="3" t="s">
        <v>779</v>
      </c>
      <c r="E749" s="4" t="s">
        <v>3</v>
      </c>
      <c r="F749" s="5" t="s">
        <v>23</v>
      </c>
      <c r="G749" s="6" t="s">
        <v>787</v>
      </c>
      <c r="H749" s="7">
        <v>45086.0</v>
      </c>
      <c r="I749" s="8">
        <f t="shared" si="1"/>
        <v>9</v>
      </c>
      <c r="J749" s="9">
        <f t="shared" si="2"/>
        <v>6</v>
      </c>
      <c r="K749" s="9">
        <f t="shared" si="3"/>
        <v>2023</v>
      </c>
      <c r="M749" s="25">
        <f>IFERROR(__xludf.DUMMYFUNCTION("""COMPUTED_VALUE"""),45086.0)</f>
        <v>45086</v>
      </c>
    </row>
    <row r="750">
      <c r="A750" s="10" t="s">
        <v>723</v>
      </c>
      <c r="B750" s="3" t="s">
        <v>724</v>
      </c>
      <c r="C750" s="10" t="s">
        <v>778</v>
      </c>
      <c r="D750" s="3" t="s">
        <v>779</v>
      </c>
      <c r="E750" s="4" t="s">
        <v>8</v>
      </c>
      <c r="F750" s="5" t="s">
        <v>13</v>
      </c>
      <c r="G750" s="6" t="s">
        <v>788</v>
      </c>
      <c r="H750" s="7">
        <v>45108.0</v>
      </c>
      <c r="I750" s="8">
        <f t="shared" si="1"/>
        <v>1</v>
      </c>
      <c r="J750" s="9">
        <f t="shared" si="2"/>
        <v>7</v>
      </c>
      <c r="K750" s="9">
        <f t="shared" si="3"/>
        <v>2023</v>
      </c>
      <c r="M750" s="25">
        <f>IFERROR(__xludf.DUMMYFUNCTION("""COMPUTED_VALUE"""),45108.0)</f>
        <v>45108</v>
      </c>
    </row>
    <row r="751">
      <c r="A751" s="10" t="s">
        <v>723</v>
      </c>
      <c r="B751" s="3" t="s">
        <v>724</v>
      </c>
      <c r="C751" s="10" t="s">
        <v>778</v>
      </c>
      <c r="D751" s="3" t="s">
        <v>779</v>
      </c>
      <c r="E751" s="4" t="s">
        <v>3</v>
      </c>
      <c r="F751" s="5" t="s">
        <v>17</v>
      </c>
      <c r="G751" s="6" t="s">
        <v>789</v>
      </c>
      <c r="H751" s="7">
        <v>45115.0</v>
      </c>
      <c r="I751" s="8">
        <f t="shared" si="1"/>
        <v>8</v>
      </c>
      <c r="J751" s="9">
        <f t="shared" si="2"/>
        <v>7</v>
      </c>
      <c r="K751" s="9">
        <f t="shared" si="3"/>
        <v>2023</v>
      </c>
      <c r="M751" s="25">
        <f>IFERROR(__xludf.DUMMYFUNCTION("""COMPUTED_VALUE"""),45115.0)</f>
        <v>45115</v>
      </c>
    </row>
    <row r="752">
      <c r="A752" s="10" t="s">
        <v>723</v>
      </c>
      <c r="B752" s="3" t="s">
        <v>724</v>
      </c>
      <c r="C752" s="10" t="s">
        <v>778</v>
      </c>
      <c r="D752" s="3" t="s">
        <v>779</v>
      </c>
      <c r="E752" s="4" t="s">
        <v>8</v>
      </c>
      <c r="F752" s="5" t="s">
        <v>51</v>
      </c>
      <c r="G752" s="6" t="s">
        <v>790</v>
      </c>
      <c r="H752" s="7">
        <v>45119.0</v>
      </c>
      <c r="I752" s="8">
        <f t="shared" si="1"/>
        <v>12</v>
      </c>
      <c r="J752" s="9">
        <f t="shared" si="2"/>
        <v>7</v>
      </c>
      <c r="K752" s="9">
        <f t="shared" si="3"/>
        <v>2023</v>
      </c>
      <c r="M752" s="25">
        <f>IFERROR(__xludf.DUMMYFUNCTION("""COMPUTED_VALUE"""),45119.0)</f>
        <v>45119</v>
      </c>
    </row>
    <row r="753">
      <c r="A753" s="10" t="s">
        <v>723</v>
      </c>
      <c r="B753" s="3" t="s">
        <v>724</v>
      </c>
      <c r="C753" s="10" t="s">
        <v>778</v>
      </c>
      <c r="D753" s="3" t="s">
        <v>779</v>
      </c>
      <c r="E753" s="4" t="s">
        <v>3</v>
      </c>
      <c r="F753" s="5" t="s">
        <v>23</v>
      </c>
      <c r="G753" s="6" t="s">
        <v>392</v>
      </c>
      <c r="H753" s="7">
        <v>45140.0</v>
      </c>
      <c r="I753" s="8">
        <f t="shared" si="1"/>
        <v>2</v>
      </c>
      <c r="J753" s="9">
        <f t="shared" si="2"/>
        <v>8</v>
      </c>
      <c r="K753" s="9">
        <f t="shared" si="3"/>
        <v>2023</v>
      </c>
      <c r="M753" s="25">
        <f>IFERROR(__xludf.DUMMYFUNCTION("""COMPUTED_VALUE"""),45140.0)</f>
        <v>45140</v>
      </c>
    </row>
    <row r="754">
      <c r="A754" s="10" t="s">
        <v>723</v>
      </c>
      <c r="B754" s="3" t="s">
        <v>724</v>
      </c>
      <c r="C754" s="10" t="s">
        <v>778</v>
      </c>
      <c r="D754" s="3" t="s">
        <v>779</v>
      </c>
      <c r="E754" s="4" t="s">
        <v>3</v>
      </c>
      <c r="F754" s="5" t="s">
        <v>15</v>
      </c>
      <c r="G754" s="6" t="s">
        <v>791</v>
      </c>
      <c r="H754" s="7">
        <v>45144.0</v>
      </c>
      <c r="I754" s="8">
        <f t="shared" si="1"/>
        <v>6</v>
      </c>
      <c r="J754" s="9">
        <f t="shared" si="2"/>
        <v>8</v>
      </c>
      <c r="K754" s="9">
        <f t="shared" si="3"/>
        <v>2023</v>
      </c>
      <c r="M754" s="25">
        <f>IFERROR(__xludf.DUMMYFUNCTION("""COMPUTED_VALUE"""),45144.0)</f>
        <v>45144</v>
      </c>
    </row>
    <row r="755">
      <c r="A755" s="10" t="s">
        <v>723</v>
      </c>
      <c r="B755" s="3" t="s">
        <v>724</v>
      </c>
      <c r="C755" s="10" t="s">
        <v>778</v>
      </c>
      <c r="D755" s="3" t="s">
        <v>779</v>
      </c>
      <c r="E755" s="4" t="s">
        <v>3</v>
      </c>
      <c r="F755" s="5" t="s">
        <v>76</v>
      </c>
      <c r="G755" s="6" t="s">
        <v>102</v>
      </c>
      <c r="H755" s="7">
        <v>45182.0</v>
      </c>
      <c r="I755" s="8">
        <f t="shared" si="1"/>
        <v>13</v>
      </c>
      <c r="J755" s="9">
        <f t="shared" si="2"/>
        <v>9</v>
      </c>
      <c r="K755" s="9">
        <f t="shared" si="3"/>
        <v>2023</v>
      </c>
      <c r="M755" s="25">
        <f>IFERROR(__xludf.DUMMYFUNCTION("""COMPUTED_VALUE"""),45182.0)</f>
        <v>45182</v>
      </c>
    </row>
    <row r="756">
      <c r="A756" s="10" t="s">
        <v>723</v>
      </c>
      <c r="B756" s="3" t="s">
        <v>724</v>
      </c>
      <c r="C756" s="10" t="s">
        <v>778</v>
      </c>
      <c r="D756" s="3" t="s">
        <v>779</v>
      </c>
      <c r="E756" s="4" t="s">
        <v>8</v>
      </c>
      <c r="F756" s="5" t="s">
        <v>13</v>
      </c>
      <c r="G756" s="6" t="s">
        <v>414</v>
      </c>
      <c r="H756" s="7">
        <v>45204.0</v>
      </c>
      <c r="I756" s="8">
        <f t="shared" si="1"/>
        <v>5</v>
      </c>
      <c r="J756" s="9">
        <f t="shared" si="2"/>
        <v>10</v>
      </c>
      <c r="K756" s="9">
        <f t="shared" si="3"/>
        <v>2023</v>
      </c>
      <c r="M756" s="25">
        <f>IFERROR(__xludf.DUMMYFUNCTION("""COMPUTED_VALUE"""),45204.0)</f>
        <v>45204</v>
      </c>
    </row>
    <row r="757">
      <c r="A757" s="10" t="s">
        <v>723</v>
      </c>
      <c r="B757" s="3" t="s">
        <v>724</v>
      </c>
      <c r="C757" s="10" t="s">
        <v>778</v>
      </c>
      <c r="D757" s="3" t="s">
        <v>779</v>
      </c>
      <c r="E757" s="4" t="s">
        <v>8</v>
      </c>
      <c r="F757" s="5" t="s">
        <v>96</v>
      </c>
      <c r="G757" s="6" t="s">
        <v>792</v>
      </c>
      <c r="H757" s="7">
        <v>45211.0</v>
      </c>
      <c r="I757" s="8">
        <f t="shared" si="1"/>
        <v>12</v>
      </c>
      <c r="J757" s="9">
        <f t="shared" si="2"/>
        <v>10</v>
      </c>
      <c r="K757" s="9">
        <f t="shared" si="3"/>
        <v>2023</v>
      </c>
      <c r="M757" s="25">
        <f>IFERROR(__xludf.DUMMYFUNCTION("""COMPUTED_VALUE"""),45211.0)</f>
        <v>45211</v>
      </c>
    </row>
    <row r="758">
      <c r="A758" s="10" t="s">
        <v>723</v>
      </c>
      <c r="B758" s="3" t="s">
        <v>724</v>
      </c>
      <c r="C758" s="10" t="s">
        <v>778</v>
      </c>
      <c r="D758" s="3" t="s">
        <v>779</v>
      </c>
      <c r="E758" s="4" t="s">
        <v>3</v>
      </c>
      <c r="F758" s="5" t="s">
        <v>11</v>
      </c>
      <c r="G758" s="6" t="s">
        <v>793</v>
      </c>
      <c r="H758" s="7">
        <v>45245.0</v>
      </c>
      <c r="I758" s="8">
        <f t="shared" si="1"/>
        <v>15</v>
      </c>
      <c r="J758" s="9">
        <f t="shared" si="2"/>
        <v>11</v>
      </c>
      <c r="K758" s="9">
        <f t="shared" si="3"/>
        <v>2023</v>
      </c>
      <c r="M758" s="25">
        <f>IFERROR(__xludf.DUMMYFUNCTION("""COMPUTED_VALUE"""),45245.0)</f>
        <v>45245</v>
      </c>
    </row>
    <row r="759">
      <c r="A759" s="10" t="s">
        <v>723</v>
      </c>
      <c r="B759" s="3" t="s">
        <v>724</v>
      </c>
      <c r="C759" s="10" t="s">
        <v>778</v>
      </c>
      <c r="D759" s="3" t="s">
        <v>779</v>
      </c>
      <c r="E759" s="4" t="s">
        <v>3</v>
      </c>
      <c r="F759" s="5" t="s">
        <v>76</v>
      </c>
      <c r="G759" s="6" t="s">
        <v>794</v>
      </c>
      <c r="H759" s="7">
        <v>45254.0</v>
      </c>
      <c r="I759" s="8">
        <f t="shared" si="1"/>
        <v>24</v>
      </c>
      <c r="J759" s="9">
        <f t="shared" si="2"/>
        <v>11</v>
      </c>
      <c r="K759" s="9">
        <f t="shared" si="3"/>
        <v>2023</v>
      </c>
      <c r="M759" s="25">
        <f>IFERROR(__xludf.DUMMYFUNCTION("""COMPUTED_VALUE"""),45254.0)</f>
        <v>45254</v>
      </c>
    </row>
    <row r="760">
      <c r="A760" s="10" t="s">
        <v>723</v>
      </c>
      <c r="B760" s="3" t="s">
        <v>724</v>
      </c>
      <c r="C760" s="10" t="s">
        <v>778</v>
      </c>
      <c r="D760" s="3" t="s">
        <v>779</v>
      </c>
      <c r="E760" s="4" t="s">
        <v>8</v>
      </c>
      <c r="F760" s="5" t="s">
        <v>28</v>
      </c>
      <c r="G760" s="6" t="s">
        <v>795</v>
      </c>
      <c r="H760" s="7">
        <v>45284.0</v>
      </c>
      <c r="I760" s="8">
        <f t="shared" si="1"/>
        <v>24</v>
      </c>
      <c r="J760" s="9">
        <f t="shared" si="2"/>
        <v>12</v>
      </c>
      <c r="K760" s="9">
        <f t="shared" si="3"/>
        <v>2023</v>
      </c>
      <c r="M760" s="25">
        <f>IFERROR(__xludf.DUMMYFUNCTION("""COMPUTED_VALUE"""),45284.0)</f>
        <v>45284</v>
      </c>
    </row>
    <row r="761">
      <c r="A761" s="10" t="s">
        <v>741</v>
      </c>
      <c r="B761" s="3" t="s">
        <v>742</v>
      </c>
      <c r="C761" s="10" t="s">
        <v>796</v>
      </c>
      <c r="D761" s="3" t="s">
        <v>797</v>
      </c>
      <c r="E761" s="4" t="s">
        <v>3</v>
      </c>
      <c r="F761" s="5" t="s">
        <v>6</v>
      </c>
      <c r="G761" s="6" t="s">
        <v>798</v>
      </c>
      <c r="H761" s="7">
        <v>44931.0</v>
      </c>
      <c r="I761" s="8">
        <f t="shared" si="1"/>
        <v>5</v>
      </c>
      <c r="J761" s="9">
        <f t="shared" si="2"/>
        <v>1</v>
      </c>
      <c r="K761" s="9">
        <f t="shared" si="3"/>
        <v>2023</v>
      </c>
      <c r="M761" s="25">
        <f>IFERROR(__xludf.DUMMYFUNCTION("""COMPUTED_VALUE"""),44931.0)</f>
        <v>44931</v>
      </c>
    </row>
    <row r="762">
      <c r="A762" s="10" t="s">
        <v>741</v>
      </c>
      <c r="B762" s="3" t="s">
        <v>742</v>
      </c>
      <c r="C762" s="10" t="s">
        <v>796</v>
      </c>
      <c r="D762" s="3" t="s">
        <v>797</v>
      </c>
      <c r="E762" s="4" t="s">
        <v>3</v>
      </c>
      <c r="F762" s="5" t="s">
        <v>35</v>
      </c>
      <c r="G762" s="6" t="s">
        <v>799</v>
      </c>
      <c r="H762" s="7">
        <v>44931.0</v>
      </c>
      <c r="I762" s="8">
        <f t="shared" si="1"/>
        <v>5</v>
      </c>
      <c r="J762" s="9">
        <f t="shared" si="2"/>
        <v>1</v>
      </c>
      <c r="K762" s="9">
        <f t="shared" si="3"/>
        <v>2023</v>
      </c>
      <c r="M762" s="25">
        <f>IFERROR(__xludf.DUMMYFUNCTION("""COMPUTED_VALUE"""),44931.0)</f>
        <v>44931</v>
      </c>
    </row>
    <row r="763">
      <c r="A763" s="10" t="s">
        <v>741</v>
      </c>
      <c r="B763" s="3" t="s">
        <v>742</v>
      </c>
      <c r="C763" s="10" t="s">
        <v>796</v>
      </c>
      <c r="D763" s="3" t="s">
        <v>797</v>
      </c>
      <c r="E763" s="4" t="s">
        <v>8</v>
      </c>
      <c r="F763" s="5" t="s">
        <v>19</v>
      </c>
      <c r="G763" s="6" t="s">
        <v>800</v>
      </c>
      <c r="H763" s="7">
        <v>44953.0</v>
      </c>
      <c r="I763" s="8">
        <f t="shared" si="1"/>
        <v>27</v>
      </c>
      <c r="J763" s="9">
        <f t="shared" si="2"/>
        <v>1</v>
      </c>
      <c r="K763" s="9">
        <f t="shared" si="3"/>
        <v>2023</v>
      </c>
      <c r="M763" s="25">
        <f>IFERROR(__xludf.DUMMYFUNCTION("""COMPUTED_VALUE"""),44953.0)</f>
        <v>44953</v>
      </c>
    </row>
    <row r="764">
      <c r="A764" s="10" t="s">
        <v>741</v>
      </c>
      <c r="B764" s="3" t="s">
        <v>742</v>
      </c>
      <c r="C764" s="10" t="s">
        <v>796</v>
      </c>
      <c r="D764" s="3" t="s">
        <v>797</v>
      </c>
      <c r="E764" s="4" t="s">
        <v>8</v>
      </c>
      <c r="F764" s="5" t="s">
        <v>51</v>
      </c>
      <c r="G764" s="6" t="s">
        <v>801</v>
      </c>
      <c r="H764" s="7">
        <v>44963.0</v>
      </c>
      <c r="I764" s="8">
        <f t="shared" si="1"/>
        <v>6</v>
      </c>
      <c r="J764" s="9">
        <f t="shared" si="2"/>
        <v>2</v>
      </c>
      <c r="K764" s="9">
        <f t="shared" si="3"/>
        <v>2023</v>
      </c>
      <c r="M764" s="25">
        <f>IFERROR(__xludf.DUMMYFUNCTION("""COMPUTED_VALUE"""),44963.0)</f>
        <v>44963</v>
      </c>
    </row>
    <row r="765">
      <c r="A765" s="10" t="s">
        <v>741</v>
      </c>
      <c r="B765" s="3" t="s">
        <v>742</v>
      </c>
      <c r="C765" s="10" t="s">
        <v>796</v>
      </c>
      <c r="D765" s="3" t="s">
        <v>797</v>
      </c>
      <c r="E765" s="4" t="s">
        <v>3</v>
      </c>
      <c r="F765" s="5" t="s">
        <v>28</v>
      </c>
      <c r="G765" s="6" t="s">
        <v>190</v>
      </c>
      <c r="H765" s="7">
        <v>44976.0</v>
      </c>
      <c r="I765" s="8">
        <f t="shared" si="1"/>
        <v>19</v>
      </c>
      <c r="J765" s="9">
        <f t="shared" si="2"/>
        <v>2</v>
      </c>
      <c r="K765" s="9">
        <f t="shared" si="3"/>
        <v>2023</v>
      </c>
      <c r="M765" s="25">
        <f>IFERROR(__xludf.DUMMYFUNCTION("""COMPUTED_VALUE"""),44976.0)</f>
        <v>44976</v>
      </c>
    </row>
    <row r="766">
      <c r="A766" s="10" t="s">
        <v>741</v>
      </c>
      <c r="B766" s="3" t="s">
        <v>742</v>
      </c>
      <c r="C766" s="10" t="s">
        <v>796</v>
      </c>
      <c r="D766" s="3" t="s">
        <v>797</v>
      </c>
      <c r="E766" s="4" t="s">
        <v>8</v>
      </c>
      <c r="F766" s="5" t="s">
        <v>23</v>
      </c>
      <c r="G766" s="6" t="s">
        <v>77</v>
      </c>
      <c r="H766" s="7">
        <v>44986.0</v>
      </c>
      <c r="I766" s="8">
        <f t="shared" si="1"/>
        <v>1</v>
      </c>
      <c r="J766" s="9">
        <f t="shared" si="2"/>
        <v>3</v>
      </c>
      <c r="K766" s="9">
        <f t="shared" si="3"/>
        <v>2023</v>
      </c>
      <c r="M766" s="25">
        <f>IFERROR(__xludf.DUMMYFUNCTION("""COMPUTED_VALUE"""),44986.0)</f>
        <v>44986</v>
      </c>
    </row>
    <row r="767">
      <c r="A767" s="10" t="s">
        <v>741</v>
      </c>
      <c r="B767" s="3" t="s">
        <v>742</v>
      </c>
      <c r="C767" s="10" t="s">
        <v>796</v>
      </c>
      <c r="D767" s="3" t="s">
        <v>797</v>
      </c>
      <c r="E767" s="4" t="s">
        <v>3</v>
      </c>
      <c r="F767" s="5" t="s">
        <v>19</v>
      </c>
      <c r="G767" s="6" t="s">
        <v>802</v>
      </c>
      <c r="H767" s="7">
        <v>44997.0</v>
      </c>
      <c r="I767" s="8">
        <f t="shared" si="1"/>
        <v>12</v>
      </c>
      <c r="J767" s="9">
        <f t="shared" si="2"/>
        <v>3</v>
      </c>
      <c r="K767" s="9">
        <f t="shared" si="3"/>
        <v>2023</v>
      </c>
      <c r="M767" s="25">
        <f>IFERROR(__xludf.DUMMYFUNCTION("""COMPUTED_VALUE"""),44997.0)</f>
        <v>44997</v>
      </c>
    </row>
    <row r="768">
      <c r="A768" s="10" t="s">
        <v>741</v>
      </c>
      <c r="B768" s="3" t="s">
        <v>742</v>
      </c>
      <c r="C768" s="10" t="s">
        <v>796</v>
      </c>
      <c r="D768" s="3" t="s">
        <v>797</v>
      </c>
      <c r="E768" s="4" t="s">
        <v>3</v>
      </c>
      <c r="F768" s="5" t="s">
        <v>21</v>
      </c>
      <c r="G768" s="6" t="s">
        <v>803</v>
      </c>
      <c r="H768" s="7">
        <v>45002.0</v>
      </c>
      <c r="I768" s="8">
        <f t="shared" si="1"/>
        <v>17</v>
      </c>
      <c r="J768" s="9">
        <f t="shared" si="2"/>
        <v>3</v>
      </c>
      <c r="K768" s="9">
        <f t="shared" si="3"/>
        <v>2023</v>
      </c>
      <c r="M768" s="25">
        <f>IFERROR(__xludf.DUMMYFUNCTION("""COMPUTED_VALUE"""),45002.0)</f>
        <v>45002</v>
      </c>
    </row>
    <row r="769">
      <c r="A769" s="10" t="s">
        <v>741</v>
      </c>
      <c r="B769" s="3" t="s">
        <v>742</v>
      </c>
      <c r="C769" s="10" t="s">
        <v>796</v>
      </c>
      <c r="D769" s="3" t="s">
        <v>797</v>
      </c>
      <c r="E769" s="4" t="s">
        <v>3</v>
      </c>
      <c r="F769" s="5" t="s">
        <v>45</v>
      </c>
      <c r="G769" s="6" t="s">
        <v>804</v>
      </c>
      <c r="H769" s="7">
        <v>45062.0</v>
      </c>
      <c r="I769" s="8">
        <f t="shared" si="1"/>
        <v>16</v>
      </c>
      <c r="J769" s="9">
        <f t="shared" si="2"/>
        <v>5</v>
      </c>
      <c r="K769" s="9">
        <f t="shared" si="3"/>
        <v>2023</v>
      </c>
      <c r="M769" s="25">
        <f>IFERROR(__xludf.DUMMYFUNCTION("""COMPUTED_VALUE"""),45062.0)</f>
        <v>45062</v>
      </c>
    </row>
    <row r="770">
      <c r="A770" s="10" t="s">
        <v>741</v>
      </c>
      <c r="B770" s="3" t="s">
        <v>742</v>
      </c>
      <c r="C770" s="10" t="s">
        <v>796</v>
      </c>
      <c r="D770" s="3" t="s">
        <v>797</v>
      </c>
      <c r="E770" s="4" t="s">
        <v>3</v>
      </c>
      <c r="F770" s="5" t="s">
        <v>76</v>
      </c>
      <c r="G770" s="6" t="s">
        <v>805</v>
      </c>
      <c r="H770" s="7">
        <v>45064.0</v>
      </c>
      <c r="I770" s="8">
        <f t="shared" si="1"/>
        <v>18</v>
      </c>
      <c r="J770" s="9">
        <f t="shared" si="2"/>
        <v>5</v>
      </c>
      <c r="K770" s="9">
        <f t="shared" si="3"/>
        <v>2023</v>
      </c>
      <c r="M770" s="25">
        <f>IFERROR(__xludf.DUMMYFUNCTION("""COMPUTED_VALUE"""),45064.0)</f>
        <v>45064</v>
      </c>
    </row>
    <row r="771">
      <c r="A771" s="10" t="s">
        <v>741</v>
      </c>
      <c r="B771" s="3" t="s">
        <v>742</v>
      </c>
      <c r="C771" s="10" t="s">
        <v>796</v>
      </c>
      <c r="D771" s="3" t="s">
        <v>797</v>
      </c>
      <c r="E771" s="4" t="s">
        <v>8</v>
      </c>
      <c r="F771" s="5" t="s">
        <v>96</v>
      </c>
      <c r="G771" s="6" t="s">
        <v>806</v>
      </c>
      <c r="H771" s="7">
        <v>45084.0</v>
      </c>
      <c r="I771" s="8">
        <f t="shared" si="1"/>
        <v>7</v>
      </c>
      <c r="J771" s="9">
        <f t="shared" si="2"/>
        <v>6</v>
      </c>
      <c r="K771" s="9">
        <f t="shared" si="3"/>
        <v>2023</v>
      </c>
      <c r="M771" s="25">
        <f>IFERROR(__xludf.DUMMYFUNCTION("""COMPUTED_VALUE"""),45084.0)</f>
        <v>45084</v>
      </c>
    </row>
    <row r="772">
      <c r="A772" s="10" t="s">
        <v>741</v>
      </c>
      <c r="B772" s="3" t="s">
        <v>742</v>
      </c>
      <c r="C772" s="10" t="s">
        <v>796</v>
      </c>
      <c r="D772" s="3" t="s">
        <v>797</v>
      </c>
      <c r="E772" s="4" t="s">
        <v>8</v>
      </c>
      <c r="F772" s="5" t="s">
        <v>76</v>
      </c>
      <c r="G772" s="6" t="s">
        <v>807</v>
      </c>
      <c r="H772" s="7">
        <v>45098.0</v>
      </c>
      <c r="I772" s="8">
        <f t="shared" si="1"/>
        <v>21</v>
      </c>
      <c r="J772" s="9">
        <f t="shared" si="2"/>
        <v>6</v>
      </c>
      <c r="K772" s="9">
        <f t="shared" si="3"/>
        <v>2023</v>
      </c>
      <c r="M772" s="25">
        <f>IFERROR(__xludf.DUMMYFUNCTION("""COMPUTED_VALUE"""),45098.0)</f>
        <v>45098</v>
      </c>
    </row>
    <row r="773">
      <c r="A773" s="10" t="s">
        <v>741</v>
      </c>
      <c r="B773" s="3" t="s">
        <v>742</v>
      </c>
      <c r="C773" s="10" t="s">
        <v>796</v>
      </c>
      <c r="D773" s="3" t="s">
        <v>797</v>
      </c>
      <c r="E773" s="4" t="s">
        <v>3</v>
      </c>
      <c r="F773" s="5" t="s">
        <v>42</v>
      </c>
      <c r="G773" s="6" t="s">
        <v>435</v>
      </c>
      <c r="H773" s="7">
        <v>45120.0</v>
      </c>
      <c r="I773" s="8">
        <f t="shared" si="1"/>
        <v>13</v>
      </c>
      <c r="J773" s="9">
        <f t="shared" si="2"/>
        <v>7</v>
      </c>
      <c r="K773" s="9">
        <f t="shared" si="3"/>
        <v>2023</v>
      </c>
      <c r="M773" s="25">
        <f>IFERROR(__xludf.DUMMYFUNCTION("""COMPUTED_VALUE"""),45120.0)</f>
        <v>45120</v>
      </c>
    </row>
    <row r="774">
      <c r="A774" s="10" t="s">
        <v>741</v>
      </c>
      <c r="B774" s="3" t="s">
        <v>742</v>
      </c>
      <c r="C774" s="10" t="s">
        <v>796</v>
      </c>
      <c r="D774" s="3" t="s">
        <v>797</v>
      </c>
      <c r="E774" s="4" t="s">
        <v>3</v>
      </c>
      <c r="F774" s="5" t="s">
        <v>28</v>
      </c>
      <c r="G774" s="6" t="s">
        <v>323</v>
      </c>
      <c r="H774" s="7">
        <v>45122.0</v>
      </c>
      <c r="I774" s="8">
        <f t="shared" si="1"/>
        <v>15</v>
      </c>
      <c r="J774" s="9">
        <f t="shared" si="2"/>
        <v>7</v>
      </c>
      <c r="K774" s="9">
        <f t="shared" si="3"/>
        <v>2023</v>
      </c>
      <c r="M774" s="25">
        <f>IFERROR(__xludf.DUMMYFUNCTION("""COMPUTED_VALUE"""),45122.0)</f>
        <v>45122</v>
      </c>
    </row>
    <row r="775">
      <c r="A775" s="10" t="s">
        <v>741</v>
      </c>
      <c r="B775" s="3" t="s">
        <v>742</v>
      </c>
      <c r="C775" s="10" t="s">
        <v>796</v>
      </c>
      <c r="D775" s="3" t="s">
        <v>797</v>
      </c>
      <c r="E775" s="4" t="s">
        <v>3</v>
      </c>
      <c r="F775" s="5" t="s">
        <v>71</v>
      </c>
      <c r="G775" s="6" t="s">
        <v>808</v>
      </c>
      <c r="H775" s="7">
        <v>45154.0</v>
      </c>
      <c r="I775" s="8">
        <f t="shared" si="1"/>
        <v>16</v>
      </c>
      <c r="J775" s="9">
        <f t="shared" si="2"/>
        <v>8</v>
      </c>
      <c r="K775" s="9">
        <f t="shared" si="3"/>
        <v>2023</v>
      </c>
      <c r="M775" s="25">
        <f>IFERROR(__xludf.DUMMYFUNCTION("""COMPUTED_VALUE"""),45154.0)</f>
        <v>45154</v>
      </c>
    </row>
    <row r="776">
      <c r="A776" s="10" t="s">
        <v>741</v>
      </c>
      <c r="B776" s="3" t="s">
        <v>742</v>
      </c>
      <c r="C776" s="10" t="s">
        <v>796</v>
      </c>
      <c r="D776" s="3" t="s">
        <v>797</v>
      </c>
      <c r="E776" s="4" t="s">
        <v>3</v>
      </c>
      <c r="F776" s="5" t="s">
        <v>96</v>
      </c>
      <c r="G776" s="6" t="s">
        <v>809</v>
      </c>
      <c r="H776" s="7">
        <v>45162.0</v>
      </c>
      <c r="I776" s="8">
        <f t="shared" si="1"/>
        <v>24</v>
      </c>
      <c r="J776" s="9">
        <f t="shared" si="2"/>
        <v>8</v>
      </c>
      <c r="K776" s="9">
        <f t="shared" si="3"/>
        <v>2023</v>
      </c>
      <c r="M776" s="25">
        <f>IFERROR(__xludf.DUMMYFUNCTION("""COMPUTED_VALUE"""),45162.0)</f>
        <v>45162</v>
      </c>
    </row>
    <row r="777">
      <c r="A777" s="10" t="s">
        <v>741</v>
      </c>
      <c r="B777" s="3" t="s">
        <v>742</v>
      </c>
      <c r="C777" s="10" t="s">
        <v>796</v>
      </c>
      <c r="D777" s="3" t="s">
        <v>797</v>
      </c>
      <c r="E777" s="4" t="s">
        <v>3</v>
      </c>
      <c r="F777" s="5" t="s">
        <v>51</v>
      </c>
      <c r="G777" s="6" t="s">
        <v>810</v>
      </c>
      <c r="H777" s="7">
        <v>45213.0</v>
      </c>
      <c r="I777" s="8">
        <f t="shared" si="1"/>
        <v>14</v>
      </c>
      <c r="J777" s="9">
        <f t="shared" si="2"/>
        <v>10</v>
      </c>
      <c r="K777" s="9">
        <f t="shared" si="3"/>
        <v>2023</v>
      </c>
      <c r="M777" s="25">
        <f>IFERROR(__xludf.DUMMYFUNCTION("""COMPUTED_VALUE"""),45213.0)</f>
        <v>45213</v>
      </c>
    </row>
    <row r="778">
      <c r="A778" s="10" t="s">
        <v>741</v>
      </c>
      <c r="B778" s="3" t="s">
        <v>742</v>
      </c>
      <c r="C778" s="10" t="s">
        <v>796</v>
      </c>
      <c r="D778" s="3" t="s">
        <v>797</v>
      </c>
      <c r="E778" s="4" t="s">
        <v>8</v>
      </c>
      <c r="F778" s="5" t="s">
        <v>51</v>
      </c>
      <c r="G778" s="6" t="s">
        <v>811</v>
      </c>
      <c r="H778" s="7">
        <v>45246.0</v>
      </c>
      <c r="I778" s="8">
        <f t="shared" si="1"/>
        <v>16</v>
      </c>
      <c r="J778" s="9">
        <f t="shared" si="2"/>
        <v>11</v>
      </c>
      <c r="K778" s="9">
        <f t="shared" si="3"/>
        <v>2023</v>
      </c>
      <c r="M778" s="25">
        <f>IFERROR(__xludf.DUMMYFUNCTION("""COMPUTED_VALUE"""),45246.0)</f>
        <v>45246</v>
      </c>
    </row>
    <row r="779">
      <c r="A779" s="10" t="s">
        <v>741</v>
      </c>
      <c r="B779" s="3" t="s">
        <v>742</v>
      </c>
      <c r="C779" s="10" t="s">
        <v>796</v>
      </c>
      <c r="D779" s="3" t="s">
        <v>797</v>
      </c>
      <c r="E779" s="4" t="s">
        <v>8</v>
      </c>
      <c r="F779" s="5" t="s">
        <v>71</v>
      </c>
      <c r="G779" s="6" t="s">
        <v>812</v>
      </c>
      <c r="H779" s="7">
        <v>45267.0</v>
      </c>
      <c r="I779" s="8">
        <f t="shared" si="1"/>
        <v>7</v>
      </c>
      <c r="J779" s="9">
        <f t="shared" si="2"/>
        <v>12</v>
      </c>
      <c r="K779" s="9">
        <f t="shared" si="3"/>
        <v>2023</v>
      </c>
      <c r="M779" s="25">
        <f>IFERROR(__xludf.DUMMYFUNCTION("""COMPUTED_VALUE"""),45267.0)</f>
        <v>45267</v>
      </c>
    </row>
    <row r="780">
      <c r="A780" s="10" t="s">
        <v>741</v>
      </c>
      <c r="B780" s="3" t="s">
        <v>742</v>
      </c>
      <c r="C780" s="10" t="s">
        <v>796</v>
      </c>
      <c r="D780" s="3" t="s">
        <v>797</v>
      </c>
      <c r="E780" s="4" t="s">
        <v>8</v>
      </c>
      <c r="F780" s="5" t="s">
        <v>11</v>
      </c>
      <c r="G780" s="6" t="s">
        <v>363</v>
      </c>
      <c r="H780" s="7">
        <v>45279.0</v>
      </c>
      <c r="I780" s="8">
        <f t="shared" si="1"/>
        <v>19</v>
      </c>
      <c r="J780" s="9">
        <f t="shared" si="2"/>
        <v>12</v>
      </c>
      <c r="K780" s="9">
        <f t="shared" si="3"/>
        <v>2023</v>
      </c>
      <c r="M780" s="25">
        <f>IFERROR(__xludf.DUMMYFUNCTION("""COMPUTED_VALUE"""),45279.0)</f>
        <v>45279</v>
      </c>
    </row>
    <row r="781">
      <c r="A781" s="10" t="s">
        <v>759</v>
      </c>
      <c r="B781" s="3" t="s">
        <v>760</v>
      </c>
      <c r="C781" s="10" t="s">
        <v>613</v>
      </c>
      <c r="D781" s="3" t="s">
        <v>813</v>
      </c>
      <c r="E781" s="4" t="s">
        <v>3</v>
      </c>
      <c r="F781" s="5" t="s">
        <v>19</v>
      </c>
      <c r="G781" s="6" t="s">
        <v>814</v>
      </c>
      <c r="H781" s="7">
        <v>44947.0</v>
      </c>
      <c r="I781" s="8">
        <f t="shared" si="1"/>
        <v>21</v>
      </c>
      <c r="J781" s="9">
        <f t="shared" si="2"/>
        <v>1</v>
      </c>
      <c r="K781" s="9">
        <f t="shared" si="3"/>
        <v>2023</v>
      </c>
      <c r="M781" s="25">
        <f>IFERROR(__xludf.DUMMYFUNCTION("""COMPUTED_VALUE"""),44947.0)</f>
        <v>44947</v>
      </c>
    </row>
    <row r="782">
      <c r="A782" s="10" t="s">
        <v>759</v>
      </c>
      <c r="B782" s="3" t="s">
        <v>760</v>
      </c>
      <c r="C782" s="10" t="s">
        <v>613</v>
      </c>
      <c r="D782" s="3" t="s">
        <v>813</v>
      </c>
      <c r="E782" s="4" t="s">
        <v>3</v>
      </c>
      <c r="F782" s="5" t="s">
        <v>71</v>
      </c>
      <c r="G782" s="6" t="s">
        <v>815</v>
      </c>
      <c r="H782" s="7">
        <v>44962.0</v>
      </c>
      <c r="I782" s="8">
        <f t="shared" si="1"/>
        <v>5</v>
      </c>
      <c r="J782" s="9">
        <f t="shared" si="2"/>
        <v>2</v>
      </c>
      <c r="K782" s="9">
        <f t="shared" si="3"/>
        <v>2023</v>
      </c>
      <c r="M782" s="25">
        <f>IFERROR(__xludf.DUMMYFUNCTION("""COMPUTED_VALUE"""),44962.0)</f>
        <v>44962</v>
      </c>
    </row>
    <row r="783">
      <c r="A783" s="10" t="s">
        <v>759</v>
      </c>
      <c r="B783" s="3" t="s">
        <v>760</v>
      </c>
      <c r="C783" s="10" t="s">
        <v>613</v>
      </c>
      <c r="D783" s="3" t="s">
        <v>813</v>
      </c>
      <c r="E783" s="4" t="s">
        <v>3</v>
      </c>
      <c r="F783" s="5" t="s">
        <v>76</v>
      </c>
      <c r="G783" s="6" t="s">
        <v>816</v>
      </c>
      <c r="H783" s="7">
        <v>44967.0</v>
      </c>
      <c r="I783" s="8">
        <f t="shared" si="1"/>
        <v>10</v>
      </c>
      <c r="J783" s="9">
        <f t="shared" si="2"/>
        <v>2</v>
      </c>
      <c r="K783" s="9">
        <f t="shared" si="3"/>
        <v>2023</v>
      </c>
      <c r="M783" s="25">
        <f>IFERROR(__xludf.DUMMYFUNCTION("""COMPUTED_VALUE"""),44967.0)</f>
        <v>44967</v>
      </c>
    </row>
    <row r="784">
      <c r="A784" s="10" t="s">
        <v>759</v>
      </c>
      <c r="B784" s="3" t="s">
        <v>760</v>
      </c>
      <c r="C784" s="10" t="s">
        <v>613</v>
      </c>
      <c r="D784" s="3" t="s">
        <v>813</v>
      </c>
      <c r="E784" s="4" t="s">
        <v>3</v>
      </c>
      <c r="F784" s="5" t="s">
        <v>35</v>
      </c>
      <c r="G784" s="6" t="s">
        <v>817</v>
      </c>
      <c r="H784" s="7">
        <v>44989.0</v>
      </c>
      <c r="I784" s="8">
        <f t="shared" si="1"/>
        <v>4</v>
      </c>
      <c r="J784" s="9">
        <f t="shared" si="2"/>
        <v>3</v>
      </c>
      <c r="K784" s="9">
        <f t="shared" si="3"/>
        <v>2023</v>
      </c>
      <c r="M784" s="25">
        <f>IFERROR(__xludf.DUMMYFUNCTION("""COMPUTED_VALUE"""),44989.0)</f>
        <v>44989</v>
      </c>
    </row>
    <row r="785">
      <c r="A785" s="10" t="s">
        <v>759</v>
      </c>
      <c r="B785" s="3" t="s">
        <v>760</v>
      </c>
      <c r="C785" s="10" t="s">
        <v>613</v>
      </c>
      <c r="D785" s="3" t="s">
        <v>813</v>
      </c>
      <c r="E785" s="4" t="s">
        <v>3</v>
      </c>
      <c r="F785" s="5" t="s">
        <v>11</v>
      </c>
      <c r="G785" s="6" t="s">
        <v>818</v>
      </c>
      <c r="H785" s="7">
        <v>45100.0</v>
      </c>
      <c r="I785" s="8">
        <f t="shared" si="1"/>
        <v>23</v>
      </c>
      <c r="J785" s="9">
        <f t="shared" si="2"/>
        <v>6</v>
      </c>
      <c r="K785" s="9">
        <f t="shared" si="3"/>
        <v>2023</v>
      </c>
      <c r="M785" s="25">
        <f>IFERROR(__xludf.DUMMYFUNCTION("""COMPUTED_VALUE"""),45100.0)</f>
        <v>45100</v>
      </c>
    </row>
    <row r="786">
      <c r="A786" s="10" t="s">
        <v>759</v>
      </c>
      <c r="B786" s="3" t="s">
        <v>760</v>
      </c>
      <c r="C786" s="10" t="s">
        <v>613</v>
      </c>
      <c r="D786" s="3" t="s">
        <v>813</v>
      </c>
      <c r="E786" s="4" t="s">
        <v>8</v>
      </c>
      <c r="F786" s="5" t="s">
        <v>76</v>
      </c>
      <c r="G786" s="6" t="s">
        <v>819</v>
      </c>
      <c r="H786" s="7">
        <v>45131.0</v>
      </c>
      <c r="I786" s="8">
        <f t="shared" si="1"/>
        <v>24</v>
      </c>
      <c r="J786" s="9">
        <f t="shared" si="2"/>
        <v>7</v>
      </c>
      <c r="K786" s="9">
        <f t="shared" si="3"/>
        <v>2023</v>
      </c>
      <c r="M786" s="25">
        <f>IFERROR(__xludf.DUMMYFUNCTION("""COMPUTED_VALUE"""),45131.0)</f>
        <v>45131</v>
      </c>
    </row>
    <row r="787">
      <c r="A787" s="10" t="s">
        <v>759</v>
      </c>
      <c r="B787" s="3" t="s">
        <v>760</v>
      </c>
      <c r="C787" s="10" t="s">
        <v>613</v>
      </c>
      <c r="D787" s="3" t="s">
        <v>813</v>
      </c>
      <c r="E787" s="4" t="s">
        <v>3</v>
      </c>
      <c r="F787" s="5" t="s">
        <v>13</v>
      </c>
      <c r="G787" s="6" t="s">
        <v>820</v>
      </c>
      <c r="H787" s="7">
        <v>45135.0</v>
      </c>
      <c r="I787" s="8">
        <f t="shared" si="1"/>
        <v>28</v>
      </c>
      <c r="J787" s="9">
        <f t="shared" si="2"/>
        <v>7</v>
      </c>
      <c r="K787" s="9">
        <f t="shared" si="3"/>
        <v>2023</v>
      </c>
      <c r="M787" s="25">
        <f>IFERROR(__xludf.DUMMYFUNCTION("""COMPUTED_VALUE"""),45135.0)</f>
        <v>45135</v>
      </c>
    </row>
    <row r="788">
      <c r="A788" s="10" t="s">
        <v>759</v>
      </c>
      <c r="B788" s="3" t="s">
        <v>760</v>
      </c>
      <c r="C788" s="10" t="s">
        <v>613</v>
      </c>
      <c r="D788" s="3" t="s">
        <v>813</v>
      </c>
      <c r="E788" s="4" t="s">
        <v>8</v>
      </c>
      <c r="F788" s="5" t="s">
        <v>42</v>
      </c>
      <c r="G788" s="6" t="s">
        <v>821</v>
      </c>
      <c r="H788" s="7">
        <v>45135.0</v>
      </c>
      <c r="I788" s="8">
        <f t="shared" si="1"/>
        <v>28</v>
      </c>
      <c r="J788" s="9">
        <f t="shared" si="2"/>
        <v>7</v>
      </c>
      <c r="K788" s="9">
        <f t="shared" si="3"/>
        <v>2023</v>
      </c>
      <c r="M788" s="25">
        <f>IFERROR(__xludf.DUMMYFUNCTION("""COMPUTED_VALUE"""),45135.0)</f>
        <v>45135</v>
      </c>
    </row>
    <row r="789">
      <c r="A789" s="10" t="s">
        <v>759</v>
      </c>
      <c r="B789" s="3" t="s">
        <v>760</v>
      </c>
      <c r="C789" s="10" t="s">
        <v>613</v>
      </c>
      <c r="D789" s="3" t="s">
        <v>813</v>
      </c>
      <c r="E789" s="4" t="s">
        <v>3</v>
      </c>
      <c r="F789" s="5" t="s">
        <v>96</v>
      </c>
      <c r="G789" s="6" t="s">
        <v>822</v>
      </c>
      <c r="H789" s="7">
        <v>45142.0</v>
      </c>
      <c r="I789" s="8">
        <f t="shared" si="1"/>
        <v>4</v>
      </c>
      <c r="J789" s="9">
        <f t="shared" si="2"/>
        <v>8</v>
      </c>
      <c r="K789" s="9">
        <f t="shared" si="3"/>
        <v>2023</v>
      </c>
      <c r="M789" s="25">
        <f>IFERROR(__xludf.DUMMYFUNCTION("""COMPUTED_VALUE"""),45142.0)</f>
        <v>45142</v>
      </c>
    </row>
    <row r="790">
      <c r="A790" s="10" t="s">
        <v>759</v>
      </c>
      <c r="B790" s="3" t="s">
        <v>760</v>
      </c>
      <c r="C790" s="10" t="s">
        <v>613</v>
      </c>
      <c r="D790" s="3" t="s">
        <v>813</v>
      </c>
      <c r="E790" s="4" t="s">
        <v>8</v>
      </c>
      <c r="F790" s="5" t="s">
        <v>71</v>
      </c>
      <c r="G790" s="6" t="s">
        <v>823</v>
      </c>
      <c r="H790" s="7">
        <v>45146.0</v>
      </c>
      <c r="I790" s="8">
        <f t="shared" si="1"/>
        <v>8</v>
      </c>
      <c r="J790" s="9">
        <f t="shared" si="2"/>
        <v>8</v>
      </c>
      <c r="K790" s="9">
        <f t="shared" si="3"/>
        <v>2023</v>
      </c>
      <c r="M790" s="25">
        <f>IFERROR(__xludf.DUMMYFUNCTION("""COMPUTED_VALUE"""),45146.0)</f>
        <v>45146</v>
      </c>
    </row>
    <row r="791">
      <c r="A791" s="10" t="s">
        <v>759</v>
      </c>
      <c r="B791" s="3" t="s">
        <v>760</v>
      </c>
      <c r="C791" s="10" t="s">
        <v>613</v>
      </c>
      <c r="D791" s="3" t="s">
        <v>813</v>
      </c>
      <c r="E791" s="4" t="s">
        <v>8</v>
      </c>
      <c r="F791" s="5" t="s">
        <v>51</v>
      </c>
      <c r="G791" s="6" t="s">
        <v>824</v>
      </c>
      <c r="H791" s="7">
        <v>45153.0</v>
      </c>
      <c r="I791" s="8">
        <f t="shared" si="1"/>
        <v>15</v>
      </c>
      <c r="J791" s="9">
        <f t="shared" si="2"/>
        <v>8</v>
      </c>
      <c r="K791" s="9">
        <f t="shared" si="3"/>
        <v>2023</v>
      </c>
      <c r="M791" s="25">
        <f>IFERROR(__xludf.DUMMYFUNCTION("""COMPUTED_VALUE"""),45153.0)</f>
        <v>45153</v>
      </c>
    </row>
    <row r="792">
      <c r="A792" s="10" t="s">
        <v>759</v>
      </c>
      <c r="B792" s="3" t="s">
        <v>760</v>
      </c>
      <c r="C792" s="10" t="s">
        <v>613</v>
      </c>
      <c r="D792" s="3" t="s">
        <v>813</v>
      </c>
      <c r="E792" s="4" t="s">
        <v>8</v>
      </c>
      <c r="F792" s="5" t="s">
        <v>13</v>
      </c>
      <c r="G792" s="6" t="s">
        <v>825</v>
      </c>
      <c r="H792" s="7">
        <v>45155.0</v>
      </c>
      <c r="I792" s="8">
        <f t="shared" si="1"/>
        <v>17</v>
      </c>
      <c r="J792" s="9">
        <f t="shared" si="2"/>
        <v>8</v>
      </c>
      <c r="K792" s="9">
        <f t="shared" si="3"/>
        <v>2023</v>
      </c>
      <c r="M792" s="25">
        <f>IFERROR(__xludf.DUMMYFUNCTION("""COMPUTED_VALUE"""),45155.0)</f>
        <v>45155</v>
      </c>
    </row>
    <row r="793">
      <c r="A793" s="10" t="s">
        <v>759</v>
      </c>
      <c r="B793" s="3" t="s">
        <v>760</v>
      </c>
      <c r="C793" s="10" t="s">
        <v>613</v>
      </c>
      <c r="D793" s="3" t="s">
        <v>813</v>
      </c>
      <c r="E793" s="4" t="s">
        <v>3</v>
      </c>
      <c r="F793" s="5" t="s">
        <v>9</v>
      </c>
      <c r="G793" s="6" t="s">
        <v>826</v>
      </c>
      <c r="H793" s="7">
        <v>45184.0</v>
      </c>
      <c r="I793" s="8">
        <f t="shared" si="1"/>
        <v>15</v>
      </c>
      <c r="J793" s="9">
        <f t="shared" si="2"/>
        <v>9</v>
      </c>
      <c r="K793" s="9">
        <f t="shared" si="3"/>
        <v>2023</v>
      </c>
      <c r="M793" s="25">
        <f>IFERROR(__xludf.DUMMYFUNCTION("""COMPUTED_VALUE"""),45184.0)</f>
        <v>45184</v>
      </c>
    </row>
    <row r="794">
      <c r="A794" s="10" t="s">
        <v>759</v>
      </c>
      <c r="B794" s="3" t="s">
        <v>760</v>
      </c>
      <c r="C794" s="10" t="s">
        <v>613</v>
      </c>
      <c r="D794" s="3" t="s">
        <v>813</v>
      </c>
      <c r="E794" s="4" t="s">
        <v>3</v>
      </c>
      <c r="F794" s="5" t="s">
        <v>21</v>
      </c>
      <c r="G794" s="6" t="s">
        <v>827</v>
      </c>
      <c r="H794" s="7">
        <v>45193.0</v>
      </c>
      <c r="I794" s="8">
        <f t="shared" si="1"/>
        <v>24</v>
      </c>
      <c r="J794" s="9">
        <f t="shared" si="2"/>
        <v>9</v>
      </c>
      <c r="K794" s="9">
        <f t="shared" si="3"/>
        <v>2023</v>
      </c>
      <c r="M794" s="25">
        <f>IFERROR(__xludf.DUMMYFUNCTION("""COMPUTED_VALUE"""),45193.0)</f>
        <v>45193</v>
      </c>
    </row>
    <row r="795">
      <c r="A795" s="10" t="s">
        <v>759</v>
      </c>
      <c r="B795" s="3" t="s">
        <v>760</v>
      </c>
      <c r="C795" s="10" t="s">
        <v>613</v>
      </c>
      <c r="D795" s="3" t="s">
        <v>813</v>
      </c>
      <c r="E795" s="4" t="s">
        <v>8</v>
      </c>
      <c r="F795" s="5" t="s">
        <v>35</v>
      </c>
      <c r="G795" s="6" t="s">
        <v>828</v>
      </c>
      <c r="H795" s="7">
        <v>45213.0</v>
      </c>
      <c r="I795" s="8">
        <f t="shared" si="1"/>
        <v>14</v>
      </c>
      <c r="J795" s="9">
        <f t="shared" si="2"/>
        <v>10</v>
      </c>
      <c r="K795" s="9">
        <f t="shared" si="3"/>
        <v>2023</v>
      </c>
      <c r="M795" s="25">
        <f>IFERROR(__xludf.DUMMYFUNCTION("""COMPUTED_VALUE"""),45213.0)</f>
        <v>45213</v>
      </c>
    </row>
    <row r="796">
      <c r="A796" s="10" t="s">
        <v>759</v>
      </c>
      <c r="B796" s="3" t="s">
        <v>760</v>
      </c>
      <c r="C796" s="10" t="s">
        <v>613</v>
      </c>
      <c r="D796" s="3" t="s">
        <v>813</v>
      </c>
      <c r="E796" s="4" t="s">
        <v>8</v>
      </c>
      <c r="F796" s="5" t="s">
        <v>21</v>
      </c>
      <c r="G796" s="6" t="s">
        <v>829</v>
      </c>
      <c r="H796" s="7">
        <v>45218.0</v>
      </c>
      <c r="I796" s="8">
        <f t="shared" si="1"/>
        <v>19</v>
      </c>
      <c r="J796" s="9">
        <f t="shared" si="2"/>
        <v>10</v>
      </c>
      <c r="K796" s="9">
        <f t="shared" si="3"/>
        <v>2023</v>
      </c>
      <c r="M796" s="25">
        <f>IFERROR(__xludf.DUMMYFUNCTION("""COMPUTED_VALUE"""),45218.0)</f>
        <v>45218</v>
      </c>
    </row>
    <row r="797">
      <c r="A797" s="10" t="s">
        <v>759</v>
      </c>
      <c r="B797" s="3" t="s">
        <v>760</v>
      </c>
      <c r="C797" s="10" t="s">
        <v>613</v>
      </c>
      <c r="D797" s="3" t="s">
        <v>813</v>
      </c>
      <c r="E797" s="4" t="s">
        <v>8</v>
      </c>
      <c r="F797" s="5" t="s">
        <v>96</v>
      </c>
      <c r="G797" s="6" t="s">
        <v>181</v>
      </c>
      <c r="H797" s="7">
        <v>45231.0</v>
      </c>
      <c r="I797" s="8">
        <f t="shared" si="1"/>
        <v>1</v>
      </c>
      <c r="J797" s="9">
        <f t="shared" si="2"/>
        <v>11</v>
      </c>
      <c r="K797" s="9">
        <f t="shared" si="3"/>
        <v>2023</v>
      </c>
      <c r="M797" s="25">
        <f>IFERROR(__xludf.DUMMYFUNCTION("""COMPUTED_VALUE"""),45231.0)</f>
        <v>45231</v>
      </c>
    </row>
    <row r="798">
      <c r="A798" s="10" t="s">
        <v>759</v>
      </c>
      <c r="B798" s="3" t="s">
        <v>760</v>
      </c>
      <c r="C798" s="10" t="s">
        <v>613</v>
      </c>
      <c r="D798" s="3" t="s">
        <v>813</v>
      </c>
      <c r="E798" s="4" t="s">
        <v>8</v>
      </c>
      <c r="F798" s="5" t="s">
        <v>15</v>
      </c>
      <c r="G798" s="6" t="s">
        <v>248</v>
      </c>
      <c r="H798" s="7">
        <v>45253.0</v>
      </c>
      <c r="I798" s="8">
        <f t="shared" si="1"/>
        <v>23</v>
      </c>
      <c r="J798" s="9">
        <f t="shared" si="2"/>
        <v>11</v>
      </c>
      <c r="K798" s="9">
        <f t="shared" si="3"/>
        <v>2023</v>
      </c>
      <c r="M798" s="25">
        <f>IFERROR(__xludf.DUMMYFUNCTION("""COMPUTED_VALUE"""),45253.0)</f>
        <v>45253</v>
      </c>
    </row>
    <row r="799">
      <c r="A799" s="10" t="s">
        <v>759</v>
      </c>
      <c r="B799" s="3" t="s">
        <v>760</v>
      </c>
      <c r="C799" s="10" t="s">
        <v>613</v>
      </c>
      <c r="D799" s="3" t="s">
        <v>813</v>
      </c>
      <c r="E799" s="4" t="s">
        <v>3</v>
      </c>
      <c r="F799" s="5" t="s">
        <v>51</v>
      </c>
      <c r="G799" s="6" t="s">
        <v>830</v>
      </c>
      <c r="H799" s="7">
        <v>45280.0</v>
      </c>
      <c r="I799" s="8">
        <f t="shared" si="1"/>
        <v>20</v>
      </c>
      <c r="J799" s="9">
        <f t="shared" si="2"/>
        <v>12</v>
      </c>
      <c r="K799" s="9">
        <f t="shared" si="3"/>
        <v>2023</v>
      </c>
      <c r="M799" s="25">
        <f>IFERROR(__xludf.DUMMYFUNCTION("""COMPUTED_VALUE"""),45280.0)</f>
        <v>45280</v>
      </c>
    </row>
    <row r="800">
      <c r="A800" s="10" t="s">
        <v>759</v>
      </c>
      <c r="B800" s="3" t="s">
        <v>760</v>
      </c>
      <c r="C800" s="10" t="s">
        <v>613</v>
      </c>
      <c r="D800" s="3" t="s">
        <v>813</v>
      </c>
      <c r="E800" s="4" t="s">
        <v>3</v>
      </c>
      <c r="F800" s="5" t="s">
        <v>21</v>
      </c>
      <c r="G800" s="6" t="s">
        <v>831</v>
      </c>
      <c r="H800" s="7">
        <v>45280.0</v>
      </c>
      <c r="I800" s="8">
        <f t="shared" si="1"/>
        <v>20</v>
      </c>
      <c r="J800" s="9">
        <f t="shared" si="2"/>
        <v>12</v>
      </c>
      <c r="K800" s="9">
        <f t="shared" si="3"/>
        <v>2023</v>
      </c>
      <c r="M800" s="25">
        <f>IFERROR(__xludf.DUMMYFUNCTION("""COMPUTED_VALUE"""),45280.0)</f>
        <v>45280</v>
      </c>
    </row>
    <row r="801">
      <c r="A801" s="10" t="s">
        <v>778</v>
      </c>
      <c r="B801" s="3" t="s">
        <v>779</v>
      </c>
      <c r="C801" s="10" t="s">
        <v>832</v>
      </c>
      <c r="D801" s="3" t="s">
        <v>833</v>
      </c>
      <c r="E801" s="4" t="s">
        <v>8</v>
      </c>
      <c r="F801" s="5" t="s">
        <v>51</v>
      </c>
      <c r="G801" s="6" t="s">
        <v>657</v>
      </c>
      <c r="H801" s="7">
        <v>44966.0</v>
      </c>
      <c r="I801" s="8">
        <f t="shared" si="1"/>
        <v>9</v>
      </c>
      <c r="J801" s="9">
        <f t="shared" si="2"/>
        <v>2</v>
      </c>
      <c r="K801" s="9">
        <f t="shared" si="3"/>
        <v>2023</v>
      </c>
      <c r="M801" s="25">
        <f>IFERROR(__xludf.DUMMYFUNCTION("""COMPUTED_VALUE"""),44966.0)</f>
        <v>44966</v>
      </c>
    </row>
    <row r="802">
      <c r="A802" s="10" t="s">
        <v>778</v>
      </c>
      <c r="B802" s="3" t="s">
        <v>779</v>
      </c>
      <c r="C802" s="10" t="s">
        <v>832</v>
      </c>
      <c r="D802" s="3" t="s">
        <v>833</v>
      </c>
      <c r="E802" s="4" t="s">
        <v>3</v>
      </c>
      <c r="F802" s="5" t="s">
        <v>96</v>
      </c>
      <c r="G802" s="6" t="s">
        <v>94</v>
      </c>
      <c r="H802" s="7">
        <v>44983.0</v>
      </c>
      <c r="I802" s="8">
        <f t="shared" si="1"/>
        <v>26</v>
      </c>
      <c r="J802" s="9">
        <f t="shared" si="2"/>
        <v>2</v>
      </c>
      <c r="K802" s="9">
        <f t="shared" si="3"/>
        <v>2023</v>
      </c>
      <c r="M802" s="25">
        <f>IFERROR(__xludf.DUMMYFUNCTION("""COMPUTED_VALUE"""),44983.0)</f>
        <v>44983</v>
      </c>
    </row>
    <row r="803">
      <c r="A803" s="10" t="s">
        <v>778</v>
      </c>
      <c r="B803" s="3" t="s">
        <v>779</v>
      </c>
      <c r="C803" s="10" t="s">
        <v>832</v>
      </c>
      <c r="D803" s="3" t="s">
        <v>833</v>
      </c>
      <c r="E803" s="4" t="s">
        <v>8</v>
      </c>
      <c r="F803" s="5" t="s">
        <v>71</v>
      </c>
      <c r="G803" s="6" t="s">
        <v>834</v>
      </c>
      <c r="H803" s="7">
        <v>44987.0</v>
      </c>
      <c r="I803" s="8">
        <f t="shared" si="1"/>
        <v>2</v>
      </c>
      <c r="J803" s="9">
        <f t="shared" si="2"/>
        <v>3</v>
      </c>
      <c r="K803" s="9">
        <f t="shared" si="3"/>
        <v>2023</v>
      </c>
      <c r="M803" s="25">
        <f>IFERROR(__xludf.DUMMYFUNCTION("""COMPUTED_VALUE"""),44987.0)</f>
        <v>44987</v>
      </c>
    </row>
    <row r="804">
      <c r="A804" s="10" t="s">
        <v>778</v>
      </c>
      <c r="B804" s="3" t="s">
        <v>779</v>
      </c>
      <c r="C804" s="10" t="s">
        <v>832</v>
      </c>
      <c r="D804" s="3" t="s">
        <v>833</v>
      </c>
      <c r="E804" s="4" t="s">
        <v>3</v>
      </c>
      <c r="F804" s="5" t="s">
        <v>13</v>
      </c>
      <c r="G804" s="6" t="s">
        <v>619</v>
      </c>
      <c r="H804" s="7">
        <v>44989.0</v>
      </c>
      <c r="I804" s="8">
        <f t="shared" si="1"/>
        <v>4</v>
      </c>
      <c r="J804" s="9">
        <f t="shared" si="2"/>
        <v>3</v>
      </c>
      <c r="K804" s="9">
        <f t="shared" si="3"/>
        <v>2023</v>
      </c>
      <c r="M804" s="25">
        <f>IFERROR(__xludf.DUMMYFUNCTION("""COMPUTED_VALUE"""),44989.0)</f>
        <v>44989</v>
      </c>
    </row>
    <row r="805">
      <c r="A805" s="10" t="s">
        <v>778</v>
      </c>
      <c r="B805" s="3" t="s">
        <v>779</v>
      </c>
      <c r="C805" s="10" t="s">
        <v>832</v>
      </c>
      <c r="D805" s="3" t="s">
        <v>833</v>
      </c>
      <c r="E805" s="4" t="s">
        <v>8</v>
      </c>
      <c r="F805" s="5" t="s">
        <v>76</v>
      </c>
      <c r="G805" s="6" t="s">
        <v>835</v>
      </c>
      <c r="H805" s="7">
        <v>45011.0</v>
      </c>
      <c r="I805" s="8">
        <f t="shared" si="1"/>
        <v>26</v>
      </c>
      <c r="J805" s="9">
        <f t="shared" si="2"/>
        <v>3</v>
      </c>
      <c r="K805" s="9">
        <f t="shared" si="3"/>
        <v>2023</v>
      </c>
      <c r="M805" s="25">
        <f>IFERROR(__xludf.DUMMYFUNCTION("""COMPUTED_VALUE"""),45011.0)</f>
        <v>45011</v>
      </c>
    </row>
    <row r="806">
      <c r="A806" s="10" t="s">
        <v>778</v>
      </c>
      <c r="B806" s="3" t="s">
        <v>779</v>
      </c>
      <c r="C806" s="10" t="s">
        <v>832</v>
      </c>
      <c r="D806" s="3" t="s">
        <v>833</v>
      </c>
      <c r="E806" s="4" t="s">
        <v>8</v>
      </c>
      <c r="F806" s="5" t="s">
        <v>4</v>
      </c>
      <c r="G806" s="6" t="s">
        <v>836</v>
      </c>
      <c r="H806" s="7">
        <v>45033.0</v>
      </c>
      <c r="I806" s="8">
        <f t="shared" si="1"/>
        <v>17</v>
      </c>
      <c r="J806" s="9">
        <f t="shared" si="2"/>
        <v>4</v>
      </c>
      <c r="K806" s="9">
        <f t="shared" si="3"/>
        <v>2023</v>
      </c>
      <c r="M806" s="25">
        <f>IFERROR(__xludf.DUMMYFUNCTION("""COMPUTED_VALUE"""),45033.0)</f>
        <v>45033</v>
      </c>
    </row>
    <row r="807">
      <c r="A807" s="10" t="s">
        <v>778</v>
      </c>
      <c r="B807" s="3" t="s">
        <v>779</v>
      </c>
      <c r="C807" s="10" t="s">
        <v>832</v>
      </c>
      <c r="D807" s="3" t="s">
        <v>833</v>
      </c>
      <c r="E807" s="4" t="s">
        <v>3</v>
      </c>
      <c r="F807" s="5" t="s">
        <v>19</v>
      </c>
      <c r="G807" s="6" t="s">
        <v>837</v>
      </c>
      <c r="H807" s="7">
        <v>45052.0</v>
      </c>
      <c r="I807" s="8">
        <f t="shared" si="1"/>
        <v>6</v>
      </c>
      <c r="J807" s="9">
        <f t="shared" si="2"/>
        <v>5</v>
      </c>
      <c r="K807" s="9">
        <f t="shared" si="3"/>
        <v>2023</v>
      </c>
      <c r="M807" s="25">
        <f>IFERROR(__xludf.DUMMYFUNCTION("""COMPUTED_VALUE"""),45052.0)</f>
        <v>45052</v>
      </c>
    </row>
    <row r="808">
      <c r="A808" s="10" t="s">
        <v>778</v>
      </c>
      <c r="B808" s="3" t="s">
        <v>779</v>
      </c>
      <c r="C808" s="10" t="s">
        <v>832</v>
      </c>
      <c r="D808" s="3" t="s">
        <v>833</v>
      </c>
      <c r="E808" s="4" t="s">
        <v>3</v>
      </c>
      <c r="F808" s="5" t="s">
        <v>4</v>
      </c>
      <c r="G808" s="6" t="s">
        <v>838</v>
      </c>
      <c r="H808" s="7">
        <v>45059.0</v>
      </c>
      <c r="I808" s="8">
        <f t="shared" si="1"/>
        <v>13</v>
      </c>
      <c r="J808" s="9">
        <f t="shared" si="2"/>
        <v>5</v>
      </c>
      <c r="K808" s="9">
        <f t="shared" si="3"/>
        <v>2023</v>
      </c>
      <c r="M808" s="25">
        <f>IFERROR(__xludf.DUMMYFUNCTION("""COMPUTED_VALUE"""),45059.0)</f>
        <v>45059</v>
      </c>
    </row>
    <row r="809">
      <c r="A809" s="10" t="s">
        <v>778</v>
      </c>
      <c r="B809" s="3" t="s">
        <v>779</v>
      </c>
      <c r="C809" s="10" t="s">
        <v>832</v>
      </c>
      <c r="D809" s="3" t="s">
        <v>833</v>
      </c>
      <c r="E809" s="4" t="s">
        <v>3</v>
      </c>
      <c r="F809" s="5" t="s">
        <v>35</v>
      </c>
      <c r="G809" s="6" t="s">
        <v>839</v>
      </c>
      <c r="H809" s="7">
        <v>45120.0</v>
      </c>
      <c r="I809" s="8">
        <f t="shared" si="1"/>
        <v>13</v>
      </c>
      <c r="J809" s="9">
        <f t="shared" si="2"/>
        <v>7</v>
      </c>
      <c r="K809" s="9">
        <f t="shared" si="3"/>
        <v>2023</v>
      </c>
      <c r="M809" s="25">
        <f>IFERROR(__xludf.DUMMYFUNCTION("""COMPUTED_VALUE"""),45120.0)</f>
        <v>45120</v>
      </c>
    </row>
    <row r="810">
      <c r="A810" s="10" t="s">
        <v>778</v>
      </c>
      <c r="B810" s="3" t="s">
        <v>779</v>
      </c>
      <c r="C810" s="10" t="s">
        <v>832</v>
      </c>
      <c r="D810" s="3" t="s">
        <v>833</v>
      </c>
      <c r="E810" s="4" t="s">
        <v>3</v>
      </c>
      <c r="F810" s="5" t="s">
        <v>51</v>
      </c>
      <c r="G810" s="6" t="s">
        <v>840</v>
      </c>
      <c r="H810" s="7">
        <v>45133.0</v>
      </c>
      <c r="I810" s="8">
        <f t="shared" si="1"/>
        <v>26</v>
      </c>
      <c r="J810" s="9">
        <f t="shared" si="2"/>
        <v>7</v>
      </c>
      <c r="K810" s="9">
        <f t="shared" si="3"/>
        <v>2023</v>
      </c>
      <c r="M810" s="25">
        <f>IFERROR(__xludf.DUMMYFUNCTION("""COMPUTED_VALUE"""),45133.0)</f>
        <v>45133</v>
      </c>
    </row>
    <row r="811">
      <c r="A811" s="10" t="s">
        <v>778</v>
      </c>
      <c r="B811" s="3" t="s">
        <v>779</v>
      </c>
      <c r="C811" s="10" t="s">
        <v>832</v>
      </c>
      <c r="D811" s="3" t="s">
        <v>833</v>
      </c>
      <c r="E811" s="4" t="s">
        <v>3</v>
      </c>
      <c r="F811" s="5" t="s">
        <v>76</v>
      </c>
      <c r="G811" s="6" t="s">
        <v>841</v>
      </c>
      <c r="H811" s="7">
        <v>45135.0</v>
      </c>
      <c r="I811" s="8">
        <f t="shared" si="1"/>
        <v>28</v>
      </c>
      <c r="J811" s="9">
        <f t="shared" si="2"/>
        <v>7</v>
      </c>
      <c r="K811" s="9">
        <f t="shared" si="3"/>
        <v>2023</v>
      </c>
      <c r="M811" s="25">
        <f>IFERROR(__xludf.DUMMYFUNCTION("""COMPUTED_VALUE"""),45135.0)</f>
        <v>45135</v>
      </c>
    </row>
    <row r="812">
      <c r="A812" s="10" t="s">
        <v>778</v>
      </c>
      <c r="B812" s="3" t="s">
        <v>779</v>
      </c>
      <c r="C812" s="10" t="s">
        <v>832</v>
      </c>
      <c r="D812" s="3" t="s">
        <v>833</v>
      </c>
      <c r="E812" s="4" t="s">
        <v>8</v>
      </c>
      <c r="F812" s="5" t="s">
        <v>42</v>
      </c>
      <c r="G812" s="6" t="s">
        <v>842</v>
      </c>
      <c r="H812" s="7">
        <v>45140.0</v>
      </c>
      <c r="I812" s="8">
        <f t="shared" si="1"/>
        <v>2</v>
      </c>
      <c r="J812" s="9">
        <f t="shared" si="2"/>
        <v>8</v>
      </c>
      <c r="K812" s="9">
        <f t="shared" si="3"/>
        <v>2023</v>
      </c>
      <c r="M812" s="25">
        <f>IFERROR(__xludf.DUMMYFUNCTION("""COMPUTED_VALUE"""),45140.0)</f>
        <v>45140</v>
      </c>
    </row>
    <row r="813">
      <c r="A813" s="10" t="s">
        <v>778</v>
      </c>
      <c r="B813" s="3" t="s">
        <v>779</v>
      </c>
      <c r="C813" s="10" t="s">
        <v>832</v>
      </c>
      <c r="D813" s="3" t="s">
        <v>833</v>
      </c>
      <c r="E813" s="4" t="s">
        <v>3</v>
      </c>
      <c r="F813" s="5" t="s">
        <v>23</v>
      </c>
      <c r="G813" s="6" t="s">
        <v>843</v>
      </c>
      <c r="H813" s="7">
        <v>45192.0</v>
      </c>
      <c r="I813" s="8">
        <f t="shared" si="1"/>
        <v>23</v>
      </c>
      <c r="J813" s="9">
        <f t="shared" si="2"/>
        <v>9</v>
      </c>
      <c r="K813" s="9">
        <f t="shared" si="3"/>
        <v>2023</v>
      </c>
      <c r="M813" s="25">
        <f>IFERROR(__xludf.DUMMYFUNCTION("""COMPUTED_VALUE"""),45192.0)</f>
        <v>45192</v>
      </c>
    </row>
    <row r="814">
      <c r="A814" s="10" t="s">
        <v>778</v>
      </c>
      <c r="B814" s="3" t="s">
        <v>779</v>
      </c>
      <c r="C814" s="10" t="s">
        <v>832</v>
      </c>
      <c r="D814" s="3" t="s">
        <v>833</v>
      </c>
      <c r="E814" s="4" t="s">
        <v>8</v>
      </c>
      <c r="F814" s="5" t="s">
        <v>23</v>
      </c>
      <c r="G814" s="6" t="s">
        <v>844</v>
      </c>
      <c r="H814" s="7">
        <v>45222.0</v>
      </c>
      <c r="I814" s="8">
        <f t="shared" si="1"/>
        <v>23</v>
      </c>
      <c r="J814" s="9">
        <f t="shared" si="2"/>
        <v>10</v>
      </c>
      <c r="K814" s="9">
        <f t="shared" si="3"/>
        <v>2023</v>
      </c>
      <c r="M814" s="25">
        <f>IFERROR(__xludf.DUMMYFUNCTION("""COMPUTED_VALUE"""),45222.0)</f>
        <v>45222</v>
      </c>
    </row>
    <row r="815">
      <c r="A815" s="10" t="s">
        <v>778</v>
      </c>
      <c r="B815" s="3" t="s">
        <v>779</v>
      </c>
      <c r="C815" s="10" t="s">
        <v>832</v>
      </c>
      <c r="D815" s="3" t="s">
        <v>833</v>
      </c>
      <c r="E815" s="4" t="s">
        <v>8</v>
      </c>
      <c r="F815" s="5" t="s">
        <v>71</v>
      </c>
      <c r="G815" s="6" t="s">
        <v>493</v>
      </c>
      <c r="H815" s="7">
        <v>45241.0</v>
      </c>
      <c r="I815" s="8">
        <f t="shared" si="1"/>
        <v>11</v>
      </c>
      <c r="J815" s="9">
        <f t="shared" si="2"/>
        <v>11</v>
      </c>
      <c r="K815" s="9">
        <f t="shared" si="3"/>
        <v>2023</v>
      </c>
      <c r="M815" s="25">
        <f>IFERROR(__xludf.DUMMYFUNCTION("""COMPUTED_VALUE"""),45241.0)</f>
        <v>45241</v>
      </c>
    </row>
    <row r="816">
      <c r="A816" s="10" t="s">
        <v>778</v>
      </c>
      <c r="B816" s="3" t="s">
        <v>779</v>
      </c>
      <c r="C816" s="10" t="s">
        <v>832</v>
      </c>
      <c r="D816" s="3" t="s">
        <v>833</v>
      </c>
      <c r="E816" s="4" t="s">
        <v>3</v>
      </c>
      <c r="F816" s="5" t="s">
        <v>4</v>
      </c>
      <c r="G816" s="6" t="s">
        <v>845</v>
      </c>
      <c r="H816" s="7">
        <v>45252.0</v>
      </c>
      <c r="I816" s="8">
        <f t="shared" si="1"/>
        <v>22</v>
      </c>
      <c r="J816" s="9">
        <f t="shared" si="2"/>
        <v>11</v>
      </c>
      <c r="K816" s="9">
        <f t="shared" si="3"/>
        <v>2023</v>
      </c>
      <c r="M816" s="25">
        <f>IFERROR(__xludf.DUMMYFUNCTION("""COMPUTED_VALUE"""),45252.0)</f>
        <v>45252</v>
      </c>
    </row>
    <row r="817">
      <c r="A817" s="10" t="s">
        <v>778</v>
      </c>
      <c r="B817" s="3" t="s">
        <v>779</v>
      </c>
      <c r="C817" s="10" t="s">
        <v>832</v>
      </c>
      <c r="D817" s="3" t="s">
        <v>833</v>
      </c>
      <c r="E817" s="4" t="s">
        <v>8</v>
      </c>
      <c r="F817" s="5" t="s">
        <v>21</v>
      </c>
      <c r="G817" s="6" t="s">
        <v>846</v>
      </c>
      <c r="H817" s="7">
        <v>45252.0</v>
      </c>
      <c r="I817" s="8">
        <f t="shared" si="1"/>
        <v>22</v>
      </c>
      <c r="J817" s="9">
        <f t="shared" si="2"/>
        <v>11</v>
      </c>
      <c r="K817" s="9">
        <f t="shared" si="3"/>
        <v>2023</v>
      </c>
      <c r="M817" s="25">
        <f>IFERROR(__xludf.DUMMYFUNCTION("""COMPUTED_VALUE"""),45252.0)</f>
        <v>45252</v>
      </c>
    </row>
    <row r="818">
      <c r="A818" s="10" t="s">
        <v>778</v>
      </c>
      <c r="B818" s="3" t="s">
        <v>779</v>
      </c>
      <c r="C818" s="10" t="s">
        <v>832</v>
      </c>
      <c r="D818" s="3" t="s">
        <v>833</v>
      </c>
      <c r="E818" s="4" t="s">
        <v>8</v>
      </c>
      <c r="F818" s="5" t="s">
        <v>35</v>
      </c>
      <c r="G818" s="6" t="s">
        <v>847</v>
      </c>
      <c r="H818" s="7">
        <v>45264.0</v>
      </c>
      <c r="I818" s="8">
        <f t="shared" si="1"/>
        <v>4</v>
      </c>
      <c r="J818" s="9">
        <f t="shared" si="2"/>
        <v>12</v>
      </c>
      <c r="K818" s="9">
        <f t="shared" si="3"/>
        <v>2023</v>
      </c>
      <c r="M818" s="25">
        <f>IFERROR(__xludf.DUMMYFUNCTION("""COMPUTED_VALUE"""),45264.0)</f>
        <v>45264</v>
      </c>
    </row>
    <row r="819">
      <c r="A819" s="10" t="s">
        <v>778</v>
      </c>
      <c r="B819" s="3" t="s">
        <v>779</v>
      </c>
      <c r="C819" s="10" t="s">
        <v>832</v>
      </c>
      <c r="D819" s="3" t="s">
        <v>833</v>
      </c>
      <c r="E819" s="4" t="s">
        <v>3</v>
      </c>
      <c r="F819" s="5" t="s">
        <v>21</v>
      </c>
      <c r="G819" s="6" t="s">
        <v>848</v>
      </c>
      <c r="H819" s="7">
        <v>45279.0</v>
      </c>
      <c r="I819" s="8">
        <f t="shared" si="1"/>
        <v>19</v>
      </c>
      <c r="J819" s="9">
        <f t="shared" si="2"/>
        <v>12</v>
      </c>
      <c r="K819" s="9">
        <f t="shared" si="3"/>
        <v>2023</v>
      </c>
      <c r="M819" s="25">
        <f>IFERROR(__xludf.DUMMYFUNCTION("""COMPUTED_VALUE"""),45279.0)</f>
        <v>45279</v>
      </c>
    </row>
    <row r="820">
      <c r="A820" s="10" t="s">
        <v>778</v>
      </c>
      <c r="B820" s="3" t="s">
        <v>779</v>
      </c>
      <c r="C820" s="10" t="s">
        <v>832</v>
      </c>
      <c r="D820" s="3" t="s">
        <v>833</v>
      </c>
      <c r="E820" s="4" t="s">
        <v>3</v>
      </c>
      <c r="F820" s="5" t="s">
        <v>71</v>
      </c>
      <c r="G820" s="6" t="s">
        <v>849</v>
      </c>
      <c r="H820" s="7">
        <v>45280.0</v>
      </c>
      <c r="I820" s="8">
        <f t="shared" si="1"/>
        <v>20</v>
      </c>
      <c r="J820" s="9">
        <f t="shared" si="2"/>
        <v>12</v>
      </c>
      <c r="K820" s="9">
        <f t="shared" si="3"/>
        <v>2023</v>
      </c>
      <c r="M820" s="25">
        <f>IFERROR(__xludf.DUMMYFUNCTION("""COMPUTED_VALUE"""),45280.0)</f>
        <v>45280</v>
      </c>
    </row>
    <row r="821">
      <c r="A821" s="10" t="s">
        <v>796</v>
      </c>
      <c r="B821" s="3" t="s">
        <v>797</v>
      </c>
      <c r="C821" s="10" t="s">
        <v>741</v>
      </c>
      <c r="D821" s="3" t="s">
        <v>850</v>
      </c>
      <c r="E821" s="4" t="s">
        <v>3</v>
      </c>
      <c r="F821" s="5" t="s">
        <v>28</v>
      </c>
      <c r="G821" s="6" t="s">
        <v>352</v>
      </c>
      <c r="H821" s="7">
        <v>44943.0</v>
      </c>
      <c r="I821" s="8">
        <f t="shared" si="1"/>
        <v>17</v>
      </c>
      <c r="J821" s="9">
        <f t="shared" si="2"/>
        <v>1</v>
      </c>
      <c r="K821" s="9">
        <f t="shared" si="3"/>
        <v>2023</v>
      </c>
      <c r="M821" s="25">
        <f>IFERROR(__xludf.DUMMYFUNCTION("""COMPUTED_VALUE"""),44943.0)</f>
        <v>44943</v>
      </c>
    </row>
    <row r="822">
      <c r="A822" s="10" t="s">
        <v>796</v>
      </c>
      <c r="B822" s="3" t="s">
        <v>797</v>
      </c>
      <c r="C822" s="10" t="s">
        <v>741</v>
      </c>
      <c r="D822" s="3" t="s">
        <v>850</v>
      </c>
      <c r="E822" s="4" t="s">
        <v>3</v>
      </c>
      <c r="F822" s="5" t="s">
        <v>71</v>
      </c>
      <c r="G822" s="6" t="s">
        <v>851</v>
      </c>
      <c r="H822" s="7">
        <v>44944.0</v>
      </c>
      <c r="I822" s="8">
        <f t="shared" si="1"/>
        <v>18</v>
      </c>
      <c r="J822" s="9">
        <f t="shared" si="2"/>
        <v>1</v>
      </c>
      <c r="K822" s="9">
        <f t="shared" si="3"/>
        <v>2023</v>
      </c>
      <c r="M822" s="25">
        <f>IFERROR(__xludf.DUMMYFUNCTION("""COMPUTED_VALUE"""),44944.0)</f>
        <v>44944</v>
      </c>
    </row>
    <row r="823">
      <c r="A823" s="10" t="s">
        <v>796</v>
      </c>
      <c r="B823" s="3" t="s">
        <v>797</v>
      </c>
      <c r="C823" s="10" t="s">
        <v>741</v>
      </c>
      <c r="D823" s="3" t="s">
        <v>850</v>
      </c>
      <c r="E823" s="4" t="s">
        <v>3</v>
      </c>
      <c r="F823" s="5" t="s">
        <v>11</v>
      </c>
      <c r="G823" s="6" t="s">
        <v>852</v>
      </c>
      <c r="H823" s="7">
        <v>44973.0</v>
      </c>
      <c r="I823" s="8">
        <f t="shared" si="1"/>
        <v>16</v>
      </c>
      <c r="J823" s="9">
        <f t="shared" si="2"/>
        <v>2</v>
      </c>
      <c r="K823" s="9">
        <f t="shared" si="3"/>
        <v>2023</v>
      </c>
      <c r="M823" s="25">
        <f>IFERROR(__xludf.DUMMYFUNCTION("""COMPUTED_VALUE"""),44973.0)</f>
        <v>44973</v>
      </c>
    </row>
    <row r="824">
      <c r="A824" s="10" t="s">
        <v>796</v>
      </c>
      <c r="B824" s="3" t="s">
        <v>797</v>
      </c>
      <c r="C824" s="10" t="s">
        <v>741</v>
      </c>
      <c r="D824" s="3" t="s">
        <v>850</v>
      </c>
      <c r="E824" s="4" t="s">
        <v>3</v>
      </c>
      <c r="F824" s="5" t="s">
        <v>51</v>
      </c>
      <c r="G824" s="6" t="s">
        <v>853</v>
      </c>
      <c r="H824" s="7">
        <v>44985.0</v>
      </c>
      <c r="I824" s="8">
        <f t="shared" si="1"/>
        <v>28</v>
      </c>
      <c r="J824" s="9">
        <f t="shared" si="2"/>
        <v>2</v>
      </c>
      <c r="K824" s="9">
        <f t="shared" si="3"/>
        <v>2023</v>
      </c>
      <c r="M824" s="25">
        <f>IFERROR(__xludf.DUMMYFUNCTION("""COMPUTED_VALUE"""),44985.0)</f>
        <v>44985</v>
      </c>
    </row>
    <row r="825">
      <c r="A825" s="10" t="s">
        <v>796</v>
      </c>
      <c r="B825" s="3" t="s">
        <v>797</v>
      </c>
      <c r="C825" s="10" t="s">
        <v>741</v>
      </c>
      <c r="D825" s="3" t="s">
        <v>850</v>
      </c>
      <c r="E825" s="4" t="s">
        <v>8</v>
      </c>
      <c r="F825" s="5" t="s">
        <v>17</v>
      </c>
      <c r="G825" s="6" t="s">
        <v>541</v>
      </c>
      <c r="H825" s="7">
        <v>44997.0</v>
      </c>
      <c r="I825" s="8">
        <f t="shared" si="1"/>
        <v>12</v>
      </c>
      <c r="J825" s="9">
        <f t="shared" si="2"/>
        <v>3</v>
      </c>
      <c r="K825" s="9">
        <f t="shared" si="3"/>
        <v>2023</v>
      </c>
      <c r="M825" s="25">
        <f>IFERROR(__xludf.DUMMYFUNCTION("""COMPUTED_VALUE"""),44997.0)</f>
        <v>44997</v>
      </c>
    </row>
    <row r="826">
      <c r="A826" s="10" t="s">
        <v>796</v>
      </c>
      <c r="B826" s="3" t="s">
        <v>797</v>
      </c>
      <c r="C826" s="10" t="s">
        <v>741</v>
      </c>
      <c r="D826" s="3" t="s">
        <v>850</v>
      </c>
      <c r="E826" s="4" t="s">
        <v>8</v>
      </c>
      <c r="F826" s="5" t="s">
        <v>39</v>
      </c>
      <c r="G826" s="6" t="s">
        <v>854</v>
      </c>
      <c r="H826" s="7">
        <v>45010.0</v>
      </c>
      <c r="I826" s="8">
        <f t="shared" si="1"/>
        <v>25</v>
      </c>
      <c r="J826" s="9">
        <f t="shared" si="2"/>
        <v>3</v>
      </c>
      <c r="K826" s="9">
        <f t="shared" si="3"/>
        <v>2023</v>
      </c>
      <c r="M826" s="25">
        <f>IFERROR(__xludf.DUMMYFUNCTION("""COMPUTED_VALUE"""),45010.0)</f>
        <v>45010</v>
      </c>
    </row>
    <row r="827">
      <c r="A827" s="10" t="s">
        <v>796</v>
      </c>
      <c r="B827" s="3" t="s">
        <v>797</v>
      </c>
      <c r="C827" s="10" t="s">
        <v>741</v>
      </c>
      <c r="D827" s="3" t="s">
        <v>850</v>
      </c>
      <c r="E827" s="4" t="s">
        <v>8</v>
      </c>
      <c r="F827" s="5" t="s">
        <v>51</v>
      </c>
      <c r="G827" s="6" t="s">
        <v>855</v>
      </c>
      <c r="H827" s="7">
        <v>45024.0</v>
      </c>
      <c r="I827" s="8">
        <f t="shared" si="1"/>
        <v>8</v>
      </c>
      <c r="J827" s="9">
        <f t="shared" si="2"/>
        <v>4</v>
      </c>
      <c r="K827" s="9">
        <f t="shared" si="3"/>
        <v>2023</v>
      </c>
      <c r="M827" s="25">
        <f>IFERROR(__xludf.DUMMYFUNCTION("""COMPUTED_VALUE"""),45024.0)</f>
        <v>45024</v>
      </c>
    </row>
    <row r="828">
      <c r="A828" s="10" t="s">
        <v>796</v>
      </c>
      <c r="B828" s="3" t="s">
        <v>797</v>
      </c>
      <c r="C828" s="10" t="s">
        <v>741</v>
      </c>
      <c r="D828" s="3" t="s">
        <v>850</v>
      </c>
      <c r="E828" s="4" t="s">
        <v>3</v>
      </c>
      <c r="F828" s="5" t="s">
        <v>120</v>
      </c>
      <c r="G828" s="6" t="s">
        <v>856</v>
      </c>
      <c r="H828" s="7">
        <v>45053.0</v>
      </c>
      <c r="I828" s="8">
        <f t="shared" si="1"/>
        <v>7</v>
      </c>
      <c r="J828" s="9">
        <f t="shared" si="2"/>
        <v>5</v>
      </c>
      <c r="K828" s="9">
        <f t="shared" si="3"/>
        <v>2023</v>
      </c>
      <c r="M828" s="25">
        <f>IFERROR(__xludf.DUMMYFUNCTION("""COMPUTED_VALUE"""),45053.0)</f>
        <v>45053</v>
      </c>
    </row>
    <row r="829">
      <c r="A829" s="10" t="s">
        <v>796</v>
      </c>
      <c r="B829" s="3" t="s">
        <v>797</v>
      </c>
      <c r="C829" s="10" t="s">
        <v>741</v>
      </c>
      <c r="D829" s="3" t="s">
        <v>850</v>
      </c>
      <c r="E829" s="4" t="s">
        <v>8</v>
      </c>
      <c r="F829" s="5" t="s">
        <v>96</v>
      </c>
      <c r="G829" s="6" t="s">
        <v>857</v>
      </c>
      <c r="H829" s="7">
        <v>45067.0</v>
      </c>
      <c r="I829" s="8">
        <f t="shared" si="1"/>
        <v>21</v>
      </c>
      <c r="J829" s="9">
        <f t="shared" si="2"/>
        <v>5</v>
      </c>
      <c r="K829" s="9">
        <f t="shared" si="3"/>
        <v>2023</v>
      </c>
      <c r="M829" s="25">
        <f>IFERROR(__xludf.DUMMYFUNCTION("""COMPUTED_VALUE"""),45067.0)</f>
        <v>45067</v>
      </c>
    </row>
    <row r="830">
      <c r="A830" s="10" t="s">
        <v>796</v>
      </c>
      <c r="B830" s="3" t="s">
        <v>797</v>
      </c>
      <c r="C830" s="10" t="s">
        <v>741</v>
      </c>
      <c r="D830" s="3" t="s">
        <v>850</v>
      </c>
      <c r="E830" s="4" t="s">
        <v>3</v>
      </c>
      <c r="F830" s="5" t="s">
        <v>45</v>
      </c>
      <c r="G830" s="6" t="s">
        <v>858</v>
      </c>
      <c r="H830" s="7">
        <v>45080.0</v>
      </c>
      <c r="I830" s="8">
        <f t="shared" si="1"/>
        <v>3</v>
      </c>
      <c r="J830" s="9">
        <f t="shared" si="2"/>
        <v>6</v>
      </c>
      <c r="K830" s="9">
        <f t="shared" si="3"/>
        <v>2023</v>
      </c>
      <c r="M830" s="25">
        <f>IFERROR(__xludf.DUMMYFUNCTION("""COMPUTED_VALUE"""),45080.0)</f>
        <v>45080</v>
      </c>
    </row>
    <row r="831">
      <c r="A831" s="10" t="s">
        <v>796</v>
      </c>
      <c r="B831" s="3" t="s">
        <v>797</v>
      </c>
      <c r="C831" s="10" t="s">
        <v>741</v>
      </c>
      <c r="D831" s="3" t="s">
        <v>850</v>
      </c>
      <c r="E831" s="4" t="s">
        <v>3</v>
      </c>
      <c r="F831" s="5" t="s">
        <v>42</v>
      </c>
      <c r="G831" s="6" t="s">
        <v>859</v>
      </c>
      <c r="H831" s="7">
        <v>45082.0</v>
      </c>
      <c r="I831" s="8">
        <f t="shared" si="1"/>
        <v>5</v>
      </c>
      <c r="J831" s="9">
        <f t="shared" si="2"/>
        <v>6</v>
      </c>
      <c r="K831" s="9">
        <f t="shared" si="3"/>
        <v>2023</v>
      </c>
      <c r="M831" s="25">
        <f>IFERROR(__xludf.DUMMYFUNCTION("""COMPUTED_VALUE"""),45082.0)</f>
        <v>45082</v>
      </c>
    </row>
    <row r="832">
      <c r="A832" s="10" t="s">
        <v>796</v>
      </c>
      <c r="B832" s="3" t="s">
        <v>797</v>
      </c>
      <c r="C832" s="10" t="s">
        <v>741</v>
      </c>
      <c r="D832" s="3" t="s">
        <v>850</v>
      </c>
      <c r="E832" s="4" t="s">
        <v>3</v>
      </c>
      <c r="F832" s="5" t="s">
        <v>9</v>
      </c>
      <c r="G832" s="6" t="s">
        <v>860</v>
      </c>
      <c r="H832" s="7">
        <v>45094.0</v>
      </c>
      <c r="I832" s="8">
        <f t="shared" si="1"/>
        <v>17</v>
      </c>
      <c r="J832" s="9">
        <f t="shared" si="2"/>
        <v>6</v>
      </c>
      <c r="K832" s="9">
        <f t="shared" si="3"/>
        <v>2023</v>
      </c>
      <c r="M832" s="25">
        <f>IFERROR(__xludf.DUMMYFUNCTION("""COMPUTED_VALUE"""),45094.0)</f>
        <v>45094</v>
      </c>
    </row>
    <row r="833">
      <c r="A833" s="10" t="s">
        <v>796</v>
      </c>
      <c r="B833" s="3" t="s">
        <v>797</v>
      </c>
      <c r="C833" s="10" t="s">
        <v>741</v>
      </c>
      <c r="D833" s="3" t="s">
        <v>850</v>
      </c>
      <c r="E833" s="4" t="s">
        <v>8</v>
      </c>
      <c r="F833" s="5" t="s">
        <v>42</v>
      </c>
      <c r="G833" s="6" t="s">
        <v>455</v>
      </c>
      <c r="H833" s="7">
        <v>45097.0</v>
      </c>
      <c r="I833" s="8">
        <f t="shared" si="1"/>
        <v>20</v>
      </c>
      <c r="J833" s="9">
        <f t="shared" si="2"/>
        <v>6</v>
      </c>
      <c r="K833" s="9">
        <f t="shared" si="3"/>
        <v>2023</v>
      </c>
      <c r="M833" s="25">
        <f>IFERROR(__xludf.DUMMYFUNCTION("""COMPUTED_VALUE"""),45097.0)</f>
        <v>45097</v>
      </c>
    </row>
    <row r="834">
      <c r="A834" s="10" t="s">
        <v>796</v>
      </c>
      <c r="B834" s="3" t="s">
        <v>797</v>
      </c>
      <c r="C834" s="10" t="s">
        <v>741</v>
      </c>
      <c r="D834" s="3" t="s">
        <v>850</v>
      </c>
      <c r="E834" s="4" t="s">
        <v>3</v>
      </c>
      <c r="F834" s="5" t="s">
        <v>6</v>
      </c>
      <c r="G834" s="6" t="s">
        <v>861</v>
      </c>
      <c r="H834" s="7">
        <v>45097.0</v>
      </c>
      <c r="I834" s="8">
        <f t="shared" si="1"/>
        <v>20</v>
      </c>
      <c r="J834" s="9">
        <f t="shared" si="2"/>
        <v>6</v>
      </c>
      <c r="K834" s="9">
        <f t="shared" si="3"/>
        <v>2023</v>
      </c>
      <c r="M834" s="25">
        <f>IFERROR(__xludf.DUMMYFUNCTION("""COMPUTED_VALUE"""),45097.0)</f>
        <v>45097</v>
      </c>
    </row>
    <row r="835">
      <c r="A835" s="10" t="s">
        <v>796</v>
      </c>
      <c r="B835" s="3" t="s">
        <v>797</v>
      </c>
      <c r="C835" s="10" t="s">
        <v>741</v>
      </c>
      <c r="D835" s="3" t="s">
        <v>850</v>
      </c>
      <c r="E835" s="4" t="s">
        <v>3</v>
      </c>
      <c r="F835" s="5" t="s">
        <v>35</v>
      </c>
      <c r="G835" s="6" t="s">
        <v>862</v>
      </c>
      <c r="H835" s="7">
        <v>45123.0</v>
      </c>
      <c r="I835" s="8">
        <f t="shared" si="1"/>
        <v>16</v>
      </c>
      <c r="J835" s="9">
        <f t="shared" si="2"/>
        <v>7</v>
      </c>
      <c r="K835" s="9">
        <f t="shared" si="3"/>
        <v>2023</v>
      </c>
      <c r="M835" s="25">
        <f>IFERROR(__xludf.DUMMYFUNCTION("""COMPUTED_VALUE"""),45123.0)</f>
        <v>45123</v>
      </c>
    </row>
    <row r="836">
      <c r="A836" s="10" t="s">
        <v>796</v>
      </c>
      <c r="B836" s="3" t="s">
        <v>797</v>
      </c>
      <c r="C836" s="10" t="s">
        <v>741</v>
      </c>
      <c r="D836" s="3" t="s">
        <v>850</v>
      </c>
      <c r="E836" s="4" t="s">
        <v>8</v>
      </c>
      <c r="F836" s="5" t="s">
        <v>28</v>
      </c>
      <c r="G836" s="6" t="s">
        <v>560</v>
      </c>
      <c r="H836" s="7">
        <v>45183.0</v>
      </c>
      <c r="I836" s="8">
        <f t="shared" si="1"/>
        <v>14</v>
      </c>
      <c r="J836" s="9">
        <f t="shared" si="2"/>
        <v>9</v>
      </c>
      <c r="K836" s="9">
        <f t="shared" si="3"/>
        <v>2023</v>
      </c>
      <c r="M836" s="25">
        <f>IFERROR(__xludf.DUMMYFUNCTION("""COMPUTED_VALUE"""),45183.0)</f>
        <v>45183</v>
      </c>
    </row>
    <row r="837">
      <c r="A837" s="10" t="s">
        <v>796</v>
      </c>
      <c r="B837" s="3" t="s">
        <v>797</v>
      </c>
      <c r="C837" s="10" t="s">
        <v>741</v>
      </c>
      <c r="D837" s="3" t="s">
        <v>850</v>
      </c>
      <c r="E837" s="4" t="s">
        <v>3</v>
      </c>
      <c r="F837" s="5" t="s">
        <v>23</v>
      </c>
      <c r="G837" s="6" t="s">
        <v>863</v>
      </c>
      <c r="H837" s="7">
        <v>45191.0</v>
      </c>
      <c r="I837" s="8">
        <f t="shared" si="1"/>
        <v>22</v>
      </c>
      <c r="J837" s="9">
        <f t="shared" si="2"/>
        <v>9</v>
      </c>
      <c r="K837" s="9">
        <f t="shared" si="3"/>
        <v>2023</v>
      </c>
      <c r="M837" s="25">
        <f>IFERROR(__xludf.DUMMYFUNCTION("""COMPUTED_VALUE"""),45191.0)</f>
        <v>45191</v>
      </c>
    </row>
    <row r="838">
      <c r="A838" s="10" t="s">
        <v>796</v>
      </c>
      <c r="B838" s="3" t="s">
        <v>797</v>
      </c>
      <c r="C838" s="10" t="s">
        <v>741</v>
      </c>
      <c r="D838" s="3" t="s">
        <v>850</v>
      </c>
      <c r="E838" s="4" t="s">
        <v>8</v>
      </c>
      <c r="F838" s="5" t="s">
        <v>39</v>
      </c>
      <c r="G838" s="6" t="s">
        <v>864</v>
      </c>
      <c r="H838" s="7">
        <v>45202.0</v>
      </c>
      <c r="I838" s="8">
        <f t="shared" si="1"/>
        <v>3</v>
      </c>
      <c r="J838" s="9">
        <f t="shared" si="2"/>
        <v>10</v>
      </c>
      <c r="K838" s="9">
        <f t="shared" si="3"/>
        <v>2023</v>
      </c>
      <c r="M838" s="25">
        <f>IFERROR(__xludf.DUMMYFUNCTION("""COMPUTED_VALUE"""),45202.0)</f>
        <v>45202</v>
      </c>
    </row>
    <row r="839">
      <c r="A839" s="10" t="s">
        <v>796</v>
      </c>
      <c r="B839" s="3" t="s">
        <v>797</v>
      </c>
      <c r="C839" s="10" t="s">
        <v>741</v>
      </c>
      <c r="D839" s="3" t="s">
        <v>850</v>
      </c>
      <c r="E839" s="4" t="s">
        <v>3</v>
      </c>
      <c r="F839" s="5" t="s">
        <v>11</v>
      </c>
      <c r="G839" s="6" t="s">
        <v>865</v>
      </c>
      <c r="H839" s="7">
        <v>45219.0</v>
      </c>
      <c r="I839" s="8">
        <f t="shared" si="1"/>
        <v>20</v>
      </c>
      <c r="J839" s="9">
        <f t="shared" si="2"/>
        <v>10</v>
      </c>
      <c r="K839" s="9">
        <f t="shared" si="3"/>
        <v>2023</v>
      </c>
      <c r="M839" s="25">
        <f>IFERROR(__xludf.DUMMYFUNCTION("""COMPUTED_VALUE"""),45219.0)</f>
        <v>45219</v>
      </c>
    </row>
    <row r="840">
      <c r="A840" s="10" t="s">
        <v>796</v>
      </c>
      <c r="B840" s="3" t="s">
        <v>797</v>
      </c>
      <c r="C840" s="10" t="s">
        <v>741</v>
      </c>
      <c r="D840" s="3" t="s">
        <v>850</v>
      </c>
      <c r="E840" s="4" t="s">
        <v>8</v>
      </c>
      <c r="F840" s="5" t="s">
        <v>120</v>
      </c>
      <c r="G840" s="6" t="s">
        <v>866</v>
      </c>
      <c r="H840" s="7">
        <v>45249.0</v>
      </c>
      <c r="I840" s="8">
        <f t="shared" si="1"/>
        <v>19</v>
      </c>
      <c r="J840" s="9">
        <f t="shared" si="2"/>
        <v>11</v>
      </c>
      <c r="K840" s="9">
        <f t="shared" si="3"/>
        <v>2023</v>
      </c>
      <c r="M840" s="25">
        <f>IFERROR(__xludf.DUMMYFUNCTION("""COMPUTED_VALUE"""),45249.0)</f>
        <v>45249</v>
      </c>
    </row>
    <row r="841">
      <c r="A841" s="10" t="s">
        <v>613</v>
      </c>
      <c r="B841" s="3" t="s">
        <v>813</v>
      </c>
      <c r="C841" s="10" t="s">
        <v>867</v>
      </c>
      <c r="D841" s="3" t="s">
        <v>868</v>
      </c>
      <c r="E841" s="4" t="s">
        <v>8</v>
      </c>
      <c r="F841" s="5" t="s">
        <v>45</v>
      </c>
      <c r="G841" s="6" t="s">
        <v>869</v>
      </c>
      <c r="H841" s="7">
        <v>44931.0</v>
      </c>
      <c r="I841" s="8">
        <f t="shared" si="1"/>
        <v>5</v>
      </c>
      <c r="J841" s="9">
        <f t="shared" si="2"/>
        <v>1</v>
      </c>
      <c r="K841" s="9">
        <f t="shared" si="3"/>
        <v>2023</v>
      </c>
      <c r="M841" s="25">
        <f>IFERROR(__xludf.DUMMYFUNCTION("""COMPUTED_VALUE"""),44931.0)</f>
        <v>44931</v>
      </c>
    </row>
    <row r="842">
      <c r="A842" s="10" t="s">
        <v>613</v>
      </c>
      <c r="B842" s="3" t="s">
        <v>813</v>
      </c>
      <c r="C842" s="10" t="s">
        <v>867</v>
      </c>
      <c r="D842" s="3" t="s">
        <v>868</v>
      </c>
      <c r="E842" s="4" t="s">
        <v>3</v>
      </c>
      <c r="F842" s="5" t="s">
        <v>4</v>
      </c>
      <c r="G842" s="6" t="s">
        <v>870</v>
      </c>
      <c r="H842" s="7">
        <v>44936.0</v>
      </c>
      <c r="I842" s="8">
        <f t="shared" si="1"/>
        <v>10</v>
      </c>
      <c r="J842" s="9">
        <f t="shared" si="2"/>
        <v>1</v>
      </c>
      <c r="K842" s="9">
        <f t="shared" si="3"/>
        <v>2023</v>
      </c>
      <c r="M842" s="25">
        <f>IFERROR(__xludf.DUMMYFUNCTION("""COMPUTED_VALUE"""),44936.0)</f>
        <v>44936</v>
      </c>
    </row>
    <row r="843">
      <c r="A843" s="10" t="s">
        <v>613</v>
      </c>
      <c r="B843" s="3" t="s">
        <v>813</v>
      </c>
      <c r="C843" s="10" t="s">
        <v>867</v>
      </c>
      <c r="D843" s="3" t="s">
        <v>868</v>
      </c>
      <c r="E843" s="4" t="s">
        <v>8</v>
      </c>
      <c r="F843" s="5" t="s">
        <v>51</v>
      </c>
      <c r="G843" s="6" t="s">
        <v>871</v>
      </c>
      <c r="H843" s="7">
        <v>44950.0</v>
      </c>
      <c r="I843" s="8">
        <f t="shared" si="1"/>
        <v>24</v>
      </c>
      <c r="J843" s="9">
        <f t="shared" si="2"/>
        <v>1</v>
      </c>
      <c r="K843" s="9">
        <f t="shared" si="3"/>
        <v>2023</v>
      </c>
      <c r="M843" s="25">
        <f>IFERROR(__xludf.DUMMYFUNCTION("""COMPUTED_VALUE"""),44950.0)</f>
        <v>44950</v>
      </c>
    </row>
    <row r="844">
      <c r="A844" s="10" t="s">
        <v>613</v>
      </c>
      <c r="B844" s="3" t="s">
        <v>813</v>
      </c>
      <c r="C844" s="10" t="s">
        <v>867</v>
      </c>
      <c r="D844" s="3" t="s">
        <v>868</v>
      </c>
      <c r="E844" s="4" t="s">
        <v>3</v>
      </c>
      <c r="F844" s="5" t="s">
        <v>17</v>
      </c>
      <c r="G844" s="6" t="s">
        <v>872</v>
      </c>
      <c r="H844" s="7">
        <v>44951.0</v>
      </c>
      <c r="I844" s="8">
        <f t="shared" si="1"/>
        <v>25</v>
      </c>
      <c r="J844" s="9">
        <f t="shared" si="2"/>
        <v>1</v>
      </c>
      <c r="K844" s="9">
        <f t="shared" si="3"/>
        <v>2023</v>
      </c>
      <c r="M844" s="25">
        <f>IFERROR(__xludf.DUMMYFUNCTION("""COMPUTED_VALUE"""),44951.0)</f>
        <v>44951</v>
      </c>
    </row>
    <row r="845">
      <c r="A845" s="10" t="s">
        <v>613</v>
      </c>
      <c r="B845" s="3" t="s">
        <v>813</v>
      </c>
      <c r="C845" s="10" t="s">
        <v>867</v>
      </c>
      <c r="D845" s="3" t="s">
        <v>868</v>
      </c>
      <c r="E845" s="4" t="s">
        <v>8</v>
      </c>
      <c r="F845" s="5" t="s">
        <v>23</v>
      </c>
      <c r="G845" s="6" t="s">
        <v>873</v>
      </c>
      <c r="H845" s="7">
        <v>44963.0</v>
      </c>
      <c r="I845" s="8">
        <f t="shared" si="1"/>
        <v>6</v>
      </c>
      <c r="J845" s="9">
        <f t="shared" si="2"/>
        <v>2</v>
      </c>
      <c r="K845" s="9">
        <f t="shared" si="3"/>
        <v>2023</v>
      </c>
      <c r="M845" s="25">
        <f>IFERROR(__xludf.DUMMYFUNCTION("""COMPUTED_VALUE"""),44963.0)</f>
        <v>44963</v>
      </c>
    </row>
    <row r="846">
      <c r="A846" s="10" t="s">
        <v>613</v>
      </c>
      <c r="B846" s="3" t="s">
        <v>813</v>
      </c>
      <c r="C846" s="10" t="s">
        <v>867</v>
      </c>
      <c r="D846" s="3" t="s">
        <v>868</v>
      </c>
      <c r="E846" s="4" t="s">
        <v>3</v>
      </c>
      <c r="F846" s="5" t="s">
        <v>21</v>
      </c>
      <c r="G846" s="6" t="s">
        <v>874</v>
      </c>
      <c r="H846" s="7">
        <v>44970.0</v>
      </c>
      <c r="I846" s="8">
        <f t="shared" si="1"/>
        <v>13</v>
      </c>
      <c r="J846" s="9">
        <f t="shared" si="2"/>
        <v>2</v>
      </c>
      <c r="K846" s="9">
        <f t="shared" si="3"/>
        <v>2023</v>
      </c>
      <c r="M846" s="25">
        <f>IFERROR(__xludf.DUMMYFUNCTION("""COMPUTED_VALUE"""),44970.0)</f>
        <v>44970</v>
      </c>
    </row>
    <row r="847">
      <c r="A847" s="10" t="s">
        <v>613</v>
      </c>
      <c r="B847" s="3" t="s">
        <v>813</v>
      </c>
      <c r="C847" s="10" t="s">
        <v>867</v>
      </c>
      <c r="D847" s="3" t="s">
        <v>868</v>
      </c>
      <c r="E847" s="4" t="s">
        <v>8</v>
      </c>
      <c r="F847" s="5" t="s">
        <v>35</v>
      </c>
      <c r="G847" s="6" t="s">
        <v>875</v>
      </c>
      <c r="H847" s="7">
        <v>44995.0</v>
      </c>
      <c r="I847" s="8">
        <f t="shared" si="1"/>
        <v>10</v>
      </c>
      <c r="J847" s="9">
        <f t="shared" si="2"/>
        <v>3</v>
      </c>
      <c r="K847" s="9">
        <f t="shared" si="3"/>
        <v>2023</v>
      </c>
      <c r="M847" s="25">
        <f>IFERROR(__xludf.DUMMYFUNCTION("""COMPUTED_VALUE"""),44995.0)</f>
        <v>44995</v>
      </c>
    </row>
    <row r="848">
      <c r="A848" s="10" t="s">
        <v>613</v>
      </c>
      <c r="B848" s="3" t="s">
        <v>813</v>
      </c>
      <c r="C848" s="10" t="s">
        <v>867</v>
      </c>
      <c r="D848" s="3" t="s">
        <v>868</v>
      </c>
      <c r="E848" s="4" t="s">
        <v>8</v>
      </c>
      <c r="F848" s="5" t="s">
        <v>71</v>
      </c>
      <c r="G848" s="6" t="s">
        <v>876</v>
      </c>
      <c r="H848" s="7">
        <v>45011.0</v>
      </c>
      <c r="I848" s="8">
        <f t="shared" si="1"/>
        <v>26</v>
      </c>
      <c r="J848" s="9">
        <f t="shared" si="2"/>
        <v>3</v>
      </c>
      <c r="K848" s="9">
        <f t="shared" si="3"/>
        <v>2023</v>
      </c>
      <c r="M848" s="25">
        <f>IFERROR(__xludf.DUMMYFUNCTION("""COMPUTED_VALUE"""),45011.0)</f>
        <v>45011</v>
      </c>
    </row>
    <row r="849">
      <c r="A849" s="10" t="s">
        <v>613</v>
      </c>
      <c r="B849" s="3" t="s">
        <v>813</v>
      </c>
      <c r="C849" s="10" t="s">
        <v>867</v>
      </c>
      <c r="D849" s="3" t="s">
        <v>868</v>
      </c>
      <c r="E849" s="4" t="s">
        <v>3</v>
      </c>
      <c r="F849" s="5" t="s">
        <v>35</v>
      </c>
      <c r="G849" s="6" t="s">
        <v>877</v>
      </c>
      <c r="H849" s="7">
        <v>45038.0</v>
      </c>
      <c r="I849" s="8">
        <f t="shared" si="1"/>
        <v>22</v>
      </c>
      <c r="J849" s="9">
        <f t="shared" si="2"/>
        <v>4</v>
      </c>
      <c r="K849" s="9">
        <f t="shared" si="3"/>
        <v>2023</v>
      </c>
      <c r="M849" s="25">
        <f>IFERROR(__xludf.DUMMYFUNCTION("""COMPUTED_VALUE"""),45038.0)</f>
        <v>45038</v>
      </c>
    </row>
    <row r="850">
      <c r="A850" s="10" t="s">
        <v>613</v>
      </c>
      <c r="B850" s="3" t="s">
        <v>813</v>
      </c>
      <c r="C850" s="10" t="s">
        <v>867</v>
      </c>
      <c r="D850" s="3" t="s">
        <v>868</v>
      </c>
      <c r="E850" s="4" t="s">
        <v>3</v>
      </c>
      <c r="F850" s="5" t="s">
        <v>11</v>
      </c>
      <c r="G850" s="6" t="s">
        <v>878</v>
      </c>
      <c r="H850" s="7">
        <v>45049.0</v>
      </c>
      <c r="I850" s="8">
        <f t="shared" si="1"/>
        <v>3</v>
      </c>
      <c r="J850" s="9">
        <f t="shared" si="2"/>
        <v>5</v>
      </c>
      <c r="K850" s="9">
        <f t="shared" si="3"/>
        <v>2023</v>
      </c>
      <c r="M850" s="25">
        <f>IFERROR(__xludf.DUMMYFUNCTION("""COMPUTED_VALUE"""),45049.0)</f>
        <v>45049</v>
      </c>
    </row>
    <row r="851">
      <c r="A851" s="10" t="s">
        <v>613</v>
      </c>
      <c r="B851" s="3" t="s">
        <v>813</v>
      </c>
      <c r="C851" s="10" t="s">
        <v>867</v>
      </c>
      <c r="D851" s="3" t="s">
        <v>868</v>
      </c>
      <c r="E851" s="4" t="s">
        <v>8</v>
      </c>
      <c r="F851" s="5" t="s">
        <v>6</v>
      </c>
      <c r="G851" s="6" t="s">
        <v>879</v>
      </c>
      <c r="H851" s="7">
        <v>45081.0</v>
      </c>
      <c r="I851" s="8">
        <f t="shared" si="1"/>
        <v>4</v>
      </c>
      <c r="J851" s="9">
        <f t="shared" si="2"/>
        <v>6</v>
      </c>
      <c r="K851" s="9">
        <f t="shared" si="3"/>
        <v>2023</v>
      </c>
      <c r="M851" s="25">
        <f>IFERROR(__xludf.DUMMYFUNCTION("""COMPUTED_VALUE"""),45081.0)</f>
        <v>45081</v>
      </c>
    </row>
    <row r="852">
      <c r="A852" s="10" t="s">
        <v>613</v>
      </c>
      <c r="B852" s="3" t="s">
        <v>813</v>
      </c>
      <c r="C852" s="10" t="s">
        <v>867</v>
      </c>
      <c r="D852" s="3" t="s">
        <v>868</v>
      </c>
      <c r="E852" s="4" t="s">
        <v>3</v>
      </c>
      <c r="F852" s="5" t="s">
        <v>35</v>
      </c>
      <c r="G852" s="6" t="s">
        <v>880</v>
      </c>
      <c r="H852" s="7">
        <v>45114.0</v>
      </c>
      <c r="I852" s="8">
        <f t="shared" si="1"/>
        <v>7</v>
      </c>
      <c r="J852" s="9">
        <f t="shared" si="2"/>
        <v>7</v>
      </c>
      <c r="K852" s="9">
        <f t="shared" si="3"/>
        <v>2023</v>
      </c>
      <c r="M852" s="25">
        <f>IFERROR(__xludf.DUMMYFUNCTION("""COMPUTED_VALUE"""),45114.0)</f>
        <v>45114</v>
      </c>
    </row>
    <row r="853">
      <c r="A853" s="10" t="s">
        <v>613</v>
      </c>
      <c r="B853" s="3" t="s">
        <v>813</v>
      </c>
      <c r="C853" s="10" t="s">
        <v>867</v>
      </c>
      <c r="D853" s="3" t="s">
        <v>868</v>
      </c>
      <c r="E853" s="4" t="s">
        <v>3</v>
      </c>
      <c r="F853" s="5" t="s">
        <v>28</v>
      </c>
      <c r="G853" s="6" t="s">
        <v>881</v>
      </c>
      <c r="H853" s="7">
        <v>45123.0</v>
      </c>
      <c r="I853" s="8">
        <f t="shared" si="1"/>
        <v>16</v>
      </c>
      <c r="J853" s="9">
        <f t="shared" si="2"/>
        <v>7</v>
      </c>
      <c r="K853" s="9">
        <f t="shared" si="3"/>
        <v>2023</v>
      </c>
      <c r="M853" s="25">
        <f>IFERROR(__xludf.DUMMYFUNCTION("""COMPUTED_VALUE"""),45123.0)</f>
        <v>45123</v>
      </c>
    </row>
    <row r="854">
      <c r="A854" s="10" t="s">
        <v>613</v>
      </c>
      <c r="B854" s="3" t="s">
        <v>813</v>
      </c>
      <c r="C854" s="10" t="s">
        <v>867</v>
      </c>
      <c r="D854" s="3" t="s">
        <v>868</v>
      </c>
      <c r="E854" s="4" t="s">
        <v>8</v>
      </c>
      <c r="F854" s="5" t="s">
        <v>42</v>
      </c>
      <c r="G854" s="6" t="s">
        <v>428</v>
      </c>
      <c r="H854" s="7">
        <v>45182.0</v>
      </c>
      <c r="I854" s="8">
        <f t="shared" si="1"/>
        <v>13</v>
      </c>
      <c r="J854" s="9">
        <f t="shared" si="2"/>
        <v>9</v>
      </c>
      <c r="K854" s="9">
        <f t="shared" si="3"/>
        <v>2023</v>
      </c>
      <c r="M854" s="25">
        <f>IFERROR(__xludf.DUMMYFUNCTION("""COMPUTED_VALUE"""),45182.0)</f>
        <v>45182</v>
      </c>
    </row>
    <row r="855">
      <c r="A855" s="10" t="s">
        <v>613</v>
      </c>
      <c r="B855" s="3" t="s">
        <v>813</v>
      </c>
      <c r="C855" s="10" t="s">
        <v>867</v>
      </c>
      <c r="D855" s="3" t="s">
        <v>868</v>
      </c>
      <c r="E855" s="4" t="s">
        <v>8</v>
      </c>
      <c r="F855" s="5" t="s">
        <v>51</v>
      </c>
      <c r="G855" s="6" t="s">
        <v>882</v>
      </c>
      <c r="H855" s="7">
        <v>45188.0</v>
      </c>
      <c r="I855" s="8">
        <f t="shared" si="1"/>
        <v>19</v>
      </c>
      <c r="J855" s="9">
        <f t="shared" si="2"/>
        <v>9</v>
      </c>
      <c r="K855" s="9">
        <f t="shared" si="3"/>
        <v>2023</v>
      </c>
      <c r="M855" s="25">
        <f>IFERROR(__xludf.DUMMYFUNCTION("""COMPUTED_VALUE"""),45188.0)</f>
        <v>45188</v>
      </c>
    </row>
    <row r="856">
      <c r="A856" s="10" t="s">
        <v>613</v>
      </c>
      <c r="B856" s="3" t="s">
        <v>813</v>
      </c>
      <c r="C856" s="10" t="s">
        <v>867</v>
      </c>
      <c r="D856" s="3" t="s">
        <v>868</v>
      </c>
      <c r="E856" s="4" t="s">
        <v>3</v>
      </c>
      <c r="F856" s="5" t="s">
        <v>76</v>
      </c>
      <c r="G856" s="6" t="s">
        <v>883</v>
      </c>
      <c r="H856" s="7">
        <v>45224.0</v>
      </c>
      <c r="I856" s="8">
        <f t="shared" si="1"/>
        <v>25</v>
      </c>
      <c r="J856" s="9">
        <f t="shared" si="2"/>
        <v>10</v>
      </c>
      <c r="K856" s="9">
        <f t="shared" si="3"/>
        <v>2023</v>
      </c>
      <c r="M856" s="25">
        <f>IFERROR(__xludf.DUMMYFUNCTION("""COMPUTED_VALUE"""),45224.0)</f>
        <v>45224</v>
      </c>
    </row>
    <row r="857">
      <c r="A857" s="10" t="s">
        <v>613</v>
      </c>
      <c r="B857" s="3" t="s">
        <v>813</v>
      </c>
      <c r="C857" s="10" t="s">
        <v>867</v>
      </c>
      <c r="D857" s="3" t="s">
        <v>868</v>
      </c>
      <c r="E857" s="4" t="s">
        <v>8</v>
      </c>
      <c r="F857" s="5" t="s">
        <v>51</v>
      </c>
      <c r="G857" s="6" t="s">
        <v>205</v>
      </c>
      <c r="H857" s="7">
        <v>45272.0</v>
      </c>
      <c r="I857" s="8">
        <f t="shared" si="1"/>
        <v>12</v>
      </c>
      <c r="J857" s="9">
        <f t="shared" si="2"/>
        <v>12</v>
      </c>
      <c r="K857" s="9">
        <f t="shared" si="3"/>
        <v>2023</v>
      </c>
      <c r="M857" s="25">
        <f>IFERROR(__xludf.DUMMYFUNCTION("""COMPUTED_VALUE"""),45272.0)</f>
        <v>45272</v>
      </c>
    </row>
    <row r="858">
      <c r="A858" s="10" t="s">
        <v>613</v>
      </c>
      <c r="B858" s="3" t="s">
        <v>813</v>
      </c>
      <c r="C858" s="10" t="s">
        <v>867</v>
      </c>
      <c r="D858" s="3" t="s">
        <v>868</v>
      </c>
      <c r="E858" s="4" t="s">
        <v>3</v>
      </c>
      <c r="F858" s="5" t="s">
        <v>21</v>
      </c>
      <c r="G858" s="6" t="s">
        <v>884</v>
      </c>
      <c r="H858" s="7">
        <v>45281.0</v>
      </c>
      <c r="I858" s="8">
        <f t="shared" si="1"/>
        <v>21</v>
      </c>
      <c r="J858" s="9">
        <f t="shared" si="2"/>
        <v>12</v>
      </c>
      <c r="K858" s="9">
        <f t="shared" si="3"/>
        <v>2023</v>
      </c>
      <c r="M858" s="25">
        <f>IFERROR(__xludf.DUMMYFUNCTION("""COMPUTED_VALUE"""),45281.0)</f>
        <v>45281</v>
      </c>
    </row>
    <row r="859">
      <c r="A859" s="10" t="s">
        <v>613</v>
      </c>
      <c r="B859" s="3" t="s">
        <v>813</v>
      </c>
      <c r="C859" s="10" t="s">
        <v>867</v>
      </c>
      <c r="D859" s="3" t="s">
        <v>868</v>
      </c>
      <c r="E859" s="4" t="s">
        <v>8</v>
      </c>
      <c r="F859" s="5" t="s">
        <v>71</v>
      </c>
      <c r="G859" s="6" t="s">
        <v>885</v>
      </c>
      <c r="H859" s="7">
        <v>45286.0</v>
      </c>
      <c r="I859" s="8">
        <f t="shared" si="1"/>
        <v>26</v>
      </c>
      <c r="J859" s="9">
        <f t="shared" si="2"/>
        <v>12</v>
      </c>
      <c r="K859" s="9">
        <f t="shared" si="3"/>
        <v>2023</v>
      </c>
      <c r="M859" s="25">
        <f>IFERROR(__xludf.DUMMYFUNCTION("""COMPUTED_VALUE"""),45286.0)</f>
        <v>45286</v>
      </c>
    </row>
    <row r="860">
      <c r="A860" s="10" t="s">
        <v>613</v>
      </c>
      <c r="B860" s="3" t="s">
        <v>813</v>
      </c>
      <c r="C860" s="10" t="s">
        <v>867</v>
      </c>
      <c r="D860" s="3" t="s">
        <v>868</v>
      </c>
      <c r="E860" s="4" t="s">
        <v>8</v>
      </c>
      <c r="F860" s="5" t="s">
        <v>39</v>
      </c>
      <c r="G860" s="6" t="s">
        <v>886</v>
      </c>
      <c r="H860" s="7">
        <v>45287.0</v>
      </c>
      <c r="I860" s="8">
        <f t="shared" si="1"/>
        <v>27</v>
      </c>
      <c r="J860" s="9">
        <f t="shared" si="2"/>
        <v>12</v>
      </c>
      <c r="K860" s="9">
        <f t="shared" si="3"/>
        <v>2023</v>
      </c>
      <c r="M860" s="25">
        <f>IFERROR(__xludf.DUMMYFUNCTION("""COMPUTED_VALUE"""),45287.0)</f>
        <v>45287</v>
      </c>
    </row>
    <row r="861">
      <c r="A861" s="10" t="s">
        <v>832</v>
      </c>
      <c r="B861" s="3" t="s">
        <v>833</v>
      </c>
      <c r="C861" s="10" t="s">
        <v>887</v>
      </c>
      <c r="D861" s="3" t="s">
        <v>888</v>
      </c>
      <c r="E861" s="4" t="s">
        <v>8</v>
      </c>
      <c r="F861" s="5" t="s">
        <v>76</v>
      </c>
      <c r="G861" s="6" t="s">
        <v>889</v>
      </c>
      <c r="H861" s="7">
        <v>44963.0</v>
      </c>
      <c r="I861" s="8">
        <f t="shared" si="1"/>
        <v>6</v>
      </c>
      <c r="J861" s="9">
        <f t="shared" si="2"/>
        <v>2</v>
      </c>
      <c r="K861" s="9">
        <f t="shared" si="3"/>
        <v>2023</v>
      </c>
      <c r="M861" s="25">
        <f>IFERROR(__xludf.DUMMYFUNCTION("""COMPUTED_VALUE"""),44963.0)</f>
        <v>44963</v>
      </c>
    </row>
    <row r="862">
      <c r="A862" s="10" t="s">
        <v>832</v>
      </c>
      <c r="B862" s="3" t="s">
        <v>833</v>
      </c>
      <c r="C862" s="10" t="s">
        <v>887</v>
      </c>
      <c r="D862" s="3" t="s">
        <v>888</v>
      </c>
      <c r="E862" s="4" t="s">
        <v>8</v>
      </c>
      <c r="F862" s="5" t="s">
        <v>71</v>
      </c>
      <c r="G862" s="6" t="s">
        <v>890</v>
      </c>
      <c r="H862" s="7">
        <v>44977.0</v>
      </c>
      <c r="I862" s="8">
        <f t="shared" si="1"/>
        <v>20</v>
      </c>
      <c r="J862" s="9">
        <f t="shared" si="2"/>
        <v>2</v>
      </c>
      <c r="K862" s="9">
        <f t="shared" si="3"/>
        <v>2023</v>
      </c>
      <c r="M862" s="25">
        <f>IFERROR(__xludf.DUMMYFUNCTION("""COMPUTED_VALUE"""),44977.0)</f>
        <v>44977</v>
      </c>
    </row>
    <row r="863">
      <c r="A863" s="10" t="s">
        <v>832</v>
      </c>
      <c r="B863" s="3" t="s">
        <v>833</v>
      </c>
      <c r="C863" s="10" t="s">
        <v>887</v>
      </c>
      <c r="D863" s="3" t="s">
        <v>888</v>
      </c>
      <c r="E863" s="4" t="s">
        <v>3</v>
      </c>
      <c r="F863" s="5" t="s">
        <v>35</v>
      </c>
      <c r="G863" s="6" t="s">
        <v>891</v>
      </c>
      <c r="H863" s="7">
        <v>44986.0</v>
      </c>
      <c r="I863" s="8">
        <f t="shared" si="1"/>
        <v>1</v>
      </c>
      <c r="J863" s="9">
        <f t="shared" si="2"/>
        <v>3</v>
      </c>
      <c r="K863" s="9">
        <f t="shared" si="3"/>
        <v>2023</v>
      </c>
      <c r="M863" s="25">
        <f>IFERROR(__xludf.DUMMYFUNCTION("""COMPUTED_VALUE"""),44986.0)</f>
        <v>44986</v>
      </c>
    </row>
    <row r="864">
      <c r="A864" s="10" t="s">
        <v>832</v>
      </c>
      <c r="B864" s="3" t="s">
        <v>833</v>
      </c>
      <c r="C864" s="10" t="s">
        <v>887</v>
      </c>
      <c r="D864" s="3" t="s">
        <v>888</v>
      </c>
      <c r="E864" s="4" t="s">
        <v>3</v>
      </c>
      <c r="F864" s="5" t="s">
        <v>96</v>
      </c>
      <c r="G864" s="6" t="s">
        <v>892</v>
      </c>
      <c r="H864" s="7">
        <v>45007.0</v>
      </c>
      <c r="I864" s="8">
        <f t="shared" si="1"/>
        <v>22</v>
      </c>
      <c r="J864" s="9">
        <f t="shared" si="2"/>
        <v>3</v>
      </c>
      <c r="K864" s="9">
        <f t="shared" si="3"/>
        <v>2023</v>
      </c>
      <c r="M864" s="25">
        <f>IFERROR(__xludf.DUMMYFUNCTION("""COMPUTED_VALUE"""),45007.0)</f>
        <v>45007</v>
      </c>
    </row>
    <row r="865">
      <c r="A865" s="10" t="s">
        <v>832</v>
      </c>
      <c r="B865" s="3" t="s">
        <v>833</v>
      </c>
      <c r="C865" s="10" t="s">
        <v>887</v>
      </c>
      <c r="D865" s="3" t="s">
        <v>888</v>
      </c>
      <c r="E865" s="4" t="s">
        <v>3</v>
      </c>
      <c r="F865" s="5" t="s">
        <v>35</v>
      </c>
      <c r="G865" s="6" t="s">
        <v>893</v>
      </c>
      <c r="H865" s="7">
        <v>45029.0</v>
      </c>
      <c r="I865" s="8">
        <f t="shared" si="1"/>
        <v>13</v>
      </c>
      <c r="J865" s="9">
        <f t="shared" si="2"/>
        <v>4</v>
      </c>
      <c r="K865" s="9">
        <f t="shared" si="3"/>
        <v>2023</v>
      </c>
      <c r="M865" s="25">
        <f>IFERROR(__xludf.DUMMYFUNCTION("""COMPUTED_VALUE"""),45029.0)</f>
        <v>45029</v>
      </c>
    </row>
    <row r="866">
      <c r="A866" s="10" t="s">
        <v>832</v>
      </c>
      <c r="B866" s="3" t="s">
        <v>833</v>
      </c>
      <c r="C866" s="10" t="s">
        <v>887</v>
      </c>
      <c r="D866" s="3" t="s">
        <v>888</v>
      </c>
      <c r="E866" s="4" t="s">
        <v>8</v>
      </c>
      <c r="F866" s="5" t="s">
        <v>51</v>
      </c>
      <c r="G866" s="6" t="s">
        <v>894</v>
      </c>
      <c r="H866" s="7">
        <v>45039.0</v>
      </c>
      <c r="I866" s="8">
        <f t="shared" si="1"/>
        <v>23</v>
      </c>
      <c r="J866" s="9">
        <f t="shared" si="2"/>
        <v>4</v>
      </c>
      <c r="K866" s="9">
        <f t="shared" si="3"/>
        <v>2023</v>
      </c>
      <c r="M866" s="25">
        <f>IFERROR(__xludf.DUMMYFUNCTION("""COMPUTED_VALUE"""),45039.0)</f>
        <v>45039</v>
      </c>
    </row>
    <row r="867">
      <c r="A867" s="10" t="s">
        <v>832</v>
      </c>
      <c r="B867" s="3" t="s">
        <v>833</v>
      </c>
      <c r="C867" s="10" t="s">
        <v>887</v>
      </c>
      <c r="D867" s="3" t="s">
        <v>888</v>
      </c>
      <c r="E867" s="4" t="s">
        <v>3</v>
      </c>
      <c r="F867" s="5" t="s">
        <v>6</v>
      </c>
      <c r="G867" s="6" t="s">
        <v>895</v>
      </c>
      <c r="H867" s="7">
        <v>45047.0</v>
      </c>
      <c r="I867" s="8">
        <f t="shared" si="1"/>
        <v>1</v>
      </c>
      <c r="J867" s="9">
        <f t="shared" si="2"/>
        <v>5</v>
      </c>
      <c r="K867" s="9">
        <f t="shared" si="3"/>
        <v>2023</v>
      </c>
      <c r="M867" s="25">
        <f>IFERROR(__xludf.DUMMYFUNCTION("""COMPUTED_VALUE"""),45047.0)</f>
        <v>45047</v>
      </c>
    </row>
    <row r="868">
      <c r="A868" s="10" t="s">
        <v>832</v>
      </c>
      <c r="B868" s="3" t="s">
        <v>833</v>
      </c>
      <c r="C868" s="10" t="s">
        <v>887</v>
      </c>
      <c r="D868" s="3" t="s">
        <v>888</v>
      </c>
      <c r="E868" s="4" t="s">
        <v>8</v>
      </c>
      <c r="F868" s="5" t="s">
        <v>35</v>
      </c>
      <c r="G868" s="6" t="s">
        <v>896</v>
      </c>
      <c r="H868" s="7">
        <v>45057.0</v>
      </c>
      <c r="I868" s="8">
        <f t="shared" si="1"/>
        <v>11</v>
      </c>
      <c r="J868" s="9">
        <f t="shared" si="2"/>
        <v>5</v>
      </c>
      <c r="K868" s="9">
        <f t="shared" si="3"/>
        <v>2023</v>
      </c>
      <c r="M868" s="25">
        <f>IFERROR(__xludf.DUMMYFUNCTION("""COMPUTED_VALUE"""),45057.0)</f>
        <v>45057</v>
      </c>
    </row>
    <row r="869">
      <c r="A869" s="10" t="s">
        <v>832</v>
      </c>
      <c r="B869" s="3" t="s">
        <v>833</v>
      </c>
      <c r="C869" s="10" t="s">
        <v>887</v>
      </c>
      <c r="D869" s="3" t="s">
        <v>888</v>
      </c>
      <c r="E869" s="4" t="s">
        <v>3</v>
      </c>
      <c r="F869" s="5" t="s">
        <v>9</v>
      </c>
      <c r="G869" s="6" t="s">
        <v>609</v>
      </c>
      <c r="H869" s="7">
        <v>45060.0</v>
      </c>
      <c r="I869" s="8">
        <f t="shared" si="1"/>
        <v>14</v>
      </c>
      <c r="J869" s="9">
        <f t="shared" si="2"/>
        <v>5</v>
      </c>
      <c r="K869" s="9">
        <f t="shared" si="3"/>
        <v>2023</v>
      </c>
      <c r="M869" s="25">
        <f>IFERROR(__xludf.DUMMYFUNCTION("""COMPUTED_VALUE"""),45060.0)</f>
        <v>45060</v>
      </c>
    </row>
    <row r="870">
      <c r="A870" s="10" t="s">
        <v>832</v>
      </c>
      <c r="B870" s="3" t="s">
        <v>833</v>
      </c>
      <c r="C870" s="10" t="s">
        <v>887</v>
      </c>
      <c r="D870" s="3" t="s">
        <v>888</v>
      </c>
      <c r="E870" s="4" t="s">
        <v>3</v>
      </c>
      <c r="F870" s="5" t="s">
        <v>17</v>
      </c>
      <c r="G870" s="6" t="s">
        <v>897</v>
      </c>
      <c r="H870" s="7">
        <v>45062.0</v>
      </c>
      <c r="I870" s="8">
        <f t="shared" si="1"/>
        <v>16</v>
      </c>
      <c r="J870" s="9">
        <f t="shared" si="2"/>
        <v>5</v>
      </c>
      <c r="K870" s="9">
        <f t="shared" si="3"/>
        <v>2023</v>
      </c>
      <c r="M870" s="25">
        <f>IFERROR(__xludf.DUMMYFUNCTION("""COMPUTED_VALUE"""),45062.0)</f>
        <v>45062</v>
      </c>
    </row>
    <row r="871">
      <c r="A871" s="10" t="s">
        <v>832</v>
      </c>
      <c r="B871" s="3" t="s">
        <v>833</v>
      </c>
      <c r="C871" s="10" t="s">
        <v>887</v>
      </c>
      <c r="D871" s="3" t="s">
        <v>888</v>
      </c>
      <c r="E871" s="4" t="s">
        <v>3</v>
      </c>
      <c r="F871" s="5" t="s">
        <v>51</v>
      </c>
      <c r="G871" s="6" t="s">
        <v>898</v>
      </c>
      <c r="H871" s="7">
        <v>45104.0</v>
      </c>
      <c r="I871" s="8">
        <f t="shared" si="1"/>
        <v>27</v>
      </c>
      <c r="J871" s="9">
        <f t="shared" si="2"/>
        <v>6</v>
      </c>
      <c r="K871" s="9">
        <f t="shared" si="3"/>
        <v>2023</v>
      </c>
      <c r="M871" s="25">
        <f>IFERROR(__xludf.DUMMYFUNCTION("""COMPUTED_VALUE"""),45104.0)</f>
        <v>45104</v>
      </c>
    </row>
    <row r="872">
      <c r="A872" s="10" t="s">
        <v>832</v>
      </c>
      <c r="B872" s="3" t="s">
        <v>833</v>
      </c>
      <c r="C872" s="10" t="s">
        <v>887</v>
      </c>
      <c r="D872" s="3" t="s">
        <v>888</v>
      </c>
      <c r="E872" s="4" t="s">
        <v>3</v>
      </c>
      <c r="F872" s="5" t="s">
        <v>45</v>
      </c>
      <c r="G872" s="6" t="s">
        <v>899</v>
      </c>
      <c r="H872" s="7">
        <v>45130.0</v>
      </c>
      <c r="I872" s="8">
        <f t="shared" si="1"/>
        <v>23</v>
      </c>
      <c r="J872" s="9">
        <f t="shared" si="2"/>
        <v>7</v>
      </c>
      <c r="K872" s="9">
        <f t="shared" si="3"/>
        <v>2023</v>
      </c>
      <c r="M872" s="25">
        <f>IFERROR(__xludf.DUMMYFUNCTION("""COMPUTED_VALUE"""),45130.0)</f>
        <v>45130</v>
      </c>
    </row>
    <row r="873">
      <c r="A873" s="10" t="s">
        <v>832</v>
      </c>
      <c r="B873" s="3" t="s">
        <v>833</v>
      </c>
      <c r="C873" s="10" t="s">
        <v>887</v>
      </c>
      <c r="D873" s="3" t="s">
        <v>888</v>
      </c>
      <c r="E873" s="4" t="s">
        <v>8</v>
      </c>
      <c r="F873" s="5" t="s">
        <v>13</v>
      </c>
      <c r="G873" s="6" t="s">
        <v>900</v>
      </c>
      <c r="H873" s="7">
        <v>45165.0</v>
      </c>
      <c r="I873" s="8">
        <f t="shared" si="1"/>
        <v>27</v>
      </c>
      <c r="J873" s="9">
        <f t="shared" si="2"/>
        <v>8</v>
      </c>
      <c r="K873" s="9">
        <f t="shared" si="3"/>
        <v>2023</v>
      </c>
      <c r="M873" s="25">
        <f>IFERROR(__xludf.DUMMYFUNCTION("""COMPUTED_VALUE"""),45165.0)</f>
        <v>45165</v>
      </c>
    </row>
    <row r="874">
      <c r="A874" s="10" t="s">
        <v>832</v>
      </c>
      <c r="B874" s="3" t="s">
        <v>833</v>
      </c>
      <c r="C874" s="10" t="s">
        <v>887</v>
      </c>
      <c r="D874" s="3" t="s">
        <v>888</v>
      </c>
      <c r="E874" s="4" t="s">
        <v>8</v>
      </c>
      <c r="F874" s="5" t="s">
        <v>35</v>
      </c>
      <c r="G874" s="6" t="s">
        <v>901</v>
      </c>
      <c r="H874" s="7">
        <v>45174.0</v>
      </c>
      <c r="I874" s="8">
        <f t="shared" si="1"/>
        <v>5</v>
      </c>
      <c r="J874" s="9">
        <f t="shared" si="2"/>
        <v>9</v>
      </c>
      <c r="K874" s="9">
        <f t="shared" si="3"/>
        <v>2023</v>
      </c>
      <c r="M874" s="25">
        <f>IFERROR(__xludf.DUMMYFUNCTION("""COMPUTED_VALUE"""),45174.0)</f>
        <v>45174</v>
      </c>
    </row>
    <row r="875">
      <c r="A875" s="10" t="s">
        <v>832</v>
      </c>
      <c r="B875" s="3" t="s">
        <v>833</v>
      </c>
      <c r="C875" s="10" t="s">
        <v>887</v>
      </c>
      <c r="D875" s="3" t="s">
        <v>888</v>
      </c>
      <c r="E875" s="4" t="s">
        <v>8</v>
      </c>
      <c r="F875" s="5" t="s">
        <v>17</v>
      </c>
      <c r="G875" s="6" t="s">
        <v>902</v>
      </c>
      <c r="H875" s="7">
        <v>45176.0</v>
      </c>
      <c r="I875" s="8">
        <f t="shared" si="1"/>
        <v>7</v>
      </c>
      <c r="J875" s="9">
        <f t="shared" si="2"/>
        <v>9</v>
      </c>
      <c r="K875" s="9">
        <f t="shared" si="3"/>
        <v>2023</v>
      </c>
      <c r="M875" s="25">
        <f>IFERROR(__xludf.DUMMYFUNCTION("""COMPUTED_VALUE"""),45176.0)</f>
        <v>45176</v>
      </c>
    </row>
    <row r="876">
      <c r="A876" s="10" t="s">
        <v>832</v>
      </c>
      <c r="B876" s="3" t="s">
        <v>833</v>
      </c>
      <c r="C876" s="10" t="s">
        <v>887</v>
      </c>
      <c r="D876" s="3" t="s">
        <v>888</v>
      </c>
      <c r="E876" s="4" t="s">
        <v>3</v>
      </c>
      <c r="F876" s="5" t="s">
        <v>21</v>
      </c>
      <c r="G876" s="6" t="s">
        <v>903</v>
      </c>
      <c r="H876" s="7">
        <v>45185.0</v>
      </c>
      <c r="I876" s="8">
        <f t="shared" si="1"/>
        <v>16</v>
      </c>
      <c r="J876" s="9">
        <f t="shared" si="2"/>
        <v>9</v>
      </c>
      <c r="K876" s="9">
        <f t="shared" si="3"/>
        <v>2023</v>
      </c>
      <c r="M876" s="25">
        <f>IFERROR(__xludf.DUMMYFUNCTION("""COMPUTED_VALUE"""),45185.0)</f>
        <v>45185</v>
      </c>
    </row>
    <row r="877">
      <c r="A877" s="10" t="s">
        <v>832</v>
      </c>
      <c r="B877" s="3" t="s">
        <v>833</v>
      </c>
      <c r="C877" s="10" t="s">
        <v>887</v>
      </c>
      <c r="D877" s="3" t="s">
        <v>888</v>
      </c>
      <c r="E877" s="4" t="s">
        <v>3</v>
      </c>
      <c r="F877" s="5" t="s">
        <v>51</v>
      </c>
      <c r="G877" s="6" t="s">
        <v>904</v>
      </c>
      <c r="H877" s="7">
        <v>45232.0</v>
      </c>
      <c r="I877" s="8">
        <f t="shared" si="1"/>
        <v>2</v>
      </c>
      <c r="J877" s="9">
        <f t="shared" si="2"/>
        <v>11</v>
      </c>
      <c r="K877" s="9">
        <f t="shared" si="3"/>
        <v>2023</v>
      </c>
      <c r="M877" s="25">
        <f>IFERROR(__xludf.DUMMYFUNCTION("""COMPUTED_VALUE"""),45232.0)</f>
        <v>45232</v>
      </c>
    </row>
    <row r="878">
      <c r="A878" s="10" t="s">
        <v>832</v>
      </c>
      <c r="B878" s="3" t="s">
        <v>833</v>
      </c>
      <c r="C878" s="10" t="s">
        <v>887</v>
      </c>
      <c r="D878" s="3" t="s">
        <v>888</v>
      </c>
      <c r="E878" s="4" t="s">
        <v>3</v>
      </c>
      <c r="F878" s="5" t="s">
        <v>19</v>
      </c>
      <c r="G878" s="6" t="s">
        <v>905</v>
      </c>
      <c r="H878" s="7">
        <v>45251.0</v>
      </c>
      <c r="I878" s="8">
        <f t="shared" si="1"/>
        <v>21</v>
      </c>
      <c r="J878" s="9">
        <f t="shared" si="2"/>
        <v>11</v>
      </c>
      <c r="K878" s="9">
        <f t="shared" si="3"/>
        <v>2023</v>
      </c>
      <c r="M878" s="25">
        <f>IFERROR(__xludf.DUMMYFUNCTION("""COMPUTED_VALUE"""),45251.0)</f>
        <v>45251</v>
      </c>
    </row>
    <row r="879">
      <c r="A879" s="10" t="s">
        <v>832</v>
      </c>
      <c r="B879" s="3" t="s">
        <v>833</v>
      </c>
      <c r="C879" s="10" t="s">
        <v>887</v>
      </c>
      <c r="D879" s="3" t="s">
        <v>888</v>
      </c>
      <c r="E879" s="4" t="s">
        <v>8</v>
      </c>
      <c r="F879" s="5" t="s">
        <v>17</v>
      </c>
      <c r="G879" s="6" t="s">
        <v>906</v>
      </c>
      <c r="H879" s="7">
        <v>45254.0</v>
      </c>
      <c r="I879" s="8">
        <f t="shared" si="1"/>
        <v>24</v>
      </c>
      <c r="J879" s="9">
        <f t="shared" si="2"/>
        <v>11</v>
      </c>
      <c r="K879" s="9">
        <f t="shared" si="3"/>
        <v>2023</v>
      </c>
      <c r="M879" s="25">
        <f>IFERROR(__xludf.DUMMYFUNCTION("""COMPUTED_VALUE"""),45254.0)</f>
        <v>45254</v>
      </c>
    </row>
    <row r="880">
      <c r="A880" s="10" t="s">
        <v>832</v>
      </c>
      <c r="B880" s="3" t="s">
        <v>833</v>
      </c>
      <c r="C880" s="10" t="s">
        <v>887</v>
      </c>
      <c r="D880" s="3" t="s">
        <v>888</v>
      </c>
      <c r="E880" s="4" t="s">
        <v>8</v>
      </c>
      <c r="F880" s="5" t="s">
        <v>76</v>
      </c>
      <c r="G880" s="6" t="s">
        <v>907</v>
      </c>
      <c r="H880" s="7">
        <v>45285.0</v>
      </c>
      <c r="I880" s="8">
        <f t="shared" si="1"/>
        <v>25</v>
      </c>
      <c r="J880" s="9">
        <f t="shared" si="2"/>
        <v>12</v>
      </c>
      <c r="K880" s="9">
        <f t="shared" si="3"/>
        <v>2023</v>
      </c>
      <c r="M880" s="25">
        <f>IFERROR(__xludf.DUMMYFUNCTION("""COMPUTED_VALUE"""),45285.0)</f>
        <v>45285</v>
      </c>
    </row>
    <row r="881">
      <c r="A881" s="10" t="s">
        <v>741</v>
      </c>
      <c r="B881" s="3" t="s">
        <v>850</v>
      </c>
      <c r="C881" s="10" t="s">
        <v>908</v>
      </c>
      <c r="D881" s="3" t="s">
        <v>909</v>
      </c>
      <c r="E881" s="4" t="s">
        <v>3</v>
      </c>
      <c r="F881" s="5" t="s">
        <v>19</v>
      </c>
      <c r="G881" s="6" t="s">
        <v>369</v>
      </c>
      <c r="H881" s="7">
        <v>44968.0</v>
      </c>
      <c r="I881" s="8">
        <f t="shared" si="1"/>
        <v>11</v>
      </c>
      <c r="J881" s="9">
        <f t="shared" si="2"/>
        <v>2</v>
      </c>
      <c r="K881" s="9">
        <f t="shared" si="3"/>
        <v>2023</v>
      </c>
      <c r="M881" s="25">
        <f>IFERROR(__xludf.DUMMYFUNCTION("""COMPUTED_VALUE"""),44968.0)</f>
        <v>44968</v>
      </c>
    </row>
    <row r="882">
      <c r="A882" s="10" t="s">
        <v>741</v>
      </c>
      <c r="B882" s="3" t="s">
        <v>850</v>
      </c>
      <c r="C882" s="10" t="s">
        <v>908</v>
      </c>
      <c r="D882" s="3" t="s">
        <v>909</v>
      </c>
      <c r="E882" s="4" t="s">
        <v>3</v>
      </c>
      <c r="F882" s="5" t="s">
        <v>76</v>
      </c>
      <c r="G882" s="6" t="s">
        <v>910</v>
      </c>
      <c r="H882" s="7">
        <v>44976.0</v>
      </c>
      <c r="I882" s="8">
        <f t="shared" si="1"/>
        <v>19</v>
      </c>
      <c r="J882" s="9">
        <f t="shared" si="2"/>
        <v>2</v>
      </c>
      <c r="K882" s="9">
        <f t="shared" si="3"/>
        <v>2023</v>
      </c>
      <c r="M882" s="25">
        <f>IFERROR(__xludf.DUMMYFUNCTION("""COMPUTED_VALUE"""),44976.0)</f>
        <v>44976</v>
      </c>
    </row>
    <row r="883">
      <c r="A883" s="10" t="s">
        <v>741</v>
      </c>
      <c r="B883" s="3" t="s">
        <v>850</v>
      </c>
      <c r="C883" s="10" t="s">
        <v>908</v>
      </c>
      <c r="D883" s="3" t="s">
        <v>909</v>
      </c>
      <c r="E883" s="4" t="s">
        <v>8</v>
      </c>
      <c r="F883" s="5" t="s">
        <v>13</v>
      </c>
      <c r="G883" s="6" t="s">
        <v>911</v>
      </c>
      <c r="H883" s="7">
        <v>44980.0</v>
      </c>
      <c r="I883" s="8">
        <f t="shared" si="1"/>
        <v>23</v>
      </c>
      <c r="J883" s="9">
        <f t="shared" si="2"/>
        <v>2</v>
      </c>
      <c r="K883" s="9">
        <f t="shared" si="3"/>
        <v>2023</v>
      </c>
      <c r="M883" s="25">
        <f>IFERROR(__xludf.DUMMYFUNCTION("""COMPUTED_VALUE"""),44980.0)</f>
        <v>44980</v>
      </c>
    </row>
    <row r="884">
      <c r="A884" s="10" t="s">
        <v>741</v>
      </c>
      <c r="B884" s="3" t="s">
        <v>850</v>
      </c>
      <c r="C884" s="10" t="s">
        <v>908</v>
      </c>
      <c r="D884" s="3" t="s">
        <v>909</v>
      </c>
      <c r="E884" s="4" t="s">
        <v>3</v>
      </c>
      <c r="F884" s="5" t="s">
        <v>11</v>
      </c>
      <c r="G884" s="6" t="s">
        <v>912</v>
      </c>
      <c r="H884" s="7">
        <v>45005.0</v>
      </c>
      <c r="I884" s="8">
        <f t="shared" si="1"/>
        <v>20</v>
      </c>
      <c r="J884" s="9">
        <f t="shared" si="2"/>
        <v>3</v>
      </c>
      <c r="K884" s="9">
        <f t="shared" si="3"/>
        <v>2023</v>
      </c>
      <c r="M884" s="25">
        <f>IFERROR(__xludf.DUMMYFUNCTION("""COMPUTED_VALUE"""),45005.0)</f>
        <v>45005</v>
      </c>
    </row>
    <row r="885">
      <c r="A885" s="10" t="s">
        <v>741</v>
      </c>
      <c r="B885" s="3" t="s">
        <v>850</v>
      </c>
      <c r="C885" s="10" t="s">
        <v>908</v>
      </c>
      <c r="D885" s="3" t="s">
        <v>909</v>
      </c>
      <c r="E885" s="4" t="s">
        <v>3</v>
      </c>
      <c r="F885" s="5" t="s">
        <v>120</v>
      </c>
      <c r="G885" s="6" t="s">
        <v>913</v>
      </c>
      <c r="H885" s="7">
        <v>45034.0</v>
      </c>
      <c r="I885" s="8">
        <f t="shared" si="1"/>
        <v>18</v>
      </c>
      <c r="J885" s="9">
        <f t="shared" si="2"/>
        <v>4</v>
      </c>
      <c r="K885" s="9">
        <f t="shared" si="3"/>
        <v>2023</v>
      </c>
      <c r="M885" s="25">
        <f>IFERROR(__xludf.DUMMYFUNCTION("""COMPUTED_VALUE"""),45034.0)</f>
        <v>45034</v>
      </c>
    </row>
    <row r="886">
      <c r="A886" s="10" t="s">
        <v>741</v>
      </c>
      <c r="B886" s="3" t="s">
        <v>850</v>
      </c>
      <c r="C886" s="10" t="s">
        <v>908</v>
      </c>
      <c r="D886" s="3" t="s">
        <v>909</v>
      </c>
      <c r="E886" s="4" t="s">
        <v>8</v>
      </c>
      <c r="F886" s="5" t="s">
        <v>39</v>
      </c>
      <c r="G886" s="6" t="s">
        <v>914</v>
      </c>
      <c r="H886" s="7">
        <v>45041.0</v>
      </c>
      <c r="I886" s="8">
        <f t="shared" si="1"/>
        <v>25</v>
      </c>
      <c r="J886" s="9">
        <f t="shared" si="2"/>
        <v>4</v>
      </c>
      <c r="K886" s="9">
        <f t="shared" si="3"/>
        <v>2023</v>
      </c>
      <c r="M886" s="25">
        <f>IFERROR(__xludf.DUMMYFUNCTION("""COMPUTED_VALUE"""),45041.0)</f>
        <v>45041</v>
      </c>
    </row>
    <row r="887">
      <c r="A887" s="10" t="s">
        <v>741</v>
      </c>
      <c r="B887" s="3" t="s">
        <v>850</v>
      </c>
      <c r="C887" s="10" t="s">
        <v>908</v>
      </c>
      <c r="D887" s="3" t="s">
        <v>909</v>
      </c>
      <c r="E887" s="4" t="s">
        <v>8</v>
      </c>
      <c r="F887" s="5" t="s">
        <v>15</v>
      </c>
      <c r="G887" s="6" t="s">
        <v>915</v>
      </c>
      <c r="H887" s="7">
        <v>45044.0</v>
      </c>
      <c r="I887" s="8">
        <f t="shared" si="1"/>
        <v>28</v>
      </c>
      <c r="J887" s="9">
        <f t="shared" si="2"/>
        <v>4</v>
      </c>
      <c r="K887" s="9">
        <f t="shared" si="3"/>
        <v>2023</v>
      </c>
      <c r="M887" s="25">
        <f>IFERROR(__xludf.DUMMYFUNCTION("""COMPUTED_VALUE"""),45044.0)</f>
        <v>45044</v>
      </c>
    </row>
    <row r="888">
      <c r="A888" s="10" t="s">
        <v>741</v>
      </c>
      <c r="B888" s="3" t="s">
        <v>850</v>
      </c>
      <c r="C888" s="10" t="s">
        <v>908</v>
      </c>
      <c r="D888" s="3" t="s">
        <v>909</v>
      </c>
      <c r="E888" s="4" t="s">
        <v>8</v>
      </c>
      <c r="F888" s="5" t="s">
        <v>19</v>
      </c>
      <c r="G888" s="6" t="s">
        <v>916</v>
      </c>
      <c r="H888" s="7">
        <v>45044.0</v>
      </c>
      <c r="I888" s="8">
        <f t="shared" si="1"/>
        <v>28</v>
      </c>
      <c r="J888" s="9">
        <f t="shared" si="2"/>
        <v>4</v>
      </c>
      <c r="K888" s="9">
        <f t="shared" si="3"/>
        <v>2023</v>
      </c>
      <c r="M888" s="25">
        <f>IFERROR(__xludf.DUMMYFUNCTION("""COMPUTED_VALUE"""),45044.0)</f>
        <v>45044</v>
      </c>
    </row>
    <row r="889">
      <c r="A889" s="10" t="s">
        <v>741</v>
      </c>
      <c r="B889" s="3" t="s">
        <v>850</v>
      </c>
      <c r="C889" s="10" t="s">
        <v>908</v>
      </c>
      <c r="D889" s="3" t="s">
        <v>909</v>
      </c>
      <c r="E889" s="4" t="s">
        <v>3</v>
      </c>
      <c r="F889" s="5" t="s">
        <v>19</v>
      </c>
      <c r="G889" s="6" t="s">
        <v>917</v>
      </c>
      <c r="H889" s="7">
        <v>45051.0</v>
      </c>
      <c r="I889" s="8">
        <f t="shared" si="1"/>
        <v>5</v>
      </c>
      <c r="J889" s="9">
        <f t="shared" si="2"/>
        <v>5</v>
      </c>
      <c r="K889" s="9">
        <f t="shared" si="3"/>
        <v>2023</v>
      </c>
      <c r="M889" s="25">
        <f>IFERROR(__xludf.DUMMYFUNCTION("""COMPUTED_VALUE"""),45051.0)</f>
        <v>45051</v>
      </c>
    </row>
    <row r="890">
      <c r="A890" s="10" t="s">
        <v>741</v>
      </c>
      <c r="B890" s="3" t="s">
        <v>850</v>
      </c>
      <c r="C890" s="10" t="s">
        <v>908</v>
      </c>
      <c r="D890" s="3" t="s">
        <v>909</v>
      </c>
      <c r="E890" s="4" t="s">
        <v>8</v>
      </c>
      <c r="F890" s="5" t="s">
        <v>23</v>
      </c>
      <c r="G890" s="6" t="s">
        <v>918</v>
      </c>
      <c r="H890" s="7">
        <v>45055.0</v>
      </c>
      <c r="I890" s="8">
        <f t="shared" si="1"/>
        <v>9</v>
      </c>
      <c r="J890" s="9">
        <f t="shared" si="2"/>
        <v>5</v>
      </c>
      <c r="K890" s="9">
        <f t="shared" si="3"/>
        <v>2023</v>
      </c>
      <c r="M890" s="25">
        <f>IFERROR(__xludf.DUMMYFUNCTION("""COMPUTED_VALUE"""),45055.0)</f>
        <v>45055</v>
      </c>
    </row>
    <row r="891">
      <c r="A891" s="10" t="s">
        <v>741</v>
      </c>
      <c r="B891" s="3" t="s">
        <v>850</v>
      </c>
      <c r="C891" s="10" t="s">
        <v>908</v>
      </c>
      <c r="D891" s="3" t="s">
        <v>909</v>
      </c>
      <c r="E891" s="4" t="s">
        <v>3</v>
      </c>
      <c r="F891" s="5" t="s">
        <v>19</v>
      </c>
      <c r="G891" s="6" t="s">
        <v>732</v>
      </c>
      <c r="H891" s="7">
        <v>45060.0</v>
      </c>
      <c r="I891" s="8">
        <f t="shared" si="1"/>
        <v>14</v>
      </c>
      <c r="J891" s="9">
        <f t="shared" si="2"/>
        <v>5</v>
      </c>
      <c r="K891" s="9">
        <f t="shared" si="3"/>
        <v>2023</v>
      </c>
      <c r="M891" s="25">
        <f>IFERROR(__xludf.DUMMYFUNCTION("""COMPUTED_VALUE"""),45060.0)</f>
        <v>45060</v>
      </c>
    </row>
    <row r="892">
      <c r="A892" s="10" t="s">
        <v>741</v>
      </c>
      <c r="B892" s="3" t="s">
        <v>850</v>
      </c>
      <c r="C892" s="10" t="s">
        <v>908</v>
      </c>
      <c r="D892" s="3" t="s">
        <v>909</v>
      </c>
      <c r="E892" s="4" t="s">
        <v>8</v>
      </c>
      <c r="F892" s="5" t="s">
        <v>15</v>
      </c>
      <c r="G892" s="6" t="s">
        <v>919</v>
      </c>
      <c r="H892" s="7">
        <v>45080.0</v>
      </c>
      <c r="I892" s="8">
        <f t="shared" si="1"/>
        <v>3</v>
      </c>
      <c r="J892" s="9">
        <f t="shared" si="2"/>
        <v>6</v>
      </c>
      <c r="K892" s="9">
        <f t="shared" si="3"/>
        <v>2023</v>
      </c>
      <c r="M892" s="25">
        <f>IFERROR(__xludf.DUMMYFUNCTION("""COMPUTED_VALUE"""),45080.0)</f>
        <v>45080</v>
      </c>
    </row>
    <row r="893">
      <c r="A893" s="10" t="s">
        <v>741</v>
      </c>
      <c r="B893" s="3" t="s">
        <v>850</v>
      </c>
      <c r="C893" s="10" t="s">
        <v>908</v>
      </c>
      <c r="D893" s="3" t="s">
        <v>909</v>
      </c>
      <c r="E893" s="4" t="s">
        <v>3</v>
      </c>
      <c r="F893" s="5" t="s">
        <v>28</v>
      </c>
      <c r="G893" s="6" t="s">
        <v>920</v>
      </c>
      <c r="H893" s="7">
        <v>45098.0</v>
      </c>
      <c r="I893" s="8">
        <f t="shared" si="1"/>
        <v>21</v>
      </c>
      <c r="J893" s="9">
        <f t="shared" si="2"/>
        <v>6</v>
      </c>
      <c r="K893" s="9">
        <f t="shared" si="3"/>
        <v>2023</v>
      </c>
      <c r="M893" s="25">
        <f>IFERROR(__xludf.DUMMYFUNCTION("""COMPUTED_VALUE"""),45098.0)</f>
        <v>45098</v>
      </c>
    </row>
    <row r="894">
      <c r="A894" s="10" t="s">
        <v>741</v>
      </c>
      <c r="B894" s="3" t="s">
        <v>850</v>
      </c>
      <c r="C894" s="10" t="s">
        <v>908</v>
      </c>
      <c r="D894" s="3" t="s">
        <v>909</v>
      </c>
      <c r="E894" s="4" t="s">
        <v>8</v>
      </c>
      <c r="F894" s="5" t="s">
        <v>4</v>
      </c>
      <c r="G894" s="6" t="s">
        <v>921</v>
      </c>
      <c r="H894" s="7">
        <v>45111.0</v>
      </c>
      <c r="I894" s="8">
        <f t="shared" si="1"/>
        <v>4</v>
      </c>
      <c r="J894" s="9">
        <f t="shared" si="2"/>
        <v>7</v>
      </c>
      <c r="K894" s="9">
        <f t="shared" si="3"/>
        <v>2023</v>
      </c>
      <c r="M894" s="25">
        <f>IFERROR(__xludf.DUMMYFUNCTION("""COMPUTED_VALUE"""),45111.0)</f>
        <v>45111</v>
      </c>
    </row>
    <row r="895">
      <c r="A895" s="10" t="s">
        <v>741</v>
      </c>
      <c r="B895" s="3" t="s">
        <v>850</v>
      </c>
      <c r="C895" s="10" t="s">
        <v>908</v>
      </c>
      <c r="D895" s="3" t="s">
        <v>909</v>
      </c>
      <c r="E895" s="4" t="s">
        <v>3</v>
      </c>
      <c r="F895" s="5" t="s">
        <v>4</v>
      </c>
      <c r="G895" s="6" t="s">
        <v>922</v>
      </c>
      <c r="H895" s="7">
        <v>45124.0</v>
      </c>
      <c r="I895" s="8">
        <f t="shared" si="1"/>
        <v>17</v>
      </c>
      <c r="J895" s="9">
        <f t="shared" si="2"/>
        <v>7</v>
      </c>
      <c r="K895" s="9">
        <f t="shared" si="3"/>
        <v>2023</v>
      </c>
      <c r="M895" s="25">
        <f>IFERROR(__xludf.DUMMYFUNCTION("""COMPUTED_VALUE"""),45124.0)</f>
        <v>45124</v>
      </c>
    </row>
    <row r="896">
      <c r="A896" s="10" t="s">
        <v>741</v>
      </c>
      <c r="B896" s="3" t="s">
        <v>850</v>
      </c>
      <c r="C896" s="10" t="s">
        <v>908</v>
      </c>
      <c r="D896" s="3" t="s">
        <v>909</v>
      </c>
      <c r="E896" s="4" t="s">
        <v>3</v>
      </c>
      <c r="F896" s="5" t="s">
        <v>71</v>
      </c>
      <c r="G896" s="6" t="s">
        <v>923</v>
      </c>
      <c r="H896" s="7">
        <v>45164.0</v>
      </c>
      <c r="I896" s="8">
        <f t="shared" si="1"/>
        <v>26</v>
      </c>
      <c r="J896" s="9">
        <f t="shared" si="2"/>
        <v>8</v>
      </c>
      <c r="K896" s="9">
        <f t="shared" si="3"/>
        <v>2023</v>
      </c>
      <c r="M896" s="25">
        <f>IFERROR(__xludf.DUMMYFUNCTION("""COMPUTED_VALUE"""),45164.0)</f>
        <v>45164</v>
      </c>
    </row>
    <row r="897">
      <c r="A897" s="10" t="s">
        <v>741</v>
      </c>
      <c r="B897" s="3" t="s">
        <v>850</v>
      </c>
      <c r="C897" s="10" t="s">
        <v>908</v>
      </c>
      <c r="D897" s="3" t="s">
        <v>909</v>
      </c>
      <c r="E897" s="4" t="s">
        <v>8</v>
      </c>
      <c r="F897" s="5" t="s">
        <v>71</v>
      </c>
      <c r="G897" s="6" t="s">
        <v>924</v>
      </c>
      <c r="H897" s="7">
        <v>45173.0</v>
      </c>
      <c r="I897" s="8">
        <f t="shared" si="1"/>
        <v>4</v>
      </c>
      <c r="J897" s="9">
        <f t="shared" si="2"/>
        <v>9</v>
      </c>
      <c r="K897" s="9">
        <f t="shared" si="3"/>
        <v>2023</v>
      </c>
      <c r="M897" s="25">
        <f>IFERROR(__xludf.DUMMYFUNCTION("""COMPUTED_VALUE"""),45173.0)</f>
        <v>45173</v>
      </c>
    </row>
    <row r="898">
      <c r="A898" s="10" t="s">
        <v>741</v>
      </c>
      <c r="B898" s="3" t="s">
        <v>850</v>
      </c>
      <c r="C898" s="10" t="s">
        <v>908</v>
      </c>
      <c r="D898" s="3" t="s">
        <v>909</v>
      </c>
      <c r="E898" s="4" t="s">
        <v>3</v>
      </c>
      <c r="F898" s="5" t="s">
        <v>6</v>
      </c>
      <c r="G898" s="6" t="s">
        <v>925</v>
      </c>
      <c r="H898" s="7">
        <v>45180.0</v>
      </c>
      <c r="I898" s="8">
        <f t="shared" si="1"/>
        <v>11</v>
      </c>
      <c r="J898" s="9">
        <f t="shared" si="2"/>
        <v>9</v>
      </c>
      <c r="K898" s="9">
        <f t="shared" si="3"/>
        <v>2023</v>
      </c>
      <c r="M898" s="25">
        <f>IFERROR(__xludf.DUMMYFUNCTION("""COMPUTED_VALUE"""),45180.0)</f>
        <v>45180</v>
      </c>
    </row>
    <row r="899">
      <c r="A899" s="10" t="s">
        <v>741</v>
      </c>
      <c r="B899" s="3" t="s">
        <v>850</v>
      </c>
      <c r="C899" s="10" t="s">
        <v>908</v>
      </c>
      <c r="D899" s="3" t="s">
        <v>909</v>
      </c>
      <c r="E899" s="4" t="s">
        <v>3</v>
      </c>
      <c r="F899" s="5" t="s">
        <v>71</v>
      </c>
      <c r="G899" s="6" t="s">
        <v>926</v>
      </c>
      <c r="H899" s="7">
        <v>45220.0</v>
      </c>
      <c r="I899" s="8">
        <f t="shared" si="1"/>
        <v>21</v>
      </c>
      <c r="J899" s="9">
        <f t="shared" si="2"/>
        <v>10</v>
      </c>
      <c r="K899" s="9">
        <f t="shared" si="3"/>
        <v>2023</v>
      </c>
      <c r="M899" s="25">
        <f>IFERROR(__xludf.DUMMYFUNCTION("""COMPUTED_VALUE"""),45220.0)</f>
        <v>45220</v>
      </c>
    </row>
    <row r="900">
      <c r="A900" s="10" t="s">
        <v>741</v>
      </c>
      <c r="B900" s="3" t="s">
        <v>850</v>
      </c>
      <c r="C900" s="10" t="s">
        <v>908</v>
      </c>
      <c r="D900" s="3" t="s">
        <v>909</v>
      </c>
      <c r="E900" s="4" t="s">
        <v>8</v>
      </c>
      <c r="F900" s="5" t="s">
        <v>9</v>
      </c>
      <c r="G900" s="6" t="s">
        <v>881</v>
      </c>
      <c r="H900" s="7">
        <v>45272.0</v>
      </c>
      <c r="I900" s="8">
        <f t="shared" si="1"/>
        <v>12</v>
      </c>
      <c r="J900" s="9">
        <f t="shared" si="2"/>
        <v>12</v>
      </c>
      <c r="K900" s="9">
        <f t="shared" si="3"/>
        <v>2023</v>
      </c>
      <c r="M900" s="25">
        <f>IFERROR(__xludf.DUMMYFUNCTION("""COMPUTED_VALUE"""),45272.0)</f>
        <v>45272</v>
      </c>
    </row>
    <row r="901">
      <c r="A901" s="10" t="s">
        <v>867</v>
      </c>
      <c r="B901" s="3" t="s">
        <v>868</v>
      </c>
      <c r="C901" s="10" t="s">
        <v>927</v>
      </c>
      <c r="D901" s="3" t="s">
        <v>928</v>
      </c>
      <c r="E901" s="4" t="s">
        <v>8</v>
      </c>
      <c r="F901" s="5" t="s">
        <v>51</v>
      </c>
      <c r="G901" s="6" t="s">
        <v>929</v>
      </c>
      <c r="H901" s="7">
        <v>44939.0</v>
      </c>
      <c r="I901" s="8">
        <f t="shared" si="1"/>
        <v>13</v>
      </c>
      <c r="J901" s="9">
        <f t="shared" si="2"/>
        <v>1</v>
      </c>
      <c r="K901" s="9">
        <f t="shared" si="3"/>
        <v>2023</v>
      </c>
      <c r="M901" s="25">
        <f>IFERROR(__xludf.DUMMYFUNCTION("""COMPUTED_VALUE"""),44939.0)</f>
        <v>44939</v>
      </c>
    </row>
    <row r="902">
      <c r="A902" s="10" t="s">
        <v>867</v>
      </c>
      <c r="B902" s="3" t="s">
        <v>868</v>
      </c>
      <c r="C902" s="10" t="s">
        <v>927</v>
      </c>
      <c r="D902" s="3" t="s">
        <v>928</v>
      </c>
      <c r="E902" s="4" t="s">
        <v>8</v>
      </c>
      <c r="F902" s="5" t="s">
        <v>19</v>
      </c>
      <c r="G902" s="6" t="s">
        <v>930</v>
      </c>
      <c r="H902" s="7">
        <v>44940.0</v>
      </c>
      <c r="I902" s="8">
        <f t="shared" si="1"/>
        <v>14</v>
      </c>
      <c r="J902" s="9">
        <f t="shared" si="2"/>
        <v>1</v>
      </c>
      <c r="K902" s="9">
        <f t="shared" si="3"/>
        <v>2023</v>
      </c>
      <c r="M902" s="25">
        <f>IFERROR(__xludf.DUMMYFUNCTION("""COMPUTED_VALUE"""),44940.0)</f>
        <v>44940</v>
      </c>
    </row>
    <row r="903">
      <c r="A903" s="10" t="s">
        <v>867</v>
      </c>
      <c r="B903" s="3" t="s">
        <v>868</v>
      </c>
      <c r="C903" s="10" t="s">
        <v>927</v>
      </c>
      <c r="D903" s="3" t="s">
        <v>928</v>
      </c>
      <c r="E903" s="4" t="s">
        <v>3</v>
      </c>
      <c r="F903" s="5" t="s">
        <v>35</v>
      </c>
      <c r="G903" s="6" t="s">
        <v>931</v>
      </c>
      <c r="H903" s="7">
        <v>44967.0</v>
      </c>
      <c r="I903" s="8">
        <f t="shared" si="1"/>
        <v>10</v>
      </c>
      <c r="J903" s="9">
        <f t="shared" si="2"/>
        <v>2</v>
      </c>
      <c r="K903" s="9">
        <f t="shared" si="3"/>
        <v>2023</v>
      </c>
      <c r="M903" s="25">
        <f>IFERROR(__xludf.DUMMYFUNCTION("""COMPUTED_VALUE"""),44967.0)</f>
        <v>44967</v>
      </c>
    </row>
    <row r="904">
      <c r="A904" s="10" t="s">
        <v>867</v>
      </c>
      <c r="B904" s="3" t="s">
        <v>868</v>
      </c>
      <c r="C904" s="10" t="s">
        <v>927</v>
      </c>
      <c r="D904" s="3" t="s">
        <v>928</v>
      </c>
      <c r="E904" s="4" t="s">
        <v>8</v>
      </c>
      <c r="F904" s="5" t="s">
        <v>28</v>
      </c>
      <c r="G904" s="6" t="s">
        <v>932</v>
      </c>
      <c r="H904" s="7">
        <v>44967.0</v>
      </c>
      <c r="I904" s="8">
        <f t="shared" si="1"/>
        <v>10</v>
      </c>
      <c r="J904" s="9">
        <f t="shared" si="2"/>
        <v>2</v>
      </c>
      <c r="K904" s="9">
        <f t="shared" si="3"/>
        <v>2023</v>
      </c>
      <c r="M904" s="25">
        <f>IFERROR(__xludf.DUMMYFUNCTION("""COMPUTED_VALUE"""),44967.0)</f>
        <v>44967</v>
      </c>
    </row>
    <row r="905">
      <c r="A905" s="10" t="s">
        <v>867</v>
      </c>
      <c r="B905" s="3" t="s">
        <v>868</v>
      </c>
      <c r="C905" s="10" t="s">
        <v>927</v>
      </c>
      <c r="D905" s="3" t="s">
        <v>928</v>
      </c>
      <c r="E905" s="4" t="s">
        <v>3</v>
      </c>
      <c r="F905" s="5" t="s">
        <v>28</v>
      </c>
      <c r="G905" s="6" t="s">
        <v>933</v>
      </c>
      <c r="H905" s="7">
        <v>44976.0</v>
      </c>
      <c r="I905" s="8">
        <f t="shared" si="1"/>
        <v>19</v>
      </c>
      <c r="J905" s="9">
        <f t="shared" si="2"/>
        <v>2</v>
      </c>
      <c r="K905" s="9">
        <f t="shared" si="3"/>
        <v>2023</v>
      </c>
      <c r="M905" s="25">
        <f>IFERROR(__xludf.DUMMYFUNCTION("""COMPUTED_VALUE"""),44976.0)</f>
        <v>44976</v>
      </c>
    </row>
    <row r="906">
      <c r="A906" s="10" t="s">
        <v>867</v>
      </c>
      <c r="B906" s="3" t="s">
        <v>868</v>
      </c>
      <c r="C906" s="10" t="s">
        <v>927</v>
      </c>
      <c r="D906" s="3" t="s">
        <v>928</v>
      </c>
      <c r="E906" s="4" t="s">
        <v>3</v>
      </c>
      <c r="F906" s="5" t="s">
        <v>71</v>
      </c>
      <c r="G906" s="6" t="s">
        <v>934</v>
      </c>
      <c r="H906" s="7">
        <v>44999.0</v>
      </c>
      <c r="I906" s="8">
        <f t="shared" si="1"/>
        <v>14</v>
      </c>
      <c r="J906" s="9">
        <f t="shared" si="2"/>
        <v>3</v>
      </c>
      <c r="K906" s="9">
        <f t="shared" si="3"/>
        <v>2023</v>
      </c>
      <c r="M906" s="25">
        <f>IFERROR(__xludf.DUMMYFUNCTION("""COMPUTED_VALUE"""),44999.0)</f>
        <v>44999</v>
      </c>
    </row>
    <row r="907">
      <c r="A907" s="10" t="s">
        <v>867</v>
      </c>
      <c r="B907" s="3" t="s">
        <v>868</v>
      </c>
      <c r="C907" s="10" t="s">
        <v>927</v>
      </c>
      <c r="D907" s="3" t="s">
        <v>928</v>
      </c>
      <c r="E907" s="4" t="s">
        <v>8</v>
      </c>
      <c r="F907" s="5" t="s">
        <v>19</v>
      </c>
      <c r="G907" s="6" t="s">
        <v>935</v>
      </c>
      <c r="H907" s="7">
        <v>45023.0</v>
      </c>
      <c r="I907" s="8">
        <f t="shared" si="1"/>
        <v>7</v>
      </c>
      <c r="J907" s="9">
        <f t="shared" si="2"/>
        <v>4</v>
      </c>
      <c r="K907" s="9">
        <f t="shared" si="3"/>
        <v>2023</v>
      </c>
      <c r="M907" s="25">
        <f>IFERROR(__xludf.DUMMYFUNCTION("""COMPUTED_VALUE"""),45023.0)</f>
        <v>45023</v>
      </c>
    </row>
    <row r="908">
      <c r="A908" s="10" t="s">
        <v>867</v>
      </c>
      <c r="B908" s="3" t="s">
        <v>868</v>
      </c>
      <c r="C908" s="10" t="s">
        <v>927</v>
      </c>
      <c r="D908" s="3" t="s">
        <v>928</v>
      </c>
      <c r="E908" s="4" t="s">
        <v>3</v>
      </c>
      <c r="F908" s="5" t="s">
        <v>76</v>
      </c>
      <c r="G908" s="6" t="s">
        <v>936</v>
      </c>
      <c r="H908" s="7">
        <v>45049.0</v>
      </c>
      <c r="I908" s="8">
        <f t="shared" si="1"/>
        <v>3</v>
      </c>
      <c r="J908" s="9">
        <f t="shared" si="2"/>
        <v>5</v>
      </c>
      <c r="K908" s="9">
        <f t="shared" si="3"/>
        <v>2023</v>
      </c>
      <c r="M908" s="25">
        <f>IFERROR(__xludf.DUMMYFUNCTION("""COMPUTED_VALUE"""),45049.0)</f>
        <v>45049</v>
      </c>
    </row>
    <row r="909">
      <c r="A909" s="10" t="s">
        <v>867</v>
      </c>
      <c r="B909" s="3" t="s">
        <v>868</v>
      </c>
      <c r="C909" s="10" t="s">
        <v>927</v>
      </c>
      <c r="D909" s="3" t="s">
        <v>928</v>
      </c>
      <c r="E909" s="4" t="s">
        <v>3</v>
      </c>
      <c r="F909" s="5" t="s">
        <v>13</v>
      </c>
      <c r="G909" s="6" t="s">
        <v>30</v>
      </c>
      <c r="H909" s="7">
        <v>45049.0</v>
      </c>
      <c r="I909" s="8">
        <f t="shared" si="1"/>
        <v>3</v>
      </c>
      <c r="J909" s="9">
        <f t="shared" si="2"/>
        <v>5</v>
      </c>
      <c r="K909" s="9">
        <f t="shared" si="3"/>
        <v>2023</v>
      </c>
      <c r="M909" s="25">
        <f>IFERROR(__xludf.DUMMYFUNCTION("""COMPUTED_VALUE"""),45049.0)</f>
        <v>45049</v>
      </c>
    </row>
    <row r="910">
      <c r="A910" s="10" t="s">
        <v>867</v>
      </c>
      <c r="B910" s="3" t="s">
        <v>868</v>
      </c>
      <c r="C910" s="10" t="s">
        <v>927</v>
      </c>
      <c r="D910" s="3" t="s">
        <v>928</v>
      </c>
      <c r="E910" s="4" t="s">
        <v>8</v>
      </c>
      <c r="F910" s="5" t="s">
        <v>21</v>
      </c>
      <c r="G910" s="6" t="s">
        <v>937</v>
      </c>
      <c r="H910" s="7">
        <v>45069.0</v>
      </c>
      <c r="I910" s="8">
        <f t="shared" si="1"/>
        <v>23</v>
      </c>
      <c r="J910" s="9">
        <f t="shared" si="2"/>
        <v>5</v>
      </c>
      <c r="K910" s="9">
        <f t="shared" si="3"/>
        <v>2023</v>
      </c>
      <c r="M910" s="25">
        <f>IFERROR(__xludf.DUMMYFUNCTION("""COMPUTED_VALUE"""),45069.0)</f>
        <v>45069</v>
      </c>
    </row>
    <row r="911">
      <c r="A911" s="10" t="s">
        <v>867</v>
      </c>
      <c r="B911" s="3" t="s">
        <v>868</v>
      </c>
      <c r="C911" s="10" t="s">
        <v>927</v>
      </c>
      <c r="D911" s="3" t="s">
        <v>928</v>
      </c>
      <c r="E911" s="4" t="s">
        <v>8</v>
      </c>
      <c r="F911" s="5" t="s">
        <v>96</v>
      </c>
      <c r="G911" s="6" t="s">
        <v>904</v>
      </c>
      <c r="H911" s="7">
        <v>45071.0</v>
      </c>
      <c r="I911" s="8">
        <f t="shared" si="1"/>
        <v>25</v>
      </c>
      <c r="J911" s="9">
        <f t="shared" si="2"/>
        <v>5</v>
      </c>
      <c r="K911" s="9">
        <f t="shared" si="3"/>
        <v>2023</v>
      </c>
      <c r="M911" s="25">
        <f>IFERROR(__xludf.DUMMYFUNCTION("""COMPUTED_VALUE"""),45071.0)</f>
        <v>45071</v>
      </c>
    </row>
    <row r="912">
      <c r="A912" s="10" t="s">
        <v>867</v>
      </c>
      <c r="B912" s="3" t="s">
        <v>868</v>
      </c>
      <c r="C912" s="10" t="s">
        <v>927</v>
      </c>
      <c r="D912" s="3" t="s">
        <v>928</v>
      </c>
      <c r="E912" s="4" t="s">
        <v>8</v>
      </c>
      <c r="F912" s="5" t="s">
        <v>21</v>
      </c>
      <c r="G912" s="6" t="s">
        <v>938</v>
      </c>
      <c r="H912" s="7">
        <v>45097.0</v>
      </c>
      <c r="I912" s="8">
        <f t="shared" si="1"/>
        <v>20</v>
      </c>
      <c r="J912" s="9">
        <f t="shared" si="2"/>
        <v>6</v>
      </c>
      <c r="K912" s="9">
        <f t="shared" si="3"/>
        <v>2023</v>
      </c>
      <c r="M912" s="25">
        <f>IFERROR(__xludf.DUMMYFUNCTION("""COMPUTED_VALUE"""),45097.0)</f>
        <v>45097</v>
      </c>
    </row>
    <row r="913">
      <c r="A913" s="10" t="s">
        <v>867</v>
      </c>
      <c r="B913" s="3" t="s">
        <v>868</v>
      </c>
      <c r="C913" s="10" t="s">
        <v>927</v>
      </c>
      <c r="D913" s="3" t="s">
        <v>928</v>
      </c>
      <c r="E913" s="4" t="s">
        <v>8</v>
      </c>
      <c r="F913" s="5" t="s">
        <v>35</v>
      </c>
      <c r="G913" s="6" t="s">
        <v>939</v>
      </c>
      <c r="H913" s="7">
        <v>45115.0</v>
      </c>
      <c r="I913" s="8">
        <f t="shared" si="1"/>
        <v>8</v>
      </c>
      <c r="J913" s="9">
        <f t="shared" si="2"/>
        <v>7</v>
      </c>
      <c r="K913" s="9">
        <f t="shared" si="3"/>
        <v>2023</v>
      </c>
      <c r="M913" s="25">
        <f>IFERROR(__xludf.DUMMYFUNCTION("""COMPUTED_VALUE"""),45115.0)</f>
        <v>45115</v>
      </c>
    </row>
    <row r="914">
      <c r="A914" s="10" t="s">
        <v>867</v>
      </c>
      <c r="B914" s="3" t="s">
        <v>868</v>
      </c>
      <c r="C914" s="10" t="s">
        <v>927</v>
      </c>
      <c r="D914" s="3" t="s">
        <v>928</v>
      </c>
      <c r="E914" s="4" t="s">
        <v>3</v>
      </c>
      <c r="F914" s="5" t="s">
        <v>120</v>
      </c>
      <c r="G914" s="6" t="s">
        <v>940</v>
      </c>
      <c r="H914" s="7">
        <v>45127.0</v>
      </c>
      <c r="I914" s="8">
        <f t="shared" si="1"/>
        <v>20</v>
      </c>
      <c r="J914" s="9">
        <f t="shared" si="2"/>
        <v>7</v>
      </c>
      <c r="K914" s="9">
        <f t="shared" si="3"/>
        <v>2023</v>
      </c>
      <c r="M914" s="25">
        <f>IFERROR(__xludf.DUMMYFUNCTION("""COMPUTED_VALUE"""),45127.0)</f>
        <v>45127</v>
      </c>
    </row>
    <row r="915">
      <c r="A915" s="10" t="s">
        <v>867</v>
      </c>
      <c r="B915" s="3" t="s">
        <v>868</v>
      </c>
      <c r="C915" s="10" t="s">
        <v>927</v>
      </c>
      <c r="D915" s="3" t="s">
        <v>928</v>
      </c>
      <c r="E915" s="4" t="s">
        <v>3</v>
      </c>
      <c r="F915" s="5" t="s">
        <v>45</v>
      </c>
      <c r="G915" s="6" t="s">
        <v>941</v>
      </c>
      <c r="H915" s="7">
        <v>45132.0</v>
      </c>
      <c r="I915" s="8">
        <f t="shared" si="1"/>
        <v>25</v>
      </c>
      <c r="J915" s="9">
        <f t="shared" si="2"/>
        <v>7</v>
      </c>
      <c r="K915" s="9">
        <f t="shared" si="3"/>
        <v>2023</v>
      </c>
      <c r="M915" s="25">
        <f>IFERROR(__xludf.DUMMYFUNCTION("""COMPUTED_VALUE"""),45132.0)</f>
        <v>45132</v>
      </c>
    </row>
    <row r="916">
      <c r="A916" s="10" t="s">
        <v>867</v>
      </c>
      <c r="B916" s="3" t="s">
        <v>868</v>
      </c>
      <c r="C916" s="10" t="s">
        <v>927</v>
      </c>
      <c r="D916" s="3" t="s">
        <v>928</v>
      </c>
      <c r="E916" s="4" t="s">
        <v>8</v>
      </c>
      <c r="F916" s="5" t="s">
        <v>21</v>
      </c>
      <c r="G916" s="6" t="s">
        <v>942</v>
      </c>
      <c r="H916" s="7">
        <v>45147.0</v>
      </c>
      <c r="I916" s="8">
        <f t="shared" si="1"/>
        <v>9</v>
      </c>
      <c r="J916" s="9">
        <f t="shared" si="2"/>
        <v>8</v>
      </c>
      <c r="K916" s="9">
        <f t="shared" si="3"/>
        <v>2023</v>
      </c>
      <c r="M916" s="25">
        <f>IFERROR(__xludf.DUMMYFUNCTION("""COMPUTED_VALUE"""),45147.0)</f>
        <v>45147</v>
      </c>
    </row>
    <row r="917">
      <c r="A917" s="10" t="s">
        <v>867</v>
      </c>
      <c r="B917" s="3" t="s">
        <v>868</v>
      </c>
      <c r="C917" s="10" t="s">
        <v>927</v>
      </c>
      <c r="D917" s="3" t="s">
        <v>928</v>
      </c>
      <c r="E917" s="4" t="s">
        <v>3</v>
      </c>
      <c r="F917" s="5" t="s">
        <v>19</v>
      </c>
      <c r="G917" s="6" t="s">
        <v>943</v>
      </c>
      <c r="H917" s="7">
        <v>45150.0</v>
      </c>
      <c r="I917" s="8">
        <f t="shared" si="1"/>
        <v>12</v>
      </c>
      <c r="J917" s="9">
        <f t="shared" si="2"/>
        <v>8</v>
      </c>
      <c r="K917" s="9">
        <f t="shared" si="3"/>
        <v>2023</v>
      </c>
      <c r="M917" s="25">
        <f>IFERROR(__xludf.DUMMYFUNCTION("""COMPUTED_VALUE"""),45150.0)</f>
        <v>45150</v>
      </c>
    </row>
    <row r="918">
      <c r="A918" s="10" t="s">
        <v>867</v>
      </c>
      <c r="B918" s="3" t="s">
        <v>868</v>
      </c>
      <c r="C918" s="10" t="s">
        <v>927</v>
      </c>
      <c r="D918" s="3" t="s">
        <v>928</v>
      </c>
      <c r="E918" s="4" t="s">
        <v>8</v>
      </c>
      <c r="F918" s="5" t="s">
        <v>19</v>
      </c>
      <c r="G918" s="6" t="s">
        <v>944</v>
      </c>
      <c r="H918" s="7">
        <v>45166.0</v>
      </c>
      <c r="I918" s="8">
        <f t="shared" si="1"/>
        <v>28</v>
      </c>
      <c r="J918" s="9">
        <f t="shared" si="2"/>
        <v>8</v>
      </c>
      <c r="K918" s="9">
        <f t="shared" si="3"/>
        <v>2023</v>
      </c>
      <c r="M918" s="25">
        <f>IFERROR(__xludf.DUMMYFUNCTION("""COMPUTED_VALUE"""),45166.0)</f>
        <v>45166</v>
      </c>
    </row>
    <row r="919">
      <c r="A919" s="10" t="s">
        <v>867</v>
      </c>
      <c r="B919" s="3" t="s">
        <v>868</v>
      </c>
      <c r="C919" s="10" t="s">
        <v>927</v>
      </c>
      <c r="D919" s="3" t="s">
        <v>928</v>
      </c>
      <c r="E919" s="4" t="s">
        <v>8</v>
      </c>
      <c r="F919" s="5" t="s">
        <v>42</v>
      </c>
      <c r="G919" s="6" t="s">
        <v>945</v>
      </c>
      <c r="H919" s="7">
        <v>45248.0</v>
      </c>
      <c r="I919" s="8">
        <f t="shared" si="1"/>
        <v>18</v>
      </c>
      <c r="J919" s="9">
        <f t="shared" si="2"/>
        <v>11</v>
      </c>
      <c r="K919" s="9">
        <f t="shared" si="3"/>
        <v>2023</v>
      </c>
      <c r="M919" s="25">
        <f>IFERROR(__xludf.DUMMYFUNCTION("""COMPUTED_VALUE"""),45248.0)</f>
        <v>45248</v>
      </c>
    </row>
    <row r="920">
      <c r="A920" s="10" t="s">
        <v>867</v>
      </c>
      <c r="B920" s="3" t="s">
        <v>868</v>
      </c>
      <c r="C920" s="10" t="s">
        <v>927</v>
      </c>
      <c r="D920" s="3" t="s">
        <v>928</v>
      </c>
      <c r="E920" s="4" t="s">
        <v>8</v>
      </c>
      <c r="F920" s="5" t="s">
        <v>76</v>
      </c>
      <c r="G920" s="6" t="s">
        <v>946</v>
      </c>
      <c r="H920" s="7">
        <v>45262.0</v>
      </c>
      <c r="I920" s="8">
        <f t="shared" si="1"/>
        <v>2</v>
      </c>
      <c r="J920" s="9">
        <f t="shared" si="2"/>
        <v>12</v>
      </c>
      <c r="K920" s="9">
        <f t="shared" si="3"/>
        <v>2023</v>
      </c>
      <c r="M920" s="25">
        <f>IFERROR(__xludf.DUMMYFUNCTION("""COMPUTED_VALUE"""),45262.0)</f>
        <v>45262</v>
      </c>
    </row>
    <row r="921">
      <c r="A921" s="10" t="s">
        <v>887</v>
      </c>
      <c r="B921" s="3" t="s">
        <v>888</v>
      </c>
      <c r="C921" s="10" t="s">
        <v>947</v>
      </c>
      <c r="D921" s="3" t="s">
        <v>948</v>
      </c>
      <c r="E921" s="4" t="s">
        <v>3</v>
      </c>
      <c r="F921" s="5" t="s">
        <v>13</v>
      </c>
      <c r="G921" s="6" t="s">
        <v>949</v>
      </c>
      <c r="H921" s="7">
        <v>44934.0</v>
      </c>
      <c r="I921" s="8">
        <f t="shared" si="1"/>
        <v>8</v>
      </c>
      <c r="J921" s="9">
        <f t="shared" si="2"/>
        <v>1</v>
      </c>
      <c r="K921" s="9">
        <f t="shared" si="3"/>
        <v>2023</v>
      </c>
      <c r="M921" s="25">
        <f>IFERROR(__xludf.DUMMYFUNCTION("""COMPUTED_VALUE"""),44934.0)</f>
        <v>44934</v>
      </c>
    </row>
    <row r="922">
      <c r="A922" s="10" t="s">
        <v>887</v>
      </c>
      <c r="B922" s="3" t="s">
        <v>888</v>
      </c>
      <c r="C922" s="10" t="s">
        <v>947</v>
      </c>
      <c r="D922" s="3" t="s">
        <v>948</v>
      </c>
      <c r="E922" s="4" t="s">
        <v>8</v>
      </c>
      <c r="F922" s="5" t="s">
        <v>42</v>
      </c>
      <c r="G922" s="6" t="s">
        <v>950</v>
      </c>
      <c r="H922" s="7">
        <v>44967.0</v>
      </c>
      <c r="I922" s="8">
        <f t="shared" si="1"/>
        <v>10</v>
      </c>
      <c r="J922" s="9">
        <f t="shared" si="2"/>
        <v>2</v>
      </c>
      <c r="K922" s="9">
        <f t="shared" si="3"/>
        <v>2023</v>
      </c>
      <c r="M922" s="25">
        <f>IFERROR(__xludf.DUMMYFUNCTION("""COMPUTED_VALUE"""),44967.0)</f>
        <v>44967</v>
      </c>
    </row>
    <row r="923">
      <c r="A923" s="10" t="s">
        <v>887</v>
      </c>
      <c r="B923" s="3" t="s">
        <v>888</v>
      </c>
      <c r="C923" s="10" t="s">
        <v>947</v>
      </c>
      <c r="D923" s="3" t="s">
        <v>948</v>
      </c>
      <c r="E923" s="4" t="s">
        <v>8</v>
      </c>
      <c r="F923" s="5" t="s">
        <v>42</v>
      </c>
      <c r="G923" s="6" t="s">
        <v>951</v>
      </c>
      <c r="H923" s="7">
        <v>44969.0</v>
      </c>
      <c r="I923" s="8">
        <f t="shared" si="1"/>
        <v>12</v>
      </c>
      <c r="J923" s="9">
        <f t="shared" si="2"/>
        <v>2</v>
      </c>
      <c r="K923" s="9">
        <f t="shared" si="3"/>
        <v>2023</v>
      </c>
      <c r="M923" s="25">
        <f>IFERROR(__xludf.DUMMYFUNCTION("""COMPUTED_VALUE"""),44969.0)</f>
        <v>44969</v>
      </c>
    </row>
    <row r="924">
      <c r="A924" s="10" t="s">
        <v>887</v>
      </c>
      <c r="B924" s="3" t="s">
        <v>888</v>
      </c>
      <c r="C924" s="10" t="s">
        <v>947</v>
      </c>
      <c r="D924" s="3" t="s">
        <v>948</v>
      </c>
      <c r="E924" s="4" t="s">
        <v>3</v>
      </c>
      <c r="F924" s="5" t="s">
        <v>76</v>
      </c>
      <c r="G924" s="6" t="s">
        <v>952</v>
      </c>
      <c r="H924" s="7">
        <v>44981.0</v>
      </c>
      <c r="I924" s="8">
        <f t="shared" si="1"/>
        <v>24</v>
      </c>
      <c r="J924" s="9">
        <f t="shared" si="2"/>
        <v>2</v>
      </c>
      <c r="K924" s="9">
        <f t="shared" si="3"/>
        <v>2023</v>
      </c>
      <c r="M924" s="25">
        <f>IFERROR(__xludf.DUMMYFUNCTION("""COMPUTED_VALUE"""),44981.0)</f>
        <v>44981</v>
      </c>
    </row>
    <row r="925">
      <c r="A925" s="10" t="s">
        <v>887</v>
      </c>
      <c r="B925" s="3" t="s">
        <v>888</v>
      </c>
      <c r="C925" s="10" t="s">
        <v>947</v>
      </c>
      <c r="D925" s="3" t="s">
        <v>948</v>
      </c>
      <c r="E925" s="4" t="s">
        <v>3</v>
      </c>
      <c r="F925" s="5" t="s">
        <v>45</v>
      </c>
      <c r="G925" s="6" t="s">
        <v>953</v>
      </c>
      <c r="H925" s="7">
        <v>45009.0</v>
      </c>
      <c r="I925" s="8">
        <f t="shared" si="1"/>
        <v>24</v>
      </c>
      <c r="J925" s="9">
        <f t="shared" si="2"/>
        <v>3</v>
      </c>
      <c r="K925" s="9">
        <f t="shared" si="3"/>
        <v>2023</v>
      </c>
      <c r="M925" s="25">
        <f>IFERROR(__xludf.DUMMYFUNCTION("""COMPUTED_VALUE"""),45009.0)</f>
        <v>45009</v>
      </c>
    </row>
    <row r="926">
      <c r="A926" s="10" t="s">
        <v>887</v>
      </c>
      <c r="B926" s="3" t="s">
        <v>888</v>
      </c>
      <c r="C926" s="10" t="s">
        <v>947</v>
      </c>
      <c r="D926" s="3" t="s">
        <v>948</v>
      </c>
      <c r="E926" s="4" t="s">
        <v>8</v>
      </c>
      <c r="F926" s="5" t="s">
        <v>35</v>
      </c>
      <c r="G926" s="6" t="s">
        <v>954</v>
      </c>
      <c r="H926" s="7">
        <v>45066.0</v>
      </c>
      <c r="I926" s="8">
        <f t="shared" si="1"/>
        <v>20</v>
      </c>
      <c r="J926" s="9">
        <f t="shared" si="2"/>
        <v>5</v>
      </c>
      <c r="K926" s="9">
        <f t="shared" si="3"/>
        <v>2023</v>
      </c>
      <c r="M926" s="25">
        <f>IFERROR(__xludf.DUMMYFUNCTION("""COMPUTED_VALUE"""),45066.0)</f>
        <v>45066</v>
      </c>
    </row>
    <row r="927">
      <c r="A927" s="10" t="s">
        <v>887</v>
      </c>
      <c r="B927" s="3" t="s">
        <v>888</v>
      </c>
      <c r="C927" s="10" t="s">
        <v>947</v>
      </c>
      <c r="D927" s="3" t="s">
        <v>948</v>
      </c>
      <c r="E927" s="4" t="s">
        <v>8</v>
      </c>
      <c r="F927" s="5" t="s">
        <v>6</v>
      </c>
      <c r="G927" s="6" t="s">
        <v>955</v>
      </c>
      <c r="H927" s="7">
        <v>45109.0</v>
      </c>
      <c r="I927" s="8">
        <f t="shared" si="1"/>
        <v>2</v>
      </c>
      <c r="J927" s="9">
        <f t="shared" si="2"/>
        <v>7</v>
      </c>
      <c r="K927" s="9">
        <f t="shared" si="3"/>
        <v>2023</v>
      </c>
      <c r="M927" s="25">
        <f>IFERROR(__xludf.DUMMYFUNCTION("""COMPUTED_VALUE"""),45109.0)</f>
        <v>45109</v>
      </c>
    </row>
    <row r="928">
      <c r="A928" s="10" t="s">
        <v>887</v>
      </c>
      <c r="B928" s="3" t="s">
        <v>888</v>
      </c>
      <c r="C928" s="10" t="s">
        <v>947</v>
      </c>
      <c r="D928" s="3" t="s">
        <v>948</v>
      </c>
      <c r="E928" s="4" t="s">
        <v>3</v>
      </c>
      <c r="F928" s="5" t="s">
        <v>96</v>
      </c>
      <c r="G928" s="6" t="s">
        <v>103</v>
      </c>
      <c r="H928" s="7">
        <v>45122.0</v>
      </c>
      <c r="I928" s="8">
        <f t="shared" si="1"/>
        <v>15</v>
      </c>
      <c r="J928" s="9">
        <f t="shared" si="2"/>
        <v>7</v>
      </c>
      <c r="K928" s="9">
        <f t="shared" si="3"/>
        <v>2023</v>
      </c>
      <c r="M928" s="25">
        <f>IFERROR(__xludf.DUMMYFUNCTION("""COMPUTED_VALUE"""),45122.0)</f>
        <v>45122</v>
      </c>
    </row>
    <row r="929">
      <c r="A929" s="10" t="s">
        <v>887</v>
      </c>
      <c r="B929" s="3" t="s">
        <v>888</v>
      </c>
      <c r="C929" s="10" t="s">
        <v>947</v>
      </c>
      <c r="D929" s="3" t="s">
        <v>948</v>
      </c>
      <c r="E929" s="4" t="s">
        <v>8</v>
      </c>
      <c r="F929" s="5" t="s">
        <v>4</v>
      </c>
      <c r="G929" s="6" t="s">
        <v>956</v>
      </c>
      <c r="H929" s="7">
        <v>45126.0</v>
      </c>
      <c r="I929" s="8">
        <f t="shared" si="1"/>
        <v>19</v>
      </c>
      <c r="J929" s="9">
        <f t="shared" si="2"/>
        <v>7</v>
      </c>
      <c r="K929" s="9">
        <f t="shared" si="3"/>
        <v>2023</v>
      </c>
      <c r="M929" s="25">
        <f>IFERROR(__xludf.DUMMYFUNCTION("""COMPUTED_VALUE"""),45126.0)</f>
        <v>45126</v>
      </c>
    </row>
    <row r="930">
      <c r="A930" s="10" t="s">
        <v>887</v>
      </c>
      <c r="B930" s="3" t="s">
        <v>888</v>
      </c>
      <c r="C930" s="10" t="s">
        <v>947</v>
      </c>
      <c r="D930" s="3" t="s">
        <v>948</v>
      </c>
      <c r="E930" s="4" t="s">
        <v>3</v>
      </c>
      <c r="F930" s="5" t="s">
        <v>96</v>
      </c>
      <c r="G930" s="6" t="s">
        <v>957</v>
      </c>
      <c r="H930" s="7">
        <v>45133.0</v>
      </c>
      <c r="I930" s="8">
        <f t="shared" si="1"/>
        <v>26</v>
      </c>
      <c r="J930" s="9">
        <f t="shared" si="2"/>
        <v>7</v>
      </c>
      <c r="K930" s="9">
        <f t="shared" si="3"/>
        <v>2023</v>
      </c>
      <c r="M930" s="25">
        <f>IFERROR(__xludf.DUMMYFUNCTION("""COMPUTED_VALUE"""),45133.0)</f>
        <v>45133</v>
      </c>
    </row>
    <row r="931">
      <c r="A931" s="10" t="s">
        <v>887</v>
      </c>
      <c r="B931" s="3" t="s">
        <v>888</v>
      </c>
      <c r="C931" s="10" t="s">
        <v>947</v>
      </c>
      <c r="D931" s="3" t="s">
        <v>948</v>
      </c>
      <c r="E931" s="4" t="s">
        <v>8</v>
      </c>
      <c r="F931" s="5" t="s">
        <v>96</v>
      </c>
      <c r="G931" s="6" t="s">
        <v>958</v>
      </c>
      <c r="H931" s="7">
        <v>45133.0</v>
      </c>
      <c r="I931" s="8">
        <f t="shared" si="1"/>
        <v>26</v>
      </c>
      <c r="J931" s="9">
        <f t="shared" si="2"/>
        <v>7</v>
      </c>
      <c r="K931" s="9">
        <f t="shared" si="3"/>
        <v>2023</v>
      </c>
      <c r="M931" s="25">
        <f>IFERROR(__xludf.DUMMYFUNCTION("""COMPUTED_VALUE"""),45133.0)</f>
        <v>45133</v>
      </c>
    </row>
    <row r="932">
      <c r="A932" s="10" t="s">
        <v>887</v>
      </c>
      <c r="B932" s="3" t="s">
        <v>888</v>
      </c>
      <c r="C932" s="10" t="s">
        <v>947</v>
      </c>
      <c r="D932" s="3" t="s">
        <v>948</v>
      </c>
      <c r="E932" s="4" t="s">
        <v>8</v>
      </c>
      <c r="F932" s="5" t="s">
        <v>28</v>
      </c>
      <c r="G932" s="6" t="s">
        <v>959</v>
      </c>
      <c r="H932" s="7">
        <v>45174.0</v>
      </c>
      <c r="I932" s="8">
        <f t="shared" si="1"/>
        <v>5</v>
      </c>
      <c r="J932" s="9">
        <f t="shared" si="2"/>
        <v>9</v>
      </c>
      <c r="K932" s="9">
        <f t="shared" si="3"/>
        <v>2023</v>
      </c>
      <c r="M932" s="25">
        <f>IFERROR(__xludf.DUMMYFUNCTION("""COMPUTED_VALUE"""),45174.0)</f>
        <v>45174</v>
      </c>
    </row>
    <row r="933">
      <c r="A933" s="10" t="s">
        <v>887</v>
      </c>
      <c r="B933" s="3" t="s">
        <v>888</v>
      </c>
      <c r="C933" s="10" t="s">
        <v>947</v>
      </c>
      <c r="D933" s="3" t="s">
        <v>948</v>
      </c>
      <c r="E933" s="4" t="s">
        <v>8</v>
      </c>
      <c r="F933" s="5" t="s">
        <v>96</v>
      </c>
      <c r="G933" s="6" t="s">
        <v>960</v>
      </c>
      <c r="H933" s="7">
        <v>45187.0</v>
      </c>
      <c r="I933" s="8">
        <f t="shared" si="1"/>
        <v>18</v>
      </c>
      <c r="J933" s="9">
        <f t="shared" si="2"/>
        <v>9</v>
      </c>
      <c r="K933" s="9">
        <f t="shared" si="3"/>
        <v>2023</v>
      </c>
      <c r="M933" s="25">
        <f>IFERROR(__xludf.DUMMYFUNCTION("""COMPUTED_VALUE"""),45187.0)</f>
        <v>45187</v>
      </c>
    </row>
    <row r="934">
      <c r="A934" s="10" t="s">
        <v>887</v>
      </c>
      <c r="B934" s="3" t="s">
        <v>888</v>
      </c>
      <c r="C934" s="10" t="s">
        <v>947</v>
      </c>
      <c r="D934" s="3" t="s">
        <v>948</v>
      </c>
      <c r="E934" s="4" t="s">
        <v>8</v>
      </c>
      <c r="F934" s="5" t="s">
        <v>21</v>
      </c>
      <c r="G934" s="6" t="s">
        <v>961</v>
      </c>
      <c r="H934" s="7">
        <v>45211.0</v>
      </c>
      <c r="I934" s="8">
        <f t="shared" si="1"/>
        <v>12</v>
      </c>
      <c r="J934" s="9">
        <f t="shared" si="2"/>
        <v>10</v>
      </c>
      <c r="K934" s="9">
        <f t="shared" si="3"/>
        <v>2023</v>
      </c>
      <c r="M934" s="25">
        <f>IFERROR(__xludf.DUMMYFUNCTION("""COMPUTED_VALUE"""),45211.0)</f>
        <v>45211</v>
      </c>
    </row>
    <row r="935">
      <c r="A935" s="10" t="s">
        <v>887</v>
      </c>
      <c r="B935" s="3" t="s">
        <v>888</v>
      </c>
      <c r="C935" s="10" t="s">
        <v>947</v>
      </c>
      <c r="D935" s="3" t="s">
        <v>948</v>
      </c>
      <c r="E935" s="4" t="s">
        <v>3</v>
      </c>
      <c r="F935" s="5" t="s">
        <v>9</v>
      </c>
      <c r="G935" s="6" t="s">
        <v>198</v>
      </c>
      <c r="H935" s="7">
        <v>45226.0</v>
      </c>
      <c r="I935" s="8">
        <f t="shared" si="1"/>
        <v>27</v>
      </c>
      <c r="J935" s="9">
        <f t="shared" si="2"/>
        <v>10</v>
      </c>
      <c r="K935" s="9">
        <f t="shared" si="3"/>
        <v>2023</v>
      </c>
      <c r="M935" s="25">
        <f>IFERROR(__xludf.DUMMYFUNCTION("""COMPUTED_VALUE"""),45226.0)</f>
        <v>45226</v>
      </c>
    </row>
    <row r="936">
      <c r="A936" s="10" t="s">
        <v>887</v>
      </c>
      <c r="B936" s="3" t="s">
        <v>888</v>
      </c>
      <c r="C936" s="10" t="s">
        <v>947</v>
      </c>
      <c r="D936" s="3" t="s">
        <v>948</v>
      </c>
      <c r="E936" s="4" t="s">
        <v>3</v>
      </c>
      <c r="F936" s="5" t="s">
        <v>51</v>
      </c>
      <c r="G936" s="6" t="s">
        <v>962</v>
      </c>
      <c r="H936" s="7">
        <v>45240.0</v>
      </c>
      <c r="I936" s="8">
        <f t="shared" si="1"/>
        <v>10</v>
      </c>
      <c r="J936" s="9">
        <f t="shared" si="2"/>
        <v>11</v>
      </c>
      <c r="K936" s="9">
        <f t="shared" si="3"/>
        <v>2023</v>
      </c>
      <c r="M936" s="25">
        <f>IFERROR(__xludf.DUMMYFUNCTION("""COMPUTED_VALUE"""),45240.0)</f>
        <v>45240</v>
      </c>
    </row>
    <row r="937">
      <c r="A937" s="10" t="s">
        <v>887</v>
      </c>
      <c r="B937" s="3" t="s">
        <v>888</v>
      </c>
      <c r="C937" s="10" t="s">
        <v>947</v>
      </c>
      <c r="D937" s="3" t="s">
        <v>948</v>
      </c>
      <c r="E937" s="4" t="s">
        <v>3</v>
      </c>
      <c r="F937" s="5" t="s">
        <v>28</v>
      </c>
      <c r="G937" s="6" t="s">
        <v>963</v>
      </c>
      <c r="H937" s="7">
        <v>45248.0</v>
      </c>
      <c r="I937" s="8">
        <f t="shared" si="1"/>
        <v>18</v>
      </c>
      <c r="J937" s="9">
        <f t="shared" si="2"/>
        <v>11</v>
      </c>
      <c r="K937" s="9">
        <f t="shared" si="3"/>
        <v>2023</v>
      </c>
      <c r="M937" s="25">
        <f>IFERROR(__xludf.DUMMYFUNCTION("""COMPUTED_VALUE"""),45248.0)</f>
        <v>45248</v>
      </c>
    </row>
    <row r="938">
      <c r="A938" s="10" t="s">
        <v>887</v>
      </c>
      <c r="B938" s="3" t="s">
        <v>888</v>
      </c>
      <c r="C938" s="10" t="s">
        <v>947</v>
      </c>
      <c r="D938" s="3" t="s">
        <v>948</v>
      </c>
      <c r="E938" s="4" t="s">
        <v>8</v>
      </c>
      <c r="F938" s="5" t="s">
        <v>19</v>
      </c>
      <c r="G938" s="6" t="s">
        <v>642</v>
      </c>
      <c r="H938" s="7">
        <v>45250.0</v>
      </c>
      <c r="I938" s="8">
        <f t="shared" si="1"/>
        <v>20</v>
      </c>
      <c r="J938" s="9">
        <f t="shared" si="2"/>
        <v>11</v>
      </c>
      <c r="K938" s="9">
        <f t="shared" si="3"/>
        <v>2023</v>
      </c>
      <c r="M938" s="25">
        <f>IFERROR(__xludf.DUMMYFUNCTION("""COMPUTED_VALUE"""),45250.0)</f>
        <v>45250</v>
      </c>
    </row>
    <row r="939">
      <c r="A939" s="10" t="s">
        <v>887</v>
      </c>
      <c r="B939" s="3" t="s">
        <v>888</v>
      </c>
      <c r="C939" s="10" t="s">
        <v>947</v>
      </c>
      <c r="D939" s="3" t="s">
        <v>948</v>
      </c>
      <c r="E939" s="4" t="s">
        <v>8</v>
      </c>
      <c r="F939" s="5" t="s">
        <v>15</v>
      </c>
      <c r="G939" s="6" t="s">
        <v>782</v>
      </c>
      <c r="H939" s="7">
        <v>45272.0</v>
      </c>
      <c r="I939" s="8">
        <f t="shared" si="1"/>
        <v>12</v>
      </c>
      <c r="J939" s="9">
        <f t="shared" si="2"/>
        <v>12</v>
      </c>
      <c r="K939" s="9">
        <f t="shared" si="3"/>
        <v>2023</v>
      </c>
      <c r="M939" s="25">
        <f>IFERROR(__xludf.DUMMYFUNCTION("""COMPUTED_VALUE"""),45272.0)</f>
        <v>45272</v>
      </c>
    </row>
    <row r="940">
      <c r="A940" s="10" t="s">
        <v>887</v>
      </c>
      <c r="B940" s="3" t="s">
        <v>888</v>
      </c>
      <c r="C940" s="10" t="s">
        <v>947</v>
      </c>
      <c r="D940" s="3" t="s">
        <v>948</v>
      </c>
      <c r="E940" s="4" t="s">
        <v>8</v>
      </c>
      <c r="F940" s="5" t="s">
        <v>6</v>
      </c>
      <c r="G940" s="6" t="s">
        <v>964</v>
      </c>
      <c r="H940" s="7">
        <v>45284.0</v>
      </c>
      <c r="I940" s="8">
        <f t="shared" si="1"/>
        <v>24</v>
      </c>
      <c r="J940" s="9">
        <f t="shared" si="2"/>
        <v>12</v>
      </c>
      <c r="K940" s="9">
        <f t="shared" si="3"/>
        <v>2023</v>
      </c>
      <c r="M940" s="25">
        <f>IFERROR(__xludf.DUMMYFUNCTION("""COMPUTED_VALUE"""),45284.0)</f>
        <v>45284</v>
      </c>
    </row>
    <row r="941">
      <c r="A941" s="10" t="s">
        <v>908</v>
      </c>
      <c r="B941" s="3" t="s">
        <v>909</v>
      </c>
      <c r="C941" s="10" t="s">
        <v>408</v>
      </c>
      <c r="D941" s="3" t="s">
        <v>965</v>
      </c>
      <c r="E941" s="4" t="s">
        <v>3</v>
      </c>
      <c r="F941" s="5" t="s">
        <v>15</v>
      </c>
      <c r="G941" s="6" t="s">
        <v>966</v>
      </c>
      <c r="H941" s="7">
        <v>44928.0</v>
      </c>
      <c r="I941" s="8">
        <f t="shared" si="1"/>
        <v>2</v>
      </c>
      <c r="J941" s="9">
        <f t="shared" si="2"/>
        <v>1</v>
      </c>
      <c r="K941" s="9">
        <f t="shared" si="3"/>
        <v>2023</v>
      </c>
      <c r="M941" s="25">
        <f>IFERROR(__xludf.DUMMYFUNCTION("""COMPUTED_VALUE"""),44928.0)</f>
        <v>44928</v>
      </c>
    </row>
    <row r="942">
      <c r="A942" s="10" t="s">
        <v>908</v>
      </c>
      <c r="B942" s="3" t="s">
        <v>909</v>
      </c>
      <c r="C942" s="10" t="s">
        <v>408</v>
      </c>
      <c r="D942" s="3" t="s">
        <v>965</v>
      </c>
      <c r="E942" s="4" t="s">
        <v>3</v>
      </c>
      <c r="F942" s="5" t="s">
        <v>96</v>
      </c>
      <c r="G942" s="6" t="s">
        <v>967</v>
      </c>
      <c r="H942" s="7">
        <v>44934.0</v>
      </c>
      <c r="I942" s="8">
        <f t="shared" si="1"/>
        <v>8</v>
      </c>
      <c r="J942" s="9">
        <f t="shared" si="2"/>
        <v>1</v>
      </c>
      <c r="K942" s="9">
        <f t="shared" si="3"/>
        <v>2023</v>
      </c>
      <c r="M942" s="25">
        <f>IFERROR(__xludf.DUMMYFUNCTION("""COMPUTED_VALUE"""),44934.0)</f>
        <v>44934</v>
      </c>
    </row>
    <row r="943">
      <c r="A943" s="10" t="s">
        <v>908</v>
      </c>
      <c r="B943" s="3" t="s">
        <v>909</v>
      </c>
      <c r="C943" s="10" t="s">
        <v>408</v>
      </c>
      <c r="D943" s="3" t="s">
        <v>965</v>
      </c>
      <c r="E943" s="4" t="s">
        <v>3</v>
      </c>
      <c r="F943" s="5" t="s">
        <v>28</v>
      </c>
      <c r="G943" s="6" t="s">
        <v>248</v>
      </c>
      <c r="H943" s="7">
        <v>44938.0</v>
      </c>
      <c r="I943" s="8">
        <f t="shared" si="1"/>
        <v>12</v>
      </c>
      <c r="J943" s="9">
        <f t="shared" si="2"/>
        <v>1</v>
      </c>
      <c r="K943" s="9">
        <f t="shared" si="3"/>
        <v>2023</v>
      </c>
      <c r="M943" s="25">
        <f>IFERROR(__xludf.DUMMYFUNCTION("""COMPUTED_VALUE"""),44938.0)</f>
        <v>44938</v>
      </c>
    </row>
    <row r="944">
      <c r="A944" s="10" t="s">
        <v>908</v>
      </c>
      <c r="B944" s="3" t="s">
        <v>909</v>
      </c>
      <c r="C944" s="10" t="s">
        <v>408</v>
      </c>
      <c r="D944" s="3" t="s">
        <v>965</v>
      </c>
      <c r="E944" s="4" t="s">
        <v>8</v>
      </c>
      <c r="F944" s="5" t="s">
        <v>4</v>
      </c>
      <c r="G944" s="6" t="s">
        <v>968</v>
      </c>
      <c r="H944" s="7">
        <v>44966.0</v>
      </c>
      <c r="I944" s="8">
        <f t="shared" si="1"/>
        <v>9</v>
      </c>
      <c r="J944" s="9">
        <f t="shared" si="2"/>
        <v>2</v>
      </c>
      <c r="K944" s="9">
        <f t="shared" si="3"/>
        <v>2023</v>
      </c>
      <c r="M944" s="25">
        <f>IFERROR(__xludf.DUMMYFUNCTION("""COMPUTED_VALUE"""),44966.0)</f>
        <v>44966</v>
      </c>
    </row>
    <row r="945">
      <c r="A945" s="10" t="s">
        <v>908</v>
      </c>
      <c r="B945" s="3" t="s">
        <v>909</v>
      </c>
      <c r="C945" s="10" t="s">
        <v>408</v>
      </c>
      <c r="D945" s="3" t="s">
        <v>965</v>
      </c>
      <c r="E945" s="4" t="s">
        <v>3</v>
      </c>
      <c r="F945" s="5" t="s">
        <v>11</v>
      </c>
      <c r="G945" s="6" t="s">
        <v>969</v>
      </c>
      <c r="H945" s="7">
        <v>44974.0</v>
      </c>
      <c r="I945" s="8">
        <f t="shared" si="1"/>
        <v>17</v>
      </c>
      <c r="J945" s="9">
        <f t="shared" si="2"/>
        <v>2</v>
      </c>
      <c r="K945" s="9">
        <f t="shared" si="3"/>
        <v>2023</v>
      </c>
      <c r="M945" s="25">
        <f>IFERROR(__xludf.DUMMYFUNCTION("""COMPUTED_VALUE"""),44974.0)</f>
        <v>44974</v>
      </c>
    </row>
    <row r="946">
      <c r="A946" s="10" t="s">
        <v>908</v>
      </c>
      <c r="B946" s="3" t="s">
        <v>909</v>
      </c>
      <c r="C946" s="10" t="s">
        <v>408</v>
      </c>
      <c r="D946" s="3" t="s">
        <v>965</v>
      </c>
      <c r="E946" s="4" t="s">
        <v>8</v>
      </c>
      <c r="F946" s="5" t="s">
        <v>15</v>
      </c>
      <c r="G946" s="6" t="s">
        <v>452</v>
      </c>
      <c r="H946" s="7">
        <v>44977.0</v>
      </c>
      <c r="I946" s="8">
        <f t="shared" si="1"/>
        <v>20</v>
      </c>
      <c r="J946" s="9">
        <f t="shared" si="2"/>
        <v>2</v>
      </c>
      <c r="K946" s="9">
        <f t="shared" si="3"/>
        <v>2023</v>
      </c>
      <c r="M946" s="25">
        <f>IFERROR(__xludf.DUMMYFUNCTION("""COMPUTED_VALUE"""),44977.0)</f>
        <v>44977</v>
      </c>
    </row>
    <row r="947">
      <c r="A947" s="10" t="s">
        <v>908</v>
      </c>
      <c r="B947" s="3" t="s">
        <v>909</v>
      </c>
      <c r="C947" s="10" t="s">
        <v>408</v>
      </c>
      <c r="D947" s="3" t="s">
        <v>965</v>
      </c>
      <c r="E947" s="4" t="s">
        <v>8</v>
      </c>
      <c r="F947" s="5" t="s">
        <v>35</v>
      </c>
      <c r="G947" s="6" t="s">
        <v>970</v>
      </c>
      <c r="H947" s="7">
        <v>44999.0</v>
      </c>
      <c r="I947" s="8">
        <f t="shared" si="1"/>
        <v>14</v>
      </c>
      <c r="J947" s="9">
        <f t="shared" si="2"/>
        <v>3</v>
      </c>
      <c r="K947" s="9">
        <f t="shared" si="3"/>
        <v>2023</v>
      </c>
      <c r="M947" s="25">
        <f>IFERROR(__xludf.DUMMYFUNCTION("""COMPUTED_VALUE"""),44999.0)</f>
        <v>44999</v>
      </c>
    </row>
    <row r="948">
      <c r="A948" s="10" t="s">
        <v>908</v>
      </c>
      <c r="B948" s="3" t="s">
        <v>909</v>
      </c>
      <c r="C948" s="10" t="s">
        <v>408</v>
      </c>
      <c r="D948" s="3" t="s">
        <v>965</v>
      </c>
      <c r="E948" s="4" t="s">
        <v>8</v>
      </c>
      <c r="F948" s="5" t="s">
        <v>4</v>
      </c>
      <c r="G948" s="6" t="s">
        <v>971</v>
      </c>
      <c r="H948" s="7">
        <v>45029.0</v>
      </c>
      <c r="I948" s="8">
        <f t="shared" si="1"/>
        <v>13</v>
      </c>
      <c r="J948" s="9">
        <f t="shared" si="2"/>
        <v>4</v>
      </c>
      <c r="K948" s="9">
        <f t="shared" si="3"/>
        <v>2023</v>
      </c>
      <c r="M948" s="25">
        <f>IFERROR(__xludf.DUMMYFUNCTION("""COMPUTED_VALUE"""),45029.0)</f>
        <v>45029</v>
      </c>
    </row>
    <row r="949">
      <c r="A949" s="10" t="s">
        <v>908</v>
      </c>
      <c r="B949" s="3" t="s">
        <v>909</v>
      </c>
      <c r="C949" s="10" t="s">
        <v>408</v>
      </c>
      <c r="D949" s="3" t="s">
        <v>965</v>
      </c>
      <c r="E949" s="4" t="s">
        <v>3</v>
      </c>
      <c r="F949" s="5" t="s">
        <v>39</v>
      </c>
      <c r="G949" s="6" t="s">
        <v>972</v>
      </c>
      <c r="H949" s="7">
        <v>45032.0</v>
      </c>
      <c r="I949" s="8">
        <f t="shared" si="1"/>
        <v>16</v>
      </c>
      <c r="J949" s="9">
        <f t="shared" si="2"/>
        <v>4</v>
      </c>
      <c r="K949" s="9">
        <f t="shared" si="3"/>
        <v>2023</v>
      </c>
      <c r="M949" s="25">
        <f>IFERROR(__xludf.DUMMYFUNCTION("""COMPUTED_VALUE"""),45032.0)</f>
        <v>45032</v>
      </c>
    </row>
    <row r="950">
      <c r="A950" s="10" t="s">
        <v>908</v>
      </c>
      <c r="B950" s="3" t="s">
        <v>909</v>
      </c>
      <c r="C950" s="10" t="s">
        <v>408</v>
      </c>
      <c r="D950" s="3" t="s">
        <v>965</v>
      </c>
      <c r="E950" s="4" t="s">
        <v>3</v>
      </c>
      <c r="F950" s="5" t="s">
        <v>28</v>
      </c>
      <c r="G950" s="6" t="s">
        <v>973</v>
      </c>
      <c r="H950" s="7">
        <v>45078.0</v>
      </c>
      <c r="I950" s="8">
        <f t="shared" si="1"/>
        <v>1</v>
      </c>
      <c r="J950" s="9">
        <f t="shared" si="2"/>
        <v>6</v>
      </c>
      <c r="K950" s="9">
        <f t="shared" si="3"/>
        <v>2023</v>
      </c>
      <c r="M950" s="25">
        <f>IFERROR(__xludf.DUMMYFUNCTION("""COMPUTED_VALUE"""),45078.0)</f>
        <v>45078</v>
      </c>
    </row>
    <row r="951">
      <c r="A951" s="10" t="s">
        <v>908</v>
      </c>
      <c r="B951" s="3" t="s">
        <v>909</v>
      </c>
      <c r="C951" s="10" t="s">
        <v>408</v>
      </c>
      <c r="D951" s="3" t="s">
        <v>965</v>
      </c>
      <c r="E951" s="4" t="s">
        <v>3</v>
      </c>
      <c r="F951" s="5" t="s">
        <v>51</v>
      </c>
      <c r="G951" s="6" t="s">
        <v>974</v>
      </c>
      <c r="H951" s="7">
        <v>45139.0</v>
      </c>
      <c r="I951" s="8">
        <f t="shared" si="1"/>
        <v>1</v>
      </c>
      <c r="J951" s="9">
        <f t="shared" si="2"/>
        <v>8</v>
      </c>
      <c r="K951" s="9">
        <f t="shared" si="3"/>
        <v>2023</v>
      </c>
      <c r="M951" s="25">
        <f>IFERROR(__xludf.DUMMYFUNCTION("""COMPUTED_VALUE"""),45139.0)</f>
        <v>45139</v>
      </c>
    </row>
    <row r="952">
      <c r="A952" s="10" t="s">
        <v>908</v>
      </c>
      <c r="B952" s="3" t="s">
        <v>909</v>
      </c>
      <c r="C952" s="10" t="s">
        <v>408</v>
      </c>
      <c r="D952" s="3" t="s">
        <v>965</v>
      </c>
      <c r="E952" s="4" t="s">
        <v>8</v>
      </c>
      <c r="F952" s="5" t="s">
        <v>15</v>
      </c>
      <c r="G952" s="6" t="s">
        <v>975</v>
      </c>
      <c r="H952" s="7">
        <v>45195.0</v>
      </c>
      <c r="I952" s="8">
        <f t="shared" si="1"/>
        <v>26</v>
      </c>
      <c r="J952" s="9">
        <f t="shared" si="2"/>
        <v>9</v>
      </c>
      <c r="K952" s="9">
        <f t="shared" si="3"/>
        <v>2023</v>
      </c>
      <c r="M952" s="25">
        <f>IFERROR(__xludf.DUMMYFUNCTION("""COMPUTED_VALUE"""),45195.0)</f>
        <v>45195</v>
      </c>
    </row>
    <row r="953">
      <c r="A953" s="10" t="s">
        <v>908</v>
      </c>
      <c r="B953" s="3" t="s">
        <v>909</v>
      </c>
      <c r="C953" s="10" t="s">
        <v>408</v>
      </c>
      <c r="D953" s="3" t="s">
        <v>965</v>
      </c>
      <c r="E953" s="4" t="s">
        <v>3</v>
      </c>
      <c r="F953" s="5" t="s">
        <v>45</v>
      </c>
      <c r="G953" s="6" t="s">
        <v>839</v>
      </c>
      <c r="H953" s="7">
        <v>45200.0</v>
      </c>
      <c r="I953" s="8">
        <f t="shared" si="1"/>
        <v>1</v>
      </c>
      <c r="J953" s="9">
        <f t="shared" si="2"/>
        <v>10</v>
      </c>
      <c r="K953" s="9">
        <f t="shared" si="3"/>
        <v>2023</v>
      </c>
      <c r="M953" s="25">
        <f>IFERROR(__xludf.DUMMYFUNCTION("""COMPUTED_VALUE"""),45200.0)</f>
        <v>45200</v>
      </c>
    </row>
    <row r="954">
      <c r="A954" s="10" t="s">
        <v>908</v>
      </c>
      <c r="B954" s="3" t="s">
        <v>909</v>
      </c>
      <c r="C954" s="10" t="s">
        <v>408</v>
      </c>
      <c r="D954" s="3" t="s">
        <v>965</v>
      </c>
      <c r="E954" s="4" t="s">
        <v>3</v>
      </c>
      <c r="F954" s="5" t="s">
        <v>120</v>
      </c>
      <c r="G954" s="6" t="s">
        <v>976</v>
      </c>
      <c r="H954" s="7">
        <v>45200.0</v>
      </c>
      <c r="I954" s="8">
        <f t="shared" si="1"/>
        <v>1</v>
      </c>
      <c r="J954" s="9">
        <f t="shared" si="2"/>
        <v>10</v>
      </c>
      <c r="K954" s="9">
        <f t="shared" si="3"/>
        <v>2023</v>
      </c>
      <c r="M954" s="25">
        <f>IFERROR(__xludf.DUMMYFUNCTION("""COMPUTED_VALUE"""),45200.0)</f>
        <v>45200</v>
      </c>
    </row>
    <row r="955">
      <c r="A955" s="10" t="s">
        <v>908</v>
      </c>
      <c r="B955" s="3" t="s">
        <v>909</v>
      </c>
      <c r="C955" s="10" t="s">
        <v>408</v>
      </c>
      <c r="D955" s="3" t="s">
        <v>965</v>
      </c>
      <c r="E955" s="4" t="s">
        <v>3</v>
      </c>
      <c r="F955" s="5" t="s">
        <v>120</v>
      </c>
      <c r="G955" s="6" t="s">
        <v>977</v>
      </c>
      <c r="H955" s="7">
        <v>45201.0</v>
      </c>
      <c r="I955" s="8">
        <f t="shared" si="1"/>
        <v>2</v>
      </c>
      <c r="J955" s="9">
        <f t="shared" si="2"/>
        <v>10</v>
      </c>
      <c r="K955" s="9">
        <f t="shared" si="3"/>
        <v>2023</v>
      </c>
      <c r="M955" s="25">
        <f>IFERROR(__xludf.DUMMYFUNCTION("""COMPUTED_VALUE"""),45201.0)</f>
        <v>45201</v>
      </c>
    </row>
    <row r="956">
      <c r="A956" s="10" t="s">
        <v>908</v>
      </c>
      <c r="B956" s="3" t="s">
        <v>909</v>
      </c>
      <c r="C956" s="10" t="s">
        <v>408</v>
      </c>
      <c r="D956" s="3" t="s">
        <v>965</v>
      </c>
      <c r="E956" s="4" t="s">
        <v>3</v>
      </c>
      <c r="F956" s="5" t="s">
        <v>45</v>
      </c>
      <c r="G956" s="6" t="s">
        <v>978</v>
      </c>
      <c r="H956" s="7">
        <v>45233.0</v>
      </c>
      <c r="I956" s="8">
        <f t="shared" si="1"/>
        <v>3</v>
      </c>
      <c r="J956" s="9">
        <f t="shared" si="2"/>
        <v>11</v>
      </c>
      <c r="K956" s="9">
        <f t="shared" si="3"/>
        <v>2023</v>
      </c>
      <c r="M956" s="25">
        <f>IFERROR(__xludf.DUMMYFUNCTION("""COMPUTED_VALUE"""),45233.0)</f>
        <v>45233</v>
      </c>
    </row>
    <row r="957">
      <c r="A957" s="10" t="s">
        <v>908</v>
      </c>
      <c r="B957" s="3" t="s">
        <v>909</v>
      </c>
      <c r="C957" s="10" t="s">
        <v>408</v>
      </c>
      <c r="D957" s="3" t="s">
        <v>965</v>
      </c>
      <c r="E957" s="4" t="s">
        <v>3</v>
      </c>
      <c r="F957" s="5" t="s">
        <v>76</v>
      </c>
      <c r="G957" s="6" t="s">
        <v>702</v>
      </c>
      <c r="H957" s="7">
        <v>45240.0</v>
      </c>
      <c r="I957" s="8">
        <f t="shared" si="1"/>
        <v>10</v>
      </c>
      <c r="J957" s="9">
        <f t="shared" si="2"/>
        <v>11</v>
      </c>
      <c r="K957" s="9">
        <f t="shared" si="3"/>
        <v>2023</v>
      </c>
      <c r="M957" s="25">
        <f>IFERROR(__xludf.DUMMYFUNCTION("""COMPUTED_VALUE"""),45240.0)</f>
        <v>45240</v>
      </c>
    </row>
    <row r="958">
      <c r="A958" s="10" t="s">
        <v>908</v>
      </c>
      <c r="B958" s="3" t="s">
        <v>909</v>
      </c>
      <c r="C958" s="10" t="s">
        <v>408</v>
      </c>
      <c r="D958" s="3" t="s">
        <v>965</v>
      </c>
      <c r="E958" s="4" t="s">
        <v>8</v>
      </c>
      <c r="F958" s="5" t="s">
        <v>120</v>
      </c>
      <c r="G958" s="6" t="s">
        <v>979</v>
      </c>
      <c r="H958" s="7">
        <v>45243.0</v>
      </c>
      <c r="I958" s="8">
        <f t="shared" si="1"/>
        <v>13</v>
      </c>
      <c r="J958" s="9">
        <f t="shared" si="2"/>
        <v>11</v>
      </c>
      <c r="K958" s="9">
        <f t="shared" si="3"/>
        <v>2023</v>
      </c>
      <c r="M958" s="25">
        <f>IFERROR(__xludf.DUMMYFUNCTION("""COMPUTED_VALUE"""),45243.0)</f>
        <v>45243</v>
      </c>
    </row>
    <row r="959">
      <c r="A959" s="10" t="s">
        <v>908</v>
      </c>
      <c r="B959" s="3" t="s">
        <v>909</v>
      </c>
      <c r="C959" s="10" t="s">
        <v>408</v>
      </c>
      <c r="D959" s="3" t="s">
        <v>965</v>
      </c>
      <c r="E959" s="4" t="s">
        <v>8</v>
      </c>
      <c r="F959" s="5" t="s">
        <v>15</v>
      </c>
      <c r="G959" s="6" t="s">
        <v>241</v>
      </c>
      <c r="H959" s="7">
        <v>45255.0</v>
      </c>
      <c r="I959" s="8">
        <f t="shared" si="1"/>
        <v>25</v>
      </c>
      <c r="J959" s="9">
        <f t="shared" si="2"/>
        <v>11</v>
      </c>
      <c r="K959" s="9">
        <f t="shared" si="3"/>
        <v>2023</v>
      </c>
      <c r="M959" s="25">
        <f>IFERROR(__xludf.DUMMYFUNCTION("""COMPUTED_VALUE"""),45255.0)</f>
        <v>45255</v>
      </c>
    </row>
    <row r="960">
      <c r="A960" s="10" t="s">
        <v>908</v>
      </c>
      <c r="B960" s="3" t="s">
        <v>909</v>
      </c>
      <c r="C960" s="10" t="s">
        <v>408</v>
      </c>
      <c r="D960" s="3" t="s">
        <v>965</v>
      </c>
      <c r="E960" s="4" t="s">
        <v>3</v>
      </c>
      <c r="F960" s="5" t="s">
        <v>19</v>
      </c>
      <c r="G960" s="6" t="s">
        <v>203</v>
      </c>
      <c r="H960" s="7">
        <v>45286.0</v>
      </c>
      <c r="I960" s="8">
        <f t="shared" si="1"/>
        <v>26</v>
      </c>
      <c r="J960" s="9">
        <f t="shared" si="2"/>
        <v>12</v>
      </c>
      <c r="K960" s="9">
        <f t="shared" si="3"/>
        <v>2023</v>
      </c>
      <c r="M960" s="25">
        <f>IFERROR(__xludf.DUMMYFUNCTION("""COMPUTED_VALUE"""),45286.0)</f>
        <v>45286</v>
      </c>
    </row>
    <row r="961">
      <c r="A961" s="10" t="s">
        <v>927</v>
      </c>
      <c r="B961" s="3" t="s">
        <v>928</v>
      </c>
      <c r="C961" s="10" t="s">
        <v>980</v>
      </c>
      <c r="D961" s="3" t="s">
        <v>981</v>
      </c>
      <c r="E961" s="4" t="s">
        <v>3</v>
      </c>
      <c r="F961" s="5" t="s">
        <v>96</v>
      </c>
      <c r="G961" s="6" t="s">
        <v>982</v>
      </c>
      <c r="H961" s="7">
        <v>44945.0</v>
      </c>
      <c r="I961" s="8">
        <f t="shared" si="1"/>
        <v>19</v>
      </c>
      <c r="J961" s="9">
        <f t="shared" si="2"/>
        <v>1</v>
      </c>
      <c r="K961" s="9">
        <f t="shared" si="3"/>
        <v>2023</v>
      </c>
      <c r="M961" s="25">
        <f>IFERROR(__xludf.DUMMYFUNCTION("""COMPUTED_VALUE"""),44945.0)</f>
        <v>44945</v>
      </c>
    </row>
    <row r="962">
      <c r="A962" s="10" t="s">
        <v>927</v>
      </c>
      <c r="B962" s="3" t="s">
        <v>928</v>
      </c>
      <c r="C962" s="10" t="s">
        <v>980</v>
      </c>
      <c r="D962" s="3" t="s">
        <v>981</v>
      </c>
      <c r="E962" s="4" t="s">
        <v>8</v>
      </c>
      <c r="F962" s="5" t="s">
        <v>35</v>
      </c>
      <c r="G962" s="6" t="s">
        <v>983</v>
      </c>
      <c r="H962" s="7">
        <v>44974.0</v>
      </c>
      <c r="I962" s="8">
        <f t="shared" si="1"/>
        <v>17</v>
      </c>
      <c r="J962" s="9">
        <f t="shared" si="2"/>
        <v>2</v>
      </c>
      <c r="K962" s="9">
        <f t="shared" si="3"/>
        <v>2023</v>
      </c>
      <c r="M962" s="25">
        <f>IFERROR(__xludf.DUMMYFUNCTION("""COMPUTED_VALUE"""),44974.0)</f>
        <v>44974</v>
      </c>
    </row>
    <row r="963">
      <c r="A963" s="10" t="s">
        <v>927</v>
      </c>
      <c r="B963" s="3" t="s">
        <v>928</v>
      </c>
      <c r="C963" s="10" t="s">
        <v>980</v>
      </c>
      <c r="D963" s="3" t="s">
        <v>981</v>
      </c>
      <c r="E963" s="4" t="s">
        <v>8</v>
      </c>
      <c r="F963" s="5" t="s">
        <v>23</v>
      </c>
      <c r="G963" s="6" t="s">
        <v>417</v>
      </c>
      <c r="H963" s="7">
        <v>45024.0</v>
      </c>
      <c r="I963" s="8">
        <f t="shared" si="1"/>
        <v>8</v>
      </c>
      <c r="J963" s="9">
        <f t="shared" si="2"/>
        <v>4</v>
      </c>
      <c r="K963" s="9">
        <f t="shared" si="3"/>
        <v>2023</v>
      </c>
      <c r="M963" s="25">
        <f>IFERROR(__xludf.DUMMYFUNCTION("""COMPUTED_VALUE"""),45024.0)</f>
        <v>45024</v>
      </c>
    </row>
    <row r="964">
      <c r="A964" s="10" t="s">
        <v>927</v>
      </c>
      <c r="B964" s="3" t="s">
        <v>928</v>
      </c>
      <c r="C964" s="10" t="s">
        <v>980</v>
      </c>
      <c r="D964" s="3" t="s">
        <v>981</v>
      </c>
      <c r="E964" s="4" t="s">
        <v>8</v>
      </c>
      <c r="F964" s="5" t="s">
        <v>51</v>
      </c>
      <c r="G964" s="6" t="s">
        <v>297</v>
      </c>
      <c r="H964" s="7">
        <v>45058.0</v>
      </c>
      <c r="I964" s="8">
        <f t="shared" si="1"/>
        <v>12</v>
      </c>
      <c r="J964" s="9">
        <f t="shared" si="2"/>
        <v>5</v>
      </c>
      <c r="K964" s="9">
        <f t="shared" si="3"/>
        <v>2023</v>
      </c>
      <c r="M964" s="25">
        <f>IFERROR(__xludf.DUMMYFUNCTION("""COMPUTED_VALUE"""),45058.0)</f>
        <v>45058</v>
      </c>
    </row>
    <row r="965">
      <c r="A965" s="10" t="s">
        <v>927</v>
      </c>
      <c r="B965" s="3" t="s">
        <v>928</v>
      </c>
      <c r="C965" s="10" t="s">
        <v>980</v>
      </c>
      <c r="D965" s="3" t="s">
        <v>981</v>
      </c>
      <c r="E965" s="4" t="s">
        <v>3</v>
      </c>
      <c r="F965" s="5" t="s">
        <v>96</v>
      </c>
      <c r="G965" s="6" t="s">
        <v>984</v>
      </c>
      <c r="H965" s="7">
        <v>45070.0</v>
      </c>
      <c r="I965" s="8">
        <f t="shared" si="1"/>
        <v>24</v>
      </c>
      <c r="J965" s="9">
        <f t="shared" si="2"/>
        <v>5</v>
      </c>
      <c r="K965" s="9">
        <f t="shared" si="3"/>
        <v>2023</v>
      </c>
      <c r="M965" s="25">
        <f>IFERROR(__xludf.DUMMYFUNCTION("""COMPUTED_VALUE"""),45070.0)</f>
        <v>45070</v>
      </c>
    </row>
    <row r="966">
      <c r="A966" s="10" t="s">
        <v>927</v>
      </c>
      <c r="B966" s="3" t="s">
        <v>928</v>
      </c>
      <c r="C966" s="10" t="s">
        <v>980</v>
      </c>
      <c r="D966" s="3" t="s">
        <v>981</v>
      </c>
      <c r="E966" s="4" t="s">
        <v>8</v>
      </c>
      <c r="F966" s="5" t="s">
        <v>15</v>
      </c>
      <c r="G966" s="6" t="s">
        <v>985</v>
      </c>
      <c r="H966" s="7">
        <v>45103.0</v>
      </c>
      <c r="I966" s="8">
        <f t="shared" si="1"/>
        <v>26</v>
      </c>
      <c r="J966" s="9">
        <f t="shared" si="2"/>
        <v>6</v>
      </c>
      <c r="K966" s="9">
        <f t="shared" si="3"/>
        <v>2023</v>
      </c>
      <c r="M966" s="25">
        <f>IFERROR(__xludf.DUMMYFUNCTION("""COMPUTED_VALUE"""),45103.0)</f>
        <v>45103</v>
      </c>
    </row>
    <row r="967">
      <c r="A967" s="10" t="s">
        <v>927</v>
      </c>
      <c r="B967" s="3" t="s">
        <v>928</v>
      </c>
      <c r="C967" s="10" t="s">
        <v>980</v>
      </c>
      <c r="D967" s="3" t="s">
        <v>981</v>
      </c>
      <c r="E967" s="4" t="s">
        <v>3</v>
      </c>
      <c r="F967" s="5" t="s">
        <v>120</v>
      </c>
      <c r="G967" s="6" t="s">
        <v>986</v>
      </c>
      <c r="H967" s="7">
        <v>45116.0</v>
      </c>
      <c r="I967" s="8">
        <f t="shared" si="1"/>
        <v>9</v>
      </c>
      <c r="J967" s="9">
        <f t="shared" si="2"/>
        <v>7</v>
      </c>
      <c r="K967" s="9">
        <f t="shared" si="3"/>
        <v>2023</v>
      </c>
      <c r="M967" s="25">
        <f>IFERROR(__xludf.DUMMYFUNCTION("""COMPUTED_VALUE"""),45116.0)</f>
        <v>45116</v>
      </c>
    </row>
    <row r="968">
      <c r="A968" s="10" t="s">
        <v>927</v>
      </c>
      <c r="B968" s="3" t="s">
        <v>928</v>
      </c>
      <c r="C968" s="10" t="s">
        <v>980</v>
      </c>
      <c r="D968" s="3" t="s">
        <v>981</v>
      </c>
      <c r="E968" s="4" t="s">
        <v>8</v>
      </c>
      <c r="F968" s="5" t="s">
        <v>28</v>
      </c>
      <c r="G968" s="6" t="s">
        <v>987</v>
      </c>
      <c r="H968" s="7">
        <v>45121.0</v>
      </c>
      <c r="I968" s="8">
        <f t="shared" si="1"/>
        <v>14</v>
      </c>
      <c r="J968" s="9">
        <f t="shared" si="2"/>
        <v>7</v>
      </c>
      <c r="K968" s="9">
        <f t="shared" si="3"/>
        <v>2023</v>
      </c>
      <c r="M968" s="25">
        <f>IFERROR(__xludf.DUMMYFUNCTION("""COMPUTED_VALUE"""),45121.0)</f>
        <v>45121</v>
      </c>
    </row>
    <row r="969">
      <c r="A969" s="10" t="s">
        <v>927</v>
      </c>
      <c r="B969" s="3" t="s">
        <v>928</v>
      </c>
      <c r="C969" s="10" t="s">
        <v>980</v>
      </c>
      <c r="D969" s="3" t="s">
        <v>981</v>
      </c>
      <c r="E969" s="4" t="s">
        <v>3</v>
      </c>
      <c r="F969" s="5" t="s">
        <v>9</v>
      </c>
      <c r="G969" s="6" t="s">
        <v>988</v>
      </c>
      <c r="H969" s="7">
        <v>45142.0</v>
      </c>
      <c r="I969" s="8">
        <f t="shared" si="1"/>
        <v>4</v>
      </c>
      <c r="J969" s="9">
        <f t="shared" si="2"/>
        <v>8</v>
      </c>
      <c r="K969" s="9">
        <f t="shared" si="3"/>
        <v>2023</v>
      </c>
      <c r="M969" s="25">
        <f>IFERROR(__xludf.DUMMYFUNCTION("""COMPUTED_VALUE"""),45142.0)</f>
        <v>45142</v>
      </c>
    </row>
    <row r="970">
      <c r="A970" s="10" t="s">
        <v>927</v>
      </c>
      <c r="B970" s="3" t="s">
        <v>928</v>
      </c>
      <c r="C970" s="10" t="s">
        <v>980</v>
      </c>
      <c r="D970" s="3" t="s">
        <v>981</v>
      </c>
      <c r="E970" s="4" t="s">
        <v>3</v>
      </c>
      <c r="F970" s="5" t="s">
        <v>71</v>
      </c>
      <c r="G970" s="6" t="s">
        <v>989</v>
      </c>
      <c r="H970" s="7">
        <v>45151.0</v>
      </c>
      <c r="I970" s="8">
        <f t="shared" si="1"/>
        <v>13</v>
      </c>
      <c r="J970" s="9">
        <f t="shared" si="2"/>
        <v>8</v>
      </c>
      <c r="K970" s="9">
        <f t="shared" si="3"/>
        <v>2023</v>
      </c>
      <c r="M970" s="25">
        <f>IFERROR(__xludf.DUMMYFUNCTION("""COMPUTED_VALUE"""),45151.0)</f>
        <v>45151</v>
      </c>
    </row>
    <row r="971">
      <c r="A971" s="10" t="s">
        <v>927</v>
      </c>
      <c r="B971" s="3" t="s">
        <v>928</v>
      </c>
      <c r="C971" s="10" t="s">
        <v>980</v>
      </c>
      <c r="D971" s="3" t="s">
        <v>981</v>
      </c>
      <c r="E971" s="4" t="s">
        <v>3</v>
      </c>
      <c r="F971" s="5" t="s">
        <v>35</v>
      </c>
      <c r="G971" s="6" t="s">
        <v>990</v>
      </c>
      <c r="H971" s="7">
        <v>45158.0</v>
      </c>
      <c r="I971" s="8">
        <f t="shared" si="1"/>
        <v>20</v>
      </c>
      <c r="J971" s="9">
        <f t="shared" si="2"/>
        <v>8</v>
      </c>
      <c r="K971" s="9">
        <f t="shared" si="3"/>
        <v>2023</v>
      </c>
      <c r="M971" s="25">
        <f>IFERROR(__xludf.DUMMYFUNCTION("""COMPUTED_VALUE"""),45158.0)</f>
        <v>45158</v>
      </c>
    </row>
    <row r="972">
      <c r="A972" s="10" t="s">
        <v>927</v>
      </c>
      <c r="B972" s="3" t="s">
        <v>928</v>
      </c>
      <c r="C972" s="10" t="s">
        <v>980</v>
      </c>
      <c r="D972" s="3" t="s">
        <v>981</v>
      </c>
      <c r="E972" s="4" t="s">
        <v>3</v>
      </c>
      <c r="F972" s="5" t="s">
        <v>21</v>
      </c>
      <c r="G972" s="6" t="s">
        <v>991</v>
      </c>
      <c r="H972" s="7">
        <v>45163.0</v>
      </c>
      <c r="I972" s="8">
        <f t="shared" si="1"/>
        <v>25</v>
      </c>
      <c r="J972" s="9">
        <f t="shared" si="2"/>
        <v>8</v>
      </c>
      <c r="K972" s="9">
        <f t="shared" si="3"/>
        <v>2023</v>
      </c>
      <c r="M972" s="25">
        <f>IFERROR(__xludf.DUMMYFUNCTION("""COMPUTED_VALUE"""),45163.0)</f>
        <v>45163</v>
      </c>
    </row>
    <row r="973">
      <c r="A973" s="10" t="s">
        <v>927</v>
      </c>
      <c r="B973" s="3" t="s">
        <v>928</v>
      </c>
      <c r="C973" s="10" t="s">
        <v>980</v>
      </c>
      <c r="D973" s="3" t="s">
        <v>981</v>
      </c>
      <c r="E973" s="4" t="s">
        <v>8</v>
      </c>
      <c r="F973" s="5" t="s">
        <v>9</v>
      </c>
      <c r="G973" s="6" t="s">
        <v>448</v>
      </c>
      <c r="H973" s="7">
        <v>45216.0</v>
      </c>
      <c r="I973" s="8">
        <f t="shared" si="1"/>
        <v>17</v>
      </c>
      <c r="J973" s="9">
        <f t="shared" si="2"/>
        <v>10</v>
      </c>
      <c r="K973" s="9">
        <f t="shared" si="3"/>
        <v>2023</v>
      </c>
      <c r="M973" s="25">
        <f>IFERROR(__xludf.DUMMYFUNCTION("""COMPUTED_VALUE"""),45216.0)</f>
        <v>45216</v>
      </c>
    </row>
    <row r="974">
      <c r="A974" s="10" t="s">
        <v>927</v>
      </c>
      <c r="B974" s="3" t="s">
        <v>928</v>
      </c>
      <c r="C974" s="10" t="s">
        <v>980</v>
      </c>
      <c r="D974" s="3" t="s">
        <v>981</v>
      </c>
      <c r="E974" s="4" t="s">
        <v>3</v>
      </c>
      <c r="F974" s="5" t="s">
        <v>6</v>
      </c>
      <c r="G974" s="6" t="s">
        <v>992</v>
      </c>
      <c r="H974" s="7">
        <v>45227.0</v>
      </c>
      <c r="I974" s="8">
        <f t="shared" si="1"/>
        <v>28</v>
      </c>
      <c r="J974" s="9">
        <f t="shared" si="2"/>
        <v>10</v>
      </c>
      <c r="K974" s="9">
        <f t="shared" si="3"/>
        <v>2023</v>
      </c>
      <c r="M974" s="25">
        <f>IFERROR(__xludf.DUMMYFUNCTION("""COMPUTED_VALUE"""),45227.0)</f>
        <v>45227</v>
      </c>
    </row>
    <row r="975">
      <c r="A975" s="10" t="s">
        <v>927</v>
      </c>
      <c r="B975" s="3" t="s">
        <v>928</v>
      </c>
      <c r="C975" s="10" t="s">
        <v>980</v>
      </c>
      <c r="D975" s="3" t="s">
        <v>981</v>
      </c>
      <c r="E975" s="4" t="s">
        <v>8</v>
      </c>
      <c r="F975" s="5" t="s">
        <v>45</v>
      </c>
      <c r="G975" s="6" t="s">
        <v>993</v>
      </c>
      <c r="H975" s="7">
        <v>45234.0</v>
      </c>
      <c r="I975" s="8">
        <f t="shared" si="1"/>
        <v>4</v>
      </c>
      <c r="J975" s="9">
        <f t="shared" si="2"/>
        <v>11</v>
      </c>
      <c r="K975" s="9">
        <f t="shared" si="3"/>
        <v>2023</v>
      </c>
      <c r="M975" s="25">
        <f>IFERROR(__xludf.DUMMYFUNCTION("""COMPUTED_VALUE"""),45234.0)</f>
        <v>45234</v>
      </c>
    </row>
    <row r="976">
      <c r="A976" s="10" t="s">
        <v>927</v>
      </c>
      <c r="B976" s="3" t="s">
        <v>928</v>
      </c>
      <c r="C976" s="10" t="s">
        <v>980</v>
      </c>
      <c r="D976" s="3" t="s">
        <v>981</v>
      </c>
      <c r="E976" s="4" t="s">
        <v>8</v>
      </c>
      <c r="F976" s="5" t="s">
        <v>17</v>
      </c>
      <c r="G976" s="6" t="s">
        <v>994</v>
      </c>
      <c r="H976" s="7">
        <v>45249.0</v>
      </c>
      <c r="I976" s="8">
        <f t="shared" si="1"/>
        <v>19</v>
      </c>
      <c r="J976" s="9">
        <f t="shared" si="2"/>
        <v>11</v>
      </c>
      <c r="K976" s="9">
        <f t="shared" si="3"/>
        <v>2023</v>
      </c>
      <c r="M976" s="25">
        <f>IFERROR(__xludf.DUMMYFUNCTION("""COMPUTED_VALUE"""),45249.0)</f>
        <v>45249</v>
      </c>
    </row>
    <row r="977">
      <c r="A977" s="10" t="s">
        <v>927</v>
      </c>
      <c r="B977" s="3" t="s">
        <v>928</v>
      </c>
      <c r="C977" s="10" t="s">
        <v>980</v>
      </c>
      <c r="D977" s="3" t="s">
        <v>981</v>
      </c>
      <c r="E977" s="4" t="s">
        <v>3</v>
      </c>
      <c r="F977" s="5" t="s">
        <v>71</v>
      </c>
      <c r="G977" s="6" t="s">
        <v>995</v>
      </c>
      <c r="H977" s="7">
        <v>45252.0</v>
      </c>
      <c r="I977" s="8">
        <f t="shared" si="1"/>
        <v>22</v>
      </c>
      <c r="J977" s="9">
        <f t="shared" si="2"/>
        <v>11</v>
      </c>
      <c r="K977" s="9">
        <f t="shared" si="3"/>
        <v>2023</v>
      </c>
      <c r="M977" s="25">
        <f>IFERROR(__xludf.DUMMYFUNCTION("""COMPUTED_VALUE"""),45252.0)</f>
        <v>45252</v>
      </c>
    </row>
    <row r="978">
      <c r="A978" s="10" t="s">
        <v>927</v>
      </c>
      <c r="B978" s="3" t="s">
        <v>928</v>
      </c>
      <c r="C978" s="10" t="s">
        <v>980</v>
      </c>
      <c r="D978" s="3" t="s">
        <v>981</v>
      </c>
      <c r="E978" s="4" t="s">
        <v>3</v>
      </c>
      <c r="F978" s="5" t="s">
        <v>21</v>
      </c>
      <c r="G978" s="6" t="s">
        <v>996</v>
      </c>
      <c r="H978" s="7">
        <v>45253.0</v>
      </c>
      <c r="I978" s="8">
        <f t="shared" si="1"/>
        <v>23</v>
      </c>
      <c r="J978" s="9">
        <f t="shared" si="2"/>
        <v>11</v>
      </c>
      <c r="K978" s="9">
        <f t="shared" si="3"/>
        <v>2023</v>
      </c>
      <c r="M978" s="25">
        <f>IFERROR(__xludf.DUMMYFUNCTION("""COMPUTED_VALUE"""),45253.0)</f>
        <v>45253</v>
      </c>
    </row>
    <row r="979">
      <c r="A979" s="10" t="s">
        <v>927</v>
      </c>
      <c r="B979" s="3" t="s">
        <v>928</v>
      </c>
      <c r="C979" s="10" t="s">
        <v>980</v>
      </c>
      <c r="D979" s="3" t="s">
        <v>981</v>
      </c>
      <c r="E979" s="4" t="s">
        <v>3</v>
      </c>
      <c r="F979" s="5" t="s">
        <v>11</v>
      </c>
      <c r="G979" s="6" t="s">
        <v>997</v>
      </c>
      <c r="H979" s="7">
        <v>45257.0</v>
      </c>
      <c r="I979" s="8">
        <f t="shared" si="1"/>
        <v>27</v>
      </c>
      <c r="J979" s="9">
        <f t="shared" si="2"/>
        <v>11</v>
      </c>
      <c r="K979" s="9">
        <f t="shared" si="3"/>
        <v>2023</v>
      </c>
      <c r="M979" s="25">
        <f>IFERROR(__xludf.DUMMYFUNCTION("""COMPUTED_VALUE"""),45257.0)</f>
        <v>45257</v>
      </c>
    </row>
    <row r="980">
      <c r="A980" s="10" t="s">
        <v>927</v>
      </c>
      <c r="B980" s="3" t="s">
        <v>928</v>
      </c>
      <c r="C980" s="10" t="s">
        <v>980</v>
      </c>
      <c r="D980" s="3" t="s">
        <v>981</v>
      </c>
      <c r="E980" s="4" t="s">
        <v>3</v>
      </c>
      <c r="F980" s="5" t="s">
        <v>39</v>
      </c>
      <c r="G980" s="6" t="s">
        <v>998</v>
      </c>
      <c r="H980" s="7">
        <v>45270.0</v>
      </c>
      <c r="I980" s="8">
        <f t="shared" si="1"/>
        <v>10</v>
      </c>
      <c r="J980" s="9">
        <f t="shared" si="2"/>
        <v>12</v>
      </c>
      <c r="K980" s="9">
        <f t="shared" si="3"/>
        <v>2023</v>
      </c>
      <c r="M980" s="25">
        <f>IFERROR(__xludf.DUMMYFUNCTION("""COMPUTED_VALUE"""),45270.0)</f>
        <v>45270</v>
      </c>
    </row>
    <row r="981">
      <c r="A981" s="10" t="s">
        <v>947</v>
      </c>
      <c r="B981" s="3" t="s">
        <v>948</v>
      </c>
      <c r="C981" s="10" t="s">
        <v>999</v>
      </c>
      <c r="D981" s="3" t="s">
        <v>1000</v>
      </c>
      <c r="E981" s="4" t="s">
        <v>8</v>
      </c>
      <c r="F981" s="5" t="s">
        <v>17</v>
      </c>
      <c r="G981" s="6" t="s">
        <v>1001</v>
      </c>
      <c r="H981" s="7">
        <v>44927.0</v>
      </c>
      <c r="I981" s="8">
        <f t="shared" si="1"/>
        <v>1</v>
      </c>
      <c r="J981" s="9">
        <f t="shared" si="2"/>
        <v>1</v>
      </c>
      <c r="K981" s="9">
        <f t="shared" si="3"/>
        <v>2023</v>
      </c>
      <c r="M981" s="25">
        <f>IFERROR(__xludf.DUMMYFUNCTION("""COMPUTED_VALUE"""),44927.0)</f>
        <v>44927</v>
      </c>
    </row>
    <row r="982">
      <c r="A982" s="10" t="s">
        <v>947</v>
      </c>
      <c r="B982" s="3" t="s">
        <v>948</v>
      </c>
      <c r="C982" s="10" t="s">
        <v>999</v>
      </c>
      <c r="D982" s="3" t="s">
        <v>1000</v>
      </c>
      <c r="E982" s="4" t="s">
        <v>3</v>
      </c>
      <c r="F982" s="5" t="s">
        <v>23</v>
      </c>
      <c r="G982" s="6" t="s">
        <v>1002</v>
      </c>
      <c r="H982" s="7">
        <v>44940.0</v>
      </c>
      <c r="I982" s="8">
        <f t="shared" si="1"/>
        <v>14</v>
      </c>
      <c r="J982" s="9">
        <f t="shared" si="2"/>
        <v>1</v>
      </c>
      <c r="K982" s="9">
        <f t="shared" si="3"/>
        <v>2023</v>
      </c>
      <c r="M982" s="25">
        <f>IFERROR(__xludf.DUMMYFUNCTION("""COMPUTED_VALUE"""),44940.0)</f>
        <v>44940</v>
      </c>
    </row>
    <row r="983">
      <c r="A983" s="10" t="s">
        <v>947</v>
      </c>
      <c r="B983" s="3" t="s">
        <v>948</v>
      </c>
      <c r="C983" s="10" t="s">
        <v>999</v>
      </c>
      <c r="D983" s="3" t="s">
        <v>1000</v>
      </c>
      <c r="E983" s="4" t="s">
        <v>3</v>
      </c>
      <c r="F983" s="5" t="s">
        <v>11</v>
      </c>
      <c r="G983" s="6" t="s">
        <v>1003</v>
      </c>
      <c r="H983" s="7">
        <v>44944.0</v>
      </c>
      <c r="I983" s="8">
        <f t="shared" si="1"/>
        <v>18</v>
      </c>
      <c r="J983" s="9">
        <f t="shared" si="2"/>
        <v>1</v>
      </c>
      <c r="K983" s="9">
        <f t="shared" si="3"/>
        <v>2023</v>
      </c>
      <c r="M983" s="25">
        <f>IFERROR(__xludf.DUMMYFUNCTION("""COMPUTED_VALUE"""),44944.0)</f>
        <v>44944</v>
      </c>
    </row>
    <row r="984">
      <c r="A984" s="10" t="s">
        <v>947</v>
      </c>
      <c r="B984" s="3" t="s">
        <v>948</v>
      </c>
      <c r="C984" s="10" t="s">
        <v>999</v>
      </c>
      <c r="D984" s="3" t="s">
        <v>1000</v>
      </c>
      <c r="E984" s="4" t="s">
        <v>3</v>
      </c>
      <c r="F984" s="5" t="s">
        <v>96</v>
      </c>
      <c r="G984" s="6" t="s">
        <v>201</v>
      </c>
      <c r="H984" s="7">
        <v>44954.0</v>
      </c>
      <c r="I984" s="8">
        <f t="shared" si="1"/>
        <v>28</v>
      </c>
      <c r="J984" s="9">
        <f t="shared" si="2"/>
        <v>1</v>
      </c>
      <c r="K984" s="9">
        <f t="shared" si="3"/>
        <v>2023</v>
      </c>
      <c r="M984" s="25">
        <f>IFERROR(__xludf.DUMMYFUNCTION("""COMPUTED_VALUE"""),44954.0)</f>
        <v>44954</v>
      </c>
    </row>
    <row r="985">
      <c r="A985" s="10" t="s">
        <v>947</v>
      </c>
      <c r="B985" s="3" t="s">
        <v>948</v>
      </c>
      <c r="C985" s="10" t="s">
        <v>999</v>
      </c>
      <c r="D985" s="3" t="s">
        <v>1000</v>
      </c>
      <c r="E985" s="4" t="s">
        <v>8</v>
      </c>
      <c r="F985" s="5" t="s">
        <v>39</v>
      </c>
      <c r="G985" s="6" t="s">
        <v>1004</v>
      </c>
      <c r="H985" s="7">
        <v>44990.0</v>
      </c>
      <c r="I985" s="8">
        <f t="shared" si="1"/>
        <v>5</v>
      </c>
      <c r="J985" s="9">
        <f t="shared" si="2"/>
        <v>3</v>
      </c>
      <c r="K985" s="9">
        <f t="shared" si="3"/>
        <v>2023</v>
      </c>
      <c r="M985" s="25">
        <f>IFERROR(__xludf.DUMMYFUNCTION("""COMPUTED_VALUE"""),44990.0)</f>
        <v>44990</v>
      </c>
    </row>
    <row r="986">
      <c r="A986" s="10" t="s">
        <v>947</v>
      </c>
      <c r="B986" s="3" t="s">
        <v>948</v>
      </c>
      <c r="C986" s="10" t="s">
        <v>999</v>
      </c>
      <c r="D986" s="3" t="s">
        <v>1000</v>
      </c>
      <c r="E986" s="4" t="s">
        <v>3</v>
      </c>
      <c r="F986" s="5" t="s">
        <v>15</v>
      </c>
      <c r="G986" s="6" t="s">
        <v>585</v>
      </c>
      <c r="H986" s="7">
        <v>45000.0</v>
      </c>
      <c r="I986" s="8">
        <f t="shared" si="1"/>
        <v>15</v>
      </c>
      <c r="J986" s="9">
        <f t="shared" si="2"/>
        <v>3</v>
      </c>
      <c r="K986" s="9">
        <f t="shared" si="3"/>
        <v>2023</v>
      </c>
      <c r="M986" s="25">
        <f>IFERROR(__xludf.DUMMYFUNCTION("""COMPUTED_VALUE"""),45000.0)</f>
        <v>45000</v>
      </c>
    </row>
    <row r="987">
      <c r="A987" s="10" t="s">
        <v>947</v>
      </c>
      <c r="B987" s="3" t="s">
        <v>948</v>
      </c>
      <c r="C987" s="10" t="s">
        <v>999</v>
      </c>
      <c r="D987" s="3" t="s">
        <v>1000</v>
      </c>
      <c r="E987" s="4" t="s">
        <v>8</v>
      </c>
      <c r="F987" s="5" t="s">
        <v>35</v>
      </c>
      <c r="G987" s="6" t="s">
        <v>517</v>
      </c>
      <c r="H987" s="7">
        <v>45041.0</v>
      </c>
      <c r="I987" s="8">
        <f t="shared" si="1"/>
        <v>25</v>
      </c>
      <c r="J987" s="9">
        <f t="shared" si="2"/>
        <v>4</v>
      </c>
      <c r="K987" s="9">
        <f t="shared" si="3"/>
        <v>2023</v>
      </c>
      <c r="M987" s="25">
        <f>IFERROR(__xludf.DUMMYFUNCTION("""COMPUTED_VALUE"""),45041.0)</f>
        <v>45041</v>
      </c>
    </row>
    <row r="988">
      <c r="A988" s="10" t="s">
        <v>947</v>
      </c>
      <c r="B988" s="3" t="s">
        <v>948</v>
      </c>
      <c r="C988" s="10" t="s">
        <v>999</v>
      </c>
      <c r="D988" s="3" t="s">
        <v>1000</v>
      </c>
      <c r="E988" s="4" t="s">
        <v>8</v>
      </c>
      <c r="F988" s="5" t="s">
        <v>39</v>
      </c>
      <c r="G988" s="6" t="s">
        <v>1005</v>
      </c>
      <c r="H988" s="7">
        <v>45041.0</v>
      </c>
      <c r="I988" s="8">
        <f t="shared" si="1"/>
        <v>25</v>
      </c>
      <c r="J988" s="9">
        <f t="shared" si="2"/>
        <v>4</v>
      </c>
      <c r="K988" s="9">
        <f t="shared" si="3"/>
        <v>2023</v>
      </c>
      <c r="M988" s="25">
        <f>IFERROR(__xludf.DUMMYFUNCTION("""COMPUTED_VALUE"""),45041.0)</f>
        <v>45041</v>
      </c>
    </row>
    <row r="989">
      <c r="A989" s="10" t="s">
        <v>947</v>
      </c>
      <c r="B989" s="3" t="s">
        <v>948</v>
      </c>
      <c r="C989" s="10" t="s">
        <v>999</v>
      </c>
      <c r="D989" s="3" t="s">
        <v>1000</v>
      </c>
      <c r="E989" s="4" t="s">
        <v>3</v>
      </c>
      <c r="F989" s="5" t="s">
        <v>23</v>
      </c>
      <c r="G989" s="6" t="s">
        <v>1006</v>
      </c>
      <c r="H989" s="7">
        <v>45096.0</v>
      </c>
      <c r="I989" s="8">
        <f t="shared" si="1"/>
        <v>19</v>
      </c>
      <c r="J989" s="9">
        <f t="shared" si="2"/>
        <v>6</v>
      </c>
      <c r="K989" s="9">
        <f t="shared" si="3"/>
        <v>2023</v>
      </c>
      <c r="M989" s="25">
        <f>IFERROR(__xludf.DUMMYFUNCTION("""COMPUTED_VALUE"""),45096.0)</f>
        <v>45096</v>
      </c>
    </row>
    <row r="990">
      <c r="A990" s="10" t="s">
        <v>947</v>
      </c>
      <c r="B990" s="3" t="s">
        <v>948</v>
      </c>
      <c r="C990" s="10" t="s">
        <v>999</v>
      </c>
      <c r="D990" s="3" t="s">
        <v>1000</v>
      </c>
      <c r="E990" s="4" t="s">
        <v>8</v>
      </c>
      <c r="F990" s="5" t="s">
        <v>39</v>
      </c>
      <c r="G990" s="6" t="s">
        <v>1007</v>
      </c>
      <c r="H990" s="7">
        <v>45100.0</v>
      </c>
      <c r="I990" s="8">
        <f t="shared" si="1"/>
        <v>23</v>
      </c>
      <c r="J990" s="9">
        <f t="shared" si="2"/>
        <v>6</v>
      </c>
      <c r="K990" s="9">
        <f t="shared" si="3"/>
        <v>2023</v>
      </c>
      <c r="M990" s="25">
        <f>IFERROR(__xludf.DUMMYFUNCTION("""COMPUTED_VALUE"""),45100.0)</f>
        <v>45100</v>
      </c>
    </row>
    <row r="991">
      <c r="A991" s="10" t="s">
        <v>947</v>
      </c>
      <c r="B991" s="3" t="s">
        <v>948</v>
      </c>
      <c r="C991" s="10" t="s">
        <v>999</v>
      </c>
      <c r="D991" s="3" t="s">
        <v>1000</v>
      </c>
      <c r="E991" s="4" t="s">
        <v>3</v>
      </c>
      <c r="F991" s="5" t="s">
        <v>21</v>
      </c>
      <c r="G991" s="6" t="s">
        <v>1008</v>
      </c>
      <c r="H991" s="7">
        <v>45102.0</v>
      </c>
      <c r="I991" s="8">
        <f t="shared" si="1"/>
        <v>25</v>
      </c>
      <c r="J991" s="9">
        <f t="shared" si="2"/>
        <v>6</v>
      </c>
      <c r="K991" s="9">
        <f t="shared" si="3"/>
        <v>2023</v>
      </c>
      <c r="M991" s="25">
        <f>IFERROR(__xludf.DUMMYFUNCTION("""COMPUTED_VALUE"""),45102.0)</f>
        <v>45102</v>
      </c>
    </row>
    <row r="992">
      <c r="A992" s="10" t="s">
        <v>947</v>
      </c>
      <c r="B992" s="3" t="s">
        <v>948</v>
      </c>
      <c r="C992" s="10" t="s">
        <v>999</v>
      </c>
      <c r="D992" s="3" t="s">
        <v>1000</v>
      </c>
      <c r="E992" s="4" t="s">
        <v>8</v>
      </c>
      <c r="F992" s="5" t="s">
        <v>15</v>
      </c>
      <c r="G992" s="6" t="s">
        <v>235</v>
      </c>
      <c r="H992" s="7">
        <v>45150.0</v>
      </c>
      <c r="I992" s="8">
        <f t="shared" si="1"/>
        <v>12</v>
      </c>
      <c r="J992" s="9">
        <f t="shared" si="2"/>
        <v>8</v>
      </c>
      <c r="K992" s="9">
        <f t="shared" si="3"/>
        <v>2023</v>
      </c>
      <c r="M992" s="25">
        <f>IFERROR(__xludf.DUMMYFUNCTION("""COMPUTED_VALUE"""),45150.0)</f>
        <v>45150</v>
      </c>
    </row>
    <row r="993">
      <c r="A993" s="10" t="s">
        <v>947</v>
      </c>
      <c r="B993" s="3" t="s">
        <v>948</v>
      </c>
      <c r="C993" s="10" t="s">
        <v>999</v>
      </c>
      <c r="D993" s="3" t="s">
        <v>1000</v>
      </c>
      <c r="E993" s="4" t="s">
        <v>8</v>
      </c>
      <c r="F993" s="5" t="s">
        <v>4</v>
      </c>
      <c r="G993" s="6" t="s">
        <v>1009</v>
      </c>
      <c r="H993" s="7">
        <v>45192.0</v>
      </c>
      <c r="I993" s="8">
        <f t="shared" si="1"/>
        <v>23</v>
      </c>
      <c r="J993" s="9">
        <f t="shared" si="2"/>
        <v>9</v>
      </c>
      <c r="K993" s="9">
        <f t="shared" si="3"/>
        <v>2023</v>
      </c>
      <c r="M993" s="25">
        <f>IFERROR(__xludf.DUMMYFUNCTION("""COMPUTED_VALUE"""),45192.0)</f>
        <v>45192</v>
      </c>
    </row>
    <row r="994">
      <c r="A994" s="10" t="s">
        <v>947</v>
      </c>
      <c r="B994" s="3" t="s">
        <v>948</v>
      </c>
      <c r="C994" s="10" t="s">
        <v>999</v>
      </c>
      <c r="D994" s="3" t="s">
        <v>1000</v>
      </c>
      <c r="E994" s="4" t="s">
        <v>3</v>
      </c>
      <c r="F994" s="5" t="s">
        <v>23</v>
      </c>
      <c r="G994" s="6" t="s">
        <v>1010</v>
      </c>
      <c r="H994" s="7">
        <v>45208.0</v>
      </c>
      <c r="I994" s="8">
        <f t="shared" si="1"/>
        <v>9</v>
      </c>
      <c r="J994" s="9">
        <f t="shared" si="2"/>
        <v>10</v>
      </c>
      <c r="K994" s="9">
        <f t="shared" si="3"/>
        <v>2023</v>
      </c>
      <c r="M994" s="25">
        <f>IFERROR(__xludf.DUMMYFUNCTION("""COMPUTED_VALUE"""),45208.0)</f>
        <v>45208</v>
      </c>
    </row>
    <row r="995">
      <c r="A995" s="10" t="s">
        <v>947</v>
      </c>
      <c r="B995" s="3" t="s">
        <v>948</v>
      </c>
      <c r="C995" s="10" t="s">
        <v>999</v>
      </c>
      <c r="D995" s="3" t="s">
        <v>1000</v>
      </c>
      <c r="E995" s="4" t="s">
        <v>8</v>
      </c>
      <c r="F995" s="5" t="s">
        <v>28</v>
      </c>
      <c r="G995" s="6" t="s">
        <v>842</v>
      </c>
      <c r="H995" s="7">
        <v>45237.0</v>
      </c>
      <c r="I995" s="8">
        <f t="shared" si="1"/>
        <v>7</v>
      </c>
      <c r="J995" s="9">
        <f t="shared" si="2"/>
        <v>11</v>
      </c>
      <c r="K995" s="9">
        <f t="shared" si="3"/>
        <v>2023</v>
      </c>
      <c r="M995" s="25">
        <f>IFERROR(__xludf.DUMMYFUNCTION("""COMPUTED_VALUE"""),45237.0)</f>
        <v>45237</v>
      </c>
    </row>
    <row r="996">
      <c r="A996" s="10" t="s">
        <v>947</v>
      </c>
      <c r="B996" s="3" t="s">
        <v>948</v>
      </c>
      <c r="C996" s="10" t="s">
        <v>999</v>
      </c>
      <c r="D996" s="3" t="s">
        <v>1000</v>
      </c>
      <c r="E996" s="4" t="s">
        <v>3</v>
      </c>
      <c r="F996" s="5" t="s">
        <v>11</v>
      </c>
      <c r="G996" s="6" t="s">
        <v>1011</v>
      </c>
      <c r="H996" s="7">
        <v>45262.0</v>
      </c>
      <c r="I996" s="8">
        <f t="shared" si="1"/>
        <v>2</v>
      </c>
      <c r="J996" s="9">
        <f t="shared" si="2"/>
        <v>12</v>
      </c>
      <c r="K996" s="9">
        <f t="shared" si="3"/>
        <v>2023</v>
      </c>
      <c r="M996" s="25">
        <f>IFERROR(__xludf.DUMMYFUNCTION("""COMPUTED_VALUE"""),45262.0)</f>
        <v>45262</v>
      </c>
    </row>
    <row r="997">
      <c r="A997" s="10" t="s">
        <v>947</v>
      </c>
      <c r="B997" s="3" t="s">
        <v>948</v>
      </c>
      <c r="C997" s="10" t="s">
        <v>999</v>
      </c>
      <c r="D997" s="3" t="s">
        <v>1000</v>
      </c>
      <c r="E997" s="4" t="s">
        <v>8</v>
      </c>
      <c r="F997" s="5" t="s">
        <v>17</v>
      </c>
      <c r="G997" s="6" t="s">
        <v>236</v>
      </c>
      <c r="H997" s="7">
        <v>45267.0</v>
      </c>
      <c r="I997" s="8">
        <f t="shared" si="1"/>
        <v>7</v>
      </c>
      <c r="J997" s="9">
        <f t="shared" si="2"/>
        <v>12</v>
      </c>
      <c r="K997" s="9">
        <f t="shared" si="3"/>
        <v>2023</v>
      </c>
      <c r="M997" s="25">
        <f>IFERROR(__xludf.DUMMYFUNCTION("""COMPUTED_VALUE"""),45267.0)</f>
        <v>45267</v>
      </c>
    </row>
    <row r="998">
      <c r="A998" s="10" t="s">
        <v>947</v>
      </c>
      <c r="B998" s="3" t="s">
        <v>948</v>
      </c>
      <c r="C998" s="10" t="s">
        <v>999</v>
      </c>
      <c r="D998" s="3" t="s">
        <v>1000</v>
      </c>
      <c r="E998" s="4" t="s">
        <v>8</v>
      </c>
      <c r="F998" s="5" t="s">
        <v>17</v>
      </c>
      <c r="G998" s="6" t="s">
        <v>1012</v>
      </c>
      <c r="H998" s="7">
        <v>45276.0</v>
      </c>
      <c r="I998" s="8">
        <f t="shared" si="1"/>
        <v>16</v>
      </c>
      <c r="J998" s="9">
        <f t="shared" si="2"/>
        <v>12</v>
      </c>
      <c r="K998" s="9">
        <f t="shared" si="3"/>
        <v>2023</v>
      </c>
      <c r="M998" s="25">
        <f>IFERROR(__xludf.DUMMYFUNCTION("""COMPUTED_VALUE"""),45276.0)</f>
        <v>45276</v>
      </c>
    </row>
    <row r="999">
      <c r="A999" s="10" t="s">
        <v>947</v>
      </c>
      <c r="B999" s="3" t="s">
        <v>948</v>
      </c>
      <c r="C999" s="10" t="s">
        <v>999</v>
      </c>
      <c r="D999" s="3" t="s">
        <v>1000</v>
      </c>
      <c r="E999" s="4" t="s">
        <v>3</v>
      </c>
      <c r="F999" s="5" t="s">
        <v>39</v>
      </c>
      <c r="G999" s="6" t="s">
        <v>1013</v>
      </c>
      <c r="H999" s="7">
        <v>45286.0</v>
      </c>
      <c r="I999" s="8">
        <f t="shared" si="1"/>
        <v>26</v>
      </c>
      <c r="J999" s="9">
        <f t="shared" si="2"/>
        <v>12</v>
      </c>
      <c r="K999" s="9">
        <f t="shared" si="3"/>
        <v>2023</v>
      </c>
      <c r="M999" s="25">
        <f>IFERROR(__xludf.DUMMYFUNCTION("""COMPUTED_VALUE"""),45286.0)</f>
        <v>45286</v>
      </c>
    </row>
    <row r="1000">
      <c r="A1000" s="10" t="s">
        <v>947</v>
      </c>
      <c r="B1000" s="3" t="s">
        <v>948</v>
      </c>
      <c r="C1000" s="10" t="s">
        <v>999</v>
      </c>
      <c r="D1000" s="3" t="s">
        <v>1000</v>
      </c>
      <c r="E1000" s="4" t="s">
        <v>3</v>
      </c>
      <c r="F1000" s="5" t="s">
        <v>42</v>
      </c>
      <c r="G1000" s="6" t="s">
        <v>1014</v>
      </c>
      <c r="H1000" s="7">
        <v>45287.0</v>
      </c>
      <c r="I1000" s="8">
        <f t="shared" si="1"/>
        <v>27</v>
      </c>
      <c r="J1000" s="9">
        <f t="shared" si="2"/>
        <v>12</v>
      </c>
      <c r="K1000" s="9">
        <f t="shared" si="3"/>
        <v>2023</v>
      </c>
      <c r="M1000" s="25">
        <f>IFERROR(__xludf.DUMMYFUNCTION("""COMPUTED_VALUE"""),45287.0)</f>
        <v>45287</v>
      </c>
    </row>
    <row r="1001">
      <c r="A1001" s="10" t="s">
        <v>408</v>
      </c>
      <c r="B1001" s="3" t="s">
        <v>965</v>
      </c>
      <c r="C1001" s="10" t="s">
        <v>1015</v>
      </c>
      <c r="D1001" s="3" t="s">
        <v>1016</v>
      </c>
      <c r="E1001" s="4" t="s">
        <v>8</v>
      </c>
      <c r="F1001" s="5" t="s">
        <v>21</v>
      </c>
      <c r="G1001" s="6" t="s">
        <v>1017</v>
      </c>
      <c r="H1001" s="7">
        <v>44976.0</v>
      </c>
      <c r="I1001" s="8">
        <f t="shared" si="1"/>
        <v>19</v>
      </c>
      <c r="J1001" s="9">
        <f t="shared" si="2"/>
        <v>2</v>
      </c>
      <c r="K1001" s="9">
        <f t="shared" si="3"/>
        <v>2023</v>
      </c>
      <c r="M1001" s="25">
        <f>IFERROR(__xludf.DUMMYFUNCTION("""COMPUTED_VALUE"""),44976.0)</f>
        <v>44976</v>
      </c>
    </row>
    <row r="1002">
      <c r="A1002" s="10" t="s">
        <v>408</v>
      </c>
      <c r="B1002" s="3" t="s">
        <v>965</v>
      </c>
      <c r="C1002" s="10" t="s">
        <v>1015</v>
      </c>
      <c r="D1002" s="3" t="s">
        <v>1016</v>
      </c>
      <c r="E1002" s="4" t="s">
        <v>8</v>
      </c>
      <c r="F1002" s="5" t="s">
        <v>76</v>
      </c>
      <c r="G1002" s="6" t="s">
        <v>1018</v>
      </c>
      <c r="H1002" s="7">
        <v>45003.0</v>
      </c>
      <c r="I1002" s="8">
        <f t="shared" si="1"/>
        <v>18</v>
      </c>
      <c r="J1002" s="9">
        <f t="shared" si="2"/>
        <v>3</v>
      </c>
      <c r="K1002" s="9">
        <f t="shared" si="3"/>
        <v>2023</v>
      </c>
      <c r="M1002" s="25">
        <f>IFERROR(__xludf.DUMMYFUNCTION("""COMPUTED_VALUE"""),45003.0)</f>
        <v>45003</v>
      </c>
    </row>
    <row r="1003">
      <c r="A1003" s="10" t="s">
        <v>408</v>
      </c>
      <c r="B1003" s="3" t="s">
        <v>965</v>
      </c>
      <c r="C1003" s="10" t="s">
        <v>1015</v>
      </c>
      <c r="D1003" s="3" t="s">
        <v>1016</v>
      </c>
      <c r="E1003" s="4" t="s">
        <v>8</v>
      </c>
      <c r="F1003" s="5" t="s">
        <v>23</v>
      </c>
      <c r="G1003" s="6" t="s">
        <v>1019</v>
      </c>
      <c r="H1003" s="7">
        <v>45009.0</v>
      </c>
      <c r="I1003" s="8">
        <f t="shared" si="1"/>
        <v>24</v>
      </c>
      <c r="J1003" s="9">
        <f t="shared" si="2"/>
        <v>3</v>
      </c>
      <c r="K1003" s="9">
        <f t="shared" si="3"/>
        <v>2023</v>
      </c>
      <c r="M1003" s="25">
        <f>IFERROR(__xludf.DUMMYFUNCTION("""COMPUTED_VALUE"""),45009.0)</f>
        <v>45009</v>
      </c>
    </row>
    <row r="1004">
      <c r="A1004" s="10" t="s">
        <v>408</v>
      </c>
      <c r="B1004" s="3" t="s">
        <v>965</v>
      </c>
      <c r="C1004" s="10" t="s">
        <v>1015</v>
      </c>
      <c r="D1004" s="3" t="s">
        <v>1016</v>
      </c>
      <c r="E1004" s="4" t="s">
        <v>3</v>
      </c>
      <c r="F1004" s="5" t="s">
        <v>51</v>
      </c>
      <c r="G1004" s="6" t="s">
        <v>415</v>
      </c>
      <c r="H1004" s="7">
        <v>45011.0</v>
      </c>
      <c r="I1004" s="8">
        <f t="shared" si="1"/>
        <v>26</v>
      </c>
      <c r="J1004" s="9">
        <f t="shared" si="2"/>
        <v>3</v>
      </c>
      <c r="K1004" s="9">
        <f t="shared" si="3"/>
        <v>2023</v>
      </c>
      <c r="M1004" s="25">
        <f>IFERROR(__xludf.DUMMYFUNCTION("""COMPUTED_VALUE"""),45011.0)</f>
        <v>45011</v>
      </c>
    </row>
    <row r="1005">
      <c r="A1005" s="10" t="s">
        <v>408</v>
      </c>
      <c r="B1005" s="3" t="s">
        <v>965</v>
      </c>
      <c r="C1005" s="10" t="s">
        <v>1015</v>
      </c>
      <c r="D1005" s="3" t="s">
        <v>1016</v>
      </c>
      <c r="E1005" s="4" t="s">
        <v>8</v>
      </c>
      <c r="F1005" s="5" t="s">
        <v>28</v>
      </c>
      <c r="G1005" s="6" t="s">
        <v>105</v>
      </c>
      <c r="H1005" s="7">
        <v>45054.0</v>
      </c>
      <c r="I1005" s="8">
        <f t="shared" si="1"/>
        <v>8</v>
      </c>
      <c r="J1005" s="9">
        <f t="shared" si="2"/>
        <v>5</v>
      </c>
      <c r="K1005" s="9">
        <f t="shared" si="3"/>
        <v>2023</v>
      </c>
      <c r="M1005" s="25">
        <f>IFERROR(__xludf.DUMMYFUNCTION("""COMPUTED_VALUE"""),45054.0)</f>
        <v>45054</v>
      </c>
    </row>
    <row r="1006">
      <c r="A1006" s="10" t="s">
        <v>408</v>
      </c>
      <c r="B1006" s="3" t="s">
        <v>965</v>
      </c>
      <c r="C1006" s="10" t="s">
        <v>1015</v>
      </c>
      <c r="D1006" s="3" t="s">
        <v>1016</v>
      </c>
      <c r="E1006" s="4" t="s">
        <v>8</v>
      </c>
      <c r="F1006" s="5" t="s">
        <v>4</v>
      </c>
      <c r="G1006" s="6" t="s">
        <v>1020</v>
      </c>
      <c r="H1006" s="7">
        <v>45060.0</v>
      </c>
      <c r="I1006" s="8">
        <f t="shared" si="1"/>
        <v>14</v>
      </c>
      <c r="J1006" s="9">
        <f t="shared" si="2"/>
        <v>5</v>
      </c>
      <c r="K1006" s="9">
        <f t="shared" si="3"/>
        <v>2023</v>
      </c>
      <c r="M1006" s="25">
        <f>IFERROR(__xludf.DUMMYFUNCTION("""COMPUTED_VALUE"""),45060.0)</f>
        <v>45060</v>
      </c>
    </row>
    <row r="1007">
      <c r="A1007" s="10" t="s">
        <v>408</v>
      </c>
      <c r="B1007" s="3" t="s">
        <v>965</v>
      </c>
      <c r="C1007" s="10" t="s">
        <v>1015</v>
      </c>
      <c r="D1007" s="3" t="s">
        <v>1016</v>
      </c>
      <c r="E1007" s="4" t="s">
        <v>8</v>
      </c>
      <c r="F1007" s="5" t="s">
        <v>42</v>
      </c>
      <c r="G1007" s="6" t="s">
        <v>1021</v>
      </c>
      <c r="H1007" s="7">
        <v>45071.0</v>
      </c>
      <c r="I1007" s="8">
        <f t="shared" si="1"/>
        <v>25</v>
      </c>
      <c r="J1007" s="9">
        <f t="shared" si="2"/>
        <v>5</v>
      </c>
      <c r="K1007" s="9">
        <f t="shared" si="3"/>
        <v>2023</v>
      </c>
      <c r="M1007" s="25">
        <f>IFERROR(__xludf.DUMMYFUNCTION("""COMPUTED_VALUE"""),45071.0)</f>
        <v>45071</v>
      </c>
    </row>
    <row r="1008">
      <c r="A1008" s="10" t="s">
        <v>408</v>
      </c>
      <c r="B1008" s="3" t="s">
        <v>965</v>
      </c>
      <c r="C1008" s="10" t="s">
        <v>1015</v>
      </c>
      <c r="D1008" s="3" t="s">
        <v>1016</v>
      </c>
      <c r="E1008" s="4" t="s">
        <v>3</v>
      </c>
      <c r="F1008" s="5" t="s">
        <v>9</v>
      </c>
      <c r="G1008" s="6" t="s">
        <v>291</v>
      </c>
      <c r="H1008" s="7">
        <v>45080.0</v>
      </c>
      <c r="I1008" s="8">
        <f t="shared" si="1"/>
        <v>3</v>
      </c>
      <c r="J1008" s="9">
        <f t="shared" si="2"/>
        <v>6</v>
      </c>
      <c r="K1008" s="9">
        <f t="shared" si="3"/>
        <v>2023</v>
      </c>
      <c r="M1008" s="25">
        <f>IFERROR(__xludf.DUMMYFUNCTION("""COMPUTED_VALUE"""),45080.0)</f>
        <v>45080</v>
      </c>
    </row>
    <row r="1009">
      <c r="A1009" s="10" t="s">
        <v>408</v>
      </c>
      <c r="B1009" s="3" t="s">
        <v>965</v>
      </c>
      <c r="C1009" s="10" t="s">
        <v>1015</v>
      </c>
      <c r="D1009" s="3" t="s">
        <v>1016</v>
      </c>
      <c r="E1009" s="4" t="s">
        <v>8</v>
      </c>
      <c r="F1009" s="5" t="s">
        <v>39</v>
      </c>
      <c r="G1009" s="6" t="s">
        <v>1022</v>
      </c>
      <c r="H1009" s="7">
        <v>45082.0</v>
      </c>
      <c r="I1009" s="8">
        <f t="shared" si="1"/>
        <v>5</v>
      </c>
      <c r="J1009" s="9">
        <f t="shared" si="2"/>
        <v>6</v>
      </c>
      <c r="K1009" s="9">
        <f t="shared" si="3"/>
        <v>2023</v>
      </c>
      <c r="M1009" s="25">
        <f>IFERROR(__xludf.DUMMYFUNCTION("""COMPUTED_VALUE"""),45082.0)</f>
        <v>45082</v>
      </c>
    </row>
    <row r="1010">
      <c r="A1010" s="10" t="s">
        <v>408</v>
      </c>
      <c r="B1010" s="3" t="s">
        <v>965</v>
      </c>
      <c r="C1010" s="10" t="s">
        <v>1015</v>
      </c>
      <c r="D1010" s="3" t="s">
        <v>1016</v>
      </c>
      <c r="E1010" s="4" t="s">
        <v>3</v>
      </c>
      <c r="F1010" s="5" t="s">
        <v>4</v>
      </c>
      <c r="G1010" s="6" t="s">
        <v>1023</v>
      </c>
      <c r="H1010" s="7">
        <v>45114.0</v>
      </c>
      <c r="I1010" s="8">
        <f t="shared" si="1"/>
        <v>7</v>
      </c>
      <c r="J1010" s="9">
        <f t="shared" si="2"/>
        <v>7</v>
      </c>
      <c r="K1010" s="9">
        <f t="shared" si="3"/>
        <v>2023</v>
      </c>
      <c r="M1010" s="25">
        <f>IFERROR(__xludf.DUMMYFUNCTION("""COMPUTED_VALUE"""),45114.0)</f>
        <v>45114</v>
      </c>
    </row>
    <row r="1011">
      <c r="A1011" s="10" t="s">
        <v>408</v>
      </c>
      <c r="B1011" s="3" t="s">
        <v>965</v>
      </c>
      <c r="C1011" s="10" t="s">
        <v>1015</v>
      </c>
      <c r="D1011" s="3" t="s">
        <v>1016</v>
      </c>
      <c r="E1011" s="4" t="s">
        <v>8</v>
      </c>
      <c r="F1011" s="5" t="s">
        <v>6</v>
      </c>
      <c r="G1011" s="6" t="s">
        <v>1024</v>
      </c>
      <c r="H1011" s="7">
        <v>45140.0</v>
      </c>
      <c r="I1011" s="8">
        <f t="shared" si="1"/>
        <v>2</v>
      </c>
      <c r="J1011" s="9">
        <f t="shared" si="2"/>
        <v>8</v>
      </c>
      <c r="K1011" s="9">
        <f t="shared" si="3"/>
        <v>2023</v>
      </c>
      <c r="M1011" s="25">
        <f>IFERROR(__xludf.DUMMYFUNCTION("""COMPUTED_VALUE"""),45140.0)</f>
        <v>45140</v>
      </c>
    </row>
    <row r="1012">
      <c r="A1012" s="10" t="s">
        <v>408</v>
      </c>
      <c r="B1012" s="3" t="s">
        <v>965</v>
      </c>
      <c r="C1012" s="10" t="s">
        <v>1015</v>
      </c>
      <c r="D1012" s="3" t="s">
        <v>1016</v>
      </c>
      <c r="E1012" s="4" t="s">
        <v>8</v>
      </c>
      <c r="F1012" s="5" t="s">
        <v>19</v>
      </c>
      <c r="G1012" s="6" t="s">
        <v>1025</v>
      </c>
      <c r="H1012" s="7">
        <v>45152.0</v>
      </c>
      <c r="I1012" s="8">
        <f t="shared" si="1"/>
        <v>14</v>
      </c>
      <c r="J1012" s="9">
        <f t="shared" si="2"/>
        <v>8</v>
      </c>
      <c r="K1012" s="9">
        <f t="shared" si="3"/>
        <v>2023</v>
      </c>
      <c r="M1012" s="25">
        <f>IFERROR(__xludf.DUMMYFUNCTION("""COMPUTED_VALUE"""),45152.0)</f>
        <v>45152</v>
      </c>
    </row>
    <row r="1013">
      <c r="A1013" s="10" t="s">
        <v>408</v>
      </c>
      <c r="B1013" s="3" t="s">
        <v>965</v>
      </c>
      <c r="C1013" s="10" t="s">
        <v>1015</v>
      </c>
      <c r="D1013" s="3" t="s">
        <v>1016</v>
      </c>
      <c r="E1013" s="4" t="s">
        <v>3</v>
      </c>
      <c r="F1013" s="5" t="s">
        <v>21</v>
      </c>
      <c r="G1013" s="6" t="s">
        <v>1026</v>
      </c>
      <c r="H1013" s="7">
        <v>45189.0</v>
      </c>
      <c r="I1013" s="8">
        <f t="shared" si="1"/>
        <v>20</v>
      </c>
      <c r="J1013" s="9">
        <f t="shared" si="2"/>
        <v>9</v>
      </c>
      <c r="K1013" s="9">
        <f t="shared" si="3"/>
        <v>2023</v>
      </c>
      <c r="M1013" s="25">
        <f>IFERROR(__xludf.DUMMYFUNCTION("""COMPUTED_VALUE"""),45189.0)</f>
        <v>45189</v>
      </c>
    </row>
    <row r="1014">
      <c r="A1014" s="10" t="s">
        <v>408</v>
      </c>
      <c r="B1014" s="3" t="s">
        <v>965</v>
      </c>
      <c r="C1014" s="10" t="s">
        <v>1015</v>
      </c>
      <c r="D1014" s="3" t="s">
        <v>1016</v>
      </c>
      <c r="E1014" s="4" t="s">
        <v>8</v>
      </c>
      <c r="F1014" s="5" t="s">
        <v>6</v>
      </c>
      <c r="G1014" s="6" t="s">
        <v>1027</v>
      </c>
      <c r="H1014" s="7">
        <v>45247.0</v>
      </c>
      <c r="I1014" s="8">
        <f t="shared" si="1"/>
        <v>17</v>
      </c>
      <c r="J1014" s="9">
        <f t="shared" si="2"/>
        <v>11</v>
      </c>
      <c r="K1014" s="9">
        <f t="shared" si="3"/>
        <v>2023</v>
      </c>
      <c r="M1014" s="25">
        <f>IFERROR(__xludf.DUMMYFUNCTION("""COMPUTED_VALUE"""),45247.0)</f>
        <v>45247</v>
      </c>
    </row>
    <row r="1015">
      <c r="A1015" s="10" t="s">
        <v>408</v>
      </c>
      <c r="B1015" s="3" t="s">
        <v>965</v>
      </c>
      <c r="C1015" s="10" t="s">
        <v>1015</v>
      </c>
      <c r="D1015" s="3" t="s">
        <v>1016</v>
      </c>
      <c r="E1015" s="4" t="s">
        <v>3</v>
      </c>
      <c r="F1015" s="5" t="s">
        <v>11</v>
      </c>
      <c r="G1015" s="6" t="s">
        <v>1028</v>
      </c>
      <c r="H1015" s="7">
        <v>45256.0</v>
      </c>
      <c r="I1015" s="8">
        <f t="shared" si="1"/>
        <v>26</v>
      </c>
      <c r="J1015" s="9">
        <f t="shared" si="2"/>
        <v>11</v>
      </c>
      <c r="K1015" s="9">
        <f t="shared" si="3"/>
        <v>2023</v>
      </c>
      <c r="M1015" s="25">
        <f>IFERROR(__xludf.DUMMYFUNCTION("""COMPUTED_VALUE"""),45256.0)</f>
        <v>45256</v>
      </c>
    </row>
    <row r="1016">
      <c r="A1016" s="10" t="s">
        <v>408</v>
      </c>
      <c r="B1016" s="3" t="s">
        <v>965</v>
      </c>
      <c r="C1016" s="10" t="s">
        <v>1015</v>
      </c>
      <c r="D1016" s="3" t="s">
        <v>1016</v>
      </c>
      <c r="E1016" s="4" t="s">
        <v>8</v>
      </c>
      <c r="F1016" s="5" t="s">
        <v>11</v>
      </c>
      <c r="G1016" s="6" t="s">
        <v>1029</v>
      </c>
      <c r="H1016" s="7">
        <v>45263.0</v>
      </c>
      <c r="I1016" s="8">
        <f t="shared" si="1"/>
        <v>3</v>
      </c>
      <c r="J1016" s="9">
        <f t="shared" si="2"/>
        <v>12</v>
      </c>
      <c r="K1016" s="9">
        <f t="shared" si="3"/>
        <v>2023</v>
      </c>
      <c r="M1016" s="25">
        <f>IFERROR(__xludf.DUMMYFUNCTION("""COMPUTED_VALUE"""),45263.0)</f>
        <v>45263</v>
      </c>
    </row>
    <row r="1017">
      <c r="A1017" s="10" t="s">
        <v>408</v>
      </c>
      <c r="B1017" s="3" t="s">
        <v>965</v>
      </c>
      <c r="C1017" s="10" t="s">
        <v>1015</v>
      </c>
      <c r="D1017" s="3" t="s">
        <v>1016</v>
      </c>
      <c r="E1017" s="4" t="s">
        <v>8</v>
      </c>
      <c r="F1017" s="5" t="s">
        <v>35</v>
      </c>
      <c r="G1017" s="6" t="s">
        <v>1030</v>
      </c>
      <c r="H1017" s="7">
        <v>45265.0</v>
      </c>
      <c r="I1017" s="8">
        <f t="shared" si="1"/>
        <v>5</v>
      </c>
      <c r="J1017" s="9">
        <f t="shared" si="2"/>
        <v>12</v>
      </c>
      <c r="K1017" s="9">
        <f t="shared" si="3"/>
        <v>2023</v>
      </c>
      <c r="M1017" s="25">
        <f>IFERROR(__xludf.DUMMYFUNCTION("""COMPUTED_VALUE"""),45265.0)</f>
        <v>45265</v>
      </c>
    </row>
    <row r="1018">
      <c r="A1018" s="10" t="s">
        <v>408</v>
      </c>
      <c r="B1018" s="3" t="s">
        <v>965</v>
      </c>
      <c r="C1018" s="10" t="s">
        <v>1015</v>
      </c>
      <c r="D1018" s="3" t="s">
        <v>1016</v>
      </c>
      <c r="E1018" s="4" t="s">
        <v>3</v>
      </c>
      <c r="F1018" s="5" t="s">
        <v>39</v>
      </c>
      <c r="G1018" s="6" t="s">
        <v>1031</v>
      </c>
      <c r="H1018" s="7">
        <v>45268.0</v>
      </c>
      <c r="I1018" s="8">
        <f t="shared" si="1"/>
        <v>8</v>
      </c>
      <c r="J1018" s="9">
        <f t="shared" si="2"/>
        <v>12</v>
      </c>
      <c r="K1018" s="9">
        <f t="shared" si="3"/>
        <v>2023</v>
      </c>
      <c r="M1018" s="25">
        <f>IFERROR(__xludf.DUMMYFUNCTION("""COMPUTED_VALUE"""),45268.0)</f>
        <v>45268</v>
      </c>
    </row>
    <row r="1019">
      <c r="A1019" s="10" t="s">
        <v>408</v>
      </c>
      <c r="B1019" s="3" t="s">
        <v>965</v>
      </c>
      <c r="C1019" s="10" t="s">
        <v>1015</v>
      </c>
      <c r="D1019" s="3" t="s">
        <v>1016</v>
      </c>
      <c r="E1019" s="4" t="s">
        <v>8</v>
      </c>
      <c r="F1019" s="5" t="s">
        <v>120</v>
      </c>
      <c r="G1019" s="6" t="s">
        <v>1032</v>
      </c>
      <c r="H1019" s="7">
        <v>45272.0</v>
      </c>
      <c r="I1019" s="8">
        <f t="shared" si="1"/>
        <v>12</v>
      </c>
      <c r="J1019" s="9">
        <f t="shared" si="2"/>
        <v>12</v>
      </c>
      <c r="K1019" s="9">
        <f t="shared" si="3"/>
        <v>2023</v>
      </c>
      <c r="M1019" s="25">
        <f>IFERROR(__xludf.DUMMYFUNCTION("""COMPUTED_VALUE"""),45272.0)</f>
        <v>45272</v>
      </c>
    </row>
    <row r="1020">
      <c r="A1020" s="10" t="s">
        <v>408</v>
      </c>
      <c r="B1020" s="3" t="s">
        <v>965</v>
      </c>
      <c r="C1020" s="10" t="s">
        <v>1015</v>
      </c>
      <c r="D1020" s="3" t="s">
        <v>1016</v>
      </c>
      <c r="E1020" s="4" t="s">
        <v>8</v>
      </c>
      <c r="F1020" s="5" t="s">
        <v>28</v>
      </c>
      <c r="G1020" s="6" t="s">
        <v>795</v>
      </c>
      <c r="H1020" s="7">
        <v>45278.0</v>
      </c>
      <c r="I1020" s="8">
        <f t="shared" si="1"/>
        <v>18</v>
      </c>
      <c r="J1020" s="9">
        <f t="shared" si="2"/>
        <v>12</v>
      </c>
      <c r="K1020" s="9">
        <f t="shared" si="3"/>
        <v>2023</v>
      </c>
      <c r="M1020" s="25">
        <f>IFERROR(__xludf.DUMMYFUNCTION("""COMPUTED_VALUE"""),45278.0)</f>
        <v>45278</v>
      </c>
    </row>
    <row r="1021">
      <c r="A1021" s="10" t="s">
        <v>980</v>
      </c>
      <c r="B1021" s="3" t="s">
        <v>981</v>
      </c>
      <c r="C1021" s="10" t="s">
        <v>1033</v>
      </c>
      <c r="D1021" s="3" t="s">
        <v>1034</v>
      </c>
      <c r="E1021" s="4" t="s">
        <v>3</v>
      </c>
      <c r="F1021" s="5" t="s">
        <v>120</v>
      </c>
      <c r="G1021" s="6" t="s">
        <v>1035</v>
      </c>
      <c r="H1021" s="7">
        <v>44946.0</v>
      </c>
      <c r="I1021" s="8">
        <f t="shared" si="1"/>
        <v>20</v>
      </c>
      <c r="J1021" s="9">
        <f t="shared" si="2"/>
        <v>1</v>
      </c>
      <c r="K1021" s="9">
        <f t="shared" si="3"/>
        <v>2023</v>
      </c>
      <c r="M1021" s="25">
        <f>IFERROR(__xludf.DUMMYFUNCTION("""COMPUTED_VALUE"""),44946.0)</f>
        <v>44946</v>
      </c>
    </row>
    <row r="1022">
      <c r="A1022" s="10" t="s">
        <v>980</v>
      </c>
      <c r="B1022" s="3" t="s">
        <v>981</v>
      </c>
      <c r="C1022" s="10" t="s">
        <v>1033</v>
      </c>
      <c r="D1022" s="3" t="s">
        <v>1034</v>
      </c>
      <c r="E1022" s="4" t="s">
        <v>8</v>
      </c>
      <c r="F1022" s="5" t="s">
        <v>4</v>
      </c>
      <c r="G1022" s="6" t="s">
        <v>1036</v>
      </c>
      <c r="H1022" s="7">
        <v>44993.0</v>
      </c>
      <c r="I1022" s="8">
        <f t="shared" si="1"/>
        <v>8</v>
      </c>
      <c r="J1022" s="9">
        <f t="shared" si="2"/>
        <v>3</v>
      </c>
      <c r="K1022" s="9">
        <f t="shared" si="3"/>
        <v>2023</v>
      </c>
      <c r="M1022" s="25">
        <f>IFERROR(__xludf.DUMMYFUNCTION("""COMPUTED_VALUE"""),44993.0)</f>
        <v>44993</v>
      </c>
    </row>
    <row r="1023">
      <c r="A1023" s="10" t="s">
        <v>980</v>
      </c>
      <c r="B1023" s="3" t="s">
        <v>981</v>
      </c>
      <c r="C1023" s="10" t="s">
        <v>1033</v>
      </c>
      <c r="D1023" s="3" t="s">
        <v>1034</v>
      </c>
      <c r="E1023" s="4" t="s">
        <v>3</v>
      </c>
      <c r="F1023" s="5" t="s">
        <v>45</v>
      </c>
      <c r="G1023" s="6" t="s">
        <v>1010</v>
      </c>
      <c r="H1023" s="7">
        <v>44998.0</v>
      </c>
      <c r="I1023" s="8">
        <f t="shared" si="1"/>
        <v>13</v>
      </c>
      <c r="J1023" s="9">
        <f t="shared" si="2"/>
        <v>3</v>
      </c>
      <c r="K1023" s="9">
        <f t="shared" si="3"/>
        <v>2023</v>
      </c>
      <c r="M1023" s="25">
        <f>IFERROR(__xludf.DUMMYFUNCTION("""COMPUTED_VALUE"""),44998.0)</f>
        <v>44998</v>
      </c>
    </row>
    <row r="1024">
      <c r="A1024" s="10" t="s">
        <v>980</v>
      </c>
      <c r="B1024" s="3" t="s">
        <v>981</v>
      </c>
      <c r="C1024" s="10" t="s">
        <v>1033</v>
      </c>
      <c r="D1024" s="3" t="s">
        <v>1034</v>
      </c>
      <c r="E1024" s="4" t="s">
        <v>3</v>
      </c>
      <c r="F1024" s="5" t="s">
        <v>6</v>
      </c>
      <c r="G1024" s="6" t="s">
        <v>1037</v>
      </c>
      <c r="H1024" s="7">
        <v>45021.0</v>
      </c>
      <c r="I1024" s="8">
        <f t="shared" si="1"/>
        <v>5</v>
      </c>
      <c r="J1024" s="9">
        <f t="shared" si="2"/>
        <v>4</v>
      </c>
      <c r="K1024" s="9">
        <f t="shared" si="3"/>
        <v>2023</v>
      </c>
      <c r="M1024" s="25">
        <f>IFERROR(__xludf.DUMMYFUNCTION("""COMPUTED_VALUE"""),45021.0)</f>
        <v>45021</v>
      </c>
    </row>
    <row r="1025">
      <c r="A1025" s="10" t="s">
        <v>980</v>
      </c>
      <c r="B1025" s="3" t="s">
        <v>981</v>
      </c>
      <c r="C1025" s="10" t="s">
        <v>1033</v>
      </c>
      <c r="D1025" s="3" t="s">
        <v>1034</v>
      </c>
      <c r="E1025" s="4" t="s">
        <v>8</v>
      </c>
      <c r="F1025" s="5" t="s">
        <v>13</v>
      </c>
      <c r="G1025" s="6" t="s">
        <v>1038</v>
      </c>
      <c r="H1025" s="7">
        <v>45102.0</v>
      </c>
      <c r="I1025" s="8">
        <f t="shared" si="1"/>
        <v>25</v>
      </c>
      <c r="J1025" s="9">
        <f t="shared" si="2"/>
        <v>6</v>
      </c>
      <c r="K1025" s="9">
        <f t="shared" si="3"/>
        <v>2023</v>
      </c>
      <c r="M1025" s="25">
        <f>IFERROR(__xludf.DUMMYFUNCTION("""COMPUTED_VALUE"""),45102.0)</f>
        <v>45102</v>
      </c>
    </row>
    <row r="1026">
      <c r="A1026" s="10" t="s">
        <v>980</v>
      </c>
      <c r="B1026" s="3" t="s">
        <v>981</v>
      </c>
      <c r="C1026" s="10" t="s">
        <v>1033</v>
      </c>
      <c r="D1026" s="3" t="s">
        <v>1034</v>
      </c>
      <c r="E1026" s="4" t="s">
        <v>3</v>
      </c>
      <c r="F1026" s="5" t="s">
        <v>51</v>
      </c>
      <c r="G1026" s="6" t="s">
        <v>1039</v>
      </c>
      <c r="H1026" s="7">
        <v>45122.0</v>
      </c>
      <c r="I1026" s="8">
        <f t="shared" si="1"/>
        <v>15</v>
      </c>
      <c r="J1026" s="9">
        <f t="shared" si="2"/>
        <v>7</v>
      </c>
      <c r="K1026" s="9">
        <f t="shared" si="3"/>
        <v>2023</v>
      </c>
      <c r="M1026" s="25">
        <f>IFERROR(__xludf.DUMMYFUNCTION("""COMPUTED_VALUE"""),45122.0)</f>
        <v>45122</v>
      </c>
    </row>
    <row r="1027">
      <c r="A1027" s="10" t="s">
        <v>980</v>
      </c>
      <c r="B1027" s="3" t="s">
        <v>981</v>
      </c>
      <c r="C1027" s="10" t="s">
        <v>1033</v>
      </c>
      <c r="D1027" s="3" t="s">
        <v>1034</v>
      </c>
      <c r="E1027" s="4" t="s">
        <v>3</v>
      </c>
      <c r="F1027" s="5" t="s">
        <v>51</v>
      </c>
      <c r="G1027" s="6" t="s">
        <v>1040</v>
      </c>
      <c r="H1027" s="7">
        <v>45143.0</v>
      </c>
      <c r="I1027" s="8">
        <f t="shared" si="1"/>
        <v>5</v>
      </c>
      <c r="J1027" s="9">
        <f t="shared" si="2"/>
        <v>8</v>
      </c>
      <c r="K1027" s="9">
        <f t="shared" si="3"/>
        <v>2023</v>
      </c>
      <c r="M1027" s="25">
        <f>IFERROR(__xludf.DUMMYFUNCTION("""COMPUTED_VALUE"""),45143.0)</f>
        <v>45143</v>
      </c>
    </row>
    <row r="1028">
      <c r="A1028" s="10" t="s">
        <v>980</v>
      </c>
      <c r="B1028" s="3" t="s">
        <v>981</v>
      </c>
      <c r="C1028" s="10" t="s">
        <v>1033</v>
      </c>
      <c r="D1028" s="3" t="s">
        <v>1034</v>
      </c>
      <c r="E1028" s="4" t="s">
        <v>8</v>
      </c>
      <c r="F1028" s="5" t="s">
        <v>35</v>
      </c>
      <c r="G1028" s="6" t="s">
        <v>112</v>
      </c>
      <c r="H1028" s="7">
        <v>45150.0</v>
      </c>
      <c r="I1028" s="8">
        <f t="shared" si="1"/>
        <v>12</v>
      </c>
      <c r="J1028" s="9">
        <f t="shared" si="2"/>
        <v>8</v>
      </c>
      <c r="K1028" s="9">
        <f t="shared" si="3"/>
        <v>2023</v>
      </c>
      <c r="M1028" s="25">
        <f>IFERROR(__xludf.DUMMYFUNCTION("""COMPUTED_VALUE"""),45150.0)</f>
        <v>45150</v>
      </c>
    </row>
    <row r="1029">
      <c r="A1029" s="10" t="s">
        <v>980</v>
      </c>
      <c r="B1029" s="3" t="s">
        <v>981</v>
      </c>
      <c r="C1029" s="10" t="s">
        <v>1033</v>
      </c>
      <c r="D1029" s="3" t="s">
        <v>1034</v>
      </c>
      <c r="E1029" s="4" t="s">
        <v>3</v>
      </c>
      <c r="F1029" s="5" t="s">
        <v>71</v>
      </c>
      <c r="G1029" s="6" t="s">
        <v>799</v>
      </c>
      <c r="H1029" s="7">
        <v>45158.0</v>
      </c>
      <c r="I1029" s="8">
        <f t="shared" si="1"/>
        <v>20</v>
      </c>
      <c r="J1029" s="9">
        <f t="shared" si="2"/>
        <v>8</v>
      </c>
      <c r="K1029" s="9">
        <f t="shared" si="3"/>
        <v>2023</v>
      </c>
      <c r="M1029" s="25">
        <f>IFERROR(__xludf.DUMMYFUNCTION("""COMPUTED_VALUE"""),45158.0)</f>
        <v>45158</v>
      </c>
    </row>
    <row r="1030">
      <c r="A1030" s="10" t="s">
        <v>980</v>
      </c>
      <c r="B1030" s="3" t="s">
        <v>981</v>
      </c>
      <c r="C1030" s="10" t="s">
        <v>1033</v>
      </c>
      <c r="D1030" s="3" t="s">
        <v>1034</v>
      </c>
      <c r="E1030" s="4" t="s">
        <v>3</v>
      </c>
      <c r="F1030" s="5" t="s">
        <v>39</v>
      </c>
      <c r="G1030" s="6" t="s">
        <v>1041</v>
      </c>
      <c r="H1030" s="7">
        <v>45159.0</v>
      </c>
      <c r="I1030" s="8">
        <f t="shared" si="1"/>
        <v>21</v>
      </c>
      <c r="J1030" s="9">
        <f t="shared" si="2"/>
        <v>8</v>
      </c>
      <c r="K1030" s="9">
        <f t="shared" si="3"/>
        <v>2023</v>
      </c>
      <c r="M1030" s="25">
        <f>IFERROR(__xludf.DUMMYFUNCTION("""COMPUTED_VALUE"""),45159.0)</f>
        <v>45159</v>
      </c>
    </row>
    <row r="1031">
      <c r="A1031" s="10" t="s">
        <v>980</v>
      </c>
      <c r="B1031" s="3" t="s">
        <v>981</v>
      </c>
      <c r="C1031" s="10" t="s">
        <v>1033</v>
      </c>
      <c r="D1031" s="3" t="s">
        <v>1034</v>
      </c>
      <c r="E1031" s="4" t="s">
        <v>8</v>
      </c>
      <c r="F1031" s="5" t="s">
        <v>76</v>
      </c>
      <c r="G1031" s="6" t="s">
        <v>1042</v>
      </c>
      <c r="H1031" s="7">
        <v>45200.0</v>
      </c>
      <c r="I1031" s="8">
        <f t="shared" si="1"/>
        <v>1</v>
      </c>
      <c r="J1031" s="9">
        <f t="shared" si="2"/>
        <v>10</v>
      </c>
      <c r="K1031" s="9">
        <f t="shared" si="3"/>
        <v>2023</v>
      </c>
      <c r="M1031" s="25">
        <f>IFERROR(__xludf.DUMMYFUNCTION("""COMPUTED_VALUE"""),45200.0)</f>
        <v>45200</v>
      </c>
    </row>
    <row r="1032">
      <c r="A1032" s="10" t="s">
        <v>980</v>
      </c>
      <c r="B1032" s="3" t="s">
        <v>981</v>
      </c>
      <c r="C1032" s="10" t="s">
        <v>1033</v>
      </c>
      <c r="D1032" s="3" t="s">
        <v>1034</v>
      </c>
      <c r="E1032" s="4" t="s">
        <v>8</v>
      </c>
      <c r="F1032" s="5" t="s">
        <v>23</v>
      </c>
      <c r="G1032" s="6" t="s">
        <v>1043</v>
      </c>
      <c r="H1032" s="7">
        <v>45212.0</v>
      </c>
      <c r="I1032" s="8">
        <f t="shared" si="1"/>
        <v>13</v>
      </c>
      <c r="J1032" s="9">
        <f t="shared" si="2"/>
        <v>10</v>
      </c>
      <c r="K1032" s="9">
        <f t="shared" si="3"/>
        <v>2023</v>
      </c>
      <c r="M1032" s="25">
        <f>IFERROR(__xludf.DUMMYFUNCTION("""COMPUTED_VALUE"""),45212.0)</f>
        <v>45212</v>
      </c>
    </row>
    <row r="1033">
      <c r="A1033" s="10" t="s">
        <v>980</v>
      </c>
      <c r="B1033" s="3" t="s">
        <v>981</v>
      </c>
      <c r="C1033" s="10" t="s">
        <v>1033</v>
      </c>
      <c r="D1033" s="3" t="s">
        <v>1034</v>
      </c>
      <c r="E1033" s="4" t="s">
        <v>3</v>
      </c>
      <c r="F1033" s="5" t="s">
        <v>76</v>
      </c>
      <c r="G1033" s="6" t="s">
        <v>1044</v>
      </c>
      <c r="H1033" s="7">
        <v>45220.0</v>
      </c>
      <c r="I1033" s="8">
        <f t="shared" si="1"/>
        <v>21</v>
      </c>
      <c r="J1033" s="9">
        <f t="shared" si="2"/>
        <v>10</v>
      </c>
      <c r="K1033" s="9">
        <f t="shared" si="3"/>
        <v>2023</v>
      </c>
      <c r="M1033" s="25">
        <f>IFERROR(__xludf.DUMMYFUNCTION("""COMPUTED_VALUE"""),45220.0)</f>
        <v>45220</v>
      </c>
    </row>
    <row r="1034">
      <c r="A1034" s="10" t="s">
        <v>980</v>
      </c>
      <c r="B1034" s="3" t="s">
        <v>981</v>
      </c>
      <c r="C1034" s="10" t="s">
        <v>1033</v>
      </c>
      <c r="D1034" s="3" t="s">
        <v>1034</v>
      </c>
      <c r="E1034" s="4" t="s">
        <v>8</v>
      </c>
      <c r="F1034" s="5" t="s">
        <v>17</v>
      </c>
      <c r="G1034" s="6" t="s">
        <v>338</v>
      </c>
      <c r="H1034" s="7">
        <v>45225.0</v>
      </c>
      <c r="I1034" s="8">
        <f t="shared" si="1"/>
        <v>26</v>
      </c>
      <c r="J1034" s="9">
        <f t="shared" si="2"/>
        <v>10</v>
      </c>
      <c r="K1034" s="9">
        <f t="shared" si="3"/>
        <v>2023</v>
      </c>
      <c r="M1034" s="25">
        <f>IFERROR(__xludf.DUMMYFUNCTION("""COMPUTED_VALUE"""),45225.0)</f>
        <v>45225</v>
      </c>
    </row>
    <row r="1035">
      <c r="A1035" s="10" t="s">
        <v>980</v>
      </c>
      <c r="B1035" s="3" t="s">
        <v>981</v>
      </c>
      <c r="C1035" s="10" t="s">
        <v>1033</v>
      </c>
      <c r="D1035" s="3" t="s">
        <v>1034</v>
      </c>
      <c r="E1035" s="4" t="s">
        <v>3</v>
      </c>
      <c r="F1035" s="5" t="s">
        <v>28</v>
      </c>
      <c r="G1035" s="6" t="s">
        <v>1045</v>
      </c>
      <c r="H1035" s="7">
        <v>45232.0</v>
      </c>
      <c r="I1035" s="8">
        <f t="shared" si="1"/>
        <v>2</v>
      </c>
      <c r="J1035" s="9">
        <f t="shared" si="2"/>
        <v>11</v>
      </c>
      <c r="K1035" s="9">
        <f t="shared" si="3"/>
        <v>2023</v>
      </c>
      <c r="M1035" s="25">
        <f>IFERROR(__xludf.DUMMYFUNCTION("""COMPUTED_VALUE"""),45232.0)</f>
        <v>45232</v>
      </c>
    </row>
    <row r="1036">
      <c r="A1036" s="10" t="s">
        <v>980</v>
      </c>
      <c r="B1036" s="3" t="s">
        <v>981</v>
      </c>
      <c r="C1036" s="10" t="s">
        <v>1033</v>
      </c>
      <c r="D1036" s="3" t="s">
        <v>1034</v>
      </c>
      <c r="E1036" s="4" t="s">
        <v>3</v>
      </c>
      <c r="F1036" s="5" t="s">
        <v>39</v>
      </c>
      <c r="G1036" s="6" t="s">
        <v>1046</v>
      </c>
      <c r="H1036" s="7">
        <v>45232.0</v>
      </c>
      <c r="I1036" s="8">
        <f t="shared" si="1"/>
        <v>2</v>
      </c>
      <c r="J1036" s="9">
        <f t="shared" si="2"/>
        <v>11</v>
      </c>
      <c r="K1036" s="9">
        <f t="shared" si="3"/>
        <v>2023</v>
      </c>
      <c r="M1036" s="25">
        <f>IFERROR(__xludf.DUMMYFUNCTION("""COMPUTED_VALUE"""),45232.0)</f>
        <v>45232</v>
      </c>
    </row>
    <row r="1037">
      <c r="A1037" s="10" t="s">
        <v>980</v>
      </c>
      <c r="B1037" s="3" t="s">
        <v>981</v>
      </c>
      <c r="C1037" s="10" t="s">
        <v>1033</v>
      </c>
      <c r="D1037" s="3" t="s">
        <v>1034</v>
      </c>
      <c r="E1037" s="4" t="s">
        <v>3</v>
      </c>
      <c r="F1037" s="5" t="s">
        <v>96</v>
      </c>
      <c r="G1037" s="6" t="s">
        <v>1047</v>
      </c>
      <c r="H1037" s="7">
        <v>45247.0</v>
      </c>
      <c r="I1037" s="8">
        <f t="shared" si="1"/>
        <v>17</v>
      </c>
      <c r="J1037" s="9">
        <f t="shared" si="2"/>
        <v>11</v>
      </c>
      <c r="K1037" s="9">
        <f t="shared" si="3"/>
        <v>2023</v>
      </c>
      <c r="M1037" s="25">
        <f>IFERROR(__xludf.DUMMYFUNCTION("""COMPUTED_VALUE"""),45247.0)</f>
        <v>45247</v>
      </c>
    </row>
    <row r="1038">
      <c r="A1038" s="10" t="s">
        <v>980</v>
      </c>
      <c r="B1038" s="3" t="s">
        <v>981</v>
      </c>
      <c r="C1038" s="10" t="s">
        <v>1033</v>
      </c>
      <c r="D1038" s="3" t="s">
        <v>1034</v>
      </c>
      <c r="E1038" s="4" t="s">
        <v>3</v>
      </c>
      <c r="F1038" s="5" t="s">
        <v>28</v>
      </c>
      <c r="G1038" s="6" t="s">
        <v>1048</v>
      </c>
      <c r="H1038" s="7">
        <v>45254.0</v>
      </c>
      <c r="I1038" s="8">
        <f t="shared" si="1"/>
        <v>24</v>
      </c>
      <c r="J1038" s="9">
        <f t="shared" si="2"/>
        <v>11</v>
      </c>
      <c r="K1038" s="9">
        <f t="shared" si="3"/>
        <v>2023</v>
      </c>
      <c r="M1038" s="25">
        <f>IFERROR(__xludf.DUMMYFUNCTION("""COMPUTED_VALUE"""),45254.0)</f>
        <v>45254</v>
      </c>
    </row>
    <row r="1039">
      <c r="A1039" s="10" t="s">
        <v>980</v>
      </c>
      <c r="B1039" s="3" t="s">
        <v>981</v>
      </c>
      <c r="C1039" s="10" t="s">
        <v>1033</v>
      </c>
      <c r="D1039" s="3" t="s">
        <v>1034</v>
      </c>
      <c r="E1039" s="4" t="s">
        <v>8</v>
      </c>
      <c r="F1039" s="5" t="s">
        <v>76</v>
      </c>
      <c r="G1039" s="6" t="s">
        <v>1049</v>
      </c>
      <c r="H1039" s="7">
        <v>45261.0</v>
      </c>
      <c r="I1039" s="8">
        <f t="shared" si="1"/>
        <v>1</v>
      </c>
      <c r="J1039" s="9">
        <f t="shared" si="2"/>
        <v>12</v>
      </c>
      <c r="K1039" s="9">
        <f t="shared" si="3"/>
        <v>2023</v>
      </c>
      <c r="M1039" s="25">
        <f>IFERROR(__xludf.DUMMYFUNCTION("""COMPUTED_VALUE"""),45261.0)</f>
        <v>45261</v>
      </c>
    </row>
    <row r="1040">
      <c r="A1040" s="10" t="s">
        <v>980</v>
      </c>
      <c r="B1040" s="3" t="s">
        <v>981</v>
      </c>
      <c r="C1040" s="10" t="s">
        <v>1033</v>
      </c>
      <c r="D1040" s="3" t="s">
        <v>1034</v>
      </c>
      <c r="E1040" s="4" t="s">
        <v>3</v>
      </c>
      <c r="F1040" s="5" t="s">
        <v>35</v>
      </c>
      <c r="G1040" s="6" t="s">
        <v>1050</v>
      </c>
      <c r="H1040" s="7">
        <v>45277.0</v>
      </c>
      <c r="I1040" s="8">
        <f t="shared" si="1"/>
        <v>17</v>
      </c>
      <c r="J1040" s="9">
        <f t="shared" si="2"/>
        <v>12</v>
      </c>
      <c r="K1040" s="9">
        <f t="shared" si="3"/>
        <v>2023</v>
      </c>
      <c r="M1040" s="25">
        <f>IFERROR(__xludf.DUMMYFUNCTION("""COMPUTED_VALUE"""),45277.0)</f>
        <v>45277</v>
      </c>
    </row>
    <row r="1041">
      <c r="A1041" s="10" t="s">
        <v>999</v>
      </c>
      <c r="B1041" s="3" t="s">
        <v>1000</v>
      </c>
      <c r="C1041" s="10" t="s">
        <v>1051</v>
      </c>
      <c r="D1041" s="3" t="s">
        <v>1052</v>
      </c>
      <c r="E1041" s="4" t="s">
        <v>3</v>
      </c>
      <c r="F1041" s="5" t="s">
        <v>45</v>
      </c>
      <c r="G1041" s="6" t="s">
        <v>1053</v>
      </c>
      <c r="H1041" s="7">
        <v>44983.0</v>
      </c>
      <c r="I1041" s="8">
        <f t="shared" si="1"/>
        <v>26</v>
      </c>
      <c r="J1041" s="9">
        <f t="shared" si="2"/>
        <v>2</v>
      </c>
      <c r="K1041" s="9">
        <f t="shared" si="3"/>
        <v>2023</v>
      </c>
      <c r="M1041" s="25">
        <f>IFERROR(__xludf.DUMMYFUNCTION("""COMPUTED_VALUE"""),44983.0)</f>
        <v>44983</v>
      </c>
    </row>
    <row r="1042">
      <c r="A1042" s="10" t="s">
        <v>999</v>
      </c>
      <c r="B1042" s="3" t="s">
        <v>1000</v>
      </c>
      <c r="C1042" s="10" t="s">
        <v>1051</v>
      </c>
      <c r="D1042" s="3" t="s">
        <v>1052</v>
      </c>
      <c r="E1042" s="4" t="s">
        <v>3</v>
      </c>
      <c r="F1042" s="5" t="s">
        <v>42</v>
      </c>
      <c r="G1042" s="6" t="s">
        <v>505</v>
      </c>
      <c r="H1042" s="7">
        <v>44986.0</v>
      </c>
      <c r="I1042" s="8">
        <f t="shared" si="1"/>
        <v>1</v>
      </c>
      <c r="J1042" s="9">
        <f t="shared" si="2"/>
        <v>3</v>
      </c>
      <c r="K1042" s="9">
        <f t="shared" si="3"/>
        <v>2023</v>
      </c>
      <c r="M1042" s="25">
        <f>IFERROR(__xludf.DUMMYFUNCTION("""COMPUTED_VALUE"""),44986.0)</f>
        <v>44986</v>
      </c>
    </row>
    <row r="1043">
      <c r="A1043" s="10" t="s">
        <v>999</v>
      </c>
      <c r="B1043" s="3" t="s">
        <v>1000</v>
      </c>
      <c r="C1043" s="10" t="s">
        <v>1051</v>
      </c>
      <c r="D1043" s="3" t="s">
        <v>1052</v>
      </c>
      <c r="E1043" s="4" t="s">
        <v>3</v>
      </c>
      <c r="F1043" s="5" t="s">
        <v>9</v>
      </c>
      <c r="G1043" s="6" t="s">
        <v>1054</v>
      </c>
      <c r="H1043" s="7">
        <v>45027.0</v>
      </c>
      <c r="I1043" s="8">
        <f t="shared" si="1"/>
        <v>11</v>
      </c>
      <c r="J1043" s="9">
        <f t="shared" si="2"/>
        <v>4</v>
      </c>
      <c r="K1043" s="9">
        <f t="shared" si="3"/>
        <v>2023</v>
      </c>
      <c r="M1043" s="25">
        <f>IFERROR(__xludf.DUMMYFUNCTION("""COMPUTED_VALUE"""),45027.0)</f>
        <v>45027</v>
      </c>
    </row>
    <row r="1044">
      <c r="A1044" s="10" t="s">
        <v>999</v>
      </c>
      <c r="B1044" s="3" t="s">
        <v>1000</v>
      </c>
      <c r="C1044" s="10" t="s">
        <v>1051</v>
      </c>
      <c r="D1044" s="3" t="s">
        <v>1052</v>
      </c>
      <c r="E1044" s="4" t="s">
        <v>8</v>
      </c>
      <c r="F1044" s="5" t="s">
        <v>21</v>
      </c>
      <c r="G1044" s="6" t="s">
        <v>1055</v>
      </c>
      <c r="H1044" s="7">
        <v>45039.0</v>
      </c>
      <c r="I1044" s="8">
        <f t="shared" si="1"/>
        <v>23</v>
      </c>
      <c r="J1044" s="9">
        <f t="shared" si="2"/>
        <v>4</v>
      </c>
      <c r="K1044" s="9">
        <f t="shared" si="3"/>
        <v>2023</v>
      </c>
      <c r="M1044" s="25">
        <f>IFERROR(__xludf.DUMMYFUNCTION("""COMPUTED_VALUE"""),45039.0)</f>
        <v>45039</v>
      </c>
    </row>
    <row r="1045">
      <c r="A1045" s="10" t="s">
        <v>999</v>
      </c>
      <c r="B1045" s="3" t="s">
        <v>1000</v>
      </c>
      <c r="C1045" s="10" t="s">
        <v>1051</v>
      </c>
      <c r="D1045" s="3" t="s">
        <v>1052</v>
      </c>
      <c r="E1045" s="4" t="s">
        <v>3</v>
      </c>
      <c r="F1045" s="5" t="s">
        <v>51</v>
      </c>
      <c r="G1045" s="6" t="s">
        <v>727</v>
      </c>
      <c r="H1045" s="7">
        <v>45044.0</v>
      </c>
      <c r="I1045" s="8">
        <f t="shared" si="1"/>
        <v>28</v>
      </c>
      <c r="J1045" s="9">
        <f t="shared" si="2"/>
        <v>4</v>
      </c>
      <c r="K1045" s="9">
        <f t="shared" si="3"/>
        <v>2023</v>
      </c>
      <c r="M1045" s="25">
        <f>IFERROR(__xludf.DUMMYFUNCTION("""COMPUTED_VALUE"""),45044.0)</f>
        <v>45044</v>
      </c>
    </row>
    <row r="1046">
      <c r="A1046" s="10" t="s">
        <v>999</v>
      </c>
      <c r="B1046" s="3" t="s">
        <v>1000</v>
      </c>
      <c r="C1046" s="10" t="s">
        <v>1051</v>
      </c>
      <c r="D1046" s="3" t="s">
        <v>1052</v>
      </c>
      <c r="E1046" s="4" t="s">
        <v>8</v>
      </c>
      <c r="F1046" s="5" t="s">
        <v>15</v>
      </c>
      <c r="G1046" s="6" t="s">
        <v>321</v>
      </c>
      <c r="H1046" s="7">
        <v>45058.0</v>
      </c>
      <c r="I1046" s="8">
        <f t="shared" si="1"/>
        <v>12</v>
      </c>
      <c r="J1046" s="9">
        <f t="shared" si="2"/>
        <v>5</v>
      </c>
      <c r="K1046" s="9">
        <f t="shared" si="3"/>
        <v>2023</v>
      </c>
      <c r="M1046" s="25">
        <f>IFERROR(__xludf.DUMMYFUNCTION("""COMPUTED_VALUE"""),45058.0)</f>
        <v>45058</v>
      </c>
    </row>
    <row r="1047">
      <c r="A1047" s="10" t="s">
        <v>999</v>
      </c>
      <c r="B1047" s="3" t="s">
        <v>1000</v>
      </c>
      <c r="C1047" s="10" t="s">
        <v>1051</v>
      </c>
      <c r="D1047" s="3" t="s">
        <v>1052</v>
      </c>
      <c r="E1047" s="4" t="s">
        <v>3</v>
      </c>
      <c r="F1047" s="5" t="s">
        <v>4</v>
      </c>
      <c r="G1047" s="6" t="s">
        <v>1056</v>
      </c>
      <c r="H1047" s="7">
        <v>45065.0</v>
      </c>
      <c r="I1047" s="8">
        <f t="shared" si="1"/>
        <v>19</v>
      </c>
      <c r="J1047" s="9">
        <f t="shared" si="2"/>
        <v>5</v>
      </c>
      <c r="K1047" s="9">
        <f t="shared" si="3"/>
        <v>2023</v>
      </c>
      <c r="M1047" s="25">
        <f>IFERROR(__xludf.DUMMYFUNCTION("""COMPUTED_VALUE"""),45065.0)</f>
        <v>45065</v>
      </c>
    </row>
    <row r="1048">
      <c r="A1048" s="10" t="s">
        <v>999</v>
      </c>
      <c r="B1048" s="3" t="s">
        <v>1000</v>
      </c>
      <c r="C1048" s="10" t="s">
        <v>1051</v>
      </c>
      <c r="D1048" s="3" t="s">
        <v>1052</v>
      </c>
      <c r="E1048" s="4" t="s">
        <v>8</v>
      </c>
      <c r="F1048" s="5" t="s">
        <v>13</v>
      </c>
      <c r="G1048" s="6" t="s">
        <v>1057</v>
      </c>
      <c r="H1048" s="7">
        <v>45081.0</v>
      </c>
      <c r="I1048" s="8">
        <f t="shared" si="1"/>
        <v>4</v>
      </c>
      <c r="J1048" s="9">
        <f t="shared" si="2"/>
        <v>6</v>
      </c>
      <c r="K1048" s="9">
        <f t="shared" si="3"/>
        <v>2023</v>
      </c>
      <c r="M1048" s="25">
        <f>IFERROR(__xludf.DUMMYFUNCTION("""COMPUTED_VALUE"""),45081.0)</f>
        <v>45081</v>
      </c>
    </row>
    <row r="1049">
      <c r="A1049" s="10" t="s">
        <v>999</v>
      </c>
      <c r="B1049" s="3" t="s">
        <v>1000</v>
      </c>
      <c r="C1049" s="10" t="s">
        <v>1051</v>
      </c>
      <c r="D1049" s="3" t="s">
        <v>1052</v>
      </c>
      <c r="E1049" s="4" t="s">
        <v>8</v>
      </c>
      <c r="F1049" s="5" t="s">
        <v>76</v>
      </c>
      <c r="G1049" s="6" t="s">
        <v>1058</v>
      </c>
      <c r="H1049" s="7">
        <v>45091.0</v>
      </c>
      <c r="I1049" s="8">
        <f t="shared" si="1"/>
        <v>14</v>
      </c>
      <c r="J1049" s="9">
        <f t="shared" si="2"/>
        <v>6</v>
      </c>
      <c r="K1049" s="9">
        <f t="shared" si="3"/>
        <v>2023</v>
      </c>
      <c r="M1049" s="25">
        <f>IFERROR(__xludf.DUMMYFUNCTION("""COMPUTED_VALUE"""),45091.0)</f>
        <v>45091</v>
      </c>
    </row>
    <row r="1050">
      <c r="A1050" s="10" t="s">
        <v>999</v>
      </c>
      <c r="B1050" s="3" t="s">
        <v>1000</v>
      </c>
      <c r="C1050" s="10" t="s">
        <v>1051</v>
      </c>
      <c r="D1050" s="3" t="s">
        <v>1052</v>
      </c>
      <c r="E1050" s="4" t="s">
        <v>8</v>
      </c>
      <c r="F1050" s="5" t="s">
        <v>35</v>
      </c>
      <c r="G1050" s="6" t="s">
        <v>1059</v>
      </c>
      <c r="H1050" s="7">
        <v>45133.0</v>
      </c>
      <c r="I1050" s="8">
        <f t="shared" si="1"/>
        <v>26</v>
      </c>
      <c r="J1050" s="9">
        <f t="shared" si="2"/>
        <v>7</v>
      </c>
      <c r="K1050" s="9">
        <f t="shared" si="3"/>
        <v>2023</v>
      </c>
      <c r="M1050" s="25">
        <f>IFERROR(__xludf.DUMMYFUNCTION("""COMPUTED_VALUE"""),45133.0)</f>
        <v>45133</v>
      </c>
    </row>
    <row r="1051">
      <c r="A1051" s="10" t="s">
        <v>999</v>
      </c>
      <c r="B1051" s="3" t="s">
        <v>1000</v>
      </c>
      <c r="C1051" s="10" t="s">
        <v>1051</v>
      </c>
      <c r="D1051" s="3" t="s">
        <v>1052</v>
      </c>
      <c r="E1051" s="4" t="s">
        <v>8</v>
      </c>
      <c r="F1051" s="5" t="s">
        <v>17</v>
      </c>
      <c r="G1051" s="6" t="s">
        <v>366</v>
      </c>
      <c r="H1051" s="7">
        <v>45146.0</v>
      </c>
      <c r="I1051" s="8">
        <f t="shared" si="1"/>
        <v>8</v>
      </c>
      <c r="J1051" s="9">
        <f t="shared" si="2"/>
        <v>8</v>
      </c>
      <c r="K1051" s="9">
        <f t="shared" si="3"/>
        <v>2023</v>
      </c>
      <c r="M1051" s="25">
        <f>IFERROR(__xludf.DUMMYFUNCTION("""COMPUTED_VALUE"""),45146.0)</f>
        <v>45146</v>
      </c>
    </row>
    <row r="1052">
      <c r="A1052" s="10" t="s">
        <v>999</v>
      </c>
      <c r="B1052" s="3" t="s">
        <v>1000</v>
      </c>
      <c r="C1052" s="10" t="s">
        <v>1051</v>
      </c>
      <c r="D1052" s="3" t="s">
        <v>1052</v>
      </c>
      <c r="E1052" s="4" t="s">
        <v>3</v>
      </c>
      <c r="F1052" s="5" t="s">
        <v>71</v>
      </c>
      <c r="G1052" s="6" t="s">
        <v>1060</v>
      </c>
      <c r="H1052" s="7">
        <v>45148.0</v>
      </c>
      <c r="I1052" s="8">
        <f t="shared" si="1"/>
        <v>10</v>
      </c>
      <c r="J1052" s="9">
        <f t="shared" si="2"/>
        <v>8</v>
      </c>
      <c r="K1052" s="9">
        <f t="shared" si="3"/>
        <v>2023</v>
      </c>
      <c r="M1052" s="25">
        <f>IFERROR(__xludf.DUMMYFUNCTION("""COMPUTED_VALUE"""),45148.0)</f>
        <v>45148</v>
      </c>
    </row>
    <row r="1053">
      <c r="A1053" s="10" t="s">
        <v>999</v>
      </c>
      <c r="B1053" s="3" t="s">
        <v>1000</v>
      </c>
      <c r="C1053" s="10" t="s">
        <v>1051</v>
      </c>
      <c r="D1053" s="3" t="s">
        <v>1052</v>
      </c>
      <c r="E1053" s="4" t="s">
        <v>3</v>
      </c>
      <c r="F1053" s="5" t="s">
        <v>4</v>
      </c>
      <c r="G1053" s="6" t="s">
        <v>1061</v>
      </c>
      <c r="H1053" s="7">
        <v>45153.0</v>
      </c>
      <c r="I1053" s="8">
        <f t="shared" si="1"/>
        <v>15</v>
      </c>
      <c r="J1053" s="9">
        <f t="shared" si="2"/>
        <v>8</v>
      </c>
      <c r="K1053" s="9">
        <f t="shared" si="3"/>
        <v>2023</v>
      </c>
      <c r="M1053" s="25">
        <f>IFERROR(__xludf.DUMMYFUNCTION("""COMPUTED_VALUE"""),45153.0)</f>
        <v>45153</v>
      </c>
    </row>
    <row r="1054">
      <c r="A1054" s="10" t="s">
        <v>999</v>
      </c>
      <c r="B1054" s="3" t="s">
        <v>1000</v>
      </c>
      <c r="C1054" s="10" t="s">
        <v>1051</v>
      </c>
      <c r="D1054" s="3" t="s">
        <v>1052</v>
      </c>
      <c r="E1054" s="4" t="s">
        <v>8</v>
      </c>
      <c r="F1054" s="5" t="s">
        <v>51</v>
      </c>
      <c r="G1054" s="6" t="s">
        <v>1062</v>
      </c>
      <c r="H1054" s="7">
        <v>45155.0</v>
      </c>
      <c r="I1054" s="8">
        <f t="shared" si="1"/>
        <v>17</v>
      </c>
      <c r="J1054" s="9">
        <f t="shared" si="2"/>
        <v>8</v>
      </c>
      <c r="K1054" s="9">
        <f t="shared" si="3"/>
        <v>2023</v>
      </c>
      <c r="M1054" s="25">
        <f>IFERROR(__xludf.DUMMYFUNCTION("""COMPUTED_VALUE"""),45155.0)</f>
        <v>45155</v>
      </c>
    </row>
    <row r="1055">
      <c r="A1055" s="10" t="s">
        <v>999</v>
      </c>
      <c r="B1055" s="3" t="s">
        <v>1000</v>
      </c>
      <c r="C1055" s="10" t="s">
        <v>1051</v>
      </c>
      <c r="D1055" s="3" t="s">
        <v>1052</v>
      </c>
      <c r="E1055" s="4" t="s">
        <v>8</v>
      </c>
      <c r="F1055" s="5" t="s">
        <v>51</v>
      </c>
      <c r="G1055" s="6" t="s">
        <v>1063</v>
      </c>
      <c r="H1055" s="7">
        <v>45187.0</v>
      </c>
      <c r="I1055" s="8">
        <f t="shared" si="1"/>
        <v>18</v>
      </c>
      <c r="J1055" s="9">
        <f t="shared" si="2"/>
        <v>9</v>
      </c>
      <c r="K1055" s="9">
        <f t="shared" si="3"/>
        <v>2023</v>
      </c>
      <c r="M1055" s="25">
        <f>IFERROR(__xludf.DUMMYFUNCTION("""COMPUTED_VALUE"""),45187.0)</f>
        <v>45187</v>
      </c>
    </row>
    <row r="1056">
      <c r="A1056" s="10" t="s">
        <v>999</v>
      </c>
      <c r="B1056" s="3" t="s">
        <v>1000</v>
      </c>
      <c r="C1056" s="10" t="s">
        <v>1051</v>
      </c>
      <c r="D1056" s="3" t="s">
        <v>1052</v>
      </c>
      <c r="E1056" s="4" t="s">
        <v>8</v>
      </c>
      <c r="F1056" s="5" t="s">
        <v>11</v>
      </c>
      <c r="G1056" s="6" t="s">
        <v>1064</v>
      </c>
      <c r="H1056" s="7">
        <v>45189.0</v>
      </c>
      <c r="I1056" s="8">
        <f t="shared" si="1"/>
        <v>20</v>
      </c>
      <c r="J1056" s="9">
        <f t="shared" si="2"/>
        <v>9</v>
      </c>
      <c r="K1056" s="9">
        <f t="shared" si="3"/>
        <v>2023</v>
      </c>
      <c r="M1056" s="25">
        <f>IFERROR(__xludf.DUMMYFUNCTION("""COMPUTED_VALUE"""),45189.0)</f>
        <v>45189</v>
      </c>
    </row>
    <row r="1057">
      <c r="A1057" s="10" t="s">
        <v>999</v>
      </c>
      <c r="B1057" s="3" t="s">
        <v>1000</v>
      </c>
      <c r="C1057" s="10" t="s">
        <v>1051</v>
      </c>
      <c r="D1057" s="3" t="s">
        <v>1052</v>
      </c>
      <c r="E1057" s="4" t="s">
        <v>8</v>
      </c>
      <c r="F1057" s="5" t="s">
        <v>13</v>
      </c>
      <c r="G1057" s="6" t="s">
        <v>1065</v>
      </c>
      <c r="H1057" s="7">
        <v>45216.0</v>
      </c>
      <c r="I1057" s="8">
        <f t="shared" si="1"/>
        <v>17</v>
      </c>
      <c r="J1057" s="9">
        <f t="shared" si="2"/>
        <v>10</v>
      </c>
      <c r="K1057" s="9">
        <f t="shared" si="3"/>
        <v>2023</v>
      </c>
      <c r="M1057" s="25">
        <f>IFERROR(__xludf.DUMMYFUNCTION("""COMPUTED_VALUE"""),45216.0)</f>
        <v>45216</v>
      </c>
    </row>
    <row r="1058">
      <c r="A1058" s="10" t="s">
        <v>999</v>
      </c>
      <c r="B1058" s="3" t="s">
        <v>1000</v>
      </c>
      <c r="C1058" s="10" t="s">
        <v>1051</v>
      </c>
      <c r="D1058" s="3" t="s">
        <v>1052</v>
      </c>
      <c r="E1058" s="4" t="s">
        <v>3</v>
      </c>
      <c r="F1058" s="5" t="s">
        <v>4</v>
      </c>
      <c r="G1058" s="6" t="s">
        <v>1066</v>
      </c>
      <c r="H1058" s="7">
        <v>45250.0</v>
      </c>
      <c r="I1058" s="8">
        <f t="shared" si="1"/>
        <v>20</v>
      </c>
      <c r="J1058" s="9">
        <f t="shared" si="2"/>
        <v>11</v>
      </c>
      <c r="K1058" s="9">
        <f t="shared" si="3"/>
        <v>2023</v>
      </c>
      <c r="M1058" s="25">
        <f>IFERROR(__xludf.DUMMYFUNCTION("""COMPUTED_VALUE"""),45250.0)</f>
        <v>45250</v>
      </c>
    </row>
    <row r="1059">
      <c r="A1059" s="10" t="s">
        <v>999</v>
      </c>
      <c r="B1059" s="3" t="s">
        <v>1000</v>
      </c>
      <c r="C1059" s="10" t="s">
        <v>1051</v>
      </c>
      <c r="D1059" s="3" t="s">
        <v>1052</v>
      </c>
      <c r="E1059" s="4" t="s">
        <v>8</v>
      </c>
      <c r="F1059" s="5" t="s">
        <v>6</v>
      </c>
      <c r="G1059" s="6" t="s">
        <v>1067</v>
      </c>
      <c r="H1059" s="7">
        <v>45261.0</v>
      </c>
      <c r="I1059" s="8">
        <f t="shared" si="1"/>
        <v>1</v>
      </c>
      <c r="J1059" s="9">
        <f t="shared" si="2"/>
        <v>12</v>
      </c>
      <c r="K1059" s="9">
        <f t="shared" si="3"/>
        <v>2023</v>
      </c>
      <c r="M1059" s="25">
        <f>IFERROR(__xludf.DUMMYFUNCTION("""COMPUTED_VALUE"""),45261.0)</f>
        <v>45261</v>
      </c>
    </row>
    <row r="1060">
      <c r="A1060" s="10" t="s">
        <v>999</v>
      </c>
      <c r="B1060" s="3" t="s">
        <v>1000</v>
      </c>
      <c r="C1060" s="10" t="s">
        <v>1051</v>
      </c>
      <c r="D1060" s="3" t="s">
        <v>1052</v>
      </c>
      <c r="E1060" s="4" t="s">
        <v>8</v>
      </c>
      <c r="F1060" s="5" t="s">
        <v>4</v>
      </c>
      <c r="G1060" s="6" t="s">
        <v>1068</v>
      </c>
      <c r="H1060" s="7">
        <v>45261.0</v>
      </c>
      <c r="I1060" s="8">
        <f t="shared" si="1"/>
        <v>1</v>
      </c>
      <c r="J1060" s="9">
        <f t="shared" si="2"/>
        <v>12</v>
      </c>
      <c r="K1060" s="9">
        <f t="shared" si="3"/>
        <v>2023</v>
      </c>
      <c r="M1060" s="25">
        <f>IFERROR(__xludf.DUMMYFUNCTION("""COMPUTED_VALUE"""),45261.0)</f>
        <v>45261</v>
      </c>
    </row>
    <row r="1061">
      <c r="A1061" s="10" t="s">
        <v>1015</v>
      </c>
      <c r="B1061" s="3" t="s">
        <v>1016</v>
      </c>
      <c r="C1061" s="10" t="s">
        <v>1069</v>
      </c>
      <c r="D1061" s="3" t="s">
        <v>1070</v>
      </c>
      <c r="E1061" s="4" t="s">
        <v>3</v>
      </c>
      <c r="F1061" s="5" t="s">
        <v>13</v>
      </c>
      <c r="G1061" s="6" t="s">
        <v>1071</v>
      </c>
      <c r="H1061" s="7">
        <v>44930.0</v>
      </c>
      <c r="I1061" s="8">
        <f t="shared" si="1"/>
        <v>4</v>
      </c>
      <c r="J1061" s="9">
        <f t="shared" si="2"/>
        <v>1</v>
      </c>
      <c r="K1061" s="9">
        <f t="shared" si="3"/>
        <v>2023</v>
      </c>
      <c r="M1061" s="25">
        <f>IFERROR(__xludf.DUMMYFUNCTION("""COMPUTED_VALUE"""),44930.0)</f>
        <v>44930</v>
      </c>
    </row>
    <row r="1062">
      <c r="A1062" s="10" t="s">
        <v>1015</v>
      </c>
      <c r="B1062" s="3" t="s">
        <v>1016</v>
      </c>
      <c r="C1062" s="10" t="s">
        <v>1069</v>
      </c>
      <c r="D1062" s="3" t="s">
        <v>1070</v>
      </c>
      <c r="E1062" s="4" t="s">
        <v>3</v>
      </c>
      <c r="F1062" s="5" t="s">
        <v>96</v>
      </c>
      <c r="G1062" s="6" t="s">
        <v>1072</v>
      </c>
      <c r="H1062" s="7">
        <v>44945.0</v>
      </c>
      <c r="I1062" s="8">
        <f t="shared" si="1"/>
        <v>19</v>
      </c>
      <c r="J1062" s="9">
        <f t="shared" si="2"/>
        <v>1</v>
      </c>
      <c r="K1062" s="9">
        <f t="shared" si="3"/>
        <v>2023</v>
      </c>
      <c r="M1062" s="25">
        <f>IFERROR(__xludf.DUMMYFUNCTION("""COMPUTED_VALUE"""),44945.0)</f>
        <v>44945</v>
      </c>
    </row>
    <row r="1063">
      <c r="A1063" s="10" t="s">
        <v>1015</v>
      </c>
      <c r="B1063" s="3" t="s">
        <v>1016</v>
      </c>
      <c r="C1063" s="10" t="s">
        <v>1069</v>
      </c>
      <c r="D1063" s="3" t="s">
        <v>1070</v>
      </c>
      <c r="E1063" s="4" t="s">
        <v>3</v>
      </c>
      <c r="F1063" s="5" t="s">
        <v>28</v>
      </c>
      <c r="G1063" s="6" t="s">
        <v>1073</v>
      </c>
      <c r="H1063" s="7">
        <v>44960.0</v>
      </c>
      <c r="I1063" s="8">
        <f t="shared" si="1"/>
        <v>3</v>
      </c>
      <c r="J1063" s="9">
        <f t="shared" si="2"/>
        <v>2</v>
      </c>
      <c r="K1063" s="9">
        <f t="shared" si="3"/>
        <v>2023</v>
      </c>
      <c r="M1063" s="25">
        <f>IFERROR(__xludf.DUMMYFUNCTION("""COMPUTED_VALUE"""),44960.0)</f>
        <v>44960</v>
      </c>
    </row>
    <row r="1064">
      <c r="A1064" s="10" t="s">
        <v>1015</v>
      </c>
      <c r="B1064" s="3" t="s">
        <v>1016</v>
      </c>
      <c r="C1064" s="10" t="s">
        <v>1069</v>
      </c>
      <c r="D1064" s="3" t="s">
        <v>1070</v>
      </c>
      <c r="E1064" s="4" t="s">
        <v>8</v>
      </c>
      <c r="F1064" s="5" t="s">
        <v>120</v>
      </c>
      <c r="G1064" s="6" t="s">
        <v>1074</v>
      </c>
      <c r="H1064" s="7">
        <v>44965.0</v>
      </c>
      <c r="I1064" s="8">
        <f t="shared" si="1"/>
        <v>8</v>
      </c>
      <c r="J1064" s="9">
        <f t="shared" si="2"/>
        <v>2</v>
      </c>
      <c r="K1064" s="9">
        <f t="shared" si="3"/>
        <v>2023</v>
      </c>
      <c r="M1064" s="25">
        <f>IFERROR(__xludf.DUMMYFUNCTION("""COMPUTED_VALUE"""),44965.0)</f>
        <v>44965</v>
      </c>
    </row>
    <row r="1065">
      <c r="A1065" s="10" t="s">
        <v>1015</v>
      </c>
      <c r="B1065" s="3" t="s">
        <v>1016</v>
      </c>
      <c r="C1065" s="10" t="s">
        <v>1069</v>
      </c>
      <c r="D1065" s="3" t="s">
        <v>1070</v>
      </c>
      <c r="E1065" s="4" t="s">
        <v>8</v>
      </c>
      <c r="F1065" s="5" t="s">
        <v>4</v>
      </c>
      <c r="G1065" s="6" t="s">
        <v>1075</v>
      </c>
      <c r="H1065" s="7">
        <v>44979.0</v>
      </c>
      <c r="I1065" s="8">
        <f t="shared" si="1"/>
        <v>22</v>
      </c>
      <c r="J1065" s="9">
        <f t="shared" si="2"/>
        <v>2</v>
      </c>
      <c r="K1065" s="9">
        <f t="shared" si="3"/>
        <v>2023</v>
      </c>
      <c r="M1065" s="25">
        <f>IFERROR(__xludf.DUMMYFUNCTION("""COMPUTED_VALUE"""),44979.0)</f>
        <v>44979</v>
      </c>
    </row>
    <row r="1066">
      <c r="A1066" s="10" t="s">
        <v>1015</v>
      </c>
      <c r="B1066" s="3" t="s">
        <v>1016</v>
      </c>
      <c r="C1066" s="10" t="s">
        <v>1069</v>
      </c>
      <c r="D1066" s="3" t="s">
        <v>1070</v>
      </c>
      <c r="E1066" s="4" t="s">
        <v>8</v>
      </c>
      <c r="F1066" s="5" t="s">
        <v>28</v>
      </c>
      <c r="G1066" s="6" t="s">
        <v>128</v>
      </c>
      <c r="H1066" s="7">
        <v>44988.0</v>
      </c>
      <c r="I1066" s="8">
        <f t="shared" si="1"/>
        <v>3</v>
      </c>
      <c r="J1066" s="9">
        <f t="shared" si="2"/>
        <v>3</v>
      </c>
      <c r="K1066" s="9">
        <f t="shared" si="3"/>
        <v>2023</v>
      </c>
      <c r="M1066" s="25">
        <f>IFERROR(__xludf.DUMMYFUNCTION("""COMPUTED_VALUE"""),44988.0)</f>
        <v>44988</v>
      </c>
    </row>
    <row r="1067">
      <c r="A1067" s="10" t="s">
        <v>1015</v>
      </c>
      <c r="B1067" s="3" t="s">
        <v>1016</v>
      </c>
      <c r="C1067" s="10" t="s">
        <v>1069</v>
      </c>
      <c r="D1067" s="3" t="s">
        <v>1070</v>
      </c>
      <c r="E1067" s="4" t="s">
        <v>8</v>
      </c>
      <c r="F1067" s="5" t="s">
        <v>13</v>
      </c>
      <c r="G1067" s="6" t="s">
        <v>1076</v>
      </c>
      <c r="H1067" s="7">
        <v>45005.0</v>
      </c>
      <c r="I1067" s="8">
        <f t="shared" si="1"/>
        <v>20</v>
      </c>
      <c r="J1067" s="9">
        <f t="shared" si="2"/>
        <v>3</v>
      </c>
      <c r="K1067" s="9">
        <f t="shared" si="3"/>
        <v>2023</v>
      </c>
      <c r="M1067" s="25">
        <f>IFERROR(__xludf.DUMMYFUNCTION("""COMPUTED_VALUE"""),45005.0)</f>
        <v>45005</v>
      </c>
    </row>
    <row r="1068">
      <c r="A1068" s="10" t="s">
        <v>1015</v>
      </c>
      <c r="B1068" s="3" t="s">
        <v>1016</v>
      </c>
      <c r="C1068" s="10" t="s">
        <v>1069</v>
      </c>
      <c r="D1068" s="3" t="s">
        <v>1070</v>
      </c>
      <c r="E1068" s="4" t="s">
        <v>8</v>
      </c>
      <c r="F1068" s="5" t="s">
        <v>42</v>
      </c>
      <c r="G1068" s="6" t="s">
        <v>1014</v>
      </c>
      <c r="H1068" s="7">
        <v>45009.0</v>
      </c>
      <c r="I1068" s="8">
        <f t="shared" si="1"/>
        <v>24</v>
      </c>
      <c r="J1068" s="9">
        <f t="shared" si="2"/>
        <v>3</v>
      </c>
      <c r="K1068" s="9">
        <f t="shared" si="3"/>
        <v>2023</v>
      </c>
      <c r="M1068" s="25">
        <f>IFERROR(__xludf.DUMMYFUNCTION("""COMPUTED_VALUE"""),45009.0)</f>
        <v>45009</v>
      </c>
    </row>
    <row r="1069">
      <c r="A1069" s="10" t="s">
        <v>1015</v>
      </c>
      <c r="B1069" s="3" t="s">
        <v>1016</v>
      </c>
      <c r="C1069" s="10" t="s">
        <v>1069</v>
      </c>
      <c r="D1069" s="3" t="s">
        <v>1070</v>
      </c>
      <c r="E1069" s="4" t="s">
        <v>8</v>
      </c>
      <c r="F1069" s="5" t="s">
        <v>4</v>
      </c>
      <c r="G1069" s="6" t="s">
        <v>1077</v>
      </c>
      <c r="H1069" s="7">
        <v>45051.0</v>
      </c>
      <c r="I1069" s="8">
        <f t="shared" si="1"/>
        <v>5</v>
      </c>
      <c r="J1069" s="9">
        <f t="shared" si="2"/>
        <v>5</v>
      </c>
      <c r="K1069" s="9">
        <f t="shared" si="3"/>
        <v>2023</v>
      </c>
      <c r="M1069" s="25">
        <f>IFERROR(__xludf.DUMMYFUNCTION("""COMPUTED_VALUE"""),45051.0)</f>
        <v>45051</v>
      </c>
    </row>
    <row r="1070">
      <c r="A1070" s="10" t="s">
        <v>1015</v>
      </c>
      <c r="B1070" s="3" t="s">
        <v>1016</v>
      </c>
      <c r="C1070" s="10" t="s">
        <v>1069</v>
      </c>
      <c r="D1070" s="3" t="s">
        <v>1070</v>
      </c>
      <c r="E1070" s="4" t="s">
        <v>3</v>
      </c>
      <c r="F1070" s="5" t="s">
        <v>17</v>
      </c>
      <c r="G1070" s="6" t="s">
        <v>1078</v>
      </c>
      <c r="H1070" s="7">
        <v>45071.0</v>
      </c>
      <c r="I1070" s="8">
        <f t="shared" si="1"/>
        <v>25</v>
      </c>
      <c r="J1070" s="9">
        <f t="shared" si="2"/>
        <v>5</v>
      </c>
      <c r="K1070" s="9">
        <f t="shared" si="3"/>
        <v>2023</v>
      </c>
      <c r="M1070" s="25">
        <f>IFERROR(__xludf.DUMMYFUNCTION("""COMPUTED_VALUE"""),45071.0)</f>
        <v>45071</v>
      </c>
    </row>
    <row r="1071">
      <c r="A1071" s="10" t="s">
        <v>1015</v>
      </c>
      <c r="B1071" s="3" t="s">
        <v>1016</v>
      </c>
      <c r="C1071" s="10" t="s">
        <v>1069</v>
      </c>
      <c r="D1071" s="3" t="s">
        <v>1070</v>
      </c>
      <c r="E1071" s="4" t="s">
        <v>8</v>
      </c>
      <c r="F1071" s="5" t="s">
        <v>15</v>
      </c>
      <c r="G1071" s="6" t="s">
        <v>644</v>
      </c>
      <c r="H1071" s="7">
        <v>45091.0</v>
      </c>
      <c r="I1071" s="8">
        <f t="shared" si="1"/>
        <v>14</v>
      </c>
      <c r="J1071" s="9">
        <f t="shared" si="2"/>
        <v>6</v>
      </c>
      <c r="K1071" s="9">
        <f t="shared" si="3"/>
        <v>2023</v>
      </c>
      <c r="M1071" s="25">
        <f>IFERROR(__xludf.DUMMYFUNCTION("""COMPUTED_VALUE"""),45091.0)</f>
        <v>45091</v>
      </c>
    </row>
    <row r="1072">
      <c r="A1072" s="10" t="s">
        <v>1015</v>
      </c>
      <c r="B1072" s="3" t="s">
        <v>1016</v>
      </c>
      <c r="C1072" s="10" t="s">
        <v>1069</v>
      </c>
      <c r="D1072" s="3" t="s">
        <v>1070</v>
      </c>
      <c r="E1072" s="4" t="s">
        <v>3</v>
      </c>
      <c r="F1072" s="5" t="s">
        <v>17</v>
      </c>
      <c r="G1072" s="6" t="s">
        <v>1079</v>
      </c>
      <c r="H1072" s="7">
        <v>45126.0</v>
      </c>
      <c r="I1072" s="8">
        <f t="shared" si="1"/>
        <v>19</v>
      </c>
      <c r="J1072" s="9">
        <f t="shared" si="2"/>
        <v>7</v>
      </c>
      <c r="K1072" s="9">
        <f t="shared" si="3"/>
        <v>2023</v>
      </c>
      <c r="M1072" s="25">
        <f>IFERROR(__xludf.DUMMYFUNCTION("""COMPUTED_VALUE"""),45126.0)</f>
        <v>45126</v>
      </c>
    </row>
    <row r="1073">
      <c r="A1073" s="10" t="s">
        <v>1015</v>
      </c>
      <c r="B1073" s="3" t="s">
        <v>1016</v>
      </c>
      <c r="C1073" s="10" t="s">
        <v>1069</v>
      </c>
      <c r="D1073" s="3" t="s">
        <v>1070</v>
      </c>
      <c r="E1073" s="4" t="s">
        <v>8</v>
      </c>
      <c r="F1073" s="5" t="s">
        <v>13</v>
      </c>
      <c r="G1073" s="6" t="s">
        <v>679</v>
      </c>
      <c r="H1073" s="7">
        <v>45144.0</v>
      </c>
      <c r="I1073" s="8">
        <f t="shared" si="1"/>
        <v>6</v>
      </c>
      <c r="J1073" s="9">
        <f t="shared" si="2"/>
        <v>8</v>
      </c>
      <c r="K1073" s="9">
        <f t="shared" si="3"/>
        <v>2023</v>
      </c>
      <c r="M1073" s="25">
        <f>IFERROR(__xludf.DUMMYFUNCTION("""COMPUTED_VALUE"""),45144.0)</f>
        <v>45144</v>
      </c>
    </row>
    <row r="1074">
      <c r="A1074" s="10" t="s">
        <v>1015</v>
      </c>
      <c r="B1074" s="3" t="s">
        <v>1016</v>
      </c>
      <c r="C1074" s="10" t="s">
        <v>1069</v>
      </c>
      <c r="D1074" s="3" t="s">
        <v>1070</v>
      </c>
      <c r="E1074" s="4" t="s">
        <v>3</v>
      </c>
      <c r="F1074" s="5" t="s">
        <v>28</v>
      </c>
      <c r="G1074" s="6" t="s">
        <v>1073</v>
      </c>
      <c r="H1074" s="7">
        <v>45145.0</v>
      </c>
      <c r="I1074" s="8">
        <f t="shared" si="1"/>
        <v>7</v>
      </c>
      <c r="J1074" s="9">
        <f t="shared" si="2"/>
        <v>8</v>
      </c>
      <c r="K1074" s="9">
        <f t="shared" si="3"/>
        <v>2023</v>
      </c>
      <c r="M1074" s="25">
        <f>IFERROR(__xludf.DUMMYFUNCTION("""COMPUTED_VALUE"""),45145.0)</f>
        <v>45145</v>
      </c>
    </row>
    <row r="1075">
      <c r="A1075" s="10" t="s">
        <v>1015</v>
      </c>
      <c r="B1075" s="3" t="s">
        <v>1016</v>
      </c>
      <c r="C1075" s="10" t="s">
        <v>1069</v>
      </c>
      <c r="D1075" s="3" t="s">
        <v>1070</v>
      </c>
      <c r="E1075" s="4" t="s">
        <v>3</v>
      </c>
      <c r="F1075" s="5" t="s">
        <v>6</v>
      </c>
      <c r="G1075" s="6" t="s">
        <v>1080</v>
      </c>
      <c r="H1075" s="7">
        <v>45148.0</v>
      </c>
      <c r="I1075" s="8">
        <f t="shared" si="1"/>
        <v>10</v>
      </c>
      <c r="J1075" s="9">
        <f t="shared" si="2"/>
        <v>8</v>
      </c>
      <c r="K1075" s="9">
        <f t="shared" si="3"/>
        <v>2023</v>
      </c>
      <c r="M1075" s="25">
        <f>IFERROR(__xludf.DUMMYFUNCTION("""COMPUTED_VALUE"""),45148.0)</f>
        <v>45148</v>
      </c>
    </row>
    <row r="1076">
      <c r="A1076" s="10" t="s">
        <v>1015</v>
      </c>
      <c r="B1076" s="3" t="s">
        <v>1016</v>
      </c>
      <c r="C1076" s="10" t="s">
        <v>1069</v>
      </c>
      <c r="D1076" s="3" t="s">
        <v>1070</v>
      </c>
      <c r="E1076" s="4" t="s">
        <v>8</v>
      </c>
      <c r="F1076" s="5" t="s">
        <v>19</v>
      </c>
      <c r="G1076" s="6" t="s">
        <v>1081</v>
      </c>
      <c r="H1076" s="7">
        <v>45184.0</v>
      </c>
      <c r="I1076" s="8">
        <f t="shared" si="1"/>
        <v>15</v>
      </c>
      <c r="J1076" s="9">
        <f t="shared" si="2"/>
        <v>9</v>
      </c>
      <c r="K1076" s="9">
        <f t="shared" si="3"/>
        <v>2023</v>
      </c>
      <c r="M1076" s="25">
        <f>IFERROR(__xludf.DUMMYFUNCTION("""COMPUTED_VALUE"""),45184.0)</f>
        <v>45184</v>
      </c>
    </row>
    <row r="1077">
      <c r="A1077" s="10" t="s">
        <v>1015</v>
      </c>
      <c r="B1077" s="3" t="s">
        <v>1016</v>
      </c>
      <c r="C1077" s="10" t="s">
        <v>1069</v>
      </c>
      <c r="D1077" s="3" t="s">
        <v>1070</v>
      </c>
      <c r="E1077" s="4" t="s">
        <v>3</v>
      </c>
      <c r="F1077" s="5" t="s">
        <v>19</v>
      </c>
      <c r="G1077" s="6" t="s">
        <v>234</v>
      </c>
      <c r="H1077" s="7">
        <v>45188.0</v>
      </c>
      <c r="I1077" s="8">
        <f t="shared" si="1"/>
        <v>19</v>
      </c>
      <c r="J1077" s="9">
        <f t="shared" si="2"/>
        <v>9</v>
      </c>
      <c r="K1077" s="9">
        <f t="shared" si="3"/>
        <v>2023</v>
      </c>
      <c r="M1077" s="25">
        <f>IFERROR(__xludf.DUMMYFUNCTION("""COMPUTED_VALUE"""),45188.0)</f>
        <v>45188</v>
      </c>
    </row>
    <row r="1078">
      <c r="A1078" s="10" t="s">
        <v>1015</v>
      </c>
      <c r="B1078" s="3" t="s">
        <v>1016</v>
      </c>
      <c r="C1078" s="10" t="s">
        <v>1069</v>
      </c>
      <c r="D1078" s="3" t="s">
        <v>1070</v>
      </c>
      <c r="E1078" s="4" t="s">
        <v>8</v>
      </c>
      <c r="F1078" s="5" t="s">
        <v>96</v>
      </c>
      <c r="G1078" s="6" t="s">
        <v>1082</v>
      </c>
      <c r="H1078" s="7">
        <v>45202.0</v>
      </c>
      <c r="I1078" s="8">
        <f t="shared" si="1"/>
        <v>3</v>
      </c>
      <c r="J1078" s="9">
        <f t="shared" si="2"/>
        <v>10</v>
      </c>
      <c r="K1078" s="9">
        <f t="shared" si="3"/>
        <v>2023</v>
      </c>
      <c r="M1078" s="25">
        <f>IFERROR(__xludf.DUMMYFUNCTION("""COMPUTED_VALUE"""),45202.0)</f>
        <v>45202</v>
      </c>
    </row>
    <row r="1079">
      <c r="A1079" s="10" t="s">
        <v>1015</v>
      </c>
      <c r="B1079" s="3" t="s">
        <v>1016</v>
      </c>
      <c r="C1079" s="10" t="s">
        <v>1069</v>
      </c>
      <c r="D1079" s="3" t="s">
        <v>1070</v>
      </c>
      <c r="E1079" s="4" t="s">
        <v>3</v>
      </c>
      <c r="F1079" s="5" t="s">
        <v>23</v>
      </c>
      <c r="G1079" s="6" t="s">
        <v>1083</v>
      </c>
      <c r="H1079" s="7">
        <v>45242.0</v>
      </c>
      <c r="I1079" s="8">
        <f t="shared" si="1"/>
        <v>12</v>
      </c>
      <c r="J1079" s="9">
        <f t="shared" si="2"/>
        <v>11</v>
      </c>
      <c r="K1079" s="9">
        <f t="shared" si="3"/>
        <v>2023</v>
      </c>
      <c r="M1079" s="25">
        <f>IFERROR(__xludf.DUMMYFUNCTION("""COMPUTED_VALUE"""),45242.0)</f>
        <v>45242</v>
      </c>
    </row>
    <row r="1080">
      <c r="A1080" s="10" t="s">
        <v>1015</v>
      </c>
      <c r="B1080" s="3" t="s">
        <v>1016</v>
      </c>
      <c r="C1080" s="10" t="s">
        <v>1069</v>
      </c>
      <c r="D1080" s="3" t="s">
        <v>1070</v>
      </c>
      <c r="E1080" s="4" t="s">
        <v>8</v>
      </c>
      <c r="F1080" s="5" t="s">
        <v>28</v>
      </c>
      <c r="G1080" s="6" t="s">
        <v>43</v>
      </c>
      <c r="H1080" s="7">
        <v>45267.0</v>
      </c>
      <c r="I1080" s="8">
        <f t="shared" si="1"/>
        <v>7</v>
      </c>
      <c r="J1080" s="9">
        <f t="shared" si="2"/>
        <v>12</v>
      </c>
      <c r="K1080" s="9">
        <f t="shared" si="3"/>
        <v>2023</v>
      </c>
      <c r="M1080" s="25">
        <f>IFERROR(__xludf.DUMMYFUNCTION("""COMPUTED_VALUE"""),45267.0)</f>
        <v>45267</v>
      </c>
    </row>
    <row r="1081">
      <c r="A1081" s="10" t="s">
        <v>1033</v>
      </c>
      <c r="B1081" s="3" t="s">
        <v>1034</v>
      </c>
      <c r="C1081" s="10" t="s">
        <v>1084</v>
      </c>
      <c r="D1081" s="3" t="s">
        <v>1085</v>
      </c>
      <c r="E1081" s="4" t="s">
        <v>3</v>
      </c>
      <c r="F1081" s="5" t="s">
        <v>4</v>
      </c>
      <c r="G1081" s="6" t="s">
        <v>1086</v>
      </c>
      <c r="H1081" s="7">
        <v>44953.0</v>
      </c>
      <c r="I1081" s="8">
        <f t="shared" si="1"/>
        <v>27</v>
      </c>
      <c r="J1081" s="9">
        <f t="shared" si="2"/>
        <v>1</v>
      </c>
      <c r="K1081" s="9">
        <f t="shared" si="3"/>
        <v>2023</v>
      </c>
      <c r="M1081" s="25">
        <f>IFERROR(__xludf.DUMMYFUNCTION("""COMPUTED_VALUE"""),44953.0)</f>
        <v>44953</v>
      </c>
    </row>
    <row r="1082">
      <c r="A1082" s="10" t="s">
        <v>1033</v>
      </c>
      <c r="B1082" s="3" t="s">
        <v>1034</v>
      </c>
      <c r="C1082" s="10" t="s">
        <v>1084</v>
      </c>
      <c r="D1082" s="3" t="s">
        <v>1085</v>
      </c>
      <c r="E1082" s="4" t="s">
        <v>3</v>
      </c>
      <c r="F1082" s="5" t="s">
        <v>15</v>
      </c>
      <c r="G1082" s="6" t="s">
        <v>488</v>
      </c>
      <c r="H1082" s="7">
        <v>44959.0</v>
      </c>
      <c r="I1082" s="8">
        <f t="shared" si="1"/>
        <v>2</v>
      </c>
      <c r="J1082" s="9">
        <f t="shared" si="2"/>
        <v>2</v>
      </c>
      <c r="K1082" s="9">
        <f t="shared" si="3"/>
        <v>2023</v>
      </c>
      <c r="M1082" s="25">
        <f>IFERROR(__xludf.DUMMYFUNCTION("""COMPUTED_VALUE"""),44959.0)</f>
        <v>44959</v>
      </c>
    </row>
    <row r="1083">
      <c r="A1083" s="10" t="s">
        <v>1033</v>
      </c>
      <c r="B1083" s="3" t="s">
        <v>1034</v>
      </c>
      <c r="C1083" s="10" t="s">
        <v>1084</v>
      </c>
      <c r="D1083" s="3" t="s">
        <v>1085</v>
      </c>
      <c r="E1083" s="4" t="s">
        <v>3</v>
      </c>
      <c r="F1083" s="5" t="s">
        <v>42</v>
      </c>
      <c r="G1083" s="6" t="s">
        <v>1087</v>
      </c>
      <c r="H1083" s="7">
        <v>44985.0</v>
      </c>
      <c r="I1083" s="8">
        <f t="shared" si="1"/>
        <v>28</v>
      </c>
      <c r="J1083" s="9">
        <f t="shared" si="2"/>
        <v>2</v>
      </c>
      <c r="K1083" s="9">
        <f t="shared" si="3"/>
        <v>2023</v>
      </c>
      <c r="M1083" s="25">
        <f>IFERROR(__xludf.DUMMYFUNCTION("""COMPUTED_VALUE"""),44985.0)</f>
        <v>44985</v>
      </c>
    </row>
    <row r="1084">
      <c r="A1084" s="10" t="s">
        <v>1033</v>
      </c>
      <c r="B1084" s="3" t="s">
        <v>1034</v>
      </c>
      <c r="C1084" s="10" t="s">
        <v>1084</v>
      </c>
      <c r="D1084" s="3" t="s">
        <v>1085</v>
      </c>
      <c r="E1084" s="4" t="s">
        <v>8</v>
      </c>
      <c r="F1084" s="5" t="s">
        <v>19</v>
      </c>
      <c r="G1084" s="6" t="s">
        <v>1088</v>
      </c>
      <c r="H1084" s="7">
        <v>45009.0</v>
      </c>
      <c r="I1084" s="8">
        <f t="shared" si="1"/>
        <v>24</v>
      </c>
      <c r="J1084" s="9">
        <f t="shared" si="2"/>
        <v>3</v>
      </c>
      <c r="K1084" s="9">
        <f t="shared" si="3"/>
        <v>2023</v>
      </c>
      <c r="M1084" s="25">
        <f>IFERROR(__xludf.DUMMYFUNCTION("""COMPUTED_VALUE"""),45009.0)</f>
        <v>45009</v>
      </c>
    </row>
    <row r="1085">
      <c r="A1085" s="10" t="s">
        <v>1033</v>
      </c>
      <c r="B1085" s="3" t="s">
        <v>1034</v>
      </c>
      <c r="C1085" s="10" t="s">
        <v>1084</v>
      </c>
      <c r="D1085" s="3" t="s">
        <v>1085</v>
      </c>
      <c r="E1085" s="4" t="s">
        <v>8</v>
      </c>
      <c r="F1085" s="5" t="s">
        <v>13</v>
      </c>
      <c r="G1085" s="6" t="s">
        <v>1089</v>
      </c>
      <c r="H1085" s="7">
        <v>45025.0</v>
      </c>
      <c r="I1085" s="8">
        <f t="shared" si="1"/>
        <v>9</v>
      </c>
      <c r="J1085" s="9">
        <f t="shared" si="2"/>
        <v>4</v>
      </c>
      <c r="K1085" s="9">
        <f t="shared" si="3"/>
        <v>2023</v>
      </c>
      <c r="M1085" s="25">
        <f>IFERROR(__xludf.DUMMYFUNCTION("""COMPUTED_VALUE"""),45025.0)</f>
        <v>45025</v>
      </c>
    </row>
    <row r="1086">
      <c r="A1086" s="10" t="s">
        <v>1033</v>
      </c>
      <c r="B1086" s="3" t="s">
        <v>1034</v>
      </c>
      <c r="C1086" s="10" t="s">
        <v>1084</v>
      </c>
      <c r="D1086" s="3" t="s">
        <v>1085</v>
      </c>
      <c r="E1086" s="4" t="s">
        <v>8</v>
      </c>
      <c r="F1086" s="5" t="s">
        <v>4</v>
      </c>
      <c r="G1086" s="6" t="s">
        <v>1090</v>
      </c>
      <c r="H1086" s="7">
        <v>45036.0</v>
      </c>
      <c r="I1086" s="8">
        <f t="shared" si="1"/>
        <v>20</v>
      </c>
      <c r="J1086" s="9">
        <f t="shared" si="2"/>
        <v>4</v>
      </c>
      <c r="K1086" s="9">
        <f t="shared" si="3"/>
        <v>2023</v>
      </c>
      <c r="M1086" s="25">
        <f>IFERROR(__xludf.DUMMYFUNCTION("""COMPUTED_VALUE"""),45036.0)</f>
        <v>45036</v>
      </c>
    </row>
    <row r="1087">
      <c r="A1087" s="10" t="s">
        <v>1033</v>
      </c>
      <c r="B1087" s="3" t="s">
        <v>1034</v>
      </c>
      <c r="C1087" s="10" t="s">
        <v>1084</v>
      </c>
      <c r="D1087" s="3" t="s">
        <v>1085</v>
      </c>
      <c r="E1087" s="4" t="s">
        <v>3</v>
      </c>
      <c r="F1087" s="5" t="s">
        <v>96</v>
      </c>
      <c r="G1087" s="6" t="s">
        <v>1091</v>
      </c>
      <c r="H1087" s="7">
        <v>45094.0</v>
      </c>
      <c r="I1087" s="8">
        <f t="shared" si="1"/>
        <v>17</v>
      </c>
      <c r="J1087" s="9">
        <f t="shared" si="2"/>
        <v>6</v>
      </c>
      <c r="K1087" s="9">
        <f t="shared" si="3"/>
        <v>2023</v>
      </c>
      <c r="M1087" s="25">
        <f>IFERROR(__xludf.DUMMYFUNCTION("""COMPUTED_VALUE"""),45094.0)</f>
        <v>45094</v>
      </c>
    </row>
    <row r="1088">
      <c r="A1088" s="10" t="s">
        <v>1033</v>
      </c>
      <c r="B1088" s="3" t="s">
        <v>1034</v>
      </c>
      <c r="C1088" s="10" t="s">
        <v>1084</v>
      </c>
      <c r="D1088" s="3" t="s">
        <v>1085</v>
      </c>
      <c r="E1088" s="4" t="s">
        <v>8</v>
      </c>
      <c r="F1088" s="5" t="s">
        <v>19</v>
      </c>
      <c r="G1088" s="6" t="s">
        <v>1092</v>
      </c>
      <c r="H1088" s="7">
        <v>45108.0</v>
      </c>
      <c r="I1088" s="8">
        <f t="shared" si="1"/>
        <v>1</v>
      </c>
      <c r="J1088" s="9">
        <f t="shared" si="2"/>
        <v>7</v>
      </c>
      <c r="K1088" s="9">
        <f t="shared" si="3"/>
        <v>2023</v>
      </c>
      <c r="M1088" s="25">
        <f>IFERROR(__xludf.DUMMYFUNCTION("""COMPUTED_VALUE"""),45108.0)</f>
        <v>45108</v>
      </c>
    </row>
    <row r="1089">
      <c r="A1089" s="10" t="s">
        <v>1033</v>
      </c>
      <c r="B1089" s="3" t="s">
        <v>1034</v>
      </c>
      <c r="C1089" s="10" t="s">
        <v>1084</v>
      </c>
      <c r="D1089" s="3" t="s">
        <v>1085</v>
      </c>
      <c r="E1089" s="4" t="s">
        <v>8</v>
      </c>
      <c r="F1089" s="5" t="s">
        <v>42</v>
      </c>
      <c r="G1089" s="6" t="s">
        <v>1054</v>
      </c>
      <c r="H1089" s="7">
        <v>45113.0</v>
      </c>
      <c r="I1089" s="8">
        <f t="shared" si="1"/>
        <v>6</v>
      </c>
      <c r="J1089" s="9">
        <f t="shared" si="2"/>
        <v>7</v>
      </c>
      <c r="K1089" s="9">
        <f t="shared" si="3"/>
        <v>2023</v>
      </c>
      <c r="M1089" s="25">
        <f>IFERROR(__xludf.DUMMYFUNCTION("""COMPUTED_VALUE"""),45113.0)</f>
        <v>45113</v>
      </c>
    </row>
    <row r="1090">
      <c r="A1090" s="10" t="s">
        <v>1033</v>
      </c>
      <c r="B1090" s="3" t="s">
        <v>1034</v>
      </c>
      <c r="C1090" s="10" t="s">
        <v>1084</v>
      </c>
      <c r="D1090" s="3" t="s">
        <v>1085</v>
      </c>
      <c r="E1090" s="4" t="s">
        <v>3</v>
      </c>
      <c r="F1090" s="5" t="s">
        <v>9</v>
      </c>
      <c r="G1090" s="6" t="s">
        <v>696</v>
      </c>
      <c r="H1090" s="7">
        <v>45123.0</v>
      </c>
      <c r="I1090" s="8">
        <f t="shared" si="1"/>
        <v>16</v>
      </c>
      <c r="J1090" s="9">
        <f t="shared" si="2"/>
        <v>7</v>
      </c>
      <c r="K1090" s="9">
        <f t="shared" si="3"/>
        <v>2023</v>
      </c>
      <c r="M1090" s="25">
        <f>IFERROR(__xludf.DUMMYFUNCTION("""COMPUTED_VALUE"""),45123.0)</f>
        <v>45123</v>
      </c>
    </row>
    <row r="1091">
      <c r="A1091" s="10" t="s">
        <v>1033</v>
      </c>
      <c r="B1091" s="3" t="s">
        <v>1034</v>
      </c>
      <c r="C1091" s="10" t="s">
        <v>1084</v>
      </c>
      <c r="D1091" s="3" t="s">
        <v>1085</v>
      </c>
      <c r="E1091" s="4" t="s">
        <v>3</v>
      </c>
      <c r="F1091" s="5" t="s">
        <v>17</v>
      </c>
      <c r="G1091" s="6" t="s">
        <v>1012</v>
      </c>
      <c r="H1091" s="7">
        <v>45160.0</v>
      </c>
      <c r="I1091" s="8">
        <f t="shared" si="1"/>
        <v>22</v>
      </c>
      <c r="J1091" s="9">
        <f t="shared" si="2"/>
        <v>8</v>
      </c>
      <c r="K1091" s="9">
        <f t="shared" si="3"/>
        <v>2023</v>
      </c>
      <c r="M1091" s="25">
        <f>IFERROR(__xludf.DUMMYFUNCTION("""COMPUTED_VALUE"""),45160.0)</f>
        <v>45160</v>
      </c>
    </row>
    <row r="1092">
      <c r="A1092" s="10" t="s">
        <v>1033</v>
      </c>
      <c r="B1092" s="3" t="s">
        <v>1034</v>
      </c>
      <c r="C1092" s="10" t="s">
        <v>1084</v>
      </c>
      <c r="D1092" s="3" t="s">
        <v>1085</v>
      </c>
      <c r="E1092" s="4" t="s">
        <v>8</v>
      </c>
      <c r="F1092" s="5" t="s">
        <v>120</v>
      </c>
      <c r="G1092" s="6" t="s">
        <v>1093</v>
      </c>
      <c r="H1092" s="7">
        <v>45177.0</v>
      </c>
      <c r="I1092" s="8">
        <f t="shared" si="1"/>
        <v>8</v>
      </c>
      <c r="J1092" s="9">
        <f t="shared" si="2"/>
        <v>9</v>
      </c>
      <c r="K1092" s="9">
        <f t="shared" si="3"/>
        <v>2023</v>
      </c>
      <c r="M1092" s="25">
        <f>IFERROR(__xludf.DUMMYFUNCTION("""COMPUTED_VALUE"""),45177.0)</f>
        <v>45177</v>
      </c>
    </row>
    <row r="1093">
      <c r="A1093" s="10" t="s">
        <v>1033</v>
      </c>
      <c r="B1093" s="3" t="s">
        <v>1034</v>
      </c>
      <c r="C1093" s="10" t="s">
        <v>1084</v>
      </c>
      <c r="D1093" s="3" t="s">
        <v>1085</v>
      </c>
      <c r="E1093" s="4" t="s">
        <v>8</v>
      </c>
      <c r="F1093" s="5" t="s">
        <v>28</v>
      </c>
      <c r="G1093" s="6" t="s">
        <v>345</v>
      </c>
      <c r="H1093" s="7">
        <v>45183.0</v>
      </c>
      <c r="I1093" s="8">
        <f t="shared" si="1"/>
        <v>14</v>
      </c>
      <c r="J1093" s="9">
        <f t="shared" si="2"/>
        <v>9</v>
      </c>
      <c r="K1093" s="9">
        <f t="shared" si="3"/>
        <v>2023</v>
      </c>
      <c r="M1093" s="25">
        <f>IFERROR(__xludf.DUMMYFUNCTION("""COMPUTED_VALUE"""),45183.0)</f>
        <v>45183</v>
      </c>
    </row>
    <row r="1094">
      <c r="A1094" s="10" t="s">
        <v>1033</v>
      </c>
      <c r="B1094" s="3" t="s">
        <v>1034</v>
      </c>
      <c r="C1094" s="10" t="s">
        <v>1084</v>
      </c>
      <c r="D1094" s="3" t="s">
        <v>1085</v>
      </c>
      <c r="E1094" s="4" t="s">
        <v>3</v>
      </c>
      <c r="F1094" s="5" t="s">
        <v>39</v>
      </c>
      <c r="G1094" s="6" t="s">
        <v>1094</v>
      </c>
      <c r="H1094" s="7">
        <v>45186.0</v>
      </c>
      <c r="I1094" s="8">
        <f t="shared" si="1"/>
        <v>17</v>
      </c>
      <c r="J1094" s="9">
        <f t="shared" si="2"/>
        <v>9</v>
      </c>
      <c r="K1094" s="9">
        <f t="shared" si="3"/>
        <v>2023</v>
      </c>
      <c r="M1094" s="25">
        <f>IFERROR(__xludf.DUMMYFUNCTION("""COMPUTED_VALUE"""),45186.0)</f>
        <v>45186</v>
      </c>
    </row>
    <row r="1095">
      <c r="A1095" s="10" t="s">
        <v>1033</v>
      </c>
      <c r="B1095" s="3" t="s">
        <v>1034</v>
      </c>
      <c r="C1095" s="10" t="s">
        <v>1084</v>
      </c>
      <c r="D1095" s="3" t="s">
        <v>1085</v>
      </c>
      <c r="E1095" s="4" t="s">
        <v>8</v>
      </c>
      <c r="F1095" s="5" t="s">
        <v>15</v>
      </c>
      <c r="G1095" s="6" t="s">
        <v>733</v>
      </c>
      <c r="H1095" s="7">
        <v>45202.0</v>
      </c>
      <c r="I1095" s="8">
        <f t="shared" si="1"/>
        <v>3</v>
      </c>
      <c r="J1095" s="9">
        <f t="shared" si="2"/>
        <v>10</v>
      </c>
      <c r="K1095" s="9">
        <f t="shared" si="3"/>
        <v>2023</v>
      </c>
      <c r="M1095" s="25">
        <f>IFERROR(__xludf.DUMMYFUNCTION("""COMPUTED_VALUE"""),45202.0)</f>
        <v>45202</v>
      </c>
    </row>
    <row r="1096">
      <c r="A1096" s="10" t="s">
        <v>1033</v>
      </c>
      <c r="B1096" s="3" t="s">
        <v>1034</v>
      </c>
      <c r="C1096" s="10" t="s">
        <v>1084</v>
      </c>
      <c r="D1096" s="3" t="s">
        <v>1085</v>
      </c>
      <c r="E1096" s="4" t="s">
        <v>8</v>
      </c>
      <c r="F1096" s="5" t="s">
        <v>35</v>
      </c>
      <c r="G1096" s="6" t="s">
        <v>1095</v>
      </c>
      <c r="H1096" s="7">
        <v>45234.0</v>
      </c>
      <c r="I1096" s="8">
        <f t="shared" si="1"/>
        <v>4</v>
      </c>
      <c r="J1096" s="9">
        <f t="shared" si="2"/>
        <v>11</v>
      </c>
      <c r="K1096" s="9">
        <f t="shared" si="3"/>
        <v>2023</v>
      </c>
      <c r="M1096" s="25">
        <f>IFERROR(__xludf.DUMMYFUNCTION("""COMPUTED_VALUE"""),45234.0)</f>
        <v>45234</v>
      </c>
    </row>
    <row r="1097">
      <c r="A1097" s="10" t="s">
        <v>1033</v>
      </c>
      <c r="B1097" s="3" t="s">
        <v>1034</v>
      </c>
      <c r="C1097" s="10" t="s">
        <v>1084</v>
      </c>
      <c r="D1097" s="3" t="s">
        <v>1085</v>
      </c>
      <c r="E1097" s="4" t="s">
        <v>8</v>
      </c>
      <c r="F1097" s="5" t="s">
        <v>23</v>
      </c>
      <c r="G1097" s="6" t="s">
        <v>1096</v>
      </c>
      <c r="H1097" s="7">
        <v>45235.0</v>
      </c>
      <c r="I1097" s="8">
        <f t="shared" si="1"/>
        <v>5</v>
      </c>
      <c r="J1097" s="9">
        <f t="shared" si="2"/>
        <v>11</v>
      </c>
      <c r="K1097" s="9">
        <f t="shared" si="3"/>
        <v>2023</v>
      </c>
      <c r="M1097" s="25">
        <f>IFERROR(__xludf.DUMMYFUNCTION("""COMPUTED_VALUE"""),45235.0)</f>
        <v>45235</v>
      </c>
    </row>
    <row r="1098">
      <c r="A1098" s="10" t="s">
        <v>1033</v>
      </c>
      <c r="B1098" s="3" t="s">
        <v>1034</v>
      </c>
      <c r="C1098" s="10" t="s">
        <v>1084</v>
      </c>
      <c r="D1098" s="3" t="s">
        <v>1085</v>
      </c>
      <c r="E1098" s="4" t="s">
        <v>8</v>
      </c>
      <c r="F1098" s="5" t="s">
        <v>15</v>
      </c>
      <c r="G1098" s="6" t="s">
        <v>1097</v>
      </c>
      <c r="H1098" s="7">
        <v>45237.0</v>
      </c>
      <c r="I1098" s="8">
        <f t="shared" si="1"/>
        <v>7</v>
      </c>
      <c r="J1098" s="9">
        <f t="shared" si="2"/>
        <v>11</v>
      </c>
      <c r="K1098" s="9">
        <f t="shared" si="3"/>
        <v>2023</v>
      </c>
      <c r="M1098" s="25">
        <f>IFERROR(__xludf.DUMMYFUNCTION("""COMPUTED_VALUE"""),45237.0)</f>
        <v>45237</v>
      </c>
    </row>
    <row r="1099">
      <c r="A1099" s="10" t="s">
        <v>1033</v>
      </c>
      <c r="B1099" s="3" t="s">
        <v>1034</v>
      </c>
      <c r="C1099" s="10" t="s">
        <v>1084</v>
      </c>
      <c r="D1099" s="3" t="s">
        <v>1085</v>
      </c>
      <c r="E1099" s="4" t="s">
        <v>3</v>
      </c>
      <c r="F1099" s="5" t="s">
        <v>19</v>
      </c>
      <c r="G1099" s="6" t="s">
        <v>1098</v>
      </c>
      <c r="H1099" s="7">
        <v>45240.0</v>
      </c>
      <c r="I1099" s="8">
        <f t="shared" si="1"/>
        <v>10</v>
      </c>
      <c r="J1099" s="9">
        <f t="shared" si="2"/>
        <v>11</v>
      </c>
      <c r="K1099" s="9">
        <f t="shared" si="3"/>
        <v>2023</v>
      </c>
      <c r="M1099" s="25">
        <f>IFERROR(__xludf.DUMMYFUNCTION("""COMPUTED_VALUE"""),45240.0)</f>
        <v>45240</v>
      </c>
    </row>
    <row r="1100">
      <c r="A1100" s="10" t="s">
        <v>1033</v>
      </c>
      <c r="B1100" s="3" t="s">
        <v>1034</v>
      </c>
      <c r="C1100" s="10" t="s">
        <v>1084</v>
      </c>
      <c r="D1100" s="3" t="s">
        <v>1085</v>
      </c>
      <c r="E1100" s="4" t="s">
        <v>8</v>
      </c>
      <c r="F1100" s="5" t="s">
        <v>4</v>
      </c>
      <c r="G1100" s="6" t="s">
        <v>1099</v>
      </c>
      <c r="H1100" s="7">
        <v>45287.0</v>
      </c>
      <c r="I1100" s="8">
        <f t="shared" si="1"/>
        <v>27</v>
      </c>
      <c r="J1100" s="9">
        <f t="shared" si="2"/>
        <v>12</v>
      </c>
      <c r="K1100" s="9">
        <f t="shared" si="3"/>
        <v>2023</v>
      </c>
      <c r="M1100" s="25">
        <f>IFERROR(__xludf.DUMMYFUNCTION("""COMPUTED_VALUE"""),45287.0)</f>
        <v>45287</v>
      </c>
    </row>
    <row r="1101">
      <c r="A1101" s="10" t="s">
        <v>1051</v>
      </c>
      <c r="B1101" s="3" t="s">
        <v>1052</v>
      </c>
      <c r="C1101" s="10" t="s">
        <v>1100</v>
      </c>
      <c r="D1101" s="3" t="s">
        <v>1101</v>
      </c>
      <c r="E1101" s="4" t="s">
        <v>3</v>
      </c>
      <c r="F1101" s="5" t="s">
        <v>96</v>
      </c>
      <c r="G1101" s="6" t="s">
        <v>1102</v>
      </c>
      <c r="H1101" s="7">
        <v>44937.0</v>
      </c>
      <c r="I1101" s="8">
        <f t="shared" si="1"/>
        <v>11</v>
      </c>
      <c r="J1101" s="9">
        <f t="shared" si="2"/>
        <v>1</v>
      </c>
      <c r="K1101" s="9">
        <f t="shared" si="3"/>
        <v>2023</v>
      </c>
      <c r="M1101" s="25">
        <f>IFERROR(__xludf.DUMMYFUNCTION("""COMPUTED_VALUE"""),44937.0)</f>
        <v>44937</v>
      </c>
    </row>
    <row r="1102">
      <c r="A1102" s="10" t="s">
        <v>1051</v>
      </c>
      <c r="B1102" s="3" t="s">
        <v>1052</v>
      </c>
      <c r="C1102" s="10" t="s">
        <v>1100</v>
      </c>
      <c r="D1102" s="3" t="s">
        <v>1101</v>
      </c>
      <c r="E1102" s="4" t="s">
        <v>3</v>
      </c>
      <c r="F1102" s="5" t="s">
        <v>13</v>
      </c>
      <c r="G1102" s="6" t="s">
        <v>1103</v>
      </c>
      <c r="H1102" s="7">
        <v>44964.0</v>
      </c>
      <c r="I1102" s="8">
        <f t="shared" si="1"/>
        <v>7</v>
      </c>
      <c r="J1102" s="9">
        <f t="shared" si="2"/>
        <v>2</v>
      </c>
      <c r="K1102" s="9">
        <f t="shared" si="3"/>
        <v>2023</v>
      </c>
      <c r="M1102" s="25">
        <f>IFERROR(__xludf.DUMMYFUNCTION("""COMPUTED_VALUE"""),44964.0)</f>
        <v>44964</v>
      </c>
    </row>
    <row r="1103">
      <c r="A1103" s="10" t="s">
        <v>1051</v>
      </c>
      <c r="B1103" s="3" t="s">
        <v>1052</v>
      </c>
      <c r="C1103" s="10" t="s">
        <v>1100</v>
      </c>
      <c r="D1103" s="3" t="s">
        <v>1101</v>
      </c>
      <c r="E1103" s="4" t="s">
        <v>8</v>
      </c>
      <c r="F1103" s="5" t="s">
        <v>13</v>
      </c>
      <c r="G1103" s="6" t="s">
        <v>1104</v>
      </c>
      <c r="H1103" s="7">
        <v>44989.0</v>
      </c>
      <c r="I1103" s="8">
        <f t="shared" si="1"/>
        <v>4</v>
      </c>
      <c r="J1103" s="9">
        <f t="shared" si="2"/>
        <v>3</v>
      </c>
      <c r="K1103" s="9">
        <f t="shared" si="3"/>
        <v>2023</v>
      </c>
      <c r="M1103" s="25">
        <f>IFERROR(__xludf.DUMMYFUNCTION("""COMPUTED_VALUE"""),44989.0)</f>
        <v>44989</v>
      </c>
    </row>
    <row r="1104">
      <c r="A1104" s="10" t="s">
        <v>1051</v>
      </c>
      <c r="B1104" s="3" t="s">
        <v>1052</v>
      </c>
      <c r="C1104" s="10" t="s">
        <v>1100</v>
      </c>
      <c r="D1104" s="3" t="s">
        <v>1101</v>
      </c>
      <c r="E1104" s="4" t="s">
        <v>3</v>
      </c>
      <c r="F1104" s="5" t="s">
        <v>4</v>
      </c>
      <c r="G1104" s="6" t="s">
        <v>1105</v>
      </c>
      <c r="H1104" s="7">
        <v>44999.0</v>
      </c>
      <c r="I1104" s="8">
        <f t="shared" si="1"/>
        <v>14</v>
      </c>
      <c r="J1104" s="9">
        <f t="shared" si="2"/>
        <v>3</v>
      </c>
      <c r="K1104" s="9">
        <f t="shared" si="3"/>
        <v>2023</v>
      </c>
      <c r="M1104" s="25">
        <f>IFERROR(__xludf.DUMMYFUNCTION("""COMPUTED_VALUE"""),44999.0)</f>
        <v>44999</v>
      </c>
    </row>
    <row r="1105">
      <c r="A1105" s="10" t="s">
        <v>1051</v>
      </c>
      <c r="B1105" s="3" t="s">
        <v>1052</v>
      </c>
      <c r="C1105" s="10" t="s">
        <v>1100</v>
      </c>
      <c r="D1105" s="3" t="s">
        <v>1101</v>
      </c>
      <c r="E1105" s="4" t="s">
        <v>8</v>
      </c>
      <c r="F1105" s="5" t="s">
        <v>35</v>
      </c>
      <c r="G1105" s="6" t="s">
        <v>1106</v>
      </c>
      <c r="H1105" s="7">
        <v>45038.0</v>
      </c>
      <c r="I1105" s="8">
        <f t="shared" si="1"/>
        <v>22</v>
      </c>
      <c r="J1105" s="9">
        <f t="shared" si="2"/>
        <v>4</v>
      </c>
      <c r="K1105" s="9">
        <f t="shared" si="3"/>
        <v>2023</v>
      </c>
      <c r="M1105" s="25">
        <f>IFERROR(__xludf.DUMMYFUNCTION("""COMPUTED_VALUE"""),45038.0)</f>
        <v>45038</v>
      </c>
    </row>
    <row r="1106">
      <c r="A1106" s="10" t="s">
        <v>1051</v>
      </c>
      <c r="B1106" s="3" t="s">
        <v>1052</v>
      </c>
      <c r="C1106" s="10" t="s">
        <v>1100</v>
      </c>
      <c r="D1106" s="3" t="s">
        <v>1101</v>
      </c>
      <c r="E1106" s="4" t="s">
        <v>3</v>
      </c>
      <c r="F1106" s="5" t="s">
        <v>120</v>
      </c>
      <c r="G1106" s="6" t="s">
        <v>1107</v>
      </c>
      <c r="H1106" s="7">
        <v>45058.0</v>
      </c>
      <c r="I1106" s="8">
        <f t="shared" si="1"/>
        <v>12</v>
      </c>
      <c r="J1106" s="9">
        <f t="shared" si="2"/>
        <v>5</v>
      </c>
      <c r="K1106" s="9">
        <f t="shared" si="3"/>
        <v>2023</v>
      </c>
      <c r="M1106" s="25">
        <f>IFERROR(__xludf.DUMMYFUNCTION("""COMPUTED_VALUE"""),45058.0)</f>
        <v>45058</v>
      </c>
    </row>
    <row r="1107">
      <c r="A1107" s="10" t="s">
        <v>1051</v>
      </c>
      <c r="B1107" s="3" t="s">
        <v>1052</v>
      </c>
      <c r="C1107" s="10" t="s">
        <v>1100</v>
      </c>
      <c r="D1107" s="3" t="s">
        <v>1101</v>
      </c>
      <c r="E1107" s="4" t="s">
        <v>8</v>
      </c>
      <c r="F1107" s="5" t="s">
        <v>45</v>
      </c>
      <c r="G1107" s="6" t="s">
        <v>1108</v>
      </c>
      <c r="H1107" s="7">
        <v>45073.0</v>
      </c>
      <c r="I1107" s="8">
        <f t="shared" si="1"/>
        <v>27</v>
      </c>
      <c r="J1107" s="9">
        <f t="shared" si="2"/>
        <v>5</v>
      </c>
      <c r="K1107" s="9">
        <f t="shared" si="3"/>
        <v>2023</v>
      </c>
      <c r="M1107" s="25">
        <f>IFERROR(__xludf.DUMMYFUNCTION("""COMPUTED_VALUE"""),45073.0)</f>
        <v>45073</v>
      </c>
    </row>
    <row r="1108">
      <c r="A1108" s="10" t="s">
        <v>1051</v>
      </c>
      <c r="B1108" s="3" t="s">
        <v>1052</v>
      </c>
      <c r="C1108" s="10" t="s">
        <v>1100</v>
      </c>
      <c r="D1108" s="3" t="s">
        <v>1101</v>
      </c>
      <c r="E1108" s="4" t="s">
        <v>8</v>
      </c>
      <c r="F1108" s="5" t="s">
        <v>15</v>
      </c>
      <c r="G1108" s="6" t="s">
        <v>1109</v>
      </c>
      <c r="H1108" s="7">
        <v>45084.0</v>
      </c>
      <c r="I1108" s="8">
        <f t="shared" si="1"/>
        <v>7</v>
      </c>
      <c r="J1108" s="9">
        <f t="shared" si="2"/>
        <v>6</v>
      </c>
      <c r="K1108" s="9">
        <f t="shared" si="3"/>
        <v>2023</v>
      </c>
      <c r="M1108" s="25">
        <f>IFERROR(__xludf.DUMMYFUNCTION("""COMPUTED_VALUE"""),45084.0)</f>
        <v>45084</v>
      </c>
    </row>
    <row r="1109">
      <c r="A1109" s="10" t="s">
        <v>1051</v>
      </c>
      <c r="B1109" s="3" t="s">
        <v>1052</v>
      </c>
      <c r="C1109" s="10" t="s">
        <v>1100</v>
      </c>
      <c r="D1109" s="3" t="s">
        <v>1101</v>
      </c>
      <c r="E1109" s="4" t="s">
        <v>3</v>
      </c>
      <c r="F1109" s="5" t="s">
        <v>120</v>
      </c>
      <c r="G1109" s="6" t="s">
        <v>861</v>
      </c>
      <c r="H1109" s="7">
        <v>45103.0</v>
      </c>
      <c r="I1109" s="8">
        <f t="shared" si="1"/>
        <v>26</v>
      </c>
      <c r="J1109" s="9">
        <f t="shared" si="2"/>
        <v>6</v>
      </c>
      <c r="K1109" s="9">
        <f t="shared" si="3"/>
        <v>2023</v>
      </c>
      <c r="M1109" s="25">
        <f>IFERROR(__xludf.DUMMYFUNCTION("""COMPUTED_VALUE"""),45103.0)</f>
        <v>45103</v>
      </c>
    </row>
    <row r="1110">
      <c r="A1110" s="10" t="s">
        <v>1051</v>
      </c>
      <c r="B1110" s="3" t="s">
        <v>1052</v>
      </c>
      <c r="C1110" s="10" t="s">
        <v>1100</v>
      </c>
      <c r="D1110" s="3" t="s">
        <v>1101</v>
      </c>
      <c r="E1110" s="4" t="s">
        <v>8</v>
      </c>
      <c r="F1110" s="5" t="s">
        <v>21</v>
      </c>
      <c r="G1110" s="6" t="s">
        <v>647</v>
      </c>
      <c r="H1110" s="7">
        <v>45110.0</v>
      </c>
      <c r="I1110" s="8">
        <f t="shared" si="1"/>
        <v>3</v>
      </c>
      <c r="J1110" s="9">
        <f t="shared" si="2"/>
        <v>7</v>
      </c>
      <c r="K1110" s="9">
        <f t="shared" si="3"/>
        <v>2023</v>
      </c>
      <c r="M1110" s="25">
        <f>IFERROR(__xludf.DUMMYFUNCTION("""COMPUTED_VALUE"""),45110.0)</f>
        <v>45110</v>
      </c>
    </row>
    <row r="1111">
      <c r="A1111" s="10" t="s">
        <v>1051</v>
      </c>
      <c r="B1111" s="3" t="s">
        <v>1052</v>
      </c>
      <c r="C1111" s="10" t="s">
        <v>1100</v>
      </c>
      <c r="D1111" s="3" t="s">
        <v>1101</v>
      </c>
      <c r="E1111" s="4" t="s">
        <v>8</v>
      </c>
      <c r="F1111" s="5" t="s">
        <v>21</v>
      </c>
      <c r="G1111" s="6" t="s">
        <v>1110</v>
      </c>
      <c r="H1111" s="7">
        <v>45182.0</v>
      </c>
      <c r="I1111" s="8">
        <f t="shared" si="1"/>
        <v>13</v>
      </c>
      <c r="J1111" s="9">
        <f t="shared" si="2"/>
        <v>9</v>
      </c>
      <c r="K1111" s="9">
        <f t="shared" si="3"/>
        <v>2023</v>
      </c>
      <c r="M1111" s="25">
        <f>IFERROR(__xludf.DUMMYFUNCTION("""COMPUTED_VALUE"""),45182.0)</f>
        <v>45182</v>
      </c>
    </row>
    <row r="1112">
      <c r="A1112" s="10" t="s">
        <v>1051</v>
      </c>
      <c r="B1112" s="3" t="s">
        <v>1052</v>
      </c>
      <c r="C1112" s="10" t="s">
        <v>1100</v>
      </c>
      <c r="D1112" s="3" t="s">
        <v>1101</v>
      </c>
      <c r="E1112" s="4" t="s">
        <v>3</v>
      </c>
      <c r="F1112" s="5" t="s">
        <v>21</v>
      </c>
      <c r="G1112" s="6" t="s">
        <v>1111</v>
      </c>
      <c r="H1112" s="7">
        <v>45212.0</v>
      </c>
      <c r="I1112" s="8">
        <f t="shared" si="1"/>
        <v>13</v>
      </c>
      <c r="J1112" s="9">
        <f t="shared" si="2"/>
        <v>10</v>
      </c>
      <c r="K1112" s="9">
        <f t="shared" si="3"/>
        <v>2023</v>
      </c>
      <c r="M1112" s="25">
        <f>IFERROR(__xludf.DUMMYFUNCTION("""COMPUTED_VALUE"""),45212.0)</f>
        <v>45212</v>
      </c>
    </row>
    <row r="1113">
      <c r="A1113" s="10" t="s">
        <v>1051</v>
      </c>
      <c r="B1113" s="3" t="s">
        <v>1052</v>
      </c>
      <c r="C1113" s="10" t="s">
        <v>1100</v>
      </c>
      <c r="D1113" s="3" t="s">
        <v>1101</v>
      </c>
      <c r="E1113" s="4" t="s">
        <v>8</v>
      </c>
      <c r="F1113" s="5" t="s">
        <v>9</v>
      </c>
      <c r="G1113" s="6" t="s">
        <v>768</v>
      </c>
      <c r="H1113" s="7">
        <v>45217.0</v>
      </c>
      <c r="I1113" s="8">
        <f t="shared" si="1"/>
        <v>18</v>
      </c>
      <c r="J1113" s="9">
        <f t="shared" si="2"/>
        <v>10</v>
      </c>
      <c r="K1113" s="9">
        <f t="shared" si="3"/>
        <v>2023</v>
      </c>
      <c r="M1113" s="25">
        <f>IFERROR(__xludf.DUMMYFUNCTION("""COMPUTED_VALUE"""),45217.0)</f>
        <v>45217</v>
      </c>
    </row>
    <row r="1114">
      <c r="A1114" s="10" t="s">
        <v>1051</v>
      </c>
      <c r="B1114" s="3" t="s">
        <v>1052</v>
      </c>
      <c r="C1114" s="10" t="s">
        <v>1100</v>
      </c>
      <c r="D1114" s="3" t="s">
        <v>1101</v>
      </c>
      <c r="E1114" s="4" t="s">
        <v>8</v>
      </c>
      <c r="F1114" s="5" t="s">
        <v>45</v>
      </c>
      <c r="G1114" s="6" t="s">
        <v>1112</v>
      </c>
      <c r="H1114" s="7">
        <v>45219.0</v>
      </c>
      <c r="I1114" s="8">
        <f t="shared" si="1"/>
        <v>20</v>
      </c>
      <c r="J1114" s="9">
        <f t="shared" si="2"/>
        <v>10</v>
      </c>
      <c r="K1114" s="9">
        <f t="shared" si="3"/>
        <v>2023</v>
      </c>
      <c r="M1114" s="25">
        <f>IFERROR(__xludf.DUMMYFUNCTION("""COMPUTED_VALUE"""),45219.0)</f>
        <v>45219</v>
      </c>
    </row>
    <row r="1115">
      <c r="A1115" s="10" t="s">
        <v>1051</v>
      </c>
      <c r="B1115" s="3" t="s">
        <v>1052</v>
      </c>
      <c r="C1115" s="10" t="s">
        <v>1100</v>
      </c>
      <c r="D1115" s="3" t="s">
        <v>1101</v>
      </c>
      <c r="E1115" s="4" t="s">
        <v>3</v>
      </c>
      <c r="F1115" s="5" t="s">
        <v>17</v>
      </c>
      <c r="G1115" s="6" t="s">
        <v>1113</v>
      </c>
      <c r="H1115" s="7">
        <v>45220.0</v>
      </c>
      <c r="I1115" s="8">
        <f t="shared" si="1"/>
        <v>21</v>
      </c>
      <c r="J1115" s="9">
        <f t="shared" si="2"/>
        <v>10</v>
      </c>
      <c r="K1115" s="9">
        <f t="shared" si="3"/>
        <v>2023</v>
      </c>
      <c r="M1115" s="25">
        <f>IFERROR(__xludf.DUMMYFUNCTION("""COMPUTED_VALUE"""),45220.0)</f>
        <v>45220</v>
      </c>
    </row>
    <row r="1116">
      <c r="A1116" s="10" t="s">
        <v>1051</v>
      </c>
      <c r="B1116" s="3" t="s">
        <v>1052</v>
      </c>
      <c r="C1116" s="10" t="s">
        <v>1100</v>
      </c>
      <c r="D1116" s="3" t="s">
        <v>1101</v>
      </c>
      <c r="E1116" s="4" t="s">
        <v>3</v>
      </c>
      <c r="F1116" s="5" t="s">
        <v>13</v>
      </c>
      <c r="G1116" s="6" t="s">
        <v>234</v>
      </c>
      <c r="H1116" s="7">
        <v>45238.0</v>
      </c>
      <c r="I1116" s="8">
        <f t="shared" si="1"/>
        <v>8</v>
      </c>
      <c r="J1116" s="9">
        <f t="shared" si="2"/>
        <v>11</v>
      </c>
      <c r="K1116" s="9">
        <f t="shared" si="3"/>
        <v>2023</v>
      </c>
      <c r="M1116" s="25">
        <f>IFERROR(__xludf.DUMMYFUNCTION("""COMPUTED_VALUE"""),45238.0)</f>
        <v>45238</v>
      </c>
    </row>
    <row r="1117">
      <c r="A1117" s="10" t="s">
        <v>1051</v>
      </c>
      <c r="B1117" s="3" t="s">
        <v>1052</v>
      </c>
      <c r="C1117" s="10" t="s">
        <v>1100</v>
      </c>
      <c r="D1117" s="3" t="s">
        <v>1101</v>
      </c>
      <c r="E1117" s="4" t="s">
        <v>8</v>
      </c>
      <c r="F1117" s="5" t="s">
        <v>76</v>
      </c>
      <c r="G1117" s="6" t="s">
        <v>1114</v>
      </c>
      <c r="H1117" s="7">
        <v>45257.0</v>
      </c>
      <c r="I1117" s="8">
        <f t="shared" si="1"/>
        <v>27</v>
      </c>
      <c r="J1117" s="9">
        <f t="shared" si="2"/>
        <v>11</v>
      </c>
      <c r="K1117" s="9">
        <f t="shared" si="3"/>
        <v>2023</v>
      </c>
      <c r="M1117" s="25">
        <f>IFERROR(__xludf.DUMMYFUNCTION("""COMPUTED_VALUE"""),45257.0)</f>
        <v>45257</v>
      </c>
    </row>
    <row r="1118">
      <c r="A1118" s="10" t="s">
        <v>1051</v>
      </c>
      <c r="B1118" s="3" t="s">
        <v>1052</v>
      </c>
      <c r="C1118" s="10" t="s">
        <v>1100</v>
      </c>
      <c r="D1118" s="3" t="s">
        <v>1101</v>
      </c>
      <c r="E1118" s="4" t="s">
        <v>8</v>
      </c>
      <c r="F1118" s="5" t="s">
        <v>39</v>
      </c>
      <c r="G1118" s="6" t="s">
        <v>1036</v>
      </c>
      <c r="H1118" s="7">
        <v>45261.0</v>
      </c>
      <c r="I1118" s="8">
        <f t="shared" si="1"/>
        <v>1</v>
      </c>
      <c r="J1118" s="9">
        <f t="shared" si="2"/>
        <v>12</v>
      </c>
      <c r="K1118" s="9">
        <f t="shared" si="3"/>
        <v>2023</v>
      </c>
      <c r="M1118" s="25">
        <f>IFERROR(__xludf.DUMMYFUNCTION("""COMPUTED_VALUE"""),45261.0)</f>
        <v>45261</v>
      </c>
    </row>
    <row r="1119">
      <c r="A1119" s="10" t="s">
        <v>1051</v>
      </c>
      <c r="B1119" s="3" t="s">
        <v>1052</v>
      </c>
      <c r="C1119" s="10" t="s">
        <v>1100</v>
      </c>
      <c r="D1119" s="3" t="s">
        <v>1101</v>
      </c>
      <c r="E1119" s="4" t="s">
        <v>3</v>
      </c>
      <c r="F1119" s="5" t="s">
        <v>45</v>
      </c>
      <c r="G1119" s="6" t="s">
        <v>1115</v>
      </c>
      <c r="H1119" s="7">
        <v>45281.0</v>
      </c>
      <c r="I1119" s="8">
        <f t="shared" si="1"/>
        <v>21</v>
      </c>
      <c r="J1119" s="9">
        <f t="shared" si="2"/>
        <v>12</v>
      </c>
      <c r="K1119" s="9">
        <f t="shared" si="3"/>
        <v>2023</v>
      </c>
      <c r="M1119" s="25">
        <f>IFERROR(__xludf.DUMMYFUNCTION("""COMPUTED_VALUE"""),45281.0)</f>
        <v>45281</v>
      </c>
    </row>
    <row r="1120">
      <c r="A1120" s="10" t="s">
        <v>1051</v>
      </c>
      <c r="B1120" s="3" t="s">
        <v>1052</v>
      </c>
      <c r="C1120" s="10" t="s">
        <v>1100</v>
      </c>
      <c r="D1120" s="3" t="s">
        <v>1101</v>
      </c>
      <c r="E1120" s="4" t="s">
        <v>3</v>
      </c>
      <c r="F1120" s="5" t="s">
        <v>76</v>
      </c>
      <c r="G1120" s="6" t="s">
        <v>1116</v>
      </c>
      <c r="H1120" s="7">
        <v>45287.0</v>
      </c>
      <c r="I1120" s="8">
        <f t="shared" si="1"/>
        <v>27</v>
      </c>
      <c r="J1120" s="9">
        <f t="shared" si="2"/>
        <v>12</v>
      </c>
      <c r="K1120" s="9">
        <f t="shared" si="3"/>
        <v>2023</v>
      </c>
      <c r="M1120" s="25">
        <f>IFERROR(__xludf.DUMMYFUNCTION("""COMPUTED_VALUE"""),45287.0)</f>
        <v>45287</v>
      </c>
    </row>
    <row r="1121">
      <c r="A1121" s="10" t="s">
        <v>1069</v>
      </c>
      <c r="B1121" s="3" t="s">
        <v>1070</v>
      </c>
      <c r="C1121" s="10" t="s">
        <v>741</v>
      </c>
      <c r="D1121" s="3" t="s">
        <v>1117</v>
      </c>
      <c r="E1121" s="4" t="s">
        <v>3</v>
      </c>
      <c r="F1121" s="5" t="s">
        <v>39</v>
      </c>
      <c r="G1121" s="6" t="s">
        <v>1118</v>
      </c>
      <c r="H1121" s="7">
        <v>44948.0</v>
      </c>
      <c r="I1121" s="8">
        <f t="shared" si="1"/>
        <v>22</v>
      </c>
      <c r="J1121" s="9">
        <f t="shared" si="2"/>
        <v>1</v>
      </c>
      <c r="K1121" s="9">
        <f t="shared" si="3"/>
        <v>2023</v>
      </c>
      <c r="M1121" s="25">
        <f>IFERROR(__xludf.DUMMYFUNCTION("""COMPUTED_VALUE"""),44948.0)</f>
        <v>44948</v>
      </c>
    </row>
    <row r="1122">
      <c r="A1122" s="10" t="s">
        <v>1069</v>
      </c>
      <c r="B1122" s="3" t="s">
        <v>1070</v>
      </c>
      <c r="C1122" s="10" t="s">
        <v>741</v>
      </c>
      <c r="D1122" s="3" t="s">
        <v>1117</v>
      </c>
      <c r="E1122" s="4" t="s">
        <v>3</v>
      </c>
      <c r="F1122" s="5" t="s">
        <v>15</v>
      </c>
      <c r="G1122" s="6" t="s">
        <v>1119</v>
      </c>
      <c r="H1122" s="7">
        <v>44971.0</v>
      </c>
      <c r="I1122" s="8">
        <f t="shared" si="1"/>
        <v>14</v>
      </c>
      <c r="J1122" s="9">
        <f t="shared" si="2"/>
        <v>2</v>
      </c>
      <c r="K1122" s="9">
        <f t="shared" si="3"/>
        <v>2023</v>
      </c>
      <c r="M1122" s="25">
        <f>IFERROR(__xludf.DUMMYFUNCTION("""COMPUTED_VALUE"""),44971.0)</f>
        <v>44971</v>
      </c>
    </row>
    <row r="1123">
      <c r="A1123" s="10" t="s">
        <v>1069</v>
      </c>
      <c r="B1123" s="3" t="s">
        <v>1070</v>
      </c>
      <c r="C1123" s="10" t="s">
        <v>741</v>
      </c>
      <c r="D1123" s="3" t="s">
        <v>1117</v>
      </c>
      <c r="E1123" s="4" t="s">
        <v>8</v>
      </c>
      <c r="F1123" s="5" t="s">
        <v>51</v>
      </c>
      <c r="G1123" s="6" t="s">
        <v>1120</v>
      </c>
      <c r="H1123" s="7">
        <v>44971.0</v>
      </c>
      <c r="I1123" s="8">
        <f t="shared" si="1"/>
        <v>14</v>
      </c>
      <c r="J1123" s="9">
        <f t="shared" si="2"/>
        <v>2</v>
      </c>
      <c r="K1123" s="9">
        <f t="shared" si="3"/>
        <v>2023</v>
      </c>
      <c r="M1123" s="25">
        <f>IFERROR(__xludf.DUMMYFUNCTION("""COMPUTED_VALUE"""),44971.0)</f>
        <v>44971</v>
      </c>
    </row>
    <row r="1124">
      <c r="A1124" s="10" t="s">
        <v>1069</v>
      </c>
      <c r="B1124" s="3" t="s">
        <v>1070</v>
      </c>
      <c r="C1124" s="10" t="s">
        <v>741</v>
      </c>
      <c r="D1124" s="3" t="s">
        <v>1117</v>
      </c>
      <c r="E1124" s="4" t="s">
        <v>3</v>
      </c>
      <c r="F1124" s="5" t="s">
        <v>42</v>
      </c>
      <c r="G1124" s="6" t="s">
        <v>504</v>
      </c>
      <c r="H1124" s="7">
        <v>44992.0</v>
      </c>
      <c r="I1124" s="8">
        <f t="shared" si="1"/>
        <v>7</v>
      </c>
      <c r="J1124" s="9">
        <f t="shared" si="2"/>
        <v>3</v>
      </c>
      <c r="K1124" s="9">
        <f t="shared" si="3"/>
        <v>2023</v>
      </c>
      <c r="M1124" s="25">
        <f>IFERROR(__xludf.DUMMYFUNCTION("""COMPUTED_VALUE"""),44992.0)</f>
        <v>44992</v>
      </c>
    </row>
    <row r="1125">
      <c r="A1125" s="10" t="s">
        <v>1069</v>
      </c>
      <c r="B1125" s="3" t="s">
        <v>1070</v>
      </c>
      <c r="C1125" s="10" t="s">
        <v>741</v>
      </c>
      <c r="D1125" s="3" t="s">
        <v>1117</v>
      </c>
      <c r="E1125" s="4" t="s">
        <v>3</v>
      </c>
      <c r="F1125" s="5" t="s">
        <v>15</v>
      </c>
      <c r="G1125" s="6" t="s">
        <v>499</v>
      </c>
      <c r="H1125" s="7">
        <v>45009.0</v>
      </c>
      <c r="I1125" s="8">
        <f t="shared" si="1"/>
        <v>24</v>
      </c>
      <c r="J1125" s="9">
        <f t="shared" si="2"/>
        <v>3</v>
      </c>
      <c r="K1125" s="9">
        <f t="shared" si="3"/>
        <v>2023</v>
      </c>
      <c r="M1125" s="25">
        <f>IFERROR(__xludf.DUMMYFUNCTION("""COMPUTED_VALUE"""),45009.0)</f>
        <v>45009</v>
      </c>
    </row>
    <row r="1126">
      <c r="A1126" s="10" t="s">
        <v>1069</v>
      </c>
      <c r="B1126" s="3" t="s">
        <v>1070</v>
      </c>
      <c r="C1126" s="10" t="s">
        <v>741</v>
      </c>
      <c r="D1126" s="3" t="s">
        <v>1117</v>
      </c>
      <c r="E1126" s="4" t="s">
        <v>8</v>
      </c>
      <c r="F1126" s="5" t="s">
        <v>11</v>
      </c>
      <c r="G1126" s="6" t="s">
        <v>70</v>
      </c>
      <c r="H1126" s="7">
        <v>45032.0</v>
      </c>
      <c r="I1126" s="8">
        <f t="shared" si="1"/>
        <v>16</v>
      </c>
      <c r="J1126" s="9">
        <f t="shared" si="2"/>
        <v>4</v>
      </c>
      <c r="K1126" s="9">
        <f t="shared" si="3"/>
        <v>2023</v>
      </c>
      <c r="M1126" s="25">
        <f>IFERROR(__xludf.DUMMYFUNCTION("""COMPUTED_VALUE"""),45032.0)</f>
        <v>45032</v>
      </c>
    </row>
    <row r="1127">
      <c r="A1127" s="10" t="s">
        <v>1069</v>
      </c>
      <c r="B1127" s="3" t="s">
        <v>1070</v>
      </c>
      <c r="C1127" s="10" t="s">
        <v>741</v>
      </c>
      <c r="D1127" s="3" t="s">
        <v>1117</v>
      </c>
      <c r="E1127" s="4" t="s">
        <v>8</v>
      </c>
      <c r="F1127" s="5" t="s">
        <v>4</v>
      </c>
      <c r="G1127" s="6" t="s">
        <v>1121</v>
      </c>
      <c r="H1127" s="7">
        <v>45042.0</v>
      </c>
      <c r="I1127" s="8">
        <f t="shared" si="1"/>
        <v>26</v>
      </c>
      <c r="J1127" s="9">
        <f t="shared" si="2"/>
        <v>4</v>
      </c>
      <c r="K1127" s="9">
        <f t="shared" si="3"/>
        <v>2023</v>
      </c>
      <c r="M1127" s="25">
        <f>IFERROR(__xludf.DUMMYFUNCTION("""COMPUTED_VALUE"""),45042.0)</f>
        <v>45042</v>
      </c>
    </row>
    <row r="1128">
      <c r="A1128" s="10" t="s">
        <v>1069</v>
      </c>
      <c r="B1128" s="3" t="s">
        <v>1070</v>
      </c>
      <c r="C1128" s="10" t="s">
        <v>741</v>
      </c>
      <c r="D1128" s="3" t="s">
        <v>1117</v>
      </c>
      <c r="E1128" s="4" t="s">
        <v>3</v>
      </c>
      <c r="F1128" s="5" t="s">
        <v>45</v>
      </c>
      <c r="G1128" s="6" t="s">
        <v>1122</v>
      </c>
      <c r="H1128" s="7">
        <v>45044.0</v>
      </c>
      <c r="I1128" s="8">
        <f t="shared" si="1"/>
        <v>28</v>
      </c>
      <c r="J1128" s="9">
        <f t="shared" si="2"/>
        <v>4</v>
      </c>
      <c r="K1128" s="9">
        <f t="shared" si="3"/>
        <v>2023</v>
      </c>
      <c r="M1128" s="25">
        <f>IFERROR(__xludf.DUMMYFUNCTION("""COMPUTED_VALUE"""),45044.0)</f>
        <v>45044</v>
      </c>
    </row>
    <row r="1129">
      <c r="A1129" s="10" t="s">
        <v>1069</v>
      </c>
      <c r="B1129" s="3" t="s">
        <v>1070</v>
      </c>
      <c r="C1129" s="10" t="s">
        <v>741</v>
      </c>
      <c r="D1129" s="3" t="s">
        <v>1117</v>
      </c>
      <c r="E1129" s="4" t="s">
        <v>3</v>
      </c>
      <c r="F1129" s="5" t="s">
        <v>42</v>
      </c>
      <c r="G1129" s="6" t="s">
        <v>631</v>
      </c>
      <c r="H1129" s="7">
        <v>45052.0</v>
      </c>
      <c r="I1129" s="8">
        <f t="shared" si="1"/>
        <v>6</v>
      </c>
      <c r="J1129" s="9">
        <f t="shared" si="2"/>
        <v>5</v>
      </c>
      <c r="K1129" s="9">
        <f t="shared" si="3"/>
        <v>2023</v>
      </c>
      <c r="M1129" s="25">
        <f>IFERROR(__xludf.DUMMYFUNCTION("""COMPUTED_VALUE"""),45052.0)</f>
        <v>45052</v>
      </c>
    </row>
    <row r="1130">
      <c r="A1130" s="10" t="s">
        <v>1069</v>
      </c>
      <c r="B1130" s="3" t="s">
        <v>1070</v>
      </c>
      <c r="C1130" s="10" t="s">
        <v>741</v>
      </c>
      <c r="D1130" s="3" t="s">
        <v>1117</v>
      </c>
      <c r="E1130" s="4" t="s">
        <v>8</v>
      </c>
      <c r="F1130" s="5" t="s">
        <v>71</v>
      </c>
      <c r="G1130" s="6" t="s">
        <v>815</v>
      </c>
      <c r="H1130" s="7">
        <v>45100.0</v>
      </c>
      <c r="I1130" s="8">
        <f t="shared" si="1"/>
        <v>23</v>
      </c>
      <c r="J1130" s="9">
        <f t="shared" si="2"/>
        <v>6</v>
      </c>
      <c r="K1130" s="9">
        <f t="shared" si="3"/>
        <v>2023</v>
      </c>
      <c r="M1130" s="25">
        <f>IFERROR(__xludf.DUMMYFUNCTION("""COMPUTED_VALUE"""),45100.0)</f>
        <v>45100</v>
      </c>
    </row>
    <row r="1131">
      <c r="A1131" s="10" t="s">
        <v>1069</v>
      </c>
      <c r="B1131" s="3" t="s">
        <v>1070</v>
      </c>
      <c r="C1131" s="10" t="s">
        <v>741</v>
      </c>
      <c r="D1131" s="3" t="s">
        <v>1117</v>
      </c>
      <c r="E1131" s="4" t="s">
        <v>3</v>
      </c>
      <c r="F1131" s="5" t="s">
        <v>51</v>
      </c>
      <c r="G1131" s="6" t="s">
        <v>1123</v>
      </c>
      <c r="H1131" s="7">
        <v>45115.0</v>
      </c>
      <c r="I1131" s="8">
        <f t="shared" si="1"/>
        <v>8</v>
      </c>
      <c r="J1131" s="9">
        <f t="shared" si="2"/>
        <v>7</v>
      </c>
      <c r="K1131" s="9">
        <f t="shared" si="3"/>
        <v>2023</v>
      </c>
      <c r="M1131" s="25">
        <f>IFERROR(__xludf.DUMMYFUNCTION("""COMPUTED_VALUE"""),45115.0)</f>
        <v>45115</v>
      </c>
    </row>
    <row r="1132">
      <c r="A1132" s="10" t="s">
        <v>1069</v>
      </c>
      <c r="B1132" s="3" t="s">
        <v>1070</v>
      </c>
      <c r="C1132" s="10" t="s">
        <v>741</v>
      </c>
      <c r="D1132" s="3" t="s">
        <v>1117</v>
      </c>
      <c r="E1132" s="4" t="s">
        <v>8</v>
      </c>
      <c r="F1132" s="5" t="s">
        <v>51</v>
      </c>
      <c r="G1132" s="6" t="s">
        <v>1124</v>
      </c>
      <c r="H1132" s="7">
        <v>45144.0</v>
      </c>
      <c r="I1132" s="8">
        <f t="shared" si="1"/>
        <v>6</v>
      </c>
      <c r="J1132" s="9">
        <f t="shared" si="2"/>
        <v>8</v>
      </c>
      <c r="K1132" s="9">
        <f t="shared" si="3"/>
        <v>2023</v>
      </c>
      <c r="M1132" s="25">
        <f>IFERROR(__xludf.DUMMYFUNCTION("""COMPUTED_VALUE"""),45144.0)</f>
        <v>45144</v>
      </c>
    </row>
    <row r="1133">
      <c r="A1133" s="10" t="s">
        <v>1069</v>
      </c>
      <c r="B1133" s="3" t="s">
        <v>1070</v>
      </c>
      <c r="C1133" s="10" t="s">
        <v>741</v>
      </c>
      <c r="D1133" s="3" t="s">
        <v>1117</v>
      </c>
      <c r="E1133" s="4" t="s">
        <v>8</v>
      </c>
      <c r="F1133" s="5" t="s">
        <v>17</v>
      </c>
      <c r="G1133" s="6" t="s">
        <v>1125</v>
      </c>
      <c r="H1133" s="7">
        <v>45146.0</v>
      </c>
      <c r="I1133" s="8">
        <f t="shared" si="1"/>
        <v>8</v>
      </c>
      <c r="J1133" s="9">
        <f t="shared" si="2"/>
        <v>8</v>
      </c>
      <c r="K1133" s="9">
        <f t="shared" si="3"/>
        <v>2023</v>
      </c>
      <c r="M1133" s="25">
        <f>IFERROR(__xludf.DUMMYFUNCTION("""COMPUTED_VALUE"""),45146.0)</f>
        <v>45146</v>
      </c>
    </row>
    <row r="1134">
      <c r="A1134" s="10" t="s">
        <v>1069</v>
      </c>
      <c r="B1134" s="3" t="s">
        <v>1070</v>
      </c>
      <c r="C1134" s="10" t="s">
        <v>741</v>
      </c>
      <c r="D1134" s="3" t="s">
        <v>1117</v>
      </c>
      <c r="E1134" s="4" t="s">
        <v>8</v>
      </c>
      <c r="F1134" s="5" t="s">
        <v>11</v>
      </c>
      <c r="G1134" s="6" t="s">
        <v>1126</v>
      </c>
      <c r="H1134" s="7">
        <v>45166.0</v>
      </c>
      <c r="I1134" s="8">
        <f t="shared" si="1"/>
        <v>28</v>
      </c>
      <c r="J1134" s="9">
        <f t="shared" si="2"/>
        <v>8</v>
      </c>
      <c r="K1134" s="9">
        <f t="shared" si="3"/>
        <v>2023</v>
      </c>
      <c r="M1134" s="25">
        <f>IFERROR(__xludf.DUMMYFUNCTION("""COMPUTED_VALUE"""),45166.0)</f>
        <v>45166</v>
      </c>
    </row>
    <row r="1135">
      <c r="A1135" s="10" t="s">
        <v>1069</v>
      </c>
      <c r="B1135" s="3" t="s">
        <v>1070</v>
      </c>
      <c r="C1135" s="10" t="s">
        <v>741</v>
      </c>
      <c r="D1135" s="3" t="s">
        <v>1117</v>
      </c>
      <c r="E1135" s="4" t="s">
        <v>8</v>
      </c>
      <c r="F1135" s="5" t="s">
        <v>120</v>
      </c>
      <c r="G1135" s="6" t="s">
        <v>1127</v>
      </c>
      <c r="H1135" s="7">
        <v>45181.0</v>
      </c>
      <c r="I1135" s="8">
        <f t="shared" si="1"/>
        <v>12</v>
      </c>
      <c r="J1135" s="9">
        <f t="shared" si="2"/>
        <v>9</v>
      </c>
      <c r="K1135" s="9">
        <f t="shared" si="3"/>
        <v>2023</v>
      </c>
      <c r="M1135" s="25">
        <f>IFERROR(__xludf.DUMMYFUNCTION("""COMPUTED_VALUE"""),45181.0)</f>
        <v>45181</v>
      </c>
    </row>
    <row r="1136">
      <c r="A1136" s="10" t="s">
        <v>1069</v>
      </c>
      <c r="B1136" s="3" t="s">
        <v>1070</v>
      </c>
      <c r="C1136" s="10" t="s">
        <v>741</v>
      </c>
      <c r="D1136" s="3" t="s">
        <v>1117</v>
      </c>
      <c r="E1136" s="4" t="s">
        <v>3</v>
      </c>
      <c r="F1136" s="5" t="s">
        <v>21</v>
      </c>
      <c r="G1136" s="6" t="s">
        <v>338</v>
      </c>
      <c r="H1136" s="7">
        <v>45221.0</v>
      </c>
      <c r="I1136" s="8">
        <f t="shared" si="1"/>
        <v>22</v>
      </c>
      <c r="J1136" s="9">
        <f t="shared" si="2"/>
        <v>10</v>
      </c>
      <c r="K1136" s="9">
        <f t="shared" si="3"/>
        <v>2023</v>
      </c>
      <c r="M1136" s="25">
        <f>IFERROR(__xludf.DUMMYFUNCTION("""COMPUTED_VALUE"""),45221.0)</f>
        <v>45221</v>
      </c>
    </row>
    <row r="1137">
      <c r="A1137" s="10" t="s">
        <v>1069</v>
      </c>
      <c r="B1137" s="3" t="s">
        <v>1070</v>
      </c>
      <c r="C1137" s="10" t="s">
        <v>741</v>
      </c>
      <c r="D1137" s="3" t="s">
        <v>1117</v>
      </c>
      <c r="E1137" s="4" t="s">
        <v>8</v>
      </c>
      <c r="F1137" s="5" t="s">
        <v>13</v>
      </c>
      <c r="G1137" s="6" t="s">
        <v>1128</v>
      </c>
      <c r="H1137" s="7">
        <v>45222.0</v>
      </c>
      <c r="I1137" s="8">
        <f t="shared" si="1"/>
        <v>23</v>
      </c>
      <c r="J1137" s="9">
        <f t="shared" si="2"/>
        <v>10</v>
      </c>
      <c r="K1137" s="9">
        <f t="shared" si="3"/>
        <v>2023</v>
      </c>
      <c r="M1137" s="25">
        <f>IFERROR(__xludf.DUMMYFUNCTION("""COMPUTED_VALUE"""),45222.0)</f>
        <v>45222</v>
      </c>
    </row>
    <row r="1138">
      <c r="A1138" s="10" t="s">
        <v>1069</v>
      </c>
      <c r="B1138" s="3" t="s">
        <v>1070</v>
      </c>
      <c r="C1138" s="10" t="s">
        <v>741</v>
      </c>
      <c r="D1138" s="3" t="s">
        <v>1117</v>
      </c>
      <c r="E1138" s="4" t="s">
        <v>8</v>
      </c>
      <c r="F1138" s="5" t="s">
        <v>19</v>
      </c>
      <c r="G1138" s="6" t="s">
        <v>902</v>
      </c>
      <c r="H1138" s="7">
        <v>45268.0</v>
      </c>
      <c r="I1138" s="8">
        <f t="shared" si="1"/>
        <v>8</v>
      </c>
      <c r="J1138" s="9">
        <f t="shared" si="2"/>
        <v>12</v>
      </c>
      <c r="K1138" s="9">
        <f t="shared" si="3"/>
        <v>2023</v>
      </c>
      <c r="M1138" s="25">
        <f>IFERROR(__xludf.DUMMYFUNCTION("""COMPUTED_VALUE"""),45268.0)</f>
        <v>45268</v>
      </c>
    </row>
    <row r="1139">
      <c r="A1139" s="10" t="s">
        <v>1069</v>
      </c>
      <c r="B1139" s="3" t="s">
        <v>1070</v>
      </c>
      <c r="C1139" s="10" t="s">
        <v>741</v>
      </c>
      <c r="D1139" s="3" t="s">
        <v>1117</v>
      </c>
      <c r="E1139" s="4" t="s">
        <v>3</v>
      </c>
      <c r="F1139" s="5" t="s">
        <v>71</v>
      </c>
      <c r="G1139" s="6" t="s">
        <v>1129</v>
      </c>
      <c r="H1139" s="7">
        <v>45274.0</v>
      </c>
      <c r="I1139" s="8">
        <f t="shared" si="1"/>
        <v>14</v>
      </c>
      <c r="J1139" s="9">
        <f t="shared" si="2"/>
        <v>12</v>
      </c>
      <c r="K1139" s="9">
        <f t="shared" si="3"/>
        <v>2023</v>
      </c>
      <c r="M1139" s="25">
        <f>IFERROR(__xludf.DUMMYFUNCTION("""COMPUTED_VALUE"""),45274.0)</f>
        <v>45274</v>
      </c>
    </row>
    <row r="1140">
      <c r="A1140" s="10" t="s">
        <v>1069</v>
      </c>
      <c r="B1140" s="3" t="s">
        <v>1070</v>
      </c>
      <c r="C1140" s="10" t="s">
        <v>741</v>
      </c>
      <c r="D1140" s="3" t="s">
        <v>1117</v>
      </c>
      <c r="E1140" s="4" t="s">
        <v>8</v>
      </c>
      <c r="F1140" s="5" t="s">
        <v>6</v>
      </c>
      <c r="G1140" s="6" t="s">
        <v>1130</v>
      </c>
      <c r="H1140" s="7">
        <v>45281.0</v>
      </c>
      <c r="I1140" s="8">
        <f t="shared" si="1"/>
        <v>21</v>
      </c>
      <c r="J1140" s="9">
        <f t="shared" si="2"/>
        <v>12</v>
      </c>
      <c r="K1140" s="9">
        <f t="shared" si="3"/>
        <v>2023</v>
      </c>
      <c r="M1140" s="25">
        <f>IFERROR(__xludf.DUMMYFUNCTION("""COMPUTED_VALUE"""),45281.0)</f>
        <v>45281</v>
      </c>
    </row>
    <row r="1141">
      <c r="A1141" s="10" t="s">
        <v>1084</v>
      </c>
      <c r="B1141" s="3" t="s">
        <v>1085</v>
      </c>
      <c r="C1141" s="10" t="s">
        <v>1131</v>
      </c>
      <c r="D1141" s="3" t="s">
        <v>1132</v>
      </c>
      <c r="E1141" s="4" t="s">
        <v>3</v>
      </c>
      <c r="F1141" s="5" t="s">
        <v>4</v>
      </c>
      <c r="G1141" s="6" t="s">
        <v>1133</v>
      </c>
      <c r="H1141" s="7">
        <v>44942.0</v>
      </c>
      <c r="I1141" s="8">
        <f t="shared" si="1"/>
        <v>16</v>
      </c>
      <c r="J1141" s="9">
        <f t="shared" si="2"/>
        <v>1</v>
      </c>
      <c r="K1141" s="9">
        <f t="shared" si="3"/>
        <v>2023</v>
      </c>
      <c r="M1141" s="25">
        <f>IFERROR(__xludf.DUMMYFUNCTION("""COMPUTED_VALUE"""),44942.0)</f>
        <v>44942</v>
      </c>
    </row>
    <row r="1142">
      <c r="A1142" s="10" t="s">
        <v>1084</v>
      </c>
      <c r="B1142" s="3" t="s">
        <v>1085</v>
      </c>
      <c r="C1142" s="10" t="s">
        <v>1131</v>
      </c>
      <c r="D1142" s="3" t="s">
        <v>1132</v>
      </c>
      <c r="E1142" s="4" t="s">
        <v>8</v>
      </c>
      <c r="F1142" s="5" t="s">
        <v>9</v>
      </c>
      <c r="G1142" s="6" t="s">
        <v>647</v>
      </c>
      <c r="H1142" s="7">
        <v>44975.0</v>
      </c>
      <c r="I1142" s="8">
        <f t="shared" si="1"/>
        <v>18</v>
      </c>
      <c r="J1142" s="9">
        <f t="shared" si="2"/>
        <v>2</v>
      </c>
      <c r="K1142" s="9">
        <f t="shared" si="3"/>
        <v>2023</v>
      </c>
      <c r="M1142" s="25">
        <f>IFERROR(__xludf.DUMMYFUNCTION("""COMPUTED_VALUE"""),44975.0)</f>
        <v>44975</v>
      </c>
    </row>
    <row r="1143">
      <c r="A1143" s="10" t="s">
        <v>1084</v>
      </c>
      <c r="B1143" s="3" t="s">
        <v>1085</v>
      </c>
      <c r="C1143" s="10" t="s">
        <v>1131</v>
      </c>
      <c r="D1143" s="3" t="s">
        <v>1132</v>
      </c>
      <c r="E1143" s="4" t="s">
        <v>8</v>
      </c>
      <c r="F1143" s="5" t="s">
        <v>15</v>
      </c>
      <c r="G1143" s="6" t="s">
        <v>696</v>
      </c>
      <c r="H1143" s="7">
        <v>45032.0</v>
      </c>
      <c r="I1143" s="8">
        <f t="shared" si="1"/>
        <v>16</v>
      </c>
      <c r="J1143" s="9">
        <f t="shared" si="2"/>
        <v>4</v>
      </c>
      <c r="K1143" s="9">
        <f t="shared" si="3"/>
        <v>2023</v>
      </c>
      <c r="M1143" s="25">
        <f>IFERROR(__xludf.DUMMYFUNCTION("""COMPUTED_VALUE"""),45032.0)</f>
        <v>45032</v>
      </c>
    </row>
    <row r="1144">
      <c r="A1144" s="10" t="s">
        <v>1084</v>
      </c>
      <c r="B1144" s="3" t="s">
        <v>1085</v>
      </c>
      <c r="C1144" s="10" t="s">
        <v>1131</v>
      </c>
      <c r="D1144" s="3" t="s">
        <v>1132</v>
      </c>
      <c r="E1144" s="4" t="s">
        <v>3</v>
      </c>
      <c r="F1144" s="5" t="s">
        <v>96</v>
      </c>
      <c r="G1144" s="6" t="s">
        <v>1134</v>
      </c>
      <c r="H1144" s="7">
        <v>45072.0</v>
      </c>
      <c r="I1144" s="8">
        <f t="shared" si="1"/>
        <v>26</v>
      </c>
      <c r="J1144" s="9">
        <f t="shared" si="2"/>
        <v>5</v>
      </c>
      <c r="K1144" s="9">
        <f t="shared" si="3"/>
        <v>2023</v>
      </c>
      <c r="M1144" s="25">
        <f>IFERROR(__xludf.DUMMYFUNCTION("""COMPUTED_VALUE"""),45072.0)</f>
        <v>45072</v>
      </c>
    </row>
    <row r="1145">
      <c r="A1145" s="10" t="s">
        <v>1084</v>
      </c>
      <c r="B1145" s="3" t="s">
        <v>1085</v>
      </c>
      <c r="C1145" s="10" t="s">
        <v>1131</v>
      </c>
      <c r="D1145" s="3" t="s">
        <v>1132</v>
      </c>
      <c r="E1145" s="4" t="s">
        <v>8</v>
      </c>
      <c r="F1145" s="5" t="s">
        <v>9</v>
      </c>
      <c r="G1145" s="6" t="s">
        <v>1135</v>
      </c>
      <c r="H1145" s="7">
        <v>45091.0</v>
      </c>
      <c r="I1145" s="8">
        <f t="shared" si="1"/>
        <v>14</v>
      </c>
      <c r="J1145" s="9">
        <f t="shared" si="2"/>
        <v>6</v>
      </c>
      <c r="K1145" s="9">
        <f t="shared" si="3"/>
        <v>2023</v>
      </c>
      <c r="M1145" s="25">
        <f>IFERROR(__xludf.DUMMYFUNCTION("""COMPUTED_VALUE"""),45091.0)</f>
        <v>45091</v>
      </c>
    </row>
    <row r="1146">
      <c r="A1146" s="10" t="s">
        <v>1084</v>
      </c>
      <c r="B1146" s="3" t="s">
        <v>1085</v>
      </c>
      <c r="C1146" s="10" t="s">
        <v>1131</v>
      </c>
      <c r="D1146" s="3" t="s">
        <v>1132</v>
      </c>
      <c r="E1146" s="4" t="s">
        <v>8</v>
      </c>
      <c r="F1146" s="5" t="s">
        <v>11</v>
      </c>
      <c r="G1146" s="6" t="s">
        <v>1136</v>
      </c>
      <c r="H1146" s="7">
        <v>45112.0</v>
      </c>
      <c r="I1146" s="8">
        <f t="shared" si="1"/>
        <v>5</v>
      </c>
      <c r="J1146" s="9">
        <f t="shared" si="2"/>
        <v>7</v>
      </c>
      <c r="K1146" s="9">
        <f t="shared" si="3"/>
        <v>2023</v>
      </c>
      <c r="M1146" s="25">
        <f>IFERROR(__xludf.DUMMYFUNCTION("""COMPUTED_VALUE"""),45112.0)</f>
        <v>45112</v>
      </c>
    </row>
    <row r="1147">
      <c r="A1147" s="10" t="s">
        <v>1084</v>
      </c>
      <c r="B1147" s="3" t="s">
        <v>1085</v>
      </c>
      <c r="C1147" s="10" t="s">
        <v>1131</v>
      </c>
      <c r="D1147" s="3" t="s">
        <v>1132</v>
      </c>
      <c r="E1147" s="4" t="s">
        <v>3</v>
      </c>
      <c r="F1147" s="5" t="s">
        <v>45</v>
      </c>
      <c r="G1147" s="6" t="s">
        <v>1137</v>
      </c>
      <c r="H1147" s="7">
        <v>45113.0</v>
      </c>
      <c r="I1147" s="8">
        <f t="shared" si="1"/>
        <v>6</v>
      </c>
      <c r="J1147" s="9">
        <f t="shared" si="2"/>
        <v>7</v>
      </c>
      <c r="K1147" s="9">
        <f t="shared" si="3"/>
        <v>2023</v>
      </c>
      <c r="M1147" s="25">
        <f>IFERROR(__xludf.DUMMYFUNCTION("""COMPUTED_VALUE"""),45113.0)</f>
        <v>45113</v>
      </c>
    </row>
    <row r="1148">
      <c r="A1148" s="10" t="s">
        <v>1084</v>
      </c>
      <c r="B1148" s="3" t="s">
        <v>1085</v>
      </c>
      <c r="C1148" s="10" t="s">
        <v>1131</v>
      </c>
      <c r="D1148" s="3" t="s">
        <v>1132</v>
      </c>
      <c r="E1148" s="4" t="s">
        <v>3</v>
      </c>
      <c r="F1148" s="5" t="s">
        <v>13</v>
      </c>
      <c r="G1148" s="6" t="s">
        <v>1030</v>
      </c>
      <c r="H1148" s="7">
        <v>45121.0</v>
      </c>
      <c r="I1148" s="8">
        <f t="shared" si="1"/>
        <v>14</v>
      </c>
      <c r="J1148" s="9">
        <f t="shared" si="2"/>
        <v>7</v>
      </c>
      <c r="K1148" s="9">
        <f t="shared" si="3"/>
        <v>2023</v>
      </c>
      <c r="M1148" s="25">
        <f>IFERROR(__xludf.DUMMYFUNCTION("""COMPUTED_VALUE"""),45121.0)</f>
        <v>45121</v>
      </c>
    </row>
    <row r="1149">
      <c r="A1149" s="10" t="s">
        <v>1084</v>
      </c>
      <c r="B1149" s="3" t="s">
        <v>1085</v>
      </c>
      <c r="C1149" s="10" t="s">
        <v>1131</v>
      </c>
      <c r="D1149" s="3" t="s">
        <v>1132</v>
      </c>
      <c r="E1149" s="4" t="s">
        <v>3</v>
      </c>
      <c r="F1149" s="5" t="s">
        <v>39</v>
      </c>
      <c r="G1149" s="6" t="s">
        <v>1138</v>
      </c>
      <c r="H1149" s="7">
        <v>45125.0</v>
      </c>
      <c r="I1149" s="8">
        <f t="shared" si="1"/>
        <v>18</v>
      </c>
      <c r="J1149" s="9">
        <f t="shared" si="2"/>
        <v>7</v>
      </c>
      <c r="K1149" s="9">
        <f t="shared" si="3"/>
        <v>2023</v>
      </c>
      <c r="M1149" s="25">
        <f>IFERROR(__xludf.DUMMYFUNCTION("""COMPUTED_VALUE"""),45125.0)</f>
        <v>45125</v>
      </c>
    </row>
    <row r="1150">
      <c r="A1150" s="10" t="s">
        <v>1084</v>
      </c>
      <c r="B1150" s="3" t="s">
        <v>1085</v>
      </c>
      <c r="C1150" s="10" t="s">
        <v>1131</v>
      </c>
      <c r="D1150" s="3" t="s">
        <v>1132</v>
      </c>
      <c r="E1150" s="4" t="s">
        <v>3</v>
      </c>
      <c r="F1150" s="5" t="s">
        <v>17</v>
      </c>
      <c r="G1150" s="6" t="s">
        <v>1139</v>
      </c>
      <c r="H1150" s="7">
        <v>45128.0</v>
      </c>
      <c r="I1150" s="8">
        <f t="shared" si="1"/>
        <v>21</v>
      </c>
      <c r="J1150" s="9">
        <f t="shared" si="2"/>
        <v>7</v>
      </c>
      <c r="K1150" s="9">
        <f t="shared" si="3"/>
        <v>2023</v>
      </c>
      <c r="M1150" s="25">
        <f>IFERROR(__xludf.DUMMYFUNCTION("""COMPUTED_VALUE"""),45128.0)</f>
        <v>45128</v>
      </c>
    </row>
    <row r="1151">
      <c r="A1151" s="10" t="s">
        <v>1084</v>
      </c>
      <c r="B1151" s="3" t="s">
        <v>1085</v>
      </c>
      <c r="C1151" s="10" t="s">
        <v>1131</v>
      </c>
      <c r="D1151" s="3" t="s">
        <v>1132</v>
      </c>
      <c r="E1151" s="4" t="s">
        <v>3</v>
      </c>
      <c r="F1151" s="5" t="s">
        <v>51</v>
      </c>
      <c r="G1151" s="6" t="s">
        <v>1140</v>
      </c>
      <c r="H1151" s="7">
        <v>45143.0</v>
      </c>
      <c r="I1151" s="8">
        <f t="shared" si="1"/>
        <v>5</v>
      </c>
      <c r="J1151" s="9">
        <f t="shared" si="2"/>
        <v>8</v>
      </c>
      <c r="K1151" s="9">
        <f t="shared" si="3"/>
        <v>2023</v>
      </c>
      <c r="M1151" s="25">
        <f>IFERROR(__xludf.DUMMYFUNCTION("""COMPUTED_VALUE"""),45143.0)</f>
        <v>45143</v>
      </c>
    </row>
    <row r="1152">
      <c r="A1152" s="10" t="s">
        <v>1084</v>
      </c>
      <c r="B1152" s="3" t="s">
        <v>1085</v>
      </c>
      <c r="C1152" s="10" t="s">
        <v>1131</v>
      </c>
      <c r="D1152" s="3" t="s">
        <v>1132</v>
      </c>
      <c r="E1152" s="4" t="s">
        <v>3</v>
      </c>
      <c r="F1152" s="5" t="s">
        <v>76</v>
      </c>
      <c r="G1152" s="6" t="s">
        <v>1141</v>
      </c>
      <c r="H1152" s="7">
        <v>45153.0</v>
      </c>
      <c r="I1152" s="8">
        <f t="shared" si="1"/>
        <v>15</v>
      </c>
      <c r="J1152" s="9">
        <f t="shared" si="2"/>
        <v>8</v>
      </c>
      <c r="K1152" s="9">
        <f t="shared" si="3"/>
        <v>2023</v>
      </c>
      <c r="M1152" s="25">
        <f>IFERROR(__xludf.DUMMYFUNCTION("""COMPUTED_VALUE"""),45153.0)</f>
        <v>45153</v>
      </c>
    </row>
    <row r="1153">
      <c r="A1153" s="10" t="s">
        <v>1084</v>
      </c>
      <c r="B1153" s="3" t="s">
        <v>1085</v>
      </c>
      <c r="C1153" s="10" t="s">
        <v>1131</v>
      </c>
      <c r="D1153" s="3" t="s">
        <v>1132</v>
      </c>
      <c r="E1153" s="4" t="s">
        <v>3</v>
      </c>
      <c r="F1153" s="5" t="s">
        <v>39</v>
      </c>
      <c r="G1153" s="6" t="s">
        <v>1142</v>
      </c>
      <c r="H1153" s="7">
        <v>45155.0</v>
      </c>
      <c r="I1153" s="8">
        <f t="shared" si="1"/>
        <v>17</v>
      </c>
      <c r="J1153" s="9">
        <f t="shared" si="2"/>
        <v>8</v>
      </c>
      <c r="K1153" s="9">
        <f t="shared" si="3"/>
        <v>2023</v>
      </c>
      <c r="M1153" s="25">
        <f>IFERROR(__xludf.DUMMYFUNCTION("""COMPUTED_VALUE"""),45155.0)</f>
        <v>45155</v>
      </c>
    </row>
    <row r="1154">
      <c r="A1154" s="10" t="s">
        <v>1084</v>
      </c>
      <c r="B1154" s="3" t="s">
        <v>1085</v>
      </c>
      <c r="C1154" s="10" t="s">
        <v>1131</v>
      </c>
      <c r="D1154" s="3" t="s">
        <v>1132</v>
      </c>
      <c r="E1154" s="4" t="s">
        <v>3</v>
      </c>
      <c r="F1154" s="5" t="s">
        <v>45</v>
      </c>
      <c r="G1154" s="6" t="s">
        <v>1143</v>
      </c>
      <c r="H1154" s="7">
        <v>45160.0</v>
      </c>
      <c r="I1154" s="8">
        <f t="shared" si="1"/>
        <v>22</v>
      </c>
      <c r="J1154" s="9">
        <f t="shared" si="2"/>
        <v>8</v>
      </c>
      <c r="K1154" s="9">
        <f t="shared" si="3"/>
        <v>2023</v>
      </c>
      <c r="M1154" s="25">
        <f>IFERROR(__xludf.DUMMYFUNCTION("""COMPUTED_VALUE"""),45160.0)</f>
        <v>45160</v>
      </c>
    </row>
    <row r="1155">
      <c r="A1155" s="10" t="s">
        <v>1084</v>
      </c>
      <c r="B1155" s="3" t="s">
        <v>1085</v>
      </c>
      <c r="C1155" s="10" t="s">
        <v>1131</v>
      </c>
      <c r="D1155" s="3" t="s">
        <v>1132</v>
      </c>
      <c r="E1155" s="4" t="s">
        <v>8</v>
      </c>
      <c r="F1155" s="5" t="s">
        <v>17</v>
      </c>
      <c r="G1155" s="6" t="s">
        <v>1144</v>
      </c>
      <c r="H1155" s="7">
        <v>45184.0</v>
      </c>
      <c r="I1155" s="8">
        <f t="shared" si="1"/>
        <v>15</v>
      </c>
      <c r="J1155" s="9">
        <f t="shared" si="2"/>
        <v>9</v>
      </c>
      <c r="K1155" s="9">
        <f t="shared" si="3"/>
        <v>2023</v>
      </c>
      <c r="M1155" s="25">
        <f>IFERROR(__xludf.DUMMYFUNCTION("""COMPUTED_VALUE"""),45184.0)</f>
        <v>45184</v>
      </c>
    </row>
    <row r="1156">
      <c r="A1156" s="10" t="s">
        <v>1084</v>
      </c>
      <c r="B1156" s="3" t="s">
        <v>1085</v>
      </c>
      <c r="C1156" s="10" t="s">
        <v>1131</v>
      </c>
      <c r="D1156" s="3" t="s">
        <v>1132</v>
      </c>
      <c r="E1156" s="4" t="s">
        <v>3</v>
      </c>
      <c r="F1156" s="5" t="s">
        <v>23</v>
      </c>
      <c r="G1156" s="6" t="s">
        <v>1145</v>
      </c>
      <c r="H1156" s="7">
        <v>45236.0</v>
      </c>
      <c r="I1156" s="8">
        <f t="shared" si="1"/>
        <v>6</v>
      </c>
      <c r="J1156" s="9">
        <f t="shared" si="2"/>
        <v>11</v>
      </c>
      <c r="K1156" s="9">
        <f t="shared" si="3"/>
        <v>2023</v>
      </c>
      <c r="M1156" s="25">
        <f>IFERROR(__xludf.DUMMYFUNCTION("""COMPUTED_VALUE"""),45236.0)</f>
        <v>45236</v>
      </c>
    </row>
    <row r="1157">
      <c r="A1157" s="10" t="s">
        <v>1084</v>
      </c>
      <c r="B1157" s="3" t="s">
        <v>1085</v>
      </c>
      <c r="C1157" s="10" t="s">
        <v>1131</v>
      </c>
      <c r="D1157" s="3" t="s">
        <v>1132</v>
      </c>
      <c r="E1157" s="4" t="s">
        <v>3</v>
      </c>
      <c r="F1157" s="5" t="s">
        <v>17</v>
      </c>
      <c r="G1157" s="6" t="s">
        <v>1146</v>
      </c>
      <c r="H1157" s="7">
        <v>45246.0</v>
      </c>
      <c r="I1157" s="8">
        <f t="shared" si="1"/>
        <v>16</v>
      </c>
      <c r="J1157" s="9">
        <f t="shared" si="2"/>
        <v>11</v>
      </c>
      <c r="K1157" s="9">
        <f t="shared" si="3"/>
        <v>2023</v>
      </c>
      <c r="M1157" s="25">
        <f>IFERROR(__xludf.DUMMYFUNCTION("""COMPUTED_VALUE"""),45246.0)</f>
        <v>45246</v>
      </c>
    </row>
    <row r="1158">
      <c r="A1158" s="10" t="s">
        <v>1084</v>
      </c>
      <c r="B1158" s="3" t="s">
        <v>1085</v>
      </c>
      <c r="C1158" s="10" t="s">
        <v>1131</v>
      </c>
      <c r="D1158" s="3" t="s">
        <v>1132</v>
      </c>
      <c r="E1158" s="4" t="s">
        <v>8</v>
      </c>
      <c r="F1158" s="5" t="s">
        <v>71</v>
      </c>
      <c r="G1158" s="6" t="s">
        <v>1147</v>
      </c>
      <c r="H1158" s="7">
        <v>45265.0</v>
      </c>
      <c r="I1158" s="8">
        <f t="shared" si="1"/>
        <v>5</v>
      </c>
      <c r="J1158" s="9">
        <f t="shared" si="2"/>
        <v>12</v>
      </c>
      <c r="K1158" s="9">
        <f t="shared" si="3"/>
        <v>2023</v>
      </c>
      <c r="M1158" s="25">
        <f>IFERROR(__xludf.DUMMYFUNCTION("""COMPUTED_VALUE"""),45265.0)</f>
        <v>45265</v>
      </c>
    </row>
    <row r="1159">
      <c r="A1159" s="10" t="s">
        <v>1084</v>
      </c>
      <c r="B1159" s="3" t="s">
        <v>1085</v>
      </c>
      <c r="C1159" s="10" t="s">
        <v>1131</v>
      </c>
      <c r="D1159" s="3" t="s">
        <v>1132</v>
      </c>
      <c r="E1159" s="4" t="s">
        <v>8</v>
      </c>
      <c r="F1159" s="5" t="s">
        <v>42</v>
      </c>
      <c r="G1159" s="6" t="s">
        <v>1148</v>
      </c>
      <c r="H1159" s="7">
        <v>45270.0</v>
      </c>
      <c r="I1159" s="8">
        <f t="shared" si="1"/>
        <v>10</v>
      </c>
      <c r="J1159" s="9">
        <f t="shared" si="2"/>
        <v>12</v>
      </c>
      <c r="K1159" s="9">
        <f t="shared" si="3"/>
        <v>2023</v>
      </c>
      <c r="M1159" s="25">
        <f>IFERROR(__xludf.DUMMYFUNCTION("""COMPUTED_VALUE"""),45270.0)</f>
        <v>45270</v>
      </c>
    </row>
    <row r="1160">
      <c r="A1160" s="10" t="s">
        <v>1084</v>
      </c>
      <c r="B1160" s="3" t="s">
        <v>1085</v>
      </c>
      <c r="C1160" s="10" t="s">
        <v>1131</v>
      </c>
      <c r="D1160" s="3" t="s">
        <v>1132</v>
      </c>
      <c r="E1160" s="4" t="s">
        <v>8</v>
      </c>
      <c r="F1160" s="5" t="s">
        <v>45</v>
      </c>
      <c r="G1160" s="6" t="s">
        <v>1137</v>
      </c>
      <c r="H1160" s="7">
        <v>45284.0</v>
      </c>
      <c r="I1160" s="8">
        <f t="shared" si="1"/>
        <v>24</v>
      </c>
      <c r="J1160" s="9">
        <f t="shared" si="2"/>
        <v>12</v>
      </c>
      <c r="K1160" s="9">
        <f t="shared" si="3"/>
        <v>2023</v>
      </c>
      <c r="M1160" s="25">
        <f>IFERROR(__xludf.DUMMYFUNCTION("""COMPUTED_VALUE"""),45284.0)</f>
        <v>45284</v>
      </c>
    </row>
    <row r="1161">
      <c r="A1161" s="10" t="s">
        <v>1100</v>
      </c>
      <c r="B1161" s="3" t="s">
        <v>1101</v>
      </c>
      <c r="C1161" s="10" t="s">
        <v>1149</v>
      </c>
      <c r="D1161" s="3" t="s">
        <v>1150</v>
      </c>
      <c r="E1161" s="4" t="s">
        <v>3</v>
      </c>
      <c r="F1161" s="5" t="s">
        <v>39</v>
      </c>
      <c r="G1161" s="6" t="s">
        <v>1151</v>
      </c>
      <c r="H1161" s="7">
        <v>44932.0</v>
      </c>
      <c r="I1161" s="8">
        <f t="shared" si="1"/>
        <v>6</v>
      </c>
      <c r="J1161" s="9">
        <f t="shared" si="2"/>
        <v>1</v>
      </c>
      <c r="K1161" s="9">
        <f t="shared" si="3"/>
        <v>2023</v>
      </c>
      <c r="M1161" s="25">
        <f>IFERROR(__xludf.DUMMYFUNCTION("""COMPUTED_VALUE"""),44932.0)</f>
        <v>44932</v>
      </c>
    </row>
    <row r="1162">
      <c r="A1162" s="10" t="s">
        <v>1100</v>
      </c>
      <c r="B1162" s="3" t="s">
        <v>1101</v>
      </c>
      <c r="C1162" s="10" t="s">
        <v>1149</v>
      </c>
      <c r="D1162" s="3" t="s">
        <v>1150</v>
      </c>
      <c r="E1162" s="4" t="s">
        <v>8</v>
      </c>
      <c r="F1162" s="5" t="s">
        <v>4</v>
      </c>
      <c r="G1162" s="6" t="s">
        <v>1152</v>
      </c>
      <c r="H1162" s="7">
        <v>44936.0</v>
      </c>
      <c r="I1162" s="8">
        <f t="shared" si="1"/>
        <v>10</v>
      </c>
      <c r="J1162" s="9">
        <f t="shared" si="2"/>
        <v>1</v>
      </c>
      <c r="K1162" s="9">
        <f t="shared" si="3"/>
        <v>2023</v>
      </c>
      <c r="M1162" s="25">
        <f>IFERROR(__xludf.DUMMYFUNCTION("""COMPUTED_VALUE"""),44936.0)</f>
        <v>44936</v>
      </c>
    </row>
    <row r="1163">
      <c r="A1163" s="10" t="s">
        <v>1100</v>
      </c>
      <c r="B1163" s="3" t="s">
        <v>1101</v>
      </c>
      <c r="C1163" s="10" t="s">
        <v>1149</v>
      </c>
      <c r="D1163" s="3" t="s">
        <v>1150</v>
      </c>
      <c r="E1163" s="4" t="s">
        <v>8</v>
      </c>
      <c r="F1163" s="5" t="s">
        <v>23</v>
      </c>
      <c r="G1163" s="6" t="s">
        <v>1153</v>
      </c>
      <c r="H1163" s="7">
        <v>44937.0</v>
      </c>
      <c r="I1163" s="8">
        <f t="shared" si="1"/>
        <v>11</v>
      </c>
      <c r="J1163" s="9">
        <f t="shared" si="2"/>
        <v>1</v>
      </c>
      <c r="K1163" s="9">
        <f t="shared" si="3"/>
        <v>2023</v>
      </c>
      <c r="M1163" s="25">
        <f>IFERROR(__xludf.DUMMYFUNCTION("""COMPUTED_VALUE"""),44937.0)</f>
        <v>44937</v>
      </c>
    </row>
    <row r="1164">
      <c r="A1164" s="10" t="s">
        <v>1100</v>
      </c>
      <c r="B1164" s="3" t="s">
        <v>1101</v>
      </c>
      <c r="C1164" s="10" t="s">
        <v>1149</v>
      </c>
      <c r="D1164" s="3" t="s">
        <v>1150</v>
      </c>
      <c r="E1164" s="4" t="s">
        <v>3</v>
      </c>
      <c r="F1164" s="5" t="s">
        <v>45</v>
      </c>
      <c r="G1164" s="6" t="s">
        <v>1127</v>
      </c>
      <c r="H1164" s="7">
        <v>44954.0</v>
      </c>
      <c r="I1164" s="8">
        <f t="shared" si="1"/>
        <v>28</v>
      </c>
      <c r="J1164" s="9">
        <f t="shared" si="2"/>
        <v>1</v>
      </c>
      <c r="K1164" s="9">
        <f t="shared" si="3"/>
        <v>2023</v>
      </c>
      <c r="M1164" s="25">
        <f>IFERROR(__xludf.DUMMYFUNCTION("""COMPUTED_VALUE"""),44954.0)</f>
        <v>44954</v>
      </c>
    </row>
    <row r="1165">
      <c r="A1165" s="10" t="s">
        <v>1100</v>
      </c>
      <c r="B1165" s="3" t="s">
        <v>1101</v>
      </c>
      <c r="C1165" s="10" t="s">
        <v>1149</v>
      </c>
      <c r="D1165" s="3" t="s">
        <v>1150</v>
      </c>
      <c r="E1165" s="4" t="s">
        <v>8</v>
      </c>
      <c r="F1165" s="5" t="s">
        <v>13</v>
      </c>
      <c r="G1165" s="6" t="s">
        <v>1154</v>
      </c>
      <c r="H1165" s="7">
        <v>44968.0</v>
      </c>
      <c r="I1165" s="8">
        <f t="shared" si="1"/>
        <v>11</v>
      </c>
      <c r="J1165" s="9">
        <f t="shared" si="2"/>
        <v>2</v>
      </c>
      <c r="K1165" s="9">
        <f t="shared" si="3"/>
        <v>2023</v>
      </c>
      <c r="M1165" s="25">
        <f>IFERROR(__xludf.DUMMYFUNCTION("""COMPUTED_VALUE"""),44968.0)</f>
        <v>44968</v>
      </c>
    </row>
    <row r="1166">
      <c r="A1166" s="10" t="s">
        <v>1100</v>
      </c>
      <c r="B1166" s="3" t="s">
        <v>1101</v>
      </c>
      <c r="C1166" s="10" t="s">
        <v>1149</v>
      </c>
      <c r="D1166" s="3" t="s">
        <v>1150</v>
      </c>
      <c r="E1166" s="4" t="s">
        <v>3</v>
      </c>
      <c r="F1166" s="5" t="s">
        <v>51</v>
      </c>
      <c r="G1166" s="6" t="s">
        <v>1155</v>
      </c>
      <c r="H1166" s="7">
        <v>44979.0</v>
      </c>
      <c r="I1166" s="8">
        <f t="shared" si="1"/>
        <v>22</v>
      </c>
      <c r="J1166" s="9">
        <f t="shared" si="2"/>
        <v>2</v>
      </c>
      <c r="K1166" s="9">
        <f t="shared" si="3"/>
        <v>2023</v>
      </c>
      <c r="M1166" s="25">
        <f>IFERROR(__xludf.DUMMYFUNCTION("""COMPUTED_VALUE"""),44979.0)</f>
        <v>44979</v>
      </c>
    </row>
    <row r="1167">
      <c r="A1167" s="10" t="s">
        <v>1100</v>
      </c>
      <c r="B1167" s="3" t="s">
        <v>1101</v>
      </c>
      <c r="C1167" s="10" t="s">
        <v>1149</v>
      </c>
      <c r="D1167" s="3" t="s">
        <v>1150</v>
      </c>
      <c r="E1167" s="4" t="s">
        <v>8</v>
      </c>
      <c r="F1167" s="5" t="s">
        <v>6</v>
      </c>
      <c r="G1167" s="6" t="s">
        <v>1156</v>
      </c>
      <c r="H1167" s="7">
        <v>44983.0</v>
      </c>
      <c r="I1167" s="8">
        <f t="shared" si="1"/>
        <v>26</v>
      </c>
      <c r="J1167" s="9">
        <f t="shared" si="2"/>
        <v>2</v>
      </c>
      <c r="K1167" s="9">
        <f t="shared" si="3"/>
        <v>2023</v>
      </c>
      <c r="M1167" s="25">
        <f>IFERROR(__xludf.DUMMYFUNCTION("""COMPUTED_VALUE"""),44983.0)</f>
        <v>44983</v>
      </c>
    </row>
    <row r="1168">
      <c r="A1168" s="10" t="s">
        <v>1100</v>
      </c>
      <c r="B1168" s="3" t="s">
        <v>1101</v>
      </c>
      <c r="C1168" s="10" t="s">
        <v>1149</v>
      </c>
      <c r="D1168" s="3" t="s">
        <v>1150</v>
      </c>
      <c r="E1168" s="4" t="s">
        <v>8</v>
      </c>
      <c r="F1168" s="5" t="s">
        <v>23</v>
      </c>
      <c r="G1168" s="6" t="s">
        <v>1157</v>
      </c>
      <c r="H1168" s="7">
        <v>45013.0</v>
      </c>
      <c r="I1168" s="8">
        <f t="shared" si="1"/>
        <v>28</v>
      </c>
      <c r="J1168" s="9">
        <f t="shared" si="2"/>
        <v>3</v>
      </c>
      <c r="K1168" s="9">
        <f t="shared" si="3"/>
        <v>2023</v>
      </c>
      <c r="M1168" s="25">
        <f>IFERROR(__xludf.DUMMYFUNCTION("""COMPUTED_VALUE"""),45013.0)</f>
        <v>45013</v>
      </c>
    </row>
    <row r="1169">
      <c r="A1169" s="10" t="s">
        <v>1100</v>
      </c>
      <c r="B1169" s="3" t="s">
        <v>1101</v>
      </c>
      <c r="C1169" s="10" t="s">
        <v>1149</v>
      </c>
      <c r="D1169" s="3" t="s">
        <v>1150</v>
      </c>
      <c r="E1169" s="4" t="s">
        <v>8</v>
      </c>
      <c r="F1169" s="5" t="s">
        <v>19</v>
      </c>
      <c r="G1169" s="6" t="s">
        <v>1158</v>
      </c>
      <c r="H1169" s="7">
        <v>45031.0</v>
      </c>
      <c r="I1169" s="8">
        <f t="shared" si="1"/>
        <v>15</v>
      </c>
      <c r="J1169" s="9">
        <f t="shared" si="2"/>
        <v>4</v>
      </c>
      <c r="K1169" s="9">
        <f t="shared" si="3"/>
        <v>2023</v>
      </c>
      <c r="M1169" s="25">
        <f>IFERROR(__xludf.DUMMYFUNCTION("""COMPUTED_VALUE"""),45031.0)</f>
        <v>45031</v>
      </c>
    </row>
    <row r="1170">
      <c r="A1170" s="10" t="s">
        <v>1100</v>
      </c>
      <c r="B1170" s="3" t="s">
        <v>1101</v>
      </c>
      <c r="C1170" s="10" t="s">
        <v>1149</v>
      </c>
      <c r="D1170" s="3" t="s">
        <v>1150</v>
      </c>
      <c r="E1170" s="4" t="s">
        <v>8</v>
      </c>
      <c r="F1170" s="5" t="s">
        <v>51</v>
      </c>
      <c r="G1170" s="6" t="s">
        <v>1159</v>
      </c>
      <c r="H1170" s="7">
        <v>45058.0</v>
      </c>
      <c r="I1170" s="8">
        <f t="shared" si="1"/>
        <v>12</v>
      </c>
      <c r="J1170" s="9">
        <f t="shared" si="2"/>
        <v>5</v>
      </c>
      <c r="K1170" s="9">
        <f t="shared" si="3"/>
        <v>2023</v>
      </c>
      <c r="M1170" s="25">
        <f>IFERROR(__xludf.DUMMYFUNCTION("""COMPUTED_VALUE"""),45058.0)</f>
        <v>45058</v>
      </c>
    </row>
    <row r="1171">
      <c r="A1171" s="10" t="s">
        <v>1100</v>
      </c>
      <c r="B1171" s="3" t="s">
        <v>1101</v>
      </c>
      <c r="C1171" s="10" t="s">
        <v>1149</v>
      </c>
      <c r="D1171" s="3" t="s">
        <v>1150</v>
      </c>
      <c r="E1171" s="4" t="s">
        <v>8</v>
      </c>
      <c r="F1171" s="5" t="s">
        <v>19</v>
      </c>
      <c r="G1171" s="6" t="s">
        <v>202</v>
      </c>
      <c r="H1171" s="7">
        <v>45069.0</v>
      </c>
      <c r="I1171" s="8">
        <f t="shared" si="1"/>
        <v>23</v>
      </c>
      <c r="J1171" s="9">
        <f t="shared" si="2"/>
        <v>5</v>
      </c>
      <c r="K1171" s="9">
        <f t="shared" si="3"/>
        <v>2023</v>
      </c>
      <c r="M1171" s="25">
        <f>IFERROR(__xludf.DUMMYFUNCTION("""COMPUTED_VALUE"""),45069.0)</f>
        <v>45069</v>
      </c>
    </row>
    <row r="1172">
      <c r="A1172" s="10" t="s">
        <v>1100</v>
      </c>
      <c r="B1172" s="3" t="s">
        <v>1101</v>
      </c>
      <c r="C1172" s="10" t="s">
        <v>1149</v>
      </c>
      <c r="D1172" s="3" t="s">
        <v>1150</v>
      </c>
      <c r="E1172" s="4" t="s">
        <v>3</v>
      </c>
      <c r="F1172" s="5" t="s">
        <v>21</v>
      </c>
      <c r="G1172" s="6" t="s">
        <v>1160</v>
      </c>
      <c r="H1172" s="7">
        <v>45081.0</v>
      </c>
      <c r="I1172" s="8">
        <f t="shared" si="1"/>
        <v>4</v>
      </c>
      <c r="J1172" s="9">
        <f t="shared" si="2"/>
        <v>6</v>
      </c>
      <c r="K1172" s="9">
        <f t="shared" si="3"/>
        <v>2023</v>
      </c>
      <c r="M1172" s="25">
        <f>IFERROR(__xludf.DUMMYFUNCTION("""COMPUTED_VALUE"""),45081.0)</f>
        <v>45081</v>
      </c>
    </row>
    <row r="1173">
      <c r="A1173" s="10" t="s">
        <v>1100</v>
      </c>
      <c r="B1173" s="3" t="s">
        <v>1101</v>
      </c>
      <c r="C1173" s="10" t="s">
        <v>1149</v>
      </c>
      <c r="D1173" s="3" t="s">
        <v>1150</v>
      </c>
      <c r="E1173" s="4" t="s">
        <v>8</v>
      </c>
      <c r="F1173" s="5" t="s">
        <v>6</v>
      </c>
      <c r="G1173" s="6" t="s">
        <v>1161</v>
      </c>
      <c r="H1173" s="7">
        <v>45105.0</v>
      </c>
      <c r="I1173" s="8">
        <f t="shared" si="1"/>
        <v>28</v>
      </c>
      <c r="J1173" s="9">
        <f t="shared" si="2"/>
        <v>6</v>
      </c>
      <c r="K1173" s="9">
        <f t="shared" si="3"/>
        <v>2023</v>
      </c>
      <c r="M1173" s="25">
        <f>IFERROR(__xludf.DUMMYFUNCTION("""COMPUTED_VALUE"""),45105.0)</f>
        <v>45105</v>
      </c>
    </row>
    <row r="1174">
      <c r="A1174" s="10" t="s">
        <v>1100</v>
      </c>
      <c r="B1174" s="3" t="s">
        <v>1101</v>
      </c>
      <c r="C1174" s="10" t="s">
        <v>1149</v>
      </c>
      <c r="D1174" s="3" t="s">
        <v>1150</v>
      </c>
      <c r="E1174" s="4" t="s">
        <v>3</v>
      </c>
      <c r="F1174" s="5" t="s">
        <v>51</v>
      </c>
      <c r="G1174" s="6" t="s">
        <v>1162</v>
      </c>
      <c r="H1174" s="7">
        <v>45123.0</v>
      </c>
      <c r="I1174" s="8">
        <f t="shared" si="1"/>
        <v>16</v>
      </c>
      <c r="J1174" s="9">
        <f t="shared" si="2"/>
        <v>7</v>
      </c>
      <c r="K1174" s="9">
        <f t="shared" si="3"/>
        <v>2023</v>
      </c>
      <c r="M1174" s="25">
        <f>IFERROR(__xludf.DUMMYFUNCTION("""COMPUTED_VALUE"""),45123.0)</f>
        <v>45123</v>
      </c>
    </row>
    <row r="1175">
      <c r="A1175" s="10" t="s">
        <v>1100</v>
      </c>
      <c r="B1175" s="3" t="s">
        <v>1101</v>
      </c>
      <c r="C1175" s="10" t="s">
        <v>1149</v>
      </c>
      <c r="D1175" s="3" t="s">
        <v>1150</v>
      </c>
      <c r="E1175" s="4" t="s">
        <v>3</v>
      </c>
      <c r="F1175" s="5" t="s">
        <v>11</v>
      </c>
      <c r="G1175" s="6" t="s">
        <v>108</v>
      </c>
      <c r="H1175" s="7">
        <v>45147.0</v>
      </c>
      <c r="I1175" s="8">
        <f t="shared" si="1"/>
        <v>9</v>
      </c>
      <c r="J1175" s="9">
        <f t="shared" si="2"/>
        <v>8</v>
      </c>
      <c r="K1175" s="9">
        <f t="shared" si="3"/>
        <v>2023</v>
      </c>
      <c r="M1175" s="25">
        <f>IFERROR(__xludf.DUMMYFUNCTION("""COMPUTED_VALUE"""),45147.0)</f>
        <v>45147</v>
      </c>
    </row>
    <row r="1176">
      <c r="A1176" s="10" t="s">
        <v>1100</v>
      </c>
      <c r="B1176" s="3" t="s">
        <v>1101</v>
      </c>
      <c r="C1176" s="10" t="s">
        <v>1149</v>
      </c>
      <c r="D1176" s="3" t="s">
        <v>1150</v>
      </c>
      <c r="E1176" s="4" t="s">
        <v>3</v>
      </c>
      <c r="F1176" s="5" t="s">
        <v>35</v>
      </c>
      <c r="G1176" s="6" t="s">
        <v>665</v>
      </c>
      <c r="H1176" s="7">
        <v>45160.0</v>
      </c>
      <c r="I1176" s="8">
        <f t="shared" si="1"/>
        <v>22</v>
      </c>
      <c r="J1176" s="9">
        <f t="shared" si="2"/>
        <v>8</v>
      </c>
      <c r="K1176" s="9">
        <f t="shared" si="3"/>
        <v>2023</v>
      </c>
      <c r="M1176" s="25">
        <f>IFERROR(__xludf.DUMMYFUNCTION("""COMPUTED_VALUE"""),45160.0)</f>
        <v>45160</v>
      </c>
    </row>
    <row r="1177">
      <c r="A1177" s="10" t="s">
        <v>1100</v>
      </c>
      <c r="B1177" s="3" t="s">
        <v>1101</v>
      </c>
      <c r="C1177" s="10" t="s">
        <v>1149</v>
      </c>
      <c r="D1177" s="3" t="s">
        <v>1150</v>
      </c>
      <c r="E1177" s="4" t="s">
        <v>8</v>
      </c>
      <c r="F1177" s="5" t="s">
        <v>13</v>
      </c>
      <c r="G1177" s="6" t="s">
        <v>1163</v>
      </c>
      <c r="H1177" s="7">
        <v>45165.0</v>
      </c>
      <c r="I1177" s="8">
        <f t="shared" si="1"/>
        <v>27</v>
      </c>
      <c r="J1177" s="9">
        <f t="shared" si="2"/>
        <v>8</v>
      </c>
      <c r="K1177" s="9">
        <f t="shared" si="3"/>
        <v>2023</v>
      </c>
      <c r="M1177" s="25">
        <f>IFERROR(__xludf.DUMMYFUNCTION("""COMPUTED_VALUE"""),45165.0)</f>
        <v>45165</v>
      </c>
    </row>
    <row r="1178">
      <c r="A1178" s="10" t="s">
        <v>1100</v>
      </c>
      <c r="B1178" s="3" t="s">
        <v>1101</v>
      </c>
      <c r="C1178" s="10" t="s">
        <v>1149</v>
      </c>
      <c r="D1178" s="3" t="s">
        <v>1150</v>
      </c>
      <c r="E1178" s="4" t="s">
        <v>3</v>
      </c>
      <c r="F1178" s="5" t="s">
        <v>96</v>
      </c>
      <c r="G1178" s="6" t="s">
        <v>1164</v>
      </c>
      <c r="H1178" s="7">
        <v>45190.0</v>
      </c>
      <c r="I1178" s="8">
        <f t="shared" si="1"/>
        <v>21</v>
      </c>
      <c r="J1178" s="9">
        <f t="shared" si="2"/>
        <v>9</v>
      </c>
      <c r="K1178" s="9">
        <f t="shared" si="3"/>
        <v>2023</v>
      </c>
      <c r="M1178" s="25">
        <f>IFERROR(__xludf.DUMMYFUNCTION("""COMPUTED_VALUE"""),45190.0)</f>
        <v>45190</v>
      </c>
    </row>
    <row r="1179">
      <c r="A1179" s="10" t="s">
        <v>1100</v>
      </c>
      <c r="B1179" s="3" t="s">
        <v>1101</v>
      </c>
      <c r="C1179" s="10" t="s">
        <v>1149</v>
      </c>
      <c r="D1179" s="3" t="s">
        <v>1150</v>
      </c>
      <c r="E1179" s="4" t="s">
        <v>3</v>
      </c>
      <c r="F1179" s="5" t="s">
        <v>35</v>
      </c>
      <c r="G1179" s="6" t="s">
        <v>1165</v>
      </c>
      <c r="H1179" s="7">
        <v>45201.0</v>
      </c>
      <c r="I1179" s="8">
        <f t="shared" si="1"/>
        <v>2</v>
      </c>
      <c r="J1179" s="9">
        <f t="shared" si="2"/>
        <v>10</v>
      </c>
      <c r="K1179" s="9">
        <f t="shared" si="3"/>
        <v>2023</v>
      </c>
      <c r="M1179" s="25">
        <f>IFERROR(__xludf.DUMMYFUNCTION("""COMPUTED_VALUE"""),45201.0)</f>
        <v>45201</v>
      </c>
    </row>
    <row r="1180">
      <c r="A1180" s="10" t="s">
        <v>1100</v>
      </c>
      <c r="B1180" s="3" t="s">
        <v>1101</v>
      </c>
      <c r="C1180" s="10" t="s">
        <v>1149</v>
      </c>
      <c r="D1180" s="3" t="s">
        <v>1150</v>
      </c>
      <c r="E1180" s="4" t="s">
        <v>8</v>
      </c>
      <c r="F1180" s="5" t="s">
        <v>51</v>
      </c>
      <c r="G1180" s="6" t="s">
        <v>1166</v>
      </c>
      <c r="H1180" s="7">
        <v>45232.0</v>
      </c>
      <c r="I1180" s="8">
        <f t="shared" si="1"/>
        <v>2</v>
      </c>
      <c r="J1180" s="9">
        <f t="shared" si="2"/>
        <v>11</v>
      </c>
      <c r="K1180" s="9">
        <f t="shared" si="3"/>
        <v>2023</v>
      </c>
      <c r="M1180" s="25">
        <f>IFERROR(__xludf.DUMMYFUNCTION("""COMPUTED_VALUE"""),45232.0)</f>
        <v>45232</v>
      </c>
    </row>
    <row r="1181">
      <c r="A1181" s="10" t="s">
        <v>741</v>
      </c>
      <c r="B1181" s="3" t="s">
        <v>1117</v>
      </c>
      <c r="C1181" s="10" t="s">
        <v>1167</v>
      </c>
      <c r="D1181" s="3" t="s">
        <v>1168</v>
      </c>
      <c r="E1181" s="4" t="s">
        <v>3</v>
      </c>
      <c r="F1181" s="5" t="s">
        <v>39</v>
      </c>
      <c r="G1181" s="6" t="s">
        <v>1169</v>
      </c>
      <c r="H1181" s="7">
        <v>44929.0</v>
      </c>
      <c r="I1181" s="8">
        <f t="shared" si="1"/>
        <v>3</v>
      </c>
      <c r="J1181" s="9">
        <f t="shared" si="2"/>
        <v>1</v>
      </c>
      <c r="K1181" s="9">
        <f t="shared" si="3"/>
        <v>2023</v>
      </c>
      <c r="M1181" s="25">
        <f>IFERROR(__xludf.DUMMYFUNCTION("""COMPUTED_VALUE"""),44929.0)</f>
        <v>44929</v>
      </c>
    </row>
    <row r="1182">
      <c r="A1182" s="10" t="s">
        <v>741</v>
      </c>
      <c r="B1182" s="3" t="s">
        <v>1117</v>
      </c>
      <c r="C1182" s="10" t="s">
        <v>1167</v>
      </c>
      <c r="D1182" s="3" t="s">
        <v>1168</v>
      </c>
      <c r="E1182" s="4" t="s">
        <v>3</v>
      </c>
      <c r="F1182" s="5" t="s">
        <v>19</v>
      </c>
      <c r="G1182" s="6" t="s">
        <v>161</v>
      </c>
      <c r="H1182" s="7">
        <v>44936.0</v>
      </c>
      <c r="I1182" s="8">
        <f t="shared" si="1"/>
        <v>10</v>
      </c>
      <c r="J1182" s="9">
        <f t="shared" si="2"/>
        <v>1</v>
      </c>
      <c r="K1182" s="9">
        <f t="shared" si="3"/>
        <v>2023</v>
      </c>
      <c r="M1182" s="25">
        <f>IFERROR(__xludf.DUMMYFUNCTION("""COMPUTED_VALUE"""),44936.0)</f>
        <v>44936</v>
      </c>
    </row>
    <row r="1183">
      <c r="A1183" s="10" t="s">
        <v>741</v>
      </c>
      <c r="B1183" s="3" t="s">
        <v>1117</v>
      </c>
      <c r="C1183" s="10" t="s">
        <v>1167</v>
      </c>
      <c r="D1183" s="3" t="s">
        <v>1168</v>
      </c>
      <c r="E1183" s="4" t="s">
        <v>3</v>
      </c>
      <c r="F1183" s="5" t="s">
        <v>96</v>
      </c>
      <c r="G1183" s="6" t="s">
        <v>1170</v>
      </c>
      <c r="H1183" s="7">
        <v>44939.0</v>
      </c>
      <c r="I1183" s="8">
        <f t="shared" si="1"/>
        <v>13</v>
      </c>
      <c r="J1183" s="9">
        <f t="shared" si="2"/>
        <v>1</v>
      </c>
      <c r="K1183" s="9">
        <f t="shared" si="3"/>
        <v>2023</v>
      </c>
      <c r="M1183" s="25">
        <f>IFERROR(__xludf.DUMMYFUNCTION("""COMPUTED_VALUE"""),44939.0)</f>
        <v>44939</v>
      </c>
    </row>
    <row r="1184">
      <c r="A1184" s="10" t="s">
        <v>741</v>
      </c>
      <c r="B1184" s="3" t="s">
        <v>1117</v>
      </c>
      <c r="C1184" s="10" t="s">
        <v>1167</v>
      </c>
      <c r="D1184" s="3" t="s">
        <v>1168</v>
      </c>
      <c r="E1184" s="4" t="s">
        <v>8</v>
      </c>
      <c r="F1184" s="5" t="s">
        <v>35</v>
      </c>
      <c r="G1184" s="6" t="s">
        <v>1171</v>
      </c>
      <c r="H1184" s="7">
        <v>44960.0</v>
      </c>
      <c r="I1184" s="8">
        <f t="shared" si="1"/>
        <v>3</v>
      </c>
      <c r="J1184" s="9">
        <f t="shared" si="2"/>
        <v>2</v>
      </c>
      <c r="K1184" s="9">
        <f t="shared" si="3"/>
        <v>2023</v>
      </c>
      <c r="M1184" s="25">
        <f>IFERROR(__xludf.DUMMYFUNCTION("""COMPUTED_VALUE"""),44960.0)</f>
        <v>44960</v>
      </c>
    </row>
    <row r="1185">
      <c r="A1185" s="10" t="s">
        <v>741</v>
      </c>
      <c r="B1185" s="3" t="s">
        <v>1117</v>
      </c>
      <c r="C1185" s="10" t="s">
        <v>1167</v>
      </c>
      <c r="D1185" s="3" t="s">
        <v>1168</v>
      </c>
      <c r="E1185" s="4" t="s">
        <v>3</v>
      </c>
      <c r="F1185" s="5" t="s">
        <v>13</v>
      </c>
      <c r="G1185" s="6" t="s">
        <v>1089</v>
      </c>
      <c r="H1185" s="7">
        <v>45019.0</v>
      </c>
      <c r="I1185" s="8">
        <f t="shared" si="1"/>
        <v>3</v>
      </c>
      <c r="J1185" s="9">
        <f t="shared" si="2"/>
        <v>4</v>
      </c>
      <c r="K1185" s="9">
        <f t="shared" si="3"/>
        <v>2023</v>
      </c>
      <c r="M1185" s="25">
        <f>IFERROR(__xludf.DUMMYFUNCTION("""COMPUTED_VALUE"""),45019.0)</f>
        <v>45019</v>
      </c>
    </row>
    <row r="1186">
      <c r="A1186" s="10" t="s">
        <v>741</v>
      </c>
      <c r="B1186" s="3" t="s">
        <v>1117</v>
      </c>
      <c r="C1186" s="10" t="s">
        <v>1167</v>
      </c>
      <c r="D1186" s="3" t="s">
        <v>1168</v>
      </c>
      <c r="E1186" s="4" t="s">
        <v>3</v>
      </c>
      <c r="F1186" s="5" t="s">
        <v>13</v>
      </c>
      <c r="G1186" s="6" t="s">
        <v>1172</v>
      </c>
      <c r="H1186" s="7">
        <v>45037.0</v>
      </c>
      <c r="I1186" s="8">
        <f t="shared" si="1"/>
        <v>21</v>
      </c>
      <c r="J1186" s="9">
        <f t="shared" si="2"/>
        <v>4</v>
      </c>
      <c r="K1186" s="9">
        <f t="shared" si="3"/>
        <v>2023</v>
      </c>
      <c r="M1186" s="25">
        <f>IFERROR(__xludf.DUMMYFUNCTION("""COMPUTED_VALUE"""),45037.0)</f>
        <v>45037</v>
      </c>
    </row>
    <row r="1187">
      <c r="A1187" s="10" t="s">
        <v>741</v>
      </c>
      <c r="B1187" s="3" t="s">
        <v>1117</v>
      </c>
      <c r="C1187" s="10" t="s">
        <v>1167</v>
      </c>
      <c r="D1187" s="3" t="s">
        <v>1168</v>
      </c>
      <c r="E1187" s="4" t="s">
        <v>3</v>
      </c>
      <c r="F1187" s="5" t="s">
        <v>23</v>
      </c>
      <c r="G1187" s="6" t="s">
        <v>1173</v>
      </c>
      <c r="H1187" s="7">
        <v>45042.0</v>
      </c>
      <c r="I1187" s="8">
        <f t="shared" si="1"/>
        <v>26</v>
      </c>
      <c r="J1187" s="9">
        <f t="shared" si="2"/>
        <v>4</v>
      </c>
      <c r="K1187" s="9">
        <f t="shared" si="3"/>
        <v>2023</v>
      </c>
      <c r="M1187" s="25">
        <f>IFERROR(__xludf.DUMMYFUNCTION("""COMPUTED_VALUE"""),45042.0)</f>
        <v>45042</v>
      </c>
    </row>
    <row r="1188">
      <c r="A1188" s="10" t="s">
        <v>741</v>
      </c>
      <c r="B1188" s="3" t="s">
        <v>1117</v>
      </c>
      <c r="C1188" s="10" t="s">
        <v>1167</v>
      </c>
      <c r="D1188" s="3" t="s">
        <v>1168</v>
      </c>
      <c r="E1188" s="4" t="s">
        <v>8</v>
      </c>
      <c r="F1188" s="5" t="s">
        <v>42</v>
      </c>
      <c r="G1188" s="6" t="s">
        <v>606</v>
      </c>
      <c r="H1188" s="7">
        <v>45056.0</v>
      </c>
      <c r="I1188" s="8">
        <f t="shared" si="1"/>
        <v>10</v>
      </c>
      <c r="J1188" s="9">
        <f t="shared" si="2"/>
        <v>5</v>
      </c>
      <c r="K1188" s="9">
        <f t="shared" si="3"/>
        <v>2023</v>
      </c>
      <c r="M1188" s="25">
        <f>IFERROR(__xludf.DUMMYFUNCTION("""COMPUTED_VALUE"""),45056.0)</f>
        <v>45056</v>
      </c>
    </row>
    <row r="1189">
      <c r="A1189" s="10" t="s">
        <v>741</v>
      </c>
      <c r="B1189" s="3" t="s">
        <v>1117</v>
      </c>
      <c r="C1189" s="10" t="s">
        <v>1167</v>
      </c>
      <c r="D1189" s="3" t="s">
        <v>1168</v>
      </c>
      <c r="E1189" s="4" t="s">
        <v>3</v>
      </c>
      <c r="F1189" s="5" t="s">
        <v>28</v>
      </c>
      <c r="G1189" s="6" t="s">
        <v>1174</v>
      </c>
      <c r="H1189" s="7">
        <v>45096.0</v>
      </c>
      <c r="I1189" s="8">
        <f t="shared" si="1"/>
        <v>19</v>
      </c>
      <c r="J1189" s="9">
        <f t="shared" si="2"/>
        <v>6</v>
      </c>
      <c r="K1189" s="9">
        <f t="shared" si="3"/>
        <v>2023</v>
      </c>
      <c r="M1189" s="25">
        <f>IFERROR(__xludf.DUMMYFUNCTION("""COMPUTED_VALUE"""),45096.0)</f>
        <v>45096</v>
      </c>
    </row>
    <row r="1190">
      <c r="A1190" s="10" t="s">
        <v>741</v>
      </c>
      <c r="B1190" s="3" t="s">
        <v>1117</v>
      </c>
      <c r="C1190" s="10" t="s">
        <v>1167</v>
      </c>
      <c r="D1190" s="3" t="s">
        <v>1168</v>
      </c>
      <c r="E1190" s="4" t="s">
        <v>8</v>
      </c>
      <c r="F1190" s="5" t="s">
        <v>15</v>
      </c>
      <c r="G1190" s="6" t="s">
        <v>34</v>
      </c>
      <c r="H1190" s="7">
        <v>45134.0</v>
      </c>
      <c r="I1190" s="8">
        <f t="shared" si="1"/>
        <v>27</v>
      </c>
      <c r="J1190" s="9">
        <f t="shared" si="2"/>
        <v>7</v>
      </c>
      <c r="K1190" s="9">
        <f t="shared" si="3"/>
        <v>2023</v>
      </c>
      <c r="M1190" s="25">
        <f>IFERROR(__xludf.DUMMYFUNCTION("""COMPUTED_VALUE"""),45134.0)</f>
        <v>45134</v>
      </c>
    </row>
    <row r="1191">
      <c r="A1191" s="10" t="s">
        <v>741</v>
      </c>
      <c r="B1191" s="3" t="s">
        <v>1117</v>
      </c>
      <c r="C1191" s="10" t="s">
        <v>1167</v>
      </c>
      <c r="D1191" s="3" t="s">
        <v>1168</v>
      </c>
      <c r="E1191" s="4" t="s">
        <v>3</v>
      </c>
      <c r="F1191" s="5" t="s">
        <v>71</v>
      </c>
      <c r="G1191" s="6" t="s">
        <v>1175</v>
      </c>
      <c r="H1191" s="7">
        <v>45140.0</v>
      </c>
      <c r="I1191" s="8">
        <f t="shared" si="1"/>
        <v>2</v>
      </c>
      <c r="J1191" s="9">
        <f t="shared" si="2"/>
        <v>8</v>
      </c>
      <c r="K1191" s="9">
        <f t="shared" si="3"/>
        <v>2023</v>
      </c>
      <c r="M1191" s="25">
        <f>IFERROR(__xludf.DUMMYFUNCTION("""COMPUTED_VALUE"""),45140.0)</f>
        <v>45140</v>
      </c>
    </row>
    <row r="1192">
      <c r="A1192" s="10" t="s">
        <v>741</v>
      </c>
      <c r="B1192" s="3" t="s">
        <v>1117</v>
      </c>
      <c r="C1192" s="10" t="s">
        <v>1167</v>
      </c>
      <c r="D1192" s="3" t="s">
        <v>1168</v>
      </c>
      <c r="E1192" s="4" t="s">
        <v>3</v>
      </c>
      <c r="F1192" s="5" t="s">
        <v>96</v>
      </c>
      <c r="G1192" s="6" t="s">
        <v>892</v>
      </c>
      <c r="H1192" s="7">
        <v>45155.0</v>
      </c>
      <c r="I1192" s="8">
        <f t="shared" si="1"/>
        <v>17</v>
      </c>
      <c r="J1192" s="9">
        <f t="shared" si="2"/>
        <v>8</v>
      </c>
      <c r="K1192" s="9">
        <f t="shared" si="3"/>
        <v>2023</v>
      </c>
      <c r="M1192" s="25">
        <f>IFERROR(__xludf.DUMMYFUNCTION("""COMPUTED_VALUE"""),45155.0)</f>
        <v>45155</v>
      </c>
    </row>
    <row r="1193">
      <c r="A1193" s="10" t="s">
        <v>741</v>
      </c>
      <c r="B1193" s="3" t="s">
        <v>1117</v>
      </c>
      <c r="C1193" s="10" t="s">
        <v>1167</v>
      </c>
      <c r="D1193" s="3" t="s">
        <v>1168</v>
      </c>
      <c r="E1193" s="4" t="s">
        <v>3</v>
      </c>
      <c r="F1193" s="5" t="s">
        <v>15</v>
      </c>
      <c r="G1193" s="6" t="s">
        <v>1176</v>
      </c>
      <c r="H1193" s="7">
        <v>45180.0</v>
      </c>
      <c r="I1193" s="8">
        <f t="shared" si="1"/>
        <v>11</v>
      </c>
      <c r="J1193" s="9">
        <f t="shared" si="2"/>
        <v>9</v>
      </c>
      <c r="K1193" s="9">
        <f t="shared" si="3"/>
        <v>2023</v>
      </c>
      <c r="M1193" s="25">
        <f>IFERROR(__xludf.DUMMYFUNCTION("""COMPUTED_VALUE"""),45180.0)</f>
        <v>45180</v>
      </c>
    </row>
    <row r="1194">
      <c r="A1194" s="10" t="s">
        <v>741</v>
      </c>
      <c r="B1194" s="3" t="s">
        <v>1117</v>
      </c>
      <c r="C1194" s="10" t="s">
        <v>1167</v>
      </c>
      <c r="D1194" s="3" t="s">
        <v>1168</v>
      </c>
      <c r="E1194" s="4" t="s">
        <v>3</v>
      </c>
      <c r="F1194" s="5" t="s">
        <v>42</v>
      </c>
      <c r="G1194" s="6" t="s">
        <v>10</v>
      </c>
      <c r="H1194" s="7">
        <v>45214.0</v>
      </c>
      <c r="I1194" s="8">
        <f t="shared" si="1"/>
        <v>15</v>
      </c>
      <c r="J1194" s="9">
        <f t="shared" si="2"/>
        <v>10</v>
      </c>
      <c r="K1194" s="9">
        <f t="shared" si="3"/>
        <v>2023</v>
      </c>
      <c r="M1194" s="25">
        <f>IFERROR(__xludf.DUMMYFUNCTION("""COMPUTED_VALUE"""),45214.0)</f>
        <v>45214</v>
      </c>
    </row>
    <row r="1195">
      <c r="A1195" s="10" t="s">
        <v>741</v>
      </c>
      <c r="B1195" s="3" t="s">
        <v>1117</v>
      </c>
      <c r="C1195" s="10" t="s">
        <v>1167</v>
      </c>
      <c r="D1195" s="3" t="s">
        <v>1168</v>
      </c>
      <c r="E1195" s="4" t="s">
        <v>8</v>
      </c>
      <c r="F1195" s="5" t="s">
        <v>6</v>
      </c>
      <c r="G1195" s="6" t="s">
        <v>1177</v>
      </c>
      <c r="H1195" s="7">
        <v>45232.0</v>
      </c>
      <c r="I1195" s="8">
        <f t="shared" si="1"/>
        <v>2</v>
      </c>
      <c r="J1195" s="9">
        <f t="shared" si="2"/>
        <v>11</v>
      </c>
      <c r="K1195" s="9">
        <f t="shared" si="3"/>
        <v>2023</v>
      </c>
      <c r="M1195" s="25">
        <f>IFERROR(__xludf.DUMMYFUNCTION("""COMPUTED_VALUE"""),45232.0)</f>
        <v>45232</v>
      </c>
    </row>
    <row r="1196">
      <c r="A1196" s="10" t="s">
        <v>741</v>
      </c>
      <c r="B1196" s="3" t="s">
        <v>1117</v>
      </c>
      <c r="C1196" s="10" t="s">
        <v>1167</v>
      </c>
      <c r="D1196" s="3" t="s">
        <v>1168</v>
      </c>
      <c r="E1196" s="4" t="s">
        <v>3</v>
      </c>
      <c r="F1196" s="5" t="s">
        <v>15</v>
      </c>
      <c r="G1196" s="6" t="s">
        <v>1178</v>
      </c>
      <c r="H1196" s="7">
        <v>45238.0</v>
      </c>
      <c r="I1196" s="8">
        <f t="shared" si="1"/>
        <v>8</v>
      </c>
      <c r="J1196" s="9">
        <f t="shared" si="2"/>
        <v>11</v>
      </c>
      <c r="K1196" s="9">
        <f t="shared" si="3"/>
        <v>2023</v>
      </c>
      <c r="M1196" s="25">
        <f>IFERROR(__xludf.DUMMYFUNCTION("""COMPUTED_VALUE"""),45238.0)</f>
        <v>45238</v>
      </c>
    </row>
    <row r="1197">
      <c r="A1197" s="10" t="s">
        <v>741</v>
      </c>
      <c r="B1197" s="3" t="s">
        <v>1117</v>
      </c>
      <c r="C1197" s="10" t="s">
        <v>1167</v>
      </c>
      <c r="D1197" s="3" t="s">
        <v>1168</v>
      </c>
      <c r="E1197" s="4" t="s">
        <v>8</v>
      </c>
      <c r="F1197" s="5" t="s">
        <v>23</v>
      </c>
      <c r="G1197" s="6" t="s">
        <v>1179</v>
      </c>
      <c r="H1197" s="7">
        <v>45243.0</v>
      </c>
      <c r="I1197" s="8">
        <f t="shared" si="1"/>
        <v>13</v>
      </c>
      <c r="J1197" s="9">
        <f t="shared" si="2"/>
        <v>11</v>
      </c>
      <c r="K1197" s="9">
        <f t="shared" si="3"/>
        <v>2023</v>
      </c>
      <c r="M1197" s="25">
        <f>IFERROR(__xludf.DUMMYFUNCTION("""COMPUTED_VALUE"""),45243.0)</f>
        <v>45243</v>
      </c>
    </row>
    <row r="1198">
      <c r="A1198" s="10" t="s">
        <v>741</v>
      </c>
      <c r="B1198" s="3" t="s">
        <v>1117</v>
      </c>
      <c r="C1198" s="10" t="s">
        <v>1167</v>
      </c>
      <c r="D1198" s="3" t="s">
        <v>1168</v>
      </c>
      <c r="E1198" s="4" t="s">
        <v>8</v>
      </c>
      <c r="F1198" s="5" t="s">
        <v>120</v>
      </c>
      <c r="G1198" s="6" t="s">
        <v>1180</v>
      </c>
      <c r="H1198" s="7">
        <v>45253.0</v>
      </c>
      <c r="I1198" s="8">
        <f t="shared" si="1"/>
        <v>23</v>
      </c>
      <c r="J1198" s="9">
        <f t="shared" si="2"/>
        <v>11</v>
      </c>
      <c r="K1198" s="9">
        <f t="shared" si="3"/>
        <v>2023</v>
      </c>
      <c r="M1198" s="25">
        <f>IFERROR(__xludf.DUMMYFUNCTION("""COMPUTED_VALUE"""),45253.0)</f>
        <v>45253</v>
      </c>
    </row>
    <row r="1199">
      <c r="A1199" s="10" t="s">
        <v>741</v>
      </c>
      <c r="B1199" s="3" t="s">
        <v>1117</v>
      </c>
      <c r="C1199" s="10" t="s">
        <v>1167</v>
      </c>
      <c r="D1199" s="3" t="s">
        <v>1168</v>
      </c>
      <c r="E1199" s="4" t="s">
        <v>8</v>
      </c>
      <c r="F1199" s="5" t="s">
        <v>17</v>
      </c>
      <c r="G1199" s="6" t="s">
        <v>975</v>
      </c>
      <c r="H1199" s="7">
        <v>45273.0</v>
      </c>
      <c r="I1199" s="8">
        <f t="shared" si="1"/>
        <v>13</v>
      </c>
      <c r="J1199" s="9">
        <f t="shared" si="2"/>
        <v>12</v>
      </c>
      <c r="K1199" s="9">
        <f t="shared" si="3"/>
        <v>2023</v>
      </c>
      <c r="M1199" s="25">
        <f>IFERROR(__xludf.DUMMYFUNCTION("""COMPUTED_VALUE"""),45273.0)</f>
        <v>45273</v>
      </c>
    </row>
    <row r="1200">
      <c r="A1200" s="10" t="s">
        <v>741</v>
      </c>
      <c r="B1200" s="3" t="s">
        <v>1117</v>
      </c>
      <c r="C1200" s="10" t="s">
        <v>1167</v>
      </c>
      <c r="D1200" s="3" t="s">
        <v>1168</v>
      </c>
      <c r="E1200" s="4" t="s">
        <v>3</v>
      </c>
      <c r="F1200" s="5" t="s">
        <v>15</v>
      </c>
      <c r="G1200" s="6" t="s">
        <v>349</v>
      </c>
      <c r="H1200" s="7">
        <v>45286.0</v>
      </c>
      <c r="I1200" s="8">
        <f t="shared" si="1"/>
        <v>26</v>
      </c>
      <c r="J1200" s="9">
        <f t="shared" si="2"/>
        <v>12</v>
      </c>
      <c r="K1200" s="9">
        <f t="shared" si="3"/>
        <v>2023</v>
      </c>
      <c r="M1200" s="25">
        <f>IFERROR(__xludf.DUMMYFUNCTION("""COMPUTED_VALUE"""),45286.0)</f>
        <v>45286</v>
      </c>
    </row>
    <row r="1201">
      <c r="A1201" s="10" t="s">
        <v>1131</v>
      </c>
      <c r="B1201" s="3" t="s">
        <v>1132</v>
      </c>
      <c r="C1201" s="10" t="s">
        <v>1181</v>
      </c>
      <c r="D1201" s="3" t="s">
        <v>1182</v>
      </c>
      <c r="E1201" s="4" t="s">
        <v>8</v>
      </c>
      <c r="F1201" s="5" t="s">
        <v>120</v>
      </c>
      <c r="G1201" s="6" t="s">
        <v>1183</v>
      </c>
      <c r="H1201" s="7">
        <v>44932.0</v>
      </c>
      <c r="I1201" s="8">
        <f t="shared" si="1"/>
        <v>6</v>
      </c>
      <c r="J1201" s="9">
        <f t="shared" si="2"/>
        <v>1</v>
      </c>
      <c r="K1201" s="9">
        <f t="shared" si="3"/>
        <v>2023</v>
      </c>
      <c r="M1201" s="25">
        <f>IFERROR(__xludf.DUMMYFUNCTION("""COMPUTED_VALUE"""),44932.0)</f>
        <v>44932</v>
      </c>
    </row>
    <row r="1202">
      <c r="A1202" s="10" t="s">
        <v>1131</v>
      </c>
      <c r="B1202" s="3" t="s">
        <v>1132</v>
      </c>
      <c r="C1202" s="10" t="s">
        <v>1181</v>
      </c>
      <c r="D1202" s="3" t="s">
        <v>1182</v>
      </c>
      <c r="E1202" s="4" t="s">
        <v>8</v>
      </c>
      <c r="F1202" s="5" t="s">
        <v>6</v>
      </c>
      <c r="G1202" s="6" t="s">
        <v>1184</v>
      </c>
      <c r="H1202" s="7">
        <v>44946.0</v>
      </c>
      <c r="I1202" s="8">
        <f t="shared" si="1"/>
        <v>20</v>
      </c>
      <c r="J1202" s="9">
        <f t="shared" si="2"/>
        <v>1</v>
      </c>
      <c r="K1202" s="9">
        <f t="shared" si="3"/>
        <v>2023</v>
      </c>
      <c r="M1202" s="25">
        <f>IFERROR(__xludf.DUMMYFUNCTION("""COMPUTED_VALUE"""),44946.0)</f>
        <v>44946</v>
      </c>
    </row>
    <row r="1203">
      <c r="A1203" s="10" t="s">
        <v>1131</v>
      </c>
      <c r="B1203" s="3" t="s">
        <v>1132</v>
      </c>
      <c r="C1203" s="10" t="s">
        <v>1181</v>
      </c>
      <c r="D1203" s="3" t="s">
        <v>1182</v>
      </c>
      <c r="E1203" s="4" t="s">
        <v>3</v>
      </c>
      <c r="F1203" s="5" t="s">
        <v>120</v>
      </c>
      <c r="G1203" s="6" t="s">
        <v>239</v>
      </c>
      <c r="H1203" s="7">
        <v>44971.0</v>
      </c>
      <c r="I1203" s="8">
        <f t="shared" si="1"/>
        <v>14</v>
      </c>
      <c r="J1203" s="9">
        <f t="shared" si="2"/>
        <v>2</v>
      </c>
      <c r="K1203" s="9">
        <f t="shared" si="3"/>
        <v>2023</v>
      </c>
      <c r="M1203" s="25">
        <f>IFERROR(__xludf.DUMMYFUNCTION("""COMPUTED_VALUE"""),44971.0)</f>
        <v>44971</v>
      </c>
    </row>
    <row r="1204">
      <c r="A1204" s="10" t="s">
        <v>1131</v>
      </c>
      <c r="B1204" s="3" t="s">
        <v>1132</v>
      </c>
      <c r="C1204" s="10" t="s">
        <v>1181</v>
      </c>
      <c r="D1204" s="3" t="s">
        <v>1182</v>
      </c>
      <c r="E1204" s="4" t="s">
        <v>3</v>
      </c>
      <c r="F1204" s="5" t="s">
        <v>42</v>
      </c>
      <c r="G1204" s="6" t="s">
        <v>1185</v>
      </c>
      <c r="H1204" s="7">
        <v>44971.0</v>
      </c>
      <c r="I1204" s="8">
        <f t="shared" si="1"/>
        <v>14</v>
      </c>
      <c r="J1204" s="9">
        <f t="shared" si="2"/>
        <v>2</v>
      </c>
      <c r="K1204" s="9">
        <f t="shared" si="3"/>
        <v>2023</v>
      </c>
      <c r="M1204" s="25">
        <f>IFERROR(__xludf.DUMMYFUNCTION("""COMPUTED_VALUE"""),44971.0)</f>
        <v>44971</v>
      </c>
    </row>
    <row r="1205">
      <c r="A1205" s="10" t="s">
        <v>1131</v>
      </c>
      <c r="B1205" s="3" t="s">
        <v>1132</v>
      </c>
      <c r="C1205" s="10" t="s">
        <v>1181</v>
      </c>
      <c r="D1205" s="3" t="s">
        <v>1182</v>
      </c>
      <c r="E1205" s="4" t="s">
        <v>3</v>
      </c>
      <c r="F1205" s="5" t="s">
        <v>4</v>
      </c>
      <c r="G1205" s="6" t="s">
        <v>1186</v>
      </c>
      <c r="H1205" s="7">
        <v>44985.0</v>
      </c>
      <c r="I1205" s="8">
        <f t="shared" si="1"/>
        <v>28</v>
      </c>
      <c r="J1205" s="9">
        <f t="shared" si="2"/>
        <v>2</v>
      </c>
      <c r="K1205" s="9">
        <f t="shared" si="3"/>
        <v>2023</v>
      </c>
      <c r="M1205" s="25">
        <f>IFERROR(__xludf.DUMMYFUNCTION("""COMPUTED_VALUE"""),44985.0)</f>
        <v>44985</v>
      </c>
    </row>
    <row r="1206">
      <c r="A1206" s="10" t="s">
        <v>1131</v>
      </c>
      <c r="B1206" s="3" t="s">
        <v>1132</v>
      </c>
      <c r="C1206" s="10" t="s">
        <v>1181</v>
      </c>
      <c r="D1206" s="3" t="s">
        <v>1182</v>
      </c>
      <c r="E1206" s="4" t="s">
        <v>8</v>
      </c>
      <c r="F1206" s="5" t="s">
        <v>35</v>
      </c>
      <c r="G1206" s="6" t="s">
        <v>1187</v>
      </c>
      <c r="H1206" s="7">
        <v>44997.0</v>
      </c>
      <c r="I1206" s="8">
        <f t="shared" si="1"/>
        <v>12</v>
      </c>
      <c r="J1206" s="9">
        <f t="shared" si="2"/>
        <v>3</v>
      </c>
      <c r="K1206" s="9">
        <f t="shared" si="3"/>
        <v>2023</v>
      </c>
      <c r="M1206" s="25">
        <f>IFERROR(__xludf.DUMMYFUNCTION("""COMPUTED_VALUE"""),44997.0)</f>
        <v>44997</v>
      </c>
    </row>
    <row r="1207">
      <c r="A1207" s="10" t="s">
        <v>1131</v>
      </c>
      <c r="B1207" s="3" t="s">
        <v>1132</v>
      </c>
      <c r="C1207" s="10" t="s">
        <v>1181</v>
      </c>
      <c r="D1207" s="3" t="s">
        <v>1182</v>
      </c>
      <c r="E1207" s="4" t="s">
        <v>8</v>
      </c>
      <c r="F1207" s="5" t="s">
        <v>19</v>
      </c>
      <c r="G1207" s="6" t="s">
        <v>1188</v>
      </c>
      <c r="H1207" s="7">
        <v>45000.0</v>
      </c>
      <c r="I1207" s="8">
        <f t="shared" si="1"/>
        <v>15</v>
      </c>
      <c r="J1207" s="9">
        <f t="shared" si="2"/>
        <v>3</v>
      </c>
      <c r="K1207" s="9">
        <f t="shared" si="3"/>
        <v>2023</v>
      </c>
      <c r="M1207" s="25">
        <f>IFERROR(__xludf.DUMMYFUNCTION("""COMPUTED_VALUE"""),45000.0)</f>
        <v>45000</v>
      </c>
    </row>
    <row r="1208">
      <c r="A1208" s="10" t="s">
        <v>1131</v>
      </c>
      <c r="B1208" s="3" t="s">
        <v>1132</v>
      </c>
      <c r="C1208" s="10" t="s">
        <v>1181</v>
      </c>
      <c r="D1208" s="3" t="s">
        <v>1182</v>
      </c>
      <c r="E1208" s="4" t="s">
        <v>3</v>
      </c>
      <c r="F1208" s="5" t="s">
        <v>6</v>
      </c>
      <c r="G1208" s="6" t="s">
        <v>1189</v>
      </c>
      <c r="H1208" s="7">
        <v>45005.0</v>
      </c>
      <c r="I1208" s="8">
        <f t="shared" si="1"/>
        <v>20</v>
      </c>
      <c r="J1208" s="9">
        <f t="shared" si="2"/>
        <v>3</v>
      </c>
      <c r="K1208" s="9">
        <f t="shared" si="3"/>
        <v>2023</v>
      </c>
      <c r="M1208" s="25">
        <f>IFERROR(__xludf.DUMMYFUNCTION("""COMPUTED_VALUE"""),45005.0)</f>
        <v>45005</v>
      </c>
    </row>
    <row r="1209">
      <c r="A1209" s="10" t="s">
        <v>1131</v>
      </c>
      <c r="B1209" s="3" t="s">
        <v>1132</v>
      </c>
      <c r="C1209" s="10" t="s">
        <v>1181</v>
      </c>
      <c r="D1209" s="3" t="s">
        <v>1182</v>
      </c>
      <c r="E1209" s="4" t="s">
        <v>3</v>
      </c>
      <c r="F1209" s="5" t="s">
        <v>6</v>
      </c>
      <c r="G1209" s="6" t="s">
        <v>1190</v>
      </c>
      <c r="H1209" s="7">
        <v>45033.0</v>
      </c>
      <c r="I1209" s="8">
        <f t="shared" si="1"/>
        <v>17</v>
      </c>
      <c r="J1209" s="9">
        <f t="shared" si="2"/>
        <v>4</v>
      </c>
      <c r="K1209" s="9">
        <f t="shared" si="3"/>
        <v>2023</v>
      </c>
      <c r="M1209" s="25">
        <f>IFERROR(__xludf.DUMMYFUNCTION("""COMPUTED_VALUE"""),45033.0)</f>
        <v>45033</v>
      </c>
    </row>
    <row r="1210">
      <c r="A1210" s="10" t="s">
        <v>1131</v>
      </c>
      <c r="B1210" s="3" t="s">
        <v>1132</v>
      </c>
      <c r="C1210" s="10" t="s">
        <v>1181</v>
      </c>
      <c r="D1210" s="3" t="s">
        <v>1182</v>
      </c>
      <c r="E1210" s="4" t="s">
        <v>8</v>
      </c>
      <c r="F1210" s="5" t="s">
        <v>11</v>
      </c>
      <c r="G1210" s="6" t="s">
        <v>1191</v>
      </c>
      <c r="H1210" s="7">
        <v>45110.0</v>
      </c>
      <c r="I1210" s="8">
        <f t="shared" si="1"/>
        <v>3</v>
      </c>
      <c r="J1210" s="9">
        <f t="shared" si="2"/>
        <v>7</v>
      </c>
      <c r="K1210" s="9">
        <f t="shared" si="3"/>
        <v>2023</v>
      </c>
      <c r="M1210" s="25">
        <f>IFERROR(__xludf.DUMMYFUNCTION("""COMPUTED_VALUE"""),45110.0)</f>
        <v>45110</v>
      </c>
    </row>
    <row r="1211">
      <c r="A1211" s="10" t="s">
        <v>1131</v>
      </c>
      <c r="B1211" s="3" t="s">
        <v>1132</v>
      </c>
      <c r="C1211" s="10" t="s">
        <v>1181</v>
      </c>
      <c r="D1211" s="3" t="s">
        <v>1182</v>
      </c>
      <c r="E1211" s="4" t="s">
        <v>8</v>
      </c>
      <c r="F1211" s="5" t="s">
        <v>28</v>
      </c>
      <c r="G1211" s="6" t="s">
        <v>1192</v>
      </c>
      <c r="H1211" s="7">
        <v>45127.0</v>
      </c>
      <c r="I1211" s="8">
        <f t="shared" si="1"/>
        <v>20</v>
      </c>
      <c r="J1211" s="9">
        <f t="shared" si="2"/>
        <v>7</v>
      </c>
      <c r="K1211" s="9">
        <f t="shared" si="3"/>
        <v>2023</v>
      </c>
      <c r="M1211" s="25">
        <f>IFERROR(__xludf.DUMMYFUNCTION("""COMPUTED_VALUE"""),45127.0)</f>
        <v>45127</v>
      </c>
    </row>
    <row r="1212">
      <c r="A1212" s="10" t="s">
        <v>1131</v>
      </c>
      <c r="B1212" s="3" t="s">
        <v>1132</v>
      </c>
      <c r="C1212" s="10" t="s">
        <v>1181</v>
      </c>
      <c r="D1212" s="3" t="s">
        <v>1182</v>
      </c>
      <c r="E1212" s="4" t="s">
        <v>3</v>
      </c>
      <c r="F1212" s="5" t="s">
        <v>45</v>
      </c>
      <c r="G1212" s="6" t="s">
        <v>1193</v>
      </c>
      <c r="H1212" s="7">
        <v>45131.0</v>
      </c>
      <c r="I1212" s="8">
        <f t="shared" si="1"/>
        <v>24</v>
      </c>
      <c r="J1212" s="9">
        <f t="shared" si="2"/>
        <v>7</v>
      </c>
      <c r="K1212" s="9">
        <f t="shared" si="3"/>
        <v>2023</v>
      </c>
      <c r="M1212" s="25">
        <f>IFERROR(__xludf.DUMMYFUNCTION("""COMPUTED_VALUE"""),45131.0)</f>
        <v>45131</v>
      </c>
    </row>
    <row r="1213">
      <c r="A1213" s="10" t="s">
        <v>1131</v>
      </c>
      <c r="B1213" s="3" t="s">
        <v>1132</v>
      </c>
      <c r="C1213" s="10" t="s">
        <v>1181</v>
      </c>
      <c r="D1213" s="3" t="s">
        <v>1182</v>
      </c>
      <c r="E1213" s="4" t="s">
        <v>3</v>
      </c>
      <c r="F1213" s="5" t="s">
        <v>9</v>
      </c>
      <c r="G1213" s="6" t="s">
        <v>107</v>
      </c>
      <c r="H1213" s="7">
        <v>45151.0</v>
      </c>
      <c r="I1213" s="8">
        <f t="shared" si="1"/>
        <v>13</v>
      </c>
      <c r="J1213" s="9">
        <f t="shared" si="2"/>
        <v>8</v>
      </c>
      <c r="K1213" s="9">
        <f t="shared" si="3"/>
        <v>2023</v>
      </c>
      <c r="M1213" s="25">
        <f>IFERROR(__xludf.DUMMYFUNCTION("""COMPUTED_VALUE"""),45151.0)</f>
        <v>45151</v>
      </c>
    </row>
    <row r="1214">
      <c r="A1214" s="10" t="s">
        <v>1131</v>
      </c>
      <c r="B1214" s="3" t="s">
        <v>1132</v>
      </c>
      <c r="C1214" s="10" t="s">
        <v>1181</v>
      </c>
      <c r="D1214" s="3" t="s">
        <v>1182</v>
      </c>
      <c r="E1214" s="4" t="s">
        <v>3</v>
      </c>
      <c r="F1214" s="5" t="s">
        <v>39</v>
      </c>
      <c r="G1214" s="6" t="s">
        <v>1194</v>
      </c>
      <c r="H1214" s="7">
        <v>45170.0</v>
      </c>
      <c r="I1214" s="8">
        <f t="shared" si="1"/>
        <v>1</v>
      </c>
      <c r="J1214" s="9">
        <f t="shared" si="2"/>
        <v>9</v>
      </c>
      <c r="K1214" s="9">
        <f t="shared" si="3"/>
        <v>2023</v>
      </c>
      <c r="M1214" s="25">
        <f>IFERROR(__xludf.DUMMYFUNCTION("""COMPUTED_VALUE"""),45170.0)</f>
        <v>45170</v>
      </c>
    </row>
    <row r="1215">
      <c r="A1215" s="10" t="s">
        <v>1131</v>
      </c>
      <c r="B1215" s="3" t="s">
        <v>1132</v>
      </c>
      <c r="C1215" s="10" t="s">
        <v>1181</v>
      </c>
      <c r="D1215" s="3" t="s">
        <v>1182</v>
      </c>
      <c r="E1215" s="4" t="s">
        <v>8</v>
      </c>
      <c r="F1215" s="5" t="s">
        <v>15</v>
      </c>
      <c r="G1215" s="6" t="s">
        <v>1195</v>
      </c>
      <c r="H1215" s="7">
        <v>45191.0</v>
      </c>
      <c r="I1215" s="8">
        <f t="shared" si="1"/>
        <v>22</v>
      </c>
      <c r="J1215" s="9">
        <f t="shared" si="2"/>
        <v>9</v>
      </c>
      <c r="K1215" s="9">
        <f t="shared" si="3"/>
        <v>2023</v>
      </c>
      <c r="M1215" s="25">
        <f>IFERROR(__xludf.DUMMYFUNCTION("""COMPUTED_VALUE"""),45191.0)</f>
        <v>45191</v>
      </c>
    </row>
    <row r="1216">
      <c r="A1216" s="10" t="s">
        <v>1131</v>
      </c>
      <c r="B1216" s="3" t="s">
        <v>1132</v>
      </c>
      <c r="C1216" s="10" t="s">
        <v>1181</v>
      </c>
      <c r="D1216" s="3" t="s">
        <v>1182</v>
      </c>
      <c r="E1216" s="4" t="s">
        <v>8</v>
      </c>
      <c r="F1216" s="5" t="s">
        <v>17</v>
      </c>
      <c r="G1216" s="6" t="s">
        <v>1196</v>
      </c>
      <c r="H1216" s="7">
        <v>45225.0</v>
      </c>
      <c r="I1216" s="8">
        <f t="shared" si="1"/>
        <v>26</v>
      </c>
      <c r="J1216" s="9">
        <f t="shared" si="2"/>
        <v>10</v>
      </c>
      <c r="K1216" s="9">
        <f t="shared" si="3"/>
        <v>2023</v>
      </c>
      <c r="M1216" s="25">
        <f>IFERROR(__xludf.DUMMYFUNCTION("""COMPUTED_VALUE"""),45225.0)</f>
        <v>45225</v>
      </c>
    </row>
    <row r="1217">
      <c r="A1217" s="10" t="s">
        <v>1131</v>
      </c>
      <c r="B1217" s="3" t="s">
        <v>1132</v>
      </c>
      <c r="C1217" s="10" t="s">
        <v>1181</v>
      </c>
      <c r="D1217" s="3" t="s">
        <v>1182</v>
      </c>
      <c r="E1217" s="4" t="s">
        <v>8</v>
      </c>
      <c r="F1217" s="5" t="s">
        <v>17</v>
      </c>
      <c r="G1217" s="6" t="s">
        <v>852</v>
      </c>
      <c r="H1217" s="7">
        <v>45243.0</v>
      </c>
      <c r="I1217" s="8">
        <f t="shared" si="1"/>
        <v>13</v>
      </c>
      <c r="J1217" s="9">
        <f t="shared" si="2"/>
        <v>11</v>
      </c>
      <c r="K1217" s="9">
        <f t="shared" si="3"/>
        <v>2023</v>
      </c>
      <c r="M1217" s="25">
        <f>IFERROR(__xludf.DUMMYFUNCTION("""COMPUTED_VALUE"""),45243.0)</f>
        <v>45243</v>
      </c>
    </row>
    <row r="1218">
      <c r="A1218" s="10" t="s">
        <v>1131</v>
      </c>
      <c r="B1218" s="3" t="s">
        <v>1132</v>
      </c>
      <c r="C1218" s="10" t="s">
        <v>1181</v>
      </c>
      <c r="D1218" s="3" t="s">
        <v>1182</v>
      </c>
      <c r="E1218" s="4" t="s">
        <v>3</v>
      </c>
      <c r="F1218" s="5" t="s">
        <v>120</v>
      </c>
      <c r="G1218" s="6" t="s">
        <v>1197</v>
      </c>
      <c r="H1218" s="7">
        <v>45246.0</v>
      </c>
      <c r="I1218" s="8">
        <f t="shared" si="1"/>
        <v>16</v>
      </c>
      <c r="J1218" s="9">
        <f t="shared" si="2"/>
        <v>11</v>
      </c>
      <c r="K1218" s="9">
        <f t="shared" si="3"/>
        <v>2023</v>
      </c>
      <c r="M1218" s="25">
        <f>IFERROR(__xludf.DUMMYFUNCTION("""COMPUTED_VALUE"""),45246.0)</f>
        <v>45246</v>
      </c>
    </row>
    <row r="1219">
      <c r="A1219" s="10" t="s">
        <v>1131</v>
      </c>
      <c r="B1219" s="3" t="s">
        <v>1132</v>
      </c>
      <c r="C1219" s="10" t="s">
        <v>1181</v>
      </c>
      <c r="D1219" s="3" t="s">
        <v>1182</v>
      </c>
      <c r="E1219" s="4" t="s">
        <v>3</v>
      </c>
      <c r="F1219" s="5" t="s">
        <v>42</v>
      </c>
      <c r="G1219" s="6" t="s">
        <v>606</v>
      </c>
      <c r="H1219" s="7">
        <v>45249.0</v>
      </c>
      <c r="I1219" s="8">
        <f t="shared" si="1"/>
        <v>19</v>
      </c>
      <c r="J1219" s="9">
        <f t="shared" si="2"/>
        <v>11</v>
      </c>
      <c r="K1219" s="9">
        <f t="shared" si="3"/>
        <v>2023</v>
      </c>
      <c r="M1219" s="25">
        <f>IFERROR(__xludf.DUMMYFUNCTION("""COMPUTED_VALUE"""),45249.0)</f>
        <v>45249</v>
      </c>
    </row>
    <row r="1220">
      <c r="A1220" s="10" t="s">
        <v>1131</v>
      </c>
      <c r="B1220" s="3" t="s">
        <v>1132</v>
      </c>
      <c r="C1220" s="10" t="s">
        <v>1181</v>
      </c>
      <c r="D1220" s="3" t="s">
        <v>1182</v>
      </c>
      <c r="E1220" s="4" t="s">
        <v>3</v>
      </c>
      <c r="F1220" s="5" t="s">
        <v>76</v>
      </c>
      <c r="G1220" s="6" t="s">
        <v>1153</v>
      </c>
      <c r="H1220" s="7">
        <v>45268.0</v>
      </c>
      <c r="I1220" s="8">
        <f t="shared" si="1"/>
        <v>8</v>
      </c>
      <c r="J1220" s="9">
        <f t="shared" si="2"/>
        <v>12</v>
      </c>
      <c r="K1220" s="9">
        <f t="shared" si="3"/>
        <v>2023</v>
      </c>
      <c r="M1220" s="25">
        <f>IFERROR(__xludf.DUMMYFUNCTION("""COMPUTED_VALUE"""),45268.0)</f>
        <v>45268</v>
      </c>
    </row>
    <row r="1221">
      <c r="A1221" s="10" t="s">
        <v>1149</v>
      </c>
      <c r="B1221" s="3" t="s">
        <v>1150</v>
      </c>
      <c r="C1221" s="10" t="s">
        <v>1198</v>
      </c>
      <c r="D1221" s="3" t="s">
        <v>1199</v>
      </c>
      <c r="E1221" s="4" t="s">
        <v>8</v>
      </c>
      <c r="F1221" s="5" t="s">
        <v>17</v>
      </c>
      <c r="G1221" s="6" t="s">
        <v>343</v>
      </c>
      <c r="H1221" s="7">
        <v>44941.0</v>
      </c>
      <c r="I1221" s="8">
        <f t="shared" si="1"/>
        <v>15</v>
      </c>
      <c r="J1221" s="9">
        <f t="shared" si="2"/>
        <v>1</v>
      </c>
      <c r="K1221" s="9">
        <f t="shared" si="3"/>
        <v>2023</v>
      </c>
      <c r="M1221" s="25">
        <f>IFERROR(__xludf.DUMMYFUNCTION("""COMPUTED_VALUE"""),44941.0)</f>
        <v>44941</v>
      </c>
    </row>
    <row r="1222">
      <c r="A1222" s="10" t="s">
        <v>1149</v>
      </c>
      <c r="B1222" s="3" t="s">
        <v>1150</v>
      </c>
      <c r="C1222" s="10" t="s">
        <v>1198</v>
      </c>
      <c r="D1222" s="3" t="s">
        <v>1199</v>
      </c>
      <c r="E1222" s="4" t="s">
        <v>8</v>
      </c>
      <c r="F1222" s="5" t="s">
        <v>42</v>
      </c>
      <c r="G1222" s="6" t="s">
        <v>842</v>
      </c>
      <c r="H1222" s="7">
        <v>44942.0</v>
      </c>
      <c r="I1222" s="8">
        <f t="shared" si="1"/>
        <v>16</v>
      </c>
      <c r="J1222" s="9">
        <f t="shared" si="2"/>
        <v>1</v>
      </c>
      <c r="K1222" s="9">
        <f t="shared" si="3"/>
        <v>2023</v>
      </c>
      <c r="M1222" s="25">
        <f>IFERROR(__xludf.DUMMYFUNCTION("""COMPUTED_VALUE"""),44942.0)</f>
        <v>44942</v>
      </c>
    </row>
    <row r="1223">
      <c r="A1223" s="10" t="s">
        <v>1149</v>
      </c>
      <c r="B1223" s="3" t="s">
        <v>1150</v>
      </c>
      <c r="C1223" s="10" t="s">
        <v>1198</v>
      </c>
      <c r="D1223" s="3" t="s">
        <v>1199</v>
      </c>
      <c r="E1223" s="4" t="s">
        <v>3</v>
      </c>
      <c r="F1223" s="5" t="s">
        <v>13</v>
      </c>
      <c r="G1223" s="6" t="s">
        <v>1200</v>
      </c>
      <c r="H1223" s="7">
        <v>44946.0</v>
      </c>
      <c r="I1223" s="8">
        <f t="shared" si="1"/>
        <v>20</v>
      </c>
      <c r="J1223" s="9">
        <f t="shared" si="2"/>
        <v>1</v>
      </c>
      <c r="K1223" s="9">
        <f t="shared" si="3"/>
        <v>2023</v>
      </c>
      <c r="M1223" s="25">
        <f>IFERROR(__xludf.DUMMYFUNCTION("""COMPUTED_VALUE"""),44946.0)</f>
        <v>44946</v>
      </c>
    </row>
    <row r="1224">
      <c r="A1224" s="10" t="s">
        <v>1149</v>
      </c>
      <c r="B1224" s="3" t="s">
        <v>1150</v>
      </c>
      <c r="C1224" s="10" t="s">
        <v>1198</v>
      </c>
      <c r="D1224" s="3" t="s">
        <v>1199</v>
      </c>
      <c r="E1224" s="4" t="s">
        <v>3</v>
      </c>
      <c r="F1224" s="5" t="s">
        <v>76</v>
      </c>
      <c r="G1224" s="6" t="s">
        <v>1201</v>
      </c>
      <c r="H1224" s="7">
        <v>44952.0</v>
      </c>
      <c r="I1224" s="8">
        <f t="shared" si="1"/>
        <v>26</v>
      </c>
      <c r="J1224" s="9">
        <f t="shared" si="2"/>
        <v>1</v>
      </c>
      <c r="K1224" s="9">
        <f t="shared" si="3"/>
        <v>2023</v>
      </c>
      <c r="M1224" s="25">
        <f>IFERROR(__xludf.DUMMYFUNCTION("""COMPUTED_VALUE"""),44952.0)</f>
        <v>44952</v>
      </c>
    </row>
    <row r="1225">
      <c r="A1225" s="10" t="s">
        <v>1149</v>
      </c>
      <c r="B1225" s="3" t="s">
        <v>1150</v>
      </c>
      <c r="C1225" s="10" t="s">
        <v>1198</v>
      </c>
      <c r="D1225" s="3" t="s">
        <v>1199</v>
      </c>
      <c r="E1225" s="4" t="s">
        <v>8</v>
      </c>
      <c r="F1225" s="5" t="s">
        <v>23</v>
      </c>
      <c r="G1225" s="6" t="s">
        <v>1202</v>
      </c>
      <c r="H1225" s="7">
        <v>45018.0</v>
      </c>
      <c r="I1225" s="8">
        <f t="shared" si="1"/>
        <v>2</v>
      </c>
      <c r="J1225" s="9">
        <f t="shared" si="2"/>
        <v>4</v>
      </c>
      <c r="K1225" s="9">
        <f t="shared" si="3"/>
        <v>2023</v>
      </c>
      <c r="M1225" s="25">
        <f>IFERROR(__xludf.DUMMYFUNCTION("""COMPUTED_VALUE"""),45018.0)</f>
        <v>45018</v>
      </c>
    </row>
    <row r="1226">
      <c r="A1226" s="10" t="s">
        <v>1149</v>
      </c>
      <c r="B1226" s="3" t="s">
        <v>1150</v>
      </c>
      <c r="C1226" s="10" t="s">
        <v>1198</v>
      </c>
      <c r="D1226" s="3" t="s">
        <v>1199</v>
      </c>
      <c r="E1226" s="4" t="s">
        <v>8</v>
      </c>
      <c r="F1226" s="5" t="s">
        <v>6</v>
      </c>
      <c r="G1226" s="6" t="s">
        <v>1203</v>
      </c>
      <c r="H1226" s="7">
        <v>45048.0</v>
      </c>
      <c r="I1226" s="8">
        <f t="shared" si="1"/>
        <v>2</v>
      </c>
      <c r="J1226" s="9">
        <f t="shared" si="2"/>
        <v>5</v>
      </c>
      <c r="K1226" s="9">
        <f t="shared" si="3"/>
        <v>2023</v>
      </c>
      <c r="M1226" s="25">
        <f>IFERROR(__xludf.DUMMYFUNCTION("""COMPUTED_VALUE"""),45048.0)</f>
        <v>45048</v>
      </c>
    </row>
    <row r="1227">
      <c r="A1227" s="10" t="s">
        <v>1149</v>
      </c>
      <c r="B1227" s="3" t="s">
        <v>1150</v>
      </c>
      <c r="C1227" s="10" t="s">
        <v>1198</v>
      </c>
      <c r="D1227" s="3" t="s">
        <v>1199</v>
      </c>
      <c r="E1227" s="4" t="s">
        <v>3</v>
      </c>
      <c r="F1227" s="5" t="s">
        <v>35</v>
      </c>
      <c r="G1227" s="6" t="s">
        <v>1204</v>
      </c>
      <c r="H1227" s="7">
        <v>45049.0</v>
      </c>
      <c r="I1227" s="8">
        <f t="shared" si="1"/>
        <v>3</v>
      </c>
      <c r="J1227" s="9">
        <f t="shared" si="2"/>
        <v>5</v>
      </c>
      <c r="K1227" s="9">
        <f t="shared" si="3"/>
        <v>2023</v>
      </c>
      <c r="M1227" s="25">
        <f>IFERROR(__xludf.DUMMYFUNCTION("""COMPUTED_VALUE"""),45049.0)</f>
        <v>45049</v>
      </c>
    </row>
    <row r="1228">
      <c r="A1228" s="10" t="s">
        <v>1149</v>
      </c>
      <c r="B1228" s="3" t="s">
        <v>1150</v>
      </c>
      <c r="C1228" s="10" t="s">
        <v>1198</v>
      </c>
      <c r="D1228" s="3" t="s">
        <v>1199</v>
      </c>
      <c r="E1228" s="4" t="s">
        <v>8</v>
      </c>
      <c r="F1228" s="5" t="s">
        <v>51</v>
      </c>
      <c r="G1228" s="6" t="s">
        <v>1205</v>
      </c>
      <c r="H1228" s="7">
        <v>45062.0</v>
      </c>
      <c r="I1228" s="8">
        <f t="shared" si="1"/>
        <v>16</v>
      </c>
      <c r="J1228" s="9">
        <f t="shared" si="2"/>
        <v>5</v>
      </c>
      <c r="K1228" s="9">
        <f t="shared" si="3"/>
        <v>2023</v>
      </c>
      <c r="M1228" s="25">
        <f>IFERROR(__xludf.DUMMYFUNCTION("""COMPUTED_VALUE"""),45062.0)</f>
        <v>45062</v>
      </c>
    </row>
    <row r="1229">
      <c r="A1229" s="10" t="s">
        <v>1149</v>
      </c>
      <c r="B1229" s="3" t="s">
        <v>1150</v>
      </c>
      <c r="C1229" s="10" t="s">
        <v>1198</v>
      </c>
      <c r="D1229" s="3" t="s">
        <v>1199</v>
      </c>
      <c r="E1229" s="4" t="s">
        <v>3</v>
      </c>
      <c r="F1229" s="5" t="s">
        <v>71</v>
      </c>
      <c r="G1229" s="6" t="s">
        <v>1206</v>
      </c>
      <c r="H1229" s="7">
        <v>45065.0</v>
      </c>
      <c r="I1229" s="8">
        <f t="shared" si="1"/>
        <v>19</v>
      </c>
      <c r="J1229" s="9">
        <f t="shared" si="2"/>
        <v>5</v>
      </c>
      <c r="K1229" s="9">
        <f t="shared" si="3"/>
        <v>2023</v>
      </c>
      <c r="M1229" s="25">
        <f>IFERROR(__xludf.DUMMYFUNCTION("""COMPUTED_VALUE"""),45065.0)</f>
        <v>45065</v>
      </c>
    </row>
    <row r="1230">
      <c r="A1230" s="10" t="s">
        <v>1149</v>
      </c>
      <c r="B1230" s="3" t="s">
        <v>1150</v>
      </c>
      <c r="C1230" s="10" t="s">
        <v>1198</v>
      </c>
      <c r="D1230" s="3" t="s">
        <v>1199</v>
      </c>
      <c r="E1230" s="4" t="s">
        <v>8</v>
      </c>
      <c r="F1230" s="5" t="s">
        <v>42</v>
      </c>
      <c r="G1230" s="6" t="s">
        <v>1207</v>
      </c>
      <c r="H1230" s="7">
        <v>45083.0</v>
      </c>
      <c r="I1230" s="8">
        <f t="shared" si="1"/>
        <v>6</v>
      </c>
      <c r="J1230" s="9">
        <f t="shared" si="2"/>
        <v>6</v>
      </c>
      <c r="K1230" s="9">
        <f t="shared" si="3"/>
        <v>2023</v>
      </c>
      <c r="M1230" s="25">
        <f>IFERROR(__xludf.DUMMYFUNCTION("""COMPUTED_VALUE"""),45083.0)</f>
        <v>45083</v>
      </c>
    </row>
    <row r="1231">
      <c r="A1231" s="10" t="s">
        <v>1149</v>
      </c>
      <c r="B1231" s="3" t="s">
        <v>1150</v>
      </c>
      <c r="C1231" s="10" t="s">
        <v>1198</v>
      </c>
      <c r="D1231" s="3" t="s">
        <v>1199</v>
      </c>
      <c r="E1231" s="4" t="s">
        <v>8</v>
      </c>
      <c r="F1231" s="5" t="s">
        <v>15</v>
      </c>
      <c r="G1231" s="6" t="s">
        <v>452</v>
      </c>
      <c r="H1231" s="7">
        <v>45085.0</v>
      </c>
      <c r="I1231" s="8">
        <f t="shared" si="1"/>
        <v>8</v>
      </c>
      <c r="J1231" s="9">
        <f t="shared" si="2"/>
        <v>6</v>
      </c>
      <c r="K1231" s="9">
        <f t="shared" si="3"/>
        <v>2023</v>
      </c>
      <c r="M1231" s="25">
        <f>IFERROR(__xludf.DUMMYFUNCTION("""COMPUTED_VALUE"""),45085.0)</f>
        <v>45085</v>
      </c>
    </row>
    <row r="1232">
      <c r="A1232" s="10" t="s">
        <v>1149</v>
      </c>
      <c r="B1232" s="3" t="s">
        <v>1150</v>
      </c>
      <c r="C1232" s="10" t="s">
        <v>1198</v>
      </c>
      <c r="D1232" s="3" t="s">
        <v>1199</v>
      </c>
      <c r="E1232" s="4" t="s">
        <v>3</v>
      </c>
      <c r="F1232" s="5" t="s">
        <v>13</v>
      </c>
      <c r="G1232" s="6" t="s">
        <v>1208</v>
      </c>
      <c r="H1232" s="7">
        <v>45113.0</v>
      </c>
      <c r="I1232" s="8">
        <f t="shared" si="1"/>
        <v>6</v>
      </c>
      <c r="J1232" s="9">
        <f t="shared" si="2"/>
        <v>7</v>
      </c>
      <c r="K1232" s="9">
        <f t="shared" si="3"/>
        <v>2023</v>
      </c>
      <c r="M1232" s="25">
        <f>IFERROR(__xludf.DUMMYFUNCTION("""COMPUTED_VALUE"""),45113.0)</f>
        <v>45113</v>
      </c>
    </row>
    <row r="1233">
      <c r="A1233" s="10" t="s">
        <v>1149</v>
      </c>
      <c r="B1233" s="3" t="s">
        <v>1150</v>
      </c>
      <c r="C1233" s="10" t="s">
        <v>1198</v>
      </c>
      <c r="D1233" s="3" t="s">
        <v>1199</v>
      </c>
      <c r="E1233" s="4" t="s">
        <v>3</v>
      </c>
      <c r="F1233" s="5" t="s">
        <v>17</v>
      </c>
      <c r="G1233" s="6" t="s">
        <v>878</v>
      </c>
      <c r="H1233" s="7">
        <v>45114.0</v>
      </c>
      <c r="I1233" s="8">
        <f t="shared" si="1"/>
        <v>7</v>
      </c>
      <c r="J1233" s="9">
        <f t="shared" si="2"/>
        <v>7</v>
      </c>
      <c r="K1233" s="9">
        <f t="shared" si="3"/>
        <v>2023</v>
      </c>
      <c r="M1233" s="25">
        <f>IFERROR(__xludf.DUMMYFUNCTION("""COMPUTED_VALUE"""),45114.0)</f>
        <v>45114</v>
      </c>
    </row>
    <row r="1234">
      <c r="A1234" s="10" t="s">
        <v>1149</v>
      </c>
      <c r="B1234" s="3" t="s">
        <v>1150</v>
      </c>
      <c r="C1234" s="10" t="s">
        <v>1198</v>
      </c>
      <c r="D1234" s="3" t="s">
        <v>1199</v>
      </c>
      <c r="E1234" s="4" t="s">
        <v>3</v>
      </c>
      <c r="F1234" s="5" t="s">
        <v>35</v>
      </c>
      <c r="G1234" s="6" t="s">
        <v>1209</v>
      </c>
      <c r="H1234" s="7">
        <v>45117.0</v>
      </c>
      <c r="I1234" s="8">
        <f t="shared" si="1"/>
        <v>10</v>
      </c>
      <c r="J1234" s="9">
        <f t="shared" si="2"/>
        <v>7</v>
      </c>
      <c r="K1234" s="9">
        <f t="shared" si="3"/>
        <v>2023</v>
      </c>
      <c r="M1234" s="25">
        <f>IFERROR(__xludf.DUMMYFUNCTION("""COMPUTED_VALUE"""),45117.0)</f>
        <v>45117</v>
      </c>
    </row>
    <row r="1235">
      <c r="A1235" s="10" t="s">
        <v>1149</v>
      </c>
      <c r="B1235" s="3" t="s">
        <v>1150</v>
      </c>
      <c r="C1235" s="10" t="s">
        <v>1198</v>
      </c>
      <c r="D1235" s="3" t="s">
        <v>1199</v>
      </c>
      <c r="E1235" s="4" t="s">
        <v>3</v>
      </c>
      <c r="F1235" s="5" t="s">
        <v>19</v>
      </c>
      <c r="G1235" s="6" t="s">
        <v>1210</v>
      </c>
      <c r="H1235" s="7">
        <v>45152.0</v>
      </c>
      <c r="I1235" s="8">
        <f t="shared" si="1"/>
        <v>14</v>
      </c>
      <c r="J1235" s="9">
        <f t="shared" si="2"/>
        <v>8</v>
      </c>
      <c r="K1235" s="9">
        <f t="shared" si="3"/>
        <v>2023</v>
      </c>
      <c r="M1235" s="25">
        <f>IFERROR(__xludf.DUMMYFUNCTION("""COMPUTED_VALUE"""),45152.0)</f>
        <v>45152</v>
      </c>
    </row>
    <row r="1236">
      <c r="A1236" s="10" t="s">
        <v>1149</v>
      </c>
      <c r="B1236" s="3" t="s">
        <v>1150</v>
      </c>
      <c r="C1236" s="10" t="s">
        <v>1198</v>
      </c>
      <c r="D1236" s="3" t="s">
        <v>1199</v>
      </c>
      <c r="E1236" s="4" t="s">
        <v>8</v>
      </c>
      <c r="F1236" s="5" t="s">
        <v>120</v>
      </c>
      <c r="G1236" s="6" t="s">
        <v>1211</v>
      </c>
      <c r="H1236" s="7">
        <v>45160.0</v>
      </c>
      <c r="I1236" s="8">
        <f t="shared" si="1"/>
        <v>22</v>
      </c>
      <c r="J1236" s="9">
        <f t="shared" si="2"/>
        <v>8</v>
      </c>
      <c r="K1236" s="9">
        <f t="shared" si="3"/>
        <v>2023</v>
      </c>
      <c r="M1236" s="25">
        <f>IFERROR(__xludf.DUMMYFUNCTION("""COMPUTED_VALUE"""),45160.0)</f>
        <v>45160</v>
      </c>
    </row>
    <row r="1237">
      <c r="A1237" s="10" t="s">
        <v>1149</v>
      </c>
      <c r="B1237" s="3" t="s">
        <v>1150</v>
      </c>
      <c r="C1237" s="10" t="s">
        <v>1198</v>
      </c>
      <c r="D1237" s="3" t="s">
        <v>1199</v>
      </c>
      <c r="E1237" s="4" t="s">
        <v>8</v>
      </c>
      <c r="F1237" s="5" t="s">
        <v>9</v>
      </c>
      <c r="G1237" s="6" t="s">
        <v>552</v>
      </c>
      <c r="H1237" s="7">
        <v>45208.0</v>
      </c>
      <c r="I1237" s="8">
        <f t="shared" si="1"/>
        <v>9</v>
      </c>
      <c r="J1237" s="9">
        <f t="shared" si="2"/>
        <v>10</v>
      </c>
      <c r="K1237" s="9">
        <f t="shared" si="3"/>
        <v>2023</v>
      </c>
      <c r="M1237" s="25">
        <f>IFERROR(__xludf.DUMMYFUNCTION("""COMPUTED_VALUE"""),45208.0)</f>
        <v>45208</v>
      </c>
    </row>
    <row r="1238">
      <c r="A1238" s="10" t="s">
        <v>1149</v>
      </c>
      <c r="B1238" s="3" t="s">
        <v>1150</v>
      </c>
      <c r="C1238" s="10" t="s">
        <v>1198</v>
      </c>
      <c r="D1238" s="3" t="s">
        <v>1199</v>
      </c>
      <c r="E1238" s="4" t="s">
        <v>3</v>
      </c>
      <c r="F1238" s="5" t="s">
        <v>9</v>
      </c>
      <c r="G1238" s="6" t="s">
        <v>916</v>
      </c>
      <c r="H1238" s="7">
        <v>45231.0</v>
      </c>
      <c r="I1238" s="8">
        <f t="shared" si="1"/>
        <v>1</v>
      </c>
      <c r="J1238" s="9">
        <f t="shared" si="2"/>
        <v>11</v>
      </c>
      <c r="K1238" s="9">
        <f t="shared" si="3"/>
        <v>2023</v>
      </c>
      <c r="M1238" s="25">
        <f>IFERROR(__xludf.DUMMYFUNCTION("""COMPUTED_VALUE"""),45231.0)</f>
        <v>45231</v>
      </c>
    </row>
    <row r="1239">
      <c r="A1239" s="10" t="s">
        <v>1149</v>
      </c>
      <c r="B1239" s="3" t="s">
        <v>1150</v>
      </c>
      <c r="C1239" s="10" t="s">
        <v>1198</v>
      </c>
      <c r="D1239" s="3" t="s">
        <v>1199</v>
      </c>
      <c r="E1239" s="4" t="s">
        <v>8</v>
      </c>
      <c r="F1239" s="5" t="s">
        <v>42</v>
      </c>
      <c r="G1239" s="6" t="s">
        <v>1207</v>
      </c>
      <c r="H1239" s="7">
        <v>45249.0</v>
      </c>
      <c r="I1239" s="8">
        <f t="shared" si="1"/>
        <v>19</v>
      </c>
      <c r="J1239" s="9">
        <f t="shared" si="2"/>
        <v>11</v>
      </c>
      <c r="K1239" s="9">
        <f t="shared" si="3"/>
        <v>2023</v>
      </c>
      <c r="M1239" s="25">
        <f>IFERROR(__xludf.DUMMYFUNCTION("""COMPUTED_VALUE"""),45249.0)</f>
        <v>45249</v>
      </c>
    </row>
    <row r="1240">
      <c r="A1240" s="10" t="s">
        <v>1149</v>
      </c>
      <c r="B1240" s="3" t="s">
        <v>1150</v>
      </c>
      <c r="C1240" s="10" t="s">
        <v>1198</v>
      </c>
      <c r="D1240" s="3" t="s">
        <v>1199</v>
      </c>
      <c r="E1240" s="4" t="s">
        <v>8</v>
      </c>
      <c r="F1240" s="5" t="s">
        <v>11</v>
      </c>
      <c r="G1240" s="6" t="s">
        <v>1212</v>
      </c>
      <c r="H1240" s="7">
        <v>45256.0</v>
      </c>
      <c r="I1240" s="8">
        <f t="shared" si="1"/>
        <v>26</v>
      </c>
      <c r="J1240" s="9">
        <f t="shared" si="2"/>
        <v>11</v>
      </c>
      <c r="K1240" s="9">
        <f t="shared" si="3"/>
        <v>2023</v>
      </c>
      <c r="M1240" s="25">
        <f>IFERROR(__xludf.DUMMYFUNCTION("""COMPUTED_VALUE"""),45256.0)</f>
        <v>45256</v>
      </c>
    </row>
    <row r="1241">
      <c r="A1241" s="10" t="s">
        <v>1167</v>
      </c>
      <c r="B1241" s="3" t="s">
        <v>1168</v>
      </c>
      <c r="C1241" s="10" t="s">
        <v>1213</v>
      </c>
      <c r="D1241" s="3" t="s">
        <v>1214</v>
      </c>
      <c r="E1241" s="4" t="s">
        <v>3</v>
      </c>
      <c r="F1241" s="5" t="s">
        <v>35</v>
      </c>
      <c r="G1241" s="6" t="s">
        <v>1215</v>
      </c>
      <c r="H1241" s="7">
        <v>44970.0</v>
      </c>
      <c r="I1241" s="8">
        <f t="shared" si="1"/>
        <v>13</v>
      </c>
      <c r="J1241" s="9">
        <f t="shared" si="2"/>
        <v>2</v>
      </c>
      <c r="K1241" s="9">
        <f t="shared" si="3"/>
        <v>2023</v>
      </c>
      <c r="M1241" s="25">
        <f>IFERROR(__xludf.DUMMYFUNCTION("""COMPUTED_VALUE"""),44970.0)</f>
        <v>44970</v>
      </c>
    </row>
    <row r="1242">
      <c r="A1242" s="10" t="s">
        <v>1167</v>
      </c>
      <c r="B1242" s="3" t="s">
        <v>1168</v>
      </c>
      <c r="C1242" s="10" t="s">
        <v>1213</v>
      </c>
      <c r="D1242" s="3" t="s">
        <v>1214</v>
      </c>
      <c r="E1242" s="4" t="s">
        <v>8</v>
      </c>
      <c r="F1242" s="5" t="s">
        <v>15</v>
      </c>
      <c r="G1242" s="6" t="s">
        <v>202</v>
      </c>
      <c r="H1242" s="7">
        <v>44972.0</v>
      </c>
      <c r="I1242" s="8">
        <f t="shared" si="1"/>
        <v>15</v>
      </c>
      <c r="J1242" s="9">
        <f t="shared" si="2"/>
        <v>2</v>
      </c>
      <c r="K1242" s="9">
        <f t="shared" si="3"/>
        <v>2023</v>
      </c>
      <c r="M1242" s="25">
        <f>IFERROR(__xludf.DUMMYFUNCTION("""COMPUTED_VALUE"""),44972.0)</f>
        <v>44972</v>
      </c>
    </row>
    <row r="1243">
      <c r="A1243" s="10" t="s">
        <v>1167</v>
      </c>
      <c r="B1243" s="3" t="s">
        <v>1168</v>
      </c>
      <c r="C1243" s="10" t="s">
        <v>1213</v>
      </c>
      <c r="D1243" s="3" t="s">
        <v>1214</v>
      </c>
      <c r="E1243" s="4" t="s">
        <v>3</v>
      </c>
      <c r="F1243" s="5" t="s">
        <v>120</v>
      </c>
      <c r="G1243" s="6" t="s">
        <v>1216</v>
      </c>
      <c r="H1243" s="7">
        <v>44985.0</v>
      </c>
      <c r="I1243" s="8">
        <f t="shared" si="1"/>
        <v>28</v>
      </c>
      <c r="J1243" s="9">
        <f t="shared" si="2"/>
        <v>2</v>
      </c>
      <c r="K1243" s="9">
        <f t="shared" si="3"/>
        <v>2023</v>
      </c>
      <c r="M1243" s="25">
        <f>IFERROR(__xludf.DUMMYFUNCTION("""COMPUTED_VALUE"""),44985.0)</f>
        <v>44985</v>
      </c>
    </row>
    <row r="1244">
      <c r="A1244" s="10" t="s">
        <v>1167</v>
      </c>
      <c r="B1244" s="3" t="s">
        <v>1168</v>
      </c>
      <c r="C1244" s="10" t="s">
        <v>1213</v>
      </c>
      <c r="D1244" s="3" t="s">
        <v>1214</v>
      </c>
      <c r="E1244" s="4" t="s">
        <v>8</v>
      </c>
      <c r="F1244" s="5" t="s">
        <v>96</v>
      </c>
      <c r="G1244" s="6" t="s">
        <v>1217</v>
      </c>
      <c r="H1244" s="7">
        <v>45000.0</v>
      </c>
      <c r="I1244" s="8">
        <f t="shared" si="1"/>
        <v>15</v>
      </c>
      <c r="J1244" s="9">
        <f t="shared" si="2"/>
        <v>3</v>
      </c>
      <c r="K1244" s="9">
        <f t="shared" si="3"/>
        <v>2023</v>
      </c>
      <c r="M1244" s="25">
        <f>IFERROR(__xludf.DUMMYFUNCTION("""COMPUTED_VALUE"""),45000.0)</f>
        <v>45000</v>
      </c>
    </row>
    <row r="1245">
      <c r="A1245" s="10" t="s">
        <v>1167</v>
      </c>
      <c r="B1245" s="3" t="s">
        <v>1168</v>
      </c>
      <c r="C1245" s="10" t="s">
        <v>1213</v>
      </c>
      <c r="D1245" s="3" t="s">
        <v>1214</v>
      </c>
      <c r="E1245" s="4" t="s">
        <v>8</v>
      </c>
      <c r="F1245" s="5" t="s">
        <v>15</v>
      </c>
      <c r="G1245" s="6" t="s">
        <v>609</v>
      </c>
      <c r="H1245" s="7">
        <v>45023.0</v>
      </c>
      <c r="I1245" s="8">
        <f t="shared" si="1"/>
        <v>7</v>
      </c>
      <c r="J1245" s="9">
        <f t="shared" si="2"/>
        <v>4</v>
      </c>
      <c r="K1245" s="9">
        <f t="shared" si="3"/>
        <v>2023</v>
      </c>
      <c r="M1245" s="25">
        <f>IFERROR(__xludf.DUMMYFUNCTION("""COMPUTED_VALUE"""),45023.0)</f>
        <v>45023</v>
      </c>
    </row>
    <row r="1246">
      <c r="A1246" s="10" t="s">
        <v>1167</v>
      </c>
      <c r="B1246" s="3" t="s">
        <v>1168</v>
      </c>
      <c r="C1246" s="10" t="s">
        <v>1213</v>
      </c>
      <c r="D1246" s="3" t="s">
        <v>1214</v>
      </c>
      <c r="E1246" s="4" t="s">
        <v>8</v>
      </c>
      <c r="F1246" s="5" t="s">
        <v>15</v>
      </c>
      <c r="G1246" s="6" t="s">
        <v>1218</v>
      </c>
      <c r="H1246" s="7">
        <v>45025.0</v>
      </c>
      <c r="I1246" s="8">
        <f t="shared" si="1"/>
        <v>9</v>
      </c>
      <c r="J1246" s="9">
        <f t="shared" si="2"/>
        <v>4</v>
      </c>
      <c r="K1246" s="9">
        <f t="shared" si="3"/>
        <v>2023</v>
      </c>
      <c r="M1246" s="25">
        <f>IFERROR(__xludf.DUMMYFUNCTION("""COMPUTED_VALUE"""),45025.0)</f>
        <v>45025</v>
      </c>
    </row>
    <row r="1247">
      <c r="A1247" s="10" t="s">
        <v>1167</v>
      </c>
      <c r="B1247" s="3" t="s">
        <v>1168</v>
      </c>
      <c r="C1247" s="10" t="s">
        <v>1213</v>
      </c>
      <c r="D1247" s="3" t="s">
        <v>1214</v>
      </c>
      <c r="E1247" s="4" t="s">
        <v>8</v>
      </c>
      <c r="F1247" s="5" t="s">
        <v>23</v>
      </c>
      <c r="G1247" s="6" t="s">
        <v>1219</v>
      </c>
      <c r="H1247" s="7">
        <v>45028.0</v>
      </c>
      <c r="I1247" s="8">
        <f t="shared" si="1"/>
        <v>12</v>
      </c>
      <c r="J1247" s="9">
        <f t="shared" si="2"/>
        <v>4</v>
      </c>
      <c r="K1247" s="9">
        <f t="shared" si="3"/>
        <v>2023</v>
      </c>
      <c r="M1247" s="25">
        <f>IFERROR(__xludf.DUMMYFUNCTION("""COMPUTED_VALUE"""),45028.0)</f>
        <v>45028</v>
      </c>
    </row>
    <row r="1248">
      <c r="A1248" s="10" t="s">
        <v>1167</v>
      </c>
      <c r="B1248" s="3" t="s">
        <v>1168</v>
      </c>
      <c r="C1248" s="10" t="s">
        <v>1213</v>
      </c>
      <c r="D1248" s="3" t="s">
        <v>1214</v>
      </c>
      <c r="E1248" s="4" t="s">
        <v>3</v>
      </c>
      <c r="F1248" s="5" t="s">
        <v>17</v>
      </c>
      <c r="G1248" s="6" t="s">
        <v>1220</v>
      </c>
      <c r="H1248" s="7">
        <v>45035.0</v>
      </c>
      <c r="I1248" s="8">
        <f t="shared" si="1"/>
        <v>19</v>
      </c>
      <c r="J1248" s="9">
        <f t="shared" si="2"/>
        <v>4</v>
      </c>
      <c r="K1248" s="9">
        <f t="shared" si="3"/>
        <v>2023</v>
      </c>
      <c r="M1248" s="25">
        <f>IFERROR(__xludf.DUMMYFUNCTION("""COMPUTED_VALUE"""),45035.0)</f>
        <v>45035</v>
      </c>
    </row>
    <row r="1249">
      <c r="A1249" s="10" t="s">
        <v>1167</v>
      </c>
      <c r="B1249" s="3" t="s">
        <v>1168</v>
      </c>
      <c r="C1249" s="10" t="s">
        <v>1213</v>
      </c>
      <c r="D1249" s="3" t="s">
        <v>1214</v>
      </c>
      <c r="E1249" s="4" t="s">
        <v>3</v>
      </c>
      <c r="F1249" s="5" t="s">
        <v>45</v>
      </c>
      <c r="G1249" s="6" t="s">
        <v>1221</v>
      </c>
      <c r="H1249" s="7">
        <v>45038.0</v>
      </c>
      <c r="I1249" s="8">
        <f t="shared" si="1"/>
        <v>22</v>
      </c>
      <c r="J1249" s="9">
        <f t="shared" si="2"/>
        <v>4</v>
      </c>
      <c r="K1249" s="9">
        <f t="shared" si="3"/>
        <v>2023</v>
      </c>
      <c r="M1249" s="25">
        <f>IFERROR(__xludf.DUMMYFUNCTION("""COMPUTED_VALUE"""),45038.0)</f>
        <v>45038</v>
      </c>
    </row>
    <row r="1250">
      <c r="A1250" s="10" t="s">
        <v>1167</v>
      </c>
      <c r="B1250" s="3" t="s">
        <v>1168</v>
      </c>
      <c r="C1250" s="10" t="s">
        <v>1213</v>
      </c>
      <c r="D1250" s="3" t="s">
        <v>1214</v>
      </c>
      <c r="E1250" s="4" t="s">
        <v>3</v>
      </c>
      <c r="F1250" s="5" t="s">
        <v>45</v>
      </c>
      <c r="G1250" s="6" t="s">
        <v>1222</v>
      </c>
      <c r="H1250" s="7">
        <v>45044.0</v>
      </c>
      <c r="I1250" s="8">
        <f t="shared" si="1"/>
        <v>28</v>
      </c>
      <c r="J1250" s="9">
        <f t="shared" si="2"/>
        <v>4</v>
      </c>
      <c r="K1250" s="9">
        <f t="shared" si="3"/>
        <v>2023</v>
      </c>
      <c r="M1250" s="25">
        <f>IFERROR(__xludf.DUMMYFUNCTION("""COMPUTED_VALUE"""),45044.0)</f>
        <v>45044</v>
      </c>
    </row>
    <row r="1251">
      <c r="A1251" s="10" t="s">
        <v>1167</v>
      </c>
      <c r="B1251" s="3" t="s">
        <v>1168</v>
      </c>
      <c r="C1251" s="10" t="s">
        <v>1213</v>
      </c>
      <c r="D1251" s="3" t="s">
        <v>1214</v>
      </c>
      <c r="E1251" s="4" t="s">
        <v>3</v>
      </c>
      <c r="F1251" s="5" t="s">
        <v>76</v>
      </c>
      <c r="G1251" s="6" t="s">
        <v>618</v>
      </c>
      <c r="H1251" s="7">
        <v>45072.0</v>
      </c>
      <c r="I1251" s="8">
        <f t="shared" si="1"/>
        <v>26</v>
      </c>
      <c r="J1251" s="9">
        <f t="shared" si="2"/>
        <v>5</v>
      </c>
      <c r="K1251" s="9">
        <f t="shared" si="3"/>
        <v>2023</v>
      </c>
      <c r="M1251" s="25">
        <f>IFERROR(__xludf.DUMMYFUNCTION("""COMPUTED_VALUE"""),45072.0)</f>
        <v>45072</v>
      </c>
    </row>
    <row r="1252">
      <c r="A1252" s="10" t="s">
        <v>1167</v>
      </c>
      <c r="B1252" s="3" t="s">
        <v>1168</v>
      </c>
      <c r="C1252" s="10" t="s">
        <v>1213</v>
      </c>
      <c r="D1252" s="3" t="s">
        <v>1214</v>
      </c>
      <c r="E1252" s="4" t="s">
        <v>8</v>
      </c>
      <c r="F1252" s="5" t="s">
        <v>28</v>
      </c>
      <c r="G1252" s="6" t="s">
        <v>1223</v>
      </c>
      <c r="H1252" s="7">
        <v>45079.0</v>
      </c>
      <c r="I1252" s="8">
        <f t="shared" si="1"/>
        <v>2</v>
      </c>
      <c r="J1252" s="9">
        <f t="shared" si="2"/>
        <v>6</v>
      </c>
      <c r="K1252" s="9">
        <f t="shared" si="3"/>
        <v>2023</v>
      </c>
      <c r="M1252" s="25">
        <f>IFERROR(__xludf.DUMMYFUNCTION("""COMPUTED_VALUE"""),45079.0)</f>
        <v>45079</v>
      </c>
    </row>
    <row r="1253">
      <c r="A1253" s="10" t="s">
        <v>1167</v>
      </c>
      <c r="B1253" s="3" t="s">
        <v>1168</v>
      </c>
      <c r="C1253" s="10" t="s">
        <v>1213</v>
      </c>
      <c r="D1253" s="3" t="s">
        <v>1214</v>
      </c>
      <c r="E1253" s="4" t="s">
        <v>3</v>
      </c>
      <c r="F1253" s="5" t="s">
        <v>13</v>
      </c>
      <c r="G1253" s="6" t="s">
        <v>654</v>
      </c>
      <c r="H1253" s="7">
        <v>45095.0</v>
      </c>
      <c r="I1253" s="8">
        <f t="shared" si="1"/>
        <v>18</v>
      </c>
      <c r="J1253" s="9">
        <f t="shared" si="2"/>
        <v>6</v>
      </c>
      <c r="K1253" s="9">
        <f t="shared" si="3"/>
        <v>2023</v>
      </c>
      <c r="M1253" s="25">
        <f>IFERROR(__xludf.DUMMYFUNCTION("""COMPUTED_VALUE"""),45095.0)</f>
        <v>45095</v>
      </c>
    </row>
    <row r="1254">
      <c r="A1254" s="10" t="s">
        <v>1167</v>
      </c>
      <c r="B1254" s="3" t="s">
        <v>1168</v>
      </c>
      <c r="C1254" s="10" t="s">
        <v>1213</v>
      </c>
      <c r="D1254" s="3" t="s">
        <v>1214</v>
      </c>
      <c r="E1254" s="4" t="s">
        <v>8</v>
      </c>
      <c r="F1254" s="5" t="s">
        <v>71</v>
      </c>
      <c r="G1254" s="6" t="s">
        <v>1224</v>
      </c>
      <c r="H1254" s="7">
        <v>45097.0</v>
      </c>
      <c r="I1254" s="8">
        <f t="shared" si="1"/>
        <v>20</v>
      </c>
      <c r="J1254" s="9">
        <f t="shared" si="2"/>
        <v>6</v>
      </c>
      <c r="K1254" s="9">
        <f t="shared" si="3"/>
        <v>2023</v>
      </c>
      <c r="M1254" s="25">
        <f>IFERROR(__xludf.DUMMYFUNCTION("""COMPUTED_VALUE"""),45097.0)</f>
        <v>45097</v>
      </c>
    </row>
    <row r="1255">
      <c r="A1255" s="10" t="s">
        <v>1167</v>
      </c>
      <c r="B1255" s="3" t="s">
        <v>1168</v>
      </c>
      <c r="C1255" s="10" t="s">
        <v>1213</v>
      </c>
      <c r="D1255" s="3" t="s">
        <v>1214</v>
      </c>
      <c r="E1255" s="4" t="s">
        <v>8</v>
      </c>
      <c r="F1255" s="5" t="s">
        <v>13</v>
      </c>
      <c r="G1255" s="6" t="s">
        <v>1225</v>
      </c>
      <c r="H1255" s="7">
        <v>45103.0</v>
      </c>
      <c r="I1255" s="8">
        <f t="shared" si="1"/>
        <v>26</v>
      </c>
      <c r="J1255" s="9">
        <f t="shared" si="2"/>
        <v>6</v>
      </c>
      <c r="K1255" s="9">
        <f t="shared" si="3"/>
        <v>2023</v>
      </c>
      <c r="M1255" s="25">
        <f>IFERROR(__xludf.DUMMYFUNCTION("""COMPUTED_VALUE"""),45103.0)</f>
        <v>45103</v>
      </c>
    </row>
    <row r="1256">
      <c r="A1256" s="10" t="s">
        <v>1167</v>
      </c>
      <c r="B1256" s="3" t="s">
        <v>1168</v>
      </c>
      <c r="C1256" s="10" t="s">
        <v>1213</v>
      </c>
      <c r="D1256" s="3" t="s">
        <v>1214</v>
      </c>
      <c r="E1256" s="4" t="s">
        <v>8</v>
      </c>
      <c r="F1256" s="5" t="s">
        <v>39</v>
      </c>
      <c r="G1256" s="6" t="s">
        <v>914</v>
      </c>
      <c r="H1256" s="7">
        <v>45111.0</v>
      </c>
      <c r="I1256" s="8">
        <f t="shared" si="1"/>
        <v>4</v>
      </c>
      <c r="J1256" s="9">
        <f t="shared" si="2"/>
        <v>7</v>
      </c>
      <c r="K1256" s="9">
        <f t="shared" si="3"/>
        <v>2023</v>
      </c>
      <c r="M1256" s="25">
        <f>IFERROR(__xludf.DUMMYFUNCTION("""COMPUTED_VALUE"""),45111.0)</f>
        <v>45111</v>
      </c>
    </row>
    <row r="1257">
      <c r="A1257" s="10" t="s">
        <v>1167</v>
      </c>
      <c r="B1257" s="3" t="s">
        <v>1168</v>
      </c>
      <c r="C1257" s="10" t="s">
        <v>1213</v>
      </c>
      <c r="D1257" s="3" t="s">
        <v>1214</v>
      </c>
      <c r="E1257" s="4" t="s">
        <v>8</v>
      </c>
      <c r="F1257" s="5" t="s">
        <v>17</v>
      </c>
      <c r="G1257" s="6" t="s">
        <v>1226</v>
      </c>
      <c r="H1257" s="7">
        <v>45142.0</v>
      </c>
      <c r="I1257" s="8">
        <f t="shared" si="1"/>
        <v>4</v>
      </c>
      <c r="J1257" s="9">
        <f t="shared" si="2"/>
        <v>8</v>
      </c>
      <c r="K1257" s="9">
        <f t="shared" si="3"/>
        <v>2023</v>
      </c>
      <c r="M1257" s="25">
        <f>IFERROR(__xludf.DUMMYFUNCTION("""COMPUTED_VALUE"""),45142.0)</f>
        <v>45142</v>
      </c>
    </row>
    <row r="1258">
      <c r="A1258" s="10" t="s">
        <v>1167</v>
      </c>
      <c r="B1258" s="3" t="s">
        <v>1168</v>
      </c>
      <c r="C1258" s="10" t="s">
        <v>1213</v>
      </c>
      <c r="D1258" s="3" t="s">
        <v>1214</v>
      </c>
      <c r="E1258" s="4" t="s">
        <v>8</v>
      </c>
      <c r="F1258" s="5" t="s">
        <v>15</v>
      </c>
      <c r="G1258" s="6" t="s">
        <v>452</v>
      </c>
      <c r="H1258" s="7">
        <v>45147.0</v>
      </c>
      <c r="I1258" s="8">
        <f t="shared" si="1"/>
        <v>9</v>
      </c>
      <c r="J1258" s="9">
        <f t="shared" si="2"/>
        <v>8</v>
      </c>
      <c r="K1258" s="9">
        <f t="shared" si="3"/>
        <v>2023</v>
      </c>
      <c r="M1258" s="25">
        <f>IFERROR(__xludf.DUMMYFUNCTION("""COMPUTED_VALUE"""),45147.0)</f>
        <v>45147</v>
      </c>
    </row>
    <row r="1259">
      <c r="A1259" s="10" t="s">
        <v>1167</v>
      </c>
      <c r="B1259" s="3" t="s">
        <v>1168</v>
      </c>
      <c r="C1259" s="10" t="s">
        <v>1213</v>
      </c>
      <c r="D1259" s="3" t="s">
        <v>1214</v>
      </c>
      <c r="E1259" s="4" t="s">
        <v>8</v>
      </c>
      <c r="F1259" s="5" t="s">
        <v>15</v>
      </c>
      <c r="G1259" s="6" t="s">
        <v>396</v>
      </c>
      <c r="H1259" s="7">
        <v>45157.0</v>
      </c>
      <c r="I1259" s="8">
        <f t="shared" si="1"/>
        <v>19</v>
      </c>
      <c r="J1259" s="9">
        <f t="shared" si="2"/>
        <v>8</v>
      </c>
      <c r="K1259" s="9">
        <f t="shared" si="3"/>
        <v>2023</v>
      </c>
      <c r="M1259" s="25">
        <f>IFERROR(__xludf.DUMMYFUNCTION("""COMPUTED_VALUE"""),45157.0)</f>
        <v>45157</v>
      </c>
    </row>
    <row r="1260">
      <c r="A1260" s="10" t="s">
        <v>1167</v>
      </c>
      <c r="B1260" s="3" t="s">
        <v>1168</v>
      </c>
      <c r="C1260" s="10" t="s">
        <v>1213</v>
      </c>
      <c r="D1260" s="3" t="s">
        <v>1214</v>
      </c>
      <c r="E1260" s="4" t="s">
        <v>8</v>
      </c>
      <c r="F1260" s="5" t="s">
        <v>23</v>
      </c>
      <c r="G1260" s="6" t="s">
        <v>1227</v>
      </c>
      <c r="H1260" s="7">
        <v>45232.0</v>
      </c>
      <c r="I1260" s="8">
        <f t="shared" si="1"/>
        <v>2</v>
      </c>
      <c r="J1260" s="9">
        <f t="shared" si="2"/>
        <v>11</v>
      </c>
      <c r="K1260" s="9">
        <f t="shared" si="3"/>
        <v>2023</v>
      </c>
      <c r="M1260" s="25">
        <f>IFERROR(__xludf.DUMMYFUNCTION("""COMPUTED_VALUE"""),45232.0)</f>
        <v>45232</v>
      </c>
    </row>
    <row r="1261">
      <c r="A1261" s="10" t="s">
        <v>1181</v>
      </c>
      <c r="B1261" s="3" t="s">
        <v>1182</v>
      </c>
      <c r="C1261" s="10" t="s">
        <v>1228</v>
      </c>
      <c r="D1261" s="3" t="s">
        <v>1229</v>
      </c>
      <c r="E1261" s="4" t="s">
        <v>3</v>
      </c>
      <c r="F1261" s="5" t="s">
        <v>19</v>
      </c>
      <c r="G1261" s="6" t="s">
        <v>1174</v>
      </c>
      <c r="H1261" s="7">
        <v>44941.0</v>
      </c>
      <c r="I1261" s="8">
        <f t="shared" si="1"/>
        <v>15</v>
      </c>
      <c r="J1261" s="9">
        <f t="shared" si="2"/>
        <v>1</v>
      </c>
      <c r="K1261" s="9">
        <f t="shared" si="3"/>
        <v>2023</v>
      </c>
      <c r="M1261" s="25">
        <f>IFERROR(__xludf.DUMMYFUNCTION("""COMPUTED_VALUE"""),44941.0)</f>
        <v>44941</v>
      </c>
    </row>
    <row r="1262">
      <c r="A1262" s="10" t="s">
        <v>1181</v>
      </c>
      <c r="B1262" s="3" t="s">
        <v>1182</v>
      </c>
      <c r="C1262" s="10" t="s">
        <v>1228</v>
      </c>
      <c r="D1262" s="3" t="s">
        <v>1229</v>
      </c>
      <c r="E1262" s="4" t="s">
        <v>8</v>
      </c>
      <c r="F1262" s="5" t="s">
        <v>9</v>
      </c>
      <c r="G1262" s="6" t="s">
        <v>1230</v>
      </c>
      <c r="H1262" s="7">
        <v>44995.0</v>
      </c>
      <c r="I1262" s="8">
        <f t="shared" si="1"/>
        <v>10</v>
      </c>
      <c r="J1262" s="9">
        <f t="shared" si="2"/>
        <v>3</v>
      </c>
      <c r="K1262" s="9">
        <f t="shared" si="3"/>
        <v>2023</v>
      </c>
      <c r="M1262" s="25">
        <f>IFERROR(__xludf.DUMMYFUNCTION("""COMPUTED_VALUE"""),44995.0)</f>
        <v>44995</v>
      </c>
    </row>
    <row r="1263">
      <c r="A1263" s="10" t="s">
        <v>1181</v>
      </c>
      <c r="B1263" s="3" t="s">
        <v>1182</v>
      </c>
      <c r="C1263" s="10" t="s">
        <v>1228</v>
      </c>
      <c r="D1263" s="3" t="s">
        <v>1229</v>
      </c>
      <c r="E1263" s="4" t="s">
        <v>8</v>
      </c>
      <c r="F1263" s="5" t="s">
        <v>96</v>
      </c>
      <c r="G1263" s="6" t="s">
        <v>382</v>
      </c>
      <c r="H1263" s="7">
        <v>45004.0</v>
      </c>
      <c r="I1263" s="8">
        <f t="shared" si="1"/>
        <v>19</v>
      </c>
      <c r="J1263" s="9">
        <f t="shared" si="2"/>
        <v>3</v>
      </c>
      <c r="K1263" s="9">
        <f t="shared" si="3"/>
        <v>2023</v>
      </c>
      <c r="M1263" s="25">
        <f>IFERROR(__xludf.DUMMYFUNCTION("""COMPUTED_VALUE"""),45004.0)</f>
        <v>45004</v>
      </c>
    </row>
    <row r="1264">
      <c r="A1264" s="10" t="s">
        <v>1181</v>
      </c>
      <c r="B1264" s="3" t="s">
        <v>1182</v>
      </c>
      <c r="C1264" s="10" t="s">
        <v>1228</v>
      </c>
      <c r="D1264" s="3" t="s">
        <v>1229</v>
      </c>
      <c r="E1264" s="4" t="s">
        <v>8</v>
      </c>
      <c r="F1264" s="5" t="s">
        <v>4</v>
      </c>
      <c r="G1264" s="6" t="s">
        <v>1231</v>
      </c>
      <c r="H1264" s="7">
        <v>45012.0</v>
      </c>
      <c r="I1264" s="8">
        <f t="shared" si="1"/>
        <v>27</v>
      </c>
      <c r="J1264" s="9">
        <f t="shared" si="2"/>
        <v>3</v>
      </c>
      <c r="K1264" s="9">
        <f t="shared" si="3"/>
        <v>2023</v>
      </c>
      <c r="M1264" s="25">
        <f>IFERROR(__xludf.DUMMYFUNCTION("""COMPUTED_VALUE"""),45012.0)</f>
        <v>45012</v>
      </c>
    </row>
    <row r="1265">
      <c r="A1265" s="10" t="s">
        <v>1181</v>
      </c>
      <c r="B1265" s="3" t="s">
        <v>1182</v>
      </c>
      <c r="C1265" s="10" t="s">
        <v>1228</v>
      </c>
      <c r="D1265" s="3" t="s">
        <v>1229</v>
      </c>
      <c r="E1265" s="4" t="s">
        <v>8</v>
      </c>
      <c r="F1265" s="5" t="s">
        <v>35</v>
      </c>
      <c r="G1265" s="6" t="s">
        <v>1232</v>
      </c>
      <c r="H1265" s="7">
        <v>45032.0</v>
      </c>
      <c r="I1265" s="8">
        <f t="shared" si="1"/>
        <v>16</v>
      </c>
      <c r="J1265" s="9">
        <f t="shared" si="2"/>
        <v>4</v>
      </c>
      <c r="K1265" s="9">
        <f t="shared" si="3"/>
        <v>2023</v>
      </c>
      <c r="M1265" s="25">
        <f>IFERROR(__xludf.DUMMYFUNCTION("""COMPUTED_VALUE"""),45032.0)</f>
        <v>45032</v>
      </c>
    </row>
    <row r="1266">
      <c r="A1266" s="10" t="s">
        <v>1181</v>
      </c>
      <c r="B1266" s="3" t="s">
        <v>1182</v>
      </c>
      <c r="C1266" s="10" t="s">
        <v>1228</v>
      </c>
      <c r="D1266" s="3" t="s">
        <v>1229</v>
      </c>
      <c r="E1266" s="4" t="s">
        <v>3</v>
      </c>
      <c r="F1266" s="5" t="s">
        <v>17</v>
      </c>
      <c r="G1266" s="6" t="s">
        <v>1001</v>
      </c>
      <c r="H1266" s="7">
        <v>45033.0</v>
      </c>
      <c r="I1266" s="8">
        <f t="shared" si="1"/>
        <v>17</v>
      </c>
      <c r="J1266" s="9">
        <f t="shared" si="2"/>
        <v>4</v>
      </c>
      <c r="K1266" s="9">
        <f t="shared" si="3"/>
        <v>2023</v>
      </c>
      <c r="M1266" s="25">
        <f>IFERROR(__xludf.DUMMYFUNCTION("""COMPUTED_VALUE"""),45033.0)</f>
        <v>45033</v>
      </c>
    </row>
    <row r="1267">
      <c r="A1267" s="10" t="s">
        <v>1181</v>
      </c>
      <c r="B1267" s="3" t="s">
        <v>1182</v>
      </c>
      <c r="C1267" s="10" t="s">
        <v>1228</v>
      </c>
      <c r="D1267" s="3" t="s">
        <v>1229</v>
      </c>
      <c r="E1267" s="4" t="s">
        <v>3</v>
      </c>
      <c r="F1267" s="5" t="s">
        <v>23</v>
      </c>
      <c r="G1267" s="6" t="s">
        <v>163</v>
      </c>
      <c r="H1267" s="7">
        <v>45056.0</v>
      </c>
      <c r="I1267" s="8">
        <f t="shared" si="1"/>
        <v>10</v>
      </c>
      <c r="J1267" s="9">
        <f t="shared" si="2"/>
        <v>5</v>
      </c>
      <c r="K1267" s="9">
        <f t="shared" si="3"/>
        <v>2023</v>
      </c>
      <c r="M1267" s="25">
        <f>IFERROR(__xludf.DUMMYFUNCTION("""COMPUTED_VALUE"""),45056.0)</f>
        <v>45056</v>
      </c>
    </row>
    <row r="1268">
      <c r="A1268" s="10" t="s">
        <v>1181</v>
      </c>
      <c r="B1268" s="3" t="s">
        <v>1182</v>
      </c>
      <c r="C1268" s="10" t="s">
        <v>1228</v>
      </c>
      <c r="D1268" s="3" t="s">
        <v>1229</v>
      </c>
      <c r="E1268" s="4" t="s">
        <v>3</v>
      </c>
      <c r="F1268" s="5" t="s">
        <v>21</v>
      </c>
      <c r="G1268" s="6" t="s">
        <v>58</v>
      </c>
      <c r="H1268" s="7">
        <v>45061.0</v>
      </c>
      <c r="I1268" s="8">
        <f t="shared" si="1"/>
        <v>15</v>
      </c>
      <c r="J1268" s="9">
        <f t="shared" si="2"/>
        <v>5</v>
      </c>
      <c r="K1268" s="9">
        <f t="shared" si="3"/>
        <v>2023</v>
      </c>
      <c r="M1268" s="25">
        <f>IFERROR(__xludf.DUMMYFUNCTION("""COMPUTED_VALUE"""),45061.0)</f>
        <v>45061</v>
      </c>
    </row>
    <row r="1269">
      <c r="A1269" s="10" t="s">
        <v>1181</v>
      </c>
      <c r="B1269" s="3" t="s">
        <v>1182</v>
      </c>
      <c r="C1269" s="10" t="s">
        <v>1228</v>
      </c>
      <c r="D1269" s="3" t="s">
        <v>1229</v>
      </c>
      <c r="E1269" s="4" t="s">
        <v>8</v>
      </c>
      <c r="F1269" s="5" t="s">
        <v>13</v>
      </c>
      <c r="G1269" s="6" t="s">
        <v>1233</v>
      </c>
      <c r="H1269" s="7">
        <v>45091.0</v>
      </c>
      <c r="I1269" s="8">
        <f t="shared" si="1"/>
        <v>14</v>
      </c>
      <c r="J1269" s="9">
        <f t="shared" si="2"/>
        <v>6</v>
      </c>
      <c r="K1269" s="9">
        <f t="shared" si="3"/>
        <v>2023</v>
      </c>
      <c r="M1269" s="25">
        <f>IFERROR(__xludf.DUMMYFUNCTION("""COMPUTED_VALUE"""),45091.0)</f>
        <v>45091</v>
      </c>
    </row>
    <row r="1270">
      <c r="A1270" s="10" t="s">
        <v>1181</v>
      </c>
      <c r="B1270" s="3" t="s">
        <v>1182</v>
      </c>
      <c r="C1270" s="10" t="s">
        <v>1228</v>
      </c>
      <c r="D1270" s="3" t="s">
        <v>1229</v>
      </c>
      <c r="E1270" s="4" t="s">
        <v>8</v>
      </c>
      <c r="F1270" s="5" t="s">
        <v>96</v>
      </c>
      <c r="G1270" s="6" t="s">
        <v>1234</v>
      </c>
      <c r="H1270" s="7">
        <v>45100.0</v>
      </c>
      <c r="I1270" s="8">
        <f t="shared" si="1"/>
        <v>23</v>
      </c>
      <c r="J1270" s="9">
        <f t="shared" si="2"/>
        <v>6</v>
      </c>
      <c r="K1270" s="9">
        <f t="shared" si="3"/>
        <v>2023</v>
      </c>
      <c r="M1270" s="25">
        <f>IFERROR(__xludf.DUMMYFUNCTION("""COMPUTED_VALUE"""),45100.0)</f>
        <v>45100</v>
      </c>
    </row>
    <row r="1271">
      <c r="A1271" s="10" t="s">
        <v>1181</v>
      </c>
      <c r="B1271" s="3" t="s">
        <v>1182</v>
      </c>
      <c r="C1271" s="10" t="s">
        <v>1228</v>
      </c>
      <c r="D1271" s="3" t="s">
        <v>1229</v>
      </c>
      <c r="E1271" s="4" t="s">
        <v>3</v>
      </c>
      <c r="F1271" s="5" t="s">
        <v>96</v>
      </c>
      <c r="G1271" s="6" t="s">
        <v>894</v>
      </c>
      <c r="H1271" s="7">
        <v>45140.0</v>
      </c>
      <c r="I1271" s="8">
        <f t="shared" si="1"/>
        <v>2</v>
      </c>
      <c r="J1271" s="9">
        <f t="shared" si="2"/>
        <v>8</v>
      </c>
      <c r="K1271" s="9">
        <f t="shared" si="3"/>
        <v>2023</v>
      </c>
      <c r="M1271" s="25">
        <f>IFERROR(__xludf.DUMMYFUNCTION("""COMPUTED_VALUE"""),45140.0)</f>
        <v>45140</v>
      </c>
    </row>
    <row r="1272">
      <c r="A1272" s="10" t="s">
        <v>1181</v>
      </c>
      <c r="B1272" s="3" t="s">
        <v>1182</v>
      </c>
      <c r="C1272" s="10" t="s">
        <v>1228</v>
      </c>
      <c r="D1272" s="3" t="s">
        <v>1229</v>
      </c>
      <c r="E1272" s="4" t="s">
        <v>8</v>
      </c>
      <c r="F1272" s="5" t="s">
        <v>51</v>
      </c>
      <c r="G1272" s="6" t="s">
        <v>97</v>
      </c>
      <c r="H1272" s="7">
        <v>45154.0</v>
      </c>
      <c r="I1272" s="8">
        <f t="shared" si="1"/>
        <v>16</v>
      </c>
      <c r="J1272" s="9">
        <f t="shared" si="2"/>
        <v>8</v>
      </c>
      <c r="K1272" s="9">
        <f t="shared" si="3"/>
        <v>2023</v>
      </c>
      <c r="M1272" s="25">
        <f>IFERROR(__xludf.DUMMYFUNCTION("""COMPUTED_VALUE"""),45154.0)</f>
        <v>45154</v>
      </c>
    </row>
    <row r="1273">
      <c r="A1273" s="10" t="s">
        <v>1181</v>
      </c>
      <c r="B1273" s="3" t="s">
        <v>1182</v>
      </c>
      <c r="C1273" s="10" t="s">
        <v>1228</v>
      </c>
      <c r="D1273" s="3" t="s">
        <v>1229</v>
      </c>
      <c r="E1273" s="4" t="s">
        <v>8</v>
      </c>
      <c r="F1273" s="5" t="s">
        <v>120</v>
      </c>
      <c r="G1273" s="6" t="s">
        <v>1235</v>
      </c>
      <c r="H1273" s="7">
        <v>45161.0</v>
      </c>
      <c r="I1273" s="8">
        <f t="shared" si="1"/>
        <v>23</v>
      </c>
      <c r="J1273" s="9">
        <f t="shared" si="2"/>
        <v>8</v>
      </c>
      <c r="K1273" s="9">
        <f t="shared" si="3"/>
        <v>2023</v>
      </c>
      <c r="M1273" s="25">
        <f>IFERROR(__xludf.DUMMYFUNCTION("""COMPUTED_VALUE"""),45161.0)</f>
        <v>45161</v>
      </c>
    </row>
    <row r="1274">
      <c r="A1274" s="10" t="s">
        <v>1181</v>
      </c>
      <c r="B1274" s="3" t="s">
        <v>1182</v>
      </c>
      <c r="C1274" s="10" t="s">
        <v>1228</v>
      </c>
      <c r="D1274" s="3" t="s">
        <v>1229</v>
      </c>
      <c r="E1274" s="4" t="s">
        <v>8</v>
      </c>
      <c r="F1274" s="5" t="s">
        <v>76</v>
      </c>
      <c r="G1274" s="6" t="s">
        <v>1236</v>
      </c>
      <c r="H1274" s="7">
        <v>45204.0</v>
      </c>
      <c r="I1274" s="8">
        <f t="shared" si="1"/>
        <v>5</v>
      </c>
      <c r="J1274" s="9">
        <f t="shared" si="2"/>
        <v>10</v>
      </c>
      <c r="K1274" s="9">
        <f t="shared" si="3"/>
        <v>2023</v>
      </c>
      <c r="M1274" s="25">
        <f>IFERROR(__xludf.DUMMYFUNCTION("""COMPUTED_VALUE"""),45204.0)</f>
        <v>45204</v>
      </c>
    </row>
    <row r="1275">
      <c r="A1275" s="10" t="s">
        <v>1181</v>
      </c>
      <c r="B1275" s="3" t="s">
        <v>1182</v>
      </c>
      <c r="C1275" s="10" t="s">
        <v>1228</v>
      </c>
      <c r="D1275" s="3" t="s">
        <v>1229</v>
      </c>
      <c r="E1275" s="4" t="s">
        <v>8</v>
      </c>
      <c r="F1275" s="5" t="s">
        <v>42</v>
      </c>
      <c r="G1275" s="6" t="s">
        <v>196</v>
      </c>
      <c r="H1275" s="7">
        <v>45213.0</v>
      </c>
      <c r="I1275" s="8">
        <f t="shared" si="1"/>
        <v>14</v>
      </c>
      <c r="J1275" s="9">
        <f t="shared" si="2"/>
        <v>10</v>
      </c>
      <c r="K1275" s="9">
        <f t="shared" si="3"/>
        <v>2023</v>
      </c>
      <c r="M1275" s="25">
        <f>IFERROR(__xludf.DUMMYFUNCTION("""COMPUTED_VALUE"""),45213.0)</f>
        <v>45213</v>
      </c>
    </row>
    <row r="1276">
      <c r="A1276" s="10" t="s">
        <v>1181</v>
      </c>
      <c r="B1276" s="3" t="s">
        <v>1182</v>
      </c>
      <c r="C1276" s="10" t="s">
        <v>1228</v>
      </c>
      <c r="D1276" s="3" t="s">
        <v>1229</v>
      </c>
      <c r="E1276" s="4" t="s">
        <v>8</v>
      </c>
      <c r="F1276" s="5" t="s">
        <v>51</v>
      </c>
      <c r="G1276" s="6" t="s">
        <v>1237</v>
      </c>
      <c r="H1276" s="7">
        <v>45216.0</v>
      </c>
      <c r="I1276" s="8">
        <f t="shared" si="1"/>
        <v>17</v>
      </c>
      <c r="J1276" s="9">
        <f t="shared" si="2"/>
        <v>10</v>
      </c>
      <c r="K1276" s="9">
        <f t="shared" si="3"/>
        <v>2023</v>
      </c>
      <c r="M1276" s="25">
        <f>IFERROR(__xludf.DUMMYFUNCTION("""COMPUTED_VALUE"""),45216.0)</f>
        <v>45216</v>
      </c>
    </row>
    <row r="1277">
      <c r="A1277" s="10" t="s">
        <v>1181</v>
      </c>
      <c r="B1277" s="3" t="s">
        <v>1182</v>
      </c>
      <c r="C1277" s="10" t="s">
        <v>1228</v>
      </c>
      <c r="D1277" s="3" t="s">
        <v>1229</v>
      </c>
      <c r="E1277" s="4" t="s">
        <v>8</v>
      </c>
      <c r="F1277" s="5" t="s">
        <v>15</v>
      </c>
      <c r="G1277" s="6" t="s">
        <v>422</v>
      </c>
      <c r="H1277" s="7">
        <v>45220.0</v>
      </c>
      <c r="I1277" s="8">
        <f t="shared" si="1"/>
        <v>21</v>
      </c>
      <c r="J1277" s="9">
        <f t="shared" si="2"/>
        <v>10</v>
      </c>
      <c r="K1277" s="9">
        <f t="shared" si="3"/>
        <v>2023</v>
      </c>
      <c r="M1277" s="25">
        <f>IFERROR(__xludf.DUMMYFUNCTION("""COMPUTED_VALUE"""),45220.0)</f>
        <v>45220</v>
      </c>
    </row>
    <row r="1278">
      <c r="A1278" s="10" t="s">
        <v>1181</v>
      </c>
      <c r="B1278" s="3" t="s">
        <v>1182</v>
      </c>
      <c r="C1278" s="10" t="s">
        <v>1228</v>
      </c>
      <c r="D1278" s="3" t="s">
        <v>1229</v>
      </c>
      <c r="E1278" s="4" t="s">
        <v>3</v>
      </c>
      <c r="F1278" s="5" t="s">
        <v>21</v>
      </c>
      <c r="G1278" s="6" t="s">
        <v>193</v>
      </c>
      <c r="H1278" s="7">
        <v>45235.0</v>
      </c>
      <c r="I1278" s="8">
        <f t="shared" si="1"/>
        <v>5</v>
      </c>
      <c r="J1278" s="9">
        <f t="shared" si="2"/>
        <v>11</v>
      </c>
      <c r="K1278" s="9">
        <f t="shared" si="3"/>
        <v>2023</v>
      </c>
      <c r="M1278" s="25">
        <f>IFERROR(__xludf.DUMMYFUNCTION("""COMPUTED_VALUE"""),45235.0)</f>
        <v>45235</v>
      </c>
    </row>
    <row r="1279">
      <c r="A1279" s="10" t="s">
        <v>1181</v>
      </c>
      <c r="B1279" s="3" t="s">
        <v>1182</v>
      </c>
      <c r="C1279" s="10" t="s">
        <v>1228</v>
      </c>
      <c r="D1279" s="3" t="s">
        <v>1229</v>
      </c>
      <c r="E1279" s="4" t="s">
        <v>3</v>
      </c>
      <c r="F1279" s="5" t="s">
        <v>71</v>
      </c>
      <c r="G1279" s="6" t="s">
        <v>1238</v>
      </c>
      <c r="H1279" s="7">
        <v>45271.0</v>
      </c>
      <c r="I1279" s="8">
        <f t="shared" si="1"/>
        <v>11</v>
      </c>
      <c r="J1279" s="9">
        <f t="shared" si="2"/>
        <v>12</v>
      </c>
      <c r="K1279" s="9">
        <f t="shared" si="3"/>
        <v>2023</v>
      </c>
      <c r="M1279" s="25">
        <f>IFERROR(__xludf.DUMMYFUNCTION("""COMPUTED_VALUE"""),45271.0)</f>
        <v>45271</v>
      </c>
    </row>
    <row r="1280">
      <c r="A1280" s="10" t="s">
        <v>1181</v>
      </c>
      <c r="B1280" s="3" t="s">
        <v>1182</v>
      </c>
      <c r="C1280" s="10" t="s">
        <v>1228</v>
      </c>
      <c r="D1280" s="3" t="s">
        <v>1229</v>
      </c>
      <c r="E1280" s="4" t="s">
        <v>3</v>
      </c>
      <c r="F1280" s="5" t="s">
        <v>28</v>
      </c>
      <c r="G1280" s="6" t="s">
        <v>1239</v>
      </c>
      <c r="H1280" s="7">
        <v>45273.0</v>
      </c>
      <c r="I1280" s="8">
        <f t="shared" si="1"/>
        <v>13</v>
      </c>
      <c r="J1280" s="9">
        <f t="shared" si="2"/>
        <v>12</v>
      </c>
      <c r="K1280" s="9">
        <f t="shared" si="3"/>
        <v>2023</v>
      </c>
      <c r="M1280" s="25">
        <f>IFERROR(__xludf.DUMMYFUNCTION("""COMPUTED_VALUE"""),45273.0)</f>
        <v>45273</v>
      </c>
    </row>
    <row r="1281">
      <c r="A1281" s="10" t="s">
        <v>1198</v>
      </c>
      <c r="B1281" s="3" t="s">
        <v>1199</v>
      </c>
      <c r="C1281" s="10" t="s">
        <v>1240</v>
      </c>
      <c r="D1281" s="3" t="s">
        <v>1241</v>
      </c>
      <c r="E1281" s="4" t="s">
        <v>3</v>
      </c>
      <c r="F1281" s="5" t="s">
        <v>39</v>
      </c>
      <c r="G1281" s="6" t="s">
        <v>1242</v>
      </c>
      <c r="H1281" s="7">
        <v>44960.0</v>
      </c>
      <c r="I1281" s="8">
        <f t="shared" si="1"/>
        <v>3</v>
      </c>
      <c r="J1281" s="9">
        <f t="shared" si="2"/>
        <v>2</v>
      </c>
      <c r="K1281" s="9">
        <f t="shared" si="3"/>
        <v>2023</v>
      </c>
      <c r="M1281" s="25">
        <f>IFERROR(__xludf.DUMMYFUNCTION("""COMPUTED_VALUE"""),44960.0)</f>
        <v>44960</v>
      </c>
    </row>
    <row r="1282">
      <c r="A1282" s="10" t="s">
        <v>1198</v>
      </c>
      <c r="B1282" s="3" t="s">
        <v>1199</v>
      </c>
      <c r="C1282" s="10" t="s">
        <v>1240</v>
      </c>
      <c r="D1282" s="3" t="s">
        <v>1241</v>
      </c>
      <c r="E1282" s="4" t="s">
        <v>3</v>
      </c>
      <c r="F1282" s="5" t="s">
        <v>76</v>
      </c>
      <c r="G1282" s="6" t="s">
        <v>1127</v>
      </c>
      <c r="H1282" s="7">
        <v>44980.0</v>
      </c>
      <c r="I1282" s="8">
        <f t="shared" si="1"/>
        <v>23</v>
      </c>
      <c r="J1282" s="9">
        <f t="shared" si="2"/>
        <v>2</v>
      </c>
      <c r="K1282" s="9">
        <f t="shared" si="3"/>
        <v>2023</v>
      </c>
      <c r="M1282" s="25">
        <f>IFERROR(__xludf.DUMMYFUNCTION("""COMPUTED_VALUE"""),44980.0)</f>
        <v>44980</v>
      </c>
    </row>
    <row r="1283">
      <c r="A1283" s="10" t="s">
        <v>1198</v>
      </c>
      <c r="B1283" s="3" t="s">
        <v>1199</v>
      </c>
      <c r="C1283" s="10" t="s">
        <v>1240</v>
      </c>
      <c r="D1283" s="3" t="s">
        <v>1241</v>
      </c>
      <c r="E1283" s="4" t="s">
        <v>8</v>
      </c>
      <c r="F1283" s="5" t="s">
        <v>120</v>
      </c>
      <c r="G1283" s="6" t="s">
        <v>1243</v>
      </c>
      <c r="H1283" s="7">
        <v>44998.0</v>
      </c>
      <c r="I1283" s="8">
        <f t="shared" si="1"/>
        <v>13</v>
      </c>
      <c r="J1283" s="9">
        <f t="shared" si="2"/>
        <v>3</v>
      </c>
      <c r="K1283" s="9">
        <f t="shared" si="3"/>
        <v>2023</v>
      </c>
      <c r="M1283" s="25">
        <f>IFERROR(__xludf.DUMMYFUNCTION("""COMPUTED_VALUE"""),44998.0)</f>
        <v>44998</v>
      </c>
    </row>
    <row r="1284">
      <c r="A1284" s="10" t="s">
        <v>1198</v>
      </c>
      <c r="B1284" s="3" t="s">
        <v>1199</v>
      </c>
      <c r="C1284" s="10" t="s">
        <v>1240</v>
      </c>
      <c r="D1284" s="3" t="s">
        <v>1241</v>
      </c>
      <c r="E1284" s="4" t="s">
        <v>3</v>
      </c>
      <c r="F1284" s="5" t="s">
        <v>51</v>
      </c>
      <c r="G1284" s="6" t="s">
        <v>1244</v>
      </c>
      <c r="H1284" s="7">
        <v>44999.0</v>
      </c>
      <c r="I1284" s="8">
        <f t="shared" si="1"/>
        <v>14</v>
      </c>
      <c r="J1284" s="9">
        <f t="shared" si="2"/>
        <v>3</v>
      </c>
      <c r="K1284" s="9">
        <f t="shared" si="3"/>
        <v>2023</v>
      </c>
      <c r="M1284" s="25">
        <f>IFERROR(__xludf.DUMMYFUNCTION("""COMPUTED_VALUE"""),44999.0)</f>
        <v>44999</v>
      </c>
    </row>
    <row r="1285">
      <c r="A1285" s="10" t="s">
        <v>1198</v>
      </c>
      <c r="B1285" s="3" t="s">
        <v>1199</v>
      </c>
      <c r="C1285" s="10" t="s">
        <v>1240</v>
      </c>
      <c r="D1285" s="3" t="s">
        <v>1241</v>
      </c>
      <c r="E1285" s="4" t="s">
        <v>8</v>
      </c>
      <c r="F1285" s="5" t="s">
        <v>9</v>
      </c>
      <c r="G1285" s="6" t="s">
        <v>1245</v>
      </c>
      <c r="H1285" s="7">
        <v>45048.0</v>
      </c>
      <c r="I1285" s="8">
        <f t="shared" si="1"/>
        <v>2</v>
      </c>
      <c r="J1285" s="9">
        <f t="shared" si="2"/>
        <v>5</v>
      </c>
      <c r="K1285" s="9">
        <f t="shared" si="3"/>
        <v>2023</v>
      </c>
      <c r="M1285" s="25">
        <f>IFERROR(__xludf.DUMMYFUNCTION("""COMPUTED_VALUE"""),45048.0)</f>
        <v>45048</v>
      </c>
    </row>
    <row r="1286">
      <c r="A1286" s="10" t="s">
        <v>1198</v>
      </c>
      <c r="B1286" s="3" t="s">
        <v>1199</v>
      </c>
      <c r="C1286" s="10" t="s">
        <v>1240</v>
      </c>
      <c r="D1286" s="3" t="s">
        <v>1241</v>
      </c>
      <c r="E1286" s="4" t="s">
        <v>8</v>
      </c>
      <c r="F1286" s="5" t="s">
        <v>21</v>
      </c>
      <c r="G1286" s="6" t="s">
        <v>1246</v>
      </c>
      <c r="H1286" s="7">
        <v>45051.0</v>
      </c>
      <c r="I1286" s="8">
        <f t="shared" si="1"/>
        <v>5</v>
      </c>
      <c r="J1286" s="9">
        <f t="shared" si="2"/>
        <v>5</v>
      </c>
      <c r="K1286" s="9">
        <f t="shared" si="3"/>
        <v>2023</v>
      </c>
      <c r="M1286" s="25">
        <f>IFERROR(__xludf.DUMMYFUNCTION("""COMPUTED_VALUE"""),45051.0)</f>
        <v>45051</v>
      </c>
    </row>
    <row r="1287">
      <c r="A1287" s="10" t="s">
        <v>1198</v>
      </c>
      <c r="B1287" s="3" t="s">
        <v>1199</v>
      </c>
      <c r="C1287" s="10" t="s">
        <v>1240</v>
      </c>
      <c r="D1287" s="3" t="s">
        <v>1241</v>
      </c>
      <c r="E1287" s="4" t="s">
        <v>8</v>
      </c>
      <c r="F1287" s="5" t="s">
        <v>23</v>
      </c>
      <c r="G1287" s="6" t="s">
        <v>1247</v>
      </c>
      <c r="H1287" s="7">
        <v>45052.0</v>
      </c>
      <c r="I1287" s="8">
        <f t="shared" si="1"/>
        <v>6</v>
      </c>
      <c r="J1287" s="9">
        <f t="shared" si="2"/>
        <v>5</v>
      </c>
      <c r="K1287" s="9">
        <f t="shared" si="3"/>
        <v>2023</v>
      </c>
      <c r="M1287" s="25">
        <f>IFERROR(__xludf.DUMMYFUNCTION("""COMPUTED_VALUE"""),45052.0)</f>
        <v>45052</v>
      </c>
    </row>
    <row r="1288">
      <c r="A1288" s="10" t="s">
        <v>1198</v>
      </c>
      <c r="B1288" s="3" t="s">
        <v>1199</v>
      </c>
      <c r="C1288" s="10" t="s">
        <v>1240</v>
      </c>
      <c r="D1288" s="3" t="s">
        <v>1241</v>
      </c>
      <c r="E1288" s="4" t="s">
        <v>8</v>
      </c>
      <c r="F1288" s="5" t="s">
        <v>15</v>
      </c>
      <c r="G1288" s="6" t="s">
        <v>1248</v>
      </c>
      <c r="H1288" s="7">
        <v>45053.0</v>
      </c>
      <c r="I1288" s="8">
        <f t="shared" si="1"/>
        <v>7</v>
      </c>
      <c r="J1288" s="9">
        <f t="shared" si="2"/>
        <v>5</v>
      </c>
      <c r="K1288" s="9">
        <f t="shared" si="3"/>
        <v>2023</v>
      </c>
      <c r="M1288" s="25">
        <f>IFERROR(__xludf.DUMMYFUNCTION("""COMPUTED_VALUE"""),45053.0)</f>
        <v>45053</v>
      </c>
    </row>
    <row r="1289">
      <c r="A1289" s="10" t="s">
        <v>1198</v>
      </c>
      <c r="B1289" s="3" t="s">
        <v>1199</v>
      </c>
      <c r="C1289" s="10" t="s">
        <v>1240</v>
      </c>
      <c r="D1289" s="3" t="s">
        <v>1241</v>
      </c>
      <c r="E1289" s="4" t="s">
        <v>8</v>
      </c>
      <c r="F1289" s="5" t="s">
        <v>35</v>
      </c>
      <c r="G1289" s="6" t="s">
        <v>1249</v>
      </c>
      <c r="H1289" s="7">
        <v>45079.0</v>
      </c>
      <c r="I1289" s="8">
        <f t="shared" si="1"/>
        <v>2</v>
      </c>
      <c r="J1289" s="9">
        <f t="shared" si="2"/>
        <v>6</v>
      </c>
      <c r="K1289" s="9">
        <f t="shared" si="3"/>
        <v>2023</v>
      </c>
      <c r="M1289" s="25">
        <f>IFERROR(__xludf.DUMMYFUNCTION("""COMPUTED_VALUE"""),45079.0)</f>
        <v>45079</v>
      </c>
    </row>
    <row r="1290">
      <c r="A1290" s="10" t="s">
        <v>1198</v>
      </c>
      <c r="B1290" s="3" t="s">
        <v>1199</v>
      </c>
      <c r="C1290" s="10" t="s">
        <v>1240</v>
      </c>
      <c r="D1290" s="3" t="s">
        <v>1241</v>
      </c>
      <c r="E1290" s="4" t="s">
        <v>8</v>
      </c>
      <c r="F1290" s="5" t="s">
        <v>35</v>
      </c>
      <c r="G1290" s="6" t="s">
        <v>1250</v>
      </c>
      <c r="H1290" s="7">
        <v>45091.0</v>
      </c>
      <c r="I1290" s="8">
        <f t="shared" si="1"/>
        <v>14</v>
      </c>
      <c r="J1290" s="9">
        <f t="shared" si="2"/>
        <v>6</v>
      </c>
      <c r="K1290" s="9">
        <f t="shared" si="3"/>
        <v>2023</v>
      </c>
      <c r="M1290" s="25">
        <f>IFERROR(__xludf.DUMMYFUNCTION("""COMPUTED_VALUE"""),45091.0)</f>
        <v>45091</v>
      </c>
    </row>
    <row r="1291">
      <c r="A1291" s="10" t="s">
        <v>1198</v>
      </c>
      <c r="B1291" s="3" t="s">
        <v>1199</v>
      </c>
      <c r="C1291" s="10" t="s">
        <v>1240</v>
      </c>
      <c r="D1291" s="3" t="s">
        <v>1241</v>
      </c>
      <c r="E1291" s="4" t="s">
        <v>8</v>
      </c>
      <c r="F1291" s="5" t="s">
        <v>19</v>
      </c>
      <c r="G1291" s="6" t="s">
        <v>1251</v>
      </c>
      <c r="H1291" s="7">
        <v>45101.0</v>
      </c>
      <c r="I1291" s="8">
        <f t="shared" si="1"/>
        <v>24</v>
      </c>
      <c r="J1291" s="9">
        <f t="shared" si="2"/>
        <v>6</v>
      </c>
      <c r="K1291" s="9">
        <f t="shared" si="3"/>
        <v>2023</v>
      </c>
      <c r="M1291" s="25">
        <f>IFERROR(__xludf.DUMMYFUNCTION("""COMPUTED_VALUE"""),45101.0)</f>
        <v>45101</v>
      </c>
    </row>
    <row r="1292">
      <c r="A1292" s="10" t="s">
        <v>1198</v>
      </c>
      <c r="B1292" s="3" t="s">
        <v>1199</v>
      </c>
      <c r="C1292" s="10" t="s">
        <v>1240</v>
      </c>
      <c r="D1292" s="3" t="s">
        <v>1241</v>
      </c>
      <c r="E1292" s="4" t="s">
        <v>8</v>
      </c>
      <c r="F1292" s="5" t="s">
        <v>23</v>
      </c>
      <c r="G1292" s="6" t="s">
        <v>1252</v>
      </c>
      <c r="H1292" s="7">
        <v>45108.0</v>
      </c>
      <c r="I1292" s="8">
        <f t="shared" si="1"/>
        <v>1</v>
      </c>
      <c r="J1292" s="9">
        <f t="shared" si="2"/>
        <v>7</v>
      </c>
      <c r="K1292" s="9">
        <f t="shared" si="3"/>
        <v>2023</v>
      </c>
      <c r="M1292" s="25">
        <f>IFERROR(__xludf.DUMMYFUNCTION("""COMPUTED_VALUE"""),45108.0)</f>
        <v>45108</v>
      </c>
    </row>
    <row r="1293">
      <c r="A1293" s="10" t="s">
        <v>1198</v>
      </c>
      <c r="B1293" s="3" t="s">
        <v>1199</v>
      </c>
      <c r="C1293" s="10" t="s">
        <v>1240</v>
      </c>
      <c r="D1293" s="3" t="s">
        <v>1241</v>
      </c>
      <c r="E1293" s="4" t="s">
        <v>3</v>
      </c>
      <c r="F1293" s="5" t="s">
        <v>120</v>
      </c>
      <c r="G1293" s="6" t="s">
        <v>1253</v>
      </c>
      <c r="H1293" s="7">
        <v>45112.0</v>
      </c>
      <c r="I1293" s="8">
        <f t="shared" si="1"/>
        <v>5</v>
      </c>
      <c r="J1293" s="9">
        <f t="shared" si="2"/>
        <v>7</v>
      </c>
      <c r="K1293" s="9">
        <f t="shared" si="3"/>
        <v>2023</v>
      </c>
      <c r="M1293" s="25">
        <f>IFERROR(__xludf.DUMMYFUNCTION("""COMPUTED_VALUE"""),45112.0)</f>
        <v>45112</v>
      </c>
    </row>
    <row r="1294">
      <c r="A1294" s="10" t="s">
        <v>1198</v>
      </c>
      <c r="B1294" s="3" t="s">
        <v>1199</v>
      </c>
      <c r="C1294" s="10" t="s">
        <v>1240</v>
      </c>
      <c r="D1294" s="3" t="s">
        <v>1241</v>
      </c>
      <c r="E1294" s="4" t="s">
        <v>3</v>
      </c>
      <c r="F1294" s="5" t="s">
        <v>120</v>
      </c>
      <c r="G1294" s="6" t="s">
        <v>1254</v>
      </c>
      <c r="H1294" s="7">
        <v>45203.0</v>
      </c>
      <c r="I1294" s="8">
        <f t="shared" si="1"/>
        <v>4</v>
      </c>
      <c r="J1294" s="9">
        <f t="shared" si="2"/>
        <v>10</v>
      </c>
      <c r="K1294" s="9">
        <f t="shared" si="3"/>
        <v>2023</v>
      </c>
      <c r="M1294" s="25">
        <f>IFERROR(__xludf.DUMMYFUNCTION("""COMPUTED_VALUE"""),45203.0)</f>
        <v>45203</v>
      </c>
    </row>
    <row r="1295">
      <c r="A1295" s="10" t="s">
        <v>1198</v>
      </c>
      <c r="B1295" s="3" t="s">
        <v>1199</v>
      </c>
      <c r="C1295" s="10" t="s">
        <v>1240</v>
      </c>
      <c r="D1295" s="3" t="s">
        <v>1241</v>
      </c>
      <c r="E1295" s="4" t="s">
        <v>8</v>
      </c>
      <c r="F1295" s="5" t="s">
        <v>39</v>
      </c>
      <c r="G1295" s="6" t="s">
        <v>1255</v>
      </c>
      <c r="H1295" s="7">
        <v>45220.0</v>
      </c>
      <c r="I1295" s="8">
        <f t="shared" si="1"/>
        <v>21</v>
      </c>
      <c r="J1295" s="9">
        <f t="shared" si="2"/>
        <v>10</v>
      </c>
      <c r="K1295" s="9">
        <f t="shared" si="3"/>
        <v>2023</v>
      </c>
      <c r="M1295" s="25">
        <f>IFERROR(__xludf.DUMMYFUNCTION("""COMPUTED_VALUE"""),45220.0)</f>
        <v>45220</v>
      </c>
    </row>
    <row r="1296">
      <c r="A1296" s="10" t="s">
        <v>1198</v>
      </c>
      <c r="B1296" s="3" t="s">
        <v>1199</v>
      </c>
      <c r="C1296" s="10" t="s">
        <v>1240</v>
      </c>
      <c r="D1296" s="3" t="s">
        <v>1241</v>
      </c>
      <c r="E1296" s="4" t="s">
        <v>8</v>
      </c>
      <c r="F1296" s="5" t="s">
        <v>17</v>
      </c>
      <c r="G1296" s="6" t="s">
        <v>686</v>
      </c>
      <c r="H1296" s="7">
        <v>45223.0</v>
      </c>
      <c r="I1296" s="8">
        <f t="shared" si="1"/>
        <v>24</v>
      </c>
      <c r="J1296" s="9">
        <f t="shared" si="2"/>
        <v>10</v>
      </c>
      <c r="K1296" s="9">
        <f t="shared" si="3"/>
        <v>2023</v>
      </c>
      <c r="M1296" s="25">
        <f>IFERROR(__xludf.DUMMYFUNCTION("""COMPUTED_VALUE"""),45223.0)</f>
        <v>45223</v>
      </c>
    </row>
    <row r="1297">
      <c r="A1297" s="10" t="s">
        <v>1198</v>
      </c>
      <c r="B1297" s="3" t="s">
        <v>1199</v>
      </c>
      <c r="C1297" s="10" t="s">
        <v>1240</v>
      </c>
      <c r="D1297" s="3" t="s">
        <v>1241</v>
      </c>
      <c r="E1297" s="4" t="s">
        <v>3</v>
      </c>
      <c r="F1297" s="5" t="s">
        <v>28</v>
      </c>
      <c r="G1297" s="6" t="s">
        <v>1256</v>
      </c>
      <c r="H1297" s="7">
        <v>45225.0</v>
      </c>
      <c r="I1297" s="8">
        <f t="shared" si="1"/>
        <v>26</v>
      </c>
      <c r="J1297" s="9">
        <f t="shared" si="2"/>
        <v>10</v>
      </c>
      <c r="K1297" s="9">
        <f t="shared" si="3"/>
        <v>2023</v>
      </c>
      <c r="M1297" s="25">
        <f>IFERROR(__xludf.DUMMYFUNCTION("""COMPUTED_VALUE"""),45225.0)</f>
        <v>45225</v>
      </c>
    </row>
    <row r="1298">
      <c r="A1298" s="10" t="s">
        <v>1198</v>
      </c>
      <c r="B1298" s="3" t="s">
        <v>1199</v>
      </c>
      <c r="C1298" s="10" t="s">
        <v>1240</v>
      </c>
      <c r="D1298" s="3" t="s">
        <v>1241</v>
      </c>
      <c r="E1298" s="4" t="s">
        <v>3</v>
      </c>
      <c r="F1298" s="5" t="s">
        <v>76</v>
      </c>
      <c r="G1298" s="6" t="s">
        <v>1257</v>
      </c>
      <c r="H1298" s="7">
        <v>45236.0</v>
      </c>
      <c r="I1298" s="8">
        <f t="shared" si="1"/>
        <v>6</v>
      </c>
      <c r="J1298" s="9">
        <f t="shared" si="2"/>
        <v>11</v>
      </c>
      <c r="K1298" s="9">
        <f t="shared" si="3"/>
        <v>2023</v>
      </c>
      <c r="M1298" s="25">
        <f>IFERROR(__xludf.DUMMYFUNCTION("""COMPUTED_VALUE"""),45236.0)</f>
        <v>45236</v>
      </c>
    </row>
    <row r="1299">
      <c r="A1299" s="10" t="s">
        <v>1198</v>
      </c>
      <c r="B1299" s="3" t="s">
        <v>1199</v>
      </c>
      <c r="C1299" s="10" t="s">
        <v>1240</v>
      </c>
      <c r="D1299" s="3" t="s">
        <v>1241</v>
      </c>
      <c r="E1299" s="4" t="s">
        <v>3</v>
      </c>
      <c r="F1299" s="5" t="s">
        <v>21</v>
      </c>
      <c r="G1299" s="6" t="s">
        <v>1218</v>
      </c>
      <c r="H1299" s="7">
        <v>45249.0</v>
      </c>
      <c r="I1299" s="8">
        <f t="shared" si="1"/>
        <v>19</v>
      </c>
      <c r="J1299" s="9">
        <f t="shared" si="2"/>
        <v>11</v>
      </c>
      <c r="K1299" s="9">
        <f t="shared" si="3"/>
        <v>2023</v>
      </c>
      <c r="M1299" s="25">
        <f>IFERROR(__xludf.DUMMYFUNCTION("""COMPUTED_VALUE"""),45249.0)</f>
        <v>45249</v>
      </c>
    </row>
    <row r="1300">
      <c r="A1300" s="10" t="s">
        <v>1198</v>
      </c>
      <c r="B1300" s="3" t="s">
        <v>1199</v>
      </c>
      <c r="C1300" s="10" t="s">
        <v>1240</v>
      </c>
      <c r="D1300" s="3" t="s">
        <v>1241</v>
      </c>
      <c r="E1300" s="4" t="s">
        <v>3</v>
      </c>
      <c r="F1300" s="5" t="s">
        <v>35</v>
      </c>
      <c r="G1300" s="6" t="s">
        <v>893</v>
      </c>
      <c r="H1300" s="7">
        <v>45271.0</v>
      </c>
      <c r="I1300" s="8">
        <f t="shared" si="1"/>
        <v>11</v>
      </c>
      <c r="J1300" s="9">
        <f t="shared" si="2"/>
        <v>12</v>
      </c>
      <c r="K1300" s="9">
        <f t="shared" si="3"/>
        <v>2023</v>
      </c>
      <c r="M1300" s="25">
        <f>IFERROR(__xludf.DUMMYFUNCTION("""COMPUTED_VALUE"""),45271.0)</f>
        <v>45271</v>
      </c>
    </row>
    <row r="1301">
      <c r="A1301" s="10" t="s">
        <v>1213</v>
      </c>
      <c r="B1301" s="3" t="s">
        <v>1214</v>
      </c>
      <c r="C1301" s="10" t="s">
        <v>1258</v>
      </c>
      <c r="D1301" s="3" t="s">
        <v>1259</v>
      </c>
      <c r="E1301" s="4" t="s">
        <v>8</v>
      </c>
      <c r="F1301" s="5" t="s">
        <v>51</v>
      </c>
      <c r="G1301" s="6" t="s">
        <v>1260</v>
      </c>
      <c r="H1301" s="7">
        <v>44941.0</v>
      </c>
      <c r="I1301" s="8">
        <f t="shared" si="1"/>
        <v>15</v>
      </c>
      <c r="J1301" s="9">
        <f t="shared" si="2"/>
        <v>1</v>
      </c>
      <c r="K1301" s="9">
        <f t="shared" si="3"/>
        <v>2023</v>
      </c>
      <c r="M1301" s="25">
        <f>IFERROR(__xludf.DUMMYFUNCTION("""COMPUTED_VALUE"""),44941.0)</f>
        <v>44941</v>
      </c>
    </row>
    <row r="1302">
      <c r="A1302" s="10" t="s">
        <v>1213</v>
      </c>
      <c r="B1302" s="3" t="s">
        <v>1214</v>
      </c>
      <c r="C1302" s="10" t="s">
        <v>1258</v>
      </c>
      <c r="D1302" s="3" t="s">
        <v>1259</v>
      </c>
      <c r="E1302" s="4" t="s">
        <v>3</v>
      </c>
      <c r="F1302" s="5" t="s">
        <v>120</v>
      </c>
      <c r="G1302" s="6" t="s">
        <v>1261</v>
      </c>
      <c r="H1302" s="7">
        <v>44949.0</v>
      </c>
      <c r="I1302" s="8">
        <f t="shared" si="1"/>
        <v>23</v>
      </c>
      <c r="J1302" s="9">
        <f t="shared" si="2"/>
        <v>1</v>
      </c>
      <c r="K1302" s="9">
        <f t="shared" si="3"/>
        <v>2023</v>
      </c>
      <c r="M1302" s="25">
        <f>IFERROR(__xludf.DUMMYFUNCTION("""COMPUTED_VALUE"""),44949.0)</f>
        <v>44949</v>
      </c>
    </row>
    <row r="1303">
      <c r="A1303" s="10" t="s">
        <v>1213</v>
      </c>
      <c r="B1303" s="3" t="s">
        <v>1214</v>
      </c>
      <c r="C1303" s="10" t="s">
        <v>1258</v>
      </c>
      <c r="D1303" s="3" t="s">
        <v>1259</v>
      </c>
      <c r="E1303" s="4" t="s">
        <v>8</v>
      </c>
      <c r="F1303" s="5" t="s">
        <v>96</v>
      </c>
      <c r="G1303" s="6" t="s">
        <v>1262</v>
      </c>
      <c r="H1303" s="7">
        <v>44962.0</v>
      </c>
      <c r="I1303" s="8">
        <f t="shared" si="1"/>
        <v>5</v>
      </c>
      <c r="J1303" s="9">
        <f t="shared" si="2"/>
        <v>2</v>
      </c>
      <c r="K1303" s="9">
        <f t="shared" si="3"/>
        <v>2023</v>
      </c>
      <c r="M1303" s="25">
        <f>IFERROR(__xludf.DUMMYFUNCTION("""COMPUTED_VALUE"""),44962.0)</f>
        <v>44962</v>
      </c>
    </row>
    <row r="1304">
      <c r="A1304" s="10" t="s">
        <v>1213</v>
      </c>
      <c r="B1304" s="3" t="s">
        <v>1214</v>
      </c>
      <c r="C1304" s="10" t="s">
        <v>1258</v>
      </c>
      <c r="D1304" s="3" t="s">
        <v>1259</v>
      </c>
      <c r="E1304" s="4" t="s">
        <v>8</v>
      </c>
      <c r="F1304" s="5" t="s">
        <v>11</v>
      </c>
      <c r="G1304" s="6" t="s">
        <v>1263</v>
      </c>
      <c r="H1304" s="7">
        <v>44972.0</v>
      </c>
      <c r="I1304" s="8">
        <f t="shared" si="1"/>
        <v>15</v>
      </c>
      <c r="J1304" s="9">
        <f t="shared" si="2"/>
        <v>2</v>
      </c>
      <c r="K1304" s="9">
        <f t="shared" si="3"/>
        <v>2023</v>
      </c>
      <c r="M1304" s="25">
        <f>IFERROR(__xludf.DUMMYFUNCTION("""COMPUTED_VALUE"""),44972.0)</f>
        <v>44972</v>
      </c>
    </row>
    <row r="1305">
      <c r="A1305" s="10" t="s">
        <v>1213</v>
      </c>
      <c r="B1305" s="3" t="s">
        <v>1214</v>
      </c>
      <c r="C1305" s="10" t="s">
        <v>1258</v>
      </c>
      <c r="D1305" s="3" t="s">
        <v>1259</v>
      </c>
      <c r="E1305" s="4" t="s">
        <v>3</v>
      </c>
      <c r="F1305" s="5" t="s">
        <v>4</v>
      </c>
      <c r="G1305" s="6" t="s">
        <v>1264</v>
      </c>
      <c r="H1305" s="7">
        <v>44984.0</v>
      </c>
      <c r="I1305" s="8">
        <f t="shared" si="1"/>
        <v>27</v>
      </c>
      <c r="J1305" s="9">
        <f t="shared" si="2"/>
        <v>2</v>
      </c>
      <c r="K1305" s="9">
        <f t="shared" si="3"/>
        <v>2023</v>
      </c>
      <c r="M1305" s="25">
        <f>IFERROR(__xludf.DUMMYFUNCTION("""COMPUTED_VALUE"""),44984.0)</f>
        <v>44984</v>
      </c>
    </row>
    <row r="1306">
      <c r="A1306" s="10" t="s">
        <v>1213</v>
      </c>
      <c r="B1306" s="3" t="s">
        <v>1214</v>
      </c>
      <c r="C1306" s="10" t="s">
        <v>1258</v>
      </c>
      <c r="D1306" s="3" t="s">
        <v>1259</v>
      </c>
      <c r="E1306" s="4" t="s">
        <v>8</v>
      </c>
      <c r="F1306" s="5" t="s">
        <v>23</v>
      </c>
      <c r="G1306" s="6" t="s">
        <v>1265</v>
      </c>
      <c r="H1306" s="7">
        <v>44994.0</v>
      </c>
      <c r="I1306" s="8">
        <f t="shared" si="1"/>
        <v>9</v>
      </c>
      <c r="J1306" s="9">
        <f t="shared" si="2"/>
        <v>3</v>
      </c>
      <c r="K1306" s="9">
        <f t="shared" si="3"/>
        <v>2023</v>
      </c>
      <c r="M1306" s="25">
        <f>IFERROR(__xludf.DUMMYFUNCTION("""COMPUTED_VALUE"""),44994.0)</f>
        <v>44994</v>
      </c>
    </row>
    <row r="1307">
      <c r="A1307" s="10" t="s">
        <v>1213</v>
      </c>
      <c r="B1307" s="3" t="s">
        <v>1214</v>
      </c>
      <c r="C1307" s="10" t="s">
        <v>1258</v>
      </c>
      <c r="D1307" s="3" t="s">
        <v>1259</v>
      </c>
      <c r="E1307" s="4" t="s">
        <v>3</v>
      </c>
      <c r="F1307" s="5" t="s">
        <v>6</v>
      </c>
      <c r="G1307" s="6" t="s">
        <v>1266</v>
      </c>
      <c r="H1307" s="7">
        <v>45009.0</v>
      </c>
      <c r="I1307" s="8">
        <f t="shared" si="1"/>
        <v>24</v>
      </c>
      <c r="J1307" s="9">
        <f t="shared" si="2"/>
        <v>3</v>
      </c>
      <c r="K1307" s="9">
        <f t="shared" si="3"/>
        <v>2023</v>
      </c>
      <c r="M1307" s="25">
        <f>IFERROR(__xludf.DUMMYFUNCTION("""COMPUTED_VALUE"""),45009.0)</f>
        <v>45009</v>
      </c>
    </row>
    <row r="1308">
      <c r="A1308" s="10" t="s">
        <v>1213</v>
      </c>
      <c r="B1308" s="3" t="s">
        <v>1214</v>
      </c>
      <c r="C1308" s="10" t="s">
        <v>1258</v>
      </c>
      <c r="D1308" s="3" t="s">
        <v>1259</v>
      </c>
      <c r="E1308" s="4" t="s">
        <v>8</v>
      </c>
      <c r="F1308" s="5" t="s">
        <v>71</v>
      </c>
      <c r="G1308" s="6" t="s">
        <v>1267</v>
      </c>
      <c r="H1308" s="7">
        <v>45011.0</v>
      </c>
      <c r="I1308" s="8">
        <f t="shared" si="1"/>
        <v>26</v>
      </c>
      <c r="J1308" s="9">
        <f t="shared" si="2"/>
        <v>3</v>
      </c>
      <c r="K1308" s="9">
        <f t="shared" si="3"/>
        <v>2023</v>
      </c>
      <c r="M1308" s="25">
        <f>IFERROR(__xludf.DUMMYFUNCTION("""COMPUTED_VALUE"""),45011.0)</f>
        <v>45011</v>
      </c>
    </row>
    <row r="1309">
      <c r="A1309" s="10" t="s">
        <v>1213</v>
      </c>
      <c r="B1309" s="3" t="s">
        <v>1214</v>
      </c>
      <c r="C1309" s="10" t="s">
        <v>1258</v>
      </c>
      <c r="D1309" s="3" t="s">
        <v>1259</v>
      </c>
      <c r="E1309" s="4" t="s">
        <v>8</v>
      </c>
      <c r="F1309" s="5" t="s">
        <v>4</v>
      </c>
      <c r="G1309" s="6" t="s">
        <v>1268</v>
      </c>
      <c r="H1309" s="7">
        <v>45041.0</v>
      </c>
      <c r="I1309" s="8">
        <f t="shared" si="1"/>
        <v>25</v>
      </c>
      <c r="J1309" s="9">
        <f t="shared" si="2"/>
        <v>4</v>
      </c>
      <c r="K1309" s="9">
        <f t="shared" si="3"/>
        <v>2023</v>
      </c>
      <c r="M1309" s="25">
        <f>IFERROR(__xludf.DUMMYFUNCTION("""COMPUTED_VALUE"""),45041.0)</f>
        <v>45041</v>
      </c>
    </row>
    <row r="1310">
      <c r="A1310" s="10" t="s">
        <v>1213</v>
      </c>
      <c r="B1310" s="3" t="s">
        <v>1214</v>
      </c>
      <c r="C1310" s="10" t="s">
        <v>1258</v>
      </c>
      <c r="D1310" s="3" t="s">
        <v>1259</v>
      </c>
      <c r="E1310" s="4" t="s">
        <v>8</v>
      </c>
      <c r="F1310" s="5" t="s">
        <v>39</v>
      </c>
      <c r="G1310" s="6" t="s">
        <v>1269</v>
      </c>
      <c r="H1310" s="7">
        <v>45069.0</v>
      </c>
      <c r="I1310" s="8">
        <f t="shared" si="1"/>
        <v>23</v>
      </c>
      <c r="J1310" s="9">
        <f t="shared" si="2"/>
        <v>5</v>
      </c>
      <c r="K1310" s="9">
        <f t="shared" si="3"/>
        <v>2023</v>
      </c>
      <c r="M1310" s="25">
        <f>IFERROR(__xludf.DUMMYFUNCTION("""COMPUTED_VALUE"""),45069.0)</f>
        <v>45069</v>
      </c>
    </row>
    <row r="1311">
      <c r="A1311" s="10" t="s">
        <v>1213</v>
      </c>
      <c r="B1311" s="3" t="s">
        <v>1214</v>
      </c>
      <c r="C1311" s="10" t="s">
        <v>1258</v>
      </c>
      <c r="D1311" s="3" t="s">
        <v>1259</v>
      </c>
      <c r="E1311" s="4" t="s">
        <v>3</v>
      </c>
      <c r="F1311" s="5" t="s">
        <v>23</v>
      </c>
      <c r="G1311" s="6" t="s">
        <v>1042</v>
      </c>
      <c r="H1311" s="7">
        <v>45073.0</v>
      </c>
      <c r="I1311" s="8">
        <f t="shared" si="1"/>
        <v>27</v>
      </c>
      <c r="J1311" s="9">
        <f t="shared" si="2"/>
        <v>5</v>
      </c>
      <c r="K1311" s="9">
        <f t="shared" si="3"/>
        <v>2023</v>
      </c>
      <c r="M1311" s="25">
        <f>IFERROR(__xludf.DUMMYFUNCTION("""COMPUTED_VALUE"""),45073.0)</f>
        <v>45073</v>
      </c>
    </row>
    <row r="1312">
      <c r="A1312" s="10" t="s">
        <v>1213</v>
      </c>
      <c r="B1312" s="3" t="s">
        <v>1214</v>
      </c>
      <c r="C1312" s="10" t="s">
        <v>1258</v>
      </c>
      <c r="D1312" s="3" t="s">
        <v>1259</v>
      </c>
      <c r="E1312" s="4" t="s">
        <v>8</v>
      </c>
      <c r="F1312" s="5" t="s">
        <v>17</v>
      </c>
      <c r="G1312" s="6" t="s">
        <v>1270</v>
      </c>
      <c r="H1312" s="7">
        <v>45086.0</v>
      </c>
      <c r="I1312" s="8">
        <f t="shared" si="1"/>
        <v>9</v>
      </c>
      <c r="J1312" s="9">
        <f t="shared" si="2"/>
        <v>6</v>
      </c>
      <c r="K1312" s="9">
        <f t="shared" si="3"/>
        <v>2023</v>
      </c>
      <c r="M1312" s="25">
        <f>IFERROR(__xludf.DUMMYFUNCTION("""COMPUTED_VALUE"""),45086.0)</f>
        <v>45086</v>
      </c>
    </row>
    <row r="1313">
      <c r="A1313" s="10" t="s">
        <v>1213</v>
      </c>
      <c r="B1313" s="3" t="s">
        <v>1214</v>
      </c>
      <c r="C1313" s="10" t="s">
        <v>1258</v>
      </c>
      <c r="D1313" s="3" t="s">
        <v>1259</v>
      </c>
      <c r="E1313" s="4" t="s">
        <v>8</v>
      </c>
      <c r="F1313" s="5" t="s">
        <v>4</v>
      </c>
      <c r="G1313" s="6" t="s">
        <v>1271</v>
      </c>
      <c r="H1313" s="7">
        <v>45089.0</v>
      </c>
      <c r="I1313" s="8">
        <f t="shared" si="1"/>
        <v>12</v>
      </c>
      <c r="J1313" s="9">
        <f t="shared" si="2"/>
        <v>6</v>
      </c>
      <c r="K1313" s="9">
        <f t="shared" si="3"/>
        <v>2023</v>
      </c>
      <c r="M1313" s="25">
        <f>IFERROR(__xludf.DUMMYFUNCTION("""COMPUTED_VALUE"""),45089.0)</f>
        <v>45089</v>
      </c>
    </row>
    <row r="1314">
      <c r="A1314" s="10" t="s">
        <v>1213</v>
      </c>
      <c r="B1314" s="3" t="s">
        <v>1214</v>
      </c>
      <c r="C1314" s="10" t="s">
        <v>1258</v>
      </c>
      <c r="D1314" s="3" t="s">
        <v>1259</v>
      </c>
      <c r="E1314" s="4" t="s">
        <v>8</v>
      </c>
      <c r="F1314" s="5" t="s">
        <v>51</v>
      </c>
      <c r="G1314" s="6" t="s">
        <v>1272</v>
      </c>
      <c r="H1314" s="7">
        <v>45148.0</v>
      </c>
      <c r="I1314" s="8">
        <f t="shared" si="1"/>
        <v>10</v>
      </c>
      <c r="J1314" s="9">
        <f t="shared" si="2"/>
        <v>8</v>
      </c>
      <c r="K1314" s="9">
        <f t="shared" si="3"/>
        <v>2023</v>
      </c>
      <c r="M1314" s="25">
        <f>IFERROR(__xludf.DUMMYFUNCTION("""COMPUTED_VALUE"""),45148.0)</f>
        <v>45148</v>
      </c>
    </row>
    <row r="1315">
      <c r="A1315" s="10" t="s">
        <v>1213</v>
      </c>
      <c r="B1315" s="3" t="s">
        <v>1214</v>
      </c>
      <c r="C1315" s="10" t="s">
        <v>1258</v>
      </c>
      <c r="D1315" s="3" t="s">
        <v>1259</v>
      </c>
      <c r="E1315" s="4" t="s">
        <v>3</v>
      </c>
      <c r="F1315" s="5" t="s">
        <v>13</v>
      </c>
      <c r="G1315" s="6" t="s">
        <v>1273</v>
      </c>
      <c r="H1315" s="7">
        <v>45170.0</v>
      </c>
      <c r="I1315" s="8">
        <f t="shared" si="1"/>
        <v>1</v>
      </c>
      <c r="J1315" s="9">
        <f t="shared" si="2"/>
        <v>9</v>
      </c>
      <c r="K1315" s="9">
        <f t="shared" si="3"/>
        <v>2023</v>
      </c>
      <c r="M1315" s="25">
        <f>IFERROR(__xludf.DUMMYFUNCTION("""COMPUTED_VALUE"""),45170.0)</f>
        <v>45170</v>
      </c>
    </row>
    <row r="1316">
      <c r="A1316" s="10" t="s">
        <v>1213</v>
      </c>
      <c r="B1316" s="3" t="s">
        <v>1214</v>
      </c>
      <c r="C1316" s="10" t="s">
        <v>1258</v>
      </c>
      <c r="D1316" s="3" t="s">
        <v>1259</v>
      </c>
      <c r="E1316" s="4" t="s">
        <v>3</v>
      </c>
      <c r="F1316" s="5" t="s">
        <v>51</v>
      </c>
      <c r="G1316" s="6" t="s">
        <v>1274</v>
      </c>
      <c r="H1316" s="7">
        <v>45173.0</v>
      </c>
      <c r="I1316" s="8">
        <f t="shared" si="1"/>
        <v>4</v>
      </c>
      <c r="J1316" s="9">
        <f t="shared" si="2"/>
        <v>9</v>
      </c>
      <c r="K1316" s="9">
        <f t="shared" si="3"/>
        <v>2023</v>
      </c>
      <c r="M1316" s="25">
        <f>IFERROR(__xludf.DUMMYFUNCTION("""COMPUTED_VALUE"""),45173.0)</f>
        <v>45173</v>
      </c>
    </row>
    <row r="1317">
      <c r="A1317" s="10" t="s">
        <v>1213</v>
      </c>
      <c r="B1317" s="3" t="s">
        <v>1214</v>
      </c>
      <c r="C1317" s="10" t="s">
        <v>1258</v>
      </c>
      <c r="D1317" s="3" t="s">
        <v>1259</v>
      </c>
      <c r="E1317" s="4" t="s">
        <v>3</v>
      </c>
      <c r="F1317" s="5" t="s">
        <v>6</v>
      </c>
      <c r="G1317" s="6" t="s">
        <v>1275</v>
      </c>
      <c r="H1317" s="7">
        <v>45245.0</v>
      </c>
      <c r="I1317" s="8">
        <f t="shared" si="1"/>
        <v>15</v>
      </c>
      <c r="J1317" s="9">
        <f t="shared" si="2"/>
        <v>11</v>
      </c>
      <c r="K1317" s="9">
        <f t="shared" si="3"/>
        <v>2023</v>
      </c>
      <c r="M1317" s="25">
        <f>IFERROR(__xludf.DUMMYFUNCTION("""COMPUTED_VALUE"""),45245.0)</f>
        <v>45245</v>
      </c>
    </row>
    <row r="1318">
      <c r="A1318" s="10" t="s">
        <v>1213</v>
      </c>
      <c r="B1318" s="3" t="s">
        <v>1214</v>
      </c>
      <c r="C1318" s="10" t="s">
        <v>1258</v>
      </c>
      <c r="D1318" s="3" t="s">
        <v>1259</v>
      </c>
      <c r="E1318" s="4" t="s">
        <v>3</v>
      </c>
      <c r="F1318" s="5" t="s">
        <v>45</v>
      </c>
      <c r="G1318" s="6" t="s">
        <v>1276</v>
      </c>
      <c r="H1318" s="7">
        <v>45251.0</v>
      </c>
      <c r="I1318" s="8">
        <f t="shared" si="1"/>
        <v>21</v>
      </c>
      <c r="J1318" s="9">
        <f t="shared" si="2"/>
        <v>11</v>
      </c>
      <c r="K1318" s="9">
        <f t="shared" si="3"/>
        <v>2023</v>
      </c>
      <c r="M1318" s="25">
        <f>IFERROR(__xludf.DUMMYFUNCTION("""COMPUTED_VALUE"""),45251.0)</f>
        <v>45251</v>
      </c>
    </row>
    <row r="1319">
      <c r="A1319" s="10" t="s">
        <v>1213</v>
      </c>
      <c r="B1319" s="3" t="s">
        <v>1214</v>
      </c>
      <c r="C1319" s="10" t="s">
        <v>1258</v>
      </c>
      <c r="D1319" s="3" t="s">
        <v>1259</v>
      </c>
      <c r="E1319" s="4" t="s">
        <v>3</v>
      </c>
      <c r="F1319" s="5" t="s">
        <v>13</v>
      </c>
      <c r="G1319" s="6" t="s">
        <v>1277</v>
      </c>
      <c r="H1319" s="7">
        <v>45255.0</v>
      </c>
      <c r="I1319" s="8">
        <f t="shared" si="1"/>
        <v>25</v>
      </c>
      <c r="J1319" s="9">
        <f t="shared" si="2"/>
        <v>11</v>
      </c>
      <c r="K1319" s="9">
        <f t="shared" si="3"/>
        <v>2023</v>
      </c>
      <c r="M1319" s="25">
        <f>IFERROR(__xludf.DUMMYFUNCTION("""COMPUTED_VALUE"""),45255.0)</f>
        <v>45255</v>
      </c>
    </row>
    <row r="1320">
      <c r="A1320" s="10" t="s">
        <v>1213</v>
      </c>
      <c r="B1320" s="3" t="s">
        <v>1214</v>
      </c>
      <c r="C1320" s="10" t="s">
        <v>1258</v>
      </c>
      <c r="D1320" s="3" t="s">
        <v>1259</v>
      </c>
      <c r="E1320" s="4" t="s">
        <v>8</v>
      </c>
      <c r="F1320" s="5" t="s">
        <v>15</v>
      </c>
      <c r="G1320" s="6" t="s">
        <v>782</v>
      </c>
      <c r="H1320" s="7">
        <v>45270.0</v>
      </c>
      <c r="I1320" s="8">
        <f t="shared" si="1"/>
        <v>10</v>
      </c>
      <c r="J1320" s="9">
        <f t="shared" si="2"/>
        <v>12</v>
      </c>
      <c r="K1320" s="9">
        <f t="shared" si="3"/>
        <v>2023</v>
      </c>
      <c r="M1320" s="25">
        <f>IFERROR(__xludf.DUMMYFUNCTION("""COMPUTED_VALUE"""),45270.0)</f>
        <v>45270</v>
      </c>
    </row>
    <row r="1321">
      <c r="A1321" s="10" t="s">
        <v>1228</v>
      </c>
      <c r="B1321" s="3" t="s">
        <v>1229</v>
      </c>
      <c r="C1321" s="10" t="s">
        <v>1278</v>
      </c>
      <c r="D1321" s="3" t="s">
        <v>1279</v>
      </c>
      <c r="E1321" s="4" t="s">
        <v>3</v>
      </c>
      <c r="F1321" s="5" t="s">
        <v>9</v>
      </c>
      <c r="G1321" s="6" t="s">
        <v>1280</v>
      </c>
      <c r="H1321" s="7">
        <v>44953.0</v>
      </c>
      <c r="I1321" s="8">
        <f t="shared" si="1"/>
        <v>27</v>
      </c>
      <c r="J1321" s="9">
        <f t="shared" si="2"/>
        <v>1</v>
      </c>
      <c r="K1321" s="9">
        <f t="shared" si="3"/>
        <v>2023</v>
      </c>
      <c r="M1321" s="25">
        <f>IFERROR(__xludf.DUMMYFUNCTION("""COMPUTED_VALUE"""),44953.0)</f>
        <v>44953</v>
      </c>
    </row>
    <row r="1322">
      <c r="A1322" s="10" t="s">
        <v>1228</v>
      </c>
      <c r="B1322" s="3" t="s">
        <v>1229</v>
      </c>
      <c r="C1322" s="10" t="s">
        <v>1278</v>
      </c>
      <c r="D1322" s="3" t="s">
        <v>1279</v>
      </c>
      <c r="E1322" s="4" t="s">
        <v>8</v>
      </c>
      <c r="F1322" s="5" t="s">
        <v>39</v>
      </c>
      <c r="G1322" s="6" t="s">
        <v>1281</v>
      </c>
      <c r="H1322" s="7">
        <v>44959.0</v>
      </c>
      <c r="I1322" s="8">
        <f t="shared" si="1"/>
        <v>2</v>
      </c>
      <c r="J1322" s="9">
        <f t="shared" si="2"/>
        <v>2</v>
      </c>
      <c r="K1322" s="9">
        <f t="shared" si="3"/>
        <v>2023</v>
      </c>
      <c r="M1322" s="25">
        <f>IFERROR(__xludf.DUMMYFUNCTION("""COMPUTED_VALUE"""),44959.0)</f>
        <v>44959</v>
      </c>
    </row>
    <row r="1323">
      <c r="A1323" s="10" t="s">
        <v>1228</v>
      </c>
      <c r="B1323" s="3" t="s">
        <v>1229</v>
      </c>
      <c r="C1323" s="10" t="s">
        <v>1278</v>
      </c>
      <c r="D1323" s="3" t="s">
        <v>1279</v>
      </c>
      <c r="E1323" s="4" t="s">
        <v>3</v>
      </c>
      <c r="F1323" s="5" t="s">
        <v>6</v>
      </c>
      <c r="G1323" s="6" t="s">
        <v>1282</v>
      </c>
      <c r="H1323" s="7">
        <v>44967.0</v>
      </c>
      <c r="I1323" s="8">
        <f t="shared" si="1"/>
        <v>10</v>
      </c>
      <c r="J1323" s="9">
        <f t="shared" si="2"/>
        <v>2</v>
      </c>
      <c r="K1323" s="9">
        <f t="shared" si="3"/>
        <v>2023</v>
      </c>
      <c r="M1323" s="25">
        <f>IFERROR(__xludf.DUMMYFUNCTION("""COMPUTED_VALUE"""),44967.0)</f>
        <v>44967</v>
      </c>
    </row>
    <row r="1324">
      <c r="A1324" s="10" t="s">
        <v>1228</v>
      </c>
      <c r="B1324" s="3" t="s">
        <v>1229</v>
      </c>
      <c r="C1324" s="10" t="s">
        <v>1278</v>
      </c>
      <c r="D1324" s="3" t="s">
        <v>1279</v>
      </c>
      <c r="E1324" s="4" t="s">
        <v>3</v>
      </c>
      <c r="F1324" s="5" t="s">
        <v>23</v>
      </c>
      <c r="G1324" s="6" t="s">
        <v>1283</v>
      </c>
      <c r="H1324" s="7">
        <v>44971.0</v>
      </c>
      <c r="I1324" s="8">
        <f t="shared" si="1"/>
        <v>14</v>
      </c>
      <c r="J1324" s="9">
        <f t="shared" si="2"/>
        <v>2</v>
      </c>
      <c r="K1324" s="9">
        <f t="shared" si="3"/>
        <v>2023</v>
      </c>
      <c r="M1324" s="25">
        <f>IFERROR(__xludf.DUMMYFUNCTION("""COMPUTED_VALUE"""),44971.0)</f>
        <v>44971</v>
      </c>
    </row>
    <row r="1325">
      <c r="A1325" s="10" t="s">
        <v>1228</v>
      </c>
      <c r="B1325" s="3" t="s">
        <v>1229</v>
      </c>
      <c r="C1325" s="10" t="s">
        <v>1278</v>
      </c>
      <c r="D1325" s="3" t="s">
        <v>1279</v>
      </c>
      <c r="E1325" s="4" t="s">
        <v>8</v>
      </c>
      <c r="F1325" s="5" t="s">
        <v>76</v>
      </c>
      <c r="G1325" s="6" t="s">
        <v>1284</v>
      </c>
      <c r="H1325" s="7">
        <v>44974.0</v>
      </c>
      <c r="I1325" s="8">
        <f t="shared" si="1"/>
        <v>17</v>
      </c>
      <c r="J1325" s="9">
        <f t="shared" si="2"/>
        <v>2</v>
      </c>
      <c r="K1325" s="9">
        <f t="shared" si="3"/>
        <v>2023</v>
      </c>
      <c r="M1325" s="25">
        <f>IFERROR(__xludf.DUMMYFUNCTION("""COMPUTED_VALUE"""),44974.0)</f>
        <v>44974</v>
      </c>
    </row>
    <row r="1326">
      <c r="A1326" s="10" t="s">
        <v>1228</v>
      </c>
      <c r="B1326" s="3" t="s">
        <v>1229</v>
      </c>
      <c r="C1326" s="10" t="s">
        <v>1278</v>
      </c>
      <c r="D1326" s="3" t="s">
        <v>1279</v>
      </c>
      <c r="E1326" s="4" t="s">
        <v>8</v>
      </c>
      <c r="F1326" s="5" t="s">
        <v>21</v>
      </c>
      <c r="G1326" s="6" t="s">
        <v>1285</v>
      </c>
      <c r="H1326" s="7">
        <v>45003.0</v>
      </c>
      <c r="I1326" s="8">
        <f t="shared" si="1"/>
        <v>18</v>
      </c>
      <c r="J1326" s="9">
        <f t="shared" si="2"/>
        <v>3</v>
      </c>
      <c r="K1326" s="9">
        <f t="shared" si="3"/>
        <v>2023</v>
      </c>
      <c r="M1326" s="25">
        <f>IFERROR(__xludf.DUMMYFUNCTION("""COMPUTED_VALUE"""),45003.0)</f>
        <v>45003</v>
      </c>
    </row>
    <row r="1327">
      <c r="A1327" s="10" t="s">
        <v>1228</v>
      </c>
      <c r="B1327" s="3" t="s">
        <v>1229</v>
      </c>
      <c r="C1327" s="10" t="s">
        <v>1278</v>
      </c>
      <c r="D1327" s="3" t="s">
        <v>1279</v>
      </c>
      <c r="E1327" s="4" t="s">
        <v>8</v>
      </c>
      <c r="F1327" s="5" t="s">
        <v>23</v>
      </c>
      <c r="G1327" s="6" t="s">
        <v>1286</v>
      </c>
      <c r="H1327" s="7">
        <v>45004.0</v>
      </c>
      <c r="I1327" s="8">
        <f t="shared" si="1"/>
        <v>19</v>
      </c>
      <c r="J1327" s="9">
        <f t="shared" si="2"/>
        <v>3</v>
      </c>
      <c r="K1327" s="9">
        <f t="shared" si="3"/>
        <v>2023</v>
      </c>
      <c r="M1327" s="25">
        <f>IFERROR(__xludf.DUMMYFUNCTION("""COMPUTED_VALUE"""),45004.0)</f>
        <v>45004</v>
      </c>
    </row>
    <row r="1328">
      <c r="A1328" s="10" t="s">
        <v>1228</v>
      </c>
      <c r="B1328" s="3" t="s">
        <v>1229</v>
      </c>
      <c r="C1328" s="10" t="s">
        <v>1278</v>
      </c>
      <c r="D1328" s="3" t="s">
        <v>1279</v>
      </c>
      <c r="E1328" s="4" t="s">
        <v>3</v>
      </c>
      <c r="F1328" s="5" t="s">
        <v>76</v>
      </c>
      <c r="G1328" s="6" t="s">
        <v>1287</v>
      </c>
      <c r="H1328" s="7">
        <v>45023.0</v>
      </c>
      <c r="I1328" s="8">
        <f t="shared" si="1"/>
        <v>7</v>
      </c>
      <c r="J1328" s="9">
        <f t="shared" si="2"/>
        <v>4</v>
      </c>
      <c r="K1328" s="9">
        <f t="shared" si="3"/>
        <v>2023</v>
      </c>
      <c r="M1328" s="25">
        <f>IFERROR(__xludf.DUMMYFUNCTION("""COMPUTED_VALUE"""),45023.0)</f>
        <v>45023</v>
      </c>
    </row>
    <row r="1329">
      <c r="A1329" s="10" t="s">
        <v>1228</v>
      </c>
      <c r="B1329" s="3" t="s">
        <v>1229</v>
      </c>
      <c r="C1329" s="10" t="s">
        <v>1278</v>
      </c>
      <c r="D1329" s="3" t="s">
        <v>1279</v>
      </c>
      <c r="E1329" s="4" t="s">
        <v>8</v>
      </c>
      <c r="F1329" s="5" t="s">
        <v>6</v>
      </c>
      <c r="G1329" s="6" t="s">
        <v>1288</v>
      </c>
      <c r="H1329" s="7">
        <v>45051.0</v>
      </c>
      <c r="I1329" s="8">
        <f t="shared" si="1"/>
        <v>5</v>
      </c>
      <c r="J1329" s="9">
        <f t="shared" si="2"/>
        <v>5</v>
      </c>
      <c r="K1329" s="9">
        <f t="shared" si="3"/>
        <v>2023</v>
      </c>
      <c r="M1329" s="25">
        <f>IFERROR(__xludf.DUMMYFUNCTION("""COMPUTED_VALUE"""),45051.0)</f>
        <v>45051</v>
      </c>
    </row>
    <row r="1330">
      <c r="A1330" s="10" t="s">
        <v>1228</v>
      </c>
      <c r="B1330" s="3" t="s">
        <v>1229</v>
      </c>
      <c r="C1330" s="10" t="s">
        <v>1278</v>
      </c>
      <c r="D1330" s="3" t="s">
        <v>1279</v>
      </c>
      <c r="E1330" s="4" t="s">
        <v>3</v>
      </c>
      <c r="F1330" s="5" t="s">
        <v>96</v>
      </c>
      <c r="G1330" s="6" t="s">
        <v>774</v>
      </c>
      <c r="H1330" s="7">
        <v>45082.0</v>
      </c>
      <c r="I1330" s="8">
        <f t="shared" si="1"/>
        <v>5</v>
      </c>
      <c r="J1330" s="9">
        <f t="shared" si="2"/>
        <v>6</v>
      </c>
      <c r="K1330" s="9">
        <f t="shared" si="3"/>
        <v>2023</v>
      </c>
      <c r="M1330" s="25">
        <f>IFERROR(__xludf.DUMMYFUNCTION("""COMPUTED_VALUE"""),45082.0)</f>
        <v>45082</v>
      </c>
    </row>
    <row r="1331">
      <c r="A1331" s="10" t="s">
        <v>1228</v>
      </c>
      <c r="B1331" s="3" t="s">
        <v>1229</v>
      </c>
      <c r="C1331" s="10" t="s">
        <v>1278</v>
      </c>
      <c r="D1331" s="3" t="s">
        <v>1279</v>
      </c>
      <c r="E1331" s="4" t="s">
        <v>8</v>
      </c>
      <c r="F1331" s="5" t="s">
        <v>15</v>
      </c>
      <c r="G1331" s="6" t="s">
        <v>1289</v>
      </c>
      <c r="H1331" s="7">
        <v>45086.0</v>
      </c>
      <c r="I1331" s="8">
        <f t="shared" si="1"/>
        <v>9</v>
      </c>
      <c r="J1331" s="9">
        <f t="shared" si="2"/>
        <v>6</v>
      </c>
      <c r="K1331" s="9">
        <f t="shared" si="3"/>
        <v>2023</v>
      </c>
      <c r="M1331" s="25">
        <f>IFERROR(__xludf.DUMMYFUNCTION("""COMPUTED_VALUE"""),45086.0)</f>
        <v>45086</v>
      </c>
    </row>
    <row r="1332">
      <c r="A1332" s="10" t="s">
        <v>1228</v>
      </c>
      <c r="B1332" s="3" t="s">
        <v>1229</v>
      </c>
      <c r="C1332" s="10" t="s">
        <v>1278</v>
      </c>
      <c r="D1332" s="3" t="s">
        <v>1279</v>
      </c>
      <c r="E1332" s="4" t="s">
        <v>8</v>
      </c>
      <c r="F1332" s="5" t="s">
        <v>15</v>
      </c>
      <c r="G1332" s="6" t="s">
        <v>1290</v>
      </c>
      <c r="H1332" s="7">
        <v>45089.0</v>
      </c>
      <c r="I1332" s="8">
        <f t="shared" si="1"/>
        <v>12</v>
      </c>
      <c r="J1332" s="9">
        <f t="shared" si="2"/>
        <v>6</v>
      </c>
      <c r="K1332" s="9">
        <f t="shared" si="3"/>
        <v>2023</v>
      </c>
      <c r="M1332" s="25">
        <f>IFERROR(__xludf.DUMMYFUNCTION("""COMPUTED_VALUE"""),45089.0)</f>
        <v>45089</v>
      </c>
    </row>
    <row r="1333">
      <c r="A1333" s="10" t="s">
        <v>1228</v>
      </c>
      <c r="B1333" s="3" t="s">
        <v>1229</v>
      </c>
      <c r="C1333" s="10" t="s">
        <v>1278</v>
      </c>
      <c r="D1333" s="3" t="s">
        <v>1279</v>
      </c>
      <c r="E1333" s="4" t="s">
        <v>3</v>
      </c>
      <c r="F1333" s="5" t="s">
        <v>9</v>
      </c>
      <c r="G1333" s="6" t="s">
        <v>1291</v>
      </c>
      <c r="H1333" s="7">
        <v>45105.0</v>
      </c>
      <c r="I1333" s="8">
        <f t="shared" si="1"/>
        <v>28</v>
      </c>
      <c r="J1333" s="9">
        <f t="shared" si="2"/>
        <v>6</v>
      </c>
      <c r="K1333" s="9">
        <f t="shared" si="3"/>
        <v>2023</v>
      </c>
      <c r="M1333" s="25">
        <f>IFERROR(__xludf.DUMMYFUNCTION("""COMPUTED_VALUE"""),45105.0)</f>
        <v>45105</v>
      </c>
    </row>
    <row r="1334">
      <c r="A1334" s="10" t="s">
        <v>1228</v>
      </c>
      <c r="B1334" s="3" t="s">
        <v>1229</v>
      </c>
      <c r="C1334" s="10" t="s">
        <v>1278</v>
      </c>
      <c r="D1334" s="3" t="s">
        <v>1279</v>
      </c>
      <c r="E1334" s="4" t="s">
        <v>3</v>
      </c>
      <c r="F1334" s="5" t="s">
        <v>17</v>
      </c>
      <c r="G1334" s="6" t="s">
        <v>1292</v>
      </c>
      <c r="H1334" s="7">
        <v>45193.0</v>
      </c>
      <c r="I1334" s="8">
        <f t="shared" si="1"/>
        <v>24</v>
      </c>
      <c r="J1334" s="9">
        <f t="shared" si="2"/>
        <v>9</v>
      </c>
      <c r="K1334" s="9">
        <f t="shared" si="3"/>
        <v>2023</v>
      </c>
      <c r="M1334" s="25">
        <f>IFERROR(__xludf.DUMMYFUNCTION("""COMPUTED_VALUE"""),45193.0)</f>
        <v>45193</v>
      </c>
    </row>
    <row r="1335">
      <c r="A1335" s="10" t="s">
        <v>1228</v>
      </c>
      <c r="B1335" s="3" t="s">
        <v>1229</v>
      </c>
      <c r="C1335" s="10" t="s">
        <v>1278</v>
      </c>
      <c r="D1335" s="3" t="s">
        <v>1279</v>
      </c>
      <c r="E1335" s="4" t="s">
        <v>3</v>
      </c>
      <c r="F1335" s="5" t="s">
        <v>17</v>
      </c>
      <c r="G1335" s="6" t="s">
        <v>335</v>
      </c>
      <c r="H1335" s="7">
        <v>45216.0</v>
      </c>
      <c r="I1335" s="8">
        <f t="shared" si="1"/>
        <v>17</v>
      </c>
      <c r="J1335" s="9">
        <f t="shared" si="2"/>
        <v>10</v>
      </c>
      <c r="K1335" s="9">
        <f t="shared" si="3"/>
        <v>2023</v>
      </c>
      <c r="M1335" s="25">
        <f>IFERROR(__xludf.DUMMYFUNCTION("""COMPUTED_VALUE"""),45216.0)</f>
        <v>45216</v>
      </c>
    </row>
    <row r="1336">
      <c r="A1336" s="10" t="s">
        <v>1228</v>
      </c>
      <c r="B1336" s="3" t="s">
        <v>1229</v>
      </c>
      <c r="C1336" s="10" t="s">
        <v>1278</v>
      </c>
      <c r="D1336" s="3" t="s">
        <v>1279</v>
      </c>
      <c r="E1336" s="4" t="s">
        <v>3</v>
      </c>
      <c r="F1336" s="5" t="s">
        <v>21</v>
      </c>
      <c r="G1336" s="6" t="s">
        <v>802</v>
      </c>
      <c r="H1336" s="7">
        <v>45255.0</v>
      </c>
      <c r="I1336" s="8">
        <f t="shared" si="1"/>
        <v>25</v>
      </c>
      <c r="J1336" s="9">
        <f t="shared" si="2"/>
        <v>11</v>
      </c>
      <c r="K1336" s="9">
        <f t="shared" si="3"/>
        <v>2023</v>
      </c>
      <c r="M1336" s="25">
        <f>IFERROR(__xludf.DUMMYFUNCTION("""COMPUTED_VALUE"""),45255.0)</f>
        <v>45255</v>
      </c>
    </row>
    <row r="1337">
      <c r="A1337" s="10" t="s">
        <v>1228</v>
      </c>
      <c r="B1337" s="3" t="s">
        <v>1229</v>
      </c>
      <c r="C1337" s="10" t="s">
        <v>1278</v>
      </c>
      <c r="D1337" s="3" t="s">
        <v>1279</v>
      </c>
      <c r="E1337" s="4" t="s">
        <v>3</v>
      </c>
      <c r="F1337" s="5" t="s">
        <v>35</v>
      </c>
      <c r="G1337" s="6" t="s">
        <v>1293</v>
      </c>
      <c r="H1337" s="7">
        <v>45273.0</v>
      </c>
      <c r="I1337" s="8">
        <f t="shared" si="1"/>
        <v>13</v>
      </c>
      <c r="J1337" s="9">
        <f t="shared" si="2"/>
        <v>12</v>
      </c>
      <c r="K1337" s="9">
        <f t="shared" si="3"/>
        <v>2023</v>
      </c>
      <c r="M1337" s="25">
        <f>IFERROR(__xludf.DUMMYFUNCTION("""COMPUTED_VALUE"""),45273.0)</f>
        <v>45273</v>
      </c>
    </row>
    <row r="1338">
      <c r="A1338" s="10" t="s">
        <v>1228</v>
      </c>
      <c r="B1338" s="3" t="s">
        <v>1229</v>
      </c>
      <c r="C1338" s="10" t="s">
        <v>1278</v>
      </c>
      <c r="D1338" s="3" t="s">
        <v>1279</v>
      </c>
      <c r="E1338" s="4" t="s">
        <v>3</v>
      </c>
      <c r="F1338" s="5" t="s">
        <v>19</v>
      </c>
      <c r="G1338" s="6" t="s">
        <v>1294</v>
      </c>
      <c r="H1338" s="7">
        <v>45275.0</v>
      </c>
      <c r="I1338" s="8">
        <f t="shared" si="1"/>
        <v>15</v>
      </c>
      <c r="J1338" s="9">
        <f t="shared" si="2"/>
        <v>12</v>
      </c>
      <c r="K1338" s="9">
        <f t="shared" si="3"/>
        <v>2023</v>
      </c>
      <c r="M1338" s="25">
        <f>IFERROR(__xludf.DUMMYFUNCTION("""COMPUTED_VALUE"""),45275.0)</f>
        <v>45275</v>
      </c>
    </row>
    <row r="1339">
      <c r="A1339" s="10" t="s">
        <v>1228</v>
      </c>
      <c r="B1339" s="3" t="s">
        <v>1229</v>
      </c>
      <c r="C1339" s="10" t="s">
        <v>1278</v>
      </c>
      <c r="D1339" s="3" t="s">
        <v>1279</v>
      </c>
      <c r="E1339" s="4" t="s">
        <v>8</v>
      </c>
      <c r="F1339" s="5" t="s">
        <v>21</v>
      </c>
      <c r="G1339" s="6" t="s">
        <v>1295</v>
      </c>
      <c r="H1339" s="7">
        <v>45280.0</v>
      </c>
      <c r="I1339" s="8">
        <f t="shared" si="1"/>
        <v>20</v>
      </c>
      <c r="J1339" s="9">
        <f t="shared" si="2"/>
        <v>12</v>
      </c>
      <c r="K1339" s="9">
        <f t="shared" si="3"/>
        <v>2023</v>
      </c>
      <c r="M1339" s="25">
        <f>IFERROR(__xludf.DUMMYFUNCTION("""COMPUTED_VALUE"""),45280.0)</f>
        <v>45280</v>
      </c>
    </row>
    <row r="1340">
      <c r="A1340" s="10" t="s">
        <v>1228</v>
      </c>
      <c r="B1340" s="3" t="s">
        <v>1229</v>
      </c>
      <c r="C1340" s="10" t="s">
        <v>1278</v>
      </c>
      <c r="D1340" s="3" t="s">
        <v>1279</v>
      </c>
      <c r="E1340" s="4" t="s">
        <v>8</v>
      </c>
      <c r="F1340" s="5" t="s">
        <v>21</v>
      </c>
      <c r="G1340" s="6" t="s">
        <v>58</v>
      </c>
      <c r="H1340" s="7">
        <v>45287.0</v>
      </c>
      <c r="I1340" s="8">
        <f t="shared" si="1"/>
        <v>27</v>
      </c>
      <c r="J1340" s="9">
        <f t="shared" si="2"/>
        <v>12</v>
      </c>
      <c r="K1340" s="9">
        <f t="shared" si="3"/>
        <v>2023</v>
      </c>
      <c r="M1340" s="25">
        <f>IFERROR(__xludf.DUMMYFUNCTION("""COMPUTED_VALUE"""),45287.0)</f>
        <v>45287</v>
      </c>
    </row>
    <row r="1341">
      <c r="A1341" s="10" t="s">
        <v>1240</v>
      </c>
      <c r="B1341" s="3" t="s">
        <v>1241</v>
      </c>
      <c r="C1341" s="10" t="s">
        <v>408</v>
      </c>
      <c r="D1341" s="3" t="s">
        <v>1296</v>
      </c>
      <c r="E1341" s="4" t="s">
        <v>8</v>
      </c>
      <c r="F1341" s="5" t="s">
        <v>11</v>
      </c>
      <c r="G1341" s="6" t="s">
        <v>1297</v>
      </c>
      <c r="H1341" s="7">
        <v>44928.0</v>
      </c>
      <c r="I1341" s="8">
        <f t="shared" si="1"/>
        <v>2</v>
      </c>
      <c r="J1341" s="9">
        <f t="shared" si="2"/>
        <v>1</v>
      </c>
      <c r="K1341" s="9">
        <f t="shared" si="3"/>
        <v>2023</v>
      </c>
      <c r="M1341" s="25">
        <f>IFERROR(__xludf.DUMMYFUNCTION("""COMPUTED_VALUE"""),44928.0)</f>
        <v>44928</v>
      </c>
    </row>
    <row r="1342">
      <c r="A1342" s="10" t="s">
        <v>1240</v>
      </c>
      <c r="B1342" s="3" t="s">
        <v>1241</v>
      </c>
      <c r="C1342" s="10" t="s">
        <v>408</v>
      </c>
      <c r="D1342" s="3" t="s">
        <v>1296</v>
      </c>
      <c r="E1342" s="4" t="s">
        <v>3</v>
      </c>
      <c r="F1342" s="5" t="s">
        <v>51</v>
      </c>
      <c r="G1342" s="6" t="s">
        <v>1298</v>
      </c>
      <c r="H1342" s="7">
        <v>44953.0</v>
      </c>
      <c r="I1342" s="8">
        <f t="shared" si="1"/>
        <v>27</v>
      </c>
      <c r="J1342" s="9">
        <f t="shared" si="2"/>
        <v>1</v>
      </c>
      <c r="K1342" s="9">
        <f t="shared" si="3"/>
        <v>2023</v>
      </c>
      <c r="M1342" s="25">
        <f>IFERROR(__xludf.DUMMYFUNCTION("""COMPUTED_VALUE"""),44953.0)</f>
        <v>44953</v>
      </c>
    </row>
    <row r="1343">
      <c r="A1343" s="10" t="s">
        <v>1240</v>
      </c>
      <c r="B1343" s="3" t="s">
        <v>1241</v>
      </c>
      <c r="C1343" s="10" t="s">
        <v>408</v>
      </c>
      <c r="D1343" s="3" t="s">
        <v>1296</v>
      </c>
      <c r="E1343" s="4" t="s">
        <v>3</v>
      </c>
      <c r="F1343" s="5" t="s">
        <v>51</v>
      </c>
      <c r="G1343" s="6" t="s">
        <v>811</v>
      </c>
      <c r="H1343" s="7">
        <v>44965.0</v>
      </c>
      <c r="I1343" s="8">
        <f t="shared" si="1"/>
        <v>8</v>
      </c>
      <c r="J1343" s="9">
        <f t="shared" si="2"/>
        <v>2</v>
      </c>
      <c r="K1343" s="9">
        <f t="shared" si="3"/>
        <v>2023</v>
      </c>
      <c r="M1343" s="25">
        <f>IFERROR(__xludf.DUMMYFUNCTION("""COMPUTED_VALUE"""),44965.0)</f>
        <v>44965</v>
      </c>
    </row>
    <row r="1344">
      <c r="A1344" s="10" t="s">
        <v>1240</v>
      </c>
      <c r="B1344" s="3" t="s">
        <v>1241</v>
      </c>
      <c r="C1344" s="10" t="s">
        <v>408</v>
      </c>
      <c r="D1344" s="3" t="s">
        <v>1296</v>
      </c>
      <c r="E1344" s="4" t="s">
        <v>8</v>
      </c>
      <c r="F1344" s="5" t="s">
        <v>19</v>
      </c>
      <c r="G1344" s="6" t="s">
        <v>1299</v>
      </c>
      <c r="H1344" s="7">
        <v>45002.0</v>
      </c>
      <c r="I1344" s="8">
        <f t="shared" si="1"/>
        <v>17</v>
      </c>
      <c r="J1344" s="9">
        <f t="shared" si="2"/>
        <v>3</v>
      </c>
      <c r="K1344" s="9">
        <f t="shared" si="3"/>
        <v>2023</v>
      </c>
      <c r="M1344" s="25">
        <f>IFERROR(__xludf.DUMMYFUNCTION("""COMPUTED_VALUE"""),45002.0)</f>
        <v>45002</v>
      </c>
    </row>
    <row r="1345">
      <c r="A1345" s="10" t="s">
        <v>1240</v>
      </c>
      <c r="B1345" s="3" t="s">
        <v>1241</v>
      </c>
      <c r="C1345" s="10" t="s">
        <v>408</v>
      </c>
      <c r="D1345" s="3" t="s">
        <v>1296</v>
      </c>
      <c r="E1345" s="4" t="s">
        <v>3</v>
      </c>
      <c r="F1345" s="5" t="s">
        <v>51</v>
      </c>
      <c r="G1345" s="6" t="s">
        <v>1300</v>
      </c>
      <c r="H1345" s="7">
        <v>45004.0</v>
      </c>
      <c r="I1345" s="8">
        <f t="shared" si="1"/>
        <v>19</v>
      </c>
      <c r="J1345" s="9">
        <f t="shared" si="2"/>
        <v>3</v>
      </c>
      <c r="K1345" s="9">
        <f t="shared" si="3"/>
        <v>2023</v>
      </c>
      <c r="M1345" s="25">
        <f>IFERROR(__xludf.DUMMYFUNCTION("""COMPUTED_VALUE"""),45004.0)</f>
        <v>45004</v>
      </c>
    </row>
    <row r="1346">
      <c r="A1346" s="10" t="s">
        <v>1240</v>
      </c>
      <c r="B1346" s="3" t="s">
        <v>1241</v>
      </c>
      <c r="C1346" s="10" t="s">
        <v>408</v>
      </c>
      <c r="D1346" s="3" t="s">
        <v>1296</v>
      </c>
      <c r="E1346" s="4" t="s">
        <v>8</v>
      </c>
      <c r="F1346" s="5" t="s">
        <v>23</v>
      </c>
      <c r="G1346" s="6" t="s">
        <v>1002</v>
      </c>
      <c r="H1346" s="7">
        <v>45033.0</v>
      </c>
      <c r="I1346" s="8">
        <f t="shared" si="1"/>
        <v>17</v>
      </c>
      <c r="J1346" s="9">
        <f t="shared" si="2"/>
        <v>4</v>
      </c>
      <c r="K1346" s="9">
        <f t="shared" si="3"/>
        <v>2023</v>
      </c>
      <c r="M1346" s="25">
        <f>IFERROR(__xludf.DUMMYFUNCTION("""COMPUTED_VALUE"""),45033.0)</f>
        <v>45033</v>
      </c>
    </row>
    <row r="1347">
      <c r="A1347" s="10" t="s">
        <v>1240</v>
      </c>
      <c r="B1347" s="3" t="s">
        <v>1241</v>
      </c>
      <c r="C1347" s="10" t="s">
        <v>408</v>
      </c>
      <c r="D1347" s="3" t="s">
        <v>1296</v>
      </c>
      <c r="E1347" s="4" t="s">
        <v>8</v>
      </c>
      <c r="F1347" s="5" t="s">
        <v>23</v>
      </c>
      <c r="G1347" s="6" t="s">
        <v>1301</v>
      </c>
      <c r="H1347" s="7">
        <v>45058.0</v>
      </c>
      <c r="I1347" s="8">
        <f t="shared" si="1"/>
        <v>12</v>
      </c>
      <c r="J1347" s="9">
        <f t="shared" si="2"/>
        <v>5</v>
      </c>
      <c r="K1347" s="9">
        <f t="shared" si="3"/>
        <v>2023</v>
      </c>
      <c r="M1347" s="25">
        <f>IFERROR(__xludf.DUMMYFUNCTION("""COMPUTED_VALUE"""),45058.0)</f>
        <v>45058</v>
      </c>
    </row>
    <row r="1348">
      <c r="A1348" s="10" t="s">
        <v>1240</v>
      </c>
      <c r="B1348" s="3" t="s">
        <v>1241</v>
      </c>
      <c r="C1348" s="10" t="s">
        <v>408</v>
      </c>
      <c r="D1348" s="3" t="s">
        <v>1296</v>
      </c>
      <c r="E1348" s="4" t="s">
        <v>8</v>
      </c>
      <c r="F1348" s="5" t="s">
        <v>76</v>
      </c>
      <c r="G1348" s="6" t="s">
        <v>1302</v>
      </c>
      <c r="H1348" s="7">
        <v>45065.0</v>
      </c>
      <c r="I1348" s="8">
        <f t="shared" si="1"/>
        <v>19</v>
      </c>
      <c r="J1348" s="9">
        <f t="shared" si="2"/>
        <v>5</v>
      </c>
      <c r="K1348" s="9">
        <f t="shared" si="3"/>
        <v>2023</v>
      </c>
      <c r="M1348" s="25">
        <f>IFERROR(__xludf.DUMMYFUNCTION("""COMPUTED_VALUE"""),45065.0)</f>
        <v>45065</v>
      </c>
    </row>
    <row r="1349">
      <c r="A1349" s="10" t="s">
        <v>1240</v>
      </c>
      <c r="B1349" s="3" t="s">
        <v>1241</v>
      </c>
      <c r="C1349" s="10" t="s">
        <v>408</v>
      </c>
      <c r="D1349" s="3" t="s">
        <v>1296</v>
      </c>
      <c r="E1349" s="4" t="s">
        <v>8</v>
      </c>
      <c r="F1349" s="5" t="s">
        <v>39</v>
      </c>
      <c r="G1349" s="6" t="s">
        <v>1231</v>
      </c>
      <c r="H1349" s="7">
        <v>45065.0</v>
      </c>
      <c r="I1349" s="8">
        <f t="shared" si="1"/>
        <v>19</v>
      </c>
      <c r="J1349" s="9">
        <f t="shared" si="2"/>
        <v>5</v>
      </c>
      <c r="K1349" s="9">
        <f t="shared" si="3"/>
        <v>2023</v>
      </c>
      <c r="M1349" s="25">
        <f>IFERROR(__xludf.DUMMYFUNCTION("""COMPUTED_VALUE"""),45065.0)</f>
        <v>45065</v>
      </c>
    </row>
    <row r="1350">
      <c r="A1350" s="10" t="s">
        <v>1240</v>
      </c>
      <c r="B1350" s="3" t="s">
        <v>1241</v>
      </c>
      <c r="C1350" s="10" t="s">
        <v>408</v>
      </c>
      <c r="D1350" s="3" t="s">
        <v>1296</v>
      </c>
      <c r="E1350" s="4" t="s">
        <v>3</v>
      </c>
      <c r="F1350" s="5" t="s">
        <v>13</v>
      </c>
      <c r="G1350" s="6" t="s">
        <v>1303</v>
      </c>
      <c r="H1350" s="7">
        <v>45082.0</v>
      </c>
      <c r="I1350" s="8">
        <f t="shared" si="1"/>
        <v>5</v>
      </c>
      <c r="J1350" s="9">
        <f t="shared" si="2"/>
        <v>6</v>
      </c>
      <c r="K1350" s="9">
        <f t="shared" si="3"/>
        <v>2023</v>
      </c>
      <c r="M1350" s="25">
        <f>IFERROR(__xludf.DUMMYFUNCTION("""COMPUTED_VALUE"""),45082.0)</f>
        <v>45082</v>
      </c>
    </row>
    <row r="1351">
      <c r="A1351" s="10" t="s">
        <v>1240</v>
      </c>
      <c r="B1351" s="3" t="s">
        <v>1241</v>
      </c>
      <c r="C1351" s="10" t="s">
        <v>408</v>
      </c>
      <c r="D1351" s="3" t="s">
        <v>1296</v>
      </c>
      <c r="E1351" s="4" t="s">
        <v>3</v>
      </c>
      <c r="F1351" s="5" t="s">
        <v>42</v>
      </c>
      <c r="G1351" s="6" t="s">
        <v>905</v>
      </c>
      <c r="H1351" s="7">
        <v>45092.0</v>
      </c>
      <c r="I1351" s="8">
        <f t="shared" si="1"/>
        <v>15</v>
      </c>
      <c r="J1351" s="9">
        <f t="shared" si="2"/>
        <v>6</v>
      </c>
      <c r="K1351" s="9">
        <f t="shared" si="3"/>
        <v>2023</v>
      </c>
      <c r="M1351" s="25">
        <f>IFERROR(__xludf.DUMMYFUNCTION("""COMPUTED_VALUE"""),45092.0)</f>
        <v>45092</v>
      </c>
    </row>
    <row r="1352">
      <c r="A1352" s="10" t="s">
        <v>1240</v>
      </c>
      <c r="B1352" s="3" t="s">
        <v>1241</v>
      </c>
      <c r="C1352" s="10" t="s">
        <v>408</v>
      </c>
      <c r="D1352" s="3" t="s">
        <v>1296</v>
      </c>
      <c r="E1352" s="4" t="s">
        <v>3</v>
      </c>
      <c r="F1352" s="5" t="s">
        <v>35</v>
      </c>
      <c r="G1352" s="6" t="s">
        <v>1304</v>
      </c>
      <c r="H1352" s="7">
        <v>45104.0</v>
      </c>
      <c r="I1352" s="8">
        <f t="shared" si="1"/>
        <v>27</v>
      </c>
      <c r="J1352" s="9">
        <f t="shared" si="2"/>
        <v>6</v>
      </c>
      <c r="K1352" s="9">
        <f t="shared" si="3"/>
        <v>2023</v>
      </c>
      <c r="M1352" s="25">
        <f>IFERROR(__xludf.DUMMYFUNCTION("""COMPUTED_VALUE"""),45104.0)</f>
        <v>45104</v>
      </c>
    </row>
    <row r="1353">
      <c r="A1353" s="10" t="s">
        <v>1240</v>
      </c>
      <c r="B1353" s="3" t="s">
        <v>1241</v>
      </c>
      <c r="C1353" s="10" t="s">
        <v>408</v>
      </c>
      <c r="D1353" s="3" t="s">
        <v>1296</v>
      </c>
      <c r="E1353" s="4" t="s">
        <v>8</v>
      </c>
      <c r="F1353" s="5" t="s">
        <v>39</v>
      </c>
      <c r="G1353" s="6" t="s">
        <v>1305</v>
      </c>
      <c r="H1353" s="7">
        <v>45120.0</v>
      </c>
      <c r="I1353" s="8">
        <f t="shared" si="1"/>
        <v>13</v>
      </c>
      <c r="J1353" s="9">
        <f t="shared" si="2"/>
        <v>7</v>
      </c>
      <c r="K1353" s="9">
        <f t="shared" si="3"/>
        <v>2023</v>
      </c>
      <c r="M1353" s="25">
        <f>IFERROR(__xludf.DUMMYFUNCTION("""COMPUTED_VALUE"""),45120.0)</f>
        <v>45120</v>
      </c>
    </row>
    <row r="1354">
      <c r="A1354" s="10" t="s">
        <v>1240</v>
      </c>
      <c r="B1354" s="3" t="s">
        <v>1241</v>
      </c>
      <c r="C1354" s="10" t="s">
        <v>408</v>
      </c>
      <c r="D1354" s="3" t="s">
        <v>1296</v>
      </c>
      <c r="E1354" s="4" t="s">
        <v>8</v>
      </c>
      <c r="F1354" s="5" t="s">
        <v>17</v>
      </c>
      <c r="G1354" s="6" t="s">
        <v>743</v>
      </c>
      <c r="H1354" s="7">
        <v>45189.0</v>
      </c>
      <c r="I1354" s="8">
        <f t="shared" si="1"/>
        <v>20</v>
      </c>
      <c r="J1354" s="9">
        <f t="shared" si="2"/>
        <v>9</v>
      </c>
      <c r="K1354" s="9">
        <f t="shared" si="3"/>
        <v>2023</v>
      </c>
      <c r="M1354" s="25">
        <f>IFERROR(__xludf.DUMMYFUNCTION("""COMPUTED_VALUE"""),45189.0)</f>
        <v>45189</v>
      </c>
    </row>
    <row r="1355">
      <c r="A1355" s="10" t="s">
        <v>1240</v>
      </c>
      <c r="B1355" s="3" t="s">
        <v>1241</v>
      </c>
      <c r="C1355" s="10" t="s">
        <v>408</v>
      </c>
      <c r="D1355" s="3" t="s">
        <v>1296</v>
      </c>
      <c r="E1355" s="4" t="s">
        <v>8</v>
      </c>
      <c r="F1355" s="5" t="s">
        <v>35</v>
      </c>
      <c r="G1355" s="6" t="s">
        <v>808</v>
      </c>
      <c r="H1355" s="7">
        <v>45195.0</v>
      </c>
      <c r="I1355" s="8">
        <f t="shared" si="1"/>
        <v>26</v>
      </c>
      <c r="J1355" s="9">
        <f t="shared" si="2"/>
        <v>9</v>
      </c>
      <c r="K1355" s="9">
        <f t="shared" si="3"/>
        <v>2023</v>
      </c>
      <c r="M1355" s="25">
        <f>IFERROR(__xludf.DUMMYFUNCTION("""COMPUTED_VALUE"""),45195.0)</f>
        <v>45195</v>
      </c>
    </row>
    <row r="1356">
      <c r="A1356" s="10" t="s">
        <v>1240</v>
      </c>
      <c r="B1356" s="3" t="s">
        <v>1241</v>
      </c>
      <c r="C1356" s="10" t="s">
        <v>408</v>
      </c>
      <c r="D1356" s="3" t="s">
        <v>1296</v>
      </c>
      <c r="E1356" s="4" t="s">
        <v>3</v>
      </c>
      <c r="F1356" s="5" t="s">
        <v>23</v>
      </c>
      <c r="G1356" s="6" t="s">
        <v>1306</v>
      </c>
      <c r="H1356" s="7">
        <v>45197.0</v>
      </c>
      <c r="I1356" s="8">
        <f t="shared" si="1"/>
        <v>28</v>
      </c>
      <c r="J1356" s="9">
        <f t="shared" si="2"/>
        <v>9</v>
      </c>
      <c r="K1356" s="9">
        <f t="shared" si="3"/>
        <v>2023</v>
      </c>
      <c r="M1356" s="25">
        <f>IFERROR(__xludf.DUMMYFUNCTION("""COMPUTED_VALUE"""),45197.0)</f>
        <v>45197</v>
      </c>
    </row>
    <row r="1357">
      <c r="A1357" s="10" t="s">
        <v>1240</v>
      </c>
      <c r="B1357" s="3" t="s">
        <v>1241</v>
      </c>
      <c r="C1357" s="10" t="s">
        <v>408</v>
      </c>
      <c r="D1357" s="3" t="s">
        <v>1296</v>
      </c>
      <c r="E1357" s="4" t="s">
        <v>3</v>
      </c>
      <c r="F1357" s="5" t="s">
        <v>17</v>
      </c>
      <c r="G1357" s="6" t="s">
        <v>915</v>
      </c>
      <c r="H1357" s="7">
        <v>45224.0</v>
      </c>
      <c r="I1357" s="8">
        <f t="shared" si="1"/>
        <v>25</v>
      </c>
      <c r="J1357" s="9">
        <f t="shared" si="2"/>
        <v>10</v>
      </c>
      <c r="K1357" s="9">
        <f t="shared" si="3"/>
        <v>2023</v>
      </c>
      <c r="M1357" s="25">
        <f>IFERROR(__xludf.DUMMYFUNCTION("""COMPUTED_VALUE"""),45224.0)</f>
        <v>45224</v>
      </c>
    </row>
    <row r="1358">
      <c r="A1358" s="10" t="s">
        <v>1240</v>
      </c>
      <c r="B1358" s="3" t="s">
        <v>1241</v>
      </c>
      <c r="C1358" s="10" t="s">
        <v>408</v>
      </c>
      <c r="D1358" s="3" t="s">
        <v>1296</v>
      </c>
      <c r="E1358" s="4" t="s">
        <v>3</v>
      </c>
      <c r="F1358" s="5" t="s">
        <v>45</v>
      </c>
      <c r="G1358" s="6" t="s">
        <v>1307</v>
      </c>
      <c r="H1358" s="7">
        <v>45231.0</v>
      </c>
      <c r="I1358" s="8">
        <f t="shared" si="1"/>
        <v>1</v>
      </c>
      <c r="J1358" s="9">
        <f t="shared" si="2"/>
        <v>11</v>
      </c>
      <c r="K1358" s="9">
        <f t="shared" si="3"/>
        <v>2023</v>
      </c>
      <c r="M1358" s="25">
        <f>IFERROR(__xludf.DUMMYFUNCTION("""COMPUTED_VALUE"""),45231.0)</f>
        <v>45231</v>
      </c>
    </row>
    <row r="1359">
      <c r="A1359" s="10" t="s">
        <v>1240</v>
      </c>
      <c r="B1359" s="3" t="s">
        <v>1241</v>
      </c>
      <c r="C1359" s="10" t="s">
        <v>408</v>
      </c>
      <c r="D1359" s="3" t="s">
        <v>1296</v>
      </c>
      <c r="E1359" s="4" t="s">
        <v>3</v>
      </c>
      <c r="F1359" s="5" t="s">
        <v>19</v>
      </c>
      <c r="G1359" s="6" t="s">
        <v>1185</v>
      </c>
      <c r="H1359" s="7">
        <v>45274.0</v>
      </c>
      <c r="I1359" s="8">
        <f t="shared" si="1"/>
        <v>14</v>
      </c>
      <c r="J1359" s="9">
        <f t="shared" si="2"/>
        <v>12</v>
      </c>
      <c r="K1359" s="9">
        <f t="shared" si="3"/>
        <v>2023</v>
      </c>
      <c r="M1359" s="25">
        <f>IFERROR(__xludf.DUMMYFUNCTION("""COMPUTED_VALUE"""),45274.0)</f>
        <v>45274</v>
      </c>
    </row>
    <row r="1360">
      <c r="A1360" s="10" t="s">
        <v>1240</v>
      </c>
      <c r="B1360" s="3" t="s">
        <v>1241</v>
      </c>
      <c r="C1360" s="10" t="s">
        <v>408</v>
      </c>
      <c r="D1360" s="3" t="s">
        <v>1296</v>
      </c>
      <c r="E1360" s="4" t="s">
        <v>3</v>
      </c>
      <c r="F1360" s="5" t="s">
        <v>45</v>
      </c>
      <c r="G1360" s="6" t="s">
        <v>1308</v>
      </c>
      <c r="H1360" s="7">
        <v>45277.0</v>
      </c>
      <c r="I1360" s="8">
        <f t="shared" si="1"/>
        <v>17</v>
      </c>
      <c r="J1360" s="9">
        <f t="shared" si="2"/>
        <v>12</v>
      </c>
      <c r="K1360" s="9">
        <f t="shared" si="3"/>
        <v>2023</v>
      </c>
      <c r="M1360" s="25">
        <f>IFERROR(__xludf.DUMMYFUNCTION("""COMPUTED_VALUE"""),45277.0)</f>
        <v>45277</v>
      </c>
    </row>
    <row r="1361">
      <c r="A1361" s="10" t="s">
        <v>1258</v>
      </c>
      <c r="B1361" s="3" t="s">
        <v>1259</v>
      </c>
      <c r="C1361" s="10" t="s">
        <v>177</v>
      </c>
      <c r="D1361" s="3" t="s">
        <v>1309</v>
      </c>
      <c r="E1361" s="4" t="s">
        <v>8</v>
      </c>
      <c r="F1361" s="5" t="s">
        <v>9</v>
      </c>
      <c r="G1361" s="6" t="s">
        <v>1310</v>
      </c>
      <c r="H1361" s="7">
        <v>44940.0</v>
      </c>
      <c r="I1361" s="8">
        <f t="shared" si="1"/>
        <v>14</v>
      </c>
      <c r="J1361" s="9">
        <f t="shared" si="2"/>
        <v>1</v>
      </c>
      <c r="K1361" s="9">
        <f t="shared" si="3"/>
        <v>2023</v>
      </c>
      <c r="M1361" s="25">
        <f>IFERROR(__xludf.DUMMYFUNCTION("""COMPUTED_VALUE"""),44940.0)</f>
        <v>44940</v>
      </c>
    </row>
    <row r="1362">
      <c r="A1362" s="10" t="s">
        <v>1258</v>
      </c>
      <c r="B1362" s="3" t="s">
        <v>1259</v>
      </c>
      <c r="C1362" s="10" t="s">
        <v>177</v>
      </c>
      <c r="D1362" s="3" t="s">
        <v>1309</v>
      </c>
      <c r="E1362" s="4" t="s">
        <v>8</v>
      </c>
      <c r="F1362" s="5" t="s">
        <v>28</v>
      </c>
      <c r="G1362" s="6" t="s">
        <v>495</v>
      </c>
      <c r="H1362" s="7">
        <v>44946.0</v>
      </c>
      <c r="I1362" s="8">
        <f t="shared" si="1"/>
        <v>20</v>
      </c>
      <c r="J1362" s="9">
        <f t="shared" si="2"/>
        <v>1</v>
      </c>
      <c r="K1362" s="9">
        <f t="shared" si="3"/>
        <v>2023</v>
      </c>
      <c r="M1362" s="25">
        <f>IFERROR(__xludf.DUMMYFUNCTION("""COMPUTED_VALUE"""),44946.0)</f>
        <v>44946</v>
      </c>
    </row>
    <row r="1363">
      <c r="A1363" s="10" t="s">
        <v>1258</v>
      </c>
      <c r="B1363" s="3" t="s">
        <v>1259</v>
      </c>
      <c r="C1363" s="10" t="s">
        <v>177</v>
      </c>
      <c r="D1363" s="3" t="s">
        <v>1309</v>
      </c>
      <c r="E1363" s="4" t="s">
        <v>3</v>
      </c>
      <c r="F1363" s="5" t="s">
        <v>51</v>
      </c>
      <c r="G1363" s="6" t="s">
        <v>1311</v>
      </c>
      <c r="H1363" s="7">
        <v>44950.0</v>
      </c>
      <c r="I1363" s="8">
        <f t="shared" si="1"/>
        <v>24</v>
      </c>
      <c r="J1363" s="9">
        <f t="shared" si="2"/>
        <v>1</v>
      </c>
      <c r="K1363" s="9">
        <f t="shared" si="3"/>
        <v>2023</v>
      </c>
      <c r="M1363" s="25">
        <f>IFERROR(__xludf.DUMMYFUNCTION("""COMPUTED_VALUE"""),44950.0)</f>
        <v>44950</v>
      </c>
    </row>
    <row r="1364">
      <c r="A1364" s="10" t="s">
        <v>1258</v>
      </c>
      <c r="B1364" s="3" t="s">
        <v>1259</v>
      </c>
      <c r="C1364" s="10" t="s">
        <v>177</v>
      </c>
      <c r="D1364" s="3" t="s">
        <v>1309</v>
      </c>
      <c r="E1364" s="4" t="s">
        <v>8</v>
      </c>
      <c r="F1364" s="5" t="s">
        <v>13</v>
      </c>
      <c r="G1364" s="6" t="s">
        <v>1312</v>
      </c>
      <c r="H1364" s="7">
        <v>45026.0</v>
      </c>
      <c r="I1364" s="8">
        <f t="shared" si="1"/>
        <v>10</v>
      </c>
      <c r="J1364" s="9">
        <f t="shared" si="2"/>
        <v>4</v>
      </c>
      <c r="K1364" s="9">
        <f t="shared" si="3"/>
        <v>2023</v>
      </c>
      <c r="M1364" s="25">
        <f>IFERROR(__xludf.DUMMYFUNCTION("""COMPUTED_VALUE"""),45026.0)</f>
        <v>45026</v>
      </c>
    </row>
    <row r="1365">
      <c r="A1365" s="10" t="s">
        <v>1258</v>
      </c>
      <c r="B1365" s="3" t="s">
        <v>1259</v>
      </c>
      <c r="C1365" s="10" t="s">
        <v>177</v>
      </c>
      <c r="D1365" s="3" t="s">
        <v>1309</v>
      </c>
      <c r="E1365" s="4" t="s">
        <v>3</v>
      </c>
      <c r="F1365" s="5" t="s">
        <v>42</v>
      </c>
      <c r="G1365" s="6" t="s">
        <v>504</v>
      </c>
      <c r="H1365" s="7">
        <v>45036.0</v>
      </c>
      <c r="I1365" s="8">
        <f t="shared" si="1"/>
        <v>20</v>
      </c>
      <c r="J1365" s="9">
        <f t="shared" si="2"/>
        <v>4</v>
      </c>
      <c r="K1365" s="9">
        <f t="shared" si="3"/>
        <v>2023</v>
      </c>
      <c r="M1365" s="25">
        <f>IFERROR(__xludf.DUMMYFUNCTION("""COMPUTED_VALUE"""),45036.0)</f>
        <v>45036</v>
      </c>
    </row>
    <row r="1366">
      <c r="A1366" s="10" t="s">
        <v>1258</v>
      </c>
      <c r="B1366" s="3" t="s">
        <v>1259</v>
      </c>
      <c r="C1366" s="10" t="s">
        <v>177</v>
      </c>
      <c r="D1366" s="3" t="s">
        <v>1309</v>
      </c>
      <c r="E1366" s="4" t="s">
        <v>8</v>
      </c>
      <c r="F1366" s="5" t="s">
        <v>17</v>
      </c>
      <c r="G1366" s="6" t="s">
        <v>884</v>
      </c>
      <c r="H1366" s="7">
        <v>45041.0</v>
      </c>
      <c r="I1366" s="8">
        <f t="shared" si="1"/>
        <v>25</v>
      </c>
      <c r="J1366" s="9">
        <f t="shared" si="2"/>
        <v>4</v>
      </c>
      <c r="K1366" s="9">
        <f t="shared" si="3"/>
        <v>2023</v>
      </c>
      <c r="M1366" s="25">
        <f>IFERROR(__xludf.DUMMYFUNCTION("""COMPUTED_VALUE"""),45041.0)</f>
        <v>45041</v>
      </c>
    </row>
    <row r="1367">
      <c r="A1367" s="10" t="s">
        <v>1258</v>
      </c>
      <c r="B1367" s="3" t="s">
        <v>1259</v>
      </c>
      <c r="C1367" s="10" t="s">
        <v>177</v>
      </c>
      <c r="D1367" s="3" t="s">
        <v>1309</v>
      </c>
      <c r="E1367" s="4" t="s">
        <v>3</v>
      </c>
      <c r="F1367" s="5" t="s">
        <v>35</v>
      </c>
      <c r="G1367" s="6" t="s">
        <v>1313</v>
      </c>
      <c r="H1367" s="7">
        <v>45052.0</v>
      </c>
      <c r="I1367" s="8">
        <f t="shared" si="1"/>
        <v>6</v>
      </c>
      <c r="J1367" s="9">
        <f t="shared" si="2"/>
        <v>5</v>
      </c>
      <c r="K1367" s="9">
        <f t="shared" si="3"/>
        <v>2023</v>
      </c>
      <c r="M1367" s="25">
        <f>IFERROR(__xludf.DUMMYFUNCTION("""COMPUTED_VALUE"""),45052.0)</f>
        <v>45052</v>
      </c>
    </row>
    <row r="1368">
      <c r="A1368" s="10" t="s">
        <v>1258</v>
      </c>
      <c r="B1368" s="3" t="s">
        <v>1259</v>
      </c>
      <c r="C1368" s="10" t="s">
        <v>177</v>
      </c>
      <c r="D1368" s="3" t="s">
        <v>1309</v>
      </c>
      <c r="E1368" s="4" t="s">
        <v>8</v>
      </c>
      <c r="F1368" s="5" t="s">
        <v>42</v>
      </c>
      <c r="G1368" s="6" t="s">
        <v>208</v>
      </c>
      <c r="H1368" s="7">
        <v>45061.0</v>
      </c>
      <c r="I1368" s="8">
        <f t="shared" si="1"/>
        <v>15</v>
      </c>
      <c r="J1368" s="9">
        <f t="shared" si="2"/>
        <v>5</v>
      </c>
      <c r="K1368" s="9">
        <f t="shared" si="3"/>
        <v>2023</v>
      </c>
      <c r="M1368" s="25">
        <f>IFERROR(__xludf.DUMMYFUNCTION("""COMPUTED_VALUE"""),45061.0)</f>
        <v>45061</v>
      </c>
    </row>
    <row r="1369">
      <c r="A1369" s="10" t="s">
        <v>1258</v>
      </c>
      <c r="B1369" s="3" t="s">
        <v>1259</v>
      </c>
      <c r="C1369" s="10" t="s">
        <v>177</v>
      </c>
      <c r="D1369" s="3" t="s">
        <v>1309</v>
      </c>
      <c r="E1369" s="4" t="s">
        <v>3</v>
      </c>
      <c r="F1369" s="5" t="s">
        <v>96</v>
      </c>
      <c r="G1369" s="6" t="s">
        <v>1314</v>
      </c>
      <c r="H1369" s="7">
        <v>45061.0</v>
      </c>
      <c r="I1369" s="8">
        <f t="shared" si="1"/>
        <v>15</v>
      </c>
      <c r="J1369" s="9">
        <f t="shared" si="2"/>
        <v>5</v>
      </c>
      <c r="K1369" s="9">
        <f t="shared" si="3"/>
        <v>2023</v>
      </c>
      <c r="M1369" s="25">
        <f>IFERROR(__xludf.DUMMYFUNCTION("""COMPUTED_VALUE"""),45061.0)</f>
        <v>45061</v>
      </c>
    </row>
    <row r="1370">
      <c r="A1370" s="10" t="s">
        <v>1258</v>
      </c>
      <c r="B1370" s="3" t="s">
        <v>1259</v>
      </c>
      <c r="C1370" s="10" t="s">
        <v>177</v>
      </c>
      <c r="D1370" s="3" t="s">
        <v>1309</v>
      </c>
      <c r="E1370" s="4" t="s">
        <v>8</v>
      </c>
      <c r="F1370" s="5" t="s">
        <v>21</v>
      </c>
      <c r="G1370" s="6" t="s">
        <v>1315</v>
      </c>
      <c r="H1370" s="7">
        <v>45079.0</v>
      </c>
      <c r="I1370" s="8">
        <f t="shared" si="1"/>
        <v>2</v>
      </c>
      <c r="J1370" s="9">
        <f t="shared" si="2"/>
        <v>6</v>
      </c>
      <c r="K1370" s="9">
        <f t="shared" si="3"/>
        <v>2023</v>
      </c>
      <c r="M1370" s="25">
        <f>IFERROR(__xludf.DUMMYFUNCTION("""COMPUTED_VALUE"""),45079.0)</f>
        <v>45079</v>
      </c>
    </row>
    <row r="1371">
      <c r="A1371" s="10" t="s">
        <v>1258</v>
      </c>
      <c r="B1371" s="3" t="s">
        <v>1259</v>
      </c>
      <c r="C1371" s="10" t="s">
        <v>177</v>
      </c>
      <c r="D1371" s="3" t="s">
        <v>1309</v>
      </c>
      <c r="E1371" s="4" t="s">
        <v>3</v>
      </c>
      <c r="F1371" s="5" t="s">
        <v>51</v>
      </c>
      <c r="G1371" s="6" t="s">
        <v>1316</v>
      </c>
      <c r="H1371" s="7">
        <v>45096.0</v>
      </c>
      <c r="I1371" s="8">
        <f t="shared" si="1"/>
        <v>19</v>
      </c>
      <c r="J1371" s="9">
        <f t="shared" si="2"/>
        <v>6</v>
      </c>
      <c r="K1371" s="9">
        <f t="shared" si="3"/>
        <v>2023</v>
      </c>
      <c r="M1371" s="25">
        <f>IFERROR(__xludf.DUMMYFUNCTION("""COMPUTED_VALUE"""),45096.0)</f>
        <v>45096</v>
      </c>
    </row>
    <row r="1372">
      <c r="A1372" s="10" t="s">
        <v>1258</v>
      </c>
      <c r="B1372" s="3" t="s">
        <v>1259</v>
      </c>
      <c r="C1372" s="10" t="s">
        <v>177</v>
      </c>
      <c r="D1372" s="3" t="s">
        <v>1309</v>
      </c>
      <c r="E1372" s="4" t="s">
        <v>3</v>
      </c>
      <c r="F1372" s="5" t="s">
        <v>42</v>
      </c>
      <c r="G1372" s="6" t="s">
        <v>1317</v>
      </c>
      <c r="H1372" s="7">
        <v>45120.0</v>
      </c>
      <c r="I1372" s="8">
        <f t="shared" si="1"/>
        <v>13</v>
      </c>
      <c r="J1372" s="9">
        <f t="shared" si="2"/>
        <v>7</v>
      </c>
      <c r="K1372" s="9">
        <f t="shared" si="3"/>
        <v>2023</v>
      </c>
      <c r="M1372" s="25">
        <f>IFERROR(__xludf.DUMMYFUNCTION("""COMPUTED_VALUE"""),45120.0)</f>
        <v>45120</v>
      </c>
    </row>
    <row r="1373">
      <c r="A1373" s="10" t="s">
        <v>1258</v>
      </c>
      <c r="B1373" s="3" t="s">
        <v>1259</v>
      </c>
      <c r="C1373" s="10" t="s">
        <v>177</v>
      </c>
      <c r="D1373" s="3" t="s">
        <v>1309</v>
      </c>
      <c r="E1373" s="4" t="s">
        <v>8</v>
      </c>
      <c r="F1373" s="5" t="s">
        <v>9</v>
      </c>
      <c r="G1373" s="6" t="s">
        <v>1318</v>
      </c>
      <c r="H1373" s="7">
        <v>45144.0</v>
      </c>
      <c r="I1373" s="8">
        <f t="shared" si="1"/>
        <v>6</v>
      </c>
      <c r="J1373" s="9">
        <f t="shared" si="2"/>
        <v>8</v>
      </c>
      <c r="K1373" s="9">
        <f t="shared" si="3"/>
        <v>2023</v>
      </c>
      <c r="M1373" s="25">
        <f>IFERROR(__xludf.DUMMYFUNCTION("""COMPUTED_VALUE"""),45144.0)</f>
        <v>45144</v>
      </c>
    </row>
    <row r="1374">
      <c r="A1374" s="10" t="s">
        <v>1258</v>
      </c>
      <c r="B1374" s="3" t="s">
        <v>1259</v>
      </c>
      <c r="C1374" s="10" t="s">
        <v>177</v>
      </c>
      <c r="D1374" s="3" t="s">
        <v>1309</v>
      </c>
      <c r="E1374" s="4" t="s">
        <v>3</v>
      </c>
      <c r="F1374" s="5" t="s">
        <v>45</v>
      </c>
      <c r="G1374" s="6" t="s">
        <v>1319</v>
      </c>
      <c r="H1374" s="7">
        <v>45188.0</v>
      </c>
      <c r="I1374" s="8">
        <f t="shared" si="1"/>
        <v>19</v>
      </c>
      <c r="J1374" s="9">
        <f t="shared" si="2"/>
        <v>9</v>
      </c>
      <c r="K1374" s="9">
        <f t="shared" si="3"/>
        <v>2023</v>
      </c>
      <c r="M1374" s="25">
        <f>IFERROR(__xludf.DUMMYFUNCTION("""COMPUTED_VALUE"""),45188.0)</f>
        <v>45188</v>
      </c>
    </row>
    <row r="1375">
      <c r="A1375" s="10" t="s">
        <v>1258</v>
      </c>
      <c r="B1375" s="3" t="s">
        <v>1259</v>
      </c>
      <c r="C1375" s="10" t="s">
        <v>177</v>
      </c>
      <c r="D1375" s="3" t="s">
        <v>1309</v>
      </c>
      <c r="E1375" s="4" t="s">
        <v>8</v>
      </c>
      <c r="F1375" s="5" t="s">
        <v>96</v>
      </c>
      <c r="G1375" s="6" t="s">
        <v>1320</v>
      </c>
      <c r="H1375" s="7">
        <v>45213.0</v>
      </c>
      <c r="I1375" s="8">
        <f t="shared" si="1"/>
        <v>14</v>
      </c>
      <c r="J1375" s="9">
        <f t="shared" si="2"/>
        <v>10</v>
      </c>
      <c r="K1375" s="9">
        <f t="shared" si="3"/>
        <v>2023</v>
      </c>
      <c r="M1375" s="25">
        <f>IFERROR(__xludf.DUMMYFUNCTION("""COMPUTED_VALUE"""),45213.0)</f>
        <v>45213</v>
      </c>
    </row>
    <row r="1376">
      <c r="A1376" s="10" t="s">
        <v>1258</v>
      </c>
      <c r="B1376" s="3" t="s">
        <v>1259</v>
      </c>
      <c r="C1376" s="10" t="s">
        <v>177</v>
      </c>
      <c r="D1376" s="3" t="s">
        <v>1309</v>
      </c>
      <c r="E1376" s="4" t="s">
        <v>3</v>
      </c>
      <c r="F1376" s="5" t="s">
        <v>28</v>
      </c>
      <c r="G1376" s="6" t="s">
        <v>1321</v>
      </c>
      <c r="H1376" s="7">
        <v>45217.0</v>
      </c>
      <c r="I1376" s="8">
        <f t="shared" si="1"/>
        <v>18</v>
      </c>
      <c r="J1376" s="9">
        <f t="shared" si="2"/>
        <v>10</v>
      </c>
      <c r="K1376" s="9">
        <f t="shared" si="3"/>
        <v>2023</v>
      </c>
      <c r="M1376" s="25">
        <f>IFERROR(__xludf.DUMMYFUNCTION("""COMPUTED_VALUE"""),45217.0)</f>
        <v>45217</v>
      </c>
    </row>
    <row r="1377">
      <c r="A1377" s="10" t="s">
        <v>1258</v>
      </c>
      <c r="B1377" s="3" t="s">
        <v>1259</v>
      </c>
      <c r="C1377" s="10" t="s">
        <v>177</v>
      </c>
      <c r="D1377" s="3" t="s">
        <v>1309</v>
      </c>
      <c r="E1377" s="4" t="s">
        <v>3</v>
      </c>
      <c r="F1377" s="5" t="s">
        <v>71</v>
      </c>
      <c r="G1377" s="6" t="s">
        <v>1322</v>
      </c>
      <c r="H1377" s="7">
        <v>45223.0</v>
      </c>
      <c r="I1377" s="8">
        <f t="shared" si="1"/>
        <v>24</v>
      </c>
      <c r="J1377" s="9">
        <f t="shared" si="2"/>
        <v>10</v>
      </c>
      <c r="K1377" s="9">
        <f t="shared" si="3"/>
        <v>2023</v>
      </c>
      <c r="M1377" s="25">
        <f>IFERROR(__xludf.DUMMYFUNCTION("""COMPUTED_VALUE"""),45223.0)</f>
        <v>45223</v>
      </c>
    </row>
    <row r="1378">
      <c r="A1378" s="10" t="s">
        <v>1258</v>
      </c>
      <c r="B1378" s="3" t="s">
        <v>1259</v>
      </c>
      <c r="C1378" s="10" t="s">
        <v>177</v>
      </c>
      <c r="D1378" s="3" t="s">
        <v>1309</v>
      </c>
      <c r="E1378" s="4" t="s">
        <v>8</v>
      </c>
      <c r="F1378" s="5" t="s">
        <v>6</v>
      </c>
      <c r="G1378" s="6" t="s">
        <v>1323</v>
      </c>
      <c r="H1378" s="7">
        <v>45227.0</v>
      </c>
      <c r="I1378" s="8">
        <f t="shared" si="1"/>
        <v>28</v>
      </c>
      <c r="J1378" s="9">
        <f t="shared" si="2"/>
        <v>10</v>
      </c>
      <c r="K1378" s="9">
        <f t="shared" si="3"/>
        <v>2023</v>
      </c>
      <c r="M1378" s="25">
        <f>IFERROR(__xludf.DUMMYFUNCTION("""COMPUTED_VALUE"""),45227.0)</f>
        <v>45227</v>
      </c>
    </row>
    <row r="1379">
      <c r="A1379" s="10" t="s">
        <v>1258</v>
      </c>
      <c r="B1379" s="3" t="s">
        <v>1259</v>
      </c>
      <c r="C1379" s="10" t="s">
        <v>177</v>
      </c>
      <c r="D1379" s="3" t="s">
        <v>1309</v>
      </c>
      <c r="E1379" s="4" t="s">
        <v>8</v>
      </c>
      <c r="F1379" s="5" t="s">
        <v>71</v>
      </c>
      <c r="G1379" s="6" t="s">
        <v>1324</v>
      </c>
      <c r="H1379" s="7">
        <v>45249.0</v>
      </c>
      <c r="I1379" s="8">
        <f t="shared" si="1"/>
        <v>19</v>
      </c>
      <c r="J1379" s="9">
        <f t="shared" si="2"/>
        <v>11</v>
      </c>
      <c r="K1379" s="9">
        <f t="shared" si="3"/>
        <v>2023</v>
      </c>
      <c r="M1379" s="25">
        <f>IFERROR(__xludf.DUMMYFUNCTION("""COMPUTED_VALUE"""),45249.0)</f>
        <v>45249</v>
      </c>
    </row>
    <row r="1380">
      <c r="A1380" s="10" t="s">
        <v>1258</v>
      </c>
      <c r="B1380" s="3" t="s">
        <v>1259</v>
      </c>
      <c r="C1380" s="10" t="s">
        <v>177</v>
      </c>
      <c r="D1380" s="3" t="s">
        <v>1309</v>
      </c>
      <c r="E1380" s="4" t="s">
        <v>8</v>
      </c>
      <c r="F1380" s="5" t="s">
        <v>23</v>
      </c>
      <c r="G1380" s="6" t="s">
        <v>259</v>
      </c>
      <c r="H1380" s="7">
        <v>45283.0</v>
      </c>
      <c r="I1380" s="8">
        <f t="shared" si="1"/>
        <v>23</v>
      </c>
      <c r="J1380" s="9">
        <f t="shared" si="2"/>
        <v>12</v>
      </c>
      <c r="K1380" s="9">
        <f t="shared" si="3"/>
        <v>2023</v>
      </c>
      <c r="M1380" s="25">
        <f>IFERROR(__xludf.DUMMYFUNCTION("""COMPUTED_VALUE"""),45283.0)</f>
        <v>45283</v>
      </c>
    </row>
    <row r="1381">
      <c r="A1381" s="10" t="s">
        <v>1278</v>
      </c>
      <c r="B1381" s="3" t="s">
        <v>1279</v>
      </c>
      <c r="C1381" s="10" t="s">
        <v>1325</v>
      </c>
      <c r="D1381" s="3" t="s">
        <v>1326</v>
      </c>
      <c r="E1381" s="4" t="s">
        <v>3</v>
      </c>
      <c r="F1381" s="5" t="s">
        <v>42</v>
      </c>
      <c r="G1381" s="6" t="s">
        <v>714</v>
      </c>
      <c r="H1381" s="7">
        <v>44940.0</v>
      </c>
      <c r="I1381" s="8">
        <f t="shared" si="1"/>
        <v>14</v>
      </c>
      <c r="J1381" s="9">
        <f t="shared" si="2"/>
        <v>1</v>
      </c>
      <c r="K1381" s="9">
        <f t="shared" si="3"/>
        <v>2023</v>
      </c>
      <c r="M1381" s="25">
        <f>IFERROR(__xludf.DUMMYFUNCTION("""COMPUTED_VALUE"""),44940.0)</f>
        <v>44940</v>
      </c>
    </row>
    <row r="1382">
      <c r="A1382" s="10" t="s">
        <v>1278</v>
      </c>
      <c r="B1382" s="3" t="s">
        <v>1279</v>
      </c>
      <c r="C1382" s="10" t="s">
        <v>1325</v>
      </c>
      <c r="D1382" s="3" t="s">
        <v>1326</v>
      </c>
      <c r="E1382" s="4" t="s">
        <v>8</v>
      </c>
      <c r="F1382" s="5" t="s">
        <v>96</v>
      </c>
      <c r="G1382" s="6" t="s">
        <v>374</v>
      </c>
      <c r="H1382" s="7">
        <v>44966.0</v>
      </c>
      <c r="I1382" s="8">
        <f t="shared" si="1"/>
        <v>9</v>
      </c>
      <c r="J1382" s="9">
        <f t="shared" si="2"/>
        <v>2</v>
      </c>
      <c r="K1382" s="9">
        <f t="shared" si="3"/>
        <v>2023</v>
      </c>
      <c r="M1382" s="25">
        <f>IFERROR(__xludf.DUMMYFUNCTION("""COMPUTED_VALUE"""),44966.0)</f>
        <v>44966</v>
      </c>
    </row>
    <row r="1383">
      <c r="A1383" s="10" t="s">
        <v>1278</v>
      </c>
      <c r="B1383" s="3" t="s">
        <v>1279</v>
      </c>
      <c r="C1383" s="10" t="s">
        <v>1325</v>
      </c>
      <c r="D1383" s="3" t="s">
        <v>1326</v>
      </c>
      <c r="E1383" s="4" t="s">
        <v>3</v>
      </c>
      <c r="F1383" s="5" t="s">
        <v>17</v>
      </c>
      <c r="G1383" s="6" t="s">
        <v>1327</v>
      </c>
      <c r="H1383" s="7">
        <v>44984.0</v>
      </c>
      <c r="I1383" s="8">
        <f t="shared" si="1"/>
        <v>27</v>
      </c>
      <c r="J1383" s="9">
        <f t="shared" si="2"/>
        <v>2</v>
      </c>
      <c r="K1383" s="9">
        <f t="shared" si="3"/>
        <v>2023</v>
      </c>
      <c r="M1383" s="25">
        <f>IFERROR(__xludf.DUMMYFUNCTION("""COMPUTED_VALUE"""),44984.0)</f>
        <v>44984</v>
      </c>
    </row>
    <row r="1384">
      <c r="A1384" s="10" t="s">
        <v>1278</v>
      </c>
      <c r="B1384" s="3" t="s">
        <v>1279</v>
      </c>
      <c r="C1384" s="10" t="s">
        <v>1325</v>
      </c>
      <c r="D1384" s="3" t="s">
        <v>1326</v>
      </c>
      <c r="E1384" s="4" t="s">
        <v>8</v>
      </c>
      <c r="F1384" s="5" t="s">
        <v>28</v>
      </c>
      <c r="G1384" s="6" t="s">
        <v>676</v>
      </c>
      <c r="H1384" s="7">
        <v>45033.0</v>
      </c>
      <c r="I1384" s="8">
        <f t="shared" si="1"/>
        <v>17</v>
      </c>
      <c r="J1384" s="9">
        <f t="shared" si="2"/>
        <v>4</v>
      </c>
      <c r="K1384" s="9">
        <f t="shared" si="3"/>
        <v>2023</v>
      </c>
      <c r="M1384" s="25">
        <f>IFERROR(__xludf.DUMMYFUNCTION("""COMPUTED_VALUE"""),45033.0)</f>
        <v>45033</v>
      </c>
    </row>
    <row r="1385">
      <c r="A1385" s="10" t="s">
        <v>1278</v>
      </c>
      <c r="B1385" s="3" t="s">
        <v>1279</v>
      </c>
      <c r="C1385" s="10" t="s">
        <v>1325</v>
      </c>
      <c r="D1385" s="3" t="s">
        <v>1326</v>
      </c>
      <c r="E1385" s="4" t="s">
        <v>8</v>
      </c>
      <c r="F1385" s="5" t="s">
        <v>96</v>
      </c>
      <c r="G1385" s="6" t="s">
        <v>1328</v>
      </c>
      <c r="H1385" s="7">
        <v>45041.0</v>
      </c>
      <c r="I1385" s="8">
        <f t="shared" si="1"/>
        <v>25</v>
      </c>
      <c r="J1385" s="9">
        <f t="shared" si="2"/>
        <v>4</v>
      </c>
      <c r="K1385" s="9">
        <f t="shared" si="3"/>
        <v>2023</v>
      </c>
      <c r="M1385" s="25">
        <f>IFERROR(__xludf.DUMMYFUNCTION("""COMPUTED_VALUE"""),45041.0)</f>
        <v>45041</v>
      </c>
    </row>
    <row r="1386">
      <c r="A1386" s="10" t="s">
        <v>1278</v>
      </c>
      <c r="B1386" s="3" t="s">
        <v>1279</v>
      </c>
      <c r="C1386" s="10" t="s">
        <v>1325</v>
      </c>
      <c r="D1386" s="3" t="s">
        <v>1326</v>
      </c>
      <c r="E1386" s="4" t="s">
        <v>8</v>
      </c>
      <c r="F1386" s="5" t="s">
        <v>23</v>
      </c>
      <c r="G1386" s="6" t="s">
        <v>1329</v>
      </c>
      <c r="H1386" s="7">
        <v>45056.0</v>
      </c>
      <c r="I1386" s="8">
        <f t="shared" si="1"/>
        <v>10</v>
      </c>
      <c r="J1386" s="9">
        <f t="shared" si="2"/>
        <v>5</v>
      </c>
      <c r="K1386" s="9">
        <f t="shared" si="3"/>
        <v>2023</v>
      </c>
      <c r="M1386" s="25">
        <f>IFERROR(__xludf.DUMMYFUNCTION("""COMPUTED_VALUE"""),45056.0)</f>
        <v>45056</v>
      </c>
    </row>
    <row r="1387">
      <c r="A1387" s="10" t="s">
        <v>1278</v>
      </c>
      <c r="B1387" s="3" t="s">
        <v>1279</v>
      </c>
      <c r="C1387" s="10" t="s">
        <v>1325</v>
      </c>
      <c r="D1387" s="3" t="s">
        <v>1326</v>
      </c>
      <c r="E1387" s="4" t="s">
        <v>8</v>
      </c>
      <c r="F1387" s="5" t="s">
        <v>21</v>
      </c>
      <c r="G1387" s="6" t="s">
        <v>1176</v>
      </c>
      <c r="H1387" s="7">
        <v>45071.0</v>
      </c>
      <c r="I1387" s="8">
        <f t="shared" si="1"/>
        <v>25</v>
      </c>
      <c r="J1387" s="9">
        <f t="shared" si="2"/>
        <v>5</v>
      </c>
      <c r="K1387" s="9">
        <f t="shared" si="3"/>
        <v>2023</v>
      </c>
      <c r="M1387" s="25">
        <f>IFERROR(__xludf.DUMMYFUNCTION("""COMPUTED_VALUE"""),45071.0)</f>
        <v>45071</v>
      </c>
    </row>
    <row r="1388">
      <c r="A1388" s="10" t="s">
        <v>1278</v>
      </c>
      <c r="B1388" s="3" t="s">
        <v>1279</v>
      </c>
      <c r="C1388" s="10" t="s">
        <v>1325</v>
      </c>
      <c r="D1388" s="3" t="s">
        <v>1326</v>
      </c>
      <c r="E1388" s="4" t="s">
        <v>8</v>
      </c>
      <c r="F1388" s="5" t="s">
        <v>11</v>
      </c>
      <c r="G1388" s="6" t="s">
        <v>1330</v>
      </c>
      <c r="H1388" s="7">
        <v>45074.0</v>
      </c>
      <c r="I1388" s="8">
        <f t="shared" si="1"/>
        <v>28</v>
      </c>
      <c r="J1388" s="9">
        <f t="shared" si="2"/>
        <v>5</v>
      </c>
      <c r="K1388" s="9">
        <f t="shared" si="3"/>
        <v>2023</v>
      </c>
      <c r="M1388" s="25">
        <f>IFERROR(__xludf.DUMMYFUNCTION("""COMPUTED_VALUE"""),45074.0)</f>
        <v>45074</v>
      </c>
    </row>
    <row r="1389">
      <c r="A1389" s="10" t="s">
        <v>1278</v>
      </c>
      <c r="B1389" s="3" t="s">
        <v>1279</v>
      </c>
      <c r="C1389" s="10" t="s">
        <v>1325</v>
      </c>
      <c r="D1389" s="3" t="s">
        <v>1326</v>
      </c>
      <c r="E1389" s="4" t="s">
        <v>8</v>
      </c>
      <c r="F1389" s="5" t="s">
        <v>42</v>
      </c>
      <c r="G1389" s="6" t="s">
        <v>302</v>
      </c>
      <c r="H1389" s="7">
        <v>45085.0</v>
      </c>
      <c r="I1389" s="8">
        <f t="shared" si="1"/>
        <v>8</v>
      </c>
      <c r="J1389" s="9">
        <f t="shared" si="2"/>
        <v>6</v>
      </c>
      <c r="K1389" s="9">
        <f t="shared" si="3"/>
        <v>2023</v>
      </c>
      <c r="M1389" s="25">
        <f>IFERROR(__xludf.DUMMYFUNCTION("""COMPUTED_VALUE"""),45085.0)</f>
        <v>45085</v>
      </c>
    </row>
    <row r="1390">
      <c r="A1390" s="10" t="s">
        <v>1278</v>
      </c>
      <c r="B1390" s="3" t="s">
        <v>1279</v>
      </c>
      <c r="C1390" s="10" t="s">
        <v>1325</v>
      </c>
      <c r="D1390" s="3" t="s">
        <v>1326</v>
      </c>
      <c r="E1390" s="4" t="s">
        <v>3</v>
      </c>
      <c r="F1390" s="5" t="s">
        <v>19</v>
      </c>
      <c r="G1390" s="6" t="s">
        <v>1331</v>
      </c>
      <c r="H1390" s="7">
        <v>45092.0</v>
      </c>
      <c r="I1390" s="8">
        <f t="shared" si="1"/>
        <v>15</v>
      </c>
      <c r="J1390" s="9">
        <f t="shared" si="2"/>
        <v>6</v>
      </c>
      <c r="K1390" s="9">
        <f t="shared" si="3"/>
        <v>2023</v>
      </c>
      <c r="M1390" s="25">
        <f>IFERROR(__xludf.DUMMYFUNCTION("""COMPUTED_VALUE"""),45092.0)</f>
        <v>45092</v>
      </c>
    </row>
    <row r="1391">
      <c r="A1391" s="10" t="s">
        <v>1278</v>
      </c>
      <c r="B1391" s="3" t="s">
        <v>1279</v>
      </c>
      <c r="C1391" s="10" t="s">
        <v>1325</v>
      </c>
      <c r="D1391" s="3" t="s">
        <v>1326</v>
      </c>
      <c r="E1391" s="4" t="s">
        <v>3</v>
      </c>
      <c r="F1391" s="5" t="s">
        <v>39</v>
      </c>
      <c r="G1391" s="6" t="s">
        <v>1332</v>
      </c>
      <c r="H1391" s="7">
        <v>45113.0</v>
      </c>
      <c r="I1391" s="8">
        <f t="shared" si="1"/>
        <v>6</v>
      </c>
      <c r="J1391" s="9">
        <f t="shared" si="2"/>
        <v>7</v>
      </c>
      <c r="K1391" s="9">
        <f t="shared" si="3"/>
        <v>2023</v>
      </c>
      <c r="M1391" s="25">
        <f>IFERROR(__xludf.DUMMYFUNCTION("""COMPUTED_VALUE"""),45113.0)</f>
        <v>45113</v>
      </c>
    </row>
    <row r="1392">
      <c r="A1392" s="10" t="s">
        <v>1278</v>
      </c>
      <c r="B1392" s="3" t="s">
        <v>1279</v>
      </c>
      <c r="C1392" s="10" t="s">
        <v>1325</v>
      </c>
      <c r="D1392" s="3" t="s">
        <v>1326</v>
      </c>
      <c r="E1392" s="4" t="s">
        <v>8</v>
      </c>
      <c r="F1392" s="5" t="s">
        <v>15</v>
      </c>
      <c r="G1392" s="6" t="s">
        <v>16</v>
      </c>
      <c r="H1392" s="7">
        <v>45132.0</v>
      </c>
      <c r="I1392" s="8">
        <f t="shared" si="1"/>
        <v>25</v>
      </c>
      <c r="J1392" s="9">
        <f t="shared" si="2"/>
        <v>7</v>
      </c>
      <c r="K1392" s="9">
        <f t="shared" si="3"/>
        <v>2023</v>
      </c>
      <c r="M1392" s="25">
        <f>IFERROR(__xludf.DUMMYFUNCTION("""COMPUTED_VALUE"""),45132.0)</f>
        <v>45132</v>
      </c>
    </row>
    <row r="1393">
      <c r="A1393" s="10" t="s">
        <v>1278</v>
      </c>
      <c r="B1393" s="3" t="s">
        <v>1279</v>
      </c>
      <c r="C1393" s="10" t="s">
        <v>1325</v>
      </c>
      <c r="D1393" s="3" t="s">
        <v>1326</v>
      </c>
      <c r="E1393" s="4" t="s">
        <v>8</v>
      </c>
      <c r="F1393" s="5" t="s">
        <v>13</v>
      </c>
      <c r="G1393" s="6" t="s">
        <v>1333</v>
      </c>
      <c r="H1393" s="7">
        <v>45155.0</v>
      </c>
      <c r="I1393" s="8">
        <f t="shared" si="1"/>
        <v>17</v>
      </c>
      <c r="J1393" s="9">
        <f t="shared" si="2"/>
        <v>8</v>
      </c>
      <c r="K1393" s="9">
        <f t="shared" si="3"/>
        <v>2023</v>
      </c>
      <c r="M1393" s="25">
        <f>IFERROR(__xludf.DUMMYFUNCTION("""COMPUTED_VALUE"""),45155.0)</f>
        <v>45155</v>
      </c>
    </row>
    <row r="1394">
      <c r="A1394" s="10" t="s">
        <v>1278</v>
      </c>
      <c r="B1394" s="3" t="s">
        <v>1279</v>
      </c>
      <c r="C1394" s="10" t="s">
        <v>1325</v>
      </c>
      <c r="D1394" s="3" t="s">
        <v>1326</v>
      </c>
      <c r="E1394" s="4" t="s">
        <v>8</v>
      </c>
      <c r="F1394" s="5" t="s">
        <v>4</v>
      </c>
      <c r="G1394" s="6" t="s">
        <v>1334</v>
      </c>
      <c r="H1394" s="7">
        <v>45162.0</v>
      </c>
      <c r="I1394" s="8">
        <f t="shared" si="1"/>
        <v>24</v>
      </c>
      <c r="J1394" s="9">
        <f t="shared" si="2"/>
        <v>8</v>
      </c>
      <c r="K1394" s="9">
        <f t="shared" si="3"/>
        <v>2023</v>
      </c>
      <c r="M1394" s="25">
        <f>IFERROR(__xludf.DUMMYFUNCTION("""COMPUTED_VALUE"""),45162.0)</f>
        <v>45162</v>
      </c>
    </row>
    <row r="1395">
      <c r="A1395" s="10" t="s">
        <v>1278</v>
      </c>
      <c r="B1395" s="3" t="s">
        <v>1279</v>
      </c>
      <c r="C1395" s="10" t="s">
        <v>1325</v>
      </c>
      <c r="D1395" s="3" t="s">
        <v>1326</v>
      </c>
      <c r="E1395" s="4" t="s">
        <v>3</v>
      </c>
      <c r="F1395" s="5" t="s">
        <v>6</v>
      </c>
      <c r="G1395" s="6" t="s">
        <v>1335</v>
      </c>
      <c r="H1395" s="7">
        <v>45166.0</v>
      </c>
      <c r="I1395" s="8">
        <f t="shared" si="1"/>
        <v>28</v>
      </c>
      <c r="J1395" s="9">
        <f t="shared" si="2"/>
        <v>8</v>
      </c>
      <c r="K1395" s="9">
        <f t="shared" si="3"/>
        <v>2023</v>
      </c>
      <c r="M1395" s="25">
        <f>IFERROR(__xludf.DUMMYFUNCTION("""COMPUTED_VALUE"""),45166.0)</f>
        <v>45166</v>
      </c>
    </row>
    <row r="1396">
      <c r="A1396" s="10" t="s">
        <v>1278</v>
      </c>
      <c r="B1396" s="3" t="s">
        <v>1279</v>
      </c>
      <c r="C1396" s="10" t="s">
        <v>1325</v>
      </c>
      <c r="D1396" s="3" t="s">
        <v>1326</v>
      </c>
      <c r="E1396" s="4" t="s">
        <v>8</v>
      </c>
      <c r="F1396" s="5" t="s">
        <v>51</v>
      </c>
      <c r="G1396" s="6" t="s">
        <v>1336</v>
      </c>
      <c r="H1396" s="7">
        <v>45172.0</v>
      </c>
      <c r="I1396" s="8">
        <f t="shared" si="1"/>
        <v>3</v>
      </c>
      <c r="J1396" s="9">
        <f t="shared" si="2"/>
        <v>9</v>
      </c>
      <c r="K1396" s="9">
        <f t="shared" si="3"/>
        <v>2023</v>
      </c>
      <c r="M1396" s="25">
        <f>IFERROR(__xludf.DUMMYFUNCTION("""COMPUTED_VALUE"""),45172.0)</f>
        <v>45172</v>
      </c>
    </row>
    <row r="1397">
      <c r="A1397" s="10" t="s">
        <v>1278</v>
      </c>
      <c r="B1397" s="3" t="s">
        <v>1279</v>
      </c>
      <c r="C1397" s="10" t="s">
        <v>1325</v>
      </c>
      <c r="D1397" s="3" t="s">
        <v>1326</v>
      </c>
      <c r="E1397" s="4" t="s">
        <v>8</v>
      </c>
      <c r="F1397" s="5" t="s">
        <v>35</v>
      </c>
      <c r="G1397" s="6" t="s">
        <v>1337</v>
      </c>
      <c r="H1397" s="7">
        <v>45174.0</v>
      </c>
      <c r="I1397" s="8">
        <f t="shared" si="1"/>
        <v>5</v>
      </c>
      <c r="J1397" s="9">
        <f t="shared" si="2"/>
        <v>9</v>
      </c>
      <c r="K1397" s="9">
        <f t="shared" si="3"/>
        <v>2023</v>
      </c>
      <c r="M1397" s="25">
        <f>IFERROR(__xludf.DUMMYFUNCTION("""COMPUTED_VALUE"""),45174.0)</f>
        <v>45174</v>
      </c>
    </row>
    <row r="1398">
      <c r="A1398" s="10" t="s">
        <v>1278</v>
      </c>
      <c r="B1398" s="3" t="s">
        <v>1279</v>
      </c>
      <c r="C1398" s="10" t="s">
        <v>1325</v>
      </c>
      <c r="D1398" s="3" t="s">
        <v>1326</v>
      </c>
      <c r="E1398" s="4" t="s">
        <v>3</v>
      </c>
      <c r="F1398" s="5" t="s">
        <v>21</v>
      </c>
      <c r="G1398" s="6" t="s">
        <v>1338</v>
      </c>
      <c r="H1398" s="7">
        <v>45181.0</v>
      </c>
      <c r="I1398" s="8">
        <f t="shared" si="1"/>
        <v>12</v>
      </c>
      <c r="J1398" s="9">
        <f t="shared" si="2"/>
        <v>9</v>
      </c>
      <c r="K1398" s="9">
        <f t="shared" si="3"/>
        <v>2023</v>
      </c>
      <c r="M1398" s="25">
        <f>IFERROR(__xludf.DUMMYFUNCTION("""COMPUTED_VALUE"""),45181.0)</f>
        <v>45181</v>
      </c>
    </row>
    <row r="1399">
      <c r="A1399" s="10" t="s">
        <v>1278</v>
      </c>
      <c r="B1399" s="3" t="s">
        <v>1279</v>
      </c>
      <c r="C1399" s="10" t="s">
        <v>1325</v>
      </c>
      <c r="D1399" s="3" t="s">
        <v>1326</v>
      </c>
      <c r="E1399" s="4" t="s">
        <v>3</v>
      </c>
      <c r="F1399" s="5" t="s">
        <v>13</v>
      </c>
      <c r="G1399" s="6" t="s">
        <v>1339</v>
      </c>
      <c r="H1399" s="7">
        <v>45207.0</v>
      </c>
      <c r="I1399" s="8">
        <f t="shared" si="1"/>
        <v>8</v>
      </c>
      <c r="J1399" s="9">
        <f t="shared" si="2"/>
        <v>10</v>
      </c>
      <c r="K1399" s="9">
        <f t="shared" si="3"/>
        <v>2023</v>
      </c>
      <c r="M1399" s="25">
        <f>IFERROR(__xludf.DUMMYFUNCTION("""COMPUTED_VALUE"""),45207.0)</f>
        <v>45207</v>
      </c>
    </row>
    <row r="1400">
      <c r="A1400" s="10" t="s">
        <v>1278</v>
      </c>
      <c r="B1400" s="3" t="s">
        <v>1279</v>
      </c>
      <c r="C1400" s="10" t="s">
        <v>1325</v>
      </c>
      <c r="D1400" s="3" t="s">
        <v>1326</v>
      </c>
      <c r="E1400" s="4" t="s">
        <v>3</v>
      </c>
      <c r="F1400" s="5" t="s">
        <v>35</v>
      </c>
      <c r="G1400" s="6" t="s">
        <v>1201</v>
      </c>
      <c r="H1400" s="7">
        <v>45210.0</v>
      </c>
      <c r="I1400" s="8">
        <f t="shared" si="1"/>
        <v>11</v>
      </c>
      <c r="J1400" s="9">
        <f t="shared" si="2"/>
        <v>10</v>
      </c>
      <c r="K1400" s="9">
        <f t="shared" si="3"/>
        <v>2023</v>
      </c>
      <c r="M1400" s="25">
        <f>IFERROR(__xludf.DUMMYFUNCTION("""COMPUTED_VALUE"""),45210.0)</f>
        <v>45210</v>
      </c>
    </row>
    <row r="1401">
      <c r="A1401" s="10" t="s">
        <v>408</v>
      </c>
      <c r="B1401" s="3" t="s">
        <v>1296</v>
      </c>
      <c r="C1401" s="10" t="s">
        <v>1258</v>
      </c>
      <c r="D1401" s="3" t="s">
        <v>1340</v>
      </c>
      <c r="E1401" s="4" t="s">
        <v>3</v>
      </c>
      <c r="F1401" s="5" t="s">
        <v>42</v>
      </c>
      <c r="G1401" s="6" t="s">
        <v>86</v>
      </c>
      <c r="H1401" s="7">
        <v>44940.0</v>
      </c>
      <c r="I1401" s="8">
        <f t="shared" si="1"/>
        <v>14</v>
      </c>
      <c r="J1401" s="9">
        <f t="shared" si="2"/>
        <v>1</v>
      </c>
      <c r="K1401" s="9">
        <f t="shared" si="3"/>
        <v>2023</v>
      </c>
      <c r="M1401" s="25">
        <f>IFERROR(__xludf.DUMMYFUNCTION("""COMPUTED_VALUE"""),44940.0)</f>
        <v>44940</v>
      </c>
    </row>
    <row r="1402">
      <c r="A1402" s="10" t="s">
        <v>408</v>
      </c>
      <c r="B1402" s="3" t="s">
        <v>1296</v>
      </c>
      <c r="C1402" s="10" t="s">
        <v>1258</v>
      </c>
      <c r="D1402" s="3" t="s">
        <v>1340</v>
      </c>
      <c r="E1402" s="4" t="s">
        <v>8</v>
      </c>
      <c r="F1402" s="5" t="s">
        <v>19</v>
      </c>
      <c r="G1402" s="6" t="s">
        <v>1341</v>
      </c>
      <c r="H1402" s="7">
        <v>44948.0</v>
      </c>
      <c r="I1402" s="8">
        <f t="shared" si="1"/>
        <v>22</v>
      </c>
      <c r="J1402" s="9">
        <f t="shared" si="2"/>
        <v>1</v>
      </c>
      <c r="K1402" s="9">
        <f t="shared" si="3"/>
        <v>2023</v>
      </c>
      <c r="M1402" s="25">
        <f>IFERROR(__xludf.DUMMYFUNCTION("""COMPUTED_VALUE"""),44948.0)</f>
        <v>44948</v>
      </c>
    </row>
    <row r="1403">
      <c r="A1403" s="10" t="s">
        <v>408</v>
      </c>
      <c r="B1403" s="3" t="s">
        <v>1296</v>
      </c>
      <c r="C1403" s="10" t="s">
        <v>1258</v>
      </c>
      <c r="D1403" s="3" t="s">
        <v>1340</v>
      </c>
      <c r="E1403" s="4" t="s">
        <v>3</v>
      </c>
      <c r="F1403" s="5" t="s">
        <v>71</v>
      </c>
      <c r="G1403" s="6" t="s">
        <v>1342</v>
      </c>
      <c r="H1403" s="7">
        <v>44949.0</v>
      </c>
      <c r="I1403" s="8">
        <f t="shared" si="1"/>
        <v>23</v>
      </c>
      <c r="J1403" s="9">
        <f t="shared" si="2"/>
        <v>1</v>
      </c>
      <c r="K1403" s="9">
        <f t="shared" si="3"/>
        <v>2023</v>
      </c>
      <c r="M1403" s="25">
        <f>IFERROR(__xludf.DUMMYFUNCTION("""COMPUTED_VALUE"""),44949.0)</f>
        <v>44949</v>
      </c>
    </row>
    <row r="1404">
      <c r="A1404" s="10" t="s">
        <v>408</v>
      </c>
      <c r="B1404" s="3" t="s">
        <v>1296</v>
      </c>
      <c r="C1404" s="10" t="s">
        <v>1258</v>
      </c>
      <c r="D1404" s="3" t="s">
        <v>1340</v>
      </c>
      <c r="E1404" s="4" t="s">
        <v>3</v>
      </c>
      <c r="F1404" s="5" t="s">
        <v>21</v>
      </c>
      <c r="G1404" s="6" t="s">
        <v>943</v>
      </c>
      <c r="H1404" s="7">
        <v>44988.0</v>
      </c>
      <c r="I1404" s="8">
        <f t="shared" si="1"/>
        <v>3</v>
      </c>
      <c r="J1404" s="9">
        <f t="shared" si="2"/>
        <v>3</v>
      </c>
      <c r="K1404" s="9">
        <f t="shared" si="3"/>
        <v>2023</v>
      </c>
      <c r="M1404" s="25">
        <f>IFERROR(__xludf.DUMMYFUNCTION("""COMPUTED_VALUE"""),44988.0)</f>
        <v>44988</v>
      </c>
    </row>
    <row r="1405">
      <c r="A1405" s="10" t="s">
        <v>408</v>
      </c>
      <c r="B1405" s="3" t="s">
        <v>1296</v>
      </c>
      <c r="C1405" s="10" t="s">
        <v>1258</v>
      </c>
      <c r="D1405" s="3" t="s">
        <v>1340</v>
      </c>
      <c r="E1405" s="4" t="s">
        <v>8</v>
      </c>
      <c r="F1405" s="5" t="s">
        <v>21</v>
      </c>
      <c r="G1405" s="6" t="s">
        <v>966</v>
      </c>
      <c r="H1405" s="7">
        <v>45002.0</v>
      </c>
      <c r="I1405" s="8">
        <f t="shared" si="1"/>
        <v>17</v>
      </c>
      <c r="J1405" s="9">
        <f t="shared" si="2"/>
        <v>3</v>
      </c>
      <c r="K1405" s="9">
        <f t="shared" si="3"/>
        <v>2023</v>
      </c>
      <c r="M1405" s="25">
        <f>IFERROR(__xludf.DUMMYFUNCTION("""COMPUTED_VALUE"""),45002.0)</f>
        <v>45002</v>
      </c>
    </row>
    <row r="1406">
      <c r="A1406" s="10" t="s">
        <v>408</v>
      </c>
      <c r="B1406" s="3" t="s">
        <v>1296</v>
      </c>
      <c r="C1406" s="10" t="s">
        <v>1258</v>
      </c>
      <c r="D1406" s="3" t="s">
        <v>1340</v>
      </c>
      <c r="E1406" s="4" t="s">
        <v>3</v>
      </c>
      <c r="F1406" s="5" t="s">
        <v>39</v>
      </c>
      <c r="G1406" s="6" t="s">
        <v>1343</v>
      </c>
      <c r="H1406" s="7">
        <v>45007.0</v>
      </c>
      <c r="I1406" s="8">
        <f t="shared" si="1"/>
        <v>22</v>
      </c>
      <c r="J1406" s="9">
        <f t="shared" si="2"/>
        <v>3</v>
      </c>
      <c r="K1406" s="9">
        <f t="shared" si="3"/>
        <v>2023</v>
      </c>
      <c r="M1406" s="25">
        <f>IFERROR(__xludf.DUMMYFUNCTION("""COMPUTED_VALUE"""),45007.0)</f>
        <v>45007</v>
      </c>
    </row>
    <row r="1407">
      <c r="A1407" s="10" t="s">
        <v>408</v>
      </c>
      <c r="B1407" s="3" t="s">
        <v>1296</v>
      </c>
      <c r="C1407" s="10" t="s">
        <v>1258</v>
      </c>
      <c r="D1407" s="3" t="s">
        <v>1340</v>
      </c>
      <c r="E1407" s="4" t="s">
        <v>8</v>
      </c>
      <c r="F1407" s="5" t="s">
        <v>6</v>
      </c>
      <c r="G1407" s="6" t="s">
        <v>1344</v>
      </c>
      <c r="H1407" s="7">
        <v>45044.0</v>
      </c>
      <c r="I1407" s="8">
        <f t="shared" si="1"/>
        <v>28</v>
      </c>
      <c r="J1407" s="9">
        <f t="shared" si="2"/>
        <v>4</v>
      </c>
      <c r="K1407" s="9">
        <f t="shared" si="3"/>
        <v>2023</v>
      </c>
      <c r="M1407" s="25">
        <f>IFERROR(__xludf.DUMMYFUNCTION("""COMPUTED_VALUE"""),45044.0)</f>
        <v>45044</v>
      </c>
    </row>
    <row r="1408">
      <c r="A1408" s="10" t="s">
        <v>408</v>
      </c>
      <c r="B1408" s="3" t="s">
        <v>1296</v>
      </c>
      <c r="C1408" s="10" t="s">
        <v>1258</v>
      </c>
      <c r="D1408" s="3" t="s">
        <v>1340</v>
      </c>
      <c r="E1408" s="4" t="s">
        <v>3</v>
      </c>
      <c r="F1408" s="5" t="s">
        <v>17</v>
      </c>
      <c r="G1408" s="6" t="s">
        <v>716</v>
      </c>
      <c r="H1408" s="7">
        <v>45066.0</v>
      </c>
      <c r="I1408" s="8">
        <f t="shared" si="1"/>
        <v>20</v>
      </c>
      <c r="J1408" s="9">
        <f t="shared" si="2"/>
        <v>5</v>
      </c>
      <c r="K1408" s="9">
        <f t="shared" si="3"/>
        <v>2023</v>
      </c>
      <c r="M1408" s="25">
        <f>IFERROR(__xludf.DUMMYFUNCTION("""COMPUTED_VALUE"""),45066.0)</f>
        <v>45066</v>
      </c>
    </row>
    <row r="1409">
      <c r="A1409" s="10" t="s">
        <v>408</v>
      </c>
      <c r="B1409" s="3" t="s">
        <v>1296</v>
      </c>
      <c r="C1409" s="10" t="s">
        <v>1258</v>
      </c>
      <c r="D1409" s="3" t="s">
        <v>1340</v>
      </c>
      <c r="E1409" s="4" t="s">
        <v>3</v>
      </c>
      <c r="F1409" s="5" t="s">
        <v>35</v>
      </c>
      <c r="G1409" s="6" t="s">
        <v>1345</v>
      </c>
      <c r="H1409" s="7">
        <v>45073.0</v>
      </c>
      <c r="I1409" s="8">
        <f t="shared" si="1"/>
        <v>27</v>
      </c>
      <c r="J1409" s="9">
        <f t="shared" si="2"/>
        <v>5</v>
      </c>
      <c r="K1409" s="9">
        <f t="shared" si="3"/>
        <v>2023</v>
      </c>
      <c r="M1409" s="25">
        <f>IFERROR(__xludf.DUMMYFUNCTION("""COMPUTED_VALUE"""),45073.0)</f>
        <v>45073</v>
      </c>
    </row>
    <row r="1410">
      <c r="A1410" s="10" t="s">
        <v>408</v>
      </c>
      <c r="B1410" s="3" t="s">
        <v>1296</v>
      </c>
      <c r="C1410" s="10" t="s">
        <v>1258</v>
      </c>
      <c r="D1410" s="3" t="s">
        <v>1340</v>
      </c>
      <c r="E1410" s="4" t="s">
        <v>8</v>
      </c>
      <c r="F1410" s="5" t="s">
        <v>39</v>
      </c>
      <c r="G1410" s="6" t="s">
        <v>1346</v>
      </c>
      <c r="H1410" s="7">
        <v>45089.0</v>
      </c>
      <c r="I1410" s="8">
        <f t="shared" si="1"/>
        <v>12</v>
      </c>
      <c r="J1410" s="9">
        <f t="shared" si="2"/>
        <v>6</v>
      </c>
      <c r="K1410" s="9">
        <f t="shared" si="3"/>
        <v>2023</v>
      </c>
      <c r="M1410" s="25">
        <f>IFERROR(__xludf.DUMMYFUNCTION("""COMPUTED_VALUE"""),45089.0)</f>
        <v>45089</v>
      </c>
    </row>
    <row r="1411">
      <c r="A1411" s="10" t="s">
        <v>408</v>
      </c>
      <c r="B1411" s="3" t="s">
        <v>1296</v>
      </c>
      <c r="C1411" s="10" t="s">
        <v>1258</v>
      </c>
      <c r="D1411" s="3" t="s">
        <v>1340</v>
      </c>
      <c r="E1411" s="4" t="s">
        <v>8</v>
      </c>
      <c r="F1411" s="5" t="s">
        <v>6</v>
      </c>
      <c r="G1411" s="6" t="s">
        <v>1347</v>
      </c>
      <c r="H1411" s="7">
        <v>45095.0</v>
      </c>
      <c r="I1411" s="8">
        <f t="shared" si="1"/>
        <v>18</v>
      </c>
      <c r="J1411" s="9">
        <f t="shared" si="2"/>
        <v>6</v>
      </c>
      <c r="K1411" s="9">
        <f t="shared" si="3"/>
        <v>2023</v>
      </c>
      <c r="M1411" s="25">
        <f>IFERROR(__xludf.DUMMYFUNCTION("""COMPUTED_VALUE"""),45095.0)</f>
        <v>45095</v>
      </c>
    </row>
    <row r="1412">
      <c r="A1412" s="10" t="s">
        <v>408</v>
      </c>
      <c r="B1412" s="3" t="s">
        <v>1296</v>
      </c>
      <c r="C1412" s="10" t="s">
        <v>1258</v>
      </c>
      <c r="D1412" s="3" t="s">
        <v>1340</v>
      </c>
      <c r="E1412" s="4" t="s">
        <v>3</v>
      </c>
      <c r="F1412" s="5" t="s">
        <v>4</v>
      </c>
      <c r="G1412" s="6" t="s">
        <v>1348</v>
      </c>
      <c r="H1412" s="7">
        <v>45103.0</v>
      </c>
      <c r="I1412" s="8">
        <f t="shared" si="1"/>
        <v>26</v>
      </c>
      <c r="J1412" s="9">
        <f t="shared" si="2"/>
        <v>6</v>
      </c>
      <c r="K1412" s="9">
        <f t="shared" si="3"/>
        <v>2023</v>
      </c>
      <c r="M1412" s="25">
        <f>IFERROR(__xludf.DUMMYFUNCTION("""COMPUTED_VALUE"""),45103.0)</f>
        <v>45103</v>
      </c>
    </row>
    <row r="1413">
      <c r="A1413" s="10" t="s">
        <v>408</v>
      </c>
      <c r="B1413" s="3" t="s">
        <v>1296</v>
      </c>
      <c r="C1413" s="10" t="s">
        <v>1258</v>
      </c>
      <c r="D1413" s="3" t="s">
        <v>1340</v>
      </c>
      <c r="E1413" s="4" t="s">
        <v>3</v>
      </c>
      <c r="F1413" s="5" t="s">
        <v>71</v>
      </c>
      <c r="G1413" s="6" t="s">
        <v>1349</v>
      </c>
      <c r="H1413" s="7">
        <v>45157.0</v>
      </c>
      <c r="I1413" s="8">
        <f t="shared" si="1"/>
        <v>19</v>
      </c>
      <c r="J1413" s="9">
        <f t="shared" si="2"/>
        <v>8</v>
      </c>
      <c r="K1413" s="9">
        <f t="shared" si="3"/>
        <v>2023</v>
      </c>
      <c r="M1413" s="25">
        <f>IFERROR(__xludf.DUMMYFUNCTION("""COMPUTED_VALUE"""),45157.0)</f>
        <v>45157</v>
      </c>
    </row>
    <row r="1414">
      <c r="A1414" s="10" t="s">
        <v>408</v>
      </c>
      <c r="B1414" s="3" t="s">
        <v>1296</v>
      </c>
      <c r="C1414" s="10" t="s">
        <v>1258</v>
      </c>
      <c r="D1414" s="3" t="s">
        <v>1340</v>
      </c>
      <c r="E1414" s="4" t="s">
        <v>8</v>
      </c>
      <c r="F1414" s="5" t="s">
        <v>17</v>
      </c>
      <c r="G1414" s="6" t="s">
        <v>203</v>
      </c>
      <c r="H1414" s="7">
        <v>45163.0</v>
      </c>
      <c r="I1414" s="8">
        <f t="shared" si="1"/>
        <v>25</v>
      </c>
      <c r="J1414" s="9">
        <f t="shared" si="2"/>
        <v>8</v>
      </c>
      <c r="K1414" s="9">
        <f t="shared" si="3"/>
        <v>2023</v>
      </c>
      <c r="M1414" s="25">
        <f>IFERROR(__xludf.DUMMYFUNCTION("""COMPUTED_VALUE"""),45163.0)</f>
        <v>45163</v>
      </c>
    </row>
    <row r="1415">
      <c r="A1415" s="10" t="s">
        <v>408</v>
      </c>
      <c r="B1415" s="3" t="s">
        <v>1296</v>
      </c>
      <c r="C1415" s="10" t="s">
        <v>1258</v>
      </c>
      <c r="D1415" s="3" t="s">
        <v>1340</v>
      </c>
      <c r="E1415" s="4" t="s">
        <v>3</v>
      </c>
      <c r="F1415" s="5" t="s">
        <v>45</v>
      </c>
      <c r="G1415" s="6" t="s">
        <v>1350</v>
      </c>
      <c r="H1415" s="7">
        <v>45181.0</v>
      </c>
      <c r="I1415" s="8">
        <f t="shared" si="1"/>
        <v>12</v>
      </c>
      <c r="J1415" s="9">
        <f t="shared" si="2"/>
        <v>9</v>
      </c>
      <c r="K1415" s="9">
        <f t="shared" si="3"/>
        <v>2023</v>
      </c>
      <c r="M1415" s="25">
        <f>IFERROR(__xludf.DUMMYFUNCTION("""COMPUTED_VALUE"""),45181.0)</f>
        <v>45181</v>
      </c>
    </row>
    <row r="1416">
      <c r="A1416" s="10" t="s">
        <v>408</v>
      </c>
      <c r="B1416" s="3" t="s">
        <v>1296</v>
      </c>
      <c r="C1416" s="10" t="s">
        <v>1258</v>
      </c>
      <c r="D1416" s="3" t="s">
        <v>1340</v>
      </c>
      <c r="E1416" s="4" t="s">
        <v>8</v>
      </c>
      <c r="F1416" s="5" t="s">
        <v>51</v>
      </c>
      <c r="G1416" s="6" t="s">
        <v>1351</v>
      </c>
      <c r="H1416" s="7">
        <v>45189.0</v>
      </c>
      <c r="I1416" s="8">
        <f t="shared" si="1"/>
        <v>20</v>
      </c>
      <c r="J1416" s="9">
        <f t="shared" si="2"/>
        <v>9</v>
      </c>
      <c r="K1416" s="9">
        <f t="shared" si="3"/>
        <v>2023</v>
      </c>
      <c r="M1416" s="25">
        <f>IFERROR(__xludf.DUMMYFUNCTION("""COMPUTED_VALUE"""),45189.0)</f>
        <v>45189</v>
      </c>
    </row>
    <row r="1417">
      <c r="A1417" s="10" t="s">
        <v>408</v>
      </c>
      <c r="B1417" s="3" t="s">
        <v>1296</v>
      </c>
      <c r="C1417" s="10" t="s">
        <v>1258</v>
      </c>
      <c r="D1417" s="3" t="s">
        <v>1340</v>
      </c>
      <c r="E1417" s="4" t="s">
        <v>3</v>
      </c>
      <c r="F1417" s="5" t="s">
        <v>76</v>
      </c>
      <c r="G1417" s="6" t="s">
        <v>1352</v>
      </c>
      <c r="H1417" s="7">
        <v>45193.0</v>
      </c>
      <c r="I1417" s="8">
        <f t="shared" si="1"/>
        <v>24</v>
      </c>
      <c r="J1417" s="9">
        <f t="shared" si="2"/>
        <v>9</v>
      </c>
      <c r="K1417" s="9">
        <f t="shared" si="3"/>
        <v>2023</v>
      </c>
      <c r="M1417" s="25">
        <f>IFERROR(__xludf.DUMMYFUNCTION("""COMPUTED_VALUE"""),45193.0)</f>
        <v>45193</v>
      </c>
    </row>
    <row r="1418">
      <c r="A1418" s="10" t="s">
        <v>408</v>
      </c>
      <c r="B1418" s="3" t="s">
        <v>1296</v>
      </c>
      <c r="C1418" s="10" t="s">
        <v>1258</v>
      </c>
      <c r="D1418" s="3" t="s">
        <v>1340</v>
      </c>
      <c r="E1418" s="4" t="s">
        <v>3</v>
      </c>
      <c r="F1418" s="5" t="s">
        <v>4</v>
      </c>
      <c r="G1418" s="6" t="s">
        <v>1353</v>
      </c>
      <c r="H1418" s="7">
        <v>45231.0</v>
      </c>
      <c r="I1418" s="8">
        <f t="shared" si="1"/>
        <v>1</v>
      </c>
      <c r="J1418" s="9">
        <f t="shared" si="2"/>
        <v>11</v>
      </c>
      <c r="K1418" s="9">
        <f t="shared" si="3"/>
        <v>2023</v>
      </c>
      <c r="M1418" s="25">
        <f>IFERROR(__xludf.DUMMYFUNCTION("""COMPUTED_VALUE"""),45231.0)</f>
        <v>45231</v>
      </c>
    </row>
    <row r="1419">
      <c r="A1419" s="10" t="s">
        <v>408</v>
      </c>
      <c r="B1419" s="3" t="s">
        <v>1296</v>
      </c>
      <c r="C1419" s="10" t="s">
        <v>1258</v>
      </c>
      <c r="D1419" s="3" t="s">
        <v>1340</v>
      </c>
      <c r="E1419" s="4" t="s">
        <v>3</v>
      </c>
      <c r="F1419" s="5" t="s">
        <v>21</v>
      </c>
      <c r="G1419" s="6" t="s">
        <v>1354</v>
      </c>
      <c r="H1419" s="7">
        <v>45255.0</v>
      </c>
      <c r="I1419" s="8">
        <f t="shared" si="1"/>
        <v>25</v>
      </c>
      <c r="J1419" s="9">
        <f t="shared" si="2"/>
        <v>11</v>
      </c>
      <c r="K1419" s="9">
        <f t="shared" si="3"/>
        <v>2023</v>
      </c>
      <c r="M1419" s="25">
        <f>IFERROR(__xludf.DUMMYFUNCTION("""COMPUTED_VALUE"""),45255.0)</f>
        <v>45255</v>
      </c>
    </row>
    <row r="1420">
      <c r="A1420" s="10" t="s">
        <v>408</v>
      </c>
      <c r="B1420" s="3" t="s">
        <v>1296</v>
      </c>
      <c r="C1420" s="10" t="s">
        <v>1258</v>
      </c>
      <c r="D1420" s="3" t="s">
        <v>1340</v>
      </c>
      <c r="E1420" s="4" t="s">
        <v>3</v>
      </c>
      <c r="F1420" s="5" t="s">
        <v>13</v>
      </c>
      <c r="G1420" s="6" t="s">
        <v>1355</v>
      </c>
      <c r="H1420" s="7">
        <v>45268.0</v>
      </c>
      <c r="I1420" s="8">
        <f t="shared" si="1"/>
        <v>8</v>
      </c>
      <c r="J1420" s="9">
        <f t="shared" si="2"/>
        <v>12</v>
      </c>
      <c r="K1420" s="9">
        <f t="shared" si="3"/>
        <v>2023</v>
      </c>
      <c r="M1420" s="25">
        <f>IFERROR(__xludf.DUMMYFUNCTION("""COMPUTED_VALUE"""),45268.0)</f>
        <v>45268</v>
      </c>
    </row>
    <row r="1421">
      <c r="A1421" s="10" t="s">
        <v>177</v>
      </c>
      <c r="B1421" s="3" t="s">
        <v>1309</v>
      </c>
      <c r="C1421" s="10" t="s">
        <v>1356</v>
      </c>
      <c r="D1421" s="3" t="s">
        <v>1357</v>
      </c>
      <c r="E1421" s="4" t="s">
        <v>8</v>
      </c>
      <c r="F1421" s="5" t="s">
        <v>4</v>
      </c>
      <c r="G1421" s="6" t="s">
        <v>1358</v>
      </c>
      <c r="H1421" s="7">
        <v>44938.0</v>
      </c>
      <c r="I1421" s="8">
        <f t="shared" si="1"/>
        <v>12</v>
      </c>
      <c r="J1421" s="9">
        <f t="shared" si="2"/>
        <v>1</v>
      </c>
      <c r="K1421" s="9">
        <f t="shared" si="3"/>
        <v>2023</v>
      </c>
      <c r="M1421" s="25">
        <f>IFERROR(__xludf.DUMMYFUNCTION("""COMPUTED_VALUE"""),44938.0)</f>
        <v>44938</v>
      </c>
    </row>
    <row r="1422">
      <c r="A1422" s="10" t="s">
        <v>177</v>
      </c>
      <c r="B1422" s="3" t="s">
        <v>1309</v>
      </c>
      <c r="C1422" s="10" t="s">
        <v>1356</v>
      </c>
      <c r="D1422" s="3" t="s">
        <v>1357</v>
      </c>
      <c r="E1422" s="4" t="s">
        <v>3</v>
      </c>
      <c r="F1422" s="5" t="s">
        <v>51</v>
      </c>
      <c r="G1422" s="6" t="s">
        <v>162</v>
      </c>
      <c r="H1422" s="7">
        <v>44971.0</v>
      </c>
      <c r="I1422" s="8">
        <f t="shared" si="1"/>
        <v>14</v>
      </c>
      <c r="J1422" s="9">
        <f t="shared" si="2"/>
        <v>2</v>
      </c>
      <c r="K1422" s="9">
        <f t="shared" si="3"/>
        <v>2023</v>
      </c>
      <c r="M1422" s="25">
        <f>IFERROR(__xludf.DUMMYFUNCTION("""COMPUTED_VALUE"""),44971.0)</f>
        <v>44971</v>
      </c>
    </row>
    <row r="1423">
      <c r="A1423" s="10" t="s">
        <v>177</v>
      </c>
      <c r="B1423" s="3" t="s">
        <v>1309</v>
      </c>
      <c r="C1423" s="10" t="s">
        <v>1356</v>
      </c>
      <c r="D1423" s="3" t="s">
        <v>1357</v>
      </c>
      <c r="E1423" s="4" t="s">
        <v>8</v>
      </c>
      <c r="F1423" s="5" t="s">
        <v>45</v>
      </c>
      <c r="G1423" s="6" t="s">
        <v>1359</v>
      </c>
      <c r="H1423" s="7">
        <v>44980.0</v>
      </c>
      <c r="I1423" s="8">
        <f t="shared" si="1"/>
        <v>23</v>
      </c>
      <c r="J1423" s="9">
        <f t="shared" si="2"/>
        <v>2</v>
      </c>
      <c r="K1423" s="9">
        <f t="shared" si="3"/>
        <v>2023</v>
      </c>
      <c r="M1423" s="25">
        <f>IFERROR(__xludf.DUMMYFUNCTION("""COMPUTED_VALUE"""),44980.0)</f>
        <v>44980</v>
      </c>
    </row>
    <row r="1424">
      <c r="A1424" s="10" t="s">
        <v>177</v>
      </c>
      <c r="B1424" s="3" t="s">
        <v>1309</v>
      </c>
      <c r="C1424" s="10" t="s">
        <v>1356</v>
      </c>
      <c r="D1424" s="3" t="s">
        <v>1357</v>
      </c>
      <c r="E1424" s="4" t="s">
        <v>8</v>
      </c>
      <c r="F1424" s="5" t="s">
        <v>71</v>
      </c>
      <c r="G1424" s="6" t="s">
        <v>1360</v>
      </c>
      <c r="H1424" s="7">
        <v>44994.0</v>
      </c>
      <c r="I1424" s="8">
        <f t="shared" si="1"/>
        <v>9</v>
      </c>
      <c r="J1424" s="9">
        <f t="shared" si="2"/>
        <v>3</v>
      </c>
      <c r="K1424" s="9">
        <f t="shared" si="3"/>
        <v>2023</v>
      </c>
      <c r="M1424" s="25">
        <f>IFERROR(__xludf.DUMMYFUNCTION("""COMPUTED_VALUE"""),44994.0)</f>
        <v>44994</v>
      </c>
    </row>
    <row r="1425">
      <c r="A1425" s="10" t="s">
        <v>177</v>
      </c>
      <c r="B1425" s="3" t="s">
        <v>1309</v>
      </c>
      <c r="C1425" s="10" t="s">
        <v>1356</v>
      </c>
      <c r="D1425" s="3" t="s">
        <v>1357</v>
      </c>
      <c r="E1425" s="4" t="s">
        <v>3</v>
      </c>
      <c r="F1425" s="5" t="s">
        <v>9</v>
      </c>
      <c r="G1425" s="6" t="s">
        <v>403</v>
      </c>
      <c r="H1425" s="7">
        <v>45018.0</v>
      </c>
      <c r="I1425" s="8">
        <f t="shared" si="1"/>
        <v>2</v>
      </c>
      <c r="J1425" s="9">
        <f t="shared" si="2"/>
        <v>4</v>
      </c>
      <c r="K1425" s="9">
        <f t="shared" si="3"/>
        <v>2023</v>
      </c>
      <c r="M1425" s="25">
        <f>IFERROR(__xludf.DUMMYFUNCTION("""COMPUTED_VALUE"""),45018.0)</f>
        <v>45018</v>
      </c>
    </row>
    <row r="1426">
      <c r="A1426" s="10" t="s">
        <v>177</v>
      </c>
      <c r="B1426" s="3" t="s">
        <v>1309</v>
      </c>
      <c r="C1426" s="10" t="s">
        <v>1356</v>
      </c>
      <c r="D1426" s="3" t="s">
        <v>1357</v>
      </c>
      <c r="E1426" s="4" t="s">
        <v>8</v>
      </c>
      <c r="F1426" s="5" t="s">
        <v>23</v>
      </c>
      <c r="G1426" s="6" t="s">
        <v>1361</v>
      </c>
      <c r="H1426" s="7">
        <v>45040.0</v>
      </c>
      <c r="I1426" s="8">
        <f t="shared" si="1"/>
        <v>24</v>
      </c>
      <c r="J1426" s="9">
        <f t="shared" si="2"/>
        <v>4</v>
      </c>
      <c r="K1426" s="9">
        <f t="shared" si="3"/>
        <v>2023</v>
      </c>
      <c r="M1426" s="25">
        <f>IFERROR(__xludf.DUMMYFUNCTION("""COMPUTED_VALUE"""),45040.0)</f>
        <v>45040</v>
      </c>
    </row>
    <row r="1427">
      <c r="A1427" s="10" t="s">
        <v>177</v>
      </c>
      <c r="B1427" s="3" t="s">
        <v>1309</v>
      </c>
      <c r="C1427" s="10" t="s">
        <v>1356</v>
      </c>
      <c r="D1427" s="3" t="s">
        <v>1357</v>
      </c>
      <c r="E1427" s="4" t="s">
        <v>3</v>
      </c>
      <c r="F1427" s="5" t="s">
        <v>15</v>
      </c>
      <c r="G1427" s="6" t="s">
        <v>1362</v>
      </c>
      <c r="H1427" s="7">
        <v>45043.0</v>
      </c>
      <c r="I1427" s="8">
        <f t="shared" si="1"/>
        <v>27</v>
      </c>
      <c r="J1427" s="9">
        <f t="shared" si="2"/>
        <v>4</v>
      </c>
      <c r="K1427" s="9">
        <f t="shared" si="3"/>
        <v>2023</v>
      </c>
      <c r="M1427" s="25">
        <f>IFERROR(__xludf.DUMMYFUNCTION("""COMPUTED_VALUE"""),45043.0)</f>
        <v>45043</v>
      </c>
    </row>
    <row r="1428">
      <c r="A1428" s="10" t="s">
        <v>177</v>
      </c>
      <c r="B1428" s="3" t="s">
        <v>1309</v>
      </c>
      <c r="C1428" s="10" t="s">
        <v>1356</v>
      </c>
      <c r="D1428" s="3" t="s">
        <v>1357</v>
      </c>
      <c r="E1428" s="4" t="s">
        <v>3</v>
      </c>
      <c r="F1428" s="5" t="s">
        <v>96</v>
      </c>
      <c r="G1428" s="6" t="s">
        <v>1363</v>
      </c>
      <c r="H1428" s="7">
        <v>45044.0</v>
      </c>
      <c r="I1428" s="8">
        <f t="shared" si="1"/>
        <v>28</v>
      </c>
      <c r="J1428" s="9">
        <f t="shared" si="2"/>
        <v>4</v>
      </c>
      <c r="K1428" s="9">
        <f t="shared" si="3"/>
        <v>2023</v>
      </c>
      <c r="M1428" s="25">
        <f>IFERROR(__xludf.DUMMYFUNCTION("""COMPUTED_VALUE"""),45044.0)</f>
        <v>45044</v>
      </c>
    </row>
    <row r="1429">
      <c r="A1429" s="10" t="s">
        <v>177</v>
      </c>
      <c r="B1429" s="3" t="s">
        <v>1309</v>
      </c>
      <c r="C1429" s="10" t="s">
        <v>1356</v>
      </c>
      <c r="D1429" s="3" t="s">
        <v>1357</v>
      </c>
      <c r="E1429" s="4" t="s">
        <v>8</v>
      </c>
      <c r="F1429" s="5" t="s">
        <v>19</v>
      </c>
      <c r="G1429" s="6" t="s">
        <v>1364</v>
      </c>
      <c r="H1429" s="7">
        <v>45078.0</v>
      </c>
      <c r="I1429" s="8">
        <f t="shared" si="1"/>
        <v>1</v>
      </c>
      <c r="J1429" s="9">
        <f t="shared" si="2"/>
        <v>6</v>
      </c>
      <c r="K1429" s="9">
        <f t="shared" si="3"/>
        <v>2023</v>
      </c>
      <c r="M1429" s="25">
        <f>IFERROR(__xludf.DUMMYFUNCTION("""COMPUTED_VALUE"""),45078.0)</f>
        <v>45078</v>
      </c>
    </row>
    <row r="1430">
      <c r="A1430" s="10" t="s">
        <v>177</v>
      </c>
      <c r="B1430" s="3" t="s">
        <v>1309</v>
      </c>
      <c r="C1430" s="10" t="s">
        <v>1356</v>
      </c>
      <c r="D1430" s="3" t="s">
        <v>1357</v>
      </c>
      <c r="E1430" s="4" t="s">
        <v>3</v>
      </c>
      <c r="F1430" s="5" t="s">
        <v>51</v>
      </c>
      <c r="G1430" s="6" t="s">
        <v>929</v>
      </c>
      <c r="H1430" s="7">
        <v>45080.0</v>
      </c>
      <c r="I1430" s="8">
        <f t="shared" si="1"/>
        <v>3</v>
      </c>
      <c r="J1430" s="9">
        <f t="shared" si="2"/>
        <v>6</v>
      </c>
      <c r="K1430" s="9">
        <f t="shared" si="3"/>
        <v>2023</v>
      </c>
      <c r="M1430" s="25">
        <f>IFERROR(__xludf.DUMMYFUNCTION("""COMPUTED_VALUE"""),45080.0)</f>
        <v>45080</v>
      </c>
    </row>
    <row r="1431">
      <c r="A1431" s="10" t="s">
        <v>177</v>
      </c>
      <c r="B1431" s="3" t="s">
        <v>1309</v>
      </c>
      <c r="C1431" s="10" t="s">
        <v>1356</v>
      </c>
      <c r="D1431" s="3" t="s">
        <v>1357</v>
      </c>
      <c r="E1431" s="4" t="s">
        <v>8</v>
      </c>
      <c r="F1431" s="5" t="s">
        <v>42</v>
      </c>
      <c r="G1431" s="6" t="s">
        <v>859</v>
      </c>
      <c r="H1431" s="7">
        <v>45130.0</v>
      </c>
      <c r="I1431" s="8">
        <f t="shared" si="1"/>
        <v>23</v>
      </c>
      <c r="J1431" s="9">
        <f t="shared" si="2"/>
        <v>7</v>
      </c>
      <c r="K1431" s="9">
        <f t="shared" si="3"/>
        <v>2023</v>
      </c>
      <c r="M1431" s="25">
        <f>IFERROR(__xludf.DUMMYFUNCTION("""COMPUTED_VALUE"""),45130.0)</f>
        <v>45130</v>
      </c>
    </row>
    <row r="1432">
      <c r="A1432" s="10" t="s">
        <v>177</v>
      </c>
      <c r="B1432" s="3" t="s">
        <v>1309</v>
      </c>
      <c r="C1432" s="10" t="s">
        <v>1356</v>
      </c>
      <c r="D1432" s="3" t="s">
        <v>1357</v>
      </c>
      <c r="E1432" s="4" t="s">
        <v>3</v>
      </c>
      <c r="F1432" s="5" t="s">
        <v>23</v>
      </c>
      <c r="G1432" s="6" t="s">
        <v>1365</v>
      </c>
      <c r="H1432" s="7">
        <v>45144.0</v>
      </c>
      <c r="I1432" s="8">
        <f t="shared" si="1"/>
        <v>6</v>
      </c>
      <c r="J1432" s="9">
        <f t="shared" si="2"/>
        <v>8</v>
      </c>
      <c r="K1432" s="9">
        <f t="shared" si="3"/>
        <v>2023</v>
      </c>
      <c r="M1432" s="25">
        <f>IFERROR(__xludf.DUMMYFUNCTION("""COMPUTED_VALUE"""),45144.0)</f>
        <v>45144</v>
      </c>
    </row>
    <row r="1433">
      <c r="A1433" s="10" t="s">
        <v>177</v>
      </c>
      <c r="B1433" s="3" t="s">
        <v>1309</v>
      </c>
      <c r="C1433" s="10" t="s">
        <v>1356</v>
      </c>
      <c r="D1433" s="3" t="s">
        <v>1357</v>
      </c>
      <c r="E1433" s="4" t="s">
        <v>3</v>
      </c>
      <c r="F1433" s="5" t="s">
        <v>120</v>
      </c>
      <c r="G1433" s="6" t="s">
        <v>69</v>
      </c>
      <c r="H1433" s="7">
        <v>45160.0</v>
      </c>
      <c r="I1433" s="8">
        <f t="shared" si="1"/>
        <v>22</v>
      </c>
      <c r="J1433" s="9">
        <f t="shared" si="2"/>
        <v>8</v>
      </c>
      <c r="K1433" s="9">
        <f t="shared" si="3"/>
        <v>2023</v>
      </c>
      <c r="M1433" s="25">
        <f>IFERROR(__xludf.DUMMYFUNCTION("""COMPUTED_VALUE"""),45160.0)</f>
        <v>45160</v>
      </c>
    </row>
    <row r="1434">
      <c r="A1434" s="10" t="s">
        <v>177</v>
      </c>
      <c r="B1434" s="3" t="s">
        <v>1309</v>
      </c>
      <c r="C1434" s="10" t="s">
        <v>1356</v>
      </c>
      <c r="D1434" s="3" t="s">
        <v>1357</v>
      </c>
      <c r="E1434" s="4" t="s">
        <v>8</v>
      </c>
      <c r="F1434" s="5" t="s">
        <v>71</v>
      </c>
      <c r="G1434" s="6" t="s">
        <v>484</v>
      </c>
      <c r="H1434" s="7">
        <v>45179.0</v>
      </c>
      <c r="I1434" s="8">
        <f t="shared" si="1"/>
        <v>10</v>
      </c>
      <c r="J1434" s="9">
        <f t="shared" si="2"/>
        <v>9</v>
      </c>
      <c r="K1434" s="9">
        <f t="shared" si="3"/>
        <v>2023</v>
      </c>
      <c r="M1434" s="25">
        <f>IFERROR(__xludf.DUMMYFUNCTION("""COMPUTED_VALUE"""),45179.0)</f>
        <v>45179</v>
      </c>
    </row>
    <row r="1435">
      <c r="A1435" s="10" t="s">
        <v>177</v>
      </c>
      <c r="B1435" s="3" t="s">
        <v>1309</v>
      </c>
      <c r="C1435" s="10" t="s">
        <v>1356</v>
      </c>
      <c r="D1435" s="3" t="s">
        <v>1357</v>
      </c>
      <c r="E1435" s="4" t="s">
        <v>3</v>
      </c>
      <c r="F1435" s="5" t="s">
        <v>11</v>
      </c>
      <c r="G1435" s="6" t="s">
        <v>1366</v>
      </c>
      <c r="H1435" s="7">
        <v>45180.0</v>
      </c>
      <c r="I1435" s="8">
        <f t="shared" si="1"/>
        <v>11</v>
      </c>
      <c r="J1435" s="9">
        <f t="shared" si="2"/>
        <v>9</v>
      </c>
      <c r="K1435" s="9">
        <f t="shared" si="3"/>
        <v>2023</v>
      </c>
      <c r="M1435" s="25">
        <f>IFERROR(__xludf.DUMMYFUNCTION("""COMPUTED_VALUE"""),45180.0)</f>
        <v>45180</v>
      </c>
    </row>
    <row r="1436">
      <c r="A1436" s="10" t="s">
        <v>177</v>
      </c>
      <c r="B1436" s="3" t="s">
        <v>1309</v>
      </c>
      <c r="C1436" s="10" t="s">
        <v>1356</v>
      </c>
      <c r="D1436" s="3" t="s">
        <v>1357</v>
      </c>
      <c r="E1436" s="4" t="s">
        <v>3</v>
      </c>
      <c r="F1436" s="5" t="s">
        <v>19</v>
      </c>
      <c r="G1436" s="6" t="s">
        <v>1367</v>
      </c>
      <c r="H1436" s="7">
        <v>45200.0</v>
      </c>
      <c r="I1436" s="8">
        <f t="shared" si="1"/>
        <v>1</v>
      </c>
      <c r="J1436" s="9">
        <f t="shared" si="2"/>
        <v>10</v>
      </c>
      <c r="K1436" s="9">
        <f t="shared" si="3"/>
        <v>2023</v>
      </c>
      <c r="M1436" s="25">
        <f>IFERROR(__xludf.DUMMYFUNCTION("""COMPUTED_VALUE"""),45200.0)</f>
        <v>45200</v>
      </c>
    </row>
    <row r="1437">
      <c r="A1437" s="10" t="s">
        <v>177</v>
      </c>
      <c r="B1437" s="3" t="s">
        <v>1309</v>
      </c>
      <c r="C1437" s="10" t="s">
        <v>1356</v>
      </c>
      <c r="D1437" s="3" t="s">
        <v>1357</v>
      </c>
      <c r="E1437" s="4" t="s">
        <v>3</v>
      </c>
      <c r="F1437" s="5" t="s">
        <v>19</v>
      </c>
      <c r="G1437" s="6" t="s">
        <v>273</v>
      </c>
      <c r="H1437" s="7">
        <v>45234.0</v>
      </c>
      <c r="I1437" s="8">
        <f t="shared" si="1"/>
        <v>4</v>
      </c>
      <c r="J1437" s="9">
        <f t="shared" si="2"/>
        <v>11</v>
      </c>
      <c r="K1437" s="9">
        <f t="shared" si="3"/>
        <v>2023</v>
      </c>
      <c r="M1437" s="25">
        <f>IFERROR(__xludf.DUMMYFUNCTION("""COMPUTED_VALUE"""),45234.0)</f>
        <v>45234</v>
      </c>
    </row>
    <row r="1438">
      <c r="A1438" s="10" t="s">
        <v>177</v>
      </c>
      <c r="B1438" s="3" t="s">
        <v>1309</v>
      </c>
      <c r="C1438" s="10" t="s">
        <v>1356</v>
      </c>
      <c r="D1438" s="3" t="s">
        <v>1357</v>
      </c>
      <c r="E1438" s="4" t="s">
        <v>8</v>
      </c>
      <c r="F1438" s="5" t="s">
        <v>76</v>
      </c>
      <c r="G1438" s="6" t="s">
        <v>1368</v>
      </c>
      <c r="H1438" s="7">
        <v>45262.0</v>
      </c>
      <c r="I1438" s="8">
        <f t="shared" si="1"/>
        <v>2</v>
      </c>
      <c r="J1438" s="9">
        <f t="shared" si="2"/>
        <v>12</v>
      </c>
      <c r="K1438" s="9">
        <f t="shared" si="3"/>
        <v>2023</v>
      </c>
      <c r="M1438" s="25">
        <f>IFERROR(__xludf.DUMMYFUNCTION("""COMPUTED_VALUE"""),45262.0)</f>
        <v>45262</v>
      </c>
    </row>
    <row r="1439">
      <c r="A1439" s="10" t="s">
        <v>177</v>
      </c>
      <c r="B1439" s="3" t="s">
        <v>1309</v>
      </c>
      <c r="C1439" s="10" t="s">
        <v>1356</v>
      </c>
      <c r="D1439" s="3" t="s">
        <v>1357</v>
      </c>
      <c r="E1439" s="4" t="s">
        <v>8</v>
      </c>
      <c r="F1439" s="5" t="s">
        <v>35</v>
      </c>
      <c r="G1439" s="6" t="s">
        <v>1369</v>
      </c>
      <c r="H1439" s="7">
        <v>45263.0</v>
      </c>
      <c r="I1439" s="8">
        <f t="shared" si="1"/>
        <v>3</v>
      </c>
      <c r="J1439" s="9">
        <f t="shared" si="2"/>
        <v>12</v>
      </c>
      <c r="K1439" s="9">
        <f t="shared" si="3"/>
        <v>2023</v>
      </c>
      <c r="M1439" s="25">
        <f>IFERROR(__xludf.DUMMYFUNCTION("""COMPUTED_VALUE"""),45263.0)</f>
        <v>45263</v>
      </c>
    </row>
    <row r="1440">
      <c r="A1440" s="10" t="s">
        <v>177</v>
      </c>
      <c r="B1440" s="3" t="s">
        <v>1309</v>
      </c>
      <c r="C1440" s="10" t="s">
        <v>1356</v>
      </c>
      <c r="D1440" s="3" t="s">
        <v>1357</v>
      </c>
      <c r="E1440" s="4" t="s">
        <v>3</v>
      </c>
      <c r="F1440" s="5" t="s">
        <v>13</v>
      </c>
      <c r="G1440" s="6" t="s">
        <v>1249</v>
      </c>
      <c r="H1440" s="7">
        <v>45277.0</v>
      </c>
      <c r="I1440" s="8">
        <f t="shared" si="1"/>
        <v>17</v>
      </c>
      <c r="J1440" s="9">
        <f t="shared" si="2"/>
        <v>12</v>
      </c>
      <c r="K1440" s="9">
        <f t="shared" si="3"/>
        <v>2023</v>
      </c>
      <c r="M1440" s="25">
        <f>IFERROR(__xludf.DUMMYFUNCTION("""COMPUTED_VALUE"""),45277.0)</f>
        <v>45277</v>
      </c>
    </row>
    <row r="1441">
      <c r="A1441" s="10" t="s">
        <v>1325</v>
      </c>
      <c r="B1441" s="3" t="s">
        <v>1326</v>
      </c>
      <c r="C1441" s="10" t="s">
        <v>1370</v>
      </c>
      <c r="D1441" s="3" t="s">
        <v>1371</v>
      </c>
      <c r="E1441" s="4" t="s">
        <v>3</v>
      </c>
      <c r="F1441" s="5" t="s">
        <v>15</v>
      </c>
      <c r="G1441" s="6" t="s">
        <v>541</v>
      </c>
      <c r="H1441" s="7">
        <v>44969.0</v>
      </c>
      <c r="I1441" s="8">
        <f t="shared" si="1"/>
        <v>12</v>
      </c>
      <c r="J1441" s="9">
        <f t="shared" si="2"/>
        <v>2</v>
      </c>
      <c r="K1441" s="9">
        <f t="shared" si="3"/>
        <v>2023</v>
      </c>
      <c r="M1441" s="25">
        <f>IFERROR(__xludf.DUMMYFUNCTION("""COMPUTED_VALUE"""),44969.0)</f>
        <v>44969</v>
      </c>
    </row>
    <row r="1442">
      <c r="A1442" s="10" t="s">
        <v>1325</v>
      </c>
      <c r="B1442" s="3" t="s">
        <v>1326</v>
      </c>
      <c r="C1442" s="10" t="s">
        <v>1370</v>
      </c>
      <c r="D1442" s="3" t="s">
        <v>1371</v>
      </c>
      <c r="E1442" s="4" t="s">
        <v>8</v>
      </c>
      <c r="F1442" s="5" t="s">
        <v>96</v>
      </c>
      <c r="G1442" s="6" t="s">
        <v>1372</v>
      </c>
      <c r="H1442" s="7">
        <v>44977.0</v>
      </c>
      <c r="I1442" s="8">
        <f t="shared" si="1"/>
        <v>20</v>
      </c>
      <c r="J1442" s="9">
        <f t="shared" si="2"/>
        <v>2</v>
      </c>
      <c r="K1442" s="9">
        <f t="shared" si="3"/>
        <v>2023</v>
      </c>
      <c r="M1442" s="25">
        <f>IFERROR(__xludf.DUMMYFUNCTION("""COMPUTED_VALUE"""),44977.0)</f>
        <v>44977</v>
      </c>
    </row>
    <row r="1443">
      <c r="A1443" s="10" t="s">
        <v>1325</v>
      </c>
      <c r="B1443" s="3" t="s">
        <v>1326</v>
      </c>
      <c r="C1443" s="10" t="s">
        <v>1370</v>
      </c>
      <c r="D1443" s="3" t="s">
        <v>1371</v>
      </c>
      <c r="E1443" s="4" t="s">
        <v>8</v>
      </c>
      <c r="F1443" s="5" t="s">
        <v>42</v>
      </c>
      <c r="G1443" s="6" t="s">
        <v>905</v>
      </c>
      <c r="H1443" s="7">
        <v>44988.0</v>
      </c>
      <c r="I1443" s="8">
        <f t="shared" si="1"/>
        <v>3</v>
      </c>
      <c r="J1443" s="9">
        <f t="shared" si="2"/>
        <v>3</v>
      </c>
      <c r="K1443" s="9">
        <f t="shared" si="3"/>
        <v>2023</v>
      </c>
      <c r="M1443" s="25">
        <f>IFERROR(__xludf.DUMMYFUNCTION("""COMPUTED_VALUE"""),44988.0)</f>
        <v>44988</v>
      </c>
    </row>
    <row r="1444">
      <c r="A1444" s="10" t="s">
        <v>1325</v>
      </c>
      <c r="B1444" s="3" t="s">
        <v>1326</v>
      </c>
      <c r="C1444" s="10" t="s">
        <v>1370</v>
      </c>
      <c r="D1444" s="3" t="s">
        <v>1371</v>
      </c>
      <c r="E1444" s="4" t="s">
        <v>8</v>
      </c>
      <c r="F1444" s="5" t="s">
        <v>120</v>
      </c>
      <c r="G1444" s="6" t="s">
        <v>1373</v>
      </c>
      <c r="H1444" s="7">
        <v>45002.0</v>
      </c>
      <c r="I1444" s="8">
        <f t="shared" si="1"/>
        <v>17</v>
      </c>
      <c r="J1444" s="9">
        <f t="shared" si="2"/>
        <v>3</v>
      </c>
      <c r="K1444" s="9">
        <f t="shared" si="3"/>
        <v>2023</v>
      </c>
      <c r="M1444" s="25">
        <f>IFERROR(__xludf.DUMMYFUNCTION("""COMPUTED_VALUE"""),45002.0)</f>
        <v>45002</v>
      </c>
    </row>
    <row r="1445">
      <c r="A1445" s="10" t="s">
        <v>1325</v>
      </c>
      <c r="B1445" s="3" t="s">
        <v>1326</v>
      </c>
      <c r="C1445" s="10" t="s">
        <v>1370</v>
      </c>
      <c r="D1445" s="3" t="s">
        <v>1371</v>
      </c>
      <c r="E1445" s="4" t="s">
        <v>3</v>
      </c>
      <c r="F1445" s="5" t="s">
        <v>76</v>
      </c>
      <c r="G1445" s="6" t="s">
        <v>1374</v>
      </c>
      <c r="H1445" s="7">
        <v>45010.0</v>
      </c>
      <c r="I1445" s="8">
        <f t="shared" si="1"/>
        <v>25</v>
      </c>
      <c r="J1445" s="9">
        <f t="shared" si="2"/>
        <v>3</v>
      </c>
      <c r="K1445" s="9">
        <f t="shared" si="3"/>
        <v>2023</v>
      </c>
      <c r="M1445" s="25">
        <f>IFERROR(__xludf.DUMMYFUNCTION("""COMPUTED_VALUE"""),45010.0)</f>
        <v>45010</v>
      </c>
    </row>
    <row r="1446">
      <c r="A1446" s="10" t="s">
        <v>1325</v>
      </c>
      <c r="B1446" s="3" t="s">
        <v>1326</v>
      </c>
      <c r="C1446" s="10" t="s">
        <v>1370</v>
      </c>
      <c r="D1446" s="3" t="s">
        <v>1371</v>
      </c>
      <c r="E1446" s="4" t="s">
        <v>8</v>
      </c>
      <c r="F1446" s="5" t="s">
        <v>42</v>
      </c>
      <c r="G1446" s="6" t="s">
        <v>208</v>
      </c>
      <c r="H1446" s="7">
        <v>45022.0</v>
      </c>
      <c r="I1446" s="8">
        <f t="shared" si="1"/>
        <v>6</v>
      </c>
      <c r="J1446" s="9">
        <f t="shared" si="2"/>
        <v>4</v>
      </c>
      <c r="K1446" s="9">
        <f t="shared" si="3"/>
        <v>2023</v>
      </c>
      <c r="M1446" s="25">
        <f>IFERROR(__xludf.DUMMYFUNCTION("""COMPUTED_VALUE"""),45022.0)</f>
        <v>45022</v>
      </c>
    </row>
    <row r="1447">
      <c r="A1447" s="10" t="s">
        <v>1325</v>
      </c>
      <c r="B1447" s="3" t="s">
        <v>1326</v>
      </c>
      <c r="C1447" s="10" t="s">
        <v>1370</v>
      </c>
      <c r="D1447" s="3" t="s">
        <v>1371</v>
      </c>
      <c r="E1447" s="4" t="s">
        <v>8</v>
      </c>
      <c r="F1447" s="5" t="s">
        <v>9</v>
      </c>
      <c r="G1447" s="6" t="s">
        <v>842</v>
      </c>
      <c r="H1447" s="7">
        <v>45029.0</v>
      </c>
      <c r="I1447" s="8">
        <f t="shared" si="1"/>
        <v>13</v>
      </c>
      <c r="J1447" s="9">
        <f t="shared" si="2"/>
        <v>4</v>
      </c>
      <c r="K1447" s="9">
        <f t="shared" si="3"/>
        <v>2023</v>
      </c>
      <c r="M1447" s="25">
        <f>IFERROR(__xludf.DUMMYFUNCTION("""COMPUTED_VALUE"""),45029.0)</f>
        <v>45029</v>
      </c>
    </row>
    <row r="1448">
      <c r="A1448" s="10" t="s">
        <v>1325</v>
      </c>
      <c r="B1448" s="3" t="s">
        <v>1326</v>
      </c>
      <c r="C1448" s="10" t="s">
        <v>1370</v>
      </c>
      <c r="D1448" s="3" t="s">
        <v>1371</v>
      </c>
      <c r="E1448" s="4" t="s">
        <v>3</v>
      </c>
      <c r="F1448" s="5" t="s">
        <v>4</v>
      </c>
      <c r="G1448" s="6" t="s">
        <v>1375</v>
      </c>
      <c r="H1448" s="7">
        <v>45044.0</v>
      </c>
      <c r="I1448" s="8">
        <f t="shared" si="1"/>
        <v>28</v>
      </c>
      <c r="J1448" s="9">
        <f t="shared" si="2"/>
        <v>4</v>
      </c>
      <c r="K1448" s="9">
        <f t="shared" si="3"/>
        <v>2023</v>
      </c>
      <c r="M1448" s="25">
        <f>IFERROR(__xludf.DUMMYFUNCTION("""COMPUTED_VALUE"""),45044.0)</f>
        <v>45044</v>
      </c>
    </row>
    <row r="1449">
      <c r="A1449" s="10" t="s">
        <v>1325</v>
      </c>
      <c r="B1449" s="3" t="s">
        <v>1326</v>
      </c>
      <c r="C1449" s="10" t="s">
        <v>1370</v>
      </c>
      <c r="D1449" s="3" t="s">
        <v>1371</v>
      </c>
      <c r="E1449" s="4" t="s">
        <v>8</v>
      </c>
      <c r="F1449" s="5" t="s">
        <v>19</v>
      </c>
      <c r="G1449" s="6" t="s">
        <v>1376</v>
      </c>
      <c r="H1449" s="7">
        <v>45049.0</v>
      </c>
      <c r="I1449" s="8">
        <f t="shared" si="1"/>
        <v>3</v>
      </c>
      <c r="J1449" s="9">
        <f t="shared" si="2"/>
        <v>5</v>
      </c>
      <c r="K1449" s="9">
        <f t="shared" si="3"/>
        <v>2023</v>
      </c>
      <c r="M1449" s="25">
        <f>IFERROR(__xludf.DUMMYFUNCTION("""COMPUTED_VALUE"""),45049.0)</f>
        <v>45049</v>
      </c>
    </row>
    <row r="1450">
      <c r="A1450" s="10" t="s">
        <v>1325</v>
      </c>
      <c r="B1450" s="3" t="s">
        <v>1326</v>
      </c>
      <c r="C1450" s="10" t="s">
        <v>1370</v>
      </c>
      <c r="D1450" s="3" t="s">
        <v>1371</v>
      </c>
      <c r="E1450" s="4" t="s">
        <v>3</v>
      </c>
      <c r="F1450" s="5" t="s">
        <v>39</v>
      </c>
      <c r="G1450" s="6" t="s">
        <v>1377</v>
      </c>
      <c r="H1450" s="7">
        <v>45052.0</v>
      </c>
      <c r="I1450" s="8">
        <f t="shared" si="1"/>
        <v>6</v>
      </c>
      <c r="J1450" s="9">
        <f t="shared" si="2"/>
        <v>5</v>
      </c>
      <c r="K1450" s="9">
        <f t="shared" si="3"/>
        <v>2023</v>
      </c>
      <c r="M1450" s="25">
        <f>IFERROR(__xludf.DUMMYFUNCTION("""COMPUTED_VALUE"""),45052.0)</f>
        <v>45052</v>
      </c>
    </row>
    <row r="1451">
      <c r="A1451" s="10" t="s">
        <v>1325</v>
      </c>
      <c r="B1451" s="3" t="s">
        <v>1326</v>
      </c>
      <c r="C1451" s="10" t="s">
        <v>1370</v>
      </c>
      <c r="D1451" s="3" t="s">
        <v>1371</v>
      </c>
      <c r="E1451" s="4" t="s">
        <v>8</v>
      </c>
      <c r="F1451" s="5" t="s">
        <v>19</v>
      </c>
      <c r="G1451" s="6" t="s">
        <v>1378</v>
      </c>
      <c r="H1451" s="7">
        <v>45062.0</v>
      </c>
      <c r="I1451" s="8">
        <f t="shared" si="1"/>
        <v>16</v>
      </c>
      <c r="J1451" s="9">
        <f t="shared" si="2"/>
        <v>5</v>
      </c>
      <c r="K1451" s="9">
        <f t="shared" si="3"/>
        <v>2023</v>
      </c>
      <c r="M1451" s="25">
        <f>IFERROR(__xludf.DUMMYFUNCTION("""COMPUTED_VALUE"""),45062.0)</f>
        <v>45062</v>
      </c>
    </row>
    <row r="1452">
      <c r="A1452" s="10" t="s">
        <v>1325</v>
      </c>
      <c r="B1452" s="3" t="s">
        <v>1326</v>
      </c>
      <c r="C1452" s="10" t="s">
        <v>1370</v>
      </c>
      <c r="D1452" s="3" t="s">
        <v>1371</v>
      </c>
      <c r="E1452" s="4" t="s">
        <v>8</v>
      </c>
      <c r="F1452" s="5" t="s">
        <v>71</v>
      </c>
      <c r="G1452" s="6" t="s">
        <v>1379</v>
      </c>
      <c r="H1452" s="7">
        <v>45066.0</v>
      </c>
      <c r="I1452" s="8">
        <f t="shared" si="1"/>
        <v>20</v>
      </c>
      <c r="J1452" s="9">
        <f t="shared" si="2"/>
        <v>5</v>
      </c>
      <c r="K1452" s="9">
        <f t="shared" si="3"/>
        <v>2023</v>
      </c>
      <c r="M1452" s="25">
        <f>IFERROR(__xludf.DUMMYFUNCTION("""COMPUTED_VALUE"""),45066.0)</f>
        <v>45066</v>
      </c>
    </row>
    <row r="1453">
      <c r="A1453" s="10" t="s">
        <v>1325</v>
      </c>
      <c r="B1453" s="3" t="s">
        <v>1326</v>
      </c>
      <c r="C1453" s="10" t="s">
        <v>1370</v>
      </c>
      <c r="D1453" s="3" t="s">
        <v>1371</v>
      </c>
      <c r="E1453" s="4" t="s">
        <v>3</v>
      </c>
      <c r="F1453" s="5" t="s">
        <v>39</v>
      </c>
      <c r="G1453" s="6" t="s">
        <v>1380</v>
      </c>
      <c r="H1453" s="7">
        <v>45084.0</v>
      </c>
      <c r="I1453" s="8">
        <f t="shared" si="1"/>
        <v>7</v>
      </c>
      <c r="J1453" s="9">
        <f t="shared" si="2"/>
        <v>6</v>
      </c>
      <c r="K1453" s="9">
        <f t="shared" si="3"/>
        <v>2023</v>
      </c>
      <c r="M1453" s="25">
        <f>IFERROR(__xludf.DUMMYFUNCTION("""COMPUTED_VALUE"""),45084.0)</f>
        <v>45084</v>
      </c>
    </row>
    <row r="1454">
      <c r="A1454" s="10" t="s">
        <v>1325</v>
      </c>
      <c r="B1454" s="3" t="s">
        <v>1326</v>
      </c>
      <c r="C1454" s="10" t="s">
        <v>1370</v>
      </c>
      <c r="D1454" s="3" t="s">
        <v>1371</v>
      </c>
      <c r="E1454" s="4" t="s">
        <v>8</v>
      </c>
      <c r="F1454" s="5" t="s">
        <v>35</v>
      </c>
      <c r="G1454" s="6" t="s">
        <v>1381</v>
      </c>
      <c r="H1454" s="7">
        <v>45108.0</v>
      </c>
      <c r="I1454" s="8">
        <f t="shared" si="1"/>
        <v>1</v>
      </c>
      <c r="J1454" s="9">
        <f t="shared" si="2"/>
        <v>7</v>
      </c>
      <c r="K1454" s="9">
        <f t="shared" si="3"/>
        <v>2023</v>
      </c>
      <c r="M1454" s="25">
        <f>IFERROR(__xludf.DUMMYFUNCTION("""COMPUTED_VALUE"""),45108.0)</f>
        <v>45108</v>
      </c>
    </row>
    <row r="1455">
      <c r="A1455" s="10" t="s">
        <v>1325</v>
      </c>
      <c r="B1455" s="3" t="s">
        <v>1326</v>
      </c>
      <c r="C1455" s="10" t="s">
        <v>1370</v>
      </c>
      <c r="D1455" s="3" t="s">
        <v>1371</v>
      </c>
      <c r="E1455" s="4" t="s">
        <v>3</v>
      </c>
      <c r="F1455" s="5" t="s">
        <v>21</v>
      </c>
      <c r="G1455" s="6" t="s">
        <v>612</v>
      </c>
      <c r="H1455" s="7">
        <v>45134.0</v>
      </c>
      <c r="I1455" s="8">
        <f t="shared" si="1"/>
        <v>27</v>
      </c>
      <c r="J1455" s="9">
        <f t="shared" si="2"/>
        <v>7</v>
      </c>
      <c r="K1455" s="9">
        <f t="shared" si="3"/>
        <v>2023</v>
      </c>
      <c r="M1455" s="25">
        <f>IFERROR(__xludf.DUMMYFUNCTION("""COMPUTED_VALUE"""),45134.0)</f>
        <v>45134</v>
      </c>
    </row>
    <row r="1456">
      <c r="A1456" s="10" t="s">
        <v>1325</v>
      </c>
      <c r="B1456" s="3" t="s">
        <v>1326</v>
      </c>
      <c r="C1456" s="10" t="s">
        <v>1370</v>
      </c>
      <c r="D1456" s="3" t="s">
        <v>1371</v>
      </c>
      <c r="E1456" s="4" t="s">
        <v>8</v>
      </c>
      <c r="F1456" s="5" t="s">
        <v>15</v>
      </c>
      <c r="G1456" s="6" t="s">
        <v>1376</v>
      </c>
      <c r="H1456" s="7">
        <v>45140.0</v>
      </c>
      <c r="I1456" s="8">
        <f t="shared" si="1"/>
        <v>2</v>
      </c>
      <c r="J1456" s="9">
        <f t="shared" si="2"/>
        <v>8</v>
      </c>
      <c r="K1456" s="9">
        <f t="shared" si="3"/>
        <v>2023</v>
      </c>
      <c r="M1456" s="25">
        <f>IFERROR(__xludf.DUMMYFUNCTION("""COMPUTED_VALUE"""),45140.0)</f>
        <v>45140</v>
      </c>
    </row>
    <row r="1457">
      <c r="A1457" s="10" t="s">
        <v>1325</v>
      </c>
      <c r="B1457" s="3" t="s">
        <v>1326</v>
      </c>
      <c r="C1457" s="10" t="s">
        <v>1370</v>
      </c>
      <c r="D1457" s="3" t="s">
        <v>1371</v>
      </c>
      <c r="E1457" s="4" t="s">
        <v>8</v>
      </c>
      <c r="F1457" s="5" t="s">
        <v>120</v>
      </c>
      <c r="G1457" s="6" t="s">
        <v>1382</v>
      </c>
      <c r="H1457" s="7">
        <v>45175.0</v>
      </c>
      <c r="I1457" s="8">
        <f t="shared" si="1"/>
        <v>6</v>
      </c>
      <c r="J1457" s="9">
        <f t="shared" si="2"/>
        <v>9</v>
      </c>
      <c r="K1457" s="9">
        <f t="shared" si="3"/>
        <v>2023</v>
      </c>
      <c r="M1457" s="25">
        <f>IFERROR(__xludf.DUMMYFUNCTION("""COMPUTED_VALUE"""),45175.0)</f>
        <v>45175</v>
      </c>
    </row>
    <row r="1458">
      <c r="A1458" s="10" t="s">
        <v>1325</v>
      </c>
      <c r="B1458" s="3" t="s">
        <v>1326</v>
      </c>
      <c r="C1458" s="10" t="s">
        <v>1370</v>
      </c>
      <c r="D1458" s="3" t="s">
        <v>1371</v>
      </c>
      <c r="E1458" s="4" t="s">
        <v>3</v>
      </c>
      <c r="F1458" s="5" t="s">
        <v>76</v>
      </c>
      <c r="G1458" s="6" t="s">
        <v>1383</v>
      </c>
      <c r="H1458" s="7">
        <v>45193.0</v>
      </c>
      <c r="I1458" s="8">
        <f t="shared" si="1"/>
        <v>24</v>
      </c>
      <c r="J1458" s="9">
        <f t="shared" si="2"/>
        <v>9</v>
      </c>
      <c r="K1458" s="9">
        <f t="shared" si="3"/>
        <v>2023</v>
      </c>
      <c r="M1458" s="25">
        <f>IFERROR(__xludf.DUMMYFUNCTION("""COMPUTED_VALUE"""),45193.0)</f>
        <v>45193</v>
      </c>
    </row>
    <row r="1459">
      <c r="A1459" s="10" t="s">
        <v>1325</v>
      </c>
      <c r="B1459" s="3" t="s">
        <v>1326</v>
      </c>
      <c r="C1459" s="10" t="s">
        <v>1370</v>
      </c>
      <c r="D1459" s="3" t="s">
        <v>1371</v>
      </c>
      <c r="E1459" s="4" t="s">
        <v>3</v>
      </c>
      <c r="F1459" s="5" t="s">
        <v>42</v>
      </c>
      <c r="G1459" s="6" t="s">
        <v>643</v>
      </c>
      <c r="H1459" s="7">
        <v>45211.0</v>
      </c>
      <c r="I1459" s="8">
        <f t="shared" si="1"/>
        <v>12</v>
      </c>
      <c r="J1459" s="9">
        <f t="shared" si="2"/>
        <v>10</v>
      </c>
      <c r="K1459" s="9">
        <f t="shared" si="3"/>
        <v>2023</v>
      </c>
      <c r="M1459" s="25">
        <f>IFERROR(__xludf.DUMMYFUNCTION("""COMPUTED_VALUE"""),45211.0)</f>
        <v>45211</v>
      </c>
    </row>
    <row r="1460">
      <c r="A1460" s="10" t="s">
        <v>1325</v>
      </c>
      <c r="B1460" s="3" t="s">
        <v>1326</v>
      </c>
      <c r="C1460" s="10" t="s">
        <v>1370</v>
      </c>
      <c r="D1460" s="3" t="s">
        <v>1371</v>
      </c>
      <c r="E1460" s="4" t="s">
        <v>3</v>
      </c>
      <c r="F1460" s="5" t="s">
        <v>19</v>
      </c>
      <c r="G1460" s="6" t="s">
        <v>1384</v>
      </c>
      <c r="H1460" s="7">
        <v>45251.0</v>
      </c>
      <c r="I1460" s="8">
        <f t="shared" si="1"/>
        <v>21</v>
      </c>
      <c r="J1460" s="9">
        <f t="shared" si="2"/>
        <v>11</v>
      </c>
      <c r="K1460" s="9">
        <f t="shared" si="3"/>
        <v>2023</v>
      </c>
      <c r="M1460" s="25">
        <f>IFERROR(__xludf.DUMMYFUNCTION("""COMPUTED_VALUE"""),45251.0)</f>
        <v>45251</v>
      </c>
    </row>
    <row r="1461">
      <c r="A1461" s="10" t="s">
        <v>1258</v>
      </c>
      <c r="B1461" s="3" t="s">
        <v>1340</v>
      </c>
      <c r="C1461" s="10" t="s">
        <v>632</v>
      </c>
      <c r="D1461" s="3" t="s">
        <v>1385</v>
      </c>
      <c r="E1461" s="4" t="s">
        <v>3</v>
      </c>
      <c r="F1461" s="5" t="s">
        <v>13</v>
      </c>
      <c r="G1461" s="6" t="s">
        <v>1386</v>
      </c>
      <c r="H1461" s="7">
        <v>44936.0</v>
      </c>
      <c r="I1461" s="8">
        <f t="shared" si="1"/>
        <v>10</v>
      </c>
      <c r="J1461" s="9">
        <f t="shared" si="2"/>
        <v>1</v>
      </c>
      <c r="K1461" s="9">
        <f t="shared" si="3"/>
        <v>2023</v>
      </c>
      <c r="M1461" s="25">
        <f>IFERROR(__xludf.DUMMYFUNCTION("""COMPUTED_VALUE"""),44936.0)</f>
        <v>44936</v>
      </c>
    </row>
    <row r="1462">
      <c r="A1462" s="10" t="s">
        <v>1258</v>
      </c>
      <c r="B1462" s="3" t="s">
        <v>1340</v>
      </c>
      <c r="C1462" s="10" t="s">
        <v>632</v>
      </c>
      <c r="D1462" s="3" t="s">
        <v>1385</v>
      </c>
      <c r="E1462" s="4" t="s">
        <v>3</v>
      </c>
      <c r="F1462" s="5" t="s">
        <v>39</v>
      </c>
      <c r="G1462" s="6" t="s">
        <v>1387</v>
      </c>
      <c r="H1462" s="7">
        <v>44938.0</v>
      </c>
      <c r="I1462" s="8">
        <f t="shared" si="1"/>
        <v>12</v>
      </c>
      <c r="J1462" s="9">
        <f t="shared" si="2"/>
        <v>1</v>
      </c>
      <c r="K1462" s="9">
        <f t="shared" si="3"/>
        <v>2023</v>
      </c>
      <c r="M1462" s="25">
        <f>IFERROR(__xludf.DUMMYFUNCTION("""COMPUTED_VALUE"""),44938.0)</f>
        <v>44938</v>
      </c>
    </row>
    <row r="1463">
      <c r="A1463" s="10" t="s">
        <v>1258</v>
      </c>
      <c r="B1463" s="3" t="s">
        <v>1340</v>
      </c>
      <c r="C1463" s="10" t="s">
        <v>632</v>
      </c>
      <c r="D1463" s="3" t="s">
        <v>1385</v>
      </c>
      <c r="E1463" s="4" t="s">
        <v>3</v>
      </c>
      <c r="F1463" s="5" t="s">
        <v>17</v>
      </c>
      <c r="G1463" s="6" t="s">
        <v>1388</v>
      </c>
      <c r="H1463" s="7">
        <v>44967.0</v>
      </c>
      <c r="I1463" s="8">
        <f t="shared" si="1"/>
        <v>10</v>
      </c>
      <c r="J1463" s="9">
        <f t="shared" si="2"/>
        <v>2</v>
      </c>
      <c r="K1463" s="9">
        <f t="shared" si="3"/>
        <v>2023</v>
      </c>
      <c r="M1463" s="25">
        <f>IFERROR(__xludf.DUMMYFUNCTION("""COMPUTED_VALUE"""),44967.0)</f>
        <v>44967</v>
      </c>
    </row>
    <row r="1464">
      <c r="A1464" s="10" t="s">
        <v>1258</v>
      </c>
      <c r="B1464" s="3" t="s">
        <v>1340</v>
      </c>
      <c r="C1464" s="10" t="s">
        <v>632</v>
      </c>
      <c r="D1464" s="3" t="s">
        <v>1385</v>
      </c>
      <c r="E1464" s="4" t="s">
        <v>3</v>
      </c>
      <c r="F1464" s="5" t="s">
        <v>39</v>
      </c>
      <c r="G1464" s="6" t="s">
        <v>1389</v>
      </c>
      <c r="H1464" s="7">
        <v>44974.0</v>
      </c>
      <c r="I1464" s="8">
        <f t="shared" si="1"/>
        <v>17</v>
      </c>
      <c r="J1464" s="9">
        <f t="shared" si="2"/>
        <v>2</v>
      </c>
      <c r="K1464" s="9">
        <f t="shared" si="3"/>
        <v>2023</v>
      </c>
      <c r="M1464" s="25">
        <f>IFERROR(__xludf.DUMMYFUNCTION("""COMPUTED_VALUE"""),44974.0)</f>
        <v>44974</v>
      </c>
    </row>
    <row r="1465">
      <c r="A1465" s="10" t="s">
        <v>1258</v>
      </c>
      <c r="B1465" s="3" t="s">
        <v>1340</v>
      </c>
      <c r="C1465" s="10" t="s">
        <v>632</v>
      </c>
      <c r="D1465" s="3" t="s">
        <v>1385</v>
      </c>
      <c r="E1465" s="4" t="s">
        <v>3</v>
      </c>
      <c r="F1465" s="5" t="s">
        <v>76</v>
      </c>
      <c r="G1465" s="6" t="s">
        <v>227</v>
      </c>
      <c r="H1465" s="7">
        <v>45024.0</v>
      </c>
      <c r="I1465" s="8">
        <f t="shared" si="1"/>
        <v>8</v>
      </c>
      <c r="J1465" s="9">
        <f t="shared" si="2"/>
        <v>4</v>
      </c>
      <c r="K1465" s="9">
        <f t="shared" si="3"/>
        <v>2023</v>
      </c>
      <c r="M1465" s="25">
        <f>IFERROR(__xludf.DUMMYFUNCTION("""COMPUTED_VALUE"""),45024.0)</f>
        <v>45024</v>
      </c>
    </row>
    <row r="1466">
      <c r="A1466" s="10" t="s">
        <v>1258</v>
      </c>
      <c r="B1466" s="3" t="s">
        <v>1340</v>
      </c>
      <c r="C1466" s="10" t="s">
        <v>632</v>
      </c>
      <c r="D1466" s="3" t="s">
        <v>1385</v>
      </c>
      <c r="E1466" s="4" t="s">
        <v>8</v>
      </c>
      <c r="F1466" s="5" t="s">
        <v>96</v>
      </c>
      <c r="G1466" s="6" t="s">
        <v>215</v>
      </c>
      <c r="H1466" s="7">
        <v>45038.0</v>
      </c>
      <c r="I1466" s="8">
        <f t="shared" si="1"/>
        <v>22</v>
      </c>
      <c r="J1466" s="9">
        <f t="shared" si="2"/>
        <v>4</v>
      </c>
      <c r="K1466" s="9">
        <f t="shared" si="3"/>
        <v>2023</v>
      </c>
      <c r="M1466" s="25">
        <f>IFERROR(__xludf.DUMMYFUNCTION("""COMPUTED_VALUE"""),45038.0)</f>
        <v>45038</v>
      </c>
    </row>
    <row r="1467">
      <c r="A1467" s="10" t="s">
        <v>1258</v>
      </c>
      <c r="B1467" s="3" t="s">
        <v>1340</v>
      </c>
      <c r="C1467" s="10" t="s">
        <v>632</v>
      </c>
      <c r="D1467" s="3" t="s">
        <v>1385</v>
      </c>
      <c r="E1467" s="4" t="s">
        <v>8</v>
      </c>
      <c r="F1467" s="5" t="s">
        <v>39</v>
      </c>
      <c r="G1467" s="6" t="s">
        <v>1390</v>
      </c>
      <c r="H1467" s="7">
        <v>45061.0</v>
      </c>
      <c r="I1467" s="8">
        <f t="shared" si="1"/>
        <v>15</v>
      </c>
      <c r="J1467" s="9">
        <f t="shared" si="2"/>
        <v>5</v>
      </c>
      <c r="K1467" s="9">
        <f t="shared" si="3"/>
        <v>2023</v>
      </c>
      <c r="M1467" s="25">
        <f>IFERROR(__xludf.DUMMYFUNCTION("""COMPUTED_VALUE"""),45061.0)</f>
        <v>45061</v>
      </c>
    </row>
    <row r="1468">
      <c r="A1468" s="10" t="s">
        <v>1258</v>
      </c>
      <c r="B1468" s="3" t="s">
        <v>1340</v>
      </c>
      <c r="C1468" s="10" t="s">
        <v>632</v>
      </c>
      <c r="D1468" s="3" t="s">
        <v>1385</v>
      </c>
      <c r="E1468" s="4" t="s">
        <v>3</v>
      </c>
      <c r="F1468" s="5" t="s">
        <v>96</v>
      </c>
      <c r="G1468" s="6" t="s">
        <v>1391</v>
      </c>
      <c r="H1468" s="7">
        <v>45080.0</v>
      </c>
      <c r="I1468" s="8">
        <f t="shared" si="1"/>
        <v>3</v>
      </c>
      <c r="J1468" s="9">
        <f t="shared" si="2"/>
        <v>6</v>
      </c>
      <c r="K1468" s="9">
        <f t="shared" si="3"/>
        <v>2023</v>
      </c>
      <c r="M1468" s="25">
        <f>IFERROR(__xludf.DUMMYFUNCTION("""COMPUTED_VALUE"""),45080.0)</f>
        <v>45080</v>
      </c>
    </row>
    <row r="1469">
      <c r="A1469" s="10" t="s">
        <v>1258</v>
      </c>
      <c r="B1469" s="3" t="s">
        <v>1340</v>
      </c>
      <c r="C1469" s="10" t="s">
        <v>632</v>
      </c>
      <c r="D1469" s="3" t="s">
        <v>1385</v>
      </c>
      <c r="E1469" s="4" t="s">
        <v>8</v>
      </c>
      <c r="F1469" s="5" t="s">
        <v>96</v>
      </c>
      <c r="G1469" s="6" t="s">
        <v>501</v>
      </c>
      <c r="H1469" s="7">
        <v>45082.0</v>
      </c>
      <c r="I1469" s="8">
        <f t="shared" si="1"/>
        <v>5</v>
      </c>
      <c r="J1469" s="9">
        <f t="shared" si="2"/>
        <v>6</v>
      </c>
      <c r="K1469" s="9">
        <f t="shared" si="3"/>
        <v>2023</v>
      </c>
      <c r="M1469" s="25">
        <f>IFERROR(__xludf.DUMMYFUNCTION("""COMPUTED_VALUE"""),45082.0)</f>
        <v>45082</v>
      </c>
    </row>
    <row r="1470">
      <c r="A1470" s="10" t="s">
        <v>1258</v>
      </c>
      <c r="B1470" s="3" t="s">
        <v>1340</v>
      </c>
      <c r="C1470" s="10" t="s">
        <v>632</v>
      </c>
      <c r="D1470" s="3" t="s">
        <v>1385</v>
      </c>
      <c r="E1470" s="4" t="s">
        <v>8</v>
      </c>
      <c r="F1470" s="5" t="s">
        <v>28</v>
      </c>
      <c r="G1470" s="6" t="s">
        <v>1392</v>
      </c>
      <c r="H1470" s="7">
        <v>45119.0</v>
      </c>
      <c r="I1470" s="8">
        <f t="shared" si="1"/>
        <v>12</v>
      </c>
      <c r="J1470" s="9">
        <f t="shared" si="2"/>
        <v>7</v>
      </c>
      <c r="K1470" s="9">
        <f t="shared" si="3"/>
        <v>2023</v>
      </c>
      <c r="M1470" s="25">
        <f>IFERROR(__xludf.DUMMYFUNCTION("""COMPUTED_VALUE"""),45119.0)</f>
        <v>45119</v>
      </c>
    </row>
    <row r="1471">
      <c r="A1471" s="10" t="s">
        <v>1258</v>
      </c>
      <c r="B1471" s="3" t="s">
        <v>1340</v>
      </c>
      <c r="C1471" s="10" t="s">
        <v>632</v>
      </c>
      <c r="D1471" s="3" t="s">
        <v>1385</v>
      </c>
      <c r="E1471" s="4" t="s">
        <v>8</v>
      </c>
      <c r="F1471" s="5" t="s">
        <v>11</v>
      </c>
      <c r="G1471" s="6" t="s">
        <v>570</v>
      </c>
      <c r="H1471" s="7">
        <v>45132.0</v>
      </c>
      <c r="I1471" s="8">
        <f t="shared" si="1"/>
        <v>25</v>
      </c>
      <c r="J1471" s="9">
        <f t="shared" si="2"/>
        <v>7</v>
      </c>
      <c r="K1471" s="9">
        <f t="shared" si="3"/>
        <v>2023</v>
      </c>
      <c r="M1471" s="25">
        <f>IFERROR(__xludf.DUMMYFUNCTION("""COMPUTED_VALUE"""),45132.0)</f>
        <v>45132</v>
      </c>
    </row>
    <row r="1472">
      <c r="A1472" s="10" t="s">
        <v>1258</v>
      </c>
      <c r="B1472" s="3" t="s">
        <v>1340</v>
      </c>
      <c r="C1472" s="10" t="s">
        <v>632</v>
      </c>
      <c r="D1472" s="3" t="s">
        <v>1385</v>
      </c>
      <c r="E1472" s="4" t="s">
        <v>8</v>
      </c>
      <c r="F1472" s="5" t="s">
        <v>51</v>
      </c>
      <c r="G1472" s="6" t="s">
        <v>201</v>
      </c>
      <c r="H1472" s="7">
        <v>45173.0</v>
      </c>
      <c r="I1472" s="8">
        <f t="shared" si="1"/>
        <v>4</v>
      </c>
      <c r="J1472" s="9">
        <f t="shared" si="2"/>
        <v>9</v>
      </c>
      <c r="K1472" s="9">
        <f t="shared" si="3"/>
        <v>2023</v>
      </c>
      <c r="M1472" s="25">
        <f>IFERROR(__xludf.DUMMYFUNCTION("""COMPUTED_VALUE"""),45173.0)</f>
        <v>45173</v>
      </c>
    </row>
    <row r="1473">
      <c r="A1473" s="10" t="s">
        <v>1258</v>
      </c>
      <c r="B1473" s="3" t="s">
        <v>1340</v>
      </c>
      <c r="C1473" s="10" t="s">
        <v>632</v>
      </c>
      <c r="D1473" s="3" t="s">
        <v>1385</v>
      </c>
      <c r="E1473" s="4" t="s">
        <v>8</v>
      </c>
      <c r="F1473" s="5" t="s">
        <v>17</v>
      </c>
      <c r="G1473" s="6" t="s">
        <v>1393</v>
      </c>
      <c r="H1473" s="7">
        <v>45174.0</v>
      </c>
      <c r="I1473" s="8">
        <f t="shared" si="1"/>
        <v>5</v>
      </c>
      <c r="J1473" s="9">
        <f t="shared" si="2"/>
        <v>9</v>
      </c>
      <c r="K1473" s="9">
        <f t="shared" si="3"/>
        <v>2023</v>
      </c>
      <c r="M1473" s="25">
        <f>IFERROR(__xludf.DUMMYFUNCTION("""COMPUTED_VALUE"""),45174.0)</f>
        <v>45174</v>
      </c>
    </row>
    <row r="1474">
      <c r="A1474" s="10" t="s">
        <v>1258</v>
      </c>
      <c r="B1474" s="3" t="s">
        <v>1340</v>
      </c>
      <c r="C1474" s="10" t="s">
        <v>632</v>
      </c>
      <c r="D1474" s="3" t="s">
        <v>1385</v>
      </c>
      <c r="E1474" s="4" t="s">
        <v>3</v>
      </c>
      <c r="F1474" s="5" t="s">
        <v>51</v>
      </c>
      <c r="G1474" s="6" t="s">
        <v>1244</v>
      </c>
      <c r="H1474" s="7">
        <v>45181.0</v>
      </c>
      <c r="I1474" s="8">
        <f t="shared" si="1"/>
        <v>12</v>
      </c>
      <c r="J1474" s="9">
        <f t="shared" si="2"/>
        <v>9</v>
      </c>
      <c r="K1474" s="9">
        <f t="shared" si="3"/>
        <v>2023</v>
      </c>
      <c r="M1474" s="25">
        <f>IFERROR(__xludf.DUMMYFUNCTION("""COMPUTED_VALUE"""),45181.0)</f>
        <v>45181</v>
      </c>
    </row>
    <row r="1475">
      <c r="A1475" s="10" t="s">
        <v>1258</v>
      </c>
      <c r="B1475" s="3" t="s">
        <v>1340</v>
      </c>
      <c r="C1475" s="10" t="s">
        <v>632</v>
      </c>
      <c r="D1475" s="3" t="s">
        <v>1385</v>
      </c>
      <c r="E1475" s="4" t="s">
        <v>8</v>
      </c>
      <c r="F1475" s="5" t="s">
        <v>51</v>
      </c>
      <c r="G1475" s="6" t="s">
        <v>1394</v>
      </c>
      <c r="H1475" s="7">
        <v>45186.0</v>
      </c>
      <c r="I1475" s="8">
        <f t="shared" si="1"/>
        <v>17</v>
      </c>
      <c r="J1475" s="9">
        <f t="shared" si="2"/>
        <v>9</v>
      </c>
      <c r="K1475" s="9">
        <f t="shared" si="3"/>
        <v>2023</v>
      </c>
      <c r="M1475" s="25">
        <f>IFERROR(__xludf.DUMMYFUNCTION("""COMPUTED_VALUE"""),45186.0)</f>
        <v>45186</v>
      </c>
    </row>
    <row r="1476">
      <c r="A1476" s="10" t="s">
        <v>1258</v>
      </c>
      <c r="B1476" s="3" t="s">
        <v>1340</v>
      </c>
      <c r="C1476" s="10" t="s">
        <v>632</v>
      </c>
      <c r="D1476" s="3" t="s">
        <v>1385</v>
      </c>
      <c r="E1476" s="4" t="s">
        <v>8</v>
      </c>
      <c r="F1476" s="5" t="s">
        <v>51</v>
      </c>
      <c r="G1476" s="6" t="s">
        <v>1395</v>
      </c>
      <c r="H1476" s="7">
        <v>45197.0</v>
      </c>
      <c r="I1476" s="8">
        <f t="shared" si="1"/>
        <v>28</v>
      </c>
      <c r="J1476" s="9">
        <f t="shared" si="2"/>
        <v>9</v>
      </c>
      <c r="K1476" s="9">
        <f t="shared" si="3"/>
        <v>2023</v>
      </c>
      <c r="M1476" s="25">
        <f>IFERROR(__xludf.DUMMYFUNCTION("""COMPUTED_VALUE"""),45197.0)</f>
        <v>45197</v>
      </c>
    </row>
    <row r="1477">
      <c r="A1477" s="10" t="s">
        <v>1258</v>
      </c>
      <c r="B1477" s="3" t="s">
        <v>1340</v>
      </c>
      <c r="C1477" s="10" t="s">
        <v>632</v>
      </c>
      <c r="D1477" s="3" t="s">
        <v>1385</v>
      </c>
      <c r="E1477" s="4" t="s">
        <v>3</v>
      </c>
      <c r="F1477" s="5" t="s">
        <v>71</v>
      </c>
      <c r="G1477" s="6" t="s">
        <v>756</v>
      </c>
      <c r="H1477" s="7">
        <v>45214.0</v>
      </c>
      <c r="I1477" s="8">
        <f t="shared" si="1"/>
        <v>15</v>
      </c>
      <c r="J1477" s="9">
        <f t="shared" si="2"/>
        <v>10</v>
      </c>
      <c r="K1477" s="9">
        <f t="shared" si="3"/>
        <v>2023</v>
      </c>
      <c r="M1477" s="25">
        <f>IFERROR(__xludf.DUMMYFUNCTION("""COMPUTED_VALUE"""),45214.0)</f>
        <v>45214</v>
      </c>
    </row>
    <row r="1478">
      <c r="A1478" s="10" t="s">
        <v>1258</v>
      </c>
      <c r="B1478" s="3" t="s">
        <v>1340</v>
      </c>
      <c r="C1478" s="10" t="s">
        <v>632</v>
      </c>
      <c r="D1478" s="3" t="s">
        <v>1385</v>
      </c>
      <c r="E1478" s="4" t="s">
        <v>8</v>
      </c>
      <c r="F1478" s="5" t="s">
        <v>4</v>
      </c>
      <c r="G1478" s="6" t="s">
        <v>1396</v>
      </c>
      <c r="H1478" s="7">
        <v>45222.0</v>
      </c>
      <c r="I1478" s="8">
        <f t="shared" si="1"/>
        <v>23</v>
      </c>
      <c r="J1478" s="9">
        <f t="shared" si="2"/>
        <v>10</v>
      </c>
      <c r="K1478" s="9">
        <f t="shared" si="3"/>
        <v>2023</v>
      </c>
      <c r="M1478" s="25">
        <f>IFERROR(__xludf.DUMMYFUNCTION("""COMPUTED_VALUE"""),45222.0)</f>
        <v>45222</v>
      </c>
    </row>
    <row r="1479">
      <c r="A1479" s="10" t="s">
        <v>1258</v>
      </c>
      <c r="B1479" s="3" t="s">
        <v>1340</v>
      </c>
      <c r="C1479" s="10" t="s">
        <v>632</v>
      </c>
      <c r="D1479" s="3" t="s">
        <v>1385</v>
      </c>
      <c r="E1479" s="4" t="s">
        <v>3</v>
      </c>
      <c r="F1479" s="5" t="s">
        <v>6</v>
      </c>
      <c r="G1479" s="6" t="s">
        <v>1397</v>
      </c>
      <c r="H1479" s="7">
        <v>45234.0</v>
      </c>
      <c r="I1479" s="8">
        <f t="shared" si="1"/>
        <v>4</v>
      </c>
      <c r="J1479" s="9">
        <f t="shared" si="2"/>
        <v>11</v>
      </c>
      <c r="K1479" s="9">
        <f t="shared" si="3"/>
        <v>2023</v>
      </c>
      <c r="M1479" s="25">
        <f>IFERROR(__xludf.DUMMYFUNCTION("""COMPUTED_VALUE"""),45234.0)</f>
        <v>45234</v>
      </c>
    </row>
    <row r="1480">
      <c r="A1480" s="10" t="s">
        <v>1258</v>
      </c>
      <c r="B1480" s="3" t="s">
        <v>1340</v>
      </c>
      <c r="C1480" s="10" t="s">
        <v>632</v>
      </c>
      <c r="D1480" s="3" t="s">
        <v>1385</v>
      </c>
      <c r="E1480" s="4" t="s">
        <v>8</v>
      </c>
      <c r="F1480" s="5" t="s">
        <v>120</v>
      </c>
      <c r="G1480" s="6" t="s">
        <v>143</v>
      </c>
      <c r="H1480" s="7">
        <v>45247.0</v>
      </c>
      <c r="I1480" s="8">
        <f t="shared" si="1"/>
        <v>17</v>
      </c>
      <c r="J1480" s="9">
        <f t="shared" si="2"/>
        <v>11</v>
      </c>
      <c r="K1480" s="9">
        <f t="shared" si="3"/>
        <v>2023</v>
      </c>
      <c r="M1480" s="25">
        <f>IFERROR(__xludf.DUMMYFUNCTION("""COMPUTED_VALUE"""),45247.0)</f>
        <v>45247</v>
      </c>
    </row>
    <row r="1481">
      <c r="A1481" s="10" t="s">
        <v>1356</v>
      </c>
      <c r="B1481" s="3" t="s">
        <v>1357</v>
      </c>
      <c r="C1481" s="10" t="s">
        <v>1398</v>
      </c>
      <c r="D1481" s="3" t="s">
        <v>1399</v>
      </c>
      <c r="E1481" s="4" t="s">
        <v>8</v>
      </c>
      <c r="F1481" s="5" t="s">
        <v>6</v>
      </c>
      <c r="G1481" s="6" t="s">
        <v>1400</v>
      </c>
      <c r="H1481" s="7">
        <v>44981.0</v>
      </c>
      <c r="I1481" s="8">
        <f t="shared" si="1"/>
        <v>24</v>
      </c>
      <c r="J1481" s="9">
        <f t="shared" si="2"/>
        <v>2</v>
      </c>
      <c r="K1481" s="9">
        <f t="shared" si="3"/>
        <v>2023</v>
      </c>
      <c r="M1481" s="25">
        <f>IFERROR(__xludf.DUMMYFUNCTION("""COMPUTED_VALUE"""),44981.0)</f>
        <v>44981</v>
      </c>
    </row>
    <row r="1482">
      <c r="A1482" s="10" t="s">
        <v>1356</v>
      </c>
      <c r="B1482" s="3" t="s">
        <v>1357</v>
      </c>
      <c r="C1482" s="10" t="s">
        <v>1398</v>
      </c>
      <c r="D1482" s="3" t="s">
        <v>1399</v>
      </c>
      <c r="E1482" s="4" t="s">
        <v>3</v>
      </c>
      <c r="F1482" s="5" t="s">
        <v>15</v>
      </c>
      <c r="G1482" s="6" t="s">
        <v>1401</v>
      </c>
      <c r="H1482" s="7">
        <v>44992.0</v>
      </c>
      <c r="I1482" s="8">
        <f t="shared" si="1"/>
        <v>7</v>
      </c>
      <c r="J1482" s="9">
        <f t="shared" si="2"/>
        <v>3</v>
      </c>
      <c r="K1482" s="9">
        <f t="shared" si="3"/>
        <v>2023</v>
      </c>
      <c r="M1482" s="25">
        <f>IFERROR(__xludf.DUMMYFUNCTION("""COMPUTED_VALUE"""),44992.0)</f>
        <v>44992</v>
      </c>
    </row>
    <row r="1483">
      <c r="A1483" s="10" t="s">
        <v>1356</v>
      </c>
      <c r="B1483" s="3" t="s">
        <v>1357</v>
      </c>
      <c r="C1483" s="10" t="s">
        <v>1398</v>
      </c>
      <c r="D1483" s="3" t="s">
        <v>1399</v>
      </c>
      <c r="E1483" s="4" t="s">
        <v>3</v>
      </c>
      <c r="F1483" s="5" t="s">
        <v>39</v>
      </c>
      <c r="G1483" s="6" t="s">
        <v>1402</v>
      </c>
      <c r="H1483" s="7">
        <v>45008.0</v>
      </c>
      <c r="I1483" s="8">
        <f t="shared" si="1"/>
        <v>23</v>
      </c>
      <c r="J1483" s="9">
        <f t="shared" si="2"/>
        <v>3</v>
      </c>
      <c r="K1483" s="9">
        <f t="shared" si="3"/>
        <v>2023</v>
      </c>
      <c r="M1483" s="25">
        <f>IFERROR(__xludf.DUMMYFUNCTION("""COMPUTED_VALUE"""),45008.0)</f>
        <v>45008</v>
      </c>
    </row>
    <row r="1484">
      <c r="A1484" s="10" t="s">
        <v>1356</v>
      </c>
      <c r="B1484" s="3" t="s">
        <v>1357</v>
      </c>
      <c r="C1484" s="10" t="s">
        <v>1398</v>
      </c>
      <c r="D1484" s="3" t="s">
        <v>1399</v>
      </c>
      <c r="E1484" s="4" t="s">
        <v>3</v>
      </c>
      <c r="F1484" s="5" t="s">
        <v>39</v>
      </c>
      <c r="G1484" s="6" t="s">
        <v>1403</v>
      </c>
      <c r="H1484" s="7">
        <v>45021.0</v>
      </c>
      <c r="I1484" s="8">
        <f t="shared" si="1"/>
        <v>5</v>
      </c>
      <c r="J1484" s="9">
        <f t="shared" si="2"/>
        <v>4</v>
      </c>
      <c r="K1484" s="9">
        <f t="shared" si="3"/>
        <v>2023</v>
      </c>
      <c r="M1484" s="25">
        <f>IFERROR(__xludf.DUMMYFUNCTION("""COMPUTED_VALUE"""),45021.0)</f>
        <v>45021</v>
      </c>
    </row>
    <row r="1485">
      <c r="A1485" s="10" t="s">
        <v>1356</v>
      </c>
      <c r="B1485" s="3" t="s">
        <v>1357</v>
      </c>
      <c r="C1485" s="10" t="s">
        <v>1398</v>
      </c>
      <c r="D1485" s="3" t="s">
        <v>1399</v>
      </c>
      <c r="E1485" s="4" t="s">
        <v>8</v>
      </c>
      <c r="F1485" s="5" t="s">
        <v>23</v>
      </c>
      <c r="G1485" s="6" t="s">
        <v>1404</v>
      </c>
      <c r="H1485" s="7">
        <v>45058.0</v>
      </c>
      <c r="I1485" s="8">
        <f t="shared" si="1"/>
        <v>12</v>
      </c>
      <c r="J1485" s="9">
        <f t="shared" si="2"/>
        <v>5</v>
      </c>
      <c r="K1485" s="9">
        <f t="shared" si="3"/>
        <v>2023</v>
      </c>
      <c r="M1485" s="25">
        <f>IFERROR(__xludf.DUMMYFUNCTION("""COMPUTED_VALUE"""),45058.0)</f>
        <v>45058</v>
      </c>
    </row>
    <row r="1486">
      <c r="A1486" s="10" t="s">
        <v>1356</v>
      </c>
      <c r="B1486" s="3" t="s">
        <v>1357</v>
      </c>
      <c r="C1486" s="10" t="s">
        <v>1398</v>
      </c>
      <c r="D1486" s="3" t="s">
        <v>1399</v>
      </c>
      <c r="E1486" s="4" t="s">
        <v>8</v>
      </c>
      <c r="F1486" s="5" t="s">
        <v>71</v>
      </c>
      <c r="G1486" s="6" t="s">
        <v>515</v>
      </c>
      <c r="H1486" s="7">
        <v>45068.0</v>
      </c>
      <c r="I1486" s="8">
        <f t="shared" si="1"/>
        <v>22</v>
      </c>
      <c r="J1486" s="9">
        <f t="shared" si="2"/>
        <v>5</v>
      </c>
      <c r="K1486" s="9">
        <f t="shared" si="3"/>
        <v>2023</v>
      </c>
      <c r="M1486" s="25">
        <f>IFERROR(__xludf.DUMMYFUNCTION("""COMPUTED_VALUE"""),45068.0)</f>
        <v>45068</v>
      </c>
    </row>
    <row r="1487">
      <c r="A1487" s="10" t="s">
        <v>1356</v>
      </c>
      <c r="B1487" s="3" t="s">
        <v>1357</v>
      </c>
      <c r="C1487" s="10" t="s">
        <v>1398</v>
      </c>
      <c r="D1487" s="3" t="s">
        <v>1399</v>
      </c>
      <c r="E1487" s="4" t="s">
        <v>8</v>
      </c>
      <c r="F1487" s="5" t="s">
        <v>28</v>
      </c>
      <c r="G1487" s="6" t="s">
        <v>1405</v>
      </c>
      <c r="H1487" s="7">
        <v>45139.0</v>
      </c>
      <c r="I1487" s="8">
        <f t="shared" si="1"/>
        <v>1</v>
      </c>
      <c r="J1487" s="9">
        <f t="shared" si="2"/>
        <v>8</v>
      </c>
      <c r="K1487" s="9">
        <f t="shared" si="3"/>
        <v>2023</v>
      </c>
      <c r="M1487" s="25">
        <f>IFERROR(__xludf.DUMMYFUNCTION("""COMPUTED_VALUE"""),45139.0)</f>
        <v>45139</v>
      </c>
    </row>
    <row r="1488">
      <c r="A1488" s="10" t="s">
        <v>1356</v>
      </c>
      <c r="B1488" s="3" t="s">
        <v>1357</v>
      </c>
      <c r="C1488" s="10" t="s">
        <v>1398</v>
      </c>
      <c r="D1488" s="3" t="s">
        <v>1399</v>
      </c>
      <c r="E1488" s="4" t="s">
        <v>8</v>
      </c>
      <c r="F1488" s="5" t="s">
        <v>21</v>
      </c>
      <c r="G1488" s="6" t="s">
        <v>1248</v>
      </c>
      <c r="H1488" s="7">
        <v>45161.0</v>
      </c>
      <c r="I1488" s="8">
        <f t="shared" si="1"/>
        <v>23</v>
      </c>
      <c r="J1488" s="9">
        <f t="shared" si="2"/>
        <v>8</v>
      </c>
      <c r="K1488" s="9">
        <f t="shared" si="3"/>
        <v>2023</v>
      </c>
      <c r="M1488" s="25">
        <f>IFERROR(__xludf.DUMMYFUNCTION("""COMPUTED_VALUE"""),45161.0)</f>
        <v>45161</v>
      </c>
    </row>
    <row r="1489">
      <c r="A1489" s="10" t="s">
        <v>1356</v>
      </c>
      <c r="B1489" s="3" t="s">
        <v>1357</v>
      </c>
      <c r="C1489" s="10" t="s">
        <v>1398</v>
      </c>
      <c r="D1489" s="3" t="s">
        <v>1399</v>
      </c>
      <c r="E1489" s="4" t="s">
        <v>8</v>
      </c>
      <c r="F1489" s="5" t="s">
        <v>45</v>
      </c>
      <c r="G1489" s="6" t="s">
        <v>1406</v>
      </c>
      <c r="H1489" s="7">
        <v>45180.0</v>
      </c>
      <c r="I1489" s="8">
        <f t="shared" si="1"/>
        <v>11</v>
      </c>
      <c r="J1489" s="9">
        <f t="shared" si="2"/>
        <v>9</v>
      </c>
      <c r="K1489" s="9">
        <f t="shared" si="3"/>
        <v>2023</v>
      </c>
      <c r="M1489" s="25">
        <f>IFERROR(__xludf.DUMMYFUNCTION("""COMPUTED_VALUE"""),45180.0)</f>
        <v>45180</v>
      </c>
    </row>
    <row r="1490">
      <c r="A1490" s="10" t="s">
        <v>1356</v>
      </c>
      <c r="B1490" s="3" t="s">
        <v>1357</v>
      </c>
      <c r="C1490" s="10" t="s">
        <v>1398</v>
      </c>
      <c r="D1490" s="3" t="s">
        <v>1399</v>
      </c>
      <c r="E1490" s="4" t="s">
        <v>8</v>
      </c>
      <c r="F1490" s="5" t="s">
        <v>23</v>
      </c>
      <c r="G1490" s="6" t="s">
        <v>1407</v>
      </c>
      <c r="H1490" s="7">
        <v>45190.0</v>
      </c>
      <c r="I1490" s="8">
        <f t="shared" si="1"/>
        <v>21</v>
      </c>
      <c r="J1490" s="9">
        <f t="shared" si="2"/>
        <v>9</v>
      </c>
      <c r="K1490" s="9">
        <f t="shared" si="3"/>
        <v>2023</v>
      </c>
      <c r="M1490" s="25">
        <f>IFERROR(__xludf.DUMMYFUNCTION("""COMPUTED_VALUE"""),45190.0)</f>
        <v>45190</v>
      </c>
    </row>
    <row r="1491">
      <c r="A1491" s="10" t="s">
        <v>1356</v>
      </c>
      <c r="B1491" s="3" t="s">
        <v>1357</v>
      </c>
      <c r="C1491" s="10" t="s">
        <v>1398</v>
      </c>
      <c r="D1491" s="3" t="s">
        <v>1399</v>
      </c>
      <c r="E1491" s="4" t="s">
        <v>3</v>
      </c>
      <c r="F1491" s="5" t="s">
        <v>4</v>
      </c>
      <c r="G1491" s="6" t="s">
        <v>1408</v>
      </c>
      <c r="H1491" s="7">
        <v>45196.0</v>
      </c>
      <c r="I1491" s="8">
        <f t="shared" si="1"/>
        <v>27</v>
      </c>
      <c r="J1491" s="9">
        <f t="shared" si="2"/>
        <v>9</v>
      </c>
      <c r="K1491" s="9">
        <f t="shared" si="3"/>
        <v>2023</v>
      </c>
      <c r="M1491" s="25">
        <f>IFERROR(__xludf.DUMMYFUNCTION("""COMPUTED_VALUE"""),45196.0)</f>
        <v>45196</v>
      </c>
    </row>
    <row r="1492">
      <c r="A1492" s="10" t="s">
        <v>1356</v>
      </c>
      <c r="B1492" s="3" t="s">
        <v>1357</v>
      </c>
      <c r="C1492" s="10" t="s">
        <v>1398</v>
      </c>
      <c r="D1492" s="3" t="s">
        <v>1399</v>
      </c>
      <c r="E1492" s="4" t="s">
        <v>8</v>
      </c>
      <c r="F1492" s="5" t="s">
        <v>19</v>
      </c>
      <c r="G1492" s="6" t="s">
        <v>1333</v>
      </c>
      <c r="H1492" s="7">
        <v>45201.0</v>
      </c>
      <c r="I1492" s="8">
        <f t="shared" si="1"/>
        <v>2</v>
      </c>
      <c r="J1492" s="9">
        <f t="shared" si="2"/>
        <v>10</v>
      </c>
      <c r="K1492" s="9">
        <f t="shared" si="3"/>
        <v>2023</v>
      </c>
      <c r="M1492" s="25">
        <f>IFERROR(__xludf.DUMMYFUNCTION("""COMPUTED_VALUE"""),45201.0)</f>
        <v>45201</v>
      </c>
    </row>
    <row r="1493">
      <c r="A1493" s="10" t="s">
        <v>1356</v>
      </c>
      <c r="B1493" s="3" t="s">
        <v>1357</v>
      </c>
      <c r="C1493" s="10" t="s">
        <v>1398</v>
      </c>
      <c r="D1493" s="3" t="s">
        <v>1399</v>
      </c>
      <c r="E1493" s="4" t="s">
        <v>3</v>
      </c>
      <c r="F1493" s="5" t="s">
        <v>21</v>
      </c>
      <c r="G1493" s="6" t="s">
        <v>649</v>
      </c>
      <c r="H1493" s="7">
        <v>45204.0</v>
      </c>
      <c r="I1493" s="8">
        <f t="shared" si="1"/>
        <v>5</v>
      </c>
      <c r="J1493" s="9">
        <f t="shared" si="2"/>
        <v>10</v>
      </c>
      <c r="K1493" s="9">
        <f t="shared" si="3"/>
        <v>2023</v>
      </c>
      <c r="M1493" s="25">
        <f>IFERROR(__xludf.DUMMYFUNCTION("""COMPUTED_VALUE"""),45204.0)</f>
        <v>45204</v>
      </c>
    </row>
    <row r="1494">
      <c r="A1494" s="10" t="s">
        <v>1356</v>
      </c>
      <c r="B1494" s="3" t="s">
        <v>1357</v>
      </c>
      <c r="C1494" s="10" t="s">
        <v>1398</v>
      </c>
      <c r="D1494" s="3" t="s">
        <v>1399</v>
      </c>
      <c r="E1494" s="4" t="s">
        <v>8</v>
      </c>
      <c r="F1494" s="5" t="s">
        <v>13</v>
      </c>
      <c r="G1494" s="6" t="s">
        <v>1409</v>
      </c>
      <c r="H1494" s="7">
        <v>45215.0</v>
      </c>
      <c r="I1494" s="8">
        <f t="shared" si="1"/>
        <v>16</v>
      </c>
      <c r="J1494" s="9">
        <f t="shared" si="2"/>
        <v>10</v>
      </c>
      <c r="K1494" s="9">
        <f t="shared" si="3"/>
        <v>2023</v>
      </c>
      <c r="M1494" s="25">
        <f>IFERROR(__xludf.DUMMYFUNCTION("""COMPUTED_VALUE"""),45215.0)</f>
        <v>45215</v>
      </c>
    </row>
    <row r="1495">
      <c r="A1495" s="10" t="s">
        <v>1356</v>
      </c>
      <c r="B1495" s="3" t="s">
        <v>1357</v>
      </c>
      <c r="C1495" s="10" t="s">
        <v>1398</v>
      </c>
      <c r="D1495" s="3" t="s">
        <v>1399</v>
      </c>
      <c r="E1495" s="4" t="s">
        <v>8</v>
      </c>
      <c r="F1495" s="5" t="s">
        <v>23</v>
      </c>
      <c r="G1495" s="6" t="s">
        <v>1293</v>
      </c>
      <c r="H1495" s="7">
        <v>45222.0</v>
      </c>
      <c r="I1495" s="8">
        <f t="shared" si="1"/>
        <v>23</v>
      </c>
      <c r="J1495" s="9">
        <f t="shared" si="2"/>
        <v>10</v>
      </c>
      <c r="K1495" s="9">
        <f t="shared" si="3"/>
        <v>2023</v>
      </c>
      <c r="M1495" s="25">
        <f>IFERROR(__xludf.DUMMYFUNCTION("""COMPUTED_VALUE"""),45222.0)</f>
        <v>45222</v>
      </c>
    </row>
    <row r="1496">
      <c r="A1496" s="10" t="s">
        <v>1356</v>
      </c>
      <c r="B1496" s="3" t="s">
        <v>1357</v>
      </c>
      <c r="C1496" s="10" t="s">
        <v>1398</v>
      </c>
      <c r="D1496" s="3" t="s">
        <v>1399</v>
      </c>
      <c r="E1496" s="4" t="s">
        <v>3</v>
      </c>
      <c r="F1496" s="5" t="s">
        <v>23</v>
      </c>
      <c r="G1496" s="6" t="s">
        <v>1410</v>
      </c>
      <c r="H1496" s="7">
        <v>45245.0</v>
      </c>
      <c r="I1496" s="8">
        <f t="shared" si="1"/>
        <v>15</v>
      </c>
      <c r="J1496" s="9">
        <f t="shared" si="2"/>
        <v>11</v>
      </c>
      <c r="K1496" s="9">
        <f t="shared" si="3"/>
        <v>2023</v>
      </c>
      <c r="M1496" s="25">
        <f>IFERROR(__xludf.DUMMYFUNCTION("""COMPUTED_VALUE"""),45245.0)</f>
        <v>45245</v>
      </c>
    </row>
    <row r="1497">
      <c r="A1497" s="10" t="s">
        <v>1356</v>
      </c>
      <c r="B1497" s="3" t="s">
        <v>1357</v>
      </c>
      <c r="C1497" s="10" t="s">
        <v>1398</v>
      </c>
      <c r="D1497" s="3" t="s">
        <v>1399</v>
      </c>
      <c r="E1497" s="4" t="s">
        <v>3</v>
      </c>
      <c r="F1497" s="5" t="s">
        <v>21</v>
      </c>
      <c r="G1497" s="6" t="s">
        <v>1411</v>
      </c>
      <c r="H1497" s="7">
        <v>45254.0</v>
      </c>
      <c r="I1497" s="8">
        <f t="shared" si="1"/>
        <v>24</v>
      </c>
      <c r="J1497" s="9">
        <f t="shared" si="2"/>
        <v>11</v>
      </c>
      <c r="K1497" s="9">
        <f t="shared" si="3"/>
        <v>2023</v>
      </c>
      <c r="M1497" s="25">
        <f>IFERROR(__xludf.DUMMYFUNCTION("""COMPUTED_VALUE"""),45254.0)</f>
        <v>45254</v>
      </c>
    </row>
    <row r="1498">
      <c r="A1498" s="10" t="s">
        <v>1356</v>
      </c>
      <c r="B1498" s="3" t="s">
        <v>1357</v>
      </c>
      <c r="C1498" s="10" t="s">
        <v>1398</v>
      </c>
      <c r="D1498" s="3" t="s">
        <v>1399</v>
      </c>
      <c r="E1498" s="4" t="s">
        <v>8</v>
      </c>
      <c r="F1498" s="5" t="s">
        <v>71</v>
      </c>
      <c r="G1498" s="6" t="s">
        <v>1412</v>
      </c>
      <c r="H1498" s="7">
        <v>45265.0</v>
      </c>
      <c r="I1498" s="8">
        <f t="shared" si="1"/>
        <v>5</v>
      </c>
      <c r="J1498" s="9">
        <f t="shared" si="2"/>
        <v>12</v>
      </c>
      <c r="K1498" s="9">
        <f t="shared" si="3"/>
        <v>2023</v>
      </c>
      <c r="M1498" s="25">
        <f>IFERROR(__xludf.DUMMYFUNCTION("""COMPUTED_VALUE"""),45265.0)</f>
        <v>45265</v>
      </c>
    </row>
    <row r="1499">
      <c r="A1499" s="10" t="s">
        <v>1356</v>
      </c>
      <c r="B1499" s="3" t="s">
        <v>1357</v>
      </c>
      <c r="C1499" s="10" t="s">
        <v>1398</v>
      </c>
      <c r="D1499" s="3" t="s">
        <v>1399</v>
      </c>
      <c r="E1499" s="4" t="s">
        <v>8</v>
      </c>
      <c r="F1499" s="5" t="s">
        <v>11</v>
      </c>
      <c r="G1499" s="6" t="s">
        <v>1413</v>
      </c>
      <c r="H1499" s="7">
        <v>45277.0</v>
      </c>
      <c r="I1499" s="8">
        <f t="shared" si="1"/>
        <v>17</v>
      </c>
      <c r="J1499" s="9">
        <f t="shared" si="2"/>
        <v>12</v>
      </c>
      <c r="K1499" s="9">
        <f t="shared" si="3"/>
        <v>2023</v>
      </c>
      <c r="M1499" s="25">
        <f>IFERROR(__xludf.DUMMYFUNCTION("""COMPUTED_VALUE"""),45277.0)</f>
        <v>45277</v>
      </c>
    </row>
    <row r="1500">
      <c r="A1500" s="10" t="s">
        <v>1356</v>
      </c>
      <c r="B1500" s="3" t="s">
        <v>1357</v>
      </c>
      <c r="C1500" s="10" t="s">
        <v>1398</v>
      </c>
      <c r="D1500" s="3" t="s">
        <v>1399</v>
      </c>
      <c r="E1500" s="4" t="s">
        <v>3</v>
      </c>
      <c r="F1500" s="5" t="s">
        <v>21</v>
      </c>
      <c r="G1500" s="6" t="s">
        <v>1285</v>
      </c>
      <c r="H1500" s="7">
        <v>45278.0</v>
      </c>
      <c r="I1500" s="8">
        <f t="shared" si="1"/>
        <v>18</v>
      </c>
      <c r="J1500" s="9">
        <f t="shared" si="2"/>
        <v>12</v>
      </c>
      <c r="K1500" s="9">
        <f t="shared" si="3"/>
        <v>2023</v>
      </c>
      <c r="M1500" s="25">
        <f>IFERROR(__xludf.DUMMYFUNCTION("""COMPUTED_VALUE"""),45278.0)</f>
        <v>45278</v>
      </c>
    </row>
    <row r="1501">
      <c r="A1501" s="10" t="s">
        <v>1370</v>
      </c>
      <c r="B1501" s="3" t="s">
        <v>1371</v>
      </c>
      <c r="C1501" s="10" t="s">
        <v>1414</v>
      </c>
      <c r="D1501" s="3" t="s">
        <v>1415</v>
      </c>
      <c r="E1501" s="4" t="s">
        <v>3</v>
      </c>
      <c r="F1501" s="5" t="s">
        <v>96</v>
      </c>
      <c r="G1501" s="6" t="s">
        <v>1217</v>
      </c>
      <c r="H1501" s="7">
        <v>44961.0</v>
      </c>
      <c r="I1501" s="8">
        <f t="shared" si="1"/>
        <v>4</v>
      </c>
      <c r="J1501" s="9">
        <f t="shared" si="2"/>
        <v>2</v>
      </c>
      <c r="K1501" s="9">
        <f t="shared" si="3"/>
        <v>2023</v>
      </c>
      <c r="M1501" s="25">
        <f>IFERROR(__xludf.DUMMYFUNCTION("""COMPUTED_VALUE"""),44961.0)</f>
        <v>44961</v>
      </c>
    </row>
    <row r="1502">
      <c r="A1502" s="10" t="s">
        <v>1370</v>
      </c>
      <c r="B1502" s="3" t="s">
        <v>1371</v>
      </c>
      <c r="C1502" s="10" t="s">
        <v>1414</v>
      </c>
      <c r="D1502" s="3" t="s">
        <v>1415</v>
      </c>
      <c r="E1502" s="4" t="s">
        <v>3</v>
      </c>
      <c r="F1502" s="5" t="s">
        <v>45</v>
      </c>
      <c r="G1502" s="6" t="s">
        <v>579</v>
      </c>
      <c r="H1502" s="7">
        <v>44965.0</v>
      </c>
      <c r="I1502" s="8">
        <f t="shared" si="1"/>
        <v>8</v>
      </c>
      <c r="J1502" s="9">
        <f t="shared" si="2"/>
        <v>2</v>
      </c>
      <c r="K1502" s="9">
        <f t="shared" si="3"/>
        <v>2023</v>
      </c>
      <c r="M1502" s="25">
        <f>IFERROR(__xludf.DUMMYFUNCTION("""COMPUTED_VALUE"""),44965.0)</f>
        <v>44965</v>
      </c>
    </row>
    <row r="1503">
      <c r="A1503" s="10" t="s">
        <v>1370</v>
      </c>
      <c r="B1503" s="3" t="s">
        <v>1371</v>
      </c>
      <c r="C1503" s="10" t="s">
        <v>1414</v>
      </c>
      <c r="D1503" s="3" t="s">
        <v>1415</v>
      </c>
      <c r="E1503" s="4" t="s">
        <v>8</v>
      </c>
      <c r="F1503" s="5" t="s">
        <v>13</v>
      </c>
      <c r="G1503" s="6" t="s">
        <v>1416</v>
      </c>
      <c r="H1503" s="7">
        <v>44995.0</v>
      </c>
      <c r="I1503" s="8">
        <f t="shared" si="1"/>
        <v>10</v>
      </c>
      <c r="J1503" s="9">
        <f t="shared" si="2"/>
        <v>3</v>
      </c>
      <c r="K1503" s="9">
        <f t="shared" si="3"/>
        <v>2023</v>
      </c>
      <c r="M1503" s="25">
        <f>IFERROR(__xludf.DUMMYFUNCTION("""COMPUTED_VALUE"""),44995.0)</f>
        <v>44995</v>
      </c>
    </row>
    <row r="1504">
      <c r="A1504" s="10" t="s">
        <v>1370</v>
      </c>
      <c r="B1504" s="3" t="s">
        <v>1371</v>
      </c>
      <c r="C1504" s="10" t="s">
        <v>1414</v>
      </c>
      <c r="D1504" s="3" t="s">
        <v>1415</v>
      </c>
      <c r="E1504" s="4" t="s">
        <v>8</v>
      </c>
      <c r="F1504" s="5" t="s">
        <v>19</v>
      </c>
      <c r="G1504" s="6" t="s">
        <v>771</v>
      </c>
      <c r="H1504" s="7">
        <v>45003.0</v>
      </c>
      <c r="I1504" s="8">
        <f t="shared" si="1"/>
        <v>18</v>
      </c>
      <c r="J1504" s="9">
        <f t="shared" si="2"/>
        <v>3</v>
      </c>
      <c r="K1504" s="9">
        <f t="shared" si="3"/>
        <v>2023</v>
      </c>
      <c r="M1504" s="25">
        <f>IFERROR(__xludf.DUMMYFUNCTION("""COMPUTED_VALUE"""),45003.0)</f>
        <v>45003</v>
      </c>
    </row>
    <row r="1505">
      <c r="A1505" s="10" t="s">
        <v>1370</v>
      </c>
      <c r="B1505" s="3" t="s">
        <v>1371</v>
      </c>
      <c r="C1505" s="10" t="s">
        <v>1414</v>
      </c>
      <c r="D1505" s="3" t="s">
        <v>1415</v>
      </c>
      <c r="E1505" s="4" t="s">
        <v>3</v>
      </c>
      <c r="F1505" s="5" t="s">
        <v>17</v>
      </c>
      <c r="G1505" s="6" t="s">
        <v>1417</v>
      </c>
      <c r="H1505" s="7">
        <v>45007.0</v>
      </c>
      <c r="I1505" s="8">
        <f t="shared" si="1"/>
        <v>22</v>
      </c>
      <c r="J1505" s="9">
        <f t="shared" si="2"/>
        <v>3</v>
      </c>
      <c r="K1505" s="9">
        <f t="shared" si="3"/>
        <v>2023</v>
      </c>
      <c r="M1505" s="25">
        <f>IFERROR(__xludf.DUMMYFUNCTION("""COMPUTED_VALUE"""),45007.0)</f>
        <v>45007</v>
      </c>
    </row>
    <row r="1506">
      <c r="A1506" s="10" t="s">
        <v>1370</v>
      </c>
      <c r="B1506" s="3" t="s">
        <v>1371</v>
      </c>
      <c r="C1506" s="10" t="s">
        <v>1414</v>
      </c>
      <c r="D1506" s="3" t="s">
        <v>1415</v>
      </c>
      <c r="E1506" s="4" t="s">
        <v>3</v>
      </c>
      <c r="F1506" s="5" t="s">
        <v>9</v>
      </c>
      <c r="G1506" s="6" t="s">
        <v>344</v>
      </c>
      <c r="H1506" s="7">
        <v>45044.0</v>
      </c>
      <c r="I1506" s="8">
        <f t="shared" si="1"/>
        <v>28</v>
      </c>
      <c r="J1506" s="9">
        <f t="shared" si="2"/>
        <v>4</v>
      </c>
      <c r="K1506" s="9">
        <f t="shared" si="3"/>
        <v>2023</v>
      </c>
      <c r="M1506" s="25">
        <f>IFERROR(__xludf.DUMMYFUNCTION("""COMPUTED_VALUE"""),45044.0)</f>
        <v>45044</v>
      </c>
    </row>
    <row r="1507">
      <c r="A1507" s="10" t="s">
        <v>1370</v>
      </c>
      <c r="B1507" s="3" t="s">
        <v>1371</v>
      </c>
      <c r="C1507" s="10" t="s">
        <v>1414</v>
      </c>
      <c r="D1507" s="3" t="s">
        <v>1415</v>
      </c>
      <c r="E1507" s="4" t="s">
        <v>8</v>
      </c>
      <c r="F1507" s="5" t="s">
        <v>4</v>
      </c>
      <c r="G1507" s="6" t="s">
        <v>1418</v>
      </c>
      <c r="H1507" s="7">
        <v>45054.0</v>
      </c>
      <c r="I1507" s="8">
        <f t="shared" si="1"/>
        <v>8</v>
      </c>
      <c r="J1507" s="9">
        <f t="shared" si="2"/>
        <v>5</v>
      </c>
      <c r="K1507" s="9">
        <f t="shared" si="3"/>
        <v>2023</v>
      </c>
      <c r="M1507" s="25">
        <f>IFERROR(__xludf.DUMMYFUNCTION("""COMPUTED_VALUE"""),45054.0)</f>
        <v>45054</v>
      </c>
    </row>
    <row r="1508">
      <c r="A1508" s="10" t="s">
        <v>1370</v>
      </c>
      <c r="B1508" s="3" t="s">
        <v>1371</v>
      </c>
      <c r="C1508" s="10" t="s">
        <v>1414</v>
      </c>
      <c r="D1508" s="3" t="s">
        <v>1415</v>
      </c>
      <c r="E1508" s="4" t="s">
        <v>8</v>
      </c>
      <c r="F1508" s="5" t="s">
        <v>13</v>
      </c>
      <c r="G1508" s="6" t="s">
        <v>1419</v>
      </c>
      <c r="H1508" s="7">
        <v>45058.0</v>
      </c>
      <c r="I1508" s="8">
        <f t="shared" si="1"/>
        <v>12</v>
      </c>
      <c r="J1508" s="9">
        <f t="shared" si="2"/>
        <v>5</v>
      </c>
      <c r="K1508" s="9">
        <f t="shared" si="3"/>
        <v>2023</v>
      </c>
      <c r="M1508" s="25">
        <f>IFERROR(__xludf.DUMMYFUNCTION("""COMPUTED_VALUE"""),45058.0)</f>
        <v>45058</v>
      </c>
    </row>
    <row r="1509">
      <c r="A1509" s="10" t="s">
        <v>1370</v>
      </c>
      <c r="B1509" s="3" t="s">
        <v>1371</v>
      </c>
      <c r="C1509" s="10" t="s">
        <v>1414</v>
      </c>
      <c r="D1509" s="3" t="s">
        <v>1415</v>
      </c>
      <c r="E1509" s="4" t="s">
        <v>3</v>
      </c>
      <c r="F1509" s="5" t="s">
        <v>6</v>
      </c>
      <c r="G1509" s="6" t="s">
        <v>1420</v>
      </c>
      <c r="H1509" s="7">
        <v>45078.0</v>
      </c>
      <c r="I1509" s="8">
        <f t="shared" si="1"/>
        <v>1</v>
      </c>
      <c r="J1509" s="9">
        <f t="shared" si="2"/>
        <v>6</v>
      </c>
      <c r="K1509" s="9">
        <f t="shared" si="3"/>
        <v>2023</v>
      </c>
      <c r="M1509" s="25">
        <f>IFERROR(__xludf.DUMMYFUNCTION("""COMPUTED_VALUE"""),45078.0)</f>
        <v>45078</v>
      </c>
    </row>
    <row r="1510">
      <c r="A1510" s="10" t="s">
        <v>1370</v>
      </c>
      <c r="B1510" s="3" t="s">
        <v>1371</v>
      </c>
      <c r="C1510" s="10" t="s">
        <v>1414</v>
      </c>
      <c r="D1510" s="3" t="s">
        <v>1415</v>
      </c>
      <c r="E1510" s="4" t="s">
        <v>8</v>
      </c>
      <c r="F1510" s="5" t="s">
        <v>76</v>
      </c>
      <c r="G1510" s="6" t="s">
        <v>1421</v>
      </c>
      <c r="H1510" s="7">
        <v>45082.0</v>
      </c>
      <c r="I1510" s="8">
        <f t="shared" si="1"/>
        <v>5</v>
      </c>
      <c r="J1510" s="9">
        <f t="shared" si="2"/>
        <v>6</v>
      </c>
      <c r="K1510" s="9">
        <f t="shared" si="3"/>
        <v>2023</v>
      </c>
      <c r="M1510" s="25">
        <f>IFERROR(__xludf.DUMMYFUNCTION("""COMPUTED_VALUE"""),45082.0)</f>
        <v>45082</v>
      </c>
    </row>
    <row r="1511">
      <c r="A1511" s="10" t="s">
        <v>1370</v>
      </c>
      <c r="B1511" s="3" t="s">
        <v>1371</v>
      </c>
      <c r="C1511" s="10" t="s">
        <v>1414</v>
      </c>
      <c r="D1511" s="3" t="s">
        <v>1415</v>
      </c>
      <c r="E1511" s="4" t="s">
        <v>8</v>
      </c>
      <c r="F1511" s="5" t="s">
        <v>19</v>
      </c>
      <c r="G1511" s="6" t="s">
        <v>197</v>
      </c>
      <c r="H1511" s="7">
        <v>45090.0</v>
      </c>
      <c r="I1511" s="8">
        <f t="shared" si="1"/>
        <v>13</v>
      </c>
      <c r="J1511" s="9">
        <f t="shared" si="2"/>
        <v>6</v>
      </c>
      <c r="K1511" s="9">
        <f t="shared" si="3"/>
        <v>2023</v>
      </c>
      <c r="M1511" s="25">
        <f>IFERROR(__xludf.DUMMYFUNCTION("""COMPUTED_VALUE"""),45090.0)</f>
        <v>45090</v>
      </c>
    </row>
    <row r="1512">
      <c r="A1512" s="10" t="s">
        <v>1370</v>
      </c>
      <c r="B1512" s="3" t="s">
        <v>1371</v>
      </c>
      <c r="C1512" s="10" t="s">
        <v>1414</v>
      </c>
      <c r="D1512" s="3" t="s">
        <v>1415</v>
      </c>
      <c r="E1512" s="4" t="s">
        <v>8</v>
      </c>
      <c r="F1512" s="5" t="s">
        <v>71</v>
      </c>
      <c r="G1512" s="6" t="s">
        <v>1422</v>
      </c>
      <c r="H1512" s="7">
        <v>45102.0</v>
      </c>
      <c r="I1512" s="8">
        <f t="shared" si="1"/>
        <v>25</v>
      </c>
      <c r="J1512" s="9">
        <f t="shared" si="2"/>
        <v>6</v>
      </c>
      <c r="K1512" s="9">
        <f t="shared" si="3"/>
        <v>2023</v>
      </c>
      <c r="M1512" s="25">
        <f>IFERROR(__xludf.DUMMYFUNCTION("""COMPUTED_VALUE"""),45102.0)</f>
        <v>45102</v>
      </c>
    </row>
    <row r="1513">
      <c r="A1513" s="10" t="s">
        <v>1370</v>
      </c>
      <c r="B1513" s="3" t="s">
        <v>1371</v>
      </c>
      <c r="C1513" s="10" t="s">
        <v>1414</v>
      </c>
      <c r="D1513" s="3" t="s">
        <v>1415</v>
      </c>
      <c r="E1513" s="4" t="s">
        <v>8</v>
      </c>
      <c r="F1513" s="5" t="s">
        <v>6</v>
      </c>
      <c r="G1513" s="6" t="s">
        <v>1423</v>
      </c>
      <c r="H1513" s="7">
        <v>45126.0</v>
      </c>
      <c r="I1513" s="8">
        <f t="shared" si="1"/>
        <v>19</v>
      </c>
      <c r="J1513" s="9">
        <f t="shared" si="2"/>
        <v>7</v>
      </c>
      <c r="K1513" s="9">
        <f t="shared" si="3"/>
        <v>2023</v>
      </c>
      <c r="M1513" s="25">
        <f>IFERROR(__xludf.DUMMYFUNCTION("""COMPUTED_VALUE"""),45126.0)</f>
        <v>45126</v>
      </c>
    </row>
    <row r="1514">
      <c r="A1514" s="10" t="s">
        <v>1370</v>
      </c>
      <c r="B1514" s="3" t="s">
        <v>1371</v>
      </c>
      <c r="C1514" s="10" t="s">
        <v>1414</v>
      </c>
      <c r="D1514" s="3" t="s">
        <v>1415</v>
      </c>
      <c r="E1514" s="4" t="s">
        <v>3</v>
      </c>
      <c r="F1514" s="5" t="s">
        <v>9</v>
      </c>
      <c r="G1514" s="6" t="s">
        <v>344</v>
      </c>
      <c r="H1514" s="7">
        <v>45142.0</v>
      </c>
      <c r="I1514" s="8">
        <f t="shared" si="1"/>
        <v>4</v>
      </c>
      <c r="J1514" s="9">
        <f t="shared" si="2"/>
        <v>8</v>
      </c>
      <c r="K1514" s="9">
        <f t="shared" si="3"/>
        <v>2023</v>
      </c>
      <c r="M1514" s="25">
        <f>IFERROR(__xludf.DUMMYFUNCTION("""COMPUTED_VALUE"""),45142.0)</f>
        <v>45142</v>
      </c>
    </row>
    <row r="1515">
      <c r="A1515" s="10" t="s">
        <v>1370</v>
      </c>
      <c r="B1515" s="3" t="s">
        <v>1371</v>
      </c>
      <c r="C1515" s="10" t="s">
        <v>1414</v>
      </c>
      <c r="D1515" s="3" t="s">
        <v>1415</v>
      </c>
      <c r="E1515" s="4" t="s">
        <v>8</v>
      </c>
      <c r="F1515" s="5" t="s">
        <v>42</v>
      </c>
      <c r="G1515" s="6" t="s">
        <v>1424</v>
      </c>
      <c r="H1515" s="7">
        <v>45163.0</v>
      </c>
      <c r="I1515" s="8">
        <f t="shared" si="1"/>
        <v>25</v>
      </c>
      <c r="J1515" s="9">
        <f t="shared" si="2"/>
        <v>8</v>
      </c>
      <c r="K1515" s="9">
        <f t="shared" si="3"/>
        <v>2023</v>
      </c>
      <c r="M1515" s="25">
        <f>IFERROR(__xludf.DUMMYFUNCTION("""COMPUTED_VALUE"""),45163.0)</f>
        <v>45163</v>
      </c>
    </row>
    <row r="1516">
      <c r="A1516" s="10" t="s">
        <v>1370</v>
      </c>
      <c r="B1516" s="3" t="s">
        <v>1371</v>
      </c>
      <c r="C1516" s="10" t="s">
        <v>1414</v>
      </c>
      <c r="D1516" s="3" t="s">
        <v>1415</v>
      </c>
      <c r="E1516" s="4" t="s">
        <v>8</v>
      </c>
      <c r="F1516" s="5" t="s">
        <v>17</v>
      </c>
      <c r="G1516" s="6" t="s">
        <v>734</v>
      </c>
      <c r="H1516" s="7">
        <v>45184.0</v>
      </c>
      <c r="I1516" s="8">
        <f t="shared" si="1"/>
        <v>15</v>
      </c>
      <c r="J1516" s="9">
        <f t="shared" si="2"/>
        <v>9</v>
      </c>
      <c r="K1516" s="9">
        <f t="shared" si="3"/>
        <v>2023</v>
      </c>
      <c r="M1516" s="25">
        <f>IFERROR(__xludf.DUMMYFUNCTION("""COMPUTED_VALUE"""),45184.0)</f>
        <v>45184</v>
      </c>
    </row>
    <row r="1517">
      <c r="A1517" s="10" t="s">
        <v>1370</v>
      </c>
      <c r="B1517" s="3" t="s">
        <v>1371</v>
      </c>
      <c r="C1517" s="10" t="s">
        <v>1414</v>
      </c>
      <c r="D1517" s="3" t="s">
        <v>1415</v>
      </c>
      <c r="E1517" s="4" t="s">
        <v>8</v>
      </c>
      <c r="F1517" s="5" t="s">
        <v>35</v>
      </c>
      <c r="G1517" s="6" t="s">
        <v>1425</v>
      </c>
      <c r="H1517" s="7">
        <v>45209.0</v>
      </c>
      <c r="I1517" s="8">
        <f t="shared" si="1"/>
        <v>10</v>
      </c>
      <c r="J1517" s="9">
        <f t="shared" si="2"/>
        <v>10</v>
      </c>
      <c r="K1517" s="9">
        <f t="shared" si="3"/>
        <v>2023</v>
      </c>
      <c r="M1517" s="25">
        <f>IFERROR(__xludf.DUMMYFUNCTION("""COMPUTED_VALUE"""),45209.0)</f>
        <v>45209</v>
      </c>
    </row>
    <row r="1518">
      <c r="A1518" s="10" t="s">
        <v>1370</v>
      </c>
      <c r="B1518" s="3" t="s">
        <v>1371</v>
      </c>
      <c r="C1518" s="10" t="s">
        <v>1414</v>
      </c>
      <c r="D1518" s="3" t="s">
        <v>1415</v>
      </c>
      <c r="E1518" s="4" t="s">
        <v>3</v>
      </c>
      <c r="F1518" s="5" t="s">
        <v>28</v>
      </c>
      <c r="G1518" s="6" t="s">
        <v>1426</v>
      </c>
      <c r="H1518" s="7">
        <v>45272.0</v>
      </c>
      <c r="I1518" s="8">
        <f t="shared" si="1"/>
        <v>12</v>
      </c>
      <c r="J1518" s="9">
        <f t="shared" si="2"/>
        <v>12</v>
      </c>
      <c r="K1518" s="9">
        <f t="shared" si="3"/>
        <v>2023</v>
      </c>
      <c r="M1518" s="25">
        <f>IFERROR(__xludf.DUMMYFUNCTION("""COMPUTED_VALUE"""),45272.0)</f>
        <v>45272</v>
      </c>
    </row>
    <row r="1519">
      <c r="A1519" s="10" t="s">
        <v>1370</v>
      </c>
      <c r="B1519" s="3" t="s">
        <v>1371</v>
      </c>
      <c r="C1519" s="10" t="s">
        <v>1414</v>
      </c>
      <c r="D1519" s="3" t="s">
        <v>1415</v>
      </c>
      <c r="E1519" s="4" t="s">
        <v>3</v>
      </c>
      <c r="F1519" s="5" t="s">
        <v>9</v>
      </c>
      <c r="G1519" s="6" t="s">
        <v>1427</v>
      </c>
      <c r="H1519" s="7">
        <v>45276.0</v>
      </c>
      <c r="I1519" s="8">
        <f t="shared" si="1"/>
        <v>16</v>
      </c>
      <c r="J1519" s="9">
        <f t="shared" si="2"/>
        <v>12</v>
      </c>
      <c r="K1519" s="9">
        <f t="shared" si="3"/>
        <v>2023</v>
      </c>
      <c r="M1519" s="25">
        <f>IFERROR(__xludf.DUMMYFUNCTION("""COMPUTED_VALUE"""),45276.0)</f>
        <v>45276</v>
      </c>
    </row>
    <row r="1520">
      <c r="A1520" s="10" t="s">
        <v>1370</v>
      </c>
      <c r="B1520" s="3" t="s">
        <v>1371</v>
      </c>
      <c r="C1520" s="10" t="s">
        <v>1414</v>
      </c>
      <c r="D1520" s="3" t="s">
        <v>1415</v>
      </c>
      <c r="E1520" s="4" t="s">
        <v>3</v>
      </c>
      <c r="F1520" s="5" t="s">
        <v>13</v>
      </c>
      <c r="G1520" s="6" t="s">
        <v>30</v>
      </c>
      <c r="H1520" s="7">
        <v>45283.0</v>
      </c>
      <c r="I1520" s="8">
        <f t="shared" si="1"/>
        <v>23</v>
      </c>
      <c r="J1520" s="9">
        <f t="shared" si="2"/>
        <v>12</v>
      </c>
      <c r="K1520" s="9">
        <f t="shared" si="3"/>
        <v>2023</v>
      </c>
      <c r="M1520" s="25">
        <f>IFERROR(__xludf.DUMMYFUNCTION("""COMPUTED_VALUE"""),45283.0)</f>
        <v>45283</v>
      </c>
    </row>
    <row r="1521">
      <c r="A1521" s="10" t="s">
        <v>632</v>
      </c>
      <c r="B1521" s="3" t="s">
        <v>1385</v>
      </c>
      <c r="C1521" s="10" t="s">
        <v>632</v>
      </c>
      <c r="D1521" s="3" t="s">
        <v>1428</v>
      </c>
      <c r="E1521" s="4" t="s">
        <v>3</v>
      </c>
      <c r="F1521" s="5" t="s">
        <v>96</v>
      </c>
      <c r="G1521" s="6" t="s">
        <v>822</v>
      </c>
      <c r="H1521" s="7">
        <v>44943.0</v>
      </c>
      <c r="I1521" s="8">
        <f t="shared" si="1"/>
        <v>17</v>
      </c>
      <c r="J1521" s="9">
        <f t="shared" si="2"/>
        <v>1</v>
      </c>
      <c r="K1521" s="9">
        <f t="shared" si="3"/>
        <v>2023</v>
      </c>
      <c r="M1521" s="25">
        <f>IFERROR(__xludf.DUMMYFUNCTION("""COMPUTED_VALUE"""),44943.0)</f>
        <v>44943</v>
      </c>
    </row>
    <row r="1522">
      <c r="A1522" s="10" t="s">
        <v>632</v>
      </c>
      <c r="B1522" s="3" t="s">
        <v>1385</v>
      </c>
      <c r="C1522" s="10" t="s">
        <v>632</v>
      </c>
      <c r="D1522" s="3" t="s">
        <v>1428</v>
      </c>
      <c r="E1522" s="4" t="s">
        <v>8</v>
      </c>
      <c r="F1522" s="5" t="s">
        <v>21</v>
      </c>
      <c r="G1522" s="6" t="s">
        <v>1429</v>
      </c>
      <c r="H1522" s="7">
        <v>44968.0</v>
      </c>
      <c r="I1522" s="8">
        <f t="shared" si="1"/>
        <v>11</v>
      </c>
      <c r="J1522" s="9">
        <f t="shared" si="2"/>
        <v>2</v>
      </c>
      <c r="K1522" s="9">
        <f t="shared" si="3"/>
        <v>2023</v>
      </c>
      <c r="M1522" s="25">
        <f>IFERROR(__xludf.DUMMYFUNCTION("""COMPUTED_VALUE"""),44968.0)</f>
        <v>44968</v>
      </c>
    </row>
    <row r="1523">
      <c r="A1523" s="10" t="s">
        <v>632</v>
      </c>
      <c r="B1523" s="3" t="s">
        <v>1385</v>
      </c>
      <c r="C1523" s="10" t="s">
        <v>632</v>
      </c>
      <c r="D1523" s="3" t="s">
        <v>1428</v>
      </c>
      <c r="E1523" s="4" t="s">
        <v>8</v>
      </c>
      <c r="F1523" s="5" t="s">
        <v>6</v>
      </c>
      <c r="G1523" s="6" t="s">
        <v>1430</v>
      </c>
      <c r="H1523" s="7">
        <v>44975.0</v>
      </c>
      <c r="I1523" s="8">
        <f t="shared" si="1"/>
        <v>18</v>
      </c>
      <c r="J1523" s="9">
        <f t="shared" si="2"/>
        <v>2</v>
      </c>
      <c r="K1523" s="9">
        <f t="shared" si="3"/>
        <v>2023</v>
      </c>
      <c r="M1523" s="25">
        <f>IFERROR(__xludf.DUMMYFUNCTION("""COMPUTED_VALUE"""),44975.0)</f>
        <v>44975</v>
      </c>
    </row>
    <row r="1524">
      <c r="A1524" s="10" t="s">
        <v>632</v>
      </c>
      <c r="B1524" s="3" t="s">
        <v>1385</v>
      </c>
      <c r="C1524" s="10" t="s">
        <v>632</v>
      </c>
      <c r="D1524" s="3" t="s">
        <v>1428</v>
      </c>
      <c r="E1524" s="4" t="s">
        <v>3</v>
      </c>
      <c r="F1524" s="5" t="s">
        <v>21</v>
      </c>
      <c r="G1524" s="6" t="s">
        <v>1057</v>
      </c>
      <c r="H1524" s="7">
        <v>44986.0</v>
      </c>
      <c r="I1524" s="8">
        <f t="shared" si="1"/>
        <v>1</v>
      </c>
      <c r="J1524" s="9">
        <f t="shared" si="2"/>
        <v>3</v>
      </c>
      <c r="K1524" s="9">
        <f t="shared" si="3"/>
        <v>2023</v>
      </c>
      <c r="M1524" s="25">
        <f>IFERROR(__xludf.DUMMYFUNCTION("""COMPUTED_VALUE"""),44986.0)</f>
        <v>44986</v>
      </c>
    </row>
    <row r="1525">
      <c r="A1525" s="10" t="s">
        <v>632</v>
      </c>
      <c r="B1525" s="3" t="s">
        <v>1385</v>
      </c>
      <c r="C1525" s="10" t="s">
        <v>632</v>
      </c>
      <c r="D1525" s="3" t="s">
        <v>1428</v>
      </c>
      <c r="E1525" s="4" t="s">
        <v>3</v>
      </c>
      <c r="F1525" s="5" t="s">
        <v>120</v>
      </c>
      <c r="G1525" s="6" t="s">
        <v>1431</v>
      </c>
      <c r="H1525" s="7">
        <v>45037.0</v>
      </c>
      <c r="I1525" s="8">
        <f t="shared" si="1"/>
        <v>21</v>
      </c>
      <c r="J1525" s="9">
        <f t="shared" si="2"/>
        <v>4</v>
      </c>
      <c r="K1525" s="9">
        <f t="shared" si="3"/>
        <v>2023</v>
      </c>
      <c r="M1525" s="25">
        <f>IFERROR(__xludf.DUMMYFUNCTION("""COMPUTED_VALUE"""),45037.0)</f>
        <v>45037</v>
      </c>
    </row>
    <row r="1526">
      <c r="A1526" s="10" t="s">
        <v>632</v>
      </c>
      <c r="B1526" s="3" t="s">
        <v>1385</v>
      </c>
      <c r="C1526" s="10" t="s">
        <v>632</v>
      </c>
      <c r="D1526" s="3" t="s">
        <v>1428</v>
      </c>
      <c r="E1526" s="4" t="s">
        <v>3</v>
      </c>
      <c r="F1526" s="5" t="s">
        <v>76</v>
      </c>
      <c r="G1526" s="6" t="s">
        <v>1412</v>
      </c>
      <c r="H1526" s="7">
        <v>45060.0</v>
      </c>
      <c r="I1526" s="8">
        <f t="shared" si="1"/>
        <v>14</v>
      </c>
      <c r="J1526" s="9">
        <f t="shared" si="2"/>
        <v>5</v>
      </c>
      <c r="K1526" s="9">
        <f t="shared" si="3"/>
        <v>2023</v>
      </c>
      <c r="M1526" s="25">
        <f>IFERROR(__xludf.DUMMYFUNCTION("""COMPUTED_VALUE"""),45060.0)</f>
        <v>45060</v>
      </c>
    </row>
    <row r="1527">
      <c r="A1527" s="10" t="s">
        <v>632</v>
      </c>
      <c r="B1527" s="3" t="s">
        <v>1385</v>
      </c>
      <c r="C1527" s="10" t="s">
        <v>632</v>
      </c>
      <c r="D1527" s="3" t="s">
        <v>1428</v>
      </c>
      <c r="E1527" s="4" t="s">
        <v>3</v>
      </c>
      <c r="F1527" s="5" t="s">
        <v>23</v>
      </c>
      <c r="G1527" s="6" t="s">
        <v>1432</v>
      </c>
      <c r="H1527" s="7">
        <v>45109.0</v>
      </c>
      <c r="I1527" s="8">
        <f t="shared" si="1"/>
        <v>2</v>
      </c>
      <c r="J1527" s="9">
        <f t="shared" si="2"/>
        <v>7</v>
      </c>
      <c r="K1527" s="9">
        <f t="shared" si="3"/>
        <v>2023</v>
      </c>
      <c r="M1527" s="25">
        <f>IFERROR(__xludf.DUMMYFUNCTION("""COMPUTED_VALUE"""),45109.0)</f>
        <v>45109</v>
      </c>
    </row>
    <row r="1528">
      <c r="A1528" s="10" t="s">
        <v>632</v>
      </c>
      <c r="B1528" s="3" t="s">
        <v>1385</v>
      </c>
      <c r="C1528" s="10" t="s">
        <v>632</v>
      </c>
      <c r="D1528" s="3" t="s">
        <v>1428</v>
      </c>
      <c r="E1528" s="4" t="s">
        <v>3</v>
      </c>
      <c r="F1528" s="5" t="s">
        <v>11</v>
      </c>
      <c r="G1528" s="6" t="s">
        <v>1433</v>
      </c>
      <c r="H1528" s="7">
        <v>45134.0</v>
      </c>
      <c r="I1528" s="8">
        <f t="shared" si="1"/>
        <v>27</v>
      </c>
      <c r="J1528" s="9">
        <f t="shared" si="2"/>
        <v>7</v>
      </c>
      <c r="K1528" s="9">
        <f t="shared" si="3"/>
        <v>2023</v>
      </c>
      <c r="M1528" s="25">
        <f>IFERROR(__xludf.DUMMYFUNCTION("""COMPUTED_VALUE"""),45134.0)</f>
        <v>45134</v>
      </c>
    </row>
    <row r="1529">
      <c r="A1529" s="10" t="s">
        <v>632</v>
      </c>
      <c r="B1529" s="3" t="s">
        <v>1385</v>
      </c>
      <c r="C1529" s="10" t="s">
        <v>632</v>
      </c>
      <c r="D1529" s="3" t="s">
        <v>1428</v>
      </c>
      <c r="E1529" s="4" t="s">
        <v>3</v>
      </c>
      <c r="F1529" s="5" t="s">
        <v>13</v>
      </c>
      <c r="G1529" s="6" t="s">
        <v>1434</v>
      </c>
      <c r="H1529" s="7">
        <v>45153.0</v>
      </c>
      <c r="I1529" s="8">
        <f t="shared" si="1"/>
        <v>15</v>
      </c>
      <c r="J1529" s="9">
        <f t="shared" si="2"/>
        <v>8</v>
      </c>
      <c r="K1529" s="9">
        <f t="shared" si="3"/>
        <v>2023</v>
      </c>
      <c r="M1529" s="25">
        <f>IFERROR(__xludf.DUMMYFUNCTION("""COMPUTED_VALUE"""),45153.0)</f>
        <v>45153</v>
      </c>
    </row>
    <row r="1530">
      <c r="A1530" s="10" t="s">
        <v>632</v>
      </c>
      <c r="B1530" s="3" t="s">
        <v>1385</v>
      </c>
      <c r="C1530" s="10" t="s">
        <v>632</v>
      </c>
      <c r="D1530" s="3" t="s">
        <v>1428</v>
      </c>
      <c r="E1530" s="4" t="s">
        <v>3</v>
      </c>
      <c r="F1530" s="5" t="s">
        <v>51</v>
      </c>
      <c r="G1530" s="6" t="s">
        <v>1435</v>
      </c>
      <c r="H1530" s="7">
        <v>45175.0</v>
      </c>
      <c r="I1530" s="8">
        <f t="shared" si="1"/>
        <v>6</v>
      </c>
      <c r="J1530" s="9">
        <f t="shared" si="2"/>
        <v>9</v>
      </c>
      <c r="K1530" s="9">
        <f t="shared" si="3"/>
        <v>2023</v>
      </c>
      <c r="M1530" s="25">
        <f>IFERROR(__xludf.DUMMYFUNCTION("""COMPUTED_VALUE"""),45175.0)</f>
        <v>45175</v>
      </c>
    </row>
    <row r="1531">
      <c r="A1531" s="10" t="s">
        <v>632</v>
      </c>
      <c r="B1531" s="3" t="s">
        <v>1385</v>
      </c>
      <c r="C1531" s="10" t="s">
        <v>632</v>
      </c>
      <c r="D1531" s="3" t="s">
        <v>1428</v>
      </c>
      <c r="E1531" s="4" t="s">
        <v>3</v>
      </c>
      <c r="F1531" s="5" t="s">
        <v>11</v>
      </c>
      <c r="G1531" s="6" t="s">
        <v>1436</v>
      </c>
      <c r="H1531" s="7">
        <v>45187.0</v>
      </c>
      <c r="I1531" s="8">
        <f t="shared" si="1"/>
        <v>18</v>
      </c>
      <c r="J1531" s="9">
        <f t="shared" si="2"/>
        <v>9</v>
      </c>
      <c r="K1531" s="9">
        <f t="shared" si="3"/>
        <v>2023</v>
      </c>
      <c r="M1531" s="25">
        <f>IFERROR(__xludf.DUMMYFUNCTION("""COMPUTED_VALUE"""),45187.0)</f>
        <v>45187</v>
      </c>
    </row>
    <row r="1532">
      <c r="A1532" s="10" t="s">
        <v>632</v>
      </c>
      <c r="B1532" s="3" t="s">
        <v>1385</v>
      </c>
      <c r="C1532" s="10" t="s">
        <v>632</v>
      </c>
      <c r="D1532" s="3" t="s">
        <v>1428</v>
      </c>
      <c r="E1532" s="4" t="s">
        <v>3</v>
      </c>
      <c r="F1532" s="5" t="s">
        <v>76</v>
      </c>
      <c r="G1532" s="6" t="s">
        <v>1437</v>
      </c>
      <c r="H1532" s="7">
        <v>45195.0</v>
      </c>
      <c r="I1532" s="8">
        <f t="shared" si="1"/>
        <v>26</v>
      </c>
      <c r="J1532" s="9">
        <f t="shared" si="2"/>
        <v>9</v>
      </c>
      <c r="K1532" s="9">
        <f t="shared" si="3"/>
        <v>2023</v>
      </c>
      <c r="M1532" s="25">
        <f>IFERROR(__xludf.DUMMYFUNCTION("""COMPUTED_VALUE"""),45195.0)</f>
        <v>45195</v>
      </c>
    </row>
    <row r="1533">
      <c r="A1533" s="10" t="s">
        <v>632</v>
      </c>
      <c r="B1533" s="3" t="s">
        <v>1385</v>
      </c>
      <c r="C1533" s="10" t="s">
        <v>632</v>
      </c>
      <c r="D1533" s="3" t="s">
        <v>1428</v>
      </c>
      <c r="E1533" s="4" t="s">
        <v>8</v>
      </c>
      <c r="F1533" s="5" t="s">
        <v>15</v>
      </c>
      <c r="G1533" s="6" t="s">
        <v>1438</v>
      </c>
      <c r="H1533" s="7">
        <v>45208.0</v>
      </c>
      <c r="I1533" s="8">
        <f t="shared" si="1"/>
        <v>9</v>
      </c>
      <c r="J1533" s="9">
        <f t="shared" si="2"/>
        <v>10</v>
      </c>
      <c r="K1533" s="9">
        <f t="shared" si="3"/>
        <v>2023</v>
      </c>
      <c r="M1533" s="25">
        <f>IFERROR(__xludf.DUMMYFUNCTION("""COMPUTED_VALUE"""),45208.0)</f>
        <v>45208</v>
      </c>
    </row>
    <row r="1534">
      <c r="A1534" s="10" t="s">
        <v>632</v>
      </c>
      <c r="B1534" s="3" t="s">
        <v>1385</v>
      </c>
      <c r="C1534" s="10" t="s">
        <v>632</v>
      </c>
      <c r="D1534" s="3" t="s">
        <v>1428</v>
      </c>
      <c r="E1534" s="4" t="s">
        <v>8</v>
      </c>
      <c r="F1534" s="5" t="s">
        <v>120</v>
      </c>
      <c r="G1534" s="6" t="s">
        <v>695</v>
      </c>
      <c r="H1534" s="7">
        <v>45209.0</v>
      </c>
      <c r="I1534" s="8">
        <f t="shared" si="1"/>
        <v>10</v>
      </c>
      <c r="J1534" s="9">
        <f t="shared" si="2"/>
        <v>10</v>
      </c>
      <c r="K1534" s="9">
        <f t="shared" si="3"/>
        <v>2023</v>
      </c>
      <c r="M1534" s="25">
        <f>IFERROR(__xludf.DUMMYFUNCTION("""COMPUTED_VALUE"""),45209.0)</f>
        <v>45209</v>
      </c>
    </row>
    <row r="1535">
      <c r="A1535" s="10" t="s">
        <v>632</v>
      </c>
      <c r="B1535" s="3" t="s">
        <v>1385</v>
      </c>
      <c r="C1535" s="10" t="s">
        <v>632</v>
      </c>
      <c r="D1535" s="3" t="s">
        <v>1428</v>
      </c>
      <c r="E1535" s="4" t="s">
        <v>3</v>
      </c>
      <c r="F1535" s="5" t="s">
        <v>96</v>
      </c>
      <c r="G1535" s="6" t="s">
        <v>1439</v>
      </c>
      <c r="H1535" s="7">
        <v>45217.0</v>
      </c>
      <c r="I1535" s="8">
        <f t="shared" si="1"/>
        <v>18</v>
      </c>
      <c r="J1535" s="9">
        <f t="shared" si="2"/>
        <v>10</v>
      </c>
      <c r="K1535" s="9">
        <f t="shared" si="3"/>
        <v>2023</v>
      </c>
      <c r="M1535" s="25">
        <f>IFERROR(__xludf.DUMMYFUNCTION("""COMPUTED_VALUE"""),45217.0)</f>
        <v>45217</v>
      </c>
    </row>
    <row r="1536">
      <c r="A1536" s="10" t="s">
        <v>632</v>
      </c>
      <c r="B1536" s="3" t="s">
        <v>1385</v>
      </c>
      <c r="C1536" s="10" t="s">
        <v>632</v>
      </c>
      <c r="D1536" s="3" t="s">
        <v>1428</v>
      </c>
      <c r="E1536" s="4" t="s">
        <v>8</v>
      </c>
      <c r="F1536" s="5" t="s">
        <v>15</v>
      </c>
      <c r="G1536" s="6" t="s">
        <v>1440</v>
      </c>
      <c r="H1536" s="7">
        <v>45223.0</v>
      </c>
      <c r="I1536" s="8">
        <f t="shared" si="1"/>
        <v>24</v>
      </c>
      <c r="J1536" s="9">
        <f t="shared" si="2"/>
        <v>10</v>
      </c>
      <c r="K1536" s="9">
        <f t="shared" si="3"/>
        <v>2023</v>
      </c>
      <c r="M1536" s="25">
        <f>IFERROR(__xludf.DUMMYFUNCTION("""COMPUTED_VALUE"""),45223.0)</f>
        <v>45223</v>
      </c>
    </row>
    <row r="1537">
      <c r="A1537" s="10" t="s">
        <v>632</v>
      </c>
      <c r="B1537" s="3" t="s">
        <v>1385</v>
      </c>
      <c r="C1537" s="10" t="s">
        <v>632</v>
      </c>
      <c r="D1537" s="3" t="s">
        <v>1428</v>
      </c>
      <c r="E1537" s="4" t="s">
        <v>8</v>
      </c>
      <c r="F1537" s="5" t="s">
        <v>6</v>
      </c>
      <c r="G1537" s="6" t="s">
        <v>1441</v>
      </c>
      <c r="H1537" s="7">
        <v>45241.0</v>
      </c>
      <c r="I1537" s="8">
        <f t="shared" si="1"/>
        <v>11</v>
      </c>
      <c r="J1537" s="9">
        <f t="shared" si="2"/>
        <v>11</v>
      </c>
      <c r="K1537" s="9">
        <f t="shared" si="3"/>
        <v>2023</v>
      </c>
      <c r="M1537" s="25">
        <f>IFERROR(__xludf.DUMMYFUNCTION("""COMPUTED_VALUE"""),45241.0)</f>
        <v>45241</v>
      </c>
    </row>
    <row r="1538">
      <c r="A1538" s="10" t="s">
        <v>632</v>
      </c>
      <c r="B1538" s="3" t="s">
        <v>1385</v>
      </c>
      <c r="C1538" s="10" t="s">
        <v>632</v>
      </c>
      <c r="D1538" s="3" t="s">
        <v>1428</v>
      </c>
      <c r="E1538" s="4" t="s">
        <v>8</v>
      </c>
      <c r="F1538" s="5" t="s">
        <v>9</v>
      </c>
      <c r="G1538" s="6" t="s">
        <v>1442</v>
      </c>
      <c r="H1538" s="7">
        <v>45252.0</v>
      </c>
      <c r="I1538" s="8">
        <f t="shared" si="1"/>
        <v>22</v>
      </c>
      <c r="J1538" s="9">
        <f t="shared" si="2"/>
        <v>11</v>
      </c>
      <c r="K1538" s="9">
        <f t="shared" si="3"/>
        <v>2023</v>
      </c>
      <c r="M1538" s="25">
        <f>IFERROR(__xludf.DUMMYFUNCTION("""COMPUTED_VALUE"""),45252.0)</f>
        <v>45252</v>
      </c>
    </row>
    <row r="1539">
      <c r="A1539" s="10" t="s">
        <v>632</v>
      </c>
      <c r="B1539" s="3" t="s">
        <v>1385</v>
      </c>
      <c r="C1539" s="10" t="s">
        <v>632</v>
      </c>
      <c r="D1539" s="3" t="s">
        <v>1428</v>
      </c>
      <c r="E1539" s="4" t="s">
        <v>8</v>
      </c>
      <c r="F1539" s="5" t="s">
        <v>76</v>
      </c>
      <c r="G1539" s="6" t="s">
        <v>1304</v>
      </c>
      <c r="H1539" s="7">
        <v>45258.0</v>
      </c>
      <c r="I1539" s="8">
        <f t="shared" si="1"/>
        <v>28</v>
      </c>
      <c r="J1539" s="9">
        <f t="shared" si="2"/>
        <v>11</v>
      </c>
      <c r="K1539" s="9">
        <f t="shared" si="3"/>
        <v>2023</v>
      </c>
      <c r="M1539" s="25">
        <f>IFERROR(__xludf.DUMMYFUNCTION("""COMPUTED_VALUE"""),45258.0)</f>
        <v>45258</v>
      </c>
    </row>
    <row r="1540">
      <c r="A1540" s="10" t="s">
        <v>632</v>
      </c>
      <c r="B1540" s="3" t="s">
        <v>1385</v>
      </c>
      <c r="C1540" s="10" t="s">
        <v>632</v>
      </c>
      <c r="D1540" s="3" t="s">
        <v>1428</v>
      </c>
      <c r="E1540" s="4" t="s">
        <v>3</v>
      </c>
      <c r="F1540" s="5" t="s">
        <v>9</v>
      </c>
      <c r="G1540" s="6" t="s">
        <v>1207</v>
      </c>
      <c r="H1540" s="7">
        <v>45280.0</v>
      </c>
      <c r="I1540" s="8">
        <f t="shared" si="1"/>
        <v>20</v>
      </c>
      <c r="J1540" s="9">
        <f t="shared" si="2"/>
        <v>12</v>
      </c>
      <c r="K1540" s="9">
        <f t="shared" si="3"/>
        <v>2023</v>
      </c>
      <c r="M1540" s="25">
        <f>IFERROR(__xludf.DUMMYFUNCTION("""COMPUTED_VALUE"""),45280.0)</f>
        <v>45280</v>
      </c>
    </row>
    <row r="1541">
      <c r="A1541" s="10" t="s">
        <v>1398</v>
      </c>
      <c r="B1541" s="3" t="s">
        <v>1399</v>
      </c>
      <c r="C1541" s="10" t="s">
        <v>1443</v>
      </c>
      <c r="D1541" s="3" t="s">
        <v>1444</v>
      </c>
      <c r="E1541" s="4" t="s">
        <v>3</v>
      </c>
      <c r="F1541" s="5" t="s">
        <v>6</v>
      </c>
      <c r="G1541" s="6" t="s">
        <v>1035</v>
      </c>
      <c r="H1541" s="7">
        <v>44927.0</v>
      </c>
      <c r="I1541" s="8">
        <f t="shared" si="1"/>
        <v>1</v>
      </c>
      <c r="J1541" s="9">
        <f t="shared" si="2"/>
        <v>1</v>
      </c>
      <c r="K1541" s="9">
        <f t="shared" si="3"/>
        <v>2023</v>
      </c>
      <c r="M1541" s="25">
        <f>IFERROR(__xludf.DUMMYFUNCTION("""COMPUTED_VALUE"""),44927.0)</f>
        <v>44927</v>
      </c>
    </row>
    <row r="1542">
      <c r="A1542" s="10" t="s">
        <v>1398</v>
      </c>
      <c r="B1542" s="3" t="s">
        <v>1399</v>
      </c>
      <c r="C1542" s="10" t="s">
        <v>1443</v>
      </c>
      <c r="D1542" s="3" t="s">
        <v>1444</v>
      </c>
      <c r="E1542" s="4" t="s">
        <v>8</v>
      </c>
      <c r="F1542" s="5" t="s">
        <v>23</v>
      </c>
      <c r="G1542" s="6" t="s">
        <v>1445</v>
      </c>
      <c r="H1542" s="7">
        <v>44934.0</v>
      </c>
      <c r="I1542" s="8">
        <f t="shared" si="1"/>
        <v>8</v>
      </c>
      <c r="J1542" s="9">
        <f t="shared" si="2"/>
        <v>1</v>
      </c>
      <c r="K1542" s="9">
        <f t="shared" si="3"/>
        <v>2023</v>
      </c>
      <c r="M1542" s="25">
        <f>IFERROR(__xludf.DUMMYFUNCTION("""COMPUTED_VALUE"""),44934.0)</f>
        <v>44934</v>
      </c>
    </row>
    <row r="1543">
      <c r="A1543" s="10" t="s">
        <v>1398</v>
      </c>
      <c r="B1543" s="3" t="s">
        <v>1399</v>
      </c>
      <c r="C1543" s="10" t="s">
        <v>1443</v>
      </c>
      <c r="D1543" s="3" t="s">
        <v>1444</v>
      </c>
      <c r="E1543" s="4" t="s">
        <v>8</v>
      </c>
      <c r="F1543" s="5" t="s">
        <v>35</v>
      </c>
      <c r="G1543" s="6" t="s">
        <v>1446</v>
      </c>
      <c r="H1543" s="7">
        <v>44980.0</v>
      </c>
      <c r="I1543" s="8">
        <f t="shared" si="1"/>
        <v>23</v>
      </c>
      <c r="J1543" s="9">
        <f t="shared" si="2"/>
        <v>2</v>
      </c>
      <c r="K1543" s="9">
        <f t="shared" si="3"/>
        <v>2023</v>
      </c>
      <c r="M1543" s="25">
        <f>IFERROR(__xludf.DUMMYFUNCTION("""COMPUTED_VALUE"""),44980.0)</f>
        <v>44980</v>
      </c>
    </row>
    <row r="1544">
      <c r="A1544" s="10" t="s">
        <v>1398</v>
      </c>
      <c r="B1544" s="3" t="s">
        <v>1399</v>
      </c>
      <c r="C1544" s="10" t="s">
        <v>1443</v>
      </c>
      <c r="D1544" s="3" t="s">
        <v>1444</v>
      </c>
      <c r="E1544" s="4" t="s">
        <v>8</v>
      </c>
      <c r="F1544" s="5" t="s">
        <v>9</v>
      </c>
      <c r="G1544" s="6" t="s">
        <v>772</v>
      </c>
      <c r="H1544" s="7">
        <v>44993.0</v>
      </c>
      <c r="I1544" s="8">
        <f t="shared" si="1"/>
        <v>8</v>
      </c>
      <c r="J1544" s="9">
        <f t="shared" si="2"/>
        <v>3</v>
      </c>
      <c r="K1544" s="9">
        <f t="shared" si="3"/>
        <v>2023</v>
      </c>
      <c r="M1544" s="25">
        <f>IFERROR(__xludf.DUMMYFUNCTION("""COMPUTED_VALUE"""),44993.0)</f>
        <v>44993</v>
      </c>
    </row>
    <row r="1545">
      <c r="A1545" s="10" t="s">
        <v>1398</v>
      </c>
      <c r="B1545" s="3" t="s">
        <v>1399</v>
      </c>
      <c r="C1545" s="10" t="s">
        <v>1443</v>
      </c>
      <c r="D1545" s="3" t="s">
        <v>1444</v>
      </c>
      <c r="E1545" s="4" t="s">
        <v>3</v>
      </c>
      <c r="F1545" s="5" t="s">
        <v>13</v>
      </c>
      <c r="G1545" s="6" t="s">
        <v>1447</v>
      </c>
      <c r="H1545" s="7">
        <v>45002.0</v>
      </c>
      <c r="I1545" s="8">
        <f t="shared" si="1"/>
        <v>17</v>
      </c>
      <c r="J1545" s="9">
        <f t="shared" si="2"/>
        <v>3</v>
      </c>
      <c r="K1545" s="9">
        <f t="shared" si="3"/>
        <v>2023</v>
      </c>
      <c r="M1545" s="25">
        <f>IFERROR(__xludf.DUMMYFUNCTION("""COMPUTED_VALUE"""),45002.0)</f>
        <v>45002</v>
      </c>
    </row>
    <row r="1546">
      <c r="A1546" s="10" t="s">
        <v>1398</v>
      </c>
      <c r="B1546" s="3" t="s">
        <v>1399</v>
      </c>
      <c r="C1546" s="10" t="s">
        <v>1443</v>
      </c>
      <c r="D1546" s="3" t="s">
        <v>1444</v>
      </c>
      <c r="E1546" s="4" t="s">
        <v>3</v>
      </c>
      <c r="F1546" s="5" t="s">
        <v>6</v>
      </c>
      <c r="G1546" s="6" t="s">
        <v>1448</v>
      </c>
      <c r="H1546" s="7">
        <v>45019.0</v>
      </c>
      <c r="I1546" s="8">
        <f t="shared" si="1"/>
        <v>3</v>
      </c>
      <c r="J1546" s="9">
        <f t="shared" si="2"/>
        <v>4</v>
      </c>
      <c r="K1546" s="9">
        <f t="shared" si="3"/>
        <v>2023</v>
      </c>
      <c r="M1546" s="25">
        <f>IFERROR(__xludf.DUMMYFUNCTION("""COMPUTED_VALUE"""),45019.0)</f>
        <v>45019</v>
      </c>
    </row>
    <row r="1547">
      <c r="A1547" s="10" t="s">
        <v>1398</v>
      </c>
      <c r="B1547" s="3" t="s">
        <v>1399</v>
      </c>
      <c r="C1547" s="10" t="s">
        <v>1443</v>
      </c>
      <c r="D1547" s="3" t="s">
        <v>1444</v>
      </c>
      <c r="E1547" s="4" t="s">
        <v>3</v>
      </c>
      <c r="F1547" s="5" t="s">
        <v>96</v>
      </c>
      <c r="G1547" s="6" t="s">
        <v>758</v>
      </c>
      <c r="H1547" s="7">
        <v>45043.0</v>
      </c>
      <c r="I1547" s="8">
        <f t="shared" si="1"/>
        <v>27</v>
      </c>
      <c r="J1547" s="9">
        <f t="shared" si="2"/>
        <v>4</v>
      </c>
      <c r="K1547" s="9">
        <f t="shared" si="3"/>
        <v>2023</v>
      </c>
      <c r="M1547" s="25">
        <f>IFERROR(__xludf.DUMMYFUNCTION("""COMPUTED_VALUE"""),45043.0)</f>
        <v>45043</v>
      </c>
    </row>
    <row r="1548">
      <c r="A1548" s="10" t="s">
        <v>1398</v>
      </c>
      <c r="B1548" s="3" t="s">
        <v>1399</v>
      </c>
      <c r="C1548" s="10" t="s">
        <v>1443</v>
      </c>
      <c r="D1548" s="3" t="s">
        <v>1444</v>
      </c>
      <c r="E1548" s="4" t="s">
        <v>3</v>
      </c>
      <c r="F1548" s="5" t="s">
        <v>19</v>
      </c>
      <c r="G1548" s="6" t="s">
        <v>1025</v>
      </c>
      <c r="H1548" s="7">
        <v>45051.0</v>
      </c>
      <c r="I1548" s="8">
        <f t="shared" si="1"/>
        <v>5</v>
      </c>
      <c r="J1548" s="9">
        <f t="shared" si="2"/>
        <v>5</v>
      </c>
      <c r="K1548" s="9">
        <f t="shared" si="3"/>
        <v>2023</v>
      </c>
      <c r="M1548" s="25">
        <f>IFERROR(__xludf.DUMMYFUNCTION("""COMPUTED_VALUE"""),45051.0)</f>
        <v>45051</v>
      </c>
    </row>
    <row r="1549">
      <c r="A1549" s="10" t="s">
        <v>1398</v>
      </c>
      <c r="B1549" s="3" t="s">
        <v>1399</v>
      </c>
      <c r="C1549" s="10" t="s">
        <v>1443</v>
      </c>
      <c r="D1549" s="3" t="s">
        <v>1444</v>
      </c>
      <c r="E1549" s="4" t="s">
        <v>8</v>
      </c>
      <c r="F1549" s="5" t="s">
        <v>96</v>
      </c>
      <c r="G1549" s="6" t="s">
        <v>296</v>
      </c>
      <c r="H1549" s="7">
        <v>45102.0</v>
      </c>
      <c r="I1549" s="8">
        <f t="shared" si="1"/>
        <v>25</v>
      </c>
      <c r="J1549" s="9">
        <f t="shared" si="2"/>
        <v>6</v>
      </c>
      <c r="K1549" s="9">
        <f t="shared" si="3"/>
        <v>2023</v>
      </c>
      <c r="M1549" s="25">
        <f>IFERROR(__xludf.DUMMYFUNCTION("""COMPUTED_VALUE"""),45102.0)</f>
        <v>45102</v>
      </c>
    </row>
    <row r="1550">
      <c r="A1550" s="10" t="s">
        <v>1398</v>
      </c>
      <c r="B1550" s="3" t="s">
        <v>1399</v>
      </c>
      <c r="C1550" s="10" t="s">
        <v>1443</v>
      </c>
      <c r="D1550" s="3" t="s">
        <v>1444</v>
      </c>
      <c r="E1550" s="4" t="s">
        <v>3</v>
      </c>
      <c r="F1550" s="5" t="s">
        <v>39</v>
      </c>
      <c r="G1550" s="6" t="s">
        <v>1449</v>
      </c>
      <c r="H1550" s="7">
        <v>45111.0</v>
      </c>
      <c r="I1550" s="8">
        <f t="shared" si="1"/>
        <v>4</v>
      </c>
      <c r="J1550" s="9">
        <f t="shared" si="2"/>
        <v>7</v>
      </c>
      <c r="K1550" s="9">
        <f t="shared" si="3"/>
        <v>2023</v>
      </c>
      <c r="M1550" s="25">
        <f>IFERROR(__xludf.DUMMYFUNCTION("""COMPUTED_VALUE"""),45111.0)</f>
        <v>45111</v>
      </c>
    </row>
    <row r="1551">
      <c r="A1551" s="10" t="s">
        <v>1398</v>
      </c>
      <c r="B1551" s="3" t="s">
        <v>1399</v>
      </c>
      <c r="C1551" s="10" t="s">
        <v>1443</v>
      </c>
      <c r="D1551" s="3" t="s">
        <v>1444</v>
      </c>
      <c r="E1551" s="4" t="s">
        <v>3</v>
      </c>
      <c r="F1551" s="5" t="s">
        <v>51</v>
      </c>
      <c r="G1551" s="6" t="s">
        <v>255</v>
      </c>
      <c r="H1551" s="7">
        <v>45123.0</v>
      </c>
      <c r="I1551" s="8">
        <f t="shared" si="1"/>
        <v>16</v>
      </c>
      <c r="J1551" s="9">
        <f t="shared" si="2"/>
        <v>7</v>
      </c>
      <c r="K1551" s="9">
        <f t="shared" si="3"/>
        <v>2023</v>
      </c>
      <c r="M1551" s="25">
        <f>IFERROR(__xludf.DUMMYFUNCTION("""COMPUTED_VALUE"""),45123.0)</f>
        <v>45123</v>
      </c>
    </row>
    <row r="1552">
      <c r="A1552" s="10" t="s">
        <v>1398</v>
      </c>
      <c r="B1552" s="3" t="s">
        <v>1399</v>
      </c>
      <c r="C1552" s="10" t="s">
        <v>1443</v>
      </c>
      <c r="D1552" s="3" t="s">
        <v>1444</v>
      </c>
      <c r="E1552" s="4" t="s">
        <v>8</v>
      </c>
      <c r="F1552" s="5" t="s">
        <v>21</v>
      </c>
      <c r="G1552" s="6" t="s">
        <v>197</v>
      </c>
      <c r="H1552" s="7">
        <v>45189.0</v>
      </c>
      <c r="I1552" s="8">
        <f t="shared" si="1"/>
        <v>20</v>
      </c>
      <c r="J1552" s="9">
        <f t="shared" si="2"/>
        <v>9</v>
      </c>
      <c r="K1552" s="9">
        <f t="shared" si="3"/>
        <v>2023</v>
      </c>
      <c r="M1552" s="25">
        <f>IFERROR(__xludf.DUMMYFUNCTION("""COMPUTED_VALUE"""),45189.0)</f>
        <v>45189</v>
      </c>
    </row>
    <row r="1553">
      <c r="A1553" s="10" t="s">
        <v>1398</v>
      </c>
      <c r="B1553" s="3" t="s">
        <v>1399</v>
      </c>
      <c r="C1553" s="10" t="s">
        <v>1443</v>
      </c>
      <c r="D1553" s="3" t="s">
        <v>1444</v>
      </c>
      <c r="E1553" s="4" t="s">
        <v>3</v>
      </c>
      <c r="F1553" s="5" t="s">
        <v>39</v>
      </c>
      <c r="G1553" s="6" t="s">
        <v>1377</v>
      </c>
      <c r="H1553" s="7">
        <v>45202.0</v>
      </c>
      <c r="I1553" s="8">
        <f t="shared" si="1"/>
        <v>3</v>
      </c>
      <c r="J1553" s="9">
        <f t="shared" si="2"/>
        <v>10</v>
      </c>
      <c r="K1553" s="9">
        <f t="shared" si="3"/>
        <v>2023</v>
      </c>
      <c r="M1553" s="25">
        <f>IFERROR(__xludf.DUMMYFUNCTION("""COMPUTED_VALUE"""),45202.0)</f>
        <v>45202</v>
      </c>
    </row>
    <row r="1554">
      <c r="A1554" s="10" t="s">
        <v>1398</v>
      </c>
      <c r="B1554" s="3" t="s">
        <v>1399</v>
      </c>
      <c r="C1554" s="10" t="s">
        <v>1443</v>
      </c>
      <c r="D1554" s="3" t="s">
        <v>1444</v>
      </c>
      <c r="E1554" s="4" t="s">
        <v>8</v>
      </c>
      <c r="F1554" s="5" t="s">
        <v>96</v>
      </c>
      <c r="G1554" s="6" t="s">
        <v>1450</v>
      </c>
      <c r="H1554" s="7">
        <v>45215.0</v>
      </c>
      <c r="I1554" s="8">
        <f t="shared" si="1"/>
        <v>16</v>
      </c>
      <c r="J1554" s="9">
        <f t="shared" si="2"/>
        <v>10</v>
      </c>
      <c r="K1554" s="9">
        <f t="shared" si="3"/>
        <v>2023</v>
      </c>
      <c r="M1554" s="25">
        <f>IFERROR(__xludf.DUMMYFUNCTION("""COMPUTED_VALUE"""),45215.0)</f>
        <v>45215</v>
      </c>
    </row>
    <row r="1555">
      <c r="A1555" s="10" t="s">
        <v>1398</v>
      </c>
      <c r="B1555" s="3" t="s">
        <v>1399</v>
      </c>
      <c r="C1555" s="10" t="s">
        <v>1443</v>
      </c>
      <c r="D1555" s="3" t="s">
        <v>1444</v>
      </c>
      <c r="E1555" s="4" t="s">
        <v>8</v>
      </c>
      <c r="F1555" s="5" t="s">
        <v>42</v>
      </c>
      <c r="G1555" s="6" t="s">
        <v>1045</v>
      </c>
      <c r="H1555" s="7">
        <v>45222.0</v>
      </c>
      <c r="I1555" s="8">
        <f t="shared" si="1"/>
        <v>23</v>
      </c>
      <c r="J1555" s="9">
        <f t="shared" si="2"/>
        <v>10</v>
      </c>
      <c r="K1555" s="9">
        <f t="shared" si="3"/>
        <v>2023</v>
      </c>
      <c r="M1555" s="25">
        <f>IFERROR(__xludf.DUMMYFUNCTION("""COMPUTED_VALUE"""),45222.0)</f>
        <v>45222</v>
      </c>
    </row>
    <row r="1556">
      <c r="A1556" s="10" t="s">
        <v>1398</v>
      </c>
      <c r="B1556" s="3" t="s">
        <v>1399</v>
      </c>
      <c r="C1556" s="10" t="s">
        <v>1443</v>
      </c>
      <c r="D1556" s="3" t="s">
        <v>1444</v>
      </c>
      <c r="E1556" s="4" t="s">
        <v>8</v>
      </c>
      <c r="F1556" s="5" t="s">
        <v>15</v>
      </c>
      <c r="G1556" s="6" t="s">
        <v>1451</v>
      </c>
      <c r="H1556" s="7">
        <v>45256.0</v>
      </c>
      <c r="I1556" s="8">
        <f t="shared" si="1"/>
        <v>26</v>
      </c>
      <c r="J1556" s="9">
        <f t="shared" si="2"/>
        <v>11</v>
      </c>
      <c r="K1556" s="9">
        <f t="shared" si="3"/>
        <v>2023</v>
      </c>
      <c r="M1556" s="25">
        <f>IFERROR(__xludf.DUMMYFUNCTION("""COMPUTED_VALUE"""),45256.0)</f>
        <v>45256</v>
      </c>
    </row>
    <row r="1557">
      <c r="A1557" s="10" t="s">
        <v>1398</v>
      </c>
      <c r="B1557" s="3" t="s">
        <v>1399</v>
      </c>
      <c r="C1557" s="10" t="s">
        <v>1443</v>
      </c>
      <c r="D1557" s="3" t="s">
        <v>1444</v>
      </c>
      <c r="E1557" s="4" t="s">
        <v>8</v>
      </c>
      <c r="F1557" s="5" t="s">
        <v>96</v>
      </c>
      <c r="G1557" s="6" t="s">
        <v>255</v>
      </c>
      <c r="H1557" s="7">
        <v>45270.0</v>
      </c>
      <c r="I1557" s="8">
        <f t="shared" si="1"/>
        <v>10</v>
      </c>
      <c r="J1557" s="9">
        <f t="shared" si="2"/>
        <v>12</v>
      </c>
      <c r="K1557" s="9">
        <f t="shared" si="3"/>
        <v>2023</v>
      </c>
      <c r="M1557" s="25">
        <f>IFERROR(__xludf.DUMMYFUNCTION("""COMPUTED_VALUE"""),45270.0)</f>
        <v>45270</v>
      </c>
    </row>
    <row r="1558">
      <c r="A1558" s="10" t="s">
        <v>1398</v>
      </c>
      <c r="B1558" s="3" t="s">
        <v>1399</v>
      </c>
      <c r="C1558" s="10" t="s">
        <v>1443</v>
      </c>
      <c r="D1558" s="3" t="s">
        <v>1444</v>
      </c>
      <c r="E1558" s="4" t="s">
        <v>8</v>
      </c>
      <c r="F1558" s="5" t="s">
        <v>21</v>
      </c>
      <c r="G1558" s="6" t="s">
        <v>793</v>
      </c>
      <c r="H1558" s="7">
        <v>45271.0</v>
      </c>
      <c r="I1558" s="8">
        <f t="shared" si="1"/>
        <v>11</v>
      </c>
      <c r="J1558" s="9">
        <f t="shared" si="2"/>
        <v>12</v>
      </c>
      <c r="K1558" s="9">
        <f t="shared" si="3"/>
        <v>2023</v>
      </c>
      <c r="M1558" s="25">
        <f>IFERROR(__xludf.DUMMYFUNCTION("""COMPUTED_VALUE"""),45271.0)</f>
        <v>45271</v>
      </c>
    </row>
    <row r="1559">
      <c r="A1559" s="10" t="s">
        <v>1398</v>
      </c>
      <c r="B1559" s="3" t="s">
        <v>1399</v>
      </c>
      <c r="C1559" s="10" t="s">
        <v>1443</v>
      </c>
      <c r="D1559" s="3" t="s">
        <v>1444</v>
      </c>
      <c r="E1559" s="4" t="s">
        <v>8</v>
      </c>
      <c r="F1559" s="5" t="s">
        <v>15</v>
      </c>
      <c r="G1559" s="6" t="s">
        <v>548</v>
      </c>
      <c r="H1559" s="7">
        <v>45272.0</v>
      </c>
      <c r="I1559" s="8">
        <f t="shared" si="1"/>
        <v>12</v>
      </c>
      <c r="J1559" s="9">
        <f t="shared" si="2"/>
        <v>12</v>
      </c>
      <c r="K1559" s="9">
        <f t="shared" si="3"/>
        <v>2023</v>
      </c>
      <c r="M1559" s="25">
        <f>IFERROR(__xludf.DUMMYFUNCTION("""COMPUTED_VALUE"""),45272.0)</f>
        <v>45272</v>
      </c>
    </row>
    <row r="1560">
      <c r="A1560" s="10" t="s">
        <v>1398</v>
      </c>
      <c r="B1560" s="3" t="s">
        <v>1399</v>
      </c>
      <c r="C1560" s="10" t="s">
        <v>1443</v>
      </c>
      <c r="D1560" s="3" t="s">
        <v>1444</v>
      </c>
      <c r="E1560" s="4" t="s">
        <v>8</v>
      </c>
      <c r="F1560" s="5" t="s">
        <v>15</v>
      </c>
      <c r="G1560" s="6" t="s">
        <v>1452</v>
      </c>
      <c r="H1560" s="7">
        <v>45281.0</v>
      </c>
      <c r="I1560" s="8">
        <f t="shared" si="1"/>
        <v>21</v>
      </c>
      <c r="J1560" s="9">
        <f t="shared" si="2"/>
        <v>12</v>
      </c>
      <c r="K1560" s="9">
        <f t="shared" si="3"/>
        <v>2023</v>
      </c>
      <c r="M1560" s="25">
        <f>IFERROR(__xludf.DUMMYFUNCTION("""COMPUTED_VALUE"""),45281.0)</f>
        <v>45281</v>
      </c>
    </row>
    <row r="1561">
      <c r="A1561" s="10" t="s">
        <v>1414</v>
      </c>
      <c r="B1561" s="3" t="s">
        <v>1415</v>
      </c>
      <c r="C1561" s="10" t="s">
        <v>1453</v>
      </c>
      <c r="D1561" s="3" t="s">
        <v>1454</v>
      </c>
      <c r="E1561" s="4" t="s">
        <v>8</v>
      </c>
      <c r="F1561" s="5" t="s">
        <v>39</v>
      </c>
      <c r="G1561" s="6" t="s">
        <v>1455</v>
      </c>
      <c r="H1561" s="7">
        <v>44932.0</v>
      </c>
      <c r="I1561" s="8">
        <f t="shared" si="1"/>
        <v>6</v>
      </c>
      <c r="J1561" s="9">
        <f t="shared" si="2"/>
        <v>1</v>
      </c>
      <c r="K1561" s="9">
        <f t="shared" si="3"/>
        <v>2023</v>
      </c>
      <c r="M1561" s="25">
        <f>IFERROR(__xludf.DUMMYFUNCTION("""COMPUTED_VALUE"""),44932.0)</f>
        <v>44932</v>
      </c>
    </row>
    <row r="1562">
      <c r="A1562" s="10" t="s">
        <v>1414</v>
      </c>
      <c r="B1562" s="3" t="s">
        <v>1415</v>
      </c>
      <c r="C1562" s="10" t="s">
        <v>1453</v>
      </c>
      <c r="D1562" s="3" t="s">
        <v>1454</v>
      </c>
      <c r="E1562" s="4" t="s">
        <v>3</v>
      </c>
      <c r="F1562" s="5" t="s">
        <v>76</v>
      </c>
      <c r="G1562" s="6" t="s">
        <v>1456</v>
      </c>
      <c r="H1562" s="7">
        <v>44938.0</v>
      </c>
      <c r="I1562" s="8">
        <f t="shared" si="1"/>
        <v>12</v>
      </c>
      <c r="J1562" s="9">
        <f t="shared" si="2"/>
        <v>1</v>
      </c>
      <c r="K1562" s="9">
        <f t="shared" si="3"/>
        <v>2023</v>
      </c>
      <c r="M1562" s="25">
        <f>IFERROR(__xludf.DUMMYFUNCTION("""COMPUTED_VALUE"""),44938.0)</f>
        <v>44938</v>
      </c>
    </row>
    <row r="1563">
      <c r="A1563" s="10" t="s">
        <v>1414</v>
      </c>
      <c r="B1563" s="3" t="s">
        <v>1415</v>
      </c>
      <c r="C1563" s="10" t="s">
        <v>1453</v>
      </c>
      <c r="D1563" s="3" t="s">
        <v>1454</v>
      </c>
      <c r="E1563" s="4" t="s">
        <v>8</v>
      </c>
      <c r="F1563" s="5" t="s">
        <v>4</v>
      </c>
      <c r="G1563" s="6" t="s">
        <v>1457</v>
      </c>
      <c r="H1563" s="7">
        <v>44963.0</v>
      </c>
      <c r="I1563" s="8">
        <f t="shared" si="1"/>
        <v>6</v>
      </c>
      <c r="J1563" s="9">
        <f t="shared" si="2"/>
        <v>2</v>
      </c>
      <c r="K1563" s="9">
        <f t="shared" si="3"/>
        <v>2023</v>
      </c>
      <c r="M1563" s="25">
        <f>IFERROR(__xludf.DUMMYFUNCTION("""COMPUTED_VALUE"""),44963.0)</f>
        <v>44963</v>
      </c>
    </row>
    <row r="1564">
      <c r="A1564" s="10" t="s">
        <v>1414</v>
      </c>
      <c r="B1564" s="3" t="s">
        <v>1415</v>
      </c>
      <c r="C1564" s="10" t="s">
        <v>1453</v>
      </c>
      <c r="D1564" s="3" t="s">
        <v>1454</v>
      </c>
      <c r="E1564" s="4" t="s">
        <v>8</v>
      </c>
      <c r="F1564" s="5" t="s">
        <v>42</v>
      </c>
      <c r="G1564" s="6" t="s">
        <v>208</v>
      </c>
      <c r="H1564" s="7">
        <v>44990.0</v>
      </c>
      <c r="I1564" s="8">
        <f t="shared" si="1"/>
        <v>5</v>
      </c>
      <c r="J1564" s="9">
        <f t="shared" si="2"/>
        <v>3</v>
      </c>
      <c r="K1564" s="9">
        <f t="shared" si="3"/>
        <v>2023</v>
      </c>
      <c r="M1564" s="25">
        <f>IFERROR(__xludf.DUMMYFUNCTION("""COMPUTED_VALUE"""),44990.0)</f>
        <v>44990</v>
      </c>
    </row>
    <row r="1565">
      <c r="A1565" s="10" t="s">
        <v>1414</v>
      </c>
      <c r="B1565" s="3" t="s">
        <v>1415</v>
      </c>
      <c r="C1565" s="10" t="s">
        <v>1453</v>
      </c>
      <c r="D1565" s="3" t="s">
        <v>1454</v>
      </c>
      <c r="E1565" s="4" t="s">
        <v>8</v>
      </c>
      <c r="F1565" s="5" t="s">
        <v>28</v>
      </c>
      <c r="G1565" s="6" t="s">
        <v>1458</v>
      </c>
      <c r="H1565" s="7">
        <v>45038.0</v>
      </c>
      <c r="I1565" s="8">
        <f t="shared" si="1"/>
        <v>22</v>
      </c>
      <c r="J1565" s="9">
        <f t="shared" si="2"/>
        <v>4</v>
      </c>
      <c r="K1565" s="9">
        <f t="shared" si="3"/>
        <v>2023</v>
      </c>
      <c r="M1565" s="25">
        <f>IFERROR(__xludf.DUMMYFUNCTION("""COMPUTED_VALUE"""),45038.0)</f>
        <v>45038</v>
      </c>
    </row>
    <row r="1566">
      <c r="A1566" s="10" t="s">
        <v>1414</v>
      </c>
      <c r="B1566" s="3" t="s">
        <v>1415</v>
      </c>
      <c r="C1566" s="10" t="s">
        <v>1453</v>
      </c>
      <c r="D1566" s="3" t="s">
        <v>1454</v>
      </c>
      <c r="E1566" s="4" t="s">
        <v>8</v>
      </c>
      <c r="F1566" s="5" t="s">
        <v>19</v>
      </c>
      <c r="G1566" s="6" t="s">
        <v>1160</v>
      </c>
      <c r="H1566" s="7">
        <v>45043.0</v>
      </c>
      <c r="I1566" s="8">
        <f t="shared" si="1"/>
        <v>27</v>
      </c>
      <c r="J1566" s="9">
        <f t="shared" si="2"/>
        <v>4</v>
      </c>
      <c r="K1566" s="9">
        <f t="shared" si="3"/>
        <v>2023</v>
      </c>
      <c r="M1566" s="25">
        <f>IFERROR(__xludf.DUMMYFUNCTION("""COMPUTED_VALUE"""),45043.0)</f>
        <v>45043</v>
      </c>
    </row>
    <row r="1567">
      <c r="A1567" s="10" t="s">
        <v>1414</v>
      </c>
      <c r="B1567" s="3" t="s">
        <v>1415</v>
      </c>
      <c r="C1567" s="10" t="s">
        <v>1453</v>
      </c>
      <c r="D1567" s="3" t="s">
        <v>1454</v>
      </c>
      <c r="E1567" s="4" t="s">
        <v>8</v>
      </c>
      <c r="F1567" s="5" t="s">
        <v>96</v>
      </c>
      <c r="G1567" s="6" t="s">
        <v>160</v>
      </c>
      <c r="H1567" s="7">
        <v>45071.0</v>
      </c>
      <c r="I1567" s="8">
        <f t="shared" si="1"/>
        <v>25</v>
      </c>
      <c r="J1567" s="9">
        <f t="shared" si="2"/>
        <v>5</v>
      </c>
      <c r="K1567" s="9">
        <f t="shared" si="3"/>
        <v>2023</v>
      </c>
      <c r="M1567" s="25">
        <f>IFERROR(__xludf.DUMMYFUNCTION("""COMPUTED_VALUE"""),45071.0)</f>
        <v>45071</v>
      </c>
    </row>
    <row r="1568">
      <c r="A1568" s="10" t="s">
        <v>1414</v>
      </c>
      <c r="B1568" s="3" t="s">
        <v>1415</v>
      </c>
      <c r="C1568" s="10" t="s">
        <v>1453</v>
      </c>
      <c r="D1568" s="3" t="s">
        <v>1454</v>
      </c>
      <c r="E1568" s="4" t="s">
        <v>3</v>
      </c>
      <c r="F1568" s="5" t="s">
        <v>17</v>
      </c>
      <c r="G1568" s="6" t="s">
        <v>1459</v>
      </c>
      <c r="H1568" s="7">
        <v>45099.0</v>
      </c>
      <c r="I1568" s="8">
        <f t="shared" si="1"/>
        <v>22</v>
      </c>
      <c r="J1568" s="9">
        <f t="shared" si="2"/>
        <v>6</v>
      </c>
      <c r="K1568" s="9">
        <f t="shared" si="3"/>
        <v>2023</v>
      </c>
      <c r="M1568" s="25">
        <f>IFERROR(__xludf.DUMMYFUNCTION("""COMPUTED_VALUE"""),45099.0)</f>
        <v>45099</v>
      </c>
    </row>
    <row r="1569">
      <c r="A1569" s="10" t="s">
        <v>1414</v>
      </c>
      <c r="B1569" s="3" t="s">
        <v>1415</v>
      </c>
      <c r="C1569" s="10" t="s">
        <v>1453</v>
      </c>
      <c r="D1569" s="3" t="s">
        <v>1454</v>
      </c>
      <c r="E1569" s="4" t="s">
        <v>8</v>
      </c>
      <c r="F1569" s="5" t="s">
        <v>120</v>
      </c>
      <c r="G1569" s="6" t="s">
        <v>1460</v>
      </c>
      <c r="H1569" s="7">
        <v>45119.0</v>
      </c>
      <c r="I1569" s="8">
        <f t="shared" si="1"/>
        <v>12</v>
      </c>
      <c r="J1569" s="9">
        <f t="shared" si="2"/>
        <v>7</v>
      </c>
      <c r="K1569" s="9">
        <f t="shared" si="3"/>
        <v>2023</v>
      </c>
      <c r="M1569" s="25">
        <f>IFERROR(__xludf.DUMMYFUNCTION("""COMPUTED_VALUE"""),45119.0)</f>
        <v>45119</v>
      </c>
    </row>
    <row r="1570">
      <c r="A1570" s="10" t="s">
        <v>1414</v>
      </c>
      <c r="B1570" s="3" t="s">
        <v>1415</v>
      </c>
      <c r="C1570" s="10" t="s">
        <v>1453</v>
      </c>
      <c r="D1570" s="3" t="s">
        <v>1454</v>
      </c>
      <c r="E1570" s="4" t="s">
        <v>8</v>
      </c>
      <c r="F1570" s="5" t="s">
        <v>11</v>
      </c>
      <c r="G1570" s="6" t="s">
        <v>1461</v>
      </c>
      <c r="H1570" s="7">
        <v>45119.0</v>
      </c>
      <c r="I1570" s="8">
        <f t="shared" si="1"/>
        <v>12</v>
      </c>
      <c r="J1570" s="9">
        <f t="shared" si="2"/>
        <v>7</v>
      </c>
      <c r="K1570" s="9">
        <f t="shared" si="3"/>
        <v>2023</v>
      </c>
      <c r="M1570" s="25">
        <f>IFERROR(__xludf.DUMMYFUNCTION("""COMPUTED_VALUE"""),45119.0)</f>
        <v>45119</v>
      </c>
    </row>
    <row r="1571">
      <c r="A1571" s="10" t="s">
        <v>1414</v>
      </c>
      <c r="B1571" s="3" t="s">
        <v>1415</v>
      </c>
      <c r="C1571" s="10" t="s">
        <v>1453</v>
      </c>
      <c r="D1571" s="3" t="s">
        <v>1454</v>
      </c>
      <c r="E1571" s="4" t="s">
        <v>3</v>
      </c>
      <c r="F1571" s="5" t="s">
        <v>71</v>
      </c>
      <c r="G1571" s="6" t="s">
        <v>1462</v>
      </c>
      <c r="H1571" s="7">
        <v>45148.0</v>
      </c>
      <c r="I1571" s="8">
        <f t="shared" si="1"/>
        <v>10</v>
      </c>
      <c r="J1571" s="9">
        <f t="shared" si="2"/>
        <v>8</v>
      </c>
      <c r="K1571" s="9">
        <f t="shared" si="3"/>
        <v>2023</v>
      </c>
      <c r="M1571" s="25">
        <f>IFERROR(__xludf.DUMMYFUNCTION("""COMPUTED_VALUE"""),45148.0)</f>
        <v>45148</v>
      </c>
    </row>
    <row r="1572">
      <c r="A1572" s="10" t="s">
        <v>1414</v>
      </c>
      <c r="B1572" s="3" t="s">
        <v>1415</v>
      </c>
      <c r="C1572" s="10" t="s">
        <v>1453</v>
      </c>
      <c r="D1572" s="3" t="s">
        <v>1454</v>
      </c>
      <c r="E1572" s="4" t="s">
        <v>3</v>
      </c>
      <c r="F1572" s="5" t="s">
        <v>42</v>
      </c>
      <c r="G1572" s="6" t="s">
        <v>439</v>
      </c>
      <c r="H1572" s="7">
        <v>45149.0</v>
      </c>
      <c r="I1572" s="8">
        <f t="shared" si="1"/>
        <v>11</v>
      </c>
      <c r="J1572" s="9">
        <f t="shared" si="2"/>
        <v>8</v>
      </c>
      <c r="K1572" s="9">
        <f t="shared" si="3"/>
        <v>2023</v>
      </c>
      <c r="M1572" s="25">
        <f>IFERROR(__xludf.DUMMYFUNCTION("""COMPUTED_VALUE"""),45149.0)</f>
        <v>45149</v>
      </c>
    </row>
    <row r="1573">
      <c r="A1573" s="10" t="s">
        <v>1414</v>
      </c>
      <c r="B1573" s="3" t="s">
        <v>1415</v>
      </c>
      <c r="C1573" s="10" t="s">
        <v>1453</v>
      </c>
      <c r="D1573" s="3" t="s">
        <v>1454</v>
      </c>
      <c r="E1573" s="4" t="s">
        <v>3</v>
      </c>
      <c r="F1573" s="5" t="s">
        <v>21</v>
      </c>
      <c r="G1573" s="6" t="s">
        <v>1436</v>
      </c>
      <c r="H1573" s="7">
        <v>45151.0</v>
      </c>
      <c r="I1573" s="8">
        <f t="shared" si="1"/>
        <v>13</v>
      </c>
      <c r="J1573" s="9">
        <f t="shared" si="2"/>
        <v>8</v>
      </c>
      <c r="K1573" s="9">
        <f t="shared" si="3"/>
        <v>2023</v>
      </c>
      <c r="M1573" s="25">
        <f>IFERROR(__xludf.DUMMYFUNCTION("""COMPUTED_VALUE"""),45151.0)</f>
        <v>45151</v>
      </c>
    </row>
    <row r="1574">
      <c r="A1574" s="10" t="s">
        <v>1414</v>
      </c>
      <c r="B1574" s="3" t="s">
        <v>1415</v>
      </c>
      <c r="C1574" s="10" t="s">
        <v>1453</v>
      </c>
      <c r="D1574" s="3" t="s">
        <v>1454</v>
      </c>
      <c r="E1574" s="4" t="s">
        <v>8</v>
      </c>
      <c r="F1574" s="5" t="s">
        <v>17</v>
      </c>
      <c r="G1574" s="6" t="s">
        <v>1463</v>
      </c>
      <c r="H1574" s="7">
        <v>45152.0</v>
      </c>
      <c r="I1574" s="8">
        <f t="shared" si="1"/>
        <v>14</v>
      </c>
      <c r="J1574" s="9">
        <f t="shared" si="2"/>
        <v>8</v>
      </c>
      <c r="K1574" s="9">
        <f t="shared" si="3"/>
        <v>2023</v>
      </c>
      <c r="M1574" s="25">
        <f>IFERROR(__xludf.DUMMYFUNCTION("""COMPUTED_VALUE"""),45152.0)</f>
        <v>45152</v>
      </c>
    </row>
    <row r="1575">
      <c r="A1575" s="10" t="s">
        <v>1414</v>
      </c>
      <c r="B1575" s="3" t="s">
        <v>1415</v>
      </c>
      <c r="C1575" s="10" t="s">
        <v>1453</v>
      </c>
      <c r="D1575" s="3" t="s">
        <v>1454</v>
      </c>
      <c r="E1575" s="4" t="s">
        <v>8</v>
      </c>
      <c r="F1575" s="5" t="s">
        <v>23</v>
      </c>
      <c r="G1575" s="6" t="s">
        <v>1464</v>
      </c>
      <c r="H1575" s="7">
        <v>45182.0</v>
      </c>
      <c r="I1575" s="8">
        <f t="shared" si="1"/>
        <v>13</v>
      </c>
      <c r="J1575" s="9">
        <f t="shared" si="2"/>
        <v>9</v>
      </c>
      <c r="K1575" s="9">
        <f t="shared" si="3"/>
        <v>2023</v>
      </c>
      <c r="M1575" s="25">
        <f>IFERROR(__xludf.DUMMYFUNCTION("""COMPUTED_VALUE"""),45182.0)</f>
        <v>45182</v>
      </c>
    </row>
    <row r="1576">
      <c r="A1576" s="10" t="s">
        <v>1414</v>
      </c>
      <c r="B1576" s="3" t="s">
        <v>1415</v>
      </c>
      <c r="C1576" s="10" t="s">
        <v>1453</v>
      </c>
      <c r="D1576" s="3" t="s">
        <v>1454</v>
      </c>
      <c r="E1576" s="4" t="s">
        <v>8</v>
      </c>
      <c r="F1576" s="5" t="s">
        <v>6</v>
      </c>
      <c r="G1576" s="6" t="s">
        <v>1465</v>
      </c>
      <c r="H1576" s="7">
        <v>45231.0</v>
      </c>
      <c r="I1576" s="8">
        <f t="shared" si="1"/>
        <v>1</v>
      </c>
      <c r="J1576" s="9">
        <f t="shared" si="2"/>
        <v>11</v>
      </c>
      <c r="K1576" s="9">
        <f t="shared" si="3"/>
        <v>2023</v>
      </c>
      <c r="M1576" s="25">
        <f>IFERROR(__xludf.DUMMYFUNCTION("""COMPUTED_VALUE"""),45231.0)</f>
        <v>45231</v>
      </c>
    </row>
    <row r="1577">
      <c r="A1577" s="10" t="s">
        <v>1414</v>
      </c>
      <c r="B1577" s="3" t="s">
        <v>1415</v>
      </c>
      <c r="C1577" s="10" t="s">
        <v>1453</v>
      </c>
      <c r="D1577" s="3" t="s">
        <v>1454</v>
      </c>
      <c r="E1577" s="4" t="s">
        <v>3</v>
      </c>
      <c r="F1577" s="5" t="s">
        <v>42</v>
      </c>
      <c r="G1577" s="6" t="s">
        <v>333</v>
      </c>
      <c r="H1577" s="7">
        <v>45249.0</v>
      </c>
      <c r="I1577" s="8">
        <f t="shared" si="1"/>
        <v>19</v>
      </c>
      <c r="J1577" s="9">
        <f t="shared" si="2"/>
        <v>11</v>
      </c>
      <c r="K1577" s="9">
        <f t="shared" si="3"/>
        <v>2023</v>
      </c>
      <c r="M1577" s="25">
        <f>IFERROR(__xludf.DUMMYFUNCTION("""COMPUTED_VALUE"""),45249.0)</f>
        <v>45249</v>
      </c>
    </row>
    <row r="1578">
      <c r="A1578" s="10" t="s">
        <v>1414</v>
      </c>
      <c r="B1578" s="3" t="s">
        <v>1415</v>
      </c>
      <c r="C1578" s="10" t="s">
        <v>1453</v>
      </c>
      <c r="D1578" s="3" t="s">
        <v>1454</v>
      </c>
      <c r="E1578" s="4" t="s">
        <v>3</v>
      </c>
      <c r="F1578" s="5" t="s">
        <v>71</v>
      </c>
      <c r="G1578" s="6" t="s">
        <v>1308</v>
      </c>
      <c r="H1578" s="7">
        <v>45257.0</v>
      </c>
      <c r="I1578" s="8">
        <f t="shared" si="1"/>
        <v>27</v>
      </c>
      <c r="J1578" s="9">
        <f t="shared" si="2"/>
        <v>11</v>
      </c>
      <c r="K1578" s="9">
        <f t="shared" si="3"/>
        <v>2023</v>
      </c>
      <c r="M1578" s="25">
        <f>IFERROR(__xludf.DUMMYFUNCTION("""COMPUTED_VALUE"""),45257.0)</f>
        <v>45257</v>
      </c>
    </row>
    <row r="1579">
      <c r="A1579" s="10" t="s">
        <v>1414</v>
      </c>
      <c r="B1579" s="3" t="s">
        <v>1415</v>
      </c>
      <c r="C1579" s="10" t="s">
        <v>1453</v>
      </c>
      <c r="D1579" s="3" t="s">
        <v>1454</v>
      </c>
      <c r="E1579" s="4" t="s">
        <v>3</v>
      </c>
      <c r="F1579" s="5" t="s">
        <v>15</v>
      </c>
      <c r="G1579" s="6" t="s">
        <v>1429</v>
      </c>
      <c r="H1579" s="7">
        <v>45257.0</v>
      </c>
      <c r="I1579" s="8">
        <f t="shared" si="1"/>
        <v>27</v>
      </c>
      <c r="J1579" s="9">
        <f t="shared" si="2"/>
        <v>11</v>
      </c>
      <c r="K1579" s="9">
        <f t="shared" si="3"/>
        <v>2023</v>
      </c>
      <c r="M1579" s="25">
        <f>IFERROR(__xludf.DUMMYFUNCTION("""COMPUTED_VALUE"""),45257.0)</f>
        <v>45257</v>
      </c>
    </row>
    <row r="1580">
      <c r="A1580" s="10" t="s">
        <v>1414</v>
      </c>
      <c r="B1580" s="3" t="s">
        <v>1415</v>
      </c>
      <c r="C1580" s="10" t="s">
        <v>1453</v>
      </c>
      <c r="D1580" s="3" t="s">
        <v>1454</v>
      </c>
      <c r="E1580" s="4" t="s">
        <v>3</v>
      </c>
      <c r="F1580" s="5" t="s">
        <v>9</v>
      </c>
      <c r="G1580" s="6" t="s">
        <v>1392</v>
      </c>
      <c r="H1580" s="7">
        <v>45267.0</v>
      </c>
      <c r="I1580" s="8">
        <f t="shared" si="1"/>
        <v>7</v>
      </c>
      <c r="J1580" s="9">
        <f t="shared" si="2"/>
        <v>12</v>
      </c>
      <c r="K1580" s="9">
        <f t="shared" si="3"/>
        <v>2023</v>
      </c>
      <c r="M1580" s="25">
        <f>IFERROR(__xludf.DUMMYFUNCTION("""COMPUTED_VALUE"""),45267.0)</f>
        <v>45267</v>
      </c>
    </row>
    <row r="1581">
      <c r="A1581" s="10" t="s">
        <v>632</v>
      </c>
      <c r="B1581" s="3" t="s">
        <v>1428</v>
      </c>
      <c r="C1581" s="10" t="s">
        <v>1466</v>
      </c>
      <c r="D1581" s="3" t="s">
        <v>1467</v>
      </c>
      <c r="E1581" s="4" t="s">
        <v>3</v>
      </c>
      <c r="F1581" s="5" t="s">
        <v>76</v>
      </c>
      <c r="G1581" s="6" t="s">
        <v>1468</v>
      </c>
      <c r="H1581" s="7">
        <v>44928.0</v>
      </c>
      <c r="I1581" s="8">
        <f t="shared" si="1"/>
        <v>2</v>
      </c>
      <c r="J1581" s="9">
        <f t="shared" si="2"/>
        <v>1</v>
      </c>
      <c r="K1581" s="9">
        <f t="shared" si="3"/>
        <v>2023</v>
      </c>
      <c r="M1581" s="25">
        <f>IFERROR(__xludf.DUMMYFUNCTION("""COMPUTED_VALUE"""),44928.0)</f>
        <v>44928</v>
      </c>
    </row>
    <row r="1582">
      <c r="A1582" s="10" t="s">
        <v>632</v>
      </c>
      <c r="B1582" s="3" t="s">
        <v>1428</v>
      </c>
      <c r="C1582" s="10" t="s">
        <v>1466</v>
      </c>
      <c r="D1582" s="3" t="s">
        <v>1467</v>
      </c>
      <c r="E1582" s="4" t="s">
        <v>3</v>
      </c>
      <c r="F1582" s="5" t="s">
        <v>9</v>
      </c>
      <c r="G1582" s="6" t="s">
        <v>1469</v>
      </c>
      <c r="H1582" s="7">
        <v>44932.0</v>
      </c>
      <c r="I1582" s="8">
        <f t="shared" si="1"/>
        <v>6</v>
      </c>
      <c r="J1582" s="9">
        <f t="shared" si="2"/>
        <v>1</v>
      </c>
      <c r="K1582" s="9">
        <f t="shared" si="3"/>
        <v>2023</v>
      </c>
      <c r="M1582" s="25">
        <f>IFERROR(__xludf.DUMMYFUNCTION("""COMPUTED_VALUE"""),44932.0)</f>
        <v>44932</v>
      </c>
    </row>
    <row r="1583">
      <c r="A1583" s="10" t="s">
        <v>632</v>
      </c>
      <c r="B1583" s="3" t="s">
        <v>1428</v>
      </c>
      <c r="C1583" s="10" t="s">
        <v>1466</v>
      </c>
      <c r="D1583" s="3" t="s">
        <v>1467</v>
      </c>
      <c r="E1583" s="4" t="s">
        <v>8</v>
      </c>
      <c r="F1583" s="5" t="s">
        <v>4</v>
      </c>
      <c r="G1583" s="6" t="s">
        <v>1470</v>
      </c>
      <c r="H1583" s="7">
        <v>44946.0</v>
      </c>
      <c r="I1583" s="8">
        <f t="shared" si="1"/>
        <v>20</v>
      </c>
      <c r="J1583" s="9">
        <f t="shared" si="2"/>
        <v>1</v>
      </c>
      <c r="K1583" s="9">
        <f t="shared" si="3"/>
        <v>2023</v>
      </c>
      <c r="M1583" s="25">
        <f>IFERROR(__xludf.DUMMYFUNCTION("""COMPUTED_VALUE"""),44946.0)</f>
        <v>44946</v>
      </c>
    </row>
    <row r="1584">
      <c r="A1584" s="10" t="s">
        <v>632</v>
      </c>
      <c r="B1584" s="3" t="s">
        <v>1428</v>
      </c>
      <c r="C1584" s="10" t="s">
        <v>1466</v>
      </c>
      <c r="D1584" s="3" t="s">
        <v>1467</v>
      </c>
      <c r="E1584" s="4" t="s">
        <v>3</v>
      </c>
      <c r="F1584" s="5" t="s">
        <v>9</v>
      </c>
      <c r="G1584" s="6" t="s">
        <v>1471</v>
      </c>
      <c r="H1584" s="7">
        <v>44964.0</v>
      </c>
      <c r="I1584" s="8">
        <f t="shared" si="1"/>
        <v>7</v>
      </c>
      <c r="J1584" s="9">
        <f t="shared" si="2"/>
        <v>2</v>
      </c>
      <c r="K1584" s="9">
        <f t="shared" si="3"/>
        <v>2023</v>
      </c>
      <c r="M1584" s="25">
        <f>IFERROR(__xludf.DUMMYFUNCTION("""COMPUTED_VALUE"""),44964.0)</f>
        <v>44964</v>
      </c>
    </row>
    <row r="1585">
      <c r="A1585" s="10" t="s">
        <v>632</v>
      </c>
      <c r="B1585" s="3" t="s">
        <v>1428</v>
      </c>
      <c r="C1585" s="10" t="s">
        <v>1466</v>
      </c>
      <c r="D1585" s="3" t="s">
        <v>1467</v>
      </c>
      <c r="E1585" s="4" t="s">
        <v>3</v>
      </c>
      <c r="F1585" s="5" t="s">
        <v>15</v>
      </c>
      <c r="G1585" s="6" t="s">
        <v>615</v>
      </c>
      <c r="H1585" s="7">
        <v>44978.0</v>
      </c>
      <c r="I1585" s="8">
        <f t="shared" si="1"/>
        <v>21</v>
      </c>
      <c r="J1585" s="9">
        <f t="shared" si="2"/>
        <v>2</v>
      </c>
      <c r="K1585" s="9">
        <f t="shared" si="3"/>
        <v>2023</v>
      </c>
      <c r="M1585" s="25">
        <f>IFERROR(__xludf.DUMMYFUNCTION("""COMPUTED_VALUE"""),44978.0)</f>
        <v>44978</v>
      </c>
    </row>
    <row r="1586">
      <c r="A1586" s="10" t="s">
        <v>632</v>
      </c>
      <c r="B1586" s="3" t="s">
        <v>1428</v>
      </c>
      <c r="C1586" s="10" t="s">
        <v>1466</v>
      </c>
      <c r="D1586" s="3" t="s">
        <v>1467</v>
      </c>
      <c r="E1586" s="4" t="s">
        <v>8</v>
      </c>
      <c r="F1586" s="5" t="s">
        <v>120</v>
      </c>
      <c r="G1586" s="6" t="s">
        <v>1472</v>
      </c>
      <c r="H1586" s="7">
        <v>44985.0</v>
      </c>
      <c r="I1586" s="8">
        <f t="shared" si="1"/>
        <v>28</v>
      </c>
      <c r="J1586" s="9">
        <f t="shared" si="2"/>
        <v>2</v>
      </c>
      <c r="K1586" s="9">
        <f t="shared" si="3"/>
        <v>2023</v>
      </c>
      <c r="M1586" s="25">
        <f>IFERROR(__xludf.DUMMYFUNCTION("""COMPUTED_VALUE"""),44985.0)</f>
        <v>44985</v>
      </c>
    </row>
    <row r="1587">
      <c r="A1587" s="10" t="s">
        <v>632</v>
      </c>
      <c r="B1587" s="3" t="s">
        <v>1428</v>
      </c>
      <c r="C1587" s="10" t="s">
        <v>1466</v>
      </c>
      <c r="D1587" s="3" t="s">
        <v>1467</v>
      </c>
      <c r="E1587" s="4" t="s">
        <v>3</v>
      </c>
      <c r="F1587" s="5" t="s">
        <v>17</v>
      </c>
      <c r="G1587" s="6" t="s">
        <v>1473</v>
      </c>
      <c r="H1587" s="7">
        <v>45030.0</v>
      </c>
      <c r="I1587" s="8">
        <f t="shared" si="1"/>
        <v>14</v>
      </c>
      <c r="J1587" s="9">
        <f t="shared" si="2"/>
        <v>4</v>
      </c>
      <c r="K1587" s="9">
        <f t="shared" si="3"/>
        <v>2023</v>
      </c>
      <c r="M1587" s="25">
        <f>IFERROR(__xludf.DUMMYFUNCTION("""COMPUTED_VALUE"""),45030.0)</f>
        <v>45030</v>
      </c>
    </row>
    <row r="1588">
      <c r="A1588" s="10" t="s">
        <v>632</v>
      </c>
      <c r="B1588" s="3" t="s">
        <v>1428</v>
      </c>
      <c r="C1588" s="10" t="s">
        <v>1466</v>
      </c>
      <c r="D1588" s="3" t="s">
        <v>1467</v>
      </c>
      <c r="E1588" s="4" t="s">
        <v>3</v>
      </c>
      <c r="F1588" s="5" t="s">
        <v>21</v>
      </c>
      <c r="G1588" s="6" t="s">
        <v>1474</v>
      </c>
      <c r="H1588" s="7">
        <v>45037.0</v>
      </c>
      <c r="I1588" s="8">
        <f t="shared" si="1"/>
        <v>21</v>
      </c>
      <c r="J1588" s="9">
        <f t="shared" si="2"/>
        <v>4</v>
      </c>
      <c r="K1588" s="9">
        <f t="shared" si="3"/>
        <v>2023</v>
      </c>
      <c r="M1588" s="25">
        <f>IFERROR(__xludf.DUMMYFUNCTION("""COMPUTED_VALUE"""),45037.0)</f>
        <v>45037</v>
      </c>
    </row>
    <row r="1589">
      <c r="A1589" s="10" t="s">
        <v>632</v>
      </c>
      <c r="B1589" s="3" t="s">
        <v>1428</v>
      </c>
      <c r="C1589" s="10" t="s">
        <v>1466</v>
      </c>
      <c r="D1589" s="3" t="s">
        <v>1467</v>
      </c>
      <c r="E1589" s="4" t="s">
        <v>8</v>
      </c>
      <c r="F1589" s="5" t="s">
        <v>13</v>
      </c>
      <c r="G1589" s="6" t="s">
        <v>1475</v>
      </c>
      <c r="H1589" s="7">
        <v>45050.0</v>
      </c>
      <c r="I1589" s="8">
        <f t="shared" si="1"/>
        <v>4</v>
      </c>
      <c r="J1589" s="9">
        <f t="shared" si="2"/>
        <v>5</v>
      </c>
      <c r="K1589" s="9">
        <f t="shared" si="3"/>
        <v>2023</v>
      </c>
      <c r="M1589" s="25">
        <f>IFERROR(__xludf.DUMMYFUNCTION("""COMPUTED_VALUE"""),45050.0)</f>
        <v>45050</v>
      </c>
    </row>
    <row r="1590">
      <c r="A1590" s="10" t="s">
        <v>632</v>
      </c>
      <c r="B1590" s="3" t="s">
        <v>1428</v>
      </c>
      <c r="C1590" s="10" t="s">
        <v>1466</v>
      </c>
      <c r="D1590" s="3" t="s">
        <v>1467</v>
      </c>
      <c r="E1590" s="4" t="s">
        <v>3</v>
      </c>
      <c r="F1590" s="5" t="s">
        <v>45</v>
      </c>
      <c r="G1590" s="6" t="s">
        <v>1476</v>
      </c>
      <c r="H1590" s="7">
        <v>45072.0</v>
      </c>
      <c r="I1590" s="8">
        <f t="shared" si="1"/>
        <v>26</v>
      </c>
      <c r="J1590" s="9">
        <f t="shared" si="2"/>
        <v>5</v>
      </c>
      <c r="K1590" s="9">
        <f t="shared" si="3"/>
        <v>2023</v>
      </c>
      <c r="M1590" s="25">
        <f>IFERROR(__xludf.DUMMYFUNCTION("""COMPUTED_VALUE"""),45072.0)</f>
        <v>45072</v>
      </c>
    </row>
    <row r="1591">
      <c r="A1591" s="10" t="s">
        <v>632</v>
      </c>
      <c r="B1591" s="3" t="s">
        <v>1428</v>
      </c>
      <c r="C1591" s="10" t="s">
        <v>1466</v>
      </c>
      <c r="D1591" s="3" t="s">
        <v>1467</v>
      </c>
      <c r="E1591" s="4" t="s">
        <v>3</v>
      </c>
      <c r="F1591" s="5" t="s">
        <v>28</v>
      </c>
      <c r="G1591" s="6" t="s">
        <v>1477</v>
      </c>
      <c r="H1591" s="7">
        <v>45082.0</v>
      </c>
      <c r="I1591" s="8">
        <f t="shared" si="1"/>
        <v>5</v>
      </c>
      <c r="J1591" s="9">
        <f t="shared" si="2"/>
        <v>6</v>
      </c>
      <c r="K1591" s="9">
        <f t="shared" si="3"/>
        <v>2023</v>
      </c>
      <c r="M1591" s="25">
        <f>IFERROR(__xludf.DUMMYFUNCTION("""COMPUTED_VALUE"""),45082.0)</f>
        <v>45082</v>
      </c>
    </row>
    <row r="1592">
      <c r="A1592" s="10" t="s">
        <v>632</v>
      </c>
      <c r="B1592" s="3" t="s">
        <v>1428</v>
      </c>
      <c r="C1592" s="10" t="s">
        <v>1466</v>
      </c>
      <c r="D1592" s="3" t="s">
        <v>1467</v>
      </c>
      <c r="E1592" s="4" t="s">
        <v>8</v>
      </c>
      <c r="F1592" s="5" t="s">
        <v>120</v>
      </c>
      <c r="G1592" s="6" t="s">
        <v>1478</v>
      </c>
      <c r="H1592" s="7">
        <v>45130.0</v>
      </c>
      <c r="I1592" s="8">
        <f t="shared" si="1"/>
        <v>23</v>
      </c>
      <c r="J1592" s="9">
        <f t="shared" si="2"/>
        <v>7</v>
      </c>
      <c r="K1592" s="9">
        <f t="shared" si="3"/>
        <v>2023</v>
      </c>
      <c r="M1592" s="25">
        <f>IFERROR(__xludf.DUMMYFUNCTION("""COMPUTED_VALUE"""),45130.0)</f>
        <v>45130</v>
      </c>
    </row>
    <row r="1593">
      <c r="A1593" s="10" t="s">
        <v>632</v>
      </c>
      <c r="B1593" s="3" t="s">
        <v>1428</v>
      </c>
      <c r="C1593" s="10" t="s">
        <v>1466</v>
      </c>
      <c r="D1593" s="3" t="s">
        <v>1467</v>
      </c>
      <c r="E1593" s="4" t="s">
        <v>3</v>
      </c>
      <c r="F1593" s="5" t="s">
        <v>13</v>
      </c>
      <c r="G1593" s="6" t="s">
        <v>1479</v>
      </c>
      <c r="H1593" s="7">
        <v>45145.0</v>
      </c>
      <c r="I1593" s="8">
        <f t="shared" si="1"/>
        <v>7</v>
      </c>
      <c r="J1593" s="9">
        <f t="shared" si="2"/>
        <v>8</v>
      </c>
      <c r="K1593" s="9">
        <f t="shared" si="3"/>
        <v>2023</v>
      </c>
      <c r="M1593" s="25">
        <f>IFERROR(__xludf.DUMMYFUNCTION("""COMPUTED_VALUE"""),45145.0)</f>
        <v>45145</v>
      </c>
    </row>
    <row r="1594">
      <c r="A1594" s="10" t="s">
        <v>632</v>
      </c>
      <c r="B1594" s="3" t="s">
        <v>1428</v>
      </c>
      <c r="C1594" s="10" t="s">
        <v>1466</v>
      </c>
      <c r="D1594" s="3" t="s">
        <v>1467</v>
      </c>
      <c r="E1594" s="4" t="s">
        <v>8</v>
      </c>
      <c r="F1594" s="5" t="s">
        <v>13</v>
      </c>
      <c r="G1594" s="6" t="s">
        <v>1480</v>
      </c>
      <c r="H1594" s="7">
        <v>45148.0</v>
      </c>
      <c r="I1594" s="8">
        <f t="shared" si="1"/>
        <v>10</v>
      </c>
      <c r="J1594" s="9">
        <f t="shared" si="2"/>
        <v>8</v>
      </c>
      <c r="K1594" s="9">
        <f t="shared" si="3"/>
        <v>2023</v>
      </c>
      <c r="M1594" s="25">
        <f>IFERROR(__xludf.DUMMYFUNCTION("""COMPUTED_VALUE"""),45148.0)</f>
        <v>45148</v>
      </c>
    </row>
    <row r="1595">
      <c r="A1595" s="10" t="s">
        <v>632</v>
      </c>
      <c r="B1595" s="3" t="s">
        <v>1428</v>
      </c>
      <c r="C1595" s="10" t="s">
        <v>1466</v>
      </c>
      <c r="D1595" s="3" t="s">
        <v>1467</v>
      </c>
      <c r="E1595" s="4" t="s">
        <v>3</v>
      </c>
      <c r="F1595" s="5" t="s">
        <v>19</v>
      </c>
      <c r="G1595" s="6" t="s">
        <v>1481</v>
      </c>
      <c r="H1595" s="7">
        <v>45219.0</v>
      </c>
      <c r="I1595" s="8">
        <f t="shared" si="1"/>
        <v>20</v>
      </c>
      <c r="J1595" s="9">
        <f t="shared" si="2"/>
        <v>10</v>
      </c>
      <c r="K1595" s="9">
        <f t="shared" si="3"/>
        <v>2023</v>
      </c>
      <c r="M1595" s="25">
        <f>IFERROR(__xludf.DUMMYFUNCTION("""COMPUTED_VALUE"""),45219.0)</f>
        <v>45219</v>
      </c>
    </row>
    <row r="1596">
      <c r="A1596" s="10" t="s">
        <v>632</v>
      </c>
      <c r="B1596" s="3" t="s">
        <v>1428</v>
      </c>
      <c r="C1596" s="10" t="s">
        <v>1466</v>
      </c>
      <c r="D1596" s="3" t="s">
        <v>1467</v>
      </c>
      <c r="E1596" s="4" t="s">
        <v>3</v>
      </c>
      <c r="F1596" s="5" t="s">
        <v>42</v>
      </c>
      <c r="G1596" s="6" t="s">
        <v>105</v>
      </c>
      <c r="H1596" s="7">
        <v>45238.0</v>
      </c>
      <c r="I1596" s="8">
        <f t="shared" si="1"/>
        <v>8</v>
      </c>
      <c r="J1596" s="9">
        <f t="shared" si="2"/>
        <v>11</v>
      </c>
      <c r="K1596" s="9">
        <f t="shared" si="3"/>
        <v>2023</v>
      </c>
      <c r="M1596" s="25">
        <f>IFERROR(__xludf.DUMMYFUNCTION("""COMPUTED_VALUE"""),45238.0)</f>
        <v>45238</v>
      </c>
    </row>
    <row r="1597">
      <c r="A1597" s="10" t="s">
        <v>632</v>
      </c>
      <c r="B1597" s="3" t="s">
        <v>1428</v>
      </c>
      <c r="C1597" s="10" t="s">
        <v>1466</v>
      </c>
      <c r="D1597" s="3" t="s">
        <v>1467</v>
      </c>
      <c r="E1597" s="4" t="s">
        <v>3</v>
      </c>
      <c r="F1597" s="5" t="s">
        <v>51</v>
      </c>
      <c r="G1597" s="6" t="s">
        <v>1482</v>
      </c>
      <c r="H1597" s="7">
        <v>45240.0</v>
      </c>
      <c r="I1597" s="8">
        <f t="shared" si="1"/>
        <v>10</v>
      </c>
      <c r="J1597" s="9">
        <f t="shared" si="2"/>
        <v>11</v>
      </c>
      <c r="K1597" s="9">
        <f t="shared" si="3"/>
        <v>2023</v>
      </c>
      <c r="M1597" s="25">
        <f>IFERROR(__xludf.DUMMYFUNCTION("""COMPUTED_VALUE"""),45240.0)</f>
        <v>45240</v>
      </c>
    </row>
    <row r="1598">
      <c r="A1598" s="10" t="s">
        <v>632</v>
      </c>
      <c r="B1598" s="3" t="s">
        <v>1428</v>
      </c>
      <c r="C1598" s="10" t="s">
        <v>1466</v>
      </c>
      <c r="D1598" s="3" t="s">
        <v>1467</v>
      </c>
      <c r="E1598" s="4" t="s">
        <v>8</v>
      </c>
      <c r="F1598" s="5" t="s">
        <v>6</v>
      </c>
      <c r="G1598" s="6" t="s">
        <v>474</v>
      </c>
      <c r="H1598" s="7">
        <v>45240.0</v>
      </c>
      <c r="I1598" s="8">
        <f t="shared" si="1"/>
        <v>10</v>
      </c>
      <c r="J1598" s="9">
        <f t="shared" si="2"/>
        <v>11</v>
      </c>
      <c r="K1598" s="9">
        <f t="shared" si="3"/>
        <v>2023</v>
      </c>
      <c r="M1598" s="25">
        <f>IFERROR(__xludf.DUMMYFUNCTION("""COMPUTED_VALUE"""),45240.0)</f>
        <v>45240</v>
      </c>
    </row>
    <row r="1599">
      <c r="A1599" s="10" t="s">
        <v>632</v>
      </c>
      <c r="B1599" s="3" t="s">
        <v>1428</v>
      </c>
      <c r="C1599" s="10" t="s">
        <v>1466</v>
      </c>
      <c r="D1599" s="3" t="s">
        <v>1467</v>
      </c>
      <c r="E1599" s="4" t="s">
        <v>3</v>
      </c>
      <c r="F1599" s="5" t="s">
        <v>120</v>
      </c>
      <c r="G1599" s="6" t="s">
        <v>74</v>
      </c>
      <c r="H1599" s="7">
        <v>45248.0</v>
      </c>
      <c r="I1599" s="8">
        <f t="shared" si="1"/>
        <v>18</v>
      </c>
      <c r="J1599" s="9">
        <f t="shared" si="2"/>
        <v>11</v>
      </c>
      <c r="K1599" s="9">
        <f t="shared" si="3"/>
        <v>2023</v>
      </c>
      <c r="M1599" s="25">
        <f>IFERROR(__xludf.DUMMYFUNCTION("""COMPUTED_VALUE"""),45248.0)</f>
        <v>45248</v>
      </c>
    </row>
    <row r="1600">
      <c r="A1600" s="10" t="s">
        <v>632</v>
      </c>
      <c r="B1600" s="3" t="s">
        <v>1428</v>
      </c>
      <c r="C1600" s="10" t="s">
        <v>1466</v>
      </c>
      <c r="D1600" s="3" t="s">
        <v>1467</v>
      </c>
      <c r="E1600" s="4" t="s">
        <v>3</v>
      </c>
      <c r="F1600" s="5" t="s">
        <v>19</v>
      </c>
      <c r="G1600" s="6" t="s">
        <v>615</v>
      </c>
      <c r="H1600" s="7">
        <v>45263.0</v>
      </c>
      <c r="I1600" s="8">
        <f t="shared" si="1"/>
        <v>3</v>
      </c>
      <c r="J1600" s="9">
        <f t="shared" si="2"/>
        <v>12</v>
      </c>
      <c r="K1600" s="9">
        <f t="shared" si="3"/>
        <v>2023</v>
      </c>
      <c r="M1600" s="25">
        <f>IFERROR(__xludf.DUMMYFUNCTION("""COMPUTED_VALUE"""),45263.0)</f>
        <v>45263</v>
      </c>
    </row>
    <row r="1601">
      <c r="A1601" s="10" t="s">
        <v>1443</v>
      </c>
      <c r="B1601" s="3" t="s">
        <v>1444</v>
      </c>
      <c r="C1601" s="10" t="s">
        <v>1483</v>
      </c>
      <c r="D1601" s="3" t="s">
        <v>1484</v>
      </c>
      <c r="E1601" s="4" t="s">
        <v>3</v>
      </c>
      <c r="F1601" s="5" t="s">
        <v>39</v>
      </c>
      <c r="G1601" s="6" t="s">
        <v>1485</v>
      </c>
      <c r="H1601" s="7">
        <v>44928.0</v>
      </c>
      <c r="I1601" s="8">
        <f t="shared" si="1"/>
        <v>2</v>
      </c>
      <c r="J1601" s="9">
        <f t="shared" si="2"/>
        <v>1</v>
      </c>
      <c r="K1601" s="9">
        <f t="shared" si="3"/>
        <v>2023</v>
      </c>
      <c r="M1601" s="25">
        <f>IFERROR(__xludf.DUMMYFUNCTION("""COMPUTED_VALUE"""),44928.0)</f>
        <v>44928</v>
      </c>
    </row>
    <row r="1602">
      <c r="A1602" s="10" t="s">
        <v>1443</v>
      </c>
      <c r="B1602" s="3" t="s">
        <v>1444</v>
      </c>
      <c r="C1602" s="10" t="s">
        <v>1483</v>
      </c>
      <c r="D1602" s="3" t="s">
        <v>1484</v>
      </c>
      <c r="E1602" s="4" t="s">
        <v>8</v>
      </c>
      <c r="F1602" s="5" t="s">
        <v>42</v>
      </c>
      <c r="G1602" s="6" t="s">
        <v>1014</v>
      </c>
      <c r="H1602" s="7">
        <v>44935.0</v>
      </c>
      <c r="I1602" s="8">
        <f t="shared" si="1"/>
        <v>9</v>
      </c>
      <c r="J1602" s="9">
        <f t="shared" si="2"/>
        <v>1</v>
      </c>
      <c r="K1602" s="9">
        <f t="shared" si="3"/>
        <v>2023</v>
      </c>
      <c r="M1602" s="25">
        <f>IFERROR(__xludf.DUMMYFUNCTION("""COMPUTED_VALUE"""),44935.0)</f>
        <v>44935</v>
      </c>
    </row>
    <row r="1603">
      <c r="A1603" s="10" t="s">
        <v>1443</v>
      </c>
      <c r="B1603" s="3" t="s">
        <v>1444</v>
      </c>
      <c r="C1603" s="10" t="s">
        <v>1483</v>
      </c>
      <c r="D1603" s="3" t="s">
        <v>1484</v>
      </c>
      <c r="E1603" s="4" t="s">
        <v>3</v>
      </c>
      <c r="F1603" s="5" t="s">
        <v>13</v>
      </c>
      <c r="G1603" s="6" t="s">
        <v>1393</v>
      </c>
      <c r="H1603" s="7">
        <v>44997.0</v>
      </c>
      <c r="I1603" s="8">
        <f t="shared" si="1"/>
        <v>12</v>
      </c>
      <c r="J1603" s="9">
        <f t="shared" si="2"/>
        <v>3</v>
      </c>
      <c r="K1603" s="9">
        <f t="shared" si="3"/>
        <v>2023</v>
      </c>
      <c r="M1603" s="25">
        <f>IFERROR(__xludf.DUMMYFUNCTION("""COMPUTED_VALUE"""),44997.0)</f>
        <v>44997</v>
      </c>
    </row>
    <row r="1604">
      <c r="A1604" s="10" t="s">
        <v>1443</v>
      </c>
      <c r="B1604" s="3" t="s">
        <v>1444</v>
      </c>
      <c r="C1604" s="10" t="s">
        <v>1483</v>
      </c>
      <c r="D1604" s="3" t="s">
        <v>1484</v>
      </c>
      <c r="E1604" s="4" t="s">
        <v>3</v>
      </c>
      <c r="F1604" s="5" t="s">
        <v>9</v>
      </c>
      <c r="G1604" s="6" t="s">
        <v>1486</v>
      </c>
      <c r="H1604" s="7">
        <v>45012.0</v>
      </c>
      <c r="I1604" s="8">
        <f t="shared" si="1"/>
        <v>27</v>
      </c>
      <c r="J1604" s="9">
        <f t="shared" si="2"/>
        <v>3</v>
      </c>
      <c r="K1604" s="9">
        <f t="shared" si="3"/>
        <v>2023</v>
      </c>
      <c r="M1604" s="25">
        <f>IFERROR(__xludf.DUMMYFUNCTION("""COMPUTED_VALUE"""),45012.0)</f>
        <v>45012</v>
      </c>
    </row>
    <row r="1605">
      <c r="A1605" s="10" t="s">
        <v>1443</v>
      </c>
      <c r="B1605" s="3" t="s">
        <v>1444</v>
      </c>
      <c r="C1605" s="10" t="s">
        <v>1483</v>
      </c>
      <c r="D1605" s="3" t="s">
        <v>1484</v>
      </c>
      <c r="E1605" s="4" t="s">
        <v>8</v>
      </c>
      <c r="F1605" s="5" t="s">
        <v>9</v>
      </c>
      <c r="G1605" s="6" t="s">
        <v>1487</v>
      </c>
      <c r="H1605" s="7">
        <v>45028.0</v>
      </c>
      <c r="I1605" s="8">
        <f t="shared" si="1"/>
        <v>12</v>
      </c>
      <c r="J1605" s="9">
        <f t="shared" si="2"/>
        <v>4</v>
      </c>
      <c r="K1605" s="9">
        <f t="shared" si="3"/>
        <v>2023</v>
      </c>
      <c r="M1605" s="25">
        <f>IFERROR(__xludf.DUMMYFUNCTION("""COMPUTED_VALUE"""),45028.0)</f>
        <v>45028</v>
      </c>
    </row>
    <row r="1606">
      <c r="A1606" s="10" t="s">
        <v>1443</v>
      </c>
      <c r="B1606" s="3" t="s">
        <v>1444</v>
      </c>
      <c r="C1606" s="10" t="s">
        <v>1483</v>
      </c>
      <c r="D1606" s="3" t="s">
        <v>1484</v>
      </c>
      <c r="E1606" s="4" t="s">
        <v>3</v>
      </c>
      <c r="F1606" s="5" t="s">
        <v>28</v>
      </c>
      <c r="G1606" s="6" t="s">
        <v>771</v>
      </c>
      <c r="H1606" s="7">
        <v>45035.0</v>
      </c>
      <c r="I1606" s="8">
        <f t="shared" si="1"/>
        <v>19</v>
      </c>
      <c r="J1606" s="9">
        <f t="shared" si="2"/>
        <v>4</v>
      </c>
      <c r="K1606" s="9">
        <f t="shared" si="3"/>
        <v>2023</v>
      </c>
      <c r="M1606" s="25">
        <f>IFERROR(__xludf.DUMMYFUNCTION("""COMPUTED_VALUE"""),45035.0)</f>
        <v>45035</v>
      </c>
    </row>
    <row r="1607">
      <c r="A1607" s="10" t="s">
        <v>1443</v>
      </c>
      <c r="B1607" s="3" t="s">
        <v>1444</v>
      </c>
      <c r="C1607" s="10" t="s">
        <v>1483</v>
      </c>
      <c r="D1607" s="3" t="s">
        <v>1484</v>
      </c>
      <c r="E1607" s="4" t="s">
        <v>3</v>
      </c>
      <c r="F1607" s="5" t="s">
        <v>45</v>
      </c>
      <c r="G1607" s="6" t="s">
        <v>1488</v>
      </c>
      <c r="H1607" s="7">
        <v>45072.0</v>
      </c>
      <c r="I1607" s="8">
        <f t="shared" si="1"/>
        <v>26</v>
      </c>
      <c r="J1607" s="9">
        <f t="shared" si="2"/>
        <v>5</v>
      </c>
      <c r="K1607" s="9">
        <f t="shared" si="3"/>
        <v>2023</v>
      </c>
      <c r="M1607" s="25">
        <f>IFERROR(__xludf.DUMMYFUNCTION("""COMPUTED_VALUE"""),45072.0)</f>
        <v>45072</v>
      </c>
    </row>
    <row r="1608">
      <c r="A1608" s="10" t="s">
        <v>1443</v>
      </c>
      <c r="B1608" s="3" t="s">
        <v>1444</v>
      </c>
      <c r="C1608" s="10" t="s">
        <v>1483</v>
      </c>
      <c r="D1608" s="3" t="s">
        <v>1484</v>
      </c>
      <c r="E1608" s="4" t="s">
        <v>3</v>
      </c>
      <c r="F1608" s="5" t="s">
        <v>76</v>
      </c>
      <c r="G1608" s="6" t="s">
        <v>1489</v>
      </c>
      <c r="H1608" s="7">
        <v>45089.0</v>
      </c>
      <c r="I1608" s="8">
        <f t="shared" si="1"/>
        <v>12</v>
      </c>
      <c r="J1608" s="9">
        <f t="shared" si="2"/>
        <v>6</v>
      </c>
      <c r="K1608" s="9">
        <f t="shared" si="3"/>
        <v>2023</v>
      </c>
      <c r="M1608" s="25">
        <f>IFERROR(__xludf.DUMMYFUNCTION("""COMPUTED_VALUE"""),45089.0)</f>
        <v>45089</v>
      </c>
    </row>
    <row r="1609">
      <c r="A1609" s="10" t="s">
        <v>1443</v>
      </c>
      <c r="B1609" s="3" t="s">
        <v>1444</v>
      </c>
      <c r="C1609" s="10" t="s">
        <v>1483</v>
      </c>
      <c r="D1609" s="3" t="s">
        <v>1484</v>
      </c>
      <c r="E1609" s="4" t="s">
        <v>8</v>
      </c>
      <c r="F1609" s="5" t="s">
        <v>9</v>
      </c>
      <c r="G1609" s="6" t="s">
        <v>1291</v>
      </c>
      <c r="H1609" s="7">
        <v>45110.0</v>
      </c>
      <c r="I1609" s="8">
        <f t="shared" si="1"/>
        <v>3</v>
      </c>
      <c r="J1609" s="9">
        <f t="shared" si="2"/>
        <v>7</v>
      </c>
      <c r="K1609" s="9">
        <f t="shared" si="3"/>
        <v>2023</v>
      </c>
      <c r="M1609" s="25">
        <f>IFERROR(__xludf.DUMMYFUNCTION("""COMPUTED_VALUE"""),45110.0)</f>
        <v>45110</v>
      </c>
    </row>
    <row r="1610">
      <c r="A1610" s="10" t="s">
        <v>1443</v>
      </c>
      <c r="B1610" s="3" t="s">
        <v>1444</v>
      </c>
      <c r="C1610" s="10" t="s">
        <v>1483</v>
      </c>
      <c r="D1610" s="3" t="s">
        <v>1484</v>
      </c>
      <c r="E1610" s="4" t="s">
        <v>8</v>
      </c>
      <c r="F1610" s="5" t="s">
        <v>51</v>
      </c>
      <c r="G1610" s="6" t="s">
        <v>1490</v>
      </c>
      <c r="H1610" s="7">
        <v>45122.0</v>
      </c>
      <c r="I1610" s="8">
        <f t="shared" si="1"/>
        <v>15</v>
      </c>
      <c r="J1610" s="9">
        <f t="shared" si="2"/>
        <v>7</v>
      </c>
      <c r="K1610" s="9">
        <f t="shared" si="3"/>
        <v>2023</v>
      </c>
      <c r="M1610" s="25">
        <f>IFERROR(__xludf.DUMMYFUNCTION("""COMPUTED_VALUE"""),45122.0)</f>
        <v>45122</v>
      </c>
    </row>
    <row r="1611">
      <c r="A1611" s="10" t="s">
        <v>1443</v>
      </c>
      <c r="B1611" s="3" t="s">
        <v>1444</v>
      </c>
      <c r="C1611" s="10" t="s">
        <v>1483</v>
      </c>
      <c r="D1611" s="3" t="s">
        <v>1484</v>
      </c>
      <c r="E1611" s="4" t="s">
        <v>3</v>
      </c>
      <c r="F1611" s="5" t="s">
        <v>28</v>
      </c>
      <c r="G1611" s="6" t="s">
        <v>753</v>
      </c>
      <c r="H1611" s="7">
        <v>45134.0</v>
      </c>
      <c r="I1611" s="8">
        <f t="shared" si="1"/>
        <v>27</v>
      </c>
      <c r="J1611" s="9">
        <f t="shared" si="2"/>
        <v>7</v>
      </c>
      <c r="K1611" s="9">
        <f t="shared" si="3"/>
        <v>2023</v>
      </c>
      <c r="M1611" s="25">
        <f>IFERROR(__xludf.DUMMYFUNCTION("""COMPUTED_VALUE"""),45134.0)</f>
        <v>45134</v>
      </c>
    </row>
    <row r="1612">
      <c r="A1612" s="10" t="s">
        <v>1443</v>
      </c>
      <c r="B1612" s="3" t="s">
        <v>1444</v>
      </c>
      <c r="C1612" s="10" t="s">
        <v>1483</v>
      </c>
      <c r="D1612" s="3" t="s">
        <v>1484</v>
      </c>
      <c r="E1612" s="4" t="s">
        <v>3</v>
      </c>
      <c r="F1612" s="5" t="s">
        <v>39</v>
      </c>
      <c r="G1612" s="6" t="s">
        <v>1491</v>
      </c>
      <c r="H1612" s="7">
        <v>45135.0</v>
      </c>
      <c r="I1612" s="8">
        <f t="shared" si="1"/>
        <v>28</v>
      </c>
      <c r="J1612" s="9">
        <f t="shared" si="2"/>
        <v>7</v>
      </c>
      <c r="K1612" s="9">
        <f t="shared" si="3"/>
        <v>2023</v>
      </c>
      <c r="M1612" s="25">
        <f>IFERROR(__xludf.DUMMYFUNCTION("""COMPUTED_VALUE"""),45135.0)</f>
        <v>45135</v>
      </c>
    </row>
    <row r="1613">
      <c r="A1613" s="10" t="s">
        <v>1443</v>
      </c>
      <c r="B1613" s="3" t="s">
        <v>1444</v>
      </c>
      <c r="C1613" s="10" t="s">
        <v>1483</v>
      </c>
      <c r="D1613" s="3" t="s">
        <v>1484</v>
      </c>
      <c r="E1613" s="4" t="s">
        <v>3</v>
      </c>
      <c r="F1613" s="5" t="s">
        <v>23</v>
      </c>
      <c r="G1613" s="6" t="s">
        <v>1492</v>
      </c>
      <c r="H1613" s="7">
        <v>45166.0</v>
      </c>
      <c r="I1613" s="8">
        <f t="shared" si="1"/>
        <v>28</v>
      </c>
      <c r="J1613" s="9">
        <f t="shared" si="2"/>
        <v>8</v>
      </c>
      <c r="K1613" s="9">
        <f t="shared" si="3"/>
        <v>2023</v>
      </c>
      <c r="M1613" s="25">
        <f>IFERROR(__xludf.DUMMYFUNCTION("""COMPUTED_VALUE"""),45166.0)</f>
        <v>45166</v>
      </c>
    </row>
    <row r="1614">
      <c r="A1614" s="10" t="s">
        <v>1443</v>
      </c>
      <c r="B1614" s="3" t="s">
        <v>1444</v>
      </c>
      <c r="C1614" s="10" t="s">
        <v>1483</v>
      </c>
      <c r="D1614" s="3" t="s">
        <v>1484</v>
      </c>
      <c r="E1614" s="4" t="s">
        <v>3</v>
      </c>
      <c r="F1614" s="5" t="s">
        <v>45</v>
      </c>
      <c r="G1614" s="6" t="s">
        <v>1493</v>
      </c>
      <c r="H1614" s="7">
        <v>45195.0</v>
      </c>
      <c r="I1614" s="8">
        <f t="shared" si="1"/>
        <v>26</v>
      </c>
      <c r="J1614" s="9">
        <f t="shared" si="2"/>
        <v>9</v>
      </c>
      <c r="K1614" s="9">
        <f t="shared" si="3"/>
        <v>2023</v>
      </c>
      <c r="M1614" s="25">
        <f>IFERROR(__xludf.DUMMYFUNCTION("""COMPUTED_VALUE"""),45195.0)</f>
        <v>45195</v>
      </c>
    </row>
    <row r="1615">
      <c r="A1615" s="10" t="s">
        <v>1443</v>
      </c>
      <c r="B1615" s="3" t="s">
        <v>1444</v>
      </c>
      <c r="C1615" s="10" t="s">
        <v>1483</v>
      </c>
      <c r="D1615" s="3" t="s">
        <v>1484</v>
      </c>
      <c r="E1615" s="4" t="s">
        <v>3</v>
      </c>
      <c r="F1615" s="5" t="s">
        <v>71</v>
      </c>
      <c r="G1615" s="6" t="s">
        <v>1494</v>
      </c>
      <c r="H1615" s="7">
        <v>45196.0</v>
      </c>
      <c r="I1615" s="8">
        <f t="shared" si="1"/>
        <v>27</v>
      </c>
      <c r="J1615" s="9">
        <f t="shared" si="2"/>
        <v>9</v>
      </c>
      <c r="K1615" s="9">
        <f t="shared" si="3"/>
        <v>2023</v>
      </c>
      <c r="M1615" s="25">
        <f>IFERROR(__xludf.DUMMYFUNCTION("""COMPUTED_VALUE"""),45196.0)</f>
        <v>45196</v>
      </c>
    </row>
    <row r="1616">
      <c r="A1616" s="10" t="s">
        <v>1443</v>
      </c>
      <c r="B1616" s="3" t="s">
        <v>1444</v>
      </c>
      <c r="C1616" s="10" t="s">
        <v>1483</v>
      </c>
      <c r="D1616" s="3" t="s">
        <v>1484</v>
      </c>
      <c r="E1616" s="4" t="s">
        <v>8</v>
      </c>
      <c r="F1616" s="5" t="s">
        <v>42</v>
      </c>
      <c r="G1616" s="6" t="s">
        <v>951</v>
      </c>
      <c r="H1616" s="7">
        <v>45217.0</v>
      </c>
      <c r="I1616" s="8">
        <f t="shared" si="1"/>
        <v>18</v>
      </c>
      <c r="J1616" s="9">
        <f t="shared" si="2"/>
        <v>10</v>
      </c>
      <c r="K1616" s="9">
        <f t="shared" si="3"/>
        <v>2023</v>
      </c>
      <c r="M1616" s="25">
        <f>IFERROR(__xludf.DUMMYFUNCTION("""COMPUTED_VALUE"""),45217.0)</f>
        <v>45217</v>
      </c>
    </row>
    <row r="1617">
      <c r="A1617" s="10" t="s">
        <v>1443</v>
      </c>
      <c r="B1617" s="3" t="s">
        <v>1444</v>
      </c>
      <c r="C1617" s="10" t="s">
        <v>1483</v>
      </c>
      <c r="D1617" s="3" t="s">
        <v>1484</v>
      </c>
      <c r="E1617" s="4" t="s">
        <v>3</v>
      </c>
      <c r="F1617" s="5" t="s">
        <v>96</v>
      </c>
      <c r="G1617" s="6" t="s">
        <v>1495</v>
      </c>
      <c r="H1617" s="7">
        <v>45217.0</v>
      </c>
      <c r="I1617" s="8">
        <f t="shared" si="1"/>
        <v>18</v>
      </c>
      <c r="J1617" s="9">
        <f t="shared" si="2"/>
        <v>10</v>
      </c>
      <c r="K1617" s="9">
        <f t="shared" si="3"/>
        <v>2023</v>
      </c>
      <c r="M1617" s="25">
        <f>IFERROR(__xludf.DUMMYFUNCTION("""COMPUTED_VALUE"""),45217.0)</f>
        <v>45217</v>
      </c>
    </row>
    <row r="1618">
      <c r="A1618" s="10" t="s">
        <v>1443</v>
      </c>
      <c r="B1618" s="3" t="s">
        <v>1444</v>
      </c>
      <c r="C1618" s="10" t="s">
        <v>1483</v>
      </c>
      <c r="D1618" s="3" t="s">
        <v>1484</v>
      </c>
      <c r="E1618" s="4" t="s">
        <v>3</v>
      </c>
      <c r="F1618" s="5" t="s">
        <v>42</v>
      </c>
      <c r="G1618" s="6" t="s">
        <v>455</v>
      </c>
      <c r="H1618" s="7">
        <v>45224.0</v>
      </c>
      <c r="I1618" s="8">
        <f t="shared" si="1"/>
        <v>25</v>
      </c>
      <c r="J1618" s="9">
        <f t="shared" si="2"/>
        <v>10</v>
      </c>
      <c r="K1618" s="9">
        <f t="shared" si="3"/>
        <v>2023</v>
      </c>
      <c r="M1618" s="25">
        <f>IFERROR(__xludf.DUMMYFUNCTION("""COMPUTED_VALUE"""),45224.0)</f>
        <v>45224</v>
      </c>
    </row>
    <row r="1619">
      <c r="A1619" s="10" t="s">
        <v>1443</v>
      </c>
      <c r="B1619" s="3" t="s">
        <v>1444</v>
      </c>
      <c r="C1619" s="10" t="s">
        <v>1483</v>
      </c>
      <c r="D1619" s="3" t="s">
        <v>1484</v>
      </c>
      <c r="E1619" s="4" t="s">
        <v>3</v>
      </c>
      <c r="F1619" s="5" t="s">
        <v>35</v>
      </c>
      <c r="G1619" s="6" t="s">
        <v>1496</v>
      </c>
      <c r="H1619" s="7">
        <v>45249.0</v>
      </c>
      <c r="I1619" s="8">
        <f t="shared" si="1"/>
        <v>19</v>
      </c>
      <c r="J1619" s="9">
        <f t="shared" si="2"/>
        <v>11</v>
      </c>
      <c r="K1619" s="9">
        <f t="shared" si="3"/>
        <v>2023</v>
      </c>
      <c r="M1619" s="25">
        <f>IFERROR(__xludf.DUMMYFUNCTION("""COMPUTED_VALUE"""),45249.0)</f>
        <v>45249</v>
      </c>
    </row>
    <row r="1620">
      <c r="A1620" s="10" t="s">
        <v>1443</v>
      </c>
      <c r="B1620" s="3" t="s">
        <v>1444</v>
      </c>
      <c r="C1620" s="10" t="s">
        <v>1483</v>
      </c>
      <c r="D1620" s="3" t="s">
        <v>1484</v>
      </c>
      <c r="E1620" s="4" t="s">
        <v>8</v>
      </c>
      <c r="F1620" s="5" t="s">
        <v>9</v>
      </c>
      <c r="G1620" s="6" t="s">
        <v>1280</v>
      </c>
      <c r="H1620" s="7">
        <v>45251.0</v>
      </c>
      <c r="I1620" s="8">
        <f t="shared" si="1"/>
        <v>21</v>
      </c>
      <c r="J1620" s="9">
        <f t="shared" si="2"/>
        <v>11</v>
      </c>
      <c r="K1620" s="9">
        <f t="shared" si="3"/>
        <v>2023</v>
      </c>
      <c r="M1620" s="25">
        <f>IFERROR(__xludf.DUMMYFUNCTION("""COMPUTED_VALUE"""),45251.0)</f>
        <v>45251</v>
      </c>
    </row>
    <row r="1621">
      <c r="A1621" s="10" t="s">
        <v>1453</v>
      </c>
      <c r="B1621" s="3" t="s">
        <v>1454</v>
      </c>
      <c r="C1621" s="10" t="s">
        <v>1497</v>
      </c>
      <c r="D1621" s="3" t="s">
        <v>1498</v>
      </c>
      <c r="E1621" s="4" t="s">
        <v>8</v>
      </c>
      <c r="F1621" s="5" t="s">
        <v>96</v>
      </c>
      <c r="G1621" s="6" t="s">
        <v>1499</v>
      </c>
      <c r="H1621" s="7">
        <v>44974.0</v>
      </c>
      <c r="I1621" s="8">
        <f t="shared" si="1"/>
        <v>17</v>
      </c>
      <c r="J1621" s="9">
        <f t="shared" si="2"/>
        <v>2</v>
      </c>
      <c r="K1621" s="9">
        <f t="shared" si="3"/>
        <v>2023</v>
      </c>
      <c r="M1621" s="25">
        <f>IFERROR(__xludf.DUMMYFUNCTION("""COMPUTED_VALUE"""),44974.0)</f>
        <v>44974</v>
      </c>
    </row>
    <row r="1622">
      <c r="A1622" s="10" t="s">
        <v>1453</v>
      </c>
      <c r="B1622" s="3" t="s">
        <v>1454</v>
      </c>
      <c r="C1622" s="10" t="s">
        <v>1497</v>
      </c>
      <c r="D1622" s="3" t="s">
        <v>1498</v>
      </c>
      <c r="E1622" s="4" t="s">
        <v>3</v>
      </c>
      <c r="F1622" s="5" t="s">
        <v>71</v>
      </c>
      <c r="G1622" s="6" t="s">
        <v>1500</v>
      </c>
      <c r="H1622" s="7">
        <v>45024.0</v>
      </c>
      <c r="I1622" s="8">
        <f t="shared" si="1"/>
        <v>8</v>
      </c>
      <c r="J1622" s="9">
        <f t="shared" si="2"/>
        <v>4</v>
      </c>
      <c r="K1622" s="9">
        <f t="shared" si="3"/>
        <v>2023</v>
      </c>
      <c r="M1622" s="25">
        <f>IFERROR(__xludf.DUMMYFUNCTION("""COMPUTED_VALUE"""),45024.0)</f>
        <v>45024</v>
      </c>
    </row>
    <row r="1623">
      <c r="A1623" s="10" t="s">
        <v>1453</v>
      </c>
      <c r="B1623" s="3" t="s">
        <v>1454</v>
      </c>
      <c r="C1623" s="10" t="s">
        <v>1497</v>
      </c>
      <c r="D1623" s="3" t="s">
        <v>1498</v>
      </c>
      <c r="E1623" s="4" t="s">
        <v>3</v>
      </c>
      <c r="F1623" s="5" t="s">
        <v>9</v>
      </c>
      <c r="G1623" s="6" t="s">
        <v>915</v>
      </c>
      <c r="H1623" s="7">
        <v>45035.0</v>
      </c>
      <c r="I1623" s="8">
        <f t="shared" si="1"/>
        <v>19</v>
      </c>
      <c r="J1623" s="9">
        <f t="shared" si="2"/>
        <v>4</v>
      </c>
      <c r="K1623" s="9">
        <f t="shared" si="3"/>
        <v>2023</v>
      </c>
      <c r="M1623" s="25">
        <f>IFERROR(__xludf.DUMMYFUNCTION("""COMPUTED_VALUE"""),45035.0)</f>
        <v>45035</v>
      </c>
    </row>
    <row r="1624">
      <c r="A1624" s="10" t="s">
        <v>1453</v>
      </c>
      <c r="B1624" s="3" t="s">
        <v>1454</v>
      </c>
      <c r="C1624" s="10" t="s">
        <v>1497</v>
      </c>
      <c r="D1624" s="3" t="s">
        <v>1498</v>
      </c>
      <c r="E1624" s="4" t="s">
        <v>8</v>
      </c>
      <c r="F1624" s="5" t="s">
        <v>96</v>
      </c>
      <c r="G1624" s="6" t="s">
        <v>114</v>
      </c>
      <c r="H1624" s="7">
        <v>45044.0</v>
      </c>
      <c r="I1624" s="8">
        <f t="shared" si="1"/>
        <v>28</v>
      </c>
      <c r="J1624" s="9">
        <f t="shared" si="2"/>
        <v>4</v>
      </c>
      <c r="K1624" s="9">
        <f t="shared" si="3"/>
        <v>2023</v>
      </c>
      <c r="M1624" s="25">
        <f>IFERROR(__xludf.DUMMYFUNCTION("""COMPUTED_VALUE"""),45044.0)</f>
        <v>45044</v>
      </c>
    </row>
    <row r="1625">
      <c r="A1625" s="10" t="s">
        <v>1453</v>
      </c>
      <c r="B1625" s="3" t="s">
        <v>1454</v>
      </c>
      <c r="C1625" s="10" t="s">
        <v>1497</v>
      </c>
      <c r="D1625" s="3" t="s">
        <v>1498</v>
      </c>
      <c r="E1625" s="4" t="s">
        <v>8</v>
      </c>
      <c r="F1625" s="5" t="s">
        <v>19</v>
      </c>
      <c r="G1625" s="6" t="s">
        <v>1501</v>
      </c>
      <c r="H1625" s="7">
        <v>45050.0</v>
      </c>
      <c r="I1625" s="8">
        <f t="shared" si="1"/>
        <v>4</v>
      </c>
      <c r="J1625" s="9">
        <f t="shared" si="2"/>
        <v>5</v>
      </c>
      <c r="K1625" s="9">
        <f t="shared" si="3"/>
        <v>2023</v>
      </c>
      <c r="M1625" s="25">
        <f>IFERROR(__xludf.DUMMYFUNCTION("""COMPUTED_VALUE"""),45050.0)</f>
        <v>45050</v>
      </c>
    </row>
    <row r="1626">
      <c r="A1626" s="10" t="s">
        <v>1453</v>
      </c>
      <c r="B1626" s="3" t="s">
        <v>1454</v>
      </c>
      <c r="C1626" s="10" t="s">
        <v>1497</v>
      </c>
      <c r="D1626" s="3" t="s">
        <v>1498</v>
      </c>
      <c r="E1626" s="4" t="s">
        <v>8</v>
      </c>
      <c r="F1626" s="5" t="s">
        <v>96</v>
      </c>
      <c r="G1626" s="6" t="s">
        <v>655</v>
      </c>
      <c r="H1626" s="7">
        <v>45055.0</v>
      </c>
      <c r="I1626" s="8">
        <f t="shared" si="1"/>
        <v>9</v>
      </c>
      <c r="J1626" s="9">
        <f t="shared" si="2"/>
        <v>5</v>
      </c>
      <c r="K1626" s="9">
        <f t="shared" si="3"/>
        <v>2023</v>
      </c>
      <c r="M1626" s="25">
        <f>IFERROR(__xludf.DUMMYFUNCTION("""COMPUTED_VALUE"""),45055.0)</f>
        <v>45055</v>
      </c>
    </row>
    <row r="1627">
      <c r="A1627" s="10" t="s">
        <v>1453</v>
      </c>
      <c r="B1627" s="3" t="s">
        <v>1454</v>
      </c>
      <c r="C1627" s="10" t="s">
        <v>1497</v>
      </c>
      <c r="D1627" s="3" t="s">
        <v>1498</v>
      </c>
      <c r="E1627" s="4" t="s">
        <v>8</v>
      </c>
      <c r="F1627" s="5" t="s">
        <v>96</v>
      </c>
      <c r="G1627" s="6" t="s">
        <v>1502</v>
      </c>
      <c r="H1627" s="7">
        <v>45080.0</v>
      </c>
      <c r="I1627" s="8">
        <f t="shared" si="1"/>
        <v>3</v>
      </c>
      <c r="J1627" s="9">
        <f t="shared" si="2"/>
        <v>6</v>
      </c>
      <c r="K1627" s="9">
        <f t="shared" si="3"/>
        <v>2023</v>
      </c>
      <c r="M1627" s="25">
        <f>IFERROR(__xludf.DUMMYFUNCTION("""COMPUTED_VALUE"""),45080.0)</f>
        <v>45080</v>
      </c>
    </row>
    <row r="1628">
      <c r="A1628" s="10" t="s">
        <v>1453</v>
      </c>
      <c r="B1628" s="3" t="s">
        <v>1454</v>
      </c>
      <c r="C1628" s="10" t="s">
        <v>1497</v>
      </c>
      <c r="D1628" s="3" t="s">
        <v>1498</v>
      </c>
      <c r="E1628" s="4" t="s">
        <v>8</v>
      </c>
      <c r="F1628" s="5" t="s">
        <v>13</v>
      </c>
      <c r="G1628" s="6" t="s">
        <v>1503</v>
      </c>
      <c r="H1628" s="7">
        <v>45102.0</v>
      </c>
      <c r="I1628" s="8">
        <f t="shared" si="1"/>
        <v>25</v>
      </c>
      <c r="J1628" s="9">
        <f t="shared" si="2"/>
        <v>6</v>
      </c>
      <c r="K1628" s="9">
        <f t="shared" si="3"/>
        <v>2023</v>
      </c>
      <c r="M1628" s="25">
        <f>IFERROR(__xludf.DUMMYFUNCTION("""COMPUTED_VALUE"""),45102.0)</f>
        <v>45102</v>
      </c>
    </row>
    <row r="1629">
      <c r="A1629" s="10" t="s">
        <v>1453</v>
      </c>
      <c r="B1629" s="3" t="s">
        <v>1454</v>
      </c>
      <c r="C1629" s="10" t="s">
        <v>1497</v>
      </c>
      <c r="D1629" s="3" t="s">
        <v>1498</v>
      </c>
      <c r="E1629" s="4" t="s">
        <v>3</v>
      </c>
      <c r="F1629" s="5" t="s">
        <v>23</v>
      </c>
      <c r="G1629" s="6" t="s">
        <v>1504</v>
      </c>
      <c r="H1629" s="7">
        <v>45103.0</v>
      </c>
      <c r="I1629" s="8">
        <f t="shared" si="1"/>
        <v>26</v>
      </c>
      <c r="J1629" s="9">
        <f t="shared" si="2"/>
        <v>6</v>
      </c>
      <c r="K1629" s="9">
        <f t="shared" si="3"/>
        <v>2023</v>
      </c>
      <c r="M1629" s="25">
        <f>IFERROR(__xludf.DUMMYFUNCTION("""COMPUTED_VALUE"""),45103.0)</f>
        <v>45103</v>
      </c>
    </row>
    <row r="1630">
      <c r="A1630" s="10" t="s">
        <v>1453</v>
      </c>
      <c r="B1630" s="3" t="s">
        <v>1454</v>
      </c>
      <c r="C1630" s="10" t="s">
        <v>1497</v>
      </c>
      <c r="D1630" s="3" t="s">
        <v>1498</v>
      </c>
      <c r="E1630" s="4" t="s">
        <v>3</v>
      </c>
      <c r="F1630" s="5" t="s">
        <v>11</v>
      </c>
      <c r="G1630" s="6" t="s">
        <v>1505</v>
      </c>
      <c r="H1630" s="7">
        <v>45111.0</v>
      </c>
      <c r="I1630" s="8">
        <f t="shared" si="1"/>
        <v>4</v>
      </c>
      <c r="J1630" s="9">
        <f t="shared" si="2"/>
        <v>7</v>
      </c>
      <c r="K1630" s="9">
        <f t="shared" si="3"/>
        <v>2023</v>
      </c>
      <c r="M1630" s="25">
        <f>IFERROR(__xludf.DUMMYFUNCTION("""COMPUTED_VALUE"""),45111.0)</f>
        <v>45111</v>
      </c>
    </row>
    <row r="1631">
      <c r="A1631" s="10" t="s">
        <v>1453</v>
      </c>
      <c r="B1631" s="3" t="s">
        <v>1454</v>
      </c>
      <c r="C1631" s="10" t="s">
        <v>1497</v>
      </c>
      <c r="D1631" s="3" t="s">
        <v>1498</v>
      </c>
      <c r="E1631" s="4" t="s">
        <v>3</v>
      </c>
      <c r="F1631" s="5" t="s">
        <v>45</v>
      </c>
      <c r="G1631" s="6" t="s">
        <v>1506</v>
      </c>
      <c r="H1631" s="7">
        <v>45111.0</v>
      </c>
      <c r="I1631" s="8">
        <f t="shared" si="1"/>
        <v>4</v>
      </c>
      <c r="J1631" s="9">
        <f t="shared" si="2"/>
        <v>7</v>
      </c>
      <c r="K1631" s="9">
        <f t="shared" si="3"/>
        <v>2023</v>
      </c>
      <c r="M1631" s="25">
        <f>IFERROR(__xludf.DUMMYFUNCTION("""COMPUTED_VALUE"""),45111.0)</f>
        <v>45111</v>
      </c>
    </row>
    <row r="1632">
      <c r="A1632" s="10" t="s">
        <v>1453</v>
      </c>
      <c r="B1632" s="3" t="s">
        <v>1454</v>
      </c>
      <c r="C1632" s="10" t="s">
        <v>1497</v>
      </c>
      <c r="D1632" s="3" t="s">
        <v>1498</v>
      </c>
      <c r="E1632" s="4" t="s">
        <v>8</v>
      </c>
      <c r="F1632" s="5" t="s">
        <v>39</v>
      </c>
      <c r="G1632" s="6" t="s">
        <v>1507</v>
      </c>
      <c r="H1632" s="7">
        <v>45154.0</v>
      </c>
      <c r="I1632" s="8">
        <f t="shared" si="1"/>
        <v>16</v>
      </c>
      <c r="J1632" s="9">
        <f t="shared" si="2"/>
        <v>8</v>
      </c>
      <c r="K1632" s="9">
        <f t="shared" si="3"/>
        <v>2023</v>
      </c>
      <c r="M1632" s="25">
        <f>IFERROR(__xludf.DUMMYFUNCTION("""COMPUTED_VALUE"""),45154.0)</f>
        <v>45154</v>
      </c>
    </row>
    <row r="1633">
      <c r="A1633" s="10" t="s">
        <v>1453</v>
      </c>
      <c r="B1633" s="3" t="s">
        <v>1454</v>
      </c>
      <c r="C1633" s="10" t="s">
        <v>1497</v>
      </c>
      <c r="D1633" s="3" t="s">
        <v>1498</v>
      </c>
      <c r="E1633" s="4" t="s">
        <v>3</v>
      </c>
      <c r="F1633" s="5" t="s">
        <v>13</v>
      </c>
      <c r="G1633" s="6" t="s">
        <v>1508</v>
      </c>
      <c r="H1633" s="7">
        <v>45166.0</v>
      </c>
      <c r="I1633" s="8">
        <f t="shared" si="1"/>
        <v>28</v>
      </c>
      <c r="J1633" s="9">
        <f t="shared" si="2"/>
        <v>8</v>
      </c>
      <c r="K1633" s="9">
        <f t="shared" si="3"/>
        <v>2023</v>
      </c>
      <c r="M1633" s="25">
        <f>IFERROR(__xludf.DUMMYFUNCTION("""COMPUTED_VALUE"""),45166.0)</f>
        <v>45166</v>
      </c>
    </row>
    <row r="1634">
      <c r="A1634" s="10" t="s">
        <v>1453</v>
      </c>
      <c r="B1634" s="3" t="s">
        <v>1454</v>
      </c>
      <c r="C1634" s="10" t="s">
        <v>1497</v>
      </c>
      <c r="D1634" s="3" t="s">
        <v>1498</v>
      </c>
      <c r="E1634" s="4" t="s">
        <v>3</v>
      </c>
      <c r="F1634" s="5" t="s">
        <v>39</v>
      </c>
      <c r="G1634" s="6" t="s">
        <v>1509</v>
      </c>
      <c r="H1634" s="7">
        <v>45182.0</v>
      </c>
      <c r="I1634" s="8">
        <f t="shared" si="1"/>
        <v>13</v>
      </c>
      <c r="J1634" s="9">
        <f t="shared" si="2"/>
        <v>9</v>
      </c>
      <c r="K1634" s="9">
        <f t="shared" si="3"/>
        <v>2023</v>
      </c>
      <c r="M1634" s="25">
        <f>IFERROR(__xludf.DUMMYFUNCTION("""COMPUTED_VALUE"""),45182.0)</f>
        <v>45182</v>
      </c>
    </row>
    <row r="1635">
      <c r="A1635" s="10" t="s">
        <v>1453</v>
      </c>
      <c r="B1635" s="3" t="s">
        <v>1454</v>
      </c>
      <c r="C1635" s="10" t="s">
        <v>1497</v>
      </c>
      <c r="D1635" s="3" t="s">
        <v>1498</v>
      </c>
      <c r="E1635" s="4" t="s">
        <v>3</v>
      </c>
      <c r="F1635" s="5" t="s">
        <v>76</v>
      </c>
      <c r="G1635" s="6" t="s">
        <v>1510</v>
      </c>
      <c r="H1635" s="7">
        <v>45186.0</v>
      </c>
      <c r="I1635" s="8">
        <f t="shared" si="1"/>
        <v>17</v>
      </c>
      <c r="J1635" s="9">
        <f t="shared" si="2"/>
        <v>9</v>
      </c>
      <c r="K1635" s="9">
        <f t="shared" si="3"/>
        <v>2023</v>
      </c>
      <c r="M1635" s="25">
        <f>IFERROR(__xludf.DUMMYFUNCTION("""COMPUTED_VALUE"""),45186.0)</f>
        <v>45186</v>
      </c>
    </row>
    <row r="1636">
      <c r="A1636" s="10" t="s">
        <v>1453</v>
      </c>
      <c r="B1636" s="3" t="s">
        <v>1454</v>
      </c>
      <c r="C1636" s="10" t="s">
        <v>1497</v>
      </c>
      <c r="D1636" s="3" t="s">
        <v>1498</v>
      </c>
      <c r="E1636" s="4" t="s">
        <v>3</v>
      </c>
      <c r="F1636" s="5" t="s">
        <v>11</v>
      </c>
      <c r="G1636" s="6" t="s">
        <v>1511</v>
      </c>
      <c r="H1636" s="7">
        <v>45191.0</v>
      </c>
      <c r="I1636" s="8">
        <f t="shared" si="1"/>
        <v>22</v>
      </c>
      <c r="J1636" s="9">
        <f t="shared" si="2"/>
        <v>9</v>
      </c>
      <c r="K1636" s="9">
        <f t="shared" si="3"/>
        <v>2023</v>
      </c>
      <c r="M1636" s="25">
        <f>IFERROR(__xludf.DUMMYFUNCTION("""COMPUTED_VALUE"""),45191.0)</f>
        <v>45191</v>
      </c>
    </row>
    <row r="1637">
      <c r="A1637" s="10" t="s">
        <v>1453</v>
      </c>
      <c r="B1637" s="3" t="s">
        <v>1454</v>
      </c>
      <c r="C1637" s="10" t="s">
        <v>1497</v>
      </c>
      <c r="D1637" s="3" t="s">
        <v>1498</v>
      </c>
      <c r="E1637" s="4" t="s">
        <v>8</v>
      </c>
      <c r="F1637" s="5" t="s">
        <v>9</v>
      </c>
      <c r="G1637" s="6" t="s">
        <v>1512</v>
      </c>
      <c r="H1637" s="7">
        <v>45236.0</v>
      </c>
      <c r="I1637" s="8">
        <f t="shared" si="1"/>
        <v>6</v>
      </c>
      <c r="J1637" s="9">
        <f t="shared" si="2"/>
        <v>11</v>
      </c>
      <c r="K1637" s="9">
        <f t="shared" si="3"/>
        <v>2023</v>
      </c>
      <c r="M1637" s="25">
        <f>IFERROR(__xludf.DUMMYFUNCTION("""COMPUTED_VALUE"""),45236.0)</f>
        <v>45236</v>
      </c>
    </row>
    <row r="1638">
      <c r="A1638" s="10" t="s">
        <v>1453</v>
      </c>
      <c r="B1638" s="3" t="s">
        <v>1454</v>
      </c>
      <c r="C1638" s="10" t="s">
        <v>1497</v>
      </c>
      <c r="D1638" s="3" t="s">
        <v>1498</v>
      </c>
      <c r="E1638" s="4" t="s">
        <v>8</v>
      </c>
      <c r="F1638" s="5" t="s">
        <v>19</v>
      </c>
      <c r="G1638" s="6" t="s">
        <v>1513</v>
      </c>
      <c r="H1638" s="7">
        <v>45250.0</v>
      </c>
      <c r="I1638" s="8">
        <f t="shared" si="1"/>
        <v>20</v>
      </c>
      <c r="J1638" s="9">
        <f t="shared" si="2"/>
        <v>11</v>
      </c>
      <c r="K1638" s="9">
        <f t="shared" si="3"/>
        <v>2023</v>
      </c>
      <c r="M1638" s="25">
        <f>IFERROR(__xludf.DUMMYFUNCTION("""COMPUTED_VALUE"""),45250.0)</f>
        <v>45250</v>
      </c>
    </row>
    <row r="1639">
      <c r="A1639" s="10" t="s">
        <v>1453</v>
      </c>
      <c r="B1639" s="3" t="s">
        <v>1454</v>
      </c>
      <c r="C1639" s="10" t="s">
        <v>1497</v>
      </c>
      <c r="D1639" s="3" t="s">
        <v>1498</v>
      </c>
      <c r="E1639" s="4" t="s">
        <v>8</v>
      </c>
      <c r="F1639" s="5" t="s">
        <v>9</v>
      </c>
      <c r="G1639" s="6" t="s">
        <v>737</v>
      </c>
      <c r="H1639" s="7">
        <v>45264.0</v>
      </c>
      <c r="I1639" s="8">
        <f t="shared" si="1"/>
        <v>4</v>
      </c>
      <c r="J1639" s="9">
        <f t="shared" si="2"/>
        <v>12</v>
      </c>
      <c r="K1639" s="9">
        <f t="shared" si="3"/>
        <v>2023</v>
      </c>
      <c r="M1639" s="25">
        <f>IFERROR(__xludf.DUMMYFUNCTION("""COMPUTED_VALUE"""),45264.0)</f>
        <v>45264</v>
      </c>
    </row>
    <row r="1640">
      <c r="A1640" s="10" t="s">
        <v>1453</v>
      </c>
      <c r="B1640" s="3" t="s">
        <v>1454</v>
      </c>
      <c r="C1640" s="10" t="s">
        <v>1497</v>
      </c>
      <c r="D1640" s="3" t="s">
        <v>1498</v>
      </c>
      <c r="E1640" s="4" t="s">
        <v>8</v>
      </c>
      <c r="F1640" s="5" t="s">
        <v>42</v>
      </c>
      <c r="G1640" s="6" t="s">
        <v>1185</v>
      </c>
      <c r="H1640" s="7">
        <v>45279.0</v>
      </c>
      <c r="I1640" s="8">
        <f t="shared" si="1"/>
        <v>19</v>
      </c>
      <c r="J1640" s="9">
        <f t="shared" si="2"/>
        <v>12</v>
      </c>
      <c r="K1640" s="9">
        <f t="shared" si="3"/>
        <v>2023</v>
      </c>
      <c r="M1640" s="25">
        <f>IFERROR(__xludf.DUMMYFUNCTION("""COMPUTED_VALUE"""),45279.0)</f>
        <v>45279</v>
      </c>
    </row>
    <row r="1641">
      <c r="A1641" s="10" t="s">
        <v>1466</v>
      </c>
      <c r="B1641" s="3" t="s">
        <v>1467</v>
      </c>
      <c r="C1641" s="10" t="s">
        <v>1514</v>
      </c>
      <c r="D1641" s="3" t="s">
        <v>1515</v>
      </c>
      <c r="E1641" s="4" t="s">
        <v>3</v>
      </c>
      <c r="F1641" s="5" t="s">
        <v>4</v>
      </c>
      <c r="G1641" s="6" t="s">
        <v>1516</v>
      </c>
      <c r="H1641" s="7">
        <v>44931.0</v>
      </c>
      <c r="I1641" s="8">
        <f t="shared" si="1"/>
        <v>5</v>
      </c>
      <c r="J1641" s="9">
        <f t="shared" si="2"/>
        <v>1</v>
      </c>
      <c r="K1641" s="9">
        <f t="shared" si="3"/>
        <v>2023</v>
      </c>
      <c r="M1641" s="25">
        <f>IFERROR(__xludf.DUMMYFUNCTION("""COMPUTED_VALUE"""),44931.0)</f>
        <v>44931</v>
      </c>
    </row>
    <row r="1642">
      <c r="A1642" s="10" t="s">
        <v>1466</v>
      </c>
      <c r="B1642" s="3" t="s">
        <v>1467</v>
      </c>
      <c r="C1642" s="10" t="s">
        <v>1514</v>
      </c>
      <c r="D1642" s="3" t="s">
        <v>1515</v>
      </c>
      <c r="E1642" s="4" t="s">
        <v>3</v>
      </c>
      <c r="F1642" s="5" t="s">
        <v>39</v>
      </c>
      <c r="G1642" s="6" t="s">
        <v>1517</v>
      </c>
      <c r="H1642" s="7">
        <v>44942.0</v>
      </c>
      <c r="I1642" s="8">
        <f t="shared" si="1"/>
        <v>16</v>
      </c>
      <c r="J1642" s="9">
        <f t="shared" si="2"/>
        <v>1</v>
      </c>
      <c r="K1642" s="9">
        <f t="shared" si="3"/>
        <v>2023</v>
      </c>
      <c r="M1642" s="25">
        <f>IFERROR(__xludf.DUMMYFUNCTION("""COMPUTED_VALUE"""),44942.0)</f>
        <v>44942</v>
      </c>
    </row>
    <row r="1643">
      <c r="A1643" s="10" t="s">
        <v>1466</v>
      </c>
      <c r="B1643" s="3" t="s">
        <v>1467</v>
      </c>
      <c r="C1643" s="10" t="s">
        <v>1514</v>
      </c>
      <c r="D1643" s="3" t="s">
        <v>1515</v>
      </c>
      <c r="E1643" s="4" t="s">
        <v>3</v>
      </c>
      <c r="F1643" s="5" t="s">
        <v>42</v>
      </c>
      <c r="G1643" s="6" t="s">
        <v>521</v>
      </c>
      <c r="H1643" s="7">
        <v>44946.0</v>
      </c>
      <c r="I1643" s="8">
        <f t="shared" si="1"/>
        <v>20</v>
      </c>
      <c r="J1643" s="9">
        <f t="shared" si="2"/>
        <v>1</v>
      </c>
      <c r="K1643" s="9">
        <f t="shared" si="3"/>
        <v>2023</v>
      </c>
      <c r="M1643" s="25">
        <f>IFERROR(__xludf.DUMMYFUNCTION("""COMPUTED_VALUE"""),44946.0)</f>
        <v>44946</v>
      </c>
    </row>
    <row r="1644">
      <c r="A1644" s="10" t="s">
        <v>1466</v>
      </c>
      <c r="B1644" s="3" t="s">
        <v>1467</v>
      </c>
      <c r="C1644" s="10" t="s">
        <v>1514</v>
      </c>
      <c r="D1644" s="3" t="s">
        <v>1515</v>
      </c>
      <c r="E1644" s="4" t="s">
        <v>8</v>
      </c>
      <c r="F1644" s="5" t="s">
        <v>120</v>
      </c>
      <c r="G1644" s="6" t="s">
        <v>1518</v>
      </c>
      <c r="H1644" s="7">
        <v>44963.0</v>
      </c>
      <c r="I1644" s="8">
        <f t="shared" si="1"/>
        <v>6</v>
      </c>
      <c r="J1644" s="9">
        <f t="shared" si="2"/>
        <v>2</v>
      </c>
      <c r="K1644" s="9">
        <f t="shared" si="3"/>
        <v>2023</v>
      </c>
      <c r="M1644" s="25">
        <f>IFERROR(__xludf.DUMMYFUNCTION("""COMPUTED_VALUE"""),44963.0)</f>
        <v>44963</v>
      </c>
    </row>
    <row r="1645">
      <c r="A1645" s="10" t="s">
        <v>1466</v>
      </c>
      <c r="B1645" s="3" t="s">
        <v>1467</v>
      </c>
      <c r="C1645" s="10" t="s">
        <v>1514</v>
      </c>
      <c r="D1645" s="3" t="s">
        <v>1515</v>
      </c>
      <c r="E1645" s="4" t="s">
        <v>8</v>
      </c>
      <c r="F1645" s="5" t="s">
        <v>17</v>
      </c>
      <c r="G1645" s="6" t="s">
        <v>1519</v>
      </c>
      <c r="H1645" s="7">
        <v>45011.0</v>
      </c>
      <c r="I1645" s="8">
        <f t="shared" si="1"/>
        <v>26</v>
      </c>
      <c r="J1645" s="9">
        <f t="shared" si="2"/>
        <v>3</v>
      </c>
      <c r="K1645" s="9">
        <f t="shared" si="3"/>
        <v>2023</v>
      </c>
      <c r="M1645" s="25">
        <f>IFERROR(__xludf.DUMMYFUNCTION("""COMPUTED_VALUE"""),45011.0)</f>
        <v>45011</v>
      </c>
    </row>
    <row r="1646">
      <c r="A1646" s="10" t="s">
        <v>1466</v>
      </c>
      <c r="B1646" s="3" t="s">
        <v>1467</v>
      </c>
      <c r="C1646" s="10" t="s">
        <v>1514</v>
      </c>
      <c r="D1646" s="3" t="s">
        <v>1515</v>
      </c>
      <c r="E1646" s="4" t="s">
        <v>8</v>
      </c>
      <c r="F1646" s="5" t="s">
        <v>71</v>
      </c>
      <c r="G1646" s="6" t="s">
        <v>1520</v>
      </c>
      <c r="H1646" s="7">
        <v>45013.0</v>
      </c>
      <c r="I1646" s="8">
        <f t="shared" si="1"/>
        <v>28</v>
      </c>
      <c r="J1646" s="9">
        <f t="shared" si="2"/>
        <v>3</v>
      </c>
      <c r="K1646" s="9">
        <f t="shared" si="3"/>
        <v>2023</v>
      </c>
      <c r="M1646" s="25">
        <f>IFERROR(__xludf.DUMMYFUNCTION("""COMPUTED_VALUE"""),45013.0)</f>
        <v>45013</v>
      </c>
    </row>
    <row r="1647">
      <c r="A1647" s="10" t="s">
        <v>1466</v>
      </c>
      <c r="B1647" s="3" t="s">
        <v>1467</v>
      </c>
      <c r="C1647" s="10" t="s">
        <v>1514</v>
      </c>
      <c r="D1647" s="3" t="s">
        <v>1515</v>
      </c>
      <c r="E1647" s="4" t="s">
        <v>3</v>
      </c>
      <c r="F1647" s="5" t="s">
        <v>17</v>
      </c>
      <c r="G1647" s="6" t="s">
        <v>353</v>
      </c>
      <c r="H1647" s="7">
        <v>45034.0</v>
      </c>
      <c r="I1647" s="8">
        <f t="shared" si="1"/>
        <v>18</v>
      </c>
      <c r="J1647" s="9">
        <f t="shared" si="2"/>
        <v>4</v>
      </c>
      <c r="K1647" s="9">
        <f t="shared" si="3"/>
        <v>2023</v>
      </c>
      <c r="M1647" s="25">
        <f>IFERROR(__xludf.DUMMYFUNCTION("""COMPUTED_VALUE"""),45034.0)</f>
        <v>45034</v>
      </c>
    </row>
    <row r="1648">
      <c r="A1648" s="10" t="s">
        <v>1466</v>
      </c>
      <c r="B1648" s="3" t="s">
        <v>1467</v>
      </c>
      <c r="C1648" s="10" t="s">
        <v>1514</v>
      </c>
      <c r="D1648" s="3" t="s">
        <v>1515</v>
      </c>
      <c r="E1648" s="4" t="s">
        <v>3</v>
      </c>
      <c r="F1648" s="5" t="s">
        <v>71</v>
      </c>
      <c r="G1648" s="6" t="s">
        <v>910</v>
      </c>
      <c r="H1648" s="7">
        <v>45081.0</v>
      </c>
      <c r="I1648" s="8">
        <f t="shared" si="1"/>
        <v>4</v>
      </c>
      <c r="J1648" s="9">
        <f t="shared" si="2"/>
        <v>6</v>
      </c>
      <c r="K1648" s="9">
        <f t="shared" si="3"/>
        <v>2023</v>
      </c>
      <c r="M1648" s="25">
        <f>IFERROR(__xludf.DUMMYFUNCTION("""COMPUTED_VALUE"""),45081.0)</f>
        <v>45081</v>
      </c>
    </row>
    <row r="1649">
      <c r="A1649" s="10" t="s">
        <v>1466</v>
      </c>
      <c r="B1649" s="3" t="s">
        <v>1467</v>
      </c>
      <c r="C1649" s="10" t="s">
        <v>1514</v>
      </c>
      <c r="D1649" s="3" t="s">
        <v>1515</v>
      </c>
      <c r="E1649" s="4" t="s">
        <v>8</v>
      </c>
      <c r="F1649" s="5" t="s">
        <v>6</v>
      </c>
      <c r="G1649" s="6" t="s">
        <v>1521</v>
      </c>
      <c r="H1649" s="7">
        <v>45101.0</v>
      </c>
      <c r="I1649" s="8">
        <f t="shared" si="1"/>
        <v>24</v>
      </c>
      <c r="J1649" s="9">
        <f t="shared" si="2"/>
        <v>6</v>
      </c>
      <c r="K1649" s="9">
        <f t="shared" si="3"/>
        <v>2023</v>
      </c>
      <c r="M1649" s="25">
        <f>IFERROR(__xludf.DUMMYFUNCTION("""COMPUTED_VALUE"""),45101.0)</f>
        <v>45101</v>
      </c>
    </row>
    <row r="1650">
      <c r="A1650" s="10" t="s">
        <v>1466</v>
      </c>
      <c r="B1650" s="3" t="s">
        <v>1467</v>
      </c>
      <c r="C1650" s="10" t="s">
        <v>1514</v>
      </c>
      <c r="D1650" s="3" t="s">
        <v>1515</v>
      </c>
      <c r="E1650" s="4" t="s">
        <v>8</v>
      </c>
      <c r="F1650" s="5" t="s">
        <v>71</v>
      </c>
      <c r="G1650" s="6" t="s">
        <v>1522</v>
      </c>
      <c r="H1650" s="7">
        <v>45108.0</v>
      </c>
      <c r="I1650" s="8">
        <f t="shared" si="1"/>
        <v>1</v>
      </c>
      <c r="J1650" s="9">
        <f t="shared" si="2"/>
        <v>7</v>
      </c>
      <c r="K1650" s="9">
        <f t="shared" si="3"/>
        <v>2023</v>
      </c>
      <c r="M1650" s="25">
        <f>IFERROR(__xludf.DUMMYFUNCTION("""COMPUTED_VALUE"""),45108.0)</f>
        <v>45108</v>
      </c>
    </row>
    <row r="1651">
      <c r="A1651" s="10" t="s">
        <v>1466</v>
      </c>
      <c r="B1651" s="3" t="s">
        <v>1467</v>
      </c>
      <c r="C1651" s="10" t="s">
        <v>1514</v>
      </c>
      <c r="D1651" s="3" t="s">
        <v>1515</v>
      </c>
      <c r="E1651" s="4" t="s">
        <v>8</v>
      </c>
      <c r="F1651" s="5" t="s">
        <v>120</v>
      </c>
      <c r="G1651" s="6" t="s">
        <v>1523</v>
      </c>
      <c r="H1651" s="7">
        <v>45143.0</v>
      </c>
      <c r="I1651" s="8">
        <f t="shared" si="1"/>
        <v>5</v>
      </c>
      <c r="J1651" s="9">
        <f t="shared" si="2"/>
        <v>8</v>
      </c>
      <c r="K1651" s="9">
        <f t="shared" si="3"/>
        <v>2023</v>
      </c>
      <c r="M1651" s="25">
        <f>IFERROR(__xludf.DUMMYFUNCTION("""COMPUTED_VALUE"""),45143.0)</f>
        <v>45143</v>
      </c>
    </row>
    <row r="1652">
      <c r="A1652" s="10" t="s">
        <v>1466</v>
      </c>
      <c r="B1652" s="3" t="s">
        <v>1467</v>
      </c>
      <c r="C1652" s="10" t="s">
        <v>1514</v>
      </c>
      <c r="D1652" s="3" t="s">
        <v>1515</v>
      </c>
      <c r="E1652" s="4" t="s">
        <v>3</v>
      </c>
      <c r="F1652" s="5" t="s">
        <v>71</v>
      </c>
      <c r="G1652" s="6" t="s">
        <v>1524</v>
      </c>
      <c r="H1652" s="7">
        <v>45150.0</v>
      </c>
      <c r="I1652" s="8">
        <f t="shared" si="1"/>
        <v>12</v>
      </c>
      <c r="J1652" s="9">
        <f t="shared" si="2"/>
        <v>8</v>
      </c>
      <c r="K1652" s="9">
        <f t="shared" si="3"/>
        <v>2023</v>
      </c>
      <c r="M1652" s="25">
        <f>IFERROR(__xludf.DUMMYFUNCTION("""COMPUTED_VALUE"""),45150.0)</f>
        <v>45150</v>
      </c>
    </row>
    <row r="1653">
      <c r="A1653" s="10" t="s">
        <v>1466</v>
      </c>
      <c r="B1653" s="3" t="s">
        <v>1467</v>
      </c>
      <c r="C1653" s="10" t="s">
        <v>1514</v>
      </c>
      <c r="D1653" s="3" t="s">
        <v>1515</v>
      </c>
      <c r="E1653" s="4" t="s">
        <v>3</v>
      </c>
      <c r="F1653" s="5" t="s">
        <v>120</v>
      </c>
      <c r="G1653" s="6" t="s">
        <v>1525</v>
      </c>
      <c r="H1653" s="7">
        <v>45152.0</v>
      </c>
      <c r="I1653" s="8">
        <f t="shared" si="1"/>
        <v>14</v>
      </c>
      <c r="J1653" s="9">
        <f t="shared" si="2"/>
        <v>8</v>
      </c>
      <c r="K1653" s="9">
        <f t="shared" si="3"/>
        <v>2023</v>
      </c>
      <c r="M1653" s="25">
        <f>IFERROR(__xludf.DUMMYFUNCTION("""COMPUTED_VALUE"""),45152.0)</f>
        <v>45152</v>
      </c>
    </row>
    <row r="1654">
      <c r="A1654" s="10" t="s">
        <v>1466</v>
      </c>
      <c r="B1654" s="3" t="s">
        <v>1467</v>
      </c>
      <c r="C1654" s="10" t="s">
        <v>1514</v>
      </c>
      <c r="D1654" s="3" t="s">
        <v>1515</v>
      </c>
      <c r="E1654" s="4" t="s">
        <v>8</v>
      </c>
      <c r="F1654" s="5" t="s">
        <v>120</v>
      </c>
      <c r="G1654" s="6" t="s">
        <v>1526</v>
      </c>
      <c r="H1654" s="7">
        <v>45237.0</v>
      </c>
      <c r="I1654" s="8">
        <f t="shared" si="1"/>
        <v>7</v>
      </c>
      <c r="J1654" s="9">
        <f t="shared" si="2"/>
        <v>11</v>
      </c>
      <c r="K1654" s="9">
        <f t="shared" si="3"/>
        <v>2023</v>
      </c>
      <c r="M1654" s="25">
        <f>IFERROR(__xludf.DUMMYFUNCTION("""COMPUTED_VALUE"""),45237.0)</f>
        <v>45237</v>
      </c>
    </row>
    <row r="1655">
      <c r="A1655" s="10" t="s">
        <v>1466</v>
      </c>
      <c r="B1655" s="3" t="s">
        <v>1467</v>
      </c>
      <c r="C1655" s="10" t="s">
        <v>1514</v>
      </c>
      <c r="D1655" s="3" t="s">
        <v>1515</v>
      </c>
      <c r="E1655" s="4" t="s">
        <v>3</v>
      </c>
      <c r="F1655" s="5" t="s">
        <v>96</v>
      </c>
      <c r="G1655" s="6" t="s">
        <v>857</v>
      </c>
      <c r="H1655" s="7">
        <v>45238.0</v>
      </c>
      <c r="I1655" s="8">
        <f t="shared" si="1"/>
        <v>8</v>
      </c>
      <c r="J1655" s="9">
        <f t="shared" si="2"/>
        <v>11</v>
      </c>
      <c r="K1655" s="9">
        <f t="shared" si="3"/>
        <v>2023</v>
      </c>
      <c r="M1655" s="25">
        <f>IFERROR(__xludf.DUMMYFUNCTION("""COMPUTED_VALUE"""),45238.0)</f>
        <v>45238</v>
      </c>
    </row>
    <row r="1656">
      <c r="A1656" s="10" t="s">
        <v>1466</v>
      </c>
      <c r="B1656" s="3" t="s">
        <v>1467</v>
      </c>
      <c r="C1656" s="10" t="s">
        <v>1514</v>
      </c>
      <c r="D1656" s="3" t="s">
        <v>1515</v>
      </c>
      <c r="E1656" s="4" t="s">
        <v>3</v>
      </c>
      <c r="F1656" s="5" t="s">
        <v>15</v>
      </c>
      <c r="G1656" s="6" t="s">
        <v>325</v>
      </c>
      <c r="H1656" s="7">
        <v>45245.0</v>
      </c>
      <c r="I1656" s="8">
        <f t="shared" si="1"/>
        <v>15</v>
      </c>
      <c r="J1656" s="9">
        <f t="shared" si="2"/>
        <v>11</v>
      </c>
      <c r="K1656" s="9">
        <f t="shared" si="3"/>
        <v>2023</v>
      </c>
      <c r="M1656" s="25">
        <f>IFERROR(__xludf.DUMMYFUNCTION("""COMPUTED_VALUE"""),45245.0)</f>
        <v>45245</v>
      </c>
    </row>
    <row r="1657">
      <c r="A1657" s="10" t="s">
        <v>1466</v>
      </c>
      <c r="B1657" s="3" t="s">
        <v>1467</v>
      </c>
      <c r="C1657" s="10" t="s">
        <v>1514</v>
      </c>
      <c r="D1657" s="3" t="s">
        <v>1515</v>
      </c>
      <c r="E1657" s="4" t="s">
        <v>8</v>
      </c>
      <c r="F1657" s="5" t="s">
        <v>21</v>
      </c>
      <c r="G1657" s="6" t="s">
        <v>1527</v>
      </c>
      <c r="H1657" s="7">
        <v>45261.0</v>
      </c>
      <c r="I1657" s="8">
        <f t="shared" si="1"/>
        <v>1</v>
      </c>
      <c r="J1657" s="9">
        <f t="shared" si="2"/>
        <v>12</v>
      </c>
      <c r="K1657" s="9">
        <f t="shared" si="3"/>
        <v>2023</v>
      </c>
      <c r="M1657" s="25">
        <f>IFERROR(__xludf.DUMMYFUNCTION("""COMPUTED_VALUE"""),45261.0)</f>
        <v>45261</v>
      </c>
    </row>
    <row r="1658">
      <c r="A1658" s="10" t="s">
        <v>1466</v>
      </c>
      <c r="B1658" s="3" t="s">
        <v>1467</v>
      </c>
      <c r="C1658" s="10" t="s">
        <v>1514</v>
      </c>
      <c r="D1658" s="3" t="s">
        <v>1515</v>
      </c>
      <c r="E1658" s="4" t="s">
        <v>3</v>
      </c>
      <c r="F1658" s="5" t="s">
        <v>23</v>
      </c>
      <c r="G1658" s="6" t="s">
        <v>1528</v>
      </c>
      <c r="H1658" s="7">
        <v>45266.0</v>
      </c>
      <c r="I1658" s="8">
        <f t="shared" si="1"/>
        <v>6</v>
      </c>
      <c r="J1658" s="9">
        <f t="shared" si="2"/>
        <v>12</v>
      </c>
      <c r="K1658" s="9">
        <f t="shared" si="3"/>
        <v>2023</v>
      </c>
      <c r="M1658" s="25">
        <f>IFERROR(__xludf.DUMMYFUNCTION("""COMPUTED_VALUE"""),45266.0)</f>
        <v>45266</v>
      </c>
    </row>
    <row r="1659">
      <c r="A1659" s="10" t="s">
        <v>1466</v>
      </c>
      <c r="B1659" s="3" t="s">
        <v>1467</v>
      </c>
      <c r="C1659" s="10" t="s">
        <v>1514</v>
      </c>
      <c r="D1659" s="3" t="s">
        <v>1515</v>
      </c>
      <c r="E1659" s="4" t="s">
        <v>8</v>
      </c>
      <c r="F1659" s="5" t="s">
        <v>6</v>
      </c>
      <c r="G1659" s="6" t="s">
        <v>1529</v>
      </c>
      <c r="H1659" s="7">
        <v>45270.0</v>
      </c>
      <c r="I1659" s="8">
        <f t="shared" si="1"/>
        <v>10</v>
      </c>
      <c r="J1659" s="9">
        <f t="shared" si="2"/>
        <v>12</v>
      </c>
      <c r="K1659" s="9">
        <f t="shared" si="3"/>
        <v>2023</v>
      </c>
      <c r="M1659" s="25">
        <f>IFERROR(__xludf.DUMMYFUNCTION("""COMPUTED_VALUE"""),45270.0)</f>
        <v>45270</v>
      </c>
    </row>
    <row r="1660">
      <c r="A1660" s="10" t="s">
        <v>1466</v>
      </c>
      <c r="B1660" s="3" t="s">
        <v>1467</v>
      </c>
      <c r="C1660" s="10" t="s">
        <v>1514</v>
      </c>
      <c r="D1660" s="3" t="s">
        <v>1515</v>
      </c>
      <c r="E1660" s="4" t="s">
        <v>3</v>
      </c>
      <c r="F1660" s="5" t="s">
        <v>39</v>
      </c>
      <c r="G1660" s="6" t="s">
        <v>1068</v>
      </c>
      <c r="H1660" s="7">
        <v>45283.0</v>
      </c>
      <c r="I1660" s="8">
        <f t="shared" si="1"/>
        <v>23</v>
      </c>
      <c r="J1660" s="9">
        <f t="shared" si="2"/>
        <v>12</v>
      </c>
      <c r="K1660" s="9">
        <f t="shared" si="3"/>
        <v>2023</v>
      </c>
      <c r="M1660" s="25">
        <f>IFERROR(__xludf.DUMMYFUNCTION("""COMPUTED_VALUE"""),45283.0)</f>
        <v>45283</v>
      </c>
    </row>
    <row r="1661">
      <c r="A1661" s="10" t="s">
        <v>1483</v>
      </c>
      <c r="B1661" s="3" t="s">
        <v>1484</v>
      </c>
      <c r="C1661" s="10" t="s">
        <v>1530</v>
      </c>
      <c r="D1661" s="3" t="s">
        <v>1531</v>
      </c>
      <c r="E1661" s="4" t="s">
        <v>8</v>
      </c>
      <c r="F1661" s="5" t="s">
        <v>23</v>
      </c>
      <c r="G1661" s="6" t="s">
        <v>1532</v>
      </c>
      <c r="H1661" s="7">
        <v>44938.0</v>
      </c>
      <c r="I1661" s="8">
        <f t="shared" si="1"/>
        <v>12</v>
      </c>
      <c r="J1661" s="9">
        <f t="shared" si="2"/>
        <v>1</v>
      </c>
      <c r="K1661" s="9">
        <f t="shared" si="3"/>
        <v>2023</v>
      </c>
      <c r="M1661" s="25">
        <f>IFERROR(__xludf.DUMMYFUNCTION("""COMPUTED_VALUE"""),44938.0)</f>
        <v>44938</v>
      </c>
    </row>
    <row r="1662">
      <c r="A1662" s="10" t="s">
        <v>1483</v>
      </c>
      <c r="B1662" s="3" t="s">
        <v>1484</v>
      </c>
      <c r="C1662" s="10" t="s">
        <v>1530</v>
      </c>
      <c r="D1662" s="3" t="s">
        <v>1531</v>
      </c>
      <c r="E1662" s="4" t="s">
        <v>8</v>
      </c>
      <c r="F1662" s="5" t="s">
        <v>120</v>
      </c>
      <c r="G1662" s="6" t="s">
        <v>1533</v>
      </c>
      <c r="H1662" s="7">
        <v>44940.0</v>
      </c>
      <c r="I1662" s="8">
        <f t="shared" si="1"/>
        <v>14</v>
      </c>
      <c r="J1662" s="9">
        <f t="shared" si="2"/>
        <v>1</v>
      </c>
      <c r="K1662" s="9">
        <f t="shared" si="3"/>
        <v>2023</v>
      </c>
      <c r="M1662" s="25">
        <f>IFERROR(__xludf.DUMMYFUNCTION("""COMPUTED_VALUE"""),44940.0)</f>
        <v>44940</v>
      </c>
    </row>
    <row r="1663">
      <c r="A1663" s="10" t="s">
        <v>1483</v>
      </c>
      <c r="B1663" s="3" t="s">
        <v>1484</v>
      </c>
      <c r="C1663" s="10" t="s">
        <v>1530</v>
      </c>
      <c r="D1663" s="3" t="s">
        <v>1531</v>
      </c>
      <c r="E1663" s="4" t="s">
        <v>8</v>
      </c>
      <c r="F1663" s="5" t="s">
        <v>71</v>
      </c>
      <c r="G1663" s="6" t="s">
        <v>1534</v>
      </c>
      <c r="H1663" s="7">
        <v>44968.0</v>
      </c>
      <c r="I1663" s="8">
        <f t="shared" si="1"/>
        <v>11</v>
      </c>
      <c r="J1663" s="9">
        <f t="shared" si="2"/>
        <v>2</v>
      </c>
      <c r="K1663" s="9">
        <f t="shared" si="3"/>
        <v>2023</v>
      </c>
      <c r="M1663" s="25">
        <f>IFERROR(__xludf.DUMMYFUNCTION("""COMPUTED_VALUE"""),44968.0)</f>
        <v>44968</v>
      </c>
    </row>
    <row r="1664">
      <c r="A1664" s="10" t="s">
        <v>1483</v>
      </c>
      <c r="B1664" s="3" t="s">
        <v>1484</v>
      </c>
      <c r="C1664" s="10" t="s">
        <v>1530</v>
      </c>
      <c r="D1664" s="3" t="s">
        <v>1531</v>
      </c>
      <c r="E1664" s="4" t="s">
        <v>8</v>
      </c>
      <c r="F1664" s="5" t="s">
        <v>120</v>
      </c>
      <c r="G1664" s="6" t="s">
        <v>1535</v>
      </c>
      <c r="H1664" s="7">
        <v>44973.0</v>
      </c>
      <c r="I1664" s="8">
        <f t="shared" si="1"/>
        <v>16</v>
      </c>
      <c r="J1664" s="9">
        <f t="shared" si="2"/>
        <v>2</v>
      </c>
      <c r="K1664" s="9">
        <f t="shared" si="3"/>
        <v>2023</v>
      </c>
      <c r="M1664" s="25">
        <f>IFERROR(__xludf.DUMMYFUNCTION("""COMPUTED_VALUE"""),44973.0)</f>
        <v>44973</v>
      </c>
    </row>
    <row r="1665">
      <c r="A1665" s="10" t="s">
        <v>1483</v>
      </c>
      <c r="B1665" s="3" t="s">
        <v>1484</v>
      </c>
      <c r="C1665" s="10" t="s">
        <v>1530</v>
      </c>
      <c r="D1665" s="3" t="s">
        <v>1531</v>
      </c>
      <c r="E1665" s="4" t="s">
        <v>3</v>
      </c>
      <c r="F1665" s="5" t="s">
        <v>96</v>
      </c>
      <c r="G1665" s="6" t="s">
        <v>1536</v>
      </c>
      <c r="H1665" s="7">
        <v>45000.0</v>
      </c>
      <c r="I1665" s="8">
        <f t="shared" si="1"/>
        <v>15</v>
      </c>
      <c r="J1665" s="9">
        <f t="shared" si="2"/>
        <v>3</v>
      </c>
      <c r="K1665" s="9">
        <f t="shared" si="3"/>
        <v>2023</v>
      </c>
      <c r="M1665" s="25">
        <f>IFERROR(__xludf.DUMMYFUNCTION("""COMPUTED_VALUE"""),45000.0)</f>
        <v>45000</v>
      </c>
    </row>
    <row r="1666">
      <c r="A1666" s="10" t="s">
        <v>1483</v>
      </c>
      <c r="B1666" s="3" t="s">
        <v>1484</v>
      </c>
      <c r="C1666" s="10" t="s">
        <v>1530</v>
      </c>
      <c r="D1666" s="3" t="s">
        <v>1531</v>
      </c>
      <c r="E1666" s="4" t="s">
        <v>8</v>
      </c>
      <c r="F1666" s="5" t="s">
        <v>21</v>
      </c>
      <c r="G1666" s="6" t="s">
        <v>764</v>
      </c>
      <c r="H1666" s="7">
        <v>45033.0</v>
      </c>
      <c r="I1666" s="8">
        <f t="shared" si="1"/>
        <v>17</v>
      </c>
      <c r="J1666" s="9">
        <f t="shared" si="2"/>
        <v>4</v>
      </c>
      <c r="K1666" s="9">
        <f t="shared" si="3"/>
        <v>2023</v>
      </c>
      <c r="M1666" s="25">
        <f>IFERROR(__xludf.DUMMYFUNCTION("""COMPUTED_VALUE"""),45033.0)</f>
        <v>45033</v>
      </c>
    </row>
    <row r="1667">
      <c r="A1667" s="10" t="s">
        <v>1483</v>
      </c>
      <c r="B1667" s="3" t="s">
        <v>1484</v>
      </c>
      <c r="C1667" s="10" t="s">
        <v>1530</v>
      </c>
      <c r="D1667" s="3" t="s">
        <v>1531</v>
      </c>
      <c r="E1667" s="4" t="s">
        <v>8</v>
      </c>
      <c r="F1667" s="5" t="s">
        <v>4</v>
      </c>
      <c r="G1667" s="6" t="s">
        <v>1537</v>
      </c>
      <c r="H1667" s="7">
        <v>45049.0</v>
      </c>
      <c r="I1667" s="8">
        <f t="shared" si="1"/>
        <v>3</v>
      </c>
      <c r="J1667" s="9">
        <f t="shared" si="2"/>
        <v>5</v>
      </c>
      <c r="K1667" s="9">
        <f t="shared" si="3"/>
        <v>2023</v>
      </c>
      <c r="M1667" s="25">
        <f>IFERROR(__xludf.DUMMYFUNCTION("""COMPUTED_VALUE"""),45049.0)</f>
        <v>45049</v>
      </c>
    </row>
    <row r="1668">
      <c r="A1668" s="10" t="s">
        <v>1483</v>
      </c>
      <c r="B1668" s="3" t="s">
        <v>1484</v>
      </c>
      <c r="C1668" s="10" t="s">
        <v>1530</v>
      </c>
      <c r="D1668" s="3" t="s">
        <v>1531</v>
      </c>
      <c r="E1668" s="4" t="s">
        <v>8</v>
      </c>
      <c r="F1668" s="5" t="s">
        <v>17</v>
      </c>
      <c r="G1668" s="6" t="s">
        <v>1538</v>
      </c>
      <c r="H1668" s="7">
        <v>45083.0</v>
      </c>
      <c r="I1668" s="8">
        <f t="shared" si="1"/>
        <v>6</v>
      </c>
      <c r="J1668" s="9">
        <f t="shared" si="2"/>
        <v>6</v>
      </c>
      <c r="K1668" s="9">
        <f t="shared" si="3"/>
        <v>2023</v>
      </c>
      <c r="M1668" s="25">
        <f>IFERROR(__xludf.DUMMYFUNCTION("""COMPUTED_VALUE"""),45083.0)</f>
        <v>45083</v>
      </c>
    </row>
    <row r="1669">
      <c r="A1669" s="10" t="s">
        <v>1483</v>
      </c>
      <c r="B1669" s="3" t="s">
        <v>1484</v>
      </c>
      <c r="C1669" s="10" t="s">
        <v>1530</v>
      </c>
      <c r="D1669" s="3" t="s">
        <v>1531</v>
      </c>
      <c r="E1669" s="4" t="s">
        <v>3</v>
      </c>
      <c r="F1669" s="5" t="s">
        <v>17</v>
      </c>
      <c r="G1669" s="6" t="s">
        <v>611</v>
      </c>
      <c r="H1669" s="7">
        <v>45085.0</v>
      </c>
      <c r="I1669" s="8">
        <f t="shared" si="1"/>
        <v>8</v>
      </c>
      <c r="J1669" s="9">
        <f t="shared" si="2"/>
        <v>6</v>
      </c>
      <c r="K1669" s="9">
        <f t="shared" si="3"/>
        <v>2023</v>
      </c>
      <c r="M1669" s="25">
        <f>IFERROR(__xludf.DUMMYFUNCTION("""COMPUTED_VALUE"""),45085.0)</f>
        <v>45085</v>
      </c>
    </row>
    <row r="1670">
      <c r="A1670" s="10" t="s">
        <v>1483</v>
      </c>
      <c r="B1670" s="3" t="s">
        <v>1484</v>
      </c>
      <c r="C1670" s="10" t="s">
        <v>1530</v>
      </c>
      <c r="D1670" s="3" t="s">
        <v>1531</v>
      </c>
      <c r="E1670" s="4" t="s">
        <v>8</v>
      </c>
      <c r="F1670" s="5" t="s">
        <v>21</v>
      </c>
      <c r="G1670" s="6" t="s">
        <v>1539</v>
      </c>
      <c r="H1670" s="7">
        <v>45101.0</v>
      </c>
      <c r="I1670" s="8">
        <f t="shared" si="1"/>
        <v>24</v>
      </c>
      <c r="J1670" s="9">
        <f t="shared" si="2"/>
        <v>6</v>
      </c>
      <c r="K1670" s="9">
        <f t="shared" si="3"/>
        <v>2023</v>
      </c>
      <c r="M1670" s="25">
        <f>IFERROR(__xludf.DUMMYFUNCTION("""COMPUTED_VALUE"""),45101.0)</f>
        <v>45101</v>
      </c>
    </row>
    <row r="1671">
      <c r="A1671" s="10" t="s">
        <v>1483</v>
      </c>
      <c r="B1671" s="3" t="s">
        <v>1484</v>
      </c>
      <c r="C1671" s="10" t="s">
        <v>1530</v>
      </c>
      <c r="D1671" s="3" t="s">
        <v>1531</v>
      </c>
      <c r="E1671" s="4" t="s">
        <v>3</v>
      </c>
      <c r="F1671" s="5" t="s">
        <v>39</v>
      </c>
      <c r="G1671" s="6" t="s">
        <v>1540</v>
      </c>
      <c r="H1671" s="7">
        <v>45108.0</v>
      </c>
      <c r="I1671" s="8">
        <f t="shared" si="1"/>
        <v>1</v>
      </c>
      <c r="J1671" s="9">
        <f t="shared" si="2"/>
        <v>7</v>
      </c>
      <c r="K1671" s="9">
        <f t="shared" si="3"/>
        <v>2023</v>
      </c>
      <c r="M1671" s="25">
        <f>IFERROR(__xludf.DUMMYFUNCTION("""COMPUTED_VALUE"""),45108.0)</f>
        <v>45108</v>
      </c>
    </row>
    <row r="1672">
      <c r="A1672" s="10" t="s">
        <v>1483</v>
      </c>
      <c r="B1672" s="3" t="s">
        <v>1484</v>
      </c>
      <c r="C1672" s="10" t="s">
        <v>1530</v>
      </c>
      <c r="D1672" s="3" t="s">
        <v>1531</v>
      </c>
      <c r="E1672" s="4" t="s">
        <v>8</v>
      </c>
      <c r="F1672" s="5" t="s">
        <v>23</v>
      </c>
      <c r="G1672" s="6" t="s">
        <v>1541</v>
      </c>
      <c r="H1672" s="7">
        <v>45148.0</v>
      </c>
      <c r="I1672" s="8">
        <f t="shared" si="1"/>
        <v>10</v>
      </c>
      <c r="J1672" s="9">
        <f t="shared" si="2"/>
        <v>8</v>
      </c>
      <c r="K1672" s="9">
        <f t="shared" si="3"/>
        <v>2023</v>
      </c>
      <c r="M1672" s="25">
        <f>IFERROR(__xludf.DUMMYFUNCTION("""COMPUTED_VALUE"""),45148.0)</f>
        <v>45148</v>
      </c>
    </row>
    <row r="1673">
      <c r="A1673" s="10" t="s">
        <v>1483</v>
      </c>
      <c r="B1673" s="3" t="s">
        <v>1484</v>
      </c>
      <c r="C1673" s="10" t="s">
        <v>1530</v>
      </c>
      <c r="D1673" s="3" t="s">
        <v>1531</v>
      </c>
      <c r="E1673" s="4" t="s">
        <v>3</v>
      </c>
      <c r="F1673" s="5" t="s">
        <v>96</v>
      </c>
      <c r="G1673" s="6" t="s">
        <v>1542</v>
      </c>
      <c r="H1673" s="7">
        <v>45173.0</v>
      </c>
      <c r="I1673" s="8">
        <f t="shared" si="1"/>
        <v>4</v>
      </c>
      <c r="J1673" s="9">
        <f t="shared" si="2"/>
        <v>9</v>
      </c>
      <c r="K1673" s="9">
        <f t="shared" si="3"/>
        <v>2023</v>
      </c>
      <c r="M1673" s="25">
        <f>IFERROR(__xludf.DUMMYFUNCTION("""COMPUTED_VALUE"""),45173.0)</f>
        <v>45173</v>
      </c>
    </row>
    <row r="1674">
      <c r="A1674" s="10" t="s">
        <v>1483</v>
      </c>
      <c r="B1674" s="3" t="s">
        <v>1484</v>
      </c>
      <c r="C1674" s="10" t="s">
        <v>1530</v>
      </c>
      <c r="D1674" s="3" t="s">
        <v>1531</v>
      </c>
      <c r="E1674" s="4" t="s">
        <v>3</v>
      </c>
      <c r="F1674" s="5" t="s">
        <v>51</v>
      </c>
      <c r="G1674" s="6" t="s">
        <v>1543</v>
      </c>
      <c r="H1674" s="7">
        <v>45188.0</v>
      </c>
      <c r="I1674" s="8">
        <f t="shared" si="1"/>
        <v>19</v>
      </c>
      <c r="J1674" s="9">
        <f t="shared" si="2"/>
        <v>9</v>
      </c>
      <c r="K1674" s="9">
        <f t="shared" si="3"/>
        <v>2023</v>
      </c>
      <c r="M1674" s="25">
        <f>IFERROR(__xludf.DUMMYFUNCTION("""COMPUTED_VALUE"""),45188.0)</f>
        <v>45188</v>
      </c>
    </row>
    <row r="1675">
      <c r="A1675" s="10" t="s">
        <v>1483</v>
      </c>
      <c r="B1675" s="3" t="s">
        <v>1484</v>
      </c>
      <c r="C1675" s="10" t="s">
        <v>1530</v>
      </c>
      <c r="D1675" s="3" t="s">
        <v>1531</v>
      </c>
      <c r="E1675" s="4" t="s">
        <v>8</v>
      </c>
      <c r="F1675" s="5" t="s">
        <v>15</v>
      </c>
      <c r="G1675" s="6" t="s">
        <v>1230</v>
      </c>
      <c r="H1675" s="7">
        <v>45193.0</v>
      </c>
      <c r="I1675" s="8">
        <f t="shared" si="1"/>
        <v>24</v>
      </c>
      <c r="J1675" s="9">
        <f t="shared" si="2"/>
        <v>9</v>
      </c>
      <c r="K1675" s="9">
        <f t="shared" si="3"/>
        <v>2023</v>
      </c>
      <c r="M1675" s="25">
        <f>IFERROR(__xludf.DUMMYFUNCTION("""COMPUTED_VALUE"""),45193.0)</f>
        <v>45193</v>
      </c>
    </row>
    <row r="1676">
      <c r="A1676" s="10" t="s">
        <v>1483</v>
      </c>
      <c r="B1676" s="3" t="s">
        <v>1484</v>
      </c>
      <c r="C1676" s="10" t="s">
        <v>1530</v>
      </c>
      <c r="D1676" s="3" t="s">
        <v>1531</v>
      </c>
      <c r="E1676" s="4" t="s">
        <v>3</v>
      </c>
      <c r="F1676" s="5" t="s">
        <v>15</v>
      </c>
      <c r="G1676" s="6" t="s">
        <v>1178</v>
      </c>
      <c r="H1676" s="7">
        <v>45216.0</v>
      </c>
      <c r="I1676" s="8">
        <f t="shared" si="1"/>
        <v>17</v>
      </c>
      <c r="J1676" s="9">
        <f t="shared" si="2"/>
        <v>10</v>
      </c>
      <c r="K1676" s="9">
        <f t="shared" si="3"/>
        <v>2023</v>
      </c>
      <c r="M1676" s="25">
        <f>IFERROR(__xludf.DUMMYFUNCTION("""COMPUTED_VALUE"""),45216.0)</f>
        <v>45216</v>
      </c>
    </row>
    <row r="1677">
      <c r="A1677" s="10" t="s">
        <v>1483</v>
      </c>
      <c r="B1677" s="3" t="s">
        <v>1484</v>
      </c>
      <c r="C1677" s="10" t="s">
        <v>1530</v>
      </c>
      <c r="D1677" s="3" t="s">
        <v>1531</v>
      </c>
      <c r="E1677" s="4" t="s">
        <v>8</v>
      </c>
      <c r="F1677" s="5" t="s">
        <v>39</v>
      </c>
      <c r="G1677" s="6" t="s">
        <v>1544</v>
      </c>
      <c r="H1677" s="7">
        <v>45222.0</v>
      </c>
      <c r="I1677" s="8">
        <f t="shared" si="1"/>
        <v>23</v>
      </c>
      <c r="J1677" s="9">
        <f t="shared" si="2"/>
        <v>10</v>
      </c>
      <c r="K1677" s="9">
        <f t="shared" si="3"/>
        <v>2023</v>
      </c>
      <c r="M1677" s="25">
        <f>IFERROR(__xludf.DUMMYFUNCTION("""COMPUTED_VALUE"""),45222.0)</f>
        <v>45222</v>
      </c>
    </row>
    <row r="1678">
      <c r="A1678" s="10" t="s">
        <v>1483</v>
      </c>
      <c r="B1678" s="3" t="s">
        <v>1484</v>
      </c>
      <c r="C1678" s="10" t="s">
        <v>1530</v>
      </c>
      <c r="D1678" s="3" t="s">
        <v>1531</v>
      </c>
      <c r="E1678" s="4" t="s">
        <v>8</v>
      </c>
      <c r="F1678" s="5" t="s">
        <v>42</v>
      </c>
      <c r="G1678" s="6" t="s">
        <v>504</v>
      </c>
      <c r="H1678" s="7">
        <v>45222.0</v>
      </c>
      <c r="I1678" s="8">
        <f t="shared" si="1"/>
        <v>23</v>
      </c>
      <c r="J1678" s="9">
        <f t="shared" si="2"/>
        <v>10</v>
      </c>
      <c r="K1678" s="9">
        <f t="shared" si="3"/>
        <v>2023</v>
      </c>
      <c r="M1678" s="25">
        <f>IFERROR(__xludf.DUMMYFUNCTION("""COMPUTED_VALUE"""),45222.0)</f>
        <v>45222</v>
      </c>
    </row>
    <row r="1679">
      <c r="A1679" s="10" t="s">
        <v>1483</v>
      </c>
      <c r="B1679" s="3" t="s">
        <v>1484</v>
      </c>
      <c r="C1679" s="10" t="s">
        <v>1530</v>
      </c>
      <c r="D1679" s="3" t="s">
        <v>1531</v>
      </c>
      <c r="E1679" s="4" t="s">
        <v>8</v>
      </c>
      <c r="F1679" s="5" t="s">
        <v>39</v>
      </c>
      <c r="G1679" s="6" t="s">
        <v>1545</v>
      </c>
      <c r="H1679" s="7">
        <v>45262.0</v>
      </c>
      <c r="I1679" s="8">
        <f t="shared" si="1"/>
        <v>2</v>
      </c>
      <c r="J1679" s="9">
        <f t="shared" si="2"/>
        <v>12</v>
      </c>
      <c r="K1679" s="9">
        <f t="shared" si="3"/>
        <v>2023</v>
      </c>
      <c r="M1679" s="25">
        <f>IFERROR(__xludf.DUMMYFUNCTION("""COMPUTED_VALUE"""),45262.0)</f>
        <v>45262</v>
      </c>
    </row>
    <row r="1680">
      <c r="A1680" s="10" t="s">
        <v>1483</v>
      </c>
      <c r="B1680" s="3" t="s">
        <v>1484</v>
      </c>
      <c r="C1680" s="10" t="s">
        <v>1530</v>
      </c>
      <c r="D1680" s="3" t="s">
        <v>1531</v>
      </c>
      <c r="E1680" s="4" t="s">
        <v>3</v>
      </c>
      <c r="F1680" s="5" t="s">
        <v>76</v>
      </c>
      <c r="G1680" s="6" t="s">
        <v>1546</v>
      </c>
      <c r="H1680" s="7">
        <v>45266.0</v>
      </c>
      <c r="I1680" s="8">
        <f t="shared" si="1"/>
        <v>6</v>
      </c>
      <c r="J1680" s="9">
        <f t="shared" si="2"/>
        <v>12</v>
      </c>
      <c r="K1680" s="9">
        <f t="shared" si="3"/>
        <v>2023</v>
      </c>
      <c r="M1680" s="25">
        <f>IFERROR(__xludf.DUMMYFUNCTION("""COMPUTED_VALUE"""),45266.0)</f>
        <v>45266</v>
      </c>
    </row>
    <row r="1681">
      <c r="A1681" s="10" t="s">
        <v>1497</v>
      </c>
      <c r="B1681" s="3" t="s">
        <v>1498</v>
      </c>
      <c r="C1681" s="10" t="s">
        <v>1547</v>
      </c>
      <c r="D1681" s="3" t="s">
        <v>1548</v>
      </c>
      <c r="E1681" s="4" t="s">
        <v>8</v>
      </c>
      <c r="F1681" s="5" t="s">
        <v>76</v>
      </c>
      <c r="G1681" s="6" t="s">
        <v>329</v>
      </c>
      <c r="H1681" s="7">
        <v>44952.0</v>
      </c>
      <c r="I1681" s="8">
        <f t="shared" si="1"/>
        <v>26</v>
      </c>
      <c r="J1681" s="9">
        <f t="shared" si="2"/>
        <v>1</v>
      </c>
      <c r="K1681" s="9">
        <f t="shared" si="3"/>
        <v>2023</v>
      </c>
      <c r="M1681" s="25">
        <f>IFERROR(__xludf.DUMMYFUNCTION("""COMPUTED_VALUE"""),44952.0)</f>
        <v>44952</v>
      </c>
    </row>
    <row r="1682">
      <c r="A1682" s="10" t="s">
        <v>1497</v>
      </c>
      <c r="B1682" s="3" t="s">
        <v>1498</v>
      </c>
      <c r="C1682" s="10" t="s">
        <v>1547</v>
      </c>
      <c r="D1682" s="3" t="s">
        <v>1548</v>
      </c>
      <c r="E1682" s="4" t="s">
        <v>3</v>
      </c>
      <c r="F1682" s="5" t="s">
        <v>17</v>
      </c>
      <c r="G1682" s="6" t="s">
        <v>1549</v>
      </c>
      <c r="H1682" s="7">
        <v>44958.0</v>
      </c>
      <c r="I1682" s="8">
        <f t="shared" si="1"/>
        <v>1</v>
      </c>
      <c r="J1682" s="9">
        <f t="shared" si="2"/>
        <v>2</v>
      </c>
      <c r="K1682" s="9">
        <f t="shared" si="3"/>
        <v>2023</v>
      </c>
      <c r="M1682" s="25">
        <f>IFERROR(__xludf.DUMMYFUNCTION("""COMPUTED_VALUE"""),44958.0)</f>
        <v>44958</v>
      </c>
    </row>
    <row r="1683">
      <c r="A1683" s="10" t="s">
        <v>1497</v>
      </c>
      <c r="B1683" s="3" t="s">
        <v>1498</v>
      </c>
      <c r="C1683" s="10" t="s">
        <v>1547</v>
      </c>
      <c r="D1683" s="3" t="s">
        <v>1548</v>
      </c>
      <c r="E1683" s="4" t="s">
        <v>8</v>
      </c>
      <c r="F1683" s="5" t="s">
        <v>71</v>
      </c>
      <c r="G1683" s="6" t="s">
        <v>1550</v>
      </c>
      <c r="H1683" s="7">
        <v>44961.0</v>
      </c>
      <c r="I1683" s="8">
        <f t="shared" si="1"/>
        <v>4</v>
      </c>
      <c r="J1683" s="9">
        <f t="shared" si="2"/>
        <v>2</v>
      </c>
      <c r="K1683" s="9">
        <f t="shared" si="3"/>
        <v>2023</v>
      </c>
      <c r="M1683" s="25">
        <f>IFERROR(__xludf.DUMMYFUNCTION("""COMPUTED_VALUE"""),44961.0)</f>
        <v>44961</v>
      </c>
    </row>
    <row r="1684">
      <c r="A1684" s="10" t="s">
        <v>1497</v>
      </c>
      <c r="B1684" s="3" t="s">
        <v>1498</v>
      </c>
      <c r="C1684" s="10" t="s">
        <v>1547</v>
      </c>
      <c r="D1684" s="3" t="s">
        <v>1548</v>
      </c>
      <c r="E1684" s="4" t="s">
        <v>8</v>
      </c>
      <c r="F1684" s="5" t="s">
        <v>28</v>
      </c>
      <c r="G1684" s="6" t="s">
        <v>1426</v>
      </c>
      <c r="H1684" s="7">
        <v>44980.0</v>
      </c>
      <c r="I1684" s="8">
        <f t="shared" si="1"/>
        <v>23</v>
      </c>
      <c r="J1684" s="9">
        <f t="shared" si="2"/>
        <v>2</v>
      </c>
      <c r="K1684" s="9">
        <f t="shared" si="3"/>
        <v>2023</v>
      </c>
      <c r="M1684" s="25">
        <f>IFERROR(__xludf.DUMMYFUNCTION("""COMPUTED_VALUE"""),44980.0)</f>
        <v>44980</v>
      </c>
    </row>
    <row r="1685">
      <c r="A1685" s="10" t="s">
        <v>1497</v>
      </c>
      <c r="B1685" s="3" t="s">
        <v>1498</v>
      </c>
      <c r="C1685" s="10" t="s">
        <v>1547</v>
      </c>
      <c r="D1685" s="3" t="s">
        <v>1548</v>
      </c>
      <c r="E1685" s="4" t="s">
        <v>3</v>
      </c>
      <c r="F1685" s="5" t="s">
        <v>4</v>
      </c>
      <c r="G1685" s="6" t="s">
        <v>1551</v>
      </c>
      <c r="H1685" s="7">
        <v>45031.0</v>
      </c>
      <c r="I1685" s="8">
        <f t="shared" si="1"/>
        <v>15</v>
      </c>
      <c r="J1685" s="9">
        <f t="shared" si="2"/>
        <v>4</v>
      </c>
      <c r="K1685" s="9">
        <f t="shared" si="3"/>
        <v>2023</v>
      </c>
      <c r="M1685" s="25">
        <f>IFERROR(__xludf.DUMMYFUNCTION("""COMPUTED_VALUE"""),45031.0)</f>
        <v>45031</v>
      </c>
    </row>
    <row r="1686">
      <c r="A1686" s="10" t="s">
        <v>1497</v>
      </c>
      <c r="B1686" s="3" t="s">
        <v>1498</v>
      </c>
      <c r="C1686" s="10" t="s">
        <v>1547</v>
      </c>
      <c r="D1686" s="3" t="s">
        <v>1548</v>
      </c>
      <c r="E1686" s="4" t="s">
        <v>3</v>
      </c>
      <c r="F1686" s="5" t="s">
        <v>39</v>
      </c>
      <c r="G1686" s="6" t="s">
        <v>1552</v>
      </c>
      <c r="H1686" s="7">
        <v>45039.0</v>
      </c>
      <c r="I1686" s="8">
        <f t="shared" si="1"/>
        <v>23</v>
      </c>
      <c r="J1686" s="9">
        <f t="shared" si="2"/>
        <v>4</v>
      </c>
      <c r="K1686" s="9">
        <f t="shared" si="3"/>
        <v>2023</v>
      </c>
      <c r="M1686" s="25">
        <f>IFERROR(__xludf.DUMMYFUNCTION("""COMPUTED_VALUE"""),45039.0)</f>
        <v>45039</v>
      </c>
    </row>
    <row r="1687">
      <c r="A1687" s="10" t="s">
        <v>1497</v>
      </c>
      <c r="B1687" s="3" t="s">
        <v>1498</v>
      </c>
      <c r="C1687" s="10" t="s">
        <v>1547</v>
      </c>
      <c r="D1687" s="3" t="s">
        <v>1548</v>
      </c>
      <c r="E1687" s="4" t="s">
        <v>8</v>
      </c>
      <c r="F1687" s="5" t="s">
        <v>35</v>
      </c>
      <c r="G1687" s="6" t="s">
        <v>267</v>
      </c>
      <c r="H1687" s="7">
        <v>45064.0</v>
      </c>
      <c r="I1687" s="8">
        <f t="shared" si="1"/>
        <v>18</v>
      </c>
      <c r="J1687" s="9">
        <f t="shared" si="2"/>
        <v>5</v>
      </c>
      <c r="K1687" s="9">
        <f t="shared" si="3"/>
        <v>2023</v>
      </c>
      <c r="M1687" s="25">
        <f>IFERROR(__xludf.DUMMYFUNCTION("""COMPUTED_VALUE"""),45064.0)</f>
        <v>45064</v>
      </c>
    </row>
    <row r="1688">
      <c r="A1688" s="10" t="s">
        <v>1497</v>
      </c>
      <c r="B1688" s="3" t="s">
        <v>1498</v>
      </c>
      <c r="C1688" s="10" t="s">
        <v>1547</v>
      </c>
      <c r="D1688" s="3" t="s">
        <v>1548</v>
      </c>
      <c r="E1688" s="4" t="s">
        <v>3</v>
      </c>
      <c r="F1688" s="5" t="s">
        <v>15</v>
      </c>
      <c r="G1688" s="6" t="s">
        <v>615</v>
      </c>
      <c r="H1688" s="7">
        <v>45123.0</v>
      </c>
      <c r="I1688" s="8">
        <f t="shared" si="1"/>
        <v>16</v>
      </c>
      <c r="J1688" s="9">
        <f t="shared" si="2"/>
        <v>7</v>
      </c>
      <c r="K1688" s="9">
        <f t="shared" si="3"/>
        <v>2023</v>
      </c>
      <c r="M1688" s="25">
        <f>IFERROR(__xludf.DUMMYFUNCTION("""COMPUTED_VALUE"""),45123.0)</f>
        <v>45123</v>
      </c>
    </row>
    <row r="1689">
      <c r="A1689" s="10" t="s">
        <v>1497</v>
      </c>
      <c r="B1689" s="3" t="s">
        <v>1498</v>
      </c>
      <c r="C1689" s="10" t="s">
        <v>1547</v>
      </c>
      <c r="D1689" s="3" t="s">
        <v>1548</v>
      </c>
      <c r="E1689" s="4" t="s">
        <v>3</v>
      </c>
      <c r="F1689" s="5" t="s">
        <v>42</v>
      </c>
      <c r="G1689" s="6" t="s">
        <v>950</v>
      </c>
      <c r="H1689" s="7">
        <v>45127.0</v>
      </c>
      <c r="I1689" s="8">
        <f t="shared" si="1"/>
        <v>20</v>
      </c>
      <c r="J1689" s="9">
        <f t="shared" si="2"/>
        <v>7</v>
      </c>
      <c r="K1689" s="9">
        <f t="shared" si="3"/>
        <v>2023</v>
      </c>
      <c r="M1689" s="25">
        <f>IFERROR(__xludf.DUMMYFUNCTION("""COMPUTED_VALUE"""),45127.0)</f>
        <v>45127</v>
      </c>
    </row>
    <row r="1690">
      <c r="A1690" s="10" t="s">
        <v>1497</v>
      </c>
      <c r="B1690" s="3" t="s">
        <v>1498</v>
      </c>
      <c r="C1690" s="10" t="s">
        <v>1547</v>
      </c>
      <c r="D1690" s="3" t="s">
        <v>1548</v>
      </c>
      <c r="E1690" s="4" t="s">
        <v>8</v>
      </c>
      <c r="F1690" s="5" t="s">
        <v>51</v>
      </c>
      <c r="G1690" s="6" t="s">
        <v>135</v>
      </c>
      <c r="H1690" s="7">
        <v>45130.0</v>
      </c>
      <c r="I1690" s="8">
        <f t="shared" si="1"/>
        <v>23</v>
      </c>
      <c r="J1690" s="9">
        <f t="shared" si="2"/>
        <v>7</v>
      </c>
      <c r="K1690" s="9">
        <f t="shared" si="3"/>
        <v>2023</v>
      </c>
      <c r="M1690" s="25">
        <f>IFERROR(__xludf.DUMMYFUNCTION("""COMPUTED_VALUE"""),45130.0)</f>
        <v>45130</v>
      </c>
    </row>
    <row r="1691">
      <c r="A1691" s="10" t="s">
        <v>1497</v>
      </c>
      <c r="B1691" s="3" t="s">
        <v>1498</v>
      </c>
      <c r="C1691" s="10" t="s">
        <v>1547</v>
      </c>
      <c r="D1691" s="3" t="s">
        <v>1548</v>
      </c>
      <c r="E1691" s="4" t="s">
        <v>8</v>
      </c>
      <c r="F1691" s="5" t="s">
        <v>23</v>
      </c>
      <c r="G1691" s="6" t="s">
        <v>1553</v>
      </c>
      <c r="H1691" s="7">
        <v>45135.0</v>
      </c>
      <c r="I1691" s="8">
        <f t="shared" si="1"/>
        <v>28</v>
      </c>
      <c r="J1691" s="9">
        <f t="shared" si="2"/>
        <v>7</v>
      </c>
      <c r="K1691" s="9">
        <f t="shared" si="3"/>
        <v>2023</v>
      </c>
      <c r="M1691" s="25">
        <f>IFERROR(__xludf.DUMMYFUNCTION("""COMPUTED_VALUE"""),45135.0)</f>
        <v>45135</v>
      </c>
    </row>
    <row r="1692">
      <c r="A1692" s="10" t="s">
        <v>1497</v>
      </c>
      <c r="B1692" s="3" t="s">
        <v>1498</v>
      </c>
      <c r="C1692" s="10" t="s">
        <v>1547</v>
      </c>
      <c r="D1692" s="3" t="s">
        <v>1548</v>
      </c>
      <c r="E1692" s="4" t="s">
        <v>3</v>
      </c>
      <c r="F1692" s="5" t="s">
        <v>35</v>
      </c>
      <c r="G1692" s="6" t="s">
        <v>1554</v>
      </c>
      <c r="H1692" s="7">
        <v>45152.0</v>
      </c>
      <c r="I1692" s="8">
        <f t="shared" si="1"/>
        <v>14</v>
      </c>
      <c r="J1692" s="9">
        <f t="shared" si="2"/>
        <v>8</v>
      </c>
      <c r="K1692" s="9">
        <f t="shared" si="3"/>
        <v>2023</v>
      </c>
      <c r="M1692" s="25">
        <f>IFERROR(__xludf.DUMMYFUNCTION("""COMPUTED_VALUE"""),45152.0)</f>
        <v>45152</v>
      </c>
    </row>
    <row r="1693">
      <c r="A1693" s="10" t="s">
        <v>1497</v>
      </c>
      <c r="B1693" s="3" t="s">
        <v>1498</v>
      </c>
      <c r="C1693" s="10" t="s">
        <v>1547</v>
      </c>
      <c r="D1693" s="3" t="s">
        <v>1548</v>
      </c>
      <c r="E1693" s="4" t="s">
        <v>3</v>
      </c>
      <c r="F1693" s="5" t="s">
        <v>45</v>
      </c>
      <c r="G1693" s="6" t="s">
        <v>116</v>
      </c>
      <c r="H1693" s="7">
        <v>45156.0</v>
      </c>
      <c r="I1693" s="8">
        <f t="shared" si="1"/>
        <v>18</v>
      </c>
      <c r="J1693" s="9">
        <f t="shared" si="2"/>
        <v>8</v>
      </c>
      <c r="K1693" s="9">
        <f t="shared" si="3"/>
        <v>2023</v>
      </c>
      <c r="M1693" s="25">
        <f>IFERROR(__xludf.DUMMYFUNCTION("""COMPUTED_VALUE"""),45156.0)</f>
        <v>45156</v>
      </c>
    </row>
    <row r="1694">
      <c r="A1694" s="10" t="s">
        <v>1497</v>
      </c>
      <c r="B1694" s="3" t="s">
        <v>1498</v>
      </c>
      <c r="C1694" s="10" t="s">
        <v>1547</v>
      </c>
      <c r="D1694" s="3" t="s">
        <v>1548</v>
      </c>
      <c r="E1694" s="4" t="s">
        <v>8</v>
      </c>
      <c r="F1694" s="5" t="s">
        <v>11</v>
      </c>
      <c r="G1694" s="6" t="s">
        <v>903</v>
      </c>
      <c r="H1694" s="7">
        <v>45159.0</v>
      </c>
      <c r="I1694" s="8">
        <f t="shared" si="1"/>
        <v>21</v>
      </c>
      <c r="J1694" s="9">
        <f t="shared" si="2"/>
        <v>8</v>
      </c>
      <c r="K1694" s="9">
        <f t="shared" si="3"/>
        <v>2023</v>
      </c>
      <c r="M1694" s="25">
        <f>IFERROR(__xludf.DUMMYFUNCTION("""COMPUTED_VALUE"""),45159.0)</f>
        <v>45159</v>
      </c>
    </row>
    <row r="1695">
      <c r="A1695" s="10" t="s">
        <v>1497</v>
      </c>
      <c r="B1695" s="3" t="s">
        <v>1498</v>
      </c>
      <c r="C1695" s="10" t="s">
        <v>1547</v>
      </c>
      <c r="D1695" s="3" t="s">
        <v>1548</v>
      </c>
      <c r="E1695" s="4" t="s">
        <v>8</v>
      </c>
      <c r="F1695" s="5" t="s">
        <v>28</v>
      </c>
      <c r="G1695" s="6" t="s">
        <v>1555</v>
      </c>
      <c r="H1695" s="7">
        <v>45172.0</v>
      </c>
      <c r="I1695" s="8">
        <f t="shared" si="1"/>
        <v>3</v>
      </c>
      <c r="J1695" s="9">
        <f t="shared" si="2"/>
        <v>9</v>
      </c>
      <c r="K1695" s="9">
        <f t="shared" si="3"/>
        <v>2023</v>
      </c>
      <c r="M1695" s="25">
        <f>IFERROR(__xludf.DUMMYFUNCTION("""COMPUTED_VALUE"""),45172.0)</f>
        <v>45172</v>
      </c>
    </row>
    <row r="1696">
      <c r="A1696" s="10" t="s">
        <v>1497</v>
      </c>
      <c r="B1696" s="3" t="s">
        <v>1498</v>
      </c>
      <c r="C1696" s="10" t="s">
        <v>1547</v>
      </c>
      <c r="D1696" s="3" t="s">
        <v>1548</v>
      </c>
      <c r="E1696" s="4" t="s">
        <v>3</v>
      </c>
      <c r="F1696" s="5" t="s">
        <v>96</v>
      </c>
      <c r="G1696" s="6" t="s">
        <v>1556</v>
      </c>
      <c r="H1696" s="7">
        <v>45249.0</v>
      </c>
      <c r="I1696" s="8">
        <f t="shared" si="1"/>
        <v>19</v>
      </c>
      <c r="J1696" s="9">
        <f t="shared" si="2"/>
        <v>11</v>
      </c>
      <c r="K1696" s="9">
        <f t="shared" si="3"/>
        <v>2023</v>
      </c>
      <c r="M1696" s="25">
        <f>IFERROR(__xludf.DUMMYFUNCTION("""COMPUTED_VALUE"""),45249.0)</f>
        <v>45249</v>
      </c>
    </row>
    <row r="1697">
      <c r="A1697" s="10" t="s">
        <v>1497</v>
      </c>
      <c r="B1697" s="3" t="s">
        <v>1498</v>
      </c>
      <c r="C1697" s="10" t="s">
        <v>1547</v>
      </c>
      <c r="D1697" s="3" t="s">
        <v>1548</v>
      </c>
      <c r="E1697" s="4" t="s">
        <v>3</v>
      </c>
      <c r="F1697" s="5" t="s">
        <v>19</v>
      </c>
      <c r="G1697" s="6" t="s">
        <v>905</v>
      </c>
      <c r="H1697" s="7">
        <v>45254.0</v>
      </c>
      <c r="I1697" s="8">
        <f t="shared" si="1"/>
        <v>24</v>
      </c>
      <c r="J1697" s="9">
        <f t="shared" si="2"/>
        <v>11</v>
      </c>
      <c r="K1697" s="9">
        <f t="shared" si="3"/>
        <v>2023</v>
      </c>
      <c r="M1697" s="25">
        <f>IFERROR(__xludf.DUMMYFUNCTION("""COMPUTED_VALUE"""),45254.0)</f>
        <v>45254</v>
      </c>
    </row>
    <row r="1698">
      <c r="A1698" s="10" t="s">
        <v>1497</v>
      </c>
      <c r="B1698" s="3" t="s">
        <v>1498</v>
      </c>
      <c r="C1698" s="10" t="s">
        <v>1547</v>
      </c>
      <c r="D1698" s="3" t="s">
        <v>1548</v>
      </c>
      <c r="E1698" s="4" t="s">
        <v>8</v>
      </c>
      <c r="F1698" s="5" t="s">
        <v>23</v>
      </c>
      <c r="G1698" s="6" t="s">
        <v>1492</v>
      </c>
      <c r="H1698" s="7">
        <v>45254.0</v>
      </c>
      <c r="I1698" s="8">
        <f t="shared" si="1"/>
        <v>24</v>
      </c>
      <c r="J1698" s="9">
        <f t="shared" si="2"/>
        <v>11</v>
      </c>
      <c r="K1698" s="9">
        <f t="shared" si="3"/>
        <v>2023</v>
      </c>
      <c r="M1698" s="25">
        <f>IFERROR(__xludf.DUMMYFUNCTION("""COMPUTED_VALUE"""),45254.0)</f>
        <v>45254</v>
      </c>
    </row>
    <row r="1699">
      <c r="A1699" s="10" t="s">
        <v>1497</v>
      </c>
      <c r="B1699" s="3" t="s">
        <v>1498</v>
      </c>
      <c r="C1699" s="10" t="s">
        <v>1547</v>
      </c>
      <c r="D1699" s="3" t="s">
        <v>1548</v>
      </c>
      <c r="E1699" s="4" t="s">
        <v>3</v>
      </c>
      <c r="F1699" s="5" t="s">
        <v>28</v>
      </c>
      <c r="G1699" s="6" t="s">
        <v>585</v>
      </c>
      <c r="H1699" s="7">
        <v>45284.0</v>
      </c>
      <c r="I1699" s="8">
        <f t="shared" si="1"/>
        <v>24</v>
      </c>
      <c r="J1699" s="9">
        <f t="shared" si="2"/>
        <v>12</v>
      </c>
      <c r="K1699" s="9">
        <f t="shared" si="3"/>
        <v>2023</v>
      </c>
      <c r="M1699" s="25">
        <f>IFERROR(__xludf.DUMMYFUNCTION("""COMPUTED_VALUE"""),45284.0)</f>
        <v>45284</v>
      </c>
    </row>
    <row r="1700">
      <c r="A1700" s="10" t="s">
        <v>1497</v>
      </c>
      <c r="B1700" s="3" t="s">
        <v>1498</v>
      </c>
      <c r="C1700" s="10" t="s">
        <v>1547</v>
      </c>
      <c r="D1700" s="3" t="s">
        <v>1548</v>
      </c>
      <c r="E1700" s="4" t="s">
        <v>8</v>
      </c>
      <c r="F1700" s="5" t="s">
        <v>45</v>
      </c>
      <c r="G1700" s="6" t="s">
        <v>1557</v>
      </c>
      <c r="H1700" s="7">
        <v>45288.0</v>
      </c>
      <c r="I1700" s="8">
        <f t="shared" si="1"/>
        <v>28</v>
      </c>
      <c r="J1700" s="9">
        <f t="shared" si="2"/>
        <v>12</v>
      </c>
      <c r="K1700" s="9">
        <f t="shared" si="3"/>
        <v>2023</v>
      </c>
      <c r="M1700" s="25">
        <f>IFERROR(__xludf.DUMMYFUNCTION("""COMPUTED_VALUE"""),45288.0)</f>
        <v>45288</v>
      </c>
    </row>
    <row r="1701">
      <c r="A1701" s="10" t="s">
        <v>1514</v>
      </c>
      <c r="B1701" s="3" t="s">
        <v>1515</v>
      </c>
      <c r="C1701" s="10" t="s">
        <v>1558</v>
      </c>
      <c r="D1701" s="3" t="s">
        <v>1559</v>
      </c>
      <c r="E1701" s="4" t="s">
        <v>3</v>
      </c>
      <c r="F1701" s="5" t="s">
        <v>76</v>
      </c>
      <c r="G1701" s="6" t="s">
        <v>1560</v>
      </c>
      <c r="H1701" s="7">
        <v>44929.0</v>
      </c>
      <c r="I1701" s="8">
        <f t="shared" si="1"/>
        <v>3</v>
      </c>
      <c r="J1701" s="9">
        <f t="shared" si="2"/>
        <v>1</v>
      </c>
      <c r="K1701" s="9">
        <f t="shared" si="3"/>
        <v>2023</v>
      </c>
      <c r="M1701" s="25">
        <f>IFERROR(__xludf.DUMMYFUNCTION("""COMPUTED_VALUE"""),44929.0)</f>
        <v>44929</v>
      </c>
    </row>
    <row r="1702">
      <c r="A1702" s="10" t="s">
        <v>1514</v>
      </c>
      <c r="B1702" s="3" t="s">
        <v>1515</v>
      </c>
      <c r="C1702" s="10" t="s">
        <v>1558</v>
      </c>
      <c r="D1702" s="3" t="s">
        <v>1559</v>
      </c>
      <c r="E1702" s="4" t="s">
        <v>8</v>
      </c>
      <c r="F1702" s="5" t="s">
        <v>21</v>
      </c>
      <c r="G1702" s="6" t="s">
        <v>1561</v>
      </c>
      <c r="H1702" s="7">
        <v>44933.0</v>
      </c>
      <c r="I1702" s="8">
        <f t="shared" si="1"/>
        <v>7</v>
      </c>
      <c r="J1702" s="9">
        <f t="shared" si="2"/>
        <v>1</v>
      </c>
      <c r="K1702" s="9">
        <f t="shared" si="3"/>
        <v>2023</v>
      </c>
      <c r="M1702" s="25">
        <f>IFERROR(__xludf.DUMMYFUNCTION("""COMPUTED_VALUE"""),44933.0)</f>
        <v>44933</v>
      </c>
    </row>
    <row r="1703">
      <c r="A1703" s="10" t="s">
        <v>1514</v>
      </c>
      <c r="B1703" s="3" t="s">
        <v>1515</v>
      </c>
      <c r="C1703" s="10" t="s">
        <v>1558</v>
      </c>
      <c r="D1703" s="3" t="s">
        <v>1559</v>
      </c>
      <c r="E1703" s="4" t="s">
        <v>8</v>
      </c>
      <c r="F1703" s="5" t="s">
        <v>76</v>
      </c>
      <c r="G1703" s="6" t="s">
        <v>1562</v>
      </c>
      <c r="H1703" s="7">
        <v>44962.0</v>
      </c>
      <c r="I1703" s="8">
        <f t="shared" si="1"/>
        <v>5</v>
      </c>
      <c r="J1703" s="9">
        <f t="shared" si="2"/>
        <v>2</v>
      </c>
      <c r="K1703" s="9">
        <f t="shared" si="3"/>
        <v>2023</v>
      </c>
      <c r="M1703" s="25">
        <f>IFERROR(__xludf.DUMMYFUNCTION("""COMPUTED_VALUE"""),44962.0)</f>
        <v>44962</v>
      </c>
    </row>
    <row r="1704">
      <c r="A1704" s="10" t="s">
        <v>1514</v>
      </c>
      <c r="B1704" s="3" t="s">
        <v>1515</v>
      </c>
      <c r="C1704" s="10" t="s">
        <v>1558</v>
      </c>
      <c r="D1704" s="3" t="s">
        <v>1559</v>
      </c>
      <c r="E1704" s="4" t="s">
        <v>8</v>
      </c>
      <c r="F1704" s="5" t="s">
        <v>4</v>
      </c>
      <c r="G1704" s="6" t="s">
        <v>1563</v>
      </c>
      <c r="H1704" s="7">
        <v>45029.0</v>
      </c>
      <c r="I1704" s="8">
        <f t="shared" si="1"/>
        <v>13</v>
      </c>
      <c r="J1704" s="9">
        <f t="shared" si="2"/>
        <v>4</v>
      </c>
      <c r="K1704" s="9">
        <f t="shared" si="3"/>
        <v>2023</v>
      </c>
      <c r="M1704" s="25">
        <f>IFERROR(__xludf.DUMMYFUNCTION("""COMPUTED_VALUE"""),45029.0)</f>
        <v>45029</v>
      </c>
    </row>
    <row r="1705">
      <c r="A1705" s="10" t="s">
        <v>1514</v>
      </c>
      <c r="B1705" s="3" t="s">
        <v>1515</v>
      </c>
      <c r="C1705" s="10" t="s">
        <v>1558</v>
      </c>
      <c r="D1705" s="3" t="s">
        <v>1559</v>
      </c>
      <c r="E1705" s="4" t="s">
        <v>3</v>
      </c>
      <c r="F1705" s="5" t="s">
        <v>15</v>
      </c>
      <c r="G1705" s="6" t="s">
        <v>1564</v>
      </c>
      <c r="H1705" s="7">
        <v>45041.0</v>
      </c>
      <c r="I1705" s="8">
        <f t="shared" si="1"/>
        <v>25</v>
      </c>
      <c r="J1705" s="9">
        <f t="shared" si="2"/>
        <v>4</v>
      </c>
      <c r="K1705" s="9">
        <f t="shared" si="3"/>
        <v>2023</v>
      </c>
      <c r="M1705" s="25">
        <f>IFERROR(__xludf.DUMMYFUNCTION("""COMPUTED_VALUE"""),45041.0)</f>
        <v>45041</v>
      </c>
    </row>
    <row r="1706">
      <c r="A1706" s="10" t="s">
        <v>1514</v>
      </c>
      <c r="B1706" s="3" t="s">
        <v>1515</v>
      </c>
      <c r="C1706" s="10" t="s">
        <v>1558</v>
      </c>
      <c r="D1706" s="3" t="s">
        <v>1559</v>
      </c>
      <c r="E1706" s="4" t="s">
        <v>3</v>
      </c>
      <c r="F1706" s="5" t="s">
        <v>13</v>
      </c>
      <c r="G1706" s="6" t="s">
        <v>487</v>
      </c>
      <c r="H1706" s="7">
        <v>45047.0</v>
      </c>
      <c r="I1706" s="8">
        <f t="shared" si="1"/>
        <v>1</v>
      </c>
      <c r="J1706" s="9">
        <f t="shared" si="2"/>
        <v>5</v>
      </c>
      <c r="K1706" s="9">
        <f t="shared" si="3"/>
        <v>2023</v>
      </c>
      <c r="M1706" s="25">
        <f>IFERROR(__xludf.DUMMYFUNCTION("""COMPUTED_VALUE"""),45047.0)</f>
        <v>45047</v>
      </c>
    </row>
    <row r="1707">
      <c r="A1707" s="10" t="s">
        <v>1514</v>
      </c>
      <c r="B1707" s="3" t="s">
        <v>1515</v>
      </c>
      <c r="C1707" s="10" t="s">
        <v>1558</v>
      </c>
      <c r="D1707" s="3" t="s">
        <v>1559</v>
      </c>
      <c r="E1707" s="4" t="s">
        <v>8</v>
      </c>
      <c r="F1707" s="5" t="s">
        <v>71</v>
      </c>
      <c r="G1707" s="6" t="s">
        <v>807</v>
      </c>
      <c r="H1707" s="7">
        <v>45096.0</v>
      </c>
      <c r="I1707" s="8">
        <f t="shared" si="1"/>
        <v>19</v>
      </c>
      <c r="J1707" s="9">
        <f t="shared" si="2"/>
        <v>6</v>
      </c>
      <c r="K1707" s="9">
        <f t="shared" si="3"/>
        <v>2023</v>
      </c>
      <c r="M1707" s="25">
        <f>IFERROR(__xludf.DUMMYFUNCTION("""COMPUTED_VALUE"""),45096.0)</f>
        <v>45096</v>
      </c>
    </row>
    <row r="1708">
      <c r="A1708" s="10" t="s">
        <v>1514</v>
      </c>
      <c r="B1708" s="3" t="s">
        <v>1515</v>
      </c>
      <c r="C1708" s="10" t="s">
        <v>1558</v>
      </c>
      <c r="D1708" s="3" t="s">
        <v>1559</v>
      </c>
      <c r="E1708" s="4" t="s">
        <v>3</v>
      </c>
      <c r="F1708" s="5" t="s">
        <v>42</v>
      </c>
      <c r="G1708" s="6" t="s">
        <v>309</v>
      </c>
      <c r="H1708" s="7">
        <v>45102.0</v>
      </c>
      <c r="I1708" s="8">
        <f t="shared" si="1"/>
        <v>25</v>
      </c>
      <c r="J1708" s="9">
        <f t="shared" si="2"/>
        <v>6</v>
      </c>
      <c r="K1708" s="9">
        <f t="shared" si="3"/>
        <v>2023</v>
      </c>
      <c r="M1708" s="25">
        <f>IFERROR(__xludf.DUMMYFUNCTION("""COMPUTED_VALUE"""),45102.0)</f>
        <v>45102</v>
      </c>
    </row>
    <row r="1709">
      <c r="A1709" s="10" t="s">
        <v>1514</v>
      </c>
      <c r="B1709" s="3" t="s">
        <v>1515</v>
      </c>
      <c r="C1709" s="10" t="s">
        <v>1558</v>
      </c>
      <c r="D1709" s="3" t="s">
        <v>1559</v>
      </c>
      <c r="E1709" s="4" t="s">
        <v>8</v>
      </c>
      <c r="F1709" s="5" t="s">
        <v>19</v>
      </c>
      <c r="G1709" s="6" t="s">
        <v>1565</v>
      </c>
      <c r="H1709" s="7">
        <v>45105.0</v>
      </c>
      <c r="I1709" s="8">
        <f t="shared" si="1"/>
        <v>28</v>
      </c>
      <c r="J1709" s="9">
        <f t="shared" si="2"/>
        <v>6</v>
      </c>
      <c r="K1709" s="9">
        <f t="shared" si="3"/>
        <v>2023</v>
      </c>
      <c r="M1709" s="25">
        <f>IFERROR(__xludf.DUMMYFUNCTION("""COMPUTED_VALUE"""),45105.0)</f>
        <v>45105</v>
      </c>
    </row>
    <row r="1710">
      <c r="A1710" s="10" t="s">
        <v>1514</v>
      </c>
      <c r="B1710" s="3" t="s">
        <v>1515</v>
      </c>
      <c r="C1710" s="10" t="s">
        <v>1558</v>
      </c>
      <c r="D1710" s="3" t="s">
        <v>1559</v>
      </c>
      <c r="E1710" s="4" t="s">
        <v>8</v>
      </c>
      <c r="F1710" s="5" t="s">
        <v>4</v>
      </c>
      <c r="G1710" s="6" t="s">
        <v>1068</v>
      </c>
      <c r="H1710" s="7">
        <v>45113.0</v>
      </c>
      <c r="I1710" s="8">
        <f t="shared" si="1"/>
        <v>6</v>
      </c>
      <c r="J1710" s="9">
        <f t="shared" si="2"/>
        <v>7</v>
      </c>
      <c r="K1710" s="9">
        <f t="shared" si="3"/>
        <v>2023</v>
      </c>
      <c r="M1710" s="25">
        <f>IFERROR(__xludf.DUMMYFUNCTION("""COMPUTED_VALUE"""),45113.0)</f>
        <v>45113</v>
      </c>
    </row>
    <row r="1711">
      <c r="A1711" s="10" t="s">
        <v>1514</v>
      </c>
      <c r="B1711" s="3" t="s">
        <v>1515</v>
      </c>
      <c r="C1711" s="10" t="s">
        <v>1558</v>
      </c>
      <c r="D1711" s="3" t="s">
        <v>1559</v>
      </c>
      <c r="E1711" s="4" t="s">
        <v>3</v>
      </c>
      <c r="F1711" s="5" t="s">
        <v>17</v>
      </c>
      <c r="G1711" s="6" t="s">
        <v>1566</v>
      </c>
      <c r="H1711" s="7">
        <v>45120.0</v>
      </c>
      <c r="I1711" s="8">
        <f t="shared" si="1"/>
        <v>13</v>
      </c>
      <c r="J1711" s="9">
        <f t="shared" si="2"/>
        <v>7</v>
      </c>
      <c r="K1711" s="9">
        <f t="shared" si="3"/>
        <v>2023</v>
      </c>
      <c r="M1711" s="25">
        <f>IFERROR(__xludf.DUMMYFUNCTION("""COMPUTED_VALUE"""),45120.0)</f>
        <v>45120</v>
      </c>
    </row>
    <row r="1712">
      <c r="A1712" s="10" t="s">
        <v>1514</v>
      </c>
      <c r="B1712" s="3" t="s">
        <v>1515</v>
      </c>
      <c r="C1712" s="10" t="s">
        <v>1558</v>
      </c>
      <c r="D1712" s="3" t="s">
        <v>1559</v>
      </c>
      <c r="E1712" s="4" t="s">
        <v>8</v>
      </c>
      <c r="F1712" s="5" t="s">
        <v>9</v>
      </c>
      <c r="G1712" s="6" t="s">
        <v>938</v>
      </c>
      <c r="H1712" s="7">
        <v>45124.0</v>
      </c>
      <c r="I1712" s="8">
        <f t="shared" si="1"/>
        <v>17</v>
      </c>
      <c r="J1712" s="9">
        <f t="shared" si="2"/>
        <v>7</v>
      </c>
      <c r="K1712" s="9">
        <f t="shared" si="3"/>
        <v>2023</v>
      </c>
      <c r="M1712" s="25">
        <f>IFERROR(__xludf.DUMMYFUNCTION("""COMPUTED_VALUE"""),45124.0)</f>
        <v>45124</v>
      </c>
    </row>
    <row r="1713">
      <c r="A1713" s="10" t="s">
        <v>1514</v>
      </c>
      <c r="B1713" s="3" t="s">
        <v>1515</v>
      </c>
      <c r="C1713" s="10" t="s">
        <v>1558</v>
      </c>
      <c r="D1713" s="3" t="s">
        <v>1559</v>
      </c>
      <c r="E1713" s="4" t="s">
        <v>3</v>
      </c>
      <c r="F1713" s="5" t="s">
        <v>28</v>
      </c>
      <c r="G1713" s="6" t="s">
        <v>1567</v>
      </c>
      <c r="H1713" s="7">
        <v>45149.0</v>
      </c>
      <c r="I1713" s="8">
        <f t="shared" si="1"/>
        <v>11</v>
      </c>
      <c r="J1713" s="9">
        <f t="shared" si="2"/>
        <v>8</v>
      </c>
      <c r="K1713" s="9">
        <f t="shared" si="3"/>
        <v>2023</v>
      </c>
      <c r="M1713" s="25">
        <f>IFERROR(__xludf.DUMMYFUNCTION("""COMPUTED_VALUE"""),45149.0)</f>
        <v>45149</v>
      </c>
    </row>
    <row r="1714">
      <c r="A1714" s="10" t="s">
        <v>1514</v>
      </c>
      <c r="B1714" s="3" t="s">
        <v>1515</v>
      </c>
      <c r="C1714" s="10" t="s">
        <v>1558</v>
      </c>
      <c r="D1714" s="3" t="s">
        <v>1559</v>
      </c>
      <c r="E1714" s="4" t="s">
        <v>3</v>
      </c>
      <c r="F1714" s="5" t="s">
        <v>11</v>
      </c>
      <c r="G1714" s="6" t="s">
        <v>1568</v>
      </c>
      <c r="H1714" s="7">
        <v>45156.0</v>
      </c>
      <c r="I1714" s="8">
        <f t="shared" si="1"/>
        <v>18</v>
      </c>
      <c r="J1714" s="9">
        <f t="shared" si="2"/>
        <v>8</v>
      </c>
      <c r="K1714" s="9">
        <f t="shared" si="3"/>
        <v>2023</v>
      </c>
      <c r="M1714" s="25">
        <f>IFERROR(__xludf.DUMMYFUNCTION("""COMPUTED_VALUE"""),45156.0)</f>
        <v>45156</v>
      </c>
    </row>
    <row r="1715">
      <c r="A1715" s="10" t="s">
        <v>1514</v>
      </c>
      <c r="B1715" s="3" t="s">
        <v>1515</v>
      </c>
      <c r="C1715" s="10" t="s">
        <v>1558</v>
      </c>
      <c r="D1715" s="3" t="s">
        <v>1559</v>
      </c>
      <c r="E1715" s="4" t="s">
        <v>3</v>
      </c>
      <c r="F1715" s="5" t="s">
        <v>4</v>
      </c>
      <c r="G1715" s="6" t="s">
        <v>1569</v>
      </c>
      <c r="H1715" s="7">
        <v>45213.0</v>
      </c>
      <c r="I1715" s="8">
        <f t="shared" si="1"/>
        <v>14</v>
      </c>
      <c r="J1715" s="9">
        <f t="shared" si="2"/>
        <v>10</v>
      </c>
      <c r="K1715" s="9">
        <f t="shared" si="3"/>
        <v>2023</v>
      </c>
      <c r="M1715" s="25">
        <f>IFERROR(__xludf.DUMMYFUNCTION("""COMPUTED_VALUE"""),45213.0)</f>
        <v>45213</v>
      </c>
    </row>
    <row r="1716">
      <c r="A1716" s="10" t="s">
        <v>1514</v>
      </c>
      <c r="B1716" s="3" t="s">
        <v>1515</v>
      </c>
      <c r="C1716" s="10" t="s">
        <v>1558</v>
      </c>
      <c r="D1716" s="3" t="s">
        <v>1559</v>
      </c>
      <c r="E1716" s="4" t="s">
        <v>8</v>
      </c>
      <c r="F1716" s="5" t="s">
        <v>21</v>
      </c>
      <c r="G1716" s="6" t="s">
        <v>570</v>
      </c>
      <c r="H1716" s="7">
        <v>45214.0</v>
      </c>
      <c r="I1716" s="8">
        <f t="shared" si="1"/>
        <v>15</v>
      </c>
      <c r="J1716" s="9">
        <f t="shared" si="2"/>
        <v>10</v>
      </c>
      <c r="K1716" s="9">
        <f t="shared" si="3"/>
        <v>2023</v>
      </c>
      <c r="M1716" s="25">
        <f>IFERROR(__xludf.DUMMYFUNCTION("""COMPUTED_VALUE"""),45214.0)</f>
        <v>45214</v>
      </c>
    </row>
    <row r="1717">
      <c r="A1717" s="10" t="s">
        <v>1514</v>
      </c>
      <c r="B1717" s="3" t="s">
        <v>1515</v>
      </c>
      <c r="C1717" s="10" t="s">
        <v>1558</v>
      </c>
      <c r="D1717" s="3" t="s">
        <v>1559</v>
      </c>
      <c r="E1717" s="4" t="s">
        <v>3</v>
      </c>
      <c r="F1717" s="5" t="s">
        <v>15</v>
      </c>
      <c r="G1717" s="6" t="s">
        <v>1570</v>
      </c>
      <c r="H1717" s="7">
        <v>45219.0</v>
      </c>
      <c r="I1717" s="8">
        <f t="shared" si="1"/>
        <v>20</v>
      </c>
      <c r="J1717" s="9">
        <f t="shared" si="2"/>
        <v>10</v>
      </c>
      <c r="K1717" s="9">
        <f t="shared" si="3"/>
        <v>2023</v>
      </c>
      <c r="M1717" s="25">
        <f>IFERROR(__xludf.DUMMYFUNCTION("""COMPUTED_VALUE"""),45219.0)</f>
        <v>45219</v>
      </c>
    </row>
    <row r="1718">
      <c r="A1718" s="10" t="s">
        <v>1514</v>
      </c>
      <c r="B1718" s="3" t="s">
        <v>1515</v>
      </c>
      <c r="C1718" s="10" t="s">
        <v>1558</v>
      </c>
      <c r="D1718" s="3" t="s">
        <v>1559</v>
      </c>
      <c r="E1718" s="4" t="s">
        <v>3</v>
      </c>
      <c r="F1718" s="5" t="s">
        <v>120</v>
      </c>
      <c r="G1718" s="6" t="s">
        <v>1571</v>
      </c>
      <c r="H1718" s="7">
        <v>45234.0</v>
      </c>
      <c r="I1718" s="8">
        <f t="shared" si="1"/>
        <v>4</v>
      </c>
      <c r="J1718" s="9">
        <f t="shared" si="2"/>
        <v>11</v>
      </c>
      <c r="K1718" s="9">
        <f t="shared" si="3"/>
        <v>2023</v>
      </c>
      <c r="M1718" s="25">
        <f>IFERROR(__xludf.DUMMYFUNCTION("""COMPUTED_VALUE"""),45234.0)</f>
        <v>45234</v>
      </c>
    </row>
    <row r="1719">
      <c r="A1719" s="10" t="s">
        <v>1514</v>
      </c>
      <c r="B1719" s="3" t="s">
        <v>1515</v>
      </c>
      <c r="C1719" s="10" t="s">
        <v>1558</v>
      </c>
      <c r="D1719" s="3" t="s">
        <v>1559</v>
      </c>
      <c r="E1719" s="4" t="s">
        <v>8</v>
      </c>
      <c r="F1719" s="5" t="s">
        <v>13</v>
      </c>
      <c r="G1719" s="6" t="s">
        <v>1572</v>
      </c>
      <c r="H1719" s="7">
        <v>45237.0</v>
      </c>
      <c r="I1719" s="8">
        <f t="shared" si="1"/>
        <v>7</v>
      </c>
      <c r="J1719" s="9">
        <f t="shared" si="2"/>
        <v>11</v>
      </c>
      <c r="K1719" s="9">
        <f t="shared" si="3"/>
        <v>2023</v>
      </c>
      <c r="M1719" s="25">
        <f>IFERROR(__xludf.DUMMYFUNCTION("""COMPUTED_VALUE"""),45237.0)</f>
        <v>45237</v>
      </c>
    </row>
    <row r="1720">
      <c r="A1720" s="10" t="s">
        <v>1514</v>
      </c>
      <c r="B1720" s="3" t="s">
        <v>1515</v>
      </c>
      <c r="C1720" s="10" t="s">
        <v>1558</v>
      </c>
      <c r="D1720" s="3" t="s">
        <v>1559</v>
      </c>
      <c r="E1720" s="4" t="s">
        <v>8</v>
      </c>
      <c r="F1720" s="5" t="s">
        <v>120</v>
      </c>
      <c r="G1720" s="6" t="s">
        <v>1573</v>
      </c>
      <c r="H1720" s="7">
        <v>45278.0</v>
      </c>
      <c r="I1720" s="8">
        <f t="shared" si="1"/>
        <v>18</v>
      </c>
      <c r="J1720" s="9">
        <f t="shared" si="2"/>
        <v>12</v>
      </c>
      <c r="K1720" s="9">
        <f t="shared" si="3"/>
        <v>2023</v>
      </c>
      <c r="M1720" s="25">
        <f>IFERROR(__xludf.DUMMYFUNCTION("""COMPUTED_VALUE"""),45278.0)</f>
        <v>45278</v>
      </c>
    </row>
    <row r="1721">
      <c r="A1721" s="10" t="s">
        <v>1530</v>
      </c>
      <c r="B1721" s="3" t="s">
        <v>1531</v>
      </c>
      <c r="C1721" s="10" t="s">
        <v>1574</v>
      </c>
      <c r="D1721" s="3" t="s">
        <v>1575</v>
      </c>
      <c r="E1721" s="4" t="s">
        <v>8</v>
      </c>
      <c r="F1721" s="5" t="s">
        <v>9</v>
      </c>
      <c r="G1721" s="6" t="s">
        <v>1098</v>
      </c>
      <c r="H1721" s="7">
        <v>44986.0</v>
      </c>
      <c r="I1721" s="8">
        <f t="shared" si="1"/>
        <v>1</v>
      </c>
      <c r="J1721" s="9">
        <f t="shared" si="2"/>
        <v>3</v>
      </c>
      <c r="K1721" s="9">
        <f t="shared" si="3"/>
        <v>2023</v>
      </c>
      <c r="M1721" s="25">
        <f>IFERROR(__xludf.DUMMYFUNCTION("""COMPUTED_VALUE"""),44986.0)</f>
        <v>44986</v>
      </c>
    </row>
    <row r="1722">
      <c r="A1722" s="10" t="s">
        <v>1530</v>
      </c>
      <c r="B1722" s="3" t="s">
        <v>1531</v>
      </c>
      <c r="C1722" s="10" t="s">
        <v>1574</v>
      </c>
      <c r="D1722" s="3" t="s">
        <v>1575</v>
      </c>
      <c r="E1722" s="4" t="s">
        <v>3</v>
      </c>
      <c r="F1722" s="5" t="s">
        <v>71</v>
      </c>
      <c r="G1722" s="6" t="s">
        <v>1576</v>
      </c>
      <c r="H1722" s="7">
        <v>44992.0</v>
      </c>
      <c r="I1722" s="8">
        <f t="shared" si="1"/>
        <v>7</v>
      </c>
      <c r="J1722" s="9">
        <f t="shared" si="2"/>
        <v>3</v>
      </c>
      <c r="K1722" s="9">
        <f t="shared" si="3"/>
        <v>2023</v>
      </c>
      <c r="M1722" s="25">
        <f>IFERROR(__xludf.DUMMYFUNCTION("""COMPUTED_VALUE"""),44992.0)</f>
        <v>44992</v>
      </c>
    </row>
    <row r="1723">
      <c r="A1723" s="10" t="s">
        <v>1530</v>
      </c>
      <c r="B1723" s="3" t="s">
        <v>1531</v>
      </c>
      <c r="C1723" s="10" t="s">
        <v>1574</v>
      </c>
      <c r="D1723" s="3" t="s">
        <v>1575</v>
      </c>
      <c r="E1723" s="4" t="s">
        <v>8</v>
      </c>
      <c r="F1723" s="5" t="s">
        <v>13</v>
      </c>
      <c r="G1723" s="6" t="s">
        <v>900</v>
      </c>
      <c r="H1723" s="7">
        <v>45034.0</v>
      </c>
      <c r="I1723" s="8">
        <f t="shared" si="1"/>
        <v>18</v>
      </c>
      <c r="J1723" s="9">
        <f t="shared" si="2"/>
        <v>4</v>
      </c>
      <c r="K1723" s="9">
        <f t="shared" si="3"/>
        <v>2023</v>
      </c>
      <c r="M1723" s="25">
        <f>IFERROR(__xludf.DUMMYFUNCTION("""COMPUTED_VALUE"""),45034.0)</f>
        <v>45034</v>
      </c>
    </row>
    <row r="1724">
      <c r="A1724" s="10" t="s">
        <v>1530</v>
      </c>
      <c r="B1724" s="3" t="s">
        <v>1531</v>
      </c>
      <c r="C1724" s="10" t="s">
        <v>1574</v>
      </c>
      <c r="D1724" s="3" t="s">
        <v>1575</v>
      </c>
      <c r="E1724" s="4" t="s">
        <v>3</v>
      </c>
      <c r="F1724" s="5" t="s">
        <v>23</v>
      </c>
      <c r="G1724" s="6" t="s">
        <v>46</v>
      </c>
      <c r="H1724" s="7">
        <v>45042.0</v>
      </c>
      <c r="I1724" s="8">
        <f t="shared" si="1"/>
        <v>26</v>
      </c>
      <c r="J1724" s="9">
        <f t="shared" si="2"/>
        <v>4</v>
      </c>
      <c r="K1724" s="9">
        <f t="shared" si="3"/>
        <v>2023</v>
      </c>
      <c r="M1724" s="25">
        <f>IFERROR(__xludf.DUMMYFUNCTION("""COMPUTED_VALUE"""),45042.0)</f>
        <v>45042</v>
      </c>
    </row>
    <row r="1725">
      <c r="A1725" s="10" t="s">
        <v>1530</v>
      </c>
      <c r="B1725" s="3" t="s">
        <v>1531</v>
      </c>
      <c r="C1725" s="10" t="s">
        <v>1574</v>
      </c>
      <c r="D1725" s="3" t="s">
        <v>1575</v>
      </c>
      <c r="E1725" s="4" t="s">
        <v>8</v>
      </c>
      <c r="F1725" s="5" t="s">
        <v>23</v>
      </c>
      <c r="G1725" s="6" t="s">
        <v>626</v>
      </c>
      <c r="H1725" s="7">
        <v>45049.0</v>
      </c>
      <c r="I1725" s="8">
        <f t="shared" si="1"/>
        <v>3</v>
      </c>
      <c r="J1725" s="9">
        <f t="shared" si="2"/>
        <v>5</v>
      </c>
      <c r="K1725" s="9">
        <f t="shared" si="3"/>
        <v>2023</v>
      </c>
      <c r="M1725" s="25">
        <f>IFERROR(__xludf.DUMMYFUNCTION("""COMPUTED_VALUE"""),45049.0)</f>
        <v>45049</v>
      </c>
    </row>
    <row r="1726">
      <c r="A1726" s="10" t="s">
        <v>1530</v>
      </c>
      <c r="B1726" s="3" t="s">
        <v>1531</v>
      </c>
      <c r="C1726" s="10" t="s">
        <v>1574</v>
      </c>
      <c r="D1726" s="3" t="s">
        <v>1575</v>
      </c>
      <c r="E1726" s="4" t="s">
        <v>8</v>
      </c>
      <c r="F1726" s="5" t="s">
        <v>71</v>
      </c>
      <c r="G1726" s="6" t="s">
        <v>1577</v>
      </c>
      <c r="H1726" s="7">
        <v>45069.0</v>
      </c>
      <c r="I1726" s="8">
        <f t="shared" si="1"/>
        <v>23</v>
      </c>
      <c r="J1726" s="9">
        <f t="shared" si="2"/>
        <v>5</v>
      </c>
      <c r="K1726" s="9">
        <f t="shared" si="3"/>
        <v>2023</v>
      </c>
      <c r="M1726" s="25">
        <f>IFERROR(__xludf.DUMMYFUNCTION("""COMPUTED_VALUE"""),45069.0)</f>
        <v>45069</v>
      </c>
    </row>
    <row r="1727">
      <c r="A1727" s="10" t="s">
        <v>1530</v>
      </c>
      <c r="B1727" s="3" t="s">
        <v>1531</v>
      </c>
      <c r="C1727" s="10" t="s">
        <v>1574</v>
      </c>
      <c r="D1727" s="3" t="s">
        <v>1575</v>
      </c>
      <c r="E1727" s="4" t="s">
        <v>8</v>
      </c>
      <c r="F1727" s="5" t="s">
        <v>23</v>
      </c>
      <c r="G1727" s="6" t="s">
        <v>1578</v>
      </c>
      <c r="H1727" s="7">
        <v>45087.0</v>
      </c>
      <c r="I1727" s="8">
        <f t="shared" si="1"/>
        <v>10</v>
      </c>
      <c r="J1727" s="9">
        <f t="shared" si="2"/>
        <v>6</v>
      </c>
      <c r="K1727" s="9">
        <f t="shared" si="3"/>
        <v>2023</v>
      </c>
      <c r="M1727" s="25">
        <f>IFERROR(__xludf.DUMMYFUNCTION("""COMPUTED_VALUE"""),45087.0)</f>
        <v>45087</v>
      </c>
    </row>
    <row r="1728">
      <c r="A1728" s="10" t="s">
        <v>1530</v>
      </c>
      <c r="B1728" s="3" t="s">
        <v>1531</v>
      </c>
      <c r="C1728" s="10" t="s">
        <v>1574</v>
      </c>
      <c r="D1728" s="3" t="s">
        <v>1575</v>
      </c>
      <c r="E1728" s="4" t="s">
        <v>8</v>
      </c>
      <c r="F1728" s="5" t="s">
        <v>13</v>
      </c>
      <c r="G1728" s="6" t="s">
        <v>1579</v>
      </c>
      <c r="H1728" s="7">
        <v>45105.0</v>
      </c>
      <c r="I1728" s="8">
        <f t="shared" si="1"/>
        <v>28</v>
      </c>
      <c r="J1728" s="9">
        <f t="shared" si="2"/>
        <v>6</v>
      </c>
      <c r="K1728" s="9">
        <f t="shared" si="3"/>
        <v>2023</v>
      </c>
      <c r="M1728" s="25">
        <f>IFERROR(__xludf.DUMMYFUNCTION("""COMPUTED_VALUE"""),45105.0)</f>
        <v>45105</v>
      </c>
    </row>
    <row r="1729">
      <c r="A1729" s="10" t="s">
        <v>1530</v>
      </c>
      <c r="B1729" s="3" t="s">
        <v>1531</v>
      </c>
      <c r="C1729" s="10" t="s">
        <v>1574</v>
      </c>
      <c r="D1729" s="3" t="s">
        <v>1575</v>
      </c>
      <c r="E1729" s="4" t="s">
        <v>3</v>
      </c>
      <c r="F1729" s="5" t="s">
        <v>42</v>
      </c>
      <c r="G1729" s="6" t="s">
        <v>439</v>
      </c>
      <c r="H1729" s="7">
        <v>45108.0</v>
      </c>
      <c r="I1729" s="8">
        <f t="shared" si="1"/>
        <v>1</v>
      </c>
      <c r="J1729" s="9">
        <f t="shared" si="2"/>
        <v>7</v>
      </c>
      <c r="K1729" s="9">
        <f t="shared" si="3"/>
        <v>2023</v>
      </c>
      <c r="M1729" s="25">
        <f>IFERROR(__xludf.DUMMYFUNCTION("""COMPUTED_VALUE"""),45108.0)</f>
        <v>45108</v>
      </c>
    </row>
    <row r="1730">
      <c r="A1730" s="10" t="s">
        <v>1530</v>
      </c>
      <c r="B1730" s="3" t="s">
        <v>1531</v>
      </c>
      <c r="C1730" s="10" t="s">
        <v>1574</v>
      </c>
      <c r="D1730" s="3" t="s">
        <v>1575</v>
      </c>
      <c r="E1730" s="4" t="s">
        <v>3</v>
      </c>
      <c r="F1730" s="5" t="s">
        <v>9</v>
      </c>
      <c r="G1730" s="6" t="s">
        <v>1580</v>
      </c>
      <c r="H1730" s="7">
        <v>45134.0</v>
      </c>
      <c r="I1730" s="8">
        <f t="shared" si="1"/>
        <v>27</v>
      </c>
      <c r="J1730" s="9">
        <f t="shared" si="2"/>
        <v>7</v>
      </c>
      <c r="K1730" s="9">
        <f t="shared" si="3"/>
        <v>2023</v>
      </c>
      <c r="M1730" s="25">
        <f>IFERROR(__xludf.DUMMYFUNCTION("""COMPUTED_VALUE"""),45134.0)</f>
        <v>45134</v>
      </c>
    </row>
    <row r="1731">
      <c r="A1731" s="10" t="s">
        <v>1530</v>
      </c>
      <c r="B1731" s="3" t="s">
        <v>1531</v>
      </c>
      <c r="C1731" s="10" t="s">
        <v>1574</v>
      </c>
      <c r="D1731" s="3" t="s">
        <v>1575</v>
      </c>
      <c r="E1731" s="4" t="s">
        <v>8</v>
      </c>
      <c r="F1731" s="5" t="s">
        <v>21</v>
      </c>
      <c r="G1731" s="6" t="s">
        <v>649</v>
      </c>
      <c r="H1731" s="7">
        <v>45166.0</v>
      </c>
      <c r="I1731" s="8">
        <f t="shared" si="1"/>
        <v>28</v>
      </c>
      <c r="J1731" s="9">
        <f t="shared" si="2"/>
        <v>8</v>
      </c>
      <c r="K1731" s="9">
        <f t="shared" si="3"/>
        <v>2023</v>
      </c>
      <c r="M1731" s="25">
        <f>IFERROR(__xludf.DUMMYFUNCTION("""COMPUTED_VALUE"""),45166.0)</f>
        <v>45166</v>
      </c>
    </row>
    <row r="1732">
      <c r="A1732" s="10" t="s">
        <v>1530</v>
      </c>
      <c r="B1732" s="3" t="s">
        <v>1531</v>
      </c>
      <c r="C1732" s="10" t="s">
        <v>1574</v>
      </c>
      <c r="D1732" s="3" t="s">
        <v>1575</v>
      </c>
      <c r="E1732" s="4" t="s">
        <v>3</v>
      </c>
      <c r="F1732" s="5" t="s">
        <v>51</v>
      </c>
      <c r="G1732" s="6" t="s">
        <v>1581</v>
      </c>
      <c r="H1732" s="7">
        <v>45181.0</v>
      </c>
      <c r="I1732" s="8">
        <f t="shared" si="1"/>
        <v>12</v>
      </c>
      <c r="J1732" s="9">
        <f t="shared" si="2"/>
        <v>9</v>
      </c>
      <c r="K1732" s="9">
        <f t="shared" si="3"/>
        <v>2023</v>
      </c>
      <c r="M1732" s="25">
        <f>IFERROR(__xludf.DUMMYFUNCTION("""COMPUTED_VALUE"""),45181.0)</f>
        <v>45181</v>
      </c>
    </row>
    <row r="1733">
      <c r="A1733" s="10" t="s">
        <v>1530</v>
      </c>
      <c r="B1733" s="3" t="s">
        <v>1531</v>
      </c>
      <c r="C1733" s="10" t="s">
        <v>1574</v>
      </c>
      <c r="D1733" s="3" t="s">
        <v>1575</v>
      </c>
      <c r="E1733" s="4" t="s">
        <v>3</v>
      </c>
      <c r="F1733" s="5" t="s">
        <v>15</v>
      </c>
      <c r="G1733" s="6" t="s">
        <v>1440</v>
      </c>
      <c r="H1733" s="7">
        <v>45196.0</v>
      </c>
      <c r="I1733" s="8">
        <f t="shared" si="1"/>
        <v>27</v>
      </c>
      <c r="J1733" s="9">
        <f t="shared" si="2"/>
        <v>9</v>
      </c>
      <c r="K1733" s="9">
        <f t="shared" si="3"/>
        <v>2023</v>
      </c>
      <c r="M1733" s="25">
        <f>IFERROR(__xludf.DUMMYFUNCTION("""COMPUTED_VALUE"""),45196.0)</f>
        <v>45196</v>
      </c>
    </row>
    <row r="1734">
      <c r="A1734" s="10" t="s">
        <v>1530</v>
      </c>
      <c r="B1734" s="3" t="s">
        <v>1531</v>
      </c>
      <c r="C1734" s="10" t="s">
        <v>1574</v>
      </c>
      <c r="D1734" s="3" t="s">
        <v>1575</v>
      </c>
      <c r="E1734" s="4" t="s">
        <v>3</v>
      </c>
      <c r="F1734" s="5" t="s">
        <v>76</v>
      </c>
      <c r="G1734" s="6" t="s">
        <v>1582</v>
      </c>
      <c r="H1734" s="7">
        <v>45210.0</v>
      </c>
      <c r="I1734" s="8">
        <f t="shared" si="1"/>
        <v>11</v>
      </c>
      <c r="J1734" s="9">
        <f t="shared" si="2"/>
        <v>10</v>
      </c>
      <c r="K1734" s="9">
        <f t="shared" si="3"/>
        <v>2023</v>
      </c>
      <c r="M1734" s="25">
        <f>IFERROR(__xludf.DUMMYFUNCTION("""COMPUTED_VALUE"""),45210.0)</f>
        <v>45210</v>
      </c>
    </row>
    <row r="1735">
      <c r="A1735" s="10" t="s">
        <v>1530</v>
      </c>
      <c r="B1735" s="3" t="s">
        <v>1531</v>
      </c>
      <c r="C1735" s="10" t="s">
        <v>1574</v>
      </c>
      <c r="D1735" s="3" t="s">
        <v>1575</v>
      </c>
      <c r="E1735" s="4" t="s">
        <v>3</v>
      </c>
      <c r="F1735" s="5" t="s">
        <v>6</v>
      </c>
      <c r="G1735" s="6" t="s">
        <v>1583</v>
      </c>
      <c r="H1735" s="7">
        <v>45211.0</v>
      </c>
      <c r="I1735" s="8">
        <f t="shared" si="1"/>
        <v>12</v>
      </c>
      <c r="J1735" s="9">
        <f t="shared" si="2"/>
        <v>10</v>
      </c>
      <c r="K1735" s="9">
        <f t="shared" si="3"/>
        <v>2023</v>
      </c>
      <c r="M1735" s="25">
        <f>IFERROR(__xludf.DUMMYFUNCTION("""COMPUTED_VALUE"""),45211.0)</f>
        <v>45211</v>
      </c>
    </row>
    <row r="1736">
      <c r="A1736" s="10" t="s">
        <v>1530</v>
      </c>
      <c r="B1736" s="3" t="s">
        <v>1531</v>
      </c>
      <c r="C1736" s="10" t="s">
        <v>1574</v>
      </c>
      <c r="D1736" s="3" t="s">
        <v>1575</v>
      </c>
      <c r="E1736" s="4" t="s">
        <v>3</v>
      </c>
      <c r="F1736" s="5" t="s">
        <v>28</v>
      </c>
      <c r="G1736" s="6" t="s">
        <v>1055</v>
      </c>
      <c r="H1736" s="7">
        <v>45217.0</v>
      </c>
      <c r="I1736" s="8">
        <f t="shared" si="1"/>
        <v>18</v>
      </c>
      <c r="J1736" s="9">
        <f t="shared" si="2"/>
        <v>10</v>
      </c>
      <c r="K1736" s="9">
        <f t="shared" si="3"/>
        <v>2023</v>
      </c>
      <c r="M1736" s="25">
        <f>IFERROR(__xludf.DUMMYFUNCTION("""COMPUTED_VALUE"""),45217.0)</f>
        <v>45217</v>
      </c>
    </row>
    <row r="1737">
      <c r="A1737" s="10" t="s">
        <v>1530</v>
      </c>
      <c r="B1737" s="3" t="s">
        <v>1531</v>
      </c>
      <c r="C1737" s="10" t="s">
        <v>1574</v>
      </c>
      <c r="D1737" s="3" t="s">
        <v>1575</v>
      </c>
      <c r="E1737" s="4" t="s">
        <v>3</v>
      </c>
      <c r="F1737" s="5" t="s">
        <v>21</v>
      </c>
      <c r="G1737" s="6" t="s">
        <v>1584</v>
      </c>
      <c r="H1737" s="7">
        <v>45222.0</v>
      </c>
      <c r="I1737" s="8">
        <f t="shared" si="1"/>
        <v>23</v>
      </c>
      <c r="J1737" s="9">
        <f t="shared" si="2"/>
        <v>10</v>
      </c>
      <c r="K1737" s="9">
        <f t="shared" si="3"/>
        <v>2023</v>
      </c>
      <c r="M1737" s="25">
        <f>IFERROR(__xludf.DUMMYFUNCTION("""COMPUTED_VALUE"""),45222.0)</f>
        <v>45222</v>
      </c>
    </row>
    <row r="1738">
      <c r="A1738" s="10" t="s">
        <v>1530</v>
      </c>
      <c r="B1738" s="3" t="s">
        <v>1531</v>
      </c>
      <c r="C1738" s="10" t="s">
        <v>1574</v>
      </c>
      <c r="D1738" s="3" t="s">
        <v>1575</v>
      </c>
      <c r="E1738" s="4" t="s">
        <v>3</v>
      </c>
      <c r="F1738" s="5" t="s">
        <v>9</v>
      </c>
      <c r="G1738" s="6" t="s">
        <v>644</v>
      </c>
      <c r="H1738" s="7">
        <v>45239.0</v>
      </c>
      <c r="I1738" s="8">
        <f t="shared" si="1"/>
        <v>9</v>
      </c>
      <c r="J1738" s="9">
        <f t="shared" si="2"/>
        <v>11</v>
      </c>
      <c r="K1738" s="9">
        <f t="shared" si="3"/>
        <v>2023</v>
      </c>
      <c r="M1738" s="25">
        <f>IFERROR(__xludf.DUMMYFUNCTION("""COMPUTED_VALUE"""),45239.0)</f>
        <v>45239</v>
      </c>
    </row>
    <row r="1739">
      <c r="A1739" s="10" t="s">
        <v>1530</v>
      </c>
      <c r="B1739" s="3" t="s">
        <v>1531</v>
      </c>
      <c r="C1739" s="10" t="s">
        <v>1574</v>
      </c>
      <c r="D1739" s="3" t="s">
        <v>1575</v>
      </c>
      <c r="E1739" s="4" t="s">
        <v>8</v>
      </c>
      <c r="F1739" s="5" t="s">
        <v>15</v>
      </c>
      <c r="G1739" s="6" t="s">
        <v>509</v>
      </c>
      <c r="H1739" s="7">
        <v>45255.0</v>
      </c>
      <c r="I1739" s="8">
        <f t="shared" si="1"/>
        <v>25</v>
      </c>
      <c r="J1739" s="9">
        <f t="shared" si="2"/>
        <v>11</v>
      </c>
      <c r="K1739" s="9">
        <f t="shared" si="3"/>
        <v>2023</v>
      </c>
      <c r="M1739" s="25">
        <f>IFERROR(__xludf.DUMMYFUNCTION("""COMPUTED_VALUE"""),45255.0)</f>
        <v>45255</v>
      </c>
    </row>
    <row r="1740">
      <c r="A1740" s="10" t="s">
        <v>1530</v>
      </c>
      <c r="B1740" s="3" t="s">
        <v>1531</v>
      </c>
      <c r="C1740" s="10" t="s">
        <v>1574</v>
      </c>
      <c r="D1740" s="3" t="s">
        <v>1575</v>
      </c>
      <c r="E1740" s="4" t="s">
        <v>3</v>
      </c>
      <c r="F1740" s="5" t="s">
        <v>19</v>
      </c>
      <c r="G1740" s="6" t="s">
        <v>1585</v>
      </c>
      <c r="H1740" s="7">
        <v>45277.0</v>
      </c>
      <c r="I1740" s="8">
        <f t="shared" si="1"/>
        <v>17</v>
      </c>
      <c r="J1740" s="9">
        <f t="shared" si="2"/>
        <v>12</v>
      </c>
      <c r="K1740" s="9">
        <f t="shared" si="3"/>
        <v>2023</v>
      </c>
      <c r="M1740" s="25">
        <f>IFERROR(__xludf.DUMMYFUNCTION("""COMPUTED_VALUE"""),45277.0)</f>
        <v>45277</v>
      </c>
    </row>
    <row r="1741">
      <c r="A1741" s="10" t="s">
        <v>1547</v>
      </c>
      <c r="B1741" s="3" t="s">
        <v>1548</v>
      </c>
      <c r="C1741" s="10" t="s">
        <v>367</v>
      </c>
      <c r="D1741" s="3" t="s">
        <v>1586</v>
      </c>
      <c r="E1741" s="4" t="s">
        <v>8</v>
      </c>
      <c r="F1741" s="5" t="s">
        <v>76</v>
      </c>
      <c r="G1741" s="6" t="s">
        <v>1587</v>
      </c>
      <c r="H1741" s="7">
        <v>44954.0</v>
      </c>
      <c r="I1741" s="8">
        <f t="shared" si="1"/>
        <v>28</v>
      </c>
      <c r="J1741" s="9">
        <f t="shared" si="2"/>
        <v>1</v>
      </c>
      <c r="K1741" s="9">
        <f t="shared" si="3"/>
        <v>2023</v>
      </c>
      <c r="M1741" s="25">
        <f>IFERROR(__xludf.DUMMYFUNCTION("""COMPUTED_VALUE"""),44954.0)</f>
        <v>44954</v>
      </c>
    </row>
    <row r="1742">
      <c r="A1742" s="10" t="s">
        <v>1547</v>
      </c>
      <c r="B1742" s="3" t="s">
        <v>1548</v>
      </c>
      <c r="C1742" s="10" t="s">
        <v>367</v>
      </c>
      <c r="D1742" s="3" t="s">
        <v>1586</v>
      </c>
      <c r="E1742" s="4" t="s">
        <v>3</v>
      </c>
      <c r="F1742" s="5" t="s">
        <v>15</v>
      </c>
      <c r="G1742" s="6" t="s">
        <v>1588</v>
      </c>
      <c r="H1742" s="7">
        <v>44963.0</v>
      </c>
      <c r="I1742" s="8">
        <f t="shared" si="1"/>
        <v>6</v>
      </c>
      <c r="J1742" s="9">
        <f t="shared" si="2"/>
        <v>2</v>
      </c>
      <c r="K1742" s="9">
        <f t="shared" si="3"/>
        <v>2023</v>
      </c>
      <c r="M1742" s="25">
        <f>IFERROR(__xludf.DUMMYFUNCTION("""COMPUTED_VALUE"""),44963.0)</f>
        <v>44963</v>
      </c>
    </row>
    <row r="1743">
      <c r="A1743" s="10" t="s">
        <v>1547</v>
      </c>
      <c r="B1743" s="3" t="s">
        <v>1548</v>
      </c>
      <c r="C1743" s="10" t="s">
        <v>367</v>
      </c>
      <c r="D1743" s="3" t="s">
        <v>1586</v>
      </c>
      <c r="E1743" s="4" t="s">
        <v>8</v>
      </c>
      <c r="F1743" s="5" t="s">
        <v>35</v>
      </c>
      <c r="G1743" s="6" t="s">
        <v>266</v>
      </c>
      <c r="H1743" s="7">
        <v>44996.0</v>
      </c>
      <c r="I1743" s="8">
        <f t="shared" si="1"/>
        <v>11</v>
      </c>
      <c r="J1743" s="9">
        <f t="shared" si="2"/>
        <v>3</v>
      </c>
      <c r="K1743" s="9">
        <f t="shared" si="3"/>
        <v>2023</v>
      </c>
      <c r="M1743" s="25">
        <f>IFERROR(__xludf.DUMMYFUNCTION("""COMPUTED_VALUE"""),44996.0)</f>
        <v>44996</v>
      </c>
    </row>
    <row r="1744">
      <c r="A1744" s="10" t="s">
        <v>1547</v>
      </c>
      <c r="B1744" s="3" t="s">
        <v>1548</v>
      </c>
      <c r="C1744" s="10" t="s">
        <v>367</v>
      </c>
      <c r="D1744" s="3" t="s">
        <v>1586</v>
      </c>
      <c r="E1744" s="4" t="s">
        <v>8</v>
      </c>
      <c r="F1744" s="5" t="s">
        <v>17</v>
      </c>
      <c r="G1744" s="6" t="s">
        <v>949</v>
      </c>
      <c r="H1744" s="7">
        <v>45028.0</v>
      </c>
      <c r="I1744" s="8">
        <f t="shared" si="1"/>
        <v>12</v>
      </c>
      <c r="J1744" s="9">
        <f t="shared" si="2"/>
        <v>4</v>
      </c>
      <c r="K1744" s="9">
        <f t="shared" si="3"/>
        <v>2023</v>
      </c>
      <c r="M1744" s="25">
        <f>IFERROR(__xludf.DUMMYFUNCTION("""COMPUTED_VALUE"""),45028.0)</f>
        <v>45028</v>
      </c>
    </row>
    <row r="1745">
      <c r="A1745" s="10" t="s">
        <v>1547</v>
      </c>
      <c r="B1745" s="3" t="s">
        <v>1548</v>
      </c>
      <c r="C1745" s="10" t="s">
        <v>367</v>
      </c>
      <c r="D1745" s="3" t="s">
        <v>1586</v>
      </c>
      <c r="E1745" s="4" t="s">
        <v>3</v>
      </c>
      <c r="F1745" s="5" t="s">
        <v>19</v>
      </c>
      <c r="G1745" s="6" t="s">
        <v>1589</v>
      </c>
      <c r="H1745" s="7">
        <v>45035.0</v>
      </c>
      <c r="I1745" s="8">
        <f t="shared" si="1"/>
        <v>19</v>
      </c>
      <c r="J1745" s="9">
        <f t="shared" si="2"/>
        <v>4</v>
      </c>
      <c r="K1745" s="9">
        <f t="shared" si="3"/>
        <v>2023</v>
      </c>
      <c r="M1745" s="25">
        <f>IFERROR(__xludf.DUMMYFUNCTION("""COMPUTED_VALUE"""),45035.0)</f>
        <v>45035</v>
      </c>
    </row>
    <row r="1746">
      <c r="A1746" s="10" t="s">
        <v>1547</v>
      </c>
      <c r="B1746" s="3" t="s">
        <v>1548</v>
      </c>
      <c r="C1746" s="10" t="s">
        <v>367</v>
      </c>
      <c r="D1746" s="3" t="s">
        <v>1586</v>
      </c>
      <c r="E1746" s="4" t="s">
        <v>8</v>
      </c>
      <c r="F1746" s="5" t="s">
        <v>19</v>
      </c>
      <c r="G1746" s="6" t="s">
        <v>1367</v>
      </c>
      <c r="H1746" s="7">
        <v>45038.0</v>
      </c>
      <c r="I1746" s="8">
        <f t="shared" si="1"/>
        <v>22</v>
      </c>
      <c r="J1746" s="9">
        <f t="shared" si="2"/>
        <v>4</v>
      </c>
      <c r="K1746" s="9">
        <f t="shared" si="3"/>
        <v>2023</v>
      </c>
      <c r="M1746" s="25">
        <f>IFERROR(__xludf.DUMMYFUNCTION("""COMPUTED_VALUE"""),45038.0)</f>
        <v>45038</v>
      </c>
    </row>
    <row r="1747">
      <c r="A1747" s="10" t="s">
        <v>1547</v>
      </c>
      <c r="B1747" s="3" t="s">
        <v>1548</v>
      </c>
      <c r="C1747" s="10" t="s">
        <v>367</v>
      </c>
      <c r="D1747" s="3" t="s">
        <v>1586</v>
      </c>
      <c r="E1747" s="4" t="s">
        <v>8</v>
      </c>
      <c r="F1747" s="5" t="s">
        <v>35</v>
      </c>
      <c r="G1747" s="6" t="s">
        <v>1590</v>
      </c>
      <c r="H1747" s="7">
        <v>45043.0</v>
      </c>
      <c r="I1747" s="8">
        <f t="shared" si="1"/>
        <v>27</v>
      </c>
      <c r="J1747" s="9">
        <f t="shared" si="2"/>
        <v>4</v>
      </c>
      <c r="K1747" s="9">
        <f t="shared" si="3"/>
        <v>2023</v>
      </c>
      <c r="M1747" s="25">
        <f>IFERROR(__xludf.DUMMYFUNCTION("""COMPUTED_VALUE"""),45043.0)</f>
        <v>45043</v>
      </c>
    </row>
    <row r="1748">
      <c r="A1748" s="10" t="s">
        <v>1547</v>
      </c>
      <c r="B1748" s="3" t="s">
        <v>1548</v>
      </c>
      <c r="C1748" s="10" t="s">
        <v>367</v>
      </c>
      <c r="D1748" s="3" t="s">
        <v>1586</v>
      </c>
      <c r="E1748" s="4" t="s">
        <v>3</v>
      </c>
      <c r="F1748" s="5" t="s">
        <v>17</v>
      </c>
      <c r="G1748" s="6" t="s">
        <v>1591</v>
      </c>
      <c r="H1748" s="7">
        <v>45048.0</v>
      </c>
      <c r="I1748" s="8">
        <f t="shared" si="1"/>
        <v>2</v>
      </c>
      <c r="J1748" s="9">
        <f t="shared" si="2"/>
        <v>5</v>
      </c>
      <c r="K1748" s="9">
        <f t="shared" si="3"/>
        <v>2023</v>
      </c>
      <c r="M1748" s="25">
        <f>IFERROR(__xludf.DUMMYFUNCTION("""COMPUTED_VALUE"""),45048.0)</f>
        <v>45048</v>
      </c>
    </row>
    <row r="1749">
      <c r="A1749" s="10" t="s">
        <v>1547</v>
      </c>
      <c r="B1749" s="3" t="s">
        <v>1548</v>
      </c>
      <c r="C1749" s="10" t="s">
        <v>367</v>
      </c>
      <c r="D1749" s="3" t="s">
        <v>1586</v>
      </c>
      <c r="E1749" s="4" t="s">
        <v>3</v>
      </c>
      <c r="F1749" s="5" t="s">
        <v>76</v>
      </c>
      <c r="G1749" s="6" t="s">
        <v>1592</v>
      </c>
      <c r="H1749" s="7">
        <v>45065.0</v>
      </c>
      <c r="I1749" s="8">
        <f t="shared" si="1"/>
        <v>19</v>
      </c>
      <c r="J1749" s="9">
        <f t="shared" si="2"/>
        <v>5</v>
      </c>
      <c r="K1749" s="9">
        <f t="shared" si="3"/>
        <v>2023</v>
      </c>
      <c r="M1749" s="25">
        <f>IFERROR(__xludf.DUMMYFUNCTION("""COMPUTED_VALUE"""),45065.0)</f>
        <v>45065</v>
      </c>
    </row>
    <row r="1750">
      <c r="A1750" s="10" t="s">
        <v>1547</v>
      </c>
      <c r="B1750" s="3" t="s">
        <v>1548</v>
      </c>
      <c r="C1750" s="10" t="s">
        <v>367</v>
      </c>
      <c r="D1750" s="3" t="s">
        <v>1586</v>
      </c>
      <c r="E1750" s="4" t="s">
        <v>3</v>
      </c>
      <c r="F1750" s="5" t="s">
        <v>21</v>
      </c>
      <c r="G1750" s="6" t="s">
        <v>1593</v>
      </c>
      <c r="H1750" s="7">
        <v>45070.0</v>
      </c>
      <c r="I1750" s="8">
        <f t="shared" si="1"/>
        <v>24</v>
      </c>
      <c r="J1750" s="9">
        <f t="shared" si="2"/>
        <v>5</v>
      </c>
      <c r="K1750" s="9">
        <f t="shared" si="3"/>
        <v>2023</v>
      </c>
      <c r="M1750" s="25">
        <f>IFERROR(__xludf.DUMMYFUNCTION("""COMPUTED_VALUE"""),45070.0)</f>
        <v>45070</v>
      </c>
    </row>
    <row r="1751">
      <c r="A1751" s="10" t="s">
        <v>1547</v>
      </c>
      <c r="B1751" s="3" t="s">
        <v>1548</v>
      </c>
      <c r="C1751" s="10" t="s">
        <v>367</v>
      </c>
      <c r="D1751" s="3" t="s">
        <v>1586</v>
      </c>
      <c r="E1751" s="4" t="s">
        <v>3</v>
      </c>
      <c r="F1751" s="5" t="s">
        <v>6</v>
      </c>
      <c r="G1751" s="6" t="s">
        <v>1594</v>
      </c>
      <c r="H1751" s="7">
        <v>45083.0</v>
      </c>
      <c r="I1751" s="8">
        <f t="shared" si="1"/>
        <v>6</v>
      </c>
      <c r="J1751" s="9">
        <f t="shared" si="2"/>
        <v>6</v>
      </c>
      <c r="K1751" s="9">
        <f t="shared" si="3"/>
        <v>2023</v>
      </c>
      <c r="M1751" s="25">
        <f>IFERROR(__xludf.DUMMYFUNCTION("""COMPUTED_VALUE"""),45083.0)</f>
        <v>45083</v>
      </c>
    </row>
    <row r="1752">
      <c r="A1752" s="10" t="s">
        <v>1547</v>
      </c>
      <c r="B1752" s="3" t="s">
        <v>1548</v>
      </c>
      <c r="C1752" s="10" t="s">
        <v>367</v>
      </c>
      <c r="D1752" s="3" t="s">
        <v>1586</v>
      </c>
      <c r="E1752" s="4" t="s">
        <v>8</v>
      </c>
      <c r="F1752" s="5" t="s">
        <v>6</v>
      </c>
      <c r="G1752" s="6" t="s">
        <v>1595</v>
      </c>
      <c r="H1752" s="7">
        <v>45117.0</v>
      </c>
      <c r="I1752" s="8">
        <f t="shared" si="1"/>
        <v>10</v>
      </c>
      <c r="J1752" s="9">
        <f t="shared" si="2"/>
        <v>7</v>
      </c>
      <c r="K1752" s="9">
        <f t="shared" si="3"/>
        <v>2023</v>
      </c>
      <c r="M1752" s="25">
        <f>IFERROR(__xludf.DUMMYFUNCTION("""COMPUTED_VALUE"""),45117.0)</f>
        <v>45117</v>
      </c>
    </row>
    <row r="1753">
      <c r="A1753" s="10" t="s">
        <v>1547</v>
      </c>
      <c r="B1753" s="3" t="s">
        <v>1548</v>
      </c>
      <c r="C1753" s="10" t="s">
        <v>367</v>
      </c>
      <c r="D1753" s="3" t="s">
        <v>1586</v>
      </c>
      <c r="E1753" s="4" t="s">
        <v>3</v>
      </c>
      <c r="F1753" s="5" t="s">
        <v>19</v>
      </c>
      <c r="G1753" s="6" t="s">
        <v>26</v>
      </c>
      <c r="H1753" s="7">
        <v>45125.0</v>
      </c>
      <c r="I1753" s="8">
        <f t="shared" si="1"/>
        <v>18</v>
      </c>
      <c r="J1753" s="9">
        <f t="shared" si="2"/>
        <v>7</v>
      </c>
      <c r="K1753" s="9">
        <f t="shared" si="3"/>
        <v>2023</v>
      </c>
      <c r="M1753" s="25">
        <f>IFERROR(__xludf.DUMMYFUNCTION("""COMPUTED_VALUE"""),45125.0)</f>
        <v>45125</v>
      </c>
    </row>
    <row r="1754">
      <c r="A1754" s="10" t="s">
        <v>1547</v>
      </c>
      <c r="B1754" s="3" t="s">
        <v>1548</v>
      </c>
      <c r="C1754" s="10" t="s">
        <v>367</v>
      </c>
      <c r="D1754" s="3" t="s">
        <v>1586</v>
      </c>
      <c r="E1754" s="4" t="s">
        <v>3</v>
      </c>
      <c r="F1754" s="5" t="s">
        <v>6</v>
      </c>
      <c r="G1754" s="6" t="s">
        <v>1596</v>
      </c>
      <c r="H1754" s="7">
        <v>45129.0</v>
      </c>
      <c r="I1754" s="8">
        <f t="shared" si="1"/>
        <v>22</v>
      </c>
      <c r="J1754" s="9">
        <f t="shared" si="2"/>
        <v>7</v>
      </c>
      <c r="K1754" s="9">
        <f t="shared" si="3"/>
        <v>2023</v>
      </c>
      <c r="M1754" s="25">
        <f>IFERROR(__xludf.DUMMYFUNCTION("""COMPUTED_VALUE"""),45129.0)</f>
        <v>45129</v>
      </c>
    </row>
    <row r="1755">
      <c r="A1755" s="10" t="s">
        <v>1547</v>
      </c>
      <c r="B1755" s="3" t="s">
        <v>1548</v>
      </c>
      <c r="C1755" s="10" t="s">
        <v>367</v>
      </c>
      <c r="D1755" s="3" t="s">
        <v>1586</v>
      </c>
      <c r="E1755" s="4" t="s">
        <v>3</v>
      </c>
      <c r="F1755" s="5" t="s">
        <v>9</v>
      </c>
      <c r="G1755" s="6" t="s">
        <v>1597</v>
      </c>
      <c r="H1755" s="7">
        <v>45144.0</v>
      </c>
      <c r="I1755" s="8">
        <f t="shared" si="1"/>
        <v>6</v>
      </c>
      <c r="J1755" s="9">
        <f t="shared" si="2"/>
        <v>8</v>
      </c>
      <c r="K1755" s="9">
        <f t="shared" si="3"/>
        <v>2023</v>
      </c>
      <c r="M1755" s="25">
        <f>IFERROR(__xludf.DUMMYFUNCTION("""COMPUTED_VALUE"""),45144.0)</f>
        <v>45144</v>
      </c>
    </row>
    <row r="1756">
      <c r="A1756" s="10" t="s">
        <v>1547</v>
      </c>
      <c r="B1756" s="3" t="s">
        <v>1548</v>
      </c>
      <c r="C1756" s="10" t="s">
        <v>367</v>
      </c>
      <c r="D1756" s="3" t="s">
        <v>1586</v>
      </c>
      <c r="E1756" s="4" t="s">
        <v>3</v>
      </c>
      <c r="F1756" s="5" t="s">
        <v>120</v>
      </c>
      <c r="G1756" s="6" t="s">
        <v>971</v>
      </c>
      <c r="H1756" s="7">
        <v>45162.0</v>
      </c>
      <c r="I1756" s="8">
        <f t="shared" si="1"/>
        <v>24</v>
      </c>
      <c r="J1756" s="9">
        <f t="shared" si="2"/>
        <v>8</v>
      </c>
      <c r="K1756" s="9">
        <f t="shared" si="3"/>
        <v>2023</v>
      </c>
      <c r="M1756" s="25">
        <f>IFERROR(__xludf.DUMMYFUNCTION("""COMPUTED_VALUE"""),45162.0)</f>
        <v>45162</v>
      </c>
    </row>
    <row r="1757">
      <c r="A1757" s="10" t="s">
        <v>1547</v>
      </c>
      <c r="B1757" s="3" t="s">
        <v>1548</v>
      </c>
      <c r="C1757" s="10" t="s">
        <v>367</v>
      </c>
      <c r="D1757" s="3" t="s">
        <v>1586</v>
      </c>
      <c r="E1757" s="4" t="s">
        <v>8</v>
      </c>
      <c r="F1757" s="5" t="s">
        <v>96</v>
      </c>
      <c r="G1757" s="6" t="s">
        <v>1598</v>
      </c>
      <c r="H1757" s="7">
        <v>45214.0</v>
      </c>
      <c r="I1757" s="8">
        <f t="shared" si="1"/>
        <v>15</v>
      </c>
      <c r="J1757" s="9">
        <f t="shared" si="2"/>
        <v>10</v>
      </c>
      <c r="K1757" s="9">
        <f t="shared" si="3"/>
        <v>2023</v>
      </c>
      <c r="M1757" s="25">
        <f>IFERROR(__xludf.DUMMYFUNCTION("""COMPUTED_VALUE"""),45214.0)</f>
        <v>45214</v>
      </c>
    </row>
    <row r="1758">
      <c r="A1758" s="10" t="s">
        <v>1547</v>
      </c>
      <c r="B1758" s="3" t="s">
        <v>1548</v>
      </c>
      <c r="C1758" s="10" t="s">
        <v>367</v>
      </c>
      <c r="D1758" s="3" t="s">
        <v>1586</v>
      </c>
      <c r="E1758" s="4" t="s">
        <v>8</v>
      </c>
      <c r="F1758" s="5" t="s">
        <v>35</v>
      </c>
      <c r="G1758" s="6" t="s">
        <v>1599</v>
      </c>
      <c r="H1758" s="7">
        <v>45218.0</v>
      </c>
      <c r="I1758" s="8">
        <f t="shared" si="1"/>
        <v>19</v>
      </c>
      <c r="J1758" s="9">
        <f t="shared" si="2"/>
        <v>10</v>
      </c>
      <c r="K1758" s="9">
        <f t="shared" si="3"/>
        <v>2023</v>
      </c>
      <c r="M1758" s="25">
        <f>IFERROR(__xludf.DUMMYFUNCTION("""COMPUTED_VALUE"""),45218.0)</f>
        <v>45218</v>
      </c>
    </row>
    <row r="1759">
      <c r="A1759" s="10" t="s">
        <v>1547</v>
      </c>
      <c r="B1759" s="3" t="s">
        <v>1548</v>
      </c>
      <c r="C1759" s="10" t="s">
        <v>367</v>
      </c>
      <c r="D1759" s="3" t="s">
        <v>1586</v>
      </c>
      <c r="E1759" s="4" t="s">
        <v>3</v>
      </c>
      <c r="F1759" s="5" t="s">
        <v>45</v>
      </c>
      <c r="G1759" s="6" t="s">
        <v>1600</v>
      </c>
      <c r="H1759" s="7">
        <v>45243.0</v>
      </c>
      <c r="I1759" s="8">
        <f t="shared" si="1"/>
        <v>13</v>
      </c>
      <c r="J1759" s="9">
        <f t="shared" si="2"/>
        <v>11</v>
      </c>
      <c r="K1759" s="9">
        <f t="shared" si="3"/>
        <v>2023</v>
      </c>
      <c r="M1759" s="25">
        <f>IFERROR(__xludf.DUMMYFUNCTION("""COMPUTED_VALUE"""),45243.0)</f>
        <v>45243</v>
      </c>
    </row>
    <row r="1760">
      <c r="A1760" s="10" t="s">
        <v>1547</v>
      </c>
      <c r="B1760" s="3" t="s">
        <v>1548</v>
      </c>
      <c r="C1760" s="10" t="s">
        <v>367</v>
      </c>
      <c r="D1760" s="3" t="s">
        <v>1586</v>
      </c>
      <c r="E1760" s="4" t="s">
        <v>8</v>
      </c>
      <c r="F1760" s="5" t="s">
        <v>23</v>
      </c>
      <c r="G1760" s="6" t="s">
        <v>1601</v>
      </c>
      <c r="H1760" s="7">
        <v>45257.0</v>
      </c>
      <c r="I1760" s="8">
        <f t="shared" si="1"/>
        <v>27</v>
      </c>
      <c r="J1760" s="9">
        <f t="shared" si="2"/>
        <v>11</v>
      </c>
      <c r="K1760" s="9">
        <f t="shared" si="3"/>
        <v>2023</v>
      </c>
      <c r="M1760" s="25">
        <f>IFERROR(__xludf.DUMMYFUNCTION("""COMPUTED_VALUE"""),45257.0)</f>
        <v>45257</v>
      </c>
    </row>
    <row r="1761">
      <c r="A1761" s="10" t="s">
        <v>1558</v>
      </c>
      <c r="B1761" s="3" t="s">
        <v>1559</v>
      </c>
      <c r="C1761" s="10" t="s">
        <v>1602</v>
      </c>
      <c r="D1761" s="3" t="s">
        <v>1603</v>
      </c>
      <c r="E1761" s="4" t="s">
        <v>3</v>
      </c>
      <c r="F1761" s="5" t="s">
        <v>71</v>
      </c>
      <c r="G1761" s="6" t="s">
        <v>702</v>
      </c>
      <c r="H1761" s="7">
        <v>44938.0</v>
      </c>
      <c r="I1761" s="8">
        <f t="shared" si="1"/>
        <v>12</v>
      </c>
      <c r="J1761" s="9">
        <f t="shared" si="2"/>
        <v>1</v>
      </c>
      <c r="K1761" s="9">
        <f t="shared" si="3"/>
        <v>2023</v>
      </c>
      <c r="M1761" s="25">
        <f>IFERROR(__xludf.DUMMYFUNCTION("""COMPUTED_VALUE"""),44938.0)</f>
        <v>44938</v>
      </c>
    </row>
    <row r="1762">
      <c r="A1762" s="10" t="s">
        <v>1558</v>
      </c>
      <c r="B1762" s="3" t="s">
        <v>1559</v>
      </c>
      <c r="C1762" s="10" t="s">
        <v>1602</v>
      </c>
      <c r="D1762" s="3" t="s">
        <v>1603</v>
      </c>
      <c r="E1762" s="4" t="s">
        <v>8</v>
      </c>
      <c r="F1762" s="5" t="s">
        <v>6</v>
      </c>
      <c r="G1762" s="6" t="s">
        <v>1604</v>
      </c>
      <c r="H1762" s="7">
        <v>44943.0</v>
      </c>
      <c r="I1762" s="8">
        <f t="shared" si="1"/>
        <v>17</v>
      </c>
      <c r="J1762" s="9">
        <f t="shared" si="2"/>
        <v>1</v>
      </c>
      <c r="K1762" s="9">
        <f t="shared" si="3"/>
        <v>2023</v>
      </c>
      <c r="M1762" s="25">
        <f>IFERROR(__xludf.DUMMYFUNCTION("""COMPUTED_VALUE"""),44943.0)</f>
        <v>44943</v>
      </c>
    </row>
    <row r="1763">
      <c r="A1763" s="10" t="s">
        <v>1558</v>
      </c>
      <c r="B1763" s="3" t="s">
        <v>1559</v>
      </c>
      <c r="C1763" s="10" t="s">
        <v>1602</v>
      </c>
      <c r="D1763" s="3" t="s">
        <v>1603</v>
      </c>
      <c r="E1763" s="4" t="s">
        <v>3</v>
      </c>
      <c r="F1763" s="5" t="s">
        <v>19</v>
      </c>
      <c r="G1763" s="6" t="s">
        <v>1471</v>
      </c>
      <c r="H1763" s="7">
        <v>44985.0</v>
      </c>
      <c r="I1763" s="8">
        <f t="shared" si="1"/>
        <v>28</v>
      </c>
      <c r="J1763" s="9">
        <f t="shared" si="2"/>
        <v>2</v>
      </c>
      <c r="K1763" s="9">
        <f t="shared" si="3"/>
        <v>2023</v>
      </c>
      <c r="M1763" s="25">
        <f>IFERROR(__xludf.DUMMYFUNCTION("""COMPUTED_VALUE"""),44985.0)</f>
        <v>44985</v>
      </c>
    </row>
    <row r="1764">
      <c r="A1764" s="10" t="s">
        <v>1558</v>
      </c>
      <c r="B1764" s="3" t="s">
        <v>1559</v>
      </c>
      <c r="C1764" s="10" t="s">
        <v>1602</v>
      </c>
      <c r="D1764" s="3" t="s">
        <v>1603</v>
      </c>
      <c r="E1764" s="4" t="s">
        <v>3</v>
      </c>
      <c r="F1764" s="5" t="s">
        <v>6</v>
      </c>
      <c r="G1764" s="6" t="s">
        <v>290</v>
      </c>
      <c r="H1764" s="7">
        <v>44992.0</v>
      </c>
      <c r="I1764" s="8">
        <f t="shared" si="1"/>
        <v>7</v>
      </c>
      <c r="J1764" s="9">
        <f t="shared" si="2"/>
        <v>3</v>
      </c>
      <c r="K1764" s="9">
        <f t="shared" si="3"/>
        <v>2023</v>
      </c>
      <c r="M1764" s="25">
        <f>IFERROR(__xludf.DUMMYFUNCTION("""COMPUTED_VALUE"""),44992.0)</f>
        <v>44992</v>
      </c>
    </row>
    <row r="1765">
      <c r="A1765" s="10" t="s">
        <v>1558</v>
      </c>
      <c r="B1765" s="3" t="s">
        <v>1559</v>
      </c>
      <c r="C1765" s="10" t="s">
        <v>1602</v>
      </c>
      <c r="D1765" s="3" t="s">
        <v>1603</v>
      </c>
      <c r="E1765" s="4" t="s">
        <v>8</v>
      </c>
      <c r="F1765" s="5" t="s">
        <v>51</v>
      </c>
      <c r="G1765" s="6" t="s">
        <v>840</v>
      </c>
      <c r="H1765" s="7">
        <v>45026.0</v>
      </c>
      <c r="I1765" s="8">
        <f t="shared" si="1"/>
        <v>10</v>
      </c>
      <c r="J1765" s="9">
        <f t="shared" si="2"/>
        <v>4</v>
      </c>
      <c r="K1765" s="9">
        <f t="shared" si="3"/>
        <v>2023</v>
      </c>
      <c r="M1765" s="25">
        <f>IFERROR(__xludf.DUMMYFUNCTION("""COMPUTED_VALUE"""),45026.0)</f>
        <v>45026</v>
      </c>
    </row>
    <row r="1766">
      <c r="A1766" s="10" t="s">
        <v>1558</v>
      </c>
      <c r="B1766" s="3" t="s">
        <v>1559</v>
      </c>
      <c r="C1766" s="10" t="s">
        <v>1602</v>
      </c>
      <c r="D1766" s="3" t="s">
        <v>1603</v>
      </c>
      <c r="E1766" s="4" t="s">
        <v>3</v>
      </c>
      <c r="F1766" s="5" t="s">
        <v>42</v>
      </c>
      <c r="G1766" s="6" t="s">
        <v>43</v>
      </c>
      <c r="H1766" s="7">
        <v>45035.0</v>
      </c>
      <c r="I1766" s="8">
        <f t="shared" si="1"/>
        <v>19</v>
      </c>
      <c r="J1766" s="9">
        <f t="shared" si="2"/>
        <v>4</v>
      </c>
      <c r="K1766" s="9">
        <f t="shared" si="3"/>
        <v>2023</v>
      </c>
      <c r="M1766" s="25">
        <f>IFERROR(__xludf.DUMMYFUNCTION("""COMPUTED_VALUE"""),45035.0)</f>
        <v>45035</v>
      </c>
    </row>
    <row r="1767">
      <c r="A1767" s="10" t="s">
        <v>1558</v>
      </c>
      <c r="B1767" s="3" t="s">
        <v>1559</v>
      </c>
      <c r="C1767" s="10" t="s">
        <v>1602</v>
      </c>
      <c r="D1767" s="3" t="s">
        <v>1603</v>
      </c>
      <c r="E1767" s="4" t="s">
        <v>3</v>
      </c>
      <c r="F1767" s="5" t="s">
        <v>21</v>
      </c>
      <c r="G1767" s="6" t="s">
        <v>1605</v>
      </c>
      <c r="H1767" s="7">
        <v>45041.0</v>
      </c>
      <c r="I1767" s="8">
        <f t="shared" si="1"/>
        <v>25</v>
      </c>
      <c r="J1767" s="9">
        <f t="shared" si="2"/>
        <v>4</v>
      </c>
      <c r="K1767" s="9">
        <f t="shared" si="3"/>
        <v>2023</v>
      </c>
      <c r="M1767" s="25">
        <f>IFERROR(__xludf.DUMMYFUNCTION("""COMPUTED_VALUE"""),45041.0)</f>
        <v>45041</v>
      </c>
    </row>
    <row r="1768">
      <c r="A1768" s="10" t="s">
        <v>1558</v>
      </c>
      <c r="B1768" s="3" t="s">
        <v>1559</v>
      </c>
      <c r="C1768" s="10" t="s">
        <v>1602</v>
      </c>
      <c r="D1768" s="3" t="s">
        <v>1603</v>
      </c>
      <c r="E1768" s="4" t="s">
        <v>3</v>
      </c>
      <c r="F1768" s="5" t="s">
        <v>28</v>
      </c>
      <c r="G1768" s="6" t="s">
        <v>352</v>
      </c>
      <c r="H1768" s="7">
        <v>45050.0</v>
      </c>
      <c r="I1768" s="8">
        <f t="shared" si="1"/>
        <v>4</v>
      </c>
      <c r="J1768" s="9">
        <f t="shared" si="2"/>
        <v>5</v>
      </c>
      <c r="K1768" s="9">
        <f t="shared" si="3"/>
        <v>2023</v>
      </c>
      <c r="M1768" s="25">
        <f>IFERROR(__xludf.DUMMYFUNCTION("""COMPUTED_VALUE"""),45050.0)</f>
        <v>45050</v>
      </c>
    </row>
    <row r="1769">
      <c r="A1769" s="10" t="s">
        <v>1558</v>
      </c>
      <c r="B1769" s="3" t="s">
        <v>1559</v>
      </c>
      <c r="C1769" s="10" t="s">
        <v>1602</v>
      </c>
      <c r="D1769" s="3" t="s">
        <v>1603</v>
      </c>
      <c r="E1769" s="4" t="s">
        <v>8</v>
      </c>
      <c r="F1769" s="5" t="s">
        <v>35</v>
      </c>
      <c r="G1769" s="6" t="s">
        <v>1606</v>
      </c>
      <c r="H1769" s="7">
        <v>45053.0</v>
      </c>
      <c r="I1769" s="8">
        <f t="shared" si="1"/>
        <v>7</v>
      </c>
      <c r="J1769" s="9">
        <f t="shared" si="2"/>
        <v>5</v>
      </c>
      <c r="K1769" s="9">
        <f t="shared" si="3"/>
        <v>2023</v>
      </c>
      <c r="M1769" s="25">
        <f>IFERROR(__xludf.DUMMYFUNCTION("""COMPUTED_VALUE"""),45053.0)</f>
        <v>45053</v>
      </c>
    </row>
    <row r="1770">
      <c r="A1770" s="10" t="s">
        <v>1558</v>
      </c>
      <c r="B1770" s="3" t="s">
        <v>1559</v>
      </c>
      <c r="C1770" s="10" t="s">
        <v>1602</v>
      </c>
      <c r="D1770" s="3" t="s">
        <v>1603</v>
      </c>
      <c r="E1770" s="4" t="s">
        <v>3</v>
      </c>
      <c r="F1770" s="5" t="s">
        <v>76</v>
      </c>
      <c r="G1770" s="6" t="s">
        <v>1607</v>
      </c>
      <c r="H1770" s="7">
        <v>45073.0</v>
      </c>
      <c r="I1770" s="8">
        <f t="shared" si="1"/>
        <v>27</v>
      </c>
      <c r="J1770" s="9">
        <f t="shared" si="2"/>
        <v>5</v>
      </c>
      <c r="K1770" s="9">
        <f t="shared" si="3"/>
        <v>2023</v>
      </c>
      <c r="M1770" s="25">
        <f>IFERROR(__xludf.DUMMYFUNCTION("""COMPUTED_VALUE"""),45073.0)</f>
        <v>45073</v>
      </c>
    </row>
    <row r="1771">
      <c r="A1771" s="10" t="s">
        <v>1558</v>
      </c>
      <c r="B1771" s="3" t="s">
        <v>1559</v>
      </c>
      <c r="C1771" s="10" t="s">
        <v>1602</v>
      </c>
      <c r="D1771" s="3" t="s">
        <v>1603</v>
      </c>
      <c r="E1771" s="4" t="s">
        <v>3</v>
      </c>
      <c r="F1771" s="5" t="s">
        <v>17</v>
      </c>
      <c r="G1771" s="6" t="s">
        <v>1608</v>
      </c>
      <c r="H1771" s="7">
        <v>45084.0</v>
      </c>
      <c r="I1771" s="8">
        <f t="shared" si="1"/>
        <v>7</v>
      </c>
      <c r="J1771" s="9">
        <f t="shared" si="2"/>
        <v>6</v>
      </c>
      <c r="K1771" s="9">
        <f t="shared" si="3"/>
        <v>2023</v>
      </c>
      <c r="M1771" s="25">
        <f>IFERROR(__xludf.DUMMYFUNCTION("""COMPUTED_VALUE"""),45084.0)</f>
        <v>45084</v>
      </c>
    </row>
    <row r="1772">
      <c r="A1772" s="10" t="s">
        <v>1558</v>
      </c>
      <c r="B1772" s="3" t="s">
        <v>1559</v>
      </c>
      <c r="C1772" s="10" t="s">
        <v>1602</v>
      </c>
      <c r="D1772" s="3" t="s">
        <v>1603</v>
      </c>
      <c r="E1772" s="4" t="s">
        <v>8</v>
      </c>
      <c r="F1772" s="5" t="s">
        <v>51</v>
      </c>
      <c r="G1772" s="6" t="s">
        <v>1609</v>
      </c>
      <c r="H1772" s="7">
        <v>45099.0</v>
      </c>
      <c r="I1772" s="8">
        <f t="shared" si="1"/>
        <v>22</v>
      </c>
      <c r="J1772" s="9">
        <f t="shared" si="2"/>
        <v>6</v>
      </c>
      <c r="K1772" s="9">
        <f t="shared" si="3"/>
        <v>2023</v>
      </c>
      <c r="M1772" s="25">
        <f>IFERROR(__xludf.DUMMYFUNCTION("""COMPUTED_VALUE"""),45099.0)</f>
        <v>45099</v>
      </c>
    </row>
    <row r="1773">
      <c r="A1773" s="10" t="s">
        <v>1558</v>
      </c>
      <c r="B1773" s="3" t="s">
        <v>1559</v>
      </c>
      <c r="C1773" s="10" t="s">
        <v>1602</v>
      </c>
      <c r="D1773" s="3" t="s">
        <v>1603</v>
      </c>
      <c r="E1773" s="4" t="s">
        <v>8</v>
      </c>
      <c r="F1773" s="5" t="s">
        <v>76</v>
      </c>
      <c r="G1773" s="6" t="s">
        <v>690</v>
      </c>
      <c r="H1773" s="7">
        <v>45108.0</v>
      </c>
      <c r="I1773" s="8">
        <f t="shared" si="1"/>
        <v>1</v>
      </c>
      <c r="J1773" s="9">
        <f t="shared" si="2"/>
        <v>7</v>
      </c>
      <c r="K1773" s="9">
        <f t="shared" si="3"/>
        <v>2023</v>
      </c>
      <c r="M1773" s="25">
        <f>IFERROR(__xludf.DUMMYFUNCTION("""COMPUTED_VALUE"""),45108.0)</f>
        <v>45108</v>
      </c>
    </row>
    <row r="1774">
      <c r="A1774" s="10" t="s">
        <v>1558</v>
      </c>
      <c r="B1774" s="3" t="s">
        <v>1559</v>
      </c>
      <c r="C1774" s="10" t="s">
        <v>1602</v>
      </c>
      <c r="D1774" s="3" t="s">
        <v>1603</v>
      </c>
      <c r="E1774" s="4" t="s">
        <v>3</v>
      </c>
      <c r="F1774" s="5" t="s">
        <v>39</v>
      </c>
      <c r="G1774" s="6" t="s">
        <v>1610</v>
      </c>
      <c r="H1774" s="7">
        <v>45126.0</v>
      </c>
      <c r="I1774" s="8">
        <f t="shared" si="1"/>
        <v>19</v>
      </c>
      <c r="J1774" s="9">
        <f t="shared" si="2"/>
        <v>7</v>
      </c>
      <c r="K1774" s="9">
        <f t="shared" si="3"/>
        <v>2023</v>
      </c>
      <c r="M1774" s="25">
        <f>IFERROR(__xludf.DUMMYFUNCTION("""COMPUTED_VALUE"""),45126.0)</f>
        <v>45126</v>
      </c>
    </row>
    <row r="1775">
      <c r="A1775" s="10" t="s">
        <v>1558</v>
      </c>
      <c r="B1775" s="3" t="s">
        <v>1559</v>
      </c>
      <c r="C1775" s="10" t="s">
        <v>1602</v>
      </c>
      <c r="D1775" s="3" t="s">
        <v>1603</v>
      </c>
      <c r="E1775" s="4" t="s">
        <v>8</v>
      </c>
      <c r="F1775" s="5" t="s">
        <v>6</v>
      </c>
      <c r="G1775" s="6" t="s">
        <v>1611</v>
      </c>
      <c r="H1775" s="7">
        <v>45176.0</v>
      </c>
      <c r="I1775" s="8">
        <f t="shared" si="1"/>
        <v>7</v>
      </c>
      <c r="J1775" s="9">
        <f t="shared" si="2"/>
        <v>9</v>
      </c>
      <c r="K1775" s="9">
        <f t="shared" si="3"/>
        <v>2023</v>
      </c>
      <c r="M1775" s="25">
        <f>IFERROR(__xludf.DUMMYFUNCTION("""COMPUTED_VALUE"""),45176.0)</f>
        <v>45176</v>
      </c>
    </row>
    <row r="1776">
      <c r="A1776" s="10" t="s">
        <v>1558</v>
      </c>
      <c r="B1776" s="3" t="s">
        <v>1559</v>
      </c>
      <c r="C1776" s="10" t="s">
        <v>1602</v>
      </c>
      <c r="D1776" s="3" t="s">
        <v>1603</v>
      </c>
      <c r="E1776" s="4" t="s">
        <v>3</v>
      </c>
      <c r="F1776" s="5" t="s">
        <v>71</v>
      </c>
      <c r="G1776" s="6" t="s">
        <v>1612</v>
      </c>
      <c r="H1776" s="7">
        <v>45181.0</v>
      </c>
      <c r="I1776" s="8">
        <f t="shared" si="1"/>
        <v>12</v>
      </c>
      <c r="J1776" s="9">
        <f t="shared" si="2"/>
        <v>9</v>
      </c>
      <c r="K1776" s="9">
        <f t="shared" si="3"/>
        <v>2023</v>
      </c>
      <c r="M1776" s="25">
        <f>IFERROR(__xludf.DUMMYFUNCTION("""COMPUTED_VALUE"""),45181.0)</f>
        <v>45181</v>
      </c>
    </row>
    <row r="1777">
      <c r="A1777" s="10" t="s">
        <v>1558</v>
      </c>
      <c r="B1777" s="3" t="s">
        <v>1559</v>
      </c>
      <c r="C1777" s="10" t="s">
        <v>1602</v>
      </c>
      <c r="D1777" s="3" t="s">
        <v>1603</v>
      </c>
      <c r="E1777" s="4" t="s">
        <v>8</v>
      </c>
      <c r="F1777" s="5" t="s">
        <v>4</v>
      </c>
      <c r="G1777" s="6" t="s">
        <v>1613</v>
      </c>
      <c r="H1777" s="7">
        <v>45221.0</v>
      </c>
      <c r="I1777" s="8">
        <f t="shared" si="1"/>
        <v>22</v>
      </c>
      <c r="J1777" s="9">
        <f t="shared" si="2"/>
        <v>10</v>
      </c>
      <c r="K1777" s="9">
        <f t="shared" si="3"/>
        <v>2023</v>
      </c>
      <c r="M1777" s="25">
        <f>IFERROR(__xludf.DUMMYFUNCTION("""COMPUTED_VALUE"""),45221.0)</f>
        <v>45221</v>
      </c>
    </row>
    <row r="1778">
      <c r="A1778" s="10" t="s">
        <v>1558</v>
      </c>
      <c r="B1778" s="3" t="s">
        <v>1559</v>
      </c>
      <c r="C1778" s="10" t="s">
        <v>1602</v>
      </c>
      <c r="D1778" s="3" t="s">
        <v>1603</v>
      </c>
      <c r="E1778" s="4" t="s">
        <v>3</v>
      </c>
      <c r="F1778" s="5" t="s">
        <v>76</v>
      </c>
      <c r="G1778" s="6" t="s">
        <v>1379</v>
      </c>
      <c r="H1778" s="7">
        <v>45279.0</v>
      </c>
      <c r="I1778" s="8">
        <f t="shared" si="1"/>
        <v>19</v>
      </c>
      <c r="J1778" s="9">
        <f t="shared" si="2"/>
        <v>12</v>
      </c>
      <c r="K1778" s="9">
        <f t="shared" si="3"/>
        <v>2023</v>
      </c>
      <c r="M1778" s="25">
        <f>IFERROR(__xludf.DUMMYFUNCTION("""COMPUTED_VALUE"""),45279.0)</f>
        <v>45279</v>
      </c>
    </row>
    <row r="1779">
      <c r="A1779" s="10" t="s">
        <v>1558</v>
      </c>
      <c r="B1779" s="3" t="s">
        <v>1559</v>
      </c>
      <c r="C1779" s="10" t="s">
        <v>1602</v>
      </c>
      <c r="D1779" s="3" t="s">
        <v>1603</v>
      </c>
      <c r="E1779" s="4" t="s">
        <v>3</v>
      </c>
      <c r="F1779" s="5" t="s">
        <v>13</v>
      </c>
      <c r="G1779" s="6" t="s">
        <v>707</v>
      </c>
      <c r="H1779" s="7">
        <v>45286.0</v>
      </c>
      <c r="I1779" s="8">
        <f t="shared" si="1"/>
        <v>26</v>
      </c>
      <c r="J1779" s="9">
        <f t="shared" si="2"/>
        <v>12</v>
      </c>
      <c r="K1779" s="9">
        <f t="shared" si="3"/>
        <v>2023</v>
      </c>
      <c r="M1779" s="25">
        <f>IFERROR(__xludf.DUMMYFUNCTION("""COMPUTED_VALUE"""),45286.0)</f>
        <v>45286</v>
      </c>
    </row>
    <row r="1780">
      <c r="A1780" s="10" t="s">
        <v>1558</v>
      </c>
      <c r="B1780" s="3" t="s">
        <v>1559</v>
      </c>
      <c r="C1780" s="10" t="s">
        <v>1602</v>
      </c>
      <c r="D1780" s="3" t="s">
        <v>1603</v>
      </c>
      <c r="E1780" s="4" t="s">
        <v>8</v>
      </c>
      <c r="F1780" s="5" t="s">
        <v>9</v>
      </c>
      <c r="G1780" s="6" t="s">
        <v>1614</v>
      </c>
      <c r="H1780" s="7">
        <v>45286.0</v>
      </c>
      <c r="I1780" s="8">
        <f t="shared" si="1"/>
        <v>26</v>
      </c>
      <c r="J1780" s="9">
        <f t="shared" si="2"/>
        <v>12</v>
      </c>
      <c r="K1780" s="9">
        <f t="shared" si="3"/>
        <v>2023</v>
      </c>
      <c r="M1780" s="25">
        <f>IFERROR(__xludf.DUMMYFUNCTION("""COMPUTED_VALUE"""),45286.0)</f>
        <v>45286</v>
      </c>
    </row>
    <row r="1781">
      <c r="A1781" s="10" t="s">
        <v>1574</v>
      </c>
      <c r="B1781" s="3" t="s">
        <v>1575</v>
      </c>
      <c r="C1781" s="10" t="s">
        <v>1615</v>
      </c>
      <c r="D1781" s="3" t="s">
        <v>1616</v>
      </c>
      <c r="E1781" s="4" t="s">
        <v>3</v>
      </c>
      <c r="F1781" s="5" t="s">
        <v>4</v>
      </c>
      <c r="G1781" s="6" t="s">
        <v>1617</v>
      </c>
      <c r="H1781" s="7">
        <v>44967.0</v>
      </c>
      <c r="I1781" s="8">
        <f t="shared" si="1"/>
        <v>10</v>
      </c>
      <c r="J1781" s="9">
        <f t="shared" si="2"/>
        <v>2</v>
      </c>
      <c r="K1781" s="9">
        <f t="shared" si="3"/>
        <v>2023</v>
      </c>
      <c r="M1781" s="25">
        <f>IFERROR(__xludf.DUMMYFUNCTION("""COMPUTED_VALUE"""),44967.0)</f>
        <v>44967</v>
      </c>
    </row>
    <row r="1782">
      <c r="A1782" s="10" t="s">
        <v>1574</v>
      </c>
      <c r="B1782" s="3" t="s">
        <v>1575</v>
      </c>
      <c r="C1782" s="10" t="s">
        <v>1615</v>
      </c>
      <c r="D1782" s="3" t="s">
        <v>1616</v>
      </c>
      <c r="E1782" s="4" t="s">
        <v>8</v>
      </c>
      <c r="F1782" s="5" t="s">
        <v>21</v>
      </c>
      <c r="G1782" s="6" t="s">
        <v>1618</v>
      </c>
      <c r="H1782" s="7">
        <v>44982.0</v>
      </c>
      <c r="I1782" s="8">
        <f t="shared" si="1"/>
        <v>25</v>
      </c>
      <c r="J1782" s="9">
        <f t="shared" si="2"/>
        <v>2</v>
      </c>
      <c r="K1782" s="9">
        <f t="shared" si="3"/>
        <v>2023</v>
      </c>
      <c r="M1782" s="25">
        <f>IFERROR(__xludf.DUMMYFUNCTION("""COMPUTED_VALUE"""),44982.0)</f>
        <v>44982</v>
      </c>
    </row>
    <row r="1783">
      <c r="A1783" s="10" t="s">
        <v>1574</v>
      </c>
      <c r="B1783" s="3" t="s">
        <v>1575</v>
      </c>
      <c r="C1783" s="10" t="s">
        <v>1615</v>
      </c>
      <c r="D1783" s="3" t="s">
        <v>1616</v>
      </c>
      <c r="E1783" s="4" t="s">
        <v>3</v>
      </c>
      <c r="F1783" s="5" t="s">
        <v>4</v>
      </c>
      <c r="G1783" s="6" t="s">
        <v>1619</v>
      </c>
      <c r="H1783" s="7">
        <v>45047.0</v>
      </c>
      <c r="I1783" s="8">
        <f t="shared" si="1"/>
        <v>1</v>
      </c>
      <c r="J1783" s="9">
        <f t="shared" si="2"/>
        <v>5</v>
      </c>
      <c r="K1783" s="9">
        <f t="shared" si="3"/>
        <v>2023</v>
      </c>
      <c r="M1783" s="25">
        <f>IFERROR(__xludf.DUMMYFUNCTION("""COMPUTED_VALUE"""),45047.0)</f>
        <v>45047</v>
      </c>
    </row>
    <row r="1784">
      <c r="A1784" s="10" t="s">
        <v>1574</v>
      </c>
      <c r="B1784" s="3" t="s">
        <v>1575</v>
      </c>
      <c r="C1784" s="10" t="s">
        <v>1615</v>
      </c>
      <c r="D1784" s="3" t="s">
        <v>1616</v>
      </c>
      <c r="E1784" s="4" t="s">
        <v>3</v>
      </c>
      <c r="F1784" s="5" t="s">
        <v>17</v>
      </c>
      <c r="G1784" s="6" t="s">
        <v>1620</v>
      </c>
      <c r="H1784" s="7">
        <v>45061.0</v>
      </c>
      <c r="I1784" s="8">
        <f t="shared" si="1"/>
        <v>15</v>
      </c>
      <c r="J1784" s="9">
        <f t="shared" si="2"/>
        <v>5</v>
      </c>
      <c r="K1784" s="9">
        <f t="shared" si="3"/>
        <v>2023</v>
      </c>
      <c r="M1784" s="25">
        <f>IFERROR(__xludf.DUMMYFUNCTION("""COMPUTED_VALUE"""),45061.0)</f>
        <v>45061</v>
      </c>
    </row>
    <row r="1785">
      <c r="A1785" s="10" t="s">
        <v>1574</v>
      </c>
      <c r="B1785" s="3" t="s">
        <v>1575</v>
      </c>
      <c r="C1785" s="10" t="s">
        <v>1615</v>
      </c>
      <c r="D1785" s="3" t="s">
        <v>1616</v>
      </c>
      <c r="E1785" s="4" t="s">
        <v>3</v>
      </c>
      <c r="F1785" s="5" t="s">
        <v>19</v>
      </c>
      <c r="G1785" s="6" t="s">
        <v>113</v>
      </c>
      <c r="H1785" s="7">
        <v>45063.0</v>
      </c>
      <c r="I1785" s="8">
        <f t="shared" si="1"/>
        <v>17</v>
      </c>
      <c r="J1785" s="9">
        <f t="shared" si="2"/>
        <v>5</v>
      </c>
      <c r="K1785" s="9">
        <f t="shared" si="3"/>
        <v>2023</v>
      </c>
      <c r="M1785" s="25">
        <f>IFERROR(__xludf.DUMMYFUNCTION("""COMPUTED_VALUE"""),45063.0)</f>
        <v>45063</v>
      </c>
    </row>
    <row r="1786">
      <c r="A1786" s="10" t="s">
        <v>1574</v>
      </c>
      <c r="B1786" s="3" t="s">
        <v>1575</v>
      </c>
      <c r="C1786" s="10" t="s">
        <v>1615</v>
      </c>
      <c r="D1786" s="3" t="s">
        <v>1616</v>
      </c>
      <c r="E1786" s="4" t="s">
        <v>3</v>
      </c>
      <c r="F1786" s="5" t="s">
        <v>6</v>
      </c>
      <c r="G1786" s="6" t="s">
        <v>1621</v>
      </c>
      <c r="H1786" s="7">
        <v>45120.0</v>
      </c>
      <c r="I1786" s="8">
        <f t="shared" si="1"/>
        <v>13</v>
      </c>
      <c r="J1786" s="9">
        <f t="shared" si="2"/>
        <v>7</v>
      </c>
      <c r="K1786" s="9">
        <f t="shared" si="3"/>
        <v>2023</v>
      </c>
      <c r="M1786" s="25">
        <f>IFERROR(__xludf.DUMMYFUNCTION("""COMPUTED_VALUE"""),45120.0)</f>
        <v>45120</v>
      </c>
    </row>
    <row r="1787">
      <c r="A1787" s="10" t="s">
        <v>1574</v>
      </c>
      <c r="B1787" s="3" t="s">
        <v>1575</v>
      </c>
      <c r="C1787" s="10" t="s">
        <v>1615</v>
      </c>
      <c r="D1787" s="3" t="s">
        <v>1616</v>
      </c>
      <c r="E1787" s="4" t="s">
        <v>8</v>
      </c>
      <c r="F1787" s="5" t="s">
        <v>19</v>
      </c>
      <c r="G1787" s="6" t="s">
        <v>1622</v>
      </c>
      <c r="H1787" s="7">
        <v>45144.0</v>
      </c>
      <c r="I1787" s="8">
        <f t="shared" si="1"/>
        <v>6</v>
      </c>
      <c r="J1787" s="9">
        <f t="shared" si="2"/>
        <v>8</v>
      </c>
      <c r="K1787" s="9">
        <f t="shared" si="3"/>
        <v>2023</v>
      </c>
      <c r="M1787" s="25">
        <f>IFERROR(__xludf.DUMMYFUNCTION("""COMPUTED_VALUE"""),45144.0)</f>
        <v>45144</v>
      </c>
    </row>
    <row r="1788">
      <c r="A1788" s="10" t="s">
        <v>1574</v>
      </c>
      <c r="B1788" s="3" t="s">
        <v>1575</v>
      </c>
      <c r="C1788" s="10" t="s">
        <v>1615</v>
      </c>
      <c r="D1788" s="3" t="s">
        <v>1616</v>
      </c>
      <c r="E1788" s="4" t="s">
        <v>3</v>
      </c>
      <c r="F1788" s="5" t="s">
        <v>45</v>
      </c>
      <c r="G1788" s="6" t="s">
        <v>1623</v>
      </c>
      <c r="H1788" s="7">
        <v>45155.0</v>
      </c>
      <c r="I1788" s="8">
        <f t="shared" si="1"/>
        <v>17</v>
      </c>
      <c r="J1788" s="9">
        <f t="shared" si="2"/>
        <v>8</v>
      </c>
      <c r="K1788" s="9">
        <f t="shared" si="3"/>
        <v>2023</v>
      </c>
      <c r="M1788" s="25">
        <f>IFERROR(__xludf.DUMMYFUNCTION("""COMPUTED_VALUE"""),45155.0)</f>
        <v>45155</v>
      </c>
    </row>
    <row r="1789">
      <c r="A1789" s="10" t="s">
        <v>1574</v>
      </c>
      <c r="B1789" s="3" t="s">
        <v>1575</v>
      </c>
      <c r="C1789" s="10" t="s">
        <v>1615</v>
      </c>
      <c r="D1789" s="3" t="s">
        <v>1616</v>
      </c>
      <c r="E1789" s="4" t="s">
        <v>3</v>
      </c>
      <c r="F1789" s="5" t="s">
        <v>23</v>
      </c>
      <c r="G1789" s="6" t="s">
        <v>1624</v>
      </c>
      <c r="H1789" s="7">
        <v>45159.0</v>
      </c>
      <c r="I1789" s="8">
        <f t="shared" si="1"/>
        <v>21</v>
      </c>
      <c r="J1789" s="9">
        <f t="shared" si="2"/>
        <v>8</v>
      </c>
      <c r="K1789" s="9">
        <f t="shared" si="3"/>
        <v>2023</v>
      </c>
      <c r="M1789" s="25">
        <f>IFERROR(__xludf.DUMMYFUNCTION("""COMPUTED_VALUE"""),45159.0)</f>
        <v>45159</v>
      </c>
    </row>
    <row r="1790">
      <c r="A1790" s="10" t="s">
        <v>1574</v>
      </c>
      <c r="B1790" s="3" t="s">
        <v>1575</v>
      </c>
      <c r="C1790" s="10" t="s">
        <v>1615</v>
      </c>
      <c r="D1790" s="3" t="s">
        <v>1616</v>
      </c>
      <c r="E1790" s="4" t="s">
        <v>3</v>
      </c>
      <c r="F1790" s="5" t="s">
        <v>19</v>
      </c>
      <c r="G1790" s="6" t="s">
        <v>1625</v>
      </c>
      <c r="H1790" s="7">
        <v>45184.0</v>
      </c>
      <c r="I1790" s="8">
        <f t="shared" si="1"/>
        <v>15</v>
      </c>
      <c r="J1790" s="9">
        <f t="shared" si="2"/>
        <v>9</v>
      </c>
      <c r="K1790" s="9">
        <f t="shared" si="3"/>
        <v>2023</v>
      </c>
      <c r="M1790" s="25">
        <f>IFERROR(__xludf.DUMMYFUNCTION("""COMPUTED_VALUE"""),45184.0)</f>
        <v>45184</v>
      </c>
    </row>
    <row r="1791">
      <c r="A1791" s="10" t="s">
        <v>1574</v>
      </c>
      <c r="B1791" s="3" t="s">
        <v>1575</v>
      </c>
      <c r="C1791" s="10" t="s">
        <v>1615</v>
      </c>
      <c r="D1791" s="3" t="s">
        <v>1616</v>
      </c>
      <c r="E1791" s="4" t="s">
        <v>8</v>
      </c>
      <c r="F1791" s="5" t="s">
        <v>19</v>
      </c>
      <c r="G1791" s="6" t="s">
        <v>1626</v>
      </c>
      <c r="H1791" s="7">
        <v>45190.0</v>
      </c>
      <c r="I1791" s="8">
        <f t="shared" si="1"/>
        <v>21</v>
      </c>
      <c r="J1791" s="9">
        <f t="shared" si="2"/>
        <v>9</v>
      </c>
      <c r="K1791" s="9">
        <f t="shared" si="3"/>
        <v>2023</v>
      </c>
      <c r="M1791" s="25">
        <f>IFERROR(__xludf.DUMMYFUNCTION("""COMPUTED_VALUE"""),45190.0)</f>
        <v>45190</v>
      </c>
    </row>
    <row r="1792">
      <c r="A1792" s="10" t="s">
        <v>1574</v>
      </c>
      <c r="B1792" s="3" t="s">
        <v>1575</v>
      </c>
      <c r="C1792" s="10" t="s">
        <v>1615</v>
      </c>
      <c r="D1792" s="3" t="s">
        <v>1616</v>
      </c>
      <c r="E1792" s="4" t="s">
        <v>8</v>
      </c>
      <c r="F1792" s="5" t="s">
        <v>23</v>
      </c>
      <c r="G1792" s="6" t="s">
        <v>1627</v>
      </c>
      <c r="H1792" s="7">
        <v>45190.0</v>
      </c>
      <c r="I1792" s="8">
        <f t="shared" si="1"/>
        <v>21</v>
      </c>
      <c r="J1792" s="9">
        <f t="shared" si="2"/>
        <v>9</v>
      </c>
      <c r="K1792" s="9">
        <f t="shared" si="3"/>
        <v>2023</v>
      </c>
      <c r="M1792" s="25">
        <f>IFERROR(__xludf.DUMMYFUNCTION("""COMPUTED_VALUE"""),45190.0)</f>
        <v>45190</v>
      </c>
    </row>
    <row r="1793">
      <c r="A1793" s="10" t="s">
        <v>1574</v>
      </c>
      <c r="B1793" s="3" t="s">
        <v>1575</v>
      </c>
      <c r="C1793" s="10" t="s">
        <v>1615</v>
      </c>
      <c r="D1793" s="3" t="s">
        <v>1616</v>
      </c>
      <c r="E1793" s="4" t="s">
        <v>3</v>
      </c>
      <c r="F1793" s="5" t="s">
        <v>17</v>
      </c>
      <c r="G1793" s="6" t="s">
        <v>1628</v>
      </c>
      <c r="H1793" s="7">
        <v>45211.0</v>
      </c>
      <c r="I1793" s="8">
        <f t="shared" si="1"/>
        <v>12</v>
      </c>
      <c r="J1793" s="9">
        <f t="shared" si="2"/>
        <v>10</v>
      </c>
      <c r="K1793" s="9">
        <f t="shared" si="3"/>
        <v>2023</v>
      </c>
      <c r="M1793" s="25">
        <f>IFERROR(__xludf.DUMMYFUNCTION("""COMPUTED_VALUE"""),45211.0)</f>
        <v>45211</v>
      </c>
    </row>
    <row r="1794">
      <c r="A1794" s="10" t="s">
        <v>1574</v>
      </c>
      <c r="B1794" s="3" t="s">
        <v>1575</v>
      </c>
      <c r="C1794" s="10" t="s">
        <v>1615</v>
      </c>
      <c r="D1794" s="3" t="s">
        <v>1616</v>
      </c>
      <c r="E1794" s="4" t="s">
        <v>3</v>
      </c>
      <c r="F1794" s="5" t="s">
        <v>17</v>
      </c>
      <c r="G1794" s="6" t="s">
        <v>911</v>
      </c>
      <c r="H1794" s="7">
        <v>45212.0</v>
      </c>
      <c r="I1794" s="8">
        <f t="shared" si="1"/>
        <v>13</v>
      </c>
      <c r="J1794" s="9">
        <f t="shared" si="2"/>
        <v>10</v>
      </c>
      <c r="K1794" s="9">
        <f t="shared" si="3"/>
        <v>2023</v>
      </c>
      <c r="M1794" s="25">
        <f>IFERROR(__xludf.DUMMYFUNCTION("""COMPUTED_VALUE"""),45212.0)</f>
        <v>45212</v>
      </c>
    </row>
    <row r="1795">
      <c r="A1795" s="10" t="s">
        <v>1574</v>
      </c>
      <c r="B1795" s="3" t="s">
        <v>1575</v>
      </c>
      <c r="C1795" s="10" t="s">
        <v>1615</v>
      </c>
      <c r="D1795" s="3" t="s">
        <v>1616</v>
      </c>
      <c r="E1795" s="4" t="s">
        <v>8</v>
      </c>
      <c r="F1795" s="5" t="s">
        <v>23</v>
      </c>
      <c r="G1795" s="6" t="s">
        <v>1373</v>
      </c>
      <c r="H1795" s="7">
        <v>45233.0</v>
      </c>
      <c r="I1795" s="8">
        <f t="shared" si="1"/>
        <v>3</v>
      </c>
      <c r="J1795" s="9">
        <f t="shared" si="2"/>
        <v>11</v>
      </c>
      <c r="K1795" s="9">
        <f t="shared" si="3"/>
        <v>2023</v>
      </c>
      <c r="M1795" s="25">
        <f>IFERROR(__xludf.DUMMYFUNCTION("""COMPUTED_VALUE"""),45233.0)</f>
        <v>45233</v>
      </c>
    </row>
    <row r="1796">
      <c r="A1796" s="10" t="s">
        <v>1574</v>
      </c>
      <c r="B1796" s="3" t="s">
        <v>1575</v>
      </c>
      <c r="C1796" s="10" t="s">
        <v>1615</v>
      </c>
      <c r="D1796" s="3" t="s">
        <v>1616</v>
      </c>
      <c r="E1796" s="4" t="s">
        <v>3</v>
      </c>
      <c r="F1796" s="5" t="s">
        <v>13</v>
      </c>
      <c r="G1796" s="6" t="s">
        <v>1629</v>
      </c>
      <c r="H1796" s="7">
        <v>45245.0</v>
      </c>
      <c r="I1796" s="8">
        <f t="shared" si="1"/>
        <v>15</v>
      </c>
      <c r="J1796" s="9">
        <f t="shared" si="2"/>
        <v>11</v>
      </c>
      <c r="K1796" s="9">
        <f t="shared" si="3"/>
        <v>2023</v>
      </c>
      <c r="M1796" s="25">
        <f>IFERROR(__xludf.DUMMYFUNCTION("""COMPUTED_VALUE"""),45245.0)</f>
        <v>45245</v>
      </c>
    </row>
    <row r="1797">
      <c r="A1797" s="10" t="s">
        <v>1574</v>
      </c>
      <c r="B1797" s="3" t="s">
        <v>1575</v>
      </c>
      <c r="C1797" s="10" t="s">
        <v>1615</v>
      </c>
      <c r="D1797" s="3" t="s">
        <v>1616</v>
      </c>
      <c r="E1797" s="4" t="s">
        <v>8</v>
      </c>
      <c r="F1797" s="5" t="s">
        <v>11</v>
      </c>
      <c r="G1797" s="6" t="s">
        <v>1029</v>
      </c>
      <c r="H1797" s="7">
        <v>45254.0</v>
      </c>
      <c r="I1797" s="8">
        <f t="shared" si="1"/>
        <v>24</v>
      </c>
      <c r="J1797" s="9">
        <f t="shared" si="2"/>
        <v>11</v>
      </c>
      <c r="K1797" s="9">
        <f t="shared" si="3"/>
        <v>2023</v>
      </c>
      <c r="M1797" s="25">
        <f>IFERROR(__xludf.DUMMYFUNCTION("""COMPUTED_VALUE"""),45254.0)</f>
        <v>45254</v>
      </c>
    </row>
    <row r="1798">
      <c r="A1798" s="10" t="s">
        <v>1574</v>
      </c>
      <c r="B1798" s="3" t="s">
        <v>1575</v>
      </c>
      <c r="C1798" s="10" t="s">
        <v>1615</v>
      </c>
      <c r="D1798" s="3" t="s">
        <v>1616</v>
      </c>
      <c r="E1798" s="4" t="s">
        <v>8</v>
      </c>
      <c r="F1798" s="5" t="s">
        <v>120</v>
      </c>
      <c r="G1798" s="6" t="s">
        <v>1630</v>
      </c>
      <c r="H1798" s="7">
        <v>45261.0</v>
      </c>
      <c r="I1798" s="8">
        <f t="shared" si="1"/>
        <v>1</v>
      </c>
      <c r="J1798" s="9">
        <f t="shared" si="2"/>
        <v>12</v>
      </c>
      <c r="K1798" s="9">
        <f t="shared" si="3"/>
        <v>2023</v>
      </c>
      <c r="M1798" s="25">
        <f>IFERROR(__xludf.DUMMYFUNCTION("""COMPUTED_VALUE"""),45261.0)</f>
        <v>45261</v>
      </c>
    </row>
    <row r="1799">
      <c r="A1799" s="10" t="s">
        <v>1574</v>
      </c>
      <c r="B1799" s="3" t="s">
        <v>1575</v>
      </c>
      <c r="C1799" s="10" t="s">
        <v>1615</v>
      </c>
      <c r="D1799" s="3" t="s">
        <v>1616</v>
      </c>
      <c r="E1799" s="4" t="s">
        <v>3</v>
      </c>
      <c r="F1799" s="5" t="s">
        <v>4</v>
      </c>
      <c r="G1799" s="6" t="s">
        <v>1631</v>
      </c>
      <c r="H1799" s="7">
        <v>45269.0</v>
      </c>
      <c r="I1799" s="8">
        <f t="shared" si="1"/>
        <v>9</v>
      </c>
      <c r="J1799" s="9">
        <f t="shared" si="2"/>
        <v>12</v>
      </c>
      <c r="K1799" s="9">
        <f t="shared" si="3"/>
        <v>2023</v>
      </c>
      <c r="M1799" s="25">
        <f>IFERROR(__xludf.DUMMYFUNCTION("""COMPUTED_VALUE"""),45269.0)</f>
        <v>45269</v>
      </c>
    </row>
    <row r="1800">
      <c r="A1800" s="10" t="s">
        <v>1574</v>
      </c>
      <c r="B1800" s="3" t="s">
        <v>1575</v>
      </c>
      <c r="C1800" s="10" t="s">
        <v>1615</v>
      </c>
      <c r="D1800" s="3" t="s">
        <v>1616</v>
      </c>
      <c r="E1800" s="4" t="s">
        <v>8</v>
      </c>
      <c r="F1800" s="5" t="s">
        <v>9</v>
      </c>
      <c r="G1800" s="6" t="s">
        <v>714</v>
      </c>
      <c r="H1800" s="7">
        <v>45275.0</v>
      </c>
      <c r="I1800" s="8">
        <f t="shared" si="1"/>
        <v>15</v>
      </c>
      <c r="J1800" s="9">
        <f t="shared" si="2"/>
        <v>12</v>
      </c>
      <c r="K1800" s="9">
        <f t="shared" si="3"/>
        <v>2023</v>
      </c>
      <c r="M1800" s="25">
        <f>IFERROR(__xludf.DUMMYFUNCTION("""COMPUTED_VALUE"""),45275.0)</f>
        <v>45275</v>
      </c>
    </row>
    <row r="1801">
      <c r="A1801" s="10" t="s">
        <v>367</v>
      </c>
      <c r="B1801" s="3" t="s">
        <v>1586</v>
      </c>
      <c r="C1801" s="10" t="s">
        <v>1632</v>
      </c>
      <c r="D1801" s="3" t="s">
        <v>1633</v>
      </c>
      <c r="E1801" s="4" t="s">
        <v>3</v>
      </c>
      <c r="F1801" s="5" t="s">
        <v>19</v>
      </c>
      <c r="G1801" s="6" t="s">
        <v>1634</v>
      </c>
      <c r="H1801" s="7">
        <v>44934.0</v>
      </c>
      <c r="I1801" s="8">
        <f t="shared" si="1"/>
        <v>8</v>
      </c>
      <c r="J1801" s="9">
        <f t="shared" si="2"/>
        <v>1</v>
      </c>
      <c r="K1801" s="9">
        <f t="shared" si="3"/>
        <v>2023</v>
      </c>
      <c r="M1801" s="25">
        <f>IFERROR(__xludf.DUMMYFUNCTION("""COMPUTED_VALUE"""),44934.0)</f>
        <v>44934</v>
      </c>
    </row>
    <row r="1802">
      <c r="A1802" s="10" t="s">
        <v>367</v>
      </c>
      <c r="B1802" s="3" t="s">
        <v>1586</v>
      </c>
      <c r="C1802" s="10" t="s">
        <v>1632</v>
      </c>
      <c r="D1802" s="3" t="s">
        <v>1633</v>
      </c>
      <c r="E1802" s="4" t="s">
        <v>8</v>
      </c>
      <c r="F1802" s="5" t="s">
        <v>17</v>
      </c>
      <c r="G1802" s="6" t="s">
        <v>1635</v>
      </c>
      <c r="H1802" s="7">
        <v>44949.0</v>
      </c>
      <c r="I1802" s="8">
        <f t="shared" si="1"/>
        <v>23</v>
      </c>
      <c r="J1802" s="9">
        <f t="shared" si="2"/>
        <v>1</v>
      </c>
      <c r="K1802" s="9">
        <f t="shared" si="3"/>
        <v>2023</v>
      </c>
      <c r="M1802" s="25">
        <f>IFERROR(__xludf.DUMMYFUNCTION("""COMPUTED_VALUE"""),44949.0)</f>
        <v>44949</v>
      </c>
    </row>
    <row r="1803">
      <c r="A1803" s="10" t="s">
        <v>367</v>
      </c>
      <c r="B1803" s="3" t="s">
        <v>1586</v>
      </c>
      <c r="C1803" s="10" t="s">
        <v>1632</v>
      </c>
      <c r="D1803" s="3" t="s">
        <v>1633</v>
      </c>
      <c r="E1803" s="4" t="s">
        <v>8</v>
      </c>
      <c r="F1803" s="5" t="s">
        <v>96</v>
      </c>
      <c r="G1803" s="6" t="s">
        <v>1636</v>
      </c>
      <c r="H1803" s="7">
        <v>44968.0</v>
      </c>
      <c r="I1803" s="8">
        <f t="shared" si="1"/>
        <v>11</v>
      </c>
      <c r="J1803" s="9">
        <f t="shared" si="2"/>
        <v>2</v>
      </c>
      <c r="K1803" s="9">
        <f t="shared" si="3"/>
        <v>2023</v>
      </c>
      <c r="M1803" s="25">
        <f>IFERROR(__xludf.DUMMYFUNCTION("""COMPUTED_VALUE"""),44968.0)</f>
        <v>44968</v>
      </c>
    </row>
    <row r="1804">
      <c r="A1804" s="10" t="s">
        <v>367</v>
      </c>
      <c r="B1804" s="3" t="s">
        <v>1586</v>
      </c>
      <c r="C1804" s="10" t="s">
        <v>1632</v>
      </c>
      <c r="D1804" s="3" t="s">
        <v>1633</v>
      </c>
      <c r="E1804" s="4" t="s">
        <v>3</v>
      </c>
      <c r="F1804" s="5" t="s">
        <v>96</v>
      </c>
      <c r="G1804" s="6" t="s">
        <v>374</v>
      </c>
      <c r="H1804" s="7">
        <v>44968.0</v>
      </c>
      <c r="I1804" s="8">
        <f t="shared" si="1"/>
        <v>11</v>
      </c>
      <c r="J1804" s="9">
        <f t="shared" si="2"/>
        <v>2</v>
      </c>
      <c r="K1804" s="9">
        <f t="shared" si="3"/>
        <v>2023</v>
      </c>
      <c r="M1804" s="25">
        <f>IFERROR(__xludf.DUMMYFUNCTION("""COMPUTED_VALUE"""),44968.0)</f>
        <v>44968</v>
      </c>
    </row>
    <row r="1805">
      <c r="A1805" s="10" t="s">
        <v>367</v>
      </c>
      <c r="B1805" s="3" t="s">
        <v>1586</v>
      </c>
      <c r="C1805" s="10" t="s">
        <v>1632</v>
      </c>
      <c r="D1805" s="3" t="s">
        <v>1633</v>
      </c>
      <c r="E1805" s="4" t="s">
        <v>8</v>
      </c>
      <c r="F1805" s="5" t="s">
        <v>15</v>
      </c>
      <c r="G1805" s="6" t="s">
        <v>1637</v>
      </c>
      <c r="H1805" s="7">
        <v>44982.0</v>
      </c>
      <c r="I1805" s="8">
        <f t="shared" si="1"/>
        <v>25</v>
      </c>
      <c r="J1805" s="9">
        <f t="shared" si="2"/>
        <v>2</v>
      </c>
      <c r="K1805" s="9">
        <f t="shared" si="3"/>
        <v>2023</v>
      </c>
      <c r="M1805" s="25">
        <f>IFERROR(__xludf.DUMMYFUNCTION("""COMPUTED_VALUE"""),44982.0)</f>
        <v>44982</v>
      </c>
    </row>
    <row r="1806">
      <c r="A1806" s="10" t="s">
        <v>367</v>
      </c>
      <c r="B1806" s="3" t="s">
        <v>1586</v>
      </c>
      <c r="C1806" s="10" t="s">
        <v>1632</v>
      </c>
      <c r="D1806" s="3" t="s">
        <v>1633</v>
      </c>
      <c r="E1806" s="4" t="s">
        <v>3</v>
      </c>
      <c r="F1806" s="5" t="s">
        <v>17</v>
      </c>
      <c r="G1806" s="6" t="s">
        <v>1638</v>
      </c>
      <c r="H1806" s="7">
        <v>45023.0</v>
      </c>
      <c r="I1806" s="8">
        <f t="shared" si="1"/>
        <v>7</v>
      </c>
      <c r="J1806" s="9">
        <f t="shared" si="2"/>
        <v>4</v>
      </c>
      <c r="K1806" s="9">
        <f t="shared" si="3"/>
        <v>2023</v>
      </c>
      <c r="M1806" s="25">
        <f>IFERROR(__xludf.DUMMYFUNCTION("""COMPUTED_VALUE"""),45023.0)</f>
        <v>45023</v>
      </c>
    </row>
    <row r="1807">
      <c r="A1807" s="10" t="s">
        <v>367</v>
      </c>
      <c r="B1807" s="3" t="s">
        <v>1586</v>
      </c>
      <c r="C1807" s="10" t="s">
        <v>1632</v>
      </c>
      <c r="D1807" s="3" t="s">
        <v>1633</v>
      </c>
      <c r="E1807" s="4" t="s">
        <v>3</v>
      </c>
      <c r="F1807" s="5" t="s">
        <v>15</v>
      </c>
      <c r="G1807" s="6" t="s">
        <v>1098</v>
      </c>
      <c r="H1807" s="7">
        <v>45038.0</v>
      </c>
      <c r="I1807" s="8">
        <f t="shared" si="1"/>
        <v>22</v>
      </c>
      <c r="J1807" s="9">
        <f t="shared" si="2"/>
        <v>4</v>
      </c>
      <c r="K1807" s="9">
        <f t="shared" si="3"/>
        <v>2023</v>
      </c>
      <c r="M1807" s="25">
        <f>IFERROR(__xludf.DUMMYFUNCTION("""COMPUTED_VALUE"""),45038.0)</f>
        <v>45038</v>
      </c>
    </row>
    <row r="1808">
      <c r="A1808" s="10" t="s">
        <v>367</v>
      </c>
      <c r="B1808" s="3" t="s">
        <v>1586</v>
      </c>
      <c r="C1808" s="10" t="s">
        <v>1632</v>
      </c>
      <c r="D1808" s="3" t="s">
        <v>1633</v>
      </c>
      <c r="E1808" s="4" t="s">
        <v>8</v>
      </c>
      <c r="F1808" s="5" t="s">
        <v>39</v>
      </c>
      <c r="G1808" s="6" t="s">
        <v>1639</v>
      </c>
      <c r="H1808" s="7">
        <v>45055.0</v>
      </c>
      <c r="I1808" s="8">
        <f t="shared" si="1"/>
        <v>9</v>
      </c>
      <c r="J1808" s="9">
        <f t="shared" si="2"/>
        <v>5</v>
      </c>
      <c r="K1808" s="9">
        <f t="shared" si="3"/>
        <v>2023</v>
      </c>
      <c r="M1808" s="25">
        <f>IFERROR(__xludf.DUMMYFUNCTION("""COMPUTED_VALUE"""),45055.0)</f>
        <v>45055</v>
      </c>
    </row>
    <row r="1809">
      <c r="A1809" s="10" t="s">
        <v>367</v>
      </c>
      <c r="B1809" s="3" t="s">
        <v>1586</v>
      </c>
      <c r="C1809" s="10" t="s">
        <v>1632</v>
      </c>
      <c r="D1809" s="3" t="s">
        <v>1633</v>
      </c>
      <c r="E1809" s="4" t="s">
        <v>8</v>
      </c>
      <c r="F1809" s="5" t="s">
        <v>23</v>
      </c>
      <c r="G1809" s="6" t="s">
        <v>1112</v>
      </c>
      <c r="H1809" s="7">
        <v>45094.0</v>
      </c>
      <c r="I1809" s="8">
        <f t="shared" si="1"/>
        <v>17</v>
      </c>
      <c r="J1809" s="9">
        <f t="shared" si="2"/>
        <v>6</v>
      </c>
      <c r="K1809" s="9">
        <f t="shared" si="3"/>
        <v>2023</v>
      </c>
      <c r="M1809" s="25">
        <f>IFERROR(__xludf.DUMMYFUNCTION("""COMPUTED_VALUE"""),45094.0)</f>
        <v>45094</v>
      </c>
    </row>
    <row r="1810">
      <c r="A1810" s="10" t="s">
        <v>367</v>
      </c>
      <c r="B1810" s="3" t="s">
        <v>1586</v>
      </c>
      <c r="C1810" s="10" t="s">
        <v>1632</v>
      </c>
      <c r="D1810" s="3" t="s">
        <v>1633</v>
      </c>
      <c r="E1810" s="4" t="s">
        <v>8</v>
      </c>
      <c r="F1810" s="5" t="s">
        <v>19</v>
      </c>
      <c r="G1810" s="6" t="s">
        <v>1640</v>
      </c>
      <c r="H1810" s="7">
        <v>45099.0</v>
      </c>
      <c r="I1810" s="8">
        <f t="shared" si="1"/>
        <v>22</v>
      </c>
      <c r="J1810" s="9">
        <f t="shared" si="2"/>
        <v>6</v>
      </c>
      <c r="K1810" s="9">
        <f t="shared" si="3"/>
        <v>2023</v>
      </c>
      <c r="M1810" s="25">
        <f>IFERROR(__xludf.DUMMYFUNCTION("""COMPUTED_VALUE"""),45099.0)</f>
        <v>45099</v>
      </c>
    </row>
    <row r="1811">
      <c r="A1811" s="10" t="s">
        <v>367</v>
      </c>
      <c r="B1811" s="3" t="s">
        <v>1586</v>
      </c>
      <c r="C1811" s="10" t="s">
        <v>1632</v>
      </c>
      <c r="D1811" s="3" t="s">
        <v>1633</v>
      </c>
      <c r="E1811" s="4" t="s">
        <v>3</v>
      </c>
      <c r="F1811" s="5" t="s">
        <v>96</v>
      </c>
      <c r="G1811" s="6" t="s">
        <v>501</v>
      </c>
      <c r="H1811" s="7">
        <v>45119.0</v>
      </c>
      <c r="I1811" s="8">
        <f t="shared" si="1"/>
        <v>12</v>
      </c>
      <c r="J1811" s="9">
        <f t="shared" si="2"/>
        <v>7</v>
      </c>
      <c r="K1811" s="9">
        <f t="shared" si="3"/>
        <v>2023</v>
      </c>
      <c r="M1811" s="25">
        <f>IFERROR(__xludf.DUMMYFUNCTION("""COMPUTED_VALUE"""),45119.0)</f>
        <v>45119</v>
      </c>
    </row>
    <row r="1812">
      <c r="A1812" s="10" t="s">
        <v>367</v>
      </c>
      <c r="B1812" s="3" t="s">
        <v>1586</v>
      </c>
      <c r="C1812" s="10" t="s">
        <v>1632</v>
      </c>
      <c r="D1812" s="3" t="s">
        <v>1633</v>
      </c>
      <c r="E1812" s="4" t="s">
        <v>3</v>
      </c>
      <c r="F1812" s="5" t="s">
        <v>96</v>
      </c>
      <c r="G1812" s="6" t="s">
        <v>341</v>
      </c>
      <c r="H1812" s="7">
        <v>45124.0</v>
      </c>
      <c r="I1812" s="8">
        <f t="shared" si="1"/>
        <v>17</v>
      </c>
      <c r="J1812" s="9">
        <f t="shared" si="2"/>
        <v>7</v>
      </c>
      <c r="K1812" s="9">
        <f t="shared" si="3"/>
        <v>2023</v>
      </c>
      <c r="M1812" s="25">
        <f>IFERROR(__xludf.DUMMYFUNCTION("""COMPUTED_VALUE"""),45124.0)</f>
        <v>45124</v>
      </c>
    </row>
    <row r="1813">
      <c r="A1813" s="10" t="s">
        <v>367</v>
      </c>
      <c r="B1813" s="3" t="s">
        <v>1586</v>
      </c>
      <c r="C1813" s="10" t="s">
        <v>1632</v>
      </c>
      <c r="D1813" s="3" t="s">
        <v>1633</v>
      </c>
      <c r="E1813" s="4" t="s">
        <v>3</v>
      </c>
      <c r="F1813" s="5" t="s">
        <v>4</v>
      </c>
      <c r="G1813" s="6" t="s">
        <v>1641</v>
      </c>
      <c r="H1813" s="7">
        <v>45131.0</v>
      </c>
      <c r="I1813" s="8">
        <f t="shared" si="1"/>
        <v>24</v>
      </c>
      <c r="J1813" s="9">
        <f t="shared" si="2"/>
        <v>7</v>
      </c>
      <c r="K1813" s="9">
        <f t="shared" si="3"/>
        <v>2023</v>
      </c>
      <c r="M1813" s="25">
        <f>IFERROR(__xludf.DUMMYFUNCTION("""COMPUTED_VALUE"""),45131.0)</f>
        <v>45131</v>
      </c>
    </row>
    <row r="1814">
      <c r="A1814" s="10" t="s">
        <v>367</v>
      </c>
      <c r="B1814" s="3" t="s">
        <v>1586</v>
      </c>
      <c r="C1814" s="10" t="s">
        <v>1632</v>
      </c>
      <c r="D1814" s="3" t="s">
        <v>1633</v>
      </c>
      <c r="E1814" s="4" t="s">
        <v>8</v>
      </c>
      <c r="F1814" s="5" t="s">
        <v>6</v>
      </c>
      <c r="G1814" s="6" t="s">
        <v>1642</v>
      </c>
      <c r="H1814" s="7">
        <v>45131.0</v>
      </c>
      <c r="I1814" s="8">
        <f t="shared" si="1"/>
        <v>24</v>
      </c>
      <c r="J1814" s="9">
        <f t="shared" si="2"/>
        <v>7</v>
      </c>
      <c r="K1814" s="9">
        <f t="shared" si="3"/>
        <v>2023</v>
      </c>
      <c r="M1814" s="25">
        <f>IFERROR(__xludf.DUMMYFUNCTION("""COMPUTED_VALUE"""),45131.0)</f>
        <v>45131</v>
      </c>
    </row>
    <row r="1815">
      <c r="A1815" s="10" t="s">
        <v>367</v>
      </c>
      <c r="B1815" s="3" t="s">
        <v>1586</v>
      </c>
      <c r="C1815" s="10" t="s">
        <v>1632</v>
      </c>
      <c r="D1815" s="3" t="s">
        <v>1633</v>
      </c>
      <c r="E1815" s="4" t="s">
        <v>8</v>
      </c>
      <c r="F1815" s="5" t="s">
        <v>11</v>
      </c>
      <c r="G1815" s="6" t="s">
        <v>1146</v>
      </c>
      <c r="H1815" s="7">
        <v>45148.0</v>
      </c>
      <c r="I1815" s="8">
        <f t="shared" si="1"/>
        <v>10</v>
      </c>
      <c r="J1815" s="9">
        <f t="shared" si="2"/>
        <v>8</v>
      </c>
      <c r="K1815" s="9">
        <f t="shared" si="3"/>
        <v>2023</v>
      </c>
      <c r="M1815" s="25">
        <f>IFERROR(__xludf.DUMMYFUNCTION("""COMPUTED_VALUE"""),45148.0)</f>
        <v>45148</v>
      </c>
    </row>
    <row r="1816">
      <c r="A1816" s="10" t="s">
        <v>367</v>
      </c>
      <c r="B1816" s="3" t="s">
        <v>1586</v>
      </c>
      <c r="C1816" s="10" t="s">
        <v>1632</v>
      </c>
      <c r="D1816" s="3" t="s">
        <v>1633</v>
      </c>
      <c r="E1816" s="4" t="s">
        <v>8</v>
      </c>
      <c r="F1816" s="5" t="s">
        <v>35</v>
      </c>
      <c r="G1816" s="6" t="s">
        <v>1643</v>
      </c>
      <c r="H1816" s="7">
        <v>45202.0</v>
      </c>
      <c r="I1816" s="8">
        <f t="shared" si="1"/>
        <v>3</v>
      </c>
      <c r="J1816" s="9">
        <f t="shared" si="2"/>
        <v>10</v>
      </c>
      <c r="K1816" s="9">
        <f t="shared" si="3"/>
        <v>2023</v>
      </c>
      <c r="M1816" s="25">
        <f>IFERROR(__xludf.DUMMYFUNCTION("""COMPUTED_VALUE"""),45202.0)</f>
        <v>45202</v>
      </c>
    </row>
    <row r="1817">
      <c r="A1817" s="10" t="s">
        <v>367</v>
      </c>
      <c r="B1817" s="3" t="s">
        <v>1586</v>
      </c>
      <c r="C1817" s="10" t="s">
        <v>1632</v>
      </c>
      <c r="D1817" s="3" t="s">
        <v>1633</v>
      </c>
      <c r="E1817" s="4" t="s">
        <v>3</v>
      </c>
      <c r="F1817" s="5" t="s">
        <v>9</v>
      </c>
      <c r="G1817" s="6" t="s">
        <v>333</v>
      </c>
      <c r="H1817" s="7">
        <v>45238.0</v>
      </c>
      <c r="I1817" s="8">
        <f t="shared" si="1"/>
        <v>8</v>
      </c>
      <c r="J1817" s="9">
        <f t="shared" si="2"/>
        <v>11</v>
      </c>
      <c r="K1817" s="9">
        <f t="shared" si="3"/>
        <v>2023</v>
      </c>
      <c r="M1817" s="25">
        <f>IFERROR(__xludf.DUMMYFUNCTION("""COMPUTED_VALUE"""),45238.0)</f>
        <v>45238</v>
      </c>
    </row>
    <row r="1818">
      <c r="A1818" s="10" t="s">
        <v>367</v>
      </c>
      <c r="B1818" s="3" t="s">
        <v>1586</v>
      </c>
      <c r="C1818" s="10" t="s">
        <v>1632</v>
      </c>
      <c r="D1818" s="3" t="s">
        <v>1633</v>
      </c>
      <c r="E1818" s="4" t="s">
        <v>3</v>
      </c>
      <c r="F1818" s="5" t="s">
        <v>21</v>
      </c>
      <c r="G1818" s="6" t="s">
        <v>235</v>
      </c>
      <c r="H1818" s="7">
        <v>45246.0</v>
      </c>
      <c r="I1818" s="8">
        <f t="shared" si="1"/>
        <v>16</v>
      </c>
      <c r="J1818" s="9">
        <f t="shared" si="2"/>
        <v>11</v>
      </c>
      <c r="K1818" s="9">
        <f t="shared" si="3"/>
        <v>2023</v>
      </c>
      <c r="M1818" s="25">
        <f>IFERROR(__xludf.DUMMYFUNCTION("""COMPUTED_VALUE"""),45246.0)</f>
        <v>45246</v>
      </c>
    </row>
    <row r="1819">
      <c r="A1819" s="10" t="s">
        <v>367</v>
      </c>
      <c r="B1819" s="3" t="s">
        <v>1586</v>
      </c>
      <c r="C1819" s="10" t="s">
        <v>1632</v>
      </c>
      <c r="D1819" s="3" t="s">
        <v>1633</v>
      </c>
      <c r="E1819" s="4" t="s">
        <v>3</v>
      </c>
      <c r="F1819" s="5" t="s">
        <v>45</v>
      </c>
      <c r="G1819" s="6" t="s">
        <v>141</v>
      </c>
      <c r="H1819" s="7">
        <v>45270.0</v>
      </c>
      <c r="I1819" s="8">
        <f t="shared" si="1"/>
        <v>10</v>
      </c>
      <c r="J1819" s="9">
        <f t="shared" si="2"/>
        <v>12</v>
      </c>
      <c r="K1819" s="9">
        <f t="shared" si="3"/>
        <v>2023</v>
      </c>
      <c r="M1819" s="25">
        <f>IFERROR(__xludf.DUMMYFUNCTION("""COMPUTED_VALUE"""),45270.0)</f>
        <v>45270</v>
      </c>
    </row>
    <row r="1820">
      <c r="A1820" s="10" t="s">
        <v>367</v>
      </c>
      <c r="B1820" s="3" t="s">
        <v>1586</v>
      </c>
      <c r="C1820" s="10" t="s">
        <v>1632</v>
      </c>
      <c r="D1820" s="3" t="s">
        <v>1633</v>
      </c>
      <c r="E1820" s="4" t="s">
        <v>8</v>
      </c>
      <c r="F1820" s="5" t="s">
        <v>11</v>
      </c>
      <c r="G1820" s="6" t="s">
        <v>1026</v>
      </c>
      <c r="H1820" s="7">
        <v>45282.0</v>
      </c>
      <c r="I1820" s="8">
        <f t="shared" si="1"/>
        <v>22</v>
      </c>
      <c r="J1820" s="9">
        <f t="shared" si="2"/>
        <v>12</v>
      </c>
      <c r="K1820" s="9">
        <f t="shared" si="3"/>
        <v>2023</v>
      </c>
      <c r="M1820" s="25">
        <f>IFERROR(__xludf.DUMMYFUNCTION("""COMPUTED_VALUE"""),45282.0)</f>
        <v>45282</v>
      </c>
    </row>
    <row r="1821">
      <c r="A1821" s="10" t="s">
        <v>1602</v>
      </c>
      <c r="B1821" s="3" t="s">
        <v>1603</v>
      </c>
      <c r="C1821" s="10" t="s">
        <v>1632</v>
      </c>
      <c r="D1821" s="3" t="s">
        <v>1644</v>
      </c>
      <c r="E1821" s="4" t="s">
        <v>3</v>
      </c>
      <c r="F1821" s="5" t="s">
        <v>76</v>
      </c>
      <c r="G1821" s="6" t="s">
        <v>1645</v>
      </c>
      <c r="H1821" s="7">
        <v>44950.0</v>
      </c>
      <c r="I1821" s="8">
        <f t="shared" si="1"/>
        <v>24</v>
      </c>
      <c r="J1821" s="9">
        <f t="shared" si="2"/>
        <v>1</v>
      </c>
      <c r="K1821" s="9">
        <f t="shared" si="3"/>
        <v>2023</v>
      </c>
      <c r="M1821" s="25">
        <f>IFERROR(__xludf.DUMMYFUNCTION("""COMPUTED_VALUE"""),44950.0)</f>
        <v>44950</v>
      </c>
    </row>
    <row r="1822">
      <c r="A1822" s="10" t="s">
        <v>1602</v>
      </c>
      <c r="B1822" s="3" t="s">
        <v>1603</v>
      </c>
      <c r="C1822" s="10" t="s">
        <v>1632</v>
      </c>
      <c r="D1822" s="3" t="s">
        <v>1644</v>
      </c>
      <c r="E1822" s="4" t="s">
        <v>8</v>
      </c>
      <c r="F1822" s="5" t="s">
        <v>11</v>
      </c>
      <c r="G1822" s="6" t="s">
        <v>1646</v>
      </c>
      <c r="H1822" s="7">
        <v>44984.0</v>
      </c>
      <c r="I1822" s="8">
        <f t="shared" si="1"/>
        <v>27</v>
      </c>
      <c r="J1822" s="9">
        <f t="shared" si="2"/>
        <v>2</v>
      </c>
      <c r="K1822" s="9">
        <f t="shared" si="3"/>
        <v>2023</v>
      </c>
      <c r="M1822" s="25">
        <f>IFERROR(__xludf.DUMMYFUNCTION("""COMPUTED_VALUE"""),44984.0)</f>
        <v>44984</v>
      </c>
    </row>
    <row r="1823">
      <c r="A1823" s="10" t="s">
        <v>1602</v>
      </c>
      <c r="B1823" s="3" t="s">
        <v>1603</v>
      </c>
      <c r="C1823" s="10" t="s">
        <v>1632</v>
      </c>
      <c r="D1823" s="3" t="s">
        <v>1644</v>
      </c>
      <c r="E1823" s="4" t="s">
        <v>3</v>
      </c>
      <c r="F1823" s="5" t="s">
        <v>71</v>
      </c>
      <c r="G1823" s="6" t="s">
        <v>1206</v>
      </c>
      <c r="H1823" s="7">
        <v>44988.0</v>
      </c>
      <c r="I1823" s="8">
        <f t="shared" si="1"/>
        <v>3</v>
      </c>
      <c r="J1823" s="9">
        <f t="shared" si="2"/>
        <v>3</v>
      </c>
      <c r="K1823" s="9">
        <f t="shared" si="3"/>
        <v>2023</v>
      </c>
      <c r="M1823" s="25">
        <f>IFERROR(__xludf.DUMMYFUNCTION("""COMPUTED_VALUE"""),44988.0)</f>
        <v>44988</v>
      </c>
    </row>
    <row r="1824">
      <c r="A1824" s="10" t="s">
        <v>1602</v>
      </c>
      <c r="B1824" s="3" t="s">
        <v>1603</v>
      </c>
      <c r="C1824" s="10" t="s">
        <v>1632</v>
      </c>
      <c r="D1824" s="3" t="s">
        <v>1644</v>
      </c>
      <c r="E1824" s="4" t="s">
        <v>3</v>
      </c>
      <c r="F1824" s="5" t="s">
        <v>42</v>
      </c>
      <c r="G1824" s="6" t="s">
        <v>505</v>
      </c>
      <c r="H1824" s="7">
        <v>45012.0</v>
      </c>
      <c r="I1824" s="8">
        <f t="shared" si="1"/>
        <v>27</v>
      </c>
      <c r="J1824" s="9">
        <f t="shared" si="2"/>
        <v>3</v>
      </c>
      <c r="K1824" s="9">
        <f t="shared" si="3"/>
        <v>2023</v>
      </c>
      <c r="M1824" s="25">
        <f>IFERROR(__xludf.DUMMYFUNCTION("""COMPUTED_VALUE"""),45012.0)</f>
        <v>45012</v>
      </c>
    </row>
    <row r="1825">
      <c r="A1825" s="10" t="s">
        <v>1602</v>
      </c>
      <c r="B1825" s="3" t="s">
        <v>1603</v>
      </c>
      <c r="C1825" s="10" t="s">
        <v>1632</v>
      </c>
      <c r="D1825" s="3" t="s">
        <v>1644</v>
      </c>
      <c r="E1825" s="4" t="s">
        <v>3</v>
      </c>
      <c r="F1825" s="5" t="s">
        <v>96</v>
      </c>
      <c r="G1825" s="6" t="s">
        <v>604</v>
      </c>
      <c r="H1825" s="7">
        <v>45020.0</v>
      </c>
      <c r="I1825" s="8">
        <f t="shared" si="1"/>
        <v>4</v>
      </c>
      <c r="J1825" s="9">
        <f t="shared" si="2"/>
        <v>4</v>
      </c>
      <c r="K1825" s="9">
        <f t="shared" si="3"/>
        <v>2023</v>
      </c>
      <c r="M1825" s="25">
        <f>IFERROR(__xludf.DUMMYFUNCTION("""COMPUTED_VALUE"""),45020.0)</f>
        <v>45020</v>
      </c>
    </row>
    <row r="1826">
      <c r="A1826" s="10" t="s">
        <v>1602</v>
      </c>
      <c r="B1826" s="3" t="s">
        <v>1603</v>
      </c>
      <c r="C1826" s="10" t="s">
        <v>1632</v>
      </c>
      <c r="D1826" s="3" t="s">
        <v>1644</v>
      </c>
      <c r="E1826" s="4" t="s">
        <v>3</v>
      </c>
      <c r="F1826" s="5" t="s">
        <v>39</v>
      </c>
      <c r="G1826" s="6" t="s">
        <v>1647</v>
      </c>
      <c r="H1826" s="7">
        <v>45024.0</v>
      </c>
      <c r="I1826" s="8">
        <f t="shared" si="1"/>
        <v>8</v>
      </c>
      <c r="J1826" s="9">
        <f t="shared" si="2"/>
        <v>4</v>
      </c>
      <c r="K1826" s="9">
        <f t="shared" si="3"/>
        <v>2023</v>
      </c>
      <c r="M1826" s="25">
        <f>IFERROR(__xludf.DUMMYFUNCTION("""COMPUTED_VALUE"""),45024.0)</f>
        <v>45024</v>
      </c>
    </row>
    <row r="1827">
      <c r="A1827" s="10" t="s">
        <v>1602</v>
      </c>
      <c r="B1827" s="3" t="s">
        <v>1603</v>
      </c>
      <c r="C1827" s="10" t="s">
        <v>1632</v>
      </c>
      <c r="D1827" s="3" t="s">
        <v>1644</v>
      </c>
      <c r="E1827" s="4" t="s">
        <v>8</v>
      </c>
      <c r="F1827" s="5" t="s">
        <v>51</v>
      </c>
      <c r="G1827" s="6" t="s">
        <v>1648</v>
      </c>
      <c r="H1827" s="7">
        <v>45032.0</v>
      </c>
      <c r="I1827" s="8">
        <f t="shared" si="1"/>
        <v>16</v>
      </c>
      <c r="J1827" s="9">
        <f t="shared" si="2"/>
        <v>4</v>
      </c>
      <c r="K1827" s="9">
        <f t="shared" si="3"/>
        <v>2023</v>
      </c>
      <c r="M1827" s="25">
        <f>IFERROR(__xludf.DUMMYFUNCTION("""COMPUTED_VALUE"""),45032.0)</f>
        <v>45032</v>
      </c>
    </row>
    <row r="1828">
      <c r="A1828" s="10" t="s">
        <v>1602</v>
      </c>
      <c r="B1828" s="3" t="s">
        <v>1603</v>
      </c>
      <c r="C1828" s="10" t="s">
        <v>1632</v>
      </c>
      <c r="D1828" s="3" t="s">
        <v>1644</v>
      </c>
      <c r="E1828" s="4" t="s">
        <v>3</v>
      </c>
      <c r="F1828" s="5" t="s">
        <v>4</v>
      </c>
      <c r="G1828" s="6" t="s">
        <v>1649</v>
      </c>
      <c r="H1828" s="7">
        <v>45080.0</v>
      </c>
      <c r="I1828" s="8">
        <f t="shared" si="1"/>
        <v>3</v>
      </c>
      <c r="J1828" s="9">
        <f t="shared" si="2"/>
        <v>6</v>
      </c>
      <c r="K1828" s="9">
        <f t="shared" si="3"/>
        <v>2023</v>
      </c>
      <c r="M1828" s="25">
        <f>IFERROR(__xludf.DUMMYFUNCTION("""COMPUTED_VALUE"""),45080.0)</f>
        <v>45080</v>
      </c>
    </row>
    <row r="1829">
      <c r="A1829" s="10" t="s">
        <v>1602</v>
      </c>
      <c r="B1829" s="3" t="s">
        <v>1603</v>
      </c>
      <c r="C1829" s="10" t="s">
        <v>1632</v>
      </c>
      <c r="D1829" s="3" t="s">
        <v>1644</v>
      </c>
      <c r="E1829" s="4" t="s">
        <v>3</v>
      </c>
      <c r="F1829" s="5" t="s">
        <v>6</v>
      </c>
      <c r="G1829" s="6" t="s">
        <v>1397</v>
      </c>
      <c r="H1829" s="7">
        <v>45082.0</v>
      </c>
      <c r="I1829" s="8">
        <f t="shared" si="1"/>
        <v>5</v>
      </c>
      <c r="J1829" s="9">
        <f t="shared" si="2"/>
        <v>6</v>
      </c>
      <c r="K1829" s="9">
        <f t="shared" si="3"/>
        <v>2023</v>
      </c>
      <c r="M1829" s="25">
        <f>IFERROR(__xludf.DUMMYFUNCTION("""COMPUTED_VALUE"""),45082.0)</f>
        <v>45082</v>
      </c>
    </row>
    <row r="1830">
      <c r="A1830" s="10" t="s">
        <v>1602</v>
      </c>
      <c r="B1830" s="3" t="s">
        <v>1603</v>
      </c>
      <c r="C1830" s="10" t="s">
        <v>1632</v>
      </c>
      <c r="D1830" s="3" t="s">
        <v>1644</v>
      </c>
      <c r="E1830" s="4" t="s">
        <v>8</v>
      </c>
      <c r="F1830" s="5" t="s">
        <v>51</v>
      </c>
      <c r="G1830" s="6" t="s">
        <v>1650</v>
      </c>
      <c r="H1830" s="7">
        <v>45083.0</v>
      </c>
      <c r="I1830" s="8">
        <f t="shared" si="1"/>
        <v>6</v>
      </c>
      <c r="J1830" s="9">
        <f t="shared" si="2"/>
        <v>6</v>
      </c>
      <c r="K1830" s="9">
        <f t="shared" si="3"/>
        <v>2023</v>
      </c>
      <c r="M1830" s="25">
        <f>IFERROR(__xludf.DUMMYFUNCTION("""COMPUTED_VALUE"""),45083.0)</f>
        <v>45083</v>
      </c>
    </row>
    <row r="1831">
      <c r="A1831" s="10" t="s">
        <v>1602</v>
      </c>
      <c r="B1831" s="3" t="s">
        <v>1603</v>
      </c>
      <c r="C1831" s="10" t="s">
        <v>1632</v>
      </c>
      <c r="D1831" s="3" t="s">
        <v>1644</v>
      </c>
      <c r="E1831" s="4" t="s">
        <v>3</v>
      </c>
      <c r="F1831" s="5" t="s">
        <v>13</v>
      </c>
      <c r="G1831" s="6" t="s">
        <v>1125</v>
      </c>
      <c r="H1831" s="7">
        <v>45089.0</v>
      </c>
      <c r="I1831" s="8">
        <f t="shared" si="1"/>
        <v>12</v>
      </c>
      <c r="J1831" s="9">
        <f t="shared" si="2"/>
        <v>6</v>
      </c>
      <c r="K1831" s="9">
        <f t="shared" si="3"/>
        <v>2023</v>
      </c>
      <c r="M1831" s="25">
        <f>IFERROR(__xludf.DUMMYFUNCTION("""COMPUTED_VALUE"""),45089.0)</f>
        <v>45089</v>
      </c>
    </row>
    <row r="1832">
      <c r="A1832" s="10" t="s">
        <v>1602</v>
      </c>
      <c r="B1832" s="3" t="s">
        <v>1603</v>
      </c>
      <c r="C1832" s="10" t="s">
        <v>1632</v>
      </c>
      <c r="D1832" s="3" t="s">
        <v>1644</v>
      </c>
      <c r="E1832" s="4" t="s">
        <v>3</v>
      </c>
      <c r="F1832" s="5" t="s">
        <v>19</v>
      </c>
      <c r="G1832" s="6" t="s">
        <v>1651</v>
      </c>
      <c r="H1832" s="7">
        <v>45092.0</v>
      </c>
      <c r="I1832" s="8">
        <f t="shared" si="1"/>
        <v>15</v>
      </c>
      <c r="J1832" s="9">
        <f t="shared" si="2"/>
        <v>6</v>
      </c>
      <c r="K1832" s="9">
        <f t="shared" si="3"/>
        <v>2023</v>
      </c>
      <c r="M1832" s="25">
        <f>IFERROR(__xludf.DUMMYFUNCTION("""COMPUTED_VALUE"""),45092.0)</f>
        <v>45092</v>
      </c>
    </row>
    <row r="1833">
      <c r="A1833" s="10" t="s">
        <v>1602</v>
      </c>
      <c r="B1833" s="3" t="s">
        <v>1603</v>
      </c>
      <c r="C1833" s="10" t="s">
        <v>1632</v>
      </c>
      <c r="D1833" s="3" t="s">
        <v>1644</v>
      </c>
      <c r="E1833" s="4" t="s">
        <v>8</v>
      </c>
      <c r="F1833" s="5" t="s">
        <v>21</v>
      </c>
      <c r="G1833" s="6" t="s">
        <v>106</v>
      </c>
      <c r="H1833" s="7">
        <v>45114.0</v>
      </c>
      <c r="I1833" s="8">
        <f t="shared" si="1"/>
        <v>7</v>
      </c>
      <c r="J1833" s="9">
        <f t="shared" si="2"/>
        <v>7</v>
      </c>
      <c r="K1833" s="9">
        <f t="shared" si="3"/>
        <v>2023</v>
      </c>
      <c r="M1833" s="25">
        <f>IFERROR(__xludf.DUMMYFUNCTION("""COMPUTED_VALUE"""),45114.0)</f>
        <v>45114</v>
      </c>
    </row>
    <row r="1834">
      <c r="A1834" s="10" t="s">
        <v>1602</v>
      </c>
      <c r="B1834" s="3" t="s">
        <v>1603</v>
      </c>
      <c r="C1834" s="10" t="s">
        <v>1632</v>
      </c>
      <c r="D1834" s="3" t="s">
        <v>1644</v>
      </c>
      <c r="E1834" s="4" t="s">
        <v>3</v>
      </c>
      <c r="F1834" s="5" t="s">
        <v>35</v>
      </c>
      <c r="G1834" s="6" t="s">
        <v>1652</v>
      </c>
      <c r="H1834" s="7">
        <v>45128.0</v>
      </c>
      <c r="I1834" s="8">
        <f t="shared" si="1"/>
        <v>21</v>
      </c>
      <c r="J1834" s="9">
        <f t="shared" si="2"/>
        <v>7</v>
      </c>
      <c r="K1834" s="9">
        <f t="shared" si="3"/>
        <v>2023</v>
      </c>
      <c r="M1834" s="25">
        <f>IFERROR(__xludf.DUMMYFUNCTION("""COMPUTED_VALUE"""),45128.0)</f>
        <v>45128</v>
      </c>
    </row>
    <row r="1835">
      <c r="A1835" s="10" t="s">
        <v>1602</v>
      </c>
      <c r="B1835" s="3" t="s">
        <v>1603</v>
      </c>
      <c r="C1835" s="10" t="s">
        <v>1632</v>
      </c>
      <c r="D1835" s="3" t="s">
        <v>1644</v>
      </c>
      <c r="E1835" s="4" t="s">
        <v>3</v>
      </c>
      <c r="F1835" s="5" t="s">
        <v>17</v>
      </c>
      <c r="G1835" s="6" t="s">
        <v>225</v>
      </c>
      <c r="H1835" s="7">
        <v>45131.0</v>
      </c>
      <c r="I1835" s="8">
        <f t="shared" si="1"/>
        <v>24</v>
      </c>
      <c r="J1835" s="9">
        <f t="shared" si="2"/>
        <v>7</v>
      </c>
      <c r="K1835" s="9">
        <f t="shared" si="3"/>
        <v>2023</v>
      </c>
      <c r="M1835" s="25">
        <f>IFERROR(__xludf.DUMMYFUNCTION("""COMPUTED_VALUE"""),45131.0)</f>
        <v>45131</v>
      </c>
    </row>
    <row r="1836">
      <c r="A1836" s="10" t="s">
        <v>1602</v>
      </c>
      <c r="B1836" s="3" t="s">
        <v>1603</v>
      </c>
      <c r="C1836" s="10" t="s">
        <v>1632</v>
      </c>
      <c r="D1836" s="3" t="s">
        <v>1644</v>
      </c>
      <c r="E1836" s="4" t="s">
        <v>8</v>
      </c>
      <c r="F1836" s="5" t="s">
        <v>9</v>
      </c>
      <c r="G1836" s="6" t="s">
        <v>903</v>
      </c>
      <c r="H1836" s="7">
        <v>45176.0</v>
      </c>
      <c r="I1836" s="8">
        <f t="shared" si="1"/>
        <v>7</v>
      </c>
      <c r="J1836" s="9">
        <f t="shared" si="2"/>
        <v>9</v>
      </c>
      <c r="K1836" s="9">
        <f t="shared" si="3"/>
        <v>2023</v>
      </c>
      <c r="M1836" s="25">
        <f>IFERROR(__xludf.DUMMYFUNCTION("""COMPUTED_VALUE"""),45176.0)</f>
        <v>45176</v>
      </c>
    </row>
    <row r="1837">
      <c r="A1837" s="10" t="s">
        <v>1602</v>
      </c>
      <c r="B1837" s="3" t="s">
        <v>1603</v>
      </c>
      <c r="C1837" s="10" t="s">
        <v>1632</v>
      </c>
      <c r="D1837" s="3" t="s">
        <v>1644</v>
      </c>
      <c r="E1837" s="4" t="s">
        <v>8</v>
      </c>
      <c r="F1837" s="5" t="s">
        <v>76</v>
      </c>
      <c r="G1837" s="6" t="s">
        <v>1653</v>
      </c>
      <c r="H1837" s="7">
        <v>45209.0</v>
      </c>
      <c r="I1837" s="8">
        <f t="shared" si="1"/>
        <v>10</v>
      </c>
      <c r="J1837" s="9">
        <f t="shared" si="2"/>
        <v>10</v>
      </c>
      <c r="K1837" s="9">
        <f t="shared" si="3"/>
        <v>2023</v>
      </c>
      <c r="M1837" s="25">
        <f>IFERROR(__xludf.DUMMYFUNCTION("""COMPUTED_VALUE"""),45209.0)</f>
        <v>45209</v>
      </c>
    </row>
    <row r="1838">
      <c r="A1838" s="10" t="s">
        <v>1602</v>
      </c>
      <c r="B1838" s="3" t="s">
        <v>1603</v>
      </c>
      <c r="C1838" s="10" t="s">
        <v>1632</v>
      </c>
      <c r="D1838" s="3" t="s">
        <v>1644</v>
      </c>
      <c r="E1838" s="4" t="s">
        <v>3</v>
      </c>
      <c r="F1838" s="5" t="s">
        <v>76</v>
      </c>
      <c r="G1838" s="6" t="s">
        <v>1654</v>
      </c>
      <c r="H1838" s="7">
        <v>45231.0</v>
      </c>
      <c r="I1838" s="8">
        <f t="shared" si="1"/>
        <v>1</v>
      </c>
      <c r="J1838" s="9">
        <f t="shared" si="2"/>
        <v>11</v>
      </c>
      <c r="K1838" s="9">
        <f t="shared" si="3"/>
        <v>2023</v>
      </c>
      <c r="M1838" s="25">
        <f>IFERROR(__xludf.DUMMYFUNCTION("""COMPUTED_VALUE"""),45231.0)</f>
        <v>45231</v>
      </c>
    </row>
    <row r="1839">
      <c r="A1839" s="10" t="s">
        <v>1602</v>
      </c>
      <c r="B1839" s="3" t="s">
        <v>1603</v>
      </c>
      <c r="C1839" s="10" t="s">
        <v>1632</v>
      </c>
      <c r="D1839" s="3" t="s">
        <v>1644</v>
      </c>
      <c r="E1839" s="4" t="s">
        <v>3</v>
      </c>
      <c r="F1839" s="5" t="s">
        <v>71</v>
      </c>
      <c r="G1839" s="6" t="s">
        <v>1655</v>
      </c>
      <c r="H1839" s="7">
        <v>45271.0</v>
      </c>
      <c r="I1839" s="8">
        <f t="shared" si="1"/>
        <v>11</v>
      </c>
      <c r="J1839" s="9">
        <f t="shared" si="2"/>
        <v>12</v>
      </c>
      <c r="K1839" s="9">
        <f t="shared" si="3"/>
        <v>2023</v>
      </c>
      <c r="M1839" s="25">
        <f>IFERROR(__xludf.DUMMYFUNCTION("""COMPUTED_VALUE"""),45271.0)</f>
        <v>45271</v>
      </c>
    </row>
    <row r="1840">
      <c r="A1840" s="10" t="s">
        <v>1602</v>
      </c>
      <c r="B1840" s="3" t="s">
        <v>1603</v>
      </c>
      <c r="C1840" s="10" t="s">
        <v>1632</v>
      </c>
      <c r="D1840" s="3" t="s">
        <v>1644</v>
      </c>
      <c r="E1840" s="4" t="s">
        <v>3</v>
      </c>
      <c r="F1840" s="5" t="s">
        <v>71</v>
      </c>
      <c r="G1840" s="6" t="s">
        <v>1656</v>
      </c>
      <c r="H1840" s="7">
        <v>45272.0</v>
      </c>
      <c r="I1840" s="8">
        <f t="shared" si="1"/>
        <v>12</v>
      </c>
      <c r="J1840" s="9">
        <f t="shared" si="2"/>
        <v>12</v>
      </c>
      <c r="K1840" s="9">
        <f t="shared" si="3"/>
        <v>2023</v>
      </c>
      <c r="M1840" s="25">
        <f>IFERROR(__xludf.DUMMYFUNCTION("""COMPUTED_VALUE"""),45272.0)</f>
        <v>45272</v>
      </c>
    </row>
    <row r="1841">
      <c r="A1841" s="10" t="s">
        <v>1615</v>
      </c>
      <c r="B1841" s="3" t="s">
        <v>1616</v>
      </c>
      <c r="C1841" s="10" t="s">
        <v>1657</v>
      </c>
      <c r="D1841" s="3" t="s">
        <v>1658</v>
      </c>
      <c r="E1841" s="4" t="s">
        <v>8</v>
      </c>
      <c r="F1841" s="5" t="s">
        <v>23</v>
      </c>
      <c r="G1841" s="6" t="s">
        <v>1659</v>
      </c>
      <c r="H1841" s="7">
        <v>44937.0</v>
      </c>
      <c r="I1841" s="8">
        <f t="shared" si="1"/>
        <v>11</v>
      </c>
      <c r="J1841" s="9">
        <f t="shared" si="2"/>
        <v>1</v>
      </c>
      <c r="K1841" s="9">
        <f t="shared" si="3"/>
        <v>2023</v>
      </c>
      <c r="M1841" s="25">
        <f>IFERROR(__xludf.DUMMYFUNCTION("""COMPUTED_VALUE"""),44937.0)</f>
        <v>44937</v>
      </c>
    </row>
    <row r="1842">
      <c r="A1842" s="10" t="s">
        <v>1615</v>
      </c>
      <c r="B1842" s="3" t="s">
        <v>1616</v>
      </c>
      <c r="C1842" s="10" t="s">
        <v>1657</v>
      </c>
      <c r="D1842" s="3" t="s">
        <v>1658</v>
      </c>
      <c r="E1842" s="4" t="s">
        <v>3</v>
      </c>
      <c r="F1842" s="5" t="s">
        <v>35</v>
      </c>
      <c r="G1842" s="6" t="s">
        <v>1660</v>
      </c>
      <c r="H1842" s="7">
        <v>44939.0</v>
      </c>
      <c r="I1842" s="8">
        <f t="shared" si="1"/>
        <v>13</v>
      </c>
      <c r="J1842" s="9">
        <f t="shared" si="2"/>
        <v>1</v>
      </c>
      <c r="K1842" s="9">
        <f t="shared" si="3"/>
        <v>2023</v>
      </c>
      <c r="M1842" s="25">
        <f>IFERROR(__xludf.DUMMYFUNCTION("""COMPUTED_VALUE"""),44939.0)</f>
        <v>44939</v>
      </c>
    </row>
    <row r="1843">
      <c r="A1843" s="10" t="s">
        <v>1615</v>
      </c>
      <c r="B1843" s="3" t="s">
        <v>1616</v>
      </c>
      <c r="C1843" s="10" t="s">
        <v>1657</v>
      </c>
      <c r="D1843" s="3" t="s">
        <v>1658</v>
      </c>
      <c r="E1843" s="4" t="s">
        <v>8</v>
      </c>
      <c r="F1843" s="5" t="s">
        <v>9</v>
      </c>
      <c r="G1843" s="6" t="s">
        <v>208</v>
      </c>
      <c r="H1843" s="7">
        <v>44944.0</v>
      </c>
      <c r="I1843" s="8">
        <f t="shared" si="1"/>
        <v>18</v>
      </c>
      <c r="J1843" s="9">
        <f t="shared" si="2"/>
        <v>1</v>
      </c>
      <c r="K1843" s="9">
        <f t="shared" si="3"/>
        <v>2023</v>
      </c>
      <c r="M1843" s="25">
        <f>IFERROR(__xludf.DUMMYFUNCTION("""COMPUTED_VALUE"""),44944.0)</f>
        <v>44944</v>
      </c>
    </row>
    <row r="1844">
      <c r="A1844" s="10" t="s">
        <v>1615</v>
      </c>
      <c r="B1844" s="3" t="s">
        <v>1616</v>
      </c>
      <c r="C1844" s="10" t="s">
        <v>1657</v>
      </c>
      <c r="D1844" s="3" t="s">
        <v>1658</v>
      </c>
      <c r="E1844" s="4" t="s">
        <v>8</v>
      </c>
      <c r="F1844" s="5" t="s">
        <v>51</v>
      </c>
      <c r="G1844" s="6" t="s">
        <v>1134</v>
      </c>
      <c r="H1844" s="7">
        <v>44949.0</v>
      </c>
      <c r="I1844" s="8">
        <f t="shared" si="1"/>
        <v>23</v>
      </c>
      <c r="J1844" s="9">
        <f t="shared" si="2"/>
        <v>1</v>
      </c>
      <c r="K1844" s="9">
        <f t="shared" si="3"/>
        <v>2023</v>
      </c>
      <c r="M1844" s="25">
        <f>IFERROR(__xludf.DUMMYFUNCTION("""COMPUTED_VALUE"""),44949.0)</f>
        <v>44949</v>
      </c>
    </row>
    <row r="1845">
      <c r="A1845" s="10" t="s">
        <v>1615</v>
      </c>
      <c r="B1845" s="3" t="s">
        <v>1616</v>
      </c>
      <c r="C1845" s="10" t="s">
        <v>1657</v>
      </c>
      <c r="D1845" s="3" t="s">
        <v>1658</v>
      </c>
      <c r="E1845" s="4" t="s">
        <v>3</v>
      </c>
      <c r="F1845" s="5" t="s">
        <v>23</v>
      </c>
      <c r="G1845" s="6" t="s">
        <v>1661</v>
      </c>
      <c r="H1845" s="7">
        <v>45005.0</v>
      </c>
      <c r="I1845" s="8">
        <f t="shared" si="1"/>
        <v>20</v>
      </c>
      <c r="J1845" s="9">
        <f t="shared" si="2"/>
        <v>3</v>
      </c>
      <c r="K1845" s="9">
        <f t="shared" si="3"/>
        <v>2023</v>
      </c>
      <c r="M1845" s="25">
        <f>IFERROR(__xludf.DUMMYFUNCTION("""COMPUTED_VALUE"""),45005.0)</f>
        <v>45005</v>
      </c>
    </row>
    <row r="1846">
      <c r="A1846" s="10" t="s">
        <v>1615</v>
      </c>
      <c r="B1846" s="3" t="s">
        <v>1616</v>
      </c>
      <c r="C1846" s="10" t="s">
        <v>1657</v>
      </c>
      <c r="D1846" s="3" t="s">
        <v>1658</v>
      </c>
      <c r="E1846" s="4" t="s">
        <v>8</v>
      </c>
      <c r="F1846" s="5" t="s">
        <v>45</v>
      </c>
      <c r="G1846" s="6" t="s">
        <v>1662</v>
      </c>
      <c r="H1846" s="7">
        <v>45033.0</v>
      </c>
      <c r="I1846" s="8">
        <f t="shared" si="1"/>
        <v>17</v>
      </c>
      <c r="J1846" s="9">
        <f t="shared" si="2"/>
        <v>4</v>
      </c>
      <c r="K1846" s="9">
        <f t="shared" si="3"/>
        <v>2023</v>
      </c>
      <c r="M1846" s="25">
        <f>IFERROR(__xludf.DUMMYFUNCTION("""COMPUTED_VALUE"""),45033.0)</f>
        <v>45033</v>
      </c>
    </row>
    <row r="1847">
      <c r="A1847" s="10" t="s">
        <v>1615</v>
      </c>
      <c r="B1847" s="3" t="s">
        <v>1616</v>
      </c>
      <c r="C1847" s="10" t="s">
        <v>1657</v>
      </c>
      <c r="D1847" s="3" t="s">
        <v>1658</v>
      </c>
      <c r="E1847" s="4" t="s">
        <v>8</v>
      </c>
      <c r="F1847" s="5" t="s">
        <v>9</v>
      </c>
      <c r="G1847" s="6" t="s">
        <v>1663</v>
      </c>
      <c r="H1847" s="7">
        <v>45090.0</v>
      </c>
      <c r="I1847" s="8">
        <f t="shared" si="1"/>
        <v>13</v>
      </c>
      <c r="J1847" s="9">
        <f t="shared" si="2"/>
        <v>6</v>
      </c>
      <c r="K1847" s="9">
        <f t="shared" si="3"/>
        <v>2023</v>
      </c>
      <c r="M1847" s="25">
        <f>IFERROR(__xludf.DUMMYFUNCTION("""COMPUTED_VALUE"""),45090.0)</f>
        <v>45090</v>
      </c>
    </row>
    <row r="1848">
      <c r="A1848" s="10" t="s">
        <v>1615</v>
      </c>
      <c r="B1848" s="3" t="s">
        <v>1616</v>
      </c>
      <c r="C1848" s="10" t="s">
        <v>1657</v>
      </c>
      <c r="D1848" s="3" t="s">
        <v>1658</v>
      </c>
      <c r="E1848" s="4" t="s">
        <v>3</v>
      </c>
      <c r="F1848" s="5" t="s">
        <v>76</v>
      </c>
      <c r="G1848" s="6" t="s">
        <v>1664</v>
      </c>
      <c r="H1848" s="7">
        <v>45101.0</v>
      </c>
      <c r="I1848" s="8">
        <f t="shared" si="1"/>
        <v>24</v>
      </c>
      <c r="J1848" s="9">
        <f t="shared" si="2"/>
        <v>6</v>
      </c>
      <c r="K1848" s="9">
        <f t="shared" si="3"/>
        <v>2023</v>
      </c>
      <c r="M1848" s="25">
        <f>IFERROR(__xludf.DUMMYFUNCTION("""COMPUTED_VALUE"""),45101.0)</f>
        <v>45101</v>
      </c>
    </row>
    <row r="1849">
      <c r="A1849" s="10" t="s">
        <v>1615</v>
      </c>
      <c r="B1849" s="3" t="s">
        <v>1616</v>
      </c>
      <c r="C1849" s="10" t="s">
        <v>1657</v>
      </c>
      <c r="D1849" s="3" t="s">
        <v>1658</v>
      </c>
      <c r="E1849" s="4" t="s">
        <v>8</v>
      </c>
      <c r="F1849" s="5" t="s">
        <v>35</v>
      </c>
      <c r="G1849" s="6" t="s">
        <v>896</v>
      </c>
      <c r="H1849" s="7">
        <v>45101.0</v>
      </c>
      <c r="I1849" s="8">
        <f t="shared" si="1"/>
        <v>24</v>
      </c>
      <c r="J1849" s="9">
        <f t="shared" si="2"/>
        <v>6</v>
      </c>
      <c r="K1849" s="9">
        <f t="shared" si="3"/>
        <v>2023</v>
      </c>
      <c r="M1849" s="25">
        <f>IFERROR(__xludf.DUMMYFUNCTION("""COMPUTED_VALUE"""),45101.0)</f>
        <v>45101</v>
      </c>
    </row>
    <row r="1850">
      <c r="A1850" s="10" t="s">
        <v>1615</v>
      </c>
      <c r="B1850" s="3" t="s">
        <v>1616</v>
      </c>
      <c r="C1850" s="10" t="s">
        <v>1657</v>
      </c>
      <c r="D1850" s="3" t="s">
        <v>1658</v>
      </c>
      <c r="E1850" s="4" t="s">
        <v>3</v>
      </c>
      <c r="F1850" s="5" t="s">
        <v>11</v>
      </c>
      <c r="G1850" s="6" t="s">
        <v>1665</v>
      </c>
      <c r="H1850" s="7">
        <v>45105.0</v>
      </c>
      <c r="I1850" s="8">
        <f t="shared" si="1"/>
        <v>28</v>
      </c>
      <c r="J1850" s="9">
        <f t="shared" si="2"/>
        <v>6</v>
      </c>
      <c r="K1850" s="9">
        <f t="shared" si="3"/>
        <v>2023</v>
      </c>
      <c r="M1850" s="25">
        <f>IFERROR(__xludf.DUMMYFUNCTION("""COMPUTED_VALUE"""),45105.0)</f>
        <v>45105</v>
      </c>
    </row>
    <row r="1851">
      <c r="A1851" s="10" t="s">
        <v>1615</v>
      </c>
      <c r="B1851" s="3" t="s">
        <v>1616</v>
      </c>
      <c r="C1851" s="10" t="s">
        <v>1657</v>
      </c>
      <c r="D1851" s="3" t="s">
        <v>1658</v>
      </c>
      <c r="E1851" s="4" t="s">
        <v>3</v>
      </c>
      <c r="F1851" s="5" t="s">
        <v>45</v>
      </c>
      <c r="G1851" s="6" t="s">
        <v>1666</v>
      </c>
      <c r="H1851" s="7">
        <v>45122.0</v>
      </c>
      <c r="I1851" s="8">
        <f t="shared" si="1"/>
        <v>15</v>
      </c>
      <c r="J1851" s="9">
        <f t="shared" si="2"/>
        <v>7</v>
      </c>
      <c r="K1851" s="9">
        <f t="shared" si="3"/>
        <v>2023</v>
      </c>
      <c r="M1851" s="25">
        <f>IFERROR(__xludf.DUMMYFUNCTION("""COMPUTED_VALUE"""),45122.0)</f>
        <v>45122</v>
      </c>
    </row>
    <row r="1852">
      <c r="A1852" s="10" t="s">
        <v>1615</v>
      </c>
      <c r="B1852" s="3" t="s">
        <v>1616</v>
      </c>
      <c r="C1852" s="10" t="s">
        <v>1657</v>
      </c>
      <c r="D1852" s="3" t="s">
        <v>1658</v>
      </c>
      <c r="E1852" s="4" t="s">
        <v>8</v>
      </c>
      <c r="F1852" s="5" t="s">
        <v>19</v>
      </c>
      <c r="G1852" s="6" t="s">
        <v>1667</v>
      </c>
      <c r="H1852" s="7">
        <v>45176.0</v>
      </c>
      <c r="I1852" s="8">
        <f t="shared" si="1"/>
        <v>7</v>
      </c>
      <c r="J1852" s="9">
        <f t="shared" si="2"/>
        <v>9</v>
      </c>
      <c r="K1852" s="9">
        <f t="shared" si="3"/>
        <v>2023</v>
      </c>
      <c r="M1852" s="25">
        <f>IFERROR(__xludf.DUMMYFUNCTION("""COMPUTED_VALUE"""),45176.0)</f>
        <v>45176</v>
      </c>
    </row>
    <row r="1853">
      <c r="A1853" s="10" t="s">
        <v>1615</v>
      </c>
      <c r="B1853" s="3" t="s">
        <v>1616</v>
      </c>
      <c r="C1853" s="10" t="s">
        <v>1657</v>
      </c>
      <c r="D1853" s="3" t="s">
        <v>1658</v>
      </c>
      <c r="E1853" s="4" t="s">
        <v>8</v>
      </c>
      <c r="F1853" s="5" t="s">
        <v>17</v>
      </c>
      <c r="G1853" s="6" t="s">
        <v>1001</v>
      </c>
      <c r="H1853" s="7">
        <v>45182.0</v>
      </c>
      <c r="I1853" s="8">
        <f t="shared" si="1"/>
        <v>13</v>
      </c>
      <c r="J1853" s="9">
        <f t="shared" si="2"/>
        <v>9</v>
      </c>
      <c r="K1853" s="9">
        <f t="shared" si="3"/>
        <v>2023</v>
      </c>
      <c r="M1853" s="25">
        <f>IFERROR(__xludf.DUMMYFUNCTION("""COMPUTED_VALUE"""),45182.0)</f>
        <v>45182</v>
      </c>
    </row>
    <row r="1854">
      <c r="A1854" s="10" t="s">
        <v>1615</v>
      </c>
      <c r="B1854" s="3" t="s">
        <v>1616</v>
      </c>
      <c r="C1854" s="10" t="s">
        <v>1657</v>
      </c>
      <c r="D1854" s="3" t="s">
        <v>1658</v>
      </c>
      <c r="E1854" s="4" t="s">
        <v>8</v>
      </c>
      <c r="F1854" s="5" t="s">
        <v>17</v>
      </c>
      <c r="G1854" s="6" t="s">
        <v>1668</v>
      </c>
      <c r="H1854" s="7">
        <v>45193.0</v>
      </c>
      <c r="I1854" s="8">
        <f t="shared" si="1"/>
        <v>24</v>
      </c>
      <c r="J1854" s="9">
        <f t="shared" si="2"/>
        <v>9</v>
      </c>
      <c r="K1854" s="9">
        <f t="shared" si="3"/>
        <v>2023</v>
      </c>
      <c r="M1854" s="25">
        <f>IFERROR(__xludf.DUMMYFUNCTION("""COMPUTED_VALUE"""),45193.0)</f>
        <v>45193</v>
      </c>
    </row>
    <row r="1855">
      <c r="A1855" s="10" t="s">
        <v>1615</v>
      </c>
      <c r="B1855" s="3" t="s">
        <v>1616</v>
      </c>
      <c r="C1855" s="10" t="s">
        <v>1657</v>
      </c>
      <c r="D1855" s="3" t="s">
        <v>1658</v>
      </c>
      <c r="E1855" s="4" t="s">
        <v>3</v>
      </c>
      <c r="F1855" s="5" t="s">
        <v>19</v>
      </c>
      <c r="G1855" s="6" t="s">
        <v>1669</v>
      </c>
      <c r="H1855" s="7">
        <v>45255.0</v>
      </c>
      <c r="I1855" s="8">
        <f t="shared" si="1"/>
        <v>25</v>
      </c>
      <c r="J1855" s="9">
        <f t="shared" si="2"/>
        <v>11</v>
      </c>
      <c r="K1855" s="9">
        <f t="shared" si="3"/>
        <v>2023</v>
      </c>
      <c r="M1855" s="25">
        <f>IFERROR(__xludf.DUMMYFUNCTION("""COMPUTED_VALUE"""),45255.0)</f>
        <v>45255</v>
      </c>
    </row>
    <row r="1856">
      <c r="A1856" s="10" t="s">
        <v>1615</v>
      </c>
      <c r="B1856" s="3" t="s">
        <v>1616</v>
      </c>
      <c r="C1856" s="10" t="s">
        <v>1657</v>
      </c>
      <c r="D1856" s="3" t="s">
        <v>1658</v>
      </c>
      <c r="E1856" s="4" t="s">
        <v>3</v>
      </c>
      <c r="F1856" s="5" t="s">
        <v>6</v>
      </c>
      <c r="G1856" s="6" t="s">
        <v>1670</v>
      </c>
      <c r="H1856" s="7">
        <v>45261.0</v>
      </c>
      <c r="I1856" s="8">
        <f t="shared" si="1"/>
        <v>1</v>
      </c>
      <c r="J1856" s="9">
        <f t="shared" si="2"/>
        <v>12</v>
      </c>
      <c r="K1856" s="9">
        <f t="shared" si="3"/>
        <v>2023</v>
      </c>
      <c r="M1856" s="25">
        <f>IFERROR(__xludf.DUMMYFUNCTION("""COMPUTED_VALUE"""),45261.0)</f>
        <v>45261</v>
      </c>
    </row>
    <row r="1857">
      <c r="A1857" s="10" t="s">
        <v>1615</v>
      </c>
      <c r="B1857" s="3" t="s">
        <v>1616</v>
      </c>
      <c r="C1857" s="10" t="s">
        <v>1657</v>
      </c>
      <c r="D1857" s="3" t="s">
        <v>1658</v>
      </c>
      <c r="E1857" s="4" t="s">
        <v>8</v>
      </c>
      <c r="F1857" s="5" t="s">
        <v>28</v>
      </c>
      <c r="G1857" s="6" t="s">
        <v>1392</v>
      </c>
      <c r="H1857" s="7">
        <v>45269.0</v>
      </c>
      <c r="I1857" s="8">
        <f t="shared" si="1"/>
        <v>9</v>
      </c>
      <c r="J1857" s="9">
        <f t="shared" si="2"/>
        <v>12</v>
      </c>
      <c r="K1857" s="9">
        <f t="shared" si="3"/>
        <v>2023</v>
      </c>
      <c r="M1857" s="25">
        <f>IFERROR(__xludf.DUMMYFUNCTION("""COMPUTED_VALUE"""),45269.0)</f>
        <v>45269</v>
      </c>
    </row>
    <row r="1858">
      <c r="A1858" s="10" t="s">
        <v>1615</v>
      </c>
      <c r="B1858" s="3" t="s">
        <v>1616</v>
      </c>
      <c r="C1858" s="10" t="s">
        <v>1657</v>
      </c>
      <c r="D1858" s="3" t="s">
        <v>1658</v>
      </c>
      <c r="E1858" s="4" t="s">
        <v>8</v>
      </c>
      <c r="F1858" s="5" t="s">
        <v>23</v>
      </c>
      <c r="G1858" s="6" t="s">
        <v>1671</v>
      </c>
      <c r="H1858" s="7">
        <v>45276.0</v>
      </c>
      <c r="I1858" s="8">
        <f t="shared" si="1"/>
        <v>16</v>
      </c>
      <c r="J1858" s="9">
        <f t="shared" si="2"/>
        <v>12</v>
      </c>
      <c r="K1858" s="9">
        <f t="shared" si="3"/>
        <v>2023</v>
      </c>
      <c r="M1858" s="25">
        <f>IFERROR(__xludf.DUMMYFUNCTION("""COMPUTED_VALUE"""),45276.0)</f>
        <v>45276</v>
      </c>
    </row>
    <row r="1859">
      <c r="A1859" s="10" t="s">
        <v>1615</v>
      </c>
      <c r="B1859" s="3" t="s">
        <v>1616</v>
      </c>
      <c r="C1859" s="10" t="s">
        <v>1657</v>
      </c>
      <c r="D1859" s="3" t="s">
        <v>1658</v>
      </c>
      <c r="E1859" s="4" t="s">
        <v>3</v>
      </c>
      <c r="F1859" s="5" t="s">
        <v>21</v>
      </c>
      <c r="G1859" s="6" t="s">
        <v>933</v>
      </c>
      <c r="H1859" s="7">
        <v>45277.0</v>
      </c>
      <c r="I1859" s="8">
        <f t="shared" si="1"/>
        <v>17</v>
      </c>
      <c r="J1859" s="9">
        <f t="shared" si="2"/>
        <v>12</v>
      </c>
      <c r="K1859" s="9">
        <f t="shared" si="3"/>
        <v>2023</v>
      </c>
      <c r="M1859" s="25">
        <f>IFERROR(__xludf.DUMMYFUNCTION("""COMPUTED_VALUE"""),45277.0)</f>
        <v>45277</v>
      </c>
    </row>
    <row r="1860">
      <c r="A1860" s="10" t="s">
        <v>1615</v>
      </c>
      <c r="B1860" s="3" t="s">
        <v>1616</v>
      </c>
      <c r="C1860" s="10" t="s">
        <v>1657</v>
      </c>
      <c r="D1860" s="3" t="s">
        <v>1658</v>
      </c>
      <c r="E1860" s="4" t="s">
        <v>3</v>
      </c>
      <c r="F1860" s="5" t="s">
        <v>4</v>
      </c>
      <c r="G1860" s="6" t="s">
        <v>279</v>
      </c>
      <c r="H1860" s="7">
        <v>45283.0</v>
      </c>
      <c r="I1860" s="8">
        <f t="shared" si="1"/>
        <v>23</v>
      </c>
      <c r="J1860" s="9">
        <f t="shared" si="2"/>
        <v>12</v>
      </c>
      <c r="K1860" s="9">
        <f t="shared" si="3"/>
        <v>2023</v>
      </c>
      <c r="M1860" s="25">
        <f>IFERROR(__xludf.DUMMYFUNCTION("""COMPUTED_VALUE"""),45283.0)</f>
        <v>45283</v>
      </c>
    </row>
    <row r="1861">
      <c r="A1861" s="10" t="s">
        <v>1632</v>
      </c>
      <c r="B1861" s="3" t="s">
        <v>1633</v>
      </c>
      <c r="C1861" s="10" t="s">
        <v>199</v>
      </c>
      <c r="D1861" s="3" t="s">
        <v>1672</v>
      </c>
      <c r="E1861" s="4" t="s">
        <v>8</v>
      </c>
      <c r="F1861" s="5" t="s">
        <v>45</v>
      </c>
      <c r="G1861" s="6" t="s">
        <v>1673</v>
      </c>
      <c r="H1861" s="7">
        <v>44980.0</v>
      </c>
      <c r="I1861" s="8">
        <f t="shared" si="1"/>
        <v>23</v>
      </c>
      <c r="J1861" s="9">
        <f t="shared" si="2"/>
        <v>2</v>
      </c>
      <c r="K1861" s="9">
        <f t="shared" si="3"/>
        <v>2023</v>
      </c>
      <c r="M1861" s="25">
        <f>IFERROR(__xludf.DUMMYFUNCTION("""COMPUTED_VALUE"""),44980.0)</f>
        <v>44980</v>
      </c>
    </row>
    <row r="1862">
      <c r="A1862" s="10" t="s">
        <v>1632</v>
      </c>
      <c r="B1862" s="3" t="s">
        <v>1633</v>
      </c>
      <c r="C1862" s="10" t="s">
        <v>199</v>
      </c>
      <c r="D1862" s="3" t="s">
        <v>1672</v>
      </c>
      <c r="E1862" s="4" t="s">
        <v>3</v>
      </c>
      <c r="F1862" s="5" t="s">
        <v>45</v>
      </c>
      <c r="G1862" s="6" t="s">
        <v>282</v>
      </c>
      <c r="H1862" s="7">
        <v>44982.0</v>
      </c>
      <c r="I1862" s="8">
        <f t="shared" si="1"/>
        <v>25</v>
      </c>
      <c r="J1862" s="9">
        <f t="shared" si="2"/>
        <v>2</v>
      </c>
      <c r="K1862" s="9">
        <f t="shared" si="3"/>
        <v>2023</v>
      </c>
      <c r="M1862" s="25">
        <f>IFERROR(__xludf.DUMMYFUNCTION("""COMPUTED_VALUE"""),44982.0)</f>
        <v>44982</v>
      </c>
    </row>
    <row r="1863">
      <c r="A1863" s="10" t="s">
        <v>1632</v>
      </c>
      <c r="B1863" s="3" t="s">
        <v>1633</v>
      </c>
      <c r="C1863" s="10" t="s">
        <v>199</v>
      </c>
      <c r="D1863" s="3" t="s">
        <v>1672</v>
      </c>
      <c r="E1863" s="4" t="s">
        <v>3</v>
      </c>
      <c r="F1863" s="5" t="s">
        <v>4</v>
      </c>
      <c r="G1863" s="6" t="s">
        <v>1674</v>
      </c>
      <c r="H1863" s="7">
        <v>45018.0</v>
      </c>
      <c r="I1863" s="8">
        <f t="shared" si="1"/>
        <v>2</v>
      </c>
      <c r="J1863" s="9">
        <f t="shared" si="2"/>
        <v>4</v>
      </c>
      <c r="K1863" s="9">
        <f t="shared" si="3"/>
        <v>2023</v>
      </c>
      <c r="M1863" s="25">
        <f>IFERROR(__xludf.DUMMYFUNCTION("""COMPUTED_VALUE"""),45018.0)</f>
        <v>45018</v>
      </c>
    </row>
    <row r="1864">
      <c r="A1864" s="10" t="s">
        <v>1632</v>
      </c>
      <c r="B1864" s="3" t="s">
        <v>1633</v>
      </c>
      <c r="C1864" s="10" t="s">
        <v>199</v>
      </c>
      <c r="D1864" s="3" t="s">
        <v>1672</v>
      </c>
      <c r="E1864" s="4" t="s">
        <v>3</v>
      </c>
      <c r="F1864" s="5" t="s">
        <v>96</v>
      </c>
      <c r="G1864" s="6" t="s">
        <v>1675</v>
      </c>
      <c r="H1864" s="7">
        <v>45026.0</v>
      </c>
      <c r="I1864" s="8">
        <f t="shared" si="1"/>
        <v>10</v>
      </c>
      <c r="J1864" s="9">
        <f t="shared" si="2"/>
        <v>4</v>
      </c>
      <c r="K1864" s="9">
        <f t="shared" si="3"/>
        <v>2023</v>
      </c>
      <c r="M1864" s="25">
        <f>IFERROR(__xludf.DUMMYFUNCTION("""COMPUTED_VALUE"""),45026.0)</f>
        <v>45026</v>
      </c>
    </row>
    <row r="1865">
      <c r="A1865" s="10" t="s">
        <v>1632</v>
      </c>
      <c r="B1865" s="3" t="s">
        <v>1633</v>
      </c>
      <c r="C1865" s="10" t="s">
        <v>199</v>
      </c>
      <c r="D1865" s="3" t="s">
        <v>1672</v>
      </c>
      <c r="E1865" s="4" t="s">
        <v>3</v>
      </c>
      <c r="F1865" s="5" t="s">
        <v>15</v>
      </c>
      <c r="G1865" s="6" t="s">
        <v>1676</v>
      </c>
      <c r="H1865" s="7">
        <v>45030.0</v>
      </c>
      <c r="I1865" s="8">
        <f t="shared" si="1"/>
        <v>14</v>
      </c>
      <c r="J1865" s="9">
        <f t="shared" si="2"/>
        <v>4</v>
      </c>
      <c r="K1865" s="9">
        <f t="shared" si="3"/>
        <v>2023</v>
      </c>
      <c r="M1865" s="25">
        <f>IFERROR(__xludf.DUMMYFUNCTION("""COMPUTED_VALUE"""),45030.0)</f>
        <v>45030</v>
      </c>
    </row>
    <row r="1866">
      <c r="A1866" s="10" t="s">
        <v>1632</v>
      </c>
      <c r="B1866" s="3" t="s">
        <v>1633</v>
      </c>
      <c r="C1866" s="10" t="s">
        <v>199</v>
      </c>
      <c r="D1866" s="3" t="s">
        <v>1672</v>
      </c>
      <c r="E1866" s="4" t="s">
        <v>8</v>
      </c>
      <c r="F1866" s="5" t="s">
        <v>39</v>
      </c>
      <c r="G1866" s="6" t="s">
        <v>1677</v>
      </c>
      <c r="H1866" s="7">
        <v>45030.0</v>
      </c>
      <c r="I1866" s="8">
        <f t="shared" si="1"/>
        <v>14</v>
      </c>
      <c r="J1866" s="9">
        <f t="shared" si="2"/>
        <v>4</v>
      </c>
      <c r="K1866" s="9">
        <f t="shared" si="3"/>
        <v>2023</v>
      </c>
      <c r="M1866" s="25">
        <f>IFERROR(__xludf.DUMMYFUNCTION("""COMPUTED_VALUE"""),45030.0)</f>
        <v>45030</v>
      </c>
    </row>
    <row r="1867">
      <c r="A1867" s="10" t="s">
        <v>1632</v>
      </c>
      <c r="B1867" s="3" t="s">
        <v>1633</v>
      </c>
      <c r="C1867" s="10" t="s">
        <v>199</v>
      </c>
      <c r="D1867" s="3" t="s">
        <v>1672</v>
      </c>
      <c r="E1867" s="4" t="s">
        <v>8</v>
      </c>
      <c r="F1867" s="5" t="s">
        <v>6</v>
      </c>
      <c r="G1867" s="6" t="s">
        <v>357</v>
      </c>
      <c r="H1867" s="7">
        <v>45062.0</v>
      </c>
      <c r="I1867" s="8">
        <f t="shared" si="1"/>
        <v>16</v>
      </c>
      <c r="J1867" s="9">
        <f t="shared" si="2"/>
        <v>5</v>
      </c>
      <c r="K1867" s="9">
        <f t="shared" si="3"/>
        <v>2023</v>
      </c>
      <c r="M1867" s="25">
        <f>IFERROR(__xludf.DUMMYFUNCTION("""COMPUTED_VALUE"""),45062.0)</f>
        <v>45062</v>
      </c>
    </row>
    <row r="1868">
      <c r="A1868" s="10" t="s">
        <v>1632</v>
      </c>
      <c r="B1868" s="3" t="s">
        <v>1633</v>
      </c>
      <c r="C1868" s="10" t="s">
        <v>199</v>
      </c>
      <c r="D1868" s="3" t="s">
        <v>1672</v>
      </c>
      <c r="E1868" s="4" t="s">
        <v>3</v>
      </c>
      <c r="F1868" s="5" t="s">
        <v>23</v>
      </c>
      <c r="G1868" s="6" t="s">
        <v>1678</v>
      </c>
      <c r="H1868" s="7">
        <v>45096.0</v>
      </c>
      <c r="I1868" s="8">
        <f t="shared" si="1"/>
        <v>19</v>
      </c>
      <c r="J1868" s="9">
        <f t="shared" si="2"/>
        <v>6</v>
      </c>
      <c r="K1868" s="9">
        <f t="shared" si="3"/>
        <v>2023</v>
      </c>
      <c r="M1868" s="25">
        <f>IFERROR(__xludf.DUMMYFUNCTION("""COMPUTED_VALUE"""),45096.0)</f>
        <v>45096</v>
      </c>
    </row>
    <row r="1869">
      <c r="A1869" s="10" t="s">
        <v>1632</v>
      </c>
      <c r="B1869" s="3" t="s">
        <v>1633</v>
      </c>
      <c r="C1869" s="10" t="s">
        <v>199</v>
      </c>
      <c r="D1869" s="3" t="s">
        <v>1672</v>
      </c>
      <c r="E1869" s="4" t="s">
        <v>8</v>
      </c>
      <c r="F1869" s="5" t="s">
        <v>11</v>
      </c>
      <c r="G1869" s="6" t="s">
        <v>1679</v>
      </c>
      <c r="H1869" s="7">
        <v>45097.0</v>
      </c>
      <c r="I1869" s="8">
        <f t="shared" si="1"/>
        <v>20</v>
      </c>
      <c r="J1869" s="9">
        <f t="shared" si="2"/>
        <v>6</v>
      </c>
      <c r="K1869" s="9">
        <f t="shared" si="3"/>
        <v>2023</v>
      </c>
      <c r="M1869" s="25">
        <f>IFERROR(__xludf.DUMMYFUNCTION("""COMPUTED_VALUE"""),45097.0)</f>
        <v>45097</v>
      </c>
    </row>
    <row r="1870">
      <c r="A1870" s="10" t="s">
        <v>1632</v>
      </c>
      <c r="B1870" s="3" t="s">
        <v>1633</v>
      </c>
      <c r="C1870" s="10" t="s">
        <v>199</v>
      </c>
      <c r="D1870" s="3" t="s">
        <v>1672</v>
      </c>
      <c r="E1870" s="4" t="s">
        <v>3</v>
      </c>
      <c r="F1870" s="5" t="s">
        <v>120</v>
      </c>
      <c r="G1870" s="6" t="s">
        <v>1680</v>
      </c>
      <c r="H1870" s="7">
        <v>45116.0</v>
      </c>
      <c r="I1870" s="8">
        <f t="shared" si="1"/>
        <v>9</v>
      </c>
      <c r="J1870" s="9">
        <f t="shared" si="2"/>
        <v>7</v>
      </c>
      <c r="K1870" s="9">
        <f t="shared" si="3"/>
        <v>2023</v>
      </c>
      <c r="M1870" s="25">
        <f>IFERROR(__xludf.DUMMYFUNCTION("""COMPUTED_VALUE"""),45116.0)</f>
        <v>45116</v>
      </c>
    </row>
    <row r="1871">
      <c r="A1871" s="10" t="s">
        <v>1632</v>
      </c>
      <c r="B1871" s="3" t="s">
        <v>1633</v>
      </c>
      <c r="C1871" s="10" t="s">
        <v>199</v>
      </c>
      <c r="D1871" s="3" t="s">
        <v>1672</v>
      </c>
      <c r="E1871" s="4" t="s">
        <v>3</v>
      </c>
      <c r="F1871" s="5" t="s">
        <v>35</v>
      </c>
      <c r="G1871" s="6" t="s">
        <v>1681</v>
      </c>
      <c r="H1871" s="7">
        <v>45118.0</v>
      </c>
      <c r="I1871" s="8">
        <f t="shared" si="1"/>
        <v>11</v>
      </c>
      <c r="J1871" s="9">
        <f t="shared" si="2"/>
        <v>7</v>
      </c>
      <c r="K1871" s="9">
        <f t="shared" si="3"/>
        <v>2023</v>
      </c>
      <c r="M1871" s="25">
        <f>IFERROR(__xludf.DUMMYFUNCTION("""COMPUTED_VALUE"""),45118.0)</f>
        <v>45118</v>
      </c>
    </row>
    <row r="1872">
      <c r="A1872" s="10" t="s">
        <v>1632</v>
      </c>
      <c r="B1872" s="3" t="s">
        <v>1633</v>
      </c>
      <c r="C1872" s="10" t="s">
        <v>199</v>
      </c>
      <c r="D1872" s="3" t="s">
        <v>1672</v>
      </c>
      <c r="E1872" s="4" t="s">
        <v>3</v>
      </c>
      <c r="F1872" s="5" t="s">
        <v>17</v>
      </c>
      <c r="G1872" s="6" t="s">
        <v>771</v>
      </c>
      <c r="H1872" s="7">
        <v>45119.0</v>
      </c>
      <c r="I1872" s="8">
        <f t="shared" si="1"/>
        <v>12</v>
      </c>
      <c r="J1872" s="9">
        <f t="shared" si="2"/>
        <v>7</v>
      </c>
      <c r="K1872" s="9">
        <f t="shared" si="3"/>
        <v>2023</v>
      </c>
      <c r="M1872" s="25">
        <f>IFERROR(__xludf.DUMMYFUNCTION("""COMPUTED_VALUE"""),45119.0)</f>
        <v>45119</v>
      </c>
    </row>
    <row r="1873">
      <c r="A1873" s="10" t="s">
        <v>1632</v>
      </c>
      <c r="B1873" s="3" t="s">
        <v>1633</v>
      </c>
      <c r="C1873" s="10" t="s">
        <v>199</v>
      </c>
      <c r="D1873" s="3" t="s">
        <v>1672</v>
      </c>
      <c r="E1873" s="4" t="s">
        <v>3</v>
      </c>
      <c r="F1873" s="5" t="s">
        <v>42</v>
      </c>
      <c r="G1873" s="6" t="s">
        <v>1087</v>
      </c>
      <c r="H1873" s="7">
        <v>45127.0</v>
      </c>
      <c r="I1873" s="8">
        <f t="shared" si="1"/>
        <v>20</v>
      </c>
      <c r="J1873" s="9">
        <f t="shared" si="2"/>
        <v>7</v>
      </c>
      <c r="K1873" s="9">
        <f t="shared" si="3"/>
        <v>2023</v>
      </c>
      <c r="M1873" s="25">
        <f>IFERROR(__xludf.DUMMYFUNCTION("""COMPUTED_VALUE"""),45127.0)</f>
        <v>45127</v>
      </c>
    </row>
    <row r="1874">
      <c r="A1874" s="10" t="s">
        <v>1632</v>
      </c>
      <c r="B1874" s="3" t="s">
        <v>1633</v>
      </c>
      <c r="C1874" s="10" t="s">
        <v>199</v>
      </c>
      <c r="D1874" s="3" t="s">
        <v>1672</v>
      </c>
      <c r="E1874" s="4" t="s">
        <v>8</v>
      </c>
      <c r="F1874" s="5" t="s">
        <v>23</v>
      </c>
      <c r="G1874" s="6" t="s">
        <v>1682</v>
      </c>
      <c r="H1874" s="7">
        <v>45197.0</v>
      </c>
      <c r="I1874" s="8">
        <f t="shared" si="1"/>
        <v>28</v>
      </c>
      <c r="J1874" s="9">
        <f t="shared" si="2"/>
        <v>9</v>
      </c>
      <c r="K1874" s="9">
        <f t="shared" si="3"/>
        <v>2023</v>
      </c>
      <c r="M1874" s="25">
        <f>IFERROR(__xludf.DUMMYFUNCTION("""COMPUTED_VALUE"""),45197.0)</f>
        <v>45197</v>
      </c>
    </row>
    <row r="1875">
      <c r="A1875" s="10" t="s">
        <v>1632</v>
      </c>
      <c r="B1875" s="3" t="s">
        <v>1633</v>
      </c>
      <c r="C1875" s="10" t="s">
        <v>199</v>
      </c>
      <c r="D1875" s="3" t="s">
        <v>1672</v>
      </c>
      <c r="E1875" s="4" t="s">
        <v>3</v>
      </c>
      <c r="F1875" s="5" t="s">
        <v>6</v>
      </c>
      <c r="G1875" s="6" t="s">
        <v>1683</v>
      </c>
      <c r="H1875" s="7">
        <v>45200.0</v>
      </c>
      <c r="I1875" s="8">
        <f t="shared" si="1"/>
        <v>1</v>
      </c>
      <c r="J1875" s="9">
        <f t="shared" si="2"/>
        <v>10</v>
      </c>
      <c r="K1875" s="9">
        <f t="shared" si="3"/>
        <v>2023</v>
      </c>
      <c r="M1875" s="25">
        <f>IFERROR(__xludf.DUMMYFUNCTION("""COMPUTED_VALUE"""),45200.0)</f>
        <v>45200</v>
      </c>
    </row>
    <row r="1876">
      <c r="A1876" s="10" t="s">
        <v>1632</v>
      </c>
      <c r="B1876" s="3" t="s">
        <v>1633</v>
      </c>
      <c r="C1876" s="10" t="s">
        <v>199</v>
      </c>
      <c r="D1876" s="3" t="s">
        <v>1672</v>
      </c>
      <c r="E1876" s="4" t="s">
        <v>3</v>
      </c>
      <c r="F1876" s="5" t="s">
        <v>45</v>
      </c>
      <c r="G1876" s="6" t="s">
        <v>1684</v>
      </c>
      <c r="H1876" s="7">
        <v>45224.0</v>
      </c>
      <c r="I1876" s="8">
        <f t="shared" si="1"/>
        <v>25</v>
      </c>
      <c r="J1876" s="9">
        <f t="shared" si="2"/>
        <v>10</v>
      </c>
      <c r="K1876" s="9">
        <f t="shared" si="3"/>
        <v>2023</v>
      </c>
      <c r="M1876" s="25">
        <f>IFERROR(__xludf.DUMMYFUNCTION("""COMPUTED_VALUE"""),45224.0)</f>
        <v>45224</v>
      </c>
    </row>
    <row r="1877">
      <c r="A1877" s="10" t="s">
        <v>1632</v>
      </c>
      <c r="B1877" s="3" t="s">
        <v>1633</v>
      </c>
      <c r="C1877" s="10" t="s">
        <v>199</v>
      </c>
      <c r="D1877" s="3" t="s">
        <v>1672</v>
      </c>
      <c r="E1877" s="4" t="s">
        <v>8</v>
      </c>
      <c r="F1877" s="5" t="s">
        <v>28</v>
      </c>
      <c r="G1877" s="6" t="s">
        <v>476</v>
      </c>
      <c r="H1877" s="7">
        <v>45237.0</v>
      </c>
      <c r="I1877" s="8">
        <f t="shared" si="1"/>
        <v>7</v>
      </c>
      <c r="J1877" s="9">
        <f t="shared" si="2"/>
        <v>11</v>
      </c>
      <c r="K1877" s="9">
        <f t="shared" si="3"/>
        <v>2023</v>
      </c>
      <c r="M1877" s="25">
        <f>IFERROR(__xludf.DUMMYFUNCTION("""COMPUTED_VALUE"""),45237.0)</f>
        <v>45237</v>
      </c>
    </row>
    <row r="1878">
      <c r="A1878" s="10" t="s">
        <v>1632</v>
      </c>
      <c r="B1878" s="3" t="s">
        <v>1633</v>
      </c>
      <c r="C1878" s="10" t="s">
        <v>199</v>
      </c>
      <c r="D1878" s="3" t="s">
        <v>1672</v>
      </c>
      <c r="E1878" s="4" t="s">
        <v>3</v>
      </c>
      <c r="F1878" s="5" t="s">
        <v>42</v>
      </c>
      <c r="G1878" s="6" t="s">
        <v>842</v>
      </c>
      <c r="H1878" s="7">
        <v>45252.0</v>
      </c>
      <c r="I1878" s="8">
        <f t="shared" si="1"/>
        <v>22</v>
      </c>
      <c r="J1878" s="9">
        <f t="shared" si="2"/>
        <v>11</v>
      </c>
      <c r="K1878" s="9">
        <f t="shared" si="3"/>
        <v>2023</v>
      </c>
      <c r="M1878" s="25">
        <f>IFERROR(__xludf.DUMMYFUNCTION("""COMPUTED_VALUE"""),45252.0)</f>
        <v>45252</v>
      </c>
    </row>
    <row r="1879">
      <c r="A1879" s="10" t="s">
        <v>1632</v>
      </c>
      <c r="B1879" s="3" t="s">
        <v>1633</v>
      </c>
      <c r="C1879" s="10" t="s">
        <v>199</v>
      </c>
      <c r="D1879" s="3" t="s">
        <v>1672</v>
      </c>
      <c r="E1879" s="4" t="s">
        <v>3</v>
      </c>
      <c r="F1879" s="5" t="s">
        <v>35</v>
      </c>
      <c r="G1879" s="6" t="s">
        <v>1685</v>
      </c>
      <c r="H1879" s="7">
        <v>45276.0</v>
      </c>
      <c r="I1879" s="8">
        <f t="shared" si="1"/>
        <v>16</v>
      </c>
      <c r="J1879" s="9">
        <f t="shared" si="2"/>
        <v>12</v>
      </c>
      <c r="K1879" s="9">
        <f t="shared" si="3"/>
        <v>2023</v>
      </c>
      <c r="M1879" s="25">
        <f>IFERROR(__xludf.DUMMYFUNCTION("""COMPUTED_VALUE"""),45276.0)</f>
        <v>45276</v>
      </c>
    </row>
    <row r="1880">
      <c r="A1880" s="10" t="s">
        <v>1632</v>
      </c>
      <c r="B1880" s="3" t="s">
        <v>1633</v>
      </c>
      <c r="C1880" s="10" t="s">
        <v>199</v>
      </c>
      <c r="D1880" s="3" t="s">
        <v>1672</v>
      </c>
      <c r="E1880" s="4" t="s">
        <v>3</v>
      </c>
      <c r="F1880" s="5" t="s">
        <v>6</v>
      </c>
      <c r="G1880" s="6" t="s">
        <v>1686</v>
      </c>
      <c r="H1880" s="7">
        <v>45285.0</v>
      </c>
      <c r="I1880" s="8">
        <f t="shared" si="1"/>
        <v>25</v>
      </c>
      <c r="J1880" s="9">
        <f t="shared" si="2"/>
        <v>12</v>
      </c>
      <c r="K1880" s="9">
        <f t="shared" si="3"/>
        <v>2023</v>
      </c>
      <c r="M1880" s="25">
        <f>IFERROR(__xludf.DUMMYFUNCTION("""COMPUTED_VALUE"""),45285.0)</f>
        <v>45285</v>
      </c>
    </row>
    <row r="1881">
      <c r="A1881" s="10" t="s">
        <v>1632</v>
      </c>
      <c r="B1881" s="3" t="s">
        <v>1644</v>
      </c>
      <c r="C1881" s="10" t="s">
        <v>1687</v>
      </c>
      <c r="D1881" s="3" t="s">
        <v>1688</v>
      </c>
      <c r="E1881" s="4" t="s">
        <v>3</v>
      </c>
      <c r="F1881" s="5" t="s">
        <v>6</v>
      </c>
      <c r="G1881" s="6" t="s">
        <v>1689</v>
      </c>
      <c r="H1881" s="7">
        <v>44933.0</v>
      </c>
      <c r="I1881" s="8">
        <f t="shared" si="1"/>
        <v>7</v>
      </c>
      <c r="J1881" s="9">
        <f t="shared" si="2"/>
        <v>1</v>
      </c>
      <c r="K1881" s="9">
        <f t="shared" si="3"/>
        <v>2023</v>
      </c>
      <c r="M1881" s="25">
        <f>IFERROR(__xludf.DUMMYFUNCTION("""COMPUTED_VALUE"""),44933.0)</f>
        <v>44933</v>
      </c>
    </row>
    <row r="1882">
      <c r="A1882" s="10" t="s">
        <v>1632</v>
      </c>
      <c r="B1882" s="3" t="s">
        <v>1644</v>
      </c>
      <c r="C1882" s="10" t="s">
        <v>1687</v>
      </c>
      <c r="D1882" s="3" t="s">
        <v>1688</v>
      </c>
      <c r="E1882" s="4" t="s">
        <v>8</v>
      </c>
      <c r="F1882" s="5" t="s">
        <v>4</v>
      </c>
      <c r="G1882" s="6" t="s">
        <v>1690</v>
      </c>
      <c r="H1882" s="7">
        <v>44947.0</v>
      </c>
      <c r="I1882" s="8">
        <f t="shared" si="1"/>
        <v>21</v>
      </c>
      <c r="J1882" s="9">
        <f t="shared" si="2"/>
        <v>1</v>
      </c>
      <c r="K1882" s="9">
        <f t="shared" si="3"/>
        <v>2023</v>
      </c>
      <c r="M1882" s="25">
        <f>IFERROR(__xludf.DUMMYFUNCTION("""COMPUTED_VALUE"""),44947.0)</f>
        <v>44947</v>
      </c>
    </row>
    <row r="1883">
      <c r="A1883" s="10" t="s">
        <v>1632</v>
      </c>
      <c r="B1883" s="3" t="s">
        <v>1644</v>
      </c>
      <c r="C1883" s="10" t="s">
        <v>1687</v>
      </c>
      <c r="D1883" s="3" t="s">
        <v>1688</v>
      </c>
      <c r="E1883" s="4" t="s">
        <v>8</v>
      </c>
      <c r="F1883" s="5" t="s">
        <v>23</v>
      </c>
      <c r="G1883" s="6" t="s">
        <v>1691</v>
      </c>
      <c r="H1883" s="7">
        <v>44959.0</v>
      </c>
      <c r="I1883" s="8">
        <f t="shared" si="1"/>
        <v>2</v>
      </c>
      <c r="J1883" s="9">
        <f t="shared" si="2"/>
        <v>2</v>
      </c>
      <c r="K1883" s="9">
        <f t="shared" si="3"/>
        <v>2023</v>
      </c>
      <c r="M1883" s="25">
        <f>IFERROR(__xludf.DUMMYFUNCTION("""COMPUTED_VALUE"""),44959.0)</f>
        <v>44959</v>
      </c>
    </row>
    <row r="1884">
      <c r="A1884" s="10" t="s">
        <v>1632</v>
      </c>
      <c r="B1884" s="3" t="s">
        <v>1644</v>
      </c>
      <c r="C1884" s="10" t="s">
        <v>1687</v>
      </c>
      <c r="D1884" s="3" t="s">
        <v>1688</v>
      </c>
      <c r="E1884" s="4" t="s">
        <v>3</v>
      </c>
      <c r="F1884" s="5" t="s">
        <v>19</v>
      </c>
      <c r="G1884" s="6" t="s">
        <v>1692</v>
      </c>
      <c r="H1884" s="7">
        <v>44968.0</v>
      </c>
      <c r="I1884" s="8">
        <f t="shared" si="1"/>
        <v>11</v>
      </c>
      <c r="J1884" s="9">
        <f t="shared" si="2"/>
        <v>2</v>
      </c>
      <c r="K1884" s="9">
        <f t="shared" si="3"/>
        <v>2023</v>
      </c>
      <c r="M1884" s="25">
        <f>IFERROR(__xludf.DUMMYFUNCTION("""COMPUTED_VALUE"""),44968.0)</f>
        <v>44968</v>
      </c>
    </row>
    <row r="1885">
      <c r="A1885" s="10" t="s">
        <v>1632</v>
      </c>
      <c r="B1885" s="3" t="s">
        <v>1644</v>
      </c>
      <c r="C1885" s="10" t="s">
        <v>1687</v>
      </c>
      <c r="D1885" s="3" t="s">
        <v>1688</v>
      </c>
      <c r="E1885" s="4" t="s">
        <v>8</v>
      </c>
      <c r="F1885" s="5" t="s">
        <v>11</v>
      </c>
      <c r="G1885" s="6" t="s">
        <v>1693</v>
      </c>
      <c r="H1885" s="7">
        <v>44988.0</v>
      </c>
      <c r="I1885" s="8">
        <f t="shared" si="1"/>
        <v>3</v>
      </c>
      <c r="J1885" s="9">
        <f t="shared" si="2"/>
        <v>3</v>
      </c>
      <c r="K1885" s="9">
        <f t="shared" si="3"/>
        <v>2023</v>
      </c>
      <c r="M1885" s="25">
        <f>IFERROR(__xludf.DUMMYFUNCTION("""COMPUTED_VALUE"""),44988.0)</f>
        <v>44988</v>
      </c>
    </row>
    <row r="1886">
      <c r="A1886" s="10" t="s">
        <v>1632</v>
      </c>
      <c r="B1886" s="3" t="s">
        <v>1644</v>
      </c>
      <c r="C1886" s="10" t="s">
        <v>1687</v>
      </c>
      <c r="D1886" s="3" t="s">
        <v>1688</v>
      </c>
      <c r="E1886" s="4" t="s">
        <v>8</v>
      </c>
      <c r="F1886" s="5" t="s">
        <v>13</v>
      </c>
      <c r="G1886" s="6" t="s">
        <v>1694</v>
      </c>
      <c r="H1886" s="7">
        <v>45005.0</v>
      </c>
      <c r="I1886" s="8">
        <f t="shared" si="1"/>
        <v>20</v>
      </c>
      <c r="J1886" s="9">
        <f t="shared" si="2"/>
        <v>3</v>
      </c>
      <c r="K1886" s="9">
        <f t="shared" si="3"/>
        <v>2023</v>
      </c>
      <c r="M1886" s="25">
        <f>IFERROR(__xludf.DUMMYFUNCTION("""COMPUTED_VALUE"""),45005.0)</f>
        <v>45005</v>
      </c>
    </row>
    <row r="1887">
      <c r="A1887" s="10" t="s">
        <v>1632</v>
      </c>
      <c r="B1887" s="3" t="s">
        <v>1644</v>
      </c>
      <c r="C1887" s="10" t="s">
        <v>1687</v>
      </c>
      <c r="D1887" s="3" t="s">
        <v>1688</v>
      </c>
      <c r="E1887" s="4" t="s">
        <v>3</v>
      </c>
      <c r="F1887" s="5" t="s">
        <v>51</v>
      </c>
      <c r="G1887" s="6" t="s">
        <v>1695</v>
      </c>
      <c r="H1887" s="7">
        <v>45020.0</v>
      </c>
      <c r="I1887" s="8">
        <f t="shared" si="1"/>
        <v>4</v>
      </c>
      <c r="J1887" s="9">
        <f t="shared" si="2"/>
        <v>4</v>
      </c>
      <c r="K1887" s="9">
        <f t="shared" si="3"/>
        <v>2023</v>
      </c>
      <c r="M1887" s="25">
        <f>IFERROR(__xludf.DUMMYFUNCTION("""COMPUTED_VALUE"""),45020.0)</f>
        <v>45020</v>
      </c>
    </row>
    <row r="1888">
      <c r="A1888" s="10" t="s">
        <v>1632</v>
      </c>
      <c r="B1888" s="3" t="s">
        <v>1644</v>
      </c>
      <c r="C1888" s="10" t="s">
        <v>1687</v>
      </c>
      <c r="D1888" s="3" t="s">
        <v>1688</v>
      </c>
      <c r="E1888" s="4" t="s">
        <v>3</v>
      </c>
      <c r="F1888" s="5" t="s">
        <v>15</v>
      </c>
      <c r="G1888" s="6" t="s">
        <v>943</v>
      </c>
      <c r="H1888" s="7">
        <v>45027.0</v>
      </c>
      <c r="I1888" s="8">
        <f t="shared" si="1"/>
        <v>11</v>
      </c>
      <c r="J1888" s="9">
        <f t="shared" si="2"/>
        <v>4</v>
      </c>
      <c r="K1888" s="9">
        <f t="shared" si="3"/>
        <v>2023</v>
      </c>
      <c r="M1888" s="25">
        <f>IFERROR(__xludf.DUMMYFUNCTION("""COMPUTED_VALUE"""),45027.0)</f>
        <v>45027</v>
      </c>
    </row>
    <row r="1889">
      <c r="A1889" s="10" t="s">
        <v>1632</v>
      </c>
      <c r="B1889" s="3" t="s">
        <v>1644</v>
      </c>
      <c r="C1889" s="10" t="s">
        <v>1687</v>
      </c>
      <c r="D1889" s="3" t="s">
        <v>1688</v>
      </c>
      <c r="E1889" s="4" t="s">
        <v>8</v>
      </c>
      <c r="F1889" s="5" t="s">
        <v>15</v>
      </c>
      <c r="G1889" s="6" t="s">
        <v>1218</v>
      </c>
      <c r="H1889" s="7">
        <v>45043.0</v>
      </c>
      <c r="I1889" s="8">
        <f t="shared" si="1"/>
        <v>27</v>
      </c>
      <c r="J1889" s="9">
        <f t="shared" si="2"/>
        <v>4</v>
      </c>
      <c r="K1889" s="9">
        <f t="shared" si="3"/>
        <v>2023</v>
      </c>
      <c r="M1889" s="25">
        <f>IFERROR(__xludf.DUMMYFUNCTION("""COMPUTED_VALUE"""),45043.0)</f>
        <v>45043</v>
      </c>
    </row>
    <row r="1890">
      <c r="A1890" s="10" t="s">
        <v>1632</v>
      </c>
      <c r="B1890" s="3" t="s">
        <v>1644</v>
      </c>
      <c r="C1890" s="10" t="s">
        <v>1687</v>
      </c>
      <c r="D1890" s="3" t="s">
        <v>1688</v>
      </c>
      <c r="E1890" s="4" t="s">
        <v>8</v>
      </c>
      <c r="F1890" s="5" t="s">
        <v>96</v>
      </c>
      <c r="G1890" s="6" t="s">
        <v>415</v>
      </c>
      <c r="H1890" s="7">
        <v>45051.0</v>
      </c>
      <c r="I1890" s="8">
        <f t="shared" si="1"/>
        <v>5</v>
      </c>
      <c r="J1890" s="9">
        <f t="shared" si="2"/>
        <v>5</v>
      </c>
      <c r="K1890" s="9">
        <f t="shared" si="3"/>
        <v>2023</v>
      </c>
      <c r="M1890" s="25">
        <f>IFERROR(__xludf.DUMMYFUNCTION("""COMPUTED_VALUE"""),45051.0)</f>
        <v>45051</v>
      </c>
    </row>
    <row r="1891">
      <c r="A1891" s="10" t="s">
        <v>1632</v>
      </c>
      <c r="B1891" s="3" t="s">
        <v>1644</v>
      </c>
      <c r="C1891" s="10" t="s">
        <v>1687</v>
      </c>
      <c r="D1891" s="3" t="s">
        <v>1688</v>
      </c>
      <c r="E1891" s="4" t="s">
        <v>8</v>
      </c>
      <c r="F1891" s="5" t="s">
        <v>71</v>
      </c>
      <c r="G1891" s="6" t="s">
        <v>1696</v>
      </c>
      <c r="H1891" s="7">
        <v>45162.0</v>
      </c>
      <c r="I1891" s="8">
        <f t="shared" si="1"/>
        <v>24</v>
      </c>
      <c r="J1891" s="9">
        <f t="shared" si="2"/>
        <v>8</v>
      </c>
      <c r="K1891" s="9">
        <f t="shared" si="3"/>
        <v>2023</v>
      </c>
      <c r="M1891" s="25">
        <f>IFERROR(__xludf.DUMMYFUNCTION("""COMPUTED_VALUE"""),45162.0)</f>
        <v>45162</v>
      </c>
    </row>
    <row r="1892">
      <c r="A1892" s="10" t="s">
        <v>1632</v>
      </c>
      <c r="B1892" s="3" t="s">
        <v>1644</v>
      </c>
      <c r="C1892" s="10" t="s">
        <v>1687</v>
      </c>
      <c r="D1892" s="3" t="s">
        <v>1688</v>
      </c>
      <c r="E1892" s="4" t="s">
        <v>8</v>
      </c>
      <c r="F1892" s="5" t="s">
        <v>96</v>
      </c>
      <c r="G1892" s="6" t="s">
        <v>1697</v>
      </c>
      <c r="H1892" s="7">
        <v>45166.0</v>
      </c>
      <c r="I1892" s="8">
        <f t="shared" si="1"/>
        <v>28</v>
      </c>
      <c r="J1892" s="9">
        <f t="shared" si="2"/>
        <v>8</v>
      </c>
      <c r="K1892" s="9">
        <f t="shared" si="3"/>
        <v>2023</v>
      </c>
      <c r="M1892" s="25">
        <f>IFERROR(__xludf.DUMMYFUNCTION("""COMPUTED_VALUE"""),45166.0)</f>
        <v>45166</v>
      </c>
    </row>
    <row r="1893">
      <c r="A1893" s="10" t="s">
        <v>1632</v>
      </c>
      <c r="B1893" s="3" t="s">
        <v>1644</v>
      </c>
      <c r="C1893" s="10" t="s">
        <v>1687</v>
      </c>
      <c r="D1893" s="3" t="s">
        <v>1688</v>
      </c>
      <c r="E1893" s="4" t="s">
        <v>8</v>
      </c>
      <c r="F1893" s="5" t="s">
        <v>71</v>
      </c>
      <c r="G1893" s="6" t="s">
        <v>847</v>
      </c>
      <c r="H1893" s="7">
        <v>45193.0</v>
      </c>
      <c r="I1893" s="8">
        <f t="shared" si="1"/>
        <v>24</v>
      </c>
      <c r="J1893" s="9">
        <f t="shared" si="2"/>
        <v>9</v>
      </c>
      <c r="K1893" s="9">
        <f t="shared" si="3"/>
        <v>2023</v>
      </c>
      <c r="M1893" s="25">
        <f>IFERROR(__xludf.DUMMYFUNCTION("""COMPUTED_VALUE"""),45193.0)</f>
        <v>45193</v>
      </c>
    </row>
    <row r="1894">
      <c r="A1894" s="10" t="s">
        <v>1632</v>
      </c>
      <c r="B1894" s="3" t="s">
        <v>1644</v>
      </c>
      <c r="C1894" s="10" t="s">
        <v>1687</v>
      </c>
      <c r="D1894" s="3" t="s">
        <v>1688</v>
      </c>
      <c r="E1894" s="4" t="s">
        <v>8</v>
      </c>
      <c r="F1894" s="5" t="s">
        <v>42</v>
      </c>
      <c r="G1894" s="6" t="s">
        <v>1014</v>
      </c>
      <c r="H1894" s="7">
        <v>45201.0</v>
      </c>
      <c r="I1894" s="8">
        <f t="shared" si="1"/>
        <v>2</v>
      </c>
      <c r="J1894" s="9">
        <f t="shared" si="2"/>
        <v>10</v>
      </c>
      <c r="K1894" s="9">
        <f t="shared" si="3"/>
        <v>2023</v>
      </c>
      <c r="M1894" s="25">
        <f>IFERROR(__xludf.DUMMYFUNCTION("""COMPUTED_VALUE"""),45201.0)</f>
        <v>45201</v>
      </c>
    </row>
    <row r="1895">
      <c r="A1895" s="10" t="s">
        <v>1632</v>
      </c>
      <c r="B1895" s="3" t="s">
        <v>1644</v>
      </c>
      <c r="C1895" s="10" t="s">
        <v>1687</v>
      </c>
      <c r="D1895" s="3" t="s">
        <v>1688</v>
      </c>
      <c r="E1895" s="4" t="s">
        <v>8</v>
      </c>
      <c r="F1895" s="5" t="s">
        <v>28</v>
      </c>
      <c r="G1895" s="6" t="s">
        <v>1698</v>
      </c>
      <c r="H1895" s="7">
        <v>45203.0</v>
      </c>
      <c r="I1895" s="8">
        <f t="shared" si="1"/>
        <v>4</v>
      </c>
      <c r="J1895" s="9">
        <f t="shared" si="2"/>
        <v>10</v>
      </c>
      <c r="K1895" s="9">
        <f t="shared" si="3"/>
        <v>2023</v>
      </c>
      <c r="M1895" s="25">
        <f>IFERROR(__xludf.DUMMYFUNCTION("""COMPUTED_VALUE"""),45203.0)</f>
        <v>45203</v>
      </c>
    </row>
    <row r="1896">
      <c r="A1896" s="10" t="s">
        <v>1632</v>
      </c>
      <c r="B1896" s="3" t="s">
        <v>1644</v>
      </c>
      <c r="C1896" s="10" t="s">
        <v>1687</v>
      </c>
      <c r="D1896" s="3" t="s">
        <v>1688</v>
      </c>
      <c r="E1896" s="4" t="s">
        <v>3</v>
      </c>
      <c r="F1896" s="5" t="s">
        <v>13</v>
      </c>
      <c r="G1896" s="6" t="s">
        <v>496</v>
      </c>
      <c r="H1896" s="7">
        <v>45206.0</v>
      </c>
      <c r="I1896" s="8">
        <f t="shared" si="1"/>
        <v>7</v>
      </c>
      <c r="J1896" s="9">
        <f t="shared" si="2"/>
        <v>10</v>
      </c>
      <c r="K1896" s="9">
        <f t="shared" si="3"/>
        <v>2023</v>
      </c>
      <c r="M1896" s="25">
        <f>IFERROR(__xludf.DUMMYFUNCTION("""COMPUTED_VALUE"""),45206.0)</f>
        <v>45206</v>
      </c>
    </row>
    <row r="1897">
      <c r="A1897" s="10" t="s">
        <v>1632</v>
      </c>
      <c r="B1897" s="3" t="s">
        <v>1644</v>
      </c>
      <c r="C1897" s="10" t="s">
        <v>1687</v>
      </c>
      <c r="D1897" s="3" t="s">
        <v>1688</v>
      </c>
      <c r="E1897" s="4" t="s">
        <v>8</v>
      </c>
      <c r="F1897" s="5" t="s">
        <v>23</v>
      </c>
      <c r="G1897" s="6" t="s">
        <v>1699</v>
      </c>
      <c r="H1897" s="7">
        <v>45248.0</v>
      </c>
      <c r="I1897" s="8">
        <f t="shared" si="1"/>
        <v>18</v>
      </c>
      <c r="J1897" s="9">
        <f t="shared" si="2"/>
        <v>11</v>
      </c>
      <c r="K1897" s="9">
        <f t="shared" si="3"/>
        <v>2023</v>
      </c>
      <c r="M1897" s="25">
        <f>IFERROR(__xludf.DUMMYFUNCTION("""COMPUTED_VALUE"""),45248.0)</f>
        <v>45248</v>
      </c>
    </row>
    <row r="1898">
      <c r="A1898" s="10" t="s">
        <v>1632</v>
      </c>
      <c r="B1898" s="3" t="s">
        <v>1644</v>
      </c>
      <c r="C1898" s="10" t="s">
        <v>1687</v>
      </c>
      <c r="D1898" s="3" t="s">
        <v>1688</v>
      </c>
      <c r="E1898" s="4" t="s">
        <v>8</v>
      </c>
      <c r="F1898" s="5" t="s">
        <v>17</v>
      </c>
      <c r="G1898" s="6" t="s">
        <v>961</v>
      </c>
      <c r="H1898" s="7">
        <v>45264.0</v>
      </c>
      <c r="I1898" s="8">
        <f t="shared" si="1"/>
        <v>4</v>
      </c>
      <c r="J1898" s="9">
        <f t="shared" si="2"/>
        <v>12</v>
      </c>
      <c r="K1898" s="9">
        <f t="shared" si="3"/>
        <v>2023</v>
      </c>
      <c r="M1898" s="25">
        <f>IFERROR(__xludf.DUMMYFUNCTION("""COMPUTED_VALUE"""),45264.0)</f>
        <v>45264</v>
      </c>
    </row>
    <row r="1899">
      <c r="A1899" s="10" t="s">
        <v>1632</v>
      </c>
      <c r="B1899" s="3" t="s">
        <v>1644</v>
      </c>
      <c r="C1899" s="10" t="s">
        <v>1687</v>
      </c>
      <c r="D1899" s="3" t="s">
        <v>1688</v>
      </c>
      <c r="E1899" s="4" t="s">
        <v>8</v>
      </c>
      <c r="F1899" s="5" t="s">
        <v>15</v>
      </c>
      <c r="G1899" s="6" t="s">
        <v>1700</v>
      </c>
      <c r="H1899" s="7">
        <v>45267.0</v>
      </c>
      <c r="I1899" s="8">
        <f t="shared" si="1"/>
        <v>7</v>
      </c>
      <c r="J1899" s="9">
        <f t="shared" si="2"/>
        <v>12</v>
      </c>
      <c r="K1899" s="9">
        <f t="shared" si="3"/>
        <v>2023</v>
      </c>
      <c r="M1899" s="25">
        <f>IFERROR(__xludf.DUMMYFUNCTION("""COMPUTED_VALUE"""),45267.0)</f>
        <v>45267</v>
      </c>
    </row>
    <row r="1900">
      <c r="A1900" s="10" t="s">
        <v>1632</v>
      </c>
      <c r="B1900" s="3" t="s">
        <v>1644</v>
      </c>
      <c r="C1900" s="10" t="s">
        <v>1687</v>
      </c>
      <c r="D1900" s="3" t="s">
        <v>1688</v>
      </c>
      <c r="E1900" s="4" t="s">
        <v>3</v>
      </c>
      <c r="F1900" s="5" t="s">
        <v>35</v>
      </c>
      <c r="G1900" s="6" t="s">
        <v>1701</v>
      </c>
      <c r="H1900" s="7">
        <v>45270.0</v>
      </c>
      <c r="I1900" s="8">
        <f t="shared" si="1"/>
        <v>10</v>
      </c>
      <c r="J1900" s="9">
        <f t="shared" si="2"/>
        <v>12</v>
      </c>
      <c r="K1900" s="9">
        <f t="shared" si="3"/>
        <v>2023</v>
      </c>
      <c r="M1900" s="25">
        <f>IFERROR(__xludf.DUMMYFUNCTION("""COMPUTED_VALUE"""),45270.0)</f>
        <v>45270</v>
      </c>
    </row>
    <row r="1901">
      <c r="A1901" s="10" t="s">
        <v>1657</v>
      </c>
      <c r="B1901" s="3" t="s">
        <v>1658</v>
      </c>
      <c r="C1901" s="10" t="s">
        <v>389</v>
      </c>
      <c r="D1901" s="3" t="s">
        <v>1702</v>
      </c>
      <c r="E1901" s="4" t="s">
        <v>8</v>
      </c>
      <c r="F1901" s="5" t="s">
        <v>76</v>
      </c>
      <c r="G1901" s="6" t="s">
        <v>1703</v>
      </c>
      <c r="H1901" s="7">
        <v>44942.0</v>
      </c>
      <c r="I1901" s="8">
        <f t="shared" si="1"/>
        <v>16</v>
      </c>
      <c r="J1901" s="9">
        <f t="shared" si="2"/>
        <v>1</v>
      </c>
      <c r="K1901" s="9">
        <f t="shared" si="3"/>
        <v>2023</v>
      </c>
      <c r="M1901" s="25">
        <f>IFERROR(__xludf.DUMMYFUNCTION("""COMPUTED_VALUE"""),44942.0)</f>
        <v>44942</v>
      </c>
    </row>
    <row r="1902">
      <c r="A1902" s="10" t="s">
        <v>1657</v>
      </c>
      <c r="B1902" s="3" t="s">
        <v>1658</v>
      </c>
      <c r="C1902" s="10" t="s">
        <v>389</v>
      </c>
      <c r="D1902" s="3" t="s">
        <v>1702</v>
      </c>
      <c r="E1902" s="4" t="s">
        <v>3</v>
      </c>
      <c r="F1902" s="5" t="s">
        <v>71</v>
      </c>
      <c r="G1902" s="6" t="s">
        <v>1704</v>
      </c>
      <c r="H1902" s="7">
        <v>44943.0</v>
      </c>
      <c r="I1902" s="8">
        <f t="shared" si="1"/>
        <v>17</v>
      </c>
      <c r="J1902" s="9">
        <f t="shared" si="2"/>
        <v>1</v>
      </c>
      <c r="K1902" s="9">
        <f t="shared" si="3"/>
        <v>2023</v>
      </c>
      <c r="M1902" s="25">
        <f>IFERROR(__xludf.DUMMYFUNCTION("""COMPUTED_VALUE"""),44943.0)</f>
        <v>44943</v>
      </c>
    </row>
    <row r="1903">
      <c r="A1903" s="10" t="s">
        <v>1657</v>
      </c>
      <c r="B1903" s="3" t="s">
        <v>1658</v>
      </c>
      <c r="C1903" s="10" t="s">
        <v>389</v>
      </c>
      <c r="D1903" s="3" t="s">
        <v>1702</v>
      </c>
      <c r="E1903" s="4" t="s">
        <v>3</v>
      </c>
      <c r="F1903" s="5" t="s">
        <v>15</v>
      </c>
      <c r="G1903" s="6" t="s">
        <v>27</v>
      </c>
      <c r="H1903" s="7">
        <v>44950.0</v>
      </c>
      <c r="I1903" s="8">
        <f t="shared" si="1"/>
        <v>24</v>
      </c>
      <c r="J1903" s="9">
        <f t="shared" si="2"/>
        <v>1</v>
      </c>
      <c r="K1903" s="9">
        <f t="shared" si="3"/>
        <v>2023</v>
      </c>
      <c r="M1903" s="25">
        <f>IFERROR(__xludf.DUMMYFUNCTION("""COMPUTED_VALUE"""),44950.0)</f>
        <v>44950</v>
      </c>
    </row>
    <row r="1904">
      <c r="A1904" s="10" t="s">
        <v>1657</v>
      </c>
      <c r="B1904" s="3" t="s">
        <v>1658</v>
      </c>
      <c r="C1904" s="10" t="s">
        <v>389</v>
      </c>
      <c r="D1904" s="3" t="s">
        <v>1702</v>
      </c>
      <c r="E1904" s="4" t="s">
        <v>8</v>
      </c>
      <c r="F1904" s="5" t="s">
        <v>4</v>
      </c>
      <c r="G1904" s="6" t="s">
        <v>1705</v>
      </c>
      <c r="H1904" s="7">
        <v>44961.0</v>
      </c>
      <c r="I1904" s="8">
        <f t="shared" si="1"/>
        <v>4</v>
      </c>
      <c r="J1904" s="9">
        <f t="shared" si="2"/>
        <v>2</v>
      </c>
      <c r="K1904" s="9">
        <f t="shared" si="3"/>
        <v>2023</v>
      </c>
      <c r="M1904" s="25">
        <f>IFERROR(__xludf.DUMMYFUNCTION("""COMPUTED_VALUE"""),44961.0)</f>
        <v>44961</v>
      </c>
    </row>
    <row r="1905">
      <c r="A1905" s="10" t="s">
        <v>1657</v>
      </c>
      <c r="B1905" s="3" t="s">
        <v>1658</v>
      </c>
      <c r="C1905" s="10" t="s">
        <v>389</v>
      </c>
      <c r="D1905" s="3" t="s">
        <v>1702</v>
      </c>
      <c r="E1905" s="4" t="s">
        <v>8</v>
      </c>
      <c r="F1905" s="5" t="s">
        <v>11</v>
      </c>
      <c r="G1905" s="6" t="s">
        <v>1706</v>
      </c>
      <c r="H1905" s="7">
        <v>44999.0</v>
      </c>
      <c r="I1905" s="8">
        <f t="shared" si="1"/>
        <v>14</v>
      </c>
      <c r="J1905" s="9">
        <f t="shared" si="2"/>
        <v>3</v>
      </c>
      <c r="K1905" s="9">
        <f t="shared" si="3"/>
        <v>2023</v>
      </c>
      <c r="M1905" s="25">
        <f>IFERROR(__xludf.DUMMYFUNCTION("""COMPUTED_VALUE"""),44999.0)</f>
        <v>44999</v>
      </c>
    </row>
    <row r="1906">
      <c r="A1906" s="10" t="s">
        <v>1657</v>
      </c>
      <c r="B1906" s="3" t="s">
        <v>1658</v>
      </c>
      <c r="C1906" s="10" t="s">
        <v>389</v>
      </c>
      <c r="D1906" s="3" t="s">
        <v>1702</v>
      </c>
      <c r="E1906" s="4" t="s">
        <v>3</v>
      </c>
      <c r="F1906" s="5" t="s">
        <v>35</v>
      </c>
      <c r="G1906" s="6" t="s">
        <v>1707</v>
      </c>
      <c r="H1906" s="7">
        <v>45004.0</v>
      </c>
      <c r="I1906" s="8">
        <f t="shared" si="1"/>
        <v>19</v>
      </c>
      <c r="J1906" s="9">
        <f t="shared" si="2"/>
        <v>3</v>
      </c>
      <c r="K1906" s="9">
        <f t="shared" si="3"/>
        <v>2023</v>
      </c>
      <c r="M1906" s="25">
        <f>IFERROR(__xludf.DUMMYFUNCTION("""COMPUTED_VALUE"""),45004.0)</f>
        <v>45004</v>
      </c>
    </row>
    <row r="1907">
      <c r="A1907" s="10" t="s">
        <v>1657</v>
      </c>
      <c r="B1907" s="3" t="s">
        <v>1658</v>
      </c>
      <c r="C1907" s="10" t="s">
        <v>389</v>
      </c>
      <c r="D1907" s="3" t="s">
        <v>1702</v>
      </c>
      <c r="E1907" s="4" t="s">
        <v>8</v>
      </c>
      <c r="F1907" s="5" t="s">
        <v>35</v>
      </c>
      <c r="G1907" s="6" t="s">
        <v>1708</v>
      </c>
      <c r="H1907" s="7">
        <v>45012.0</v>
      </c>
      <c r="I1907" s="8">
        <f t="shared" si="1"/>
        <v>27</v>
      </c>
      <c r="J1907" s="9">
        <f t="shared" si="2"/>
        <v>3</v>
      </c>
      <c r="K1907" s="9">
        <f t="shared" si="3"/>
        <v>2023</v>
      </c>
      <c r="M1907" s="25">
        <f>IFERROR(__xludf.DUMMYFUNCTION("""COMPUTED_VALUE"""),45012.0)</f>
        <v>45012</v>
      </c>
    </row>
    <row r="1908">
      <c r="A1908" s="10" t="s">
        <v>1657</v>
      </c>
      <c r="B1908" s="3" t="s">
        <v>1658</v>
      </c>
      <c r="C1908" s="10" t="s">
        <v>389</v>
      </c>
      <c r="D1908" s="3" t="s">
        <v>1702</v>
      </c>
      <c r="E1908" s="4" t="s">
        <v>8</v>
      </c>
      <c r="F1908" s="5" t="s">
        <v>17</v>
      </c>
      <c r="G1908" s="6" t="s">
        <v>1327</v>
      </c>
      <c r="H1908" s="7">
        <v>45013.0</v>
      </c>
      <c r="I1908" s="8">
        <f t="shared" si="1"/>
        <v>28</v>
      </c>
      <c r="J1908" s="9">
        <f t="shared" si="2"/>
        <v>3</v>
      </c>
      <c r="K1908" s="9">
        <f t="shared" si="3"/>
        <v>2023</v>
      </c>
      <c r="M1908" s="25">
        <f>IFERROR(__xludf.DUMMYFUNCTION("""COMPUTED_VALUE"""),45013.0)</f>
        <v>45013</v>
      </c>
    </row>
    <row r="1909">
      <c r="A1909" s="10" t="s">
        <v>1657</v>
      </c>
      <c r="B1909" s="3" t="s">
        <v>1658</v>
      </c>
      <c r="C1909" s="10" t="s">
        <v>389</v>
      </c>
      <c r="D1909" s="3" t="s">
        <v>1702</v>
      </c>
      <c r="E1909" s="4" t="s">
        <v>3</v>
      </c>
      <c r="F1909" s="5" t="s">
        <v>42</v>
      </c>
      <c r="G1909" s="6" t="s">
        <v>1709</v>
      </c>
      <c r="H1909" s="7">
        <v>45029.0</v>
      </c>
      <c r="I1909" s="8">
        <f t="shared" si="1"/>
        <v>13</v>
      </c>
      <c r="J1909" s="9">
        <f t="shared" si="2"/>
        <v>4</v>
      </c>
      <c r="K1909" s="9">
        <f t="shared" si="3"/>
        <v>2023</v>
      </c>
      <c r="M1909" s="25">
        <f>IFERROR(__xludf.DUMMYFUNCTION("""COMPUTED_VALUE"""),45029.0)</f>
        <v>45029</v>
      </c>
    </row>
    <row r="1910">
      <c r="A1910" s="10" t="s">
        <v>1657</v>
      </c>
      <c r="B1910" s="3" t="s">
        <v>1658</v>
      </c>
      <c r="C1910" s="10" t="s">
        <v>389</v>
      </c>
      <c r="D1910" s="3" t="s">
        <v>1702</v>
      </c>
      <c r="E1910" s="4" t="s">
        <v>3</v>
      </c>
      <c r="F1910" s="5" t="s">
        <v>45</v>
      </c>
      <c r="G1910" s="6" t="s">
        <v>1710</v>
      </c>
      <c r="H1910" s="7">
        <v>45054.0</v>
      </c>
      <c r="I1910" s="8">
        <f t="shared" si="1"/>
        <v>8</v>
      </c>
      <c r="J1910" s="9">
        <f t="shared" si="2"/>
        <v>5</v>
      </c>
      <c r="K1910" s="9">
        <f t="shared" si="3"/>
        <v>2023</v>
      </c>
      <c r="M1910" s="25">
        <f>IFERROR(__xludf.DUMMYFUNCTION("""COMPUTED_VALUE"""),45054.0)</f>
        <v>45054</v>
      </c>
    </row>
    <row r="1911">
      <c r="A1911" s="10" t="s">
        <v>1657</v>
      </c>
      <c r="B1911" s="3" t="s">
        <v>1658</v>
      </c>
      <c r="C1911" s="10" t="s">
        <v>389</v>
      </c>
      <c r="D1911" s="3" t="s">
        <v>1702</v>
      </c>
      <c r="E1911" s="4" t="s">
        <v>3</v>
      </c>
      <c r="F1911" s="5" t="s">
        <v>23</v>
      </c>
      <c r="G1911" s="6" t="s">
        <v>1711</v>
      </c>
      <c r="H1911" s="7">
        <v>45060.0</v>
      </c>
      <c r="I1911" s="8">
        <f t="shared" si="1"/>
        <v>14</v>
      </c>
      <c r="J1911" s="9">
        <f t="shared" si="2"/>
        <v>5</v>
      </c>
      <c r="K1911" s="9">
        <f t="shared" si="3"/>
        <v>2023</v>
      </c>
      <c r="M1911" s="25">
        <f>IFERROR(__xludf.DUMMYFUNCTION("""COMPUTED_VALUE"""),45060.0)</f>
        <v>45060</v>
      </c>
    </row>
    <row r="1912">
      <c r="A1912" s="10" t="s">
        <v>1657</v>
      </c>
      <c r="B1912" s="3" t="s">
        <v>1658</v>
      </c>
      <c r="C1912" s="10" t="s">
        <v>389</v>
      </c>
      <c r="D1912" s="3" t="s">
        <v>1702</v>
      </c>
      <c r="E1912" s="4" t="s">
        <v>3</v>
      </c>
      <c r="F1912" s="5" t="s">
        <v>76</v>
      </c>
      <c r="G1912" s="6" t="s">
        <v>1712</v>
      </c>
      <c r="H1912" s="7">
        <v>45071.0</v>
      </c>
      <c r="I1912" s="8">
        <f t="shared" si="1"/>
        <v>25</v>
      </c>
      <c r="J1912" s="9">
        <f t="shared" si="2"/>
        <v>5</v>
      </c>
      <c r="K1912" s="9">
        <f t="shared" si="3"/>
        <v>2023</v>
      </c>
      <c r="M1912" s="25">
        <f>IFERROR(__xludf.DUMMYFUNCTION("""COMPUTED_VALUE"""),45071.0)</f>
        <v>45071</v>
      </c>
    </row>
    <row r="1913">
      <c r="A1913" s="10" t="s">
        <v>1657</v>
      </c>
      <c r="B1913" s="3" t="s">
        <v>1658</v>
      </c>
      <c r="C1913" s="10" t="s">
        <v>389</v>
      </c>
      <c r="D1913" s="3" t="s">
        <v>1702</v>
      </c>
      <c r="E1913" s="4" t="s">
        <v>8</v>
      </c>
      <c r="F1913" s="5" t="s">
        <v>42</v>
      </c>
      <c r="G1913" s="6" t="s">
        <v>775</v>
      </c>
      <c r="H1913" s="7">
        <v>45086.0</v>
      </c>
      <c r="I1913" s="8">
        <f t="shared" si="1"/>
        <v>9</v>
      </c>
      <c r="J1913" s="9">
        <f t="shared" si="2"/>
        <v>6</v>
      </c>
      <c r="K1913" s="9">
        <f t="shared" si="3"/>
        <v>2023</v>
      </c>
      <c r="M1913" s="25">
        <f>IFERROR(__xludf.DUMMYFUNCTION("""COMPUTED_VALUE"""),45086.0)</f>
        <v>45086</v>
      </c>
    </row>
    <row r="1914">
      <c r="A1914" s="10" t="s">
        <v>1657</v>
      </c>
      <c r="B1914" s="3" t="s">
        <v>1658</v>
      </c>
      <c r="C1914" s="10" t="s">
        <v>389</v>
      </c>
      <c r="D1914" s="3" t="s">
        <v>1702</v>
      </c>
      <c r="E1914" s="4" t="s">
        <v>8</v>
      </c>
      <c r="F1914" s="5" t="s">
        <v>19</v>
      </c>
      <c r="G1914" s="6" t="s">
        <v>248</v>
      </c>
      <c r="H1914" s="7">
        <v>45087.0</v>
      </c>
      <c r="I1914" s="8">
        <f t="shared" si="1"/>
        <v>10</v>
      </c>
      <c r="J1914" s="9">
        <f t="shared" si="2"/>
        <v>6</v>
      </c>
      <c r="K1914" s="9">
        <f t="shared" si="3"/>
        <v>2023</v>
      </c>
      <c r="M1914" s="25">
        <f>IFERROR(__xludf.DUMMYFUNCTION("""COMPUTED_VALUE"""),45087.0)</f>
        <v>45087</v>
      </c>
    </row>
    <row r="1915">
      <c r="A1915" s="10" t="s">
        <v>1657</v>
      </c>
      <c r="B1915" s="3" t="s">
        <v>1658</v>
      </c>
      <c r="C1915" s="10" t="s">
        <v>389</v>
      </c>
      <c r="D1915" s="3" t="s">
        <v>1702</v>
      </c>
      <c r="E1915" s="4" t="s">
        <v>8</v>
      </c>
      <c r="F1915" s="5" t="s">
        <v>19</v>
      </c>
      <c r="G1915" s="6" t="s">
        <v>323</v>
      </c>
      <c r="H1915" s="7">
        <v>45122.0</v>
      </c>
      <c r="I1915" s="8">
        <f t="shared" si="1"/>
        <v>15</v>
      </c>
      <c r="J1915" s="9">
        <f t="shared" si="2"/>
        <v>7</v>
      </c>
      <c r="K1915" s="9">
        <f t="shared" si="3"/>
        <v>2023</v>
      </c>
      <c r="M1915" s="25">
        <f>IFERROR(__xludf.DUMMYFUNCTION("""COMPUTED_VALUE"""),45122.0)</f>
        <v>45122</v>
      </c>
    </row>
    <row r="1916">
      <c r="A1916" s="10" t="s">
        <v>1657</v>
      </c>
      <c r="B1916" s="3" t="s">
        <v>1658</v>
      </c>
      <c r="C1916" s="10" t="s">
        <v>389</v>
      </c>
      <c r="D1916" s="3" t="s">
        <v>1702</v>
      </c>
      <c r="E1916" s="4" t="s">
        <v>8</v>
      </c>
      <c r="F1916" s="5" t="s">
        <v>21</v>
      </c>
      <c r="G1916" s="6" t="s">
        <v>1713</v>
      </c>
      <c r="H1916" s="7">
        <v>45200.0</v>
      </c>
      <c r="I1916" s="8">
        <f t="shared" si="1"/>
        <v>1</v>
      </c>
      <c r="J1916" s="9">
        <f t="shared" si="2"/>
        <v>10</v>
      </c>
      <c r="K1916" s="9">
        <f t="shared" si="3"/>
        <v>2023</v>
      </c>
      <c r="M1916" s="25">
        <f>IFERROR(__xludf.DUMMYFUNCTION("""COMPUTED_VALUE"""),45200.0)</f>
        <v>45200</v>
      </c>
    </row>
    <row r="1917">
      <c r="A1917" s="10" t="s">
        <v>1657</v>
      </c>
      <c r="B1917" s="3" t="s">
        <v>1658</v>
      </c>
      <c r="C1917" s="10" t="s">
        <v>389</v>
      </c>
      <c r="D1917" s="3" t="s">
        <v>1702</v>
      </c>
      <c r="E1917" s="4" t="s">
        <v>3</v>
      </c>
      <c r="F1917" s="5" t="s">
        <v>120</v>
      </c>
      <c r="G1917" s="6" t="s">
        <v>1714</v>
      </c>
      <c r="H1917" s="7">
        <v>45255.0</v>
      </c>
      <c r="I1917" s="8">
        <f t="shared" si="1"/>
        <v>25</v>
      </c>
      <c r="J1917" s="9">
        <f t="shared" si="2"/>
        <v>11</v>
      </c>
      <c r="K1917" s="9">
        <f t="shared" si="3"/>
        <v>2023</v>
      </c>
      <c r="M1917" s="25">
        <f>IFERROR(__xludf.DUMMYFUNCTION("""COMPUTED_VALUE"""),45255.0)</f>
        <v>45255</v>
      </c>
    </row>
    <row r="1918">
      <c r="A1918" s="10" t="s">
        <v>1657</v>
      </c>
      <c r="B1918" s="3" t="s">
        <v>1658</v>
      </c>
      <c r="C1918" s="10" t="s">
        <v>389</v>
      </c>
      <c r="D1918" s="3" t="s">
        <v>1702</v>
      </c>
      <c r="E1918" s="4" t="s">
        <v>3</v>
      </c>
      <c r="F1918" s="5" t="s">
        <v>96</v>
      </c>
      <c r="G1918" s="6" t="s">
        <v>1715</v>
      </c>
      <c r="H1918" s="7">
        <v>45264.0</v>
      </c>
      <c r="I1918" s="8">
        <f t="shared" si="1"/>
        <v>4</v>
      </c>
      <c r="J1918" s="9">
        <f t="shared" si="2"/>
        <v>12</v>
      </c>
      <c r="K1918" s="9">
        <f t="shared" si="3"/>
        <v>2023</v>
      </c>
      <c r="M1918" s="25">
        <f>IFERROR(__xludf.DUMMYFUNCTION("""COMPUTED_VALUE"""),45264.0)</f>
        <v>45264</v>
      </c>
    </row>
    <row r="1919">
      <c r="A1919" s="10" t="s">
        <v>1657</v>
      </c>
      <c r="B1919" s="3" t="s">
        <v>1658</v>
      </c>
      <c r="C1919" s="10" t="s">
        <v>389</v>
      </c>
      <c r="D1919" s="3" t="s">
        <v>1702</v>
      </c>
      <c r="E1919" s="4" t="s">
        <v>3</v>
      </c>
      <c r="F1919" s="5" t="s">
        <v>15</v>
      </c>
      <c r="G1919" s="6" t="s">
        <v>1716</v>
      </c>
      <c r="H1919" s="7">
        <v>45264.0</v>
      </c>
      <c r="I1919" s="8">
        <f t="shared" si="1"/>
        <v>4</v>
      </c>
      <c r="J1919" s="9">
        <f t="shared" si="2"/>
        <v>12</v>
      </c>
      <c r="K1919" s="9">
        <f t="shared" si="3"/>
        <v>2023</v>
      </c>
      <c r="M1919" s="25">
        <f>IFERROR(__xludf.DUMMYFUNCTION("""COMPUTED_VALUE"""),45264.0)</f>
        <v>45264</v>
      </c>
    </row>
    <row r="1920">
      <c r="A1920" s="10" t="s">
        <v>1657</v>
      </c>
      <c r="B1920" s="3" t="s">
        <v>1658</v>
      </c>
      <c r="C1920" s="10" t="s">
        <v>389</v>
      </c>
      <c r="D1920" s="3" t="s">
        <v>1702</v>
      </c>
      <c r="E1920" s="4" t="s">
        <v>8</v>
      </c>
      <c r="F1920" s="5" t="s">
        <v>76</v>
      </c>
      <c r="G1920" s="6" t="s">
        <v>1717</v>
      </c>
      <c r="H1920" s="7">
        <v>45269.0</v>
      </c>
      <c r="I1920" s="8">
        <f t="shared" si="1"/>
        <v>9</v>
      </c>
      <c r="J1920" s="9">
        <f t="shared" si="2"/>
        <v>12</v>
      </c>
      <c r="K1920" s="9">
        <f t="shared" si="3"/>
        <v>2023</v>
      </c>
      <c r="M1920" s="25">
        <f>IFERROR(__xludf.DUMMYFUNCTION("""COMPUTED_VALUE"""),45269.0)</f>
        <v>45269</v>
      </c>
    </row>
    <row r="1921">
      <c r="A1921" s="10" t="s">
        <v>199</v>
      </c>
      <c r="B1921" s="3" t="s">
        <v>1672</v>
      </c>
      <c r="C1921" s="10" t="s">
        <v>1718</v>
      </c>
      <c r="D1921" s="3" t="s">
        <v>1719</v>
      </c>
      <c r="E1921" s="4" t="s">
        <v>3</v>
      </c>
      <c r="F1921" s="5" t="s">
        <v>35</v>
      </c>
      <c r="G1921" s="6" t="s">
        <v>1720</v>
      </c>
      <c r="H1921" s="7">
        <v>44929.0</v>
      </c>
      <c r="I1921" s="8">
        <f t="shared" si="1"/>
        <v>3</v>
      </c>
      <c r="J1921" s="9">
        <f t="shared" si="2"/>
        <v>1</v>
      </c>
      <c r="K1921" s="9">
        <f t="shared" si="3"/>
        <v>2023</v>
      </c>
      <c r="M1921" s="25">
        <f>IFERROR(__xludf.DUMMYFUNCTION("""COMPUTED_VALUE"""),44929.0)</f>
        <v>44929</v>
      </c>
    </row>
    <row r="1922">
      <c r="A1922" s="10" t="s">
        <v>199</v>
      </c>
      <c r="B1922" s="3" t="s">
        <v>1672</v>
      </c>
      <c r="C1922" s="10" t="s">
        <v>1718</v>
      </c>
      <c r="D1922" s="3" t="s">
        <v>1719</v>
      </c>
      <c r="E1922" s="4" t="s">
        <v>8</v>
      </c>
      <c r="F1922" s="5" t="s">
        <v>6</v>
      </c>
      <c r="G1922" s="6" t="s">
        <v>1721</v>
      </c>
      <c r="H1922" s="7">
        <v>44995.0</v>
      </c>
      <c r="I1922" s="8">
        <f t="shared" si="1"/>
        <v>10</v>
      </c>
      <c r="J1922" s="9">
        <f t="shared" si="2"/>
        <v>3</v>
      </c>
      <c r="K1922" s="9">
        <f t="shared" si="3"/>
        <v>2023</v>
      </c>
      <c r="M1922" s="25">
        <f>IFERROR(__xludf.DUMMYFUNCTION("""COMPUTED_VALUE"""),44995.0)</f>
        <v>44995</v>
      </c>
    </row>
    <row r="1923">
      <c r="A1923" s="10" t="s">
        <v>199</v>
      </c>
      <c r="B1923" s="3" t="s">
        <v>1672</v>
      </c>
      <c r="C1923" s="10" t="s">
        <v>1718</v>
      </c>
      <c r="D1923" s="3" t="s">
        <v>1719</v>
      </c>
      <c r="E1923" s="4" t="s">
        <v>8</v>
      </c>
      <c r="F1923" s="5" t="s">
        <v>19</v>
      </c>
      <c r="G1923" s="6" t="s">
        <v>1722</v>
      </c>
      <c r="H1923" s="7">
        <v>45025.0</v>
      </c>
      <c r="I1923" s="8">
        <f t="shared" si="1"/>
        <v>9</v>
      </c>
      <c r="J1923" s="9">
        <f t="shared" si="2"/>
        <v>4</v>
      </c>
      <c r="K1923" s="9">
        <f t="shared" si="3"/>
        <v>2023</v>
      </c>
      <c r="M1923" s="25">
        <f>IFERROR(__xludf.DUMMYFUNCTION("""COMPUTED_VALUE"""),45025.0)</f>
        <v>45025</v>
      </c>
    </row>
    <row r="1924">
      <c r="A1924" s="10" t="s">
        <v>199</v>
      </c>
      <c r="B1924" s="3" t="s">
        <v>1672</v>
      </c>
      <c r="C1924" s="10" t="s">
        <v>1718</v>
      </c>
      <c r="D1924" s="3" t="s">
        <v>1719</v>
      </c>
      <c r="E1924" s="4" t="s">
        <v>8</v>
      </c>
      <c r="F1924" s="5" t="s">
        <v>6</v>
      </c>
      <c r="G1924" s="6" t="s">
        <v>1723</v>
      </c>
      <c r="H1924" s="7">
        <v>45034.0</v>
      </c>
      <c r="I1924" s="8">
        <f t="shared" si="1"/>
        <v>18</v>
      </c>
      <c r="J1924" s="9">
        <f t="shared" si="2"/>
        <v>4</v>
      </c>
      <c r="K1924" s="9">
        <f t="shared" si="3"/>
        <v>2023</v>
      </c>
      <c r="M1924" s="25">
        <f>IFERROR(__xludf.DUMMYFUNCTION("""COMPUTED_VALUE"""),45034.0)</f>
        <v>45034</v>
      </c>
    </row>
    <row r="1925">
      <c r="A1925" s="10" t="s">
        <v>199</v>
      </c>
      <c r="B1925" s="3" t="s">
        <v>1672</v>
      </c>
      <c r="C1925" s="10" t="s">
        <v>1718</v>
      </c>
      <c r="D1925" s="3" t="s">
        <v>1719</v>
      </c>
      <c r="E1925" s="4" t="s">
        <v>8</v>
      </c>
      <c r="F1925" s="5" t="s">
        <v>45</v>
      </c>
      <c r="G1925" s="6" t="s">
        <v>1724</v>
      </c>
      <c r="H1925" s="7">
        <v>45073.0</v>
      </c>
      <c r="I1925" s="8">
        <f t="shared" si="1"/>
        <v>27</v>
      </c>
      <c r="J1925" s="9">
        <f t="shared" si="2"/>
        <v>5</v>
      </c>
      <c r="K1925" s="9">
        <f t="shared" si="3"/>
        <v>2023</v>
      </c>
      <c r="M1925" s="25">
        <f>IFERROR(__xludf.DUMMYFUNCTION("""COMPUTED_VALUE"""),45073.0)</f>
        <v>45073</v>
      </c>
    </row>
    <row r="1926">
      <c r="A1926" s="10" t="s">
        <v>199</v>
      </c>
      <c r="B1926" s="3" t="s">
        <v>1672</v>
      </c>
      <c r="C1926" s="10" t="s">
        <v>1718</v>
      </c>
      <c r="D1926" s="3" t="s">
        <v>1719</v>
      </c>
      <c r="E1926" s="4" t="s">
        <v>8</v>
      </c>
      <c r="F1926" s="5" t="s">
        <v>51</v>
      </c>
      <c r="G1926" s="6" t="s">
        <v>967</v>
      </c>
      <c r="H1926" s="7">
        <v>45079.0</v>
      </c>
      <c r="I1926" s="8">
        <f t="shared" si="1"/>
        <v>2</v>
      </c>
      <c r="J1926" s="9">
        <f t="shared" si="2"/>
        <v>6</v>
      </c>
      <c r="K1926" s="9">
        <f t="shared" si="3"/>
        <v>2023</v>
      </c>
      <c r="M1926" s="25">
        <f>IFERROR(__xludf.DUMMYFUNCTION("""COMPUTED_VALUE"""),45079.0)</f>
        <v>45079</v>
      </c>
    </row>
    <row r="1927">
      <c r="A1927" s="10" t="s">
        <v>199</v>
      </c>
      <c r="B1927" s="3" t="s">
        <v>1672</v>
      </c>
      <c r="C1927" s="10" t="s">
        <v>1718</v>
      </c>
      <c r="D1927" s="3" t="s">
        <v>1719</v>
      </c>
      <c r="E1927" s="4" t="s">
        <v>8</v>
      </c>
      <c r="F1927" s="5" t="s">
        <v>9</v>
      </c>
      <c r="G1927" s="6" t="s">
        <v>1725</v>
      </c>
      <c r="H1927" s="7">
        <v>45085.0</v>
      </c>
      <c r="I1927" s="8">
        <f t="shared" si="1"/>
        <v>8</v>
      </c>
      <c r="J1927" s="9">
        <f t="shared" si="2"/>
        <v>6</v>
      </c>
      <c r="K1927" s="9">
        <f t="shared" si="3"/>
        <v>2023</v>
      </c>
      <c r="M1927" s="25">
        <f>IFERROR(__xludf.DUMMYFUNCTION("""COMPUTED_VALUE"""),45085.0)</f>
        <v>45085</v>
      </c>
    </row>
    <row r="1928">
      <c r="A1928" s="10" t="s">
        <v>199</v>
      </c>
      <c r="B1928" s="3" t="s">
        <v>1672</v>
      </c>
      <c r="C1928" s="10" t="s">
        <v>1718</v>
      </c>
      <c r="D1928" s="3" t="s">
        <v>1719</v>
      </c>
      <c r="E1928" s="4" t="s">
        <v>8</v>
      </c>
      <c r="F1928" s="5" t="s">
        <v>19</v>
      </c>
      <c r="G1928" s="6" t="s">
        <v>1726</v>
      </c>
      <c r="H1928" s="7">
        <v>45088.0</v>
      </c>
      <c r="I1928" s="8">
        <f t="shared" si="1"/>
        <v>11</v>
      </c>
      <c r="J1928" s="9">
        <f t="shared" si="2"/>
        <v>6</v>
      </c>
      <c r="K1928" s="9">
        <f t="shared" si="3"/>
        <v>2023</v>
      </c>
      <c r="M1928" s="25">
        <f>IFERROR(__xludf.DUMMYFUNCTION("""COMPUTED_VALUE"""),45088.0)</f>
        <v>45088</v>
      </c>
    </row>
    <row r="1929">
      <c r="A1929" s="10" t="s">
        <v>199</v>
      </c>
      <c r="B1929" s="3" t="s">
        <v>1672</v>
      </c>
      <c r="C1929" s="10" t="s">
        <v>1718</v>
      </c>
      <c r="D1929" s="3" t="s">
        <v>1719</v>
      </c>
      <c r="E1929" s="4" t="s">
        <v>8</v>
      </c>
      <c r="F1929" s="5" t="s">
        <v>13</v>
      </c>
      <c r="G1929" s="6" t="s">
        <v>1727</v>
      </c>
      <c r="H1929" s="7">
        <v>45095.0</v>
      </c>
      <c r="I1929" s="8">
        <f t="shared" si="1"/>
        <v>18</v>
      </c>
      <c r="J1929" s="9">
        <f t="shared" si="2"/>
        <v>6</v>
      </c>
      <c r="K1929" s="9">
        <f t="shared" si="3"/>
        <v>2023</v>
      </c>
      <c r="M1929" s="25">
        <f>IFERROR(__xludf.DUMMYFUNCTION("""COMPUTED_VALUE"""),45095.0)</f>
        <v>45095</v>
      </c>
    </row>
    <row r="1930">
      <c r="A1930" s="10" t="s">
        <v>199</v>
      </c>
      <c r="B1930" s="3" t="s">
        <v>1672</v>
      </c>
      <c r="C1930" s="10" t="s">
        <v>1718</v>
      </c>
      <c r="D1930" s="3" t="s">
        <v>1719</v>
      </c>
      <c r="E1930" s="4" t="s">
        <v>3</v>
      </c>
      <c r="F1930" s="5" t="s">
        <v>13</v>
      </c>
      <c r="G1930" s="6" t="s">
        <v>1030</v>
      </c>
      <c r="H1930" s="7">
        <v>45101.0</v>
      </c>
      <c r="I1930" s="8">
        <f t="shared" si="1"/>
        <v>24</v>
      </c>
      <c r="J1930" s="9">
        <f t="shared" si="2"/>
        <v>6</v>
      </c>
      <c r="K1930" s="9">
        <f t="shared" si="3"/>
        <v>2023</v>
      </c>
      <c r="M1930" s="25">
        <f>IFERROR(__xludf.DUMMYFUNCTION("""COMPUTED_VALUE"""),45101.0)</f>
        <v>45101</v>
      </c>
    </row>
    <row r="1931">
      <c r="A1931" s="10" t="s">
        <v>199</v>
      </c>
      <c r="B1931" s="3" t="s">
        <v>1672</v>
      </c>
      <c r="C1931" s="10" t="s">
        <v>1718</v>
      </c>
      <c r="D1931" s="3" t="s">
        <v>1719</v>
      </c>
      <c r="E1931" s="4" t="s">
        <v>3</v>
      </c>
      <c r="F1931" s="5" t="s">
        <v>96</v>
      </c>
      <c r="G1931" s="6" t="s">
        <v>1728</v>
      </c>
      <c r="H1931" s="7">
        <v>45102.0</v>
      </c>
      <c r="I1931" s="8">
        <f t="shared" si="1"/>
        <v>25</v>
      </c>
      <c r="J1931" s="9">
        <f t="shared" si="2"/>
        <v>6</v>
      </c>
      <c r="K1931" s="9">
        <f t="shared" si="3"/>
        <v>2023</v>
      </c>
      <c r="M1931" s="25">
        <f>IFERROR(__xludf.DUMMYFUNCTION("""COMPUTED_VALUE"""),45102.0)</f>
        <v>45102</v>
      </c>
    </row>
    <row r="1932">
      <c r="A1932" s="10" t="s">
        <v>199</v>
      </c>
      <c r="B1932" s="3" t="s">
        <v>1672</v>
      </c>
      <c r="C1932" s="10" t="s">
        <v>1718</v>
      </c>
      <c r="D1932" s="3" t="s">
        <v>1719</v>
      </c>
      <c r="E1932" s="4" t="s">
        <v>8</v>
      </c>
      <c r="F1932" s="5" t="s">
        <v>15</v>
      </c>
      <c r="G1932" s="6" t="s">
        <v>441</v>
      </c>
      <c r="H1932" s="7">
        <v>45139.0</v>
      </c>
      <c r="I1932" s="8">
        <f t="shared" si="1"/>
        <v>1</v>
      </c>
      <c r="J1932" s="9">
        <f t="shared" si="2"/>
        <v>8</v>
      </c>
      <c r="K1932" s="9">
        <f t="shared" si="3"/>
        <v>2023</v>
      </c>
      <c r="M1932" s="25">
        <f>IFERROR(__xludf.DUMMYFUNCTION("""COMPUTED_VALUE"""),45139.0)</f>
        <v>45139</v>
      </c>
    </row>
    <row r="1933">
      <c r="A1933" s="10" t="s">
        <v>199</v>
      </c>
      <c r="B1933" s="3" t="s">
        <v>1672</v>
      </c>
      <c r="C1933" s="10" t="s">
        <v>1718</v>
      </c>
      <c r="D1933" s="3" t="s">
        <v>1719</v>
      </c>
      <c r="E1933" s="4" t="s">
        <v>8</v>
      </c>
      <c r="F1933" s="5" t="s">
        <v>6</v>
      </c>
      <c r="G1933" s="6" t="s">
        <v>1729</v>
      </c>
      <c r="H1933" s="7">
        <v>45172.0</v>
      </c>
      <c r="I1933" s="8">
        <f t="shared" si="1"/>
        <v>3</v>
      </c>
      <c r="J1933" s="9">
        <f t="shared" si="2"/>
        <v>9</v>
      </c>
      <c r="K1933" s="9">
        <f t="shared" si="3"/>
        <v>2023</v>
      </c>
      <c r="M1933" s="25">
        <f>IFERROR(__xludf.DUMMYFUNCTION("""COMPUTED_VALUE"""),45172.0)</f>
        <v>45172</v>
      </c>
    </row>
    <row r="1934">
      <c r="A1934" s="10" t="s">
        <v>199</v>
      </c>
      <c r="B1934" s="3" t="s">
        <v>1672</v>
      </c>
      <c r="C1934" s="10" t="s">
        <v>1718</v>
      </c>
      <c r="D1934" s="3" t="s">
        <v>1719</v>
      </c>
      <c r="E1934" s="4" t="s">
        <v>8</v>
      </c>
      <c r="F1934" s="5" t="s">
        <v>71</v>
      </c>
      <c r="G1934" s="6" t="s">
        <v>1730</v>
      </c>
      <c r="H1934" s="7">
        <v>45178.0</v>
      </c>
      <c r="I1934" s="8">
        <f t="shared" si="1"/>
        <v>9</v>
      </c>
      <c r="J1934" s="9">
        <f t="shared" si="2"/>
        <v>9</v>
      </c>
      <c r="K1934" s="9">
        <f t="shared" si="3"/>
        <v>2023</v>
      </c>
      <c r="M1934" s="25">
        <f>IFERROR(__xludf.DUMMYFUNCTION("""COMPUTED_VALUE"""),45178.0)</f>
        <v>45178</v>
      </c>
    </row>
    <row r="1935">
      <c r="A1935" s="10" t="s">
        <v>199</v>
      </c>
      <c r="B1935" s="3" t="s">
        <v>1672</v>
      </c>
      <c r="C1935" s="10" t="s">
        <v>1718</v>
      </c>
      <c r="D1935" s="3" t="s">
        <v>1719</v>
      </c>
      <c r="E1935" s="4" t="s">
        <v>3</v>
      </c>
      <c r="F1935" s="5" t="s">
        <v>76</v>
      </c>
      <c r="G1935" s="6" t="s">
        <v>1201</v>
      </c>
      <c r="H1935" s="7">
        <v>45255.0</v>
      </c>
      <c r="I1935" s="8">
        <f t="shared" si="1"/>
        <v>25</v>
      </c>
      <c r="J1935" s="9">
        <f t="shared" si="2"/>
        <v>11</v>
      </c>
      <c r="K1935" s="9">
        <f t="shared" si="3"/>
        <v>2023</v>
      </c>
      <c r="M1935" s="25">
        <f>IFERROR(__xludf.DUMMYFUNCTION("""COMPUTED_VALUE"""),45255.0)</f>
        <v>45255</v>
      </c>
    </row>
    <row r="1936">
      <c r="A1936" s="10" t="s">
        <v>199</v>
      </c>
      <c r="B1936" s="3" t="s">
        <v>1672</v>
      </c>
      <c r="C1936" s="10" t="s">
        <v>1718</v>
      </c>
      <c r="D1936" s="3" t="s">
        <v>1719</v>
      </c>
      <c r="E1936" s="4" t="s">
        <v>3</v>
      </c>
      <c r="F1936" s="5" t="s">
        <v>35</v>
      </c>
      <c r="G1936" s="6" t="s">
        <v>1731</v>
      </c>
      <c r="H1936" s="7">
        <v>45261.0</v>
      </c>
      <c r="I1936" s="8">
        <f t="shared" si="1"/>
        <v>1</v>
      </c>
      <c r="J1936" s="9">
        <f t="shared" si="2"/>
        <v>12</v>
      </c>
      <c r="K1936" s="9">
        <f t="shared" si="3"/>
        <v>2023</v>
      </c>
      <c r="M1936" s="25">
        <f>IFERROR(__xludf.DUMMYFUNCTION("""COMPUTED_VALUE"""),45261.0)</f>
        <v>45261</v>
      </c>
    </row>
    <row r="1937">
      <c r="A1937" s="10" t="s">
        <v>199</v>
      </c>
      <c r="B1937" s="3" t="s">
        <v>1672</v>
      </c>
      <c r="C1937" s="10" t="s">
        <v>1718</v>
      </c>
      <c r="D1937" s="3" t="s">
        <v>1719</v>
      </c>
      <c r="E1937" s="4" t="s">
        <v>8</v>
      </c>
      <c r="F1937" s="5" t="s">
        <v>15</v>
      </c>
      <c r="G1937" s="6" t="s">
        <v>975</v>
      </c>
      <c r="H1937" s="7">
        <v>45275.0</v>
      </c>
      <c r="I1937" s="8">
        <f t="shared" si="1"/>
        <v>15</v>
      </c>
      <c r="J1937" s="9">
        <f t="shared" si="2"/>
        <v>12</v>
      </c>
      <c r="K1937" s="9">
        <f t="shared" si="3"/>
        <v>2023</v>
      </c>
      <c r="M1937" s="25">
        <f>IFERROR(__xludf.DUMMYFUNCTION("""COMPUTED_VALUE"""),45275.0)</f>
        <v>45275</v>
      </c>
    </row>
    <row r="1938">
      <c r="A1938" s="10" t="s">
        <v>199</v>
      </c>
      <c r="B1938" s="3" t="s">
        <v>1672</v>
      </c>
      <c r="C1938" s="10" t="s">
        <v>1718</v>
      </c>
      <c r="D1938" s="3" t="s">
        <v>1719</v>
      </c>
      <c r="E1938" s="4" t="s">
        <v>8</v>
      </c>
      <c r="F1938" s="5" t="s">
        <v>6</v>
      </c>
      <c r="G1938" s="6" t="s">
        <v>1732</v>
      </c>
      <c r="H1938" s="7">
        <v>45276.0</v>
      </c>
      <c r="I1938" s="8">
        <f t="shared" si="1"/>
        <v>16</v>
      </c>
      <c r="J1938" s="9">
        <f t="shared" si="2"/>
        <v>12</v>
      </c>
      <c r="K1938" s="9">
        <f t="shared" si="3"/>
        <v>2023</v>
      </c>
      <c r="M1938" s="25">
        <f>IFERROR(__xludf.DUMMYFUNCTION("""COMPUTED_VALUE"""),45276.0)</f>
        <v>45276</v>
      </c>
    </row>
    <row r="1939">
      <c r="A1939" s="10" t="s">
        <v>199</v>
      </c>
      <c r="B1939" s="3" t="s">
        <v>1672</v>
      </c>
      <c r="C1939" s="10" t="s">
        <v>1718</v>
      </c>
      <c r="D1939" s="3" t="s">
        <v>1719</v>
      </c>
      <c r="E1939" s="4" t="s">
        <v>3</v>
      </c>
      <c r="F1939" s="5" t="s">
        <v>35</v>
      </c>
      <c r="G1939" s="6" t="s">
        <v>1733</v>
      </c>
      <c r="H1939" s="7">
        <v>45278.0</v>
      </c>
      <c r="I1939" s="8">
        <f t="shared" si="1"/>
        <v>18</v>
      </c>
      <c r="J1939" s="9">
        <f t="shared" si="2"/>
        <v>12</v>
      </c>
      <c r="K1939" s="9">
        <f t="shared" si="3"/>
        <v>2023</v>
      </c>
      <c r="M1939" s="25">
        <f>IFERROR(__xludf.DUMMYFUNCTION("""COMPUTED_VALUE"""),45278.0)</f>
        <v>45278</v>
      </c>
    </row>
    <row r="1940">
      <c r="A1940" s="10" t="s">
        <v>199</v>
      </c>
      <c r="B1940" s="3" t="s">
        <v>1672</v>
      </c>
      <c r="C1940" s="10" t="s">
        <v>1718</v>
      </c>
      <c r="D1940" s="3" t="s">
        <v>1719</v>
      </c>
      <c r="E1940" s="4" t="s">
        <v>8</v>
      </c>
      <c r="F1940" s="5" t="s">
        <v>6</v>
      </c>
      <c r="G1940" s="6" t="s">
        <v>1734</v>
      </c>
      <c r="H1940" s="7">
        <v>45281.0</v>
      </c>
      <c r="I1940" s="8">
        <f t="shared" si="1"/>
        <v>21</v>
      </c>
      <c r="J1940" s="9">
        <f t="shared" si="2"/>
        <v>12</v>
      </c>
      <c r="K1940" s="9">
        <f t="shared" si="3"/>
        <v>2023</v>
      </c>
      <c r="M1940" s="25">
        <f>IFERROR(__xludf.DUMMYFUNCTION("""COMPUTED_VALUE"""),45281.0)</f>
        <v>45281</v>
      </c>
    </row>
    <row r="1941">
      <c r="A1941" s="10" t="s">
        <v>1687</v>
      </c>
      <c r="B1941" s="3" t="s">
        <v>1688</v>
      </c>
      <c r="C1941" s="10" t="s">
        <v>1228</v>
      </c>
      <c r="D1941" s="3" t="s">
        <v>1735</v>
      </c>
      <c r="E1941" s="4" t="s">
        <v>3</v>
      </c>
      <c r="F1941" s="5" t="s">
        <v>21</v>
      </c>
      <c r="G1941" s="6" t="s">
        <v>1078</v>
      </c>
      <c r="H1941" s="7">
        <v>44949.0</v>
      </c>
      <c r="I1941" s="8">
        <f t="shared" si="1"/>
        <v>23</v>
      </c>
      <c r="J1941" s="9">
        <f t="shared" si="2"/>
        <v>1</v>
      </c>
      <c r="K1941" s="9">
        <f t="shared" si="3"/>
        <v>2023</v>
      </c>
      <c r="M1941" s="25">
        <f>IFERROR(__xludf.DUMMYFUNCTION("""COMPUTED_VALUE"""),44949.0)</f>
        <v>44949</v>
      </c>
    </row>
    <row r="1942">
      <c r="A1942" s="10" t="s">
        <v>1687</v>
      </c>
      <c r="B1942" s="3" t="s">
        <v>1688</v>
      </c>
      <c r="C1942" s="10" t="s">
        <v>1228</v>
      </c>
      <c r="D1942" s="3" t="s">
        <v>1735</v>
      </c>
      <c r="E1942" s="4" t="s">
        <v>8</v>
      </c>
      <c r="F1942" s="5" t="s">
        <v>45</v>
      </c>
      <c r="G1942" s="6" t="s">
        <v>1736</v>
      </c>
      <c r="H1942" s="7">
        <v>44953.0</v>
      </c>
      <c r="I1942" s="8">
        <f t="shared" si="1"/>
        <v>27</v>
      </c>
      <c r="J1942" s="9">
        <f t="shared" si="2"/>
        <v>1</v>
      </c>
      <c r="K1942" s="9">
        <f t="shared" si="3"/>
        <v>2023</v>
      </c>
      <c r="M1942" s="25">
        <f>IFERROR(__xludf.DUMMYFUNCTION("""COMPUTED_VALUE"""),44953.0)</f>
        <v>44953</v>
      </c>
    </row>
    <row r="1943">
      <c r="A1943" s="10" t="s">
        <v>1687</v>
      </c>
      <c r="B1943" s="3" t="s">
        <v>1688</v>
      </c>
      <c r="C1943" s="10" t="s">
        <v>1228</v>
      </c>
      <c r="D1943" s="3" t="s">
        <v>1735</v>
      </c>
      <c r="E1943" s="4" t="s">
        <v>3</v>
      </c>
      <c r="F1943" s="5" t="s">
        <v>120</v>
      </c>
      <c r="G1943" s="6" t="s">
        <v>288</v>
      </c>
      <c r="H1943" s="7">
        <v>44971.0</v>
      </c>
      <c r="I1943" s="8">
        <f t="shared" si="1"/>
        <v>14</v>
      </c>
      <c r="J1943" s="9">
        <f t="shared" si="2"/>
        <v>2</v>
      </c>
      <c r="K1943" s="9">
        <f t="shared" si="3"/>
        <v>2023</v>
      </c>
      <c r="M1943" s="25">
        <f>IFERROR(__xludf.DUMMYFUNCTION("""COMPUTED_VALUE"""),44971.0)</f>
        <v>44971</v>
      </c>
    </row>
    <row r="1944">
      <c r="A1944" s="10" t="s">
        <v>1687</v>
      </c>
      <c r="B1944" s="3" t="s">
        <v>1688</v>
      </c>
      <c r="C1944" s="10" t="s">
        <v>1228</v>
      </c>
      <c r="D1944" s="3" t="s">
        <v>1735</v>
      </c>
      <c r="E1944" s="4" t="s">
        <v>8</v>
      </c>
      <c r="F1944" s="5" t="s">
        <v>15</v>
      </c>
      <c r="G1944" s="6" t="s">
        <v>1737</v>
      </c>
      <c r="H1944" s="7">
        <v>45005.0</v>
      </c>
      <c r="I1944" s="8">
        <f t="shared" si="1"/>
        <v>20</v>
      </c>
      <c r="J1944" s="9">
        <f t="shared" si="2"/>
        <v>3</v>
      </c>
      <c r="K1944" s="9">
        <f t="shared" si="3"/>
        <v>2023</v>
      </c>
      <c r="M1944" s="25">
        <f>IFERROR(__xludf.DUMMYFUNCTION("""COMPUTED_VALUE"""),45005.0)</f>
        <v>45005</v>
      </c>
    </row>
    <row r="1945">
      <c r="A1945" s="10" t="s">
        <v>1687</v>
      </c>
      <c r="B1945" s="3" t="s">
        <v>1688</v>
      </c>
      <c r="C1945" s="10" t="s">
        <v>1228</v>
      </c>
      <c r="D1945" s="3" t="s">
        <v>1735</v>
      </c>
      <c r="E1945" s="4" t="s">
        <v>8</v>
      </c>
      <c r="F1945" s="5" t="s">
        <v>39</v>
      </c>
      <c r="G1945" s="6" t="s">
        <v>1738</v>
      </c>
      <c r="H1945" s="7">
        <v>45007.0</v>
      </c>
      <c r="I1945" s="8">
        <f t="shared" si="1"/>
        <v>22</v>
      </c>
      <c r="J1945" s="9">
        <f t="shared" si="2"/>
        <v>3</v>
      </c>
      <c r="K1945" s="9">
        <f t="shared" si="3"/>
        <v>2023</v>
      </c>
      <c r="M1945" s="25">
        <f>IFERROR(__xludf.DUMMYFUNCTION("""COMPUTED_VALUE"""),45007.0)</f>
        <v>45007</v>
      </c>
    </row>
    <row r="1946">
      <c r="A1946" s="10" t="s">
        <v>1687</v>
      </c>
      <c r="B1946" s="3" t="s">
        <v>1688</v>
      </c>
      <c r="C1946" s="10" t="s">
        <v>1228</v>
      </c>
      <c r="D1946" s="3" t="s">
        <v>1735</v>
      </c>
      <c r="E1946" s="4" t="s">
        <v>8</v>
      </c>
      <c r="F1946" s="5" t="s">
        <v>13</v>
      </c>
      <c r="G1946" s="6" t="s">
        <v>1739</v>
      </c>
      <c r="H1946" s="7">
        <v>45031.0</v>
      </c>
      <c r="I1946" s="8">
        <f t="shared" si="1"/>
        <v>15</v>
      </c>
      <c r="J1946" s="9">
        <f t="shared" si="2"/>
        <v>4</v>
      </c>
      <c r="K1946" s="9">
        <f t="shared" si="3"/>
        <v>2023</v>
      </c>
      <c r="M1946" s="25">
        <f>IFERROR(__xludf.DUMMYFUNCTION("""COMPUTED_VALUE"""),45031.0)</f>
        <v>45031</v>
      </c>
    </row>
    <row r="1947">
      <c r="A1947" s="10" t="s">
        <v>1687</v>
      </c>
      <c r="B1947" s="3" t="s">
        <v>1688</v>
      </c>
      <c r="C1947" s="10" t="s">
        <v>1228</v>
      </c>
      <c r="D1947" s="3" t="s">
        <v>1735</v>
      </c>
      <c r="E1947" s="4" t="s">
        <v>3</v>
      </c>
      <c r="F1947" s="5" t="s">
        <v>51</v>
      </c>
      <c r="G1947" s="6" t="s">
        <v>1740</v>
      </c>
      <c r="H1947" s="7">
        <v>45042.0</v>
      </c>
      <c r="I1947" s="8">
        <f t="shared" si="1"/>
        <v>26</v>
      </c>
      <c r="J1947" s="9">
        <f t="shared" si="2"/>
        <v>4</v>
      </c>
      <c r="K1947" s="9">
        <f t="shared" si="3"/>
        <v>2023</v>
      </c>
      <c r="M1947" s="25">
        <f>IFERROR(__xludf.DUMMYFUNCTION("""COMPUTED_VALUE"""),45042.0)</f>
        <v>45042</v>
      </c>
    </row>
    <row r="1948">
      <c r="A1948" s="10" t="s">
        <v>1687</v>
      </c>
      <c r="B1948" s="3" t="s">
        <v>1688</v>
      </c>
      <c r="C1948" s="10" t="s">
        <v>1228</v>
      </c>
      <c r="D1948" s="3" t="s">
        <v>1735</v>
      </c>
      <c r="E1948" s="4" t="s">
        <v>8</v>
      </c>
      <c r="F1948" s="5" t="s">
        <v>17</v>
      </c>
      <c r="G1948" s="6" t="s">
        <v>1741</v>
      </c>
      <c r="H1948" s="7">
        <v>45070.0</v>
      </c>
      <c r="I1948" s="8">
        <f t="shared" si="1"/>
        <v>24</v>
      </c>
      <c r="J1948" s="9">
        <f t="shared" si="2"/>
        <v>5</v>
      </c>
      <c r="K1948" s="9">
        <f t="shared" si="3"/>
        <v>2023</v>
      </c>
      <c r="M1948" s="25">
        <f>IFERROR(__xludf.DUMMYFUNCTION("""COMPUTED_VALUE"""),45070.0)</f>
        <v>45070</v>
      </c>
    </row>
    <row r="1949">
      <c r="A1949" s="10" t="s">
        <v>1687</v>
      </c>
      <c r="B1949" s="3" t="s">
        <v>1688</v>
      </c>
      <c r="C1949" s="10" t="s">
        <v>1228</v>
      </c>
      <c r="D1949" s="3" t="s">
        <v>1735</v>
      </c>
      <c r="E1949" s="4" t="s">
        <v>8</v>
      </c>
      <c r="F1949" s="5" t="s">
        <v>9</v>
      </c>
      <c r="G1949" s="6" t="s">
        <v>1742</v>
      </c>
      <c r="H1949" s="7">
        <v>45135.0</v>
      </c>
      <c r="I1949" s="8">
        <f t="shared" si="1"/>
        <v>28</v>
      </c>
      <c r="J1949" s="9">
        <f t="shared" si="2"/>
        <v>7</v>
      </c>
      <c r="K1949" s="9">
        <f t="shared" si="3"/>
        <v>2023</v>
      </c>
      <c r="M1949" s="25">
        <f>IFERROR(__xludf.DUMMYFUNCTION("""COMPUTED_VALUE"""),45135.0)</f>
        <v>45135</v>
      </c>
    </row>
    <row r="1950">
      <c r="A1950" s="10" t="s">
        <v>1687</v>
      </c>
      <c r="B1950" s="3" t="s">
        <v>1688</v>
      </c>
      <c r="C1950" s="10" t="s">
        <v>1228</v>
      </c>
      <c r="D1950" s="3" t="s">
        <v>1735</v>
      </c>
      <c r="E1950" s="4" t="s">
        <v>8</v>
      </c>
      <c r="F1950" s="5" t="s">
        <v>51</v>
      </c>
      <c r="G1950" s="6" t="s">
        <v>1743</v>
      </c>
      <c r="H1950" s="7">
        <v>45148.0</v>
      </c>
      <c r="I1950" s="8">
        <f t="shared" si="1"/>
        <v>10</v>
      </c>
      <c r="J1950" s="9">
        <f t="shared" si="2"/>
        <v>8</v>
      </c>
      <c r="K1950" s="9">
        <f t="shared" si="3"/>
        <v>2023</v>
      </c>
      <c r="M1950" s="25">
        <f>IFERROR(__xludf.DUMMYFUNCTION("""COMPUTED_VALUE"""),45148.0)</f>
        <v>45148</v>
      </c>
    </row>
    <row r="1951">
      <c r="A1951" s="10" t="s">
        <v>1687</v>
      </c>
      <c r="B1951" s="3" t="s">
        <v>1688</v>
      </c>
      <c r="C1951" s="10" t="s">
        <v>1228</v>
      </c>
      <c r="D1951" s="3" t="s">
        <v>1735</v>
      </c>
      <c r="E1951" s="4" t="s">
        <v>3</v>
      </c>
      <c r="F1951" s="5" t="s">
        <v>96</v>
      </c>
      <c r="G1951" s="6" t="s">
        <v>215</v>
      </c>
      <c r="H1951" s="7">
        <v>45190.0</v>
      </c>
      <c r="I1951" s="8">
        <f t="shared" si="1"/>
        <v>21</v>
      </c>
      <c r="J1951" s="9">
        <f t="shared" si="2"/>
        <v>9</v>
      </c>
      <c r="K1951" s="9">
        <f t="shared" si="3"/>
        <v>2023</v>
      </c>
      <c r="M1951" s="25">
        <f>IFERROR(__xludf.DUMMYFUNCTION("""COMPUTED_VALUE"""),45190.0)</f>
        <v>45190</v>
      </c>
    </row>
    <row r="1952">
      <c r="A1952" s="10" t="s">
        <v>1687</v>
      </c>
      <c r="B1952" s="3" t="s">
        <v>1688</v>
      </c>
      <c r="C1952" s="10" t="s">
        <v>1228</v>
      </c>
      <c r="D1952" s="3" t="s">
        <v>1735</v>
      </c>
      <c r="E1952" s="4" t="s">
        <v>3</v>
      </c>
      <c r="F1952" s="5" t="s">
        <v>23</v>
      </c>
      <c r="G1952" s="6" t="s">
        <v>1744</v>
      </c>
      <c r="H1952" s="7">
        <v>45192.0</v>
      </c>
      <c r="I1952" s="8">
        <f t="shared" si="1"/>
        <v>23</v>
      </c>
      <c r="J1952" s="9">
        <f t="shared" si="2"/>
        <v>9</v>
      </c>
      <c r="K1952" s="9">
        <f t="shared" si="3"/>
        <v>2023</v>
      </c>
      <c r="M1952" s="25">
        <f>IFERROR(__xludf.DUMMYFUNCTION("""COMPUTED_VALUE"""),45192.0)</f>
        <v>45192</v>
      </c>
    </row>
    <row r="1953">
      <c r="A1953" s="10" t="s">
        <v>1687</v>
      </c>
      <c r="B1953" s="3" t="s">
        <v>1688</v>
      </c>
      <c r="C1953" s="10" t="s">
        <v>1228</v>
      </c>
      <c r="D1953" s="3" t="s">
        <v>1735</v>
      </c>
      <c r="E1953" s="4" t="s">
        <v>8</v>
      </c>
      <c r="F1953" s="5" t="s">
        <v>17</v>
      </c>
      <c r="G1953" s="6" t="s">
        <v>1745</v>
      </c>
      <c r="H1953" s="7">
        <v>45203.0</v>
      </c>
      <c r="I1953" s="8">
        <f t="shared" si="1"/>
        <v>4</v>
      </c>
      <c r="J1953" s="9">
        <f t="shared" si="2"/>
        <v>10</v>
      </c>
      <c r="K1953" s="9">
        <f t="shared" si="3"/>
        <v>2023</v>
      </c>
      <c r="M1953" s="25">
        <f>IFERROR(__xludf.DUMMYFUNCTION("""COMPUTED_VALUE"""),45203.0)</f>
        <v>45203</v>
      </c>
    </row>
    <row r="1954">
      <c r="A1954" s="10" t="s">
        <v>1687</v>
      </c>
      <c r="B1954" s="3" t="s">
        <v>1688</v>
      </c>
      <c r="C1954" s="10" t="s">
        <v>1228</v>
      </c>
      <c r="D1954" s="3" t="s">
        <v>1735</v>
      </c>
      <c r="E1954" s="4" t="s">
        <v>8</v>
      </c>
      <c r="F1954" s="5" t="s">
        <v>11</v>
      </c>
      <c r="G1954" s="6" t="s">
        <v>1746</v>
      </c>
      <c r="H1954" s="7">
        <v>45211.0</v>
      </c>
      <c r="I1954" s="8">
        <f t="shared" si="1"/>
        <v>12</v>
      </c>
      <c r="J1954" s="9">
        <f t="shared" si="2"/>
        <v>10</v>
      </c>
      <c r="K1954" s="9">
        <f t="shared" si="3"/>
        <v>2023</v>
      </c>
      <c r="M1954" s="25">
        <f>IFERROR(__xludf.DUMMYFUNCTION("""COMPUTED_VALUE"""),45211.0)</f>
        <v>45211</v>
      </c>
    </row>
    <row r="1955">
      <c r="A1955" s="10" t="s">
        <v>1687</v>
      </c>
      <c r="B1955" s="3" t="s">
        <v>1688</v>
      </c>
      <c r="C1955" s="10" t="s">
        <v>1228</v>
      </c>
      <c r="D1955" s="3" t="s">
        <v>1735</v>
      </c>
      <c r="E1955" s="4" t="s">
        <v>3</v>
      </c>
      <c r="F1955" s="5" t="s">
        <v>39</v>
      </c>
      <c r="G1955" s="6" t="s">
        <v>1747</v>
      </c>
      <c r="H1955" s="7">
        <v>45252.0</v>
      </c>
      <c r="I1955" s="8">
        <f t="shared" si="1"/>
        <v>22</v>
      </c>
      <c r="J1955" s="9">
        <f t="shared" si="2"/>
        <v>11</v>
      </c>
      <c r="K1955" s="9">
        <f t="shared" si="3"/>
        <v>2023</v>
      </c>
      <c r="M1955" s="25">
        <f>IFERROR(__xludf.DUMMYFUNCTION("""COMPUTED_VALUE"""),45252.0)</f>
        <v>45252</v>
      </c>
    </row>
    <row r="1956">
      <c r="A1956" s="10" t="s">
        <v>1687</v>
      </c>
      <c r="B1956" s="3" t="s">
        <v>1688</v>
      </c>
      <c r="C1956" s="10" t="s">
        <v>1228</v>
      </c>
      <c r="D1956" s="3" t="s">
        <v>1735</v>
      </c>
      <c r="E1956" s="4" t="s">
        <v>8</v>
      </c>
      <c r="F1956" s="5" t="s">
        <v>15</v>
      </c>
      <c r="G1956" s="6" t="s">
        <v>1513</v>
      </c>
      <c r="H1956" s="7">
        <v>45253.0</v>
      </c>
      <c r="I1956" s="8">
        <f t="shared" si="1"/>
        <v>23</v>
      </c>
      <c r="J1956" s="9">
        <f t="shared" si="2"/>
        <v>11</v>
      </c>
      <c r="K1956" s="9">
        <f t="shared" si="3"/>
        <v>2023</v>
      </c>
      <c r="M1956" s="25">
        <f>IFERROR(__xludf.DUMMYFUNCTION("""COMPUTED_VALUE"""),45253.0)</f>
        <v>45253</v>
      </c>
    </row>
    <row r="1957">
      <c r="A1957" s="10" t="s">
        <v>1687</v>
      </c>
      <c r="B1957" s="3" t="s">
        <v>1688</v>
      </c>
      <c r="C1957" s="10" t="s">
        <v>1228</v>
      </c>
      <c r="D1957" s="3" t="s">
        <v>1735</v>
      </c>
      <c r="E1957" s="4" t="s">
        <v>8</v>
      </c>
      <c r="F1957" s="5" t="s">
        <v>19</v>
      </c>
      <c r="G1957" s="6" t="s">
        <v>1748</v>
      </c>
      <c r="H1957" s="7">
        <v>45257.0</v>
      </c>
      <c r="I1957" s="8">
        <f t="shared" si="1"/>
        <v>27</v>
      </c>
      <c r="J1957" s="9">
        <f t="shared" si="2"/>
        <v>11</v>
      </c>
      <c r="K1957" s="9">
        <f t="shared" si="3"/>
        <v>2023</v>
      </c>
      <c r="M1957" s="25">
        <f>IFERROR(__xludf.DUMMYFUNCTION("""COMPUTED_VALUE"""),45257.0)</f>
        <v>45257</v>
      </c>
    </row>
    <row r="1958">
      <c r="A1958" s="10" t="s">
        <v>1687</v>
      </c>
      <c r="B1958" s="3" t="s">
        <v>1688</v>
      </c>
      <c r="C1958" s="10" t="s">
        <v>1228</v>
      </c>
      <c r="D1958" s="3" t="s">
        <v>1735</v>
      </c>
      <c r="E1958" s="4" t="s">
        <v>3</v>
      </c>
      <c r="F1958" s="5" t="s">
        <v>15</v>
      </c>
      <c r="G1958" s="6" t="s">
        <v>514</v>
      </c>
      <c r="H1958" s="7">
        <v>45267.0</v>
      </c>
      <c r="I1958" s="8">
        <f t="shared" si="1"/>
        <v>7</v>
      </c>
      <c r="J1958" s="9">
        <f t="shared" si="2"/>
        <v>12</v>
      </c>
      <c r="K1958" s="9">
        <f t="shared" si="3"/>
        <v>2023</v>
      </c>
      <c r="M1958" s="25">
        <f>IFERROR(__xludf.DUMMYFUNCTION("""COMPUTED_VALUE"""),45267.0)</f>
        <v>45267</v>
      </c>
    </row>
    <row r="1959">
      <c r="A1959" s="10" t="s">
        <v>1687</v>
      </c>
      <c r="B1959" s="3" t="s">
        <v>1688</v>
      </c>
      <c r="C1959" s="10" t="s">
        <v>1228</v>
      </c>
      <c r="D1959" s="3" t="s">
        <v>1735</v>
      </c>
      <c r="E1959" s="4" t="s">
        <v>8</v>
      </c>
      <c r="F1959" s="5" t="s">
        <v>15</v>
      </c>
      <c r="G1959" s="6" t="s">
        <v>1651</v>
      </c>
      <c r="H1959" s="7">
        <v>45276.0</v>
      </c>
      <c r="I1959" s="8">
        <f t="shared" si="1"/>
        <v>16</v>
      </c>
      <c r="J1959" s="9">
        <f t="shared" si="2"/>
        <v>12</v>
      </c>
      <c r="K1959" s="9">
        <f t="shared" si="3"/>
        <v>2023</v>
      </c>
      <c r="M1959" s="25">
        <f>IFERROR(__xludf.DUMMYFUNCTION("""COMPUTED_VALUE"""),45276.0)</f>
        <v>45276</v>
      </c>
    </row>
    <row r="1960">
      <c r="A1960" s="10" t="s">
        <v>1687</v>
      </c>
      <c r="B1960" s="3" t="s">
        <v>1688</v>
      </c>
      <c r="C1960" s="10" t="s">
        <v>1228</v>
      </c>
      <c r="D1960" s="3" t="s">
        <v>1735</v>
      </c>
      <c r="E1960" s="4" t="s">
        <v>8</v>
      </c>
      <c r="F1960" s="5" t="s">
        <v>11</v>
      </c>
      <c r="G1960" s="6" t="s">
        <v>592</v>
      </c>
      <c r="H1960" s="7">
        <v>45277.0</v>
      </c>
      <c r="I1960" s="8">
        <f t="shared" si="1"/>
        <v>17</v>
      </c>
      <c r="J1960" s="9">
        <f t="shared" si="2"/>
        <v>12</v>
      </c>
      <c r="K1960" s="9">
        <f t="shared" si="3"/>
        <v>2023</v>
      </c>
      <c r="M1960" s="25">
        <f>IFERROR(__xludf.DUMMYFUNCTION("""COMPUTED_VALUE"""),45277.0)</f>
        <v>45277</v>
      </c>
    </row>
    <row r="1961">
      <c r="A1961" s="10" t="s">
        <v>389</v>
      </c>
      <c r="B1961" s="3" t="s">
        <v>1702</v>
      </c>
      <c r="C1961" s="10" t="s">
        <v>1749</v>
      </c>
      <c r="D1961" s="3" t="s">
        <v>1750</v>
      </c>
      <c r="E1961" s="4" t="s">
        <v>3</v>
      </c>
      <c r="F1961" s="5" t="s">
        <v>19</v>
      </c>
      <c r="G1961" s="6" t="s">
        <v>959</v>
      </c>
      <c r="H1961" s="7">
        <v>44930.0</v>
      </c>
      <c r="I1961" s="8">
        <f t="shared" si="1"/>
        <v>4</v>
      </c>
      <c r="J1961" s="9">
        <f t="shared" si="2"/>
        <v>1</v>
      </c>
      <c r="K1961" s="9">
        <f t="shared" si="3"/>
        <v>2023</v>
      </c>
      <c r="M1961" s="25">
        <f>IFERROR(__xludf.DUMMYFUNCTION("""COMPUTED_VALUE"""),44930.0)</f>
        <v>44930</v>
      </c>
    </row>
    <row r="1962">
      <c r="A1962" s="10" t="s">
        <v>389</v>
      </c>
      <c r="B1962" s="3" t="s">
        <v>1702</v>
      </c>
      <c r="C1962" s="10" t="s">
        <v>1749</v>
      </c>
      <c r="D1962" s="3" t="s">
        <v>1750</v>
      </c>
      <c r="E1962" s="4" t="s">
        <v>3</v>
      </c>
      <c r="F1962" s="5" t="s">
        <v>11</v>
      </c>
      <c r="G1962" s="6" t="s">
        <v>1751</v>
      </c>
      <c r="H1962" s="7">
        <v>44941.0</v>
      </c>
      <c r="I1962" s="8">
        <f t="shared" si="1"/>
        <v>15</v>
      </c>
      <c r="J1962" s="9">
        <f t="shared" si="2"/>
        <v>1</v>
      </c>
      <c r="K1962" s="9">
        <f t="shared" si="3"/>
        <v>2023</v>
      </c>
      <c r="M1962" s="25">
        <f>IFERROR(__xludf.DUMMYFUNCTION("""COMPUTED_VALUE"""),44941.0)</f>
        <v>44941</v>
      </c>
    </row>
    <row r="1963">
      <c r="A1963" s="10" t="s">
        <v>389</v>
      </c>
      <c r="B1963" s="3" t="s">
        <v>1702</v>
      </c>
      <c r="C1963" s="10" t="s">
        <v>1749</v>
      </c>
      <c r="D1963" s="3" t="s">
        <v>1750</v>
      </c>
      <c r="E1963" s="4" t="s">
        <v>3</v>
      </c>
      <c r="F1963" s="5" t="s">
        <v>28</v>
      </c>
      <c r="G1963" s="6" t="s">
        <v>1752</v>
      </c>
      <c r="H1963" s="7">
        <v>44971.0</v>
      </c>
      <c r="I1963" s="8">
        <f t="shared" si="1"/>
        <v>14</v>
      </c>
      <c r="J1963" s="9">
        <f t="shared" si="2"/>
        <v>2</v>
      </c>
      <c r="K1963" s="9">
        <f t="shared" si="3"/>
        <v>2023</v>
      </c>
      <c r="M1963" s="25">
        <f>IFERROR(__xludf.DUMMYFUNCTION("""COMPUTED_VALUE"""),44971.0)</f>
        <v>44971</v>
      </c>
    </row>
    <row r="1964">
      <c r="A1964" s="10" t="s">
        <v>389</v>
      </c>
      <c r="B1964" s="3" t="s">
        <v>1702</v>
      </c>
      <c r="C1964" s="10" t="s">
        <v>1749</v>
      </c>
      <c r="D1964" s="3" t="s">
        <v>1750</v>
      </c>
      <c r="E1964" s="4" t="s">
        <v>8</v>
      </c>
      <c r="F1964" s="5" t="s">
        <v>51</v>
      </c>
      <c r="G1964" s="6" t="s">
        <v>1753</v>
      </c>
      <c r="H1964" s="7">
        <v>45008.0</v>
      </c>
      <c r="I1964" s="8">
        <f t="shared" si="1"/>
        <v>23</v>
      </c>
      <c r="J1964" s="9">
        <f t="shared" si="2"/>
        <v>3</v>
      </c>
      <c r="K1964" s="9">
        <f t="shared" si="3"/>
        <v>2023</v>
      </c>
      <c r="M1964" s="25">
        <f>IFERROR(__xludf.DUMMYFUNCTION("""COMPUTED_VALUE"""),45008.0)</f>
        <v>45008</v>
      </c>
    </row>
    <row r="1965">
      <c r="A1965" s="10" t="s">
        <v>389</v>
      </c>
      <c r="B1965" s="3" t="s">
        <v>1702</v>
      </c>
      <c r="C1965" s="10" t="s">
        <v>1749</v>
      </c>
      <c r="D1965" s="3" t="s">
        <v>1750</v>
      </c>
      <c r="E1965" s="4" t="s">
        <v>8</v>
      </c>
      <c r="F1965" s="5" t="s">
        <v>13</v>
      </c>
      <c r="G1965" s="6" t="s">
        <v>1754</v>
      </c>
      <c r="H1965" s="7">
        <v>45024.0</v>
      </c>
      <c r="I1965" s="8">
        <f t="shared" si="1"/>
        <v>8</v>
      </c>
      <c r="J1965" s="9">
        <f t="shared" si="2"/>
        <v>4</v>
      </c>
      <c r="K1965" s="9">
        <f t="shared" si="3"/>
        <v>2023</v>
      </c>
      <c r="M1965" s="25">
        <f>IFERROR(__xludf.DUMMYFUNCTION("""COMPUTED_VALUE"""),45024.0)</f>
        <v>45024</v>
      </c>
    </row>
    <row r="1966">
      <c r="A1966" s="10" t="s">
        <v>389</v>
      </c>
      <c r="B1966" s="3" t="s">
        <v>1702</v>
      </c>
      <c r="C1966" s="10" t="s">
        <v>1749</v>
      </c>
      <c r="D1966" s="3" t="s">
        <v>1750</v>
      </c>
      <c r="E1966" s="4" t="s">
        <v>8</v>
      </c>
      <c r="F1966" s="5" t="s">
        <v>71</v>
      </c>
      <c r="G1966" s="6" t="s">
        <v>1755</v>
      </c>
      <c r="H1966" s="7">
        <v>45028.0</v>
      </c>
      <c r="I1966" s="8">
        <f t="shared" si="1"/>
        <v>12</v>
      </c>
      <c r="J1966" s="9">
        <f t="shared" si="2"/>
        <v>4</v>
      </c>
      <c r="K1966" s="9">
        <f t="shared" si="3"/>
        <v>2023</v>
      </c>
      <c r="M1966" s="25">
        <f>IFERROR(__xludf.DUMMYFUNCTION("""COMPUTED_VALUE"""),45028.0)</f>
        <v>45028</v>
      </c>
    </row>
    <row r="1967">
      <c r="A1967" s="10" t="s">
        <v>389</v>
      </c>
      <c r="B1967" s="3" t="s">
        <v>1702</v>
      </c>
      <c r="C1967" s="10" t="s">
        <v>1749</v>
      </c>
      <c r="D1967" s="3" t="s">
        <v>1750</v>
      </c>
      <c r="E1967" s="4" t="s">
        <v>8</v>
      </c>
      <c r="F1967" s="5" t="s">
        <v>17</v>
      </c>
      <c r="G1967" s="6" t="s">
        <v>1756</v>
      </c>
      <c r="H1967" s="7">
        <v>45096.0</v>
      </c>
      <c r="I1967" s="8">
        <f t="shared" si="1"/>
        <v>19</v>
      </c>
      <c r="J1967" s="9">
        <f t="shared" si="2"/>
        <v>6</v>
      </c>
      <c r="K1967" s="9">
        <f t="shared" si="3"/>
        <v>2023</v>
      </c>
      <c r="M1967" s="25">
        <f>IFERROR(__xludf.DUMMYFUNCTION("""COMPUTED_VALUE"""),45096.0)</f>
        <v>45096</v>
      </c>
    </row>
    <row r="1968">
      <c r="A1968" s="10" t="s">
        <v>389</v>
      </c>
      <c r="B1968" s="3" t="s">
        <v>1702</v>
      </c>
      <c r="C1968" s="10" t="s">
        <v>1749</v>
      </c>
      <c r="D1968" s="3" t="s">
        <v>1750</v>
      </c>
      <c r="E1968" s="4" t="s">
        <v>3</v>
      </c>
      <c r="F1968" s="5" t="s">
        <v>11</v>
      </c>
      <c r="G1968" s="6" t="s">
        <v>852</v>
      </c>
      <c r="H1968" s="7">
        <v>45100.0</v>
      </c>
      <c r="I1968" s="8">
        <f t="shared" si="1"/>
        <v>23</v>
      </c>
      <c r="J1968" s="9">
        <f t="shared" si="2"/>
        <v>6</v>
      </c>
      <c r="K1968" s="9">
        <f t="shared" si="3"/>
        <v>2023</v>
      </c>
      <c r="M1968" s="25">
        <f>IFERROR(__xludf.DUMMYFUNCTION("""COMPUTED_VALUE"""),45100.0)</f>
        <v>45100</v>
      </c>
    </row>
    <row r="1969">
      <c r="A1969" s="10" t="s">
        <v>389</v>
      </c>
      <c r="B1969" s="3" t="s">
        <v>1702</v>
      </c>
      <c r="C1969" s="10" t="s">
        <v>1749</v>
      </c>
      <c r="D1969" s="3" t="s">
        <v>1750</v>
      </c>
      <c r="E1969" s="4" t="s">
        <v>8</v>
      </c>
      <c r="F1969" s="5" t="s">
        <v>76</v>
      </c>
      <c r="G1969" s="6" t="s">
        <v>1757</v>
      </c>
      <c r="H1969" s="7">
        <v>45109.0</v>
      </c>
      <c r="I1969" s="8">
        <f t="shared" si="1"/>
        <v>2</v>
      </c>
      <c r="J1969" s="9">
        <f t="shared" si="2"/>
        <v>7</v>
      </c>
      <c r="K1969" s="9">
        <f t="shared" si="3"/>
        <v>2023</v>
      </c>
      <c r="M1969" s="25">
        <f>IFERROR(__xludf.DUMMYFUNCTION("""COMPUTED_VALUE"""),45109.0)</f>
        <v>45109</v>
      </c>
    </row>
    <row r="1970">
      <c r="A1970" s="10" t="s">
        <v>389</v>
      </c>
      <c r="B1970" s="3" t="s">
        <v>1702</v>
      </c>
      <c r="C1970" s="10" t="s">
        <v>1749</v>
      </c>
      <c r="D1970" s="3" t="s">
        <v>1750</v>
      </c>
      <c r="E1970" s="4" t="s">
        <v>8</v>
      </c>
      <c r="F1970" s="5" t="s">
        <v>96</v>
      </c>
      <c r="G1970" s="6" t="s">
        <v>1499</v>
      </c>
      <c r="H1970" s="7">
        <v>45144.0</v>
      </c>
      <c r="I1970" s="8">
        <f t="shared" si="1"/>
        <v>6</v>
      </c>
      <c r="J1970" s="9">
        <f t="shared" si="2"/>
        <v>8</v>
      </c>
      <c r="K1970" s="9">
        <f t="shared" si="3"/>
        <v>2023</v>
      </c>
      <c r="M1970" s="25">
        <f>IFERROR(__xludf.DUMMYFUNCTION("""COMPUTED_VALUE"""),45144.0)</f>
        <v>45144</v>
      </c>
    </row>
    <row r="1971">
      <c r="A1971" s="10" t="s">
        <v>389</v>
      </c>
      <c r="B1971" s="3" t="s">
        <v>1702</v>
      </c>
      <c r="C1971" s="10" t="s">
        <v>1749</v>
      </c>
      <c r="D1971" s="3" t="s">
        <v>1750</v>
      </c>
      <c r="E1971" s="4" t="s">
        <v>8</v>
      </c>
      <c r="F1971" s="5" t="s">
        <v>23</v>
      </c>
      <c r="G1971" s="6" t="s">
        <v>1758</v>
      </c>
      <c r="H1971" s="7">
        <v>45161.0</v>
      </c>
      <c r="I1971" s="8">
        <f t="shared" si="1"/>
        <v>23</v>
      </c>
      <c r="J1971" s="9">
        <f t="shared" si="2"/>
        <v>8</v>
      </c>
      <c r="K1971" s="9">
        <f t="shared" si="3"/>
        <v>2023</v>
      </c>
      <c r="M1971" s="25">
        <f>IFERROR(__xludf.DUMMYFUNCTION("""COMPUTED_VALUE"""),45161.0)</f>
        <v>45161</v>
      </c>
    </row>
    <row r="1972">
      <c r="A1972" s="10" t="s">
        <v>389</v>
      </c>
      <c r="B1972" s="3" t="s">
        <v>1702</v>
      </c>
      <c r="C1972" s="10" t="s">
        <v>1749</v>
      </c>
      <c r="D1972" s="3" t="s">
        <v>1750</v>
      </c>
      <c r="E1972" s="4" t="s">
        <v>8</v>
      </c>
      <c r="F1972" s="5" t="s">
        <v>23</v>
      </c>
      <c r="G1972" s="6" t="s">
        <v>1759</v>
      </c>
      <c r="H1972" s="7">
        <v>45165.0</v>
      </c>
      <c r="I1972" s="8">
        <f t="shared" si="1"/>
        <v>27</v>
      </c>
      <c r="J1972" s="9">
        <f t="shared" si="2"/>
        <v>8</v>
      </c>
      <c r="K1972" s="9">
        <f t="shared" si="3"/>
        <v>2023</v>
      </c>
      <c r="M1972" s="25">
        <f>IFERROR(__xludf.DUMMYFUNCTION("""COMPUTED_VALUE"""),45165.0)</f>
        <v>45165</v>
      </c>
    </row>
    <row r="1973">
      <c r="A1973" s="10" t="s">
        <v>389</v>
      </c>
      <c r="B1973" s="3" t="s">
        <v>1702</v>
      </c>
      <c r="C1973" s="10" t="s">
        <v>1749</v>
      </c>
      <c r="D1973" s="3" t="s">
        <v>1750</v>
      </c>
      <c r="E1973" s="4" t="s">
        <v>3</v>
      </c>
      <c r="F1973" s="5" t="s">
        <v>6</v>
      </c>
      <c r="G1973" s="6" t="s">
        <v>1760</v>
      </c>
      <c r="H1973" s="7">
        <v>45173.0</v>
      </c>
      <c r="I1973" s="8">
        <f t="shared" si="1"/>
        <v>4</v>
      </c>
      <c r="J1973" s="9">
        <f t="shared" si="2"/>
        <v>9</v>
      </c>
      <c r="K1973" s="9">
        <f t="shared" si="3"/>
        <v>2023</v>
      </c>
      <c r="M1973" s="25">
        <f>IFERROR(__xludf.DUMMYFUNCTION("""COMPUTED_VALUE"""),45173.0)</f>
        <v>45173</v>
      </c>
    </row>
    <row r="1974">
      <c r="A1974" s="10" t="s">
        <v>389</v>
      </c>
      <c r="B1974" s="3" t="s">
        <v>1702</v>
      </c>
      <c r="C1974" s="10" t="s">
        <v>1749</v>
      </c>
      <c r="D1974" s="3" t="s">
        <v>1750</v>
      </c>
      <c r="E1974" s="4" t="s">
        <v>8</v>
      </c>
      <c r="F1974" s="5" t="s">
        <v>23</v>
      </c>
      <c r="G1974" s="6" t="s">
        <v>1678</v>
      </c>
      <c r="H1974" s="7">
        <v>45187.0</v>
      </c>
      <c r="I1974" s="8">
        <f t="shared" si="1"/>
        <v>18</v>
      </c>
      <c r="J1974" s="9">
        <f t="shared" si="2"/>
        <v>9</v>
      </c>
      <c r="K1974" s="9">
        <f t="shared" si="3"/>
        <v>2023</v>
      </c>
      <c r="M1974" s="25">
        <f>IFERROR(__xludf.DUMMYFUNCTION("""COMPUTED_VALUE"""),45187.0)</f>
        <v>45187</v>
      </c>
    </row>
    <row r="1975">
      <c r="A1975" s="10" t="s">
        <v>389</v>
      </c>
      <c r="B1975" s="3" t="s">
        <v>1702</v>
      </c>
      <c r="C1975" s="10" t="s">
        <v>1749</v>
      </c>
      <c r="D1975" s="3" t="s">
        <v>1750</v>
      </c>
      <c r="E1975" s="4" t="s">
        <v>3</v>
      </c>
      <c r="F1975" s="5" t="s">
        <v>96</v>
      </c>
      <c r="G1975" s="6" t="s">
        <v>1761</v>
      </c>
      <c r="H1975" s="7">
        <v>45197.0</v>
      </c>
      <c r="I1975" s="8">
        <f t="shared" si="1"/>
        <v>28</v>
      </c>
      <c r="J1975" s="9">
        <f t="shared" si="2"/>
        <v>9</v>
      </c>
      <c r="K1975" s="9">
        <f t="shared" si="3"/>
        <v>2023</v>
      </c>
      <c r="M1975" s="25">
        <f>IFERROR(__xludf.DUMMYFUNCTION("""COMPUTED_VALUE"""),45197.0)</f>
        <v>45197</v>
      </c>
    </row>
    <row r="1976">
      <c r="A1976" s="10" t="s">
        <v>389</v>
      </c>
      <c r="B1976" s="3" t="s">
        <v>1702</v>
      </c>
      <c r="C1976" s="10" t="s">
        <v>1749</v>
      </c>
      <c r="D1976" s="3" t="s">
        <v>1750</v>
      </c>
      <c r="E1976" s="4" t="s">
        <v>3</v>
      </c>
      <c r="F1976" s="5" t="s">
        <v>120</v>
      </c>
      <c r="G1976" s="6" t="s">
        <v>1762</v>
      </c>
      <c r="H1976" s="7">
        <v>45217.0</v>
      </c>
      <c r="I1976" s="8">
        <f t="shared" si="1"/>
        <v>18</v>
      </c>
      <c r="J1976" s="9">
        <f t="shared" si="2"/>
        <v>10</v>
      </c>
      <c r="K1976" s="9">
        <f t="shared" si="3"/>
        <v>2023</v>
      </c>
      <c r="M1976" s="25">
        <f>IFERROR(__xludf.DUMMYFUNCTION("""COMPUTED_VALUE"""),45217.0)</f>
        <v>45217</v>
      </c>
    </row>
    <row r="1977">
      <c r="A1977" s="10" t="s">
        <v>389</v>
      </c>
      <c r="B1977" s="3" t="s">
        <v>1702</v>
      </c>
      <c r="C1977" s="10" t="s">
        <v>1749</v>
      </c>
      <c r="D1977" s="3" t="s">
        <v>1750</v>
      </c>
      <c r="E1977" s="4" t="s">
        <v>8</v>
      </c>
      <c r="F1977" s="5" t="s">
        <v>17</v>
      </c>
      <c r="G1977" s="6" t="s">
        <v>1384</v>
      </c>
      <c r="H1977" s="7">
        <v>45249.0</v>
      </c>
      <c r="I1977" s="8">
        <f t="shared" si="1"/>
        <v>19</v>
      </c>
      <c r="J1977" s="9">
        <f t="shared" si="2"/>
        <v>11</v>
      </c>
      <c r="K1977" s="9">
        <f t="shared" si="3"/>
        <v>2023</v>
      </c>
      <c r="M1977" s="25">
        <f>IFERROR(__xludf.DUMMYFUNCTION("""COMPUTED_VALUE"""),45249.0)</f>
        <v>45249</v>
      </c>
    </row>
    <row r="1978">
      <c r="A1978" s="10" t="s">
        <v>389</v>
      </c>
      <c r="B1978" s="3" t="s">
        <v>1702</v>
      </c>
      <c r="C1978" s="10" t="s">
        <v>1749</v>
      </c>
      <c r="D1978" s="3" t="s">
        <v>1750</v>
      </c>
      <c r="E1978" s="4" t="s">
        <v>8</v>
      </c>
      <c r="F1978" s="5" t="s">
        <v>45</v>
      </c>
      <c r="G1978" s="6" t="s">
        <v>1763</v>
      </c>
      <c r="H1978" s="7">
        <v>45252.0</v>
      </c>
      <c r="I1978" s="8">
        <f t="shared" si="1"/>
        <v>22</v>
      </c>
      <c r="J1978" s="9">
        <f t="shared" si="2"/>
        <v>11</v>
      </c>
      <c r="K1978" s="9">
        <f t="shared" si="3"/>
        <v>2023</v>
      </c>
      <c r="M1978" s="25">
        <f>IFERROR(__xludf.DUMMYFUNCTION("""COMPUTED_VALUE"""),45252.0)</f>
        <v>45252</v>
      </c>
    </row>
    <row r="1979">
      <c r="A1979" s="10" t="s">
        <v>389</v>
      </c>
      <c r="B1979" s="3" t="s">
        <v>1702</v>
      </c>
      <c r="C1979" s="10" t="s">
        <v>1749</v>
      </c>
      <c r="D1979" s="3" t="s">
        <v>1750</v>
      </c>
      <c r="E1979" s="4" t="s">
        <v>8</v>
      </c>
      <c r="F1979" s="5" t="s">
        <v>51</v>
      </c>
      <c r="G1979" s="6" t="s">
        <v>1764</v>
      </c>
      <c r="H1979" s="7">
        <v>45262.0</v>
      </c>
      <c r="I1979" s="8">
        <f t="shared" si="1"/>
        <v>2</v>
      </c>
      <c r="J1979" s="9">
        <f t="shared" si="2"/>
        <v>12</v>
      </c>
      <c r="K1979" s="9">
        <f t="shared" si="3"/>
        <v>2023</v>
      </c>
      <c r="M1979" s="25">
        <f>IFERROR(__xludf.DUMMYFUNCTION("""COMPUTED_VALUE"""),45262.0)</f>
        <v>45262</v>
      </c>
    </row>
    <row r="1980">
      <c r="A1980" s="10" t="s">
        <v>389</v>
      </c>
      <c r="B1980" s="3" t="s">
        <v>1702</v>
      </c>
      <c r="C1980" s="10" t="s">
        <v>1749</v>
      </c>
      <c r="D1980" s="3" t="s">
        <v>1750</v>
      </c>
      <c r="E1980" s="4" t="s">
        <v>8</v>
      </c>
      <c r="F1980" s="5" t="s">
        <v>96</v>
      </c>
      <c r="G1980" s="6" t="s">
        <v>1636</v>
      </c>
      <c r="H1980" s="7">
        <v>45262.0</v>
      </c>
      <c r="I1980" s="8">
        <f t="shared" si="1"/>
        <v>2</v>
      </c>
      <c r="J1980" s="9">
        <f t="shared" si="2"/>
        <v>12</v>
      </c>
      <c r="K1980" s="9">
        <f t="shared" si="3"/>
        <v>2023</v>
      </c>
      <c r="M1980" s="25">
        <f>IFERROR(__xludf.DUMMYFUNCTION("""COMPUTED_VALUE"""),45262.0)</f>
        <v>45262</v>
      </c>
    </row>
    <row r="1981">
      <c r="A1981" s="10" t="s">
        <v>1718</v>
      </c>
      <c r="B1981" s="3" t="s">
        <v>1719</v>
      </c>
      <c r="C1981" s="10" t="s">
        <v>1765</v>
      </c>
      <c r="D1981" s="3" t="s">
        <v>1766</v>
      </c>
      <c r="E1981" s="4" t="s">
        <v>8</v>
      </c>
      <c r="F1981" s="5" t="s">
        <v>35</v>
      </c>
      <c r="G1981" s="6" t="s">
        <v>1767</v>
      </c>
      <c r="H1981" s="7">
        <v>44928.0</v>
      </c>
      <c r="I1981" s="8">
        <f t="shared" si="1"/>
        <v>2</v>
      </c>
      <c r="J1981" s="9">
        <f t="shared" si="2"/>
        <v>1</v>
      </c>
      <c r="K1981" s="9">
        <f t="shared" si="3"/>
        <v>2023</v>
      </c>
      <c r="M1981" s="25">
        <f>IFERROR(__xludf.DUMMYFUNCTION("""COMPUTED_VALUE"""),44928.0)</f>
        <v>44928</v>
      </c>
    </row>
    <row r="1982">
      <c r="A1982" s="10" t="s">
        <v>1718</v>
      </c>
      <c r="B1982" s="3" t="s">
        <v>1719</v>
      </c>
      <c r="C1982" s="10" t="s">
        <v>1765</v>
      </c>
      <c r="D1982" s="3" t="s">
        <v>1766</v>
      </c>
      <c r="E1982" s="4" t="s">
        <v>3</v>
      </c>
      <c r="F1982" s="5" t="s">
        <v>120</v>
      </c>
      <c r="G1982" s="6" t="s">
        <v>1768</v>
      </c>
      <c r="H1982" s="7">
        <v>44936.0</v>
      </c>
      <c r="I1982" s="8">
        <f t="shared" si="1"/>
        <v>10</v>
      </c>
      <c r="J1982" s="9">
        <f t="shared" si="2"/>
        <v>1</v>
      </c>
      <c r="K1982" s="9">
        <f t="shared" si="3"/>
        <v>2023</v>
      </c>
      <c r="M1982" s="25">
        <f>IFERROR(__xludf.DUMMYFUNCTION("""COMPUTED_VALUE"""),44936.0)</f>
        <v>44936</v>
      </c>
    </row>
    <row r="1983">
      <c r="A1983" s="10" t="s">
        <v>1718</v>
      </c>
      <c r="B1983" s="3" t="s">
        <v>1719</v>
      </c>
      <c r="C1983" s="10" t="s">
        <v>1765</v>
      </c>
      <c r="D1983" s="3" t="s">
        <v>1766</v>
      </c>
      <c r="E1983" s="4" t="s">
        <v>3</v>
      </c>
      <c r="F1983" s="5" t="s">
        <v>42</v>
      </c>
      <c r="G1983" s="6" t="s">
        <v>309</v>
      </c>
      <c r="H1983" s="7">
        <v>44954.0</v>
      </c>
      <c r="I1983" s="8">
        <f t="shared" si="1"/>
        <v>28</v>
      </c>
      <c r="J1983" s="9">
        <f t="shared" si="2"/>
        <v>1</v>
      </c>
      <c r="K1983" s="9">
        <f t="shared" si="3"/>
        <v>2023</v>
      </c>
      <c r="M1983" s="25">
        <f>IFERROR(__xludf.DUMMYFUNCTION("""COMPUTED_VALUE"""),44954.0)</f>
        <v>44954</v>
      </c>
    </row>
    <row r="1984">
      <c r="A1984" s="10" t="s">
        <v>1718</v>
      </c>
      <c r="B1984" s="3" t="s">
        <v>1719</v>
      </c>
      <c r="C1984" s="10" t="s">
        <v>1765</v>
      </c>
      <c r="D1984" s="3" t="s">
        <v>1766</v>
      </c>
      <c r="E1984" s="4" t="s">
        <v>3</v>
      </c>
      <c r="F1984" s="5" t="s">
        <v>13</v>
      </c>
      <c r="G1984" s="6" t="s">
        <v>1769</v>
      </c>
      <c r="H1984" s="7">
        <v>44961.0</v>
      </c>
      <c r="I1984" s="8">
        <f t="shared" si="1"/>
        <v>4</v>
      </c>
      <c r="J1984" s="9">
        <f t="shared" si="2"/>
        <v>2</v>
      </c>
      <c r="K1984" s="9">
        <f t="shared" si="3"/>
        <v>2023</v>
      </c>
      <c r="M1984" s="25">
        <f>IFERROR(__xludf.DUMMYFUNCTION("""COMPUTED_VALUE"""),44961.0)</f>
        <v>44961</v>
      </c>
    </row>
    <row r="1985">
      <c r="A1985" s="10" t="s">
        <v>1718</v>
      </c>
      <c r="B1985" s="3" t="s">
        <v>1719</v>
      </c>
      <c r="C1985" s="10" t="s">
        <v>1765</v>
      </c>
      <c r="D1985" s="3" t="s">
        <v>1766</v>
      </c>
      <c r="E1985" s="4" t="s">
        <v>3</v>
      </c>
      <c r="F1985" s="5" t="s">
        <v>51</v>
      </c>
      <c r="G1985" s="6" t="s">
        <v>1124</v>
      </c>
      <c r="H1985" s="7">
        <v>44962.0</v>
      </c>
      <c r="I1985" s="8">
        <f t="shared" si="1"/>
        <v>5</v>
      </c>
      <c r="J1985" s="9">
        <f t="shared" si="2"/>
        <v>2</v>
      </c>
      <c r="K1985" s="9">
        <f t="shared" si="3"/>
        <v>2023</v>
      </c>
      <c r="M1985" s="25">
        <f>IFERROR(__xludf.DUMMYFUNCTION("""COMPUTED_VALUE"""),44962.0)</f>
        <v>44962</v>
      </c>
    </row>
    <row r="1986">
      <c r="A1986" s="10" t="s">
        <v>1718</v>
      </c>
      <c r="B1986" s="3" t="s">
        <v>1719</v>
      </c>
      <c r="C1986" s="10" t="s">
        <v>1765</v>
      </c>
      <c r="D1986" s="3" t="s">
        <v>1766</v>
      </c>
      <c r="E1986" s="4" t="s">
        <v>8</v>
      </c>
      <c r="F1986" s="5" t="s">
        <v>23</v>
      </c>
      <c r="G1986" s="6" t="s">
        <v>1464</v>
      </c>
      <c r="H1986" s="7">
        <v>44968.0</v>
      </c>
      <c r="I1986" s="8">
        <f t="shared" si="1"/>
        <v>11</v>
      </c>
      <c r="J1986" s="9">
        <f t="shared" si="2"/>
        <v>2</v>
      </c>
      <c r="K1986" s="9">
        <f t="shared" si="3"/>
        <v>2023</v>
      </c>
      <c r="M1986" s="25">
        <f>IFERROR(__xludf.DUMMYFUNCTION("""COMPUTED_VALUE"""),44968.0)</f>
        <v>44968</v>
      </c>
    </row>
    <row r="1987">
      <c r="A1987" s="10" t="s">
        <v>1718</v>
      </c>
      <c r="B1987" s="3" t="s">
        <v>1719</v>
      </c>
      <c r="C1987" s="10" t="s">
        <v>1765</v>
      </c>
      <c r="D1987" s="3" t="s">
        <v>1766</v>
      </c>
      <c r="E1987" s="4" t="s">
        <v>3</v>
      </c>
      <c r="F1987" s="5" t="s">
        <v>21</v>
      </c>
      <c r="G1987" s="6" t="s">
        <v>359</v>
      </c>
      <c r="H1987" s="7">
        <v>45022.0</v>
      </c>
      <c r="I1987" s="8">
        <f t="shared" si="1"/>
        <v>6</v>
      </c>
      <c r="J1987" s="9">
        <f t="shared" si="2"/>
        <v>4</v>
      </c>
      <c r="K1987" s="9">
        <f t="shared" si="3"/>
        <v>2023</v>
      </c>
      <c r="M1987" s="25">
        <f>IFERROR(__xludf.DUMMYFUNCTION("""COMPUTED_VALUE"""),45022.0)</f>
        <v>45022</v>
      </c>
    </row>
    <row r="1988">
      <c r="A1988" s="10" t="s">
        <v>1718</v>
      </c>
      <c r="B1988" s="3" t="s">
        <v>1719</v>
      </c>
      <c r="C1988" s="10" t="s">
        <v>1765</v>
      </c>
      <c r="D1988" s="3" t="s">
        <v>1766</v>
      </c>
      <c r="E1988" s="4" t="s">
        <v>8</v>
      </c>
      <c r="F1988" s="5" t="s">
        <v>13</v>
      </c>
      <c r="G1988" s="6" t="s">
        <v>383</v>
      </c>
      <c r="H1988" s="7">
        <v>45030.0</v>
      </c>
      <c r="I1988" s="8">
        <f t="shared" si="1"/>
        <v>14</v>
      </c>
      <c r="J1988" s="9">
        <f t="shared" si="2"/>
        <v>4</v>
      </c>
      <c r="K1988" s="9">
        <f t="shared" si="3"/>
        <v>2023</v>
      </c>
      <c r="M1988" s="25">
        <f>IFERROR(__xludf.DUMMYFUNCTION("""COMPUTED_VALUE"""),45030.0)</f>
        <v>45030</v>
      </c>
    </row>
    <row r="1989">
      <c r="A1989" s="10" t="s">
        <v>1718</v>
      </c>
      <c r="B1989" s="3" t="s">
        <v>1719</v>
      </c>
      <c r="C1989" s="10" t="s">
        <v>1765</v>
      </c>
      <c r="D1989" s="3" t="s">
        <v>1766</v>
      </c>
      <c r="E1989" s="4" t="s">
        <v>3</v>
      </c>
      <c r="F1989" s="5" t="s">
        <v>15</v>
      </c>
      <c r="G1989" s="6" t="s">
        <v>1076</v>
      </c>
      <c r="H1989" s="7">
        <v>45058.0</v>
      </c>
      <c r="I1989" s="8">
        <f t="shared" si="1"/>
        <v>12</v>
      </c>
      <c r="J1989" s="9">
        <f t="shared" si="2"/>
        <v>5</v>
      </c>
      <c r="K1989" s="9">
        <f t="shared" si="3"/>
        <v>2023</v>
      </c>
      <c r="M1989" s="25">
        <f>IFERROR(__xludf.DUMMYFUNCTION("""COMPUTED_VALUE"""),45058.0)</f>
        <v>45058</v>
      </c>
    </row>
    <row r="1990">
      <c r="A1990" s="10" t="s">
        <v>1718</v>
      </c>
      <c r="B1990" s="3" t="s">
        <v>1719</v>
      </c>
      <c r="C1990" s="10" t="s">
        <v>1765</v>
      </c>
      <c r="D1990" s="3" t="s">
        <v>1766</v>
      </c>
      <c r="E1990" s="4" t="s">
        <v>8</v>
      </c>
      <c r="F1990" s="5" t="s">
        <v>13</v>
      </c>
      <c r="G1990" s="6" t="s">
        <v>1741</v>
      </c>
      <c r="H1990" s="7">
        <v>45093.0</v>
      </c>
      <c r="I1990" s="8">
        <f t="shared" si="1"/>
        <v>16</v>
      </c>
      <c r="J1990" s="9">
        <f t="shared" si="2"/>
        <v>6</v>
      </c>
      <c r="K1990" s="9">
        <f t="shared" si="3"/>
        <v>2023</v>
      </c>
      <c r="M1990" s="25">
        <f>IFERROR(__xludf.DUMMYFUNCTION("""COMPUTED_VALUE"""),45093.0)</f>
        <v>45093</v>
      </c>
    </row>
    <row r="1991">
      <c r="A1991" s="10" t="s">
        <v>1718</v>
      </c>
      <c r="B1991" s="3" t="s">
        <v>1719</v>
      </c>
      <c r="C1991" s="10" t="s">
        <v>1765</v>
      </c>
      <c r="D1991" s="3" t="s">
        <v>1766</v>
      </c>
      <c r="E1991" s="4" t="s">
        <v>8</v>
      </c>
      <c r="F1991" s="5" t="s">
        <v>4</v>
      </c>
      <c r="G1991" s="6" t="s">
        <v>1418</v>
      </c>
      <c r="H1991" s="7">
        <v>45093.0</v>
      </c>
      <c r="I1991" s="8">
        <f t="shared" si="1"/>
        <v>16</v>
      </c>
      <c r="J1991" s="9">
        <f t="shared" si="2"/>
        <v>6</v>
      </c>
      <c r="K1991" s="9">
        <f t="shared" si="3"/>
        <v>2023</v>
      </c>
      <c r="M1991" s="25">
        <f>IFERROR(__xludf.DUMMYFUNCTION("""COMPUTED_VALUE"""),45093.0)</f>
        <v>45093</v>
      </c>
    </row>
    <row r="1992">
      <c r="A1992" s="10" t="s">
        <v>1718</v>
      </c>
      <c r="B1992" s="3" t="s">
        <v>1719</v>
      </c>
      <c r="C1992" s="10" t="s">
        <v>1765</v>
      </c>
      <c r="D1992" s="3" t="s">
        <v>1766</v>
      </c>
      <c r="E1992" s="4" t="s">
        <v>8</v>
      </c>
      <c r="F1992" s="5" t="s">
        <v>120</v>
      </c>
      <c r="G1992" s="6" t="s">
        <v>1770</v>
      </c>
      <c r="H1992" s="7">
        <v>45117.0</v>
      </c>
      <c r="I1992" s="8">
        <f t="shared" si="1"/>
        <v>10</v>
      </c>
      <c r="J1992" s="9">
        <f t="shared" si="2"/>
        <v>7</v>
      </c>
      <c r="K1992" s="9">
        <f t="shared" si="3"/>
        <v>2023</v>
      </c>
      <c r="M1992" s="25">
        <f>IFERROR(__xludf.DUMMYFUNCTION("""COMPUTED_VALUE"""),45117.0)</f>
        <v>45117</v>
      </c>
    </row>
    <row r="1993">
      <c r="A1993" s="10" t="s">
        <v>1718</v>
      </c>
      <c r="B1993" s="3" t="s">
        <v>1719</v>
      </c>
      <c r="C1993" s="10" t="s">
        <v>1765</v>
      </c>
      <c r="D1993" s="3" t="s">
        <v>1766</v>
      </c>
      <c r="E1993" s="4" t="s">
        <v>3</v>
      </c>
      <c r="F1993" s="5" t="s">
        <v>9</v>
      </c>
      <c r="G1993" s="6" t="s">
        <v>829</v>
      </c>
      <c r="H1993" s="7">
        <v>45174.0</v>
      </c>
      <c r="I1993" s="8">
        <f t="shared" si="1"/>
        <v>5</v>
      </c>
      <c r="J1993" s="9">
        <f t="shared" si="2"/>
        <v>9</v>
      </c>
      <c r="K1993" s="9">
        <f t="shared" si="3"/>
        <v>2023</v>
      </c>
      <c r="M1993" s="25">
        <f>IFERROR(__xludf.DUMMYFUNCTION("""COMPUTED_VALUE"""),45174.0)</f>
        <v>45174</v>
      </c>
    </row>
    <row r="1994">
      <c r="A1994" s="10" t="s">
        <v>1718</v>
      </c>
      <c r="B1994" s="3" t="s">
        <v>1719</v>
      </c>
      <c r="C1994" s="10" t="s">
        <v>1765</v>
      </c>
      <c r="D1994" s="3" t="s">
        <v>1766</v>
      </c>
      <c r="E1994" s="4" t="s">
        <v>8</v>
      </c>
      <c r="F1994" s="5" t="s">
        <v>45</v>
      </c>
      <c r="G1994" s="6" t="s">
        <v>1771</v>
      </c>
      <c r="H1994" s="7">
        <v>45203.0</v>
      </c>
      <c r="I1994" s="8">
        <f t="shared" si="1"/>
        <v>4</v>
      </c>
      <c r="J1994" s="9">
        <f t="shared" si="2"/>
        <v>10</v>
      </c>
      <c r="K1994" s="9">
        <f t="shared" si="3"/>
        <v>2023</v>
      </c>
      <c r="M1994" s="25">
        <f>IFERROR(__xludf.DUMMYFUNCTION("""COMPUTED_VALUE"""),45203.0)</f>
        <v>45203</v>
      </c>
    </row>
    <row r="1995">
      <c r="A1995" s="10" t="s">
        <v>1718</v>
      </c>
      <c r="B1995" s="3" t="s">
        <v>1719</v>
      </c>
      <c r="C1995" s="10" t="s">
        <v>1765</v>
      </c>
      <c r="D1995" s="3" t="s">
        <v>1766</v>
      </c>
      <c r="E1995" s="4" t="s">
        <v>8</v>
      </c>
      <c r="F1995" s="5" t="s">
        <v>17</v>
      </c>
      <c r="G1995" s="6" t="s">
        <v>1772</v>
      </c>
      <c r="H1995" s="7">
        <v>45219.0</v>
      </c>
      <c r="I1995" s="8">
        <f t="shared" si="1"/>
        <v>20</v>
      </c>
      <c r="J1995" s="9">
        <f t="shared" si="2"/>
        <v>10</v>
      </c>
      <c r="K1995" s="9">
        <f t="shared" si="3"/>
        <v>2023</v>
      </c>
      <c r="M1995" s="25">
        <f>IFERROR(__xludf.DUMMYFUNCTION("""COMPUTED_VALUE"""),45219.0)</f>
        <v>45219</v>
      </c>
    </row>
    <row r="1996">
      <c r="A1996" s="10" t="s">
        <v>1718</v>
      </c>
      <c r="B1996" s="3" t="s">
        <v>1719</v>
      </c>
      <c r="C1996" s="10" t="s">
        <v>1765</v>
      </c>
      <c r="D1996" s="3" t="s">
        <v>1766</v>
      </c>
      <c r="E1996" s="4" t="s">
        <v>8</v>
      </c>
      <c r="F1996" s="5" t="s">
        <v>15</v>
      </c>
      <c r="G1996" s="6" t="s">
        <v>612</v>
      </c>
      <c r="H1996" s="7">
        <v>45244.0</v>
      </c>
      <c r="I1996" s="8">
        <f t="shared" si="1"/>
        <v>14</v>
      </c>
      <c r="J1996" s="9">
        <f t="shared" si="2"/>
        <v>11</v>
      </c>
      <c r="K1996" s="9">
        <f t="shared" si="3"/>
        <v>2023</v>
      </c>
      <c r="M1996" s="25">
        <f>IFERROR(__xludf.DUMMYFUNCTION("""COMPUTED_VALUE"""),45244.0)</f>
        <v>45244</v>
      </c>
    </row>
    <row r="1997">
      <c r="A1997" s="10" t="s">
        <v>1718</v>
      </c>
      <c r="B1997" s="3" t="s">
        <v>1719</v>
      </c>
      <c r="C1997" s="10" t="s">
        <v>1765</v>
      </c>
      <c r="D1997" s="3" t="s">
        <v>1766</v>
      </c>
      <c r="E1997" s="4" t="s">
        <v>3</v>
      </c>
      <c r="F1997" s="5" t="s">
        <v>51</v>
      </c>
      <c r="G1997" s="6" t="s">
        <v>382</v>
      </c>
      <c r="H1997" s="7">
        <v>45269.0</v>
      </c>
      <c r="I1997" s="8">
        <f t="shared" si="1"/>
        <v>9</v>
      </c>
      <c r="J1997" s="9">
        <f t="shared" si="2"/>
        <v>12</v>
      </c>
      <c r="K1997" s="9">
        <f t="shared" si="3"/>
        <v>2023</v>
      </c>
      <c r="M1997" s="25">
        <f>IFERROR(__xludf.DUMMYFUNCTION("""COMPUTED_VALUE"""),45269.0)</f>
        <v>45269</v>
      </c>
    </row>
    <row r="1998">
      <c r="A1998" s="10" t="s">
        <v>1718</v>
      </c>
      <c r="B1998" s="3" t="s">
        <v>1719</v>
      </c>
      <c r="C1998" s="10" t="s">
        <v>1765</v>
      </c>
      <c r="D1998" s="3" t="s">
        <v>1766</v>
      </c>
      <c r="E1998" s="4" t="s">
        <v>8</v>
      </c>
      <c r="F1998" s="5" t="s">
        <v>9</v>
      </c>
      <c r="G1998" s="6" t="s">
        <v>1773</v>
      </c>
      <c r="H1998" s="7">
        <v>45273.0</v>
      </c>
      <c r="I1998" s="8">
        <f t="shared" si="1"/>
        <v>13</v>
      </c>
      <c r="J1998" s="9">
        <f t="shared" si="2"/>
        <v>12</v>
      </c>
      <c r="K1998" s="9">
        <f t="shared" si="3"/>
        <v>2023</v>
      </c>
      <c r="M1998" s="25">
        <f>IFERROR(__xludf.DUMMYFUNCTION("""COMPUTED_VALUE"""),45273.0)</f>
        <v>45273</v>
      </c>
    </row>
    <row r="1999">
      <c r="A1999" s="10" t="s">
        <v>1718</v>
      </c>
      <c r="B1999" s="3" t="s">
        <v>1719</v>
      </c>
      <c r="C1999" s="10" t="s">
        <v>1765</v>
      </c>
      <c r="D1999" s="3" t="s">
        <v>1766</v>
      </c>
      <c r="E1999" s="4" t="s">
        <v>3</v>
      </c>
      <c r="F1999" s="5" t="s">
        <v>13</v>
      </c>
      <c r="G1999" s="6" t="s">
        <v>936</v>
      </c>
      <c r="H1999" s="7">
        <v>45283.0</v>
      </c>
      <c r="I1999" s="8">
        <f t="shared" si="1"/>
        <v>23</v>
      </c>
      <c r="J1999" s="9">
        <f t="shared" si="2"/>
        <v>12</v>
      </c>
      <c r="K1999" s="9">
        <f t="shared" si="3"/>
        <v>2023</v>
      </c>
      <c r="M1999" s="25">
        <f>IFERROR(__xludf.DUMMYFUNCTION("""COMPUTED_VALUE"""),45283.0)</f>
        <v>45283</v>
      </c>
    </row>
    <row r="2000">
      <c r="A2000" s="10" t="s">
        <v>1718</v>
      </c>
      <c r="B2000" s="3" t="s">
        <v>1719</v>
      </c>
      <c r="C2000" s="10" t="s">
        <v>1765</v>
      </c>
      <c r="D2000" s="3" t="s">
        <v>1766</v>
      </c>
      <c r="E2000" s="4" t="s">
        <v>3</v>
      </c>
      <c r="F2000" s="5" t="s">
        <v>71</v>
      </c>
      <c r="G2000" s="6" t="s">
        <v>175</v>
      </c>
      <c r="H2000" s="7">
        <v>45286.0</v>
      </c>
      <c r="I2000" s="8">
        <f t="shared" si="1"/>
        <v>26</v>
      </c>
      <c r="J2000" s="9">
        <f t="shared" si="2"/>
        <v>12</v>
      </c>
      <c r="K2000" s="9">
        <f t="shared" si="3"/>
        <v>2023</v>
      </c>
      <c r="M2000" s="25">
        <f>IFERROR(__xludf.DUMMYFUNCTION("""COMPUTED_VALUE"""),45286.0)</f>
        <v>45286</v>
      </c>
    </row>
    <row r="2001">
      <c r="A2001" s="10" t="s">
        <v>1228</v>
      </c>
      <c r="B2001" s="3" t="s">
        <v>1735</v>
      </c>
      <c r="C2001" s="10" t="s">
        <v>1775</v>
      </c>
      <c r="D2001" s="3" t="s">
        <v>1776</v>
      </c>
      <c r="E2001" s="4" t="s">
        <v>1777</v>
      </c>
      <c r="F2001" s="5" t="s">
        <v>1778</v>
      </c>
      <c r="G2001" s="6" t="s">
        <v>1779</v>
      </c>
      <c r="H2001" s="7" t="s">
        <v>1780</v>
      </c>
      <c r="I2001" s="8" t="s">
        <v>1781</v>
      </c>
      <c r="J2001" s="9" t="s">
        <v>1782</v>
      </c>
      <c r="K2001" s="9" t="s">
        <v>1783</v>
      </c>
      <c r="M2001" s="25"/>
    </row>
    <row r="2002">
      <c r="A2002" s="10" t="s">
        <v>1228</v>
      </c>
      <c r="B2002" s="3" t="s">
        <v>1735</v>
      </c>
      <c r="C2002" s="11"/>
      <c r="D2002" s="12"/>
      <c r="E2002" s="13"/>
      <c r="G2002" s="6"/>
      <c r="H2002" s="7"/>
      <c r="I2002" s="14"/>
      <c r="M2002" s="25"/>
    </row>
    <row r="2003">
      <c r="A2003" s="10" t="s">
        <v>1228</v>
      </c>
      <c r="B2003" s="3" t="s">
        <v>1735</v>
      </c>
      <c r="C2003" s="11"/>
      <c r="D2003" s="12"/>
      <c r="E2003" s="13"/>
      <c r="G2003" s="6"/>
      <c r="H2003" s="7"/>
      <c r="I2003" s="14"/>
      <c r="M2003" s="25"/>
    </row>
    <row r="2004">
      <c r="A2004" s="10" t="s">
        <v>1228</v>
      </c>
      <c r="B2004" s="3" t="s">
        <v>1735</v>
      </c>
      <c r="C2004" s="4"/>
      <c r="D2004" s="5"/>
      <c r="E2004" s="6"/>
      <c r="F2004" s="7"/>
      <c r="G2004" s="8"/>
      <c r="H2004" s="9"/>
      <c r="I2004" s="9"/>
      <c r="M2004" s="25"/>
    </row>
    <row r="2005">
      <c r="A2005" s="10" t="s">
        <v>1228</v>
      </c>
      <c r="B2005" s="3" t="s">
        <v>1735</v>
      </c>
      <c r="C2005" s="4"/>
      <c r="D2005" s="5"/>
      <c r="E2005" s="6"/>
      <c r="F2005" s="7"/>
      <c r="G2005" s="8"/>
      <c r="H2005" s="9"/>
      <c r="I2005" s="9"/>
      <c r="M2005" s="25"/>
    </row>
    <row r="2006">
      <c r="A2006" s="10" t="s">
        <v>1228</v>
      </c>
      <c r="B2006" s="3" t="s">
        <v>1735</v>
      </c>
      <c r="C2006" s="4"/>
      <c r="D2006" s="5"/>
      <c r="E2006" s="6"/>
      <c r="F2006" s="7"/>
      <c r="G2006" s="8"/>
      <c r="H2006" s="9"/>
      <c r="I2006" s="9"/>
      <c r="M2006" s="25"/>
    </row>
    <row r="2007">
      <c r="A2007" s="10" t="s">
        <v>1228</v>
      </c>
      <c r="B2007" s="3" t="s">
        <v>1735</v>
      </c>
      <c r="C2007" s="4"/>
      <c r="D2007" s="5"/>
      <c r="E2007" s="6"/>
      <c r="F2007" s="7"/>
      <c r="G2007" s="8"/>
      <c r="H2007" s="9"/>
      <c r="I2007" s="9"/>
      <c r="M2007" s="25"/>
    </row>
    <row r="2008">
      <c r="A2008" s="10" t="s">
        <v>1228</v>
      </c>
      <c r="B2008" s="3" t="s">
        <v>1735</v>
      </c>
      <c r="C2008" s="4"/>
      <c r="D2008" s="5"/>
      <c r="E2008" s="6"/>
      <c r="F2008" s="7"/>
      <c r="G2008" s="8"/>
      <c r="H2008" s="9"/>
      <c r="I2008" s="9"/>
      <c r="M2008" s="25"/>
    </row>
    <row r="2009">
      <c r="A2009" s="10" t="s">
        <v>1228</v>
      </c>
      <c r="B2009" s="3" t="s">
        <v>1735</v>
      </c>
      <c r="C2009" s="4"/>
      <c r="D2009" s="5"/>
      <c r="E2009" s="6"/>
      <c r="F2009" s="7"/>
      <c r="G2009" s="8"/>
      <c r="H2009" s="9"/>
      <c r="I2009" s="9"/>
      <c r="M2009" s="25"/>
    </row>
    <row r="2010">
      <c r="A2010" s="10" t="s">
        <v>1228</v>
      </c>
      <c r="B2010" s="3" t="s">
        <v>1735</v>
      </c>
      <c r="C2010" s="4"/>
      <c r="D2010" s="5"/>
      <c r="E2010" s="6"/>
      <c r="F2010" s="7"/>
      <c r="G2010" s="8"/>
      <c r="H2010" s="9"/>
      <c r="I2010" s="9"/>
      <c r="M2010" s="25"/>
    </row>
    <row r="2011">
      <c r="A2011" s="10" t="s">
        <v>1228</v>
      </c>
      <c r="B2011" s="3" t="s">
        <v>1735</v>
      </c>
      <c r="C2011" s="4"/>
      <c r="D2011" s="5"/>
      <c r="E2011" s="6"/>
      <c r="F2011" s="7"/>
      <c r="G2011" s="8"/>
      <c r="H2011" s="9"/>
      <c r="I2011" s="9"/>
      <c r="M2011" s="25"/>
    </row>
    <row r="2012">
      <c r="A2012" s="10" t="s">
        <v>1228</v>
      </c>
      <c r="B2012" s="3" t="s">
        <v>1735</v>
      </c>
      <c r="C2012" s="4"/>
      <c r="D2012" s="5"/>
      <c r="E2012" s="6"/>
      <c r="F2012" s="7"/>
      <c r="G2012" s="8"/>
      <c r="H2012" s="9"/>
      <c r="I2012" s="9"/>
      <c r="M2012" s="25"/>
    </row>
    <row r="2013">
      <c r="A2013" s="10" t="s">
        <v>1228</v>
      </c>
      <c r="B2013" s="3" t="s">
        <v>1735</v>
      </c>
      <c r="C2013" s="4"/>
      <c r="D2013" s="5"/>
      <c r="E2013" s="6"/>
      <c r="F2013" s="7"/>
      <c r="G2013" s="8"/>
      <c r="H2013" s="9"/>
      <c r="I2013" s="9"/>
      <c r="M2013" s="25"/>
    </row>
    <row r="2014">
      <c r="A2014" s="10" t="s">
        <v>1228</v>
      </c>
      <c r="B2014" s="3" t="s">
        <v>1735</v>
      </c>
      <c r="C2014" s="4"/>
      <c r="D2014" s="5"/>
      <c r="E2014" s="6"/>
      <c r="F2014" s="7"/>
      <c r="G2014" s="8"/>
      <c r="H2014" s="9"/>
      <c r="I2014" s="9"/>
      <c r="M2014" s="25"/>
    </row>
    <row r="2015">
      <c r="A2015" s="10" t="s">
        <v>1228</v>
      </c>
      <c r="B2015" s="3" t="s">
        <v>1735</v>
      </c>
      <c r="C2015" s="4"/>
      <c r="D2015" s="5"/>
      <c r="E2015" s="6"/>
      <c r="F2015" s="7"/>
      <c r="G2015" s="8"/>
      <c r="H2015" s="9"/>
      <c r="I2015" s="9"/>
      <c r="M2015" s="25"/>
    </row>
    <row r="2016">
      <c r="A2016" s="10" t="s">
        <v>1228</v>
      </c>
      <c r="B2016" s="3" t="s">
        <v>1735</v>
      </c>
      <c r="C2016" s="4"/>
      <c r="D2016" s="5"/>
      <c r="E2016" s="6"/>
      <c r="F2016" s="7"/>
      <c r="G2016" s="8"/>
      <c r="H2016" s="9"/>
      <c r="I2016" s="9"/>
      <c r="M2016" s="25"/>
    </row>
    <row r="2017">
      <c r="A2017" s="10" t="s">
        <v>1228</v>
      </c>
      <c r="B2017" s="3" t="s">
        <v>1735</v>
      </c>
      <c r="C2017" s="4"/>
      <c r="D2017" s="5"/>
      <c r="E2017" s="6"/>
      <c r="F2017" s="7"/>
      <c r="G2017" s="8"/>
      <c r="H2017" s="9"/>
      <c r="I2017" s="9"/>
      <c r="M2017" s="25"/>
    </row>
    <row r="2018">
      <c r="A2018" s="10" t="s">
        <v>1228</v>
      </c>
      <c r="B2018" s="3" t="s">
        <v>1735</v>
      </c>
      <c r="C2018" s="4"/>
      <c r="D2018" s="5"/>
      <c r="E2018" s="6"/>
      <c r="F2018" s="7"/>
      <c r="G2018" s="8"/>
      <c r="H2018" s="9"/>
      <c r="I2018" s="9"/>
      <c r="M2018" s="25"/>
    </row>
    <row r="2019">
      <c r="A2019" s="10" t="s">
        <v>1228</v>
      </c>
      <c r="B2019" s="3" t="s">
        <v>1735</v>
      </c>
      <c r="C2019" s="4"/>
      <c r="D2019" s="5"/>
      <c r="E2019" s="6"/>
      <c r="F2019" s="7"/>
      <c r="G2019" s="8"/>
      <c r="H2019" s="9"/>
      <c r="I2019" s="9"/>
      <c r="M2019" s="25"/>
    </row>
    <row r="2020">
      <c r="A2020" s="10" t="s">
        <v>1228</v>
      </c>
      <c r="B2020" s="3" t="s">
        <v>1735</v>
      </c>
      <c r="C2020" s="4"/>
      <c r="D2020" s="5"/>
      <c r="E2020" s="6"/>
      <c r="F2020" s="7"/>
      <c r="G2020" s="8"/>
      <c r="H2020" s="9"/>
      <c r="I2020" s="9"/>
      <c r="M2020" s="25"/>
    </row>
    <row r="2021">
      <c r="A2021" s="10" t="s">
        <v>1749</v>
      </c>
      <c r="B2021" s="3" t="s">
        <v>1750</v>
      </c>
      <c r="C2021" s="4"/>
      <c r="D2021" s="5"/>
      <c r="E2021" s="6"/>
      <c r="F2021" s="7"/>
      <c r="G2021" s="8"/>
      <c r="H2021" s="9"/>
      <c r="I2021" s="9"/>
      <c r="M2021" s="25"/>
    </row>
    <row r="2022">
      <c r="A2022" s="10" t="s">
        <v>1749</v>
      </c>
      <c r="B2022" s="3" t="s">
        <v>1750</v>
      </c>
      <c r="C2022" s="4"/>
      <c r="D2022" s="5"/>
      <c r="E2022" s="6"/>
      <c r="F2022" s="7"/>
      <c r="G2022" s="8"/>
      <c r="H2022" s="9"/>
      <c r="I2022" s="9"/>
      <c r="M2022" s="25"/>
    </row>
    <row r="2023">
      <c r="A2023" s="10" t="s">
        <v>1749</v>
      </c>
      <c r="B2023" s="3" t="s">
        <v>1750</v>
      </c>
      <c r="C2023" s="4"/>
      <c r="D2023" s="5"/>
      <c r="E2023" s="6"/>
      <c r="F2023" s="7"/>
      <c r="G2023" s="8"/>
      <c r="H2023" s="9"/>
      <c r="I2023" s="9"/>
      <c r="M2023" s="25"/>
    </row>
    <row r="2024">
      <c r="A2024" s="10" t="s">
        <v>1749</v>
      </c>
      <c r="B2024" s="3" t="s">
        <v>1750</v>
      </c>
      <c r="C2024" s="4"/>
      <c r="D2024" s="5"/>
      <c r="E2024" s="6"/>
      <c r="F2024" s="7"/>
      <c r="G2024" s="8"/>
      <c r="H2024" s="9"/>
      <c r="I2024" s="9"/>
      <c r="M2024" s="25"/>
    </row>
    <row r="2025">
      <c r="A2025" s="10" t="s">
        <v>1749</v>
      </c>
      <c r="B2025" s="3" t="s">
        <v>1750</v>
      </c>
      <c r="C2025" s="4"/>
      <c r="D2025" s="5"/>
      <c r="E2025" s="6"/>
      <c r="F2025" s="7"/>
      <c r="G2025" s="8"/>
      <c r="H2025" s="9"/>
      <c r="I2025" s="9"/>
      <c r="M2025" s="25"/>
    </row>
    <row r="2026">
      <c r="A2026" s="10" t="s">
        <v>1749</v>
      </c>
      <c r="B2026" s="3" t="s">
        <v>1750</v>
      </c>
      <c r="C2026" s="4"/>
      <c r="D2026" s="5"/>
      <c r="E2026" s="6"/>
      <c r="F2026" s="7"/>
      <c r="G2026" s="8"/>
      <c r="H2026" s="9"/>
      <c r="I2026" s="9"/>
      <c r="M2026" s="25"/>
    </row>
    <row r="2027">
      <c r="A2027" s="10" t="s">
        <v>1749</v>
      </c>
      <c r="B2027" s="3" t="s">
        <v>1750</v>
      </c>
      <c r="C2027" s="4"/>
      <c r="D2027" s="5"/>
      <c r="E2027" s="6"/>
      <c r="F2027" s="7"/>
      <c r="G2027" s="8"/>
      <c r="H2027" s="9"/>
      <c r="I2027" s="9"/>
      <c r="M2027" s="25"/>
    </row>
    <row r="2028">
      <c r="A2028" s="10" t="s">
        <v>1749</v>
      </c>
      <c r="B2028" s="3" t="s">
        <v>1750</v>
      </c>
      <c r="C2028" s="4"/>
      <c r="D2028" s="5"/>
      <c r="E2028" s="6"/>
      <c r="F2028" s="7"/>
      <c r="G2028" s="8"/>
      <c r="H2028" s="9"/>
      <c r="I2028" s="9"/>
      <c r="M2028" s="25"/>
    </row>
    <row r="2029">
      <c r="A2029" s="10" t="s">
        <v>1749</v>
      </c>
      <c r="B2029" s="3" t="s">
        <v>1750</v>
      </c>
      <c r="C2029" s="4"/>
      <c r="D2029" s="5"/>
      <c r="E2029" s="6"/>
      <c r="F2029" s="7"/>
      <c r="G2029" s="8"/>
      <c r="H2029" s="9"/>
      <c r="I2029" s="9"/>
      <c r="M2029" s="25"/>
    </row>
    <row r="2030">
      <c r="A2030" s="10" t="s">
        <v>1749</v>
      </c>
      <c r="B2030" s="3" t="s">
        <v>1750</v>
      </c>
      <c r="C2030" s="4"/>
      <c r="D2030" s="5"/>
      <c r="E2030" s="6"/>
      <c r="F2030" s="7"/>
      <c r="G2030" s="8"/>
      <c r="H2030" s="9"/>
      <c r="I2030" s="9"/>
      <c r="M2030" s="25"/>
    </row>
    <row r="2031">
      <c r="A2031" s="10" t="s">
        <v>1749</v>
      </c>
      <c r="B2031" s="3" t="s">
        <v>1750</v>
      </c>
      <c r="C2031" s="4"/>
      <c r="D2031" s="5"/>
      <c r="E2031" s="6"/>
      <c r="F2031" s="7"/>
      <c r="G2031" s="8"/>
      <c r="H2031" s="9"/>
      <c r="I2031" s="9"/>
      <c r="M2031" s="25"/>
    </row>
    <row r="2032">
      <c r="A2032" s="10" t="s">
        <v>1749</v>
      </c>
      <c r="B2032" s="3" t="s">
        <v>1750</v>
      </c>
      <c r="C2032" s="4"/>
      <c r="D2032" s="5"/>
      <c r="E2032" s="6"/>
      <c r="F2032" s="7"/>
      <c r="G2032" s="8"/>
      <c r="H2032" s="9"/>
      <c r="I2032" s="9"/>
      <c r="M2032" s="25"/>
    </row>
    <row r="2033">
      <c r="A2033" s="10" t="s">
        <v>1749</v>
      </c>
      <c r="B2033" s="3" t="s">
        <v>1750</v>
      </c>
      <c r="C2033" s="4"/>
      <c r="D2033" s="5"/>
      <c r="E2033" s="6"/>
      <c r="F2033" s="7"/>
      <c r="G2033" s="8"/>
      <c r="H2033" s="9"/>
      <c r="I2033" s="9"/>
      <c r="M2033" s="25"/>
    </row>
    <row r="2034">
      <c r="A2034" s="10" t="s">
        <v>1749</v>
      </c>
      <c r="B2034" s="3" t="s">
        <v>1750</v>
      </c>
      <c r="C2034" s="4"/>
      <c r="D2034" s="5"/>
      <c r="E2034" s="6"/>
      <c r="F2034" s="7"/>
      <c r="G2034" s="8"/>
      <c r="H2034" s="9"/>
      <c r="I2034" s="9"/>
      <c r="M2034" s="25"/>
    </row>
    <row r="2035">
      <c r="A2035" s="10" t="s">
        <v>1749</v>
      </c>
      <c r="B2035" s="3" t="s">
        <v>1750</v>
      </c>
      <c r="C2035" s="4"/>
      <c r="D2035" s="5"/>
      <c r="E2035" s="6"/>
      <c r="F2035" s="7"/>
      <c r="G2035" s="8"/>
      <c r="H2035" s="9"/>
      <c r="I2035" s="9"/>
      <c r="M2035" s="25"/>
    </row>
    <row r="2036">
      <c r="A2036" s="10" t="s">
        <v>1749</v>
      </c>
      <c r="B2036" s="3" t="s">
        <v>1750</v>
      </c>
      <c r="C2036" s="4"/>
      <c r="D2036" s="5"/>
      <c r="E2036" s="6"/>
      <c r="F2036" s="7"/>
      <c r="G2036" s="8"/>
      <c r="H2036" s="9"/>
      <c r="I2036" s="9"/>
      <c r="M2036" s="25"/>
    </row>
    <row r="2037">
      <c r="A2037" s="10" t="s">
        <v>1749</v>
      </c>
      <c r="B2037" s="3" t="s">
        <v>1750</v>
      </c>
      <c r="C2037" s="4"/>
      <c r="D2037" s="5"/>
      <c r="E2037" s="6"/>
      <c r="F2037" s="7"/>
      <c r="G2037" s="8"/>
      <c r="H2037" s="9"/>
      <c r="I2037" s="9"/>
      <c r="M2037" s="25"/>
    </row>
    <row r="2038">
      <c r="A2038" s="10" t="s">
        <v>1749</v>
      </c>
      <c r="B2038" s="3" t="s">
        <v>1750</v>
      </c>
      <c r="C2038" s="4"/>
      <c r="D2038" s="5"/>
      <c r="E2038" s="6"/>
      <c r="F2038" s="7"/>
      <c r="G2038" s="8"/>
      <c r="H2038" s="9"/>
      <c r="I2038" s="9"/>
      <c r="M2038" s="25"/>
    </row>
    <row r="2039">
      <c r="A2039" s="10" t="s">
        <v>1749</v>
      </c>
      <c r="B2039" s="3" t="s">
        <v>1750</v>
      </c>
      <c r="C2039" s="4"/>
      <c r="D2039" s="5"/>
      <c r="E2039" s="6"/>
      <c r="F2039" s="7"/>
      <c r="G2039" s="8"/>
      <c r="H2039" s="9"/>
      <c r="I2039" s="9"/>
      <c r="M2039" s="25"/>
    </row>
    <row r="2040">
      <c r="A2040" s="10" t="s">
        <v>1749</v>
      </c>
      <c r="B2040" s="3" t="s">
        <v>1750</v>
      </c>
      <c r="C2040" s="4"/>
      <c r="D2040" s="5"/>
      <c r="E2040" s="6"/>
      <c r="F2040" s="7"/>
      <c r="G2040" s="8"/>
      <c r="H2040" s="9"/>
      <c r="I2040" s="9"/>
      <c r="M2040" s="25"/>
    </row>
    <row r="2041">
      <c r="A2041" s="10" t="s">
        <v>1765</v>
      </c>
      <c r="B2041" s="3" t="s">
        <v>1766</v>
      </c>
      <c r="C2041" s="4"/>
      <c r="D2041" s="5"/>
      <c r="E2041" s="6"/>
      <c r="F2041" s="7"/>
      <c r="G2041" s="8"/>
      <c r="H2041" s="9"/>
      <c r="I2041" s="9"/>
      <c r="M2041" s="25"/>
    </row>
    <row r="2042">
      <c r="A2042" s="10" t="s">
        <v>1765</v>
      </c>
      <c r="B2042" s="3" t="s">
        <v>1766</v>
      </c>
      <c r="C2042" s="4"/>
      <c r="D2042" s="5"/>
      <c r="E2042" s="6"/>
      <c r="F2042" s="7"/>
      <c r="G2042" s="8"/>
      <c r="H2042" s="9"/>
      <c r="I2042" s="9"/>
      <c r="M2042" s="25"/>
    </row>
    <row r="2043">
      <c r="A2043" s="10" t="s">
        <v>1765</v>
      </c>
      <c r="B2043" s="3" t="s">
        <v>1766</v>
      </c>
      <c r="C2043" s="4"/>
      <c r="D2043" s="5"/>
      <c r="E2043" s="6"/>
      <c r="F2043" s="7"/>
      <c r="G2043" s="8"/>
      <c r="H2043" s="9"/>
      <c r="I2043" s="9"/>
      <c r="M2043" s="25"/>
    </row>
    <row r="2044">
      <c r="A2044" s="10" t="s">
        <v>1765</v>
      </c>
      <c r="B2044" s="3" t="s">
        <v>1766</v>
      </c>
      <c r="C2044" s="4"/>
      <c r="D2044" s="5"/>
      <c r="E2044" s="6"/>
      <c r="F2044" s="7"/>
      <c r="G2044" s="8"/>
      <c r="H2044" s="9"/>
      <c r="I2044" s="9"/>
      <c r="M2044" s="25"/>
    </row>
    <row r="2045">
      <c r="A2045" s="10" t="s">
        <v>1765</v>
      </c>
      <c r="B2045" s="3" t="s">
        <v>1766</v>
      </c>
      <c r="C2045" s="4"/>
      <c r="D2045" s="5"/>
      <c r="E2045" s="6"/>
      <c r="F2045" s="7"/>
      <c r="G2045" s="8"/>
      <c r="H2045" s="9"/>
      <c r="I2045" s="9"/>
      <c r="M2045" s="25"/>
    </row>
    <row r="2046">
      <c r="A2046" s="10" t="s">
        <v>1765</v>
      </c>
      <c r="B2046" s="3" t="s">
        <v>1766</v>
      </c>
      <c r="C2046" s="4"/>
      <c r="D2046" s="5"/>
      <c r="E2046" s="6"/>
      <c r="F2046" s="7"/>
      <c r="G2046" s="8"/>
      <c r="H2046" s="9"/>
      <c r="I2046" s="9"/>
      <c r="M2046" s="25"/>
    </row>
    <row r="2047">
      <c r="A2047" s="10" t="s">
        <v>1765</v>
      </c>
      <c r="B2047" s="3" t="s">
        <v>1766</v>
      </c>
      <c r="C2047" s="4"/>
      <c r="D2047" s="5"/>
      <c r="E2047" s="6"/>
      <c r="F2047" s="7"/>
      <c r="G2047" s="8"/>
      <c r="H2047" s="9"/>
      <c r="I2047" s="9"/>
      <c r="M2047" s="25"/>
    </row>
    <row r="2048">
      <c r="A2048" s="10" t="s">
        <v>1765</v>
      </c>
      <c r="B2048" s="3" t="s">
        <v>1766</v>
      </c>
      <c r="C2048" s="4"/>
      <c r="D2048" s="5"/>
      <c r="E2048" s="6"/>
      <c r="F2048" s="7"/>
      <c r="G2048" s="8"/>
      <c r="H2048" s="9"/>
      <c r="I2048" s="9"/>
      <c r="M2048" s="25"/>
    </row>
    <row r="2049">
      <c r="A2049" s="10" t="s">
        <v>1765</v>
      </c>
      <c r="B2049" s="3" t="s">
        <v>1766</v>
      </c>
      <c r="C2049" s="4"/>
      <c r="D2049" s="5"/>
      <c r="E2049" s="6"/>
      <c r="F2049" s="7"/>
      <c r="G2049" s="8"/>
      <c r="H2049" s="9"/>
      <c r="I2049" s="9"/>
      <c r="M2049" s="25"/>
    </row>
    <row r="2050">
      <c r="A2050" s="10" t="s">
        <v>1765</v>
      </c>
      <c r="B2050" s="3" t="s">
        <v>1766</v>
      </c>
      <c r="C2050" s="4"/>
      <c r="D2050" s="5"/>
      <c r="E2050" s="6"/>
      <c r="F2050" s="7"/>
      <c r="G2050" s="8"/>
      <c r="H2050" s="9"/>
      <c r="I2050" s="9"/>
      <c r="M2050" s="25"/>
    </row>
    <row r="2051">
      <c r="A2051" s="10" t="s">
        <v>1765</v>
      </c>
      <c r="B2051" s="3" t="s">
        <v>1766</v>
      </c>
      <c r="C2051" s="4"/>
      <c r="D2051" s="5"/>
      <c r="E2051" s="6"/>
      <c r="F2051" s="7"/>
      <c r="G2051" s="8"/>
      <c r="H2051" s="9"/>
      <c r="I2051" s="9"/>
      <c r="M2051" s="25"/>
    </row>
    <row r="2052">
      <c r="A2052" s="10" t="s">
        <v>1765</v>
      </c>
      <c r="B2052" s="3" t="s">
        <v>1766</v>
      </c>
      <c r="C2052" s="4"/>
      <c r="D2052" s="5"/>
      <c r="E2052" s="6"/>
      <c r="F2052" s="7"/>
      <c r="G2052" s="8"/>
      <c r="H2052" s="9"/>
      <c r="I2052" s="9"/>
      <c r="M2052" s="25"/>
    </row>
    <row r="2053">
      <c r="A2053" s="10" t="s">
        <v>1765</v>
      </c>
      <c r="B2053" s="3" t="s">
        <v>1766</v>
      </c>
      <c r="C2053" s="4"/>
      <c r="D2053" s="5"/>
      <c r="E2053" s="6"/>
      <c r="F2053" s="7"/>
      <c r="G2053" s="8"/>
      <c r="H2053" s="9"/>
      <c r="I2053" s="9"/>
      <c r="M2053" s="25"/>
    </row>
    <row r="2054">
      <c r="A2054" s="10" t="s">
        <v>1765</v>
      </c>
      <c r="B2054" s="3" t="s">
        <v>1766</v>
      </c>
      <c r="C2054" s="4"/>
      <c r="D2054" s="5"/>
      <c r="E2054" s="6"/>
      <c r="F2054" s="7"/>
      <c r="G2054" s="8"/>
      <c r="H2054" s="9"/>
      <c r="I2054" s="9"/>
      <c r="M2054" s="25"/>
    </row>
    <row r="2055">
      <c r="A2055" s="10" t="s">
        <v>1765</v>
      </c>
      <c r="B2055" s="3" t="s">
        <v>1766</v>
      </c>
      <c r="C2055" s="4"/>
      <c r="D2055" s="5"/>
      <c r="E2055" s="6"/>
      <c r="F2055" s="7"/>
      <c r="G2055" s="8"/>
      <c r="H2055" s="9"/>
      <c r="I2055" s="9"/>
      <c r="M2055" s="25"/>
    </row>
    <row r="2056">
      <c r="A2056" s="10" t="s">
        <v>1765</v>
      </c>
      <c r="B2056" s="3" t="s">
        <v>1766</v>
      </c>
      <c r="C2056" s="4"/>
      <c r="D2056" s="5"/>
      <c r="E2056" s="6"/>
      <c r="F2056" s="7"/>
      <c r="G2056" s="8"/>
      <c r="H2056" s="9"/>
      <c r="I2056" s="9"/>
      <c r="M2056" s="25"/>
    </row>
    <row r="2057">
      <c r="A2057" s="10" t="s">
        <v>1765</v>
      </c>
      <c r="B2057" s="3" t="s">
        <v>1766</v>
      </c>
      <c r="C2057" s="4"/>
      <c r="D2057" s="5"/>
      <c r="E2057" s="6"/>
      <c r="F2057" s="7"/>
      <c r="G2057" s="8"/>
      <c r="H2057" s="9"/>
      <c r="I2057" s="9"/>
      <c r="M2057" s="25"/>
    </row>
    <row r="2058">
      <c r="A2058" s="10" t="s">
        <v>1765</v>
      </c>
      <c r="B2058" s="3" t="s">
        <v>1766</v>
      </c>
      <c r="C2058" s="4"/>
      <c r="D2058" s="5"/>
      <c r="E2058" s="6"/>
      <c r="F2058" s="7"/>
      <c r="G2058" s="8"/>
      <c r="H2058" s="9"/>
      <c r="I2058" s="9"/>
      <c r="M2058" s="25"/>
    </row>
    <row r="2059">
      <c r="A2059" s="10" t="s">
        <v>1765</v>
      </c>
      <c r="B2059" s="3" t="s">
        <v>1766</v>
      </c>
      <c r="C2059" s="4"/>
      <c r="D2059" s="5"/>
      <c r="E2059" s="6"/>
      <c r="F2059" s="7"/>
      <c r="G2059" s="8"/>
      <c r="H2059" s="9"/>
      <c r="I2059" s="9"/>
      <c r="M2059" s="25"/>
    </row>
    <row r="2060">
      <c r="A2060" s="10" t="s">
        <v>1765</v>
      </c>
      <c r="B2060" s="3" t="s">
        <v>1766</v>
      </c>
      <c r="C2060" s="4"/>
      <c r="D2060" s="5"/>
      <c r="E2060" s="6"/>
      <c r="F2060" s="7"/>
      <c r="G2060" s="8"/>
      <c r="H2060" s="9"/>
      <c r="I2060" s="9"/>
      <c r="M2060" s="25"/>
    </row>
    <row r="2061">
      <c r="A2061" s="10" t="s">
        <v>1775</v>
      </c>
      <c r="B2061" s="3" t="s">
        <v>1776</v>
      </c>
      <c r="C2061" s="4"/>
      <c r="D2061" s="5"/>
      <c r="E2061" s="6"/>
      <c r="F2061" s="7"/>
      <c r="G2061" s="8"/>
      <c r="H2061" s="9"/>
      <c r="I2061" s="9"/>
      <c r="M2061" s="25"/>
    </row>
    <row r="2062">
      <c r="A2062" s="11"/>
      <c r="B2062" s="12"/>
      <c r="C2062" s="13"/>
      <c r="E2062" s="6"/>
      <c r="F2062" s="7"/>
      <c r="G2062" s="14"/>
      <c r="M2062" s="25"/>
    </row>
    <row r="2063">
      <c r="A2063" s="11"/>
      <c r="B2063" s="12"/>
      <c r="C2063" s="13"/>
      <c r="E2063" s="6"/>
      <c r="F2063" s="7"/>
      <c r="G2063" s="14"/>
      <c r="M2063" s="25"/>
    </row>
  </sheetData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</cols>
  <sheetData>
    <row r="1">
      <c r="A1" s="2" t="s">
        <v>1</v>
      </c>
      <c r="B1" s="3" t="s">
        <v>2</v>
      </c>
      <c r="C1" s="4" t="s">
        <v>3</v>
      </c>
      <c r="D1" s="5" t="s">
        <v>4</v>
      </c>
      <c r="E1" s="6" t="s">
        <v>5</v>
      </c>
    </row>
    <row r="2">
      <c r="A2" s="10" t="s">
        <v>1</v>
      </c>
      <c r="B2" s="3" t="s">
        <v>2</v>
      </c>
      <c r="C2" s="4" t="s">
        <v>3</v>
      </c>
      <c r="D2" s="5" t="s">
        <v>6</v>
      </c>
      <c r="E2" s="6" t="s">
        <v>7</v>
      </c>
    </row>
    <row r="3" hidden="1">
      <c r="A3" s="10" t="s">
        <v>1</v>
      </c>
      <c r="B3" s="3" t="s">
        <v>2</v>
      </c>
      <c r="C3" s="4" t="s">
        <v>8</v>
      </c>
      <c r="D3" s="5" t="s">
        <v>9</v>
      </c>
      <c r="E3" s="6" t="s">
        <v>10</v>
      </c>
    </row>
    <row r="4" hidden="1">
      <c r="A4" s="10" t="s">
        <v>1</v>
      </c>
      <c r="B4" s="3" t="s">
        <v>2</v>
      </c>
      <c r="C4" s="4" t="s">
        <v>8</v>
      </c>
      <c r="D4" s="5" t="s">
        <v>11</v>
      </c>
      <c r="E4" s="6" t="s">
        <v>12</v>
      </c>
    </row>
    <row r="5" hidden="1">
      <c r="A5" s="10" t="s">
        <v>1</v>
      </c>
      <c r="B5" s="3" t="s">
        <v>2</v>
      </c>
      <c r="C5" s="4" t="s">
        <v>8</v>
      </c>
      <c r="D5" s="5" t="s">
        <v>13</v>
      </c>
      <c r="E5" s="6" t="s">
        <v>14</v>
      </c>
    </row>
    <row r="6" hidden="1">
      <c r="A6" s="10" t="s">
        <v>1</v>
      </c>
      <c r="B6" s="3" t="s">
        <v>2</v>
      </c>
      <c r="C6" s="4" t="s">
        <v>8</v>
      </c>
      <c r="D6" s="5" t="s">
        <v>15</v>
      </c>
      <c r="E6" s="6" t="s">
        <v>16</v>
      </c>
    </row>
    <row r="7" hidden="1">
      <c r="A7" s="10" t="s">
        <v>1</v>
      </c>
      <c r="B7" s="3" t="s">
        <v>2</v>
      </c>
      <c r="C7" s="4" t="s">
        <v>8</v>
      </c>
      <c r="D7" s="5" t="s">
        <v>17</v>
      </c>
      <c r="E7" s="6" t="s">
        <v>18</v>
      </c>
    </row>
    <row r="8" hidden="1">
      <c r="A8" s="10" t="s">
        <v>1</v>
      </c>
      <c r="B8" s="3" t="s">
        <v>2</v>
      </c>
      <c r="C8" s="4" t="s">
        <v>8</v>
      </c>
      <c r="D8" s="5" t="s">
        <v>19</v>
      </c>
      <c r="E8" s="6" t="s">
        <v>20</v>
      </c>
    </row>
    <row r="9">
      <c r="A9" s="10" t="s">
        <v>1</v>
      </c>
      <c r="B9" s="3" t="s">
        <v>2</v>
      </c>
      <c r="C9" s="4" t="s">
        <v>3</v>
      </c>
      <c r="D9" s="5" t="s">
        <v>21</v>
      </c>
      <c r="E9" s="6" t="s">
        <v>22</v>
      </c>
    </row>
    <row r="10" hidden="1">
      <c r="A10" s="10" t="s">
        <v>1</v>
      </c>
      <c r="B10" s="3" t="s">
        <v>2</v>
      </c>
      <c r="C10" s="4" t="s">
        <v>8</v>
      </c>
      <c r="D10" s="5" t="s">
        <v>23</v>
      </c>
      <c r="E10" s="6" t="s">
        <v>24</v>
      </c>
    </row>
    <row r="11" hidden="1">
      <c r="A11" s="10" t="s">
        <v>1</v>
      </c>
      <c r="B11" s="3" t="s">
        <v>2</v>
      </c>
      <c r="C11" s="4" t="s">
        <v>8</v>
      </c>
      <c r="D11" s="5" t="s">
        <v>4</v>
      </c>
      <c r="E11" s="6" t="s">
        <v>25</v>
      </c>
    </row>
    <row r="12" hidden="1">
      <c r="A12" s="10" t="s">
        <v>1</v>
      </c>
      <c r="B12" s="3" t="s">
        <v>2</v>
      </c>
      <c r="C12" s="4" t="s">
        <v>8</v>
      </c>
      <c r="D12" s="5" t="s">
        <v>19</v>
      </c>
      <c r="E12" s="6" t="s">
        <v>26</v>
      </c>
    </row>
    <row r="13" hidden="1">
      <c r="A13" s="10" t="s">
        <v>1</v>
      </c>
      <c r="B13" s="3" t="s">
        <v>2</v>
      </c>
      <c r="C13" s="4" t="s">
        <v>8</v>
      </c>
      <c r="D13" s="5" t="s">
        <v>21</v>
      </c>
      <c r="E13" s="6" t="s">
        <v>27</v>
      </c>
    </row>
    <row r="14">
      <c r="A14" s="10" t="s">
        <v>1</v>
      </c>
      <c r="B14" s="3" t="s">
        <v>2</v>
      </c>
      <c r="C14" s="4" t="s">
        <v>3</v>
      </c>
      <c r="D14" s="5" t="s">
        <v>28</v>
      </c>
      <c r="E14" s="6" t="s">
        <v>29</v>
      </c>
    </row>
    <row r="15">
      <c r="A15" s="10" t="s">
        <v>1</v>
      </c>
      <c r="B15" s="3" t="s">
        <v>2</v>
      </c>
      <c r="C15" s="4" t="s">
        <v>3</v>
      </c>
      <c r="D15" s="5" t="s">
        <v>9</v>
      </c>
      <c r="E15" s="6" t="s">
        <v>30</v>
      </c>
    </row>
    <row r="16">
      <c r="A16" s="10" t="s">
        <v>1</v>
      </c>
      <c r="B16" s="3" t="s">
        <v>2</v>
      </c>
      <c r="C16" s="4" t="s">
        <v>3</v>
      </c>
      <c r="D16" s="5" t="s">
        <v>11</v>
      </c>
      <c r="E16" s="6" t="s">
        <v>31</v>
      </c>
    </row>
    <row r="17">
      <c r="A17" s="10" t="s">
        <v>1</v>
      </c>
      <c r="B17" s="3" t="s">
        <v>2</v>
      </c>
      <c r="C17" s="4" t="s">
        <v>3</v>
      </c>
      <c r="D17" s="5" t="s">
        <v>9</v>
      </c>
      <c r="E17" s="6" t="s">
        <v>32</v>
      </c>
    </row>
    <row r="18" hidden="1">
      <c r="A18" s="10" t="s">
        <v>1</v>
      </c>
      <c r="B18" s="3" t="s">
        <v>2</v>
      </c>
      <c r="C18" s="4" t="s">
        <v>8</v>
      </c>
      <c r="D18" s="5" t="s">
        <v>19</v>
      </c>
      <c r="E18" s="6" t="s">
        <v>33</v>
      </c>
    </row>
    <row r="19">
      <c r="A19" s="10" t="s">
        <v>1</v>
      </c>
      <c r="B19" s="3" t="s">
        <v>2</v>
      </c>
      <c r="C19" s="4" t="s">
        <v>3</v>
      </c>
      <c r="D19" s="5" t="s">
        <v>11</v>
      </c>
      <c r="E19" s="6" t="s">
        <v>34</v>
      </c>
    </row>
    <row r="20">
      <c r="A20" s="10" t="s">
        <v>1</v>
      </c>
      <c r="B20" s="3" t="s">
        <v>2</v>
      </c>
      <c r="C20" s="4" t="s">
        <v>3</v>
      </c>
      <c r="D20" s="5" t="s">
        <v>35</v>
      </c>
      <c r="E20" s="6" t="s">
        <v>36</v>
      </c>
    </row>
    <row r="21" hidden="1">
      <c r="A21" s="10" t="s">
        <v>37</v>
      </c>
      <c r="B21" s="3" t="s">
        <v>38</v>
      </c>
      <c r="C21" s="4" t="s">
        <v>8</v>
      </c>
      <c r="D21" s="5" t="s">
        <v>39</v>
      </c>
      <c r="E21" s="6" t="s">
        <v>40</v>
      </c>
    </row>
    <row r="22" hidden="1">
      <c r="A22" s="10" t="s">
        <v>37</v>
      </c>
      <c r="B22" s="3" t="s">
        <v>38</v>
      </c>
      <c r="C22" s="4" t="s">
        <v>8</v>
      </c>
      <c r="D22" s="5" t="s">
        <v>9</v>
      </c>
      <c r="E22" s="6" t="s">
        <v>41</v>
      </c>
    </row>
    <row r="23" hidden="1">
      <c r="A23" s="10" t="s">
        <v>37</v>
      </c>
      <c r="B23" s="3" t="s">
        <v>38</v>
      </c>
      <c r="C23" s="4" t="s">
        <v>8</v>
      </c>
      <c r="D23" s="5" t="s">
        <v>42</v>
      </c>
      <c r="E23" s="6" t="s">
        <v>43</v>
      </c>
    </row>
    <row r="24">
      <c r="A24" s="10" t="s">
        <v>37</v>
      </c>
      <c r="B24" s="3" t="s">
        <v>38</v>
      </c>
      <c r="C24" s="4" t="s">
        <v>3</v>
      </c>
      <c r="D24" s="5" t="s">
        <v>35</v>
      </c>
      <c r="E24" s="6" t="s">
        <v>44</v>
      </c>
    </row>
    <row r="25" hidden="1">
      <c r="A25" s="10" t="s">
        <v>37</v>
      </c>
      <c r="B25" s="3" t="s">
        <v>38</v>
      </c>
      <c r="C25" s="4" t="s">
        <v>8</v>
      </c>
      <c r="D25" s="5" t="s">
        <v>45</v>
      </c>
      <c r="E25" s="6" t="s">
        <v>46</v>
      </c>
    </row>
    <row r="26" hidden="1">
      <c r="A26" s="10" t="s">
        <v>37</v>
      </c>
      <c r="B26" s="3" t="s">
        <v>38</v>
      </c>
      <c r="C26" s="4" t="s">
        <v>8</v>
      </c>
      <c r="D26" s="5" t="s">
        <v>42</v>
      </c>
      <c r="E26" s="6" t="s">
        <v>47</v>
      </c>
    </row>
    <row r="27" hidden="1">
      <c r="A27" s="10" t="s">
        <v>37</v>
      </c>
      <c r="B27" s="3" t="s">
        <v>38</v>
      </c>
      <c r="C27" s="4" t="s">
        <v>8</v>
      </c>
      <c r="D27" s="5" t="s">
        <v>23</v>
      </c>
      <c r="E27" s="6" t="s">
        <v>48</v>
      </c>
    </row>
    <row r="28">
      <c r="A28" s="10" t="s">
        <v>37</v>
      </c>
      <c r="B28" s="3" t="s">
        <v>38</v>
      </c>
      <c r="C28" s="4" t="s">
        <v>3</v>
      </c>
      <c r="D28" s="5" t="s">
        <v>6</v>
      </c>
      <c r="E28" s="6" t="s">
        <v>49</v>
      </c>
    </row>
    <row r="29">
      <c r="A29" s="10" t="s">
        <v>37</v>
      </c>
      <c r="B29" s="3" t="s">
        <v>38</v>
      </c>
      <c r="C29" s="4" t="s">
        <v>3</v>
      </c>
      <c r="D29" s="5" t="s">
        <v>35</v>
      </c>
      <c r="E29" s="6" t="s">
        <v>50</v>
      </c>
    </row>
    <row r="30">
      <c r="A30" s="10" t="s">
        <v>37</v>
      </c>
      <c r="B30" s="3" t="s">
        <v>38</v>
      </c>
      <c r="C30" s="4" t="s">
        <v>3</v>
      </c>
      <c r="D30" s="5" t="s">
        <v>51</v>
      </c>
      <c r="E30" s="6" t="s">
        <v>52</v>
      </c>
    </row>
    <row r="31">
      <c r="A31" s="10" t="s">
        <v>37</v>
      </c>
      <c r="B31" s="3" t="s">
        <v>38</v>
      </c>
      <c r="C31" s="4" t="s">
        <v>3</v>
      </c>
      <c r="D31" s="5" t="s">
        <v>45</v>
      </c>
      <c r="E31" s="6" t="s">
        <v>53</v>
      </c>
    </row>
    <row r="32">
      <c r="A32" s="10" t="s">
        <v>37</v>
      </c>
      <c r="B32" s="3" t="s">
        <v>38</v>
      </c>
      <c r="C32" s="4" t="s">
        <v>3</v>
      </c>
      <c r="D32" s="5" t="s">
        <v>51</v>
      </c>
      <c r="E32" s="6" t="s">
        <v>54</v>
      </c>
    </row>
    <row r="33">
      <c r="A33" s="10" t="s">
        <v>37</v>
      </c>
      <c r="B33" s="3" t="s">
        <v>38</v>
      </c>
      <c r="C33" s="4" t="s">
        <v>3</v>
      </c>
      <c r="D33" s="5" t="s">
        <v>11</v>
      </c>
      <c r="E33" s="6" t="s">
        <v>55</v>
      </c>
    </row>
    <row r="34" hidden="1">
      <c r="A34" s="10" t="s">
        <v>37</v>
      </c>
      <c r="B34" s="3" t="s">
        <v>38</v>
      </c>
      <c r="C34" s="4" t="s">
        <v>8</v>
      </c>
      <c r="D34" s="5" t="s">
        <v>23</v>
      </c>
      <c r="E34" s="6" t="s">
        <v>56</v>
      </c>
    </row>
    <row r="35">
      <c r="A35" s="10" t="s">
        <v>37</v>
      </c>
      <c r="B35" s="3" t="s">
        <v>38</v>
      </c>
      <c r="C35" s="4" t="s">
        <v>3</v>
      </c>
      <c r="D35" s="5" t="s">
        <v>4</v>
      </c>
      <c r="E35" s="6" t="s">
        <v>57</v>
      </c>
    </row>
    <row r="36" hidden="1">
      <c r="A36" s="10" t="s">
        <v>37</v>
      </c>
      <c r="B36" s="3" t="s">
        <v>38</v>
      </c>
      <c r="C36" s="4" t="s">
        <v>8</v>
      </c>
      <c r="D36" s="5" t="s">
        <v>15</v>
      </c>
      <c r="E36" s="6" t="s">
        <v>58</v>
      </c>
    </row>
    <row r="37" hidden="1">
      <c r="A37" s="10" t="s">
        <v>37</v>
      </c>
      <c r="B37" s="3" t="s">
        <v>38</v>
      </c>
      <c r="C37" s="4" t="s">
        <v>8</v>
      </c>
      <c r="D37" s="5" t="s">
        <v>39</v>
      </c>
      <c r="E37" s="6" t="s">
        <v>59</v>
      </c>
    </row>
    <row r="38" hidden="1">
      <c r="A38" s="10" t="s">
        <v>37</v>
      </c>
      <c r="B38" s="3" t="s">
        <v>38</v>
      </c>
      <c r="C38" s="4" t="s">
        <v>8</v>
      </c>
      <c r="D38" s="5" t="s">
        <v>45</v>
      </c>
      <c r="E38" s="6" t="s">
        <v>60</v>
      </c>
    </row>
    <row r="39" hidden="1">
      <c r="A39" s="10" t="s">
        <v>37</v>
      </c>
      <c r="B39" s="3" t="s">
        <v>38</v>
      </c>
      <c r="C39" s="4" t="s">
        <v>8</v>
      </c>
      <c r="D39" s="5" t="s">
        <v>21</v>
      </c>
      <c r="E39" s="6" t="s">
        <v>61</v>
      </c>
    </row>
    <row r="40">
      <c r="A40" s="10" t="s">
        <v>37</v>
      </c>
      <c r="B40" s="3" t="s">
        <v>38</v>
      </c>
      <c r="C40" s="4" t="s">
        <v>3</v>
      </c>
      <c r="D40" s="5" t="s">
        <v>35</v>
      </c>
      <c r="E40" s="6" t="s">
        <v>62</v>
      </c>
    </row>
    <row r="41" hidden="1">
      <c r="A41" s="10" t="s">
        <v>63</v>
      </c>
      <c r="B41" s="3" t="s">
        <v>64</v>
      </c>
      <c r="C41" s="4" t="s">
        <v>8</v>
      </c>
      <c r="D41" s="5" t="s">
        <v>17</v>
      </c>
      <c r="E41" s="6" t="s">
        <v>65</v>
      </c>
    </row>
    <row r="42">
      <c r="A42" s="10" t="s">
        <v>63</v>
      </c>
      <c r="B42" s="3" t="s">
        <v>64</v>
      </c>
      <c r="C42" s="4" t="s">
        <v>3</v>
      </c>
      <c r="D42" s="5" t="s">
        <v>13</v>
      </c>
      <c r="E42" s="6" t="s">
        <v>66</v>
      </c>
    </row>
    <row r="43">
      <c r="A43" s="10" t="s">
        <v>63</v>
      </c>
      <c r="B43" s="3" t="s">
        <v>64</v>
      </c>
      <c r="C43" s="4" t="s">
        <v>3</v>
      </c>
      <c r="D43" s="5" t="s">
        <v>23</v>
      </c>
      <c r="E43" s="6" t="s">
        <v>67</v>
      </c>
    </row>
    <row r="44" hidden="1">
      <c r="A44" s="10" t="s">
        <v>63</v>
      </c>
      <c r="B44" s="3" t="s">
        <v>64</v>
      </c>
      <c r="C44" s="4" t="s">
        <v>8</v>
      </c>
      <c r="D44" s="5" t="s">
        <v>19</v>
      </c>
      <c r="E44" s="6" t="s">
        <v>68</v>
      </c>
    </row>
    <row r="45" hidden="1">
      <c r="A45" s="10" t="s">
        <v>63</v>
      </c>
      <c r="B45" s="3" t="s">
        <v>64</v>
      </c>
      <c r="C45" s="4" t="s">
        <v>8</v>
      </c>
      <c r="D45" s="5" t="s">
        <v>23</v>
      </c>
      <c r="E45" s="6" t="s">
        <v>69</v>
      </c>
    </row>
    <row r="46" hidden="1">
      <c r="A46" s="10" t="s">
        <v>63</v>
      </c>
      <c r="B46" s="3" t="s">
        <v>64</v>
      </c>
      <c r="C46" s="4" t="s">
        <v>8</v>
      </c>
      <c r="D46" s="5" t="s">
        <v>9</v>
      </c>
      <c r="E46" s="6" t="s">
        <v>70</v>
      </c>
    </row>
    <row r="47" hidden="1">
      <c r="A47" s="10" t="s">
        <v>63</v>
      </c>
      <c r="B47" s="3" t="s">
        <v>64</v>
      </c>
      <c r="C47" s="4" t="s">
        <v>8</v>
      </c>
      <c r="D47" s="5" t="s">
        <v>71</v>
      </c>
      <c r="E47" s="6" t="s">
        <v>72</v>
      </c>
    </row>
    <row r="48" hidden="1">
      <c r="A48" s="10" t="s">
        <v>63</v>
      </c>
      <c r="B48" s="3" t="s">
        <v>64</v>
      </c>
      <c r="C48" s="4" t="s">
        <v>8</v>
      </c>
      <c r="D48" s="5" t="s">
        <v>19</v>
      </c>
      <c r="E48" s="6" t="s">
        <v>73</v>
      </c>
    </row>
    <row r="49">
      <c r="A49" s="10" t="s">
        <v>63</v>
      </c>
      <c r="B49" s="3" t="s">
        <v>64</v>
      </c>
      <c r="C49" s="4" t="s">
        <v>3</v>
      </c>
      <c r="D49" s="5" t="s">
        <v>23</v>
      </c>
      <c r="E49" s="6" t="s">
        <v>74</v>
      </c>
    </row>
    <row r="50">
      <c r="A50" s="10" t="s">
        <v>63</v>
      </c>
      <c r="B50" s="3" t="s">
        <v>64</v>
      </c>
      <c r="C50" s="4" t="s">
        <v>3</v>
      </c>
      <c r="D50" s="5" t="s">
        <v>4</v>
      </c>
      <c r="E50" s="6" t="s">
        <v>75</v>
      </c>
    </row>
    <row r="51" hidden="1">
      <c r="A51" s="10" t="s">
        <v>63</v>
      </c>
      <c r="B51" s="3" t="s">
        <v>64</v>
      </c>
      <c r="C51" s="4" t="s">
        <v>8</v>
      </c>
      <c r="D51" s="5" t="s">
        <v>76</v>
      </c>
      <c r="E51" s="6" t="s">
        <v>77</v>
      </c>
    </row>
    <row r="52" hidden="1">
      <c r="A52" s="10" t="s">
        <v>63</v>
      </c>
      <c r="B52" s="3" t="s">
        <v>64</v>
      </c>
      <c r="C52" s="4" t="s">
        <v>8</v>
      </c>
      <c r="D52" s="5" t="s">
        <v>11</v>
      </c>
      <c r="E52" s="6" t="s">
        <v>78</v>
      </c>
    </row>
    <row r="53">
      <c r="A53" s="10" t="s">
        <v>63</v>
      </c>
      <c r="B53" s="3" t="s">
        <v>64</v>
      </c>
      <c r="C53" s="4" t="s">
        <v>3</v>
      </c>
      <c r="D53" s="5" t="s">
        <v>4</v>
      </c>
      <c r="E53" s="6" t="s">
        <v>79</v>
      </c>
    </row>
    <row r="54">
      <c r="A54" s="10" t="s">
        <v>63</v>
      </c>
      <c r="B54" s="3" t="s">
        <v>64</v>
      </c>
      <c r="C54" s="4" t="s">
        <v>3</v>
      </c>
      <c r="D54" s="5" t="s">
        <v>35</v>
      </c>
      <c r="E54" s="6" t="s">
        <v>80</v>
      </c>
    </row>
    <row r="55" hidden="1">
      <c r="A55" s="10" t="s">
        <v>63</v>
      </c>
      <c r="B55" s="3" t="s">
        <v>64</v>
      </c>
      <c r="C55" s="4" t="s">
        <v>8</v>
      </c>
      <c r="D55" s="5" t="s">
        <v>11</v>
      </c>
      <c r="E55" s="6" t="s">
        <v>81</v>
      </c>
    </row>
    <row r="56">
      <c r="A56" s="10" t="s">
        <v>63</v>
      </c>
      <c r="B56" s="3" t="s">
        <v>64</v>
      </c>
      <c r="C56" s="4" t="s">
        <v>3</v>
      </c>
      <c r="D56" s="5" t="s">
        <v>23</v>
      </c>
      <c r="E56" s="6" t="s">
        <v>82</v>
      </c>
    </row>
    <row r="57">
      <c r="A57" s="10" t="s">
        <v>63</v>
      </c>
      <c r="B57" s="3" t="s">
        <v>64</v>
      </c>
      <c r="C57" s="4" t="s">
        <v>3</v>
      </c>
      <c r="D57" s="5" t="s">
        <v>35</v>
      </c>
      <c r="E57" s="6" t="s">
        <v>83</v>
      </c>
    </row>
    <row r="58">
      <c r="A58" s="10" t="s">
        <v>63</v>
      </c>
      <c r="B58" s="3" t="s">
        <v>64</v>
      </c>
      <c r="C58" s="4" t="s">
        <v>3</v>
      </c>
      <c r="D58" s="5" t="s">
        <v>39</v>
      </c>
      <c r="E58" s="6" t="s">
        <v>84</v>
      </c>
    </row>
    <row r="59">
      <c r="A59" s="10" t="s">
        <v>63</v>
      </c>
      <c r="B59" s="3" t="s">
        <v>64</v>
      </c>
      <c r="C59" s="4" t="s">
        <v>3</v>
      </c>
      <c r="D59" s="5" t="s">
        <v>71</v>
      </c>
      <c r="E59" s="6" t="s">
        <v>85</v>
      </c>
    </row>
    <row r="60" hidden="1">
      <c r="A60" s="10" t="s">
        <v>63</v>
      </c>
      <c r="B60" s="3" t="s">
        <v>64</v>
      </c>
      <c r="C60" s="4" t="s">
        <v>8</v>
      </c>
      <c r="D60" s="5" t="s">
        <v>9</v>
      </c>
      <c r="E60" s="6" t="s">
        <v>86</v>
      </c>
    </row>
    <row r="61" hidden="1">
      <c r="A61" s="10" t="s">
        <v>87</v>
      </c>
      <c r="B61" s="3" t="s">
        <v>88</v>
      </c>
      <c r="C61" s="4" t="s">
        <v>8</v>
      </c>
      <c r="D61" s="5" t="s">
        <v>39</v>
      </c>
      <c r="E61" s="6" t="s">
        <v>89</v>
      </c>
    </row>
    <row r="62" hidden="1">
      <c r="A62" s="10" t="s">
        <v>87</v>
      </c>
      <c r="B62" s="3" t="s">
        <v>88</v>
      </c>
      <c r="C62" s="4" t="s">
        <v>8</v>
      </c>
      <c r="D62" s="5" t="s">
        <v>35</v>
      </c>
      <c r="E62" s="6" t="s">
        <v>90</v>
      </c>
    </row>
    <row r="63" hidden="1">
      <c r="A63" s="10" t="s">
        <v>87</v>
      </c>
      <c r="B63" s="3" t="s">
        <v>88</v>
      </c>
      <c r="C63" s="4" t="s">
        <v>8</v>
      </c>
      <c r="D63" s="5" t="s">
        <v>19</v>
      </c>
      <c r="E63" s="6" t="s">
        <v>91</v>
      </c>
    </row>
    <row r="64" hidden="1">
      <c r="A64" s="10" t="s">
        <v>87</v>
      </c>
      <c r="B64" s="3" t="s">
        <v>88</v>
      </c>
      <c r="C64" s="4" t="s">
        <v>8</v>
      </c>
      <c r="D64" s="5" t="s">
        <v>4</v>
      </c>
      <c r="E64" s="6" t="s">
        <v>92</v>
      </c>
    </row>
    <row r="65">
      <c r="A65" s="10" t="s">
        <v>87</v>
      </c>
      <c r="B65" s="3" t="s">
        <v>88</v>
      </c>
      <c r="C65" s="4" t="s">
        <v>3</v>
      </c>
      <c r="D65" s="5" t="s">
        <v>19</v>
      </c>
      <c r="E65" s="6" t="s">
        <v>93</v>
      </c>
    </row>
    <row r="66">
      <c r="A66" s="10" t="s">
        <v>87</v>
      </c>
      <c r="B66" s="3" t="s">
        <v>88</v>
      </c>
      <c r="C66" s="4" t="s">
        <v>3</v>
      </c>
      <c r="D66" s="5" t="s">
        <v>51</v>
      </c>
      <c r="E66" s="6" t="s">
        <v>94</v>
      </c>
    </row>
    <row r="67" hidden="1">
      <c r="A67" s="10" t="s">
        <v>87</v>
      </c>
      <c r="B67" s="3" t="s">
        <v>88</v>
      </c>
      <c r="C67" s="4" t="s">
        <v>8</v>
      </c>
      <c r="D67" s="5" t="s">
        <v>35</v>
      </c>
      <c r="E67" s="6" t="s">
        <v>95</v>
      </c>
    </row>
    <row r="68">
      <c r="A68" s="10" t="s">
        <v>87</v>
      </c>
      <c r="B68" s="3" t="s">
        <v>88</v>
      </c>
      <c r="C68" s="4" t="s">
        <v>3</v>
      </c>
      <c r="D68" s="5" t="s">
        <v>96</v>
      </c>
      <c r="E68" s="6" t="s">
        <v>97</v>
      </c>
    </row>
    <row r="69" hidden="1">
      <c r="A69" s="10" t="s">
        <v>87</v>
      </c>
      <c r="B69" s="3" t="s">
        <v>88</v>
      </c>
      <c r="C69" s="4" t="s">
        <v>8</v>
      </c>
      <c r="D69" s="5" t="s">
        <v>76</v>
      </c>
      <c r="E69" s="6" t="s">
        <v>98</v>
      </c>
    </row>
    <row r="70">
      <c r="A70" s="10" t="s">
        <v>87</v>
      </c>
      <c r="B70" s="3" t="s">
        <v>88</v>
      </c>
      <c r="C70" s="4" t="s">
        <v>3</v>
      </c>
      <c r="D70" s="5" t="s">
        <v>23</v>
      </c>
      <c r="E70" s="6" t="s">
        <v>99</v>
      </c>
    </row>
    <row r="71" hidden="1">
      <c r="A71" s="10" t="s">
        <v>87</v>
      </c>
      <c r="B71" s="3" t="s">
        <v>88</v>
      </c>
      <c r="C71" s="4" t="s">
        <v>8</v>
      </c>
      <c r="D71" s="5" t="s">
        <v>71</v>
      </c>
      <c r="E71" s="6" t="s">
        <v>100</v>
      </c>
    </row>
    <row r="72">
      <c r="A72" s="10" t="s">
        <v>87</v>
      </c>
      <c r="B72" s="3" t="s">
        <v>88</v>
      </c>
      <c r="C72" s="4" t="s">
        <v>3</v>
      </c>
      <c r="D72" s="5" t="s">
        <v>76</v>
      </c>
      <c r="E72" s="6" t="s">
        <v>101</v>
      </c>
    </row>
    <row r="73" hidden="1">
      <c r="A73" s="10" t="s">
        <v>87</v>
      </c>
      <c r="B73" s="3" t="s">
        <v>88</v>
      </c>
      <c r="C73" s="4" t="s">
        <v>8</v>
      </c>
      <c r="D73" s="5" t="s">
        <v>11</v>
      </c>
      <c r="E73" s="6" t="s">
        <v>102</v>
      </c>
    </row>
    <row r="74">
      <c r="A74" s="10" t="s">
        <v>87</v>
      </c>
      <c r="B74" s="3" t="s">
        <v>88</v>
      </c>
      <c r="C74" s="4" t="s">
        <v>3</v>
      </c>
      <c r="D74" s="5" t="s">
        <v>51</v>
      </c>
      <c r="E74" s="6" t="s">
        <v>103</v>
      </c>
    </row>
    <row r="75">
      <c r="A75" s="10" t="s">
        <v>87</v>
      </c>
      <c r="B75" s="3" t="s">
        <v>88</v>
      </c>
      <c r="C75" s="4" t="s">
        <v>3</v>
      </c>
      <c r="D75" s="5" t="s">
        <v>17</v>
      </c>
      <c r="E75" s="6" t="s">
        <v>104</v>
      </c>
    </row>
    <row r="76" hidden="1">
      <c r="A76" s="10" t="s">
        <v>87</v>
      </c>
      <c r="B76" s="3" t="s">
        <v>88</v>
      </c>
      <c r="C76" s="4" t="s">
        <v>8</v>
      </c>
      <c r="D76" s="5" t="s">
        <v>42</v>
      </c>
      <c r="E76" s="6" t="s">
        <v>105</v>
      </c>
    </row>
    <row r="77">
      <c r="A77" s="10" t="s">
        <v>87</v>
      </c>
      <c r="B77" s="3" t="s">
        <v>88</v>
      </c>
      <c r="C77" s="4" t="s">
        <v>3</v>
      </c>
      <c r="D77" s="5" t="s">
        <v>15</v>
      </c>
      <c r="E77" s="6" t="s">
        <v>106</v>
      </c>
    </row>
    <row r="78" hidden="1">
      <c r="A78" s="10" t="s">
        <v>87</v>
      </c>
      <c r="B78" s="3" t="s">
        <v>88</v>
      </c>
      <c r="C78" s="4" t="s">
        <v>8</v>
      </c>
      <c r="D78" s="5" t="s">
        <v>9</v>
      </c>
      <c r="E78" s="6" t="s">
        <v>107</v>
      </c>
    </row>
    <row r="79">
      <c r="A79" s="10" t="s">
        <v>87</v>
      </c>
      <c r="B79" s="3" t="s">
        <v>88</v>
      </c>
      <c r="C79" s="4" t="s">
        <v>3</v>
      </c>
      <c r="D79" s="5" t="s">
        <v>21</v>
      </c>
      <c r="E79" s="6" t="s">
        <v>108</v>
      </c>
    </row>
    <row r="80">
      <c r="A80" s="10" t="s">
        <v>87</v>
      </c>
      <c r="B80" s="3" t="s">
        <v>88</v>
      </c>
      <c r="C80" s="4" t="s">
        <v>3</v>
      </c>
      <c r="D80" s="5" t="s">
        <v>71</v>
      </c>
      <c r="E80" s="6" t="s">
        <v>109</v>
      </c>
    </row>
    <row r="81" hidden="1">
      <c r="A81" s="10" t="s">
        <v>110</v>
      </c>
      <c r="B81" s="3" t="s">
        <v>111</v>
      </c>
      <c r="C81" s="4" t="s">
        <v>8</v>
      </c>
      <c r="D81" s="5" t="s">
        <v>45</v>
      </c>
      <c r="E81" s="6" t="s">
        <v>112</v>
      </c>
    </row>
    <row r="82" hidden="1">
      <c r="A82" s="10" t="s">
        <v>110</v>
      </c>
      <c r="B82" s="3" t="s">
        <v>111</v>
      </c>
      <c r="C82" s="4" t="s">
        <v>8</v>
      </c>
      <c r="D82" s="5" t="s">
        <v>9</v>
      </c>
      <c r="E82" s="6" t="s">
        <v>113</v>
      </c>
    </row>
    <row r="83" hidden="1">
      <c r="A83" s="10" t="s">
        <v>110</v>
      </c>
      <c r="B83" s="3" t="s">
        <v>111</v>
      </c>
      <c r="C83" s="4" t="s">
        <v>8</v>
      </c>
      <c r="D83" s="5" t="s">
        <v>51</v>
      </c>
      <c r="E83" s="6" t="s">
        <v>114</v>
      </c>
    </row>
    <row r="84">
      <c r="A84" s="10" t="s">
        <v>110</v>
      </c>
      <c r="B84" s="3" t="s">
        <v>111</v>
      </c>
      <c r="C84" s="4" t="s">
        <v>3</v>
      </c>
      <c r="D84" s="5" t="s">
        <v>11</v>
      </c>
      <c r="E84" s="6" t="s">
        <v>115</v>
      </c>
    </row>
    <row r="85" hidden="1">
      <c r="A85" s="10" t="s">
        <v>110</v>
      </c>
      <c r="B85" s="3" t="s">
        <v>111</v>
      </c>
      <c r="C85" s="4" t="s">
        <v>8</v>
      </c>
      <c r="D85" s="5" t="s">
        <v>23</v>
      </c>
      <c r="E85" s="6" t="s">
        <v>116</v>
      </c>
    </row>
    <row r="86" hidden="1">
      <c r="A86" s="10" t="s">
        <v>110</v>
      </c>
      <c r="B86" s="3" t="s">
        <v>111</v>
      </c>
      <c r="C86" s="4" t="s">
        <v>8</v>
      </c>
      <c r="D86" s="5" t="s">
        <v>9</v>
      </c>
      <c r="E86" s="6" t="s">
        <v>117</v>
      </c>
    </row>
    <row r="87" hidden="1">
      <c r="A87" s="10" t="s">
        <v>110</v>
      </c>
      <c r="B87" s="3" t="s">
        <v>111</v>
      </c>
      <c r="C87" s="4" t="s">
        <v>8</v>
      </c>
      <c r="D87" s="5" t="s">
        <v>39</v>
      </c>
      <c r="E87" s="6" t="s">
        <v>118</v>
      </c>
    </row>
    <row r="88" hidden="1">
      <c r="A88" s="10" t="s">
        <v>110</v>
      </c>
      <c r="B88" s="3" t="s">
        <v>111</v>
      </c>
      <c r="C88" s="4" t="s">
        <v>8</v>
      </c>
      <c r="D88" s="5" t="s">
        <v>39</v>
      </c>
      <c r="E88" s="6" t="s">
        <v>119</v>
      </c>
    </row>
    <row r="89">
      <c r="A89" s="10" t="s">
        <v>110</v>
      </c>
      <c r="B89" s="3" t="s">
        <v>111</v>
      </c>
      <c r="C89" s="4" t="s">
        <v>3</v>
      </c>
      <c r="D89" s="5" t="s">
        <v>120</v>
      </c>
      <c r="E89" s="6" t="s">
        <v>121</v>
      </c>
    </row>
    <row r="90" hidden="1">
      <c r="A90" s="10" t="s">
        <v>110</v>
      </c>
      <c r="B90" s="3" t="s">
        <v>111</v>
      </c>
      <c r="C90" s="4" t="s">
        <v>8</v>
      </c>
      <c r="D90" s="5" t="s">
        <v>13</v>
      </c>
      <c r="E90" s="6" t="s">
        <v>122</v>
      </c>
    </row>
    <row r="91" hidden="1">
      <c r="A91" s="10" t="s">
        <v>110</v>
      </c>
      <c r="B91" s="3" t="s">
        <v>111</v>
      </c>
      <c r="C91" s="4" t="s">
        <v>8</v>
      </c>
      <c r="D91" s="5" t="s">
        <v>71</v>
      </c>
      <c r="E91" s="6" t="s">
        <v>123</v>
      </c>
    </row>
    <row r="92">
      <c r="A92" s="10" t="s">
        <v>110</v>
      </c>
      <c r="B92" s="3" t="s">
        <v>111</v>
      </c>
      <c r="C92" s="4" t="s">
        <v>3</v>
      </c>
      <c r="D92" s="5" t="s">
        <v>13</v>
      </c>
      <c r="E92" s="6" t="s">
        <v>124</v>
      </c>
    </row>
    <row r="93">
      <c r="A93" s="10" t="s">
        <v>110</v>
      </c>
      <c r="B93" s="3" t="s">
        <v>111</v>
      </c>
      <c r="C93" s="4" t="s">
        <v>3</v>
      </c>
      <c r="D93" s="5" t="s">
        <v>96</v>
      </c>
      <c r="E93" s="6" t="s">
        <v>125</v>
      </c>
    </row>
    <row r="94">
      <c r="A94" s="10" t="s">
        <v>110</v>
      </c>
      <c r="B94" s="3" t="s">
        <v>111</v>
      </c>
      <c r="C94" s="4" t="s">
        <v>3</v>
      </c>
      <c r="D94" s="5" t="s">
        <v>6</v>
      </c>
      <c r="E94" s="6" t="s">
        <v>126</v>
      </c>
    </row>
    <row r="95" hidden="1">
      <c r="A95" s="10" t="s">
        <v>110</v>
      </c>
      <c r="B95" s="3" t="s">
        <v>111</v>
      </c>
      <c r="C95" s="4" t="s">
        <v>8</v>
      </c>
      <c r="D95" s="5" t="s">
        <v>76</v>
      </c>
      <c r="E95" s="6" t="s">
        <v>127</v>
      </c>
    </row>
    <row r="96">
      <c r="A96" s="10" t="s">
        <v>110</v>
      </c>
      <c r="B96" s="3" t="s">
        <v>111</v>
      </c>
      <c r="C96" s="4" t="s">
        <v>3</v>
      </c>
      <c r="D96" s="5" t="s">
        <v>28</v>
      </c>
      <c r="E96" s="6" t="s">
        <v>128</v>
      </c>
    </row>
    <row r="97">
      <c r="A97" s="10" t="s">
        <v>110</v>
      </c>
      <c r="B97" s="3" t="s">
        <v>111</v>
      </c>
      <c r="C97" s="4" t="s">
        <v>3</v>
      </c>
      <c r="D97" s="5" t="s">
        <v>11</v>
      </c>
      <c r="E97" s="6" t="s">
        <v>129</v>
      </c>
    </row>
    <row r="98" hidden="1">
      <c r="A98" s="10" t="s">
        <v>110</v>
      </c>
      <c r="B98" s="3" t="s">
        <v>111</v>
      </c>
      <c r="C98" s="4" t="s">
        <v>8</v>
      </c>
      <c r="D98" s="5" t="s">
        <v>96</v>
      </c>
      <c r="E98" s="6" t="s">
        <v>130</v>
      </c>
    </row>
    <row r="99">
      <c r="A99" s="10" t="s">
        <v>110</v>
      </c>
      <c r="B99" s="3" t="s">
        <v>111</v>
      </c>
      <c r="C99" s="4" t="s">
        <v>3</v>
      </c>
      <c r="D99" s="5" t="s">
        <v>21</v>
      </c>
      <c r="E99" s="6" t="s">
        <v>131</v>
      </c>
    </row>
    <row r="100" hidden="1">
      <c r="A100" s="10" t="s">
        <v>110</v>
      </c>
      <c r="B100" s="3" t="s">
        <v>111</v>
      </c>
      <c r="C100" s="4" t="s">
        <v>8</v>
      </c>
      <c r="D100" s="5" t="s">
        <v>42</v>
      </c>
      <c r="E100" s="6" t="s">
        <v>132</v>
      </c>
    </row>
    <row r="101">
      <c r="A101" s="10" t="s">
        <v>133</v>
      </c>
      <c r="B101" s="3" t="s">
        <v>134</v>
      </c>
      <c r="C101" s="4" t="s">
        <v>3</v>
      </c>
      <c r="D101" s="5" t="s">
        <v>96</v>
      </c>
      <c r="E101" s="6" t="s">
        <v>135</v>
      </c>
    </row>
    <row r="102">
      <c r="A102" s="10" t="s">
        <v>133</v>
      </c>
      <c r="B102" s="3" t="s">
        <v>134</v>
      </c>
      <c r="C102" s="4" t="s">
        <v>3</v>
      </c>
      <c r="D102" s="5" t="s">
        <v>13</v>
      </c>
      <c r="E102" s="6" t="s">
        <v>136</v>
      </c>
    </row>
    <row r="103">
      <c r="A103" s="10" t="s">
        <v>133</v>
      </c>
      <c r="B103" s="3" t="s">
        <v>134</v>
      </c>
      <c r="C103" s="4" t="s">
        <v>3</v>
      </c>
      <c r="D103" s="5" t="s">
        <v>11</v>
      </c>
      <c r="E103" s="6" t="s">
        <v>137</v>
      </c>
    </row>
    <row r="104" hidden="1">
      <c r="A104" s="10" t="s">
        <v>133</v>
      </c>
      <c r="B104" s="3" t="s">
        <v>134</v>
      </c>
      <c r="C104" s="4" t="s">
        <v>8</v>
      </c>
      <c r="D104" s="5" t="s">
        <v>35</v>
      </c>
      <c r="E104" s="6" t="s">
        <v>138</v>
      </c>
    </row>
    <row r="105">
      <c r="A105" s="10" t="s">
        <v>133</v>
      </c>
      <c r="B105" s="3" t="s">
        <v>134</v>
      </c>
      <c r="C105" s="4" t="s">
        <v>3</v>
      </c>
      <c r="D105" s="5" t="s">
        <v>23</v>
      </c>
      <c r="E105" s="6" t="s">
        <v>139</v>
      </c>
    </row>
    <row r="106">
      <c r="A106" s="10" t="s">
        <v>133</v>
      </c>
      <c r="B106" s="3" t="s">
        <v>134</v>
      </c>
      <c r="C106" s="4" t="s">
        <v>3</v>
      </c>
      <c r="D106" s="5" t="s">
        <v>120</v>
      </c>
      <c r="E106" s="6" t="s">
        <v>140</v>
      </c>
    </row>
    <row r="107" hidden="1">
      <c r="A107" s="10" t="s">
        <v>133</v>
      </c>
      <c r="B107" s="3" t="s">
        <v>134</v>
      </c>
      <c r="C107" s="4" t="s">
        <v>8</v>
      </c>
      <c r="D107" s="5" t="s">
        <v>23</v>
      </c>
      <c r="E107" s="6" t="s">
        <v>141</v>
      </c>
    </row>
    <row r="108" hidden="1">
      <c r="A108" s="10" t="s">
        <v>133</v>
      </c>
      <c r="B108" s="3" t="s">
        <v>134</v>
      </c>
      <c r="C108" s="4" t="s">
        <v>8</v>
      </c>
      <c r="D108" s="5" t="s">
        <v>45</v>
      </c>
      <c r="E108" s="6" t="s">
        <v>142</v>
      </c>
    </row>
    <row r="109" hidden="1">
      <c r="A109" s="10" t="s">
        <v>133</v>
      </c>
      <c r="B109" s="3" t="s">
        <v>134</v>
      </c>
      <c r="C109" s="4" t="s">
        <v>8</v>
      </c>
      <c r="D109" s="5" t="s">
        <v>120</v>
      </c>
      <c r="E109" s="6" t="s">
        <v>143</v>
      </c>
    </row>
    <row r="110">
      <c r="A110" s="10" t="s">
        <v>133</v>
      </c>
      <c r="B110" s="3" t="s">
        <v>134</v>
      </c>
      <c r="C110" s="4" t="s">
        <v>3</v>
      </c>
      <c r="D110" s="5" t="s">
        <v>71</v>
      </c>
      <c r="E110" s="6" t="s">
        <v>144</v>
      </c>
    </row>
    <row r="111" hidden="1">
      <c r="A111" s="10" t="s">
        <v>133</v>
      </c>
      <c r="B111" s="3" t="s">
        <v>134</v>
      </c>
      <c r="C111" s="4" t="s">
        <v>8</v>
      </c>
      <c r="D111" s="5" t="s">
        <v>39</v>
      </c>
      <c r="E111" s="6" t="s">
        <v>145</v>
      </c>
    </row>
    <row r="112" hidden="1">
      <c r="A112" s="10" t="s">
        <v>133</v>
      </c>
      <c r="B112" s="3" t="s">
        <v>134</v>
      </c>
      <c r="C112" s="4" t="s">
        <v>8</v>
      </c>
      <c r="D112" s="5" t="s">
        <v>35</v>
      </c>
      <c r="E112" s="6" t="s">
        <v>146</v>
      </c>
    </row>
    <row r="113" hidden="1">
      <c r="A113" s="10" t="s">
        <v>133</v>
      </c>
      <c r="B113" s="3" t="s">
        <v>134</v>
      </c>
      <c r="C113" s="4" t="s">
        <v>8</v>
      </c>
      <c r="D113" s="5" t="s">
        <v>6</v>
      </c>
      <c r="E113" s="6" t="s">
        <v>147</v>
      </c>
    </row>
    <row r="114" hidden="1">
      <c r="A114" s="10" t="s">
        <v>133</v>
      </c>
      <c r="B114" s="3" t="s">
        <v>134</v>
      </c>
      <c r="C114" s="4" t="s">
        <v>8</v>
      </c>
      <c r="D114" s="5" t="s">
        <v>120</v>
      </c>
      <c r="E114" s="6" t="s">
        <v>148</v>
      </c>
    </row>
    <row r="115" hidden="1">
      <c r="A115" s="10" t="s">
        <v>133</v>
      </c>
      <c r="B115" s="3" t="s">
        <v>134</v>
      </c>
      <c r="C115" s="4" t="s">
        <v>8</v>
      </c>
      <c r="D115" s="5" t="s">
        <v>13</v>
      </c>
      <c r="E115" s="6" t="s">
        <v>149</v>
      </c>
    </row>
    <row r="116" hidden="1">
      <c r="A116" s="10" t="s">
        <v>133</v>
      </c>
      <c r="B116" s="3" t="s">
        <v>134</v>
      </c>
      <c r="C116" s="4" t="s">
        <v>8</v>
      </c>
      <c r="D116" s="5" t="s">
        <v>96</v>
      </c>
      <c r="E116" s="6" t="s">
        <v>150</v>
      </c>
    </row>
    <row r="117" hidden="1">
      <c r="A117" s="10" t="s">
        <v>133</v>
      </c>
      <c r="B117" s="3" t="s">
        <v>134</v>
      </c>
      <c r="C117" s="4" t="s">
        <v>8</v>
      </c>
      <c r="D117" s="5" t="s">
        <v>39</v>
      </c>
      <c r="E117" s="6" t="s">
        <v>151</v>
      </c>
    </row>
    <row r="118">
      <c r="A118" s="10" t="s">
        <v>133</v>
      </c>
      <c r="B118" s="3" t="s">
        <v>134</v>
      </c>
      <c r="C118" s="4" t="s">
        <v>3</v>
      </c>
      <c r="D118" s="5" t="s">
        <v>42</v>
      </c>
      <c r="E118" s="6" t="s">
        <v>152</v>
      </c>
    </row>
    <row r="119">
      <c r="A119" s="10" t="s">
        <v>133</v>
      </c>
      <c r="B119" s="3" t="s">
        <v>134</v>
      </c>
      <c r="C119" s="4" t="s">
        <v>3</v>
      </c>
      <c r="D119" s="5" t="s">
        <v>39</v>
      </c>
      <c r="E119" s="6" t="s">
        <v>153</v>
      </c>
    </row>
    <row r="120">
      <c r="A120" s="10" t="s">
        <v>133</v>
      </c>
      <c r="B120" s="3" t="s">
        <v>134</v>
      </c>
      <c r="C120" s="4" t="s">
        <v>3</v>
      </c>
      <c r="D120" s="5" t="s">
        <v>76</v>
      </c>
      <c r="E120" s="6" t="s">
        <v>154</v>
      </c>
    </row>
    <row r="121">
      <c r="A121" s="10" t="s">
        <v>155</v>
      </c>
      <c r="B121" s="3" t="s">
        <v>156</v>
      </c>
      <c r="C121" s="4" t="s">
        <v>3</v>
      </c>
      <c r="D121" s="5" t="s">
        <v>23</v>
      </c>
      <c r="E121" s="6" t="s">
        <v>157</v>
      </c>
    </row>
    <row r="122" hidden="1">
      <c r="A122" s="10" t="s">
        <v>155</v>
      </c>
      <c r="B122" s="3" t="s">
        <v>156</v>
      </c>
      <c r="C122" s="4" t="s">
        <v>8</v>
      </c>
      <c r="D122" s="5" t="s">
        <v>76</v>
      </c>
      <c r="E122" s="6" t="s">
        <v>158</v>
      </c>
    </row>
    <row r="123" hidden="1">
      <c r="A123" s="10" t="s">
        <v>155</v>
      </c>
      <c r="B123" s="3" t="s">
        <v>156</v>
      </c>
      <c r="C123" s="4" t="s">
        <v>8</v>
      </c>
      <c r="D123" s="5" t="s">
        <v>39</v>
      </c>
      <c r="E123" s="6" t="s">
        <v>159</v>
      </c>
    </row>
    <row r="124">
      <c r="A124" s="10" t="s">
        <v>155</v>
      </c>
      <c r="B124" s="3" t="s">
        <v>156</v>
      </c>
      <c r="C124" s="4" t="s">
        <v>3</v>
      </c>
      <c r="D124" s="5" t="s">
        <v>96</v>
      </c>
      <c r="E124" s="6" t="s">
        <v>160</v>
      </c>
    </row>
    <row r="125" hidden="1">
      <c r="A125" s="10" t="s">
        <v>155</v>
      </c>
      <c r="B125" s="3" t="s">
        <v>156</v>
      </c>
      <c r="C125" s="4" t="s">
        <v>8</v>
      </c>
      <c r="D125" s="5" t="s">
        <v>19</v>
      </c>
      <c r="E125" s="6" t="s">
        <v>161</v>
      </c>
    </row>
    <row r="126" hidden="1">
      <c r="A126" s="10" t="s">
        <v>155</v>
      </c>
      <c r="B126" s="3" t="s">
        <v>156</v>
      </c>
      <c r="C126" s="4" t="s">
        <v>8</v>
      </c>
      <c r="D126" s="5" t="s">
        <v>51</v>
      </c>
      <c r="E126" s="6" t="s">
        <v>162</v>
      </c>
    </row>
    <row r="127" hidden="1">
      <c r="A127" s="10" t="s">
        <v>155</v>
      </c>
      <c r="B127" s="3" t="s">
        <v>156</v>
      </c>
      <c r="C127" s="4" t="s">
        <v>8</v>
      </c>
      <c r="D127" s="5" t="s">
        <v>45</v>
      </c>
      <c r="E127" s="6" t="s">
        <v>163</v>
      </c>
    </row>
    <row r="128" hidden="1">
      <c r="A128" s="10" t="s">
        <v>155</v>
      </c>
      <c r="B128" s="3" t="s">
        <v>156</v>
      </c>
      <c r="C128" s="4" t="s">
        <v>8</v>
      </c>
      <c r="D128" s="5" t="s">
        <v>23</v>
      </c>
      <c r="E128" s="6" t="s">
        <v>164</v>
      </c>
    </row>
    <row r="129">
      <c r="A129" s="10" t="s">
        <v>155</v>
      </c>
      <c r="B129" s="3" t="s">
        <v>156</v>
      </c>
      <c r="C129" s="4" t="s">
        <v>3</v>
      </c>
      <c r="D129" s="5" t="s">
        <v>71</v>
      </c>
      <c r="E129" s="6" t="s">
        <v>165</v>
      </c>
    </row>
    <row r="130" hidden="1">
      <c r="A130" s="10" t="s">
        <v>155</v>
      </c>
      <c r="B130" s="3" t="s">
        <v>156</v>
      </c>
      <c r="C130" s="4" t="s">
        <v>8</v>
      </c>
      <c r="D130" s="5" t="s">
        <v>23</v>
      </c>
      <c r="E130" s="6" t="s">
        <v>166</v>
      </c>
    </row>
    <row r="131" hidden="1">
      <c r="A131" s="10" t="s">
        <v>155</v>
      </c>
      <c r="B131" s="3" t="s">
        <v>156</v>
      </c>
      <c r="C131" s="4" t="s">
        <v>8</v>
      </c>
      <c r="D131" s="5" t="s">
        <v>13</v>
      </c>
      <c r="E131" s="6" t="s">
        <v>167</v>
      </c>
    </row>
    <row r="132" hidden="1">
      <c r="A132" s="10" t="s">
        <v>155</v>
      </c>
      <c r="B132" s="3" t="s">
        <v>156</v>
      </c>
      <c r="C132" s="4" t="s">
        <v>8</v>
      </c>
      <c r="D132" s="5" t="s">
        <v>4</v>
      </c>
      <c r="E132" s="6" t="s">
        <v>168</v>
      </c>
    </row>
    <row r="133">
      <c r="A133" s="10" t="s">
        <v>155</v>
      </c>
      <c r="B133" s="3" t="s">
        <v>156</v>
      </c>
      <c r="C133" s="4" t="s">
        <v>3</v>
      </c>
      <c r="D133" s="5" t="s">
        <v>76</v>
      </c>
      <c r="E133" s="6" t="s">
        <v>169</v>
      </c>
    </row>
    <row r="134">
      <c r="A134" s="10" t="s">
        <v>155</v>
      </c>
      <c r="B134" s="3" t="s">
        <v>156</v>
      </c>
      <c r="C134" s="4" t="s">
        <v>3</v>
      </c>
      <c r="D134" s="5" t="s">
        <v>96</v>
      </c>
      <c r="E134" s="6" t="s">
        <v>170</v>
      </c>
    </row>
    <row r="135" hidden="1">
      <c r="A135" s="10" t="s">
        <v>155</v>
      </c>
      <c r="B135" s="3" t="s">
        <v>156</v>
      </c>
      <c r="C135" s="4" t="s">
        <v>8</v>
      </c>
      <c r="D135" s="5" t="s">
        <v>23</v>
      </c>
      <c r="E135" s="6" t="s">
        <v>171</v>
      </c>
    </row>
    <row r="136" hidden="1">
      <c r="A136" s="10" t="s">
        <v>155</v>
      </c>
      <c r="B136" s="3" t="s">
        <v>156</v>
      </c>
      <c r="C136" s="4" t="s">
        <v>8</v>
      </c>
      <c r="D136" s="5" t="s">
        <v>71</v>
      </c>
      <c r="E136" s="6" t="s">
        <v>172</v>
      </c>
    </row>
    <row r="137">
      <c r="A137" s="10" t="s">
        <v>155</v>
      </c>
      <c r="B137" s="3" t="s">
        <v>156</v>
      </c>
      <c r="C137" s="4" t="s">
        <v>3</v>
      </c>
      <c r="D137" s="5" t="s">
        <v>21</v>
      </c>
      <c r="E137" s="6" t="s">
        <v>173</v>
      </c>
    </row>
    <row r="138" hidden="1">
      <c r="A138" s="10" t="s">
        <v>155</v>
      </c>
      <c r="B138" s="3" t="s">
        <v>156</v>
      </c>
      <c r="C138" s="4" t="s">
        <v>8</v>
      </c>
      <c r="D138" s="5" t="s">
        <v>39</v>
      </c>
      <c r="E138" s="6" t="s">
        <v>174</v>
      </c>
    </row>
    <row r="139" hidden="1">
      <c r="A139" s="10" t="s">
        <v>155</v>
      </c>
      <c r="B139" s="3" t="s">
        <v>156</v>
      </c>
      <c r="C139" s="4" t="s">
        <v>8</v>
      </c>
      <c r="D139" s="5" t="s">
        <v>76</v>
      </c>
      <c r="E139" s="6" t="s">
        <v>175</v>
      </c>
    </row>
    <row r="140" hidden="1">
      <c r="A140" s="10" t="s">
        <v>155</v>
      </c>
      <c r="B140" s="3" t="s">
        <v>156</v>
      </c>
      <c r="C140" s="4" t="s">
        <v>8</v>
      </c>
      <c r="D140" s="5" t="s">
        <v>28</v>
      </c>
      <c r="E140" s="6" t="s">
        <v>176</v>
      </c>
    </row>
    <row r="141" hidden="1">
      <c r="A141" s="10" t="s">
        <v>177</v>
      </c>
      <c r="B141" s="3" t="s">
        <v>178</v>
      </c>
      <c r="C141" s="4" t="s">
        <v>8</v>
      </c>
      <c r="D141" s="5" t="s">
        <v>28</v>
      </c>
      <c r="E141" s="6" t="s">
        <v>179</v>
      </c>
    </row>
    <row r="142">
      <c r="A142" s="10" t="s">
        <v>177</v>
      </c>
      <c r="B142" s="3" t="s">
        <v>178</v>
      </c>
      <c r="C142" s="4" t="s">
        <v>3</v>
      </c>
      <c r="D142" s="5" t="s">
        <v>35</v>
      </c>
      <c r="E142" s="6" t="s">
        <v>180</v>
      </c>
    </row>
    <row r="143">
      <c r="A143" s="10" t="s">
        <v>177</v>
      </c>
      <c r="B143" s="3" t="s">
        <v>178</v>
      </c>
      <c r="C143" s="4" t="s">
        <v>3</v>
      </c>
      <c r="D143" s="5" t="s">
        <v>51</v>
      </c>
      <c r="E143" s="6" t="s">
        <v>181</v>
      </c>
    </row>
    <row r="144">
      <c r="A144" s="10" t="s">
        <v>177</v>
      </c>
      <c r="B144" s="3" t="s">
        <v>178</v>
      </c>
      <c r="C144" s="4" t="s">
        <v>3</v>
      </c>
      <c r="D144" s="5" t="s">
        <v>4</v>
      </c>
      <c r="E144" s="6" t="s">
        <v>182</v>
      </c>
    </row>
    <row r="145">
      <c r="A145" s="10" t="s">
        <v>177</v>
      </c>
      <c r="B145" s="3" t="s">
        <v>178</v>
      </c>
      <c r="C145" s="4" t="s">
        <v>3</v>
      </c>
      <c r="D145" s="5" t="s">
        <v>45</v>
      </c>
      <c r="E145" s="6" t="s">
        <v>183</v>
      </c>
    </row>
    <row r="146" hidden="1">
      <c r="A146" s="10" t="s">
        <v>177</v>
      </c>
      <c r="B146" s="3" t="s">
        <v>178</v>
      </c>
      <c r="C146" s="4" t="s">
        <v>8</v>
      </c>
      <c r="D146" s="5" t="s">
        <v>9</v>
      </c>
      <c r="E146" s="6" t="s">
        <v>184</v>
      </c>
    </row>
    <row r="147" hidden="1">
      <c r="A147" s="10" t="s">
        <v>177</v>
      </c>
      <c r="B147" s="3" t="s">
        <v>178</v>
      </c>
      <c r="C147" s="4" t="s">
        <v>8</v>
      </c>
      <c r="D147" s="5" t="s">
        <v>11</v>
      </c>
      <c r="E147" s="6" t="s">
        <v>185</v>
      </c>
    </row>
    <row r="148" hidden="1">
      <c r="A148" s="10" t="s">
        <v>177</v>
      </c>
      <c r="B148" s="3" t="s">
        <v>178</v>
      </c>
      <c r="C148" s="4" t="s">
        <v>8</v>
      </c>
      <c r="D148" s="5" t="s">
        <v>28</v>
      </c>
      <c r="E148" s="6" t="s">
        <v>186</v>
      </c>
    </row>
    <row r="149" hidden="1">
      <c r="A149" s="10" t="s">
        <v>177</v>
      </c>
      <c r="B149" s="3" t="s">
        <v>178</v>
      </c>
      <c r="C149" s="4" t="s">
        <v>8</v>
      </c>
      <c r="D149" s="5" t="s">
        <v>21</v>
      </c>
      <c r="E149" s="6" t="s">
        <v>187</v>
      </c>
    </row>
    <row r="150">
      <c r="A150" s="10" t="s">
        <v>177</v>
      </c>
      <c r="B150" s="3" t="s">
        <v>178</v>
      </c>
      <c r="C150" s="4" t="s">
        <v>3</v>
      </c>
      <c r="D150" s="5" t="s">
        <v>42</v>
      </c>
      <c r="E150" s="6" t="s">
        <v>188</v>
      </c>
    </row>
    <row r="151">
      <c r="A151" s="10" t="s">
        <v>177</v>
      </c>
      <c r="B151" s="3" t="s">
        <v>178</v>
      </c>
      <c r="C151" s="4" t="s">
        <v>3</v>
      </c>
      <c r="D151" s="5" t="s">
        <v>39</v>
      </c>
      <c r="E151" s="6" t="s">
        <v>189</v>
      </c>
    </row>
    <row r="152">
      <c r="A152" s="10" t="s">
        <v>177</v>
      </c>
      <c r="B152" s="3" t="s">
        <v>178</v>
      </c>
      <c r="C152" s="4" t="s">
        <v>3</v>
      </c>
      <c r="D152" s="5" t="s">
        <v>9</v>
      </c>
      <c r="E152" s="6" t="s">
        <v>190</v>
      </c>
    </row>
    <row r="153">
      <c r="A153" s="10" t="s">
        <v>177</v>
      </c>
      <c r="B153" s="3" t="s">
        <v>178</v>
      </c>
      <c r="C153" s="4" t="s">
        <v>3</v>
      </c>
      <c r="D153" s="5" t="s">
        <v>17</v>
      </c>
      <c r="E153" s="6" t="s">
        <v>191</v>
      </c>
    </row>
    <row r="154" hidden="1">
      <c r="A154" s="10" t="s">
        <v>177</v>
      </c>
      <c r="B154" s="3" t="s">
        <v>178</v>
      </c>
      <c r="C154" s="4" t="s">
        <v>8</v>
      </c>
      <c r="D154" s="5" t="s">
        <v>76</v>
      </c>
      <c r="E154" s="6" t="s">
        <v>192</v>
      </c>
    </row>
    <row r="155" hidden="1">
      <c r="A155" s="10" t="s">
        <v>177</v>
      </c>
      <c r="B155" s="3" t="s">
        <v>178</v>
      </c>
      <c r="C155" s="4" t="s">
        <v>8</v>
      </c>
      <c r="D155" s="5" t="s">
        <v>21</v>
      </c>
      <c r="E155" s="6" t="s">
        <v>193</v>
      </c>
    </row>
    <row r="156">
      <c r="A156" s="10" t="s">
        <v>177</v>
      </c>
      <c r="B156" s="3" t="s">
        <v>178</v>
      </c>
      <c r="C156" s="4" t="s">
        <v>3</v>
      </c>
      <c r="D156" s="5" t="s">
        <v>76</v>
      </c>
      <c r="E156" s="6" t="s">
        <v>194</v>
      </c>
    </row>
    <row r="157" hidden="1">
      <c r="A157" s="10" t="s">
        <v>177</v>
      </c>
      <c r="B157" s="3" t="s">
        <v>178</v>
      </c>
      <c r="C157" s="4" t="s">
        <v>8</v>
      </c>
      <c r="D157" s="5" t="s">
        <v>4</v>
      </c>
      <c r="E157" s="6" t="s">
        <v>195</v>
      </c>
    </row>
    <row r="158" hidden="1">
      <c r="A158" s="10" t="s">
        <v>177</v>
      </c>
      <c r="B158" s="3" t="s">
        <v>178</v>
      </c>
      <c r="C158" s="4" t="s">
        <v>8</v>
      </c>
      <c r="D158" s="5" t="s">
        <v>42</v>
      </c>
      <c r="E158" s="6" t="s">
        <v>196</v>
      </c>
    </row>
    <row r="159" hidden="1">
      <c r="A159" s="10" t="s">
        <v>177</v>
      </c>
      <c r="B159" s="3" t="s">
        <v>178</v>
      </c>
      <c r="C159" s="4" t="s">
        <v>8</v>
      </c>
      <c r="D159" s="5" t="s">
        <v>9</v>
      </c>
      <c r="E159" s="6" t="s">
        <v>197</v>
      </c>
    </row>
    <row r="160" hidden="1">
      <c r="A160" s="10" t="s">
        <v>177</v>
      </c>
      <c r="B160" s="3" t="s">
        <v>178</v>
      </c>
      <c r="C160" s="4" t="s">
        <v>8</v>
      </c>
      <c r="D160" s="5" t="s">
        <v>28</v>
      </c>
      <c r="E160" s="6" t="s">
        <v>198</v>
      </c>
    </row>
    <row r="161">
      <c r="A161" s="10" t="s">
        <v>199</v>
      </c>
      <c r="B161" s="3" t="s">
        <v>200</v>
      </c>
      <c r="C161" s="4" t="s">
        <v>3</v>
      </c>
      <c r="D161" s="5" t="s">
        <v>96</v>
      </c>
      <c r="E161" s="6" t="s">
        <v>201</v>
      </c>
    </row>
    <row r="162" hidden="1">
      <c r="A162" s="10" t="s">
        <v>199</v>
      </c>
      <c r="B162" s="3" t="s">
        <v>200</v>
      </c>
      <c r="C162" s="4" t="s">
        <v>8</v>
      </c>
      <c r="D162" s="5" t="s">
        <v>15</v>
      </c>
      <c r="E162" s="6" t="s">
        <v>202</v>
      </c>
    </row>
    <row r="163" hidden="1">
      <c r="A163" s="10" t="s">
        <v>199</v>
      </c>
      <c r="B163" s="3" t="s">
        <v>200</v>
      </c>
      <c r="C163" s="4" t="s">
        <v>8</v>
      </c>
      <c r="D163" s="5" t="s">
        <v>28</v>
      </c>
      <c r="E163" s="6" t="s">
        <v>203</v>
      </c>
    </row>
    <row r="164">
      <c r="A164" s="10" t="s">
        <v>199</v>
      </c>
      <c r="B164" s="3" t="s">
        <v>200</v>
      </c>
      <c r="C164" s="4" t="s">
        <v>3</v>
      </c>
      <c r="D164" s="5" t="s">
        <v>15</v>
      </c>
      <c r="E164" s="6" t="s">
        <v>204</v>
      </c>
    </row>
    <row r="165">
      <c r="A165" s="10" t="s">
        <v>199</v>
      </c>
      <c r="B165" s="3" t="s">
        <v>200</v>
      </c>
      <c r="C165" s="4" t="s">
        <v>3</v>
      </c>
      <c r="D165" s="5" t="s">
        <v>51</v>
      </c>
      <c r="E165" s="6" t="s">
        <v>205</v>
      </c>
    </row>
    <row r="166" hidden="1">
      <c r="A166" s="10" t="s">
        <v>199</v>
      </c>
      <c r="B166" s="3" t="s">
        <v>200</v>
      </c>
      <c r="C166" s="4" t="s">
        <v>8</v>
      </c>
      <c r="D166" s="5" t="s">
        <v>45</v>
      </c>
      <c r="E166" s="6" t="s">
        <v>206</v>
      </c>
    </row>
    <row r="167">
      <c r="A167" s="10" t="s">
        <v>199</v>
      </c>
      <c r="B167" s="3" t="s">
        <v>200</v>
      </c>
      <c r="C167" s="4" t="s">
        <v>3</v>
      </c>
      <c r="D167" s="5" t="s">
        <v>13</v>
      </c>
      <c r="E167" s="6" t="s">
        <v>207</v>
      </c>
    </row>
    <row r="168" hidden="1">
      <c r="A168" s="10" t="s">
        <v>199</v>
      </c>
      <c r="B168" s="3" t="s">
        <v>200</v>
      </c>
      <c r="C168" s="4" t="s">
        <v>8</v>
      </c>
      <c r="D168" s="5" t="s">
        <v>42</v>
      </c>
      <c r="E168" s="6" t="s">
        <v>208</v>
      </c>
    </row>
    <row r="169" hidden="1">
      <c r="A169" s="10" t="s">
        <v>199</v>
      </c>
      <c r="B169" s="3" t="s">
        <v>200</v>
      </c>
      <c r="C169" s="4" t="s">
        <v>8</v>
      </c>
      <c r="D169" s="5" t="s">
        <v>76</v>
      </c>
      <c r="E169" s="6" t="s">
        <v>209</v>
      </c>
    </row>
    <row r="170">
      <c r="A170" s="10" t="s">
        <v>199</v>
      </c>
      <c r="B170" s="3" t="s">
        <v>200</v>
      </c>
      <c r="C170" s="4" t="s">
        <v>3</v>
      </c>
      <c r="D170" s="5" t="s">
        <v>23</v>
      </c>
      <c r="E170" s="6" t="s">
        <v>210</v>
      </c>
    </row>
    <row r="171" hidden="1">
      <c r="A171" s="10" t="s">
        <v>199</v>
      </c>
      <c r="B171" s="3" t="s">
        <v>200</v>
      </c>
      <c r="C171" s="4" t="s">
        <v>8</v>
      </c>
      <c r="D171" s="5" t="s">
        <v>4</v>
      </c>
      <c r="E171" s="6" t="s">
        <v>211</v>
      </c>
    </row>
    <row r="172">
      <c r="A172" s="10" t="s">
        <v>199</v>
      </c>
      <c r="B172" s="3" t="s">
        <v>200</v>
      </c>
      <c r="C172" s="4" t="s">
        <v>3</v>
      </c>
      <c r="D172" s="5" t="s">
        <v>21</v>
      </c>
      <c r="E172" s="6" t="s">
        <v>212</v>
      </c>
    </row>
    <row r="173" hidden="1">
      <c r="A173" s="10" t="s">
        <v>199</v>
      </c>
      <c r="B173" s="3" t="s">
        <v>200</v>
      </c>
      <c r="C173" s="4" t="s">
        <v>8</v>
      </c>
      <c r="D173" s="5" t="s">
        <v>28</v>
      </c>
      <c r="E173" s="6" t="s">
        <v>213</v>
      </c>
    </row>
    <row r="174">
      <c r="A174" s="10" t="s">
        <v>199</v>
      </c>
      <c r="B174" s="3" t="s">
        <v>200</v>
      </c>
      <c r="C174" s="4" t="s">
        <v>3</v>
      </c>
      <c r="D174" s="5" t="s">
        <v>28</v>
      </c>
      <c r="E174" s="6" t="s">
        <v>214</v>
      </c>
    </row>
    <row r="175" hidden="1">
      <c r="A175" s="10" t="s">
        <v>199</v>
      </c>
      <c r="B175" s="3" t="s">
        <v>200</v>
      </c>
      <c r="C175" s="4" t="s">
        <v>8</v>
      </c>
      <c r="D175" s="5" t="s">
        <v>51</v>
      </c>
      <c r="E175" s="6" t="s">
        <v>215</v>
      </c>
    </row>
    <row r="176" hidden="1">
      <c r="A176" s="10" t="s">
        <v>199</v>
      </c>
      <c r="B176" s="3" t="s">
        <v>200</v>
      </c>
      <c r="C176" s="4" t="s">
        <v>8</v>
      </c>
      <c r="D176" s="5" t="s">
        <v>4</v>
      </c>
      <c r="E176" s="6" t="s">
        <v>216</v>
      </c>
    </row>
    <row r="177">
      <c r="A177" s="10" t="s">
        <v>199</v>
      </c>
      <c r="B177" s="3" t="s">
        <v>200</v>
      </c>
      <c r="C177" s="4" t="s">
        <v>3</v>
      </c>
      <c r="D177" s="5" t="s">
        <v>35</v>
      </c>
      <c r="E177" s="6" t="s">
        <v>217</v>
      </c>
    </row>
    <row r="178" hidden="1">
      <c r="A178" s="10" t="s">
        <v>199</v>
      </c>
      <c r="B178" s="3" t="s">
        <v>200</v>
      </c>
      <c r="C178" s="4" t="s">
        <v>8</v>
      </c>
      <c r="D178" s="5" t="s">
        <v>13</v>
      </c>
      <c r="E178" s="6" t="s">
        <v>218</v>
      </c>
    </row>
    <row r="179">
      <c r="A179" s="10" t="s">
        <v>199</v>
      </c>
      <c r="B179" s="3" t="s">
        <v>200</v>
      </c>
      <c r="C179" s="4" t="s">
        <v>3</v>
      </c>
      <c r="D179" s="5" t="s">
        <v>35</v>
      </c>
      <c r="E179" s="6" t="s">
        <v>219</v>
      </c>
    </row>
    <row r="180">
      <c r="A180" s="10" t="s">
        <v>199</v>
      </c>
      <c r="B180" s="3" t="s">
        <v>200</v>
      </c>
      <c r="C180" s="4" t="s">
        <v>3</v>
      </c>
      <c r="D180" s="5" t="s">
        <v>9</v>
      </c>
      <c r="E180" s="6" t="s">
        <v>220</v>
      </c>
    </row>
    <row r="181" hidden="1">
      <c r="A181" s="10" t="s">
        <v>221</v>
      </c>
      <c r="B181" s="3" t="s">
        <v>222</v>
      </c>
      <c r="C181" s="4" t="s">
        <v>8</v>
      </c>
      <c r="D181" s="5" t="s">
        <v>51</v>
      </c>
      <c r="E181" s="6" t="s">
        <v>223</v>
      </c>
    </row>
    <row r="182" hidden="1">
      <c r="A182" s="10" t="s">
        <v>221</v>
      </c>
      <c r="B182" s="3" t="s">
        <v>222</v>
      </c>
      <c r="C182" s="4" t="s">
        <v>8</v>
      </c>
      <c r="D182" s="5" t="s">
        <v>96</v>
      </c>
      <c r="E182" s="6" t="s">
        <v>224</v>
      </c>
    </row>
    <row r="183">
      <c r="A183" s="10" t="s">
        <v>221</v>
      </c>
      <c r="B183" s="3" t="s">
        <v>222</v>
      </c>
      <c r="C183" s="4" t="s">
        <v>3</v>
      </c>
      <c r="D183" s="5" t="s">
        <v>15</v>
      </c>
      <c r="E183" s="6" t="s">
        <v>225</v>
      </c>
    </row>
    <row r="184">
      <c r="A184" s="10" t="s">
        <v>221</v>
      </c>
      <c r="B184" s="3" t="s">
        <v>222</v>
      </c>
      <c r="C184" s="4" t="s">
        <v>3</v>
      </c>
      <c r="D184" s="5" t="s">
        <v>71</v>
      </c>
      <c r="E184" s="6" t="s">
        <v>226</v>
      </c>
    </row>
    <row r="185" hidden="1">
      <c r="A185" s="10" t="s">
        <v>221</v>
      </c>
      <c r="B185" s="3" t="s">
        <v>222</v>
      </c>
      <c r="C185" s="4" t="s">
        <v>8</v>
      </c>
      <c r="D185" s="5" t="s">
        <v>120</v>
      </c>
      <c r="E185" s="6" t="s">
        <v>227</v>
      </c>
    </row>
    <row r="186" hidden="1">
      <c r="A186" s="10" t="s">
        <v>221</v>
      </c>
      <c r="B186" s="3" t="s">
        <v>222</v>
      </c>
      <c r="C186" s="4" t="s">
        <v>8</v>
      </c>
      <c r="D186" s="5" t="s">
        <v>17</v>
      </c>
      <c r="E186" s="6" t="s">
        <v>228</v>
      </c>
    </row>
    <row r="187" hidden="1">
      <c r="A187" s="10" t="s">
        <v>221</v>
      </c>
      <c r="B187" s="3" t="s">
        <v>222</v>
      </c>
      <c r="C187" s="4" t="s">
        <v>8</v>
      </c>
      <c r="D187" s="5" t="s">
        <v>19</v>
      </c>
      <c r="E187" s="6" t="s">
        <v>229</v>
      </c>
    </row>
    <row r="188" hidden="1">
      <c r="A188" s="10" t="s">
        <v>221</v>
      </c>
      <c r="B188" s="3" t="s">
        <v>222</v>
      </c>
      <c r="C188" s="4" t="s">
        <v>8</v>
      </c>
      <c r="D188" s="5" t="s">
        <v>4</v>
      </c>
      <c r="E188" s="6" t="s">
        <v>140</v>
      </c>
    </row>
    <row r="189" hidden="1">
      <c r="A189" s="10" t="s">
        <v>221</v>
      </c>
      <c r="B189" s="3" t="s">
        <v>222</v>
      </c>
      <c r="C189" s="4" t="s">
        <v>8</v>
      </c>
      <c r="D189" s="5" t="s">
        <v>120</v>
      </c>
      <c r="E189" s="6" t="s">
        <v>230</v>
      </c>
    </row>
    <row r="190" hidden="1">
      <c r="A190" s="10" t="s">
        <v>221</v>
      </c>
      <c r="B190" s="3" t="s">
        <v>222</v>
      </c>
      <c r="C190" s="4" t="s">
        <v>8</v>
      </c>
      <c r="D190" s="5" t="s">
        <v>4</v>
      </c>
      <c r="E190" s="6" t="s">
        <v>231</v>
      </c>
    </row>
    <row r="191">
      <c r="A191" s="10" t="s">
        <v>221</v>
      </c>
      <c r="B191" s="3" t="s">
        <v>222</v>
      </c>
      <c r="C191" s="4" t="s">
        <v>3</v>
      </c>
      <c r="D191" s="5" t="s">
        <v>76</v>
      </c>
      <c r="E191" s="6" t="s">
        <v>232</v>
      </c>
    </row>
    <row r="192">
      <c r="A192" s="10" t="s">
        <v>221</v>
      </c>
      <c r="B192" s="3" t="s">
        <v>222</v>
      </c>
      <c r="C192" s="4" t="s">
        <v>3</v>
      </c>
      <c r="D192" s="5" t="s">
        <v>39</v>
      </c>
      <c r="E192" s="6" t="s">
        <v>233</v>
      </c>
    </row>
    <row r="193">
      <c r="A193" s="10" t="s">
        <v>221</v>
      </c>
      <c r="B193" s="3" t="s">
        <v>222</v>
      </c>
      <c r="C193" s="4" t="s">
        <v>3</v>
      </c>
      <c r="D193" s="5" t="s">
        <v>21</v>
      </c>
      <c r="E193" s="6" t="s">
        <v>234</v>
      </c>
    </row>
    <row r="194">
      <c r="A194" s="10" t="s">
        <v>221</v>
      </c>
      <c r="B194" s="3" t="s">
        <v>222</v>
      </c>
      <c r="C194" s="4" t="s">
        <v>3</v>
      </c>
      <c r="D194" s="5" t="s">
        <v>15</v>
      </c>
      <c r="E194" s="6" t="s">
        <v>235</v>
      </c>
    </row>
    <row r="195" hidden="1">
      <c r="A195" s="10" t="s">
        <v>221</v>
      </c>
      <c r="B195" s="3" t="s">
        <v>222</v>
      </c>
      <c r="C195" s="4" t="s">
        <v>8</v>
      </c>
      <c r="D195" s="5" t="s">
        <v>76</v>
      </c>
      <c r="E195" s="6" t="s">
        <v>236</v>
      </c>
    </row>
    <row r="196" hidden="1">
      <c r="A196" s="10" t="s">
        <v>221</v>
      </c>
      <c r="B196" s="3" t="s">
        <v>222</v>
      </c>
      <c r="C196" s="4" t="s">
        <v>8</v>
      </c>
      <c r="D196" s="5" t="s">
        <v>71</v>
      </c>
      <c r="E196" s="6" t="s">
        <v>237</v>
      </c>
    </row>
    <row r="197" hidden="1">
      <c r="A197" s="10" t="s">
        <v>221</v>
      </c>
      <c r="B197" s="3" t="s">
        <v>222</v>
      </c>
      <c r="C197" s="4" t="s">
        <v>8</v>
      </c>
      <c r="D197" s="5" t="s">
        <v>23</v>
      </c>
      <c r="E197" s="6" t="s">
        <v>238</v>
      </c>
    </row>
    <row r="198" hidden="1">
      <c r="A198" s="10" t="s">
        <v>221</v>
      </c>
      <c r="B198" s="3" t="s">
        <v>222</v>
      </c>
      <c r="C198" s="4" t="s">
        <v>8</v>
      </c>
      <c r="D198" s="5" t="s">
        <v>120</v>
      </c>
      <c r="E198" s="6" t="s">
        <v>239</v>
      </c>
    </row>
    <row r="199">
      <c r="A199" s="10" t="s">
        <v>221</v>
      </c>
      <c r="B199" s="3" t="s">
        <v>222</v>
      </c>
      <c r="C199" s="4" t="s">
        <v>3</v>
      </c>
      <c r="D199" s="5" t="s">
        <v>23</v>
      </c>
      <c r="E199" s="6" t="s">
        <v>240</v>
      </c>
    </row>
    <row r="200" hidden="1">
      <c r="A200" s="10" t="s">
        <v>221</v>
      </c>
      <c r="B200" s="3" t="s">
        <v>222</v>
      </c>
      <c r="C200" s="4" t="s">
        <v>8</v>
      </c>
      <c r="D200" s="5" t="s">
        <v>9</v>
      </c>
      <c r="E200" s="6" t="s">
        <v>241</v>
      </c>
    </row>
    <row r="201" hidden="1">
      <c r="A201" s="10" t="s">
        <v>242</v>
      </c>
      <c r="B201" s="3" t="s">
        <v>243</v>
      </c>
      <c r="C201" s="4" t="s">
        <v>8</v>
      </c>
      <c r="D201" s="5" t="s">
        <v>45</v>
      </c>
      <c r="E201" s="6" t="s">
        <v>244</v>
      </c>
    </row>
    <row r="202">
      <c r="A202" s="10" t="s">
        <v>242</v>
      </c>
      <c r="B202" s="3" t="s">
        <v>243</v>
      </c>
      <c r="C202" s="4" t="s">
        <v>3</v>
      </c>
      <c r="D202" s="5" t="s">
        <v>96</v>
      </c>
      <c r="E202" s="6" t="s">
        <v>245</v>
      </c>
    </row>
    <row r="203">
      <c r="A203" s="10" t="s">
        <v>242</v>
      </c>
      <c r="B203" s="3" t="s">
        <v>243</v>
      </c>
      <c r="C203" s="4" t="s">
        <v>3</v>
      </c>
      <c r="D203" s="5" t="s">
        <v>23</v>
      </c>
      <c r="E203" s="6" t="s">
        <v>246</v>
      </c>
    </row>
    <row r="204" hidden="1">
      <c r="A204" s="10" t="s">
        <v>242</v>
      </c>
      <c r="B204" s="3" t="s">
        <v>243</v>
      </c>
      <c r="C204" s="4" t="s">
        <v>8</v>
      </c>
      <c r="D204" s="5" t="s">
        <v>120</v>
      </c>
      <c r="E204" s="6" t="s">
        <v>247</v>
      </c>
    </row>
    <row r="205">
      <c r="A205" s="10" t="s">
        <v>242</v>
      </c>
      <c r="B205" s="3" t="s">
        <v>243</v>
      </c>
      <c r="C205" s="4" t="s">
        <v>3</v>
      </c>
      <c r="D205" s="5" t="s">
        <v>21</v>
      </c>
      <c r="E205" s="6" t="s">
        <v>248</v>
      </c>
    </row>
    <row r="206" hidden="1">
      <c r="A206" s="10" t="s">
        <v>242</v>
      </c>
      <c r="B206" s="3" t="s">
        <v>243</v>
      </c>
      <c r="C206" s="4" t="s">
        <v>8</v>
      </c>
      <c r="D206" s="5" t="s">
        <v>15</v>
      </c>
      <c r="E206" s="6" t="s">
        <v>249</v>
      </c>
    </row>
    <row r="207" hidden="1">
      <c r="A207" s="10" t="s">
        <v>242</v>
      </c>
      <c r="B207" s="3" t="s">
        <v>243</v>
      </c>
      <c r="C207" s="4" t="s">
        <v>8</v>
      </c>
      <c r="D207" s="5" t="s">
        <v>17</v>
      </c>
      <c r="E207" s="6" t="s">
        <v>248</v>
      </c>
    </row>
    <row r="208">
      <c r="A208" s="10" t="s">
        <v>242</v>
      </c>
      <c r="B208" s="3" t="s">
        <v>243</v>
      </c>
      <c r="C208" s="4" t="s">
        <v>3</v>
      </c>
      <c r="D208" s="5" t="s">
        <v>96</v>
      </c>
      <c r="E208" s="6" t="s">
        <v>250</v>
      </c>
    </row>
    <row r="209" hidden="1">
      <c r="A209" s="10" t="s">
        <v>242</v>
      </c>
      <c r="B209" s="3" t="s">
        <v>243</v>
      </c>
      <c r="C209" s="4" t="s">
        <v>8</v>
      </c>
      <c r="D209" s="5" t="s">
        <v>23</v>
      </c>
      <c r="E209" s="6" t="s">
        <v>251</v>
      </c>
    </row>
    <row r="210">
      <c r="A210" s="10" t="s">
        <v>242</v>
      </c>
      <c r="B210" s="3" t="s">
        <v>243</v>
      </c>
      <c r="C210" s="4" t="s">
        <v>3</v>
      </c>
      <c r="D210" s="5" t="s">
        <v>35</v>
      </c>
      <c r="E210" s="6" t="s">
        <v>252</v>
      </c>
    </row>
    <row r="211" hidden="1">
      <c r="A211" s="10" t="s">
        <v>242</v>
      </c>
      <c r="B211" s="3" t="s">
        <v>243</v>
      </c>
      <c r="C211" s="4" t="s">
        <v>8</v>
      </c>
      <c r="D211" s="5" t="s">
        <v>76</v>
      </c>
      <c r="E211" s="6" t="s">
        <v>253</v>
      </c>
    </row>
    <row r="212">
      <c r="A212" s="10" t="s">
        <v>242</v>
      </c>
      <c r="B212" s="3" t="s">
        <v>243</v>
      </c>
      <c r="C212" s="4" t="s">
        <v>3</v>
      </c>
      <c r="D212" s="5" t="s">
        <v>96</v>
      </c>
      <c r="E212" s="6" t="s">
        <v>254</v>
      </c>
    </row>
    <row r="213" hidden="1">
      <c r="A213" s="10" t="s">
        <v>242</v>
      </c>
      <c r="B213" s="3" t="s">
        <v>243</v>
      </c>
      <c r="C213" s="4" t="s">
        <v>8</v>
      </c>
      <c r="D213" s="5" t="s">
        <v>96</v>
      </c>
      <c r="E213" s="6" t="s">
        <v>255</v>
      </c>
    </row>
    <row r="214">
      <c r="A214" s="10" t="s">
        <v>242</v>
      </c>
      <c r="B214" s="3" t="s">
        <v>243</v>
      </c>
      <c r="C214" s="4" t="s">
        <v>3</v>
      </c>
      <c r="D214" s="5" t="s">
        <v>17</v>
      </c>
      <c r="E214" s="6" t="s">
        <v>256</v>
      </c>
    </row>
    <row r="215">
      <c r="A215" s="10" t="s">
        <v>242</v>
      </c>
      <c r="B215" s="3" t="s">
        <v>243</v>
      </c>
      <c r="C215" s="4" t="s">
        <v>3</v>
      </c>
      <c r="D215" s="5" t="s">
        <v>17</v>
      </c>
      <c r="E215" s="6" t="s">
        <v>257</v>
      </c>
    </row>
    <row r="216" hidden="1">
      <c r="A216" s="10" t="s">
        <v>242</v>
      </c>
      <c r="B216" s="3" t="s">
        <v>243</v>
      </c>
      <c r="C216" s="4" t="s">
        <v>8</v>
      </c>
      <c r="D216" s="5" t="s">
        <v>13</v>
      </c>
      <c r="E216" s="6" t="s">
        <v>258</v>
      </c>
    </row>
    <row r="217" hidden="1">
      <c r="A217" s="10" t="s">
        <v>242</v>
      </c>
      <c r="B217" s="3" t="s">
        <v>243</v>
      </c>
      <c r="C217" s="4" t="s">
        <v>8</v>
      </c>
      <c r="D217" s="5" t="s">
        <v>120</v>
      </c>
      <c r="E217" s="6" t="s">
        <v>259</v>
      </c>
    </row>
    <row r="218" hidden="1">
      <c r="A218" s="10" t="s">
        <v>242</v>
      </c>
      <c r="B218" s="3" t="s">
        <v>243</v>
      </c>
      <c r="C218" s="4" t="s">
        <v>8</v>
      </c>
      <c r="D218" s="5" t="s">
        <v>120</v>
      </c>
      <c r="E218" s="6" t="s">
        <v>260</v>
      </c>
    </row>
    <row r="219" hidden="1">
      <c r="A219" s="10" t="s">
        <v>242</v>
      </c>
      <c r="B219" s="3" t="s">
        <v>243</v>
      </c>
      <c r="C219" s="4" t="s">
        <v>8</v>
      </c>
      <c r="D219" s="5" t="s">
        <v>17</v>
      </c>
      <c r="E219" s="6" t="s">
        <v>261</v>
      </c>
    </row>
    <row r="220">
      <c r="A220" s="10" t="s">
        <v>242</v>
      </c>
      <c r="B220" s="3" t="s">
        <v>243</v>
      </c>
      <c r="C220" s="4" t="s">
        <v>3</v>
      </c>
      <c r="D220" s="5" t="s">
        <v>45</v>
      </c>
      <c r="E220" s="6" t="s">
        <v>262</v>
      </c>
    </row>
    <row r="221" hidden="1">
      <c r="A221" s="10" t="s">
        <v>263</v>
      </c>
      <c r="B221" s="3" t="s">
        <v>264</v>
      </c>
      <c r="C221" s="4" t="s">
        <v>8</v>
      </c>
      <c r="D221" s="5" t="s">
        <v>28</v>
      </c>
      <c r="E221" s="6" t="s">
        <v>265</v>
      </c>
    </row>
    <row r="222" hidden="1">
      <c r="A222" s="10" t="s">
        <v>263</v>
      </c>
      <c r="B222" s="3" t="s">
        <v>264</v>
      </c>
      <c r="C222" s="4" t="s">
        <v>8</v>
      </c>
      <c r="D222" s="5" t="s">
        <v>71</v>
      </c>
      <c r="E222" s="6" t="s">
        <v>266</v>
      </c>
    </row>
    <row r="223">
      <c r="A223" s="10" t="s">
        <v>263</v>
      </c>
      <c r="B223" s="3" t="s">
        <v>264</v>
      </c>
      <c r="C223" s="4" t="s">
        <v>3</v>
      </c>
      <c r="D223" s="5" t="s">
        <v>35</v>
      </c>
      <c r="E223" s="6" t="s">
        <v>267</v>
      </c>
    </row>
    <row r="224" hidden="1">
      <c r="A224" s="10" t="s">
        <v>263</v>
      </c>
      <c r="B224" s="3" t="s">
        <v>264</v>
      </c>
      <c r="C224" s="4" t="s">
        <v>8</v>
      </c>
      <c r="D224" s="5" t="s">
        <v>4</v>
      </c>
      <c r="E224" s="6" t="s">
        <v>268</v>
      </c>
    </row>
    <row r="225" hidden="1">
      <c r="A225" s="10" t="s">
        <v>263</v>
      </c>
      <c r="B225" s="3" t="s">
        <v>264</v>
      </c>
      <c r="C225" s="4" t="s">
        <v>8</v>
      </c>
      <c r="D225" s="5" t="s">
        <v>35</v>
      </c>
      <c r="E225" s="6" t="s">
        <v>269</v>
      </c>
    </row>
    <row r="226">
      <c r="A226" s="10" t="s">
        <v>263</v>
      </c>
      <c r="B226" s="3" t="s">
        <v>264</v>
      </c>
      <c r="C226" s="4" t="s">
        <v>3</v>
      </c>
      <c r="D226" s="5" t="s">
        <v>76</v>
      </c>
      <c r="E226" s="6" t="s">
        <v>270</v>
      </c>
    </row>
    <row r="227" hidden="1">
      <c r="A227" s="10" t="s">
        <v>263</v>
      </c>
      <c r="B227" s="3" t="s">
        <v>264</v>
      </c>
      <c r="C227" s="4" t="s">
        <v>8</v>
      </c>
      <c r="D227" s="5" t="s">
        <v>9</v>
      </c>
      <c r="E227" s="6" t="s">
        <v>179</v>
      </c>
    </row>
    <row r="228" hidden="1">
      <c r="A228" s="10" t="s">
        <v>263</v>
      </c>
      <c r="B228" s="3" t="s">
        <v>264</v>
      </c>
      <c r="C228" s="4" t="s">
        <v>8</v>
      </c>
      <c r="D228" s="5" t="s">
        <v>19</v>
      </c>
      <c r="E228" s="6" t="s">
        <v>271</v>
      </c>
    </row>
    <row r="229" hidden="1">
      <c r="A229" s="10" t="s">
        <v>263</v>
      </c>
      <c r="B229" s="3" t="s">
        <v>264</v>
      </c>
      <c r="C229" s="4" t="s">
        <v>8</v>
      </c>
      <c r="D229" s="5" t="s">
        <v>6</v>
      </c>
      <c r="E229" s="6" t="s">
        <v>272</v>
      </c>
    </row>
    <row r="230" hidden="1">
      <c r="A230" s="10" t="s">
        <v>263</v>
      </c>
      <c r="B230" s="3" t="s">
        <v>264</v>
      </c>
      <c r="C230" s="4" t="s">
        <v>8</v>
      </c>
      <c r="D230" s="5" t="s">
        <v>9</v>
      </c>
      <c r="E230" s="6" t="s">
        <v>273</v>
      </c>
    </row>
    <row r="231">
      <c r="A231" s="10" t="s">
        <v>263</v>
      </c>
      <c r="B231" s="3" t="s">
        <v>264</v>
      </c>
      <c r="C231" s="4" t="s">
        <v>3</v>
      </c>
      <c r="D231" s="5" t="s">
        <v>51</v>
      </c>
      <c r="E231" s="6" t="s">
        <v>274</v>
      </c>
    </row>
    <row r="232">
      <c r="A232" s="10" t="s">
        <v>263</v>
      </c>
      <c r="B232" s="3" t="s">
        <v>264</v>
      </c>
      <c r="C232" s="4" t="s">
        <v>3</v>
      </c>
      <c r="D232" s="5" t="s">
        <v>76</v>
      </c>
      <c r="E232" s="6" t="s">
        <v>275</v>
      </c>
    </row>
    <row r="233">
      <c r="A233" s="10" t="s">
        <v>263</v>
      </c>
      <c r="B233" s="3" t="s">
        <v>264</v>
      </c>
      <c r="C233" s="4" t="s">
        <v>3</v>
      </c>
      <c r="D233" s="5" t="s">
        <v>42</v>
      </c>
      <c r="E233" s="6" t="s">
        <v>276</v>
      </c>
    </row>
    <row r="234" hidden="1">
      <c r="A234" s="10" t="s">
        <v>263</v>
      </c>
      <c r="B234" s="3" t="s">
        <v>264</v>
      </c>
      <c r="C234" s="4" t="s">
        <v>8</v>
      </c>
      <c r="D234" s="5" t="s">
        <v>45</v>
      </c>
      <c r="E234" s="6" t="s">
        <v>277</v>
      </c>
    </row>
    <row r="235" hidden="1">
      <c r="A235" s="10" t="s">
        <v>263</v>
      </c>
      <c r="B235" s="3" t="s">
        <v>264</v>
      </c>
      <c r="C235" s="4" t="s">
        <v>8</v>
      </c>
      <c r="D235" s="5" t="s">
        <v>4</v>
      </c>
      <c r="E235" s="6" t="s">
        <v>278</v>
      </c>
    </row>
    <row r="236" hidden="1">
      <c r="A236" s="10" t="s">
        <v>263</v>
      </c>
      <c r="B236" s="3" t="s">
        <v>264</v>
      </c>
      <c r="C236" s="4" t="s">
        <v>8</v>
      </c>
      <c r="D236" s="5" t="s">
        <v>120</v>
      </c>
      <c r="E236" s="6" t="s">
        <v>279</v>
      </c>
    </row>
    <row r="237" hidden="1">
      <c r="A237" s="10" t="s">
        <v>263</v>
      </c>
      <c r="B237" s="3" t="s">
        <v>264</v>
      </c>
      <c r="C237" s="4" t="s">
        <v>8</v>
      </c>
      <c r="D237" s="5" t="s">
        <v>120</v>
      </c>
      <c r="E237" s="6" t="s">
        <v>280</v>
      </c>
    </row>
    <row r="238" hidden="1">
      <c r="A238" s="10" t="s">
        <v>263</v>
      </c>
      <c r="B238" s="3" t="s">
        <v>264</v>
      </c>
      <c r="C238" s="4" t="s">
        <v>8</v>
      </c>
      <c r="D238" s="5" t="s">
        <v>13</v>
      </c>
      <c r="E238" s="6" t="s">
        <v>281</v>
      </c>
    </row>
    <row r="239">
      <c r="A239" s="10" t="s">
        <v>263</v>
      </c>
      <c r="B239" s="3" t="s">
        <v>264</v>
      </c>
      <c r="C239" s="4" t="s">
        <v>3</v>
      </c>
      <c r="D239" s="5" t="s">
        <v>35</v>
      </c>
      <c r="E239" s="6" t="s">
        <v>282</v>
      </c>
    </row>
    <row r="240">
      <c r="A240" s="10" t="s">
        <v>263</v>
      </c>
      <c r="B240" s="3" t="s">
        <v>264</v>
      </c>
      <c r="C240" s="4" t="s">
        <v>3</v>
      </c>
      <c r="D240" s="5" t="s">
        <v>19</v>
      </c>
      <c r="E240" s="6" t="s">
        <v>91</v>
      </c>
    </row>
    <row r="241">
      <c r="A241" s="10" t="s">
        <v>283</v>
      </c>
      <c r="B241" s="3" t="s">
        <v>284</v>
      </c>
      <c r="C241" s="4" t="s">
        <v>3</v>
      </c>
      <c r="D241" s="5" t="s">
        <v>120</v>
      </c>
      <c r="E241" s="6" t="s">
        <v>285</v>
      </c>
    </row>
    <row r="242">
      <c r="A242" s="10" t="s">
        <v>283</v>
      </c>
      <c r="B242" s="3" t="s">
        <v>284</v>
      </c>
      <c r="C242" s="4" t="s">
        <v>3</v>
      </c>
      <c r="D242" s="5" t="s">
        <v>71</v>
      </c>
      <c r="E242" s="6" t="s">
        <v>286</v>
      </c>
    </row>
    <row r="243" hidden="1">
      <c r="A243" s="10" t="s">
        <v>283</v>
      </c>
      <c r="B243" s="3" t="s">
        <v>284</v>
      </c>
      <c r="C243" s="4" t="s">
        <v>8</v>
      </c>
      <c r="D243" s="5" t="s">
        <v>35</v>
      </c>
      <c r="E243" s="6" t="s">
        <v>287</v>
      </c>
    </row>
    <row r="244" hidden="1">
      <c r="A244" s="10" t="s">
        <v>283</v>
      </c>
      <c r="B244" s="3" t="s">
        <v>284</v>
      </c>
      <c r="C244" s="4" t="s">
        <v>8</v>
      </c>
      <c r="D244" s="5" t="s">
        <v>6</v>
      </c>
      <c r="E244" s="6" t="s">
        <v>288</v>
      </c>
    </row>
    <row r="245" hidden="1">
      <c r="A245" s="10" t="s">
        <v>283</v>
      </c>
      <c r="B245" s="3" t="s">
        <v>284</v>
      </c>
      <c r="C245" s="4" t="s">
        <v>8</v>
      </c>
      <c r="D245" s="5" t="s">
        <v>6</v>
      </c>
      <c r="E245" s="6" t="s">
        <v>289</v>
      </c>
    </row>
    <row r="246" hidden="1">
      <c r="A246" s="10" t="s">
        <v>283</v>
      </c>
      <c r="B246" s="3" t="s">
        <v>284</v>
      </c>
      <c r="C246" s="4" t="s">
        <v>8</v>
      </c>
      <c r="D246" s="5" t="s">
        <v>76</v>
      </c>
      <c r="E246" s="6" t="s">
        <v>290</v>
      </c>
    </row>
    <row r="247">
      <c r="A247" s="10" t="s">
        <v>283</v>
      </c>
      <c r="B247" s="3" t="s">
        <v>284</v>
      </c>
      <c r="C247" s="4" t="s">
        <v>3</v>
      </c>
      <c r="D247" s="5" t="s">
        <v>9</v>
      </c>
      <c r="E247" s="6" t="s">
        <v>291</v>
      </c>
    </row>
    <row r="248">
      <c r="A248" s="10" t="s">
        <v>283</v>
      </c>
      <c r="B248" s="3" t="s">
        <v>284</v>
      </c>
      <c r="C248" s="4" t="s">
        <v>3</v>
      </c>
      <c r="D248" s="5" t="s">
        <v>4</v>
      </c>
      <c r="E248" s="6" t="s">
        <v>292</v>
      </c>
    </row>
    <row r="249">
      <c r="A249" s="10" t="s">
        <v>283</v>
      </c>
      <c r="B249" s="3" t="s">
        <v>284</v>
      </c>
      <c r="C249" s="4" t="s">
        <v>3</v>
      </c>
      <c r="D249" s="5" t="s">
        <v>23</v>
      </c>
      <c r="E249" s="6" t="s">
        <v>293</v>
      </c>
    </row>
    <row r="250">
      <c r="A250" s="10" t="s">
        <v>283</v>
      </c>
      <c r="B250" s="3" t="s">
        <v>284</v>
      </c>
      <c r="C250" s="4" t="s">
        <v>3</v>
      </c>
      <c r="D250" s="5" t="s">
        <v>4</v>
      </c>
      <c r="E250" s="6" t="s">
        <v>294</v>
      </c>
    </row>
    <row r="251">
      <c r="A251" s="10" t="s">
        <v>283</v>
      </c>
      <c r="B251" s="3" t="s">
        <v>284</v>
      </c>
      <c r="C251" s="4" t="s">
        <v>3</v>
      </c>
      <c r="D251" s="5" t="s">
        <v>42</v>
      </c>
      <c r="E251" s="6" t="s">
        <v>295</v>
      </c>
    </row>
    <row r="252">
      <c r="A252" s="10" t="s">
        <v>283</v>
      </c>
      <c r="B252" s="3" t="s">
        <v>284</v>
      </c>
      <c r="C252" s="4" t="s">
        <v>3</v>
      </c>
      <c r="D252" s="5" t="s">
        <v>96</v>
      </c>
      <c r="E252" s="6" t="s">
        <v>296</v>
      </c>
    </row>
    <row r="253" hidden="1">
      <c r="A253" s="10" t="s">
        <v>283</v>
      </c>
      <c r="B253" s="3" t="s">
        <v>284</v>
      </c>
      <c r="C253" s="4" t="s">
        <v>8</v>
      </c>
      <c r="D253" s="5" t="s">
        <v>96</v>
      </c>
      <c r="E253" s="6" t="s">
        <v>297</v>
      </c>
    </row>
    <row r="254" hidden="1">
      <c r="A254" s="10" t="s">
        <v>283</v>
      </c>
      <c r="B254" s="3" t="s">
        <v>284</v>
      </c>
      <c r="C254" s="4" t="s">
        <v>8</v>
      </c>
      <c r="D254" s="5" t="s">
        <v>39</v>
      </c>
      <c r="E254" s="6" t="s">
        <v>298</v>
      </c>
    </row>
    <row r="255">
      <c r="A255" s="10" t="s">
        <v>283</v>
      </c>
      <c r="B255" s="3" t="s">
        <v>284</v>
      </c>
      <c r="C255" s="4" t="s">
        <v>3</v>
      </c>
      <c r="D255" s="5" t="s">
        <v>17</v>
      </c>
      <c r="E255" s="6" t="s">
        <v>299</v>
      </c>
    </row>
    <row r="256" hidden="1">
      <c r="A256" s="10" t="s">
        <v>283</v>
      </c>
      <c r="B256" s="3" t="s">
        <v>284</v>
      </c>
      <c r="C256" s="4" t="s">
        <v>8</v>
      </c>
      <c r="D256" s="5" t="s">
        <v>120</v>
      </c>
      <c r="E256" s="6" t="s">
        <v>300</v>
      </c>
    </row>
    <row r="257" hidden="1">
      <c r="A257" s="10" t="s">
        <v>283</v>
      </c>
      <c r="B257" s="3" t="s">
        <v>284</v>
      </c>
      <c r="C257" s="4" t="s">
        <v>8</v>
      </c>
      <c r="D257" s="5" t="s">
        <v>96</v>
      </c>
      <c r="E257" s="6" t="s">
        <v>301</v>
      </c>
    </row>
    <row r="258">
      <c r="A258" s="10" t="s">
        <v>283</v>
      </c>
      <c r="B258" s="3" t="s">
        <v>284</v>
      </c>
      <c r="C258" s="4" t="s">
        <v>3</v>
      </c>
      <c r="D258" s="5" t="s">
        <v>120</v>
      </c>
      <c r="E258" s="6" t="s">
        <v>147</v>
      </c>
    </row>
    <row r="259" hidden="1">
      <c r="A259" s="10" t="s">
        <v>283</v>
      </c>
      <c r="B259" s="3" t="s">
        <v>284</v>
      </c>
      <c r="C259" s="4" t="s">
        <v>8</v>
      </c>
      <c r="D259" s="5" t="s">
        <v>42</v>
      </c>
      <c r="E259" s="6" t="s">
        <v>302</v>
      </c>
    </row>
    <row r="260">
      <c r="A260" s="10" t="s">
        <v>283</v>
      </c>
      <c r="B260" s="3" t="s">
        <v>284</v>
      </c>
      <c r="C260" s="4" t="s">
        <v>3</v>
      </c>
      <c r="D260" s="5" t="s">
        <v>35</v>
      </c>
      <c r="E260" s="6" t="s">
        <v>303</v>
      </c>
    </row>
    <row r="261" hidden="1">
      <c r="A261" s="10" t="s">
        <v>304</v>
      </c>
      <c r="B261" s="3" t="s">
        <v>305</v>
      </c>
      <c r="C261" s="4" t="s">
        <v>8</v>
      </c>
      <c r="D261" s="5" t="s">
        <v>21</v>
      </c>
      <c r="E261" s="6" t="s">
        <v>306</v>
      </c>
    </row>
    <row r="262" hidden="1">
      <c r="A262" s="10" t="s">
        <v>304</v>
      </c>
      <c r="B262" s="3" t="s">
        <v>305</v>
      </c>
      <c r="C262" s="4" t="s">
        <v>8</v>
      </c>
      <c r="D262" s="5" t="s">
        <v>15</v>
      </c>
      <c r="E262" s="6" t="s">
        <v>307</v>
      </c>
    </row>
    <row r="263" hidden="1">
      <c r="A263" s="10" t="s">
        <v>304</v>
      </c>
      <c r="B263" s="3" t="s">
        <v>305</v>
      </c>
      <c r="C263" s="4" t="s">
        <v>8</v>
      </c>
      <c r="D263" s="5" t="s">
        <v>71</v>
      </c>
      <c r="E263" s="6" t="s">
        <v>308</v>
      </c>
    </row>
    <row r="264" hidden="1">
      <c r="A264" s="10" t="s">
        <v>304</v>
      </c>
      <c r="B264" s="3" t="s">
        <v>305</v>
      </c>
      <c r="C264" s="4" t="s">
        <v>8</v>
      </c>
      <c r="D264" s="5" t="s">
        <v>42</v>
      </c>
      <c r="E264" s="6" t="s">
        <v>309</v>
      </c>
    </row>
    <row r="265" hidden="1">
      <c r="A265" s="10" t="s">
        <v>304</v>
      </c>
      <c r="B265" s="3" t="s">
        <v>305</v>
      </c>
      <c r="C265" s="4" t="s">
        <v>8</v>
      </c>
      <c r="D265" s="5" t="s">
        <v>39</v>
      </c>
      <c r="E265" s="6" t="s">
        <v>310</v>
      </c>
    </row>
    <row r="266">
      <c r="A266" s="10" t="s">
        <v>304</v>
      </c>
      <c r="B266" s="3" t="s">
        <v>305</v>
      </c>
      <c r="C266" s="4" t="s">
        <v>3</v>
      </c>
      <c r="D266" s="5" t="s">
        <v>4</v>
      </c>
      <c r="E266" s="6" t="s">
        <v>311</v>
      </c>
    </row>
    <row r="267">
      <c r="A267" s="10" t="s">
        <v>304</v>
      </c>
      <c r="B267" s="3" t="s">
        <v>305</v>
      </c>
      <c r="C267" s="4" t="s">
        <v>3</v>
      </c>
      <c r="D267" s="5" t="s">
        <v>6</v>
      </c>
      <c r="E267" s="6" t="s">
        <v>312</v>
      </c>
    </row>
    <row r="268">
      <c r="A268" s="10" t="s">
        <v>304</v>
      </c>
      <c r="B268" s="3" t="s">
        <v>305</v>
      </c>
      <c r="C268" s="4" t="s">
        <v>3</v>
      </c>
      <c r="D268" s="5" t="s">
        <v>35</v>
      </c>
      <c r="E268" s="6" t="s">
        <v>313</v>
      </c>
    </row>
    <row r="269" hidden="1">
      <c r="A269" s="10" t="s">
        <v>304</v>
      </c>
      <c r="B269" s="3" t="s">
        <v>305</v>
      </c>
      <c r="C269" s="4" t="s">
        <v>8</v>
      </c>
      <c r="D269" s="5" t="s">
        <v>39</v>
      </c>
      <c r="E269" s="6" t="s">
        <v>314</v>
      </c>
    </row>
    <row r="270" hidden="1">
      <c r="A270" s="10" t="s">
        <v>304</v>
      </c>
      <c r="B270" s="3" t="s">
        <v>305</v>
      </c>
      <c r="C270" s="4" t="s">
        <v>8</v>
      </c>
      <c r="D270" s="5" t="s">
        <v>96</v>
      </c>
      <c r="E270" s="6" t="s">
        <v>315</v>
      </c>
    </row>
    <row r="271" hidden="1">
      <c r="A271" s="10" t="s">
        <v>304</v>
      </c>
      <c r="B271" s="3" t="s">
        <v>305</v>
      </c>
      <c r="C271" s="4" t="s">
        <v>8</v>
      </c>
      <c r="D271" s="5" t="s">
        <v>71</v>
      </c>
      <c r="E271" s="6" t="s">
        <v>316</v>
      </c>
    </row>
    <row r="272" hidden="1">
      <c r="A272" s="10" t="s">
        <v>304</v>
      </c>
      <c r="B272" s="3" t="s">
        <v>305</v>
      </c>
      <c r="C272" s="4" t="s">
        <v>8</v>
      </c>
      <c r="D272" s="5" t="s">
        <v>76</v>
      </c>
      <c r="E272" s="6" t="s">
        <v>317</v>
      </c>
    </row>
    <row r="273">
      <c r="A273" s="10" t="s">
        <v>304</v>
      </c>
      <c r="B273" s="3" t="s">
        <v>305</v>
      </c>
      <c r="C273" s="4" t="s">
        <v>3</v>
      </c>
      <c r="D273" s="5" t="s">
        <v>21</v>
      </c>
      <c r="E273" s="6" t="s">
        <v>318</v>
      </c>
    </row>
    <row r="274" hidden="1">
      <c r="A274" s="10" t="s">
        <v>304</v>
      </c>
      <c r="B274" s="3" t="s">
        <v>305</v>
      </c>
      <c r="C274" s="4" t="s">
        <v>8</v>
      </c>
      <c r="D274" s="5" t="s">
        <v>4</v>
      </c>
      <c r="E274" s="6" t="s">
        <v>319</v>
      </c>
    </row>
    <row r="275" hidden="1">
      <c r="A275" s="10" t="s">
        <v>304</v>
      </c>
      <c r="B275" s="3" t="s">
        <v>305</v>
      </c>
      <c r="C275" s="4" t="s">
        <v>8</v>
      </c>
      <c r="D275" s="5" t="s">
        <v>4</v>
      </c>
      <c r="E275" s="6" t="s">
        <v>320</v>
      </c>
    </row>
    <row r="276" hidden="1">
      <c r="A276" s="10" t="s">
        <v>304</v>
      </c>
      <c r="B276" s="3" t="s">
        <v>305</v>
      </c>
      <c r="C276" s="4" t="s">
        <v>8</v>
      </c>
      <c r="D276" s="5" t="s">
        <v>15</v>
      </c>
      <c r="E276" s="6" t="s">
        <v>321</v>
      </c>
    </row>
    <row r="277">
      <c r="A277" s="10" t="s">
        <v>304</v>
      </c>
      <c r="B277" s="3" t="s">
        <v>305</v>
      </c>
      <c r="C277" s="4" t="s">
        <v>3</v>
      </c>
      <c r="D277" s="5" t="s">
        <v>45</v>
      </c>
      <c r="E277" s="6" t="s">
        <v>322</v>
      </c>
    </row>
    <row r="278">
      <c r="A278" s="10" t="s">
        <v>304</v>
      </c>
      <c r="B278" s="3" t="s">
        <v>305</v>
      </c>
      <c r="C278" s="4" t="s">
        <v>3</v>
      </c>
      <c r="D278" s="5" t="s">
        <v>9</v>
      </c>
      <c r="E278" s="6" t="s">
        <v>323</v>
      </c>
    </row>
    <row r="279" hidden="1">
      <c r="A279" s="10" t="s">
        <v>304</v>
      </c>
      <c r="B279" s="3" t="s">
        <v>305</v>
      </c>
      <c r="C279" s="4" t="s">
        <v>8</v>
      </c>
      <c r="D279" s="5" t="s">
        <v>71</v>
      </c>
      <c r="E279" s="6" t="s">
        <v>324</v>
      </c>
    </row>
    <row r="280">
      <c r="A280" s="10" t="s">
        <v>304</v>
      </c>
      <c r="B280" s="3" t="s">
        <v>305</v>
      </c>
      <c r="C280" s="4" t="s">
        <v>3</v>
      </c>
      <c r="D280" s="5" t="s">
        <v>15</v>
      </c>
      <c r="E280" s="6" t="s">
        <v>325</v>
      </c>
    </row>
    <row r="281">
      <c r="A281" s="10" t="s">
        <v>326</v>
      </c>
      <c r="B281" s="3" t="s">
        <v>327</v>
      </c>
      <c r="C281" s="4" t="s">
        <v>3</v>
      </c>
      <c r="D281" s="5" t="s">
        <v>120</v>
      </c>
      <c r="E281" s="6" t="s">
        <v>328</v>
      </c>
    </row>
    <row r="282">
      <c r="A282" s="10" t="s">
        <v>326</v>
      </c>
      <c r="B282" s="3" t="s">
        <v>327</v>
      </c>
      <c r="C282" s="4" t="s">
        <v>3</v>
      </c>
      <c r="D282" s="5" t="s">
        <v>23</v>
      </c>
      <c r="E282" s="6" t="s">
        <v>329</v>
      </c>
    </row>
    <row r="283" hidden="1">
      <c r="A283" s="10" t="s">
        <v>326</v>
      </c>
      <c r="B283" s="3" t="s">
        <v>327</v>
      </c>
      <c r="C283" s="4" t="s">
        <v>8</v>
      </c>
      <c r="D283" s="5" t="s">
        <v>13</v>
      </c>
      <c r="E283" s="6" t="s">
        <v>330</v>
      </c>
    </row>
    <row r="284">
      <c r="A284" s="10" t="s">
        <v>326</v>
      </c>
      <c r="B284" s="3" t="s">
        <v>327</v>
      </c>
      <c r="C284" s="4" t="s">
        <v>3</v>
      </c>
      <c r="D284" s="5" t="s">
        <v>11</v>
      </c>
      <c r="E284" s="6" t="s">
        <v>331</v>
      </c>
    </row>
    <row r="285">
      <c r="A285" s="10" t="s">
        <v>326</v>
      </c>
      <c r="B285" s="3" t="s">
        <v>327</v>
      </c>
      <c r="C285" s="4" t="s">
        <v>3</v>
      </c>
      <c r="D285" s="5" t="s">
        <v>120</v>
      </c>
      <c r="E285" s="6" t="s">
        <v>332</v>
      </c>
    </row>
    <row r="286" hidden="1">
      <c r="A286" s="10" t="s">
        <v>326</v>
      </c>
      <c r="B286" s="3" t="s">
        <v>327</v>
      </c>
      <c r="C286" s="4" t="s">
        <v>8</v>
      </c>
      <c r="D286" s="5" t="s">
        <v>35</v>
      </c>
      <c r="E286" s="6" t="s">
        <v>237</v>
      </c>
    </row>
    <row r="287" hidden="1">
      <c r="A287" s="10" t="s">
        <v>326</v>
      </c>
      <c r="B287" s="3" t="s">
        <v>327</v>
      </c>
      <c r="C287" s="4" t="s">
        <v>8</v>
      </c>
      <c r="D287" s="5" t="s">
        <v>42</v>
      </c>
      <c r="E287" s="6" t="s">
        <v>333</v>
      </c>
    </row>
    <row r="288" hidden="1">
      <c r="A288" s="10" t="s">
        <v>326</v>
      </c>
      <c r="B288" s="3" t="s">
        <v>327</v>
      </c>
      <c r="C288" s="4" t="s">
        <v>8</v>
      </c>
      <c r="D288" s="5" t="s">
        <v>11</v>
      </c>
      <c r="E288" s="6" t="s">
        <v>334</v>
      </c>
    </row>
    <row r="289" hidden="1">
      <c r="A289" s="10" t="s">
        <v>326</v>
      </c>
      <c r="B289" s="3" t="s">
        <v>327</v>
      </c>
      <c r="C289" s="4" t="s">
        <v>8</v>
      </c>
      <c r="D289" s="5" t="s">
        <v>11</v>
      </c>
      <c r="E289" s="6" t="s">
        <v>335</v>
      </c>
    </row>
    <row r="290" hidden="1">
      <c r="A290" s="10" t="s">
        <v>326</v>
      </c>
      <c r="B290" s="3" t="s">
        <v>327</v>
      </c>
      <c r="C290" s="4" t="s">
        <v>8</v>
      </c>
      <c r="D290" s="5" t="s">
        <v>45</v>
      </c>
      <c r="E290" s="6" t="s">
        <v>336</v>
      </c>
    </row>
    <row r="291">
      <c r="A291" s="10" t="s">
        <v>326</v>
      </c>
      <c r="B291" s="3" t="s">
        <v>327</v>
      </c>
      <c r="C291" s="4" t="s">
        <v>3</v>
      </c>
      <c r="D291" s="5" t="s">
        <v>11</v>
      </c>
      <c r="E291" s="6" t="s">
        <v>337</v>
      </c>
    </row>
    <row r="292" hidden="1">
      <c r="A292" s="10" t="s">
        <v>326</v>
      </c>
      <c r="B292" s="3" t="s">
        <v>327</v>
      </c>
      <c r="C292" s="4" t="s">
        <v>8</v>
      </c>
      <c r="D292" s="5" t="s">
        <v>17</v>
      </c>
      <c r="E292" s="6" t="s">
        <v>338</v>
      </c>
    </row>
    <row r="293" hidden="1">
      <c r="A293" s="10" t="s">
        <v>326</v>
      </c>
      <c r="B293" s="3" t="s">
        <v>327</v>
      </c>
      <c r="C293" s="4" t="s">
        <v>8</v>
      </c>
      <c r="D293" s="5" t="s">
        <v>76</v>
      </c>
      <c r="E293" s="6" t="s">
        <v>339</v>
      </c>
    </row>
    <row r="294">
      <c r="A294" s="10" t="s">
        <v>326</v>
      </c>
      <c r="B294" s="3" t="s">
        <v>327</v>
      </c>
      <c r="C294" s="4" t="s">
        <v>3</v>
      </c>
      <c r="D294" s="5" t="s">
        <v>21</v>
      </c>
      <c r="E294" s="6" t="s">
        <v>340</v>
      </c>
    </row>
    <row r="295">
      <c r="A295" s="10" t="s">
        <v>326</v>
      </c>
      <c r="B295" s="3" t="s">
        <v>327</v>
      </c>
      <c r="C295" s="4" t="s">
        <v>3</v>
      </c>
      <c r="D295" s="5" t="s">
        <v>51</v>
      </c>
      <c r="E295" s="6" t="s">
        <v>341</v>
      </c>
    </row>
    <row r="296" hidden="1">
      <c r="A296" s="10" t="s">
        <v>326</v>
      </c>
      <c r="B296" s="3" t="s">
        <v>327</v>
      </c>
      <c r="C296" s="4" t="s">
        <v>8</v>
      </c>
      <c r="D296" s="5" t="s">
        <v>42</v>
      </c>
      <c r="E296" s="6" t="s">
        <v>302</v>
      </c>
    </row>
    <row r="297">
      <c r="A297" s="10" t="s">
        <v>326</v>
      </c>
      <c r="B297" s="3" t="s">
        <v>327</v>
      </c>
      <c r="C297" s="4" t="s">
        <v>3</v>
      </c>
      <c r="D297" s="5" t="s">
        <v>4</v>
      </c>
      <c r="E297" s="6" t="s">
        <v>342</v>
      </c>
    </row>
    <row r="298">
      <c r="A298" s="10" t="s">
        <v>326</v>
      </c>
      <c r="B298" s="3" t="s">
        <v>327</v>
      </c>
      <c r="C298" s="4" t="s">
        <v>3</v>
      </c>
      <c r="D298" s="5" t="s">
        <v>15</v>
      </c>
      <c r="E298" s="6" t="s">
        <v>343</v>
      </c>
    </row>
    <row r="299" hidden="1">
      <c r="A299" s="10" t="s">
        <v>326</v>
      </c>
      <c r="B299" s="3" t="s">
        <v>327</v>
      </c>
      <c r="C299" s="4" t="s">
        <v>8</v>
      </c>
      <c r="D299" s="5" t="s">
        <v>28</v>
      </c>
      <c r="E299" s="6" t="s">
        <v>344</v>
      </c>
    </row>
    <row r="300">
      <c r="A300" s="10" t="s">
        <v>326</v>
      </c>
      <c r="B300" s="3" t="s">
        <v>327</v>
      </c>
      <c r="C300" s="4" t="s">
        <v>3</v>
      </c>
      <c r="D300" s="5" t="s">
        <v>28</v>
      </c>
      <c r="E300" s="6" t="s">
        <v>345</v>
      </c>
    </row>
    <row r="301" hidden="1">
      <c r="A301" s="10" t="s">
        <v>346</v>
      </c>
      <c r="B301" s="3" t="s">
        <v>347</v>
      </c>
      <c r="C301" s="4" t="s">
        <v>8</v>
      </c>
      <c r="D301" s="5" t="s">
        <v>23</v>
      </c>
      <c r="E301" s="6" t="s">
        <v>348</v>
      </c>
    </row>
    <row r="302" hidden="1">
      <c r="A302" s="10" t="s">
        <v>346</v>
      </c>
      <c r="B302" s="3" t="s">
        <v>347</v>
      </c>
      <c r="C302" s="4" t="s">
        <v>8</v>
      </c>
      <c r="D302" s="5" t="s">
        <v>28</v>
      </c>
      <c r="E302" s="6" t="s">
        <v>349</v>
      </c>
    </row>
    <row r="303">
      <c r="A303" s="10" t="s">
        <v>346</v>
      </c>
      <c r="B303" s="3" t="s">
        <v>347</v>
      </c>
      <c r="C303" s="4" t="s">
        <v>3</v>
      </c>
      <c r="D303" s="5" t="s">
        <v>6</v>
      </c>
      <c r="E303" s="6" t="s">
        <v>350</v>
      </c>
    </row>
    <row r="304">
      <c r="A304" s="10" t="s">
        <v>346</v>
      </c>
      <c r="B304" s="3" t="s">
        <v>347</v>
      </c>
      <c r="C304" s="4" t="s">
        <v>3</v>
      </c>
      <c r="D304" s="5" t="s">
        <v>51</v>
      </c>
      <c r="E304" s="6" t="s">
        <v>351</v>
      </c>
    </row>
    <row r="305" hidden="1">
      <c r="A305" s="10" t="s">
        <v>346</v>
      </c>
      <c r="B305" s="3" t="s">
        <v>347</v>
      </c>
      <c r="C305" s="4" t="s">
        <v>8</v>
      </c>
      <c r="D305" s="5" t="s">
        <v>21</v>
      </c>
      <c r="E305" s="6" t="s">
        <v>352</v>
      </c>
    </row>
    <row r="306">
      <c r="A306" s="10" t="s">
        <v>346</v>
      </c>
      <c r="B306" s="3" t="s">
        <v>347</v>
      </c>
      <c r="C306" s="4" t="s">
        <v>3</v>
      </c>
      <c r="D306" s="5" t="s">
        <v>15</v>
      </c>
      <c r="E306" s="6" t="s">
        <v>353</v>
      </c>
    </row>
    <row r="307" hidden="1">
      <c r="A307" s="10" t="s">
        <v>346</v>
      </c>
      <c r="B307" s="3" t="s">
        <v>347</v>
      </c>
      <c r="C307" s="4" t="s">
        <v>8</v>
      </c>
      <c r="D307" s="5" t="s">
        <v>45</v>
      </c>
      <c r="E307" s="6" t="s">
        <v>354</v>
      </c>
    </row>
    <row r="308" hidden="1">
      <c r="A308" s="10" t="s">
        <v>346</v>
      </c>
      <c r="B308" s="3" t="s">
        <v>347</v>
      </c>
      <c r="C308" s="4" t="s">
        <v>8</v>
      </c>
      <c r="D308" s="5" t="s">
        <v>71</v>
      </c>
      <c r="E308" s="6" t="s">
        <v>329</v>
      </c>
    </row>
    <row r="309" hidden="1">
      <c r="A309" s="10" t="s">
        <v>346</v>
      </c>
      <c r="B309" s="3" t="s">
        <v>347</v>
      </c>
      <c r="C309" s="4" t="s">
        <v>8</v>
      </c>
      <c r="D309" s="5" t="s">
        <v>45</v>
      </c>
      <c r="E309" s="6" t="s">
        <v>355</v>
      </c>
    </row>
    <row r="310">
      <c r="A310" s="10" t="s">
        <v>346</v>
      </c>
      <c r="B310" s="3" t="s">
        <v>347</v>
      </c>
      <c r="C310" s="4" t="s">
        <v>3</v>
      </c>
      <c r="D310" s="5" t="s">
        <v>51</v>
      </c>
      <c r="E310" s="6" t="s">
        <v>356</v>
      </c>
    </row>
    <row r="311">
      <c r="A311" s="10" t="s">
        <v>346</v>
      </c>
      <c r="B311" s="3" t="s">
        <v>347</v>
      </c>
      <c r="C311" s="4" t="s">
        <v>3</v>
      </c>
      <c r="D311" s="5" t="s">
        <v>23</v>
      </c>
      <c r="E311" s="6" t="s">
        <v>357</v>
      </c>
    </row>
    <row r="312">
      <c r="A312" s="10" t="s">
        <v>346</v>
      </c>
      <c r="B312" s="3" t="s">
        <v>347</v>
      </c>
      <c r="C312" s="4" t="s">
        <v>3</v>
      </c>
      <c r="D312" s="5" t="s">
        <v>4</v>
      </c>
      <c r="E312" s="6" t="s">
        <v>358</v>
      </c>
    </row>
    <row r="313">
      <c r="A313" s="10" t="s">
        <v>346</v>
      </c>
      <c r="B313" s="3" t="s">
        <v>347</v>
      </c>
      <c r="C313" s="4" t="s">
        <v>3</v>
      </c>
      <c r="D313" s="5" t="s">
        <v>9</v>
      </c>
      <c r="E313" s="6" t="s">
        <v>359</v>
      </c>
    </row>
    <row r="314">
      <c r="A314" s="10" t="s">
        <v>346</v>
      </c>
      <c r="B314" s="3" t="s">
        <v>347</v>
      </c>
      <c r="C314" s="4" t="s">
        <v>3</v>
      </c>
      <c r="D314" s="5" t="s">
        <v>13</v>
      </c>
      <c r="E314" s="6" t="s">
        <v>360</v>
      </c>
    </row>
    <row r="315">
      <c r="A315" s="10" t="s">
        <v>346</v>
      </c>
      <c r="B315" s="3" t="s">
        <v>347</v>
      </c>
      <c r="C315" s="4" t="s">
        <v>3</v>
      </c>
      <c r="D315" s="5" t="s">
        <v>17</v>
      </c>
      <c r="E315" s="6" t="s">
        <v>361</v>
      </c>
    </row>
    <row r="316" hidden="1">
      <c r="A316" s="10" t="s">
        <v>346</v>
      </c>
      <c r="B316" s="3" t="s">
        <v>347</v>
      </c>
      <c r="C316" s="4" t="s">
        <v>8</v>
      </c>
      <c r="D316" s="5" t="s">
        <v>39</v>
      </c>
      <c r="E316" s="6" t="s">
        <v>362</v>
      </c>
    </row>
    <row r="317">
      <c r="A317" s="10" t="s">
        <v>346</v>
      </c>
      <c r="B317" s="3" t="s">
        <v>347</v>
      </c>
      <c r="C317" s="4" t="s">
        <v>3</v>
      </c>
      <c r="D317" s="5" t="s">
        <v>11</v>
      </c>
      <c r="E317" s="6" t="s">
        <v>363</v>
      </c>
    </row>
    <row r="318">
      <c r="A318" s="10" t="s">
        <v>346</v>
      </c>
      <c r="B318" s="3" t="s">
        <v>347</v>
      </c>
      <c r="C318" s="4" t="s">
        <v>3</v>
      </c>
      <c r="D318" s="5" t="s">
        <v>39</v>
      </c>
      <c r="E318" s="6" t="s">
        <v>364</v>
      </c>
    </row>
    <row r="319" hidden="1">
      <c r="A319" s="10" t="s">
        <v>346</v>
      </c>
      <c r="B319" s="3" t="s">
        <v>347</v>
      </c>
      <c r="C319" s="4" t="s">
        <v>8</v>
      </c>
      <c r="D319" s="5" t="s">
        <v>6</v>
      </c>
      <c r="E319" s="6" t="s">
        <v>365</v>
      </c>
    </row>
    <row r="320">
      <c r="A320" s="10" t="s">
        <v>346</v>
      </c>
      <c r="B320" s="3" t="s">
        <v>347</v>
      </c>
      <c r="C320" s="4" t="s">
        <v>3</v>
      </c>
      <c r="D320" s="5" t="s">
        <v>15</v>
      </c>
      <c r="E320" s="6" t="s">
        <v>366</v>
      </c>
    </row>
    <row r="321" hidden="1">
      <c r="A321" s="10" t="s">
        <v>367</v>
      </c>
      <c r="B321" s="3" t="s">
        <v>368</v>
      </c>
      <c r="C321" s="4" t="s">
        <v>8</v>
      </c>
      <c r="D321" s="5" t="s">
        <v>15</v>
      </c>
      <c r="E321" s="6" t="s">
        <v>369</v>
      </c>
    </row>
    <row r="322">
      <c r="A322" s="10" t="s">
        <v>367</v>
      </c>
      <c r="B322" s="3" t="s">
        <v>368</v>
      </c>
      <c r="C322" s="4" t="s">
        <v>3</v>
      </c>
      <c r="D322" s="5" t="s">
        <v>39</v>
      </c>
      <c r="E322" s="6" t="s">
        <v>370</v>
      </c>
    </row>
    <row r="323">
      <c r="A323" s="10" t="s">
        <v>367</v>
      </c>
      <c r="B323" s="3" t="s">
        <v>368</v>
      </c>
      <c r="C323" s="4" t="s">
        <v>3</v>
      </c>
      <c r="D323" s="5" t="s">
        <v>19</v>
      </c>
      <c r="E323" s="6" t="s">
        <v>371</v>
      </c>
    </row>
    <row r="324" hidden="1">
      <c r="A324" s="10" t="s">
        <v>367</v>
      </c>
      <c r="B324" s="3" t="s">
        <v>368</v>
      </c>
      <c r="C324" s="4" t="s">
        <v>8</v>
      </c>
      <c r="D324" s="5" t="s">
        <v>6</v>
      </c>
      <c r="E324" s="6" t="s">
        <v>372</v>
      </c>
    </row>
    <row r="325" hidden="1">
      <c r="A325" s="10" t="s">
        <v>367</v>
      </c>
      <c r="B325" s="3" t="s">
        <v>368</v>
      </c>
      <c r="C325" s="4" t="s">
        <v>8</v>
      </c>
      <c r="D325" s="5" t="s">
        <v>51</v>
      </c>
      <c r="E325" s="6" t="s">
        <v>373</v>
      </c>
    </row>
    <row r="326">
      <c r="A326" s="10" t="s">
        <v>367</v>
      </c>
      <c r="B326" s="3" t="s">
        <v>368</v>
      </c>
      <c r="C326" s="4" t="s">
        <v>3</v>
      </c>
      <c r="D326" s="5" t="s">
        <v>51</v>
      </c>
      <c r="E326" s="6" t="s">
        <v>374</v>
      </c>
    </row>
    <row r="327">
      <c r="A327" s="10" t="s">
        <v>367</v>
      </c>
      <c r="B327" s="3" t="s">
        <v>368</v>
      </c>
      <c r="C327" s="4" t="s">
        <v>3</v>
      </c>
      <c r="D327" s="5" t="s">
        <v>6</v>
      </c>
      <c r="E327" s="6" t="s">
        <v>375</v>
      </c>
    </row>
    <row r="328">
      <c r="A328" s="10" t="s">
        <v>367</v>
      </c>
      <c r="B328" s="3" t="s">
        <v>368</v>
      </c>
      <c r="C328" s="4" t="s">
        <v>3</v>
      </c>
      <c r="D328" s="5" t="s">
        <v>45</v>
      </c>
      <c r="E328" s="6" t="s">
        <v>376</v>
      </c>
    </row>
    <row r="329">
      <c r="A329" s="10" t="s">
        <v>367</v>
      </c>
      <c r="B329" s="3" t="s">
        <v>368</v>
      </c>
      <c r="C329" s="4" t="s">
        <v>3</v>
      </c>
      <c r="D329" s="5" t="s">
        <v>120</v>
      </c>
      <c r="E329" s="6" t="s">
        <v>377</v>
      </c>
    </row>
    <row r="330">
      <c r="A330" s="10" t="s">
        <v>367</v>
      </c>
      <c r="B330" s="3" t="s">
        <v>368</v>
      </c>
      <c r="C330" s="4" t="s">
        <v>3</v>
      </c>
      <c r="D330" s="5" t="s">
        <v>71</v>
      </c>
      <c r="E330" s="6" t="s">
        <v>378</v>
      </c>
    </row>
    <row r="331">
      <c r="A331" s="10" t="s">
        <v>367</v>
      </c>
      <c r="B331" s="3" t="s">
        <v>368</v>
      </c>
      <c r="C331" s="4" t="s">
        <v>3</v>
      </c>
      <c r="D331" s="5" t="s">
        <v>4</v>
      </c>
      <c r="E331" s="6" t="s">
        <v>379</v>
      </c>
    </row>
    <row r="332" hidden="1">
      <c r="A332" s="10" t="s">
        <v>367</v>
      </c>
      <c r="B332" s="3" t="s">
        <v>368</v>
      </c>
      <c r="C332" s="4" t="s">
        <v>8</v>
      </c>
      <c r="D332" s="5" t="s">
        <v>13</v>
      </c>
      <c r="E332" s="6" t="s">
        <v>380</v>
      </c>
    </row>
    <row r="333" hidden="1">
      <c r="A333" s="10" t="s">
        <v>367</v>
      </c>
      <c r="B333" s="3" t="s">
        <v>368</v>
      </c>
      <c r="C333" s="4" t="s">
        <v>8</v>
      </c>
      <c r="D333" s="5" t="s">
        <v>39</v>
      </c>
      <c r="E333" s="6" t="s">
        <v>381</v>
      </c>
    </row>
    <row r="334" hidden="1">
      <c r="A334" s="10" t="s">
        <v>367</v>
      </c>
      <c r="B334" s="3" t="s">
        <v>368</v>
      </c>
      <c r="C334" s="4" t="s">
        <v>8</v>
      </c>
      <c r="D334" s="5" t="s">
        <v>51</v>
      </c>
      <c r="E334" s="6" t="s">
        <v>382</v>
      </c>
    </row>
    <row r="335">
      <c r="A335" s="10" t="s">
        <v>367</v>
      </c>
      <c r="B335" s="3" t="s">
        <v>368</v>
      </c>
      <c r="C335" s="4" t="s">
        <v>3</v>
      </c>
      <c r="D335" s="5" t="s">
        <v>21</v>
      </c>
      <c r="E335" s="6" t="s">
        <v>383</v>
      </c>
    </row>
    <row r="336">
      <c r="A336" s="10" t="s">
        <v>367</v>
      </c>
      <c r="B336" s="3" t="s">
        <v>368</v>
      </c>
      <c r="C336" s="4" t="s">
        <v>3</v>
      </c>
      <c r="D336" s="5" t="s">
        <v>21</v>
      </c>
      <c r="E336" s="6" t="s">
        <v>384</v>
      </c>
    </row>
    <row r="337" hidden="1">
      <c r="A337" s="10" t="s">
        <v>367</v>
      </c>
      <c r="B337" s="3" t="s">
        <v>368</v>
      </c>
      <c r="C337" s="4" t="s">
        <v>8</v>
      </c>
      <c r="D337" s="5" t="s">
        <v>45</v>
      </c>
      <c r="E337" s="6" t="s">
        <v>385</v>
      </c>
    </row>
    <row r="338" hidden="1">
      <c r="A338" s="10" t="s">
        <v>367</v>
      </c>
      <c r="B338" s="3" t="s">
        <v>368</v>
      </c>
      <c r="C338" s="4" t="s">
        <v>8</v>
      </c>
      <c r="D338" s="5" t="s">
        <v>9</v>
      </c>
      <c r="E338" s="6" t="s">
        <v>386</v>
      </c>
    </row>
    <row r="339">
      <c r="A339" s="10" t="s">
        <v>367</v>
      </c>
      <c r="B339" s="3" t="s">
        <v>368</v>
      </c>
      <c r="C339" s="4" t="s">
        <v>3</v>
      </c>
      <c r="D339" s="5" t="s">
        <v>23</v>
      </c>
      <c r="E339" s="6" t="s">
        <v>387</v>
      </c>
    </row>
    <row r="340">
      <c r="A340" s="10" t="s">
        <v>367</v>
      </c>
      <c r="B340" s="3" t="s">
        <v>368</v>
      </c>
      <c r="C340" s="4" t="s">
        <v>3</v>
      </c>
      <c r="D340" s="5" t="s">
        <v>11</v>
      </c>
      <c r="E340" s="6" t="s">
        <v>388</v>
      </c>
    </row>
    <row r="341">
      <c r="A341" s="10" t="s">
        <v>389</v>
      </c>
      <c r="B341" s="3" t="s">
        <v>390</v>
      </c>
      <c r="C341" s="4" t="s">
        <v>3</v>
      </c>
      <c r="D341" s="5" t="s">
        <v>45</v>
      </c>
      <c r="E341" s="6" t="s">
        <v>293</v>
      </c>
    </row>
    <row r="342" hidden="1">
      <c r="A342" s="10" t="s">
        <v>389</v>
      </c>
      <c r="B342" s="3" t="s">
        <v>390</v>
      </c>
      <c r="C342" s="4" t="s">
        <v>8</v>
      </c>
      <c r="D342" s="5" t="s">
        <v>39</v>
      </c>
      <c r="E342" s="6" t="s">
        <v>391</v>
      </c>
    </row>
    <row r="343">
      <c r="A343" s="10" t="s">
        <v>389</v>
      </c>
      <c r="B343" s="3" t="s">
        <v>390</v>
      </c>
      <c r="C343" s="4" t="s">
        <v>3</v>
      </c>
      <c r="D343" s="5" t="s">
        <v>45</v>
      </c>
      <c r="E343" s="6" t="s">
        <v>392</v>
      </c>
    </row>
    <row r="344">
      <c r="A344" s="10" t="s">
        <v>389</v>
      </c>
      <c r="B344" s="3" t="s">
        <v>390</v>
      </c>
      <c r="C344" s="4" t="s">
        <v>3</v>
      </c>
      <c r="D344" s="5" t="s">
        <v>76</v>
      </c>
      <c r="E344" s="6" t="s">
        <v>393</v>
      </c>
    </row>
    <row r="345" hidden="1">
      <c r="A345" s="10" t="s">
        <v>389</v>
      </c>
      <c r="B345" s="3" t="s">
        <v>390</v>
      </c>
      <c r="C345" s="4" t="s">
        <v>8</v>
      </c>
      <c r="D345" s="5" t="s">
        <v>6</v>
      </c>
      <c r="E345" s="6" t="s">
        <v>394</v>
      </c>
    </row>
    <row r="346">
      <c r="A346" s="10" t="s">
        <v>389</v>
      </c>
      <c r="B346" s="3" t="s">
        <v>390</v>
      </c>
      <c r="C346" s="4" t="s">
        <v>3</v>
      </c>
      <c r="D346" s="5" t="s">
        <v>9</v>
      </c>
      <c r="E346" s="6" t="s">
        <v>395</v>
      </c>
    </row>
    <row r="347">
      <c r="A347" s="10" t="s">
        <v>389</v>
      </c>
      <c r="B347" s="3" t="s">
        <v>390</v>
      </c>
      <c r="C347" s="4" t="s">
        <v>3</v>
      </c>
      <c r="D347" s="5" t="s">
        <v>21</v>
      </c>
      <c r="E347" s="6" t="s">
        <v>396</v>
      </c>
    </row>
    <row r="348" hidden="1">
      <c r="A348" s="10" t="s">
        <v>389</v>
      </c>
      <c r="B348" s="3" t="s">
        <v>390</v>
      </c>
      <c r="C348" s="4" t="s">
        <v>8</v>
      </c>
      <c r="D348" s="5" t="s">
        <v>120</v>
      </c>
      <c r="E348" s="6" t="s">
        <v>397</v>
      </c>
    </row>
    <row r="349" hidden="1">
      <c r="A349" s="10" t="s">
        <v>389</v>
      </c>
      <c r="B349" s="3" t="s">
        <v>390</v>
      </c>
      <c r="C349" s="4" t="s">
        <v>8</v>
      </c>
      <c r="D349" s="5" t="s">
        <v>28</v>
      </c>
      <c r="E349" s="6" t="s">
        <v>398</v>
      </c>
    </row>
    <row r="350" hidden="1">
      <c r="A350" s="10" t="s">
        <v>389</v>
      </c>
      <c r="B350" s="3" t="s">
        <v>390</v>
      </c>
      <c r="C350" s="4" t="s">
        <v>8</v>
      </c>
      <c r="D350" s="5" t="s">
        <v>35</v>
      </c>
      <c r="E350" s="6" t="s">
        <v>399</v>
      </c>
    </row>
    <row r="351">
      <c r="A351" s="10" t="s">
        <v>389</v>
      </c>
      <c r="B351" s="3" t="s">
        <v>390</v>
      </c>
      <c r="C351" s="4" t="s">
        <v>3</v>
      </c>
      <c r="D351" s="5" t="s">
        <v>45</v>
      </c>
      <c r="E351" s="6" t="s">
        <v>400</v>
      </c>
    </row>
    <row r="352" hidden="1">
      <c r="A352" s="10" t="s">
        <v>389</v>
      </c>
      <c r="B352" s="3" t="s">
        <v>390</v>
      </c>
      <c r="C352" s="4" t="s">
        <v>8</v>
      </c>
      <c r="D352" s="5" t="s">
        <v>19</v>
      </c>
      <c r="E352" s="6" t="s">
        <v>401</v>
      </c>
    </row>
    <row r="353">
      <c r="A353" s="10" t="s">
        <v>389</v>
      </c>
      <c r="B353" s="3" t="s">
        <v>390</v>
      </c>
      <c r="C353" s="4" t="s">
        <v>3</v>
      </c>
      <c r="D353" s="5" t="s">
        <v>9</v>
      </c>
      <c r="E353" s="6" t="s">
        <v>179</v>
      </c>
    </row>
    <row r="354" hidden="1">
      <c r="A354" s="10" t="s">
        <v>389</v>
      </c>
      <c r="B354" s="3" t="s">
        <v>390</v>
      </c>
      <c r="C354" s="4" t="s">
        <v>8</v>
      </c>
      <c r="D354" s="5" t="s">
        <v>35</v>
      </c>
      <c r="E354" s="6" t="s">
        <v>402</v>
      </c>
    </row>
    <row r="355" hidden="1">
      <c r="A355" s="10" t="s">
        <v>389</v>
      </c>
      <c r="B355" s="3" t="s">
        <v>390</v>
      </c>
      <c r="C355" s="4" t="s">
        <v>8</v>
      </c>
      <c r="D355" s="5" t="s">
        <v>9</v>
      </c>
      <c r="E355" s="6" t="s">
        <v>276</v>
      </c>
    </row>
    <row r="356" hidden="1">
      <c r="A356" s="10" t="s">
        <v>389</v>
      </c>
      <c r="B356" s="3" t="s">
        <v>390</v>
      </c>
      <c r="C356" s="4" t="s">
        <v>8</v>
      </c>
      <c r="D356" s="5" t="s">
        <v>9</v>
      </c>
      <c r="E356" s="6" t="s">
        <v>403</v>
      </c>
    </row>
    <row r="357">
      <c r="A357" s="10" t="s">
        <v>389</v>
      </c>
      <c r="B357" s="3" t="s">
        <v>390</v>
      </c>
      <c r="C357" s="4" t="s">
        <v>3</v>
      </c>
      <c r="D357" s="5" t="s">
        <v>4</v>
      </c>
      <c r="E357" s="6" t="s">
        <v>404</v>
      </c>
    </row>
    <row r="358">
      <c r="A358" s="10" t="s">
        <v>389</v>
      </c>
      <c r="B358" s="3" t="s">
        <v>390</v>
      </c>
      <c r="C358" s="4" t="s">
        <v>3</v>
      </c>
      <c r="D358" s="5" t="s">
        <v>45</v>
      </c>
      <c r="E358" s="6" t="s">
        <v>405</v>
      </c>
    </row>
    <row r="359">
      <c r="A359" s="10" t="s">
        <v>389</v>
      </c>
      <c r="B359" s="3" t="s">
        <v>390</v>
      </c>
      <c r="C359" s="4" t="s">
        <v>3</v>
      </c>
      <c r="D359" s="5" t="s">
        <v>21</v>
      </c>
      <c r="E359" s="6" t="s">
        <v>406</v>
      </c>
    </row>
    <row r="360" hidden="1">
      <c r="A360" s="10" t="s">
        <v>389</v>
      </c>
      <c r="B360" s="3" t="s">
        <v>390</v>
      </c>
      <c r="C360" s="4" t="s">
        <v>8</v>
      </c>
      <c r="D360" s="5" t="s">
        <v>23</v>
      </c>
      <c r="E360" s="6" t="s">
        <v>407</v>
      </c>
    </row>
    <row r="361" hidden="1">
      <c r="A361" s="10" t="s">
        <v>408</v>
      </c>
      <c r="B361" s="3" t="s">
        <v>409</v>
      </c>
      <c r="C361" s="4" t="s">
        <v>8</v>
      </c>
      <c r="D361" s="5" t="s">
        <v>45</v>
      </c>
      <c r="E361" s="6" t="s">
        <v>410</v>
      </c>
    </row>
    <row r="362">
      <c r="A362" s="10" t="s">
        <v>408</v>
      </c>
      <c r="B362" s="3" t="s">
        <v>409</v>
      </c>
      <c r="C362" s="4" t="s">
        <v>3</v>
      </c>
      <c r="D362" s="5" t="s">
        <v>11</v>
      </c>
      <c r="E362" s="6" t="s">
        <v>411</v>
      </c>
    </row>
    <row r="363" hidden="1">
      <c r="A363" s="10" t="s">
        <v>408</v>
      </c>
      <c r="B363" s="3" t="s">
        <v>409</v>
      </c>
      <c r="C363" s="4" t="s">
        <v>8</v>
      </c>
      <c r="D363" s="5" t="s">
        <v>23</v>
      </c>
      <c r="E363" s="6" t="s">
        <v>412</v>
      </c>
    </row>
    <row r="364">
      <c r="A364" s="10" t="s">
        <v>408</v>
      </c>
      <c r="B364" s="3" t="s">
        <v>409</v>
      </c>
      <c r="C364" s="4" t="s">
        <v>3</v>
      </c>
      <c r="D364" s="5" t="s">
        <v>51</v>
      </c>
      <c r="E364" s="6" t="s">
        <v>413</v>
      </c>
    </row>
    <row r="365" hidden="1">
      <c r="A365" s="10" t="s">
        <v>408</v>
      </c>
      <c r="B365" s="3" t="s">
        <v>409</v>
      </c>
      <c r="C365" s="4" t="s">
        <v>8</v>
      </c>
      <c r="D365" s="5" t="s">
        <v>11</v>
      </c>
      <c r="E365" s="6" t="s">
        <v>414</v>
      </c>
    </row>
    <row r="366">
      <c r="A366" s="10" t="s">
        <v>408</v>
      </c>
      <c r="B366" s="3" t="s">
        <v>409</v>
      </c>
      <c r="C366" s="4" t="s">
        <v>3</v>
      </c>
      <c r="D366" s="5" t="s">
        <v>96</v>
      </c>
      <c r="E366" s="6" t="s">
        <v>415</v>
      </c>
    </row>
    <row r="367" hidden="1">
      <c r="A367" s="10" t="s">
        <v>408</v>
      </c>
      <c r="B367" s="3" t="s">
        <v>409</v>
      </c>
      <c r="C367" s="4" t="s">
        <v>8</v>
      </c>
      <c r="D367" s="5" t="s">
        <v>28</v>
      </c>
      <c r="E367" s="6" t="s">
        <v>416</v>
      </c>
    </row>
    <row r="368" hidden="1">
      <c r="A368" s="10" t="s">
        <v>408</v>
      </c>
      <c r="B368" s="3" t="s">
        <v>409</v>
      </c>
      <c r="C368" s="4" t="s">
        <v>8</v>
      </c>
      <c r="D368" s="5" t="s">
        <v>45</v>
      </c>
      <c r="E368" s="6" t="s">
        <v>417</v>
      </c>
    </row>
    <row r="369">
      <c r="A369" s="10" t="s">
        <v>408</v>
      </c>
      <c r="B369" s="3" t="s">
        <v>409</v>
      </c>
      <c r="C369" s="4" t="s">
        <v>3</v>
      </c>
      <c r="D369" s="5" t="s">
        <v>19</v>
      </c>
      <c r="E369" s="6" t="s">
        <v>418</v>
      </c>
    </row>
    <row r="370">
      <c r="A370" s="10" t="s">
        <v>408</v>
      </c>
      <c r="B370" s="3" t="s">
        <v>409</v>
      </c>
      <c r="C370" s="4" t="s">
        <v>3</v>
      </c>
      <c r="D370" s="5" t="s">
        <v>11</v>
      </c>
      <c r="E370" s="6" t="s">
        <v>419</v>
      </c>
    </row>
    <row r="371">
      <c r="A371" s="10" t="s">
        <v>408</v>
      </c>
      <c r="B371" s="3" t="s">
        <v>409</v>
      </c>
      <c r="C371" s="4" t="s">
        <v>3</v>
      </c>
      <c r="D371" s="5" t="s">
        <v>6</v>
      </c>
      <c r="E371" s="6" t="s">
        <v>420</v>
      </c>
    </row>
    <row r="372">
      <c r="A372" s="10" t="s">
        <v>408</v>
      </c>
      <c r="B372" s="3" t="s">
        <v>409</v>
      </c>
      <c r="C372" s="4" t="s">
        <v>3</v>
      </c>
      <c r="D372" s="5" t="s">
        <v>4</v>
      </c>
      <c r="E372" s="6" t="s">
        <v>421</v>
      </c>
    </row>
    <row r="373" hidden="1">
      <c r="A373" s="10" t="s">
        <v>408</v>
      </c>
      <c r="B373" s="3" t="s">
        <v>409</v>
      </c>
      <c r="C373" s="4" t="s">
        <v>8</v>
      </c>
      <c r="D373" s="5" t="s">
        <v>21</v>
      </c>
      <c r="E373" s="6" t="s">
        <v>422</v>
      </c>
    </row>
    <row r="374" hidden="1">
      <c r="A374" s="10" t="s">
        <v>408</v>
      </c>
      <c r="B374" s="3" t="s">
        <v>409</v>
      </c>
      <c r="C374" s="4" t="s">
        <v>8</v>
      </c>
      <c r="D374" s="5" t="s">
        <v>17</v>
      </c>
      <c r="E374" s="6" t="s">
        <v>423</v>
      </c>
    </row>
    <row r="375" hidden="1">
      <c r="A375" s="10" t="s">
        <v>408</v>
      </c>
      <c r="B375" s="3" t="s">
        <v>409</v>
      </c>
      <c r="C375" s="4" t="s">
        <v>8</v>
      </c>
      <c r="D375" s="5" t="s">
        <v>120</v>
      </c>
      <c r="E375" s="6" t="s">
        <v>424</v>
      </c>
    </row>
    <row r="376" hidden="1">
      <c r="A376" s="10" t="s">
        <v>408</v>
      </c>
      <c r="B376" s="3" t="s">
        <v>409</v>
      </c>
      <c r="C376" s="4" t="s">
        <v>8</v>
      </c>
      <c r="D376" s="5" t="s">
        <v>71</v>
      </c>
      <c r="E376" s="6" t="s">
        <v>425</v>
      </c>
    </row>
    <row r="377" hidden="1">
      <c r="A377" s="10" t="s">
        <v>408</v>
      </c>
      <c r="B377" s="3" t="s">
        <v>409</v>
      </c>
      <c r="C377" s="4" t="s">
        <v>8</v>
      </c>
      <c r="D377" s="5" t="s">
        <v>21</v>
      </c>
      <c r="E377" s="6" t="s">
        <v>426</v>
      </c>
    </row>
    <row r="378" hidden="1">
      <c r="A378" s="10" t="s">
        <v>408</v>
      </c>
      <c r="B378" s="3" t="s">
        <v>409</v>
      </c>
      <c r="C378" s="4" t="s">
        <v>8</v>
      </c>
      <c r="D378" s="5" t="s">
        <v>21</v>
      </c>
      <c r="E378" s="6" t="s">
        <v>427</v>
      </c>
    </row>
    <row r="379">
      <c r="A379" s="10" t="s">
        <v>408</v>
      </c>
      <c r="B379" s="3" t="s">
        <v>409</v>
      </c>
      <c r="C379" s="4" t="s">
        <v>3</v>
      </c>
      <c r="D379" s="5" t="s">
        <v>42</v>
      </c>
      <c r="E379" s="6" t="s">
        <v>428</v>
      </c>
    </row>
    <row r="380">
      <c r="A380" s="10" t="s">
        <v>408</v>
      </c>
      <c r="B380" s="3" t="s">
        <v>409</v>
      </c>
      <c r="C380" s="4" t="s">
        <v>3</v>
      </c>
      <c r="D380" s="5" t="s">
        <v>51</v>
      </c>
      <c r="E380" s="6" t="s">
        <v>255</v>
      </c>
    </row>
    <row r="381" hidden="1">
      <c r="A381" s="10" t="s">
        <v>429</v>
      </c>
      <c r="B381" s="3" t="s">
        <v>430</v>
      </c>
      <c r="C381" s="4" t="s">
        <v>8</v>
      </c>
      <c r="D381" s="5" t="s">
        <v>6</v>
      </c>
      <c r="E381" s="6" t="s">
        <v>431</v>
      </c>
    </row>
    <row r="382">
      <c r="A382" s="10" t="s">
        <v>429</v>
      </c>
      <c r="B382" s="3" t="s">
        <v>430</v>
      </c>
      <c r="C382" s="4" t="s">
        <v>3</v>
      </c>
      <c r="D382" s="5" t="s">
        <v>35</v>
      </c>
      <c r="E382" s="6" t="s">
        <v>432</v>
      </c>
    </row>
    <row r="383" hidden="1">
      <c r="A383" s="10" t="s">
        <v>429</v>
      </c>
      <c r="B383" s="3" t="s">
        <v>430</v>
      </c>
      <c r="C383" s="4" t="s">
        <v>8</v>
      </c>
      <c r="D383" s="5" t="s">
        <v>71</v>
      </c>
      <c r="E383" s="6" t="s">
        <v>433</v>
      </c>
    </row>
    <row r="384" hidden="1">
      <c r="A384" s="10" t="s">
        <v>429</v>
      </c>
      <c r="B384" s="3" t="s">
        <v>430</v>
      </c>
      <c r="C384" s="4" t="s">
        <v>8</v>
      </c>
      <c r="D384" s="5" t="s">
        <v>35</v>
      </c>
      <c r="E384" s="6" t="s">
        <v>434</v>
      </c>
    </row>
    <row r="385" hidden="1">
      <c r="A385" s="10" t="s">
        <v>429</v>
      </c>
      <c r="B385" s="3" t="s">
        <v>430</v>
      </c>
      <c r="C385" s="4" t="s">
        <v>8</v>
      </c>
      <c r="D385" s="5" t="s">
        <v>42</v>
      </c>
      <c r="E385" s="6" t="s">
        <v>208</v>
      </c>
    </row>
    <row r="386">
      <c r="A386" s="10" t="s">
        <v>429</v>
      </c>
      <c r="B386" s="3" t="s">
        <v>430</v>
      </c>
      <c r="C386" s="4" t="s">
        <v>3</v>
      </c>
      <c r="D386" s="5" t="s">
        <v>42</v>
      </c>
      <c r="E386" s="6" t="s">
        <v>435</v>
      </c>
    </row>
    <row r="387" hidden="1">
      <c r="A387" s="10" t="s">
        <v>429</v>
      </c>
      <c r="B387" s="3" t="s">
        <v>430</v>
      </c>
      <c r="C387" s="4" t="s">
        <v>8</v>
      </c>
      <c r="D387" s="5" t="s">
        <v>76</v>
      </c>
      <c r="E387" s="6" t="s">
        <v>436</v>
      </c>
    </row>
    <row r="388">
      <c r="A388" s="10" t="s">
        <v>429</v>
      </c>
      <c r="B388" s="3" t="s">
        <v>430</v>
      </c>
      <c r="C388" s="4" t="s">
        <v>3</v>
      </c>
      <c r="D388" s="5" t="s">
        <v>39</v>
      </c>
      <c r="E388" s="6" t="s">
        <v>437</v>
      </c>
    </row>
    <row r="389" hidden="1">
      <c r="A389" s="10" t="s">
        <v>429</v>
      </c>
      <c r="B389" s="3" t="s">
        <v>430</v>
      </c>
      <c r="C389" s="4" t="s">
        <v>8</v>
      </c>
      <c r="D389" s="5" t="s">
        <v>71</v>
      </c>
      <c r="E389" s="6" t="s">
        <v>438</v>
      </c>
    </row>
    <row r="390">
      <c r="A390" s="10" t="s">
        <v>429</v>
      </c>
      <c r="B390" s="3" t="s">
        <v>430</v>
      </c>
      <c r="C390" s="4" t="s">
        <v>3</v>
      </c>
      <c r="D390" s="5" t="s">
        <v>42</v>
      </c>
      <c r="E390" s="6" t="s">
        <v>439</v>
      </c>
    </row>
    <row r="391">
      <c r="A391" s="10" t="s">
        <v>429</v>
      </c>
      <c r="B391" s="3" t="s">
        <v>430</v>
      </c>
      <c r="C391" s="4" t="s">
        <v>3</v>
      </c>
      <c r="D391" s="5" t="s">
        <v>28</v>
      </c>
      <c r="E391" s="6" t="s">
        <v>440</v>
      </c>
    </row>
    <row r="392">
      <c r="A392" s="10" t="s">
        <v>429</v>
      </c>
      <c r="B392" s="3" t="s">
        <v>430</v>
      </c>
      <c r="C392" s="4" t="s">
        <v>3</v>
      </c>
      <c r="D392" s="5" t="s">
        <v>21</v>
      </c>
      <c r="E392" s="6" t="s">
        <v>441</v>
      </c>
    </row>
    <row r="393" hidden="1">
      <c r="A393" s="10" t="s">
        <v>429</v>
      </c>
      <c r="B393" s="3" t="s">
        <v>430</v>
      </c>
      <c r="C393" s="4" t="s">
        <v>8</v>
      </c>
      <c r="D393" s="5" t="s">
        <v>45</v>
      </c>
      <c r="E393" s="6" t="s">
        <v>442</v>
      </c>
    </row>
    <row r="394">
      <c r="A394" s="10" t="s">
        <v>429</v>
      </c>
      <c r="B394" s="3" t="s">
        <v>430</v>
      </c>
      <c r="C394" s="4" t="s">
        <v>3</v>
      </c>
      <c r="D394" s="5" t="s">
        <v>120</v>
      </c>
      <c r="E394" s="6" t="s">
        <v>443</v>
      </c>
    </row>
    <row r="395">
      <c r="A395" s="10" t="s">
        <v>429</v>
      </c>
      <c r="B395" s="3" t="s">
        <v>430</v>
      </c>
      <c r="C395" s="4" t="s">
        <v>3</v>
      </c>
      <c r="D395" s="5" t="s">
        <v>120</v>
      </c>
      <c r="E395" s="6" t="s">
        <v>444</v>
      </c>
    </row>
    <row r="396">
      <c r="A396" s="10" t="s">
        <v>429</v>
      </c>
      <c r="B396" s="3" t="s">
        <v>430</v>
      </c>
      <c r="C396" s="4" t="s">
        <v>3</v>
      </c>
      <c r="D396" s="5" t="s">
        <v>13</v>
      </c>
      <c r="E396" s="6" t="s">
        <v>445</v>
      </c>
    </row>
    <row r="397" hidden="1">
      <c r="A397" s="10" t="s">
        <v>429</v>
      </c>
      <c r="B397" s="3" t="s">
        <v>430</v>
      </c>
      <c r="C397" s="4" t="s">
        <v>8</v>
      </c>
      <c r="D397" s="5" t="s">
        <v>11</v>
      </c>
      <c r="E397" s="6" t="s">
        <v>446</v>
      </c>
    </row>
    <row r="398" hidden="1">
      <c r="A398" s="10" t="s">
        <v>429</v>
      </c>
      <c r="B398" s="3" t="s">
        <v>430</v>
      </c>
      <c r="C398" s="4" t="s">
        <v>8</v>
      </c>
      <c r="D398" s="5" t="s">
        <v>120</v>
      </c>
      <c r="E398" s="6" t="s">
        <v>447</v>
      </c>
    </row>
    <row r="399">
      <c r="A399" s="10" t="s">
        <v>429</v>
      </c>
      <c r="B399" s="3" t="s">
        <v>430</v>
      </c>
      <c r="C399" s="4" t="s">
        <v>3</v>
      </c>
      <c r="D399" s="5" t="s">
        <v>28</v>
      </c>
      <c r="E399" s="6" t="s">
        <v>448</v>
      </c>
    </row>
    <row r="400">
      <c r="A400" s="10" t="s">
        <v>429</v>
      </c>
      <c r="B400" s="3" t="s">
        <v>430</v>
      </c>
      <c r="C400" s="4" t="s">
        <v>3</v>
      </c>
      <c r="D400" s="5" t="s">
        <v>23</v>
      </c>
      <c r="E400" s="6" t="s">
        <v>449</v>
      </c>
    </row>
    <row r="401">
      <c r="A401" s="10" t="s">
        <v>450</v>
      </c>
      <c r="B401" s="3" t="s">
        <v>451</v>
      </c>
      <c r="C401" s="4" t="s">
        <v>3</v>
      </c>
      <c r="D401" s="5" t="s">
        <v>15</v>
      </c>
      <c r="E401" s="6" t="s">
        <v>452</v>
      </c>
    </row>
    <row r="402">
      <c r="A402" s="10" t="s">
        <v>450</v>
      </c>
      <c r="B402" s="3" t="s">
        <v>451</v>
      </c>
      <c r="C402" s="4" t="s">
        <v>3</v>
      </c>
      <c r="D402" s="5" t="s">
        <v>96</v>
      </c>
      <c r="E402" s="6" t="s">
        <v>453</v>
      </c>
    </row>
    <row r="403">
      <c r="A403" s="10" t="s">
        <v>450</v>
      </c>
      <c r="B403" s="3" t="s">
        <v>451</v>
      </c>
      <c r="C403" s="4" t="s">
        <v>3</v>
      </c>
      <c r="D403" s="5" t="s">
        <v>17</v>
      </c>
      <c r="E403" s="6" t="s">
        <v>454</v>
      </c>
    </row>
    <row r="404">
      <c r="A404" s="10" t="s">
        <v>450</v>
      </c>
      <c r="B404" s="3" t="s">
        <v>451</v>
      </c>
      <c r="C404" s="4" t="s">
        <v>3</v>
      </c>
      <c r="D404" s="5" t="s">
        <v>42</v>
      </c>
      <c r="E404" s="6" t="s">
        <v>455</v>
      </c>
    </row>
    <row r="405">
      <c r="A405" s="10" t="s">
        <v>450</v>
      </c>
      <c r="B405" s="3" t="s">
        <v>451</v>
      </c>
      <c r="C405" s="4" t="s">
        <v>3</v>
      </c>
      <c r="D405" s="5" t="s">
        <v>21</v>
      </c>
      <c r="E405" s="6" t="s">
        <v>456</v>
      </c>
    </row>
    <row r="406">
      <c r="A406" s="10" t="s">
        <v>450</v>
      </c>
      <c r="B406" s="3" t="s">
        <v>451</v>
      </c>
      <c r="C406" s="4" t="s">
        <v>3</v>
      </c>
      <c r="D406" s="5" t="s">
        <v>4</v>
      </c>
      <c r="E406" s="6" t="s">
        <v>457</v>
      </c>
    </row>
    <row r="407">
      <c r="A407" s="10" t="s">
        <v>450</v>
      </c>
      <c r="B407" s="3" t="s">
        <v>451</v>
      </c>
      <c r="C407" s="4" t="s">
        <v>3</v>
      </c>
      <c r="D407" s="5" t="s">
        <v>96</v>
      </c>
      <c r="E407" s="6" t="s">
        <v>458</v>
      </c>
    </row>
    <row r="408" hidden="1">
      <c r="A408" s="10" t="s">
        <v>450</v>
      </c>
      <c r="B408" s="3" t="s">
        <v>451</v>
      </c>
      <c r="C408" s="4" t="s">
        <v>8</v>
      </c>
      <c r="D408" s="5" t="s">
        <v>120</v>
      </c>
      <c r="E408" s="6" t="s">
        <v>459</v>
      </c>
    </row>
    <row r="409">
      <c r="A409" s="10" t="s">
        <v>450</v>
      </c>
      <c r="B409" s="3" t="s">
        <v>451</v>
      </c>
      <c r="C409" s="4" t="s">
        <v>3</v>
      </c>
      <c r="D409" s="5" t="s">
        <v>4</v>
      </c>
      <c r="E409" s="6" t="s">
        <v>460</v>
      </c>
    </row>
    <row r="410">
      <c r="A410" s="10" t="s">
        <v>450</v>
      </c>
      <c r="B410" s="3" t="s">
        <v>451</v>
      </c>
      <c r="C410" s="4" t="s">
        <v>3</v>
      </c>
      <c r="D410" s="5" t="s">
        <v>15</v>
      </c>
      <c r="E410" s="6" t="s">
        <v>257</v>
      </c>
    </row>
    <row r="411" hidden="1">
      <c r="A411" s="10" t="s">
        <v>450</v>
      </c>
      <c r="B411" s="3" t="s">
        <v>451</v>
      </c>
      <c r="C411" s="4" t="s">
        <v>8</v>
      </c>
      <c r="D411" s="5" t="s">
        <v>19</v>
      </c>
      <c r="E411" s="6" t="s">
        <v>461</v>
      </c>
    </row>
    <row r="412">
      <c r="A412" s="10" t="s">
        <v>450</v>
      </c>
      <c r="B412" s="3" t="s">
        <v>451</v>
      </c>
      <c r="C412" s="4" t="s">
        <v>3</v>
      </c>
      <c r="D412" s="5" t="s">
        <v>13</v>
      </c>
      <c r="E412" s="6" t="s">
        <v>462</v>
      </c>
    </row>
    <row r="413" hidden="1">
      <c r="A413" s="10" t="s">
        <v>450</v>
      </c>
      <c r="B413" s="3" t="s">
        <v>451</v>
      </c>
      <c r="C413" s="4" t="s">
        <v>8</v>
      </c>
      <c r="D413" s="5" t="s">
        <v>45</v>
      </c>
      <c r="E413" s="6" t="s">
        <v>463</v>
      </c>
    </row>
    <row r="414" hidden="1">
      <c r="A414" s="10" t="s">
        <v>450</v>
      </c>
      <c r="B414" s="3" t="s">
        <v>451</v>
      </c>
      <c r="C414" s="4" t="s">
        <v>8</v>
      </c>
      <c r="D414" s="5" t="s">
        <v>4</v>
      </c>
      <c r="E414" s="6" t="s">
        <v>464</v>
      </c>
    </row>
    <row r="415">
      <c r="A415" s="10" t="s">
        <v>450</v>
      </c>
      <c r="B415" s="3" t="s">
        <v>451</v>
      </c>
      <c r="C415" s="4" t="s">
        <v>3</v>
      </c>
      <c r="D415" s="5" t="s">
        <v>51</v>
      </c>
      <c r="E415" s="6" t="s">
        <v>97</v>
      </c>
    </row>
    <row r="416">
      <c r="A416" s="10" t="s">
        <v>450</v>
      </c>
      <c r="B416" s="3" t="s">
        <v>451</v>
      </c>
      <c r="C416" s="4" t="s">
        <v>3</v>
      </c>
      <c r="D416" s="5" t="s">
        <v>11</v>
      </c>
      <c r="E416" s="6" t="s">
        <v>465</v>
      </c>
    </row>
    <row r="417">
      <c r="A417" s="10" t="s">
        <v>450</v>
      </c>
      <c r="B417" s="3" t="s">
        <v>451</v>
      </c>
      <c r="C417" s="4" t="s">
        <v>3</v>
      </c>
      <c r="D417" s="5" t="s">
        <v>35</v>
      </c>
      <c r="E417" s="6" t="s">
        <v>466</v>
      </c>
    </row>
    <row r="418" hidden="1">
      <c r="A418" s="10" t="s">
        <v>450</v>
      </c>
      <c r="B418" s="3" t="s">
        <v>451</v>
      </c>
      <c r="C418" s="4" t="s">
        <v>8</v>
      </c>
      <c r="D418" s="5" t="s">
        <v>23</v>
      </c>
      <c r="E418" s="6" t="s">
        <v>467</v>
      </c>
    </row>
    <row r="419" hidden="1">
      <c r="A419" s="10" t="s">
        <v>450</v>
      </c>
      <c r="B419" s="3" t="s">
        <v>451</v>
      </c>
      <c r="C419" s="4" t="s">
        <v>8</v>
      </c>
      <c r="D419" s="5" t="s">
        <v>11</v>
      </c>
      <c r="E419" s="6" t="s">
        <v>468</v>
      </c>
    </row>
    <row r="420">
      <c r="A420" s="10" t="s">
        <v>450</v>
      </c>
      <c r="B420" s="3" t="s">
        <v>451</v>
      </c>
      <c r="C420" s="4" t="s">
        <v>3</v>
      </c>
      <c r="D420" s="5" t="s">
        <v>13</v>
      </c>
      <c r="E420" s="6" t="s">
        <v>469</v>
      </c>
    </row>
    <row r="421">
      <c r="A421" s="10" t="s">
        <v>470</v>
      </c>
      <c r="B421" s="3" t="s">
        <v>471</v>
      </c>
      <c r="C421" s="4" t="s">
        <v>3</v>
      </c>
      <c r="D421" s="5" t="s">
        <v>42</v>
      </c>
      <c r="E421" s="6" t="s">
        <v>472</v>
      </c>
    </row>
    <row r="422">
      <c r="A422" s="10" t="s">
        <v>470</v>
      </c>
      <c r="B422" s="3" t="s">
        <v>471</v>
      </c>
      <c r="C422" s="4" t="s">
        <v>3</v>
      </c>
      <c r="D422" s="5" t="s">
        <v>6</v>
      </c>
      <c r="E422" s="6" t="s">
        <v>473</v>
      </c>
    </row>
    <row r="423">
      <c r="A423" s="10" t="s">
        <v>470</v>
      </c>
      <c r="B423" s="3" t="s">
        <v>471</v>
      </c>
      <c r="C423" s="4" t="s">
        <v>3</v>
      </c>
      <c r="D423" s="5" t="s">
        <v>76</v>
      </c>
      <c r="E423" s="6" t="s">
        <v>474</v>
      </c>
    </row>
    <row r="424" hidden="1">
      <c r="A424" s="10" t="s">
        <v>470</v>
      </c>
      <c r="B424" s="3" t="s">
        <v>471</v>
      </c>
      <c r="C424" s="4" t="s">
        <v>8</v>
      </c>
      <c r="D424" s="5" t="s">
        <v>15</v>
      </c>
      <c r="E424" s="6" t="s">
        <v>475</v>
      </c>
    </row>
    <row r="425">
      <c r="A425" s="10" t="s">
        <v>470</v>
      </c>
      <c r="B425" s="3" t="s">
        <v>471</v>
      </c>
      <c r="C425" s="4" t="s">
        <v>3</v>
      </c>
      <c r="D425" s="5" t="s">
        <v>28</v>
      </c>
      <c r="E425" s="6" t="s">
        <v>476</v>
      </c>
    </row>
    <row r="426">
      <c r="A426" s="10" t="s">
        <v>470</v>
      </c>
      <c r="B426" s="3" t="s">
        <v>471</v>
      </c>
      <c r="C426" s="4" t="s">
        <v>3</v>
      </c>
      <c r="D426" s="5" t="s">
        <v>28</v>
      </c>
      <c r="E426" s="6" t="s">
        <v>477</v>
      </c>
    </row>
    <row r="427">
      <c r="A427" s="10" t="s">
        <v>470</v>
      </c>
      <c r="B427" s="3" t="s">
        <v>471</v>
      </c>
      <c r="C427" s="4" t="s">
        <v>3</v>
      </c>
      <c r="D427" s="5" t="s">
        <v>45</v>
      </c>
      <c r="E427" s="6" t="s">
        <v>478</v>
      </c>
    </row>
    <row r="428">
      <c r="A428" s="10" t="s">
        <v>470</v>
      </c>
      <c r="B428" s="3" t="s">
        <v>471</v>
      </c>
      <c r="C428" s="4" t="s">
        <v>3</v>
      </c>
      <c r="D428" s="5" t="s">
        <v>39</v>
      </c>
      <c r="E428" s="6" t="s">
        <v>479</v>
      </c>
    </row>
    <row r="429">
      <c r="A429" s="10" t="s">
        <v>470</v>
      </c>
      <c r="B429" s="3" t="s">
        <v>471</v>
      </c>
      <c r="C429" s="4" t="s">
        <v>3</v>
      </c>
      <c r="D429" s="5" t="s">
        <v>6</v>
      </c>
      <c r="E429" s="6" t="s">
        <v>480</v>
      </c>
    </row>
    <row r="430" hidden="1">
      <c r="A430" s="10" t="s">
        <v>470</v>
      </c>
      <c r="B430" s="3" t="s">
        <v>471</v>
      </c>
      <c r="C430" s="4" t="s">
        <v>8</v>
      </c>
      <c r="D430" s="5" t="s">
        <v>51</v>
      </c>
      <c r="E430" s="6" t="s">
        <v>481</v>
      </c>
    </row>
    <row r="431">
      <c r="A431" s="10" t="s">
        <v>470</v>
      </c>
      <c r="B431" s="3" t="s">
        <v>471</v>
      </c>
      <c r="C431" s="4" t="s">
        <v>3</v>
      </c>
      <c r="D431" s="5" t="s">
        <v>45</v>
      </c>
      <c r="E431" s="6" t="s">
        <v>482</v>
      </c>
    </row>
    <row r="432" hidden="1">
      <c r="A432" s="10" t="s">
        <v>470</v>
      </c>
      <c r="B432" s="3" t="s">
        <v>471</v>
      </c>
      <c r="C432" s="4" t="s">
        <v>8</v>
      </c>
      <c r="D432" s="5" t="s">
        <v>51</v>
      </c>
      <c r="E432" s="6" t="s">
        <v>483</v>
      </c>
    </row>
    <row r="433" hidden="1">
      <c r="A433" s="10" t="s">
        <v>470</v>
      </c>
      <c r="B433" s="3" t="s">
        <v>471</v>
      </c>
      <c r="C433" s="4" t="s">
        <v>8</v>
      </c>
      <c r="D433" s="5" t="s">
        <v>71</v>
      </c>
      <c r="E433" s="6" t="s">
        <v>484</v>
      </c>
    </row>
    <row r="434" hidden="1">
      <c r="A434" s="10" t="s">
        <v>470</v>
      </c>
      <c r="B434" s="3" t="s">
        <v>471</v>
      </c>
      <c r="C434" s="4" t="s">
        <v>8</v>
      </c>
      <c r="D434" s="5" t="s">
        <v>9</v>
      </c>
      <c r="E434" s="6" t="s">
        <v>485</v>
      </c>
    </row>
    <row r="435" hidden="1">
      <c r="A435" s="10" t="s">
        <v>470</v>
      </c>
      <c r="B435" s="3" t="s">
        <v>471</v>
      </c>
      <c r="C435" s="4" t="s">
        <v>8</v>
      </c>
      <c r="D435" s="5" t="s">
        <v>17</v>
      </c>
      <c r="E435" s="6" t="s">
        <v>330</v>
      </c>
    </row>
    <row r="436">
      <c r="A436" s="10" t="s">
        <v>470</v>
      </c>
      <c r="B436" s="3" t="s">
        <v>471</v>
      </c>
      <c r="C436" s="4" t="s">
        <v>3</v>
      </c>
      <c r="D436" s="5" t="s">
        <v>51</v>
      </c>
      <c r="E436" s="6" t="s">
        <v>486</v>
      </c>
    </row>
    <row r="437">
      <c r="A437" s="10" t="s">
        <v>470</v>
      </c>
      <c r="B437" s="3" t="s">
        <v>471</v>
      </c>
      <c r="C437" s="4" t="s">
        <v>3</v>
      </c>
      <c r="D437" s="5" t="s">
        <v>76</v>
      </c>
      <c r="E437" s="6" t="s">
        <v>487</v>
      </c>
    </row>
    <row r="438" hidden="1">
      <c r="A438" s="10" t="s">
        <v>470</v>
      </c>
      <c r="B438" s="3" t="s">
        <v>471</v>
      </c>
      <c r="C438" s="4" t="s">
        <v>8</v>
      </c>
      <c r="D438" s="5" t="s">
        <v>17</v>
      </c>
      <c r="E438" s="6" t="s">
        <v>488</v>
      </c>
    </row>
    <row r="439">
      <c r="A439" s="10" t="s">
        <v>470</v>
      </c>
      <c r="B439" s="3" t="s">
        <v>471</v>
      </c>
      <c r="C439" s="4" t="s">
        <v>3</v>
      </c>
      <c r="D439" s="5" t="s">
        <v>120</v>
      </c>
      <c r="E439" s="6" t="s">
        <v>231</v>
      </c>
    </row>
    <row r="440" hidden="1">
      <c r="A440" s="10" t="s">
        <v>470</v>
      </c>
      <c r="B440" s="3" t="s">
        <v>471</v>
      </c>
      <c r="C440" s="4" t="s">
        <v>8</v>
      </c>
      <c r="D440" s="5" t="s">
        <v>39</v>
      </c>
      <c r="E440" s="6" t="s">
        <v>489</v>
      </c>
    </row>
    <row r="441" hidden="1">
      <c r="A441" s="10" t="s">
        <v>490</v>
      </c>
      <c r="B441" s="3" t="s">
        <v>491</v>
      </c>
      <c r="C441" s="4" t="s">
        <v>8</v>
      </c>
      <c r="D441" s="5" t="s">
        <v>35</v>
      </c>
      <c r="E441" s="6" t="s">
        <v>492</v>
      </c>
    </row>
    <row r="442">
      <c r="A442" s="10" t="s">
        <v>490</v>
      </c>
      <c r="B442" s="3" t="s">
        <v>491</v>
      </c>
      <c r="C442" s="4" t="s">
        <v>3</v>
      </c>
      <c r="D442" s="5" t="s">
        <v>71</v>
      </c>
      <c r="E442" s="6" t="s">
        <v>493</v>
      </c>
    </row>
    <row r="443" hidden="1">
      <c r="A443" s="10" t="s">
        <v>490</v>
      </c>
      <c r="B443" s="3" t="s">
        <v>491</v>
      </c>
      <c r="C443" s="4" t="s">
        <v>8</v>
      </c>
      <c r="D443" s="5" t="s">
        <v>23</v>
      </c>
      <c r="E443" s="6" t="s">
        <v>494</v>
      </c>
    </row>
    <row r="444" hidden="1">
      <c r="A444" s="10" t="s">
        <v>490</v>
      </c>
      <c r="B444" s="3" t="s">
        <v>491</v>
      </c>
      <c r="C444" s="4" t="s">
        <v>8</v>
      </c>
      <c r="D444" s="5" t="s">
        <v>28</v>
      </c>
      <c r="E444" s="6" t="s">
        <v>495</v>
      </c>
    </row>
    <row r="445" hidden="1">
      <c r="A445" s="10" t="s">
        <v>490</v>
      </c>
      <c r="B445" s="3" t="s">
        <v>491</v>
      </c>
      <c r="C445" s="4" t="s">
        <v>8</v>
      </c>
      <c r="D445" s="5" t="s">
        <v>13</v>
      </c>
      <c r="E445" s="6" t="s">
        <v>496</v>
      </c>
    </row>
    <row r="446">
      <c r="A446" s="10" t="s">
        <v>490</v>
      </c>
      <c r="B446" s="3" t="s">
        <v>491</v>
      </c>
      <c r="C446" s="4" t="s">
        <v>3</v>
      </c>
      <c r="D446" s="5" t="s">
        <v>120</v>
      </c>
      <c r="E446" s="6" t="s">
        <v>497</v>
      </c>
    </row>
    <row r="447">
      <c r="A447" s="10" t="s">
        <v>490</v>
      </c>
      <c r="B447" s="3" t="s">
        <v>491</v>
      </c>
      <c r="C447" s="4" t="s">
        <v>3</v>
      </c>
      <c r="D447" s="5" t="s">
        <v>23</v>
      </c>
      <c r="E447" s="6" t="s">
        <v>498</v>
      </c>
    </row>
    <row r="448">
      <c r="A448" s="10" t="s">
        <v>490</v>
      </c>
      <c r="B448" s="3" t="s">
        <v>491</v>
      </c>
      <c r="C448" s="4" t="s">
        <v>3</v>
      </c>
      <c r="D448" s="5" t="s">
        <v>15</v>
      </c>
      <c r="E448" s="6" t="s">
        <v>499</v>
      </c>
    </row>
    <row r="449" hidden="1">
      <c r="A449" s="10" t="s">
        <v>490</v>
      </c>
      <c r="B449" s="3" t="s">
        <v>491</v>
      </c>
      <c r="C449" s="4" t="s">
        <v>8</v>
      </c>
      <c r="D449" s="5" t="s">
        <v>51</v>
      </c>
      <c r="E449" s="6" t="s">
        <v>500</v>
      </c>
    </row>
    <row r="450">
      <c r="A450" s="10" t="s">
        <v>490</v>
      </c>
      <c r="B450" s="3" t="s">
        <v>491</v>
      </c>
      <c r="C450" s="4" t="s">
        <v>3</v>
      </c>
      <c r="D450" s="5" t="s">
        <v>96</v>
      </c>
      <c r="E450" s="6" t="s">
        <v>501</v>
      </c>
    </row>
    <row r="451">
      <c r="A451" s="10" t="s">
        <v>490</v>
      </c>
      <c r="B451" s="3" t="s">
        <v>491</v>
      </c>
      <c r="C451" s="4" t="s">
        <v>3</v>
      </c>
      <c r="D451" s="5" t="s">
        <v>23</v>
      </c>
      <c r="E451" s="6" t="s">
        <v>502</v>
      </c>
    </row>
    <row r="452">
      <c r="A452" s="10" t="s">
        <v>490</v>
      </c>
      <c r="B452" s="3" t="s">
        <v>491</v>
      </c>
      <c r="C452" s="4" t="s">
        <v>3</v>
      </c>
      <c r="D452" s="5" t="s">
        <v>120</v>
      </c>
      <c r="E452" s="6" t="s">
        <v>503</v>
      </c>
    </row>
    <row r="453">
      <c r="A453" s="10" t="s">
        <v>490</v>
      </c>
      <c r="B453" s="3" t="s">
        <v>491</v>
      </c>
      <c r="C453" s="4" t="s">
        <v>3</v>
      </c>
      <c r="D453" s="5" t="s">
        <v>42</v>
      </c>
      <c r="E453" s="6" t="s">
        <v>504</v>
      </c>
    </row>
    <row r="454">
      <c r="A454" s="10" t="s">
        <v>490</v>
      </c>
      <c r="B454" s="3" t="s">
        <v>491</v>
      </c>
      <c r="C454" s="4" t="s">
        <v>3</v>
      </c>
      <c r="D454" s="5" t="s">
        <v>9</v>
      </c>
      <c r="E454" s="6" t="s">
        <v>505</v>
      </c>
    </row>
    <row r="455">
      <c r="A455" s="10" t="s">
        <v>490</v>
      </c>
      <c r="B455" s="3" t="s">
        <v>491</v>
      </c>
      <c r="C455" s="4" t="s">
        <v>3</v>
      </c>
      <c r="D455" s="5" t="s">
        <v>42</v>
      </c>
      <c r="E455" s="6" t="s">
        <v>107</v>
      </c>
    </row>
    <row r="456">
      <c r="A456" s="10" t="s">
        <v>490</v>
      </c>
      <c r="B456" s="3" t="s">
        <v>491</v>
      </c>
      <c r="C456" s="4" t="s">
        <v>3</v>
      </c>
      <c r="D456" s="5" t="s">
        <v>51</v>
      </c>
      <c r="E456" s="6" t="s">
        <v>506</v>
      </c>
    </row>
    <row r="457" hidden="1">
      <c r="A457" s="10" t="s">
        <v>490</v>
      </c>
      <c r="B457" s="3" t="s">
        <v>491</v>
      </c>
      <c r="C457" s="4" t="s">
        <v>8</v>
      </c>
      <c r="D457" s="5" t="s">
        <v>9</v>
      </c>
      <c r="E457" s="6" t="s">
        <v>507</v>
      </c>
    </row>
    <row r="458">
      <c r="A458" s="10" t="s">
        <v>490</v>
      </c>
      <c r="B458" s="3" t="s">
        <v>491</v>
      </c>
      <c r="C458" s="4" t="s">
        <v>3</v>
      </c>
      <c r="D458" s="5" t="s">
        <v>13</v>
      </c>
      <c r="E458" s="6" t="s">
        <v>508</v>
      </c>
    </row>
    <row r="459">
      <c r="A459" s="10" t="s">
        <v>490</v>
      </c>
      <c r="B459" s="3" t="s">
        <v>491</v>
      </c>
      <c r="C459" s="4" t="s">
        <v>3</v>
      </c>
      <c r="D459" s="5" t="s">
        <v>21</v>
      </c>
      <c r="E459" s="6" t="s">
        <v>509</v>
      </c>
    </row>
    <row r="460" hidden="1">
      <c r="A460" s="10" t="s">
        <v>490</v>
      </c>
      <c r="B460" s="3" t="s">
        <v>491</v>
      </c>
      <c r="C460" s="4" t="s">
        <v>8</v>
      </c>
      <c r="D460" s="5" t="s">
        <v>35</v>
      </c>
      <c r="E460" s="6" t="s">
        <v>510</v>
      </c>
    </row>
    <row r="461">
      <c r="A461" s="10" t="s">
        <v>511</v>
      </c>
      <c r="B461" s="3" t="s">
        <v>512</v>
      </c>
      <c r="C461" s="4" t="s">
        <v>3</v>
      </c>
      <c r="D461" s="5" t="s">
        <v>35</v>
      </c>
      <c r="E461" s="6" t="s">
        <v>513</v>
      </c>
    </row>
    <row r="462" hidden="1">
      <c r="A462" s="10" t="s">
        <v>511</v>
      </c>
      <c r="B462" s="3" t="s">
        <v>512</v>
      </c>
      <c r="C462" s="4" t="s">
        <v>8</v>
      </c>
      <c r="D462" s="5" t="s">
        <v>17</v>
      </c>
      <c r="E462" s="6" t="s">
        <v>514</v>
      </c>
    </row>
    <row r="463">
      <c r="A463" s="10" t="s">
        <v>511</v>
      </c>
      <c r="B463" s="3" t="s">
        <v>512</v>
      </c>
      <c r="C463" s="4" t="s">
        <v>3</v>
      </c>
      <c r="D463" s="5" t="s">
        <v>71</v>
      </c>
      <c r="E463" s="6" t="s">
        <v>515</v>
      </c>
    </row>
    <row r="464" hidden="1">
      <c r="A464" s="10" t="s">
        <v>511</v>
      </c>
      <c r="B464" s="3" t="s">
        <v>512</v>
      </c>
      <c r="C464" s="4" t="s">
        <v>8</v>
      </c>
      <c r="D464" s="5" t="s">
        <v>21</v>
      </c>
      <c r="E464" s="6" t="s">
        <v>516</v>
      </c>
    </row>
    <row r="465" hidden="1">
      <c r="A465" s="10" t="s">
        <v>511</v>
      </c>
      <c r="B465" s="3" t="s">
        <v>512</v>
      </c>
      <c r="C465" s="4" t="s">
        <v>8</v>
      </c>
      <c r="D465" s="5" t="s">
        <v>35</v>
      </c>
      <c r="E465" s="6" t="s">
        <v>517</v>
      </c>
    </row>
    <row r="466" hidden="1">
      <c r="A466" s="10" t="s">
        <v>511</v>
      </c>
      <c r="B466" s="3" t="s">
        <v>512</v>
      </c>
      <c r="C466" s="4" t="s">
        <v>8</v>
      </c>
      <c r="D466" s="5" t="s">
        <v>11</v>
      </c>
      <c r="E466" s="6" t="s">
        <v>518</v>
      </c>
    </row>
    <row r="467" hidden="1">
      <c r="A467" s="10" t="s">
        <v>511</v>
      </c>
      <c r="B467" s="3" t="s">
        <v>512</v>
      </c>
      <c r="C467" s="4" t="s">
        <v>8</v>
      </c>
      <c r="D467" s="5" t="s">
        <v>28</v>
      </c>
      <c r="E467" s="6" t="s">
        <v>519</v>
      </c>
    </row>
    <row r="468" hidden="1">
      <c r="A468" s="10" t="s">
        <v>511</v>
      </c>
      <c r="B468" s="3" t="s">
        <v>512</v>
      </c>
      <c r="C468" s="4" t="s">
        <v>8</v>
      </c>
      <c r="D468" s="5" t="s">
        <v>23</v>
      </c>
      <c r="E468" s="6" t="s">
        <v>520</v>
      </c>
    </row>
    <row r="469">
      <c r="A469" s="10" t="s">
        <v>511</v>
      </c>
      <c r="B469" s="3" t="s">
        <v>512</v>
      </c>
      <c r="C469" s="4" t="s">
        <v>3</v>
      </c>
      <c r="D469" s="5" t="s">
        <v>42</v>
      </c>
      <c r="E469" s="6" t="s">
        <v>521</v>
      </c>
    </row>
    <row r="470" hidden="1">
      <c r="A470" s="10" t="s">
        <v>511</v>
      </c>
      <c r="B470" s="3" t="s">
        <v>512</v>
      </c>
      <c r="C470" s="4" t="s">
        <v>8</v>
      </c>
      <c r="D470" s="5" t="s">
        <v>19</v>
      </c>
      <c r="E470" s="6" t="s">
        <v>522</v>
      </c>
    </row>
    <row r="471" hidden="1">
      <c r="A471" s="10" t="s">
        <v>511</v>
      </c>
      <c r="B471" s="3" t="s">
        <v>512</v>
      </c>
      <c r="C471" s="4" t="s">
        <v>8</v>
      </c>
      <c r="D471" s="5" t="s">
        <v>23</v>
      </c>
      <c r="E471" s="6" t="s">
        <v>523</v>
      </c>
    </row>
    <row r="472">
      <c r="A472" s="10" t="s">
        <v>511</v>
      </c>
      <c r="B472" s="3" t="s">
        <v>512</v>
      </c>
      <c r="C472" s="4" t="s">
        <v>3</v>
      </c>
      <c r="D472" s="5" t="s">
        <v>19</v>
      </c>
      <c r="E472" s="6" t="s">
        <v>524</v>
      </c>
    </row>
    <row r="473" hidden="1">
      <c r="A473" s="10" t="s">
        <v>511</v>
      </c>
      <c r="B473" s="3" t="s">
        <v>512</v>
      </c>
      <c r="C473" s="4" t="s">
        <v>8</v>
      </c>
      <c r="D473" s="5" t="s">
        <v>11</v>
      </c>
      <c r="E473" s="6" t="s">
        <v>525</v>
      </c>
    </row>
    <row r="474" hidden="1">
      <c r="A474" s="10" t="s">
        <v>511</v>
      </c>
      <c r="B474" s="3" t="s">
        <v>512</v>
      </c>
      <c r="C474" s="4" t="s">
        <v>8</v>
      </c>
      <c r="D474" s="5" t="s">
        <v>76</v>
      </c>
      <c r="E474" s="6" t="s">
        <v>526</v>
      </c>
    </row>
    <row r="475">
      <c r="A475" s="10" t="s">
        <v>511</v>
      </c>
      <c r="B475" s="3" t="s">
        <v>512</v>
      </c>
      <c r="C475" s="4" t="s">
        <v>3</v>
      </c>
      <c r="D475" s="5" t="s">
        <v>45</v>
      </c>
      <c r="E475" s="6" t="s">
        <v>527</v>
      </c>
    </row>
    <row r="476" hidden="1">
      <c r="A476" s="10" t="s">
        <v>511</v>
      </c>
      <c r="B476" s="3" t="s">
        <v>512</v>
      </c>
      <c r="C476" s="4" t="s">
        <v>8</v>
      </c>
      <c r="D476" s="5" t="s">
        <v>45</v>
      </c>
      <c r="E476" s="6" t="s">
        <v>528</v>
      </c>
    </row>
    <row r="477">
      <c r="A477" s="10" t="s">
        <v>511</v>
      </c>
      <c r="B477" s="3" t="s">
        <v>512</v>
      </c>
      <c r="C477" s="4" t="s">
        <v>3</v>
      </c>
      <c r="D477" s="5" t="s">
        <v>51</v>
      </c>
      <c r="E477" s="6" t="s">
        <v>529</v>
      </c>
    </row>
    <row r="478" hidden="1">
      <c r="A478" s="10" t="s">
        <v>511</v>
      </c>
      <c r="B478" s="3" t="s">
        <v>512</v>
      </c>
      <c r="C478" s="4" t="s">
        <v>8</v>
      </c>
      <c r="D478" s="5" t="s">
        <v>39</v>
      </c>
      <c r="E478" s="6" t="s">
        <v>530</v>
      </c>
    </row>
    <row r="479">
      <c r="A479" s="10" t="s">
        <v>511</v>
      </c>
      <c r="B479" s="3" t="s">
        <v>512</v>
      </c>
      <c r="C479" s="4" t="s">
        <v>3</v>
      </c>
      <c r="D479" s="5" t="s">
        <v>21</v>
      </c>
      <c r="E479" s="6" t="s">
        <v>531</v>
      </c>
    </row>
    <row r="480">
      <c r="A480" s="10" t="s">
        <v>511</v>
      </c>
      <c r="B480" s="3" t="s">
        <v>512</v>
      </c>
      <c r="C480" s="4" t="s">
        <v>3</v>
      </c>
      <c r="D480" s="5" t="s">
        <v>76</v>
      </c>
      <c r="E480" s="6" t="s">
        <v>532</v>
      </c>
    </row>
    <row r="481">
      <c r="A481" s="10" t="s">
        <v>533</v>
      </c>
      <c r="B481" s="3" t="s">
        <v>534</v>
      </c>
      <c r="C481" s="4" t="s">
        <v>3</v>
      </c>
      <c r="D481" s="5" t="s">
        <v>39</v>
      </c>
      <c r="E481" s="6" t="s">
        <v>535</v>
      </c>
    </row>
    <row r="482">
      <c r="A482" s="10" t="s">
        <v>533</v>
      </c>
      <c r="B482" s="3" t="s">
        <v>534</v>
      </c>
      <c r="C482" s="4" t="s">
        <v>3</v>
      </c>
      <c r="D482" s="5" t="s">
        <v>39</v>
      </c>
      <c r="E482" s="6" t="s">
        <v>536</v>
      </c>
    </row>
    <row r="483">
      <c r="A483" s="10" t="s">
        <v>533</v>
      </c>
      <c r="B483" s="3" t="s">
        <v>534</v>
      </c>
      <c r="C483" s="4" t="s">
        <v>3</v>
      </c>
      <c r="D483" s="5" t="s">
        <v>35</v>
      </c>
      <c r="E483" s="6" t="s">
        <v>537</v>
      </c>
    </row>
    <row r="484" hidden="1">
      <c r="A484" s="10" t="s">
        <v>533</v>
      </c>
      <c r="B484" s="3" t="s">
        <v>534</v>
      </c>
      <c r="C484" s="4" t="s">
        <v>8</v>
      </c>
      <c r="D484" s="5" t="s">
        <v>21</v>
      </c>
      <c r="E484" s="6" t="s">
        <v>538</v>
      </c>
    </row>
    <row r="485">
      <c r="A485" s="10" t="s">
        <v>533</v>
      </c>
      <c r="B485" s="3" t="s">
        <v>534</v>
      </c>
      <c r="C485" s="4" t="s">
        <v>3</v>
      </c>
      <c r="D485" s="5" t="s">
        <v>21</v>
      </c>
      <c r="E485" s="6" t="s">
        <v>539</v>
      </c>
    </row>
    <row r="486">
      <c r="A486" s="10" t="s">
        <v>533</v>
      </c>
      <c r="B486" s="3" t="s">
        <v>534</v>
      </c>
      <c r="C486" s="4" t="s">
        <v>3</v>
      </c>
      <c r="D486" s="5" t="s">
        <v>71</v>
      </c>
      <c r="E486" s="6" t="s">
        <v>540</v>
      </c>
    </row>
    <row r="487">
      <c r="A487" s="10" t="s">
        <v>533</v>
      </c>
      <c r="B487" s="3" t="s">
        <v>534</v>
      </c>
      <c r="C487" s="4" t="s">
        <v>3</v>
      </c>
      <c r="D487" s="5" t="s">
        <v>21</v>
      </c>
      <c r="E487" s="6" t="s">
        <v>541</v>
      </c>
    </row>
    <row r="488" hidden="1">
      <c r="A488" s="10" t="s">
        <v>533</v>
      </c>
      <c r="B488" s="3" t="s">
        <v>534</v>
      </c>
      <c r="C488" s="4" t="s">
        <v>8</v>
      </c>
      <c r="D488" s="5" t="s">
        <v>71</v>
      </c>
      <c r="E488" s="6" t="s">
        <v>542</v>
      </c>
    </row>
    <row r="489">
      <c r="A489" s="10" t="s">
        <v>533</v>
      </c>
      <c r="B489" s="3" t="s">
        <v>534</v>
      </c>
      <c r="C489" s="4" t="s">
        <v>3</v>
      </c>
      <c r="D489" s="5" t="s">
        <v>96</v>
      </c>
      <c r="E489" s="6" t="s">
        <v>543</v>
      </c>
    </row>
    <row r="490" hidden="1">
      <c r="A490" s="10" t="s">
        <v>533</v>
      </c>
      <c r="B490" s="3" t="s">
        <v>534</v>
      </c>
      <c r="C490" s="4" t="s">
        <v>8</v>
      </c>
      <c r="D490" s="5" t="s">
        <v>23</v>
      </c>
      <c r="E490" s="6" t="s">
        <v>544</v>
      </c>
    </row>
    <row r="491">
      <c r="A491" s="10" t="s">
        <v>533</v>
      </c>
      <c r="B491" s="3" t="s">
        <v>534</v>
      </c>
      <c r="C491" s="4" t="s">
        <v>3</v>
      </c>
      <c r="D491" s="5" t="s">
        <v>71</v>
      </c>
      <c r="E491" s="6" t="s">
        <v>545</v>
      </c>
    </row>
    <row r="492">
      <c r="A492" s="10" t="s">
        <v>533</v>
      </c>
      <c r="B492" s="3" t="s">
        <v>534</v>
      </c>
      <c r="C492" s="4" t="s">
        <v>3</v>
      </c>
      <c r="D492" s="5" t="s">
        <v>6</v>
      </c>
      <c r="E492" s="6" t="s">
        <v>546</v>
      </c>
    </row>
    <row r="493">
      <c r="A493" s="10" t="s">
        <v>533</v>
      </c>
      <c r="B493" s="3" t="s">
        <v>534</v>
      </c>
      <c r="C493" s="4" t="s">
        <v>3</v>
      </c>
      <c r="D493" s="5" t="s">
        <v>6</v>
      </c>
      <c r="E493" s="6" t="s">
        <v>547</v>
      </c>
    </row>
    <row r="494">
      <c r="A494" s="10" t="s">
        <v>533</v>
      </c>
      <c r="B494" s="3" t="s">
        <v>534</v>
      </c>
      <c r="C494" s="4" t="s">
        <v>3</v>
      </c>
      <c r="D494" s="5" t="s">
        <v>15</v>
      </c>
      <c r="E494" s="6" t="s">
        <v>548</v>
      </c>
    </row>
    <row r="495">
      <c r="A495" s="10" t="s">
        <v>533</v>
      </c>
      <c r="B495" s="3" t="s">
        <v>534</v>
      </c>
      <c r="C495" s="4" t="s">
        <v>3</v>
      </c>
      <c r="D495" s="5" t="s">
        <v>35</v>
      </c>
      <c r="E495" s="6" t="s">
        <v>549</v>
      </c>
    </row>
    <row r="496" hidden="1">
      <c r="A496" s="10" t="s">
        <v>533</v>
      </c>
      <c r="B496" s="3" t="s">
        <v>534</v>
      </c>
      <c r="C496" s="4" t="s">
        <v>8</v>
      </c>
      <c r="D496" s="5" t="s">
        <v>35</v>
      </c>
      <c r="E496" s="6" t="s">
        <v>550</v>
      </c>
    </row>
    <row r="497">
      <c r="A497" s="10" t="s">
        <v>533</v>
      </c>
      <c r="B497" s="3" t="s">
        <v>534</v>
      </c>
      <c r="C497" s="4" t="s">
        <v>3</v>
      </c>
      <c r="D497" s="5" t="s">
        <v>4</v>
      </c>
      <c r="E497" s="6" t="s">
        <v>551</v>
      </c>
    </row>
    <row r="498" hidden="1">
      <c r="A498" s="10" t="s">
        <v>533</v>
      </c>
      <c r="B498" s="3" t="s">
        <v>534</v>
      </c>
      <c r="C498" s="4" t="s">
        <v>8</v>
      </c>
      <c r="D498" s="5" t="s">
        <v>28</v>
      </c>
      <c r="E498" s="6" t="s">
        <v>552</v>
      </c>
    </row>
    <row r="499" hidden="1">
      <c r="A499" s="10" t="s">
        <v>533</v>
      </c>
      <c r="B499" s="3" t="s">
        <v>534</v>
      </c>
      <c r="C499" s="4" t="s">
        <v>8</v>
      </c>
      <c r="D499" s="5" t="s">
        <v>45</v>
      </c>
      <c r="E499" s="6" t="s">
        <v>553</v>
      </c>
    </row>
    <row r="500" hidden="1">
      <c r="A500" s="10" t="s">
        <v>533</v>
      </c>
      <c r="B500" s="3" t="s">
        <v>534</v>
      </c>
      <c r="C500" s="4" t="s">
        <v>8</v>
      </c>
      <c r="D500" s="5" t="s">
        <v>120</v>
      </c>
      <c r="E500" s="6" t="s">
        <v>554</v>
      </c>
    </row>
    <row r="501">
      <c r="A501" s="10" t="s">
        <v>555</v>
      </c>
      <c r="B501" s="3" t="s">
        <v>556</v>
      </c>
      <c r="C501" s="4" t="s">
        <v>3</v>
      </c>
      <c r="D501" s="5" t="s">
        <v>4</v>
      </c>
      <c r="E501" s="6" t="s">
        <v>557</v>
      </c>
    </row>
    <row r="502" hidden="1">
      <c r="A502" s="10" t="s">
        <v>555</v>
      </c>
      <c r="B502" s="3" t="s">
        <v>556</v>
      </c>
      <c r="C502" s="4" t="s">
        <v>8</v>
      </c>
      <c r="D502" s="5" t="s">
        <v>6</v>
      </c>
      <c r="E502" s="6" t="s">
        <v>558</v>
      </c>
    </row>
    <row r="503" hidden="1">
      <c r="A503" s="10" t="s">
        <v>555</v>
      </c>
      <c r="B503" s="3" t="s">
        <v>556</v>
      </c>
      <c r="C503" s="4" t="s">
        <v>8</v>
      </c>
      <c r="D503" s="5" t="s">
        <v>6</v>
      </c>
      <c r="E503" s="6" t="s">
        <v>559</v>
      </c>
    </row>
    <row r="504" hidden="1">
      <c r="A504" s="10" t="s">
        <v>555</v>
      </c>
      <c r="B504" s="3" t="s">
        <v>556</v>
      </c>
      <c r="C504" s="4" t="s">
        <v>8</v>
      </c>
      <c r="D504" s="5" t="s">
        <v>15</v>
      </c>
      <c r="E504" s="6" t="s">
        <v>560</v>
      </c>
    </row>
    <row r="505" hidden="1">
      <c r="A505" s="10" t="s">
        <v>555</v>
      </c>
      <c r="B505" s="3" t="s">
        <v>556</v>
      </c>
      <c r="C505" s="4" t="s">
        <v>8</v>
      </c>
      <c r="D505" s="5" t="s">
        <v>39</v>
      </c>
      <c r="E505" s="6" t="s">
        <v>561</v>
      </c>
    </row>
    <row r="506">
      <c r="A506" s="10" t="s">
        <v>555</v>
      </c>
      <c r="B506" s="3" t="s">
        <v>556</v>
      </c>
      <c r="C506" s="4" t="s">
        <v>3</v>
      </c>
      <c r="D506" s="5" t="s">
        <v>17</v>
      </c>
      <c r="E506" s="6" t="s">
        <v>562</v>
      </c>
    </row>
    <row r="507" hidden="1">
      <c r="A507" s="10" t="s">
        <v>555</v>
      </c>
      <c r="B507" s="3" t="s">
        <v>556</v>
      </c>
      <c r="C507" s="4" t="s">
        <v>8</v>
      </c>
      <c r="D507" s="5" t="s">
        <v>9</v>
      </c>
      <c r="E507" s="6" t="s">
        <v>548</v>
      </c>
    </row>
    <row r="508" hidden="1">
      <c r="A508" s="10" t="s">
        <v>555</v>
      </c>
      <c r="B508" s="3" t="s">
        <v>556</v>
      </c>
      <c r="C508" s="4" t="s">
        <v>8</v>
      </c>
      <c r="D508" s="5" t="s">
        <v>23</v>
      </c>
      <c r="E508" s="6" t="s">
        <v>563</v>
      </c>
    </row>
    <row r="509">
      <c r="A509" s="10" t="s">
        <v>555</v>
      </c>
      <c r="B509" s="3" t="s">
        <v>556</v>
      </c>
      <c r="C509" s="4" t="s">
        <v>3</v>
      </c>
      <c r="D509" s="5" t="s">
        <v>11</v>
      </c>
      <c r="E509" s="6" t="s">
        <v>564</v>
      </c>
    </row>
    <row r="510">
      <c r="A510" s="10" t="s">
        <v>555</v>
      </c>
      <c r="B510" s="3" t="s">
        <v>556</v>
      </c>
      <c r="C510" s="4" t="s">
        <v>3</v>
      </c>
      <c r="D510" s="5" t="s">
        <v>23</v>
      </c>
      <c r="E510" s="6" t="s">
        <v>565</v>
      </c>
    </row>
    <row r="511">
      <c r="A511" s="10" t="s">
        <v>555</v>
      </c>
      <c r="B511" s="3" t="s">
        <v>556</v>
      </c>
      <c r="C511" s="4" t="s">
        <v>3</v>
      </c>
      <c r="D511" s="5" t="s">
        <v>76</v>
      </c>
      <c r="E511" s="6" t="s">
        <v>566</v>
      </c>
    </row>
    <row r="512" hidden="1">
      <c r="A512" s="10" t="s">
        <v>555</v>
      </c>
      <c r="B512" s="3" t="s">
        <v>556</v>
      </c>
      <c r="C512" s="4" t="s">
        <v>8</v>
      </c>
      <c r="D512" s="5" t="s">
        <v>45</v>
      </c>
      <c r="E512" s="6" t="s">
        <v>567</v>
      </c>
    </row>
    <row r="513" hidden="1">
      <c r="A513" s="10" t="s">
        <v>555</v>
      </c>
      <c r="B513" s="3" t="s">
        <v>556</v>
      </c>
      <c r="C513" s="4" t="s">
        <v>8</v>
      </c>
      <c r="D513" s="5" t="s">
        <v>17</v>
      </c>
      <c r="E513" s="6" t="s">
        <v>568</v>
      </c>
    </row>
    <row r="514">
      <c r="A514" s="10" t="s">
        <v>555</v>
      </c>
      <c r="B514" s="3" t="s">
        <v>556</v>
      </c>
      <c r="C514" s="4" t="s">
        <v>3</v>
      </c>
      <c r="D514" s="5" t="s">
        <v>42</v>
      </c>
      <c r="E514" s="6" t="s">
        <v>569</v>
      </c>
    </row>
    <row r="515">
      <c r="A515" s="10" t="s">
        <v>555</v>
      </c>
      <c r="B515" s="3" t="s">
        <v>556</v>
      </c>
      <c r="C515" s="4" t="s">
        <v>3</v>
      </c>
      <c r="D515" s="5" t="s">
        <v>15</v>
      </c>
      <c r="E515" s="6" t="s">
        <v>570</v>
      </c>
    </row>
    <row r="516">
      <c r="A516" s="10" t="s">
        <v>555</v>
      </c>
      <c r="B516" s="3" t="s">
        <v>556</v>
      </c>
      <c r="C516" s="4" t="s">
        <v>3</v>
      </c>
      <c r="D516" s="5" t="s">
        <v>13</v>
      </c>
      <c r="E516" s="6" t="s">
        <v>571</v>
      </c>
    </row>
    <row r="517">
      <c r="A517" s="10" t="s">
        <v>555</v>
      </c>
      <c r="B517" s="3" t="s">
        <v>556</v>
      </c>
      <c r="C517" s="4" t="s">
        <v>3</v>
      </c>
      <c r="D517" s="5" t="s">
        <v>6</v>
      </c>
      <c r="E517" s="6" t="s">
        <v>572</v>
      </c>
    </row>
    <row r="518" hidden="1">
      <c r="A518" s="10" t="s">
        <v>555</v>
      </c>
      <c r="B518" s="3" t="s">
        <v>556</v>
      </c>
      <c r="C518" s="4" t="s">
        <v>8</v>
      </c>
      <c r="D518" s="5" t="s">
        <v>15</v>
      </c>
      <c r="E518" s="6" t="s">
        <v>225</v>
      </c>
    </row>
    <row r="519" hidden="1">
      <c r="A519" s="10" t="s">
        <v>555</v>
      </c>
      <c r="B519" s="3" t="s">
        <v>556</v>
      </c>
      <c r="C519" s="4" t="s">
        <v>8</v>
      </c>
      <c r="D519" s="5" t="s">
        <v>15</v>
      </c>
      <c r="E519" s="6" t="s">
        <v>573</v>
      </c>
    </row>
    <row r="520">
      <c r="A520" s="10" t="s">
        <v>555</v>
      </c>
      <c r="B520" s="3" t="s">
        <v>556</v>
      </c>
      <c r="C520" s="4" t="s">
        <v>3</v>
      </c>
      <c r="D520" s="5" t="s">
        <v>39</v>
      </c>
      <c r="E520" s="6" t="s">
        <v>574</v>
      </c>
    </row>
    <row r="521">
      <c r="A521" s="10" t="s">
        <v>575</v>
      </c>
      <c r="B521" s="3" t="s">
        <v>576</v>
      </c>
      <c r="C521" s="4" t="s">
        <v>3</v>
      </c>
      <c r="D521" s="5" t="s">
        <v>19</v>
      </c>
      <c r="E521" s="6" t="s">
        <v>577</v>
      </c>
    </row>
    <row r="522" hidden="1">
      <c r="A522" s="10" t="s">
        <v>575</v>
      </c>
      <c r="B522" s="3" t="s">
        <v>576</v>
      </c>
      <c r="C522" s="4" t="s">
        <v>8</v>
      </c>
      <c r="D522" s="5" t="s">
        <v>39</v>
      </c>
      <c r="E522" s="6" t="s">
        <v>578</v>
      </c>
    </row>
    <row r="523">
      <c r="A523" s="10" t="s">
        <v>575</v>
      </c>
      <c r="B523" s="3" t="s">
        <v>576</v>
      </c>
      <c r="C523" s="4" t="s">
        <v>3</v>
      </c>
      <c r="D523" s="5" t="s">
        <v>23</v>
      </c>
      <c r="E523" s="6" t="s">
        <v>579</v>
      </c>
    </row>
    <row r="524" hidden="1">
      <c r="A524" s="10" t="s">
        <v>575</v>
      </c>
      <c r="B524" s="3" t="s">
        <v>576</v>
      </c>
      <c r="C524" s="4" t="s">
        <v>8</v>
      </c>
      <c r="D524" s="5" t="s">
        <v>21</v>
      </c>
      <c r="E524" s="6" t="s">
        <v>580</v>
      </c>
    </row>
    <row r="525" hidden="1">
      <c r="A525" s="10" t="s">
        <v>575</v>
      </c>
      <c r="B525" s="3" t="s">
        <v>576</v>
      </c>
      <c r="C525" s="4" t="s">
        <v>8</v>
      </c>
      <c r="D525" s="5" t="s">
        <v>13</v>
      </c>
      <c r="E525" s="6" t="s">
        <v>518</v>
      </c>
    </row>
    <row r="526" hidden="1">
      <c r="A526" s="10" t="s">
        <v>575</v>
      </c>
      <c r="B526" s="3" t="s">
        <v>576</v>
      </c>
      <c r="C526" s="4" t="s">
        <v>8</v>
      </c>
      <c r="D526" s="5" t="s">
        <v>76</v>
      </c>
      <c r="E526" s="6" t="s">
        <v>581</v>
      </c>
    </row>
    <row r="527" hidden="1">
      <c r="A527" s="10" t="s">
        <v>575</v>
      </c>
      <c r="B527" s="3" t="s">
        <v>576</v>
      </c>
      <c r="C527" s="4" t="s">
        <v>8</v>
      </c>
      <c r="D527" s="5" t="s">
        <v>9</v>
      </c>
      <c r="E527" s="6" t="s">
        <v>582</v>
      </c>
    </row>
    <row r="528" hidden="1">
      <c r="A528" s="10" t="s">
        <v>575</v>
      </c>
      <c r="B528" s="3" t="s">
        <v>576</v>
      </c>
      <c r="C528" s="4" t="s">
        <v>8</v>
      </c>
      <c r="D528" s="5" t="s">
        <v>11</v>
      </c>
      <c r="E528" s="6" t="s">
        <v>583</v>
      </c>
    </row>
    <row r="529" hidden="1">
      <c r="A529" s="10" t="s">
        <v>575</v>
      </c>
      <c r="B529" s="3" t="s">
        <v>576</v>
      </c>
      <c r="C529" s="4" t="s">
        <v>8</v>
      </c>
      <c r="D529" s="5" t="s">
        <v>9</v>
      </c>
      <c r="E529" s="6" t="s">
        <v>43</v>
      </c>
    </row>
    <row r="530" hidden="1">
      <c r="A530" s="10" t="s">
        <v>575</v>
      </c>
      <c r="B530" s="3" t="s">
        <v>576</v>
      </c>
      <c r="C530" s="4" t="s">
        <v>8</v>
      </c>
      <c r="D530" s="5" t="s">
        <v>6</v>
      </c>
      <c r="E530" s="6" t="s">
        <v>584</v>
      </c>
    </row>
    <row r="531">
      <c r="A531" s="10" t="s">
        <v>575</v>
      </c>
      <c r="B531" s="3" t="s">
        <v>576</v>
      </c>
      <c r="C531" s="4" t="s">
        <v>3</v>
      </c>
      <c r="D531" s="5" t="s">
        <v>9</v>
      </c>
      <c r="E531" s="6" t="s">
        <v>585</v>
      </c>
    </row>
    <row r="532">
      <c r="A532" s="10" t="s">
        <v>575</v>
      </c>
      <c r="B532" s="3" t="s">
        <v>576</v>
      </c>
      <c r="C532" s="4" t="s">
        <v>3</v>
      </c>
      <c r="D532" s="5" t="s">
        <v>76</v>
      </c>
      <c r="E532" s="6" t="s">
        <v>337</v>
      </c>
    </row>
    <row r="533" hidden="1">
      <c r="A533" s="10" t="s">
        <v>575</v>
      </c>
      <c r="B533" s="3" t="s">
        <v>576</v>
      </c>
      <c r="C533" s="4" t="s">
        <v>8</v>
      </c>
      <c r="D533" s="5" t="s">
        <v>28</v>
      </c>
      <c r="E533" s="6" t="s">
        <v>586</v>
      </c>
    </row>
    <row r="534" hidden="1">
      <c r="A534" s="10" t="s">
        <v>575</v>
      </c>
      <c r="B534" s="3" t="s">
        <v>576</v>
      </c>
      <c r="C534" s="4" t="s">
        <v>8</v>
      </c>
      <c r="D534" s="5" t="s">
        <v>6</v>
      </c>
      <c r="E534" s="6" t="s">
        <v>587</v>
      </c>
    </row>
    <row r="535">
      <c r="A535" s="10" t="s">
        <v>575</v>
      </c>
      <c r="B535" s="3" t="s">
        <v>576</v>
      </c>
      <c r="C535" s="4" t="s">
        <v>3</v>
      </c>
      <c r="D535" s="5" t="s">
        <v>51</v>
      </c>
      <c r="E535" s="6" t="s">
        <v>588</v>
      </c>
    </row>
    <row r="536" hidden="1">
      <c r="A536" s="10" t="s">
        <v>575</v>
      </c>
      <c r="B536" s="3" t="s">
        <v>576</v>
      </c>
      <c r="C536" s="4" t="s">
        <v>8</v>
      </c>
      <c r="D536" s="5" t="s">
        <v>17</v>
      </c>
      <c r="E536" s="6" t="s">
        <v>589</v>
      </c>
    </row>
    <row r="537" hidden="1">
      <c r="A537" s="10" t="s">
        <v>575</v>
      </c>
      <c r="B537" s="3" t="s">
        <v>576</v>
      </c>
      <c r="C537" s="4" t="s">
        <v>8</v>
      </c>
      <c r="D537" s="5" t="s">
        <v>9</v>
      </c>
      <c r="E537" s="6" t="s">
        <v>590</v>
      </c>
    </row>
    <row r="538" hidden="1">
      <c r="A538" s="10" t="s">
        <v>575</v>
      </c>
      <c r="B538" s="3" t="s">
        <v>576</v>
      </c>
      <c r="C538" s="4" t="s">
        <v>8</v>
      </c>
      <c r="D538" s="5" t="s">
        <v>45</v>
      </c>
      <c r="E538" s="6" t="s">
        <v>591</v>
      </c>
    </row>
    <row r="539">
      <c r="A539" s="10" t="s">
        <v>575</v>
      </c>
      <c r="B539" s="3" t="s">
        <v>576</v>
      </c>
      <c r="C539" s="4" t="s">
        <v>3</v>
      </c>
      <c r="D539" s="5" t="s">
        <v>13</v>
      </c>
      <c r="E539" s="6" t="s">
        <v>592</v>
      </c>
    </row>
    <row r="540" hidden="1">
      <c r="A540" s="10" t="s">
        <v>575</v>
      </c>
      <c r="B540" s="3" t="s">
        <v>576</v>
      </c>
      <c r="C540" s="4" t="s">
        <v>8</v>
      </c>
      <c r="D540" s="5" t="s">
        <v>23</v>
      </c>
      <c r="E540" s="6" t="s">
        <v>77</v>
      </c>
    </row>
    <row r="541" hidden="1">
      <c r="A541" s="10" t="s">
        <v>593</v>
      </c>
      <c r="B541" s="3" t="s">
        <v>594</v>
      </c>
      <c r="C541" s="4" t="s">
        <v>8</v>
      </c>
      <c r="D541" s="5" t="s">
        <v>35</v>
      </c>
      <c r="E541" s="6" t="s">
        <v>595</v>
      </c>
    </row>
    <row r="542" hidden="1">
      <c r="A542" s="10" t="s">
        <v>593</v>
      </c>
      <c r="B542" s="3" t="s">
        <v>594</v>
      </c>
      <c r="C542" s="4" t="s">
        <v>8</v>
      </c>
      <c r="D542" s="5" t="s">
        <v>17</v>
      </c>
      <c r="E542" s="6" t="s">
        <v>596</v>
      </c>
    </row>
    <row r="543" hidden="1">
      <c r="A543" s="10" t="s">
        <v>593</v>
      </c>
      <c r="B543" s="3" t="s">
        <v>594</v>
      </c>
      <c r="C543" s="4" t="s">
        <v>8</v>
      </c>
      <c r="D543" s="5" t="s">
        <v>96</v>
      </c>
      <c r="E543" s="6" t="s">
        <v>597</v>
      </c>
    </row>
    <row r="544" hidden="1">
      <c r="A544" s="10" t="s">
        <v>593</v>
      </c>
      <c r="B544" s="3" t="s">
        <v>594</v>
      </c>
      <c r="C544" s="4" t="s">
        <v>8</v>
      </c>
      <c r="D544" s="5" t="s">
        <v>21</v>
      </c>
      <c r="E544" s="6" t="s">
        <v>343</v>
      </c>
    </row>
    <row r="545" hidden="1">
      <c r="A545" s="10" t="s">
        <v>593</v>
      </c>
      <c r="B545" s="3" t="s">
        <v>594</v>
      </c>
      <c r="C545" s="4" t="s">
        <v>8</v>
      </c>
      <c r="D545" s="5" t="s">
        <v>71</v>
      </c>
      <c r="E545" s="6" t="s">
        <v>598</v>
      </c>
    </row>
    <row r="546">
      <c r="A546" s="10" t="s">
        <v>593</v>
      </c>
      <c r="B546" s="3" t="s">
        <v>594</v>
      </c>
      <c r="C546" s="4" t="s">
        <v>3</v>
      </c>
      <c r="D546" s="5" t="s">
        <v>71</v>
      </c>
      <c r="E546" s="6" t="s">
        <v>599</v>
      </c>
    </row>
    <row r="547">
      <c r="A547" s="10" t="s">
        <v>593</v>
      </c>
      <c r="B547" s="3" t="s">
        <v>594</v>
      </c>
      <c r="C547" s="4" t="s">
        <v>3</v>
      </c>
      <c r="D547" s="5" t="s">
        <v>35</v>
      </c>
      <c r="E547" s="6" t="s">
        <v>600</v>
      </c>
    </row>
    <row r="548">
      <c r="A548" s="10" t="s">
        <v>593</v>
      </c>
      <c r="B548" s="3" t="s">
        <v>594</v>
      </c>
      <c r="C548" s="4" t="s">
        <v>3</v>
      </c>
      <c r="D548" s="5" t="s">
        <v>39</v>
      </c>
      <c r="E548" s="6" t="s">
        <v>601</v>
      </c>
    </row>
    <row r="549">
      <c r="A549" s="10" t="s">
        <v>593</v>
      </c>
      <c r="B549" s="3" t="s">
        <v>594</v>
      </c>
      <c r="C549" s="4" t="s">
        <v>3</v>
      </c>
      <c r="D549" s="5" t="s">
        <v>42</v>
      </c>
      <c r="E549" s="6" t="s">
        <v>602</v>
      </c>
    </row>
    <row r="550" hidden="1">
      <c r="A550" s="10" t="s">
        <v>593</v>
      </c>
      <c r="B550" s="3" t="s">
        <v>594</v>
      </c>
      <c r="C550" s="4" t="s">
        <v>8</v>
      </c>
      <c r="D550" s="5" t="s">
        <v>120</v>
      </c>
      <c r="E550" s="6" t="s">
        <v>603</v>
      </c>
    </row>
    <row r="551">
      <c r="A551" s="10" t="s">
        <v>593</v>
      </c>
      <c r="B551" s="3" t="s">
        <v>594</v>
      </c>
      <c r="C551" s="4" t="s">
        <v>3</v>
      </c>
      <c r="D551" s="5" t="s">
        <v>96</v>
      </c>
      <c r="E551" s="6" t="s">
        <v>604</v>
      </c>
    </row>
    <row r="552">
      <c r="A552" s="10" t="s">
        <v>593</v>
      </c>
      <c r="B552" s="3" t="s">
        <v>594</v>
      </c>
      <c r="C552" s="4" t="s">
        <v>3</v>
      </c>
      <c r="D552" s="5" t="s">
        <v>13</v>
      </c>
      <c r="E552" s="6" t="s">
        <v>605</v>
      </c>
    </row>
    <row r="553" hidden="1">
      <c r="A553" s="10" t="s">
        <v>593</v>
      </c>
      <c r="B553" s="3" t="s">
        <v>594</v>
      </c>
      <c r="C553" s="4" t="s">
        <v>8</v>
      </c>
      <c r="D553" s="5" t="s">
        <v>42</v>
      </c>
      <c r="E553" s="6" t="s">
        <v>606</v>
      </c>
    </row>
    <row r="554">
      <c r="A554" s="10" t="s">
        <v>593</v>
      </c>
      <c r="B554" s="3" t="s">
        <v>594</v>
      </c>
      <c r="C554" s="4" t="s">
        <v>3</v>
      </c>
      <c r="D554" s="5" t="s">
        <v>9</v>
      </c>
      <c r="E554" s="6" t="s">
        <v>607</v>
      </c>
    </row>
    <row r="555">
      <c r="A555" s="10" t="s">
        <v>593</v>
      </c>
      <c r="B555" s="3" t="s">
        <v>594</v>
      </c>
      <c r="C555" s="4" t="s">
        <v>3</v>
      </c>
      <c r="D555" s="5" t="s">
        <v>51</v>
      </c>
      <c r="E555" s="6" t="s">
        <v>608</v>
      </c>
    </row>
    <row r="556">
      <c r="A556" s="10" t="s">
        <v>593</v>
      </c>
      <c r="B556" s="3" t="s">
        <v>594</v>
      </c>
      <c r="C556" s="4" t="s">
        <v>3</v>
      </c>
      <c r="D556" s="5" t="s">
        <v>15</v>
      </c>
      <c r="E556" s="6" t="s">
        <v>609</v>
      </c>
    </row>
    <row r="557" hidden="1">
      <c r="A557" s="10" t="s">
        <v>593</v>
      </c>
      <c r="B557" s="3" t="s">
        <v>594</v>
      </c>
      <c r="C557" s="4" t="s">
        <v>8</v>
      </c>
      <c r="D557" s="5" t="s">
        <v>23</v>
      </c>
      <c r="E557" s="6" t="s">
        <v>610</v>
      </c>
    </row>
    <row r="558">
      <c r="A558" s="10" t="s">
        <v>593</v>
      </c>
      <c r="B558" s="3" t="s">
        <v>594</v>
      </c>
      <c r="C558" s="4" t="s">
        <v>3</v>
      </c>
      <c r="D558" s="5" t="s">
        <v>15</v>
      </c>
      <c r="E558" s="6" t="s">
        <v>611</v>
      </c>
    </row>
    <row r="559" hidden="1">
      <c r="A559" s="10" t="s">
        <v>593</v>
      </c>
      <c r="B559" s="3" t="s">
        <v>594</v>
      </c>
      <c r="C559" s="4" t="s">
        <v>8</v>
      </c>
      <c r="D559" s="5" t="s">
        <v>21</v>
      </c>
      <c r="E559" s="6" t="s">
        <v>612</v>
      </c>
    </row>
    <row r="560" hidden="1">
      <c r="A560" s="10" t="s">
        <v>593</v>
      </c>
      <c r="B560" s="3" t="s">
        <v>594</v>
      </c>
      <c r="C560" s="4" t="s">
        <v>8</v>
      </c>
      <c r="D560" s="5" t="s">
        <v>51</v>
      </c>
      <c r="E560" s="6" t="s">
        <v>181</v>
      </c>
    </row>
    <row r="561" hidden="1">
      <c r="A561" s="10" t="s">
        <v>613</v>
      </c>
      <c r="B561" s="3" t="s">
        <v>614</v>
      </c>
      <c r="C561" s="4" t="s">
        <v>8</v>
      </c>
      <c r="D561" s="5" t="s">
        <v>19</v>
      </c>
      <c r="E561" s="6" t="s">
        <v>615</v>
      </c>
    </row>
    <row r="562" hidden="1">
      <c r="A562" s="10" t="s">
        <v>613</v>
      </c>
      <c r="B562" s="3" t="s">
        <v>614</v>
      </c>
      <c r="C562" s="4" t="s">
        <v>8</v>
      </c>
      <c r="D562" s="5" t="s">
        <v>13</v>
      </c>
      <c r="E562" s="6" t="s">
        <v>616</v>
      </c>
    </row>
    <row r="563" hidden="1">
      <c r="A563" s="10" t="s">
        <v>613</v>
      </c>
      <c r="B563" s="3" t="s">
        <v>614</v>
      </c>
      <c r="C563" s="4" t="s">
        <v>8</v>
      </c>
      <c r="D563" s="5" t="s">
        <v>51</v>
      </c>
      <c r="E563" s="6" t="s">
        <v>617</v>
      </c>
    </row>
    <row r="564" hidden="1">
      <c r="A564" s="10" t="s">
        <v>613</v>
      </c>
      <c r="B564" s="3" t="s">
        <v>614</v>
      </c>
      <c r="C564" s="4" t="s">
        <v>8</v>
      </c>
      <c r="D564" s="5" t="s">
        <v>23</v>
      </c>
      <c r="E564" s="6" t="s">
        <v>618</v>
      </c>
    </row>
    <row r="565">
      <c r="A565" s="10" t="s">
        <v>613</v>
      </c>
      <c r="B565" s="3" t="s">
        <v>614</v>
      </c>
      <c r="C565" s="4" t="s">
        <v>3</v>
      </c>
      <c r="D565" s="5" t="s">
        <v>11</v>
      </c>
      <c r="E565" s="6" t="s">
        <v>619</v>
      </c>
    </row>
    <row r="566">
      <c r="A566" s="10" t="s">
        <v>613</v>
      </c>
      <c r="B566" s="3" t="s">
        <v>614</v>
      </c>
      <c r="C566" s="4" t="s">
        <v>3</v>
      </c>
      <c r="D566" s="5" t="s">
        <v>96</v>
      </c>
      <c r="E566" s="6" t="s">
        <v>620</v>
      </c>
    </row>
    <row r="567" hidden="1">
      <c r="A567" s="10" t="s">
        <v>613</v>
      </c>
      <c r="B567" s="3" t="s">
        <v>614</v>
      </c>
      <c r="C567" s="4" t="s">
        <v>8</v>
      </c>
      <c r="D567" s="5" t="s">
        <v>15</v>
      </c>
      <c r="E567" s="6" t="s">
        <v>384</v>
      </c>
    </row>
    <row r="568" hidden="1">
      <c r="A568" s="10" t="s">
        <v>613</v>
      </c>
      <c r="B568" s="3" t="s">
        <v>614</v>
      </c>
      <c r="C568" s="4" t="s">
        <v>8</v>
      </c>
      <c r="D568" s="5" t="s">
        <v>71</v>
      </c>
      <c r="E568" s="6" t="s">
        <v>621</v>
      </c>
    </row>
    <row r="569">
      <c r="A569" s="10" t="s">
        <v>613</v>
      </c>
      <c r="B569" s="3" t="s">
        <v>614</v>
      </c>
      <c r="C569" s="4" t="s">
        <v>3</v>
      </c>
      <c r="D569" s="5" t="s">
        <v>120</v>
      </c>
      <c r="E569" s="6" t="s">
        <v>622</v>
      </c>
    </row>
    <row r="570">
      <c r="A570" s="10" t="s">
        <v>613</v>
      </c>
      <c r="B570" s="3" t="s">
        <v>614</v>
      </c>
      <c r="C570" s="4" t="s">
        <v>3</v>
      </c>
      <c r="D570" s="5" t="s">
        <v>21</v>
      </c>
      <c r="E570" s="6" t="s">
        <v>568</v>
      </c>
    </row>
    <row r="571" hidden="1">
      <c r="A571" s="10" t="s">
        <v>613</v>
      </c>
      <c r="B571" s="3" t="s">
        <v>614</v>
      </c>
      <c r="C571" s="4" t="s">
        <v>8</v>
      </c>
      <c r="D571" s="5" t="s">
        <v>96</v>
      </c>
      <c r="E571" s="6" t="s">
        <v>623</v>
      </c>
    </row>
    <row r="572" hidden="1">
      <c r="A572" s="10" t="s">
        <v>613</v>
      </c>
      <c r="B572" s="3" t="s">
        <v>614</v>
      </c>
      <c r="C572" s="4" t="s">
        <v>8</v>
      </c>
      <c r="D572" s="5" t="s">
        <v>6</v>
      </c>
      <c r="E572" s="6" t="s">
        <v>624</v>
      </c>
    </row>
    <row r="573" hidden="1">
      <c r="A573" s="10" t="s">
        <v>613</v>
      </c>
      <c r="B573" s="3" t="s">
        <v>614</v>
      </c>
      <c r="C573" s="4" t="s">
        <v>8</v>
      </c>
      <c r="D573" s="5" t="s">
        <v>51</v>
      </c>
      <c r="E573" s="6" t="s">
        <v>625</v>
      </c>
    </row>
    <row r="574" hidden="1">
      <c r="A574" s="10" t="s">
        <v>613</v>
      </c>
      <c r="B574" s="3" t="s">
        <v>614</v>
      </c>
      <c r="C574" s="4" t="s">
        <v>8</v>
      </c>
      <c r="D574" s="5" t="s">
        <v>76</v>
      </c>
      <c r="E574" s="6" t="s">
        <v>626</v>
      </c>
    </row>
    <row r="575" hidden="1">
      <c r="A575" s="10" t="s">
        <v>613</v>
      </c>
      <c r="B575" s="3" t="s">
        <v>614</v>
      </c>
      <c r="C575" s="4" t="s">
        <v>8</v>
      </c>
      <c r="D575" s="5" t="s">
        <v>15</v>
      </c>
      <c r="E575" s="6" t="s">
        <v>353</v>
      </c>
    </row>
    <row r="576">
      <c r="A576" s="10" t="s">
        <v>613</v>
      </c>
      <c r="B576" s="3" t="s">
        <v>614</v>
      </c>
      <c r="C576" s="4" t="s">
        <v>3</v>
      </c>
      <c r="D576" s="5" t="s">
        <v>76</v>
      </c>
      <c r="E576" s="6" t="s">
        <v>627</v>
      </c>
    </row>
    <row r="577">
      <c r="A577" s="10" t="s">
        <v>613</v>
      </c>
      <c r="B577" s="3" t="s">
        <v>614</v>
      </c>
      <c r="C577" s="4" t="s">
        <v>3</v>
      </c>
      <c r="D577" s="5" t="s">
        <v>35</v>
      </c>
      <c r="E577" s="6" t="s">
        <v>628</v>
      </c>
    </row>
    <row r="578" hidden="1">
      <c r="A578" s="10" t="s">
        <v>613</v>
      </c>
      <c r="B578" s="3" t="s">
        <v>614</v>
      </c>
      <c r="C578" s="4" t="s">
        <v>8</v>
      </c>
      <c r="D578" s="5" t="s">
        <v>21</v>
      </c>
      <c r="E578" s="6" t="s">
        <v>629</v>
      </c>
    </row>
    <row r="579">
      <c r="A579" s="10" t="s">
        <v>613</v>
      </c>
      <c r="B579" s="3" t="s">
        <v>614</v>
      </c>
      <c r="C579" s="4" t="s">
        <v>3</v>
      </c>
      <c r="D579" s="5" t="s">
        <v>19</v>
      </c>
      <c r="E579" s="6" t="s">
        <v>630</v>
      </c>
    </row>
    <row r="580" hidden="1">
      <c r="A580" s="10" t="s">
        <v>613</v>
      </c>
      <c r="B580" s="3" t="s">
        <v>614</v>
      </c>
      <c r="C580" s="4" t="s">
        <v>8</v>
      </c>
      <c r="D580" s="5" t="s">
        <v>42</v>
      </c>
      <c r="E580" s="6" t="s">
        <v>631</v>
      </c>
    </row>
    <row r="581" hidden="1">
      <c r="A581" s="10" t="s">
        <v>632</v>
      </c>
      <c r="B581" s="3" t="s">
        <v>633</v>
      </c>
      <c r="C581" s="4" t="s">
        <v>8</v>
      </c>
      <c r="D581" s="5" t="s">
        <v>42</v>
      </c>
      <c r="E581" s="6" t="s">
        <v>634</v>
      </c>
    </row>
    <row r="582" hidden="1">
      <c r="A582" s="10" t="s">
        <v>632</v>
      </c>
      <c r="B582" s="3" t="s">
        <v>633</v>
      </c>
      <c r="C582" s="4" t="s">
        <v>8</v>
      </c>
      <c r="D582" s="5" t="s">
        <v>4</v>
      </c>
      <c r="E582" s="6" t="s">
        <v>635</v>
      </c>
    </row>
    <row r="583" hidden="1">
      <c r="A583" s="10" t="s">
        <v>632</v>
      </c>
      <c r="B583" s="3" t="s">
        <v>633</v>
      </c>
      <c r="C583" s="4" t="s">
        <v>8</v>
      </c>
      <c r="D583" s="5" t="s">
        <v>120</v>
      </c>
      <c r="E583" s="6" t="s">
        <v>636</v>
      </c>
    </row>
    <row r="584" hidden="1">
      <c r="A584" s="10" t="s">
        <v>632</v>
      </c>
      <c r="B584" s="3" t="s">
        <v>633</v>
      </c>
      <c r="C584" s="4" t="s">
        <v>8</v>
      </c>
      <c r="D584" s="5" t="s">
        <v>17</v>
      </c>
      <c r="E584" s="6" t="s">
        <v>29</v>
      </c>
    </row>
    <row r="585" hidden="1">
      <c r="A585" s="10" t="s">
        <v>632</v>
      </c>
      <c r="B585" s="3" t="s">
        <v>633</v>
      </c>
      <c r="C585" s="4" t="s">
        <v>8</v>
      </c>
      <c r="D585" s="5" t="s">
        <v>96</v>
      </c>
      <c r="E585" s="6" t="s">
        <v>637</v>
      </c>
    </row>
    <row r="586" hidden="1">
      <c r="A586" s="10" t="s">
        <v>632</v>
      </c>
      <c r="B586" s="3" t="s">
        <v>633</v>
      </c>
      <c r="C586" s="4" t="s">
        <v>8</v>
      </c>
      <c r="D586" s="5" t="s">
        <v>28</v>
      </c>
      <c r="E586" s="6" t="s">
        <v>638</v>
      </c>
    </row>
    <row r="587">
      <c r="A587" s="10" t="s">
        <v>632</v>
      </c>
      <c r="B587" s="3" t="s">
        <v>633</v>
      </c>
      <c r="C587" s="4" t="s">
        <v>3</v>
      </c>
      <c r="D587" s="5" t="s">
        <v>76</v>
      </c>
      <c r="E587" s="6" t="s">
        <v>639</v>
      </c>
    </row>
    <row r="588" hidden="1">
      <c r="A588" s="10" t="s">
        <v>632</v>
      </c>
      <c r="B588" s="3" t="s">
        <v>633</v>
      </c>
      <c r="C588" s="4" t="s">
        <v>8</v>
      </c>
      <c r="D588" s="5" t="s">
        <v>19</v>
      </c>
      <c r="E588" s="6" t="s">
        <v>41</v>
      </c>
    </row>
    <row r="589" hidden="1">
      <c r="A589" s="10" t="s">
        <v>632</v>
      </c>
      <c r="B589" s="3" t="s">
        <v>633</v>
      </c>
      <c r="C589" s="4" t="s">
        <v>8</v>
      </c>
      <c r="D589" s="5" t="s">
        <v>45</v>
      </c>
      <c r="E589" s="6" t="s">
        <v>640</v>
      </c>
    </row>
    <row r="590" hidden="1">
      <c r="A590" s="10" t="s">
        <v>632</v>
      </c>
      <c r="B590" s="3" t="s">
        <v>633</v>
      </c>
      <c r="C590" s="4" t="s">
        <v>8</v>
      </c>
      <c r="D590" s="5" t="s">
        <v>96</v>
      </c>
      <c r="E590" s="6" t="s">
        <v>641</v>
      </c>
    </row>
    <row r="591" hidden="1">
      <c r="A591" s="10" t="s">
        <v>632</v>
      </c>
      <c r="B591" s="3" t="s">
        <v>633</v>
      </c>
      <c r="C591" s="4" t="s">
        <v>8</v>
      </c>
      <c r="D591" s="5" t="s">
        <v>19</v>
      </c>
      <c r="E591" s="6" t="s">
        <v>642</v>
      </c>
    </row>
    <row r="592">
      <c r="A592" s="10" t="s">
        <v>632</v>
      </c>
      <c r="B592" s="3" t="s">
        <v>633</v>
      </c>
      <c r="C592" s="4" t="s">
        <v>3</v>
      </c>
      <c r="D592" s="5" t="s">
        <v>42</v>
      </c>
      <c r="E592" s="6" t="s">
        <v>643</v>
      </c>
    </row>
    <row r="593" hidden="1">
      <c r="A593" s="10" t="s">
        <v>632</v>
      </c>
      <c r="B593" s="3" t="s">
        <v>633</v>
      </c>
      <c r="C593" s="4" t="s">
        <v>8</v>
      </c>
      <c r="D593" s="5" t="s">
        <v>9</v>
      </c>
      <c r="E593" s="6" t="s">
        <v>644</v>
      </c>
    </row>
    <row r="594">
      <c r="A594" s="10" t="s">
        <v>632</v>
      </c>
      <c r="B594" s="3" t="s">
        <v>633</v>
      </c>
      <c r="C594" s="4" t="s">
        <v>3</v>
      </c>
      <c r="D594" s="5" t="s">
        <v>76</v>
      </c>
      <c r="E594" s="6" t="s">
        <v>645</v>
      </c>
    </row>
    <row r="595">
      <c r="A595" s="10" t="s">
        <v>632</v>
      </c>
      <c r="B595" s="3" t="s">
        <v>633</v>
      </c>
      <c r="C595" s="4" t="s">
        <v>3</v>
      </c>
      <c r="D595" s="5" t="s">
        <v>71</v>
      </c>
      <c r="E595" s="6" t="s">
        <v>646</v>
      </c>
    </row>
    <row r="596">
      <c r="A596" s="10" t="s">
        <v>632</v>
      </c>
      <c r="B596" s="3" t="s">
        <v>633</v>
      </c>
      <c r="C596" s="4" t="s">
        <v>3</v>
      </c>
      <c r="D596" s="5" t="s">
        <v>9</v>
      </c>
      <c r="E596" s="6" t="s">
        <v>647</v>
      </c>
    </row>
    <row r="597">
      <c r="A597" s="10" t="s">
        <v>632</v>
      </c>
      <c r="B597" s="3" t="s">
        <v>633</v>
      </c>
      <c r="C597" s="4" t="s">
        <v>3</v>
      </c>
      <c r="D597" s="5" t="s">
        <v>42</v>
      </c>
      <c r="E597" s="6" t="s">
        <v>455</v>
      </c>
    </row>
    <row r="598" hidden="1">
      <c r="A598" s="10" t="s">
        <v>632</v>
      </c>
      <c r="B598" s="3" t="s">
        <v>633</v>
      </c>
      <c r="C598" s="4" t="s">
        <v>8</v>
      </c>
      <c r="D598" s="5" t="s">
        <v>71</v>
      </c>
      <c r="E598" s="6" t="s">
        <v>648</v>
      </c>
    </row>
    <row r="599" hidden="1">
      <c r="A599" s="10" t="s">
        <v>632</v>
      </c>
      <c r="B599" s="3" t="s">
        <v>633</v>
      </c>
      <c r="C599" s="4" t="s">
        <v>8</v>
      </c>
      <c r="D599" s="5" t="s">
        <v>15</v>
      </c>
      <c r="E599" s="6" t="s">
        <v>649</v>
      </c>
    </row>
    <row r="600" hidden="1">
      <c r="A600" s="10" t="s">
        <v>632</v>
      </c>
      <c r="B600" s="3" t="s">
        <v>633</v>
      </c>
      <c r="C600" s="4" t="s">
        <v>8</v>
      </c>
      <c r="D600" s="5" t="s">
        <v>39</v>
      </c>
      <c r="E600" s="6" t="s">
        <v>650</v>
      </c>
    </row>
    <row r="601" hidden="1">
      <c r="A601" s="10" t="s">
        <v>651</v>
      </c>
      <c r="B601" s="3" t="s">
        <v>652</v>
      </c>
      <c r="C601" s="4" t="s">
        <v>8</v>
      </c>
      <c r="D601" s="5" t="s">
        <v>15</v>
      </c>
      <c r="E601" s="6" t="s">
        <v>653</v>
      </c>
    </row>
    <row r="602">
      <c r="A602" s="10" t="s">
        <v>651</v>
      </c>
      <c r="B602" s="3" t="s">
        <v>652</v>
      </c>
      <c r="C602" s="4" t="s">
        <v>3</v>
      </c>
      <c r="D602" s="5" t="s">
        <v>11</v>
      </c>
      <c r="E602" s="6" t="s">
        <v>654</v>
      </c>
    </row>
    <row r="603">
      <c r="A603" s="10" t="s">
        <v>651</v>
      </c>
      <c r="B603" s="3" t="s">
        <v>652</v>
      </c>
      <c r="C603" s="4" t="s">
        <v>3</v>
      </c>
      <c r="D603" s="5" t="s">
        <v>96</v>
      </c>
      <c r="E603" s="6" t="s">
        <v>655</v>
      </c>
    </row>
    <row r="604">
      <c r="A604" s="10" t="s">
        <v>651</v>
      </c>
      <c r="B604" s="3" t="s">
        <v>652</v>
      </c>
      <c r="C604" s="4" t="s">
        <v>3</v>
      </c>
      <c r="D604" s="5" t="s">
        <v>23</v>
      </c>
      <c r="E604" s="6" t="s">
        <v>656</v>
      </c>
    </row>
    <row r="605">
      <c r="A605" s="10" t="s">
        <v>651</v>
      </c>
      <c r="B605" s="3" t="s">
        <v>652</v>
      </c>
      <c r="C605" s="4" t="s">
        <v>3</v>
      </c>
      <c r="D605" s="5" t="s">
        <v>96</v>
      </c>
      <c r="E605" s="6" t="s">
        <v>657</v>
      </c>
    </row>
    <row r="606" hidden="1">
      <c r="A606" s="10" t="s">
        <v>651</v>
      </c>
      <c r="B606" s="3" t="s">
        <v>652</v>
      </c>
      <c r="C606" s="4" t="s">
        <v>8</v>
      </c>
      <c r="D606" s="5" t="s">
        <v>45</v>
      </c>
      <c r="E606" s="6" t="s">
        <v>658</v>
      </c>
    </row>
    <row r="607" hidden="1">
      <c r="A607" s="10" t="s">
        <v>651</v>
      </c>
      <c r="B607" s="3" t="s">
        <v>652</v>
      </c>
      <c r="C607" s="4" t="s">
        <v>8</v>
      </c>
      <c r="D607" s="5" t="s">
        <v>13</v>
      </c>
      <c r="E607" s="6" t="s">
        <v>659</v>
      </c>
    </row>
    <row r="608">
      <c r="A608" s="10" t="s">
        <v>651</v>
      </c>
      <c r="B608" s="3" t="s">
        <v>652</v>
      </c>
      <c r="C608" s="4" t="s">
        <v>3</v>
      </c>
      <c r="D608" s="5" t="s">
        <v>15</v>
      </c>
      <c r="E608" s="6" t="s">
        <v>660</v>
      </c>
    </row>
    <row r="609" hidden="1">
      <c r="A609" s="10" t="s">
        <v>651</v>
      </c>
      <c r="B609" s="3" t="s">
        <v>652</v>
      </c>
      <c r="C609" s="4" t="s">
        <v>8</v>
      </c>
      <c r="D609" s="5" t="s">
        <v>35</v>
      </c>
      <c r="E609" s="6" t="s">
        <v>661</v>
      </c>
    </row>
    <row r="610">
      <c r="A610" s="10" t="s">
        <v>651</v>
      </c>
      <c r="B610" s="3" t="s">
        <v>652</v>
      </c>
      <c r="C610" s="4" t="s">
        <v>3</v>
      </c>
      <c r="D610" s="5" t="s">
        <v>120</v>
      </c>
      <c r="E610" s="6" t="s">
        <v>662</v>
      </c>
    </row>
    <row r="611">
      <c r="A611" s="10" t="s">
        <v>651</v>
      </c>
      <c r="B611" s="3" t="s">
        <v>652</v>
      </c>
      <c r="C611" s="4" t="s">
        <v>3</v>
      </c>
      <c r="D611" s="5" t="s">
        <v>96</v>
      </c>
      <c r="E611" s="6" t="s">
        <v>663</v>
      </c>
    </row>
    <row r="612">
      <c r="A612" s="10" t="s">
        <v>651</v>
      </c>
      <c r="B612" s="3" t="s">
        <v>652</v>
      </c>
      <c r="C612" s="4" t="s">
        <v>3</v>
      </c>
      <c r="D612" s="5" t="s">
        <v>39</v>
      </c>
      <c r="E612" s="6" t="s">
        <v>664</v>
      </c>
    </row>
    <row r="613">
      <c r="A613" s="10" t="s">
        <v>651</v>
      </c>
      <c r="B613" s="3" t="s">
        <v>652</v>
      </c>
      <c r="C613" s="4" t="s">
        <v>3</v>
      </c>
      <c r="D613" s="5" t="s">
        <v>96</v>
      </c>
      <c r="E613" s="6" t="s">
        <v>351</v>
      </c>
    </row>
    <row r="614" hidden="1">
      <c r="A614" s="10" t="s">
        <v>651</v>
      </c>
      <c r="B614" s="3" t="s">
        <v>652</v>
      </c>
      <c r="C614" s="4" t="s">
        <v>8</v>
      </c>
      <c r="D614" s="5" t="s">
        <v>35</v>
      </c>
      <c r="E614" s="6" t="s">
        <v>665</v>
      </c>
    </row>
    <row r="615">
      <c r="A615" s="10" t="s">
        <v>651</v>
      </c>
      <c r="B615" s="3" t="s">
        <v>652</v>
      </c>
      <c r="C615" s="4" t="s">
        <v>3</v>
      </c>
      <c r="D615" s="5" t="s">
        <v>4</v>
      </c>
      <c r="E615" s="6" t="s">
        <v>546</v>
      </c>
    </row>
    <row r="616" hidden="1">
      <c r="A616" s="10" t="s">
        <v>651</v>
      </c>
      <c r="B616" s="3" t="s">
        <v>652</v>
      </c>
      <c r="C616" s="4" t="s">
        <v>8</v>
      </c>
      <c r="D616" s="5" t="s">
        <v>23</v>
      </c>
      <c r="E616" s="6" t="s">
        <v>666</v>
      </c>
    </row>
    <row r="617" hidden="1">
      <c r="A617" s="10" t="s">
        <v>651</v>
      </c>
      <c r="B617" s="3" t="s">
        <v>652</v>
      </c>
      <c r="C617" s="4" t="s">
        <v>8</v>
      </c>
      <c r="D617" s="5" t="s">
        <v>28</v>
      </c>
      <c r="E617" s="6" t="s">
        <v>667</v>
      </c>
    </row>
    <row r="618">
      <c r="A618" s="10" t="s">
        <v>651</v>
      </c>
      <c r="B618" s="3" t="s">
        <v>652</v>
      </c>
      <c r="C618" s="4" t="s">
        <v>3</v>
      </c>
      <c r="D618" s="5" t="s">
        <v>19</v>
      </c>
      <c r="E618" s="6" t="s">
        <v>521</v>
      </c>
    </row>
    <row r="619" hidden="1">
      <c r="A619" s="10" t="s">
        <v>651</v>
      </c>
      <c r="B619" s="3" t="s">
        <v>652</v>
      </c>
      <c r="C619" s="4" t="s">
        <v>8</v>
      </c>
      <c r="D619" s="5" t="s">
        <v>28</v>
      </c>
      <c r="E619" s="6" t="s">
        <v>668</v>
      </c>
    </row>
    <row r="620">
      <c r="A620" s="10" t="s">
        <v>651</v>
      </c>
      <c r="B620" s="3" t="s">
        <v>652</v>
      </c>
      <c r="C620" s="4" t="s">
        <v>3</v>
      </c>
      <c r="D620" s="5" t="s">
        <v>96</v>
      </c>
      <c r="E620" s="6" t="s">
        <v>54</v>
      </c>
    </row>
    <row r="621">
      <c r="A621" s="10" t="s">
        <v>669</v>
      </c>
      <c r="B621" s="3" t="s">
        <v>670</v>
      </c>
      <c r="C621" s="4" t="s">
        <v>3</v>
      </c>
      <c r="D621" s="5" t="s">
        <v>120</v>
      </c>
      <c r="E621" s="6" t="s">
        <v>671</v>
      </c>
    </row>
    <row r="622">
      <c r="A622" s="10" t="s">
        <v>669</v>
      </c>
      <c r="B622" s="3" t="s">
        <v>670</v>
      </c>
      <c r="C622" s="4" t="s">
        <v>3</v>
      </c>
      <c r="D622" s="5" t="s">
        <v>11</v>
      </c>
      <c r="E622" s="6" t="s">
        <v>672</v>
      </c>
    </row>
    <row r="623" hidden="1">
      <c r="A623" s="10" t="s">
        <v>669</v>
      </c>
      <c r="B623" s="3" t="s">
        <v>670</v>
      </c>
      <c r="C623" s="4" t="s">
        <v>8</v>
      </c>
      <c r="D623" s="5" t="s">
        <v>13</v>
      </c>
      <c r="E623" s="6" t="s">
        <v>673</v>
      </c>
    </row>
    <row r="624" hidden="1">
      <c r="A624" s="10" t="s">
        <v>669</v>
      </c>
      <c r="B624" s="3" t="s">
        <v>670</v>
      </c>
      <c r="C624" s="4" t="s">
        <v>8</v>
      </c>
      <c r="D624" s="5" t="s">
        <v>71</v>
      </c>
      <c r="E624" s="6" t="s">
        <v>674</v>
      </c>
    </row>
    <row r="625">
      <c r="A625" s="10" t="s">
        <v>669</v>
      </c>
      <c r="B625" s="3" t="s">
        <v>670</v>
      </c>
      <c r="C625" s="4" t="s">
        <v>3</v>
      </c>
      <c r="D625" s="5" t="s">
        <v>76</v>
      </c>
      <c r="E625" s="6" t="s">
        <v>675</v>
      </c>
    </row>
    <row r="626">
      <c r="A626" s="10" t="s">
        <v>669</v>
      </c>
      <c r="B626" s="3" t="s">
        <v>670</v>
      </c>
      <c r="C626" s="4" t="s">
        <v>3</v>
      </c>
      <c r="D626" s="5" t="s">
        <v>28</v>
      </c>
      <c r="E626" s="6" t="s">
        <v>676</v>
      </c>
    </row>
    <row r="627">
      <c r="A627" s="10" t="s">
        <v>669</v>
      </c>
      <c r="B627" s="3" t="s">
        <v>670</v>
      </c>
      <c r="C627" s="4" t="s">
        <v>3</v>
      </c>
      <c r="D627" s="5" t="s">
        <v>35</v>
      </c>
      <c r="E627" s="6" t="s">
        <v>677</v>
      </c>
    </row>
    <row r="628">
      <c r="A628" s="10" t="s">
        <v>669</v>
      </c>
      <c r="B628" s="3" t="s">
        <v>670</v>
      </c>
      <c r="C628" s="4" t="s">
        <v>3</v>
      </c>
      <c r="D628" s="5" t="s">
        <v>28</v>
      </c>
      <c r="E628" s="6" t="s">
        <v>203</v>
      </c>
    </row>
    <row r="629" hidden="1">
      <c r="A629" s="10" t="s">
        <v>669</v>
      </c>
      <c r="B629" s="3" t="s">
        <v>670</v>
      </c>
      <c r="C629" s="4" t="s">
        <v>8</v>
      </c>
      <c r="D629" s="5" t="s">
        <v>13</v>
      </c>
      <c r="E629" s="6" t="s">
        <v>678</v>
      </c>
    </row>
    <row r="630">
      <c r="A630" s="10" t="s">
        <v>669</v>
      </c>
      <c r="B630" s="3" t="s">
        <v>670</v>
      </c>
      <c r="C630" s="4" t="s">
        <v>3</v>
      </c>
      <c r="D630" s="5" t="s">
        <v>11</v>
      </c>
      <c r="E630" s="6" t="s">
        <v>679</v>
      </c>
    </row>
    <row r="631" hidden="1">
      <c r="A631" s="10" t="s">
        <v>669</v>
      </c>
      <c r="B631" s="3" t="s">
        <v>670</v>
      </c>
      <c r="C631" s="4" t="s">
        <v>8</v>
      </c>
      <c r="D631" s="5" t="s">
        <v>17</v>
      </c>
      <c r="E631" s="6" t="s">
        <v>680</v>
      </c>
    </row>
    <row r="632" hidden="1">
      <c r="A632" s="10" t="s">
        <v>669</v>
      </c>
      <c r="B632" s="3" t="s">
        <v>670</v>
      </c>
      <c r="C632" s="4" t="s">
        <v>8</v>
      </c>
      <c r="D632" s="5" t="s">
        <v>71</v>
      </c>
      <c r="E632" s="6" t="s">
        <v>681</v>
      </c>
    </row>
    <row r="633" hidden="1">
      <c r="A633" s="10" t="s">
        <v>669</v>
      </c>
      <c r="B633" s="3" t="s">
        <v>670</v>
      </c>
      <c r="C633" s="4" t="s">
        <v>8</v>
      </c>
      <c r="D633" s="5" t="s">
        <v>35</v>
      </c>
      <c r="E633" s="6" t="s">
        <v>682</v>
      </c>
    </row>
    <row r="634" hidden="1">
      <c r="A634" s="10" t="s">
        <v>669</v>
      </c>
      <c r="B634" s="3" t="s">
        <v>670</v>
      </c>
      <c r="C634" s="4" t="s">
        <v>8</v>
      </c>
      <c r="D634" s="5" t="s">
        <v>17</v>
      </c>
      <c r="E634" s="6" t="s">
        <v>131</v>
      </c>
    </row>
    <row r="635">
      <c r="A635" s="10" t="s">
        <v>669</v>
      </c>
      <c r="B635" s="3" t="s">
        <v>670</v>
      </c>
      <c r="C635" s="4" t="s">
        <v>3</v>
      </c>
      <c r="D635" s="5" t="s">
        <v>71</v>
      </c>
      <c r="E635" s="6" t="s">
        <v>683</v>
      </c>
    </row>
    <row r="636">
      <c r="A636" s="10" t="s">
        <v>669</v>
      </c>
      <c r="B636" s="3" t="s">
        <v>670</v>
      </c>
      <c r="C636" s="4" t="s">
        <v>3</v>
      </c>
      <c r="D636" s="5" t="s">
        <v>23</v>
      </c>
      <c r="E636" s="6" t="s">
        <v>684</v>
      </c>
    </row>
    <row r="637" hidden="1">
      <c r="A637" s="10" t="s">
        <v>669</v>
      </c>
      <c r="B637" s="3" t="s">
        <v>670</v>
      </c>
      <c r="C637" s="4" t="s">
        <v>8</v>
      </c>
      <c r="D637" s="5" t="s">
        <v>51</v>
      </c>
      <c r="E637" s="6" t="s">
        <v>685</v>
      </c>
    </row>
    <row r="638" hidden="1">
      <c r="A638" s="10" t="s">
        <v>669</v>
      </c>
      <c r="B638" s="3" t="s">
        <v>670</v>
      </c>
      <c r="C638" s="4" t="s">
        <v>8</v>
      </c>
      <c r="D638" s="5" t="s">
        <v>42</v>
      </c>
      <c r="E638" s="6" t="s">
        <v>643</v>
      </c>
    </row>
    <row r="639">
      <c r="A639" s="10" t="s">
        <v>669</v>
      </c>
      <c r="B639" s="3" t="s">
        <v>670</v>
      </c>
      <c r="C639" s="4" t="s">
        <v>3</v>
      </c>
      <c r="D639" s="5" t="s">
        <v>11</v>
      </c>
      <c r="E639" s="6" t="s">
        <v>686</v>
      </c>
    </row>
    <row r="640" hidden="1">
      <c r="A640" s="10" t="s">
        <v>669</v>
      </c>
      <c r="B640" s="3" t="s">
        <v>670</v>
      </c>
      <c r="C640" s="4" t="s">
        <v>8</v>
      </c>
      <c r="D640" s="5" t="s">
        <v>19</v>
      </c>
      <c r="E640" s="6" t="s">
        <v>687</v>
      </c>
    </row>
    <row r="641">
      <c r="A641" s="10" t="s">
        <v>688</v>
      </c>
      <c r="B641" s="3" t="s">
        <v>689</v>
      </c>
      <c r="C641" s="4" t="s">
        <v>3</v>
      </c>
      <c r="D641" s="5" t="s">
        <v>35</v>
      </c>
      <c r="E641" s="6" t="s">
        <v>690</v>
      </c>
    </row>
    <row r="642" hidden="1">
      <c r="A642" s="10" t="s">
        <v>688</v>
      </c>
      <c r="B642" s="3" t="s">
        <v>689</v>
      </c>
      <c r="C642" s="4" t="s">
        <v>8</v>
      </c>
      <c r="D642" s="5" t="s">
        <v>23</v>
      </c>
      <c r="E642" s="6" t="s">
        <v>691</v>
      </c>
    </row>
    <row r="643">
      <c r="A643" s="10" t="s">
        <v>688</v>
      </c>
      <c r="B643" s="3" t="s">
        <v>689</v>
      </c>
      <c r="C643" s="4" t="s">
        <v>3</v>
      </c>
      <c r="D643" s="5" t="s">
        <v>11</v>
      </c>
      <c r="E643" s="6" t="s">
        <v>692</v>
      </c>
    </row>
    <row r="644" hidden="1">
      <c r="A644" s="10" t="s">
        <v>688</v>
      </c>
      <c r="B644" s="3" t="s">
        <v>689</v>
      </c>
      <c r="C644" s="4" t="s">
        <v>8</v>
      </c>
      <c r="D644" s="5" t="s">
        <v>35</v>
      </c>
      <c r="E644" s="6" t="s">
        <v>693</v>
      </c>
    </row>
    <row r="645" hidden="1">
      <c r="A645" s="10" t="s">
        <v>688</v>
      </c>
      <c r="B645" s="3" t="s">
        <v>689</v>
      </c>
      <c r="C645" s="4" t="s">
        <v>8</v>
      </c>
      <c r="D645" s="5" t="s">
        <v>76</v>
      </c>
      <c r="E645" s="6" t="s">
        <v>694</v>
      </c>
    </row>
    <row r="646">
      <c r="A646" s="10" t="s">
        <v>688</v>
      </c>
      <c r="B646" s="3" t="s">
        <v>689</v>
      </c>
      <c r="C646" s="4" t="s">
        <v>3</v>
      </c>
      <c r="D646" s="5" t="s">
        <v>9</v>
      </c>
      <c r="E646" s="6" t="s">
        <v>495</v>
      </c>
    </row>
    <row r="647" hidden="1">
      <c r="A647" s="10" t="s">
        <v>688</v>
      </c>
      <c r="B647" s="3" t="s">
        <v>689</v>
      </c>
      <c r="C647" s="4" t="s">
        <v>8</v>
      </c>
      <c r="D647" s="5" t="s">
        <v>21</v>
      </c>
      <c r="E647" s="6" t="s">
        <v>14</v>
      </c>
    </row>
    <row r="648">
      <c r="A648" s="10" t="s">
        <v>688</v>
      </c>
      <c r="B648" s="3" t="s">
        <v>689</v>
      </c>
      <c r="C648" s="4" t="s">
        <v>3</v>
      </c>
      <c r="D648" s="5" t="s">
        <v>42</v>
      </c>
      <c r="E648" s="6" t="s">
        <v>569</v>
      </c>
    </row>
    <row r="649" hidden="1">
      <c r="A649" s="10" t="s">
        <v>688</v>
      </c>
      <c r="B649" s="3" t="s">
        <v>689</v>
      </c>
      <c r="C649" s="4" t="s">
        <v>8</v>
      </c>
      <c r="D649" s="5" t="s">
        <v>6</v>
      </c>
      <c r="E649" s="6" t="s">
        <v>695</v>
      </c>
    </row>
    <row r="650">
      <c r="A650" s="10" t="s">
        <v>688</v>
      </c>
      <c r="B650" s="3" t="s">
        <v>689</v>
      </c>
      <c r="C650" s="4" t="s">
        <v>3</v>
      </c>
      <c r="D650" s="5" t="s">
        <v>15</v>
      </c>
      <c r="E650" s="6" t="s">
        <v>696</v>
      </c>
    </row>
    <row r="651">
      <c r="A651" s="10" t="s">
        <v>688</v>
      </c>
      <c r="B651" s="3" t="s">
        <v>689</v>
      </c>
      <c r="C651" s="4" t="s">
        <v>3</v>
      </c>
      <c r="D651" s="5" t="s">
        <v>9</v>
      </c>
      <c r="E651" s="6" t="s">
        <v>343</v>
      </c>
    </row>
    <row r="652">
      <c r="A652" s="10" t="s">
        <v>688</v>
      </c>
      <c r="B652" s="3" t="s">
        <v>689</v>
      </c>
      <c r="C652" s="4" t="s">
        <v>3</v>
      </c>
      <c r="D652" s="5" t="s">
        <v>9</v>
      </c>
      <c r="E652" s="6" t="s">
        <v>697</v>
      </c>
    </row>
    <row r="653" hidden="1">
      <c r="A653" s="10" t="s">
        <v>688</v>
      </c>
      <c r="B653" s="3" t="s">
        <v>689</v>
      </c>
      <c r="C653" s="4" t="s">
        <v>8</v>
      </c>
      <c r="D653" s="5" t="s">
        <v>51</v>
      </c>
      <c r="E653" s="6" t="s">
        <v>698</v>
      </c>
    </row>
    <row r="654" hidden="1">
      <c r="A654" s="10" t="s">
        <v>688</v>
      </c>
      <c r="B654" s="3" t="s">
        <v>689</v>
      </c>
      <c r="C654" s="4" t="s">
        <v>8</v>
      </c>
      <c r="D654" s="5" t="s">
        <v>45</v>
      </c>
      <c r="E654" s="6" t="s">
        <v>699</v>
      </c>
    </row>
    <row r="655" hidden="1">
      <c r="A655" s="10" t="s">
        <v>688</v>
      </c>
      <c r="B655" s="3" t="s">
        <v>689</v>
      </c>
      <c r="C655" s="4" t="s">
        <v>8</v>
      </c>
      <c r="D655" s="5" t="s">
        <v>51</v>
      </c>
      <c r="E655" s="6" t="s">
        <v>700</v>
      </c>
    </row>
    <row r="656" hidden="1">
      <c r="A656" s="10" t="s">
        <v>688</v>
      </c>
      <c r="B656" s="3" t="s">
        <v>689</v>
      </c>
      <c r="C656" s="4" t="s">
        <v>8</v>
      </c>
      <c r="D656" s="5" t="s">
        <v>76</v>
      </c>
      <c r="E656" s="6" t="s">
        <v>701</v>
      </c>
    </row>
    <row r="657" hidden="1">
      <c r="A657" s="10" t="s">
        <v>688</v>
      </c>
      <c r="B657" s="3" t="s">
        <v>689</v>
      </c>
      <c r="C657" s="4" t="s">
        <v>8</v>
      </c>
      <c r="D657" s="5" t="s">
        <v>71</v>
      </c>
      <c r="E657" s="6" t="s">
        <v>209</v>
      </c>
    </row>
    <row r="658">
      <c r="A658" s="10" t="s">
        <v>688</v>
      </c>
      <c r="B658" s="3" t="s">
        <v>689</v>
      </c>
      <c r="C658" s="4" t="s">
        <v>3</v>
      </c>
      <c r="D658" s="5" t="s">
        <v>28</v>
      </c>
      <c r="E658" s="6" t="s">
        <v>41</v>
      </c>
    </row>
    <row r="659" hidden="1">
      <c r="A659" s="10" t="s">
        <v>688</v>
      </c>
      <c r="B659" s="3" t="s">
        <v>689</v>
      </c>
      <c r="C659" s="4" t="s">
        <v>8</v>
      </c>
      <c r="D659" s="5" t="s">
        <v>71</v>
      </c>
      <c r="E659" s="6" t="s">
        <v>702</v>
      </c>
    </row>
    <row r="660" hidden="1">
      <c r="A660" s="10" t="s">
        <v>688</v>
      </c>
      <c r="B660" s="3" t="s">
        <v>689</v>
      </c>
      <c r="C660" s="4" t="s">
        <v>8</v>
      </c>
      <c r="D660" s="5" t="s">
        <v>17</v>
      </c>
      <c r="E660" s="6" t="s">
        <v>703</v>
      </c>
    </row>
    <row r="661" hidden="1">
      <c r="A661" s="10" t="s">
        <v>704</v>
      </c>
      <c r="B661" s="3" t="s">
        <v>705</v>
      </c>
      <c r="C661" s="4" t="s">
        <v>8</v>
      </c>
      <c r="D661" s="5" t="s">
        <v>6</v>
      </c>
      <c r="E661" s="6" t="s">
        <v>706</v>
      </c>
    </row>
    <row r="662">
      <c r="A662" s="10" t="s">
        <v>704</v>
      </c>
      <c r="B662" s="3" t="s">
        <v>705</v>
      </c>
      <c r="C662" s="4" t="s">
        <v>3</v>
      </c>
      <c r="D662" s="5" t="s">
        <v>13</v>
      </c>
      <c r="E662" s="6" t="s">
        <v>707</v>
      </c>
    </row>
    <row r="663">
      <c r="A663" s="10" t="s">
        <v>704</v>
      </c>
      <c r="B663" s="3" t="s">
        <v>705</v>
      </c>
      <c r="C663" s="4" t="s">
        <v>3</v>
      </c>
      <c r="D663" s="5" t="s">
        <v>42</v>
      </c>
      <c r="E663" s="6" t="s">
        <v>708</v>
      </c>
    </row>
    <row r="664" hidden="1">
      <c r="A664" s="10" t="s">
        <v>704</v>
      </c>
      <c r="B664" s="3" t="s">
        <v>705</v>
      </c>
      <c r="C664" s="4" t="s">
        <v>8</v>
      </c>
      <c r="D664" s="5" t="s">
        <v>76</v>
      </c>
      <c r="E664" s="6" t="s">
        <v>709</v>
      </c>
    </row>
    <row r="665" hidden="1">
      <c r="A665" s="10" t="s">
        <v>704</v>
      </c>
      <c r="B665" s="3" t="s">
        <v>705</v>
      </c>
      <c r="C665" s="4" t="s">
        <v>8</v>
      </c>
      <c r="D665" s="5" t="s">
        <v>11</v>
      </c>
      <c r="E665" s="6" t="s">
        <v>710</v>
      </c>
    </row>
    <row r="666" hidden="1">
      <c r="A666" s="10" t="s">
        <v>704</v>
      </c>
      <c r="B666" s="3" t="s">
        <v>705</v>
      </c>
      <c r="C666" s="4" t="s">
        <v>8</v>
      </c>
      <c r="D666" s="5" t="s">
        <v>19</v>
      </c>
      <c r="E666" s="6" t="s">
        <v>711</v>
      </c>
    </row>
    <row r="667">
      <c r="A667" s="10" t="s">
        <v>704</v>
      </c>
      <c r="B667" s="3" t="s">
        <v>705</v>
      </c>
      <c r="C667" s="4" t="s">
        <v>3</v>
      </c>
      <c r="D667" s="5" t="s">
        <v>6</v>
      </c>
      <c r="E667" s="6" t="s">
        <v>712</v>
      </c>
    </row>
    <row r="668">
      <c r="A668" s="10" t="s">
        <v>704</v>
      </c>
      <c r="B668" s="3" t="s">
        <v>705</v>
      </c>
      <c r="C668" s="4" t="s">
        <v>3</v>
      </c>
      <c r="D668" s="5" t="s">
        <v>13</v>
      </c>
      <c r="E668" s="6" t="s">
        <v>571</v>
      </c>
    </row>
    <row r="669">
      <c r="A669" s="10" t="s">
        <v>704</v>
      </c>
      <c r="B669" s="3" t="s">
        <v>705</v>
      </c>
      <c r="C669" s="4" t="s">
        <v>3</v>
      </c>
      <c r="D669" s="5" t="s">
        <v>35</v>
      </c>
      <c r="E669" s="6" t="s">
        <v>713</v>
      </c>
    </row>
    <row r="670" hidden="1">
      <c r="A670" s="10" t="s">
        <v>704</v>
      </c>
      <c r="B670" s="3" t="s">
        <v>705</v>
      </c>
      <c r="C670" s="4" t="s">
        <v>8</v>
      </c>
      <c r="D670" s="5" t="s">
        <v>42</v>
      </c>
      <c r="E670" s="6" t="s">
        <v>714</v>
      </c>
    </row>
    <row r="671" hidden="1">
      <c r="A671" s="10" t="s">
        <v>704</v>
      </c>
      <c r="B671" s="3" t="s">
        <v>705</v>
      </c>
      <c r="C671" s="4" t="s">
        <v>8</v>
      </c>
      <c r="D671" s="5" t="s">
        <v>6</v>
      </c>
      <c r="E671" s="6" t="s">
        <v>715</v>
      </c>
    </row>
    <row r="672" hidden="1">
      <c r="A672" s="10" t="s">
        <v>704</v>
      </c>
      <c r="B672" s="3" t="s">
        <v>705</v>
      </c>
      <c r="C672" s="4" t="s">
        <v>8</v>
      </c>
      <c r="D672" s="5" t="s">
        <v>15</v>
      </c>
      <c r="E672" s="6" t="s">
        <v>716</v>
      </c>
    </row>
    <row r="673">
      <c r="A673" s="10" t="s">
        <v>704</v>
      </c>
      <c r="B673" s="3" t="s">
        <v>705</v>
      </c>
      <c r="C673" s="4" t="s">
        <v>3</v>
      </c>
      <c r="D673" s="5" t="s">
        <v>35</v>
      </c>
      <c r="E673" s="6" t="s">
        <v>717</v>
      </c>
    </row>
    <row r="674">
      <c r="A674" s="10" t="s">
        <v>704</v>
      </c>
      <c r="B674" s="3" t="s">
        <v>705</v>
      </c>
      <c r="C674" s="4" t="s">
        <v>3</v>
      </c>
      <c r="D674" s="5" t="s">
        <v>76</v>
      </c>
      <c r="E674" s="6" t="s">
        <v>718</v>
      </c>
    </row>
    <row r="675" hidden="1">
      <c r="A675" s="10" t="s">
        <v>704</v>
      </c>
      <c r="B675" s="3" t="s">
        <v>705</v>
      </c>
      <c r="C675" s="4" t="s">
        <v>8</v>
      </c>
      <c r="D675" s="5" t="s">
        <v>6</v>
      </c>
      <c r="E675" s="6" t="s">
        <v>719</v>
      </c>
    </row>
    <row r="676" hidden="1">
      <c r="A676" s="10" t="s">
        <v>704</v>
      </c>
      <c r="B676" s="3" t="s">
        <v>705</v>
      </c>
      <c r="C676" s="4" t="s">
        <v>8</v>
      </c>
      <c r="D676" s="5" t="s">
        <v>39</v>
      </c>
      <c r="E676" s="6" t="s">
        <v>362</v>
      </c>
    </row>
    <row r="677">
      <c r="A677" s="10" t="s">
        <v>704</v>
      </c>
      <c r="B677" s="3" t="s">
        <v>705</v>
      </c>
      <c r="C677" s="4" t="s">
        <v>3</v>
      </c>
      <c r="D677" s="5" t="s">
        <v>120</v>
      </c>
      <c r="E677" s="6" t="s">
        <v>720</v>
      </c>
    </row>
    <row r="678" hidden="1">
      <c r="A678" s="10" t="s">
        <v>704</v>
      </c>
      <c r="B678" s="3" t="s">
        <v>705</v>
      </c>
      <c r="C678" s="4" t="s">
        <v>8</v>
      </c>
      <c r="D678" s="5" t="s">
        <v>11</v>
      </c>
      <c r="E678" s="6" t="s">
        <v>234</v>
      </c>
    </row>
    <row r="679" hidden="1">
      <c r="A679" s="10" t="s">
        <v>704</v>
      </c>
      <c r="B679" s="3" t="s">
        <v>705</v>
      </c>
      <c r="C679" s="4" t="s">
        <v>8</v>
      </c>
      <c r="D679" s="5" t="s">
        <v>39</v>
      </c>
      <c r="E679" s="6" t="s">
        <v>721</v>
      </c>
    </row>
    <row r="680" hidden="1">
      <c r="A680" s="10" t="s">
        <v>704</v>
      </c>
      <c r="B680" s="3" t="s">
        <v>705</v>
      </c>
      <c r="C680" s="4" t="s">
        <v>8</v>
      </c>
      <c r="D680" s="5" t="s">
        <v>11</v>
      </c>
      <c r="E680" s="6" t="s">
        <v>722</v>
      </c>
    </row>
    <row r="681">
      <c r="A681" s="10" t="s">
        <v>723</v>
      </c>
      <c r="B681" s="3" t="s">
        <v>724</v>
      </c>
      <c r="C681" s="4" t="s">
        <v>3</v>
      </c>
      <c r="D681" s="5" t="s">
        <v>28</v>
      </c>
      <c r="E681" s="6" t="s">
        <v>428</v>
      </c>
    </row>
    <row r="682">
      <c r="A682" s="10" t="s">
        <v>723</v>
      </c>
      <c r="B682" s="3" t="s">
        <v>724</v>
      </c>
      <c r="C682" s="4" t="s">
        <v>3</v>
      </c>
      <c r="D682" s="5" t="s">
        <v>28</v>
      </c>
      <c r="E682" s="6" t="s">
        <v>615</v>
      </c>
    </row>
    <row r="683" hidden="1">
      <c r="A683" s="10" t="s">
        <v>723</v>
      </c>
      <c r="B683" s="3" t="s">
        <v>724</v>
      </c>
      <c r="C683" s="4" t="s">
        <v>8</v>
      </c>
      <c r="D683" s="5" t="s">
        <v>51</v>
      </c>
      <c r="E683" s="6" t="s">
        <v>725</v>
      </c>
    </row>
    <row r="684" hidden="1">
      <c r="A684" s="10" t="s">
        <v>723</v>
      </c>
      <c r="B684" s="3" t="s">
        <v>724</v>
      </c>
      <c r="C684" s="4" t="s">
        <v>8</v>
      </c>
      <c r="D684" s="5" t="s">
        <v>4</v>
      </c>
      <c r="E684" s="6" t="s">
        <v>726</v>
      </c>
    </row>
    <row r="685" hidden="1">
      <c r="A685" s="10" t="s">
        <v>723</v>
      </c>
      <c r="B685" s="3" t="s">
        <v>724</v>
      </c>
      <c r="C685" s="4" t="s">
        <v>8</v>
      </c>
      <c r="D685" s="5" t="s">
        <v>17</v>
      </c>
      <c r="E685" s="6" t="s">
        <v>330</v>
      </c>
    </row>
    <row r="686" hidden="1">
      <c r="A686" s="10" t="s">
        <v>723</v>
      </c>
      <c r="B686" s="3" t="s">
        <v>724</v>
      </c>
      <c r="C686" s="4" t="s">
        <v>8</v>
      </c>
      <c r="D686" s="5" t="s">
        <v>51</v>
      </c>
      <c r="E686" s="6" t="s">
        <v>727</v>
      </c>
    </row>
    <row r="687" hidden="1">
      <c r="A687" s="10" t="s">
        <v>723</v>
      </c>
      <c r="B687" s="3" t="s">
        <v>724</v>
      </c>
      <c r="C687" s="4" t="s">
        <v>8</v>
      </c>
      <c r="D687" s="5" t="s">
        <v>96</v>
      </c>
      <c r="E687" s="6" t="s">
        <v>728</v>
      </c>
    </row>
    <row r="688" hidden="1">
      <c r="A688" s="10" t="s">
        <v>723</v>
      </c>
      <c r="B688" s="3" t="s">
        <v>724</v>
      </c>
      <c r="C688" s="4" t="s">
        <v>8</v>
      </c>
      <c r="D688" s="5" t="s">
        <v>76</v>
      </c>
      <c r="E688" s="6" t="s">
        <v>729</v>
      </c>
    </row>
    <row r="689">
      <c r="A689" s="10" t="s">
        <v>723</v>
      </c>
      <c r="B689" s="3" t="s">
        <v>724</v>
      </c>
      <c r="C689" s="4" t="s">
        <v>3</v>
      </c>
      <c r="D689" s="5" t="s">
        <v>96</v>
      </c>
      <c r="E689" s="6" t="s">
        <v>730</v>
      </c>
    </row>
    <row r="690" hidden="1">
      <c r="A690" s="10" t="s">
        <v>723</v>
      </c>
      <c r="B690" s="3" t="s">
        <v>724</v>
      </c>
      <c r="C690" s="4" t="s">
        <v>8</v>
      </c>
      <c r="D690" s="5" t="s">
        <v>11</v>
      </c>
      <c r="E690" s="6" t="s">
        <v>731</v>
      </c>
    </row>
    <row r="691">
      <c r="A691" s="10" t="s">
        <v>723</v>
      </c>
      <c r="B691" s="3" t="s">
        <v>724</v>
      </c>
      <c r="C691" s="4" t="s">
        <v>3</v>
      </c>
      <c r="D691" s="5" t="s">
        <v>19</v>
      </c>
      <c r="E691" s="6" t="s">
        <v>732</v>
      </c>
    </row>
    <row r="692" hidden="1">
      <c r="A692" s="10" t="s">
        <v>723</v>
      </c>
      <c r="B692" s="3" t="s">
        <v>724</v>
      </c>
      <c r="C692" s="4" t="s">
        <v>8</v>
      </c>
      <c r="D692" s="5" t="s">
        <v>21</v>
      </c>
      <c r="E692" s="6" t="s">
        <v>733</v>
      </c>
    </row>
    <row r="693">
      <c r="A693" s="10" t="s">
        <v>723</v>
      </c>
      <c r="B693" s="3" t="s">
        <v>724</v>
      </c>
      <c r="C693" s="4" t="s">
        <v>3</v>
      </c>
      <c r="D693" s="5" t="s">
        <v>9</v>
      </c>
      <c r="E693" s="6" t="s">
        <v>132</v>
      </c>
    </row>
    <row r="694" hidden="1">
      <c r="A694" s="10" t="s">
        <v>723</v>
      </c>
      <c r="B694" s="3" t="s">
        <v>724</v>
      </c>
      <c r="C694" s="4" t="s">
        <v>8</v>
      </c>
      <c r="D694" s="5" t="s">
        <v>17</v>
      </c>
      <c r="E694" s="6" t="s">
        <v>734</v>
      </c>
    </row>
    <row r="695" hidden="1">
      <c r="A695" s="10" t="s">
        <v>723</v>
      </c>
      <c r="B695" s="3" t="s">
        <v>724</v>
      </c>
      <c r="C695" s="4" t="s">
        <v>8</v>
      </c>
      <c r="D695" s="5" t="s">
        <v>39</v>
      </c>
      <c r="E695" s="6" t="s">
        <v>735</v>
      </c>
    </row>
    <row r="696">
      <c r="A696" s="10" t="s">
        <v>723</v>
      </c>
      <c r="B696" s="3" t="s">
        <v>724</v>
      </c>
      <c r="C696" s="4" t="s">
        <v>3</v>
      </c>
      <c r="D696" s="5" t="s">
        <v>9</v>
      </c>
      <c r="E696" s="6" t="s">
        <v>736</v>
      </c>
    </row>
    <row r="697">
      <c r="A697" s="10" t="s">
        <v>723</v>
      </c>
      <c r="B697" s="3" t="s">
        <v>724</v>
      </c>
      <c r="C697" s="4" t="s">
        <v>3</v>
      </c>
      <c r="D697" s="5" t="s">
        <v>15</v>
      </c>
      <c r="E697" s="6" t="s">
        <v>737</v>
      </c>
    </row>
    <row r="698">
      <c r="A698" s="10" t="s">
        <v>723</v>
      </c>
      <c r="B698" s="3" t="s">
        <v>724</v>
      </c>
      <c r="C698" s="4" t="s">
        <v>3</v>
      </c>
      <c r="D698" s="5" t="s">
        <v>4</v>
      </c>
      <c r="E698" s="6" t="s">
        <v>738</v>
      </c>
    </row>
    <row r="699" hidden="1">
      <c r="A699" s="10" t="s">
        <v>723</v>
      </c>
      <c r="B699" s="3" t="s">
        <v>724</v>
      </c>
      <c r="C699" s="4" t="s">
        <v>8</v>
      </c>
      <c r="D699" s="5" t="s">
        <v>17</v>
      </c>
      <c r="E699" s="6" t="s">
        <v>739</v>
      </c>
    </row>
    <row r="700">
      <c r="A700" s="10" t="s">
        <v>723</v>
      </c>
      <c r="B700" s="3" t="s">
        <v>724</v>
      </c>
      <c r="C700" s="4" t="s">
        <v>3</v>
      </c>
      <c r="D700" s="5" t="s">
        <v>23</v>
      </c>
      <c r="E700" s="6" t="s">
        <v>740</v>
      </c>
    </row>
    <row r="701">
      <c r="A701" s="10" t="s">
        <v>741</v>
      </c>
      <c r="B701" s="3" t="s">
        <v>742</v>
      </c>
      <c r="C701" s="4" t="s">
        <v>3</v>
      </c>
      <c r="D701" s="5" t="s">
        <v>28</v>
      </c>
      <c r="E701" s="6" t="s">
        <v>257</v>
      </c>
    </row>
    <row r="702">
      <c r="A702" s="10" t="s">
        <v>741</v>
      </c>
      <c r="B702" s="3" t="s">
        <v>742</v>
      </c>
      <c r="C702" s="4" t="s">
        <v>3</v>
      </c>
      <c r="D702" s="5" t="s">
        <v>21</v>
      </c>
      <c r="E702" s="6" t="s">
        <v>241</v>
      </c>
    </row>
    <row r="703">
      <c r="A703" s="10" t="s">
        <v>741</v>
      </c>
      <c r="B703" s="3" t="s">
        <v>742</v>
      </c>
      <c r="C703" s="4" t="s">
        <v>3</v>
      </c>
      <c r="D703" s="5" t="s">
        <v>11</v>
      </c>
      <c r="E703" s="6" t="s">
        <v>743</v>
      </c>
    </row>
    <row r="704" hidden="1">
      <c r="A704" s="10" t="s">
        <v>741</v>
      </c>
      <c r="B704" s="3" t="s">
        <v>742</v>
      </c>
      <c r="C704" s="4" t="s">
        <v>8</v>
      </c>
      <c r="D704" s="5" t="s">
        <v>19</v>
      </c>
      <c r="E704" s="6" t="s">
        <v>744</v>
      </c>
    </row>
    <row r="705">
      <c r="A705" s="10" t="s">
        <v>741</v>
      </c>
      <c r="B705" s="3" t="s">
        <v>742</v>
      </c>
      <c r="C705" s="4" t="s">
        <v>3</v>
      </c>
      <c r="D705" s="5" t="s">
        <v>4</v>
      </c>
      <c r="E705" s="6" t="s">
        <v>745</v>
      </c>
    </row>
    <row r="706" hidden="1">
      <c r="A706" s="10" t="s">
        <v>741</v>
      </c>
      <c r="B706" s="3" t="s">
        <v>742</v>
      </c>
      <c r="C706" s="4" t="s">
        <v>8</v>
      </c>
      <c r="D706" s="5" t="s">
        <v>45</v>
      </c>
      <c r="E706" s="6" t="s">
        <v>684</v>
      </c>
    </row>
    <row r="707" hidden="1">
      <c r="A707" s="10" t="s">
        <v>741</v>
      </c>
      <c r="B707" s="3" t="s">
        <v>742</v>
      </c>
      <c r="C707" s="4" t="s">
        <v>8</v>
      </c>
      <c r="D707" s="5" t="s">
        <v>71</v>
      </c>
      <c r="E707" s="6" t="s">
        <v>746</v>
      </c>
    </row>
    <row r="708" hidden="1">
      <c r="A708" s="10" t="s">
        <v>741</v>
      </c>
      <c r="B708" s="3" t="s">
        <v>742</v>
      </c>
      <c r="C708" s="4" t="s">
        <v>8</v>
      </c>
      <c r="D708" s="5" t="s">
        <v>11</v>
      </c>
      <c r="E708" s="6" t="s">
        <v>747</v>
      </c>
    </row>
    <row r="709">
      <c r="A709" s="10" t="s">
        <v>741</v>
      </c>
      <c r="B709" s="3" t="s">
        <v>742</v>
      </c>
      <c r="C709" s="4" t="s">
        <v>3</v>
      </c>
      <c r="D709" s="5" t="s">
        <v>35</v>
      </c>
      <c r="E709" s="6" t="s">
        <v>748</v>
      </c>
    </row>
    <row r="710">
      <c r="A710" s="10" t="s">
        <v>741</v>
      </c>
      <c r="B710" s="3" t="s">
        <v>742</v>
      </c>
      <c r="C710" s="4" t="s">
        <v>3</v>
      </c>
      <c r="D710" s="5" t="s">
        <v>23</v>
      </c>
      <c r="E710" s="6" t="s">
        <v>749</v>
      </c>
    </row>
    <row r="711" hidden="1">
      <c r="A711" s="10" t="s">
        <v>741</v>
      </c>
      <c r="B711" s="3" t="s">
        <v>742</v>
      </c>
      <c r="C711" s="4" t="s">
        <v>8</v>
      </c>
      <c r="D711" s="5" t="s">
        <v>96</v>
      </c>
      <c r="E711" s="6" t="s">
        <v>750</v>
      </c>
    </row>
    <row r="712" hidden="1">
      <c r="A712" s="10" t="s">
        <v>741</v>
      </c>
      <c r="B712" s="3" t="s">
        <v>742</v>
      </c>
      <c r="C712" s="4" t="s">
        <v>8</v>
      </c>
      <c r="D712" s="5" t="s">
        <v>4</v>
      </c>
      <c r="E712" s="6" t="s">
        <v>751</v>
      </c>
    </row>
    <row r="713" hidden="1">
      <c r="A713" s="10" t="s">
        <v>741</v>
      </c>
      <c r="B713" s="3" t="s">
        <v>742</v>
      </c>
      <c r="C713" s="4" t="s">
        <v>8</v>
      </c>
      <c r="D713" s="5" t="s">
        <v>4</v>
      </c>
      <c r="E713" s="6" t="s">
        <v>752</v>
      </c>
    </row>
    <row r="714" hidden="1">
      <c r="A714" s="10" t="s">
        <v>741</v>
      </c>
      <c r="B714" s="3" t="s">
        <v>742</v>
      </c>
      <c r="C714" s="4" t="s">
        <v>8</v>
      </c>
      <c r="D714" s="5" t="s">
        <v>9</v>
      </c>
      <c r="E714" s="6" t="s">
        <v>753</v>
      </c>
    </row>
    <row r="715">
      <c r="A715" s="10" t="s">
        <v>741</v>
      </c>
      <c r="B715" s="3" t="s">
        <v>742</v>
      </c>
      <c r="C715" s="4" t="s">
        <v>3</v>
      </c>
      <c r="D715" s="5" t="s">
        <v>120</v>
      </c>
      <c r="E715" s="6" t="s">
        <v>754</v>
      </c>
    </row>
    <row r="716" hidden="1">
      <c r="A716" s="10" t="s">
        <v>741</v>
      </c>
      <c r="B716" s="3" t="s">
        <v>742</v>
      </c>
      <c r="C716" s="4" t="s">
        <v>8</v>
      </c>
      <c r="D716" s="5" t="s">
        <v>76</v>
      </c>
      <c r="E716" s="6" t="s">
        <v>755</v>
      </c>
    </row>
    <row r="717">
      <c r="A717" s="10" t="s">
        <v>741</v>
      </c>
      <c r="B717" s="3" t="s">
        <v>742</v>
      </c>
      <c r="C717" s="4" t="s">
        <v>3</v>
      </c>
      <c r="D717" s="5" t="s">
        <v>71</v>
      </c>
      <c r="E717" s="6" t="s">
        <v>756</v>
      </c>
    </row>
    <row r="718">
      <c r="A718" s="10" t="s">
        <v>741</v>
      </c>
      <c r="B718" s="3" t="s">
        <v>742</v>
      </c>
      <c r="C718" s="4" t="s">
        <v>3</v>
      </c>
      <c r="D718" s="5" t="s">
        <v>13</v>
      </c>
      <c r="E718" s="6" t="s">
        <v>568</v>
      </c>
    </row>
    <row r="719" hidden="1">
      <c r="A719" s="10" t="s">
        <v>741</v>
      </c>
      <c r="B719" s="3" t="s">
        <v>742</v>
      </c>
      <c r="C719" s="4" t="s">
        <v>8</v>
      </c>
      <c r="D719" s="5" t="s">
        <v>39</v>
      </c>
      <c r="E719" s="6" t="s">
        <v>757</v>
      </c>
    </row>
    <row r="720">
      <c r="A720" s="10" t="s">
        <v>741</v>
      </c>
      <c r="B720" s="3" t="s">
        <v>742</v>
      </c>
      <c r="C720" s="4" t="s">
        <v>3</v>
      </c>
      <c r="D720" s="5" t="s">
        <v>96</v>
      </c>
      <c r="E720" s="6" t="s">
        <v>758</v>
      </c>
    </row>
    <row r="721" hidden="1">
      <c r="A721" s="10" t="s">
        <v>759</v>
      </c>
      <c r="B721" s="3" t="s">
        <v>760</v>
      </c>
      <c r="C721" s="4" t="s">
        <v>8</v>
      </c>
      <c r="D721" s="5" t="s">
        <v>35</v>
      </c>
      <c r="E721" s="6" t="s">
        <v>138</v>
      </c>
    </row>
    <row r="722">
      <c r="A722" s="10" t="s">
        <v>759</v>
      </c>
      <c r="B722" s="3" t="s">
        <v>760</v>
      </c>
      <c r="C722" s="4" t="s">
        <v>3</v>
      </c>
      <c r="D722" s="5" t="s">
        <v>23</v>
      </c>
      <c r="E722" s="6" t="s">
        <v>523</v>
      </c>
    </row>
    <row r="723">
      <c r="A723" s="10" t="s">
        <v>759</v>
      </c>
      <c r="B723" s="3" t="s">
        <v>760</v>
      </c>
      <c r="C723" s="4" t="s">
        <v>3</v>
      </c>
      <c r="D723" s="5" t="s">
        <v>15</v>
      </c>
      <c r="E723" s="6" t="s">
        <v>761</v>
      </c>
    </row>
    <row r="724">
      <c r="A724" s="10" t="s">
        <v>759</v>
      </c>
      <c r="B724" s="3" t="s">
        <v>760</v>
      </c>
      <c r="C724" s="4" t="s">
        <v>3</v>
      </c>
      <c r="D724" s="5" t="s">
        <v>42</v>
      </c>
      <c r="E724" s="6" t="s">
        <v>762</v>
      </c>
    </row>
    <row r="725">
      <c r="A725" s="10" t="s">
        <v>759</v>
      </c>
      <c r="B725" s="3" t="s">
        <v>760</v>
      </c>
      <c r="C725" s="4" t="s">
        <v>3</v>
      </c>
      <c r="D725" s="5" t="s">
        <v>45</v>
      </c>
      <c r="E725" s="6" t="s">
        <v>763</v>
      </c>
    </row>
    <row r="726">
      <c r="A726" s="10" t="s">
        <v>759</v>
      </c>
      <c r="B726" s="3" t="s">
        <v>760</v>
      </c>
      <c r="C726" s="4" t="s">
        <v>3</v>
      </c>
      <c r="D726" s="5" t="s">
        <v>9</v>
      </c>
      <c r="E726" s="6" t="s">
        <v>764</v>
      </c>
    </row>
    <row r="727" hidden="1">
      <c r="A727" s="10" t="s">
        <v>759</v>
      </c>
      <c r="B727" s="3" t="s">
        <v>760</v>
      </c>
      <c r="C727" s="4" t="s">
        <v>8</v>
      </c>
      <c r="D727" s="5" t="s">
        <v>6</v>
      </c>
      <c r="E727" s="6" t="s">
        <v>765</v>
      </c>
    </row>
    <row r="728" hidden="1">
      <c r="A728" s="10" t="s">
        <v>759</v>
      </c>
      <c r="B728" s="3" t="s">
        <v>760</v>
      </c>
      <c r="C728" s="4" t="s">
        <v>8</v>
      </c>
      <c r="D728" s="5" t="s">
        <v>17</v>
      </c>
      <c r="E728" s="6" t="s">
        <v>766</v>
      </c>
    </row>
    <row r="729">
      <c r="A729" s="10" t="s">
        <v>759</v>
      </c>
      <c r="B729" s="3" t="s">
        <v>760</v>
      </c>
      <c r="C729" s="4" t="s">
        <v>3</v>
      </c>
      <c r="D729" s="5" t="s">
        <v>35</v>
      </c>
      <c r="E729" s="6" t="s">
        <v>767</v>
      </c>
    </row>
    <row r="730">
      <c r="A730" s="10" t="s">
        <v>759</v>
      </c>
      <c r="B730" s="3" t="s">
        <v>760</v>
      </c>
      <c r="C730" s="4" t="s">
        <v>3</v>
      </c>
      <c r="D730" s="5" t="s">
        <v>9</v>
      </c>
      <c r="E730" s="6" t="s">
        <v>768</v>
      </c>
    </row>
    <row r="731">
      <c r="A731" s="10" t="s">
        <v>759</v>
      </c>
      <c r="B731" s="3" t="s">
        <v>760</v>
      </c>
      <c r="C731" s="4" t="s">
        <v>3</v>
      </c>
      <c r="D731" s="5" t="s">
        <v>39</v>
      </c>
      <c r="E731" s="6" t="s">
        <v>769</v>
      </c>
    </row>
    <row r="732">
      <c r="A732" s="10" t="s">
        <v>759</v>
      </c>
      <c r="B732" s="3" t="s">
        <v>760</v>
      </c>
      <c r="C732" s="4" t="s">
        <v>3</v>
      </c>
      <c r="D732" s="5" t="s">
        <v>13</v>
      </c>
      <c r="E732" s="6" t="s">
        <v>672</v>
      </c>
    </row>
    <row r="733" hidden="1">
      <c r="A733" s="10" t="s">
        <v>759</v>
      </c>
      <c r="B733" s="3" t="s">
        <v>760</v>
      </c>
      <c r="C733" s="4" t="s">
        <v>8</v>
      </c>
      <c r="D733" s="5" t="s">
        <v>6</v>
      </c>
      <c r="E733" s="6" t="s">
        <v>770</v>
      </c>
    </row>
    <row r="734" hidden="1">
      <c r="A734" s="10" t="s">
        <v>759</v>
      </c>
      <c r="B734" s="3" t="s">
        <v>760</v>
      </c>
      <c r="C734" s="4" t="s">
        <v>8</v>
      </c>
      <c r="D734" s="5" t="s">
        <v>9</v>
      </c>
      <c r="E734" s="6" t="s">
        <v>771</v>
      </c>
    </row>
    <row r="735" hidden="1">
      <c r="A735" s="10" t="s">
        <v>759</v>
      </c>
      <c r="B735" s="3" t="s">
        <v>760</v>
      </c>
      <c r="C735" s="4" t="s">
        <v>8</v>
      </c>
      <c r="D735" s="5" t="s">
        <v>21</v>
      </c>
      <c r="E735" s="6" t="s">
        <v>772</v>
      </c>
    </row>
    <row r="736" hidden="1">
      <c r="A736" s="10" t="s">
        <v>759</v>
      </c>
      <c r="B736" s="3" t="s">
        <v>760</v>
      </c>
      <c r="C736" s="4" t="s">
        <v>8</v>
      </c>
      <c r="D736" s="5" t="s">
        <v>4</v>
      </c>
      <c r="E736" s="6" t="s">
        <v>773</v>
      </c>
    </row>
    <row r="737">
      <c r="A737" s="10" t="s">
        <v>759</v>
      </c>
      <c r="B737" s="3" t="s">
        <v>760</v>
      </c>
      <c r="C737" s="4" t="s">
        <v>3</v>
      </c>
      <c r="D737" s="5" t="s">
        <v>51</v>
      </c>
      <c r="E737" s="6" t="s">
        <v>774</v>
      </c>
    </row>
    <row r="738" hidden="1">
      <c r="A738" s="10" t="s">
        <v>759</v>
      </c>
      <c r="B738" s="3" t="s">
        <v>760</v>
      </c>
      <c r="C738" s="4" t="s">
        <v>8</v>
      </c>
      <c r="D738" s="5" t="s">
        <v>9</v>
      </c>
      <c r="E738" s="6" t="s">
        <v>775</v>
      </c>
    </row>
    <row r="739">
      <c r="A739" s="10" t="s">
        <v>759</v>
      </c>
      <c r="B739" s="3" t="s">
        <v>760</v>
      </c>
      <c r="C739" s="4" t="s">
        <v>3</v>
      </c>
      <c r="D739" s="5" t="s">
        <v>13</v>
      </c>
      <c r="E739" s="6" t="s">
        <v>776</v>
      </c>
    </row>
    <row r="740">
      <c r="A740" s="10" t="s">
        <v>759</v>
      </c>
      <c r="B740" s="3" t="s">
        <v>760</v>
      </c>
      <c r="C740" s="4" t="s">
        <v>3</v>
      </c>
      <c r="D740" s="5" t="s">
        <v>6</v>
      </c>
      <c r="E740" s="6" t="s">
        <v>777</v>
      </c>
    </row>
    <row r="741">
      <c r="A741" s="10" t="s">
        <v>778</v>
      </c>
      <c r="B741" s="3" t="s">
        <v>779</v>
      </c>
      <c r="C741" s="4" t="s">
        <v>3</v>
      </c>
      <c r="D741" s="5" t="s">
        <v>39</v>
      </c>
      <c r="E741" s="6" t="s">
        <v>780</v>
      </c>
    </row>
    <row r="742" hidden="1">
      <c r="A742" s="10" t="s">
        <v>778</v>
      </c>
      <c r="B742" s="3" t="s">
        <v>779</v>
      </c>
      <c r="C742" s="4" t="s">
        <v>8</v>
      </c>
      <c r="D742" s="5" t="s">
        <v>11</v>
      </c>
      <c r="E742" s="6" t="s">
        <v>212</v>
      </c>
    </row>
    <row r="743" hidden="1">
      <c r="A743" s="10" t="s">
        <v>778</v>
      </c>
      <c r="B743" s="3" t="s">
        <v>779</v>
      </c>
      <c r="C743" s="4" t="s">
        <v>8</v>
      </c>
      <c r="D743" s="5" t="s">
        <v>71</v>
      </c>
      <c r="E743" s="6" t="s">
        <v>781</v>
      </c>
    </row>
    <row r="744" hidden="1">
      <c r="A744" s="10" t="s">
        <v>778</v>
      </c>
      <c r="B744" s="3" t="s">
        <v>779</v>
      </c>
      <c r="C744" s="4" t="s">
        <v>8</v>
      </c>
      <c r="D744" s="5" t="s">
        <v>11</v>
      </c>
      <c r="E744" s="6" t="s">
        <v>782</v>
      </c>
    </row>
    <row r="745" hidden="1">
      <c r="A745" s="10" t="s">
        <v>778</v>
      </c>
      <c r="B745" s="3" t="s">
        <v>779</v>
      </c>
      <c r="C745" s="4" t="s">
        <v>8</v>
      </c>
      <c r="D745" s="5" t="s">
        <v>6</v>
      </c>
      <c r="E745" s="6" t="s">
        <v>783</v>
      </c>
    </row>
    <row r="746" hidden="1">
      <c r="A746" s="10" t="s">
        <v>778</v>
      </c>
      <c r="B746" s="3" t="s">
        <v>779</v>
      </c>
      <c r="C746" s="4" t="s">
        <v>8</v>
      </c>
      <c r="D746" s="5" t="s">
        <v>51</v>
      </c>
      <c r="E746" s="6" t="s">
        <v>784</v>
      </c>
    </row>
    <row r="747">
      <c r="A747" s="10" t="s">
        <v>778</v>
      </c>
      <c r="B747" s="3" t="s">
        <v>779</v>
      </c>
      <c r="C747" s="4" t="s">
        <v>3</v>
      </c>
      <c r="D747" s="5" t="s">
        <v>71</v>
      </c>
      <c r="E747" s="6" t="s">
        <v>785</v>
      </c>
    </row>
    <row r="748" hidden="1">
      <c r="A748" s="10" t="s">
        <v>778</v>
      </c>
      <c r="B748" s="3" t="s">
        <v>779</v>
      </c>
      <c r="C748" s="4" t="s">
        <v>8</v>
      </c>
      <c r="D748" s="5" t="s">
        <v>15</v>
      </c>
      <c r="E748" s="6" t="s">
        <v>786</v>
      </c>
    </row>
    <row r="749">
      <c r="A749" s="10" t="s">
        <v>778</v>
      </c>
      <c r="B749" s="3" t="s">
        <v>779</v>
      </c>
      <c r="C749" s="4" t="s">
        <v>3</v>
      </c>
      <c r="D749" s="5" t="s">
        <v>23</v>
      </c>
      <c r="E749" s="6" t="s">
        <v>787</v>
      </c>
    </row>
    <row r="750" hidden="1">
      <c r="A750" s="10" t="s">
        <v>778</v>
      </c>
      <c r="B750" s="3" t="s">
        <v>779</v>
      </c>
      <c r="C750" s="4" t="s">
        <v>8</v>
      </c>
      <c r="D750" s="5" t="s">
        <v>13</v>
      </c>
      <c r="E750" s="6" t="s">
        <v>788</v>
      </c>
    </row>
    <row r="751">
      <c r="A751" s="10" t="s">
        <v>778</v>
      </c>
      <c r="B751" s="3" t="s">
        <v>779</v>
      </c>
      <c r="C751" s="4" t="s">
        <v>3</v>
      </c>
      <c r="D751" s="5" t="s">
        <v>17</v>
      </c>
      <c r="E751" s="6" t="s">
        <v>789</v>
      </c>
    </row>
    <row r="752" hidden="1">
      <c r="A752" s="10" t="s">
        <v>778</v>
      </c>
      <c r="B752" s="3" t="s">
        <v>779</v>
      </c>
      <c r="C752" s="4" t="s">
        <v>8</v>
      </c>
      <c r="D752" s="5" t="s">
        <v>51</v>
      </c>
      <c r="E752" s="6" t="s">
        <v>790</v>
      </c>
    </row>
    <row r="753">
      <c r="A753" s="10" t="s">
        <v>778</v>
      </c>
      <c r="B753" s="3" t="s">
        <v>779</v>
      </c>
      <c r="C753" s="4" t="s">
        <v>3</v>
      </c>
      <c r="D753" s="5" t="s">
        <v>23</v>
      </c>
      <c r="E753" s="6" t="s">
        <v>392</v>
      </c>
    </row>
    <row r="754">
      <c r="A754" s="10" t="s">
        <v>778</v>
      </c>
      <c r="B754" s="3" t="s">
        <v>779</v>
      </c>
      <c r="C754" s="4" t="s">
        <v>3</v>
      </c>
      <c r="D754" s="5" t="s">
        <v>15</v>
      </c>
      <c r="E754" s="6" t="s">
        <v>791</v>
      </c>
    </row>
    <row r="755">
      <c r="A755" s="10" t="s">
        <v>778</v>
      </c>
      <c r="B755" s="3" t="s">
        <v>779</v>
      </c>
      <c r="C755" s="4" t="s">
        <v>3</v>
      </c>
      <c r="D755" s="5" t="s">
        <v>76</v>
      </c>
      <c r="E755" s="6" t="s">
        <v>102</v>
      </c>
    </row>
    <row r="756" hidden="1">
      <c r="A756" s="10" t="s">
        <v>778</v>
      </c>
      <c r="B756" s="3" t="s">
        <v>779</v>
      </c>
      <c r="C756" s="4" t="s">
        <v>8</v>
      </c>
      <c r="D756" s="5" t="s">
        <v>13</v>
      </c>
      <c r="E756" s="6" t="s">
        <v>414</v>
      </c>
    </row>
    <row r="757" hidden="1">
      <c r="A757" s="10" t="s">
        <v>778</v>
      </c>
      <c r="B757" s="3" t="s">
        <v>779</v>
      </c>
      <c r="C757" s="4" t="s">
        <v>8</v>
      </c>
      <c r="D757" s="5" t="s">
        <v>96</v>
      </c>
      <c r="E757" s="6" t="s">
        <v>792</v>
      </c>
    </row>
    <row r="758">
      <c r="A758" s="10" t="s">
        <v>778</v>
      </c>
      <c r="B758" s="3" t="s">
        <v>779</v>
      </c>
      <c r="C758" s="4" t="s">
        <v>3</v>
      </c>
      <c r="D758" s="5" t="s">
        <v>11</v>
      </c>
      <c r="E758" s="6" t="s">
        <v>793</v>
      </c>
    </row>
    <row r="759">
      <c r="A759" s="10" t="s">
        <v>778</v>
      </c>
      <c r="B759" s="3" t="s">
        <v>779</v>
      </c>
      <c r="C759" s="4" t="s">
        <v>3</v>
      </c>
      <c r="D759" s="5" t="s">
        <v>76</v>
      </c>
      <c r="E759" s="6" t="s">
        <v>794</v>
      </c>
    </row>
    <row r="760" hidden="1">
      <c r="A760" s="10" t="s">
        <v>778</v>
      </c>
      <c r="B760" s="3" t="s">
        <v>779</v>
      </c>
      <c r="C760" s="4" t="s">
        <v>8</v>
      </c>
      <c r="D760" s="5" t="s">
        <v>28</v>
      </c>
      <c r="E760" s="6" t="s">
        <v>795</v>
      </c>
    </row>
    <row r="761">
      <c r="A761" s="10" t="s">
        <v>796</v>
      </c>
      <c r="B761" s="3" t="s">
        <v>797</v>
      </c>
      <c r="C761" s="4" t="s">
        <v>3</v>
      </c>
      <c r="D761" s="5" t="s">
        <v>6</v>
      </c>
      <c r="E761" s="6" t="s">
        <v>798</v>
      </c>
    </row>
    <row r="762">
      <c r="A762" s="10" t="s">
        <v>796</v>
      </c>
      <c r="B762" s="3" t="s">
        <v>797</v>
      </c>
      <c r="C762" s="4" t="s">
        <v>3</v>
      </c>
      <c r="D762" s="5" t="s">
        <v>35</v>
      </c>
      <c r="E762" s="6" t="s">
        <v>799</v>
      </c>
    </row>
    <row r="763" hidden="1">
      <c r="A763" s="10" t="s">
        <v>796</v>
      </c>
      <c r="B763" s="3" t="s">
        <v>797</v>
      </c>
      <c r="C763" s="4" t="s">
        <v>8</v>
      </c>
      <c r="D763" s="5" t="s">
        <v>19</v>
      </c>
      <c r="E763" s="6" t="s">
        <v>800</v>
      </c>
    </row>
    <row r="764" hidden="1">
      <c r="A764" s="10" t="s">
        <v>796</v>
      </c>
      <c r="B764" s="3" t="s">
        <v>797</v>
      </c>
      <c r="C764" s="4" t="s">
        <v>8</v>
      </c>
      <c r="D764" s="5" t="s">
        <v>51</v>
      </c>
      <c r="E764" s="6" t="s">
        <v>801</v>
      </c>
    </row>
    <row r="765">
      <c r="A765" s="10" t="s">
        <v>796</v>
      </c>
      <c r="B765" s="3" t="s">
        <v>797</v>
      </c>
      <c r="C765" s="4" t="s">
        <v>3</v>
      </c>
      <c r="D765" s="5" t="s">
        <v>28</v>
      </c>
      <c r="E765" s="6" t="s">
        <v>190</v>
      </c>
    </row>
    <row r="766" hidden="1">
      <c r="A766" s="10" t="s">
        <v>796</v>
      </c>
      <c r="B766" s="3" t="s">
        <v>797</v>
      </c>
      <c r="C766" s="4" t="s">
        <v>8</v>
      </c>
      <c r="D766" s="5" t="s">
        <v>23</v>
      </c>
      <c r="E766" s="6" t="s">
        <v>77</v>
      </c>
    </row>
    <row r="767">
      <c r="A767" s="10" t="s">
        <v>796</v>
      </c>
      <c r="B767" s="3" t="s">
        <v>797</v>
      </c>
      <c r="C767" s="4" t="s">
        <v>3</v>
      </c>
      <c r="D767" s="5" t="s">
        <v>19</v>
      </c>
      <c r="E767" s="6" t="s">
        <v>802</v>
      </c>
    </row>
    <row r="768">
      <c r="A768" s="10" t="s">
        <v>796</v>
      </c>
      <c r="B768" s="3" t="s">
        <v>797</v>
      </c>
      <c r="C768" s="4" t="s">
        <v>3</v>
      </c>
      <c r="D768" s="5" t="s">
        <v>21</v>
      </c>
      <c r="E768" s="6" t="s">
        <v>803</v>
      </c>
    </row>
    <row r="769">
      <c r="A769" s="10" t="s">
        <v>796</v>
      </c>
      <c r="B769" s="3" t="s">
        <v>797</v>
      </c>
      <c r="C769" s="4" t="s">
        <v>3</v>
      </c>
      <c r="D769" s="5" t="s">
        <v>45</v>
      </c>
      <c r="E769" s="6" t="s">
        <v>804</v>
      </c>
    </row>
    <row r="770">
      <c r="A770" s="10" t="s">
        <v>796</v>
      </c>
      <c r="B770" s="3" t="s">
        <v>797</v>
      </c>
      <c r="C770" s="4" t="s">
        <v>3</v>
      </c>
      <c r="D770" s="5" t="s">
        <v>76</v>
      </c>
      <c r="E770" s="6" t="s">
        <v>805</v>
      </c>
    </row>
    <row r="771" hidden="1">
      <c r="A771" s="10" t="s">
        <v>796</v>
      </c>
      <c r="B771" s="3" t="s">
        <v>797</v>
      </c>
      <c r="C771" s="4" t="s">
        <v>8</v>
      </c>
      <c r="D771" s="5" t="s">
        <v>96</v>
      </c>
      <c r="E771" s="6" t="s">
        <v>806</v>
      </c>
    </row>
    <row r="772" hidden="1">
      <c r="A772" s="10" t="s">
        <v>796</v>
      </c>
      <c r="B772" s="3" t="s">
        <v>797</v>
      </c>
      <c r="C772" s="4" t="s">
        <v>8</v>
      </c>
      <c r="D772" s="5" t="s">
        <v>76</v>
      </c>
      <c r="E772" s="6" t="s">
        <v>807</v>
      </c>
    </row>
    <row r="773">
      <c r="A773" s="10" t="s">
        <v>796</v>
      </c>
      <c r="B773" s="3" t="s">
        <v>797</v>
      </c>
      <c r="C773" s="4" t="s">
        <v>3</v>
      </c>
      <c r="D773" s="5" t="s">
        <v>42</v>
      </c>
      <c r="E773" s="6" t="s">
        <v>435</v>
      </c>
    </row>
    <row r="774">
      <c r="A774" s="10" t="s">
        <v>796</v>
      </c>
      <c r="B774" s="3" t="s">
        <v>797</v>
      </c>
      <c r="C774" s="4" t="s">
        <v>3</v>
      </c>
      <c r="D774" s="5" t="s">
        <v>28</v>
      </c>
      <c r="E774" s="6" t="s">
        <v>323</v>
      </c>
    </row>
    <row r="775">
      <c r="A775" s="10" t="s">
        <v>796</v>
      </c>
      <c r="B775" s="3" t="s">
        <v>797</v>
      </c>
      <c r="C775" s="4" t="s">
        <v>3</v>
      </c>
      <c r="D775" s="5" t="s">
        <v>71</v>
      </c>
      <c r="E775" s="6" t="s">
        <v>808</v>
      </c>
    </row>
    <row r="776">
      <c r="A776" s="10" t="s">
        <v>796</v>
      </c>
      <c r="B776" s="3" t="s">
        <v>797</v>
      </c>
      <c r="C776" s="4" t="s">
        <v>3</v>
      </c>
      <c r="D776" s="5" t="s">
        <v>96</v>
      </c>
      <c r="E776" s="6" t="s">
        <v>809</v>
      </c>
    </row>
    <row r="777">
      <c r="A777" s="10" t="s">
        <v>796</v>
      </c>
      <c r="B777" s="3" t="s">
        <v>797</v>
      </c>
      <c r="C777" s="4" t="s">
        <v>3</v>
      </c>
      <c r="D777" s="5" t="s">
        <v>51</v>
      </c>
      <c r="E777" s="6" t="s">
        <v>810</v>
      </c>
    </row>
    <row r="778" hidden="1">
      <c r="A778" s="10" t="s">
        <v>796</v>
      </c>
      <c r="B778" s="3" t="s">
        <v>797</v>
      </c>
      <c r="C778" s="4" t="s">
        <v>8</v>
      </c>
      <c r="D778" s="5" t="s">
        <v>51</v>
      </c>
      <c r="E778" s="6" t="s">
        <v>811</v>
      </c>
    </row>
    <row r="779" hidden="1">
      <c r="A779" s="10" t="s">
        <v>796</v>
      </c>
      <c r="B779" s="3" t="s">
        <v>797</v>
      </c>
      <c r="C779" s="4" t="s">
        <v>8</v>
      </c>
      <c r="D779" s="5" t="s">
        <v>71</v>
      </c>
      <c r="E779" s="6" t="s">
        <v>812</v>
      </c>
    </row>
    <row r="780" hidden="1">
      <c r="A780" s="10" t="s">
        <v>796</v>
      </c>
      <c r="B780" s="3" t="s">
        <v>797</v>
      </c>
      <c r="C780" s="4" t="s">
        <v>8</v>
      </c>
      <c r="D780" s="5" t="s">
        <v>11</v>
      </c>
      <c r="E780" s="6" t="s">
        <v>363</v>
      </c>
    </row>
    <row r="781">
      <c r="A781" s="10" t="s">
        <v>613</v>
      </c>
      <c r="B781" s="3" t="s">
        <v>813</v>
      </c>
      <c r="C781" s="4" t="s">
        <v>3</v>
      </c>
      <c r="D781" s="5" t="s">
        <v>19</v>
      </c>
      <c r="E781" s="6" t="s">
        <v>814</v>
      </c>
    </row>
    <row r="782">
      <c r="A782" s="10" t="s">
        <v>613</v>
      </c>
      <c r="B782" s="3" t="s">
        <v>813</v>
      </c>
      <c r="C782" s="4" t="s">
        <v>3</v>
      </c>
      <c r="D782" s="5" t="s">
        <v>71</v>
      </c>
      <c r="E782" s="6" t="s">
        <v>815</v>
      </c>
    </row>
    <row r="783">
      <c r="A783" s="10" t="s">
        <v>613</v>
      </c>
      <c r="B783" s="3" t="s">
        <v>813</v>
      </c>
      <c r="C783" s="4" t="s">
        <v>3</v>
      </c>
      <c r="D783" s="5" t="s">
        <v>76</v>
      </c>
      <c r="E783" s="6" t="s">
        <v>816</v>
      </c>
    </row>
    <row r="784">
      <c r="A784" s="10" t="s">
        <v>613</v>
      </c>
      <c r="B784" s="3" t="s">
        <v>813</v>
      </c>
      <c r="C784" s="4" t="s">
        <v>3</v>
      </c>
      <c r="D784" s="5" t="s">
        <v>35</v>
      </c>
      <c r="E784" s="6" t="s">
        <v>817</v>
      </c>
    </row>
    <row r="785">
      <c r="A785" s="10" t="s">
        <v>613</v>
      </c>
      <c r="B785" s="3" t="s">
        <v>813</v>
      </c>
      <c r="C785" s="4" t="s">
        <v>3</v>
      </c>
      <c r="D785" s="5" t="s">
        <v>11</v>
      </c>
      <c r="E785" s="6" t="s">
        <v>818</v>
      </c>
    </row>
    <row r="786" hidden="1">
      <c r="A786" s="10" t="s">
        <v>613</v>
      </c>
      <c r="B786" s="3" t="s">
        <v>813</v>
      </c>
      <c r="C786" s="4" t="s">
        <v>8</v>
      </c>
      <c r="D786" s="5" t="s">
        <v>76</v>
      </c>
      <c r="E786" s="6" t="s">
        <v>819</v>
      </c>
    </row>
    <row r="787">
      <c r="A787" s="10" t="s">
        <v>613</v>
      </c>
      <c r="B787" s="3" t="s">
        <v>813</v>
      </c>
      <c r="C787" s="4" t="s">
        <v>3</v>
      </c>
      <c r="D787" s="5" t="s">
        <v>13</v>
      </c>
      <c r="E787" s="6" t="s">
        <v>820</v>
      </c>
    </row>
    <row r="788" hidden="1">
      <c r="A788" s="10" t="s">
        <v>613</v>
      </c>
      <c r="B788" s="3" t="s">
        <v>813</v>
      </c>
      <c r="C788" s="4" t="s">
        <v>8</v>
      </c>
      <c r="D788" s="5" t="s">
        <v>42</v>
      </c>
      <c r="E788" s="6" t="s">
        <v>821</v>
      </c>
    </row>
    <row r="789">
      <c r="A789" s="10" t="s">
        <v>613</v>
      </c>
      <c r="B789" s="3" t="s">
        <v>813</v>
      </c>
      <c r="C789" s="4" t="s">
        <v>3</v>
      </c>
      <c r="D789" s="5" t="s">
        <v>96</v>
      </c>
      <c r="E789" s="6" t="s">
        <v>822</v>
      </c>
    </row>
    <row r="790" hidden="1">
      <c r="A790" s="10" t="s">
        <v>613</v>
      </c>
      <c r="B790" s="3" t="s">
        <v>813</v>
      </c>
      <c r="C790" s="4" t="s">
        <v>8</v>
      </c>
      <c r="D790" s="5" t="s">
        <v>71</v>
      </c>
      <c r="E790" s="6" t="s">
        <v>823</v>
      </c>
    </row>
    <row r="791" hidden="1">
      <c r="A791" s="10" t="s">
        <v>613</v>
      </c>
      <c r="B791" s="3" t="s">
        <v>813</v>
      </c>
      <c r="C791" s="4" t="s">
        <v>8</v>
      </c>
      <c r="D791" s="5" t="s">
        <v>51</v>
      </c>
      <c r="E791" s="6" t="s">
        <v>824</v>
      </c>
    </row>
    <row r="792" hidden="1">
      <c r="A792" s="10" t="s">
        <v>613</v>
      </c>
      <c r="B792" s="3" t="s">
        <v>813</v>
      </c>
      <c r="C792" s="4" t="s">
        <v>8</v>
      </c>
      <c r="D792" s="5" t="s">
        <v>13</v>
      </c>
      <c r="E792" s="6" t="s">
        <v>825</v>
      </c>
    </row>
    <row r="793">
      <c r="A793" s="10" t="s">
        <v>613</v>
      </c>
      <c r="B793" s="3" t="s">
        <v>813</v>
      </c>
      <c r="C793" s="4" t="s">
        <v>3</v>
      </c>
      <c r="D793" s="5" t="s">
        <v>9</v>
      </c>
      <c r="E793" s="6" t="s">
        <v>826</v>
      </c>
    </row>
    <row r="794">
      <c r="A794" s="10" t="s">
        <v>613</v>
      </c>
      <c r="B794" s="3" t="s">
        <v>813</v>
      </c>
      <c r="C794" s="4" t="s">
        <v>3</v>
      </c>
      <c r="D794" s="5" t="s">
        <v>21</v>
      </c>
      <c r="E794" s="6" t="s">
        <v>827</v>
      </c>
    </row>
    <row r="795" hidden="1">
      <c r="A795" s="10" t="s">
        <v>613</v>
      </c>
      <c r="B795" s="3" t="s">
        <v>813</v>
      </c>
      <c r="C795" s="4" t="s">
        <v>8</v>
      </c>
      <c r="D795" s="5" t="s">
        <v>35</v>
      </c>
      <c r="E795" s="6" t="s">
        <v>828</v>
      </c>
    </row>
    <row r="796" hidden="1">
      <c r="A796" s="10" t="s">
        <v>613</v>
      </c>
      <c r="B796" s="3" t="s">
        <v>813</v>
      </c>
      <c r="C796" s="4" t="s">
        <v>8</v>
      </c>
      <c r="D796" s="5" t="s">
        <v>21</v>
      </c>
      <c r="E796" s="6" t="s">
        <v>829</v>
      </c>
    </row>
    <row r="797" hidden="1">
      <c r="A797" s="10" t="s">
        <v>613</v>
      </c>
      <c r="B797" s="3" t="s">
        <v>813</v>
      </c>
      <c r="C797" s="4" t="s">
        <v>8</v>
      </c>
      <c r="D797" s="5" t="s">
        <v>96</v>
      </c>
      <c r="E797" s="6" t="s">
        <v>181</v>
      </c>
    </row>
    <row r="798" hidden="1">
      <c r="A798" s="10" t="s">
        <v>613</v>
      </c>
      <c r="B798" s="3" t="s">
        <v>813</v>
      </c>
      <c r="C798" s="4" t="s">
        <v>8</v>
      </c>
      <c r="D798" s="5" t="s">
        <v>15</v>
      </c>
      <c r="E798" s="6" t="s">
        <v>248</v>
      </c>
    </row>
    <row r="799">
      <c r="A799" s="10" t="s">
        <v>613</v>
      </c>
      <c r="B799" s="3" t="s">
        <v>813</v>
      </c>
      <c r="C799" s="4" t="s">
        <v>3</v>
      </c>
      <c r="D799" s="5" t="s">
        <v>51</v>
      </c>
      <c r="E799" s="6" t="s">
        <v>830</v>
      </c>
    </row>
    <row r="800">
      <c r="A800" s="10" t="s">
        <v>613</v>
      </c>
      <c r="B800" s="3" t="s">
        <v>813</v>
      </c>
      <c r="C800" s="4" t="s">
        <v>3</v>
      </c>
      <c r="D800" s="5" t="s">
        <v>21</v>
      </c>
      <c r="E800" s="6" t="s">
        <v>831</v>
      </c>
    </row>
    <row r="801" hidden="1">
      <c r="A801" s="10" t="s">
        <v>832</v>
      </c>
      <c r="B801" s="3" t="s">
        <v>833</v>
      </c>
      <c r="C801" s="4" t="s">
        <v>8</v>
      </c>
      <c r="D801" s="5" t="s">
        <v>51</v>
      </c>
      <c r="E801" s="6" t="s">
        <v>657</v>
      </c>
    </row>
    <row r="802">
      <c r="A802" s="10" t="s">
        <v>832</v>
      </c>
      <c r="B802" s="3" t="s">
        <v>833</v>
      </c>
      <c r="C802" s="4" t="s">
        <v>3</v>
      </c>
      <c r="D802" s="5" t="s">
        <v>96</v>
      </c>
      <c r="E802" s="6" t="s">
        <v>94</v>
      </c>
    </row>
    <row r="803" hidden="1">
      <c r="A803" s="10" t="s">
        <v>832</v>
      </c>
      <c r="B803" s="3" t="s">
        <v>833</v>
      </c>
      <c r="C803" s="4" t="s">
        <v>8</v>
      </c>
      <c r="D803" s="5" t="s">
        <v>71</v>
      </c>
      <c r="E803" s="6" t="s">
        <v>834</v>
      </c>
    </row>
    <row r="804">
      <c r="A804" s="10" t="s">
        <v>832</v>
      </c>
      <c r="B804" s="3" t="s">
        <v>833</v>
      </c>
      <c r="C804" s="4" t="s">
        <v>3</v>
      </c>
      <c r="D804" s="5" t="s">
        <v>13</v>
      </c>
      <c r="E804" s="6" t="s">
        <v>619</v>
      </c>
    </row>
    <row r="805" hidden="1">
      <c r="A805" s="10" t="s">
        <v>832</v>
      </c>
      <c r="B805" s="3" t="s">
        <v>833</v>
      </c>
      <c r="C805" s="4" t="s">
        <v>8</v>
      </c>
      <c r="D805" s="5" t="s">
        <v>76</v>
      </c>
      <c r="E805" s="6" t="s">
        <v>835</v>
      </c>
    </row>
    <row r="806" hidden="1">
      <c r="A806" s="10" t="s">
        <v>832</v>
      </c>
      <c r="B806" s="3" t="s">
        <v>833</v>
      </c>
      <c r="C806" s="4" t="s">
        <v>8</v>
      </c>
      <c r="D806" s="5" t="s">
        <v>4</v>
      </c>
      <c r="E806" s="6" t="s">
        <v>836</v>
      </c>
    </row>
    <row r="807">
      <c r="A807" s="10" t="s">
        <v>832</v>
      </c>
      <c r="B807" s="3" t="s">
        <v>833</v>
      </c>
      <c r="C807" s="4" t="s">
        <v>3</v>
      </c>
      <c r="D807" s="5" t="s">
        <v>19</v>
      </c>
      <c r="E807" s="6" t="s">
        <v>837</v>
      </c>
    </row>
    <row r="808">
      <c r="A808" s="10" t="s">
        <v>832</v>
      </c>
      <c r="B808" s="3" t="s">
        <v>833</v>
      </c>
      <c r="C808" s="4" t="s">
        <v>3</v>
      </c>
      <c r="D808" s="5" t="s">
        <v>4</v>
      </c>
      <c r="E808" s="6" t="s">
        <v>838</v>
      </c>
    </row>
    <row r="809">
      <c r="A809" s="10" t="s">
        <v>832</v>
      </c>
      <c r="B809" s="3" t="s">
        <v>833</v>
      </c>
      <c r="C809" s="4" t="s">
        <v>3</v>
      </c>
      <c r="D809" s="5" t="s">
        <v>35</v>
      </c>
      <c r="E809" s="6" t="s">
        <v>839</v>
      </c>
    </row>
    <row r="810">
      <c r="A810" s="10" t="s">
        <v>832</v>
      </c>
      <c r="B810" s="3" t="s">
        <v>833</v>
      </c>
      <c r="C810" s="4" t="s">
        <v>3</v>
      </c>
      <c r="D810" s="5" t="s">
        <v>51</v>
      </c>
      <c r="E810" s="6" t="s">
        <v>840</v>
      </c>
    </row>
    <row r="811">
      <c r="A811" s="10" t="s">
        <v>832</v>
      </c>
      <c r="B811" s="3" t="s">
        <v>833</v>
      </c>
      <c r="C811" s="4" t="s">
        <v>3</v>
      </c>
      <c r="D811" s="5" t="s">
        <v>76</v>
      </c>
      <c r="E811" s="6" t="s">
        <v>841</v>
      </c>
    </row>
    <row r="812" hidden="1">
      <c r="A812" s="10" t="s">
        <v>832</v>
      </c>
      <c r="B812" s="3" t="s">
        <v>833</v>
      </c>
      <c r="C812" s="4" t="s">
        <v>8</v>
      </c>
      <c r="D812" s="5" t="s">
        <v>42</v>
      </c>
      <c r="E812" s="6" t="s">
        <v>842</v>
      </c>
    </row>
    <row r="813">
      <c r="A813" s="10" t="s">
        <v>832</v>
      </c>
      <c r="B813" s="3" t="s">
        <v>833</v>
      </c>
      <c r="C813" s="4" t="s">
        <v>3</v>
      </c>
      <c r="D813" s="5" t="s">
        <v>23</v>
      </c>
      <c r="E813" s="6" t="s">
        <v>843</v>
      </c>
    </row>
    <row r="814" hidden="1">
      <c r="A814" s="10" t="s">
        <v>832</v>
      </c>
      <c r="B814" s="3" t="s">
        <v>833</v>
      </c>
      <c r="C814" s="4" t="s">
        <v>8</v>
      </c>
      <c r="D814" s="5" t="s">
        <v>23</v>
      </c>
      <c r="E814" s="6" t="s">
        <v>844</v>
      </c>
    </row>
    <row r="815" hidden="1">
      <c r="A815" s="10" t="s">
        <v>832</v>
      </c>
      <c r="B815" s="3" t="s">
        <v>833</v>
      </c>
      <c r="C815" s="4" t="s">
        <v>8</v>
      </c>
      <c r="D815" s="5" t="s">
        <v>71</v>
      </c>
      <c r="E815" s="6" t="s">
        <v>493</v>
      </c>
    </row>
    <row r="816">
      <c r="A816" s="10" t="s">
        <v>832</v>
      </c>
      <c r="B816" s="3" t="s">
        <v>833</v>
      </c>
      <c r="C816" s="4" t="s">
        <v>3</v>
      </c>
      <c r="D816" s="5" t="s">
        <v>4</v>
      </c>
      <c r="E816" s="6" t="s">
        <v>845</v>
      </c>
    </row>
    <row r="817" hidden="1">
      <c r="A817" s="10" t="s">
        <v>832</v>
      </c>
      <c r="B817" s="3" t="s">
        <v>833</v>
      </c>
      <c r="C817" s="4" t="s">
        <v>8</v>
      </c>
      <c r="D817" s="5" t="s">
        <v>21</v>
      </c>
      <c r="E817" s="6" t="s">
        <v>846</v>
      </c>
    </row>
    <row r="818" hidden="1">
      <c r="A818" s="10" t="s">
        <v>832</v>
      </c>
      <c r="B818" s="3" t="s">
        <v>833</v>
      </c>
      <c r="C818" s="4" t="s">
        <v>8</v>
      </c>
      <c r="D818" s="5" t="s">
        <v>35</v>
      </c>
      <c r="E818" s="6" t="s">
        <v>847</v>
      </c>
    </row>
    <row r="819">
      <c r="A819" s="10" t="s">
        <v>832</v>
      </c>
      <c r="B819" s="3" t="s">
        <v>833</v>
      </c>
      <c r="C819" s="4" t="s">
        <v>3</v>
      </c>
      <c r="D819" s="5" t="s">
        <v>21</v>
      </c>
      <c r="E819" s="6" t="s">
        <v>848</v>
      </c>
    </row>
    <row r="820">
      <c r="A820" s="10" t="s">
        <v>832</v>
      </c>
      <c r="B820" s="3" t="s">
        <v>833</v>
      </c>
      <c r="C820" s="4" t="s">
        <v>3</v>
      </c>
      <c r="D820" s="5" t="s">
        <v>71</v>
      </c>
      <c r="E820" s="6" t="s">
        <v>849</v>
      </c>
    </row>
    <row r="821">
      <c r="A821" s="10" t="s">
        <v>741</v>
      </c>
      <c r="B821" s="3" t="s">
        <v>850</v>
      </c>
      <c r="C821" s="4" t="s">
        <v>3</v>
      </c>
      <c r="D821" s="5" t="s">
        <v>28</v>
      </c>
      <c r="E821" s="6" t="s">
        <v>352</v>
      </c>
    </row>
    <row r="822">
      <c r="A822" s="10" t="s">
        <v>741</v>
      </c>
      <c r="B822" s="3" t="s">
        <v>850</v>
      </c>
      <c r="C822" s="4" t="s">
        <v>3</v>
      </c>
      <c r="D822" s="5" t="s">
        <v>71</v>
      </c>
      <c r="E822" s="6" t="s">
        <v>851</v>
      </c>
    </row>
    <row r="823">
      <c r="A823" s="10" t="s">
        <v>741</v>
      </c>
      <c r="B823" s="3" t="s">
        <v>850</v>
      </c>
      <c r="C823" s="4" t="s">
        <v>3</v>
      </c>
      <c r="D823" s="5" t="s">
        <v>11</v>
      </c>
      <c r="E823" s="6" t="s">
        <v>852</v>
      </c>
    </row>
    <row r="824">
      <c r="A824" s="10" t="s">
        <v>741</v>
      </c>
      <c r="B824" s="3" t="s">
        <v>850</v>
      </c>
      <c r="C824" s="4" t="s">
        <v>3</v>
      </c>
      <c r="D824" s="5" t="s">
        <v>51</v>
      </c>
      <c r="E824" s="6" t="s">
        <v>853</v>
      </c>
    </row>
    <row r="825" hidden="1">
      <c r="A825" s="10" t="s">
        <v>741</v>
      </c>
      <c r="B825" s="3" t="s">
        <v>850</v>
      </c>
      <c r="C825" s="4" t="s">
        <v>8</v>
      </c>
      <c r="D825" s="5" t="s">
        <v>17</v>
      </c>
      <c r="E825" s="6" t="s">
        <v>541</v>
      </c>
    </row>
    <row r="826" hidden="1">
      <c r="A826" s="10" t="s">
        <v>741</v>
      </c>
      <c r="B826" s="3" t="s">
        <v>850</v>
      </c>
      <c r="C826" s="4" t="s">
        <v>8</v>
      </c>
      <c r="D826" s="5" t="s">
        <v>39</v>
      </c>
      <c r="E826" s="6" t="s">
        <v>854</v>
      </c>
    </row>
    <row r="827" hidden="1">
      <c r="A827" s="10" t="s">
        <v>741</v>
      </c>
      <c r="B827" s="3" t="s">
        <v>850</v>
      </c>
      <c r="C827" s="4" t="s">
        <v>8</v>
      </c>
      <c r="D827" s="5" t="s">
        <v>51</v>
      </c>
      <c r="E827" s="6" t="s">
        <v>855</v>
      </c>
    </row>
    <row r="828">
      <c r="A828" s="10" t="s">
        <v>741</v>
      </c>
      <c r="B828" s="3" t="s">
        <v>850</v>
      </c>
      <c r="C828" s="4" t="s">
        <v>3</v>
      </c>
      <c r="D828" s="5" t="s">
        <v>120</v>
      </c>
      <c r="E828" s="6" t="s">
        <v>856</v>
      </c>
    </row>
    <row r="829" hidden="1">
      <c r="A829" s="10" t="s">
        <v>741</v>
      </c>
      <c r="B829" s="3" t="s">
        <v>850</v>
      </c>
      <c r="C829" s="4" t="s">
        <v>8</v>
      </c>
      <c r="D829" s="5" t="s">
        <v>96</v>
      </c>
      <c r="E829" s="6" t="s">
        <v>857</v>
      </c>
    </row>
    <row r="830">
      <c r="A830" s="10" t="s">
        <v>741</v>
      </c>
      <c r="B830" s="3" t="s">
        <v>850</v>
      </c>
      <c r="C830" s="4" t="s">
        <v>3</v>
      </c>
      <c r="D830" s="5" t="s">
        <v>45</v>
      </c>
      <c r="E830" s="6" t="s">
        <v>858</v>
      </c>
    </row>
    <row r="831">
      <c r="A831" s="10" t="s">
        <v>741</v>
      </c>
      <c r="B831" s="3" t="s">
        <v>850</v>
      </c>
      <c r="C831" s="4" t="s">
        <v>3</v>
      </c>
      <c r="D831" s="5" t="s">
        <v>42</v>
      </c>
      <c r="E831" s="6" t="s">
        <v>859</v>
      </c>
    </row>
    <row r="832">
      <c r="A832" s="10" t="s">
        <v>741</v>
      </c>
      <c r="B832" s="3" t="s">
        <v>850</v>
      </c>
      <c r="C832" s="4" t="s">
        <v>3</v>
      </c>
      <c r="D832" s="5" t="s">
        <v>9</v>
      </c>
      <c r="E832" s="6" t="s">
        <v>860</v>
      </c>
    </row>
    <row r="833" hidden="1">
      <c r="A833" s="10" t="s">
        <v>741</v>
      </c>
      <c r="B833" s="3" t="s">
        <v>850</v>
      </c>
      <c r="C833" s="4" t="s">
        <v>8</v>
      </c>
      <c r="D833" s="5" t="s">
        <v>42</v>
      </c>
      <c r="E833" s="6" t="s">
        <v>455</v>
      </c>
    </row>
    <row r="834">
      <c r="A834" s="10" t="s">
        <v>741</v>
      </c>
      <c r="B834" s="3" t="s">
        <v>850</v>
      </c>
      <c r="C834" s="4" t="s">
        <v>3</v>
      </c>
      <c r="D834" s="5" t="s">
        <v>6</v>
      </c>
      <c r="E834" s="6" t="s">
        <v>861</v>
      </c>
    </row>
    <row r="835">
      <c r="A835" s="10" t="s">
        <v>741</v>
      </c>
      <c r="B835" s="3" t="s">
        <v>850</v>
      </c>
      <c r="C835" s="4" t="s">
        <v>3</v>
      </c>
      <c r="D835" s="5" t="s">
        <v>35</v>
      </c>
      <c r="E835" s="6" t="s">
        <v>862</v>
      </c>
    </row>
    <row r="836" hidden="1">
      <c r="A836" s="10" t="s">
        <v>741</v>
      </c>
      <c r="B836" s="3" t="s">
        <v>850</v>
      </c>
      <c r="C836" s="4" t="s">
        <v>8</v>
      </c>
      <c r="D836" s="5" t="s">
        <v>28</v>
      </c>
      <c r="E836" s="6" t="s">
        <v>560</v>
      </c>
    </row>
    <row r="837">
      <c r="A837" s="10" t="s">
        <v>741</v>
      </c>
      <c r="B837" s="3" t="s">
        <v>850</v>
      </c>
      <c r="C837" s="4" t="s">
        <v>3</v>
      </c>
      <c r="D837" s="5" t="s">
        <v>23</v>
      </c>
      <c r="E837" s="6" t="s">
        <v>863</v>
      </c>
    </row>
    <row r="838" hidden="1">
      <c r="A838" s="10" t="s">
        <v>741</v>
      </c>
      <c r="B838" s="3" t="s">
        <v>850</v>
      </c>
      <c r="C838" s="4" t="s">
        <v>8</v>
      </c>
      <c r="D838" s="5" t="s">
        <v>39</v>
      </c>
      <c r="E838" s="6" t="s">
        <v>864</v>
      </c>
    </row>
    <row r="839">
      <c r="A839" s="10" t="s">
        <v>741</v>
      </c>
      <c r="B839" s="3" t="s">
        <v>850</v>
      </c>
      <c r="C839" s="4" t="s">
        <v>3</v>
      </c>
      <c r="D839" s="5" t="s">
        <v>11</v>
      </c>
      <c r="E839" s="6" t="s">
        <v>865</v>
      </c>
    </row>
    <row r="840" hidden="1">
      <c r="A840" s="10" t="s">
        <v>741</v>
      </c>
      <c r="B840" s="3" t="s">
        <v>850</v>
      </c>
      <c r="C840" s="4" t="s">
        <v>8</v>
      </c>
      <c r="D840" s="5" t="s">
        <v>120</v>
      </c>
      <c r="E840" s="6" t="s">
        <v>866</v>
      </c>
    </row>
    <row r="841" hidden="1">
      <c r="A841" s="10" t="s">
        <v>867</v>
      </c>
      <c r="B841" s="3" t="s">
        <v>868</v>
      </c>
      <c r="C841" s="4" t="s">
        <v>8</v>
      </c>
      <c r="D841" s="5" t="s">
        <v>45</v>
      </c>
      <c r="E841" s="6" t="s">
        <v>869</v>
      </c>
    </row>
    <row r="842">
      <c r="A842" s="10" t="s">
        <v>867</v>
      </c>
      <c r="B842" s="3" t="s">
        <v>868</v>
      </c>
      <c r="C842" s="4" t="s">
        <v>3</v>
      </c>
      <c r="D842" s="5" t="s">
        <v>4</v>
      </c>
      <c r="E842" s="6" t="s">
        <v>870</v>
      </c>
    </row>
    <row r="843" hidden="1">
      <c r="A843" s="10" t="s">
        <v>867</v>
      </c>
      <c r="B843" s="3" t="s">
        <v>868</v>
      </c>
      <c r="C843" s="4" t="s">
        <v>8</v>
      </c>
      <c r="D843" s="5" t="s">
        <v>51</v>
      </c>
      <c r="E843" s="6" t="s">
        <v>871</v>
      </c>
    </row>
    <row r="844">
      <c r="A844" s="10" t="s">
        <v>867</v>
      </c>
      <c r="B844" s="3" t="s">
        <v>868</v>
      </c>
      <c r="C844" s="4" t="s">
        <v>3</v>
      </c>
      <c r="D844" s="5" t="s">
        <v>17</v>
      </c>
      <c r="E844" s="6" t="s">
        <v>872</v>
      </c>
    </row>
    <row r="845" hidden="1">
      <c r="A845" s="10" t="s">
        <v>867</v>
      </c>
      <c r="B845" s="3" t="s">
        <v>868</v>
      </c>
      <c r="C845" s="4" t="s">
        <v>8</v>
      </c>
      <c r="D845" s="5" t="s">
        <v>23</v>
      </c>
      <c r="E845" s="6" t="s">
        <v>873</v>
      </c>
    </row>
    <row r="846">
      <c r="A846" s="10" t="s">
        <v>867</v>
      </c>
      <c r="B846" s="3" t="s">
        <v>868</v>
      </c>
      <c r="C846" s="4" t="s">
        <v>3</v>
      </c>
      <c r="D846" s="5" t="s">
        <v>21</v>
      </c>
      <c r="E846" s="6" t="s">
        <v>874</v>
      </c>
    </row>
    <row r="847" hidden="1">
      <c r="A847" s="10" t="s">
        <v>867</v>
      </c>
      <c r="B847" s="3" t="s">
        <v>868</v>
      </c>
      <c r="C847" s="4" t="s">
        <v>8</v>
      </c>
      <c r="D847" s="5" t="s">
        <v>35</v>
      </c>
      <c r="E847" s="6" t="s">
        <v>875</v>
      </c>
    </row>
    <row r="848" hidden="1">
      <c r="A848" s="10" t="s">
        <v>867</v>
      </c>
      <c r="B848" s="3" t="s">
        <v>868</v>
      </c>
      <c r="C848" s="4" t="s">
        <v>8</v>
      </c>
      <c r="D848" s="5" t="s">
        <v>71</v>
      </c>
      <c r="E848" s="6" t="s">
        <v>876</v>
      </c>
    </row>
    <row r="849">
      <c r="A849" s="10" t="s">
        <v>867</v>
      </c>
      <c r="B849" s="3" t="s">
        <v>868</v>
      </c>
      <c r="C849" s="4" t="s">
        <v>3</v>
      </c>
      <c r="D849" s="5" t="s">
        <v>35</v>
      </c>
      <c r="E849" s="6" t="s">
        <v>877</v>
      </c>
    </row>
    <row r="850">
      <c r="A850" s="10" t="s">
        <v>867</v>
      </c>
      <c r="B850" s="3" t="s">
        <v>868</v>
      </c>
      <c r="C850" s="4" t="s">
        <v>3</v>
      </c>
      <c r="D850" s="5" t="s">
        <v>11</v>
      </c>
      <c r="E850" s="6" t="s">
        <v>878</v>
      </c>
    </row>
    <row r="851" hidden="1">
      <c r="A851" s="10" t="s">
        <v>867</v>
      </c>
      <c r="B851" s="3" t="s">
        <v>868</v>
      </c>
      <c r="C851" s="4" t="s">
        <v>8</v>
      </c>
      <c r="D851" s="5" t="s">
        <v>6</v>
      </c>
      <c r="E851" s="6" t="s">
        <v>879</v>
      </c>
    </row>
    <row r="852">
      <c r="A852" s="10" t="s">
        <v>867</v>
      </c>
      <c r="B852" s="3" t="s">
        <v>868</v>
      </c>
      <c r="C852" s="4" t="s">
        <v>3</v>
      </c>
      <c r="D852" s="5" t="s">
        <v>35</v>
      </c>
      <c r="E852" s="6" t="s">
        <v>880</v>
      </c>
    </row>
    <row r="853">
      <c r="A853" s="10" t="s">
        <v>867</v>
      </c>
      <c r="B853" s="3" t="s">
        <v>868</v>
      </c>
      <c r="C853" s="4" t="s">
        <v>3</v>
      </c>
      <c r="D853" s="5" t="s">
        <v>28</v>
      </c>
      <c r="E853" s="6" t="s">
        <v>881</v>
      </c>
    </row>
    <row r="854" hidden="1">
      <c r="A854" s="10" t="s">
        <v>867</v>
      </c>
      <c r="B854" s="3" t="s">
        <v>868</v>
      </c>
      <c r="C854" s="4" t="s">
        <v>8</v>
      </c>
      <c r="D854" s="5" t="s">
        <v>42</v>
      </c>
      <c r="E854" s="6" t="s">
        <v>428</v>
      </c>
    </row>
    <row r="855" hidden="1">
      <c r="A855" s="10" t="s">
        <v>867</v>
      </c>
      <c r="B855" s="3" t="s">
        <v>868</v>
      </c>
      <c r="C855" s="4" t="s">
        <v>8</v>
      </c>
      <c r="D855" s="5" t="s">
        <v>51</v>
      </c>
      <c r="E855" s="6" t="s">
        <v>882</v>
      </c>
    </row>
    <row r="856">
      <c r="A856" s="10" t="s">
        <v>867</v>
      </c>
      <c r="B856" s="3" t="s">
        <v>868</v>
      </c>
      <c r="C856" s="4" t="s">
        <v>3</v>
      </c>
      <c r="D856" s="5" t="s">
        <v>76</v>
      </c>
      <c r="E856" s="6" t="s">
        <v>883</v>
      </c>
    </row>
    <row r="857" hidden="1">
      <c r="A857" s="10" t="s">
        <v>867</v>
      </c>
      <c r="B857" s="3" t="s">
        <v>868</v>
      </c>
      <c r="C857" s="4" t="s">
        <v>8</v>
      </c>
      <c r="D857" s="5" t="s">
        <v>51</v>
      </c>
      <c r="E857" s="6" t="s">
        <v>205</v>
      </c>
    </row>
    <row r="858">
      <c r="A858" s="10" t="s">
        <v>867</v>
      </c>
      <c r="B858" s="3" t="s">
        <v>868</v>
      </c>
      <c r="C858" s="4" t="s">
        <v>3</v>
      </c>
      <c r="D858" s="5" t="s">
        <v>21</v>
      </c>
      <c r="E858" s="6" t="s">
        <v>884</v>
      </c>
    </row>
    <row r="859" hidden="1">
      <c r="A859" s="10" t="s">
        <v>867</v>
      </c>
      <c r="B859" s="3" t="s">
        <v>868</v>
      </c>
      <c r="C859" s="4" t="s">
        <v>8</v>
      </c>
      <c r="D859" s="5" t="s">
        <v>71</v>
      </c>
      <c r="E859" s="6" t="s">
        <v>885</v>
      </c>
    </row>
    <row r="860" hidden="1">
      <c r="A860" s="10" t="s">
        <v>867</v>
      </c>
      <c r="B860" s="3" t="s">
        <v>868</v>
      </c>
      <c r="C860" s="4" t="s">
        <v>8</v>
      </c>
      <c r="D860" s="5" t="s">
        <v>39</v>
      </c>
      <c r="E860" s="6" t="s">
        <v>886</v>
      </c>
    </row>
    <row r="861" hidden="1">
      <c r="A861" s="10" t="s">
        <v>887</v>
      </c>
      <c r="B861" s="3" t="s">
        <v>888</v>
      </c>
      <c r="C861" s="4" t="s">
        <v>8</v>
      </c>
      <c r="D861" s="5" t="s">
        <v>76</v>
      </c>
      <c r="E861" s="6" t="s">
        <v>889</v>
      </c>
    </row>
    <row r="862" hidden="1">
      <c r="A862" s="10" t="s">
        <v>887</v>
      </c>
      <c r="B862" s="3" t="s">
        <v>888</v>
      </c>
      <c r="C862" s="4" t="s">
        <v>8</v>
      </c>
      <c r="D862" s="5" t="s">
        <v>71</v>
      </c>
      <c r="E862" s="6" t="s">
        <v>890</v>
      </c>
    </row>
    <row r="863">
      <c r="A863" s="10" t="s">
        <v>887</v>
      </c>
      <c r="B863" s="3" t="s">
        <v>888</v>
      </c>
      <c r="C863" s="4" t="s">
        <v>3</v>
      </c>
      <c r="D863" s="5" t="s">
        <v>35</v>
      </c>
      <c r="E863" s="6" t="s">
        <v>891</v>
      </c>
    </row>
    <row r="864">
      <c r="A864" s="10" t="s">
        <v>887</v>
      </c>
      <c r="B864" s="3" t="s">
        <v>888</v>
      </c>
      <c r="C864" s="4" t="s">
        <v>3</v>
      </c>
      <c r="D864" s="5" t="s">
        <v>96</v>
      </c>
      <c r="E864" s="6" t="s">
        <v>892</v>
      </c>
    </row>
    <row r="865">
      <c r="A865" s="10" t="s">
        <v>887</v>
      </c>
      <c r="B865" s="3" t="s">
        <v>888</v>
      </c>
      <c r="C865" s="4" t="s">
        <v>3</v>
      </c>
      <c r="D865" s="5" t="s">
        <v>35</v>
      </c>
      <c r="E865" s="6" t="s">
        <v>893</v>
      </c>
    </row>
    <row r="866" hidden="1">
      <c r="A866" s="10" t="s">
        <v>887</v>
      </c>
      <c r="B866" s="3" t="s">
        <v>888</v>
      </c>
      <c r="C866" s="4" t="s">
        <v>8</v>
      </c>
      <c r="D866" s="5" t="s">
        <v>51</v>
      </c>
      <c r="E866" s="6" t="s">
        <v>894</v>
      </c>
    </row>
    <row r="867">
      <c r="A867" s="10" t="s">
        <v>887</v>
      </c>
      <c r="B867" s="3" t="s">
        <v>888</v>
      </c>
      <c r="C867" s="4" t="s">
        <v>3</v>
      </c>
      <c r="D867" s="5" t="s">
        <v>6</v>
      </c>
      <c r="E867" s="6" t="s">
        <v>895</v>
      </c>
    </row>
    <row r="868" hidden="1">
      <c r="A868" s="10" t="s">
        <v>887</v>
      </c>
      <c r="B868" s="3" t="s">
        <v>888</v>
      </c>
      <c r="C868" s="4" t="s">
        <v>8</v>
      </c>
      <c r="D868" s="5" t="s">
        <v>35</v>
      </c>
      <c r="E868" s="6" t="s">
        <v>896</v>
      </c>
    </row>
    <row r="869">
      <c r="A869" s="10" t="s">
        <v>887</v>
      </c>
      <c r="B869" s="3" t="s">
        <v>888</v>
      </c>
      <c r="C869" s="4" t="s">
        <v>3</v>
      </c>
      <c r="D869" s="5" t="s">
        <v>9</v>
      </c>
      <c r="E869" s="6" t="s">
        <v>609</v>
      </c>
    </row>
    <row r="870">
      <c r="A870" s="10" t="s">
        <v>887</v>
      </c>
      <c r="B870" s="3" t="s">
        <v>888</v>
      </c>
      <c r="C870" s="4" t="s">
        <v>3</v>
      </c>
      <c r="D870" s="5" t="s">
        <v>17</v>
      </c>
      <c r="E870" s="6" t="s">
        <v>897</v>
      </c>
    </row>
    <row r="871">
      <c r="A871" s="10" t="s">
        <v>887</v>
      </c>
      <c r="B871" s="3" t="s">
        <v>888</v>
      </c>
      <c r="C871" s="4" t="s">
        <v>3</v>
      </c>
      <c r="D871" s="5" t="s">
        <v>51</v>
      </c>
      <c r="E871" s="6" t="s">
        <v>898</v>
      </c>
    </row>
    <row r="872">
      <c r="A872" s="10" t="s">
        <v>887</v>
      </c>
      <c r="B872" s="3" t="s">
        <v>888</v>
      </c>
      <c r="C872" s="4" t="s">
        <v>3</v>
      </c>
      <c r="D872" s="5" t="s">
        <v>45</v>
      </c>
      <c r="E872" s="6" t="s">
        <v>899</v>
      </c>
    </row>
    <row r="873" hidden="1">
      <c r="A873" s="10" t="s">
        <v>887</v>
      </c>
      <c r="B873" s="3" t="s">
        <v>888</v>
      </c>
      <c r="C873" s="4" t="s">
        <v>8</v>
      </c>
      <c r="D873" s="5" t="s">
        <v>13</v>
      </c>
      <c r="E873" s="6" t="s">
        <v>900</v>
      </c>
    </row>
    <row r="874" hidden="1">
      <c r="A874" s="10" t="s">
        <v>887</v>
      </c>
      <c r="B874" s="3" t="s">
        <v>888</v>
      </c>
      <c r="C874" s="4" t="s">
        <v>8</v>
      </c>
      <c r="D874" s="5" t="s">
        <v>35</v>
      </c>
      <c r="E874" s="6" t="s">
        <v>901</v>
      </c>
    </row>
    <row r="875" hidden="1">
      <c r="A875" s="10" t="s">
        <v>887</v>
      </c>
      <c r="B875" s="3" t="s">
        <v>888</v>
      </c>
      <c r="C875" s="4" t="s">
        <v>8</v>
      </c>
      <c r="D875" s="5" t="s">
        <v>17</v>
      </c>
      <c r="E875" s="6" t="s">
        <v>902</v>
      </c>
    </row>
    <row r="876">
      <c r="A876" s="10" t="s">
        <v>887</v>
      </c>
      <c r="B876" s="3" t="s">
        <v>888</v>
      </c>
      <c r="C876" s="4" t="s">
        <v>3</v>
      </c>
      <c r="D876" s="5" t="s">
        <v>21</v>
      </c>
      <c r="E876" s="6" t="s">
        <v>903</v>
      </c>
    </row>
    <row r="877">
      <c r="A877" s="10" t="s">
        <v>887</v>
      </c>
      <c r="B877" s="3" t="s">
        <v>888</v>
      </c>
      <c r="C877" s="4" t="s">
        <v>3</v>
      </c>
      <c r="D877" s="5" t="s">
        <v>51</v>
      </c>
      <c r="E877" s="6" t="s">
        <v>904</v>
      </c>
    </row>
    <row r="878">
      <c r="A878" s="10" t="s">
        <v>887</v>
      </c>
      <c r="B878" s="3" t="s">
        <v>888</v>
      </c>
      <c r="C878" s="4" t="s">
        <v>3</v>
      </c>
      <c r="D878" s="5" t="s">
        <v>19</v>
      </c>
      <c r="E878" s="6" t="s">
        <v>905</v>
      </c>
    </row>
    <row r="879" hidden="1">
      <c r="A879" s="10" t="s">
        <v>887</v>
      </c>
      <c r="B879" s="3" t="s">
        <v>888</v>
      </c>
      <c r="C879" s="4" t="s">
        <v>8</v>
      </c>
      <c r="D879" s="5" t="s">
        <v>17</v>
      </c>
      <c r="E879" s="6" t="s">
        <v>906</v>
      </c>
    </row>
    <row r="880" hidden="1">
      <c r="A880" s="10" t="s">
        <v>887</v>
      </c>
      <c r="B880" s="3" t="s">
        <v>888</v>
      </c>
      <c r="C880" s="4" t="s">
        <v>8</v>
      </c>
      <c r="D880" s="5" t="s">
        <v>76</v>
      </c>
      <c r="E880" s="6" t="s">
        <v>907</v>
      </c>
    </row>
    <row r="881">
      <c r="A881" s="10" t="s">
        <v>908</v>
      </c>
      <c r="B881" s="3" t="s">
        <v>909</v>
      </c>
      <c r="C881" s="4" t="s">
        <v>3</v>
      </c>
      <c r="D881" s="5" t="s">
        <v>19</v>
      </c>
      <c r="E881" s="6" t="s">
        <v>369</v>
      </c>
    </row>
    <row r="882">
      <c r="A882" s="10" t="s">
        <v>908</v>
      </c>
      <c r="B882" s="3" t="s">
        <v>909</v>
      </c>
      <c r="C882" s="4" t="s">
        <v>3</v>
      </c>
      <c r="D882" s="5" t="s">
        <v>76</v>
      </c>
      <c r="E882" s="6" t="s">
        <v>910</v>
      </c>
    </row>
    <row r="883" hidden="1">
      <c r="A883" s="10" t="s">
        <v>908</v>
      </c>
      <c r="B883" s="3" t="s">
        <v>909</v>
      </c>
      <c r="C883" s="4" t="s">
        <v>8</v>
      </c>
      <c r="D883" s="5" t="s">
        <v>13</v>
      </c>
      <c r="E883" s="6" t="s">
        <v>911</v>
      </c>
    </row>
    <row r="884">
      <c r="A884" s="10" t="s">
        <v>908</v>
      </c>
      <c r="B884" s="3" t="s">
        <v>909</v>
      </c>
      <c r="C884" s="4" t="s">
        <v>3</v>
      </c>
      <c r="D884" s="5" t="s">
        <v>11</v>
      </c>
      <c r="E884" s="6" t="s">
        <v>912</v>
      </c>
    </row>
    <row r="885">
      <c r="A885" s="10" t="s">
        <v>908</v>
      </c>
      <c r="B885" s="3" t="s">
        <v>909</v>
      </c>
      <c r="C885" s="4" t="s">
        <v>3</v>
      </c>
      <c r="D885" s="5" t="s">
        <v>120</v>
      </c>
      <c r="E885" s="6" t="s">
        <v>913</v>
      </c>
    </row>
    <row r="886" hidden="1">
      <c r="A886" s="10" t="s">
        <v>908</v>
      </c>
      <c r="B886" s="3" t="s">
        <v>909</v>
      </c>
      <c r="C886" s="4" t="s">
        <v>8</v>
      </c>
      <c r="D886" s="5" t="s">
        <v>39</v>
      </c>
      <c r="E886" s="6" t="s">
        <v>914</v>
      </c>
    </row>
    <row r="887" hidden="1">
      <c r="A887" s="10" t="s">
        <v>908</v>
      </c>
      <c r="B887" s="3" t="s">
        <v>909</v>
      </c>
      <c r="C887" s="4" t="s">
        <v>8</v>
      </c>
      <c r="D887" s="5" t="s">
        <v>15</v>
      </c>
      <c r="E887" s="6" t="s">
        <v>915</v>
      </c>
    </row>
    <row r="888" hidden="1">
      <c r="A888" s="10" t="s">
        <v>908</v>
      </c>
      <c r="B888" s="3" t="s">
        <v>909</v>
      </c>
      <c r="C888" s="4" t="s">
        <v>8</v>
      </c>
      <c r="D888" s="5" t="s">
        <v>19</v>
      </c>
      <c r="E888" s="6" t="s">
        <v>916</v>
      </c>
    </row>
    <row r="889">
      <c r="A889" s="10" t="s">
        <v>908</v>
      </c>
      <c r="B889" s="3" t="s">
        <v>909</v>
      </c>
      <c r="C889" s="4" t="s">
        <v>3</v>
      </c>
      <c r="D889" s="5" t="s">
        <v>19</v>
      </c>
      <c r="E889" s="6" t="s">
        <v>917</v>
      </c>
    </row>
    <row r="890" hidden="1">
      <c r="A890" s="10" t="s">
        <v>908</v>
      </c>
      <c r="B890" s="3" t="s">
        <v>909</v>
      </c>
      <c r="C890" s="4" t="s">
        <v>8</v>
      </c>
      <c r="D890" s="5" t="s">
        <v>23</v>
      </c>
      <c r="E890" s="6" t="s">
        <v>918</v>
      </c>
    </row>
    <row r="891">
      <c r="A891" s="10" t="s">
        <v>908</v>
      </c>
      <c r="B891" s="3" t="s">
        <v>909</v>
      </c>
      <c r="C891" s="4" t="s">
        <v>3</v>
      </c>
      <c r="D891" s="5" t="s">
        <v>19</v>
      </c>
      <c r="E891" s="6" t="s">
        <v>732</v>
      </c>
    </row>
    <row r="892" hidden="1">
      <c r="A892" s="10" t="s">
        <v>908</v>
      </c>
      <c r="B892" s="3" t="s">
        <v>909</v>
      </c>
      <c r="C892" s="4" t="s">
        <v>8</v>
      </c>
      <c r="D892" s="5" t="s">
        <v>15</v>
      </c>
      <c r="E892" s="6" t="s">
        <v>919</v>
      </c>
    </row>
    <row r="893">
      <c r="A893" s="10" t="s">
        <v>908</v>
      </c>
      <c r="B893" s="3" t="s">
        <v>909</v>
      </c>
      <c r="C893" s="4" t="s">
        <v>3</v>
      </c>
      <c r="D893" s="5" t="s">
        <v>28</v>
      </c>
      <c r="E893" s="6" t="s">
        <v>920</v>
      </c>
    </row>
    <row r="894" hidden="1">
      <c r="A894" s="10" t="s">
        <v>908</v>
      </c>
      <c r="B894" s="3" t="s">
        <v>909</v>
      </c>
      <c r="C894" s="4" t="s">
        <v>8</v>
      </c>
      <c r="D894" s="5" t="s">
        <v>4</v>
      </c>
      <c r="E894" s="6" t="s">
        <v>921</v>
      </c>
    </row>
    <row r="895">
      <c r="A895" s="10" t="s">
        <v>908</v>
      </c>
      <c r="B895" s="3" t="s">
        <v>909</v>
      </c>
      <c r="C895" s="4" t="s">
        <v>3</v>
      </c>
      <c r="D895" s="5" t="s">
        <v>4</v>
      </c>
      <c r="E895" s="6" t="s">
        <v>922</v>
      </c>
    </row>
    <row r="896">
      <c r="A896" s="10" t="s">
        <v>908</v>
      </c>
      <c r="B896" s="3" t="s">
        <v>909</v>
      </c>
      <c r="C896" s="4" t="s">
        <v>3</v>
      </c>
      <c r="D896" s="5" t="s">
        <v>71</v>
      </c>
      <c r="E896" s="6" t="s">
        <v>923</v>
      </c>
    </row>
    <row r="897" hidden="1">
      <c r="A897" s="10" t="s">
        <v>908</v>
      </c>
      <c r="B897" s="3" t="s">
        <v>909</v>
      </c>
      <c r="C897" s="4" t="s">
        <v>8</v>
      </c>
      <c r="D897" s="5" t="s">
        <v>71</v>
      </c>
      <c r="E897" s="6" t="s">
        <v>924</v>
      </c>
    </row>
    <row r="898">
      <c r="A898" s="10" t="s">
        <v>908</v>
      </c>
      <c r="B898" s="3" t="s">
        <v>909</v>
      </c>
      <c r="C898" s="4" t="s">
        <v>3</v>
      </c>
      <c r="D898" s="5" t="s">
        <v>6</v>
      </c>
      <c r="E898" s="6" t="s">
        <v>925</v>
      </c>
    </row>
    <row r="899">
      <c r="A899" s="10" t="s">
        <v>908</v>
      </c>
      <c r="B899" s="3" t="s">
        <v>909</v>
      </c>
      <c r="C899" s="4" t="s">
        <v>3</v>
      </c>
      <c r="D899" s="5" t="s">
        <v>71</v>
      </c>
      <c r="E899" s="6" t="s">
        <v>926</v>
      </c>
    </row>
    <row r="900" hidden="1">
      <c r="A900" s="10" t="s">
        <v>908</v>
      </c>
      <c r="B900" s="3" t="s">
        <v>909</v>
      </c>
      <c r="C900" s="4" t="s">
        <v>8</v>
      </c>
      <c r="D900" s="5" t="s">
        <v>9</v>
      </c>
      <c r="E900" s="6" t="s">
        <v>881</v>
      </c>
    </row>
    <row r="901" hidden="1">
      <c r="A901" s="10" t="s">
        <v>927</v>
      </c>
      <c r="B901" s="3" t="s">
        <v>928</v>
      </c>
      <c r="C901" s="4" t="s">
        <v>8</v>
      </c>
      <c r="D901" s="5" t="s">
        <v>51</v>
      </c>
      <c r="E901" s="6" t="s">
        <v>929</v>
      </c>
    </row>
    <row r="902" hidden="1">
      <c r="A902" s="10" t="s">
        <v>927</v>
      </c>
      <c r="B902" s="3" t="s">
        <v>928</v>
      </c>
      <c r="C902" s="4" t="s">
        <v>8</v>
      </c>
      <c r="D902" s="5" t="s">
        <v>19</v>
      </c>
      <c r="E902" s="6" t="s">
        <v>930</v>
      </c>
    </row>
    <row r="903">
      <c r="A903" s="10" t="s">
        <v>927</v>
      </c>
      <c r="B903" s="3" t="s">
        <v>928</v>
      </c>
      <c r="C903" s="4" t="s">
        <v>3</v>
      </c>
      <c r="D903" s="5" t="s">
        <v>35</v>
      </c>
      <c r="E903" s="6" t="s">
        <v>931</v>
      </c>
    </row>
    <row r="904" hidden="1">
      <c r="A904" s="10" t="s">
        <v>927</v>
      </c>
      <c r="B904" s="3" t="s">
        <v>928</v>
      </c>
      <c r="C904" s="4" t="s">
        <v>8</v>
      </c>
      <c r="D904" s="5" t="s">
        <v>28</v>
      </c>
      <c r="E904" s="6" t="s">
        <v>932</v>
      </c>
    </row>
    <row r="905">
      <c r="A905" s="10" t="s">
        <v>927</v>
      </c>
      <c r="B905" s="3" t="s">
        <v>928</v>
      </c>
      <c r="C905" s="4" t="s">
        <v>3</v>
      </c>
      <c r="D905" s="5" t="s">
        <v>28</v>
      </c>
      <c r="E905" s="6" t="s">
        <v>933</v>
      </c>
    </row>
    <row r="906">
      <c r="A906" s="10" t="s">
        <v>927</v>
      </c>
      <c r="B906" s="3" t="s">
        <v>928</v>
      </c>
      <c r="C906" s="4" t="s">
        <v>3</v>
      </c>
      <c r="D906" s="5" t="s">
        <v>71</v>
      </c>
      <c r="E906" s="6" t="s">
        <v>934</v>
      </c>
    </row>
    <row r="907" hidden="1">
      <c r="A907" s="10" t="s">
        <v>927</v>
      </c>
      <c r="B907" s="3" t="s">
        <v>928</v>
      </c>
      <c r="C907" s="4" t="s">
        <v>8</v>
      </c>
      <c r="D907" s="5" t="s">
        <v>19</v>
      </c>
      <c r="E907" s="6" t="s">
        <v>935</v>
      </c>
    </row>
    <row r="908">
      <c r="A908" s="10" t="s">
        <v>927</v>
      </c>
      <c r="B908" s="3" t="s">
        <v>928</v>
      </c>
      <c r="C908" s="4" t="s">
        <v>3</v>
      </c>
      <c r="D908" s="5" t="s">
        <v>76</v>
      </c>
      <c r="E908" s="6" t="s">
        <v>936</v>
      </c>
    </row>
    <row r="909">
      <c r="A909" s="10" t="s">
        <v>927</v>
      </c>
      <c r="B909" s="3" t="s">
        <v>928</v>
      </c>
      <c r="C909" s="4" t="s">
        <v>3</v>
      </c>
      <c r="D909" s="5" t="s">
        <v>13</v>
      </c>
      <c r="E909" s="6" t="s">
        <v>30</v>
      </c>
    </row>
    <row r="910" hidden="1">
      <c r="A910" s="10" t="s">
        <v>927</v>
      </c>
      <c r="B910" s="3" t="s">
        <v>928</v>
      </c>
      <c r="C910" s="4" t="s">
        <v>8</v>
      </c>
      <c r="D910" s="5" t="s">
        <v>21</v>
      </c>
      <c r="E910" s="6" t="s">
        <v>937</v>
      </c>
    </row>
    <row r="911" hidden="1">
      <c r="A911" s="10" t="s">
        <v>927</v>
      </c>
      <c r="B911" s="3" t="s">
        <v>928</v>
      </c>
      <c r="C911" s="4" t="s">
        <v>8</v>
      </c>
      <c r="D911" s="5" t="s">
        <v>96</v>
      </c>
      <c r="E911" s="6" t="s">
        <v>904</v>
      </c>
    </row>
    <row r="912" hidden="1">
      <c r="A912" s="10" t="s">
        <v>927</v>
      </c>
      <c r="B912" s="3" t="s">
        <v>928</v>
      </c>
      <c r="C912" s="4" t="s">
        <v>8</v>
      </c>
      <c r="D912" s="5" t="s">
        <v>21</v>
      </c>
      <c r="E912" s="6" t="s">
        <v>938</v>
      </c>
    </row>
    <row r="913" hidden="1">
      <c r="A913" s="10" t="s">
        <v>927</v>
      </c>
      <c r="B913" s="3" t="s">
        <v>928</v>
      </c>
      <c r="C913" s="4" t="s">
        <v>8</v>
      </c>
      <c r="D913" s="5" t="s">
        <v>35</v>
      </c>
      <c r="E913" s="6" t="s">
        <v>939</v>
      </c>
    </row>
    <row r="914">
      <c r="A914" s="10" t="s">
        <v>927</v>
      </c>
      <c r="B914" s="3" t="s">
        <v>928</v>
      </c>
      <c r="C914" s="4" t="s">
        <v>3</v>
      </c>
      <c r="D914" s="5" t="s">
        <v>120</v>
      </c>
      <c r="E914" s="6" t="s">
        <v>940</v>
      </c>
    </row>
    <row r="915">
      <c r="A915" s="10" t="s">
        <v>927</v>
      </c>
      <c r="B915" s="3" t="s">
        <v>928</v>
      </c>
      <c r="C915" s="4" t="s">
        <v>3</v>
      </c>
      <c r="D915" s="5" t="s">
        <v>45</v>
      </c>
      <c r="E915" s="6" t="s">
        <v>941</v>
      </c>
    </row>
    <row r="916" hidden="1">
      <c r="A916" s="10" t="s">
        <v>927</v>
      </c>
      <c r="B916" s="3" t="s">
        <v>928</v>
      </c>
      <c r="C916" s="4" t="s">
        <v>8</v>
      </c>
      <c r="D916" s="5" t="s">
        <v>21</v>
      </c>
      <c r="E916" s="6" t="s">
        <v>942</v>
      </c>
    </row>
    <row r="917">
      <c r="A917" s="10" t="s">
        <v>927</v>
      </c>
      <c r="B917" s="3" t="s">
        <v>928</v>
      </c>
      <c r="C917" s="4" t="s">
        <v>3</v>
      </c>
      <c r="D917" s="5" t="s">
        <v>19</v>
      </c>
      <c r="E917" s="6" t="s">
        <v>943</v>
      </c>
    </row>
    <row r="918" hidden="1">
      <c r="A918" s="10" t="s">
        <v>927</v>
      </c>
      <c r="B918" s="3" t="s">
        <v>928</v>
      </c>
      <c r="C918" s="4" t="s">
        <v>8</v>
      </c>
      <c r="D918" s="5" t="s">
        <v>19</v>
      </c>
      <c r="E918" s="6" t="s">
        <v>944</v>
      </c>
    </row>
    <row r="919" hidden="1">
      <c r="A919" s="10" t="s">
        <v>927</v>
      </c>
      <c r="B919" s="3" t="s">
        <v>928</v>
      </c>
      <c r="C919" s="4" t="s">
        <v>8</v>
      </c>
      <c r="D919" s="5" t="s">
        <v>42</v>
      </c>
      <c r="E919" s="6" t="s">
        <v>945</v>
      </c>
    </row>
    <row r="920" hidden="1">
      <c r="A920" s="10" t="s">
        <v>927</v>
      </c>
      <c r="B920" s="3" t="s">
        <v>928</v>
      </c>
      <c r="C920" s="4" t="s">
        <v>8</v>
      </c>
      <c r="D920" s="5" t="s">
        <v>76</v>
      </c>
      <c r="E920" s="6" t="s">
        <v>946</v>
      </c>
    </row>
    <row r="921">
      <c r="A921" s="10" t="s">
        <v>947</v>
      </c>
      <c r="B921" s="3" t="s">
        <v>948</v>
      </c>
      <c r="C921" s="4" t="s">
        <v>3</v>
      </c>
      <c r="D921" s="5" t="s">
        <v>13</v>
      </c>
      <c r="E921" s="6" t="s">
        <v>949</v>
      </c>
    </row>
    <row r="922" hidden="1">
      <c r="A922" s="10" t="s">
        <v>947</v>
      </c>
      <c r="B922" s="3" t="s">
        <v>948</v>
      </c>
      <c r="C922" s="4" t="s">
        <v>8</v>
      </c>
      <c r="D922" s="5" t="s">
        <v>42</v>
      </c>
      <c r="E922" s="6" t="s">
        <v>950</v>
      </c>
    </row>
    <row r="923" hidden="1">
      <c r="A923" s="10" t="s">
        <v>947</v>
      </c>
      <c r="B923" s="3" t="s">
        <v>948</v>
      </c>
      <c r="C923" s="4" t="s">
        <v>8</v>
      </c>
      <c r="D923" s="5" t="s">
        <v>42</v>
      </c>
      <c r="E923" s="6" t="s">
        <v>951</v>
      </c>
    </row>
    <row r="924">
      <c r="A924" s="10" t="s">
        <v>947</v>
      </c>
      <c r="B924" s="3" t="s">
        <v>948</v>
      </c>
      <c r="C924" s="4" t="s">
        <v>3</v>
      </c>
      <c r="D924" s="5" t="s">
        <v>76</v>
      </c>
      <c r="E924" s="6" t="s">
        <v>952</v>
      </c>
    </row>
    <row r="925">
      <c r="A925" s="10" t="s">
        <v>947</v>
      </c>
      <c r="B925" s="3" t="s">
        <v>948</v>
      </c>
      <c r="C925" s="4" t="s">
        <v>3</v>
      </c>
      <c r="D925" s="5" t="s">
        <v>45</v>
      </c>
      <c r="E925" s="6" t="s">
        <v>953</v>
      </c>
    </row>
    <row r="926" hidden="1">
      <c r="A926" s="10" t="s">
        <v>947</v>
      </c>
      <c r="B926" s="3" t="s">
        <v>948</v>
      </c>
      <c r="C926" s="4" t="s">
        <v>8</v>
      </c>
      <c r="D926" s="5" t="s">
        <v>35</v>
      </c>
      <c r="E926" s="6" t="s">
        <v>954</v>
      </c>
    </row>
    <row r="927" hidden="1">
      <c r="A927" s="10" t="s">
        <v>947</v>
      </c>
      <c r="B927" s="3" t="s">
        <v>948</v>
      </c>
      <c r="C927" s="4" t="s">
        <v>8</v>
      </c>
      <c r="D927" s="5" t="s">
        <v>6</v>
      </c>
      <c r="E927" s="6" t="s">
        <v>955</v>
      </c>
    </row>
    <row r="928">
      <c r="A928" s="10" t="s">
        <v>947</v>
      </c>
      <c r="B928" s="3" t="s">
        <v>948</v>
      </c>
      <c r="C928" s="4" t="s">
        <v>3</v>
      </c>
      <c r="D928" s="5" t="s">
        <v>96</v>
      </c>
      <c r="E928" s="6" t="s">
        <v>103</v>
      </c>
    </row>
    <row r="929" hidden="1">
      <c r="A929" s="10" t="s">
        <v>947</v>
      </c>
      <c r="B929" s="3" t="s">
        <v>948</v>
      </c>
      <c r="C929" s="4" t="s">
        <v>8</v>
      </c>
      <c r="D929" s="5" t="s">
        <v>4</v>
      </c>
      <c r="E929" s="6" t="s">
        <v>956</v>
      </c>
    </row>
    <row r="930">
      <c r="A930" s="10" t="s">
        <v>947</v>
      </c>
      <c r="B930" s="3" t="s">
        <v>948</v>
      </c>
      <c r="C930" s="4" t="s">
        <v>3</v>
      </c>
      <c r="D930" s="5" t="s">
        <v>96</v>
      </c>
      <c r="E930" s="6" t="s">
        <v>957</v>
      </c>
    </row>
    <row r="931" hidden="1">
      <c r="A931" s="10" t="s">
        <v>947</v>
      </c>
      <c r="B931" s="3" t="s">
        <v>948</v>
      </c>
      <c r="C931" s="4" t="s">
        <v>8</v>
      </c>
      <c r="D931" s="5" t="s">
        <v>96</v>
      </c>
      <c r="E931" s="6" t="s">
        <v>958</v>
      </c>
    </row>
    <row r="932" hidden="1">
      <c r="A932" s="10" t="s">
        <v>947</v>
      </c>
      <c r="B932" s="3" t="s">
        <v>948</v>
      </c>
      <c r="C932" s="4" t="s">
        <v>8</v>
      </c>
      <c r="D932" s="5" t="s">
        <v>28</v>
      </c>
      <c r="E932" s="6" t="s">
        <v>959</v>
      </c>
    </row>
    <row r="933" hidden="1">
      <c r="A933" s="10" t="s">
        <v>947</v>
      </c>
      <c r="B933" s="3" t="s">
        <v>948</v>
      </c>
      <c r="C933" s="4" t="s">
        <v>8</v>
      </c>
      <c r="D933" s="5" t="s">
        <v>96</v>
      </c>
      <c r="E933" s="6" t="s">
        <v>960</v>
      </c>
    </row>
    <row r="934" hidden="1">
      <c r="A934" s="10" t="s">
        <v>947</v>
      </c>
      <c r="B934" s="3" t="s">
        <v>948</v>
      </c>
      <c r="C934" s="4" t="s">
        <v>8</v>
      </c>
      <c r="D934" s="5" t="s">
        <v>21</v>
      </c>
      <c r="E934" s="6" t="s">
        <v>961</v>
      </c>
    </row>
    <row r="935">
      <c r="A935" s="10" t="s">
        <v>947</v>
      </c>
      <c r="B935" s="3" t="s">
        <v>948</v>
      </c>
      <c r="C935" s="4" t="s">
        <v>3</v>
      </c>
      <c r="D935" s="5" t="s">
        <v>9</v>
      </c>
      <c r="E935" s="6" t="s">
        <v>198</v>
      </c>
    </row>
    <row r="936">
      <c r="A936" s="10" t="s">
        <v>947</v>
      </c>
      <c r="B936" s="3" t="s">
        <v>948</v>
      </c>
      <c r="C936" s="4" t="s">
        <v>3</v>
      </c>
      <c r="D936" s="5" t="s">
        <v>51</v>
      </c>
      <c r="E936" s="6" t="s">
        <v>962</v>
      </c>
    </row>
    <row r="937">
      <c r="A937" s="10" t="s">
        <v>947</v>
      </c>
      <c r="B937" s="3" t="s">
        <v>948</v>
      </c>
      <c r="C937" s="4" t="s">
        <v>3</v>
      </c>
      <c r="D937" s="5" t="s">
        <v>28</v>
      </c>
      <c r="E937" s="6" t="s">
        <v>963</v>
      </c>
    </row>
    <row r="938" hidden="1">
      <c r="A938" s="10" t="s">
        <v>947</v>
      </c>
      <c r="B938" s="3" t="s">
        <v>948</v>
      </c>
      <c r="C938" s="4" t="s">
        <v>8</v>
      </c>
      <c r="D938" s="5" t="s">
        <v>19</v>
      </c>
      <c r="E938" s="6" t="s">
        <v>642</v>
      </c>
    </row>
    <row r="939" hidden="1">
      <c r="A939" s="10" t="s">
        <v>947</v>
      </c>
      <c r="B939" s="3" t="s">
        <v>948</v>
      </c>
      <c r="C939" s="4" t="s">
        <v>8</v>
      </c>
      <c r="D939" s="5" t="s">
        <v>15</v>
      </c>
      <c r="E939" s="6" t="s">
        <v>782</v>
      </c>
    </row>
    <row r="940" hidden="1">
      <c r="A940" s="10" t="s">
        <v>947</v>
      </c>
      <c r="B940" s="3" t="s">
        <v>948</v>
      </c>
      <c r="C940" s="4" t="s">
        <v>8</v>
      </c>
      <c r="D940" s="5" t="s">
        <v>6</v>
      </c>
      <c r="E940" s="6" t="s">
        <v>964</v>
      </c>
    </row>
    <row r="941">
      <c r="A941" s="10" t="s">
        <v>408</v>
      </c>
      <c r="B941" s="3" t="s">
        <v>965</v>
      </c>
      <c r="C941" s="4" t="s">
        <v>3</v>
      </c>
      <c r="D941" s="5" t="s">
        <v>15</v>
      </c>
      <c r="E941" s="6" t="s">
        <v>966</v>
      </c>
    </row>
    <row r="942">
      <c r="A942" s="10" t="s">
        <v>408</v>
      </c>
      <c r="B942" s="3" t="s">
        <v>965</v>
      </c>
      <c r="C942" s="4" t="s">
        <v>3</v>
      </c>
      <c r="D942" s="5" t="s">
        <v>96</v>
      </c>
      <c r="E942" s="6" t="s">
        <v>967</v>
      </c>
    </row>
    <row r="943">
      <c r="A943" s="10" t="s">
        <v>408</v>
      </c>
      <c r="B943" s="3" t="s">
        <v>965</v>
      </c>
      <c r="C943" s="4" t="s">
        <v>3</v>
      </c>
      <c r="D943" s="5" t="s">
        <v>28</v>
      </c>
      <c r="E943" s="6" t="s">
        <v>248</v>
      </c>
    </row>
    <row r="944" hidden="1">
      <c r="A944" s="10" t="s">
        <v>408</v>
      </c>
      <c r="B944" s="3" t="s">
        <v>965</v>
      </c>
      <c r="C944" s="4" t="s">
        <v>8</v>
      </c>
      <c r="D944" s="5" t="s">
        <v>4</v>
      </c>
      <c r="E944" s="6" t="s">
        <v>968</v>
      </c>
    </row>
    <row r="945">
      <c r="A945" s="10" t="s">
        <v>408</v>
      </c>
      <c r="B945" s="3" t="s">
        <v>965</v>
      </c>
      <c r="C945" s="4" t="s">
        <v>3</v>
      </c>
      <c r="D945" s="5" t="s">
        <v>11</v>
      </c>
      <c r="E945" s="6" t="s">
        <v>969</v>
      </c>
    </row>
    <row r="946" hidden="1">
      <c r="A946" s="10" t="s">
        <v>408</v>
      </c>
      <c r="B946" s="3" t="s">
        <v>965</v>
      </c>
      <c r="C946" s="4" t="s">
        <v>8</v>
      </c>
      <c r="D946" s="5" t="s">
        <v>15</v>
      </c>
      <c r="E946" s="6" t="s">
        <v>452</v>
      </c>
    </row>
    <row r="947" hidden="1">
      <c r="A947" s="10" t="s">
        <v>408</v>
      </c>
      <c r="B947" s="3" t="s">
        <v>965</v>
      </c>
      <c r="C947" s="4" t="s">
        <v>8</v>
      </c>
      <c r="D947" s="5" t="s">
        <v>35</v>
      </c>
      <c r="E947" s="6" t="s">
        <v>970</v>
      </c>
    </row>
    <row r="948" hidden="1">
      <c r="A948" s="10" t="s">
        <v>408</v>
      </c>
      <c r="B948" s="3" t="s">
        <v>965</v>
      </c>
      <c r="C948" s="4" t="s">
        <v>8</v>
      </c>
      <c r="D948" s="5" t="s">
        <v>4</v>
      </c>
      <c r="E948" s="6" t="s">
        <v>971</v>
      </c>
    </row>
    <row r="949">
      <c r="A949" s="10" t="s">
        <v>408</v>
      </c>
      <c r="B949" s="3" t="s">
        <v>965</v>
      </c>
      <c r="C949" s="4" t="s">
        <v>3</v>
      </c>
      <c r="D949" s="5" t="s">
        <v>39</v>
      </c>
      <c r="E949" s="6" t="s">
        <v>972</v>
      </c>
    </row>
    <row r="950">
      <c r="A950" s="10" t="s">
        <v>408</v>
      </c>
      <c r="B950" s="3" t="s">
        <v>965</v>
      </c>
      <c r="C950" s="4" t="s">
        <v>3</v>
      </c>
      <c r="D950" s="5" t="s">
        <v>28</v>
      </c>
      <c r="E950" s="6" t="s">
        <v>973</v>
      </c>
    </row>
    <row r="951">
      <c r="A951" s="10" t="s">
        <v>408</v>
      </c>
      <c r="B951" s="3" t="s">
        <v>965</v>
      </c>
      <c r="C951" s="4" t="s">
        <v>3</v>
      </c>
      <c r="D951" s="5" t="s">
        <v>51</v>
      </c>
      <c r="E951" s="6" t="s">
        <v>974</v>
      </c>
    </row>
    <row r="952" hidden="1">
      <c r="A952" s="10" t="s">
        <v>408</v>
      </c>
      <c r="B952" s="3" t="s">
        <v>965</v>
      </c>
      <c r="C952" s="4" t="s">
        <v>8</v>
      </c>
      <c r="D952" s="5" t="s">
        <v>15</v>
      </c>
      <c r="E952" s="6" t="s">
        <v>975</v>
      </c>
    </row>
    <row r="953">
      <c r="A953" s="10" t="s">
        <v>408</v>
      </c>
      <c r="B953" s="3" t="s">
        <v>965</v>
      </c>
      <c r="C953" s="4" t="s">
        <v>3</v>
      </c>
      <c r="D953" s="5" t="s">
        <v>45</v>
      </c>
      <c r="E953" s="6" t="s">
        <v>839</v>
      </c>
    </row>
    <row r="954">
      <c r="A954" s="10" t="s">
        <v>408</v>
      </c>
      <c r="B954" s="3" t="s">
        <v>965</v>
      </c>
      <c r="C954" s="4" t="s">
        <v>3</v>
      </c>
      <c r="D954" s="5" t="s">
        <v>120</v>
      </c>
      <c r="E954" s="6" t="s">
        <v>976</v>
      </c>
    </row>
    <row r="955">
      <c r="A955" s="10" t="s">
        <v>408</v>
      </c>
      <c r="B955" s="3" t="s">
        <v>965</v>
      </c>
      <c r="C955" s="4" t="s">
        <v>3</v>
      </c>
      <c r="D955" s="5" t="s">
        <v>120</v>
      </c>
      <c r="E955" s="6" t="s">
        <v>977</v>
      </c>
    </row>
    <row r="956">
      <c r="A956" s="10" t="s">
        <v>408</v>
      </c>
      <c r="B956" s="3" t="s">
        <v>965</v>
      </c>
      <c r="C956" s="4" t="s">
        <v>3</v>
      </c>
      <c r="D956" s="5" t="s">
        <v>45</v>
      </c>
      <c r="E956" s="6" t="s">
        <v>978</v>
      </c>
    </row>
    <row r="957">
      <c r="A957" s="10" t="s">
        <v>408</v>
      </c>
      <c r="B957" s="3" t="s">
        <v>965</v>
      </c>
      <c r="C957" s="4" t="s">
        <v>3</v>
      </c>
      <c r="D957" s="5" t="s">
        <v>76</v>
      </c>
      <c r="E957" s="6" t="s">
        <v>702</v>
      </c>
    </row>
    <row r="958" hidden="1">
      <c r="A958" s="10" t="s">
        <v>408</v>
      </c>
      <c r="B958" s="3" t="s">
        <v>965</v>
      </c>
      <c r="C958" s="4" t="s">
        <v>8</v>
      </c>
      <c r="D958" s="5" t="s">
        <v>120</v>
      </c>
      <c r="E958" s="6" t="s">
        <v>979</v>
      </c>
    </row>
    <row r="959" hidden="1">
      <c r="A959" s="10" t="s">
        <v>408</v>
      </c>
      <c r="B959" s="3" t="s">
        <v>965</v>
      </c>
      <c r="C959" s="4" t="s">
        <v>8</v>
      </c>
      <c r="D959" s="5" t="s">
        <v>15</v>
      </c>
      <c r="E959" s="6" t="s">
        <v>241</v>
      </c>
    </row>
    <row r="960">
      <c r="A960" s="10" t="s">
        <v>408</v>
      </c>
      <c r="B960" s="3" t="s">
        <v>965</v>
      </c>
      <c r="C960" s="4" t="s">
        <v>3</v>
      </c>
      <c r="D960" s="5" t="s">
        <v>19</v>
      </c>
      <c r="E960" s="6" t="s">
        <v>203</v>
      </c>
    </row>
    <row r="961">
      <c r="A961" s="10" t="s">
        <v>980</v>
      </c>
      <c r="B961" s="3" t="s">
        <v>981</v>
      </c>
      <c r="C961" s="4" t="s">
        <v>3</v>
      </c>
      <c r="D961" s="5" t="s">
        <v>96</v>
      </c>
      <c r="E961" s="6" t="s">
        <v>982</v>
      </c>
    </row>
    <row r="962" hidden="1">
      <c r="A962" s="10" t="s">
        <v>980</v>
      </c>
      <c r="B962" s="3" t="s">
        <v>981</v>
      </c>
      <c r="C962" s="4" t="s">
        <v>8</v>
      </c>
      <c r="D962" s="5" t="s">
        <v>35</v>
      </c>
      <c r="E962" s="6" t="s">
        <v>983</v>
      </c>
    </row>
    <row r="963" hidden="1">
      <c r="A963" s="10" t="s">
        <v>980</v>
      </c>
      <c r="B963" s="3" t="s">
        <v>981</v>
      </c>
      <c r="C963" s="4" t="s">
        <v>8</v>
      </c>
      <c r="D963" s="5" t="s">
        <v>23</v>
      </c>
      <c r="E963" s="6" t="s">
        <v>417</v>
      </c>
    </row>
    <row r="964" hidden="1">
      <c r="A964" s="10" t="s">
        <v>980</v>
      </c>
      <c r="B964" s="3" t="s">
        <v>981</v>
      </c>
      <c r="C964" s="4" t="s">
        <v>8</v>
      </c>
      <c r="D964" s="5" t="s">
        <v>51</v>
      </c>
      <c r="E964" s="6" t="s">
        <v>297</v>
      </c>
    </row>
    <row r="965">
      <c r="A965" s="10" t="s">
        <v>980</v>
      </c>
      <c r="B965" s="3" t="s">
        <v>981</v>
      </c>
      <c r="C965" s="4" t="s">
        <v>3</v>
      </c>
      <c r="D965" s="5" t="s">
        <v>96</v>
      </c>
      <c r="E965" s="6" t="s">
        <v>984</v>
      </c>
    </row>
    <row r="966" hidden="1">
      <c r="A966" s="10" t="s">
        <v>980</v>
      </c>
      <c r="B966" s="3" t="s">
        <v>981</v>
      </c>
      <c r="C966" s="4" t="s">
        <v>8</v>
      </c>
      <c r="D966" s="5" t="s">
        <v>15</v>
      </c>
      <c r="E966" s="6" t="s">
        <v>985</v>
      </c>
    </row>
    <row r="967">
      <c r="A967" s="10" t="s">
        <v>980</v>
      </c>
      <c r="B967" s="3" t="s">
        <v>981</v>
      </c>
      <c r="C967" s="4" t="s">
        <v>3</v>
      </c>
      <c r="D967" s="5" t="s">
        <v>120</v>
      </c>
      <c r="E967" s="6" t="s">
        <v>986</v>
      </c>
    </row>
    <row r="968" hidden="1">
      <c r="A968" s="10" t="s">
        <v>980</v>
      </c>
      <c r="B968" s="3" t="s">
        <v>981</v>
      </c>
      <c r="C968" s="4" t="s">
        <v>8</v>
      </c>
      <c r="D968" s="5" t="s">
        <v>28</v>
      </c>
      <c r="E968" s="6" t="s">
        <v>987</v>
      </c>
    </row>
    <row r="969">
      <c r="A969" s="10" t="s">
        <v>980</v>
      </c>
      <c r="B969" s="3" t="s">
        <v>981</v>
      </c>
      <c r="C969" s="4" t="s">
        <v>3</v>
      </c>
      <c r="D969" s="5" t="s">
        <v>9</v>
      </c>
      <c r="E969" s="6" t="s">
        <v>988</v>
      </c>
    </row>
    <row r="970">
      <c r="A970" s="10" t="s">
        <v>980</v>
      </c>
      <c r="B970" s="3" t="s">
        <v>981</v>
      </c>
      <c r="C970" s="4" t="s">
        <v>3</v>
      </c>
      <c r="D970" s="5" t="s">
        <v>71</v>
      </c>
      <c r="E970" s="6" t="s">
        <v>989</v>
      </c>
    </row>
    <row r="971">
      <c r="A971" s="10" t="s">
        <v>980</v>
      </c>
      <c r="B971" s="3" t="s">
        <v>981</v>
      </c>
      <c r="C971" s="4" t="s">
        <v>3</v>
      </c>
      <c r="D971" s="5" t="s">
        <v>35</v>
      </c>
      <c r="E971" s="6" t="s">
        <v>990</v>
      </c>
    </row>
    <row r="972">
      <c r="A972" s="10" t="s">
        <v>980</v>
      </c>
      <c r="B972" s="3" t="s">
        <v>981</v>
      </c>
      <c r="C972" s="4" t="s">
        <v>3</v>
      </c>
      <c r="D972" s="5" t="s">
        <v>21</v>
      </c>
      <c r="E972" s="6" t="s">
        <v>991</v>
      </c>
    </row>
    <row r="973" hidden="1">
      <c r="A973" s="10" t="s">
        <v>980</v>
      </c>
      <c r="B973" s="3" t="s">
        <v>981</v>
      </c>
      <c r="C973" s="4" t="s">
        <v>8</v>
      </c>
      <c r="D973" s="5" t="s">
        <v>9</v>
      </c>
      <c r="E973" s="6" t="s">
        <v>448</v>
      </c>
    </row>
    <row r="974">
      <c r="A974" s="10" t="s">
        <v>980</v>
      </c>
      <c r="B974" s="3" t="s">
        <v>981</v>
      </c>
      <c r="C974" s="4" t="s">
        <v>3</v>
      </c>
      <c r="D974" s="5" t="s">
        <v>6</v>
      </c>
      <c r="E974" s="6" t="s">
        <v>992</v>
      </c>
    </row>
    <row r="975" hidden="1">
      <c r="A975" s="10" t="s">
        <v>980</v>
      </c>
      <c r="B975" s="3" t="s">
        <v>981</v>
      </c>
      <c r="C975" s="4" t="s">
        <v>8</v>
      </c>
      <c r="D975" s="5" t="s">
        <v>45</v>
      </c>
      <c r="E975" s="6" t="s">
        <v>993</v>
      </c>
    </row>
    <row r="976" hidden="1">
      <c r="A976" s="10" t="s">
        <v>980</v>
      </c>
      <c r="B976" s="3" t="s">
        <v>981</v>
      </c>
      <c r="C976" s="4" t="s">
        <v>8</v>
      </c>
      <c r="D976" s="5" t="s">
        <v>17</v>
      </c>
      <c r="E976" s="6" t="s">
        <v>994</v>
      </c>
    </row>
    <row r="977">
      <c r="A977" s="10" t="s">
        <v>980</v>
      </c>
      <c r="B977" s="3" t="s">
        <v>981</v>
      </c>
      <c r="C977" s="4" t="s">
        <v>3</v>
      </c>
      <c r="D977" s="5" t="s">
        <v>71</v>
      </c>
      <c r="E977" s="6" t="s">
        <v>995</v>
      </c>
    </row>
    <row r="978">
      <c r="A978" s="10" t="s">
        <v>980</v>
      </c>
      <c r="B978" s="3" t="s">
        <v>981</v>
      </c>
      <c r="C978" s="4" t="s">
        <v>3</v>
      </c>
      <c r="D978" s="5" t="s">
        <v>21</v>
      </c>
      <c r="E978" s="6" t="s">
        <v>996</v>
      </c>
    </row>
    <row r="979">
      <c r="A979" s="10" t="s">
        <v>980</v>
      </c>
      <c r="B979" s="3" t="s">
        <v>981</v>
      </c>
      <c r="C979" s="4" t="s">
        <v>3</v>
      </c>
      <c r="D979" s="5" t="s">
        <v>11</v>
      </c>
      <c r="E979" s="6" t="s">
        <v>997</v>
      </c>
    </row>
    <row r="980">
      <c r="A980" s="10" t="s">
        <v>980</v>
      </c>
      <c r="B980" s="3" t="s">
        <v>981</v>
      </c>
      <c r="C980" s="4" t="s">
        <v>3</v>
      </c>
      <c r="D980" s="5" t="s">
        <v>39</v>
      </c>
      <c r="E980" s="6" t="s">
        <v>998</v>
      </c>
    </row>
    <row r="981" hidden="1">
      <c r="A981" s="10" t="s">
        <v>999</v>
      </c>
      <c r="B981" s="3" t="s">
        <v>1000</v>
      </c>
      <c r="C981" s="4" t="s">
        <v>8</v>
      </c>
      <c r="D981" s="5" t="s">
        <v>17</v>
      </c>
      <c r="E981" s="6" t="s">
        <v>1001</v>
      </c>
    </row>
    <row r="982">
      <c r="A982" s="10" t="s">
        <v>999</v>
      </c>
      <c r="B982" s="3" t="s">
        <v>1000</v>
      </c>
      <c r="C982" s="4" t="s">
        <v>3</v>
      </c>
      <c r="D982" s="5" t="s">
        <v>23</v>
      </c>
      <c r="E982" s="6" t="s">
        <v>1002</v>
      </c>
    </row>
    <row r="983">
      <c r="A983" s="10" t="s">
        <v>999</v>
      </c>
      <c r="B983" s="3" t="s">
        <v>1000</v>
      </c>
      <c r="C983" s="4" t="s">
        <v>3</v>
      </c>
      <c r="D983" s="5" t="s">
        <v>11</v>
      </c>
      <c r="E983" s="6" t="s">
        <v>1003</v>
      </c>
    </row>
    <row r="984">
      <c r="A984" s="10" t="s">
        <v>999</v>
      </c>
      <c r="B984" s="3" t="s">
        <v>1000</v>
      </c>
      <c r="C984" s="4" t="s">
        <v>3</v>
      </c>
      <c r="D984" s="5" t="s">
        <v>96</v>
      </c>
      <c r="E984" s="6" t="s">
        <v>201</v>
      </c>
    </row>
    <row r="985" hidden="1">
      <c r="A985" s="10" t="s">
        <v>999</v>
      </c>
      <c r="B985" s="3" t="s">
        <v>1000</v>
      </c>
      <c r="C985" s="4" t="s">
        <v>8</v>
      </c>
      <c r="D985" s="5" t="s">
        <v>39</v>
      </c>
      <c r="E985" s="6" t="s">
        <v>1004</v>
      </c>
    </row>
    <row r="986">
      <c r="A986" s="10" t="s">
        <v>999</v>
      </c>
      <c r="B986" s="3" t="s">
        <v>1000</v>
      </c>
      <c r="C986" s="4" t="s">
        <v>3</v>
      </c>
      <c r="D986" s="5" t="s">
        <v>15</v>
      </c>
      <c r="E986" s="6" t="s">
        <v>585</v>
      </c>
    </row>
    <row r="987" hidden="1">
      <c r="A987" s="10" t="s">
        <v>999</v>
      </c>
      <c r="B987" s="3" t="s">
        <v>1000</v>
      </c>
      <c r="C987" s="4" t="s">
        <v>8</v>
      </c>
      <c r="D987" s="5" t="s">
        <v>35</v>
      </c>
      <c r="E987" s="6" t="s">
        <v>517</v>
      </c>
    </row>
    <row r="988" hidden="1">
      <c r="A988" s="10" t="s">
        <v>999</v>
      </c>
      <c r="B988" s="3" t="s">
        <v>1000</v>
      </c>
      <c r="C988" s="4" t="s">
        <v>8</v>
      </c>
      <c r="D988" s="5" t="s">
        <v>39</v>
      </c>
      <c r="E988" s="6" t="s">
        <v>1005</v>
      </c>
    </row>
    <row r="989">
      <c r="A989" s="10" t="s">
        <v>999</v>
      </c>
      <c r="B989" s="3" t="s">
        <v>1000</v>
      </c>
      <c r="C989" s="4" t="s">
        <v>3</v>
      </c>
      <c r="D989" s="5" t="s">
        <v>23</v>
      </c>
      <c r="E989" s="6" t="s">
        <v>1006</v>
      </c>
    </row>
    <row r="990" hidden="1">
      <c r="A990" s="10" t="s">
        <v>999</v>
      </c>
      <c r="B990" s="3" t="s">
        <v>1000</v>
      </c>
      <c r="C990" s="4" t="s">
        <v>8</v>
      </c>
      <c r="D990" s="5" t="s">
        <v>39</v>
      </c>
      <c r="E990" s="6" t="s">
        <v>1007</v>
      </c>
    </row>
    <row r="991">
      <c r="A991" s="10" t="s">
        <v>999</v>
      </c>
      <c r="B991" s="3" t="s">
        <v>1000</v>
      </c>
      <c r="C991" s="4" t="s">
        <v>3</v>
      </c>
      <c r="D991" s="5" t="s">
        <v>21</v>
      </c>
      <c r="E991" s="6" t="s">
        <v>1008</v>
      </c>
    </row>
    <row r="992" hidden="1">
      <c r="A992" s="10" t="s">
        <v>999</v>
      </c>
      <c r="B992" s="3" t="s">
        <v>1000</v>
      </c>
      <c r="C992" s="4" t="s">
        <v>8</v>
      </c>
      <c r="D992" s="5" t="s">
        <v>15</v>
      </c>
      <c r="E992" s="6" t="s">
        <v>235</v>
      </c>
    </row>
    <row r="993" hidden="1">
      <c r="A993" s="10" t="s">
        <v>999</v>
      </c>
      <c r="B993" s="3" t="s">
        <v>1000</v>
      </c>
      <c r="C993" s="4" t="s">
        <v>8</v>
      </c>
      <c r="D993" s="5" t="s">
        <v>4</v>
      </c>
      <c r="E993" s="6" t="s">
        <v>1009</v>
      </c>
    </row>
    <row r="994">
      <c r="A994" s="10" t="s">
        <v>999</v>
      </c>
      <c r="B994" s="3" t="s">
        <v>1000</v>
      </c>
      <c r="C994" s="4" t="s">
        <v>3</v>
      </c>
      <c r="D994" s="5" t="s">
        <v>23</v>
      </c>
      <c r="E994" s="6" t="s">
        <v>1010</v>
      </c>
    </row>
    <row r="995" hidden="1">
      <c r="A995" s="10" t="s">
        <v>999</v>
      </c>
      <c r="B995" s="3" t="s">
        <v>1000</v>
      </c>
      <c r="C995" s="4" t="s">
        <v>8</v>
      </c>
      <c r="D995" s="5" t="s">
        <v>28</v>
      </c>
      <c r="E995" s="6" t="s">
        <v>842</v>
      </c>
    </row>
    <row r="996">
      <c r="A996" s="10" t="s">
        <v>999</v>
      </c>
      <c r="B996" s="3" t="s">
        <v>1000</v>
      </c>
      <c r="C996" s="4" t="s">
        <v>3</v>
      </c>
      <c r="D996" s="5" t="s">
        <v>11</v>
      </c>
      <c r="E996" s="6" t="s">
        <v>1011</v>
      </c>
    </row>
    <row r="997" hidden="1">
      <c r="A997" s="10" t="s">
        <v>999</v>
      </c>
      <c r="B997" s="3" t="s">
        <v>1000</v>
      </c>
      <c r="C997" s="4" t="s">
        <v>8</v>
      </c>
      <c r="D997" s="5" t="s">
        <v>17</v>
      </c>
      <c r="E997" s="6" t="s">
        <v>236</v>
      </c>
    </row>
    <row r="998" hidden="1">
      <c r="A998" s="10" t="s">
        <v>999</v>
      </c>
      <c r="B998" s="3" t="s">
        <v>1000</v>
      </c>
      <c r="C998" s="4" t="s">
        <v>8</v>
      </c>
      <c r="D998" s="5" t="s">
        <v>17</v>
      </c>
      <c r="E998" s="6" t="s">
        <v>1012</v>
      </c>
    </row>
    <row r="999">
      <c r="A999" s="10" t="s">
        <v>999</v>
      </c>
      <c r="B999" s="3" t="s">
        <v>1000</v>
      </c>
      <c r="C999" s="4" t="s">
        <v>3</v>
      </c>
      <c r="D999" s="5" t="s">
        <v>39</v>
      </c>
      <c r="E999" s="6" t="s">
        <v>1013</v>
      </c>
    </row>
    <row r="1000">
      <c r="A1000" s="10" t="s">
        <v>999</v>
      </c>
      <c r="B1000" s="3" t="s">
        <v>1000</v>
      </c>
      <c r="C1000" s="4" t="s">
        <v>3</v>
      </c>
      <c r="D1000" s="5" t="s">
        <v>42</v>
      </c>
      <c r="E1000" s="6" t="s">
        <v>1014</v>
      </c>
    </row>
    <row r="1001" hidden="1">
      <c r="A1001" s="10" t="s">
        <v>1015</v>
      </c>
      <c r="B1001" s="3" t="s">
        <v>1016</v>
      </c>
      <c r="C1001" s="4" t="s">
        <v>8</v>
      </c>
      <c r="D1001" s="5" t="s">
        <v>21</v>
      </c>
      <c r="E1001" s="6" t="s">
        <v>1017</v>
      </c>
    </row>
    <row r="1002" hidden="1">
      <c r="A1002" s="10" t="s">
        <v>1015</v>
      </c>
      <c r="B1002" s="3" t="s">
        <v>1016</v>
      </c>
      <c r="C1002" s="4" t="s">
        <v>8</v>
      </c>
      <c r="D1002" s="5" t="s">
        <v>76</v>
      </c>
      <c r="E1002" s="6" t="s">
        <v>1018</v>
      </c>
    </row>
    <row r="1003" hidden="1">
      <c r="A1003" s="10" t="s">
        <v>1015</v>
      </c>
      <c r="B1003" s="3" t="s">
        <v>1016</v>
      </c>
      <c r="C1003" s="4" t="s">
        <v>8</v>
      </c>
      <c r="D1003" s="5" t="s">
        <v>23</v>
      </c>
      <c r="E1003" s="6" t="s">
        <v>1019</v>
      </c>
    </row>
    <row r="1004">
      <c r="A1004" s="10" t="s">
        <v>1015</v>
      </c>
      <c r="B1004" s="3" t="s">
        <v>1016</v>
      </c>
      <c r="C1004" s="4" t="s">
        <v>3</v>
      </c>
      <c r="D1004" s="5" t="s">
        <v>51</v>
      </c>
      <c r="E1004" s="6" t="s">
        <v>415</v>
      </c>
    </row>
    <row r="1005" hidden="1">
      <c r="A1005" s="10" t="s">
        <v>1015</v>
      </c>
      <c r="B1005" s="3" t="s">
        <v>1016</v>
      </c>
      <c r="C1005" s="4" t="s">
        <v>8</v>
      </c>
      <c r="D1005" s="5" t="s">
        <v>28</v>
      </c>
      <c r="E1005" s="6" t="s">
        <v>105</v>
      </c>
    </row>
    <row r="1006" hidden="1">
      <c r="A1006" s="10" t="s">
        <v>1015</v>
      </c>
      <c r="B1006" s="3" t="s">
        <v>1016</v>
      </c>
      <c r="C1006" s="4" t="s">
        <v>8</v>
      </c>
      <c r="D1006" s="5" t="s">
        <v>4</v>
      </c>
      <c r="E1006" s="6" t="s">
        <v>1020</v>
      </c>
    </row>
    <row r="1007" hidden="1">
      <c r="A1007" s="10" t="s">
        <v>1015</v>
      </c>
      <c r="B1007" s="3" t="s">
        <v>1016</v>
      </c>
      <c r="C1007" s="4" t="s">
        <v>8</v>
      </c>
      <c r="D1007" s="5" t="s">
        <v>42</v>
      </c>
      <c r="E1007" s="6" t="s">
        <v>1021</v>
      </c>
    </row>
    <row r="1008">
      <c r="A1008" s="10" t="s">
        <v>1015</v>
      </c>
      <c r="B1008" s="3" t="s">
        <v>1016</v>
      </c>
      <c r="C1008" s="4" t="s">
        <v>3</v>
      </c>
      <c r="D1008" s="5" t="s">
        <v>9</v>
      </c>
      <c r="E1008" s="6" t="s">
        <v>291</v>
      </c>
    </row>
    <row r="1009" hidden="1">
      <c r="A1009" s="10" t="s">
        <v>1015</v>
      </c>
      <c r="B1009" s="3" t="s">
        <v>1016</v>
      </c>
      <c r="C1009" s="4" t="s">
        <v>8</v>
      </c>
      <c r="D1009" s="5" t="s">
        <v>39</v>
      </c>
      <c r="E1009" s="6" t="s">
        <v>1022</v>
      </c>
    </row>
    <row r="1010">
      <c r="A1010" s="10" t="s">
        <v>1015</v>
      </c>
      <c r="B1010" s="3" t="s">
        <v>1016</v>
      </c>
      <c r="C1010" s="4" t="s">
        <v>3</v>
      </c>
      <c r="D1010" s="5" t="s">
        <v>4</v>
      </c>
      <c r="E1010" s="6" t="s">
        <v>1023</v>
      </c>
    </row>
    <row r="1011" hidden="1">
      <c r="A1011" s="10" t="s">
        <v>1015</v>
      </c>
      <c r="B1011" s="3" t="s">
        <v>1016</v>
      </c>
      <c r="C1011" s="4" t="s">
        <v>8</v>
      </c>
      <c r="D1011" s="5" t="s">
        <v>6</v>
      </c>
      <c r="E1011" s="6" t="s">
        <v>1024</v>
      </c>
    </row>
    <row r="1012" hidden="1">
      <c r="A1012" s="10" t="s">
        <v>1015</v>
      </c>
      <c r="B1012" s="3" t="s">
        <v>1016</v>
      </c>
      <c r="C1012" s="4" t="s">
        <v>8</v>
      </c>
      <c r="D1012" s="5" t="s">
        <v>19</v>
      </c>
      <c r="E1012" s="6" t="s">
        <v>1025</v>
      </c>
    </row>
    <row r="1013">
      <c r="A1013" s="10" t="s">
        <v>1015</v>
      </c>
      <c r="B1013" s="3" t="s">
        <v>1016</v>
      </c>
      <c r="C1013" s="4" t="s">
        <v>3</v>
      </c>
      <c r="D1013" s="5" t="s">
        <v>21</v>
      </c>
      <c r="E1013" s="6" t="s">
        <v>1026</v>
      </c>
    </row>
    <row r="1014" hidden="1">
      <c r="A1014" s="10" t="s">
        <v>1015</v>
      </c>
      <c r="B1014" s="3" t="s">
        <v>1016</v>
      </c>
      <c r="C1014" s="4" t="s">
        <v>8</v>
      </c>
      <c r="D1014" s="5" t="s">
        <v>6</v>
      </c>
      <c r="E1014" s="6" t="s">
        <v>1027</v>
      </c>
    </row>
    <row r="1015">
      <c r="A1015" s="10" t="s">
        <v>1015</v>
      </c>
      <c r="B1015" s="3" t="s">
        <v>1016</v>
      </c>
      <c r="C1015" s="4" t="s">
        <v>3</v>
      </c>
      <c r="D1015" s="5" t="s">
        <v>11</v>
      </c>
      <c r="E1015" s="6" t="s">
        <v>1028</v>
      </c>
    </row>
    <row r="1016" hidden="1">
      <c r="A1016" s="10" t="s">
        <v>1015</v>
      </c>
      <c r="B1016" s="3" t="s">
        <v>1016</v>
      </c>
      <c r="C1016" s="4" t="s">
        <v>8</v>
      </c>
      <c r="D1016" s="5" t="s">
        <v>11</v>
      </c>
      <c r="E1016" s="6" t="s">
        <v>1029</v>
      </c>
    </row>
    <row r="1017" hidden="1">
      <c r="A1017" s="10" t="s">
        <v>1015</v>
      </c>
      <c r="B1017" s="3" t="s">
        <v>1016</v>
      </c>
      <c r="C1017" s="4" t="s">
        <v>8</v>
      </c>
      <c r="D1017" s="5" t="s">
        <v>35</v>
      </c>
      <c r="E1017" s="6" t="s">
        <v>1030</v>
      </c>
    </row>
    <row r="1018">
      <c r="A1018" s="10" t="s">
        <v>1015</v>
      </c>
      <c r="B1018" s="3" t="s">
        <v>1016</v>
      </c>
      <c r="C1018" s="4" t="s">
        <v>3</v>
      </c>
      <c r="D1018" s="5" t="s">
        <v>39</v>
      </c>
      <c r="E1018" s="6" t="s">
        <v>1031</v>
      </c>
    </row>
    <row r="1019" hidden="1">
      <c r="A1019" s="10" t="s">
        <v>1015</v>
      </c>
      <c r="B1019" s="3" t="s">
        <v>1016</v>
      </c>
      <c r="C1019" s="4" t="s">
        <v>8</v>
      </c>
      <c r="D1019" s="5" t="s">
        <v>120</v>
      </c>
      <c r="E1019" s="6" t="s">
        <v>1032</v>
      </c>
    </row>
    <row r="1020" hidden="1">
      <c r="A1020" s="10" t="s">
        <v>1015</v>
      </c>
      <c r="B1020" s="3" t="s">
        <v>1016</v>
      </c>
      <c r="C1020" s="4" t="s">
        <v>8</v>
      </c>
      <c r="D1020" s="5" t="s">
        <v>28</v>
      </c>
      <c r="E1020" s="6" t="s">
        <v>795</v>
      </c>
    </row>
    <row r="1021">
      <c r="A1021" s="10" t="s">
        <v>1033</v>
      </c>
      <c r="B1021" s="3" t="s">
        <v>1034</v>
      </c>
      <c r="C1021" s="4" t="s">
        <v>3</v>
      </c>
      <c r="D1021" s="5" t="s">
        <v>120</v>
      </c>
      <c r="E1021" s="6" t="s">
        <v>1035</v>
      </c>
    </row>
    <row r="1022" hidden="1">
      <c r="A1022" s="10" t="s">
        <v>1033</v>
      </c>
      <c r="B1022" s="3" t="s">
        <v>1034</v>
      </c>
      <c r="C1022" s="4" t="s">
        <v>8</v>
      </c>
      <c r="D1022" s="5" t="s">
        <v>4</v>
      </c>
      <c r="E1022" s="6" t="s">
        <v>1036</v>
      </c>
    </row>
    <row r="1023">
      <c r="A1023" s="10" t="s">
        <v>1033</v>
      </c>
      <c r="B1023" s="3" t="s">
        <v>1034</v>
      </c>
      <c r="C1023" s="4" t="s">
        <v>3</v>
      </c>
      <c r="D1023" s="5" t="s">
        <v>45</v>
      </c>
      <c r="E1023" s="6" t="s">
        <v>1010</v>
      </c>
    </row>
    <row r="1024">
      <c r="A1024" s="10" t="s">
        <v>1033</v>
      </c>
      <c r="B1024" s="3" t="s">
        <v>1034</v>
      </c>
      <c r="C1024" s="4" t="s">
        <v>3</v>
      </c>
      <c r="D1024" s="5" t="s">
        <v>6</v>
      </c>
      <c r="E1024" s="6" t="s">
        <v>1037</v>
      </c>
    </row>
    <row r="1025" hidden="1">
      <c r="A1025" s="10" t="s">
        <v>1033</v>
      </c>
      <c r="B1025" s="3" t="s">
        <v>1034</v>
      </c>
      <c r="C1025" s="4" t="s">
        <v>8</v>
      </c>
      <c r="D1025" s="5" t="s">
        <v>13</v>
      </c>
      <c r="E1025" s="6" t="s">
        <v>1038</v>
      </c>
    </row>
    <row r="1026">
      <c r="A1026" s="10" t="s">
        <v>1033</v>
      </c>
      <c r="B1026" s="3" t="s">
        <v>1034</v>
      </c>
      <c r="C1026" s="4" t="s">
        <v>3</v>
      </c>
      <c r="D1026" s="5" t="s">
        <v>51</v>
      </c>
      <c r="E1026" s="6" t="s">
        <v>1039</v>
      </c>
    </row>
    <row r="1027">
      <c r="A1027" s="10" t="s">
        <v>1033</v>
      </c>
      <c r="B1027" s="3" t="s">
        <v>1034</v>
      </c>
      <c r="C1027" s="4" t="s">
        <v>3</v>
      </c>
      <c r="D1027" s="5" t="s">
        <v>51</v>
      </c>
      <c r="E1027" s="6" t="s">
        <v>1040</v>
      </c>
    </row>
    <row r="1028" hidden="1">
      <c r="A1028" s="10" t="s">
        <v>1033</v>
      </c>
      <c r="B1028" s="3" t="s">
        <v>1034</v>
      </c>
      <c r="C1028" s="4" t="s">
        <v>8</v>
      </c>
      <c r="D1028" s="5" t="s">
        <v>35</v>
      </c>
      <c r="E1028" s="6" t="s">
        <v>112</v>
      </c>
    </row>
    <row r="1029">
      <c r="A1029" s="10" t="s">
        <v>1033</v>
      </c>
      <c r="B1029" s="3" t="s">
        <v>1034</v>
      </c>
      <c r="C1029" s="4" t="s">
        <v>3</v>
      </c>
      <c r="D1029" s="5" t="s">
        <v>71</v>
      </c>
      <c r="E1029" s="6" t="s">
        <v>799</v>
      </c>
    </row>
    <row r="1030">
      <c r="A1030" s="10" t="s">
        <v>1033</v>
      </c>
      <c r="B1030" s="3" t="s">
        <v>1034</v>
      </c>
      <c r="C1030" s="4" t="s">
        <v>3</v>
      </c>
      <c r="D1030" s="5" t="s">
        <v>39</v>
      </c>
      <c r="E1030" s="6" t="s">
        <v>1041</v>
      </c>
    </row>
    <row r="1031" hidden="1">
      <c r="A1031" s="10" t="s">
        <v>1033</v>
      </c>
      <c r="B1031" s="3" t="s">
        <v>1034</v>
      </c>
      <c r="C1031" s="4" t="s">
        <v>8</v>
      </c>
      <c r="D1031" s="5" t="s">
        <v>76</v>
      </c>
      <c r="E1031" s="6" t="s">
        <v>1042</v>
      </c>
    </row>
    <row r="1032" hidden="1">
      <c r="A1032" s="10" t="s">
        <v>1033</v>
      </c>
      <c r="B1032" s="3" t="s">
        <v>1034</v>
      </c>
      <c r="C1032" s="4" t="s">
        <v>8</v>
      </c>
      <c r="D1032" s="5" t="s">
        <v>23</v>
      </c>
      <c r="E1032" s="6" t="s">
        <v>1043</v>
      </c>
    </row>
    <row r="1033">
      <c r="A1033" s="10" t="s">
        <v>1033</v>
      </c>
      <c r="B1033" s="3" t="s">
        <v>1034</v>
      </c>
      <c r="C1033" s="4" t="s">
        <v>3</v>
      </c>
      <c r="D1033" s="5" t="s">
        <v>76</v>
      </c>
      <c r="E1033" s="6" t="s">
        <v>1044</v>
      </c>
    </row>
    <row r="1034" hidden="1">
      <c r="A1034" s="10" t="s">
        <v>1033</v>
      </c>
      <c r="B1034" s="3" t="s">
        <v>1034</v>
      </c>
      <c r="C1034" s="4" t="s">
        <v>8</v>
      </c>
      <c r="D1034" s="5" t="s">
        <v>17</v>
      </c>
      <c r="E1034" s="6" t="s">
        <v>338</v>
      </c>
    </row>
    <row r="1035">
      <c r="A1035" s="10" t="s">
        <v>1033</v>
      </c>
      <c r="B1035" s="3" t="s">
        <v>1034</v>
      </c>
      <c r="C1035" s="4" t="s">
        <v>3</v>
      </c>
      <c r="D1035" s="5" t="s">
        <v>28</v>
      </c>
      <c r="E1035" s="6" t="s">
        <v>1045</v>
      </c>
    </row>
    <row r="1036">
      <c r="A1036" s="10" t="s">
        <v>1033</v>
      </c>
      <c r="B1036" s="3" t="s">
        <v>1034</v>
      </c>
      <c r="C1036" s="4" t="s">
        <v>3</v>
      </c>
      <c r="D1036" s="5" t="s">
        <v>39</v>
      </c>
      <c r="E1036" s="6" t="s">
        <v>1046</v>
      </c>
    </row>
    <row r="1037">
      <c r="A1037" s="10" t="s">
        <v>1033</v>
      </c>
      <c r="B1037" s="3" t="s">
        <v>1034</v>
      </c>
      <c r="C1037" s="4" t="s">
        <v>3</v>
      </c>
      <c r="D1037" s="5" t="s">
        <v>96</v>
      </c>
      <c r="E1037" s="6" t="s">
        <v>1047</v>
      </c>
    </row>
    <row r="1038">
      <c r="A1038" s="10" t="s">
        <v>1033</v>
      </c>
      <c r="B1038" s="3" t="s">
        <v>1034</v>
      </c>
      <c r="C1038" s="4" t="s">
        <v>3</v>
      </c>
      <c r="D1038" s="5" t="s">
        <v>28</v>
      </c>
      <c r="E1038" s="6" t="s">
        <v>1048</v>
      </c>
    </row>
    <row r="1039" hidden="1">
      <c r="A1039" s="10" t="s">
        <v>1033</v>
      </c>
      <c r="B1039" s="3" t="s">
        <v>1034</v>
      </c>
      <c r="C1039" s="4" t="s">
        <v>8</v>
      </c>
      <c r="D1039" s="5" t="s">
        <v>76</v>
      </c>
      <c r="E1039" s="6" t="s">
        <v>1049</v>
      </c>
    </row>
    <row r="1040">
      <c r="A1040" s="10" t="s">
        <v>1033</v>
      </c>
      <c r="B1040" s="3" t="s">
        <v>1034</v>
      </c>
      <c r="C1040" s="4" t="s">
        <v>3</v>
      </c>
      <c r="D1040" s="5" t="s">
        <v>35</v>
      </c>
      <c r="E1040" s="6" t="s">
        <v>1050</v>
      </c>
    </row>
    <row r="1041">
      <c r="A1041" s="10" t="s">
        <v>1051</v>
      </c>
      <c r="B1041" s="3" t="s">
        <v>1052</v>
      </c>
      <c r="C1041" s="4" t="s">
        <v>3</v>
      </c>
      <c r="D1041" s="5" t="s">
        <v>45</v>
      </c>
      <c r="E1041" s="6" t="s">
        <v>1053</v>
      </c>
    </row>
    <row r="1042">
      <c r="A1042" s="10" t="s">
        <v>1051</v>
      </c>
      <c r="B1042" s="3" t="s">
        <v>1052</v>
      </c>
      <c r="C1042" s="4" t="s">
        <v>3</v>
      </c>
      <c r="D1042" s="5" t="s">
        <v>42</v>
      </c>
      <c r="E1042" s="6" t="s">
        <v>505</v>
      </c>
    </row>
    <row r="1043">
      <c r="A1043" s="10" t="s">
        <v>1051</v>
      </c>
      <c r="B1043" s="3" t="s">
        <v>1052</v>
      </c>
      <c r="C1043" s="4" t="s">
        <v>3</v>
      </c>
      <c r="D1043" s="5" t="s">
        <v>9</v>
      </c>
      <c r="E1043" s="6" t="s">
        <v>1054</v>
      </c>
    </row>
    <row r="1044" hidden="1">
      <c r="A1044" s="10" t="s">
        <v>1051</v>
      </c>
      <c r="B1044" s="3" t="s">
        <v>1052</v>
      </c>
      <c r="C1044" s="4" t="s">
        <v>8</v>
      </c>
      <c r="D1044" s="5" t="s">
        <v>21</v>
      </c>
      <c r="E1044" s="6" t="s">
        <v>1055</v>
      </c>
    </row>
    <row r="1045">
      <c r="A1045" s="10" t="s">
        <v>1051</v>
      </c>
      <c r="B1045" s="3" t="s">
        <v>1052</v>
      </c>
      <c r="C1045" s="4" t="s">
        <v>3</v>
      </c>
      <c r="D1045" s="5" t="s">
        <v>51</v>
      </c>
      <c r="E1045" s="6" t="s">
        <v>727</v>
      </c>
    </row>
    <row r="1046" hidden="1">
      <c r="A1046" s="10" t="s">
        <v>1051</v>
      </c>
      <c r="B1046" s="3" t="s">
        <v>1052</v>
      </c>
      <c r="C1046" s="4" t="s">
        <v>8</v>
      </c>
      <c r="D1046" s="5" t="s">
        <v>15</v>
      </c>
      <c r="E1046" s="6" t="s">
        <v>321</v>
      </c>
    </row>
    <row r="1047">
      <c r="A1047" s="10" t="s">
        <v>1051</v>
      </c>
      <c r="B1047" s="3" t="s">
        <v>1052</v>
      </c>
      <c r="C1047" s="4" t="s">
        <v>3</v>
      </c>
      <c r="D1047" s="5" t="s">
        <v>4</v>
      </c>
      <c r="E1047" s="6" t="s">
        <v>1056</v>
      </c>
    </row>
    <row r="1048" hidden="1">
      <c r="A1048" s="10" t="s">
        <v>1051</v>
      </c>
      <c r="B1048" s="3" t="s">
        <v>1052</v>
      </c>
      <c r="C1048" s="4" t="s">
        <v>8</v>
      </c>
      <c r="D1048" s="5" t="s">
        <v>13</v>
      </c>
      <c r="E1048" s="6" t="s">
        <v>1057</v>
      </c>
    </row>
    <row r="1049" hidden="1">
      <c r="A1049" s="10" t="s">
        <v>1051</v>
      </c>
      <c r="B1049" s="3" t="s">
        <v>1052</v>
      </c>
      <c r="C1049" s="4" t="s">
        <v>8</v>
      </c>
      <c r="D1049" s="5" t="s">
        <v>76</v>
      </c>
      <c r="E1049" s="6" t="s">
        <v>1058</v>
      </c>
    </row>
    <row r="1050" hidden="1">
      <c r="A1050" s="10" t="s">
        <v>1051</v>
      </c>
      <c r="B1050" s="3" t="s">
        <v>1052</v>
      </c>
      <c r="C1050" s="4" t="s">
        <v>8</v>
      </c>
      <c r="D1050" s="5" t="s">
        <v>35</v>
      </c>
      <c r="E1050" s="6" t="s">
        <v>1059</v>
      </c>
    </row>
    <row r="1051" hidden="1">
      <c r="A1051" s="10" t="s">
        <v>1051</v>
      </c>
      <c r="B1051" s="3" t="s">
        <v>1052</v>
      </c>
      <c r="C1051" s="4" t="s">
        <v>8</v>
      </c>
      <c r="D1051" s="5" t="s">
        <v>17</v>
      </c>
      <c r="E1051" s="6" t="s">
        <v>366</v>
      </c>
    </row>
    <row r="1052">
      <c r="A1052" s="10" t="s">
        <v>1051</v>
      </c>
      <c r="B1052" s="3" t="s">
        <v>1052</v>
      </c>
      <c r="C1052" s="4" t="s">
        <v>3</v>
      </c>
      <c r="D1052" s="5" t="s">
        <v>71</v>
      </c>
      <c r="E1052" s="6" t="s">
        <v>1060</v>
      </c>
    </row>
    <row r="1053">
      <c r="A1053" s="10" t="s">
        <v>1051</v>
      </c>
      <c r="B1053" s="3" t="s">
        <v>1052</v>
      </c>
      <c r="C1053" s="4" t="s">
        <v>3</v>
      </c>
      <c r="D1053" s="5" t="s">
        <v>4</v>
      </c>
      <c r="E1053" s="6" t="s">
        <v>1061</v>
      </c>
    </row>
    <row r="1054" hidden="1">
      <c r="A1054" s="10" t="s">
        <v>1051</v>
      </c>
      <c r="B1054" s="3" t="s">
        <v>1052</v>
      </c>
      <c r="C1054" s="4" t="s">
        <v>8</v>
      </c>
      <c r="D1054" s="5" t="s">
        <v>51</v>
      </c>
      <c r="E1054" s="6" t="s">
        <v>1062</v>
      </c>
    </row>
    <row r="1055" hidden="1">
      <c r="A1055" s="10" t="s">
        <v>1051</v>
      </c>
      <c r="B1055" s="3" t="s">
        <v>1052</v>
      </c>
      <c r="C1055" s="4" t="s">
        <v>8</v>
      </c>
      <c r="D1055" s="5" t="s">
        <v>51</v>
      </c>
      <c r="E1055" s="6" t="s">
        <v>1063</v>
      </c>
    </row>
    <row r="1056" hidden="1">
      <c r="A1056" s="10" t="s">
        <v>1051</v>
      </c>
      <c r="B1056" s="3" t="s">
        <v>1052</v>
      </c>
      <c r="C1056" s="4" t="s">
        <v>8</v>
      </c>
      <c r="D1056" s="5" t="s">
        <v>11</v>
      </c>
      <c r="E1056" s="6" t="s">
        <v>1064</v>
      </c>
    </row>
    <row r="1057" hidden="1">
      <c r="A1057" s="10" t="s">
        <v>1051</v>
      </c>
      <c r="B1057" s="3" t="s">
        <v>1052</v>
      </c>
      <c r="C1057" s="4" t="s">
        <v>8</v>
      </c>
      <c r="D1057" s="5" t="s">
        <v>13</v>
      </c>
      <c r="E1057" s="6" t="s">
        <v>1065</v>
      </c>
    </row>
    <row r="1058">
      <c r="A1058" s="10" t="s">
        <v>1051</v>
      </c>
      <c r="B1058" s="3" t="s">
        <v>1052</v>
      </c>
      <c r="C1058" s="4" t="s">
        <v>3</v>
      </c>
      <c r="D1058" s="5" t="s">
        <v>4</v>
      </c>
      <c r="E1058" s="6" t="s">
        <v>1066</v>
      </c>
    </row>
    <row r="1059" hidden="1">
      <c r="A1059" s="10" t="s">
        <v>1051</v>
      </c>
      <c r="B1059" s="3" t="s">
        <v>1052</v>
      </c>
      <c r="C1059" s="4" t="s">
        <v>8</v>
      </c>
      <c r="D1059" s="5" t="s">
        <v>6</v>
      </c>
      <c r="E1059" s="6" t="s">
        <v>1067</v>
      </c>
    </row>
    <row r="1060" hidden="1">
      <c r="A1060" s="10" t="s">
        <v>1051</v>
      </c>
      <c r="B1060" s="3" t="s">
        <v>1052</v>
      </c>
      <c r="C1060" s="4" t="s">
        <v>8</v>
      </c>
      <c r="D1060" s="5" t="s">
        <v>4</v>
      </c>
      <c r="E1060" s="6" t="s">
        <v>1068</v>
      </c>
    </row>
    <row r="1061">
      <c r="A1061" s="10" t="s">
        <v>1069</v>
      </c>
      <c r="B1061" s="3" t="s">
        <v>1070</v>
      </c>
      <c r="C1061" s="4" t="s">
        <v>3</v>
      </c>
      <c r="D1061" s="5" t="s">
        <v>13</v>
      </c>
      <c r="E1061" s="6" t="s">
        <v>1071</v>
      </c>
    </row>
    <row r="1062">
      <c r="A1062" s="10" t="s">
        <v>1069</v>
      </c>
      <c r="B1062" s="3" t="s">
        <v>1070</v>
      </c>
      <c r="C1062" s="4" t="s">
        <v>3</v>
      </c>
      <c r="D1062" s="5" t="s">
        <v>96</v>
      </c>
      <c r="E1062" s="6" t="s">
        <v>1072</v>
      </c>
    </row>
    <row r="1063">
      <c r="A1063" s="10" t="s">
        <v>1069</v>
      </c>
      <c r="B1063" s="3" t="s">
        <v>1070</v>
      </c>
      <c r="C1063" s="4" t="s">
        <v>3</v>
      </c>
      <c r="D1063" s="5" t="s">
        <v>28</v>
      </c>
      <c r="E1063" s="6" t="s">
        <v>1073</v>
      </c>
    </row>
    <row r="1064" hidden="1">
      <c r="A1064" s="10" t="s">
        <v>1069</v>
      </c>
      <c r="B1064" s="3" t="s">
        <v>1070</v>
      </c>
      <c r="C1064" s="4" t="s">
        <v>8</v>
      </c>
      <c r="D1064" s="5" t="s">
        <v>120</v>
      </c>
      <c r="E1064" s="6" t="s">
        <v>1074</v>
      </c>
    </row>
    <row r="1065" hidden="1">
      <c r="A1065" s="10" t="s">
        <v>1069</v>
      </c>
      <c r="B1065" s="3" t="s">
        <v>1070</v>
      </c>
      <c r="C1065" s="4" t="s">
        <v>8</v>
      </c>
      <c r="D1065" s="5" t="s">
        <v>4</v>
      </c>
      <c r="E1065" s="6" t="s">
        <v>1075</v>
      </c>
    </row>
    <row r="1066" hidden="1">
      <c r="A1066" s="10" t="s">
        <v>1069</v>
      </c>
      <c r="B1066" s="3" t="s">
        <v>1070</v>
      </c>
      <c r="C1066" s="4" t="s">
        <v>8</v>
      </c>
      <c r="D1066" s="5" t="s">
        <v>28</v>
      </c>
      <c r="E1066" s="6" t="s">
        <v>128</v>
      </c>
    </row>
    <row r="1067" hidden="1">
      <c r="A1067" s="10" t="s">
        <v>1069</v>
      </c>
      <c r="B1067" s="3" t="s">
        <v>1070</v>
      </c>
      <c r="C1067" s="4" t="s">
        <v>8</v>
      </c>
      <c r="D1067" s="5" t="s">
        <v>13</v>
      </c>
      <c r="E1067" s="6" t="s">
        <v>1076</v>
      </c>
    </row>
    <row r="1068" hidden="1">
      <c r="A1068" s="10" t="s">
        <v>1069</v>
      </c>
      <c r="B1068" s="3" t="s">
        <v>1070</v>
      </c>
      <c r="C1068" s="4" t="s">
        <v>8</v>
      </c>
      <c r="D1068" s="5" t="s">
        <v>42</v>
      </c>
      <c r="E1068" s="6" t="s">
        <v>1014</v>
      </c>
    </row>
    <row r="1069" hidden="1">
      <c r="A1069" s="10" t="s">
        <v>1069</v>
      </c>
      <c r="B1069" s="3" t="s">
        <v>1070</v>
      </c>
      <c r="C1069" s="4" t="s">
        <v>8</v>
      </c>
      <c r="D1069" s="5" t="s">
        <v>4</v>
      </c>
      <c r="E1069" s="6" t="s">
        <v>1077</v>
      </c>
    </row>
    <row r="1070">
      <c r="A1070" s="10" t="s">
        <v>1069</v>
      </c>
      <c r="B1070" s="3" t="s">
        <v>1070</v>
      </c>
      <c r="C1070" s="4" t="s">
        <v>3</v>
      </c>
      <c r="D1070" s="5" t="s">
        <v>17</v>
      </c>
      <c r="E1070" s="6" t="s">
        <v>1078</v>
      </c>
    </row>
    <row r="1071" hidden="1">
      <c r="A1071" s="10" t="s">
        <v>1069</v>
      </c>
      <c r="B1071" s="3" t="s">
        <v>1070</v>
      </c>
      <c r="C1071" s="4" t="s">
        <v>8</v>
      </c>
      <c r="D1071" s="5" t="s">
        <v>15</v>
      </c>
      <c r="E1071" s="6" t="s">
        <v>644</v>
      </c>
    </row>
    <row r="1072">
      <c r="A1072" s="10" t="s">
        <v>1069</v>
      </c>
      <c r="B1072" s="3" t="s">
        <v>1070</v>
      </c>
      <c r="C1072" s="4" t="s">
        <v>3</v>
      </c>
      <c r="D1072" s="5" t="s">
        <v>17</v>
      </c>
      <c r="E1072" s="6" t="s">
        <v>1079</v>
      </c>
    </row>
    <row r="1073" hidden="1">
      <c r="A1073" s="10" t="s">
        <v>1069</v>
      </c>
      <c r="B1073" s="3" t="s">
        <v>1070</v>
      </c>
      <c r="C1073" s="4" t="s">
        <v>8</v>
      </c>
      <c r="D1073" s="5" t="s">
        <v>13</v>
      </c>
      <c r="E1073" s="6" t="s">
        <v>679</v>
      </c>
    </row>
    <row r="1074">
      <c r="A1074" s="10" t="s">
        <v>1069</v>
      </c>
      <c r="B1074" s="3" t="s">
        <v>1070</v>
      </c>
      <c r="C1074" s="4" t="s">
        <v>3</v>
      </c>
      <c r="D1074" s="5" t="s">
        <v>28</v>
      </c>
      <c r="E1074" s="6" t="s">
        <v>1073</v>
      </c>
    </row>
    <row r="1075">
      <c r="A1075" s="10" t="s">
        <v>1069</v>
      </c>
      <c r="B1075" s="3" t="s">
        <v>1070</v>
      </c>
      <c r="C1075" s="4" t="s">
        <v>3</v>
      </c>
      <c r="D1075" s="5" t="s">
        <v>6</v>
      </c>
      <c r="E1075" s="6" t="s">
        <v>1080</v>
      </c>
    </row>
    <row r="1076" hidden="1">
      <c r="A1076" s="10" t="s">
        <v>1069</v>
      </c>
      <c r="B1076" s="3" t="s">
        <v>1070</v>
      </c>
      <c r="C1076" s="4" t="s">
        <v>8</v>
      </c>
      <c r="D1076" s="5" t="s">
        <v>19</v>
      </c>
      <c r="E1076" s="6" t="s">
        <v>1081</v>
      </c>
    </row>
    <row r="1077">
      <c r="A1077" s="10" t="s">
        <v>1069</v>
      </c>
      <c r="B1077" s="3" t="s">
        <v>1070</v>
      </c>
      <c r="C1077" s="4" t="s">
        <v>3</v>
      </c>
      <c r="D1077" s="5" t="s">
        <v>19</v>
      </c>
      <c r="E1077" s="6" t="s">
        <v>234</v>
      </c>
    </row>
    <row r="1078" hidden="1">
      <c r="A1078" s="10" t="s">
        <v>1069</v>
      </c>
      <c r="B1078" s="3" t="s">
        <v>1070</v>
      </c>
      <c r="C1078" s="4" t="s">
        <v>8</v>
      </c>
      <c r="D1078" s="5" t="s">
        <v>96</v>
      </c>
      <c r="E1078" s="6" t="s">
        <v>1082</v>
      </c>
    </row>
    <row r="1079">
      <c r="A1079" s="10" t="s">
        <v>1069</v>
      </c>
      <c r="B1079" s="3" t="s">
        <v>1070</v>
      </c>
      <c r="C1079" s="4" t="s">
        <v>3</v>
      </c>
      <c r="D1079" s="5" t="s">
        <v>23</v>
      </c>
      <c r="E1079" s="6" t="s">
        <v>1083</v>
      </c>
    </row>
    <row r="1080" hidden="1">
      <c r="A1080" s="10" t="s">
        <v>1069</v>
      </c>
      <c r="B1080" s="3" t="s">
        <v>1070</v>
      </c>
      <c r="C1080" s="4" t="s">
        <v>8</v>
      </c>
      <c r="D1080" s="5" t="s">
        <v>28</v>
      </c>
      <c r="E1080" s="6" t="s">
        <v>43</v>
      </c>
    </row>
    <row r="1081">
      <c r="A1081" s="10" t="s">
        <v>1084</v>
      </c>
      <c r="B1081" s="3" t="s">
        <v>1085</v>
      </c>
      <c r="C1081" s="4" t="s">
        <v>3</v>
      </c>
      <c r="D1081" s="5" t="s">
        <v>4</v>
      </c>
      <c r="E1081" s="6" t="s">
        <v>1086</v>
      </c>
    </row>
    <row r="1082">
      <c r="A1082" s="10" t="s">
        <v>1084</v>
      </c>
      <c r="B1082" s="3" t="s">
        <v>1085</v>
      </c>
      <c r="C1082" s="4" t="s">
        <v>3</v>
      </c>
      <c r="D1082" s="5" t="s">
        <v>15</v>
      </c>
      <c r="E1082" s="6" t="s">
        <v>488</v>
      </c>
    </row>
    <row r="1083">
      <c r="A1083" s="10" t="s">
        <v>1084</v>
      </c>
      <c r="B1083" s="3" t="s">
        <v>1085</v>
      </c>
      <c r="C1083" s="4" t="s">
        <v>3</v>
      </c>
      <c r="D1083" s="5" t="s">
        <v>42</v>
      </c>
      <c r="E1083" s="6" t="s">
        <v>1087</v>
      </c>
    </row>
    <row r="1084" hidden="1">
      <c r="A1084" s="10" t="s">
        <v>1084</v>
      </c>
      <c r="B1084" s="3" t="s">
        <v>1085</v>
      </c>
      <c r="C1084" s="4" t="s">
        <v>8</v>
      </c>
      <c r="D1084" s="5" t="s">
        <v>19</v>
      </c>
      <c r="E1084" s="6" t="s">
        <v>1088</v>
      </c>
    </row>
    <row r="1085" hidden="1">
      <c r="A1085" s="10" t="s">
        <v>1084</v>
      </c>
      <c r="B1085" s="3" t="s">
        <v>1085</v>
      </c>
      <c r="C1085" s="4" t="s">
        <v>8</v>
      </c>
      <c r="D1085" s="5" t="s">
        <v>13</v>
      </c>
      <c r="E1085" s="6" t="s">
        <v>1089</v>
      </c>
    </row>
    <row r="1086" hidden="1">
      <c r="A1086" s="10" t="s">
        <v>1084</v>
      </c>
      <c r="B1086" s="3" t="s">
        <v>1085</v>
      </c>
      <c r="C1086" s="4" t="s">
        <v>8</v>
      </c>
      <c r="D1086" s="5" t="s">
        <v>4</v>
      </c>
      <c r="E1086" s="6" t="s">
        <v>1090</v>
      </c>
    </row>
    <row r="1087">
      <c r="A1087" s="10" t="s">
        <v>1084</v>
      </c>
      <c r="B1087" s="3" t="s">
        <v>1085</v>
      </c>
      <c r="C1087" s="4" t="s">
        <v>3</v>
      </c>
      <c r="D1087" s="5" t="s">
        <v>96</v>
      </c>
      <c r="E1087" s="6" t="s">
        <v>1091</v>
      </c>
    </row>
    <row r="1088" hidden="1">
      <c r="A1088" s="10" t="s">
        <v>1084</v>
      </c>
      <c r="B1088" s="3" t="s">
        <v>1085</v>
      </c>
      <c r="C1088" s="4" t="s">
        <v>8</v>
      </c>
      <c r="D1088" s="5" t="s">
        <v>19</v>
      </c>
      <c r="E1088" s="6" t="s">
        <v>1092</v>
      </c>
    </row>
    <row r="1089" hidden="1">
      <c r="A1089" s="10" t="s">
        <v>1084</v>
      </c>
      <c r="B1089" s="3" t="s">
        <v>1085</v>
      </c>
      <c r="C1089" s="4" t="s">
        <v>8</v>
      </c>
      <c r="D1089" s="5" t="s">
        <v>42</v>
      </c>
      <c r="E1089" s="6" t="s">
        <v>1054</v>
      </c>
    </row>
    <row r="1090">
      <c r="A1090" s="10" t="s">
        <v>1084</v>
      </c>
      <c r="B1090" s="3" t="s">
        <v>1085</v>
      </c>
      <c r="C1090" s="4" t="s">
        <v>3</v>
      </c>
      <c r="D1090" s="5" t="s">
        <v>9</v>
      </c>
      <c r="E1090" s="6" t="s">
        <v>696</v>
      </c>
    </row>
    <row r="1091">
      <c r="A1091" s="10" t="s">
        <v>1084</v>
      </c>
      <c r="B1091" s="3" t="s">
        <v>1085</v>
      </c>
      <c r="C1091" s="4" t="s">
        <v>3</v>
      </c>
      <c r="D1091" s="5" t="s">
        <v>17</v>
      </c>
      <c r="E1091" s="6" t="s">
        <v>1012</v>
      </c>
    </row>
    <row r="1092" hidden="1">
      <c r="A1092" s="10" t="s">
        <v>1084</v>
      </c>
      <c r="B1092" s="3" t="s">
        <v>1085</v>
      </c>
      <c r="C1092" s="4" t="s">
        <v>8</v>
      </c>
      <c r="D1092" s="5" t="s">
        <v>120</v>
      </c>
      <c r="E1092" s="6" t="s">
        <v>1093</v>
      </c>
    </row>
    <row r="1093" hidden="1">
      <c r="A1093" s="10" t="s">
        <v>1084</v>
      </c>
      <c r="B1093" s="3" t="s">
        <v>1085</v>
      </c>
      <c r="C1093" s="4" t="s">
        <v>8</v>
      </c>
      <c r="D1093" s="5" t="s">
        <v>28</v>
      </c>
      <c r="E1093" s="6" t="s">
        <v>345</v>
      </c>
    </row>
    <row r="1094">
      <c r="A1094" s="10" t="s">
        <v>1084</v>
      </c>
      <c r="B1094" s="3" t="s">
        <v>1085</v>
      </c>
      <c r="C1094" s="4" t="s">
        <v>3</v>
      </c>
      <c r="D1094" s="5" t="s">
        <v>39</v>
      </c>
      <c r="E1094" s="6" t="s">
        <v>1094</v>
      </c>
    </row>
    <row r="1095" hidden="1">
      <c r="A1095" s="10" t="s">
        <v>1084</v>
      </c>
      <c r="B1095" s="3" t="s">
        <v>1085</v>
      </c>
      <c r="C1095" s="4" t="s">
        <v>8</v>
      </c>
      <c r="D1095" s="5" t="s">
        <v>15</v>
      </c>
      <c r="E1095" s="6" t="s">
        <v>733</v>
      </c>
    </row>
    <row r="1096" hidden="1">
      <c r="A1096" s="10" t="s">
        <v>1084</v>
      </c>
      <c r="B1096" s="3" t="s">
        <v>1085</v>
      </c>
      <c r="C1096" s="4" t="s">
        <v>8</v>
      </c>
      <c r="D1096" s="5" t="s">
        <v>35</v>
      </c>
      <c r="E1096" s="6" t="s">
        <v>1095</v>
      </c>
    </row>
    <row r="1097" hidden="1">
      <c r="A1097" s="10" t="s">
        <v>1084</v>
      </c>
      <c r="B1097" s="3" t="s">
        <v>1085</v>
      </c>
      <c r="C1097" s="4" t="s">
        <v>8</v>
      </c>
      <c r="D1097" s="5" t="s">
        <v>23</v>
      </c>
      <c r="E1097" s="6" t="s">
        <v>1096</v>
      </c>
    </row>
    <row r="1098" hidden="1">
      <c r="A1098" s="10" t="s">
        <v>1084</v>
      </c>
      <c r="B1098" s="3" t="s">
        <v>1085</v>
      </c>
      <c r="C1098" s="4" t="s">
        <v>8</v>
      </c>
      <c r="D1098" s="5" t="s">
        <v>15</v>
      </c>
      <c r="E1098" s="6" t="s">
        <v>1097</v>
      </c>
    </row>
    <row r="1099">
      <c r="A1099" s="10" t="s">
        <v>1084</v>
      </c>
      <c r="B1099" s="3" t="s">
        <v>1085</v>
      </c>
      <c r="C1099" s="4" t="s">
        <v>3</v>
      </c>
      <c r="D1099" s="5" t="s">
        <v>19</v>
      </c>
      <c r="E1099" s="6" t="s">
        <v>1098</v>
      </c>
    </row>
    <row r="1100" hidden="1">
      <c r="A1100" s="10" t="s">
        <v>1084</v>
      </c>
      <c r="B1100" s="3" t="s">
        <v>1085</v>
      </c>
      <c r="C1100" s="4" t="s">
        <v>8</v>
      </c>
      <c r="D1100" s="5" t="s">
        <v>4</v>
      </c>
      <c r="E1100" s="6" t="s">
        <v>1099</v>
      </c>
    </row>
    <row r="1101">
      <c r="A1101" s="10" t="s">
        <v>1100</v>
      </c>
      <c r="B1101" s="3" t="s">
        <v>1101</v>
      </c>
      <c r="C1101" s="4" t="s">
        <v>3</v>
      </c>
      <c r="D1101" s="5" t="s">
        <v>96</v>
      </c>
      <c r="E1101" s="6" t="s">
        <v>1102</v>
      </c>
    </row>
    <row r="1102">
      <c r="A1102" s="10" t="s">
        <v>1100</v>
      </c>
      <c r="B1102" s="3" t="s">
        <v>1101</v>
      </c>
      <c r="C1102" s="4" t="s">
        <v>3</v>
      </c>
      <c r="D1102" s="5" t="s">
        <v>13</v>
      </c>
      <c r="E1102" s="6" t="s">
        <v>1103</v>
      </c>
    </row>
    <row r="1103" hidden="1">
      <c r="A1103" s="10" t="s">
        <v>1100</v>
      </c>
      <c r="B1103" s="3" t="s">
        <v>1101</v>
      </c>
      <c r="C1103" s="4" t="s">
        <v>8</v>
      </c>
      <c r="D1103" s="5" t="s">
        <v>13</v>
      </c>
      <c r="E1103" s="6" t="s">
        <v>1104</v>
      </c>
    </row>
    <row r="1104">
      <c r="A1104" s="10" t="s">
        <v>1100</v>
      </c>
      <c r="B1104" s="3" t="s">
        <v>1101</v>
      </c>
      <c r="C1104" s="4" t="s">
        <v>3</v>
      </c>
      <c r="D1104" s="5" t="s">
        <v>4</v>
      </c>
      <c r="E1104" s="6" t="s">
        <v>1105</v>
      </c>
    </row>
    <row r="1105" hidden="1">
      <c r="A1105" s="10" t="s">
        <v>1100</v>
      </c>
      <c r="B1105" s="3" t="s">
        <v>1101</v>
      </c>
      <c r="C1105" s="4" t="s">
        <v>8</v>
      </c>
      <c r="D1105" s="5" t="s">
        <v>35</v>
      </c>
      <c r="E1105" s="6" t="s">
        <v>1106</v>
      </c>
    </row>
    <row r="1106">
      <c r="A1106" s="10" t="s">
        <v>1100</v>
      </c>
      <c r="B1106" s="3" t="s">
        <v>1101</v>
      </c>
      <c r="C1106" s="4" t="s">
        <v>3</v>
      </c>
      <c r="D1106" s="5" t="s">
        <v>120</v>
      </c>
      <c r="E1106" s="6" t="s">
        <v>1107</v>
      </c>
    </row>
    <row r="1107" hidden="1">
      <c r="A1107" s="10" t="s">
        <v>1100</v>
      </c>
      <c r="B1107" s="3" t="s">
        <v>1101</v>
      </c>
      <c r="C1107" s="4" t="s">
        <v>8</v>
      </c>
      <c r="D1107" s="5" t="s">
        <v>45</v>
      </c>
      <c r="E1107" s="6" t="s">
        <v>1108</v>
      </c>
    </row>
    <row r="1108" hidden="1">
      <c r="A1108" s="10" t="s">
        <v>1100</v>
      </c>
      <c r="B1108" s="3" t="s">
        <v>1101</v>
      </c>
      <c r="C1108" s="4" t="s">
        <v>8</v>
      </c>
      <c r="D1108" s="5" t="s">
        <v>15</v>
      </c>
      <c r="E1108" s="6" t="s">
        <v>1109</v>
      </c>
    </row>
    <row r="1109">
      <c r="A1109" s="10" t="s">
        <v>1100</v>
      </c>
      <c r="B1109" s="3" t="s">
        <v>1101</v>
      </c>
      <c r="C1109" s="4" t="s">
        <v>3</v>
      </c>
      <c r="D1109" s="5" t="s">
        <v>120</v>
      </c>
      <c r="E1109" s="6" t="s">
        <v>861</v>
      </c>
    </row>
    <row r="1110" hidden="1">
      <c r="A1110" s="10" t="s">
        <v>1100</v>
      </c>
      <c r="B1110" s="3" t="s">
        <v>1101</v>
      </c>
      <c r="C1110" s="4" t="s">
        <v>8</v>
      </c>
      <c r="D1110" s="5" t="s">
        <v>21</v>
      </c>
      <c r="E1110" s="6" t="s">
        <v>647</v>
      </c>
    </row>
    <row r="1111" hidden="1">
      <c r="A1111" s="10" t="s">
        <v>1100</v>
      </c>
      <c r="B1111" s="3" t="s">
        <v>1101</v>
      </c>
      <c r="C1111" s="4" t="s">
        <v>8</v>
      </c>
      <c r="D1111" s="5" t="s">
        <v>21</v>
      </c>
      <c r="E1111" s="6" t="s">
        <v>1110</v>
      </c>
    </row>
    <row r="1112">
      <c r="A1112" s="10" t="s">
        <v>1100</v>
      </c>
      <c r="B1112" s="3" t="s">
        <v>1101</v>
      </c>
      <c r="C1112" s="4" t="s">
        <v>3</v>
      </c>
      <c r="D1112" s="5" t="s">
        <v>21</v>
      </c>
      <c r="E1112" s="6" t="s">
        <v>1111</v>
      </c>
    </row>
    <row r="1113" hidden="1">
      <c r="A1113" s="10" t="s">
        <v>1100</v>
      </c>
      <c r="B1113" s="3" t="s">
        <v>1101</v>
      </c>
      <c r="C1113" s="4" t="s">
        <v>8</v>
      </c>
      <c r="D1113" s="5" t="s">
        <v>9</v>
      </c>
      <c r="E1113" s="6" t="s">
        <v>768</v>
      </c>
    </row>
    <row r="1114" hidden="1">
      <c r="A1114" s="10" t="s">
        <v>1100</v>
      </c>
      <c r="B1114" s="3" t="s">
        <v>1101</v>
      </c>
      <c r="C1114" s="4" t="s">
        <v>8</v>
      </c>
      <c r="D1114" s="5" t="s">
        <v>45</v>
      </c>
      <c r="E1114" s="6" t="s">
        <v>1112</v>
      </c>
    </row>
    <row r="1115">
      <c r="A1115" s="10" t="s">
        <v>1100</v>
      </c>
      <c r="B1115" s="3" t="s">
        <v>1101</v>
      </c>
      <c r="C1115" s="4" t="s">
        <v>3</v>
      </c>
      <c r="D1115" s="5" t="s">
        <v>17</v>
      </c>
      <c r="E1115" s="6" t="s">
        <v>1113</v>
      </c>
    </row>
    <row r="1116">
      <c r="A1116" s="10" t="s">
        <v>1100</v>
      </c>
      <c r="B1116" s="3" t="s">
        <v>1101</v>
      </c>
      <c r="C1116" s="4" t="s">
        <v>3</v>
      </c>
      <c r="D1116" s="5" t="s">
        <v>13</v>
      </c>
      <c r="E1116" s="6" t="s">
        <v>234</v>
      </c>
    </row>
    <row r="1117" hidden="1">
      <c r="A1117" s="10" t="s">
        <v>1100</v>
      </c>
      <c r="B1117" s="3" t="s">
        <v>1101</v>
      </c>
      <c r="C1117" s="4" t="s">
        <v>8</v>
      </c>
      <c r="D1117" s="5" t="s">
        <v>76</v>
      </c>
      <c r="E1117" s="6" t="s">
        <v>1114</v>
      </c>
    </row>
    <row r="1118" hidden="1">
      <c r="A1118" s="10" t="s">
        <v>1100</v>
      </c>
      <c r="B1118" s="3" t="s">
        <v>1101</v>
      </c>
      <c r="C1118" s="4" t="s">
        <v>8</v>
      </c>
      <c r="D1118" s="5" t="s">
        <v>39</v>
      </c>
      <c r="E1118" s="6" t="s">
        <v>1036</v>
      </c>
    </row>
    <row r="1119">
      <c r="A1119" s="10" t="s">
        <v>1100</v>
      </c>
      <c r="B1119" s="3" t="s">
        <v>1101</v>
      </c>
      <c r="C1119" s="4" t="s">
        <v>3</v>
      </c>
      <c r="D1119" s="5" t="s">
        <v>45</v>
      </c>
      <c r="E1119" s="6" t="s">
        <v>1115</v>
      </c>
    </row>
    <row r="1120">
      <c r="A1120" s="10" t="s">
        <v>1100</v>
      </c>
      <c r="B1120" s="3" t="s">
        <v>1101</v>
      </c>
      <c r="C1120" s="4" t="s">
        <v>3</v>
      </c>
      <c r="D1120" s="5" t="s">
        <v>76</v>
      </c>
      <c r="E1120" s="6" t="s">
        <v>1116</v>
      </c>
    </row>
    <row r="1121">
      <c r="A1121" s="10" t="s">
        <v>741</v>
      </c>
      <c r="B1121" s="3" t="s">
        <v>1117</v>
      </c>
      <c r="C1121" s="4" t="s">
        <v>3</v>
      </c>
      <c r="D1121" s="5" t="s">
        <v>39</v>
      </c>
      <c r="E1121" s="6" t="s">
        <v>1118</v>
      </c>
    </row>
    <row r="1122">
      <c r="A1122" s="10" t="s">
        <v>741</v>
      </c>
      <c r="B1122" s="3" t="s">
        <v>1117</v>
      </c>
      <c r="C1122" s="4" t="s">
        <v>3</v>
      </c>
      <c r="D1122" s="5" t="s">
        <v>15</v>
      </c>
      <c r="E1122" s="6" t="s">
        <v>1119</v>
      </c>
    </row>
    <row r="1123" hidden="1">
      <c r="A1123" s="10" t="s">
        <v>741</v>
      </c>
      <c r="B1123" s="3" t="s">
        <v>1117</v>
      </c>
      <c r="C1123" s="4" t="s">
        <v>8</v>
      </c>
      <c r="D1123" s="5" t="s">
        <v>51</v>
      </c>
      <c r="E1123" s="6" t="s">
        <v>1120</v>
      </c>
    </row>
    <row r="1124">
      <c r="A1124" s="10" t="s">
        <v>741</v>
      </c>
      <c r="B1124" s="3" t="s">
        <v>1117</v>
      </c>
      <c r="C1124" s="4" t="s">
        <v>3</v>
      </c>
      <c r="D1124" s="5" t="s">
        <v>42</v>
      </c>
      <c r="E1124" s="6" t="s">
        <v>504</v>
      </c>
    </row>
    <row r="1125">
      <c r="A1125" s="10" t="s">
        <v>741</v>
      </c>
      <c r="B1125" s="3" t="s">
        <v>1117</v>
      </c>
      <c r="C1125" s="4" t="s">
        <v>3</v>
      </c>
      <c r="D1125" s="5" t="s">
        <v>15</v>
      </c>
      <c r="E1125" s="6" t="s">
        <v>499</v>
      </c>
    </row>
    <row r="1126" hidden="1">
      <c r="A1126" s="10" t="s">
        <v>741</v>
      </c>
      <c r="B1126" s="3" t="s">
        <v>1117</v>
      </c>
      <c r="C1126" s="4" t="s">
        <v>8</v>
      </c>
      <c r="D1126" s="5" t="s">
        <v>11</v>
      </c>
      <c r="E1126" s="6" t="s">
        <v>70</v>
      </c>
    </row>
    <row r="1127" hidden="1">
      <c r="A1127" s="10" t="s">
        <v>741</v>
      </c>
      <c r="B1127" s="3" t="s">
        <v>1117</v>
      </c>
      <c r="C1127" s="4" t="s">
        <v>8</v>
      </c>
      <c r="D1127" s="5" t="s">
        <v>4</v>
      </c>
      <c r="E1127" s="6" t="s">
        <v>1121</v>
      </c>
    </row>
    <row r="1128">
      <c r="A1128" s="10" t="s">
        <v>741</v>
      </c>
      <c r="B1128" s="3" t="s">
        <v>1117</v>
      </c>
      <c r="C1128" s="4" t="s">
        <v>3</v>
      </c>
      <c r="D1128" s="5" t="s">
        <v>45</v>
      </c>
      <c r="E1128" s="6" t="s">
        <v>1122</v>
      </c>
    </row>
    <row r="1129">
      <c r="A1129" s="10" t="s">
        <v>741</v>
      </c>
      <c r="B1129" s="3" t="s">
        <v>1117</v>
      </c>
      <c r="C1129" s="4" t="s">
        <v>3</v>
      </c>
      <c r="D1129" s="5" t="s">
        <v>42</v>
      </c>
      <c r="E1129" s="6" t="s">
        <v>631</v>
      </c>
    </row>
    <row r="1130" hidden="1">
      <c r="A1130" s="10" t="s">
        <v>741</v>
      </c>
      <c r="B1130" s="3" t="s">
        <v>1117</v>
      </c>
      <c r="C1130" s="4" t="s">
        <v>8</v>
      </c>
      <c r="D1130" s="5" t="s">
        <v>71</v>
      </c>
      <c r="E1130" s="6" t="s">
        <v>815</v>
      </c>
    </row>
    <row r="1131">
      <c r="A1131" s="10" t="s">
        <v>741</v>
      </c>
      <c r="B1131" s="3" t="s">
        <v>1117</v>
      </c>
      <c r="C1131" s="4" t="s">
        <v>3</v>
      </c>
      <c r="D1131" s="5" t="s">
        <v>51</v>
      </c>
      <c r="E1131" s="6" t="s">
        <v>1123</v>
      </c>
    </row>
    <row r="1132" hidden="1">
      <c r="A1132" s="10" t="s">
        <v>741</v>
      </c>
      <c r="B1132" s="3" t="s">
        <v>1117</v>
      </c>
      <c r="C1132" s="4" t="s">
        <v>8</v>
      </c>
      <c r="D1132" s="5" t="s">
        <v>51</v>
      </c>
      <c r="E1132" s="6" t="s">
        <v>1124</v>
      </c>
    </row>
    <row r="1133" hidden="1">
      <c r="A1133" s="10" t="s">
        <v>741</v>
      </c>
      <c r="B1133" s="3" t="s">
        <v>1117</v>
      </c>
      <c r="C1133" s="4" t="s">
        <v>8</v>
      </c>
      <c r="D1133" s="5" t="s">
        <v>17</v>
      </c>
      <c r="E1133" s="6" t="s">
        <v>1125</v>
      </c>
    </row>
    <row r="1134" hidden="1">
      <c r="A1134" s="10" t="s">
        <v>741</v>
      </c>
      <c r="B1134" s="3" t="s">
        <v>1117</v>
      </c>
      <c r="C1134" s="4" t="s">
        <v>8</v>
      </c>
      <c r="D1134" s="5" t="s">
        <v>11</v>
      </c>
      <c r="E1134" s="6" t="s">
        <v>1126</v>
      </c>
    </row>
    <row r="1135" hidden="1">
      <c r="A1135" s="10" t="s">
        <v>741</v>
      </c>
      <c r="B1135" s="3" t="s">
        <v>1117</v>
      </c>
      <c r="C1135" s="4" t="s">
        <v>8</v>
      </c>
      <c r="D1135" s="5" t="s">
        <v>120</v>
      </c>
      <c r="E1135" s="6" t="s">
        <v>1127</v>
      </c>
    </row>
    <row r="1136">
      <c r="A1136" s="10" t="s">
        <v>741</v>
      </c>
      <c r="B1136" s="3" t="s">
        <v>1117</v>
      </c>
      <c r="C1136" s="4" t="s">
        <v>3</v>
      </c>
      <c r="D1136" s="5" t="s">
        <v>21</v>
      </c>
      <c r="E1136" s="6" t="s">
        <v>338</v>
      </c>
    </row>
    <row r="1137" hidden="1">
      <c r="A1137" s="10" t="s">
        <v>741</v>
      </c>
      <c r="B1137" s="3" t="s">
        <v>1117</v>
      </c>
      <c r="C1137" s="4" t="s">
        <v>8</v>
      </c>
      <c r="D1137" s="5" t="s">
        <v>13</v>
      </c>
      <c r="E1137" s="6" t="s">
        <v>1128</v>
      </c>
    </row>
    <row r="1138" hidden="1">
      <c r="A1138" s="10" t="s">
        <v>741</v>
      </c>
      <c r="B1138" s="3" t="s">
        <v>1117</v>
      </c>
      <c r="C1138" s="4" t="s">
        <v>8</v>
      </c>
      <c r="D1138" s="5" t="s">
        <v>19</v>
      </c>
      <c r="E1138" s="6" t="s">
        <v>902</v>
      </c>
    </row>
    <row r="1139">
      <c r="A1139" s="10" t="s">
        <v>741</v>
      </c>
      <c r="B1139" s="3" t="s">
        <v>1117</v>
      </c>
      <c r="C1139" s="4" t="s">
        <v>3</v>
      </c>
      <c r="D1139" s="5" t="s">
        <v>71</v>
      </c>
      <c r="E1139" s="6" t="s">
        <v>1129</v>
      </c>
    </row>
    <row r="1140" hidden="1">
      <c r="A1140" s="10" t="s">
        <v>741</v>
      </c>
      <c r="B1140" s="3" t="s">
        <v>1117</v>
      </c>
      <c r="C1140" s="4" t="s">
        <v>8</v>
      </c>
      <c r="D1140" s="5" t="s">
        <v>6</v>
      </c>
      <c r="E1140" s="6" t="s">
        <v>1130</v>
      </c>
    </row>
    <row r="1141">
      <c r="A1141" s="10" t="s">
        <v>1131</v>
      </c>
      <c r="B1141" s="3" t="s">
        <v>1132</v>
      </c>
      <c r="C1141" s="4" t="s">
        <v>3</v>
      </c>
      <c r="D1141" s="5" t="s">
        <v>4</v>
      </c>
      <c r="E1141" s="6" t="s">
        <v>1133</v>
      </c>
    </row>
    <row r="1142" hidden="1">
      <c r="A1142" s="10" t="s">
        <v>1131</v>
      </c>
      <c r="B1142" s="3" t="s">
        <v>1132</v>
      </c>
      <c r="C1142" s="4" t="s">
        <v>8</v>
      </c>
      <c r="D1142" s="5" t="s">
        <v>9</v>
      </c>
      <c r="E1142" s="6" t="s">
        <v>647</v>
      </c>
    </row>
    <row r="1143" hidden="1">
      <c r="A1143" s="10" t="s">
        <v>1131</v>
      </c>
      <c r="B1143" s="3" t="s">
        <v>1132</v>
      </c>
      <c r="C1143" s="4" t="s">
        <v>8</v>
      </c>
      <c r="D1143" s="5" t="s">
        <v>15</v>
      </c>
      <c r="E1143" s="6" t="s">
        <v>696</v>
      </c>
    </row>
    <row r="1144">
      <c r="A1144" s="10" t="s">
        <v>1131</v>
      </c>
      <c r="B1144" s="3" t="s">
        <v>1132</v>
      </c>
      <c r="C1144" s="4" t="s">
        <v>3</v>
      </c>
      <c r="D1144" s="5" t="s">
        <v>96</v>
      </c>
      <c r="E1144" s="6" t="s">
        <v>1134</v>
      </c>
    </row>
    <row r="1145" hidden="1">
      <c r="A1145" s="10" t="s">
        <v>1131</v>
      </c>
      <c r="B1145" s="3" t="s">
        <v>1132</v>
      </c>
      <c r="C1145" s="4" t="s">
        <v>8</v>
      </c>
      <c r="D1145" s="5" t="s">
        <v>9</v>
      </c>
      <c r="E1145" s="6" t="s">
        <v>1135</v>
      </c>
    </row>
    <row r="1146" hidden="1">
      <c r="A1146" s="10" t="s">
        <v>1131</v>
      </c>
      <c r="B1146" s="3" t="s">
        <v>1132</v>
      </c>
      <c r="C1146" s="4" t="s">
        <v>8</v>
      </c>
      <c r="D1146" s="5" t="s">
        <v>11</v>
      </c>
      <c r="E1146" s="6" t="s">
        <v>1136</v>
      </c>
    </row>
    <row r="1147">
      <c r="A1147" s="10" t="s">
        <v>1131</v>
      </c>
      <c r="B1147" s="3" t="s">
        <v>1132</v>
      </c>
      <c r="C1147" s="4" t="s">
        <v>3</v>
      </c>
      <c r="D1147" s="5" t="s">
        <v>45</v>
      </c>
      <c r="E1147" s="6" t="s">
        <v>1137</v>
      </c>
    </row>
    <row r="1148">
      <c r="A1148" s="10" t="s">
        <v>1131</v>
      </c>
      <c r="B1148" s="3" t="s">
        <v>1132</v>
      </c>
      <c r="C1148" s="4" t="s">
        <v>3</v>
      </c>
      <c r="D1148" s="5" t="s">
        <v>13</v>
      </c>
      <c r="E1148" s="6" t="s">
        <v>1030</v>
      </c>
    </row>
    <row r="1149">
      <c r="A1149" s="10" t="s">
        <v>1131</v>
      </c>
      <c r="B1149" s="3" t="s">
        <v>1132</v>
      </c>
      <c r="C1149" s="4" t="s">
        <v>3</v>
      </c>
      <c r="D1149" s="5" t="s">
        <v>39</v>
      </c>
      <c r="E1149" s="6" t="s">
        <v>1138</v>
      </c>
    </row>
    <row r="1150">
      <c r="A1150" s="10" t="s">
        <v>1131</v>
      </c>
      <c r="B1150" s="3" t="s">
        <v>1132</v>
      </c>
      <c r="C1150" s="4" t="s">
        <v>3</v>
      </c>
      <c r="D1150" s="5" t="s">
        <v>17</v>
      </c>
      <c r="E1150" s="6" t="s">
        <v>1139</v>
      </c>
    </row>
    <row r="1151">
      <c r="A1151" s="10" t="s">
        <v>1131</v>
      </c>
      <c r="B1151" s="3" t="s">
        <v>1132</v>
      </c>
      <c r="C1151" s="4" t="s">
        <v>3</v>
      </c>
      <c r="D1151" s="5" t="s">
        <v>51</v>
      </c>
      <c r="E1151" s="6" t="s">
        <v>1140</v>
      </c>
    </row>
    <row r="1152">
      <c r="A1152" s="10" t="s">
        <v>1131</v>
      </c>
      <c r="B1152" s="3" t="s">
        <v>1132</v>
      </c>
      <c r="C1152" s="4" t="s">
        <v>3</v>
      </c>
      <c r="D1152" s="5" t="s">
        <v>76</v>
      </c>
      <c r="E1152" s="6" t="s">
        <v>1141</v>
      </c>
    </row>
    <row r="1153">
      <c r="A1153" s="10" t="s">
        <v>1131</v>
      </c>
      <c r="B1153" s="3" t="s">
        <v>1132</v>
      </c>
      <c r="C1153" s="4" t="s">
        <v>3</v>
      </c>
      <c r="D1153" s="5" t="s">
        <v>39</v>
      </c>
      <c r="E1153" s="6" t="s">
        <v>1142</v>
      </c>
    </row>
    <row r="1154">
      <c r="A1154" s="10" t="s">
        <v>1131</v>
      </c>
      <c r="B1154" s="3" t="s">
        <v>1132</v>
      </c>
      <c r="C1154" s="4" t="s">
        <v>3</v>
      </c>
      <c r="D1154" s="5" t="s">
        <v>45</v>
      </c>
      <c r="E1154" s="6" t="s">
        <v>1143</v>
      </c>
    </row>
    <row r="1155" hidden="1">
      <c r="A1155" s="10" t="s">
        <v>1131</v>
      </c>
      <c r="B1155" s="3" t="s">
        <v>1132</v>
      </c>
      <c r="C1155" s="4" t="s">
        <v>8</v>
      </c>
      <c r="D1155" s="5" t="s">
        <v>17</v>
      </c>
      <c r="E1155" s="6" t="s">
        <v>1144</v>
      </c>
    </row>
    <row r="1156">
      <c r="A1156" s="10" t="s">
        <v>1131</v>
      </c>
      <c r="B1156" s="3" t="s">
        <v>1132</v>
      </c>
      <c r="C1156" s="4" t="s">
        <v>3</v>
      </c>
      <c r="D1156" s="5" t="s">
        <v>23</v>
      </c>
      <c r="E1156" s="6" t="s">
        <v>1145</v>
      </c>
    </row>
    <row r="1157">
      <c r="A1157" s="10" t="s">
        <v>1131</v>
      </c>
      <c r="B1157" s="3" t="s">
        <v>1132</v>
      </c>
      <c r="C1157" s="4" t="s">
        <v>3</v>
      </c>
      <c r="D1157" s="5" t="s">
        <v>17</v>
      </c>
      <c r="E1157" s="6" t="s">
        <v>1146</v>
      </c>
    </row>
    <row r="1158" hidden="1">
      <c r="A1158" s="10" t="s">
        <v>1131</v>
      </c>
      <c r="B1158" s="3" t="s">
        <v>1132</v>
      </c>
      <c r="C1158" s="4" t="s">
        <v>8</v>
      </c>
      <c r="D1158" s="5" t="s">
        <v>71</v>
      </c>
      <c r="E1158" s="6" t="s">
        <v>1147</v>
      </c>
    </row>
    <row r="1159" hidden="1">
      <c r="A1159" s="10" t="s">
        <v>1131</v>
      </c>
      <c r="B1159" s="3" t="s">
        <v>1132</v>
      </c>
      <c r="C1159" s="4" t="s">
        <v>8</v>
      </c>
      <c r="D1159" s="5" t="s">
        <v>42</v>
      </c>
      <c r="E1159" s="6" t="s">
        <v>1148</v>
      </c>
    </row>
    <row r="1160" hidden="1">
      <c r="A1160" s="10" t="s">
        <v>1131</v>
      </c>
      <c r="B1160" s="3" t="s">
        <v>1132</v>
      </c>
      <c r="C1160" s="4" t="s">
        <v>8</v>
      </c>
      <c r="D1160" s="5" t="s">
        <v>45</v>
      </c>
      <c r="E1160" s="6" t="s">
        <v>1137</v>
      </c>
    </row>
    <row r="1161">
      <c r="A1161" s="10" t="s">
        <v>1149</v>
      </c>
      <c r="B1161" s="3" t="s">
        <v>1150</v>
      </c>
      <c r="C1161" s="4" t="s">
        <v>3</v>
      </c>
      <c r="D1161" s="5" t="s">
        <v>39</v>
      </c>
      <c r="E1161" s="6" t="s">
        <v>1151</v>
      </c>
    </row>
    <row r="1162" hidden="1">
      <c r="A1162" s="10" t="s">
        <v>1149</v>
      </c>
      <c r="B1162" s="3" t="s">
        <v>1150</v>
      </c>
      <c r="C1162" s="4" t="s">
        <v>8</v>
      </c>
      <c r="D1162" s="5" t="s">
        <v>4</v>
      </c>
      <c r="E1162" s="6" t="s">
        <v>1152</v>
      </c>
    </row>
    <row r="1163" hidden="1">
      <c r="A1163" s="10" t="s">
        <v>1149</v>
      </c>
      <c r="B1163" s="3" t="s">
        <v>1150</v>
      </c>
      <c r="C1163" s="4" t="s">
        <v>8</v>
      </c>
      <c r="D1163" s="5" t="s">
        <v>23</v>
      </c>
      <c r="E1163" s="6" t="s">
        <v>1153</v>
      </c>
    </row>
    <row r="1164">
      <c r="A1164" s="10" t="s">
        <v>1149</v>
      </c>
      <c r="B1164" s="3" t="s">
        <v>1150</v>
      </c>
      <c r="C1164" s="4" t="s">
        <v>3</v>
      </c>
      <c r="D1164" s="5" t="s">
        <v>45</v>
      </c>
      <c r="E1164" s="6" t="s">
        <v>1127</v>
      </c>
    </row>
    <row r="1165" hidden="1">
      <c r="A1165" s="10" t="s">
        <v>1149</v>
      </c>
      <c r="B1165" s="3" t="s">
        <v>1150</v>
      </c>
      <c r="C1165" s="4" t="s">
        <v>8</v>
      </c>
      <c r="D1165" s="5" t="s">
        <v>13</v>
      </c>
      <c r="E1165" s="6" t="s">
        <v>1154</v>
      </c>
    </row>
    <row r="1166">
      <c r="A1166" s="10" t="s">
        <v>1149</v>
      </c>
      <c r="B1166" s="3" t="s">
        <v>1150</v>
      </c>
      <c r="C1166" s="4" t="s">
        <v>3</v>
      </c>
      <c r="D1166" s="5" t="s">
        <v>51</v>
      </c>
      <c r="E1166" s="6" t="s">
        <v>1155</v>
      </c>
    </row>
    <row r="1167" hidden="1">
      <c r="A1167" s="10" t="s">
        <v>1149</v>
      </c>
      <c r="B1167" s="3" t="s">
        <v>1150</v>
      </c>
      <c r="C1167" s="4" t="s">
        <v>8</v>
      </c>
      <c r="D1167" s="5" t="s">
        <v>6</v>
      </c>
      <c r="E1167" s="6" t="s">
        <v>1156</v>
      </c>
    </row>
    <row r="1168" hidden="1">
      <c r="A1168" s="10" t="s">
        <v>1149</v>
      </c>
      <c r="B1168" s="3" t="s">
        <v>1150</v>
      </c>
      <c r="C1168" s="4" t="s">
        <v>8</v>
      </c>
      <c r="D1168" s="5" t="s">
        <v>23</v>
      </c>
      <c r="E1168" s="6" t="s">
        <v>1157</v>
      </c>
    </row>
    <row r="1169" hidden="1">
      <c r="A1169" s="10" t="s">
        <v>1149</v>
      </c>
      <c r="B1169" s="3" t="s">
        <v>1150</v>
      </c>
      <c r="C1169" s="4" t="s">
        <v>8</v>
      </c>
      <c r="D1169" s="5" t="s">
        <v>19</v>
      </c>
      <c r="E1169" s="6" t="s">
        <v>1158</v>
      </c>
    </row>
    <row r="1170" hidden="1">
      <c r="A1170" s="10" t="s">
        <v>1149</v>
      </c>
      <c r="B1170" s="3" t="s">
        <v>1150</v>
      </c>
      <c r="C1170" s="4" t="s">
        <v>8</v>
      </c>
      <c r="D1170" s="5" t="s">
        <v>51</v>
      </c>
      <c r="E1170" s="6" t="s">
        <v>1159</v>
      </c>
    </row>
    <row r="1171" hidden="1">
      <c r="A1171" s="10" t="s">
        <v>1149</v>
      </c>
      <c r="B1171" s="3" t="s">
        <v>1150</v>
      </c>
      <c r="C1171" s="4" t="s">
        <v>8</v>
      </c>
      <c r="D1171" s="5" t="s">
        <v>19</v>
      </c>
      <c r="E1171" s="6" t="s">
        <v>202</v>
      </c>
    </row>
    <row r="1172">
      <c r="A1172" s="10" t="s">
        <v>1149</v>
      </c>
      <c r="B1172" s="3" t="s">
        <v>1150</v>
      </c>
      <c r="C1172" s="4" t="s">
        <v>3</v>
      </c>
      <c r="D1172" s="5" t="s">
        <v>21</v>
      </c>
      <c r="E1172" s="6" t="s">
        <v>1160</v>
      </c>
    </row>
    <row r="1173" hidden="1">
      <c r="A1173" s="10" t="s">
        <v>1149</v>
      </c>
      <c r="B1173" s="3" t="s">
        <v>1150</v>
      </c>
      <c r="C1173" s="4" t="s">
        <v>8</v>
      </c>
      <c r="D1173" s="5" t="s">
        <v>6</v>
      </c>
      <c r="E1173" s="6" t="s">
        <v>1161</v>
      </c>
    </row>
    <row r="1174">
      <c r="A1174" s="10" t="s">
        <v>1149</v>
      </c>
      <c r="B1174" s="3" t="s">
        <v>1150</v>
      </c>
      <c r="C1174" s="4" t="s">
        <v>3</v>
      </c>
      <c r="D1174" s="5" t="s">
        <v>51</v>
      </c>
      <c r="E1174" s="6" t="s">
        <v>1162</v>
      </c>
    </row>
    <row r="1175">
      <c r="A1175" s="10" t="s">
        <v>1149</v>
      </c>
      <c r="B1175" s="3" t="s">
        <v>1150</v>
      </c>
      <c r="C1175" s="4" t="s">
        <v>3</v>
      </c>
      <c r="D1175" s="5" t="s">
        <v>11</v>
      </c>
      <c r="E1175" s="6" t="s">
        <v>108</v>
      </c>
    </row>
    <row r="1176">
      <c r="A1176" s="10" t="s">
        <v>1149</v>
      </c>
      <c r="B1176" s="3" t="s">
        <v>1150</v>
      </c>
      <c r="C1176" s="4" t="s">
        <v>3</v>
      </c>
      <c r="D1176" s="5" t="s">
        <v>35</v>
      </c>
      <c r="E1176" s="6" t="s">
        <v>665</v>
      </c>
    </row>
    <row r="1177" hidden="1">
      <c r="A1177" s="10" t="s">
        <v>1149</v>
      </c>
      <c r="B1177" s="3" t="s">
        <v>1150</v>
      </c>
      <c r="C1177" s="4" t="s">
        <v>8</v>
      </c>
      <c r="D1177" s="5" t="s">
        <v>13</v>
      </c>
      <c r="E1177" s="6" t="s">
        <v>1163</v>
      </c>
    </row>
    <row r="1178">
      <c r="A1178" s="10" t="s">
        <v>1149</v>
      </c>
      <c r="B1178" s="3" t="s">
        <v>1150</v>
      </c>
      <c r="C1178" s="4" t="s">
        <v>3</v>
      </c>
      <c r="D1178" s="5" t="s">
        <v>96</v>
      </c>
      <c r="E1178" s="6" t="s">
        <v>1164</v>
      </c>
    </row>
    <row r="1179">
      <c r="A1179" s="10" t="s">
        <v>1149</v>
      </c>
      <c r="B1179" s="3" t="s">
        <v>1150</v>
      </c>
      <c r="C1179" s="4" t="s">
        <v>3</v>
      </c>
      <c r="D1179" s="5" t="s">
        <v>35</v>
      </c>
      <c r="E1179" s="6" t="s">
        <v>1165</v>
      </c>
    </row>
    <row r="1180" hidden="1">
      <c r="A1180" s="10" t="s">
        <v>1149</v>
      </c>
      <c r="B1180" s="3" t="s">
        <v>1150</v>
      </c>
      <c r="C1180" s="4" t="s">
        <v>8</v>
      </c>
      <c r="D1180" s="5" t="s">
        <v>51</v>
      </c>
      <c r="E1180" s="6" t="s">
        <v>1166</v>
      </c>
    </row>
    <row r="1181">
      <c r="A1181" s="10" t="s">
        <v>1167</v>
      </c>
      <c r="B1181" s="3" t="s">
        <v>1168</v>
      </c>
      <c r="C1181" s="4" t="s">
        <v>3</v>
      </c>
      <c r="D1181" s="5" t="s">
        <v>39</v>
      </c>
      <c r="E1181" s="6" t="s">
        <v>1169</v>
      </c>
    </row>
    <row r="1182">
      <c r="A1182" s="10" t="s">
        <v>1167</v>
      </c>
      <c r="B1182" s="3" t="s">
        <v>1168</v>
      </c>
      <c r="C1182" s="4" t="s">
        <v>3</v>
      </c>
      <c r="D1182" s="5" t="s">
        <v>19</v>
      </c>
      <c r="E1182" s="6" t="s">
        <v>161</v>
      </c>
    </row>
    <row r="1183">
      <c r="A1183" s="10" t="s">
        <v>1167</v>
      </c>
      <c r="B1183" s="3" t="s">
        <v>1168</v>
      </c>
      <c r="C1183" s="4" t="s">
        <v>3</v>
      </c>
      <c r="D1183" s="5" t="s">
        <v>96</v>
      </c>
      <c r="E1183" s="6" t="s">
        <v>1170</v>
      </c>
    </row>
    <row r="1184" hidden="1">
      <c r="A1184" s="10" t="s">
        <v>1167</v>
      </c>
      <c r="B1184" s="3" t="s">
        <v>1168</v>
      </c>
      <c r="C1184" s="4" t="s">
        <v>8</v>
      </c>
      <c r="D1184" s="5" t="s">
        <v>35</v>
      </c>
      <c r="E1184" s="6" t="s">
        <v>1171</v>
      </c>
    </row>
    <row r="1185">
      <c r="A1185" s="10" t="s">
        <v>1167</v>
      </c>
      <c r="B1185" s="3" t="s">
        <v>1168</v>
      </c>
      <c r="C1185" s="4" t="s">
        <v>3</v>
      </c>
      <c r="D1185" s="5" t="s">
        <v>13</v>
      </c>
      <c r="E1185" s="6" t="s">
        <v>1089</v>
      </c>
    </row>
    <row r="1186">
      <c r="A1186" s="10" t="s">
        <v>1167</v>
      </c>
      <c r="B1186" s="3" t="s">
        <v>1168</v>
      </c>
      <c r="C1186" s="4" t="s">
        <v>3</v>
      </c>
      <c r="D1186" s="5" t="s">
        <v>13</v>
      </c>
      <c r="E1186" s="6" t="s">
        <v>1172</v>
      </c>
    </row>
    <row r="1187">
      <c r="A1187" s="10" t="s">
        <v>1167</v>
      </c>
      <c r="B1187" s="3" t="s">
        <v>1168</v>
      </c>
      <c r="C1187" s="4" t="s">
        <v>3</v>
      </c>
      <c r="D1187" s="5" t="s">
        <v>23</v>
      </c>
      <c r="E1187" s="6" t="s">
        <v>1173</v>
      </c>
    </row>
    <row r="1188" hidden="1">
      <c r="A1188" s="10" t="s">
        <v>1167</v>
      </c>
      <c r="B1188" s="3" t="s">
        <v>1168</v>
      </c>
      <c r="C1188" s="4" t="s">
        <v>8</v>
      </c>
      <c r="D1188" s="5" t="s">
        <v>42</v>
      </c>
      <c r="E1188" s="6" t="s">
        <v>606</v>
      </c>
    </row>
    <row r="1189">
      <c r="A1189" s="10" t="s">
        <v>1167</v>
      </c>
      <c r="B1189" s="3" t="s">
        <v>1168</v>
      </c>
      <c r="C1189" s="4" t="s">
        <v>3</v>
      </c>
      <c r="D1189" s="5" t="s">
        <v>28</v>
      </c>
      <c r="E1189" s="6" t="s">
        <v>1174</v>
      </c>
    </row>
    <row r="1190" hidden="1">
      <c r="A1190" s="10" t="s">
        <v>1167</v>
      </c>
      <c r="B1190" s="3" t="s">
        <v>1168</v>
      </c>
      <c r="C1190" s="4" t="s">
        <v>8</v>
      </c>
      <c r="D1190" s="5" t="s">
        <v>15</v>
      </c>
      <c r="E1190" s="6" t="s">
        <v>34</v>
      </c>
    </row>
    <row r="1191">
      <c r="A1191" s="10" t="s">
        <v>1167</v>
      </c>
      <c r="B1191" s="3" t="s">
        <v>1168</v>
      </c>
      <c r="C1191" s="4" t="s">
        <v>3</v>
      </c>
      <c r="D1191" s="5" t="s">
        <v>71</v>
      </c>
      <c r="E1191" s="6" t="s">
        <v>1175</v>
      </c>
    </row>
    <row r="1192">
      <c r="A1192" s="10" t="s">
        <v>1167</v>
      </c>
      <c r="B1192" s="3" t="s">
        <v>1168</v>
      </c>
      <c r="C1192" s="4" t="s">
        <v>3</v>
      </c>
      <c r="D1192" s="5" t="s">
        <v>96</v>
      </c>
      <c r="E1192" s="6" t="s">
        <v>892</v>
      </c>
    </row>
    <row r="1193">
      <c r="A1193" s="10" t="s">
        <v>1167</v>
      </c>
      <c r="B1193" s="3" t="s">
        <v>1168</v>
      </c>
      <c r="C1193" s="4" t="s">
        <v>3</v>
      </c>
      <c r="D1193" s="5" t="s">
        <v>15</v>
      </c>
      <c r="E1193" s="6" t="s">
        <v>1176</v>
      </c>
    </row>
    <row r="1194">
      <c r="A1194" s="10" t="s">
        <v>1167</v>
      </c>
      <c r="B1194" s="3" t="s">
        <v>1168</v>
      </c>
      <c r="C1194" s="4" t="s">
        <v>3</v>
      </c>
      <c r="D1194" s="5" t="s">
        <v>42</v>
      </c>
      <c r="E1194" s="6" t="s">
        <v>10</v>
      </c>
    </row>
    <row r="1195" hidden="1">
      <c r="A1195" s="10" t="s">
        <v>1167</v>
      </c>
      <c r="B1195" s="3" t="s">
        <v>1168</v>
      </c>
      <c r="C1195" s="4" t="s">
        <v>8</v>
      </c>
      <c r="D1195" s="5" t="s">
        <v>6</v>
      </c>
      <c r="E1195" s="6" t="s">
        <v>1177</v>
      </c>
    </row>
    <row r="1196">
      <c r="A1196" s="10" t="s">
        <v>1167</v>
      </c>
      <c r="B1196" s="3" t="s">
        <v>1168</v>
      </c>
      <c r="C1196" s="4" t="s">
        <v>3</v>
      </c>
      <c r="D1196" s="5" t="s">
        <v>15</v>
      </c>
      <c r="E1196" s="6" t="s">
        <v>1178</v>
      </c>
    </row>
    <row r="1197" hidden="1">
      <c r="A1197" s="10" t="s">
        <v>1167</v>
      </c>
      <c r="B1197" s="3" t="s">
        <v>1168</v>
      </c>
      <c r="C1197" s="4" t="s">
        <v>8</v>
      </c>
      <c r="D1197" s="5" t="s">
        <v>23</v>
      </c>
      <c r="E1197" s="6" t="s">
        <v>1179</v>
      </c>
    </row>
    <row r="1198" hidden="1">
      <c r="A1198" s="10" t="s">
        <v>1167</v>
      </c>
      <c r="B1198" s="3" t="s">
        <v>1168</v>
      </c>
      <c r="C1198" s="4" t="s">
        <v>8</v>
      </c>
      <c r="D1198" s="5" t="s">
        <v>120</v>
      </c>
      <c r="E1198" s="6" t="s">
        <v>1180</v>
      </c>
    </row>
    <row r="1199" hidden="1">
      <c r="A1199" s="10" t="s">
        <v>1167</v>
      </c>
      <c r="B1199" s="3" t="s">
        <v>1168</v>
      </c>
      <c r="C1199" s="4" t="s">
        <v>8</v>
      </c>
      <c r="D1199" s="5" t="s">
        <v>17</v>
      </c>
      <c r="E1199" s="6" t="s">
        <v>975</v>
      </c>
    </row>
    <row r="1200">
      <c r="A1200" s="10" t="s">
        <v>1167</v>
      </c>
      <c r="B1200" s="3" t="s">
        <v>1168</v>
      </c>
      <c r="C1200" s="4" t="s">
        <v>3</v>
      </c>
      <c r="D1200" s="5" t="s">
        <v>15</v>
      </c>
      <c r="E1200" s="6" t="s">
        <v>349</v>
      </c>
    </row>
    <row r="1201" hidden="1">
      <c r="A1201" s="10" t="s">
        <v>1181</v>
      </c>
      <c r="B1201" s="3" t="s">
        <v>1182</v>
      </c>
      <c r="C1201" s="4" t="s">
        <v>8</v>
      </c>
      <c r="D1201" s="5" t="s">
        <v>120</v>
      </c>
      <c r="E1201" s="6" t="s">
        <v>1183</v>
      </c>
    </row>
    <row r="1202" hidden="1">
      <c r="A1202" s="10" t="s">
        <v>1181</v>
      </c>
      <c r="B1202" s="3" t="s">
        <v>1182</v>
      </c>
      <c r="C1202" s="4" t="s">
        <v>8</v>
      </c>
      <c r="D1202" s="5" t="s">
        <v>6</v>
      </c>
      <c r="E1202" s="6" t="s">
        <v>1184</v>
      </c>
    </row>
    <row r="1203">
      <c r="A1203" s="10" t="s">
        <v>1181</v>
      </c>
      <c r="B1203" s="3" t="s">
        <v>1182</v>
      </c>
      <c r="C1203" s="4" t="s">
        <v>3</v>
      </c>
      <c r="D1203" s="5" t="s">
        <v>120</v>
      </c>
      <c r="E1203" s="6" t="s">
        <v>239</v>
      </c>
    </row>
    <row r="1204">
      <c r="A1204" s="10" t="s">
        <v>1181</v>
      </c>
      <c r="B1204" s="3" t="s">
        <v>1182</v>
      </c>
      <c r="C1204" s="4" t="s">
        <v>3</v>
      </c>
      <c r="D1204" s="5" t="s">
        <v>42</v>
      </c>
      <c r="E1204" s="6" t="s">
        <v>1185</v>
      </c>
    </row>
    <row r="1205">
      <c r="A1205" s="10" t="s">
        <v>1181</v>
      </c>
      <c r="B1205" s="3" t="s">
        <v>1182</v>
      </c>
      <c r="C1205" s="4" t="s">
        <v>3</v>
      </c>
      <c r="D1205" s="5" t="s">
        <v>4</v>
      </c>
      <c r="E1205" s="6" t="s">
        <v>1186</v>
      </c>
    </row>
    <row r="1206" hidden="1">
      <c r="A1206" s="10" t="s">
        <v>1181</v>
      </c>
      <c r="B1206" s="3" t="s">
        <v>1182</v>
      </c>
      <c r="C1206" s="4" t="s">
        <v>8</v>
      </c>
      <c r="D1206" s="5" t="s">
        <v>35</v>
      </c>
      <c r="E1206" s="6" t="s">
        <v>1187</v>
      </c>
    </row>
    <row r="1207" hidden="1">
      <c r="A1207" s="10" t="s">
        <v>1181</v>
      </c>
      <c r="B1207" s="3" t="s">
        <v>1182</v>
      </c>
      <c r="C1207" s="4" t="s">
        <v>8</v>
      </c>
      <c r="D1207" s="5" t="s">
        <v>19</v>
      </c>
      <c r="E1207" s="6" t="s">
        <v>1188</v>
      </c>
    </row>
    <row r="1208">
      <c r="A1208" s="10" t="s">
        <v>1181</v>
      </c>
      <c r="B1208" s="3" t="s">
        <v>1182</v>
      </c>
      <c r="C1208" s="4" t="s">
        <v>3</v>
      </c>
      <c r="D1208" s="5" t="s">
        <v>6</v>
      </c>
      <c r="E1208" s="6" t="s">
        <v>1189</v>
      </c>
    </row>
    <row r="1209">
      <c r="A1209" s="10" t="s">
        <v>1181</v>
      </c>
      <c r="B1209" s="3" t="s">
        <v>1182</v>
      </c>
      <c r="C1209" s="4" t="s">
        <v>3</v>
      </c>
      <c r="D1209" s="5" t="s">
        <v>6</v>
      </c>
      <c r="E1209" s="6" t="s">
        <v>1190</v>
      </c>
    </row>
    <row r="1210" hidden="1">
      <c r="A1210" s="10" t="s">
        <v>1181</v>
      </c>
      <c r="B1210" s="3" t="s">
        <v>1182</v>
      </c>
      <c r="C1210" s="4" t="s">
        <v>8</v>
      </c>
      <c r="D1210" s="5" t="s">
        <v>11</v>
      </c>
      <c r="E1210" s="6" t="s">
        <v>1191</v>
      </c>
    </row>
    <row r="1211" hidden="1">
      <c r="A1211" s="10" t="s">
        <v>1181</v>
      </c>
      <c r="B1211" s="3" t="s">
        <v>1182</v>
      </c>
      <c r="C1211" s="4" t="s">
        <v>8</v>
      </c>
      <c r="D1211" s="5" t="s">
        <v>28</v>
      </c>
      <c r="E1211" s="6" t="s">
        <v>1192</v>
      </c>
    </row>
    <row r="1212">
      <c r="A1212" s="10" t="s">
        <v>1181</v>
      </c>
      <c r="B1212" s="3" t="s">
        <v>1182</v>
      </c>
      <c r="C1212" s="4" t="s">
        <v>3</v>
      </c>
      <c r="D1212" s="5" t="s">
        <v>45</v>
      </c>
      <c r="E1212" s="6" t="s">
        <v>1193</v>
      </c>
    </row>
    <row r="1213">
      <c r="A1213" s="10" t="s">
        <v>1181</v>
      </c>
      <c r="B1213" s="3" t="s">
        <v>1182</v>
      </c>
      <c r="C1213" s="4" t="s">
        <v>3</v>
      </c>
      <c r="D1213" s="5" t="s">
        <v>9</v>
      </c>
      <c r="E1213" s="6" t="s">
        <v>107</v>
      </c>
    </row>
    <row r="1214">
      <c r="A1214" s="10" t="s">
        <v>1181</v>
      </c>
      <c r="B1214" s="3" t="s">
        <v>1182</v>
      </c>
      <c r="C1214" s="4" t="s">
        <v>3</v>
      </c>
      <c r="D1214" s="5" t="s">
        <v>39</v>
      </c>
      <c r="E1214" s="6" t="s">
        <v>1194</v>
      </c>
    </row>
    <row r="1215" hidden="1">
      <c r="A1215" s="10" t="s">
        <v>1181</v>
      </c>
      <c r="B1215" s="3" t="s">
        <v>1182</v>
      </c>
      <c r="C1215" s="4" t="s">
        <v>8</v>
      </c>
      <c r="D1215" s="5" t="s">
        <v>15</v>
      </c>
      <c r="E1215" s="6" t="s">
        <v>1195</v>
      </c>
    </row>
    <row r="1216" hidden="1">
      <c r="A1216" s="10" t="s">
        <v>1181</v>
      </c>
      <c r="B1216" s="3" t="s">
        <v>1182</v>
      </c>
      <c r="C1216" s="4" t="s">
        <v>8</v>
      </c>
      <c r="D1216" s="5" t="s">
        <v>17</v>
      </c>
      <c r="E1216" s="6" t="s">
        <v>1196</v>
      </c>
    </row>
    <row r="1217" hidden="1">
      <c r="A1217" s="10" t="s">
        <v>1181</v>
      </c>
      <c r="B1217" s="3" t="s">
        <v>1182</v>
      </c>
      <c r="C1217" s="4" t="s">
        <v>8</v>
      </c>
      <c r="D1217" s="5" t="s">
        <v>17</v>
      </c>
      <c r="E1217" s="6" t="s">
        <v>852</v>
      </c>
    </row>
    <row r="1218">
      <c r="A1218" s="10" t="s">
        <v>1181</v>
      </c>
      <c r="B1218" s="3" t="s">
        <v>1182</v>
      </c>
      <c r="C1218" s="4" t="s">
        <v>3</v>
      </c>
      <c r="D1218" s="5" t="s">
        <v>120</v>
      </c>
      <c r="E1218" s="6" t="s">
        <v>1197</v>
      </c>
    </row>
    <row r="1219">
      <c r="A1219" s="10" t="s">
        <v>1181</v>
      </c>
      <c r="B1219" s="3" t="s">
        <v>1182</v>
      </c>
      <c r="C1219" s="4" t="s">
        <v>3</v>
      </c>
      <c r="D1219" s="5" t="s">
        <v>42</v>
      </c>
      <c r="E1219" s="6" t="s">
        <v>606</v>
      </c>
    </row>
    <row r="1220">
      <c r="A1220" s="10" t="s">
        <v>1181</v>
      </c>
      <c r="B1220" s="3" t="s">
        <v>1182</v>
      </c>
      <c r="C1220" s="4" t="s">
        <v>3</v>
      </c>
      <c r="D1220" s="5" t="s">
        <v>76</v>
      </c>
      <c r="E1220" s="6" t="s">
        <v>1153</v>
      </c>
    </row>
    <row r="1221" hidden="1">
      <c r="A1221" s="10" t="s">
        <v>1198</v>
      </c>
      <c r="B1221" s="3" t="s">
        <v>1199</v>
      </c>
      <c r="C1221" s="4" t="s">
        <v>8</v>
      </c>
      <c r="D1221" s="5" t="s">
        <v>17</v>
      </c>
      <c r="E1221" s="6" t="s">
        <v>343</v>
      </c>
    </row>
    <row r="1222" hidden="1">
      <c r="A1222" s="10" t="s">
        <v>1198</v>
      </c>
      <c r="B1222" s="3" t="s">
        <v>1199</v>
      </c>
      <c r="C1222" s="4" t="s">
        <v>8</v>
      </c>
      <c r="D1222" s="5" t="s">
        <v>42</v>
      </c>
      <c r="E1222" s="6" t="s">
        <v>842</v>
      </c>
    </row>
    <row r="1223">
      <c r="A1223" s="10" t="s">
        <v>1198</v>
      </c>
      <c r="B1223" s="3" t="s">
        <v>1199</v>
      </c>
      <c r="C1223" s="4" t="s">
        <v>3</v>
      </c>
      <c r="D1223" s="5" t="s">
        <v>13</v>
      </c>
      <c r="E1223" s="6" t="s">
        <v>1200</v>
      </c>
    </row>
    <row r="1224">
      <c r="A1224" s="10" t="s">
        <v>1198</v>
      </c>
      <c r="B1224" s="3" t="s">
        <v>1199</v>
      </c>
      <c r="C1224" s="4" t="s">
        <v>3</v>
      </c>
      <c r="D1224" s="5" t="s">
        <v>76</v>
      </c>
      <c r="E1224" s="6" t="s">
        <v>1201</v>
      </c>
    </row>
    <row r="1225" hidden="1">
      <c r="A1225" s="10" t="s">
        <v>1198</v>
      </c>
      <c r="B1225" s="3" t="s">
        <v>1199</v>
      </c>
      <c r="C1225" s="4" t="s">
        <v>8</v>
      </c>
      <c r="D1225" s="5" t="s">
        <v>23</v>
      </c>
      <c r="E1225" s="6" t="s">
        <v>1202</v>
      </c>
    </row>
    <row r="1226" hidden="1">
      <c r="A1226" s="10" t="s">
        <v>1198</v>
      </c>
      <c r="B1226" s="3" t="s">
        <v>1199</v>
      </c>
      <c r="C1226" s="4" t="s">
        <v>8</v>
      </c>
      <c r="D1226" s="5" t="s">
        <v>6</v>
      </c>
      <c r="E1226" s="6" t="s">
        <v>1203</v>
      </c>
    </row>
    <row r="1227">
      <c r="A1227" s="10" t="s">
        <v>1198</v>
      </c>
      <c r="B1227" s="3" t="s">
        <v>1199</v>
      </c>
      <c r="C1227" s="4" t="s">
        <v>3</v>
      </c>
      <c r="D1227" s="5" t="s">
        <v>35</v>
      </c>
      <c r="E1227" s="6" t="s">
        <v>1204</v>
      </c>
    </row>
    <row r="1228" hidden="1">
      <c r="A1228" s="10" t="s">
        <v>1198</v>
      </c>
      <c r="B1228" s="3" t="s">
        <v>1199</v>
      </c>
      <c r="C1228" s="4" t="s">
        <v>8</v>
      </c>
      <c r="D1228" s="5" t="s">
        <v>51</v>
      </c>
      <c r="E1228" s="6" t="s">
        <v>1205</v>
      </c>
    </row>
    <row r="1229">
      <c r="A1229" s="10" t="s">
        <v>1198</v>
      </c>
      <c r="B1229" s="3" t="s">
        <v>1199</v>
      </c>
      <c r="C1229" s="4" t="s">
        <v>3</v>
      </c>
      <c r="D1229" s="5" t="s">
        <v>71</v>
      </c>
      <c r="E1229" s="6" t="s">
        <v>1206</v>
      </c>
    </row>
    <row r="1230" hidden="1">
      <c r="A1230" s="10" t="s">
        <v>1198</v>
      </c>
      <c r="B1230" s="3" t="s">
        <v>1199</v>
      </c>
      <c r="C1230" s="4" t="s">
        <v>8</v>
      </c>
      <c r="D1230" s="5" t="s">
        <v>42</v>
      </c>
      <c r="E1230" s="6" t="s">
        <v>1207</v>
      </c>
    </row>
    <row r="1231" hidden="1">
      <c r="A1231" s="10" t="s">
        <v>1198</v>
      </c>
      <c r="B1231" s="3" t="s">
        <v>1199</v>
      </c>
      <c r="C1231" s="4" t="s">
        <v>8</v>
      </c>
      <c r="D1231" s="5" t="s">
        <v>15</v>
      </c>
      <c r="E1231" s="6" t="s">
        <v>452</v>
      </c>
    </row>
    <row r="1232">
      <c r="A1232" s="10" t="s">
        <v>1198</v>
      </c>
      <c r="B1232" s="3" t="s">
        <v>1199</v>
      </c>
      <c r="C1232" s="4" t="s">
        <v>3</v>
      </c>
      <c r="D1232" s="5" t="s">
        <v>13</v>
      </c>
      <c r="E1232" s="6" t="s">
        <v>1208</v>
      </c>
    </row>
    <row r="1233">
      <c r="A1233" s="10" t="s">
        <v>1198</v>
      </c>
      <c r="B1233" s="3" t="s">
        <v>1199</v>
      </c>
      <c r="C1233" s="4" t="s">
        <v>3</v>
      </c>
      <c r="D1233" s="5" t="s">
        <v>17</v>
      </c>
      <c r="E1233" s="6" t="s">
        <v>878</v>
      </c>
    </row>
    <row r="1234">
      <c r="A1234" s="10" t="s">
        <v>1198</v>
      </c>
      <c r="B1234" s="3" t="s">
        <v>1199</v>
      </c>
      <c r="C1234" s="4" t="s">
        <v>3</v>
      </c>
      <c r="D1234" s="5" t="s">
        <v>35</v>
      </c>
      <c r="E1234" s="6" t="s">
        <v>1209</v>
      </c>
    </row>
    <row r="1235">
      <c r="A1235" s="10" t="s">
        <v>1198</v>
      </c>
      <c r="B1235" s="3" t="s">
        <v>1199</v>
      </c>
      <c r="C1235" s="4" t="s">
        <v>3</v>
      </c>
      <c r="D1235" s="5" t="s">
        <v>19</v>
      </c>
      <c r="E1235" s="6" t="s">
        <v>1210</v>
      </c>
    </row>
    <row r="1236" hidden="1">
      <c r="A1236" s="10" t="s">
        <v>1198</v>
      </c>
      <c r="B1236" s="3" t="s">
        <v>1199</v>
      </c>
      <c r="C1236" s="4" t="s">
        <v>8</v>
      </c>
      <c r="D1236" s="5" t="s">
        <v>120</v>
      </c>
      <c r="E1236" s="6" t="s">
        <v>1211</v>
      </c>
    </row>
    <row r="1237" hidden="1">
      <c r="A1237" s="10" t="s">
        <v>1198</v>
      </c>
      <c r="B1237" s="3" t="s">
        <v>1199</v>
      </c>
      <c r="C1237" s="4" t="s">
        <v>8</v>
      </c>
      <c r="D1237" s="5" t="s">
        <v>9</v>
      </c>
      <c r="E1237" s="6" t="s">
        <v>552</v>
      </c>
    </row>
    <row r="1238">
      <c r="A1238" s="10" t="s">
        <v>1198</v>
      </c>
      <c r="B1238" s="3" t="s">
        <v>1199</v>
      </c>
      <c r="C1238" s="4" t="s">
        <v>3</v>
      </c>
      <c r="D1238" s="5" t="s">
        <v>9</v>
      </c>
      <c r="E1238" s="6" t="s">
        <v>916</v>
      </c>
    </row>
    <row r="1239" hidden="1">
      <c r="A1239" s="10" t="s">
        <v>1198</v>
      </c>
      <c r="B1239" s="3" t="s">
        <v>1199</v>
      </c>
      <c r="C1239" s="4" t="s">
        <v>8</v>
      </c>
      <c r="D1239" s="5" t="s">
        <v>42</v>
      </c>
      <c r="E1239" s="6" t="s">
        <v>1207</v>
      </c>
    </row>
    <row r="1240" hidden="1">
      <c r="A1240" s="10" t="s">
        <v>1198</v>
      </c>
      <c r="B1240" s="3" t="s">
        <v>1199</v>
      </c>
      <c r="C1240" s="4" t="s">
        <v>8</v>
      </c>
      <c r="D1240" s="5" t="s">
        <v>11</v>
      </c>
      <c r="E1240" s="6" t="s">
        <v>1212</v>
      </c>
    </row>
    <row r="1241">
      <c r="A1241" s="10" t="s">
        <v>1213</v>
      </c>
      <c r="B1241" s="3" t="s">
        <v>1214</v>
      </c>
      <c r="C1241" s="4" t="s">
        <v>3</v>
      </c>
      <c r="D1241" s="5" t="s">
        <v>35</v>
      </c>
      <c r="E1241" s="6" t="s">
        <v>1215</v>
      </c>
    </row>
    <row r="1242" hidden="1">
      <c r="A1242" s="10" t="s">
        <v>1213</v>
      </c>
      <c r="B1242" s="3" t="s">
        <v>1214</v>
      </c>
      <c r="C1242" s="4" t="s">
        <v>8</v>
      </c>
      <c r="D1242" s="5" t="s">
        <v>15</v>
      </c>
      <c r="E1242" s="6" t="s">
        <v>202</v>
      </c>
    </row>
    <row r="1243">
      <c r="A1243" s="10" t="s">
        <v>1213</v>
      </c>
      <c r="B1243" s="3" t="s">
        <v>1214</v>
      </c>
      <c r="C1243" s="4" t="s">
        <v>3</v>
      </c>
      <c r="D1243" s="5" t="s">
        <v>120</v>
      </c>
      <c r="E1243" s="6" t="s">
        <v>1216</v>
      </c>
    </row>
    <row r="1244" hidden="1">
      <c r="A1244" s="10" t="s">
        <v>1213</v>
      </c>
      <c r="B1244" s="3" t="s">
        <v>1214</v>
      </c>
      <c r="C1244" s="4" t="s">
        <v>8</v>
      </c>
      <c r="D1244" s="5" t="s">
        <v>96</v>
      </c>
      <c r="E1244" s="6" t="s">
        <v>1217</v>
      </c>
    </row>
    <row r="1245" hidden="1">
      <c r="A1245" s="10" t="s">
        <v>1213</v>
      </c>
      <c r="B1245" s="3" t="s">
        <v>1214</v>
      </c>
      <c r="C1245" s="4" t="s">
        <v>8</v>
      </c>
      <c r="D1245" s="5" t="s">
        <v>15</v>
      </c>
      <c r="E1245" s="6" t="s">
        <v>609</v>
      </c>
    </row>
    <row r="1246" hidden="1">
      <c r="A1246" s="10" t="s">
        <v>1213</v>
      </c>
      <c r="B1246" s="3" t="s">
        <v>1214</v>
      </c>
      <c r="C1246" s="4" t="s">
        <v>8</v>
      </c>
      <c r="D1246" s="5" t="s">
        <v>15</v>
      </c>
      <c r="E1246" s="6" t="s">
        <v>1218</v>
      </c>
    </row>
    <row r="1247" hidden="1">
      <c r="A1247" s="10" t="s">
        <v>1213</v>
      </c>
      <c r="B1247" s="3" t="s">
        <v>1214</v>
      </c>
      <c r="C1247" s="4" t="s">
        <v>8</v>
      </c>
      <c r="D1247" s="5" t="s">
        <v>23</v>
      </c>
      <c r="E1247" s="6" t="s">
        <v>1219</v>
      </c>
    </row>
    <row r="1248">
      <c r="A1248" s="10" t="s">
        <v>1213</v>
      </c>
      <c r="B1248" s="3" t="s">
        <v>1214</v>
      </c>
      <c r="C1248" s="4" t="s">
        <v>3</v>
      </c>
      <c r="D1248" s="5" t="s">
        <v>17</v>
      </c>
      <c r="E1248" s="6" t="s">
        <v>1220</v>
      </c>
    </row>
    <row r="1249">
      <c r="A1249" s="10" t="s">
        <v>1213</v>
      </c>
      <c r="B1249" s="3" t="s">
        <v>1214</v>
      </c>
      <c r="C1249" s="4" t="s">
        <v>3</v>
      </c>
      <c r="D1249" s="5" t="s">
        <v>45</v>
      </c>
      <c r="E1249" s="6" t="s">
        <v>1221</v>
      </c>
    </row>
    <row r="1250">
      <c r="A1250" s="10" t="s">
        <v>1213</v>
      </c>
      <c r="B1250" s="3" t="s">
        <v>1214</v>
      </c>
      <c r="C1250" s="4" t="s">
        <v>3</v>
      </c>
      <c r="D1250" s="5" t="s">
        <v>45</v>
      </c>
      <c r="E1250" s="6" t="s">
        <v>1222</v>
      </c>
    </row>
    <row r="1251">
      <c r="A1251" s="10" t="s">
        <v>1213</v>
      </c>
      <c r="B1251" s="3" t="s">
        <v>1214</v>
      </c>
      <c r="C1251" s="4" t="s">
        <v>3</v>
      </c>
      <c r="D1251" s="5" t="s">
        <v>76</v>
      </c>
      <c r="E1251" s="6" t="s">
        <v>618</v>
      </c>
    </row>
    <row r="1252" hidden="1">
      <c r="A1252" s="10" t="s">
        <v>1213</v>
      </c>
      <c r="B1252" s="3" t="s">
        <v>1214</v>
      </c>
      <c r="C1252" s="4" t="s">
        <v>8</v>
      </c>
      <c r="D1252" s="5" t="s">
        <v>28</v>
      </c>
      <c r="E1252" s="6" t="s">
        <v>1223</v>
      </c>
    </row>
    <row r="1253">
      <c r="A1253" s="10" t="s">
        <v>1213</v>
      </c>
      <c r="B1253" s="3" t="s">
        <v>1214</v>
      </c>
      <c r="C1253" s="4" t="s">
        <v>3</v>
      </c>
      <c r="D1253" s="5" t="s">
        <v>13</v>
      </c>
      <c r="E1253" s="6" t="s">
        <v>654</v>
      </c>
    </row>
    <row r="1254" hidden="1">
      <c r="A1254" s="10" t="s">
        <v>1213</v>
      </c>
      <c r="B1254" s="3" t="s">
        <v>1214</v>
      </c>
      <c r="C1254" s="4" t="s">
        <v>8</v>
      </c>
      <c r="D1254" s="5" t="s">
        <v>71</v>
      </c>
      <c r="E1254" s="6" t="s">
        <v>1224</v>
      </c>
    </row>
    <row r="1255" hidden="1">
      <c r="A1255" s="10" t="s">
        <v>1213</v>
      </c>
      <c r="B1255" s="3" t="s">
        <v>1214</v>
      </c>
      <c r="C1255" s="4" t="s">
        <v>8</v>
      </c>
      <c r="D1255" s="5" t="s">
        <v>13</v>
      </c>
      <c r="E1255" s="6" t="s">
        <v>1225</v>
      </c>
    </row>
    <row r="1256" hidden="1">
      <c r="A1256" s="10" t="s">
        <v>1213</v>
      </c>
      <c r="B1256" s="3" t="s">
        <v>1214</v>
      </c>
      <c r="C1256" s="4" t="s">
        <v>8</v>
      </c>
      <c r="D1256" s="5" t="s">
        <v>39</v>
      </c>
      <c r="E1256" s="6" t="s">
        <v>914</v>
      </c>
    </row>
    <row r="1257" hidden="1">
      <c r="A1257" s="10" t="s">
        <v>1213</v>
      </c>
      <c r="B1257" s="3" t="s">
        <v>1214</v>
      </c>
      <c r="C1257" s="4" t="s">
        <v>8</v>
      </c>
      <c r="D1257" s="5" t="s">
        <v>17</v>
      </c>
      <c r="E1257" s="6" t="s">
        <v>1226</v>
      </c>
    </row>
    <row r="1258" hidden="1">
      <c r="A1258" s="10" t="s">
        <v>1213</v>
      </c>
      <c r="B1258" s="3" t="s">
        <v>1214</v>
      </c>
      <c r="C1258" s="4" t="s">
        <v>8</v>
      </c>
      <c r="D1258" s="5" t="s">
        <v>15</v>
      </c>
      <c r="E1258" s="6" t="s">
        <v>452</v>
      </c>
    </row>
    <row r="1259" hidden="1">
      <c r="A1259" s="10" t="s">
        <v>1213</v>
      </c>
      <c r="B1259" s="3" t="s">
        <v>1214</v>
      </c>
      <c r="C1259" s="4" t="s">
        <v>8</v>
      </c>
      <c r="D1259" s="5" t="s">
        <v>15</v>
      </c>
      <c r="E1259" s="6" t="s">
        <v>396</v>
      </c>
    </row>
    <row r="1260" hidden="1">
      <c r="A1260" s="10" t="s">
        <v>1213</v>
      </c>
      <c r="B1260" s="3" t="s">
        <v>1214</v>
      </c>
      <c r="C1260" s="4" t="s">
        <v>8</v>
      </c>
      <c r="D1260" s="5" t="s">
        <v>23</v>
      </c>
      <c r="E1260" s="6" t="s">
        <v>1227</v>
      </c>
    </row>
    <row r="1261">
      <c r="A1261" s="10" t="s">
        <v>1228</v>
      </c>
      <c r="B1261" s="3" t="s">
        <v>1229</v>
      </c>
      <c r="C1261" s="4" t="s">
        <v>3</v>
      </c>
      <c r="D1261" s="5" t="s">
        <v>19</v>
      </c>
      <c r="E1261" s="6" t="s">
        <v>1174</v>
      </c>
    </row>
    <row r="1262" hidden="1">
      <c r="A1262" s="10" t="s">
        <v>1228</v>
      </c>
      <c r="B1262" s="3" t="s">
        <v>1229</v>
      </c>
      <c r="C1262" s="4" t="s">
        <v>8</v>
      </c>
      <c r="D1262" s="5" t="s">
        <v>9</v>
      </c>
      <c r="E1262" s="6" t="s">
        <v>1230</v>
      </c>
    </row>
    <row r="1263" hidden="1">
      <c r="A1263" s="10" t="s">
        <v>1228</v>
      </c>
      <c r="B1263" s="3" t="s">
        <v>1229</v>
      </c>
      <c r="C1263" s="4" t="s">
        <v>8</v>
      </c>
      <c r="D1263" s="5" t="s">
        <v>96</v>
      </c>
      <c r="E1263" s="6" t="s">
        <v>382</v>
      </c>
    </row>
    <row r="1264" hidden="1">
      <c r="A1264" s="10" t="s">
        <v>1228</v>
      </c>
      <c r="B1264" s="3" t="s">
        <v>1229</v>
      </c>
      <c r="C1264" s="4" t="s">
        <v>8</v>
      </c>
      <c r="D1264" s="5" t="s">
        <v>4</v>
      </c>
      <c r="E1264" s="6" t="s">
        <v>1231</v>
      </c>
    </row>
    <row r="1265" hidden="1">
      <c r="A1265" s="10" t="s">
        <v>1228</v>
      </c>
      <c r="B1265" s="3" t="s">
        <v>1229</v>
      </c>
      <c r="C1265" s="4" t="s">
        <v>8</v>
      </c>
      <c r="D1265" s="5" t="s">
        <v>35</v>
      </c>
      <c r="E1265" s="6" t="s">
        <v>1232</v>
      </c>
    </row>
    <row r="1266">
      <c r="A1266" s="10" t="s">
        <v>1228</v>
      </c>
      <c r="B1266" s="3" t="s">
        <v>1229</v>
      </c>
      <c r="C1266" s="4" t="s">
        <v>3</v>
      </c>
      <c r="D1266" s="5" t="s">
        <v>17</v>
      </c>
      <c r="E1266" s="6" t="s">
        <v>1001</v>
      </c>
    </row>
    <row r="1267">
      <c r="A1267" s="10" t="s">
        <v>1228</v>
      </c>
      <c r="B1267" s="3" t="s">
        <v>1229</v>
      </c>
      <c r="C1267" s="4" t="s">
        <v>3</v>
      </c>
      <c r="D1267" s="5" t="s">
        <v>23</v>
      </c>
      <c r="E1267" s="6" t="s">
        <v>163</v>
      </c>
    </row>
    <row r="1268">
      <c r="A1268" s="10" t="s">
        <v>1228</v>
      </c>
      <c r="B1268" s="3" t="s">
        <v>1229</v>
      </c>
      <c r="C1268" s="4" t="s">
        <v>3</v>
      </c>
      <c r="D1268" s="5" t="s">
        <v>21</v>
      </c>
      <c r="E1268" s="6" t="s">
        <v>58</v>
      </c>
    </row>
    <row r="1269" hidden="1">
      <c r="A1269" s="10" t="s">
        <v>1228</v>
      </c>
      <c r="B1269" s="3" t="s">
        <v>1229</v>
      </c>
      <c r="C1269" s="4" t="s">
        <v>8</v>
      </c>
      <c r="D1269" s="5" t="s">
        <v>13</v>
      </c>
      <c r="E1269" s="6" t="s">
        <v>1233</v>
      </c>
    </row>
    <row r="1270" hidden="1">
      <c r="A1270" s="10" t="s">
        <v>1228</v>
      </c>
      <c r="B1270" s="3" t="s">
        <v>1229</v>
      </c>
      <c r="C1270" s="4" t="s">
        <v>8</v>
      </c>
      <c r="D1270" s="5" t="s">
        <v>96</v>
      </c>
      <c r="E1270" s="6" t="s">
        <v>1234</v>
      </c>
    </row>
    <row r="1271">
      <c r="A1271" s="10" t="s">
        <v>1228</v>
      </c>
      <c r="B1271" s="3" t="s">
        <v>1229</v>
      </c>
      <c r="C1271" s="4" t="s">
        <v>3</v>
      </c>
      <c r="D1271" s="5" t="s">
        <v>96</v>
      </c>
      <c r="E1271" s="6" t="s">
        <v>894</v>
      </c>
    </row>
    <row r="1272" hidden="1">
      <c r="A1272" s="10" t="s">
        <v>1228</v>
      </c>
      <c r="B1272" s="3" t="s">
        <v>1229</v>
      </c>
      <c r="C1272" s="4" t="s">
        <v>8</v>
      </c>
      <c r="D1272" s="5" t="s">
        <v>51</v>
      </c>
      <c r="E1272" s="6" t="s">
        <v>97</v>
      </c>
    </row>
    <row r="1273" hidden="1">
      <c r="A1273" s="10" t="s">
        <v>1228</v>
      </c>
      <c r="B1273" s="3" t="s">
        <v>1229</v>
      </c>
      <c r="C1273" s="4" t="s">
        <v>8</v>
      </c>
      <c r="D1273" s="5" t="s">
        <v>120</v>
      </c>
      <c r="E1273" s="6" t="s">
        <v>1235</v>
      </c>
    </row>
    <row r="1274" hidden="1">
      <c r="A1274" s="10" t="s">
        <v>1228</v>
      </c>
      <c r="B1274" s="3" t="s">
        <v>1229</v>
      </c>
      <c r="C1274" s="4" t="s">
        <v>8</v>
      </c>
      <c r="D1274" s="5" t="s">
        <v>76</v>
      </c>
      <c r="E1274" s="6" t="s">
        <v>1236</v>
      </c>
    </row>
    <row r="1275" hidden="1">
      <c r="A1275" s="10" t="s">
        <v>1228</v>
      </c>
      <c r="B1275" s="3" t="s">
        <v>1229</v>
      </c>
      <c r="C1275" s="4" t="s">
        <v>8</v>
      </c>
      <c r="D1275" s="5" t="s">
        <v>42</v>
      </c>
      <c r="E1275" s="6" t="s">
        <v>196</v>
      </c>
    </row>
    <row r="1276" hidden="1">
      <c r="A1276" s="10" t="s">
        <v>1228</v>
      </c>
      <c r="B1276" s="3" t="s">
        <v>1229</v>
      </c>
      <c r="C1276" s="4" t="s">
        <v>8</v>
      </c>
      <c r="D1276" s="5" t="s">
        <v>51</v>
      </c>
      <c r="E1276" s="6" t="s">
        <v>1237</v>
      </c>
    </row>
    <row r="1277" hidden="1">
      <c r="A1277" s="10" t="s">
        <v>1228</v>
      </c>
      <c r="B1277" s="3" t="s">
        <v>1229</v>
      </c>
      <c r="C1277" s="4" t="s">
        <v>8</v>
      </c>
      <c r="D1277" s="5" t="s">
        <v>15</v>
      </c>
      <c r="E1277" s="6" t="s">
        <v>422</v>
      </c>
    </row>
    <row r="1278">
      <c r="A1278" s="10" t="s">
        <v>1228</v>
      </c>
      <c r="B1278" s="3" t="s">
        <v>1229</v>
      </c>
      <c r="C1278" s="4" t="s">
        <v>3</v>
      </c>
      <c r="D1278" s="5" t="s">
        <v>21</v>
      </c>
      <c r="E1278" s="6" t="s">
        <v>193</v>
      </c>
    </row>
    <row r="1279">
      <c r="A1279" s="10" t="s">
        <v>1228</v>
      </c>
      <c r="B1279" s="3" t="s">
        <v>1229</v>
      </c>
      <c r="C1279" s="4" t="s">
        <v>3</v>
      </c>
      <c r="D1279" s="5" t="s">
        <v>71</v>
      </c>
      <c r="E1279" s="6" t="s">
        <v>1238</v>
      </c>
    </row>
    <row r="1280">
      <c r="A1280" s="10" t="s">
        <v>1228</v>
      </c>
      <c r="B1280" s="3" t="s">
        <v>1229</v>
      </c>
      <c r="C1280" s="4" t="s">
        <v>3</v>
      </c>
      <c r="D1280" s="5" t="s">
        <v>28</v>
      </c>
      <c r="E1280" s="6" t="s">
        <v>1239</v>
      </c>
    </row>
    <row r="1281">
      <c r="A1281" s="10" t="s">
        <v>1240</v>
      </c>
      <c r="B1281" s="3" t="s">
        <v>1241</v>
      </c>
      <c r="C1281" s="4" t="s">
        <v>3</v>
      </c>
      <c r="D1281" s="5" t="s">
        <v>39</v>
      </c>
      <c r="E1281" s="6" t="s">
        <v>1242</v>
      </c>
    </row>
    <row r="1282">
      <c r="A1282" s="10" t="s">
        <v>1240</v>
      </c>
      <c r="B1282" s="3" t="s">
        <v>1241</v>
      </c>
      <c r="C1282" s="4" t="s">
        <v>3</v>
      </c>
      <c r="D1282" s="5" t="s">
        <v>76</v>
      </c>
      <c r="E1282" s="6" t="s">
        <v>1127</v>
      </c>
    </row>
    <row r="1283" hidden="1">
      <c r="A1283" s="10" t="s">
        <v>1240</v>
      </c>
      <c r="B1283" s="3" t="s">
        <v>1241</v>
      </c>
      <c r="C1283" s="4" t="s">
        <v>8</v>
      </c>
      <c r="D1283" s="5" t="s">
        <v>120</v>
      </c>
      <c r="E1283" s="6" t="s">
        <v>1243</v>
      </c>
    </row>
    <row r="1284">
      <c r="A1284" s="10" t="s">
        <v>1240</v>
      </c>
      <c r="B1284" s="3" t="s">
        <v>1241</v>
      </c>
      <c r="C1284" s="4" t="s">
        <v>3</v>
      </c>
      <c r="D1284" s="5" t="s">
        <v>51</v>
      </c>
      <c r="E1284" s="6" t="s">
        <v>1244</v>
      </c>
    </row>
    <row r="1285" hidden="1">
      <c r="A1285" s="10" t="s">
        <v>1240</v>
      </c>
      <c r="B1285" s="3" t="s">
        <v>1241</v>
      </c>
      <c r="C1285" s="4" t="s">
        <v>8</v>
      </c>
      <c r="D1285" s="5" t="s">
        <v>9</v>
      </c>
      <c r="E1285" s="6" t="s">
        <v>1245</v>
      </c>
    </row>
    <row r="1286" hidden="1">
      <c r="A1286" s="10" t="s">
        <v>1240</v>
      </c>
      <c r="B1286" s="3" t="s">
        <v>1241</v>
      </c>
      <c r="C1286" s="4" t="s">
        <v>8</v>
      </c>
      <c r="D1286" s="5" t="s">
        <v>21</v>
      </c>
      <c r="E1286" s="6" t="s">
        <v>1246</v>
      </c>
    </row>
    <row r="1287" hidden="1">
      <c r="A1287" s="10" t="s">
        <v>1240</v>
      </c>
      <c r="B1287" s="3" t="s">
        <v>1241</v>
      </c>
      <c r="C1287" s="4" t="s">
        <v>8</v>
      </c>
      <c r="D1287" s="5" t="s">
        <v>23</v>
      </c>
      <c r="E1287" s="6" t="s">
        <v>1247</v>
      </c>
    </row>
    <row r="1288" hidden="1">
      <c r="A1288" s="10" t="s">
        <v>1240</v>
      </c>
      <c r="B1288" s="3" t="s">
        <v>1241</v>
      </c>
      <c r="C1288" s="4" t="s">
        <v>8</v>
      </c>
      <c r="D1288" s="5" t="s">
        <v>15</v>
      </c>
      <c r="E1288" s="6" t="s">
        <v>1248</v>
      </c>
    </row>
    <row r="1289" hidden="1">
      <c r="A1289" s="10" t="s">
        <v>1240</v>
      </c>
      <c r="B1289" s="3" t="s">
        <v>1241</v>
      </c>
      <c r="C1289" s="4" t="s">
        <v>8</v>
      </c>
      <c r="D1289" s="5" t="s">
        <v>35</v>
      </c>
      <c r="E1289" s="6" t="s">
        <v>1249</v>
      </c>
    </row>
    <row r="1290" hidden="1">
      <c r="A1290" s="10" t="s">
        <v>1240</v>
      </c>
      <c r="B1290" s="3" t="s">
        <v>1241</v>
      </c>
      <c r="C1290" s="4" t="s">
        <v>8</v>
      </c>
      <c r="D1290" s="5" t="s">
        <v>35</v>
      </c>
      <c r="E1290" s="6" t="s">
        <v>1250</v>
      </c>
    </row>
    <row r="1291" hidden="1">
      <c r="A1291" s="10" t="s">
        <v>1240</v>
      </c>
      <c r="B1291" s="3" t="s">
        <v>1241</v>
      </c>
      <c r="C1291" s="4" t="s">
        <v>8</v>
      </c>
      <c r="D1291" s="5" t="s">
        <v>19</v>
      </c>
      <c r="E1291" s="6" t="s">
        <v>1251</v>
      </c>
    </row>
    <row r="1292" hidden="1">
      <c r="A1292" s="10" t="s">
        <v>1240</v>
      </c>
      <c r="B1292" s="3" t="s">
        <v>1241</v>
      </c>
      <c r="C1292" s="4" t="s">
        <v>8</v>
      </c>
      <c r="D1292" s="5" t="s">
        <v>23</v>
      </c>
      <c r="E1292" s="6" t="s">
        <v>1252</v>
      </c>
    </row>
    <row r="1293">
      <c r="A1293" s="10" t="s">
        <v>1240</v>
      </c>
      <c r="B1293" s="3" t="s">
        <v>1241</v>
      </c>
      <c r="C1293" s="4" t="s">
        <v>3</v>
      </c>
      <c r="D1293" s="5" t="s">
        <v>120</v>
      </c>
      <c r="E1293" s="6" t="s">
        <v>1253</v>
      </c>
    </row>
    <row r="1294">
      <c r="A1294" s="10" t="s">
        <v>1240</v>
      </c>
      <c r="B1294" s="3" t="s">
        <v>1241</v>
      </c>
      <c r="C1294" s="4" t="s">
        <v>3</v>
      </c>
      <c r="D1294" s="5" t="s">
        <v>120</v>
      </c>
      <c r="E1294" s="6" t="s">
        <v>1254</v>
      </c>
    </row>
    <row r="1295" hidden="1">
      <c r="A1295" s="10" t="s">
        <v>1240</v>
      </c>
      <c r="B1295" s="3" t="s">
        <v>1241</v>
      </c>
      <c r="C1295" s="4" t="s">
        <v>8</v>
      </c>
      <c r="D1295" s="5" t="s">
        <v>39</v>
      </c>
      <c r="E1295" s="6" t="s">
        <v>1255</v>
      </c>
    </row>
    <row r="1296" hidden="1">
      <c r="A1296" s="10" t="s">
        <v>1240</v>
      </c>
      <c r="B1296" s="3" t="s">
        <v>1241</v>
      </c>
      <c r="C1296" s="4" t="s">
        <v>8</v>
      </c>
      <c r="D1296" s="5" t="s">
        <v>17</v>
      </c>
      <c r="E1296" s="6" t="s">
        <v>686</v>
      </c>
    </row>
    <row r="1297">
      <c r="A1297" s="10" t="s">
        <v>1240</v>
      </c>
      <c r="B1297" s="3" t="s">
        <v>1241</v>
      </c>
      <c r="C1297" s="4" t="s">
        <v>3</v>
      </c>
      <c r="D1297" s="5" t="s">
        <v>28</v>
      </c>
      <c r="E1297" s="6" t="s">
        <v>1256</v>
      </c>
    </row>
    <row r="1298">
      <c r="A1298" s="10" t="s">
        <v>1240</v>
      </c>
      <c r="B1298" s="3" t="s">
        <v>1241</v>
      </c>
      <c r="C1298" s="4" t="s">
        <v>3</v>
      </c>
      <c r="D1298" s="5" t="s">
        <v>76</v>
      </c>
      <c r="E1298" s="6" t="s">
        <v>1257</v>
      </c>
    </row>
    <row r="1299">
      <c r="A1299" s="10" t="s">
        <v>1240</v>
      </c>
      <c r="B1299" s="3" t="s">
        <v>1241</v>
      </c>
      <c r="C1299" s="4" t="s">
        <v>3</v>
      </c>
      <c r="D1299" s="5" t="s">
        <v>21</v>
      </c>
      <c r="E1299" s="6" t="s">
        <v>1218</v>
      </c>
    </row>
    <row r="1300">
      <c r="A1300" s="10" t="s">
        <v>1240</v>
      </c>
      <c r="B1300" s="3" t="s">
        <v>1241</v>
      </c>
      <c r="C1300" s="4" t="s">
        <v>3</v>
      </c>
      <c r="D1300" s="5" t="s">
        <v>35</v>
      </c>
      <c r="E1300" s="6" t="s">
        <v>893</v>
      </c>
    </row>
    <row r="1301" hidden="1">
      <c r="A1301" s="10" t="s">
        <v>1258</v>
      </c>
      <c r="B1301" s="3" t="s">
        <v>1259</v>
      </c>
      <c r="C1301" s="4" t="s">
        <v>8</v>
      </c>
      <c r="D1301" s="5" t="s">
        <v>51</v>
      </c>
      <c r="E1301" s="6" t="s">
        <v>1260</v>
      </c>
    </row>
    <row r="1302">
      <c r="A1302" s="10" t="s">
        <v>1258</v>
      </c>
      <c r="B1302" s="3" t="s">
        <v>1259</v>
      </c>
      <c r="C1302" s="4" t="s">
        <v>3</v>
      </c>
      <c r="D1302" s="5" t="s">
        <v>120</v>
      </c>
      <c r="E1302" s="6" t="s">
        <v>1261</v>
      </c>
    </row>
    <row r="1303" hidden="1">
      <c r="A1303" s="10" t="s">
        <v>1258</v>
      </c>
      <c r="B1303" s="3" t="s">
        <v>1259</v>
      </c>
      <c r="C1303" s="4" t="s">
        <v>8</v>
      </c>
      <c r="D1303" s="5" t="s">
        <v>96</v>
      </c>
      <c r="E1303" s="6" t="s">
        <v>1262</v>
      </c>
    </row>
    <row r="1304" hidden="1">
      <c r="A1304" s="10" t="s">
        <v>1258</v>
      </c>
      <c r="B1304" s="3" t="s">
        <v>1259</v>
      </c>
      <c r="C1304" s="4" t="s">
        <v>8</v>
      </c>
      <c r="D1304" s="5" t="s">
        <v>11</v>
      </c>
      <c r="E1304" s="6" t="s">
        <v>1263</v>
      </c>
    </row>
    <row r="1305">
      <c r="A1305" s="10" t="s">
        <v>1258</v>
      </c>
      <c r="B1305" s="3" t="s">
        <v>1259</v>
      </c>
      <c r="C1305" s="4" t="s">
        <v>3</v>
      </c>
      <c r="D1305" s="5" t="s">
        <v>4</v>
      </c>
      <c r="E1305" s="6" t="s">
        <v>1264</v>
      </c>
    </row>
    <row r="1306" hidden="1">
      <c r="A1306" s="10" t="s">
        <v>1258</v>
      </c>
      <c r="B1306" s="3" t="s">
        <v>1259</v>
      </c>
      <c r="C1306" s="4" t="s">
        <v>8</v>
      </c>
      <c r="D1306" s="5" t="s">
        <v>23</v>
      </c>
      <c r="E1306" s="6" t="s">
        <v>1265</v>
      </c>
    </row>
    <row r="1307">
      <c r="A1307" s="10" t="s">
        <v>1258</v>
      </c>
      <c r="B1307" s="3" t="s">
        <v>1259</v>
      </c>
      <c r="C1307" s="4" t="s">
        <v>3</v>
      </c>
      <c r="D1307" s="5" t="s">
        <v>6</v>
      </c>
      <c r="E1307" s="6" t="s">
        <v>1266</v>
      </c>
    </row>
    <row r="1308" hidden="1">
      <c r="A1308" s="10" t="s">
        <v>1258</v>
      </c>
      <c r="B1308" s="3" t="s">
        <v>1259</v>
      </c>
      <c r="C1308" s="4" t="s">
        <v>8</v>
      </c>
      <c r="D1308" s="5" t="s">
        <v>71</v>
      </c>
      <c r="E1308" s="6" t="s">
        <v>1267</v>
      </c>
    </row>
    <row r="1309" hidden="1">
      <c r="A1309" s="10" t="s">
        <v>1258</v>
      </c>
      <c r="B1309" s="3" t="s">
        <v>1259</v>
      </c>
      <c r="C1309" s="4" t="s">
        <v>8</v>
      </c>
      <c r="D1309" s="5" t="s">
        <v>4</v>
      </c>
      <c r="E1309" s="6" t="s">
        <v>1268</v>
      </c>
    </row>
    <row r="1310" hidden="1">
      <c r="A1310" s="10" t="s">
        <v>1258</v>
      </c>
      <c r="B1310" s="3" t="s">
        <v>1259</v>
      </c>
      <c r="C1310" s="4" t="s">
        <v>8</v>
      </c>
      <c r="D1310" s="5" t="s">
        <v>39</v>
      </c>
      <c r="E1310" s="6" t="s">
        <v>1269</v>
      </c>
    </row>
    <row r="1311">
      <c r="A1311" s="10" t="s">
        <v>1258</v>
      </c>
      <c r="B1311" s="3" t="s">
        <v>1259</v>
      </c>
      <c r="C1311" s="4" t="s">
        <v>3</v>
      </c>
      <c r="D1311" s="5" t="s">
        <v>23</v>
      </c>
      <c r="E1311" s="6" t="s">
        <v>1042</v>
      </c>
    </row>
    <row r="1312" hidden="1">
      <c r="A1312" s="10" t="s">
        <v>1258</v>
      </c>
      <c r="B1312" s="3" t="s">
        <v>1259</v>
      </c>
      <c r="C1312" s="4" t="s">
        <v>8</v>
      </c>
      <c r="D1312" s="5" t="s">
        <v>17</v>
      </c>
      <c r="E1312" s="6" t="s">
        <v>1270</v>
      </c>
    </row>
    <row r="1313" hidden="1">
      <c r="A1313" s="10" t="s">
        <v>1258</v>
      </c>
      <c r="B1313" s="3" t="s">
        <v>1259</v>
      </c>
      <c r="C1313" s="4" t="s">
        <v>8</v>
      </c>
      <c r="D1313" s="5" t="s">
        <v>4</v>
      </c>
      <c r="E1313" s="6" t="s">
        <v>1271</v>
      </c>
    </row>
    <row r="1314" hidden="1">
      <c r="A1314" s="10" t="s">
        <v>1258</v>
      </c>
      <c r="B1314" s="3" t="s">
        <v>1259</v>
      </c>
      <c r="C1314" s="4" t="s">
        <v>8</v>
      </c>
      <c r="D1314" s="5" t="s">
        <v>51</v>
      </c>
      <c r="E1314" s="6" t="s">
        <v>1272</v>
      </c>
    </row>
    <row r="1315">
      <c r="A1315" s="10" t="s">
        <v>1258</v>
      </c>
      <c r="B1315" s="3" t="s">
        <v>1259</v>
      </c>
      <c r="C1315" s="4" t="s">
        <v>3</v>
      </c>
      <c r="D1315" s="5" t="s">
        <v>13</v>
      </c>
      <c r="E1315" s="6" t="s">
        <v>1273</v>
      </c>
    </row>
    <row r="1316">
      <c r="A1316" s="10" t="s">
        <v>1258</v>
      </c>
      <c r="B1316" s="3" t="s">
        <v>1259</v>
      </c>
      <c r="C1316" s="4" t="s">
        <v>3</v>
      </c>
      <c r="D1316" s="5" t="s">
        <v>51</v>
      </c>
      <c r="E1316" s="6" t="s">
        <v>1274</v>
      </c>
    </row>
    <row r="1317">
      <c r="A1317" s="10" t="s">
        <v>1258</v>
      </c>
      <c r="B1317" s="3" t="s">
        <v>1259</v>
      </c>
      <c r="C1317" s="4" t="s">
        <v>3</v>
      </c>
      <c r="D1317" s="5" t="s">
        <v>6</v>
      </c>
      <c r="E1317" s="6" t="s">
        <v>1275</v>
      </c>
    </row>
    <row r="1318">
      <c r="A1318" s="10" t="s">
        <v>1258</v>
      </c>
      <c r="B1318" s="3" t="s">
        <v>1259</v>
      </c>
      <c r="C1318" s="4" t="s">
        <v>3</v>
      </c>
      <c r="D1318" s="5" t="s">
        <v>45</v>
      </c>
      <c r="E1318" s="6" t="s">
        <v>1276</v>
      </c>
    </row>
    <row r="1319">
      <c r="A1319" s="10" t="s">
        <v>1258</v>
      </c>
      <c r="B1319" s="3" t="s">
        <v>1259</v>
      </c>
      <c r="C1319" s="4" t="s">
        <v>3</v>
      </c>
      <c r="D1319" s="5" t="s">
        <v>13</v>
      </c>
      <c r="E1319" s="6" t="s">
        <v>1277</v>
      </c>
    </row>
    <row r="1320" hidden="1">
      <c r="A1320" s="10" t="s">
        <v>1258</v>
      </c>
      <c r="B1320" s="3" t="s">
        <v>1259</v>
      </c>
      <c r="C1320" s="4" t="s">
        <v>8</v>
      </c>
      <c r="D1320" s="5" t="s">
        <v>15</v>
      </c>
      <c r="E1320" s="6" t="s">
        <v>782</v>
      </c>
    </row>
    <row r="1321">
      <c r="A1321" s="10" t="s">
        <v>1278</v>
      </c>
      <c r="B1321" s="3" t="s">
        <v>1279</v>
      </c>
      <c r="C1321" s="4" t="s">
        <v>3</v>
      </c>
      <c r="D1321" s="5" t="s">
        <v>9</v>
      </c>
      <c r="E1321" s="6" t="s">
        <v>1280</v>
      </c>
    </row>
    <row r="1322" hidden="1">
      <c r="A1322" s="10" t="s">
        <v>1278</v>
      </c>
      <c r="B1322" s="3" t="s">
        <v>1279</v>
      </c>
      <c r="C1322" s="4" t="s">
        <v>8</v>
      </c>
      <c r="D1322" s="5" t="s">
        <v>39</v>
      </c>
      <c r="E1322" s="6" t="s">
        <v>1281</v>
      </c>
    </row>
    <row r="1323">
      <c r="A1323" s="10" t="s">
        <v>1278</v>
      </c>
      <c r="B1323" s="3" t="s">
        <v>1279</v>
      </c>
      <c r="C1323" s="4" t="s">
        <v>3</v>
      </c>
      <c r="D1323" s="5" t="s">
        <v>6</v>
      </c>
      <c r="E1323" s="6" t="s">
        <v>1282</v>
      </c>
    </row>
    <row r="1324">
      <c r="A1324" s="10" t="s">
        <v>1278</v>
      </c>
      <c r="B1324" s="3" t="s">
        <v>1279</v>
      </c>
      <c r="C1324" s="4" t="s">
        <v>3</v>
      </c>
      <c r="D1324" s="5" t="s">
        <v>23</v>
      </c>
      <c r="E1324" s="6" t="s">
        <v>1283</v>
      </c>
    </row>
    <row r="1325" hidden="1">
      <c r="A1325" s="10" t="s">
        <v>1278</v>
      </c>
      <c r="B1325" s="3" t="s">
        <v>1279</v>
      </c>
      <c r="C1325" s="4" t="s">
        <v>8</v>
      </c>
      <c r="D1325" s="5" t="s">
        <v>76</v>
      </c>
      <c r="E1325" s="6" t="s">
        <v>1284</v>
      </c>
    </row>
    <row r="1326" hidden="1">
      <c r="A1326" s="10" t="s">
        <v>1278</v>
      </c>
      <c r="B1326" s="3" t="s">
        <v>1279</v>
      </c>
      <c r="C1326" s="4" t="s">
        <v>8</v>
      </c>
      <c r="D1326" s="5" t="s">
        <v>21</v>
      </c>
      <c r="E1326" s="6" t="s">
        <v>1285</v>
      </c>
    </row>
    <row r="1327" hidden="1">
      <c r="A1327" s="10" t="s">
        <v>1278</v>
      </c>
      <c r="B1327" s="3" t="s">
        <v>1279</v>
      </c>
      <c r="C1327" s="4" t="s">
        <v>8</v>
      </c>
      <c r="D1327" s="5" t="s">
        <v>23</v>
      </c>
      <c r="E1327" s="6" t="s">
        <v>1286</v>
      </c>
    </row>
    <row r="1328">
      <c r="A1328" s="10" t="s">
        <v>1278</v>
      </c>
      <c r="B1328" s="3" t="s">
        <v>1279</v>
      </c>
      <c r="C1328" s="4" t="s">
        <v>3</v>
      </c>
      <c r="D1328" s="5" t="s">
        <v>76</v>
      </c>
      <c r="E1328" s="6" t="s">
        <v>1287</v>
      </c>
    </row>
    <row r="1329" hidden="1">
      <c r="A1329" s="10" t="s">
        <v>1278</v>
      </c>
      <c r="B1329" s="3" t="s">
        <v>1279</v>
      </c>
      <c r="C1329" s="4" t="s">
        <v>8</v>
      </c>
      <c r="D1329" s="5" t="s">
        <v>6</v>
      </c>
      <c r="E1329" s="6" t="s">
        <v>1288</v>
      </c>
    </row>
    <row r="1330">
      <c r="A1330" s="10" t="s">
        <v>1278</v>
      </c>
      <c r="B1330" s="3" t="s">
        <v>1279</v>
      </c>
      <c r="C1330" s="4" t="s">
        <v>3</v>
      </c>
      <c r="D1330" s="5" t="s">
        <v>96</v>
      </c>
      <c r="E1330" s="6" t="s">
        <v>774</v>
      </c>
    </row>
    <row r="1331" hidden="1">
      <c r="A1331" s="10" t="s">
        <v>1278</v>
      </c>
      <c r="B1331" s="3" t="s">
        <v>1279</v>
      </c>
      <c r="C1331" s="4" t="s">
        <v>8</v>
      </c>
      <c r="D1331" s="5" t="s">
        <v>15</v>
      </c>
      <c r="E1331" s="6" t="s">
        <v>1289</v>
      </c>
    </row>
    <row r="1332" hidden="1">
      <c r="A1332" s="10" t="s">
        <v>1278</v>
      </c>
      <c r="B1332" s="3" t="s">
        <v>1279</v>
      </c>
      <c r="C1332" s="4" t="s">
        <v>8</v>
      </c>
      <c r="D1332" s="5" t="s">
        <v>15</v>
      </c>
      <c r="E1332" s="6" t="s">
        <v>1290</v>
      </c>
    </row>
    <row r="1333">
      <c r="A1333" s="10" t="s">
        <v>1278</v>
      </c>
      <c r="B1333" s="3" t="s">
        <v>1279</v>
      </c>
      <c r="C1333" s="4" t="s">
        <v>3</v>
      </c>
      <c r="D1333" s="5" t="s">
        <v>9</v>
      </c>
      <c r="E1333" s="6" t="s">
        <v>1291</v>
      </c>
    </row>
    <row r="1334">
      <c r="A1334" s="10" t="s">
        <v>1278</v>
      </c>
      <c r="B1334" s="3" t="s">
        <v>1279</v>
      </c>
      <c r="C1334" s="4" t="s">
        <v>3</v>
      </c>
      <c r="D1334" s="5" t="s">
        <v>17</v>
      </c>
      <c r="E1334" s="6" t="s">
        <v>1292</v>
      </c>
    </row>
    <row r="1335">
      <c r="A1335" s="10" t="s">
        <v>1278</v>
      </c>
      <c r="B1335" s="3" t="s">
        <v>1279</v>
      </c>
      <c r="C1335" s="4" t="s">
        <v>3</v>
      </c>
      <c r="D1335" s="5" t="s">
        <v>17</v>
      </c>
      <c r="E1335" s="6" t="s">
        <v>335</v>
      </c>
    </row>
    <row r="1336">
      <c r="A1336" s="10" t="s">
        <v>1278</v>
      </c>
      <c r="B1336" s="3" t="s">
        <v>1279</v>
      </c>
      <c r="C1336" s="4" t="s">
        <v>3</v>
      </c>
      <c r="D1336" s="5" t="s">
        <v>21</v>
      </c>
      <c r="E1336" s="6" t="s">
        <v>802</v>
      </c>
    </row>
    <row r="1337">
      <c r="A1337" s="10" t="s">
        <v>1278</v>
      </c>
      <c r="B1337" s="3" t="s">
        <v>1279</v>
      </c>
      <c r="C1337" s="4" t="s">
        <v>3</v>
      </c>
      <c r="D1337" s="5" t="s">
        <v>35</v>
      </c>
      <c r="E1337" s="6" t="s">
        <v>1293</v>
      </c>
    </row>
    <row r="1338">
      <c r="A1338" s="10" t="s">
        <v>1278</v>
      </c>
      <c r="B1338" s="3" t="s">
        <v>1279</v>
      </c>
      <c r="C1338" s="4" t="s">
        <v>3</v>
      </c>
      <c r="D1338" s="5" t="s">
        <v>19</v>
      </c>
      <c r="E1338" s="6" t="s">
        <v>1294</v>
      </c>
    </row>
    <row r="1339" hidden="1">
      <c r="A1339" s="10" t="s">
        <v>1278</v>
      </c>
      <c r="B1339" s="3" t="s">
        <v>1279</v>
      </c>
      <c r="C1339" s="4" t="s">
        <v>8</v>
      </c>
      <c r="D1339" s="5" t="s">
        <v>21</v>
      </c>
      <c r="E1339" s="6" t="s">
        <v>1295</v>
      </c>
    </row>
    <row r="1340" hidden="1">
      <c r="A1340" s="10" t="s">
        <v>1278</v>
      </c>
      <c r="B1340" s="3" t="s">
        <v>1279</v>
      </c>
      <c r="C1340" s="4" t="s">
        <v>8</v>
      </c>
      <c r="D1340" s="5" t="s">
        <v>21</v>
      </c>
      <c r="E1340" s="6" t="s">
        <v>58</v>
      </c>
    </row>
    <row r="1341" hidden="1">
      <c r="A1341" s="10" t="s">
        <v>408</v>
      </c>
      <c r="B1341" s="3" t="s">
        <v>1296</v>
      </c>
      <c r="C1341" s="4" t="s">
        <v>8</v>
      </c>
      <c r="D1341" s="5" t="s">
        <v>11</v>
      </c>
      <c r="E1341" s="6" t="s">
        <v>1297</v>
      </c>
    </row>
    <row r="1342">
      <c r="A1342" s="10" t="s">
        <v>408</v>
      </c>
      <c r="B1342" s="3" t="s">
        <v>1296</v>
      </c>
      <c r="C1342" s="4" t="s">
        <v>3</v>
      </c>
      <c r="D1342" s="5" t="s">
        <v>51</v>
      </c>
      <c r="E1342" s="6" t="s">
        <v>1298</v>
      </c>
    </row>
    <row r="1343">
      <c r="A1343" s="10" t="s">
        <v>408</v>
      </c>
      <c r="B1343" s="3" t="s">
        <v>1296</v>
      </c>
      <c r="C1343" s="4" t="s">
        <v>3</v>
      </c>
      <c r="D1343" s="5" t="s">
        <v>51</v>
      </c>
      <c r="E1343" s="6" t="s">
        <v>811</v>
      </c>
    </row>
    <row r="1344" hidden="1">
      <c r="A1344" s="10" t="s">
        <v>408</v>
      </c>
      <c r="B1344" s="3" t="s">
        <v>1296</v>
      </c>
      <c r="C1344" s="4" t="s">
        <v>8</v>
      </c>
      <c r="D1344" s="5" t="s">
        <v>19</v>
      </c>
      <c r="E1344" s="6" t="s">
        <v>1299</v>
      </c>
    </row>
    <row r="1345">
      <c r="A1345" s="10" t="s">
        <v>408</v>
      </c>
      <c r="B1345" s="3" t="s">
        <v>1296</v>
      </c>
      <c r="C1345" s="4" t="s">
        <v>3</v>
      </c>
      <c r="D1345" s="5" t="s">
        <v>51</v>
      </c>
      <c r="E1345" s="6" t="s">
        <v>1300</v>
      </c>
    </row>
    <row r="1346" hidden="1">
      <c r="A1346" s="10" t="s">
        <v>408</v>
      </c>
      <c r="B1346" s="3" t="s">
        <v>1296</v>
      </c>
      <c r="C1346" s="4" t="s">
        <v>8</v>
      </c>
      <c r="D1346" s="5" t="s">
        <v>23</v>
      </c>
      <c r="E1346" s="6" t="s">
        <v>1002</v>
      </c>
    </row>
    <row r="1347" hidden="1">
      <c r="A1347" s="10" t="s">
        <v>408</v>
      </c>
      <c r="B1347" s="3" t="s">
        <v>1296</v>
      </c>
      <c r="C1347" s="4" t="s">
        <v>8</v>
      </c>
      <c r="D1347" s="5" t="s">
        <v>23</v>
      </c>
      <c r="E1347" s="6" t="s">
        <v>1301</v>
      </c>
    </row>
    <row r="1348" hidden="1">
      <c r="A1348" s="10" t="s">
        <v>408</v>
      </c>
      <c r="B1348" s="3" t="s">
        <v>1296</v>
      </c>
      <c r="C1348" s="4" t="s">
        <v>8</v>
      </c>
      <c r="D1348" s="5" t="s">
        <v>76</v>
      </c>
      <c r="E1348" s="6" t="s">
        <v>1302</v>
      </c>
    </row>
    <row r="1349" hidden="1">
      <c r="A1349" s="10" t="s">
        <v>408</v>
      </c>
      <c r="B1349" s="3" t="s">
        <v>1296</v>
      </c>
      <c r="C1349" s="4" t="s">
        <v>8</v>
      </c>
      <c r="D1349" s="5" t="s">
        <v>39</v>
      </c>
      <c r="E1349" s="6" t="s">
        <v>1231</v>
      </c>
    </row>
    <row r="1350">
      <c r="A1350" s="10" t="s">
        <v>408</v>
      </c>
      <c r="B1350" s="3" t="s">
        <v>1296</v>
      </c>
      <c r="C1350" s="4" t="s">
        <v>3</v>
      </c>
      <c r="D1350" s="5" t="s">
        <v>13</v>
      </c>
      <c r="E1350" s="6" t="s">
        <v>1303</v>
      </c>
    </row>
    <row r="1351">
      <c r="A1351" s="10" t="s">
        <v>408</v>
      </c>
      <c r="B1351" s="3" t="s">
        <v>1296</v>
      </c>
      <c r="C1351" s="4" t="s">
        <v>3</v>
      </c>
      <c r="D1351" s="5" t="s">
        <v>42</v>
      </c>
      <c r="E1351" s="6" t="s">
        <v>905</v>
      </c>
    </row>
    <row r="1352">
      <c r="A1352" s="10" t="s">
        <v>408</v>
      </c>
      <c r="B1352" s="3" t="s">
        <v>1296</v>
      </c>
      <c r="C1352" s="4" t="s">
        <v>3</v>
      </c>
      <c r="D1352" s="5" t="s">
        <v>35</v>
      </c>
      <c r="E1352" s="6" t="s">
        <v>1304</v>
      </c>
    </row>
    <row r="1353" hidden="1">
      <c r="A1353" s="10" t="s">
        <v>408</v>
      </c>
      <c r="B1353" s="3" t="s">
        <v>1296</v>
      </c>
      <c r="C1353" s="4" t="s">
        <v>8</v>
      </c>
      <c r="D1353" s="5" t="s">
        <v>39</v>
      </c>
      <c r="E1353" s="6" t="s">
        <v>1305</v>
      </c>
    </row>
    <row r="1354" hidden="1">
      <c r="A1354" s="10" t="s">
        <v>408</v>
      </c>
      <c r="B1354" s="3" t="s">
        <v>1296</v>
      </c>
      <c r="C1354" s="4" t="s">
        <v>8</v>
      </c>
      <c r="D1354" s="5" t="s">
        <v>17</v>
      </c>
      <c r="E1354" s="6" t="s">
        <v>743</v>
      </c>
    </row>
    <row r="1355" hidden="1">
      <c r="A1355" s="10" t="s">
        <v>408</v>
      </c>
      <c r="B1355" s="3" t="s">
        <v>1296</v>
      </c>
      <c r="C1355" s="4" t="s">
        <v>8</v>
      </c>
      <c r="D1355" s="5" t="s">
        <v>35</v>
      </c>
      <c r="E1355" s="6" t="s">
        <v>808</v>
      </c>
    </row>
    <row r="1356">
      <c r="A1356" s="10" t="s">
        <v>408</v>
      </c>
      <c r="B1356" s="3" t="s">
        <v>1296</v>
      </c>
      <c r="C1356" s="4" t="s">
        <v>3</v>
      </c>
      <c r="D1356" s="5" t="s">
        <v>23</v>
      </c>
      <c r="E1356" s="6" t="s">
        <v>1306</v>
      </c>
    </row>
    <row r="1357">
      <c r="A1357" s="10" t="s">
        <v>408</v>
      </c>
      <c r="B1357" s="3" t="s">
        <v>1296</v>
      </c>
      <c r="C1357" s="4" t="s">
        <v>3</v>
      </c>
      <c r="D1357" s="5" t="s">
        <v>17</v>
      </c>
      <c r="E1357" s="6" t="s">
        <v>915</v>
      </c>
    </row>
    <row r="1358">
      <c r="A1358" s="10" t="s">
        <v>408</v>
      </c>
      <c r="B1358" s="3" t="s">
        <v>1296</v>
      </c>
      <c r="C1358" s="4" t="s">
        <v>3</v>
      </c>
      <c r="D1358" s="5" t="s">
        <v>45</v>
      </c>
      <c r="E1358" s="6" t="s">
        <v>1307</v>
      </c>
    </row>
    <row r="1359">
      <c r="A1359" s="10" t="s">
        <v>408</v>
      </c>
      <c r="B1359" s="3" t="s">
        <v>1296</v>
      </c>
      <c r="C1359" s="4" t="s">
        <v>3</v>
      </c>
      <c r="D1359" s="5" t="s">
        <v>19</v>
      </c>
      <c r="E1359" s="6" t="s">
        <v>1185</v>
      </c>
    </row>
    <row r="1360">
      <c r="A1360" s="10" t="s">
        <v>408</v>
      </c>
      <c r="B1360" s="3" t="s">
        <v>1296</v>
      </c>
      <c r="C1360" s="4" t="s">
        <v>3</v>
      </c>
      <c r="D1360" s="5" t="s">
        <v>45</v>
      </c>
      <c r="E1360" s="6" t="s">
        <v>1308</v>
      </c>
    </row>
    <row r="1361" hidden="1">
      <c r="A1361" s="10" t="s">
        <v>177</v>
      </c>
      <c r="B1361" s="3" t="s">
        <v>1309</v>
      </c>
      <c r="C1361" s="4" t="s">
        <v>8</v>
      </c>
      <c r="D1361" s="5" t="s">
        <v>9</v>
      </c>
      <c r="E1361" s="6" t="s">
        <v>1310</v>
      </c>
    </row>
    <row r="1362" hidden="1">
      <c r="A1362" s="10" t="s">
        <v>177</v>
      </c>
      <c r="B1362" s="3" t="s">
        <v>1309</v>
      </c>
      <c r="C1362" s="4" t="s">
        <v>8</v>
      </c>
      <c r="D1362" s="5" t="s">
        <v>28</v>
      </c>
      <c r="E1362" s="6" t="s">
        <v>495</v>
      </c>
    </row>
    <row r="1363">
      <c r="A1363" s="10" t="s">
        <v>177</v>
      </c>
      <c r="B1363" s="3" t="s">
        <v>1309</v>
      </c>
      <c r="C1363" s="4" t="s">
        <v>3</v>
      </c>
      <c r="D1363" s="5" t="s">
        <v>51</v>
      </c>
      <c r="E1363" s="6" t="s">
        <v>1311</v>
      </c>
    </row>
    <row r="1364" hidden="1">
      <c r="A1364" s="10" t="s">
        <v>177</v>
      </c>
      <c r="B1364" s="3" t="s">
        <v>1309</v>
      </c>
      <c r="C1364" s="4" t="s">
        <v>8</v>
      </c>
      <c r="D1364" s="5" t="s">
        <v>13</v>
      </c>
      <c r="E1364" s="6" t="s">
        <v>1312</v>
      </c>
    </row>
    <row r="1365">
      <c r="A1365" s="10" t="s">
        <v>177</v>
      </c>
      <c r="B1365" s="3" t="s">
        <v>1309</v>
      </c>
      <c r="C1365" s="4" t="s">
        <v>3</v>
      </c>
      <c r="D1365" s="5" t="s">
        <v>42</v>
      </c>
      <c r="E1365" s="6" t="s">
        <v>504</v>
      </c>
    </row>
    <row r="1366" hidden="1">
      <c r="A1366" s="10" t="s">
        <v>177</v>
      </c>
      <c r="B1366" s="3" t="s">
        <v>1309</v>
      </c>
      <c r="C1366" s="4" t="s">
        <v>8</v>
      </c>
      <c r="D1366" s="5" t="s">
        <v>17</v>
      </c>
      <c r="E1366" s="6" t="s">
        <v>884</v>
      </c>
    </row>
    <row r="1367">
      <c r="A1367" s="10" t="s">
        <v>177</v>
      </c>
      <c r="B1367" s="3" t="s">
        <v>1309</v>
      </c>
      <c r="C1367" s="4" t="s">
        <v>3</v>
      </c>
      <c r="D1367" s="5" t="s">
        <v>35</v>
      </c>
      <c r="E1367" s="6" t="s">
        <v>1313</v>
      </c>
    </row>
    <row r="1368" hidden="1">
      <c r="A1368" s="10" t="s">
        <v>177</v>
      </c>
      <c r="B1368" s="3" t="s">
        <v>1309</v>
      </c>
      <c r="C1368" s="4" t="s">
        <v>8</v>
      </c>
      <c r="D1368" s="5" t="s">
        <v>42</v>
      </c>
      <c r="E1368" s="6" t="s">
        <v>208</v>
      </c>
    </row>
    <row r="1369">
      <c r="A1369" s="10" t="s">
        <v>177</v>
      </c>
      <c r="B1369" s="3" t="s">
        <v>1309</v>
      </c>
      <c r="C1369" s="4" t="s">
        <v>3</v>
      </c>
      <c r="D1369" s="5" t="s">
        <v>96</v>
      </c>
      <c r="E1369" s="6" t="s">
        <v>1314</v>
      </c>
    </row>
    <row r="1370" hidden="1">
      <c r="A1370" s="10" t="s">
        <v>177</v>
      </c>
      <c r="B1370" s="3" t="s">
        <v>1309</v>
      </c>
      <c r="C1370" s="4" t="s">
        <v>8</v>
      </c>
      <c r="D1370" s="5" t="s">
        <v>21</v>
      </c>
      <c r="E1370" s="6" t="s">
        <v>1315</v>
      </c>
    </row>
    <row r="1371">
      <c r="A1371" s="10" t="s">
        <v>177</v>
      </c>
      <c r="B1371" s="3" t="s">
        <v>1309</v>
      </c>
      <c r="C1371" s="4" t="s">
        <v>3</v>
      </c>
      <c r="D1371" s="5" t="s">
        <v>51</v>
      </c>
      <c r="E1371" s="6" t="s">
        <v>1316</v>
      </c>
    </row>
    <row r="1372">
      <c r="A1372" s="10" t="s">
        <v>177</v>
      </c>
      <c r="B1372" s="3" t="s">
        <v>1309</v>
      </c>
      <c r="C1372" s="4" t="s">
        <v>3</v>
      </c>
      <c r="D1372" s="5" t="s">
        <v>42</v>
      </c>
      <c r="E1372" s="6" t="s">
        <v>1317</v>
      </c>
    </row>
    <row r="1373" hidden="1">
      <c r="A1373" s="10" t="s">
        <v>177</v>
      </c>
      <c r="B1373" s="3" t="s">
        <v>1309</v>
      </c>
      <c r="C1373" s="4" t="s">
        <v>8</v>
      </c>
      <c r="D1373" s="5" t="s">
        <v>9</v>
      </c>
      <c r="E1373" s="6" t="s">
        <v>1318</v>
      </c>
    </row>
    <row r="1374">
      <c r="A1374" s="10" t="s">
        <v>177</v>
      </c>
      <c r="B1374" s="3" t="s">
        <v>1309</v>
      </c>
      <c r="C1374" s="4" t="s">
        <v>3</v>
      </c>
      <c r="D1374" s="5" t="s">
        <v>45</v>
      </c>
      <c r="E1374" s="6" t="s">
        <v>1319</v>
      </c>
    </row>
    <row r="1375" hidden="1">
      <c r="A1375" s="10" t="s">
        <v>177</v>
      </c>
      <c r="B1375" s="3" t="s">
        <v>1309</v>
      </c>
      <c r="C1375" s="4" t="s">
        <v>8</v>
      </c>
      <c r="D1375" s="5" t="s">
        <v>96</v>
      </c>
      <c r="E1375" s="6" t="s">
        <v>1320</v>
      </c>
    </row>
    <row r="1376">
      <c r="A1376" s="10" t="s">
        <v>177</v>
      </c>
      <c r="B1376" s="3" t="s">
        <v>1309</v>
      </c>
      <c r="C1376" s="4" t="s">
        <v>3</v>
      </c>
      <c r="D1376" s="5" t="s">
        <v>28</v>
      </c>
      <c r="E1376" s="6" t="s">
        <v>1321</v>
      </c>
    </row>
    <row r="1377">
      <c r="A1377" s="10" t="s">
        <v>177</v>
      </c>
      <c r="B1377" s="3" t="s">
        <v>1309</v>
      </c>
      <c r="C1377" s="4" t="s">
        <v>3</v>
      </c>
      <c r="D1377" s="5" t="s">
        <v>71</v>
      </c>
      <c r="E1377" s="6" t="s">
        <v>1322</v>
      </c>
    </row>
    <row r="1378" hidden="1">
      <c r="A1378" s="10" t="s">
        <v>177</v>
      </c>
      <c r="B1378" s="3" t="s">
        <v>1309</v>
      </c>
      <c r="C1378" s="4" t="s">
        <v>8</v>
      </c>
      <c r="D1378" s="5" t="s">
        <v>6</v>
      </c>
      <c r="E1378" s="6" t="s">
        <v>1323</v>
      </c>
    </row>
    <row r="1379" hidden="1">
      <c r="A1379" s="10" t="s">
        <v>177</v>
      </c>
      <c r="B1379" s="3" t="s">
        <v>1309</v>
      </c>
      <c r="C1379" s="4" t="s">
        <v>8</v>
      </c>
      <c r="D1379" s="5" t="s">
        <v>71</v>
      </c>
      <c r="E1379" s="6" t="s">
        <v>1324</v>
      </c>
    </row>
    <row r="1380" hidden="1">
      <c r="A1380" s="10" t="s">
        <v>177</v>
      </c>
      <c r="B1380" s="3" t="s">
        <v>1309</v>
      </c>
      <c r="C1380" s="4" t="s">
        <v>8</v>
      </c>
      <c r="D1380" s="5" t="s">
        <v>23</v>
      </c>
      <c r="E1380" s="6" t="s">
        <v>259</v>
      </c>
    </row>
    <row r="1381">
      <c r="A1381" s="10" t="s">
        <v>1325</v>
      </c>
      <c r="B1381" s="3" t="s">
        <v>1326</v>
      </c>
      <c r="C1381" s="4" t="s">
        <v>3</v>
      </c>
      <c r="D1381" s="5" t="s">
        <v>42</v>
      </c>
      <c r="E1381" s="6" t="s">
        <v>714</v>
      </c>
    </row>
    <row r="1382" hidden="1">
      <c r="A1382" s="10" t="s">
        <v>1325</v>
      </c>
      <c r="B1382" s="3" t="s">
        <v>1326</v>
      </c>
      <c r="C1382" s="4" t="s">
        <v>8</v>
      </c>
      <c r="D1382" s="5" t="s">
        <v>96</v>
      </c>
      <c r="E1382" s="6" t="s">
        <v>374</v>
      </c>
    </row>
    <row r="1383">
      <c r="A1383" s="10" t="s">
        <v>1325</v>
      </c>
      <c r="B1383" s="3" t="s">
        <v>1326</v>
      </c>
      <c r="C1383" s="4" t="s">
        <v>3</v>
      </c>
      <c r="D1383" s="5" t="s">
        <v>17</v>
      </c>
      <c r="E1383" s="6" t="s">
        <v>1327</v>
      </c>
    </row>
    <row r="1384" hidden="1">
      <c r="A1384" s="10" t="s">
        <v>1325</v>
      </c>
      <c r="B1384" s="3" t="s">
        <v>1326</v>
      </c>
      <c r="C1384" s="4" t="s">
        <v>8</v>
      </c>
      <c r="D1384" s="5" t="s">
        <v>28</v>
      </c>
      <c r="E1384" s="6" t="s">
        <v>676</v>
      </c>
    </row>
    <row r="1385" hidden="1">
      <c r="A1385" s="10" t="s">
        <v>1325</v>
      </c>
      <c r="B1385" s="3" t="s">
        <v>1326</v>
      </c>
      <c r="C1385" s="4" t="s">
        <v>8</v>
      </c>
      <c r="D1385" s="5" t="s">
        <v>96</v>
      </c>
      <c r="E1385" s="6" t="s">
        <v>1328</v>
      </c>
    </row>
    <row r="1386" hidden="1">
      <c r="A1386" s="10" t="s">
        <v>1325</v>
      </c>
      <c r="B1386" s="3" t="s">
        <v>1326</v>
      </c>
      <c r="C1386" s="4" t="s">
        <v>8</v>
      </c>
      <c r="D1386" s="5" t="s">
        <v>23</v>
      </c>
      <c r="E1386" s="6" t="s">
        <v>1329</v>
      </c>
    </row>
    <row r="1387" hidden="1">
      <c r="A1387" s="10" t="s">
        <v>1325</v>
      </c>
      <c r="B1387" s="3" t="s">
        <v>1326</v>
      </c>
      <c r="C1387" s="4" t="s">
        <v>8</v>
      </c>
      <c r="D1387" s="5" t="s">
        <v>21</v>
      </c>
      <c r="E1387" s="6" t="s">
        <v>1176</v>
      </c>
    </row>
    <row r="1388" hidden="1">
      <c r="A1388" s="10" t="s">
        <v>1325</v>
      </c>
      <c r="B1388" s="3" t="s">
        <v>1326</v>
      </c>
      <c r="C1388" s="4" t="s">
        <v>8</v>
      </c>
      <c r="D1388" s="5" t="s">
        <v>11</v>
      </c>
      <c r="E1388" s="6" t="s">
        <v>1330</v>
      </c>
    </row>
    <row r="1389" hidden="1">
      <c r="A1389" s="10" t="s">
        <v>1325</v>
      </c>
      <c r="B1389" s="3" t="s">
        <v>1326</v>
      </c>
      <c r="C1389" s="4" t="s">
        <v>8</v>
      </c>
      <c r="D1389" s="5" t="s">
        <v>42</v>
      </c>
      <c r="E1389" s="6" t="s">
        <v>302</v>
      </c>
    </row>
    <row r="1390">
      <c r="A1390" s="10" t="s">
        <v>1325</v>
      </c>
      <c r="B1390" s="3" t="s">
        <v>1326</v>
      </c>
      <c r="C1390" s="4" t="s">
        <v>3</v>
      </c>
      <c r="D1390" s="5" t="s">
        <v>19</v>
      </c>
      <c r="E1390" s="6" t="s">
        <v>1331</v>
      </c>
    </row>
    <row r="1391">
      <c r="A1391" s="10" t="s">
        <v>1325</v>
      </c>
      <c r="B1391" s="3" t="s">
        <v>1326</v>
      </c>
      <c r="C1391" s="4" t="s">
        <v>3</v>
      </c>
      <c r="D1391" s="5" t="s">
        <v>39</v>
      </c>
      <c r="E1391" s="6" t="s">
        <v>1332</v>
      </c>
    </row>
    <row r="1392" hidden="1">
      <c r="A1392" s="10" t="s">
        <v>1325</v>
      </c>
      <c r="B1392" s="3" t="s">
        <v>1326</v>
      </c>
      <c r="C1392" s="4" t="s">
        <v>8</v>
      </c>
      <c r="D1392" s="5" t="s">
        <v>15</v>
      </c>
      <c r="E1392" s="6" t="s">
        <v>16</v>
      </c>
    </row>
    <row r="1393" hidden="1">
      <c r="A1393" s="10" t="s">
        <v>1325</v>
      </c>
      <c r="B1393" s="3" t="s">
        <v>1326</v>
      </c>
      <c r="C1393" s="4" t="s">
        <v>8</v>
      </c>
      <c r="D1393" s="5" t="s">
        <v>13</v>
      </c>
      <c r="E1393" s="6" t="s">
        <v>1333</v>
      </c>
    </row>
    <row r="1394" hidden="1">
      <c r="A1394" s="10" t="s">
        <v>1325</v>
      </c>
      <c r="B1394" s="3" t="s">
        <v>1326</v>
      </c>
      <c r="C1394" s="4" t="s">
        <v>8</v>
      </c>
      <c r="D1394" s="5" t="s">
        <v>4</v>
      </c>
      <c r="E1394" s="6" t="s">
        <v>1334</v>
      </c>
    </row>
    <row r="1395">
      <c r="A1395" s="10" t="s">
        <v>1325</v>
      </c>
      <c r="B1395" s="3" t="s">
        <v>1326</v>
      </c>
      <c r="C1395" s="4" t="s">
        <v>3</v>
      </c>
      <c r="D1395" s="5" t="s">
        <v>6</v>
      </c>
      <c r="E1395" s="6" t="s">
        <v>1335</v>
      </c>
    </row>
    <row r="1396" hidden="1">
      <c r="A1396" s="10" t="s">
        <v>1325</v>
      </c>
      <c r="B1396" s="3" t="s">
        <v>1326</v>
      </c>
      <c r="C1396" s="4" t="s">
        <v>8</v>
      </c>
      <c r="D1396" s="5" t="s">
        <v>51</v>
      </c>
      <c r="E1396" s="6" t="s">
        <v>1336</v>
      </c>
    </row>
    <row r="1397" hidden="1">
      <c r="A1397" s="10" t="s">
        <v>1325</v>
      </c>
      <c r="B1397" s="3" t="s">
        <v>1326</v>
      </c>
      <c r="C1397" s="4" t="s">
        <v>8</v>
      </c>
      <c r="D1397" s="5" t="s">
        <v>35</v>
      </c>
      <c r="E1397" s="6" t="s">
        <v>1337</v>
      </c>
    </row>
    <row r="1398">
      <c r="A1398" s="10" t="s">
        <v>1325</v>
      </c>
      <c r="B1398" s="3" t="s">
        <v>1326</v>
      </c>
      <c r="C1398" s="4" t="s">
        <v>3</v>
      </c>
      <c r="D1398" s="5" t="s">
        <v>21</v>
      </c>
      <c r="E1398" s="6" t="s">
        <v>1338</v>
      </c>
    </row>
    <row r="1399">
      <c r="A1399" s="10" t="s">
        <v>1325</v>
      </c>
      <c r="B1399" s="3" t="s">
        <v>1326</v>
      </c>
      <c r="C1399" s="4" t="s">
        <v>3</v>
      </c>
      <c r="D1399" s="5" t="s">
        <v>13</v>
      </c>
      <c r="E1399" s="6" t="s">
        <v>1339</v>
      </c>
    </row>
    <row r="1400">
      <c r="A1400" s="10" t="s">
        <v>1325</v>
      </c>
      <c r="B1400" s="3" t="s">
        <v>1326</v>
      </c>
      <c r="C1400" s="4" t="s">
        <v>3</v>
      </c>
      <c r="D1400" s="5" t="s">
        <v>35</v>
      </c>
      <c r="E1400" s="6" t="s">
        <v>1201</v>
      </c>
    </row>
    <row r="1401">
      <c r="A1401" s="10" t="s">
        <v>1258</v>
      </c>
      <c r="B1401" s="3" t="s">
        <v>1340</v>
      </c>
      <c r="C1401" s="4" t="s">
        <v>3</v>
      </c>
      <c r="D1401" s="5" t="s">
        <v>42</v>
      </c>
      <c r="E1401" s="6" t="s">
        <v>86</v>
      </c>
    </row>
    <row r="1402" hidden="1">
      <c r="A1402" s="10" t="s">
        <v>1258</v>
      </c>
      <c r="B1402" s="3" t="s">
        <v>1340</v>
      </c>
      <c r="C1402" s="4" t="s">
        <v>8</v>
      </c>
      <c r="D1402" s="5" t="s">
        <v>19</v>
      </c>
      <c r="E1402" s="6" t="s">
        <v>1341</v>
      </c>
    </row>
    <row r="1403">
      <c r="A1403" s="10" t="s">
        <v>1258</v>
      </c>
      <c r="B1403" s="3" t="s">
        <v>1340</v>
      </c>
      <c r="C1403" s="4" t="s">
        <v>3</v>
      </c>
      <c r="D1403" s="5" t="s">
        <v>71</v>
      </c>
      <c r="E1403" s="6" t="s">
        <v>1342</v>
      </c>
    </row>
    <row r="1404">
      <c r="A1404" s="10" t="s">
        <v>1258</v>
      </c>
      <c r="B1404" s="3" t="s">
        <v>1340</v>
      </c>
      <c r="C1404" s="4" t="s">
        <v>3</v>
      </c>
      <c r="D1404" s="5" t="s">
        <v>21</v>
      </c>
      <c r="E1404" s="6" t="s">
        <v>943</v>
      </c>
    </row>
    <row r="1405" hidden="1">
      <c r="A1405" s="10" t="s">
        <v>1258</v>
      </c>
      <c r="B1405" s="3" t="s">
        <v>1340</v>
      </c>
      <c r="C1405" s="4" t="s">
        <v>8</v>
      </c>
      <c r="D1405" s="5" t="s">
        <v>21</v>
      </c>
      <c r="E1405" s="6" t="s">
        <v>966</v>
      </c>
    </row>
    <row r="1406">
      <c r="A1406" s="10" t="s">
        <v>1258</v>
      </c>
      <c r="B1406" s="3" t="s">
        <v>1340</v>
      </c>
      <c r="C1406" s="4" t="s">
        <v>3</v>
      </c>
      <c r="D1406" s="5" t="s">
        <v>39</v>
      </c>
      <c r="E1406" s="6" t="s">
        <v>1343</v>
      </c>
    </row>
    <row r="1407" hidden="1">
      <c r="A1407" s="10" t="s">
        <v>1258</v>
      </c>
      <c r="B1407" s="3" t="s">
        <v>1340</v>
      </c>
      <c r="C1407" s="4" t="s">
        <v>8</v>
      </c>
      <c r="D1407" s="5" t="s">
        <v>6</v>
      </c>
      <c r="E1407" s="6" t="s">
        <v>1344</v>
      </c>
    </row>
    <row r="1408">
      <c r="A1408" s="10" t="s">
        <v>1258</v>
      </c>
      <c r="B1408" s="3" t="s">
        <v>1340</v>
      </c>
      <c r="C1408" s="4" t="s">
        <v>3</v>
      </c>
      <c r="D1408" s="5" t="s">
        <v>17</v>
      </c>
      <c r="E1408" s="6" t="s">
        <v>716</v>
      </c>
    </row>
    <row r="1409">
      <c r="A1409" s="10" t="s">
        <v>1258</v>
      </c>
      <c r="B1409" s="3" t="s">
        <v>1340</v>
      </c>
      <c r="C1409" s="4" t="s">
        <v>3</v>
      </c>
      <c r="D1409" s="5" t="s">
        <v>35</v>
      </c>
      <c r="E1409" s="6" t="s">
        <v>1345</v>
      </c>
    </row>
    <row r="1410" hidden="1">
      <c r="A1410" s="10" t="s">
        <v>1258</v>
      </c>
      <c r="B1410" s="3" t="s">
        <v>1340</v>
      </c>
      <c r="C1410" s="4" t="s">
        <v>8</v>
      </c>
      <c r="D1410" s="5" t="s">
        <v>39</v>
      </c>
      <c r="E1410" s="6" t="s">
        <v>1346</v>
      </c>
    </row>
    <row r="1411" hidden="1">
      <c r="A1411" s="10" t="s">
        <v>1258</v>
      </c>
      <c r="B1411" s="3" t="s">
        <v>1340</v>
      </c>
      <c r="C1411" s="4" t="s">
        <v>8</v>
      </c>
      <c r="D1411" s="5" t="s">
        <v>6</v>
      </c>
      <c r="E1411" s="6" t="s">
        <v>1347</v>
      </c>
    </row>
    <row r="1412">
      <c r="A1412" s="10" t="s">
        <v>1258</v>
      </c>
      <c r="B1412" s="3" t="s">
        <v>1340</v>
      </c>
      <c r="C1412" s="4" t="s">
        <v>3</v>
      </c>
      <c r="D1412" s="5" t="s">
        <v>4</v>
      </c>
      <c r="E1412" s="6" t="s">
        <v>1348</v>
      </c>
    </row>
    <row r="1413">
      <c r="A1413" s="10" t="s">
        <v>1258</v>
      </c>
      <c r="B1413" s="3" t="s">
        <v>1340</v>
      </c>
      <c r="C1413" s="4" t="s">
        <v>3</v>
      </c>
      <c r="D1413" s="5" t="s">
        <v>71</v>
      </c>
      <c r="E1413" s="6" t="s">
        <v>1349</v>
      </c>
    </row>
    <row r="1414" hidden="1">
      <c r="A1414" s="10" t="s">
        <v>1258</v>
      </c>
      <c r="B1414" s="3" t="s">
        <v>1340</v>
      </c>
      <c r="C1414" s="4" t="s">
        <v>8</v>
      </c>
      <c r="D1414" s="5" t="s">
        <v>17</v>
      </c>
      <c r="E1414" s="6" t="s">
        <v>203</v>
      </c>
    </row>
    <row r="1415">
      <c r="A1415" s="10" t="s">
        <v>1258</v>
      </c>
      <c r="B1415" s="3" t="s">
        <v>1340</v>
      </c>
      <c r="C1415" s="4" t="s">
        <v>3</v>
      </c>
      <c r="D1415" s="5" t="s">
        <v>45</v>
      </c>
      <c r="E1415" s="6" t="s">
        <v>1350</v>
      </c>
    </row>
    <row r="1416" hidden="1">
      <c r="A1416" s="10" t="s">
        <v>1258</v>
      </c>
      <c r="B1416" s="3" t="s">
        <v>1340</v>
      </c>
      <c r="C1416" s="4" t="s">
        <v>8</v>
      </c>
      <c r="D1416" s="5" t="s">
        <v>51</v>
      </c>
      <c r="E1416" s="6" t="s">
        <v>1351</v>
      </c>
    </row>
    <row r="1417">
      <c r="A1417" s="10" t="s">
        <v>1258</v>
      </c>
      <c r="B1417" s="3" t="s">
        <v>1340</v>
      </c>
      <c r="C1417" s="4" t="s">
        <v>3</v>
      </c>
      <c r="D1417" s="5" t="s">
        <v>76</v>
      </c>
      <c r="E1417" s="6" t="s">
        <v>1352</v>
      </c>
    </row>
    <row r="1418">
      <c r="A1418" s="10" t="s">
        <v>1258</v>
      </c>
      <c r="B1418" s="3" t="s">
        <v>1340</v>
      </c>
      <c r="C1418" s="4" t="s">
        <v>3</v>
      </c>
      <c r="D1418" s="5" t="s">
        <v>4</v>
      </c>
      <c r="E1418" s="6" t="s">
        <v>1353</v>
      </c>
    </row>
    <row r="1419">
      <c r="A1419" s="10" t="s">
        <v>1258</v>
      </c>
      <c r="B1419" s="3" t="s">
        <v>1340</v>
      </c>
      <c r="C1419" s="4" t="s">
        <v>3</v>
      </c>
      <c r="D1419" s="5" t="s">
        <v>21</v>
      </c>
      <c r="E1419" s="6" t="s">
        <v>1354</v>
      </c>
    </row>
    <row r="1420">
      <c r="A1420" s="10" t="s">
        <v>1258</v>
      </c>
      <c r="B1420" s="3" t="s">
        <v>1340</v>
      </c>
      <c r="C1420" s="4" t="s">
        <v>3</v>
      </c>
      <c r="D1420" s="5" t="s">
        <v>13</v>
      </c>
      <c r="E1420" s="6" t="s">
        <v>1355</v>
      </c>
    </row>
    <row r="1421" hidden="1">
      <c r="A1421" s="10" t="s">
        <v>1356</v>
      </c>
      <c r="B1421" s="3" t="s">
        <v>1357</v>
      </c>
      <c r="C1421" s="4" t="s">
        <v>8</v>
      </c>
      <c r="D1421" s="5" t="s">
        <v>4</v>
      </c>
      <c r="E1421" s="6" t="s">
        <v>1358</v>
      </c>
    </row>
    <row r="1422">
      <c r="A1422" s="10" t="s">
        <v>1356</v>
      </c>
      <c r="B1422" s="3" t="s">
        <v>1357</v>
      </c>
      <c r="C1422" s="4" t="s">
        <v>3</v>
      </c>
      <c r="D1422" s="5" t="s">
        <v>51</v>
      </c>
      <c r="E1422" s="6" t="s">
        <v>162</v>
      </c>
    </row>
    <row r="1423" hidden="1">
      <c r="A1423" s="10" t="s">
        <v>1356</v>
      </c>
      <c r="B1423" s="3" t="s">
        <v>1357</v>
      </c>
      <c r="C1423" s="4" t="s">
        <v>8</v>
      </c>
      <c r="D1423" s="5" t="s">
        <v>45</v>
      </c>
      <c r="E1423" s="6" t="s">
        <v>1359</v>
      </c>
    </row>
    <row r="1424" hidden="1">
      <c r="A1424" s="10" t="s">
        <v>1356</v>
      </c>
      <c r="B1424" s="3" t="s">
        <v>1357</v>
      </c>
      <c r="C1424" s="4" t="s">
        <v>8</v>
      </c>
      <c r="D1424" s="5" t="s">
        <v>71</v>
      </c>
      <c r="E1424" s="6" t="s">
        <v>1360</v>
      </c>
    </row>
    <row r="1425">
      <c r="A1425" s="10" t="s">
        <v>1356</v>
      </c>
      <c r="B1425" s="3" t="s">
        <v>1357</v>
      </c>
      <c r="C1425" s="4" t="s">
        <v>3</v>
      </c>
      <c r="D1425" s="5" t="s">
        <v>9</v>
      </c>
      <c r="E1425" s="6" t="s">
        <v>403</v>
      </c>
    </row>
    <row r="1426" hidden="1">
      <c r="A1426" s="10" t="s">
        <v>1356</v>
      </c>
      <c r="B1426" s="3" t="s">
        <v>1357</v>
      </c>
      <c r="C1426" s="4" t="s">
        <v>8</v>
      </c>
      <c r="D1426" s="5" t="s">
        <v>23</v>
      </c>
      <c r="E1426" s="6" t="s">
        <v>1361</v>
      </c>
    </row>
    <row r="1427">
      <c r="A1427" s="10" t="s">
        <v>1356</v>
      </c>
      <c r="B1427" s="3" t="s">
        <v>1357</v>
      </c>
      <c r="C1427" s="4" t="s">
        <v>3</v>
      </c>
      <c r="D1427" s="5" t="s">
        <v>15</v>
      </c>
      <c r="E1427" s="6" t="s">
        <v>1362</v>
      </c>
    </row>
    <row r="1428">
      <c r="A1428" s="10" t="s">
        <v>1356</v>
      </c>
      <c r="B1428" s="3" t="s">
        <v>1357</v>
      </c>
      <c r="C1428" s="4" t="s">
        <v>3</v>
      </c>
      <c r="D1428" s="5" t="s">
        <v>96</v>
      </c>
      <c r="E1428" s="6" t="s">
        <v>1363</v>
      </c>
    </row>
    <row r="1429" hidden="1">
      <c r="A1429" s="10" t="s">
        <v>1356</v>
      </c>
      <c r="B1429" s="3" t="s">
        <v>1357</v>
      </c>
      <c r="C1429" s="4" t="s">
        <v>8</v>
      </c>
      <c r="D1429" s="5" t="s">
        <v>19</v>
      </c>
      <c r="E1429" s="6" t="s">
        <v>1364</v>
      </c>
    </row>
    <row r="1430">
      <c r="A1430" s="10" t="s">
        <v>1356</v>
      </c>
      <c r="B1430" s="3" t="s">
        <v>1357</v>
      </c>
      <c r="C1430" s="4" t="s">
        <v>3</v>
      </c>
      <c r="D1430" s="5" t="s">
        <v>51</v>
      </c>
      <c r="E1430" s="6" t="s">
        <v>929</v>
      </c>
    </row>
    <row r="1431" hidden="1">
      <c r="A1431" s="10" t="s">
        <v>1356</v>
      </c>
      <c r="B1431" s="3" t="s">
        <v>1357</v>
      </c>
      <c r="C1431" s="4" t="s">
        <v>8</v>
      </c>
      <c r="D1431" s="5" t="s">
        <v>42</v>
      </c>
      <c r="E1431" s="6" t="s">
        <v>859</v>
      </c>
    </row>
    <row r="1432">
      <c r="A1432" s="10" t="s">
        <v>1356</v>
      </c>
      <c r="B1432" s="3" t="s">
        <v>1357</v>
      </c>
      <c r="C1432" s="4" t="s">
        <v>3</v>
      </c>
      <c r="D1432" s="5" t="s">
        <v>23</v>
      </c>
      <c r="E1432" s="6" t="s">
        <v>1365</v>
      </c>
    </row>
    <row r="1433">
      <c r="A1433" s="10" t="s">
        <v>1356</v>
      </c>
      <c r="B1433" s="3" t="s">
        <v>1357</v>
      </c>
      <c r="C1433" s="4" t="s">
        <v>3</v>
      </c>
      <c r="D1433" s="5" t="s">
        <v>120</v>
      </c>
      <c r="E1433" s="6" t="s">
        <v>69</v>
      </c>
    </row>
    <row r="1434" hidden="1">
      <c r="A1434" s="10" t="s">
        <v>1356</v>
      </c>
      <c r="B1434" s="3" t="s">
        <v>1357</v>
      </c>
      <c r="C1434" s="4" t="s">
        <v>8</v>
      </c>
      <c r="D1434" s="5" t="s">
        <v>71</v>
      </c>
      <c r="E1434" s="6" t="s">
        <v>484</v>
      </c>
    </row>
    <row r="1435">
      <c r="A1435" s="10" t="s">
        <v>1356</v>
      </c>
      <c r="B1435" s="3" t="s">
        <v>1357</v>
      </c>
      <c r="C1435" s="4" t="s">
        <v>3</v>
      </c>
      <c r="D1435" s="5" t="s">
        <v>11</v>
      </c>
      <c r="E1435" s="6" t="s">
        <v>1366</v>
      </c>
    </row>
    <row r="1436">
      <c r="A1436" s="10" t="s">
        <v>1356</v>
      </c>
      <c r="B1436" s="3" t="s">
        <v>1357</v>
      </c>
      <c r="C1436" s="4" t="s">
        <v>3</v>
      </c>
      <c r="D1436" s="5" t="s">
        <v>19</v>
      </c>
      <c r="E1436" s="6" t="s">
        <v>1367</v>
      </c>
    </row>
    <row r="1437">
      <c r="A1437" s="10" t="s">
        <v>1356</v>
      </c>
      <c r="B1437" s="3" t="s">
        <v>1357</v>
      </c>
      <c r="C1437" s="4" t="s">
        <v>3</v>
      </c>
      <c r="D1437" s="5" t="s">
        <v>19</v>
      </c>
      <c r="E1437" s="6" t="s">
        <v>273</v>
      </c>
    </row>
    <row r="1438" hidden="1">
      <c r="A1438" s="10" t="s">
        <v>1356</v>
      </c>
      <c r="B1438" s="3" t="s">
        <v>1357</v>
      </c>
      <c r="C1438" s="4" t="s">
        <v>8</v>
      </c>
      <c r="D1438" s="5" t="s">
        <v>76</v>
      </c>
      <c r="E1438" s="6" t="s">
        <v>1368</v>
      </c>
    </row>
    <row r="1439" hidden="1">
      <c r="A1439" s="10" t="s">
        <v>1356</v>
      </c>
      <c r="B1439" s="3" t="s">
        <v>1357</v>
      </c>
      <c r="C1439" s="4" t="s">
        <v>8</v>
      </c>
      <c r="D1439" s="5" t="s">
        <v>35</v>
      </c>
      <c r="E1439" s="6" t="s">
        <v>1369</v>
      </c>
    </row>
    <row r="1440">
      <c r="A1440" s="10" t="s">
        <v>1356</v>
      </c>
      <c r="B1440" s="3" t="s">
        <v>1357</v>
      </c>
      <c r="C1440" s="4" t="s">
        <v>3</v>
      </c>
      <c r="D1440" s="5" t="s">
        <v>13</v>
      </c>
      <c r="E1440" s="6" t="s">
        <v>1249</v>
      </c>
    </row>
    <row r="1441">
      <c r="A1441" s="10" t="s">
        <v>1370</v>
      </c>
      <c r="B1441" s="3" t="s">
        <v>1371</v>
      </c>
      <c r="C1441" s="4" t="s">
        <v>3</v>
      </c>
      <c r="D1441" s="5" t="s">
        <v>15</v>
      </c>
      <c r="E1441" s="6" t="s">
        <v>541</v>
      </c>
    </row>
    <row r="1442" hidden="1">
      <c r="A1442" s="10" t="s">
        <v>1370</v>
      </c>
      <c r="B1442" s="3" t="s">
        <v>1371</v>
      </c>
      <c r="C1442" s="4" t="s">
        <v>8</v>
      </c>
      <c r="D1442" s="5" t="s">
        <v>96</v>
      </c>
      <c r="E1442" s="6" t="s">
        <v>1372</v>
      </c>
    </row>
    <row r="1443" hidden="1">
      <c r="A1443" s="10" t="s">
        <v>1370</v>
      </c>
      <c r="B1443" s="3" t="s">
        <v>1371</v>
      </c>
      <c r="C1443" s="4" t="s">
        <v>8</v>
      </c>
      <c r="D1443" s="5" t="s">
        <v>42</v>
      </c>
      <c r="E1443" s="6" t="s">
        <v>905</v>
      </c>
    </row>
    <row r="1444" hidden="1">
      <c r="A1444" s="10" t="s">
        <v>1370</v>
      </c>
      <c r="B1444" s="3" t="s">
        <v>1371</v>
      </c>
      <c r="C1444" s="4" t="s">
        <v>8</v>
      </c>
      <c r="D1444" s="5" t="s">
        <v>120</v>
      </c>
      <c r="E1444" s="6" t="s">
        <v>1373</v>
      </c>
    </row>
    <row r="1445">
      <c r="A1445" s="10" t="s">
        <v>1370</v>
      </c>
      <c r="B1445" s="3" t="s">
        <v>1371</v>
      </c>
      <c r="C1445" s="4" t="s">
        <v>3</v>
      </c>
      <c r="D1445" s="5" t="s">
        <v>76</v>
      </c>
      <c r="E1445" s="6" t="s">
        <v>1374</v>
      </c>
    </row>
    <row r="1446" hidden="1">
      <c r="A1446" s="10" t="s">
        <v>1370</v>
      </c>
      <c r="B1446" s="3" t="s">
        <v>1371</v>
      </c>
      <c r="C1446" s="4" t="s">
        <v>8</v>
      </c>
      <c r="D1446" s="5" t="s">
        <v>42</v>
      </c>
      <c r="E1446" s="6" t="s">
        <v>208</v>
      </c>
    </row>
    <row r="1447" hidden="1">
      <c r="A1447" s="10" t="s">
        <v>1370</v>
      </c>
      <c r="B1447" s="3" t="s">
        <v>1371</v>
      </c>
      <c r="C1447" s="4" t="s">
        <v>8</v>
      </c>
      <c r="D1447" s="5" t="s">
        <v>9</v>
      </c>
      <c r="E1447" s="6" t="s">
        <v>842</v>
      </c>
    </row>
    <row r="1448">
      <c r="A1448" s="10" t="s">
        <v>1370</v>
      </c>
      <c r="B1448" s="3" t="s">
        <v>1371</v>
      </c>
      <c r="C1448" s="4" t="s">
        <v>3</v>
      </c>
      <c r="D1448" s="5" t="s">
        <v>4</v>
      </c>
      <c r="E1448" s="6" t="s">
        <v>1375</v>
      </c>
    </row>
    <row r="1449" hidden="1">
      <c r="A1449" s="10" t="s">
        <v>1370</v>
      </c>
      <c r="B1449" s="3" t="s">
        <v>1371</v>
      </c>
      <c r="C1449" s="4" t="s">
        <v>8</v>
      </c>
      <c r="D1449" s="5" t="s">
        <v>19</v>
      </c>
      <c r="E1449" s="6" t="s">
        <v>1376</v>
      </c>
    </row>
    <row r="1450">
      <c r="A1450" s="10" t="s">
        <v>1370</v>
      </c>
      <c r="B1450" s="3" t="s">
        <v>1371</v>
      </c>
      <c r="C1450" s="4" t="s">
        <v>3</v>
      </c>
      <c r="D1450" s="5" t="s">
        <v>39</v>
      </c>
      <c r="E1450" s="6" t="s">
        <v>1377</v>
      </c>
    </row>
    <row r="1451" hidden="1">
      <c r="A1451" s="10" t="s">
        <v>1370</v>
      </c>
      <c r="B1451" s="3" t="s">
        <v>1371</v>
      </c>
      <c r="C1451" s="4" t="s">
        <v>8</v>
      </c>
      <c r="D1451" s="5" t="s">
        <v>19</v>
      </c>
      <c r="E1451" s="6" t="s">
        <v>1378</v>
      </c>
    </row>
    <row r="1452" hidden="1">
      <c r="A1452" s="10" t="s">
        <v>1370</v>
      </c>
      <c r="B1452" s="3" t="s">
        <v>1371</v>
      </c>
      <c r="C1452" s="4" t="s">
        <v>8</v>
      </c>
      <c r="D1452" s="5" t="s">
        <v>71</v>
      </c>
      <c r="E1452" s="6" t="s">
        <v>1379</v>
      </c>
    </row>
    <row r="1453">
      <c r="A1453" s="10" t="s">
        <v>1370</v>
      </c>
      <c r="B1453" s="3" t="s">
        <v>1371</v>
      </c>
      <c r="C1453" s="4" t="s">
        <v>3</v>
      </c>
      <c r="D1453" s="5" t="s">
        <v>39</v>
      </c>
      <c r="E1453" s="6" t="s">
        <v>1380</v>
      </c>
    </row>
    <row r="1454" hidden="1">
      <c r="A1454" s="10" t="s">
        <v>1370</v>
      </c>
      <c r="B1454" s="3" t="s">
        <v>1371</v>
      </c>
      <c r="C1454" s="4" t="s">
        <v>8</v>
      </c>
      <c r="D1454" s="5" t="s">
        <v>35</v>
      </c>
      <c r="E1454" s="6" t="s">
        <v>1381</v>
      </c>
    </row>
    <row r="1455">
      <c r="A1455" s="10" t="s">
        <v>1370</v>
      </c>
      <c r="B1455" s="3" t="s">
        <v>1371</v>
      </c>
      <c r="C1455" s="4" t="s">
        <v>3</v>
      </c>
      <c r="D1455" s="5" t="s">
        <v>21</v>
      </c>
      <c r="E1455" s="6" t="s">
        <v>612</v>
      </c>
    </row>
    <row r="1456" hidden="1">
      <c r="A1456" s="10" t="s">
        <v>1370</v>
      </c>
      <c r="B1456" s="3" t="s">
        <v>1371</v>
      </c>
      <c r="C1456" s="4" t="s">
        <v>8</v>
      </c>
      <c r="D1456" s="5" t="s">
        <v>15</v>
      </c>
      <c r="E1456" s="6" t="s">
        <v>1376</v>
      </c>
    </row>
    <row r="1457" hidden="1">
      <c r="A1457" s="10" t="s">
        <v>1370</v>
      </c>
      <c r="B1457" s="3" t="s">
        <v>1371</v>
      </c>
      <c r="C1457" s="4" t="s">
        <v>8</v>
      </c>
      <c r="D1457" s="5" t="s">
        <v>120</v>
      </c>
      <c r="E1457" s="6" t="s">
        <v>1382</v>
      </c>
    </row>
    <row r="1458">
      <c r="A1458" s="10" t="s">
        <v>1370</v>
      </c>
      <c r="B1458" s="3" t="s">
        <v>1371</v>
      </c>
      <c r="C1458" s="4" t="s">
        <v>3</v>
      </c>
      <c r="D1458" s="5" t="s">
        <v>76</v>
      </c>
      <c r="E1458" s="6" t="s">
        <v>1383</v>
      </c>
    </row>
    <row r="1459">
      <c r="A1459" s="10" t="s">
        <v>1370</v>
      </c>
      <c r="B1459" s="3" t="s">
        <v>1371</v>
      </c>
      <c r="C1459" s="4" t="s">
        <v>3</v>
      </c>
      <c r="D1459" s="5" t="s">
        <v>42</v>
      </c>
      <c r="E1459" s="6" t="s">
        <v>643</v>
      </c>
    </row>
    <row r="1460">
      <c r="A1460" s="10" t="s">
        <v>1370</v>
      </c>
      <c r="B1460" s="3" t="s">
        <v>1371</v>
      </c>
      <c r="C1460" s="4" t="s">
        <v>3</v>
      </c>
      <c r="D1460" s="5" t="s">
        <v>19</v>
      </c>
      <c r="E1460" s="6" t="s">
        <v>1384</v>
      </c>
    </row>
    <row r="1461">
      <c r="A1461" s="10" t="s">
        <v>632</v>
      </c>
      <c r="B1461" s="3" t="s">
        <v>1385</v>
      </c>
      <c r="C1461" s="4" t="s">
        <v>3</v>
      </c>
      <c r="D1461" s="5" t="s">
        <v>13</v>
      </c>
      <c r="E1461" s="6" t="s">
        <v>1386</v>
      </c>
    </row>
    <row r="1462">
      <c r="A1462" s="10" t="s">
        <v>632</v>
      </c>
      <c r="B1462" s="3" t="s">
        <v>1385</v>
      </c>
      <c r="C1462" s="4" t="s">
        <v>3</v>
      </c>
      <c r="D1462" s="5" t="s">
        <v>39</v>
      </c>
      <c r="E1462" s="6" t="s">
        <v>1387</v>
      </c>
    </row>
    <row r="1463">
      <c r="A1463" s="10" t="s">
        <v>632</v>
      </c>
      <c r="B1463" s="3" t="s">
        <v>1385</v>
      </c>
      <c r="C1463" s="4" t="s">
        <v>3</v>
      </c>
      <c r="D1463" s="5" t="s">
        <v>17</v>
      </c>
      <c r="E1463" s="6" t="s">
        <v>1388</v>
      </c>
    </row>
    <row r="1464">
      <c r="A1464" s="10" t="s">
        <v>632</v>
      </c>
      <c r="B1464" s="3" t="s">
        <v>1385</v>
      </c>
      <c r="C1464" s="4" t="s">
        <v>3</v>
      </c>
      <c r="D1464" s="5" t="s">
        <v>39</v>
      </c>
      <c r="E1464" s="6" t="s">
        <v>1389</v>
      </c>
    </row>
    <row r="1465">
      <c r="A1465" s="10" t="s">
        <v>632</v>
      </c>
      <c r="B1465" s="3" t="s">
        <v>1385</v>
      </c>
      <c r="C1465" s="4" t="s">
        <v>3</v>
      </c>
      <c r="D1465" s="5" t="s">
        <v>76</v>
      </c>
      <c r="E1465" s="6" t="s">
        <v>227</v>
      </c>
    </row>
    <row r="1466" hidden="1">
      <c r="A1466" s="10" t="s">
        <v>632</v>
      </c>
      <c r="B1466" s="3" t="s">
        <v>1385</v>
      </c>
      <c r="C1466" s="4" t="s">
        <v>8</v>
      </c>
      <c r="D1466" s="5" t="s">
        <v>96</v>
      </c>
      <c r="E1466" s="6" t="s">
        <v>215</v>
      </c>
    </row>
    <row r="1467" hidden="1">
      <c r="A1467" s="10" t="s">
        <v>632</v>
      </c>
      <c r="B1467" s="3" t="s">
        <v>1385</v>
      </c>
      <c r="C1467" s="4" t="s">
        <v>8</v>
      </c>
      <c r="D1467" s="5" t="s">
        <v>39</v>
      </c>
      <c r="E1467" s="6" t="s">
        <v>1390</v>
      </c>
    </row>
    <row r="1468">
      <c r="A1468" s="10" t="s">
        <v>632</v>
      </c>
      <c r="B1468" s="3" t="s">
        <v>1385</v>
      </c>
      <c r="C1468" s="4" t="s">
        <v>3</v>
      </c>
      <c r="D1468" s="5" t="s">
        <v>96</v>
      </c>
      <c r="E1468" s="6" t="s">
        <v>1391</v>
      </c>
    </row>
    <row r="1469" hidden="1">
      <c r="A1469" s="10" t="s">
        <v>632</v>
      </c>
      <c r="B1469" s="3" t="s">
        <v>1385</v>
      </c>
      <c r="C1469" s="4" t="s">
        <v>8</v>
      </c>
      <c r="D1469" s="5" t="s">
        <v>96</v>
      </c>
      <c r="E1469" s="6" t="s">
        <v>501</v>
      </c>
    </row>
    <row r="1470" hidden="1">
      <c r="A1470" s="10" t="s">
        <v>632</v>
      </c>
      <c r="B1470" s="3" t="s">
        <v>1385</v>
      </c>
      <c r="C1470" s="4" t="s">
        <v>8</v>
      </c>
      <c r="D1470" s="5" t="s">
        <v>28</v>
      </c>
      <c r="E1470" s="6" t="s">
        <v>1392</v>
      </c>
    </row>
    <row r="1471" hidden="1">
      <c r="A1471" s="10" t="s">
        <v>632</v>
      </c>
      <c r="B1471" s="3" t="s">
        <v>1385</v>
      </c>
      <c r="C1471" s="4" t="s">
        <v>8</v>
      </c>
      <c r="D1471" s="5" t="s">
        <v>11</v>
      </c>
      <c r="E1471" s="6" t="s">
        <v>570</v>
      </c>
    </row>
    <row r="1472" hidden="1">
      <c r="A1472" s="10" t="s">
        <v>632</v>
      </c>
      <c r="B1472" s="3" t="s">
        <v>1385</v>
      </c>
      <c r="C1472" s="4" t="s">
        <v>8</v>
      </c>
      <c r="D1472" s="5" t="s">
        <v>51</v>
      </c>
      <c r="E1472" s="6" t="s">
        <v>201</v>
      </c>
    </row>
    <row r="1473" hidden="1">
      <c r="A1473" s="10" t="s">
        <v>632</v>
      </c>
      <c r="B1473" s="3" t="s">
        <v>1385</v>
      </c>
      <c r="C1473" s="4" t="s">
        <v>8</v>
      </c>
      <c r="D1473" s="5" t="s">
        <v>17</v>
      </c>
      <c r="E1473" s="6" t="s">
        <v>1393</v>
      </c>
    </row>
    <row r="1474">
      <c r="A1474" s="10" t="s">
        <v>632</v>
      </c>
      <c r="B1474" s="3" t="s">
        <v>1385</v>
      </c>
      <c r="C1474" s="4" t="s">
        <v>3</v>
      </c>
      <c r="D1474" s="5" t="s">
        <v>51</v>
      </c>
      <c r="E1474" s="6" t="s">
        <v>1244</v>
      </c>
    </row>
    <row r="1475" hidden="1">
      <c r="A1475" s="10" t="s">
        <v>632</v>
      </c>
      <c r="B1475" s="3" t="s">
        <v>1385</v>
      </c>
      <c r="C1475" s="4" t="s">
        <v>8</v>
      </c>
      <c r="D1475" s="5" t="s">
        <v>51</v>
      </c>
      <c r="E1475" s="6" t="s">
        <v>1394</v>
      </c>
    </row>
    <row r="1476" hidden="1">
      <c r="A1476" s="10" t="s">
        <v>632</v>
      </c>
      <c r="B1476" s="3" t="s">
        <v>1385</v>
      </c>
      <c r="C1476" s="4" t="s">
        <v>8</v>
      </c>
      <c r="D1476" s="5" t="s">
        <v>51</v>
      </c>
      <c r="E1476" s="6" t="s">
        <v>1395</v>
      </c>
    </row>
    <row r="1477">
      <c r="A1477" s="10" t="s">
        <v>632</v>
      </c>
      <c r="B1477" s="3" t="s">
        <v>1385</v>
      </c>
      <c r="C1477" s="4" t="s">
        <v>3</v>
      </c>
      <c r="D1477" s="5" t="s">
        <v>71</v>
      </c>
      <c r="E1477" s="6" t="s">
        <v>756</v>
      </c>
    </row>
    <row r="1478" hidden="1">
      <c r="A1478" s="10" t="s">
        <v>632</v>
      </c>
      <c r="B1478" s="3" t="s">
        <v>1385</v>
      </c>
      <c r="C1478" s="4" t="s">
        <v>8</v>
      </c>
      <c r="D1478" s="5" t="s">
        <v>4</v>
      </c>
      <c r="E1478" s="6" t="s">
        <v>1396</v>
      </c>
    </row>
    <row r="1479">
      <c r="A1479" s="10" t="s">
        <v>632</v>
      </c>
      <c r="B1479" s="3" t="s">
        <v>1385</v>
      </c>
      <c r="C1479" s="4" t="s">
        <v>3</v>
      </c>
      <c r="D1479" s="5" t="s">
        <v>6</v>
      </c>
      <c r="E1479" s="6" t="s">
        <v>1397</v>
      </c>
    </row>
    <row r="1480" hidden="1">
      <c r="A1480" s="10" t="s">
        <v>632</v>
      </c>
      <c r="B1480" s="3" t="s">
        <v>1385</v>
      </c>
      <c r="C1480" s="4" t="s">
        <v>8</v>
      </c>
      <c r="D1480" s="5" t="s">
        <v>120</v>
      </c>
      <c r="E1480" s="6" t="s">
        <v>143</v>
      </c>
    </row>
    <row r="1481" hidden="1">
      <c r="A1481" s="10" t="s">
        <v>1398</v>
      </c>
      <c r="B1481" s="3" t="s">
        <v>1399</v>
      </c>
      <c r="C1481" s="4" t="s">
        <v>8</v>
      </c>
      <c r="D1481" s="5" t="s">
        <v>6</v>
      </c>
      <c r="E1481" s="6" t="s">
        <v>1400</v>
      </c>
    </row>
    <row r="1482">
      <c r="A1482" s="10" t="s">
        <v>1398</v>
      </c>
      <c r="B1482" s="3" t="s">
        <v>1399</v>
      </c>
      <c r="C1482" s="4" t="s">
        <v>3</v>
      </c>
      <c r="D1482" s="5" t="s">
        <v>15</v>
      </c>
      <c r="E1482" s="6" t="s">
        <v>1401</v>
      </c>
    </row>
    <row r="1483">
      <c r="A1483" s="10" t="s">
        <v>1398</v>
      </c>
      <c r="B1483" s="3" t="s">
        <v>1399</v>
      </c>
      <c r="C1483" s="4" t="s">
        <v>3</v>
      </c>
      <c r="D1483" s="5" t="s">
        <v>39</v>
      </c>
      <c r="E1483" s="6" t="s">
        <v>1402</v>
      </c>
    </row>
    <row r="1484">
      <c r="A1484" s="10" t="s">
        <v>1398</v>
      </c>
      <c r="B1484" s="3" t="s">
        <v>1399</v>
      </c>
      <c r="C1484" s="4" t="s">
        <v>3</v>
      </c>
      <c r="D1484" s="5" t="s">
        <v>39</v>
      </c>
      <c r="E1484" s="6" t="s">
        <v>1403</v>
      </c>
    </row>
    <row r="1485" hidden="1">
      <c r="A1485" s="10" t="s">
        <v>1398</v>
      </c>
      <c r="B1485" s="3" t="s">
        <v>1399</v>
      </c>
      <c r="C1485" s="4" t="s">
        <v>8</v>
      </c>
      <c r="D1485" s="5" t="s">
        <v>23</v>
      </c>
      <c r="E1485" s="6" t="s">
        <v>1404</v>
      </c>
    </row>
    <row r="1486" hidden="1">
      <c r="A1486" s="10" t="s">
        <v>1398</v>
      </c>
      <c r="B1486" s="3" t="s">
        <v>1399</v>
      </c>
      <c r="C1486" s="4" t="s">
        <v>8</v>
      </c>
      <c r="D1486" s="5" t="s">
        <v>71</v>
      </c>
      <c r="E1486" s="6" t="s">
        <v>515</v>
      </c>
    </row>
    <row r="1487" hidden="1">
      <c r="A1487" s="10" t="s">
        <v>1398</v>
      </c>
      <c r="B1487" s="3" t="s">
        <v>1399</v>
      </c>
      <c r="C1487" s="4" t="s">
        <v>8</v>
      </c>
      <c r="D1487" s="5" t="s">
        <v>28</v>
      </c>
      <c r="E1487" s="6" t="s">
        <v>1405</v>
      </c>
    </row>
    <row r="1488" hidden="1">
      <c r="A1488" s="10" t="s">
        <v>1398</v>
      </c>
      <c r="B1488" s="3" t="s">
        <v>1399</v>
      </c>
      <c r="C1488" s="4" t="s">
        <v>8</v>
      </c>
      <c r="D1488" s="5" t="s">
        <v>21</v>
      </c>
      <c r="E1488" s="6" t="s">
        <v>1248</v>
      </c>
    </row>
    <row r="1489" hidden="1">
      <c r="A1489" s="10" t="s">
        <v>1398</v>
      </c>
      <c r="B1489" s="3" t="s">
        <v>1399</v>
      </c>
      <c r="C1489" s="4" t="s">
        <v>8</v>
      </c>
      <c r="D1489" s="5" t="s">
        <v>45</v>
      </c>
      <c r="E1489" s="6" t="s">
        <v>1406</v>
      </c>
    </row>
    <row r="1490" hidden="1">
      <c r="A1490" s="10" t="s">
        <v>1398</v>
      </c>
      <c r="B1490" s="3" t="s">
        <v>1399</v>
      </c>
      <c r="C1490" s="4" t="s">
        <v>8</v>
      </c>
      <c r="D1490" s="5" t="s">
        <v>23</v>
      </c>
      <c r="E1490" s="6" t="s">
        <v>1407</v>
      </c>
    </row>
    <row r="1491">
      <c r="A1491" s="10" t="s">
        <v>1398</v>
      </c>
      <c r="B1491" s="3" t="s">
        <v>1399</v>
      </c>
      <c r="C1491" s="4" t="s">
        <v>3</v>
      </c>
      <c r="D1491" s="5" t="s">
        <v>4</v>
      </c>
      <c r="E1491" s="6" t="s">
        <v>1408</v>
      </c>
    </row>
    <row r="1492" hidden="1">
      <c r="A1492" s="10" t="s">
        <v>1398</v>
      </c>
      <c r="B1492" s="3" t="s">
        <v>1399</v>
      </c>
      <c r="C1492" s="4" t="s">
        <v>8</v>
      </c>
      <c r="D1492" s="5" t="s">
        <v>19</v>
      </c>
      <c r="E1492" s="6" t="s">
        <v>1333</v>
      </c>
    </row>
    <row r="1493">
      <c r="A1493" s="10" t="s">
        <v>1398</v>
      </c>
      <c r="B1493" s="3" t="s">
        <v>1399</v>
      </c>
      <c r="C1493" s="4" t="s">
        <v>3</v>
      </c>
      <c r="D1493" s="5" t="s">
        <v>21</v>
      </c>
      <c r="E1493" s="6" t="s">
        <v>649</v>
      </c>
    </row>
    <row r="1494" hidden="1">
      <c r="A1494" s="10" t="s">
        <v>1398</v>
      </c>
      <c r="B1494" s="3" t="s">
        <v>1399</v>
      </c>
      <c r="C1494" s="4" t="s">
        <v>8</v>
      </c>
      <c r="D1494" s="5" t="s">
        <v>13</v>
      </c>
      <c r="E1494" s="6" t="s">
        <v>1409</v>
      </c>
    </row>
    <row r="1495" hidden="1">
      <c r="A1495" s="10" t="s">
        <v>1398</v>
      </c>
      <c r="B1495" s="3" t="s">
        <v>1399</v>
      </c>
      <c r="C1495" s="4" t="s">
        <v>8</v>
      </c>
      <c r="D1495" s="5" t="s">
        <v>23</v>
      </c>
      <c r="E1495" s="6" t="s">
        <v>1293</v>
      </c>
    </row>
    <row r="1496">
      <c r="A1496" s="10" t="s">
        <v>1398</v>
      </c>
      <c r="B1496" s="3" t="s">
        <v>1399</v>
      </c>
      <c r="C1496" s="4" t="s">
        <v>3</v>
      </c>
      <c r="D1496" s="5" t="s">
        <v>23</v>
      </c>
      <c r="E1496" s="6" t="s">
        <v>1410</v>
      </c>
    </row>
    <row r="1497">
      <c r="A1497" s="10" t="s">
        <v>1398</v>
      </c>
      <c r="B1497" s="3" t="s">
        <v>1399</v>
      </c>
      <c r="C1497" s="4" t="s">
        <v>3</v>
      </c>
      <c r="D1497" s="5" t="s">
        <v>21</v>
      </c>
      <c r="E1497" s="6" t="s">
        <v>1411</v>
      </c>
    </row>
    <row r="1498" hidden="1">
      <c r="A1498" s="10" t="s">
        <v>1398</v>
      </c>
      <c r="B1498" s="3" t="s">
        <v>1399</v>
      </c>
      <c r="C1498" s="4" t="s">
        <v>8</v>
      </c>
      <c r="D1498" s="5" t="s">
        <v>71</v>
      </c>
      <c r="E1498" s="6" t="s">
        <v>1412</v>
      </c>
    </row>
    <row r="1499" hidden="1">
      <c r="A1499" s="10" t="s">
        <v>1398</v>
      </c>
      <c r="B1499" s="3" t="s">
        <v>1399</v>
      </c>
      <c r="C1499" s="4" t="s">
        <v>8</v>
      </c>
      <c r="D1499" s="5" t="s">
        <v>11</v>
      </c>
      <c r="E1499" s="6" t="s">
        <v>1413</v>
      </c>
    </row>
    <row r="1500">
      <c r="A1500" s="10" t="s">
        <v>1398</v>
      </c>
      <c r="B1500" s="3" t="s">
        <v>1399</v>
      </c>
      <c r="C1500" s="4" t="s">
        <v>3</v>
      </c>
      <c r="D1500" s="5" t="s">
        <v>21</v>
      </c>
      <c r="E1500" s="6" t="s">
        <v>1285</v>
      </c>
    </row>
    <row r="1501">
      <c r="A1501" s="10" t="s">
        <v>1414</v>
      </c>
      <c r="B1501" s="3" t="s">
        <v>1415</v>
      </c>
      <c r="C1501" s="4" t="s">
        <v>3</v>
      </c>
      <c r="D1501" s="5" t="s">
        <v>96</v>
      </c>
      <c r="E1501" s="6" t="s">
        <v>1217</v>
      </c>
    </row>
    <row r="1502">
      <c r="A1502" s="10" t="s">
        <v>1414</v>
      </c>
      <c r="B1502" s="3" t="s">
        <v>1415</v>
      </c>
      <c r="C1502" s="4" t="s">
        <v>3</v>
      </c>
      <c r="D1502" s="5" t="s">
        <v>45</v>
      </c>
      <c r="E1502" s="6" t="s">
        <v>579</v>
      </c>
    </row>
    <row r="1503" hidden="1">
      <c r="A1503" s="10" t="s">
        <v>1414</v>
      </c>
      <c r="B1503" s="3" t="s">
        <v>1415</v>
      </c>
      <c r="C1503" s="4" t="s">
        <v>8</v>
      </c>
      <c r="D1503" s="5" t="s">
        <v>13</v>
      </c>
      <c r="E1503" s="6" t="s">
        <v>1416</v>
      </c>
    </row>
    <row r="1504" hidden="1">
      <c r="A1504" s="10" t="s">
        <v>1414</v>
      </c>
      <c r="B1504" s="3" t="s">
        <v>1415</v>
      </c>
      <c r="C1504" s="4" t="s">
        <v>8</v>
      </c>
      <c r="D1504" s="5" t="s">
        <v>19</v>
      </c>
      <c r="E1504" s="6" t="s">
        <v>771</v>
      </c>
    </row>
    <row r="1505">
      <c r="A1505" s="10" t="s">
        <v>1414</v>
      </c>
      <c r="B1505" s="3" t="s">
        <v>1415</v>
      </c>
      <c r="C1505" s="4" t="s">
        <v>3</v>
      </c>
      <c r="D1505" s="5" t="s">
        <v>17</v>
      </c>
      <c r="E1505" s="6" t="s">
        <v>1417</v>
      </c>
    </row>
    <row r="1506">
      <c r="A1506" s="10" t="s">
        <v>1414</v>
      </c>
      <c r="B1506" s="3" t="s">
        <v>1415</v>
      </c>
      <c r="C1506" s="4" t="s">
        <v>3</v>
      </c>
      <c r="D1506" s="5" t="s">
        <v>9</v>
      </c>
      <c r="E1506" s="6" t="s">
        <v>344</v>
      </c>
    </row>
    <row r="1507" hidden="1">
      <c r="A1507" s="10" t="s">
        <v>1414</v>
      </c>
      <c r="B1507" s="3" t="s">
        <v>1415</v>
      </c>
      <c r="C1507" s="4" t="s">
        <v>8</v>
      </c>
      <c r="D1507" s="5" t="s">
        <v>4</v>
      </c>
      <c r="E1507" s="6" t="s">
        <v>1418</v>
      </c>
    </row>
    <row r="1508" hidden="1">
      <c r="A1508" s="10" t="s">
        <v>1414</v>
      </c>
      <c r="B1508" s="3" t="s">
        <v>1415</v>
      </c>
      <c r="C1508" s="4" t="s">
        <v>8</v>
      </c>
      <c r="D1508" s="5" t="s">
        <v>13</v>
      </c>
      <c r="E1508" s="6" t="s">
        <v>1419</v>
      </c>
    </row>
    <row r="1509">
      <c r="A1509" s="10" t="s">
        <v>1414</v>
      </c>
      <c r="B1509" s="3" t="s">
        <v>1415</v>
      </c>
      <c r="C1509" s="4" t="s">
        <v>3</v>
      </c>
      <c r="D1509" s="5" t="s">
        <v>6</v>
      </c>
      <c r="E1509" s="6" t="s">
        <v>1420</v>
      </c>
    </row>
    <row r="1510" hidden="1">
      <c r="A1510" s="10" t="s">
        <v>1414</v>
      </c>
      <c r="B1510" s="3" t="s">
        <v>1415</v>
      </c>
      <c r="C1510" s="4" t="s">
        <v>8</v>
      </c>
      <c r="D1510" s="5" t="s">
        <v>76</v>
      </c>
      <c r="E1510" s="6" t="s">
        <v>1421</v>
      </c>
    </row>
    <row r="1511" hidden="1">
      <c r="A1511" s="10" t="s">
        <v>1414</v>
      </c>
      <c r="B1511" s="3" t="s">
        <v>1415</v>
      </c>
      <c r="C1511" s="4" t="s">
        <v>8</v>
      </c>
      <c r="D1511" s="5" t="s">
        <v>19</v>
      </c>
      <c r="E1511" s="6" t="s">
        <v>197</v>
      </c>
    </row>
    <row r="1512" hidden="1">
      <c r="A1512" s="10" t="s">
        <v>1414</v>
      </c>
      <c r="B1512" s="3" t="s">
        <v>1415</v>
      </c>
      <c r="C1512" s="4" t="s">
        <v>8</v>
      </c>
      <c r="D1512" s="5" t="s">
        <v>71</v>
      </c>
      <c r="E1512" s="6" t="s">
        <v>1422</v>
      </c>
    </row>
    <row r="1513" hidden="1">
      <c r="A1513" s="10" t="s">
        <v>1414</v>
      </c>
      <c r="B1513" s="3" t="s">
        <v>1415</v>
      </c>
      <c r="C1513" s="4" t="s">
        <v>8</v>
      </c>
      <c r="D1513" s="5" t="s">
        <v>6</v>
      </c>
      <c r="E1513" s="6" t="s">
        <v>1423</v>
      </c>
    </row>
    <row r="1514">
      <c r="A1514" s="10" t="s">
        <v>1414</v>
      </c>
      <c r="B1514" s="3" t="s">
        <v>1415</v>
      </c>
      <c r="C1514" s="4" t="s">
        <v>3</v>
      </c>
      <c r="D1514" s="5" t="s">
        <v>9</v>
      </c>
      <c r="E1514" s="6" t="s">
        <v>344</v>
      </c>
    </row>
    <row r="1515" hidden="1">
      <c r="A1515" s="10" t="s">
        <v>1414</v>
      </c>
      <c r="B1515" s="3" t="s">
        <v>1415</v>
      </c>
      <c r="C1515" s="4" t="s">
        <v>8</v>
      </c>
      <c r="D1515" s="5" t="s">
        <v>42</v>
      </c>
      <c r="E1515" s="6" t="s">
        <v>1424</v>
      </c>
    </row>
    <row r="1516" hidden="1">
      <c r="A1516" s="10" t="s">
        <v>1414</v>
      </c>
      <c r="B1516" s="3" t="s">
        <v>1415</v>
      </c>
      <c r="C1516" s="4" t="s">
        <v>8</v>
      </c>
      <c r="D1516" s="5" t="s">
        <v>17</v>
      </c>
      <c r="E1516" s="6" t="s">
        <v>734</v>
      </c>
    </row>
    <row r="1517" hidden="1">
      <c r="A1517" s="10" t="s">
        <v>1414</v>
      </c>
      <c r="B1517" s="3" t="s">
        <v>1415</v>
      </c>
      <c r="C1517" s="4" t="s">
        <v>8</v>
      </c>
      <c r="D1517" s="5" t="s">
        <v>35</v>
      </c>
      <c r="E1517" s="6" t="s">
        <v>1425</v>
      </c>
    </row>
    <row r="1518">
      <c r="A1518" s="10" t="s">
        <v>1414</v>
      </c>
      <c r="B1518" s="3" t="s">
        <v>1415</v>
      </c>
      <c r="C1518" s="4" t="s">
        <v>3</v>
      </c>
      <c r="D1518" s="5" t="s">
        <v>28</v>
      </c>
      <c r="E1518" s="6" t="s">
        <v>1426</v>
      </c>
    </row>
    <row r="1519">
      <c r="A1519" s="10" t="s">
        <v>1414</v>
      </c>
      <c r="B1519" s="3" t="s">
        <v>1415</v>
      </c>
      <c r="C1519" s="4" t="s">
        <v>3</v>
      </c>
      <c r="D1519" s="5" t="s">
        <v>9</v>
      </c>
      <c r="E1519" s="6" t="s">
        <v>1427</v>
      </c>
    </row>
    <row r="1520">
      <c r="A1520" s="10" t="s">
        <v>1414</v>
      </c>
      <c r="B1520" s="3" t="s">
        <v>1415</v>
      </c>
      <c r="C1520" s="4" t="s">
        <v>3</v>
      </c>
      <c r="D1520" s="5" t="s">
        <v>13</v>
      </c>
      <c r="E1520" s="6" t="s">
        <v>30</v>
      </c>
    </row>
    <row r="1521">
      <c r="A1521" s="10" t="s">
        <v>632</v>
      </c>
      <c r="B1521" s="3" t="s">
        <v>1428</v>
      </c>
      <c r="C1521" s="4" t="s">
        <v>3</v>
      </c>
      <c r="D1521" s="5" t="s">
        <v>96</v>
      </c>
      <c r="E1521" s="6" t="s">
        <v>822</v>
      </c>
    </row>
    <row r="1522" hidden="1">
      <c r="A1522" s="10" t="s">
        <v>632</v>
      </c>
      <c r="B1522" s="3" t="s">
        <v>1428</v>
      </c>
      <c r="C1522" s="4" t="s">
        <v>8</v>
      </c>
      <c r="D1522" s="5" t="s">
        <v>21</v>
      </c>
      <c r="E1522" s="6" t="s">
        <v>1429</v>
      </c>
    </row>
    <row r="1523" hidden="1">
      <c r="A1523" s="10" t="s">
        <v>632</v>
      </c>
      <c r="B1523" s="3" t="s">
        <v>1428</v>
      </c>
      <c r="C1523" s="4" t="s">
        <v>8</v>
      </c>
      <c r="D1523" s="5" t="s">
        <v>6</v>
      </c>
      <c r="E1523" s="6" t="s">
        <v>1430</v>
      </c>
    </row>
    <row r="1524">
      <c r="A1524" s="10" t="s">
        <v>632</v>
      </c>
      <c r="B1524" s="3" t="s">
        <v>1428</v>
      </c>
      <c r="C1524" s="4" t="s">
        <v>3</v>
      </c>
      <c r="D1524" s="5" t="s">
        <v>21</v>
      </c>
      <c r="E1524" s="6" t="s">
        <v>1057</v>
      </c>
    </row>
    <row r="1525">
      <c r="A1525" s="10" t="s">
        <v>632</v>
      </c>
      <c r="B1525" s="3" t="s">
        <v>1428</v>
      </c>
      <c r="C1525" s="4" t="s">
        <v>3</v>
      </c>
      <c r="D1525" s="5" t="s">
        <v>120</v>
      </c>
      <c r="E1525" s="6" t="s">
        <v>1431</v>
      </c>
    </row>
    <row r="1526">
      <c r="A1526" s="10" t="s">
        <v>632</v>
      </c>
      <c r="B1526" s="3" t="s">
        <v>1428</v>
      </c>
      <c r="C1526" s="4" t="s">
        <v>3</v>
      </c>
      <c r="D1526" s="5" t="s">
        <v>76</v>
      </c>
      <c r="E1526" s="6" t="s">
        <v>1412</v>
      </c>
    </row>
    <row r="1527">
      <c r="A1527" s="10" t="s">
        <v>632</v>
      </c>
      <c r="B1527" s="3" t="s">
        <v>1428</v>
      </c>
      <c r="C1527" s="4" t="s">
        <v>3</v>
      </c>
      <c r="D1527" s="5" t="s">
        <v>23</v>
      </c>
      <c r="E1527" s="6" t="s">
        <v>1432</v>
      </c>
    </row>
    <row r="1528">
      <c r="A1528" s="10" t="s">
        <v>632</v>
      </c>
      <c r="B1528" s="3" t="s">
        <v>1428</v>
      </c>
      <c r="C1528" s="4" t="s">
        <v>3</v>
      </c>
      <c r="D1528" s="5" t="s">
        <v>11</v>
      </c>
      <c r="E1528" s="6" t="s">
        <v>1433</v>
      </c>
    </row>
    <row r="1529">
      <c r="A1529" s="10" t="s">
        <v>632</v>
      </c>
      <c r="B1529" s="3" t="s">
        <v>1428</v>
      </c>
      <c r="C1529" s="4" t="s">
        <v>3</v>
      </c>
      <c r="D1529" s="5" t="s">
        <v>13</v>
      </c>
      <c r="E1529" s="6" t="s">
        <v>1434</v>
      </c>
    </row>
    <row r="1530">
      <c r="A1530" s="10" t="s">
        <v>632</v>
      </c>
      <c r="B1530" s="3" t="s">
        <v>1428</v>
      </c>
      <c r="C1530" s="4" t="s">
        <v>3</v>
      </c>
      <c r="D1530" s="5" t="s">
        <v>51</v>
      </c>
      <c r="E1530" s="6" t="s">
        <v>1435</v>
      </c>
    </row>
    <row r="1531">
      <c r="A1531" s="10" t="s">
        <v>632</v>
      </c>
      <c r="B1531" s="3" t="s">
        <v>1428</v>
      </c>
      <c r="C1531" s="4" t="s">
        <v>3</v>
      </c>
      <c r="D1531" s="5" t="s">
        <v>11</v>
      </c>
      <c r="E1531" s="6" t="s">
        <v>1436</v>
      </c>
    </row>
    <row r="1532">
      <c r="A1532" s="10" t="s">
        <v>632</v>
      </c>
      <c r="B1532" s="3" t="s">
        <v>1428</v>
      </c>
      <c r="C1532" s="4" t="s">
        <v>3</v>
      </c>
      <c r="D1532" s="5" t="s">
        <v>76</v>
      </c>
      <c r="E1532" s="6" t="s">
        <v>1437</v>
      </c>
    </row>
    <row r="1533" hidden="1">
      <c r="A1533" s="10" t="s">
        <v>632</v>
      </c>
      <c r="B1533" s="3" t="s">
        <v>1428</v>
      </c>
      <c r="C1533" s="4" t="s">
        <v>8</v>
      </c>
      <c r="D1533" s="5" t="s">
        <v>15</v>
      </c>
      <c r="E1533" s="6" t="s">
        <v>1438</v>
      </c>
    </row>
    <row r="1534" hidden="1">
      <c r="A1534" s="10" t="s">
        <v>632</v>
      </c>
      <c r="B1534" s="3" t="s">
        <v>1428</v>
      </c>
      <c r="C1534" s="4" t="s">
        <v>8</v>
      </c>
      <c r="D1534" s="5" t="s">
        <v>120</v>
      </c>
      <c r="E1534" s="6" t="s">
        <v>695</v>
      </c>
    </row>
    <row r="1535">
      <c r="A1535" s="10" t="s">
        <v>632</v>
      </c>
      <c r="B1535" s="3" t="s">
        <v>1428</v>
      </c>
      <c r="C1535" s="4" t="s">
        <v>3</v>
      </c>
      <c r="D1535" s="5" t="s">
        <v>96</v>
      </c>
      <c r="E1535" s="6" t="s">
        <v>1439</v>
      </c>
    </row>
    <row r="1536" hidden="1">
      <c r="A1536" s="10" t="s">
        <v>632</v>
      </c>
      <c r="B1536" s="3" t="s">
        <v>1428</v>
      </c>
      <c r="C1536" s="4" t="s">
        <v>8</v>
      </c>
      <c r="D1536" s="5" t="s">
        <v>15</v>
      </c>
      <c r="E1536" s="6" t="s">
        <v>1440</v>
      </c>
    </row>
    <row r="1537" hidden="1">
      <c r="A1537" s="10" t="s">
        <v>632</v>
      </c>
      <c r="B1537" s="3" t="s">
        <v>1428</v>
      </c>
      <c r="C1537" s="4" t="s">
        <v>8</v>
      </c>
      <c r="D1537" s="5" t="s">
        <v>6</v>
      </c>
      <c r="E1537" s="6" t="s">
        <v>1441</v>
      </c>
    </row>
    <row r="1538" hidden="1">
      <c r="A1538" s="10" t="s">
        <v>632</v>
      </c>
      <c r="B1538" s="3" t="s">
        <v>1428</v>
      </c>
      <c r="C1538" s="4" t="s">
        <v>8</v>
      </c>
      <c r="D1538" s="5" t="s">
        <v>9</v>
      </c>
      <c r="E1538" s="6" t="s">
        <v>1442</v>
      </c>
    </row>
    <row r="1539" hidden="1">
      <c r="A1539" s="10" t="s">
        <v>632</v>
      </c>
      <c r="B1539" s="3" t="s">
        <v>1428</v>
      </c>
      <c r="C1539" s="4" t="s">
        <v>8</v>
      </c>
      <c r="D1539" s="5" t="s">
        <v>76</v>
      </c>
      <c r="E1539" s="6" t="s">
        <v>1304</v>
      </c>
    </row>
    <row r="1540">
      <c r="A1540" s="10" t="s">
        <v>632</v>
      </c>
      <c r="B1540" s="3" t="s">
        <v>1428</v>
      </c>
      <c r="C1540" s="4" t="s">
        <v>3</v>
      </c>
      <c r="D1540" s="5" t="s">
        <v>9</v>
      </c>
      <c r="E1540" s="6" t="s">
        <v>1207</v>
      </c>
    </row>
    <row r="1541">
      <c r="A1541" s="10" t="s">
        <v>1443</v>
      </c>
      <c r="B1541" s="3" t="s">
        <v>1444</v>
      </c>
      <c r="C1541" s="4" t="s">
        <v>3</v>
      </c>
      <c r="D1541" s="5" t="s">
        <v>6</v>
      </c>
      <c r="E1541" s="6" t="s">
        <v>1035</v>
      </c>
    </row>
    <row r="1542" hidden="1">
      <c r="A1542" s="10" t="s">
        <v>1443</v>
      </c>
      <c r="B1542" s="3" t="s">
        <v>1444</v>
      </c>
      <c r="C1542" s="4" t="s">
        <v>8</v>
      </c>
      <c r="D1542" s="5" t="s">
        <v>23</v>
      </c>
      <c r="E1542" s="6" t="s">
        <v>1445</v>
      </c>
    </row>
    <row r="1543" hidden="1">
      <c r="A1543" s="10" t="s">
        <v>1443</v>
      </c>
      <c r="B1543" s="3" t="s">
        <v>1444</v>
      </c>
      <c r="C1543" s="4" t="s">
        <v>8</v>
      </c>
      <c r="D1543" s="5" t="s">
        <v>35</v>
      </c>
      <c r="E1543" s="6" t="s">
        <v>1446</v>
      </c>
    </row>
    <row r="1544" hidden="1">
      <c r="A1544" s="10" t="s">
        <v>1443</v>
      </c>
      <c r="B1544" s="3" t="s">
        <v>1444</v>
      </c>
      <c r="C1544" s="4" t="s">
        <v>8</v>
      </c>
      <c r="D1544" s="5" t="s">
        <v>9</v>
      </c>
      <c r="E1544" s="6" t="s">
        <v>772</v>
      </c>
    </row>
    <row r="1545">
      <c r="A1545" s="10" t="s">
        <v>1443</v>
      </c>
      <c r="B1545" s="3" t="s">
        <v>1444</v>
      </c>
      <c r="C1545" s="4" t="s">
        <v>3</v>
      </c>
      <c r="D1545" s="5" t="s">
        <v>13</v>
      </c>
      <c r="E1545" s="6" t="s">
        <v>1447</v>
      </c>
    </row>
    <row r="1546">
      <c r="A1546" s="10" t="s">
        <v>1443</v>
      </c>
      <c r="B1546" s="3" t="s">
        <v>1444</v>
      </c>
      <c r="C1546" s="4" t="s">
        <v>3</v>
      </c>
      <c r="D1546" s="5" t="s">
        <v>6</v>
      </c>
      <c r="E1546" s="6" t="s">
        <v>1448</v>
      </c>
    </row>
    <row r="1547">
      <c r="A1547" s="10" t="s">
        <v>1443</v>
      </c>
      <c r="B1547" s="3" t="s">
        <v>1444</v>
      </c>
      <c r="C1547" s="4" t="s">
        <v>3</v>
      </c>
      <c r="D1547" s="5" t="s">
        <v>96</v>
      </c>
      <c r="E1547" s="6" t="s">
        <v>758</v>
      </c>
    </row>
    <row r="1548">
      <c r="A1548" s="10" t="s">
        <v>1443</v>
      </c>
      <c r="B1548" s="3" t="s">
        <v>1444</v>
      </c>
      <c r="C1548" s="4" t="s">
        <v>3</v>
      </c>
      <c r="D1548" s="5" t="s">
        <v>19</v>
      </c>
      <c r="E1548" s="6" t="s">
        <v>1025</v>
      </c>
    </row>
    <row r="1549" hidden="1">
      <c r="A1549" s="10" t="s">
        <v>1443</v>
      </c>
      <c r="B1549" s="3" t="s">
        <v>1444</v>
      </c>
      <c r="C1549" s="4" t="s">
        <v>8</v>
      </c>
      <c r="D1549" s="5" t="s">
        <v>96</v>
      </c>
      <c r="E1549" s="6" t="s">
        <v>296</v>
      </c>
    </row>
    <row r="1550">
      <c r="A1550" s="10" t="s">
        <v>1443</v>
      </c>
      <c r="B1550" s="3" t="s">
        <v>1444</v>
      </c>
      <c r="C1550" s="4" t="s">
        <v>3</v>
      </c>
      <c r="D1550" s="5" t="s">
        <v>39</v>
      </c>
      <c r="E1550" s="6" t="s">
        <v>1449</v>
      </c>
    </row>
    <row r="1551">
      <c r="A1551" s="10" t="s">
        <v>1443</v>
      </c>
      <c r="B1551" s="3" t="s">
        <v>1444</v>
      </c>
      <c r="C1551" s="4" t="s">
        <v>3</v>
      </c>
      <c r="D1551" s="5" t="s">
        <v>51</v>
      </c>
      <c r="E1551" s="6" t="s">
        <v>255</v>
      </c>
    </row>
    <row r="1552" hidden="1">
      <c r="A1552" s="10" t="s">
        <v>1443</v>
      </c>
      <c r="B1552" s="3" t="s">
        <v>1444</v>
      </c>
      <c r="C1552" s="4" t="s">
        <v>8</v>
      </c>
      <c r="D1552" s="5" t="s">
        <v>21</v>
      </c>
      <c r="E1552" s="6" t="s">
        <v>197</v>
      </c>
    </row>
    <row r="1553">
      <c r="A1553" s="10" t="s">
        <v>1443</v>
      </c>
      <c r="B1553" s="3" t="s">
        <v>1444</v>
      </c>
      <c r="C1553" s="4" t="s">
        <v>3</v>
      </c>
      <c r="D1553" s="5" t="s">
        <v>39</v>
      </c>
      <c r="E1553" s="6" t="s">
        <v>1377</v>
      </c>
    </row>
    <row r="1554" hidden="1">
      <c r="A1554" s="10" t="s">
        <v>1443</v>
      </c>
      <c r="B1554" s="3" t="s">
        <v>1444</v>
      </c>
      <c r="C1554" s="4" t="s">
        <v>8</v>
      </c>
      <c r="D1554" s="5" t="s">
        <v>96</v>
      </c>
      <c r="E1554" s="6" t="s">
        <v>1450</v>
      </c>
    </row>
    <row r="1555" hidden="1">
      <c r="A1555" s="10" t="s">
        <v>1443</v>
      </c>
      <c r="B1555" s="3" t="s">
        <v>1444</v>
      </c>
      <c r="C1555" s="4" t="s">
        <v>8</v>
      </c>
      <c r="D1555" s="5" t="s">
        <v>42</v>
      </c>
      <c r="E1555" s="6" t="s">
        <v>1045</v>
      </c>
    </row>
    <row r="1556" hidden="1">
      <c r="A1556" s="10" t="s">
        <v>1443</v>
      </c>
      <c r="B1556" s="3" t="s">
        <v>1444</v>
      </c>
      <c r="C1556" s="4" t="s">
        <v>8</v>
      </c>
      <c r="D1556" s="5" t="s">
        <v>15</v>
      </c>
      <c r="E1556" s="6" t="s">
        <v>1451</v>
      </c>
    </row>
    <row r="1557" hidden="1">
      <c r="A1557" s="10" t="s">
        <v>1443</v>
      </c>
      <c r="B1557" s="3" t="s">
        <v>1444</v>
      </c>
      <c r="C1557" s="4" t="s">
        <v>8</v>
      </c>
      <c r="D1557" s="5" t="s">
        <v>96</v>
      </c>
      <c r="E1557" s="6" t="s">
        <v>255</v>
      </c>
    </row>
    <row r="1558" hidden="1">
      <c r="A1558" s="10" t="s">
        <v>1443</v>
      </c>
      <c r="B1558" s="3" t="s">
        <v>1444</v>
      </c>
      <c r="C1558" s="4" t="s">
        <v>8</v>
      </c>
      <c r="D1558" s="5" t="s">
        <v>21</v>
      </c>
      <c r="E1558" s="6" t="s">
        <v>793</v>
      </c>
    </row>
    <row r="1559" hidden="1">
      <c r="A1559" s="10" t="s">
        <v>1443</v>
      </c>
      <c r="B1559" s="3" t="s">
        <v>1444</v>
      </c>
      <c r="C1559" s="4" t="s">
        <v>8</v>
      </c>
      <c r="D1559" s="5" t="s">
        <v>15</v>
      </c>
      <c r="E1559" s="6" t="s">
        <v>548</v>
      </c>
    </row>
    <row r="1560" hidden="1">
      <c r="A1560" s="10" t="s">
        <v>1443</v>
      </c>
      <c r="B1560" s="3" t="s">
        <v>1444</v>
      </c>
      <c r="C1560" s="4" t="s">
        <v>8</v>
      </c>
      <c r="D1560" s="5" t="s">
        <v>15</v>
      </c>
      <c r="E1560" s="6" t="s">
        <v>1452</v>
      </c>
    </row>
    <row r="1561" hidden="1">
      <c r="A1561" s="10" t="s">
        <v>1453</v>
      </c>
      <c r="B1561" s="3" t="s">
        <v>1454</v>
      </c>
      <c r="C1561" s="4" t="s">
        <v>8</v>
      </c>
      <c r="D1561" s="5" t="s">
        <v>39</v>
      </c>
      <c r="E1561" s="6" t="s">
        <v>1455</v>
      </c>
    </row>
    <row r="1562">
      <c r="A1562" s="10" t="s">
        <v>1453</v>
      </c>
      <c r="B1562" s="3" t="s">
        <v>1454</v>
      </c>
      <c r="C1562" s="4" t="s">
        <v>3</v>
      </c>
      <c r="D1562" s="5" t="s">
        <v>76</v>
      </c>
      <c r="E1562" s="6" t="s">
        <v>1456</v>
      </c>
    </row>
    <row r="1563" hidden="1">
      <c r="A1563" s="10" t="s">
        <v>1453</v>
      </c>
      <c r="B1563" s="3" t="s">
        <v>1454</v>
      </c>
      <c r="C1563" s="4" t="s">
        <v>8</v>
      </c>
      <c r="D1563" s="5" t="s">
        <v>4</v>
      </c>
      <c r="E1563" s="6" t="s">
        <v>1457</v>
      </c>
    </row>
    <row r="1564" hidden="1">
      <c r="A1564" s="10" t="s">
        <v>1453</v>
      </c>
      <c r="B1564" s="3" t="s">
        <v>1454</v>
      </c>
      <c r="C1564" s="4" t="s">
        <v>8</v>
      </c>
      <c r="D1564" s="5" t="s">
        <v>42</v>
      </c>
      <c r="E1564" s="6" t="s">
        <v>208</v>
      </c>
    </row>
    <row r="1565" hidden="1">
      <c r="A1565" s="10" t="s">
        <v>1453</v>
      </c>
      <c r="B1565" s="3" t="s">
        <v>1454</v>
      </c>
      <c r="C1565" s="4" t="s">
        <v>8</v>
      </c>
      <c r="D1565" s="5" t="s">
        <v>28</v>
      </c>
      <c r="E1565" s="6" t="s">
        <v>1458</v>
      </c>
    </row>
    <row r="1566" hidden="1">
      <c r="A1566" s="10" t="s">
        <v>1453</v>
      </c>
      <c r="B1566" s="3" t="s">
        <v>1454</v>
      </c>
      <c r="C1566" s="4" t="s">
        <v>8</v>
      </c>
      <c r="D1566" s="5" t="s">
        <v>19</v>
      </c>
      <c r="E1566" s="6" t="s">
        <v>1160</v>
      </c>
    </row>
    <row r="1567" hidden="1">
      <c r="A1567" s="10" t="s">
        <v>1453</v>
      </c>
      <c r="B1567" s="3" t="s">
        <v>1454</v>
      </c>
      <c r="C1567" s="4" t="s">
        <v>8</v>
      </c>
      <c r="D1567" s="5" t="s">
        <v>96</v>
      </c>
      <c r="E1567" s="6" t="s">
        <v>160</v>
      </c>
    </row>
    <row r="1568">
      <c r="A1568" s="10" t="s">
        <v>1453</v>
      </c>
      <c r="B1568" s="3" t="s">
        <v>1454</v>
      </c>
      <c r="C1568" s="4" t="s">
        <v>3</v>
      </c>
      <c r="D1568" s="5" t="s">
        <v>17</v>
      </c>
      <c r="E1568" s="6" t="s">
        <v>1459</v>
      </c>
    </row>
    <row r="1569" hidden="1">
      <c r="A1569" s="10" t="s">
        <v>1453</v>
      </c>
      <c r="B1569" s="3" t="s">
        <v>1454</v>
      </c>
      <c r="C1569" s="4" t="s">
        <v>8</v>
      </c>
      <c r="D1569" s="5" t="s">
        <v>120</v>
      </c>
      <c r="E1569" s="6" t="s">
        <v>1460</v>
      </c>
    </row>
    <row r="1570" hidden="1">
      <c r="A1570" s="10" t="s">
        <v>1453</v>
      </c>
      <c r="B1570" s="3" t="s">
        <v>1454</v>
      </c>
      <c r="C1570" s="4" t="s">
        <v>8</v>
      </c>
      <c r="D1570" s="5" t="s">
        <v>11</v>
      </c>
      <c r="E1570" s="6" t="s">
        <v>1461</v>
      </c>
    </row>
    <row r="1571">
      <c r="A1571" s="10" t="s">
        <v>1453</v>
      </c>
      <c r="B1571" s="3" t="s">
        <v>1454</v>
      </c>
      <c r="C1571" s="4" t="s">
        <v>3</v>
      </c>
      <c r="D1571" s="5" t="s">
        <v>71</v>
      </c>
      <c r="E1571" s="6" t="s">
        <v>1462</v>
      </c>
    </row>
    <row r="1572">
      <c r="A1572" s="10" t="s">
        <v>1453</v>
      </c>
      <c r="B1572" s="3" t="s">
        <v>1454</v>
      </c>
      <c r="C1572" s="4" t="s">
        <v>3</v>
      </c>
      <c r="D1572" s="5" t="s">
        <v>42</v>
      </c>
      <c r="E1572" s="6" t="s">
        <v>439</v>
      </c>
    </row>
    <row r="1573">
      <c r="A1573" s="10" t="s">
        <v>1453</v>
      </c>
      <c r="B1573" s="3" t="s">
        <v>1454</v>
      </c>
      <c r="C1573" s="4" t="s">
        <v>3</v>
      </c>
      <c r="D1573" s="5" t="s">
        <v>21</v>
      </c>
      <c r="E1573" s="6" t="s">
        <v>1436</v>
      </c>
    </row>
    <row r="1574" hidden="1">
      <c r="A1574" s="10" t="s">
        <v>1453</v>
      </c>
      <c r="B1574" s="3" t="s">
        <v>1454</v>
      </c>
      <c r="C1574" s="4" t="s">
        <v>8</v>
      </c>
      <c r="D1574" s="5" t="s">
        <v>17</v>
      </c>
      <c r="E1574" s="6" t="s">
        <v>1463</v>
      </c>
    </row>
    <row r="1575" hidden="1">
      <c r="A1575" s="10" t="s">
        <v>1453</v>
      </c>
      <c r="B1575" s="3" t="s">
        <v>1454</v>
      </c>
      <c r="C1575" s="4" t="s">
        <v>8</v>
      </c>
      <c r="D1575" s="5" t="s">
        <v>23</v>
      </c>
      <c r="E1575" s="6" t="s">
        <v>1464</v>
      </c>
    </row>
    <row r="1576" hidden="1">
      <c r="A1576" s="10" t="s">
        <v>1453</v>
      </c>
      <c r="B1576" s="3" t="s">
        <v>1454</v>
      </c>
      <c r="C1576" s="4" t="s">
        <v>8</v>
      </c>
      <c r="D1576" s="5" t="s">
        <v>6</v>
      </c>
      <c r="E1576" s="6" t="s">
        <v>1465</v>
      </c>
    </row>
    <row r="1577">
      <c r="A1577" s="10" t="s">
        <v>1453</v>
      </c>
      <c r="B1577" s="3" t="s">
        <v>1454</v>
      </c>
      <c r="C1577" s="4" t="s">
        <v>3</v>
      </c>
      <c r="D1577" s="5" t="s">
        <v>42</v>
      </c>
      <c r="E1577" s="6" t="s">
        <v>333</v>
      </c>
    </row>
    <row r="1578">
      <c r="A1578" s="10" t="s">
        <v>1453</v>
      </c>
      <c r="B1578" s="3" t="s">
        <v>1454</v>
      </c>
      <c r="C1578" s="4" t="s">
        <v>3</v>
      </c>
      <c r="D1578" s="5" t="s">
        <v>71</v>
      </c>
      <c r="E1578" s="6" t="s">
        <v>1308</v>
      </c>
    </row>
    <row r="1579">
      <c r="A1579" s="10" t="s">
        <v>1453</v>
      </c>
      <c r="B1579" s="3" t="s">
        <v>1454</v>
      </c>
      <c r="C1579" s="4" t="s">
        <v>3</v>
      </c>
      <c r="D1579" s="5" t="s">
        <v>15</v>
      </c>
      <c r="E1579" s="6" t="s">
        <v>1429</v>
      </c>
    </row>
    <row r="1580">
      <c r="A1580" s="10" t="s">
        <v>1453</v>
      </c>
      <c r="B1580" s="3" t="s">
        <v>1454</v>
      </c>
      <c r="C1580" s="4" t="s">
        <v>3</v>
      </c>
      <c r="D1580" s="5" t="s">
        <v>9</v>
      </c>
      <c r="E1580" s="6" t="s">
        <v>1392</v>
      </c>
    </row>
    <row r="1581">
      <c r="A1581" s="10" t="s">
        <v>1466</v>
      </c>
      <c r="B1581" s="3" t="s">
        <v>1467</v>
      </c>
      <c r="C1581" s="4" t="s">
        <v>3</v>
      </c>
      <c r="D1581" s="5" t="s">
        <v>76</v>
      </c>
      <c r="E1581" s="6" t="s">
        <v>1468</v>
      </c>
    </row>
    <row r="1582">
      <c r="A1582" s="10" t="s">
        <v>1466</v>
      </c>
      <c r="B1582" s="3" t="s">
        <v>1467</v>
      </c>
      <c r="C1582" s="4" t="s">
        <v>3</v>
      </c>
      <c r="D1582" s="5" t="s">
        <v>9</v>
      </c>
      <c r="E1582" s="6" t="s">
        <v>1469</v>
      </c>
    </row>
    <row r="1583" hidden="1">
      <c r="A1583" s="10" t="s">
        <v>1466</v>
      </c>
      <c r="B1583" s="3" t="s">
        <v>1467</v>
      </c>
      <c r="C1583" s="4" t="s">
        <v>8</v>
      </c>
      <c r="D1583" s="5" t="s">
        <v>4</v>
      </c>
      <c r="E1583" s="6" t="s">
        <v>1470</v>
      </c>
    </row>
    <row r="1584">
      <c r="A1584" s="10" t="s">
        <v>1466</v>
      </c>
      <c r="B1584" s="3" t="s">
        <v>1467</v>
      </c>
      <c r="C1584" s="4" t="s">
        <v>3</v>
      </c>
      <c r="D1584" s="5" t="s">
        <v>9</v>
      </c>
      <c r="E1584" s="6" t="s">
        <v>1471</v>
      </c>
    </row>
    <row r="1585">
      <c r="A1585" s="10" t="s">
        <v>1466</v>
      </c>
      <c r="B1585" s="3" t="s">
        <v>1467</v>
      </c>
      <c r="C1585" s="4" t="s">
        <v>3</v>
      </c>
      <c r="D1585" s="5" t="s">
        <v>15</v>
      </c>
      <c r="E1585" s="6" t="s">
        <v>615</v>
      </c>
    </row>
    <row r="1586" hidden="1">
      <c r="A1586" s="10" t="s">
        <v>1466</v>
      </c>
      <c r="B1586" s="3" t="s">
        <v>1467</v>
      </c>
      <c r="C1586" s="4" t="s">
        <v>8</v>
      </c>
      <c r="D1586" s="5" t="s">
        <v>120</v>
      </c>
      <c r="E1586" s="6" t="s">
        <v>1472</v>
      </c>
    </row>
    <row r="1587">
      <c r="A1587" s="10" t="s">
        <v>1466</v>
      </c>
      <c r="B1587" s="3" t="s">
        <v>1467</v>
      </c>
      <c r="C1587" s="4" t="s">
        <v>3</v>
      </c>
      <c r="D1587" s="5" t="s">
        <v>17</v>
      </c>
      <c r="E1587" s="6" t="s">
        <v>1473</v>
      </c>
    </row>
    <row r="1588">
      <c r="A1588" s="10" t="s">
        <v>1466</v>
      </c>
      <c r="B1588" s="3" t="s">
        <v>1467</v>
      </c>
      <c r="C1588" s="4" t="s">
        <v>3</v>
      </c>
      <c r="D1588" s="5" t="s">
        <v>21</v>
      </c>
      <c r="E1588" s="6" t="s">
        <v>1474</v>
      </c>
    </row>
    <row r="1589" hidden="1">
      <c r="A1589" s="10" t="s">
        <v>1466</v>
      </c>
      <c r="B1589" s="3" t="s">
        <v>1467</v>
      </c>
      <c r="C1589" s="4" t="s">
        <v>8</v>
      </c>
      <c r="D1589" s="5" t="s">
        <v>13</v>
      </c>
      <c r="E1589" s="6" t="s">
        <v>1475</v>
      </c>
    </row>
    <row r="1590">
      <c r="A1590" s="10" t="s">
        <v>1466</v>
      </c>
      <c r="B1590" s="3" t="s">
        <v>1467</v>
      </c>
      <c r="C1590" s="4" t="s">
        <v>3</v>
      </c>
      <c r="D1590" s="5" t="s">
        <v>45</v>
      </c>
      <c r="E1590" s="6" t="s">
        <v>1476</v>
      </c>
    </row>
    <row r="1591">
      <c r="A1591" s="10" t="s">
        <v>1466</v>
      </c>
      <c r="B1591" s="3" t="s">
        <v>1467</v>
      </c>
      <c r="C1591" s="4" t="s">
        <v>3</v>
      </c>
      <c r="D1591" s="5" t="s">
        <v>28</v>
      </c>
      <c r="E1591" s="6" t="s">
        <v>1477</v>
      </c>
    </row>
    <row r="1592" hidden="1">
      <c r="A1592" s="10" t="s">
        <v>1466</v>
      </c>
      <c r="B1592" s="3" t="s">
        <v>1467</v>
      </c>
      <c r="C1592" s="4" t="s">
        <v>8</v>
      </c>
      <c r="D1592" s="5" t="s">
        <v>120</v>
      </c>
      <c r="E1592" s="6" t="s">
        <v>1478</v>
      </c>
    </row>
    <row r="1593">
      <c r="A1593" s="10" t="s">
        <v>1466</v>
      </c>
      <c r="B1593" s="3" t="s">
        <v>1467</v>
      </c>
      <c r="C1593" s="4" t="s">
        <v>3</v>
      </c>
      <c r="D1593" s="5" t="s">
        <v>13</v>
      </c>
      <c r="E1593" s="6" t="s">
        <v>1479</v>
      </c>
    </row>
    <row r="1594" hidden="1">
      <c r="A1594" s="10" t="s">
        <v>1466</v>
      </c>
      <c r="B1594" s="3" t="s">
        <v>1467</v>
      </c>
      <c r="C1594" s="4" t="s">
        <v>8</v>
      </c>
      <c r="D1594" s="5" t="s">
        <v>13</v>
      </c>
      <c r="E1594" s="6" t="s">
        <v>1480</v>
      </c>
    </row>
    <row r="1595">
      <c r="A1595" s="10" t="s">
        <v>1466</v>
      </c>
      <c r="B1595" s="3" t="s">
        <v>1467</v>
      </c>
      <c r="C1595" s="4" t="s">
        <v>3</v>
      </c>
      <c r="D1595" s="5" t="s">
        <v>19</v>
      </c>
      <c r="E1595" s="6" t="s">
        <v>1481</v>
      </c>
    </row>
    <row r="1596">
      <c r="A1596" s="10" t="s">
        <v>1466</v>
      </c>
      <c r="B1596" s="3" t="s">
        <v>1467</v>
      </c>
      <c r="C1596" s="4" t="s">
        <v>3</v>
      </c>
      <c r="D1596" s="5" t="s">
        <v>42</v>
      </c>
      <c r="E1596" s="6" t="s">
        <v>105</v>
      </c>
    </row>
    <row r="1597">
      <c r="A1597" s="10" t="s">
        <v>1466</v>
      </c>
      <c r="B1597" s="3" t="s">
        <v>1467</v>
      </c>
      <c r="C1597" s="4" t="s">
        <v>3</v>
      </c>
      <c r="D1597" s="5" t="s">
        <v>51</v>
      </c>
      <c r="E1597" s="6" t="s">
        <v>1482</v>
      </c>
    </row>
    <row r="1598" hidden="1">
      <c r="A1598" s="10" t="s">
        <v>1466</v>
      </c>
      <c r="B1598" s="3" t="s">
        <v>1467</v>
      </c>
      <c r="C1598" s="4" t="s">
        <v>8</v>
      </c>
      <c r="D1598" s="5" t="s">
        <v>6</v>
      </c>
      <c r="E1598" s="6" t="s">
        <v>474</v>
      </c>
    </row>
    <row r="1599">
      <c r="A1599" s="10" t="s">
        <v>1466</v>
      </c>
      <c r="B1599" s="3" t="s">
        <v>1467</v>
      </c>
      <c r="C1599" s="4" t="s">
        <v>3</v>
      </c>
      <c r="D1599" s="5" t="s">
        <v>120</v>
      </c>
      <c r="E1599" s="6" t="s">
        <v>74</v>
      </c>
    </row>
    <row r="1600">
      <c r="A1600" s="10" t="s">
        <v>1466</v>
      </c>
      <c r="B1600" s="3" t="s">
        <v>1467</v>
      </c>
      <c r="C1600" s="4" t="s">
        <v>3</v>
      </c>
      <c r="D1600" s="5" t="s">
        <v>19</v>
      </c>
      <c r="E1600" s="6" t="s">
        <v>615</v>
      </c>
    </row>
    <row r="1601">
      <c r="A1601" s="10" t="s">
        <v>1483</v>
      </c>
      <c r="B1601" s="3" t="s">
        <v>1484</v>
      </c>
      <c r="C1601" s="4" t="s">
        <v>3</v>
      </c>
      <c r="D1601" s="5" t="s">
        <v>39</v>
      </c>
      <c r="E1601" s="6" t="s">
        <v>1485</v>
      </c>
    </row>
    <row r="1602" hidden="1">
      <c r="A1602" s="10" t="s">
        <v>1483</v>
      </c>
      <c r="B1602" s="3" t="s">
        <v>1484</v>
      </c>
      <c r="C1602" s="4" t="s">
        <v>8</v>
      </c>
      <c r="D1602" s="5" t="s">
        <v>42</v>
      </c>
      <c r="E1602" s="6" t="s">
        <v>1014</v>
      </c>
    </row>
    <row r="1603">
      <c r="A1603" s="10" t="s">
        <v>1483</v>
      </c>
      <c r="B1603" s="3" t="s">
        <v>1484</v>
      </c>
      <c r="C1603" s="4" t="s">
        <v>3</v>
      </c>
      <c r="D1603" s="5" t="s">
        <v>13</v>
      </c>
      <c r="E1603" s="6" t="s">
        <v>1393</v>
      </c>
    </row>
    <row r="1604">
      <c r="A1604" s="10" t="s">
        <v>1483</v>
      </c>
      <c r="B1604" s="3" t="s">
        <v>1484</v>
      </c>
      <c r="C1604" s="4" t="s">
        <v>3</v>
      </c>
      <c r="D1604" s="5" t="s">
        <v>9</v>
      </c>
      <c r="E1604" s="6" t="s">
        <v>1486</v>
      </c>
    </row>
    <row r="1605" hidden="1">
      <c r="A1605" s="10" t="s">
        <v>1483</v>
      </c>
      <c r="B1605" s="3" t="s">
        <v>1484</v>
      </c>
      <c r="C1605" s="4" t="s">
        <v>8</v>
      </c>
      <c r="D1605" s="5" t="s">
        <v>9</v>
      </c>
      <c r="E1605" s="6" t="s">
        <v>1487</v>
      </c>
    </row>
    <row r="1606">
      <c r="A1606" s="10" t="s">
        <v>1483</v>
      </c>
      <c r="B1606" s="3" t="s">
        <v>1484</v>
      </c>
      <c r="C1606" s="4" t="s">
        <v>3</v>
      </c>
      <c r="D1606" s="5" t="s">
        <v>28</v>
      </c>
      <c r="E1606" s="6" t="s">
        <v>771</v>
      </c>
    </row>
    <row r="1607">
      <c r="A1607" s="10" t="s">
        <v>1483</v>
      </c>
      <c r="B1607" s="3" t="s">
        <v>1484</v>
      </c>
      <c r="C1607" s="4" t="s">
        <v>3</v>
      </c>
      <c r="D1607" s="5" t="s">
        <v>45</v>
      </c>
      <c r="E1607" s="6" t="s">
        <v>1488</v>
      </c>
    </row>
    <row r="1608">
      <c r="A1608" s="10" t="s">
        <v>1483</v>
      </c>
      <c r="B1608" s="3" t="s">
        <v>1484</v>
      </c>
      <c r="C1608" s="4" t="s">
        <v>3</v>
      </c>
      <c r="D1608" s="5" t="s">
        <v>76</v>
      </c>
      <c r="E1608" s="6" t="s">
        <v>1489</v>
      </c>
    </row>
    <row r="1609" hidden="1">
      <c r="A1609" s="10" t="s">
        <v>1483</v>
      </c>
      <c r="B1609" s="3" t="s">
        <v>1484</v>
      </c>
      <c r="C1609" s="4" t="s">
        <v>8</v>
      </c>
      <c r="D1609" s="5" t="s">
        <v>9</v>
      </c>
      <c r="E1609" s="6" t="s">
        <v>1291</v>
      </c>
    </row>
    <row r="1610" hidden="1">
      <c r="A1610" s="10" t="s">
        <v>1483</v>
      </c>
      <c r="B1610" s="3" t="s">
        <v>1484</v>
      </c>
      <c r="C1610" s="4" t="s">
        <v>8</v>
      </c>
      <c r="D1610" s="5" t="s">
        <v>51</v>
      </c>
      <c r="E1610" s="6" t="s">
        <v>1490</v>
      </c>
    </row>
    <row r="1611">
      <c r="A1611" s="10" t="s">
        <v>1483</v>
      </c>
      <c r="B1611" s="3" t="s">
        <v>1484</v>
      </c>
      <c r="C1611" s="4" t="s">
        <v>3</v>
      </c>
      <c r="D1611" s="5" t="s">
        <v>28</v>
      </c>
      <c r="E1611" s="6" t="s">
        <v>753</v>
      </c>
    </row>
    <row r="1612">
      <c r="A1612" s="10" t="s">
        <v>1483</v>
      </c>
      <c r="B1612" s="3" t="s">
        <v>1484</v>
      </c>
      <c r="C1612" s="4" t="s">
        <v>3</v>
      </c>
      <c r="D1612" s="5" t="s">
        <v>39</v>
      </c>
      <c r="E1612" s="6" t="s">
        <v>1491</v>
      </c>
    </row>
    <row r="1613">
      <c r="A1613" s="10" t="s">
        <v>1483</v>
      </c>
      <c r="B1613" s="3" t="s">
        <v>1484</v>
      </c>
      <c r="C1613" s="4" t="s">
        <v>3</v>
      </c>
      <c r="D1613" s="5" t="s">
        <v>23</v>
      </c>
      <c r="E1613" s="6" t="s">
        <v>1492</v>
      </c>
    </row>
    <row r="1614">
      <c r="A1614" s="10" t="s">
        <v>1483</v>
      </c>
      <c r="B1614" s="3" t="s">
        <v>1484</v>
      </c>
      <c r="C1614" s="4" t="s">
        <v>3</v>
      </c>
      <c r="D1614" s="5" t="s">
        <v>45</v>
      </c>
      <c r="E1614" s="6" t="s">
        <v>1493</v>
      </c>
    </row>
    <row r="1615">
      <c r="A1615" s="10" t="s">
        <v>1483</v>
      </c>
      <c r="B1615" s="3" t="s">
        <v>1484</v>
      </c>
      <c r="C1615" s="4" t="s">
        <v>3</v>
      </c>
      <c r="D1615" s="5" t="s">
        <v>71</v>
      </c>
      <c r="E1615" s="6" t="s">
        <v>1494</v>
      </c>
    </row>
    <row r="1616" hidden="1">
      <c r="A1616" s="10" t="s">
        <v>1483</v>
      </c>
      <c r="B1616" s="3" t="s">
        <v>1484</v>
      </c>
      <c r="C1616" s="4" t="s">
        <v>8</v>
      </c>
      <c r="D1616" s="5" t="s">
        <v>42</v>
      </c>
      <c r="E1616" s="6" t="s">
        <v>951</v>
      </c>
    </row>
    <row r="1617">
      <c r="A1617" s="10" t="s">
        <v>1483</v>
      </c>
      <c r="B1617" s="3" t="s">
        <v>1484</v>
      </c>
      <c r="C1617" s="4" t="s">
        <v>3</v>
      </c>
      <c r="D1617" s="5" t="s">
        <v>96</v>
      </c>
      <c r="E1617" s="6" t="s">
        <v>1495</v>
      </c>
    </row>
    <row r="1618">
      <c r="A1618" s="10" t="s">
        <v>1483</v>
      </c>
      <c r="B1618" s="3" t="s">
        <v>1484</v>
      </c>
      <c r="C1618" s="4" t="s">
        <v>3</v>
      </c>
      <c r="D1618" s="5" t="s">
        <v>42</v>
      </c>
      <c r="E1618" s="6" t="s">
        <v>455</v>
      </c>
    </row>
    <row r="1619">
      <c r="A1619" s="10" t="s">
        <v>1483</v>
      </c>
      <c r="B1619" s="3" t="s">
        <v>1484</v>
      </c>
      <c r="C1619" s="4" t="s">
        <v>3</v>
      </c>
      <c r="D1619" s="5" t="s">
        <v>35</v>
      </c>
      <c r="E1619" s="6" t="s">
        <v>1496</v>
      </c>
    </row>
    <row r="1620" hidden="1">
      <c r="A1620" s="10" t="s">
        <v>1483</v>
      </c>
      <c r="B1620" s="3" t="s">
        <v>1484</v>
      </c>
      <c r="C1620" s="4" t="s">
        <v>8</v>
      </c>
      <c r="D1620" s="5" t="s">
        <v>9</v>
      </c>
      <c r="E1620" s="6" t="s">
        <v>1280</v>
      </c>
    </row>
    <row r="1621" hidden="1">
      <c r="A1621" s="10" t="s">
        <v>1497</v>
      </c>
      <c r="B1621" s="3" t="s">
        <v>1498</v>
      </c>
      <c r="C1621" s="4" t="s">
        <v>8</v>
      </c>
      <c r="D1621" s="5" t="s">
        <v>96</v>
      </c>
      <c r="E1621" s="6" t="s">
        <v>1499</v>
      </c>
    </row>
    <row r="1622">
      <c r="A1622" s="10" t="s">
        <v>1497</v>
      </c>
      <c r="B1622" s="3" t="s">
        <v>1498</v>
      </c>
      <c r="C1622" s="4" t="s">
        <v>3</v>
      </c>
      <c r="D1622" s="5" t="s">
        <v>71</v>
      </c>
      <c r="E1622" s="6" t="s">
        <v>1500</v>
      </c>
    </row>
    <row r="1623">
      <c r="A1623" s="10" t="s">
        <v>1497</v>
      </c>
      <c r="B1623" s="3" t="s">
        <v>1498</v>
      </c>
      <c r="C1623" s="4" t="s">
        <v>3</v>
      </c>
      <c r="D1623" s="5" t="s">
        <v>9</v>
      </c>
      <c r="E1623" s="6" t="s">
        <v>915</v>
      </c>
    </row>
    <row r="1624" hidden="1">
      <c r="A1624" s="10" t="s">
        <v>1497</v>
      </c>
      <c r="B1624" s="3" t="s">
        <v>1498</v>
      </c>
      <c r="C1624" s="4" t="s">
        <v>8</v>
      </c>
      <c r="D1624" s="5" t="s">
        <v>96</v>
      </c>
      <c r="E1624" s="6" t="s">
        <v>114</v>
      </c>
    </row>
    <row r="1625" hidden="1">
      <c r="A1625" s="10" t="s">
        <v>1497</v>
      </c>
      <c r="B1625" s="3" t="s">
        <v>1498</v>
      </c>
      <c r="C1625" s="4" t="s">
        <v>8</v>
      </c>
      <c r="D1625" s="5" t="s">
        <v>19</v>
      </c>
      <c r="E1625" s="6" t="s">
        <v>1501</v>
      </c>
    </row>
    <row r="1626" hidden="1">
      <c r="A1626" s="10" t="s">
        <v>1497</v>
      </c>
      <c r="B1626" s="3" t="s">
        <v>1498</v>
      </c>
      <c r="C1626" s="4" t="s">
        <v>8</v>
      </c>
      <c r="D1626" s="5" t="s">
        <v>96</v>
      </c>
      <c r="E1626" s="6" t="s">
        <v>655</v>
      </c>
    </row>
    <row r="1627" hidden="1">
      <c r="A1627" s="10" t="s">
        <v>1497</v>
      </c>
      <c r="B1627" s="3" t="s">
        <v>1498</v>
      </c>
      <c r="C1627" s="4" t="s">
        <v>8</v>
      </c>
      <c r="D1627" s="5" t="s">
        <v>96</v>
      </c>
      <c r="E1627" s="6" t="s">
        <v>1502</v>
      </c>
    </row>
    <row r="1628" hidden="1">
      <c r="A1628" s="10" t="s">
        <v>1497</v>
      </c>
      <c r="B1628" s="3" t="s">
        <v>1498</v>
      </c>
      <c r="C1628" s="4" t="s">
        <v>8</v>
      </c>
      <c r="D1628" s="5" t="s">
        <v>13</v>
      </c>
      <c r="E1628" s="6" t="s">
        <v>1503</v>
      </c>
    </row>
    <row r="1629">
      <c r="A1629" s="10" t="s">
        <v>1497</v>
      </c>
      <c r="B1629" s="3" t="s">
        <v>1498</v>
      </c>
      <c r="C1629" s="4" t="s">
        <v>3</v>
      </c>
      <c r="D1629" s="5" t="s">
        <v>23</v>
      </c>
      <c r="E1629" s="6" t="s">
        <v>1504</v>
      </c>
    </row>
    <row r="1630">
      <c r="A1630" s="10" t="s">
        <v>1497</v>
      </c>
      <c r="B1630" s="3" t="s">
        <v>1498</v>
      </c>
      <c r="C1630" s="4" t="s">
        <v>3</v>
      </c>
      <c r="D1630" s="5" t="s">
        <v>11</v>
      </c>
      <c r="E1630" s="6" t="s">
        <v>1505</v>
      </c>
    </row>
    <row r="1631">
      <c r="A1631" s="10" t="s">
        <v>1497</v>
      </c>
      <c r="B1631" s="3" t="s">
        <v>1498</v>
      </c>
      <c r="C1631" s="4" t="s">
        <v>3</v>
      </c>
      <c r="D1631" s="5" t="s">
        <v>45</v>
      </c>
      <c r="E1631" s="6" t="s">
        <v>1506</v>
      </c>
    </row>
    <row r="1632" hidden="1">
      <c r="A1632" s="10" t="s">
        <v>1497</v>
      </c>
      <c r="B1632" s="3" t="s">
        <v>1498</v>
      </c>
      <c r="C1632" s="4" t="s">
        <v>8</v>
      </c>
      <c r="D1632" s="5" t="s">
        <v>39</v>
      </c>
      <c r="E1632" s="6" t="s">
        <v>1507</v>
      </c>
    </row>
    <row r="1633">
      <c r="A1633" s="10" t="s">
        <v>1497</v>
      </c>
      <c r="B1633" s="3" t="s">
        <v>1498</v>
      </c>
      <c r="C1633" s="4" t="s">
        <v>3</v>
      </c>
      <c r="D1633" s="5" t="s">
        <v>13</v>
      </c>
      <c r="E1633" s="6" t="s">
        <v>1508</v>
      </c>
    </row>
    <row r="1634">
      <c r="A1634" s="10" t="s">
        <v>1497</v>
      </c>
      <c r="B1634" s="3" t="s">
        <v>1498</v>
      </c>
      <c r="C1634" s="4" t="s">
        <v>3</v>
      </c>
      <c r="D1634" s="5" t="s">
        <v>39</v>
      </c>
      <c r="E1634" s="6" t="s">
        <v>1509</v>
      </c>
    </row>
    <row r="1635">
      <c r="A1635" s="10" t="s">
        <v>1497</v>
      </c>
      <c r="B1635" s="3" t="s">
        <v>1498</v>
      </c>
      <c r="C1635" s="4" t="s">
        <v>3</v>
      </c>
      <c r="D1635" s="5" t="s">
        <v>76</v>
      </c>
      <c r="E1635" s="6" t="s">
        <v>1510</v>
      </c>
    </row>
    <row r="1636">
      <c r="A1636" s="10" t="s">
        <v>1497</v>
      </c>
      <c r="B1636" s="3" t="s">
        <v>1498</v>
      </c>
      <c r="C1636" s="4" t="s">
        <v>3</v>
      </c>
      <c r="D1636" s="5" t="s">
        <v>11</v>
      </c>
      <c r="E1636" s="6" t="s">
        <v>1511</v>
      </c>
    </row>
    <row r="1637" hidden="1">
      <c r="A1637" s="10" t="s">
        <v>1497</v>
      </c>
      <c r="B1637" s="3" t="s">
        <v>1498</v>
      </c>
      <c r="C1637" s="4" t="s">
        <v>8</v>
      </c>
      <c r="D1637" s="5" t="s">
        <v>9</v>
      </c>
      <c r="E1637" s="6" t="s">
        <v>1512</v>
      </c>
    </row>
    <row r="1638" hidden="1">
      <c r="A1638" s="10" t="s">
        <v>1497</v>
      </c>
      <c r="B1638" s="3" t="s">
        <v>1498</v>
      </c>
      <c r="C1638" s="4" t="s">
        <v>8</v>
      </c>
      <c r="D1638" s="5" t="s">
        <v>19</v>
      </c>
      <c r="E1638" s="6" t="s">
        <v>1513</v>
      </c>
    </row>
    <row r="1639" hidden="1">
      <c r="A1639" s="10" t="s">
        <v>1497</v>
      </c>
      <c r="B1639" s="3" t="s">
        <v>1498</v>
      </c>
      <c r="C1639" s="4" t="s">
        <v>8</v>
      </c>
      <c r="D1639" s="5" t="s">
        <v>9</v>
      </c>
      <c r="E1639" s="6" t="s">
        <v>737</v>
      </c>
    </row>
    <row r="1640" hidden="1">
      <c r="A1640" s="10" t="s">
        <v>1497</v>
      </c>
      <c r="B1640" s="3" t="s">
        <v>1498</v>
      </c>
      <c r="C1640" s="4" t="s">
        <v>8</v>
      </c>
      <c r="D1640" s="5" t="s">
        <v>42</v>
      </c>
      <c r="E1640" s="6" t="s">
        <v>1185</v>
      </c>
    </row>
    <row r="1641">
      <c r="A1641" s="10" t="s">
        <v>1514</v>
      </c>
      <c r="B1641" s="3" t="s">
        <v>1515</v>
      </c>
      <c r="C1641" s="4" t="s">
        <v>3</v>
      </c>
      <c r="D1641" s="5" t="s">
        <v>4</v>
      </c>
      <c r="E1641" s="6" t="s">
        <v>1516</v>
      </c>
    </row>
    <row r="1642">
      <c r="A1642" s="10" t="s">
        <v>1514</v>
      </c>
      <c r="B1642" s="3" t="s">
        <v>1515</v>
      </c>
      <c r="C1642" s="4" t="s">
        <v>3</v>
      </c>
      <c r="D1642" s="5" t="s">
        <v>39</v>
      </c>
      <c r="E1642" s="6" t="s">
        <v>1517</v>
      </c>
    </row>
    <row r="1643">
      <c r="A1643" s="10" t="s">
        <v>1514</v>
      </c>
      <c r="B1643" s="3" t="s">
        <v>1515</v>
      </c>
      <c r="C1643" s="4" t="s">
        <v>3</v>
      </c>
      <c r="D1643" s="5" t="s">
        <v>42</v>
      </c>
      <c r="E1643" s="6" t="s">
        <v>521</v>
      </c>
    </row>
    <row r="1644" hidden="1">
      <c r="A1644" s="10" t="s">
        <v>1514</v>
      </c>
      <c r="B1644" s="3" t="s">
        <v>1515</v>
      </c>
      <c r="C1644" s="4" t="s">
        <v>8</v>
      </c>
      <c r="D1644" s="5" t="s">
        <v>120</v>
      </c>
      <c r="E1644" s="6" t="s">
        <v>1518</v>
      </c>
    </row>
    <row r="1645" hidden="1">
      <c r="A1645" s="10" t="s">
        <v>1514</v>
      </c>
      <c r="B1645" s="3" t="s">
        <v>1515</v>
      </c>
      <c r="C1645" s="4" t="s">
        <v>8</v>
      </c>
      <c r="D1645" s="5" t="s">
        <v>17</v>
      </c>
      <c r="E1645" s="6" t="s">
        <v>1519</v>
      </c>
    </row>
    <row r="1646" hidden="1">
      <c r="A1646" s="10" t="s">
        <v>1514</v>
      </c>
      <c r="B1646" s="3" t="s">
        <v>1515</v>
      </c>
      <c r="C1646" s="4" t="s">
        <v>8</v>
      </c>
      <c r="D1646" s="5" t="s">
        <v>71</v>
      </c>
      <c r="E1646" s="6" t="s">
        <v>1520</v>
      </c>
    </row>
    <row r="1647">
      <c r="A1647" s="10" t="s">
        <v>1514</v>
      </c>
      <c r="B1647" s="3" t="s">
        <v>1515</v>
      </c>
      <c r="C1647" s="4" t="s">
        <v>3</v>
      </c>
      <c r="D1647" s="5" t="s">
        <v>17</v>
      </c>
      <c r="E1647" s="6" t="s">
        <v>353</v>
      </c>
    </row>
    <row r="1648">
      <c r="A1648" s="10" t="s">
        <v>1514</v>
      </c>
      <c r="B1648" s="3" t="s">
        <v>1515</v>
      </c>
      <c r="C1648" s="4" t="s">
        <v>3</v>
      </c>
      <c r="D1648" s="5" t="s">
        <v>71</v>
      </c>
      <c r="E1648" s="6" t="s">
        <v>910</v>
      </c>
    </row>
    <row r="1649" hidden="1">
      <c r="A1649" s="10" t="s">
        <v>1514</v>
      </c>
      <c r="B1649" s="3" t="s">
        <v>1515</v>
      </c>
      <c r="C1649" s="4" t="s">
        <v>8</v>
      </c>
      <c r="D1649" s="5" t="s">
        <v>6</v>
      </c>
      <c r="E1649" s="6" t="s">
        <v>1521</v>
      </c>
    </row>
    <row r="1650" hidden="1">
      <c r="A1650" s="10" t="s">
        <v>1514</v>
      </c>
      <c r="B1650" s="3" t="s">
        <v>1515</v>
      </c>
      <c r="C1650" s="4" t="s">
        <v>8</v>
      </c>
      <c r="D1650" s="5" t="s">
        <v>71</v>
      </c>
      <c r="E1650" s="6" t="s">
        <v>1522</v>
      </c>
    </row>
    <row r="1651" hidden="1">
      <c r="A1651" s="10" t="s">
        <v>1514</v>
      </c>
      <c r="B1651" s="3" t="s">
        <v>1515</v>
      </c>
      <c r="C1651" s="4" t="s">
        <v>8</v>
      </c>
      <c r="D1651" s="5" t="s">
        <v>120</v>
      </c>
      <c r="E1651" s="6" t="s">
        <v>1523</v>
      </c>
    </row>
    <row r="1652">
      <c r="A1652" s="10" t="s">
        <v>1514</v>
      </c>
      <c r="B1652" s="3" t="s">
        <v>1515</v>
      </c>
      <c r="C1652" s="4" t="s">
        <v>3</v>
      </c>
      <c r="D1652" s="5" t="s">
        <v>71</v>
      </c>
      <c r="E1652" s="6" t="s">
        <v>1524</v>
      </c>
    </row>
    <row r="1653">
      <c r="A1653" s="10" t="s">
        <v>1514</v>
      </c>
      <c r="B1653" s="3" t="s">
        <v>1515</v>
      </c>
      <c r="C1653" s="4" t="s">
        <v>3</v>
      </c>
      <c r="D1653" s="5" t="s">
        <v>120</v>
      </c>
      <c r="E1653" s="6" t="s">
        <v>1525</v>
      </c>
    </row>
    <row r="1654" hidden="1">
      <c r="A1654" s="10" t="s">
        <v>1514</v>
      </c>
      <c r="B1654" s="3" t="s">
        <v>1515</v>
      </c>
      <c r="C1654" s="4" t="s">
        <v>8</v>
      </c>
      <c r="D1654" s="5" t="s">
        <v>120</v>
      </c>
      <c r="E1654" s="6" t="s">
        <v>1526</v>
      </c>
    </row>
    <row r="1655">
      <c r="A1655" s="10" t="s">
        <v>1514</v>
      </c>
      <c r="B1655" s="3" t="s">
        <v>1515</v>
      </c>
      <c r="C1655" s="4" t="s">
        <v>3</v>
      </c>
      <c r="D1655" s="5" t="s">
        <v>96</v>
      </c>
      <c r="E1655" s="6" t="s">
        <v>857</v>
      </c>
    </row>
    <row r="1656">
      <c r="A1656" s="10" t="s">
        <v>1514</v>
      </c>
      <c r="B1656" s="3" t="s">
        <v>1515</v>
      </c>
      <c r="C1656" s="4" t="s">
        <v>3</v>
      </c>
      <c r="D1656" s="5" t="s">
        <v>15</v>
      </c>
      <c r="E1656" s="6" t="s">
        <v>325</v>
      </c>
    </row>
    <row r="1657" hidden="1">
      <c r="A1657" s="10" t="s">
        <v>1514</v>
      </c>
      <c r="B1657" s="3" t="s">
        <v>1515</v>
      </c>
      <c r="C1657" s="4" t="s">
        <v>8</v>
      </c>
      <c r="D1657" s="5" t="s">
        <v>21</v>
      </c>
      <c r="E1657" s="6" t="s">
        <v>1527</v>
      </c>
    </row>
    <row r="1658">
      <c r="A1658" s="10" t="s">
        <v>1514</v>
      </c>
      <c r="B1658" s="3" t="s">
        <v>1515</v>
      </c>
      <c r="C1658" s="4" t="s">
        <v>3</v>
      </c>
      <c r="D1658" s="5" t="s">
        <v>23</v>
      </c>
      <c r="E1658" s="6" t="s">
        <v>1528</v>
      </c>
    </row>
    <row r="1659" hidden="1">
      <c r="A1659" s="10" t="s">
        <v>1514</v>
      </c>
      <c r="B1659" s="3" t="s">
        <v>1515</v>
      </c>
      <c r="C1659" s="4" t="s">
        <v>8</v>
      </c>
      <c r="D1659" s="5" t="s">
        <v>6</v>
      </c>
      <c r="E1659" s="6" t="s">
        <v>1529</v>
      </c>
    </row>
    <row r="1660">
      <c r="A1660" s="10" t="s">
        <v>1514</v>
      </c>
      <c r="B1660" s="3" t="s">
        <v>1515</v>
      </c>
      <c r="C1660" s="4" t="s">
        <v>3</v>
      </c>
      <c r="D1660" s="5" t="s">
        <v>39</v>
      </c>
      <c r="E1660" s="6" t="s">
        <v>1068</v>
      </c>
    </row>
    <row r="1661" hidden="1">
      <c r="A1661" s="10" t="s">
        <v>1530</v>
      </c>
      <c r="B1661" s="3" t="s">
        <v>1531</v>
      </c>
      <c r="C1661" s="4" t="s">
        <v>8</v>
      </c>
      <c r="D1661" s="5" t="s">
        <v>23</v>
      </c>
      <c r="E1661" s="6" t="s">
        <v>1532</v>
      </c>
    </row>
    <row r="1662" hidden="1">
      <c r="A1662" s="10" t="s">
        <v>1530</v>
      </c>
      <c r="B1662" s="3" t="s">
        <v>1531</v>
      </c>
      <c r="C1662" s="4" t="s">
        <v>8</v>
      </c>
      <c r="D1662" s="5" t="s">
        <v>120</v>
      </c>
      <c r="E1662" s="6" t="s">
        <v>1533</v>
      </c>
    </row>
    <row r="1663" hidden="1">
      <c r="A1663" s="10" t="s">
        <v>1530</v>
      </c>
      <c r="B1663" s="3" t="s">
        <v>1531</v>
      </c>
      <c r="C1663" s="4" t="s">
        <v>8</v>
      </c>
      <c r="D1663" s="5" t="s">
        <v>71</v>
      </c>
      <c r="E1663" s="6" t="s">
        <v>1534</v>
      </c>
    </row>
    <row r="1664" hidden="1">
      <c r="A1664" s="10" t="s">
        <v>1530</v>
      </c>
      <c r="B1664" s="3" t="s">
        <v>1531</v>
      </c>
      <c r="C1664" s="4" t="s">
        <v>8</v>
      </c>
      <c r="D1664" s="5" t="s">
        <v>120</v>
      </c>
      <c r="E1664" s="6" t="s">
        <v>1535</v>
      </c>
    </row>
    <row r="1665">
      <c r="A1665" s="10" t="s">
        <v>1530</v>
      </c>
      <c r="B1665" s="3" t="s">
        <v>1531</v>
      </c>
      <c r="C1665" s="4" t="s">
        <v>3</v>
      </c>
      <c r="D1665" s="5" t="s">
        <v>96</v>
      </c>
      <c r="E1665" s="6" t="s">
        <v>1536</v>
      </c>
    </row>
    <row r="1666" hidden="1">
      <c r="A1666" s="10" t="s">
        <v>1530</v>
      </c>
      <c r="B1666" s="3" t="s">
        <v>1531</v>
      </c>
      <c r="C1666" s="4" t="s">
        <v>8</v>
      </c>
      <c r="D1666" s="5" t="s">
        <v>21</v>
      </c>
      <c r="E1666" s="6" t="s">
        <v>764</v>
      </c>
    </row>
    <row r="1667" hidden="1">
      <c r="A1667" s="10" t="s">
        <v>1530</v>
      </c>
      <c r="B1667" s="3" t="s">
        <v>1531</v>
      </c>
      <c r="C1667" s="4" t="s">
        <v>8</v>
      </c>
      <c r="D1667" s="5" t="s">
        <v>4</v>
      </c>
      <c r="E1667" s="6" t="s">
        <v>1537</v>
      </c>
    </row>
    <row r="1668" hidden="1">
      <c r="A1668" s="10" t="s">
        <v>1530</v>
      </c>
      <c r="B1668" s="3" t="s">
        <v>1531</v>
      </c>
      <c r="C1668" s="4" t="s">
        <v>8</v>
      </c>
      <c r="D1668" s="5" t="s">
        <v>17</v>
      </c>
      <c r="E1668" s="6" t="s">
        <v>1538</v>
      </c>
    </row>
    <row r="1669">
      <c r="A1669" s="10" t="s">
        <v>1530</v>
      </c>
      <c r="B1669" s="3" t="s">
        <v>1531</v>
      </c>
      <c r="C1669" s="4" t="s">
        <v>3</v>
      </c>
      <c r="D1669" s="5" t="s">
        <v>17</v>
      </c>
      <c r="E1669" s="6" t="s">
        <v>611</v>
      </c>
    </row>
    <row r="1670" hidden="1">
      <c r="A1670" s="10" t="s">
        <v>1530</v>
      </c>
      <c r="B1670" s="3" t="s">
        <v>1531</v>
      </c>
      <c r="C1670" s="4" t="s">
        <v>8</v>
      </c>
      <c r="D1670" s="5" t="s">
        <v>21</v>
      </c>
      <c r="E1670" s="6" t="s">
        <v>1539</v>
      </c>
    </row>
    <row r="1671">
      <c r="A1671" s="10" t="s">
        <v>1530</v>
      </c>
      <c r="B1671" s="3" t="s">
        <v>1531</v>
      </c>
      <c r="C1671" s="4" t="s">
        <v>3</v>
      </c>
      <c r="D1671" s="5" t="s">
        <v>39</v>
      </c>
      <c r="E1671" s="6" t="s">
        <v>1540</v>
      </c>
    </row>
    <row r="1672" hidden="1">
      <c r="A1672" s="10" t="s">
        <v>1530</v>
      </c>
      <c r="B1672" s="3" t="s">
        <v>1531</v>
      </c>
      <c r="C1672" s="4" t="s">
        <v>8</v>
      </c>
      <c r="D1672" s="5" t="s">
        <v>23</v>
      </c>
      <c r="E1672" s="6" t="s">
        <v>1541</v>
      </c>
    </row>
    <row r="1673">
      <c r="A1673" s="10" t="s">
        <v>1530</v>
      </c>
      <c r="B1673" s="3" t="s">
        <v>1531</v>
      </c>
      <c r="C1673" s="4" t="s">
        <v>3</v>
      </c>
      <c r="D1673" s="5" t="s">
        <v>96</v>
      </c>
      <c r="E1673" s="6" t="s">
        <v>1542</v>
      </c>
    </row>
    <row r="1674">
      <c r="A1674" s="10" t="s">
        <v>1530</v>
      </c>
      <c r="B1674" s="3" t="s">
        <v>1531</v>
      </c>
      <c r="C1674" s="4" t="s">
        <v>3</v>
      </c>
      <c r="D1674" s="5" t="s">
        <v>51</v>
      </c>
      <c r="E1674" s="6" t="s">
        <v>1543</v>
      </c>
    </row>
    <row r="1675" hidden="1">
      <c r="A1675" s="10" t="s">
        <v>1530</v>
      </c>
      <c r="B1675" s="3" t="s">
        <v>1531</v>
      </c>
      <c r="C1675" s="4" t="s">
        <v>8</v>
      </c>
      <c r="D1675" s="5" t="s">
        <v>15</v>
      </c>
      <c r="E1675" s="6" t="s">
        <v>1230</v>
      </c>
    </row>
    <row r="1676">
      <c r="A1676" s="10" t="s">
        <v>1530</v>
      </c>
      <c r="B1676" s="3" t="s">
        <v>1531</v>
      </c>
      <c r="C1676" s="4" t="s">
        <v>3</v>
      </c>
      <c r="D1676" s="5" t="s">
        <v>15</v>
      </c>
      <c r="E1676" s="6" t="s">
        <v>1178</v>
      </c>
    </row>
    <row r="1677" hidden="1">
      <c r="A1677" s="10" t="s">
        <v>1530</v>
      </c>
      <c r="B1677" s="3" t="s">
        <v>1531</v>
      </c>
      <c r="C1677" s="4" t="s">
        <v>8</v>
      </c>
      <c r="D1677" s="5" t="s">
        <v>39</v>
      </c>
      <c r="E1677" s="6" t="s">
        <v>1544</v>
      </c>
    </row>
    <row r="1678" hidden="1">
      <c r="A1678" s="10" t="s">
        <v>1530</v>
      </c>
      <c r="B1678" s="3" t="s">
        <v>1531</v>
      </c>
      <c r="C1678" s="4" t="s">
        <v>8</v>
      </c>
      <c r="D1678" s="5" t="s">
        <v>42</v>
      </c>
      <c r="E1678" s="6" t="s">
        <v>504</v>
      </c>
    </row>
    <row r="1679" hidden="1">
      <c r="A1679" s="10" t="s">
        <v>1530</v>
      </c>
      <c r="B1679" s="3" t="s">
        <v>1531</v>
      </c>
      <c r="C1679" s="4" t="s">
        <v>8</v>
      </c>
      <c r="D1679" s="5" t="s">
        <v>39</v>
      </c>
      <c r="E1679" s="6" t="s">
        <v>1545</v>
      </c>
    </row>
    <row r="1680">
      <c r="A1680" s="10" t="s">
        <v>1530</v>
      </c>
      <c r="B1680" s="3" t="s">
        <v>1531</v>
      </c>
      <c r="C1680" s="4" t="s">
        <v>3</v>
      </c>
      <c r="D1680" s="5" t="s">
        <v>76</v>
      </c>
      <c r="E1680" s="6" t="s">
        <v>1546</v>
      </c>
    </row>
    <row r="1681" hidden="1">
      <c r="A1681" s="10" t="s">
        <v>1547</v>
      </c>
      <c r="B1681" s="3" t="s">
        <v>1548</v>
      </c>
      <c r="C1681" s="4" t="s">
        <v>8</v>
      </c>
      <c r="D1681" s="5" t="s">
        <v>76</v>
      </c>
      <c r="E1681" s="6" t="s">
        <v>329</v>
      </c>
    </row>
    <row r="1682">
      <c r="A1682" s="10" t="s">
        <v>1547</v>
      </c>
      <c r="B1682" s="3" t="s">
        <v>1548</v>
      </c>
      <c r="C1682" s="4" t="s">
        <v>3</v>
      </c>
      <c r="D1682" s="5" t="s">
        <v>17</v>
      </c>
      <c r="E1682" s="6" t="s">
        <v>1549</v>
      </c>
    </row>
    <row r="1683" hidden="1">
      <c r="A1683" s="10" t="s">
        <v>1547</v>
      </c>
      <c r="B1683" s="3" t="s">
        <v>1548</v>
      </c>
      <c r="C1683" s="4" t="s">
        <v>8</v>
      </c>
      <c r="D1683" s="5" t="s">
        <v>71</v>
      </c>
      <c r="E1683" s="6" t="s">
        <v>1550</v>
      </c>
    </row>
    <row r="1684" hidden="1">
      <c r="A1684" s="10" t="s">
        <v>1547</v>
      </c>
      <c r="B1684" s="3" t="s">
        <v>1548</v>
      </c>
      <c r="C1684" s="4" t="s">
        <v>8</v>
      </c>
      <c r="D1684" s="5" t="s">
        <v>28</v>
      </c>
      <c r="E1684" s="6" t="s">
        <v>1426</v>
      </c>
    </row>
    <row r="1685">
      <c r="A1685" s="10" t="s">
        <v>1547</v>
      </c>
      <c r="B1685" s="3" t="s">
        <v>1548</v>
      </c>
      <c r="C1685" s="4" t="s">
        <v>3</v>
      </c>
      <c r="D1685" s="5" t="s">
        <v>4</v>
      </c>
      <c r="E1685" s="6" t="s">
        <v>1551</v>
      </c>
    </row>
    <row r="1686">
      <c r="A1686" s="10" t="s">
        <v>1547</v>
      </c>
      <c r="B1686" s="3" t="s">
        <v>1548</v>
      </c>
      <c r="C1686" s="4" t="s">
        <v>3</v>
      </c>
      <c r="D1686" s="5" t="s">
        <v>39</v>
      </c>
      <c r="E1686" s="6" t="s">
        <v>1552</v>
      </c>
    </row>
    <row r="1687" hidden="1">
      <c r="A1687" s="10" t="s">
        <v>1547</v>
      </c>
      <c r="B1687" s="3" t="s">
        <v>1548</v>
      </c>
      <c r="C1687" s="4" t="s">
        <v>8</v>
      </c>
      <c r="D1687" s="5" t="s">
        <v>35</v>
      </c>
      <c r="E1687" s="6" t="s">
        <v>267</v>
      </c>
    </row>
    <row r="1688">
      <c r="A1688" s="10" t="s">
        <v>1547</v>
      </c>
      <c r="B1688" s="3" t="s">
        <v>1548</v>
      </c>
      <c r="C1688" s="4" t="s">
        <v>3</v>
      </c>
      <c r="D1688" s="5" t="s">
        <v>15</v>
      </c>
      <c r="E1688" s="6" t="s">
        <v>615</v>
      </c>
    </row>
    <row r="1689">
      <c r="A1689" s="10" t="s">
        <v>1547</v>
      </c>
      <c r="B1689" s="3" t="s">
        <v>1548</v>
      </c>
      <c r="C1689" s="4" t="s">
        <v>3</v>
      </c>
      <c r="D1689" s="5" t="s">
        <v>42</v>
      </c>
      <c r="E1689" s="6" t="s">
        <v>950</v>
      </c>
    </row>
    <row r="1690" hidden="1">
      <c r="A1690" s="10" t="s">
        <v>1547</v>
      </c>
      <c r="B1690" s="3" t="s">
        <v>1548</v>
      </c>
      <c r="C1690" s="4" t="s">
        <v>8</v>
      </c>
      <c r="D1690" s="5" t="s">
        <v>51</v>
      </c>
      <c r="E1690" s="6" t="s">
        <v>135</v>
      </c>
    </row>
    <row r="1691" hidden="1">
      <c r="A1691" s="10" t="s">
        <v>1547</v>
      </c>
      <c r="B1691" s="3" t="s">
        <v>1548</v>
      </c>
      <c r="C1691" s="4" t="s">
        <v>8</v>
      </c>
      <c r="D1691" s="5" t="s">
        <v>23</v>
      </c>
      <c r="E1691" s="6" t="s">
        <v>1553</v>
      </c>
    </row>
    <row r="1692">
      <c r="A1692" s="10" t="s">
        <v>1547</v>
      </c>
      <c r="B1692" s="3" t="s">
        <v>1548</v>
      </c>
      <c r="C1692" s="4" t="s">
        <v>3</v>
      </c>
      <c r="D1692" s="5" t="s">
        <v>35</v>
      </c>
      <c r="E1692" s="6" t="s">
        <v>1554</v>
      </c>
    </row>
    <row r="1693">
      <c r="A1693" s="10" t="s">
        <v>1547</v>
      </c>
      <c r="B1693" s="3" t="s">
        <v>1548</v>
      </c>
      <c r="C1693" s="4" t="s">
        <v>3</v>
      </c>
      <c r="D1693" s="5" t="s">
        <v>45</v>
      </c>
      <c r="E1693" s="6" t="s">
        <v>116</v>
      </c>
    </row>
    <row r="1694" hidden="1">
      <c r="A1694" s="10" t="s">
        <v>1547</v>
      </c>
      <c r="B1694" s="3" t="s">
        <v>1548</v>
      </c>
      <c r="C1694" s="4" t="s">
        <v>8</v>
      </c>
      <c r="D1694" s="5" t="s">
        <v>11</v>
      </c>
      <c r="E1694" s="6" t="s">
        <v>903</v>
      </c>
    </row>
    <row r="1695" hidden="1">
      <c r="A1695" s="10" t="s">
        <v>1547</v>
      </c>
      <c r="B1695" s="3" t="s">
        <v>1548</v>
      </c>
      <c r="C1695" s="4" t="s">
        <v>8</v>
      </c>
      <c r="D1695" s="5" t="s">
        <v>28</v>
      </c>
      <c r="E1695" s="6" t="s">
        <v>1555</v>
      </c>
    </row>
    <row r="1696">
      <c r="A1696" s="10" t="s">
        <v>1547</v>
      </c>
      <c r="B1696" s="3" t="s">
        <v>1548</v>
      </c>
      <c r="C1696" s="4" t="s">
        <v>3</v>
      </c>
      <c r="D1696" s="5" t="s">
        <v>96</v>
      </c>
      <c r="E1696" s="6" t="s">
        <v>1556</v>
      </c>
    </row>
    <row r="1697">
      <c r="A1697" s="10" t="s">
        <v>1547</v>
      </c>
      <c r="B1697" s="3" t="s">
        <v>1548</v>
      </c>
      <c r="C1697" s="4" t="s">
        <v>3</v>
      </c>
      <c r="D1697" s="5" t="s">
        <v>19</v>
      </c>
      <c r="E1697" s="6" t="s">
        <v>905</v>
      </c>
    </row>
    <row r="1698" hidden="1">
      <c r="A1698" s="10" t="s">
        <v>1547</v>
      </c>
      <c r="B1698" s="3" t="s">
        <v>1548</v>
      </c>
      <c r="C1698" s="4" t="s">
        <v>8</v>
      </c>
      <c r="D1698" s="5" t="s">
        <v>23</v>
      </c>
      <c r="E1698" s="6" t="s">
        <v>1492</v>
      </c>
    </row>
    <row r="1699">
      <c r="A1699" s="10" t="s">
        <v>1547</v>
      </c>
      <c r="B1699" s="3" t="s">
        <v>1548</v>
      </c>
      <c r="C1699" s="4" t="s">
        <v>3</v>
      </c>
      <c r="D1699" s="5" t="s">
        <v>28</v>
      </c>
      <c r="E1699" s="6" t="s">
        <v>585</v>
      </c>
    </row>
    <row r="1700" hidden="1">
      <c r="A1700" s="10" t="s">
        <v>1547</v>
      </c>
      <c r="B1700" s="3" t="s">
        <v>1548</v>
      </c>
      <c r="C1700" s="4" t="s">
        <v>8</v>
      </c>
      <c r="D1700" s="5" t="s">
        <v>45</v>
      </c>
      <c r="E1700" s="6" t="s">
        <v>1557</v>
      </c>
    </row>
    <row r="1701">
      <c r="A1701" s="10" t="s">
        <v>1558</v>
      </c>
      <c r="B1701" s="3" t="s">
        <v>1559</v>
      </c>
      <c r="C1701" s="4" t="s">
        <v>3</v>
      </c>
      <c r="D1701" s="5" t="s">
        <v>76</v>
      </c>
      <c r="E1701" s="6" t="s">
        <v>1560</v>
      </c>
    </row>
    <row r="1702" hidden="1">
      <c r="A1702" s="10" t="s">
        <v>1558</v>
      </c>
      <c r="B1702" s="3" t="s">
        <v>1559</v>
      </c>
      <c r="C1702" s="4" t="s">
        <v>8</v>
      </c>
      <c r="D1702" s="5" t="s">
        <v>21</v>
      </c>
      <c r="E1702" s="6" t="s">
        <v>1561</v>
      </c>
    </row>
    <row r="1703" hidden="1">
      <c r="A1703" s="10" t="s">
        <v>1558</v>
      </c>
      <c r="B1703" s="3" t="s">
        <v>1559</v>
      </c>
      <c r="C1703" s="4" t="s">
        <v>8</v>
      </c>
      <c r="D1703" s="5" t="s">
        <v>76</v>
      </c>
      <c r="E1703" s="6" t="s">
        <v>1562</v>
      </c>
    </row>
    <row r="1704" hidden="1">
      <c r="A1704" s="10" t="s">
        <v>1558</v>
      </c>
      <c r="B1704" s="3" t="s">
        <v>1559</v>
      </c>
      <c r="C1704" s="4" t="s">
        <v>8</v>
      </c>
      <c r="D1704" s="5" t="s">
        <v>4</v>
      </c>
      <c r="E1704" s="6" t="s">
        <v>1563</v>
      </c>
    </row>
    <row r="1705">
      <c r="A1705" s="10" t="s">
        <v>1558</v>
      </c>
      <c r="B1705" s="3" t="s">
        <v>1559</v>
      </c>
      <c r="C1705" s="4" t="s">
        <v>3</v>
      </c>
      <c r="D1705" s="5" t="s">
        <v>15</v>
      </c>
      <c r="E1705" s="6" t="s">
        <v>1564</v>
      </c>
    </row>
    <row r="1706">
      <c r="A1706" s="10" t="s">
        <v>1558</v>
      </c>
      <c r="B1706" s="3" t="s">
        <v>1559</v>
      </c>
      <c r="C1706" s="4" t="s">
        <v>3</v>
      </c>
      <c r="D1706" s="5" t="s">
        <v>13</v>
      </c>
      <c r="E1706" s="6" t="s">
        <v>487</v>
      </c>
    </row>
    <row r="1707" hidden="1">
      <c r="A1707" s="10" t="s">
        <v>1558</v>
      </c>
      <c r="B1707" s="3" t="s">
        <v>1559</v>
      </c>
      <c r="C1707" s="4" t="s">
        <v>8</v>
      </c>
      <c r="D1707" s="5" t="s">
        <v>71</v>
      </c>
      <c r="E1707" s="6" t="s">
        <v>807</v>
      </c>
    </row>
    <row r="1708">
      <c r="A1708" s="10" t="s">
        <v>1558</v>
      </c>
      <c r="B1708" s="3" t="s">
        <v>1559</v>
      </c>
      <c r="C1708" s="4" t="s">
        <v>3</v>
      </c>
      <c r="D1708" s="5" t="s">
        <v>42</v>
      </c>
      <c r="E1708" s="6" t="s">
        <v>309</v>
      </c>
    </row>
    <row r="1709" hidden="1">
      <c r="A1709" s="10" t="s">
        <v>1558</v>
      </c>
      <c r="B1709" s="3" t="s">
        <v>1559</v>
      </c>
      <c r="C1709" s="4" t="s">
        <v>8</v>
      </c>
      <c r="D1709" s="5" t="s">
        <v>19</v>
      </c>
      <c r="E1709" s="6" t="s">
        <v>1565</v>
      </c>
    </row>
    <row r="1710" hidden="1">
      <c r="A1710" s="10" t="s">
        <v>1558</v>
      </c>
      <c r="B1710" s="3" t="s">
        <v>1559</v>
      </c>
      <c r="C1710" s="4" t="s">
        <v>8</v>
      </c>
      <c r="D1710" s="5" t="s">
        <v>4</v>
      </c>
      <c r="E1710" s="6" t="s">
        <v>1068</v>
      </c>
    </row>
    <row r="1711">
      <c r="A1711" s="10" t="s">
        <v>1558</v>
      </c>
      <c r="B1711" s="3" t="s">
        <v>1559</v>
      </c>
      <c r="C1711" s="4" t="s">
        <v>3</v>
      </c>
      <c r="D1711" s="5" t="s">
        <v>17</v>
      </c>
      <c r="E1711" s="6" t="s">
        <v>1566</v>
      </c>
    </row>
    <row r="1712" hidden="1">
      <c r="A1712" s="10" t="s">
        <v>1558</v>
      </c>
      <c r="B1712" s="3" t="s">
        <v>1559</v>
      </c>
      <c r="C1712" s="4" t="s">
        <v>8</v>
      </c>
      <c r="D1712" s="5" t="s">
        <v>9</v>
      </c>
      <c r="E1712" s="6" t="s">
        <v>938</v>
      </c>
    </row>
    <row r="1713">
      <c r="A1713" s="10" t="s">
        <v>1558</v>
      </c>
      <c r="B1713" s="3" t="s">
        <v>1559</v>
      </c>
      <c r="C1713" s="4" t="s">
        <v>3</v>
      </c>
      <c r="D1713" s="5" t="s">
        <v>28</v>
      </c>
      <c r="E1713" s="6" t="s">
        <v>1567</v>
      </c>
    </row>
    <row r="1714">
      <c r="A1714" s="10" t="s">
        <v>1558</v>
      </c>
      <c r="B1714" s="3" t="s">
        <v>1559</v>
      </c>
      <c r="C1714" s="4" t="s">
        <v>3</v>
      </c>
      <c r="D1714" s="5" t="s">
        <v>11</v>
      </c>
      <c r="E1714" s="6" t="s">
        <v>1568</v>
      </c>
    </row>
    <row r="1715">
      <c r="A1715" s="10" t="s">
        <v>1558</v>
      </c>
      <c r="B1715" s="3" t="s">
        <v>1559</v>
      </c>
      <c r="C1715" s="4" t="s">
        <v>3</v>
      </c>
      <c r="D1715" s="5" t="s">
        <v>4</v>
      </c>
      <c r="E1715" s="6" t="s">
        <v>1569</v>
      </c>
    </row>
    <row r="1716" hidden="1">
      <c r="A1716" s="10" t="s">
        <v>1558</v>
      </c>
      <c r="B1716" s="3" t="s">
        <v>1559</v>
      </c>
      <c r="C1716" s="4" t="s">
        <v>8</v>
      </c>
      <c r="D1716" s="5" t="s">
        <v>21</v>
      </c>
      <c r="E1716" s="6" t="s">
        <v>570</v>
      </c>
    </row>
    <row r="1717">
      <c r="A1717" s="10" t="s">
        <v>1558</v>
      </c>
      <c r="B1717" s="3" t="s">
        <v>1559</v>
      </c>
      <c r="C1717" s="4" t="s">
        <v>3</v>
      </c>
      <c r="D1717" s="5" t="s">
        <v>15</v>
      </c>
      <c r="E1717" s="6" t="s">
        <v>1570</v>
      </c>
    </row>
    <row r="1718">
      <c r="A1718" s="10" t="s">
        <v>1558</v>
      </c>
      <c r="B1718" s="3" t="s">
        <v>1559</v>
      </c>
      <c r="C1718" s="4" t="s">
        <v>3</v>
      </c>
      <c r="D1718" s="5" t="s">
        <v>120</v>
      </c>
      <c r="E1718" s="6" t="s">
        <v>1571</v>
      </c>
    </row>
    <row r="1719" hidden="1">
      <c r="A1719" s="10" t="s">
        <v>1558</v>
      </c>
      <c r="B1719" s="3" t="s">
        <v>1559</v>
      </c>
      <c r="C1719" s="4" t="s">
        <v>8</v>
      </c>
      <c r="D1719" s="5" t="s">
        <v>13</v>
      </c>
      <c r="E1719" s="6" t="s">
        <v>1572</v>
      </c>
    </row>
    <row r="1720" hidden="1">
      <c r="A1720" s="10" t="s">
        <v>1558</v>
      </c>
      <c r="B1720" s="3" t="s">
        <v>1559</v>
      </c>
      <c r="C1720" s="4" t="s">
        <v>8</v>
      </c>
      <c r="D1720" s="5" t="s">
        <v>120</v>
      </c>
      <c r="E1720" s="6" t="s">
        <v>1573</v>
      </c>
    </row>
    <row r="1721" hidden="1">
      <c r="A1721" s="10" t="s">
        <v>1574</v>
      </c>
      <c r="B1721" s="3" t="s">
        <v>1575</v>
      </c>
      <c r="C1721" s="4" t="s">
        <v>8</v>
      </c>
      <c r="D1721" s="5" t="s">
        <v>9</v>
      </c>
      <c r="E1721" s="6" t="s">
        <v>1098</v>
      </c>
    </row>
    <row r="1722">
      <c r="A1722" s="10" t="s">
        <v>1574</v>
      </c>
      <c r="B1722" s="3" t="s">
        <v>1575</v>
      </c>
      <c r="C1722" s="4" t="s">
        <v>3</v>
      </c>
      <c r="D1722" s="5" t="s">
        <v>71</v>
      </c>
      <c r="E1722" s="6" t="s">
        <v>1576</v>
      </c>
    </row>
    <row r="1723" hidden="1">
      <c r="A1723" s="10" t="s">
        <v>1574</v>
      </c>
      <c r="B1723" s="3" t="s">
        <v>1575</v>
      </c>
      <c r="C1723" s="4" t="s">
        <v>8</v>
      </c>
      <c r="D1723" s="5" t="s">
        <v>13</v>
      </c>
      <c r="E1723" s="6" t="s">
        <v>900</v>
      </c>
    </row>
    <row r="1724">
      <c r="A1724" s="10" t="s">
        <v>1574</v>
      </c>
      <c r="B1724" s="3" t="s">
        <v>1575</v>
      </c>
      <c r="C1724" s="4" t="s">
        <v>3</v>
      </c>
      <c r="D1724" s="5" t="s">
        <v>23</v>
      </c>
      <c r="E1724" s="6" t="s">
        <v>46</v>
      </c>
    </row>
    <row r="1725" hidden="1">
      <c r="A1725" s="10" t="s">
        <v>1574</v>
      </c>
      <c r="B1725" s="3" t="s">
        <v>1575</v>
      </c>
      <c r="C1725" s="4" t="s">
        <v>8</v>
      </c>
      <c r="D1725" s="5" t="s">
        <v>23</v>
      </c>
      <c r="E1725" s="6" t="s">
        <v>626</v>
      </c>
    </row>
    <row r="1726" hidden="1">
      <c r="A1726" s="10" t="s">
        <v>1574</v>
      </c>
      <c r="B1726" s="3" t="s">
        <v>1575</v>
      </c>
      <c r="C1726" s="4" t="s">
        <v>8</v>
      </c>
      <c r="D1726" s="5" t="s">
        <v>71</v>
      </c>
      <c r="E1726" s="6" t="s">
        <v>1577</v>
      </c>
    </row>
    <row r="1727" hidden="1">
      <c r="A1727" s="10" t="s">
        <v>1574</v>
      </c>
      <c r="B1727" s="3" t="s">
        <v>1575</v>
      </c>
      <c r="C1727" s="4" t="s">
        <v>8</v>
      </c>
      <c r="D1727" s="5" t="s">
        <v>23</v>
      </c>
      <c r="E1727" s="6" t="s">
        <v>1578</v>
      </c>
    </row>
    <row r="1728" hidden="1">
      <c r="A1728" s="10" t="s">
        <v>1574</v>
      </c>
      <c r="B1728" s="3" t="s">
        <v>1575</v>
      </c>
      <c r="C1728" s="4" t="s">
        <v>8</v>
      </c>
      <c r="D1728" s="5" t="s">
        <v>13</v>
      </c>
      <c r="E1728" s="6" t="s">
        <v>1579</v>
      </c>
    </row>
    <row r="1729">
      <c r="A1729" s="10" t="s">
        <v>1574</v>
      </c>
      <c r="B1729" s="3" t="s">
        <v>1575</v>
      </c>
      <c r="C1729" s="4" t="s">
        <v>3</v>
      </c>
      <c r="D1729" s="5" t="s">
        <v>42</v>
      </c>
      <c r="E1729" s="6" t="s">
        <v>439</v>
      </c>
    </row>
    <row r="1730">
      <c r="A1730" s="10" t="s">
        <v>1574</v>
      </c>
      <c r="B1730" s="3" t="s">
        <v>1575</v>
      </c>
      <c r="C1730" s="4" t="s">
        <v>3</v>
      </c>
      <c r="D1730" s="5" t="s">
        <v>9</v>
      </c>
      <c r="E1730" s="6" t="s">
        <v>1580</v>
      </c>
    </row>
    <row r="1731" hidden="1">
      <c r="A1731" s="10" t="s">
        <v>1574</v>
      </c>
      <c r="B1731" s="3" t="s">
        <v>1575</v>
      </c>
      <c r="C1731" s="4" t="s">
        <v>8</v>
      </c>
      <c r="D1731" s="5" t="s">
        <v>21</v>
      </c>
      <c r="E1731" s="6" t="s">
        <v>649</v>
      </c>
    </row>
    <row r="1732">
      <c r="A1732" s="10" t="s">
        <v>1574</v>
      </c>
      <c r="B1732" s="3" t="s">
        <v>1575</v>
      </c>
      <c r="C1732" s="4" t="s">
        <v>3</v>
      </c>
      <c r="D1732" s="5" t="s">
        <v>51</v>
      </c>
      <c r="E1732" s="6" t="s">
        <v>1581</v>
      </c>
    </row>
    <row r="1733">
      <c r="A1733" s="10" t="s">
        <v>1574</v>
      </c>
      <c r="B1733" s="3" t="s">
        <v>1575</v>
      </c>
      <c r="C1733" s="4" t="s">
        <v>3</v>
      </c>
      <c r="D1733" s="5" t="s">
        <v>15</v>
      </c>
      <c r="E1733" s="6" t="s">
        <v>1440</v>
      </c>
    </row>
    <row r="1734">
      <c r="A1734" s="10" t="s">
        <v>1574</v>
      </c>
      <c r="B1734" s="3" t="s">
        <v>1575</v>
      </c>
      <c r="C1734" s="4" t="s">
        <v>3</v>
      </c>
      <c r="D1734" s="5" t="s">
        <v>76</v>
      </c>
      <c r="E1734" s="6" t="s">
        <v>1582</v>
      </c>
    </row>
    <row r="1735">
      <c r="A1735" s="10" t="s">
        <v>1574</v>
      </c>
      <c r="B1735" s="3" t="s">
        <v>1575</v>
      </c>
      <c r="C1735" s="4" t="s">
        <v>3</v>
      </c>
      <c r="D1735" s="5" t="s">
        <v>6</v>
      </c>
      <c r="E1735" s="6" t="s">
        <v>1583</v>
      </c>
    </row>
    <row r="1736">
      <c r="A1736" s="10" t="s">
        <v>1574</v>
      </c>
      <c r="B1736" s="3" t="s">
        <v>1575</v>
      </c>
      <c r="C1736" s="4" t="s">
        <v>3</v>
      </c>
      <c r="D1736" s="5" t="s">
        <v>28</v>
      </c>
      <c r="E1736" s="6" t="s">
        <v>1055</v>
      </c>
    </row>
    <row r="1737">
      <c r="A1737" s="10" t="s">
        <v>1574</v>
      </c>
      <c r="B1737" s="3" t="s">
        <v>1575</v>
      </c>
      <c r="C1737" s="4" t="s">
        <v>3</v>
      </c>
      <c r="D1737" s="5" t="s">
        <v>21</v>
      </c>
      <c r="E1737" s="6" t="s">
        <v>1584</v>
      </c>
    </row>
    <row r="1738">
      <c r="A1738" s="10" t="s">
        <v>1574</v>
      </c>
      <c r="B1738" s="3" t="s">
        <v>1575</v>
      </c>
      <c r="C1738" s="4" t="s">
        <v>3</v>
      </c>
      <c r="D1738" s="5" t="s">
        <v>9</v>
      </c>
      <c r="E1738" s="6" t="s">
        <v>644</v>
      </c>
    </row>
    <row r="1739" hidden="1">
      <c r="A1739" s="10" t="s">
        <v>1574</v>
      </c>
      <c r="B1739" s="3" t="s">
        <v>1575</v>
      </c>
      <c r="C1739" s="4" t="s">
        <v>8</v>
      </c>
      <c r="D1739" s="5" t="s">
        <v>15</v>
      </c>
      <c r="E1739" s="6" t="s">
        <v>509</v>
      </c>
    </row>
    <row r="1740">
      <c r="A1740" s="10" t="s">
        <v>1574</v>
      </c>
      <c r="B1740" s="3" t="s">
        <v>1575</v>
      </c>
      <c r="C1740" s="4" t="s">
        <v>3</v>
      </c>
      <c r="D1740" s="5" t="s">
        <v>19</v>
      </c>
      <c r="E1740" s="6" t="s">
        <v>1585</v>
      </c>
    </row>
    <row r="1741" hidden="1">
      <c r="A1741" s="10" t="s">
        <v>367</v>
      </c>
      <c r="B1741" s="3" t="s">
        <v>1586</v>
      </c>
      <c r="C1741" s="4" t="s">
        <v>8</v>
      </c>
      <c r="D1741" s="5" t="s">
        <v>76</v>
      </c>
      <c r="E1741" s="6" t="s">
        <v>1587</v>
      </c>
    </row>
    <row r="1742">
      <c r="A1742" s="10" t="s">
        <v>367</v>
      </c>
      <c r="B1742" s="3" t="s">
        <v>1586</v>
      </c>
      <c r="C1742" s="4" t="s">
        <v>3</v>
      </c>
      <c r="D1742" s="5" t="s">
        <v>15</v>
      </c>
      <c r="E1742" s="6" t="s">
        <v>1588</v>
      </c>
    </row>
    <row r="1743" hidden="1">
      <c r="A1743" s="10" t="s">
        <v>367</v>
      </c>
      <c r="B1743" s="3" t="s">
        <v>1586</v>
      </c>
      <c r="C1743" s="4" t="s">
        <v>8</v>
      </c>
      <c r="D1743" s="5" t="s">
        <v>35</v>
      </c>
      <c r="E1743" s="6" t="s">
        <v>266</v>
      </c>
    </row>
    <row r="1744" hidden="1">
      <c r="A1744" s="10" t="s">
        <v>367</v>
      </c>
      <c r="B1744" s="3" t="s">
        <v>1586</v>
      </c>
      <c r="C1744" s="4" t="s">
        <v>8</v>
      </c>
      <c r="D1744" s="5" t="s">
        <v>17</v>
      </c>
      <c r="E1744" s="6" t="s">
        <v>949</v>
      </c>
    </row>
    <row r="1745">
      <c r="A1745" s="10" t="s">
        <v>367</v>
      </c>
      <c r="B1745" s="3" t="s">
        <v>1586</v>
      </c>
      <c r="C1745" s="4" t="s">
        <v>3</v>
      </c>
      <c r="D1745" s="5" t="s">
        <v>19</v>
      </c>
      <c r="E1745" s="6" t="s">
        <v>1589</v>
      </c>
    </row>
    <row r="1746" hidden="1">
      <c r="A1746" s="10" t="s">
        <v>367</v>
      </c>
      <c r="B1746" s="3" t="s">
        <v>1586</v>
      </c>
      <c r="C1746" s="4" t="s">
        <v>8</v>
      </c>
      <c r="D1746" s="5" t="s">
        <v>19</v>
      </c>
      <c r="E1746" s="6" t="s">
        <v>1367</v>
      </c>
    </row>
    <row r="1747" hidden="1">
      <c r="A1747" s="10" t="s">
        <v>367</v>
      </c>
      <c r="B1747" s="3" t="s">
        <v>1586</v>
      </c>
      <c r="C1747" s="4" t="s">
        <v>8</v>
      </c>
      <c r="D1747" s="5" t="s">
        <v>35</v>
      </c>
      <c r="E1747" s="6" t="s">
        <v>1590</v>
      </c>
    </row>
    <row r="1748">
      <c r="A1748" s="10" t="s">
        <v>367</v>
      </c>
      <c r="B1748" s="3" t="s">
        <v>1586</v>
      </c>
      <c r="C1748" s="4" t="s">
        <v>3</v>
      </c>
      <c r="D1748" s="5" t="s">
        <v>17</v>
      </c>
      <c r="E1748" s="6" t="s">
        <v>1591</v>
      </c>
    </row>
    <row r="1749">
      <c r="A1749" s="10" t="s">
        <v>367</v>
      </c>
      <c r="B1749" s="3" t="s">
        <v>1586</v>
      </c>
      <c r="C1749" s="4" t="s">
        <v>3</v>
      </c>
      <c r="D1749" s="5" t="s">
        <v>76</v>
      </c>
      <c r="E1749" s="6" t="s">
        <v>1592</v>
      </c>
    </row>
    <row r="1750">
      <c r="A1750" s="10" t="s">
        <v>367</v>
      </c>
      <c r="B1750" s="3" t="s">
        <v>1586</v>
      </c>
      <c r="C1750" s="4" t="s">
        <v>3</v>
      </c>
      <c r="D1750" s="5" t="s">
        <v>21</v>
      </c>
      <c r="E1750" s="6" t="s">
        <v>1593</v>
      </c>
    </row>
    <row r="1751">
      <c r="A1751" s="10" t="s">
        <v>367</v>
      </c>
      <c r="B1751" s="3" t="s">
        <v>1586</v>
      </c>
      <c r="C1751" s="4" t="s">
        <v>3</v>
      </c>
      <c r="D1751" s="5" t="s">
        <v>6</v>
      </c>
      <c r="E1751" s="6" t="s">
        <v>1594</v>
      </c>
    </row>
    <row r="1752" hidden="1">
      <c r="A1752" s="10" t="s">
        <v>367</v>
      </c>
      <c r="B1752" s="3" t="s">
        <v>1586</v>
      </c>
      <c r="C1752" s="4" t="s">
        <v>8</v>
      </c>
      <c r="D1752" s="5" t="s">
        <v>6</v>
      </c>
      <c r="E1752" s="6" t="s">
        <v>1595</v>
      </c>
    </row>
    <row r="1753">
      <c r="A1753" s="10" t="s">
        <v>367</v>
      </c>
      <c r="B1753" s="3" t="s">
        <v>1586</v>
      </c>
      <c r="C1753" s="4" t="s">
        <v>3</v>
      </c>
      <c r="D1753" s="5" t="s">
        <v>19</v>
      </c>
      <c r="E1753" s="6" t="s">
        <v>26</v>
      </c>
    </row>
    <row r="1754">
      <c r="A1754" s="10" t="s">
        <v>367</v>
      </c>
      <c r="B1754" s="3" t="s">
        <v>1586</v>
      </c>
      <c r="C1754" s="4" t="s">
        <v>3</v>
      </c>
      <c r="D1754" s="5" t="s">
        <v>6</v>
      </c>
      <c r="E1754" s="6" t="s">
        <v>1596</v>
      </c>
    </row>
    <row r="1755">
      <c r="A1755" s="10" t="s">
        <v>367</v>
      </c>
      <c r="B1755" s="3" t="s">
        <v>1586</v>
      </c>
      <c r="C1755" s="4" t="s">
        <v>3</v>
      </c>
      <c r="D1755" s="5" t="s">
        <v>9</v>
      </c>
      <c r="E1755" s="6" t="s">
        <v>1597</v>
      </c>
    </row>
    <row r="1756">
      <c r="A1756" s="10" t="s">
        <v>367</v>
      </c>
      <c r="B1756" s="3" t="s">
        <v>1586</v>
      </c>
      <c r="C1756" s="4" t="s">
        <v>3</v>
      </c>
      <c r="D1756" s="5" t="s">
        <v>120</v>
      </c>
      <c r="E1756" s="6" t="s">
        <v>971</v>
      </c>
    </row>
    <row r="1757" hidden="1">
      <c r="A1757" s="10" t="s">
        <v>367</v>
      </c>
      <c r="B1757" s="3" t="s">
        <v>1586</v>
      </c>
      <c r="C1757" s="4" t="s">
        <v>8</v>
      </c>
      <c r="D1757" s="5" t="s">
        <v>96</v>
      </c>
      <c r="E1757" s="6" t="s">
        <v>1598</v>
      </c>
    </row>
    <row r="1758" hidden="1">
      <c r="A1758" s="10" t="s">
        <v>367</v>
      </c>
      <c r="B1758" s="3" t="s">
        <v>1586</v>
      </c>
      <c r="C1758" s="4" t="s">
        <v>8</v>
      </c>
      <c r="D1758" s="5" t="s">
        <v>35</v>
      </c>
      <c r="E1758" s="6" t="s">
        <v>1599</v>
      </c>
    </row>
    <row r="1759">
      <c r="A1759" s="10" t="s">
        <v>367</v>
      </c>
      <c r="B1759" s="3" t="s">
        <v>1586</v>
      </c>
      <c r="C1759" s="4" t="s">
        <v>3</v>
      </c>
      <c r="D1759" s="5" t="s">
        <v>45</v>
      </c>
      <c r="E1759" s="6" t="s">
        <v>1600</v>
      </c>
    </row>
    <row r="1760" hidden="1">
      <c r="A1760" s="10" t="s">
        <v>367</v>
      </c>
      <c r="B1760" s="3" t="s">
        <v>1586</v>
      </c>
      <c r="C1760" s="4" t="s">
        <v>8</v>
      </c>
      <c r="D1760" s="5" t="s">
        <v>23</v>
      </c>
      <c r="E1760" s="6" t="s">
        <v>1601</v>
      </c>
    </row>
    <row r="1761">
      <c r="A1761" s="10" t="s">
        <v>1602</v>
      </c>
      <c r="B1761" s="3" t="s">
        <v>1603</v>
      </c>
      <c r="C1761" s="4" t="s">
        <v>3</v>
      </c>
      <c r="D1761" s="5" t="s">
        <v>71</v>
      </c>
      <c r="E1761" s="6" t="s">
        <v>702</v>
      </c>
    </row>
    <row r="1762" hidden="1">
      <c r="A1762" s="10" t="s">
        <v>1602</v>
      </c>
      <c r="B1762" s="3" t="s">
        <v>1603</v>
      </c>
      <c r="C1762" s="4" t="s">
        <v>8</v>
      </c>
      <c r="D1762" s="5" t="s">
        <v>6</v>
      </c>
      <c r="E1762" s="6" t="s">
        <v>1604</v>
      </c>
    </row>
    <row r="1763">
      <c r="A1763" s="10" t="s">
        <v>1602</v>
      </c>
      <c r="B1763" s="3" t="s">
        <v>1603</v>
      </c>
      <c r="C1763" s="4" t="s">
        <v>3</v>
      </c>
      <c r="D1763" s="5" t="s">
        <v>19</v>
      </c>
      <c r="E1763" s="6" t="s">
        <v>1471</v>
      </c>
    </row>
    <row r="1764">
      <c r="A1764" s="10" t="s">
        <v>1602</v>
      </c>
      <c r="B1764" s="3" t="s">
        <v>1603</v>
      </c>
      <c r="C1764" s="4" t="s">
        <v>3</v>
      </c>
      <c r="D1764" s="5" t="s">
        <v>6</v>
      </c>
      <c r="E1764" s="6" t="s">
        <v>290</v>
      </c>
    </row>
    <row r="1765" hidden="1">
      <c r="A1765" s="10" t="s">
        <v>1602</v>
      </c>
      <c r="B1765" s="3" t="s">
        <v>1603</v>
      </c>
      <c r="C1765" s="4" t="s">
        <v>8</v>
      </c>
      <c r="D1765" s="5" t="s">
        <v>51</v>
      </c>
      <c r="E1765" s="6" t="s">
        <v>840</v>
      </c>
    </row>
    <row r="1766">
      <c r="A1766" s="10" t="s">
        <v>1602</v>
      </c>
      <c r="B1766" s="3" t="s">
        <v>1603</v>
      </c>
      <c r="C1766" s="4" t="s">
        <v>3</v>
      </c>
      <c r="D1766" s="5" t="s">
        <v>42</v>
      </c>
      <c r="E1766" s="6" t="s">
        <v>43</v>
      </c>
    </row>
    <row r="1767">
      <c r="A1767" s="10" t="s">
        <v>1602</v>
      </c>
      <c r="B1767" s="3" t="s">
        <v>1603</v>
      </c>
      <c r="C1767" s="4" t="s">
        <v>3</v>
      </c>
      <c r="D1767" s="5" t="s">
        <v>21</v>
      </c>
      <c r="E1767" s="6" t="s">
        <v>1605</v>
      </c>
    </row>
    <row r="1768">
      <c r="A1768" s="10" t="s">
        <v>1602</v>
      </c>
      <c r="B1768" s="3" t="s">
        <v>1603</v>
      </c>
      <c r="C1768" s="4" t="s">
        <v>3</v>
      </c>
      <c r="D1768" s="5" t="s">
        <v>28</v>
      </c>
      <c r="E1768" s="6" t="s">
        <v>352</v>
      </c>
    </row>
    <row r="1769" hidden="1">
      <c r="A1769" s="10" t="s">
        <v>1602</v>
      </c>
      <c r="B1769" s="3" t="s">
        <v>1603</v>
      </c>
      <c r="C1769" s="4" t="s">
        <v>8</v>
      </c>
      <c r="D1769" s="5" t="s">
        <v>35</v>
      </c>
      <c r="E1769" s="6" t="s">
        <v>1606</v>
      </c>
    </row>
    <row r="1770">
      <c r="A1770" s="10" t="s">
        <v>1602</v>
      </c>
      <c r="B1770" s="3" t="s">
        <v>1603</v>
      </c>
      <c r="C1770" s="4" t="s">
        <v>3</v>
      </c>
      <c r="D1770" s="5" t="s">
        <v>76</v>
      </c>
      <c r="E1770" s="6" t="s">
        <v>1607</v>
      </c>
    </row>
    <row r="1771">
      <c r="A1771" s="10" t="s">
        <v>1602</v>
      </c>
      <c r="B1771" s="3" t="s">
        <v>1603</v>
      </c>
      <c r="C1771" s="4" t="s">
        <v>3</v>
      </c>
      <c r="D1771" s="5" t="s">
        <v>17</v>
      </c>
      <c r="E1771" s="6" t="s">
        <v>1608</v>
      </c>
    </row>
    <row r="1772" hidden="1">
      <c r="A1772" s="10" t="s">
        <v>1602</v>
      </c>
      <c r="B1772" s="3" t="s">
        <v>1603</v>
      </c>
      <c r="C1772" s="4" t="s">
        <v>8</v>
      </c>
      <c r="D1772" s="5" t="s">
        <v>51</v>
      </c>
      <c r="E1772" s="6" t="s">
        <v>1609</v>
      </c>
    </row>
    <row r="1773" hidden="1">
      <c r="A1773" s="10" t="s">
        <v>1602</v>
      </c>
      <c r="B1773" s="3" t="s">
        <v>1603</v>
      </c>
      <c r="C1773" s="4" t="s">
        <v>8</v>
      </c>
      <c r="D1773" s="5" t="s">
        <v>76</v>
      </c>
      <c r="E1773" s="6" t="s">
        <v>690</v>
      </c>
    </row>
    <row r="1774">
      <c r="A1774" s="10" t="s">
        <v>1602</v>
      </c>
      <c r="B1774" s="3" t="s">
        <v>1603</v>
      </c>
      <c r="C1774" s="4" t="s">
        <v>3</v>
      </c>
      <c r="D1774" s="5" t="s">
        <v>39</v>
      </c>
      <c r="E1774" s="6" t="s">
        <v>1610</v>
      </c>
    </row>
    <row r="1775" hidden="1">
      <c r="A1775" s="10" t="s">
        <v>1602</v>
      </c>
      <c r="B1775" s="3" t="s">
        <v>1603</v>
      </c>
      <c r="C1775" s="4" t="s">
        <v>8</v>
      </c>
      <c r="D1775" s="5" t="s">
        <v>6</v>
      </c>
      <c r="E1775" s="6" t="s">
        <v>1611</v>
      </c>
    </row>
    <row r="1776">
      <c r="A1776" s="10" t="s">
        <v>1602</v>
      </c>
      <c r="B1776" s="3" t="s">
        <v>1603</v>
      </c>
      <c r="C1776" s="4" t="s">
        <v>3</v>
      </c>
      <c r="D1776" s="5" t="s">
        <v>71</v>
      </c>
      <c r="E1776" s="6" t="s">
        <v>1612</v>
      </c>
    </row>
    <row r="1777" hidden="1">
      <c r="A1777" s="10" t="s">
        <v>1602</v>
      </c>
      <c r="B1777" s="3" t="s">
        <v>1603</v>
      </c>
      <c r="C1777" s="4" t="s">
        <v>8</v>
      </c>
      <c r="D1777" s="5" t="s">
        <v>4</v>
      </c>
      <c r="E1777" s="6" t="s">
        <v>1613</v>
      </c>
    </row>
    <row r="1778">
      <c r="A1778" s="10" t="s">
        <v>1602</v>
      </c>
      <c r="B1778" s="3" t="s">
        <v>1603</v>
      </c>
      <c r="C1778" s="4" t="s">
        <v>3</v>
      </c>
      <c r="D1778" s="5" t="s">
        <v>76</v>
      </c>
      <c r="E1778" s="6" t="s">
        <v>1379</v>
      </c>
    </row>
    <row r="1779">
      <c r="A1779" s="10" t="s">
        <v>1602</v>
      </c>
      <c r="B1779" s="3" t="s">
        <v>1603</v>
      </c>
      <c r="C1779" s="4" t="s">
        <v>3</v>
      </c>
      <c r="D1779" s="5" t="s">
        <v>13</v>
      </c>
      <c r="E1779" s="6" t="s">
        <v>707</v>
      </c>
    </row>
    <row r="1780" hidden="1">
      <c r="A1780" s="10" t="s">
        <v>1602</v>
      </c>
      <c r="B1780" s="3" t="s">
        <v>1603</v>
      </c>
      <c r="C1780" s="4" t="s">
        <v>8</v>
      </c>
      <c r="D1780" s="5" t="s">
        <v>9</v>
      </c>
      <c r="E1780" s="6" t="s">
        <v>1614</v>
      </c>
    </row>
    <row r="1781">
      <c r="A1781" s="10" t="s">
        <v>1615</v>
      </c>
      <c r="B1781" s="3" t="s">
        <v>1616</v>
      </c>
      <c r="C1781" s="4" t="s">
        <v>3</v>
      </c>
      <c r="D1781" s="5" t="s">
        <v>4</v>
      </c>
      <c r="E1781" s="6" t="s">
        <v>1617</v>
      </c>
    </row>
    <row r="1782" hidden="1">
      <c r="A1782" s="10" t="s">
        <v>1615</v>
      </c>
      <c r="B1782" s="3" t="s">
        <v>1616</v>
      </c>
      <c r="C1782" s="4" t="s">
        <v>8</v>
      </c>
      <c r="D1782" s="5" t="s">
        <v>21</v>
      </c>
      <c r="E1782" s="6" t="s">
        <v>1618</v>
      </c>
    </row>
    <row r="1783">
      <c r="A1783" s="10" t="s">
        <v>1615</v>
      </c>
      <c r="B1783" s="3" t="s">
        <v>1616</v>
      </c>
      <c r="C1783" s="4" t="s">
        <v>3</v>
      </c>
      <c r="D1783" s="5" t="s">
        <v>4</v>
      </c>
      <c r="E1783" s="6" t="s">
        <v>1619</v>
      </c>
    </row>
    <row r="1784">
      <c r="A1784" s="10" t="s">
        <v>1615</v>
      </c>
      <c r="B1784" s="3" t="s">
        <v>1616</v>
      </c>
      <c r="C1784" s="4" t="s">
        <v>3</v>
      </c>
      <c r="D1784" s="5" t="s">
        <v>17</v>
      </c>
      <c r="E1784" s="6" t="s">
        <v>1620</v>
      </c>
    </row>
    <row r="1785">
      <c r="A1785" s="10" t="s">
        <v>1615</v>
      </c>
      <c r="B1785" s="3" t="s">
        <v>1616</v>
      </c>
      <c r="C1785" s="4" t="s">
        <v>3</v>
      </c>
      <c r="D1785" s="5" t="s">
        <v>19</v>
      </c>
      <c r="E1785" s="6" t="s">
        <v>113</v>
      </c>
    </row>
    <row r="1786">
      <c r="A1786" s="10" t="s">
        <v>1615</v>
      </c>
      <c r="B1786" s="3" t="s">
        <v>1616</v>
      </c>
      <c r="C1786" s="4" t="s">
        <v>3</v>
      </c>
      <c r="D1786" s="5" t="s">
        <v>6</v>
      </c>
      <c r="E1786" s="6" t="s">
        <v>1621</v>
      </c>
    </row>
    <row r="1787" hidden="1">
      <c r="A1787" s="10" t="s">
        <v>1615</v>
      </c>
      <c r="B1787" s="3" t="s">
        <v>1616</v>
      </c>
      <c r="C1787" s="4" t="s">
        <v>8</v>
      </c>
      <c r="D1787" s="5" t="s">
        <v>19</v>
      </c>
      <c r="E1787" s="6" t="s">
        <v>1622</v>
      </c>
    </row>
    <row r="1788">
      <c r="A1788" s="10" t="s">
        <v>1615</v>
      </c>
      <c r="B1788" s="3" t="s">
        <v>1616</v>
      </c>
      <c r="C1788" s="4" t="s">
        <v>3</v>
      </c>
      <c r="D1788" s="5" t="s">
        <v>45</v>
      </c>
      <c r="E1788" s="6" t="s">
        <v>1623</v>
      </c>
    </row>
    <row r="1789">
      <c r="A1789" s="10" t="s">
        <v>1615</v>
      </c>
      <c r="B1789" s="3" t="s">
        <v>1616</v>
      </c>
      <c r="C1789" s="4" t="s">
        <v>3</v>
      </c>
      <c r="D1789" s="5" t="s">
        <v>23</v>
      </c>
      <c r="E1789" s="6" t="s">
        <v>1624</v>
      </c>
    </row>
    <row r="1790">
      <c r="A1790" s="10" t="s">
        <v>1615</v>
      </c>
      <c r="B1790" s="3" t="s">
        <v>1616</v>
      </c>
      <c r="C1790" s="4" t="s">
        <v>3</v>
      </c>
      <c r="D1790" s="5" t="s">
        <v>19</v>
      </c>
      <c r="E1790" s="6" t="s">
        <v>1625</v>
      </c>
    </row>
    <row r="1791" hidden="1">
      <c r="A1791" s="10" t="s">
        <v>1615</v>
      </c>
      <c r="B1791" s="3" t="s">
        <v>1616</v>
      </c>
      <c r="C1791" s="4" t="s">
        <v>8</v>
      </c>
      <c r="D1791" s="5" t="s">
        <v>19</v>
      </c>
      <c r="E1791" s="6" t="s">
        <v>1626</v>
      </c>
    </row>
    <row r="1792" hidden="1">
      <c r="A1792" s="10" t="s">
        <v>1615</v>
      </c>
      <c r="B1792" s="3" t="s">
        <v>1616</v>
      </c>
      <c r="C1792" s="4" t="s">
        <v>8</v>
      </c>
      <c r="D1792" s="5" t="s">
        <v>23</v>
      </c>
      <c r="E1792" s="6" t="s">
        <v>1627</v>
      </c>
    </row>
    <row r="1793">
      <c r="A1793" s="10" t="s">
        <v>1615</v>
      </c>
      <c r="B1793" s="3" t="s">
        <v>1616</v>
      </c>
      <c r="C1793" s="4" t="s">
        <v>3</v>
      </c>
      <c r="D1793" s="5" t="s">
        <v>17</v>
      </c>
      <c r="E1793" s="6" t="s">
        <v>1628</v>
      </c>
    </row>
    <row r="1794">
      <c r="A1794" s="10" t="s">
        <v>1615</v>
      </c>
      <c r="B1794" s="3" t="s">
        <v>1616</v>
      </c>
      <c r="C1794" s="4" t="s">
        <v>3</v>
      </c>
      <c r="D1794" s="5" t="s">
        <v>17</v>
      </c>
      <c r="E1794" s="6" t="s">
        <v>911</v>
      </c>
    </row>
    <row r="1795" hidden="1">
      <c r="A1795" s="10" t="s">
        <v>1615</v>
      </c>
      <c r="B1795" s="3" t="s">
        <v>1616</v>
      </c>
      <c r="C1795" s="4" t="s">
        <v>8</v>
      </c>
      <c r="D1795" s="5" t="s">
        <v>23</v>
      </c>
      <c r="E1795" s="6" t="s">
        <v>1373</v>
      </c>
    </row>
    <row r="1796">
      <c r="A1796" s="10" t="s">
        <v>1615</v>
      </c>
      <c r="B1796" s="3" t="s">
        <v>1616</v>
      </c>
      <c r="C1796" s="4" t="s">
        <v>3</v>
      </c>
      <c r="D1796" s="5" t="s">
        <v>13</v>
      </c>
      <c r="E1796" s="6" t="s">
        <v>1629</v>
      </c>
    </row>
    <row r="1797" hidden="1">
      <c r="A1797" s="10" t="s">
        <v>1615</v>
      </c>
      <c r="B1797" s="3" t="s">
        <v>1616</v>
      </c>
      <c r="C1797" s="4" t="s">
        <v>8</v>
      </c>
      <c r="D1797" s="5" t="s">
        <v>11</v>
      </c>
      <c r="E1797" s="6" t="s">
        <v>1029</v>
      </c>
    </row>
    <row r="1798" hidden="1">
      <c r="A1798" s="10" t="s">
        <v>1615</v>
      </c>
      <c r="B1798" s="3" t="s">
        <v>1616</v>
      </c>
      <c r="C1798" s="4" t="s">
        <v>8</v>
      </c>
      <c r="D1798" s="5" t="s">
        <v>120</v>
      </c>
      <c r="E1798" s="6" t="s">
        <v>1630</v>
      </c>
    </row>
    <row r="1799">
      <c r="A1799" s="10" t="s">
        <v>1615</v>
      </c>
      <c r="B1799" s="3" t="s">
        <v>1616</v>
      </c>
      <c r="C1799" s="4" t="s">
        <v>3</v>
      </c>
      <c r="D1799" s="5" t="s">
        <v>4</v>
      </c>
      <c r="E1799" s="6" t="s">
        <v>1631</v>
      </c>
    </row>
    <row r="1800" hidden="1">
      <c r="A1800" s="10" t="s">
        <v>1615</v>
      </c>
      <c r="B1800" s="3" t="s">
        <v>1616</v>
      </c>
      <c r="C1800" s="4" t="s">
        <v>8</v>
      </c>
      <c r="D1800" s="5" t="s">
        <v>9</v>
      </c>
      <c r="E1800" s="6" t="s">
        <v>714</v>
      </c>
    </row>
    <row r="1801">
      <c r="A1801" s="10" t="s">
        <v>1632</v>
      </c>
      <c r="B1801" s="3" t="s">
        <v>1633</v>
      </c>
      <c r="C1801" s="4" t="s">
        <v>3</v>
      </c>
      <c r="D1801" s="5" t="s">
        <v>19</v>
      </c>
      <c r="E1801" s="6" t="s">
        <v>1634</v>
      </c>
    </row>
    <row r="1802" hidden="1">
      <c r="A1802" s="10" t="s">
        <v>1632</v>
      </c>
      <c r="B1802" s="3" t="s">
        <v>1633</v>
      </c>
      <c r="C1802" s="4" t="s">
        <v>8</v>
      </c>
      <c r="D1802" s="5" t="s">
        <v>17</v>
      </c>
      <c r="E1802" s="6" t="s">
        <v>1635</v>
      </c>
    </row>
    <row r="1803" hidden="1">
      <c r="A1803" s="10" t="s">
        <v>1632</v>
      </c>
      <c r="B1803" s="3" t="s">
        <v>1633</v>
      </c>
      <c r="C1803" s="4" t="s">
        <v>8</v>
      </c>
      <c r="D1803" s="5" t="s">
        <v>96</v>
      </c>
      <c r="E1803" s="6" t="s">
        <v>1636</v>
      </c>
    </row>
    <row r="1804">
      <c r="A1804" s="10" t="s">
        <v>1632</v>
      </c>
      <c r="B1804" s="3" t="s">
        <v>1633</v>
      </c>
      <c r="C1804" s="4" t="s">
        <v>3</v>
      </c>
      <c r="D1804" s="5" t="s">
        <v>96</v>
      </c>
      <c r="E1804" s="6" t="s">
        <v>374</v>
      </c>
    </row>
    <row r="1805" hidden="1">
      <c r="A1805" s="10" t="s">
        <v>1632</v>
      </c>
      <c r="B1805" s="3" t="s">
        <v>1633</v>
      </c>
      <c r="C1805" s="4" t="s">
        <v>8</v>
      </c>
      <c r="D1805" s="5" t="s">
        <v>15</v>
      </c>
      <c r="E1805" s="6" t="s">
        <v>1637</v>
      </c>
    </row>
    <row r="1806">
      <c r="A1806" s="10" t="s">
        <v>1632</v>
      </c>
      <c r="B1806" s="3" t="s">
        <v>1633</v>
      </c>
      <c r="C1806" s="4" t="s">
        <v>3</v>
      </c>
      <c r="D1806" s="5" t="s">
        <v>17</v>
      </c>
      <c r="E1806" s="6" t="s">
        <v>1638</v>
      </c>
    </row>
    <row r="1807">
      <c r="A1807" s="10" t="s">
        <v>1632</v>
      </c>
      <c r="B1807" s="3" t="s">
        <v>1633</v>
      </c>
      <c r="C1807" s="4" t="s">
        <v>3</v>
      </c>
      <c r="D1807" s="5" t="s">
        <v>15</v>
      </c>
      <c r="E1807" s="6" t="s">
        <v>1098</v>
      </c>
    </row>
    <row r="1808" hidden="1">
      <c r="A1808" s="10" t="s">
        <v>1632</v>
      </c>
      <c r="B1808" s="3" t="s">
        <v>1633</v>
      </c>
      <c r="C1808" s="4" t="s">
        <v>8</v>
      </c>
      <c r="D1808" s="5" t="s">
        <v>39</v>
      </c>
      <c r="E1808" s="6" t="s">
        <v>1639</v>
      </c>
    </row>
    <row r="1809" hidden="1">
      <c r="A1809" s="10" t="s">
        <v>1632</v>
      </c>
      <c r="B1809" s="3" t="s">
        <v>1633</v>
      </c>
      <c r="C1809" s="4" t="s">
        <v>8</v>
      </c>
      <c r="D1809" s="5" t="s">
        <v>23</v>
      </c>
      <c r="E1809" s="6" t="s">
        <v>1112</v>
      </c>
    </row>
    <row r="1810" hidden="1">
      <c r="A1810" s="10" t="s">
        <v>1632</v>
      </c>
      <c r="B1810" s="3" t="s">
        <v>1633</v>
      </c>
      <c r="C1810" s="4" t="s">
        <v>8</v>
      </c>
      <c r="D1810" s="5" t="s">
        <v>19</v>
      </c>
      <c r="E1810" s="6" t="s">
        <v>1640</v>
      </c>
    </row>
    <row r="1811">
      <c r="A1811" s="10" t="s">
        <v>1632</v>
      </c>
      <c r="B1811" s="3" t="s">
        <v>1633</v>
      </c>
      <c r="C1811" s="4" t="s">
        <v>3</v>
      </c>
      <c r="D1811" s="5" t="s">
        <v>96</v>
      </c>
      <c r="E1811" s="6" t="s">
        <v>501</v>
      </c>
    </row>
    <row r="1812">
      <c r="A1812" s="10" t="s">
        <v>1632</v>
      </c>
      <c r="B1812" s="3" t="s">
        <v>1633</v>
      </c>
      <c r="C1812" s="4" t="s">
        <v>3</v>
      </c>
      <c r="D1812" s="5" t="s">
        <v>96</v>
      </c>
      <c r="E1812" s="6" t="s">
        <v>341</v>
      </c>
    </row>
    <row r="1813">
      <c r="A1813" s="10" t="s">
        <v>1632</v>
      </c>
      <c r="B1813" s="3" t="s">
        <v>1633</v>
      </c>
      <c r="C1813" s="4" t="s">
        <v>3</v>
      </c>
      <c r="D1813" s="5" t="s">
        <v>4</v>
      </c>
      <c r="E1813" s="6" t="s">
        <v>1641</v>
      </c>
    </row>
    <row r="1814" hidden="1">
      <c r="A1814" s="10" t="s">
        <v>1632</v>
      </c>
      <c r="B1814" s="3" t="s">
        <v>1633</v>
      </c>
      <c r="C1814" s="4" t="s">
        <v>8</v>
      </c>
      <c r="D1814" s="5" t="s">
        <v>6</v>
      </c>
      <c r="E1814" s="6" t="s">
        <v>1642</v>
      </c>
    </row>
    <row r="1815" hidden="1">
      <c r="A1815" s="10" t="s">
        <v>1632</v>
      </c>
      <c r="B1815" s="3" t="s">
        <v>1633</v>
      </c>
      <c r="C1815" s="4" t="s">
        <v>8</v>
      </c>
      <c r="D1815" s="5" t="s">
        <v>11</v>
      </c>
      <c r="E1815" s="6" t="s">
        <v>1146</v>
      </c>
    </row>
    <row r="1816" hidden="1">
      <c r="A1816" s="10" t="s">
        <v>1632</v>
      </c>
      <c r="B1816" s="3" t="s">
        <v>1633</v>
      </c>
      <c r="C1816" s="4" t="s">
        <v>8</v>
      </c>
      <c r="D1816" s="5" t="s">
        <v>35</v>
      </c>
      <c r="E1816" s="6" t="s">
        <v>1643</v>
      </c>
    </row>
    <row r="1817">
      <c r="A1817" s="10" t="s">
        <v>1632</v>
      </c>
      <c r="B1817" s="3" t="s">
        <v>1633</v>
      </c>
      <c r="C1817" s="4" t="s">
        <v>3</v>
      </c>
      <c r="D1817" s="5" t="s">
        <v>9</v>
      </c>
      <c r="E1817" s="6" t="s">
        <v>333</v>
      </c>
    </row>
    <row r="1818">
      <c r="A1818" s="10" t="s">
        <v>1632</v>
      </c>
      <c r="B1818" s="3" t="s">
        <v>1633</v>
      </c>
      <c r="C1818" s="4" t="s">
        <v>3</v>
      </c>
      <c r="D1818" s="5" t="s">
        <v>21</v>
      </c>
      <c r="E1818" s="6" t="s">
        <v>235</v>
      </c>
    </row>
    <row r="1819">
      <c r="A1819" s="10" t="s">
        <v>1632</v>
      </c>
      <c r="B1819" s="3" t="s">
        <v>1633</v>
      </c>
      <c r="C1819" s="4" t="s">
        <v>3</v>
      </c>
      <c r="D1819" s="5" t="s">
        <v>45</v>
      </c>
      <c r="E1819" s="6" t="s">
        <v>141</v>
      </c>
    </row>
    <row r="1820" hidden="1">
      <c r="A1820" s="10" t="s">
        <v>1632</v>
      </c>
      <c r="B1820" s="3" t="s">
        <v>1633</v>
      </c>
      <c r="C1820" s="4" t="s">
        <v>8</v>
      </c>
      <c r="D1820" s="5" t="s">
        <v>11</v>
      </c>
      <c r="E1820" s="6" t="s">
        <v>1026</v>
      </c>
    </row>
    <row r="1821">
      <c r="A1821" s="10" t="s">
        <v>1632</v>
      </c>
      <c r="B1821" s="3" t="s">
        <v>1644</v>
      </c>
      <c r="C1821" s="4" t="s">
        <v>3</v>
      </c>
      <c r="D1821" s="5" t="s">
        <v>76</v>
      </c>
      <c r="E1821" s="6" t="s">
        <v>1645</v>
      </c>
    </row>
    <row r="1822" hidden="1">
      <c r="A1822" s="10" t="s">
        <v>1632</v>
      </c>
      <c r="B1822" s="3" t="s">
        <v>1644</v>
      </c>
      <c r="C1822" s="4" t="s">
        <v>8</v>
      </c>
      <c r="D1822" s="5" t="s">
        <v>11</v>
      </c>
      <c r="E1822" s="6" t="s">
        <v>1646</v>
      </c>
    </row>
    <row r="1823">
      <c r="A1823" s="10" t="s">
        <v>1632</v>
      </c>
      <c r="B1823" s="3" t="s">
        <v>1644</v>
      </c>
      <c r="C1823" s="4" t="s">
        <v>3</v>
      </c>
      <c r="D1823" s="5" t="s">
        <v>71</v>
      </c>
      <c r="E1823" s="6" t="s">
        <v>1206</v>
      </c>
    </row>
    <row r="1824">
      <c r="A1824" s="10" t="s">
        <v>1632</v>
      </c>
      <c r="B1824" s="3" t="s">
        <v>1644</v>
      </c>
      <c r="C1824" s="4" t="s">
        <v>3</v>
      </c>
      <c r="D1824" s="5" t="s">
        <v>42</v>
      </c>
      <c r="E1824" s="6" t="s">
        <v>505</v>
      </c>
    </row>
    <row r="1825">
      <c r="A1825" s="10" t="s">
        <v>1632</v>
      </c>
      <c r="B1825" s="3" t="s">
        <v>1644</v>
      </c>
      <c r="C1825" s="4" t="s">
        <v>3</v>
      </c>
      <c r="D1825" s="5" t="s">
        <v>96</v>
      </c>
      <c r="E1825" s="6" t="s">
        <v>604</v>
      </c>
    </row>
    <row r="1826">
      <c r="A1826" s="10" t="s">
        <v>1632</v>
      </c>
      <c r="B1826" s="3" t="s">
        <v>1644</v>
      </c>
      <c r="C1826" s="4" t="s">
        <v>3</v>
      </c>
      <c r="D1826" s="5" t="s">
        <v>39</v>
      </c>
      <c r="E1826" s="6" t="s">
        <v>1647</v>
      </c>
    </row>
    <row r="1827" hidden="1">
      <c r="A1827" s="10" t="s">
        <v>1632</v>
      </c>
      <c r="B1827" s="3" t="s">
        <v>1644</v>
      </c>
      <c r="C1827" s="4" t="s">
        <v>8</v>
      </c>
      <c r="D1827" s="5" t="s">
        <v>51</v>
      </c>
      <c r="E1827" s="6" t="s">
        <v>1648</v>
      </c>
    </row>
    <row r="1828">
      <c r="A1828" s="10" t="s">
        <v>1632</v>
      </c>
      <c r="B1828" s="3" t="s">
        <v>1644</v>
      </c>
      <c r="C1828" s="4" t="s">
        <v>3</v>
      </c>
      <c r="D1828" s="5" t="s">
        <v>4</v>
      </c>
      <c r="E1828" s="6" t="s">
        <v>1649</v>
      </c>
    </row>
    <row r="1829">
      <c r="A1829" s="10" t="s">
        <v>1632</v>
      </c>
      <c r="B1829" s="3" t="s">
        <v>1644</v>
      </c>
      <c r="C1829" s="4" t="s">
        <v>3</v>
      </c>
      <c r="D1829" s="5" t="s">
        <v>6</v>
      </c>
      <c r="E1829" s="6" t="s">
        <v>1397</v>
      </c>
    </row>
    <row r="1830" hidden="1">
      <c r="A1830" s="10" t="s">
        <v>1632</v>
      </c>
      <c r="B1830" s="3" t="s">
        <v>1644</v>
      </c>
      <c r="C1830" s="4" t="s">
        <v>8</v>
      </c>
      <c r="D1830" s="5" t="s">
        <v>51</v>
      </c>
      <c r="E1830" s="6" t="s">
        <v>1650</v>
      </c>
    </row>
    <row r="1831">
      <c r="A1831" s="10" t="s">
        <v>1632</v>
      </c>
      <c r="B1831" s="3" t="s">
        <v>1644</v>
      </c>
      <c r="C1831" s="4" t="s">
        <v>3</v>
      </c>
      <c r="D1831" s="5" t="s">
        <v>13</v>
      </c>
      <c r="E1831" s="6" t="s">
        <v>1125</v>
      </c>
    </row>
    <row r="1832">
      <c r="A1832" s="10" t="s">
        <v>1632</v>
      </c>
      <c r="B1832" s="3" t="s">
        <v>1644</v>
      </c>
      <c r="C1832" s="4" t="s">
        <v>3</v>
      </c>
      <c r="D1832" s="5" t="s">
        <v>19</v>
      </c>
      <c r="E1832" s="6" t="s">
        <v>1651</v>
      </c>
    </row>
    <row r="1833" hidden="1">
      <c r="A1833" s="10" t="s">
        <v>1632</v>
      </c>
      <c r="B1833" s="3" t="s">
        <v>1644</v>
      </c>
      <c r="C1833" s="4" t="s">
        <v>8</v>
      </c>
      <c r="D1833" s="5" t="s">
        <v>21</v>
      </c>
      <c r="E1833" s="6" t="s">
        <v>106</v>
      </c>
    </row>
    <row r="1834">
      <c r="A1834" s="10" t="s">
        <v>1632</v>
      </c>
      <c r="B1834" s="3" t="s">
        <v>1644</v>
      </c>
      <c r="C1834" s="4" t="s">
        <v>3</v>
      </c>
      <c r="D1834" s="5" t="s">
        <v>35</v>
      </c>
      <c r="E1834" s="6" t="s">
        <v>1652</v>
      </c>
    </row>
    <row r="1835">
      <c r="A1835" s="10" t="s">
        <v>1632</v>
      </c>
      <c r="B1835" s="3" t="s">
        <v>1644</v>
      </c>
      <c r="C1835" s="4" t="s">
        <v>3</v>
      </c>
      <c r="D1835" s="5" t="s">
        <v>17</v>
      </c>
      <c r="E1835" s="6" t="s">
        <v>225</v>
      </c>
    </row>
    <row r="1836" hidden="1">
      <c r="A1836" s="10" t="s">
        <v>1632</v>
      </c>
      <c r="B1836" s="3" t="s">
        <v>1644</v>
      </c>
      <c r="C1836" s="4" t="s">
        <v>8</v>
      </c>
      <c r="D1836" s="5" t="s">
        <v>9</v>
      </c>
      <c r="E1836" s="6" t="s">
        <v>903</v>
      </c>
    </row>
    <row r="1837" hidden="1">
      <c r="A1837" s="10" t="s">
        <v>1632</v>
      </c>
      <c r="B1837" s="3" t="s">
        <v>1644</v>
      </c>
      <c r="C1837" s="4" t="s">
        <v>8</v>
      </c>
      <c r="D1837" s="5" t="s">
        <v>76</v>
      </c>
      <c r="E1837" s="6" t="s">
        <v>1653</v>
      </c>
    </row>
    <row r="1838">
      <c r="A1838" s="10" t="s">
        <v>1632</v>
      </c>
      <c r="B1838" s="3" t="s">
        <v>1644</v>
      </c>
      <c r="C1838" s="4" t="s">
        <v>3</v>
      </c>
      <c r="D1838" s="5" t="s">
        <v>76</v>
      </c>
      <c r="E1838" s="6" t="s">
        <v>1654</v>
      </c>
    </row>
    <row r="1839">
      <c r="A1839" s="10" t="s">
        <v>1632</v>
      </c>
      <c r="B1839" s="3" t="s">
        <v>1644</v>
      </c>
      <c r="C1839" s="4" t="s">
        <v>3</v>
      </c>
      <c r="D1839" s="5" t="s">
        <v>71</v>
      </c>
      <c r="E1839" s="6" t="s">
        <v>1655</v>
      </c>
    </row>
    <row r="1840">
      <c r="A1840" s="10" t="s">
        <v>1632</v>
      </c>
      <c r="B1840" s="3" t="s">
        <v>1644</v>
      </c>
      <c r="C1840" s="4" t="s">
        <v>3</v>
      </c>
      <c r="D1840" s="5" t="s">
        <v>71</v>
      </c>
      <c r="E1840" s="6" t="s">
        <v>1656</v>
      </c>
    </row>
    <row r="1841" hidden="1">
      <c r="A1841" s="10" t="s">
        <v>1657</v>
      </c>
      <c r="B1841" s="3" t="s">
        <v>1658</v>
      </c>
      <c r="C1841" s="4" t="s">
        <v>8</v>
      </c>
      <c r="D1841" s="5" t="s">
        <v>23</v>
      </c>
      <c r="E1841" s="6" t="s">
        <v>1659</v>
      </c>
    </row>
    <row r="1842">
      <c r="A1842" s="10" t="s">
        <v>1657</v>
      </c>
      <c r="B1842" s="3" t="s">
        <v>1658</v>
      </c>
      <c r="C1842" s="4" t="s">
        <v>3</v>
      </c>
      <c r="D1842" s="5" t="s">
        <v>35</v>
      </c>
      <c r="E1842" s="6" t="s">
        <v>1660</v>
      </c>
    </row>
    <row r="1843" hidden="1">
      <c r="A1843" s="10" t="s">
        <v>1657</v>
      </c>
      <c r="B1843" s="3" t="s">
        <v>1658</v>
      </c>
      <c r="C1843" s="4" t="s">
        <v>8</v>
      </c>
      <c r="D1843" s="5" t="s">
        <v>9</v>
      </c>
      <c r="E1843" s="6" t="s">
        <v>208</v>
      </c>
    </row>
    <row r="1844" hidden="1">
      <c r="A1844" s="10" t="s">
        <v>1657</v>
      </c>
      <c r="B1844" s="3" t="s">
        <v>1658</v>
      </c>
      <c r="C1844" s="4" t="s">
        <v>8</v>
      </c>
      <c r="D1844" s="5" t="s">
        <v>51</v>
      </c>
      <c r="E1844" s="6" t="s">
        <v>1134</v>
      </c>
    </row>
    <row r="1845">
      <c r="A1845" s="10" t="s">
        <v>1657</v>
      </c>
      <c r="B1845" s="3" t="s">
        <v>1658</v>
      </c>
      <c r="C1845" s="4" t="s">
        <v>3</v>
      </c>
      <c r="D1845" s="5" t="s">
        <v>23</v>
      </c>
      <c r="E1845" s="6" t="s">
        <v>1661</v>
      </c>
    </row>
    <row r="1846" hidden="1">
      <c r="A1846" s="10" t="s">
        <v>1657</v>
      </c>
      <c r="B1846" s="3" t="s">
        <v>1658</v>
      </c>
      <c r="C1846" s="4" t="s">
        <v>8</v>
      </c>
      <c r="D1846" s="5" t="s">
        <v>45</v>
      </c>
      <c r="E1846" s="6" t="s">
        <v>1662</v>
      </c>
    </row>
    <row r="1847" hidden="1">
      <c r="A1847" s="10" t="s">
        <v>1657</v>
      </c>
      <c r="B1847" s="3" t="s">
        <v>1658</v>
      </c>
      <c r="C1847" s="4" t="s">
        <v>8</v>
      </c>
      <c r="D1847" s="5" t="s">
        <v>9</v>
      </c>
      <c r="E1847" s="6" t="s">
        <v>1663</v>
      </c>
    </row>
    <row r="1848">
      <c r="A1848" s="10" t="s">
        <v>1657</v>
      </c>
      <c r="B1848" s="3" t="s">
        <v>1658</v>
      </c>
      <c r="C1848" s="4" t="s">
        <v>3</v>
      </c>
      <c r="D1848" s="5" t="s">
        <v>76</v>
      </c>
      <c r="E1848" s="6" t="s">
        <v>1664</v>
      </c>
    </row>
    <row r="1849" hidden="1">
      <c r="A1849" s="10" t="s">
        <v>1657</v>
      </c>
      <c r="B1849" s="3" t="s">
        <v>1658</v>
      </c>
      <c r="C1849" s="4" t="s">
        <v>8</v>
      </c>
      <c r="D1849" s="5" t="s">
        <v>35</v>
      </c>
      <c r="E1849" s="6" t="s">
        <v>896</v>
      </c>
    </row>
    <row r="1850">
      <c r="A1850" s="10" t="s">
        <v>1657</v>
      </c>
      <c r="B1850" s="3" t="s">
        <v>1658</v>
      </c>
      <c r="C1850" s="4" t="s">
        <v>3</v>
      </c>
      <c r="D1850" s="5" t="s">
        <v>11</v>
      </c>
      <c r="E1850" s="6" t="s">
        <v>1665</v>
      </c>
    </row>
    <row r="1851">
      <c r="A1851" s="10" t="s">
        <v>1657</v>
      </c>
      <c r="B1851" s="3" t="s">
        <v>1658</v>
      </c>
      <c r="C1851" s="4" t="s">
        <v>3</v>
      </c>
      <c r="D1851" s="5" t="s">
        <v>45</v>
      </c>
      <c r="E1851" s="6" t="s">
        <v>1666</v>
      </c>
    </row>
    <row r="1852" hidden="1">
      <c r="A1852" s="10" t="s">
        <v>1657</v>
      </c>
      <c r="B1852" s="3" t="s">
        <v>1658</v>
      </c>
      <c r="C1852" s="4" t="s">
        <v>8</v>
      </c>
      <c r="D1852" s="5" t="s">
        <v>19</v>
      </c>
      <c r="E1852" s="6" t="s">
        <v>1667</v>
      </c>
    </row>
    <row r="1853" hidden="1">
      <c r="A1853" s="10" t="s">
        <v>1657</v>
      </c>
      <c r="B1853" s="3" t="s">
        <v>1658</v>
      </c>
      <c r="C1853" s="4" t="s">
        <v>8</v>
      </c>
      <c r="D1853" s="5" t="s">
        <v>17</v>
      </c>
      <c r="E1853" s="6" t="s">
        <v>1001</v>
      </c>
    </row>
    <row r="1854" hidden="1">
      <c r="A1854" s="10" t="s">
        <v>1657</v>
      </c>
      <c r="B1854" s="3" t="s">
        <v>1658</v>
      </c>
      <c r="C1854" s="4" t="s">
        <v>8</v>
      </c>
      <c r="D1854" s="5" t="s">
        <v>17</v>
      </c>
      <c r="E1854" s="6" t="s">
        <v>1668</v>
      </c>
    </row>
    <row r="1855">
      <c r="A1855" s="10" t="s">
        <v>1657</v>
      </c>
      <c r="B1855" s="3" t="s">
        <v>1658</v>
      </c>
      <c r="C1855" s="4" t="s">
        <v>3</v>
      </c>
      <c r="D1855" s="5" t="s">
        <v>19</v>
      </c>
      <c r="E1855" s="6" t="s">
        <v>1669</v>
      </c>
    </row>
    <row r="1856">
      <c r="A1856" s="10" t="s">
        <v>1657</v>
      </c>
      <c r="B1856" s="3" t="s">
        <v>1658</v>
      </c>
      <c r="C1856" s="4" t="s">
        <v>3</v>
      </c>
      <c r="D1856" s="5" t="s">
        <v>6</v>
      </c>
      <c r="E1856" s="6" t="s">
        <v>1670</v>
      </c>
    </row>
    <row r="1857" hidden="1">
      <c r="A1857" s="10" t="s">
        <v>1657</v>
      </c>
      <c r="B1857" s="3" t="s">
        <v>1658</v>
      </c>
      <c r="C1857" s="4" t="s">
        <v>8</v>
      </c>
      <c r="D1857" s="5" t="s">
        <v>28</v>
      </c>
      <c r="E1857" s="6" t="s">
        <v>1392</v>
      </c>
    </row>
    <row r="1858" hidden="1">
      <c r="A1858" s="10" t="s">
        <v>1657</v>
      </c>
      <c r="B1858" s="3" t="s">
        <v>1658</v>
      </c>
      <c r="C1858" s="4" t="s">
        <v>8</v>
      </c>
      <c r="D1858" s="5" t="s">
        <v>23</v>
      </c>
      <c r="E1858" s="6" t="s">
        <v>1671</v>
      </c>
    </row>
    <row r="1859">
      <c r="A1859" s="10" t="s">
        <v>1657</v>
      </c>
      <c r="B1859" s="3" t="s">
        <v>1658</v>
      </c>
      <c r="C1859" s="4" t="s">
        <v>3</v>
      </c>
      <c r="D1859" s="5" t="s">
        <v>21</v>
      </c>
      <c r="E1859" s="6" t="s">
        <v>933</v>
      </c>
    </row>
    <row r="1860">
      <c r="A1860" s="10" t="s">
        <v>1657</v>
      </c>
      <c r="B1860" s="3" t="s">
        <v>1658</v>
      </c>
      <c r="C1860" s="4" t="s">
        <v>3</v>
      </c>
      <c r="D1860" s="5" t="s">
        <v>4</v>
      </c>
      <c r="E1860" s="6" t="s">
        <v>279</v>
      </c>
    </row>
    <row r="1861" hidden="1">
      <c r="A1861" s="10" t="s">
        <v>199</v>
      </c>
      <c r="B1861" s="3" t="s">
        <v>1672</v>
      </c>
      <c r="C1861" s="4" t="s">
        <v>8</v>
      </c>
      <c r="D1861" s="5" t="s">
        <v>45</v>
      </c>
      <c r="E1861" s="6" t="s">
        <v>1673</v>
      </c>
    </row>
    <row r="1862">
      <c r="A1862" s="10" t="s">
        <v>199</v>
      </c>
      <c r="B1862" s="3" t="s">
        <v>1672</v>
      </c>
      <c r="C1862" s="4" t="s">
        <v>3</v>
      </c>
      <c r="D1862" s="5" t="s">
        <v>45</v>
      </c>
      <c r="E1862" s="6" t="s">
        <v>282</v>
      </c>
    </row>
    <row r="1863">
      <c r="A1863" s="10" t="s">
        <v>199</v>
      </c>
      <c r="B1863" s="3" t="s">
        <v>1672</v>
      </c>
      <c r="C1863" s="4" t="s">
        <v>3</v>
      </c>
      <c r="D1863" s="5" t="s">
        <v>4</v>
      </c>
      <c r="E1863" s="6" t="s">
        <v>1674</v>
      </c>
    </row>
    <row r="1864">
      <c r="A1864" s="10" t="s">
        <v>199</v>
      </c>
      <c r="B1864" s="3" t="s">
        <v>1672</v>
      </c>
      <c r="C1864" s="4" t="s">
        <v>3</v>
      </c>
      <c r="D1864" s="5" t="s">
        <v>96</v>
      </c>
      <c r="E1864" s="6" t="s">
        <v>1675</v>
      </c>
    </row>
    <row r="1865">
      <c r="A1865" s="10" t="s">
        <v>199</v>
      </c>
      <c r="B1865" s="3" t="s">
        <v>1672</v>
      </c>
      <c r="C1865" s="4" t="s">
        <v>3</v>
      </c>
      <c r="D1865" s="5" t="s">
        <v>15</v>
      </c>
      <c r="E1865" s="6" t="s">
        <v>1676</v>
      </c>
    </row>
    <row r="1866" hidden="1">
      <c r="A1866" s="10" t="s">
        <v>199</v>
      </c>
      <c r="B1866" s="3" t="s">
        <v>1672</v>
      </c>
      <c r="C1866" s="4" t="s">
        <v>8</v>
      </c>
      <c r="D1866" s="5" t="s">
        <v>39</v>
      </c>
      <c r="E1866" s="6" t="s">
        <v>1677</v>
      </c>
    </row>
    <row r="1867" hidden="1">
      <c r="A1867" s="10" t="s">
        <v>199</v>
      </c>
      <c r="B1867" s="3" t="s">
        <v>1672</v>
      </c>
      <c r="C1867" s="4" t="s">
        <v>8</v>
      </c>
      <c r="D1867" s="5" t="s">
        <v>6</v>
      </c>
      <c r="E1867" s="6" t="s">
        <v>357</v>
      </c>
    </row>
    <row r="1868">
      <c r="A1868" s="10" t="s">
        <v>199</v>
      </c>
      <c r="B1868" s="3" t="s">
        <v>1672</v>
      </c>
      <c r="C1868" s="4" t="s">
        <v>3</v>
      </c>
      <c r="D1868" s="5" t="s">
        <v>23</v>
      </c>
      <c r="E1868" s="6" t="s">
        <v>1678</v>
      </c>
    </row>
    <row r="1869" hidden="1">
      <c r="A1869" s="10" t="s">
        <v>199</v>
      </c>
      <c r="B1869" s="3" t="s">
        <v>1672</v>
      </c>
      <c r="C1869" s="4" t="s">
        <v>8</v>
      </c>
      <c r="D1869" s="5" t="s">
        <v>11</v>
      </c>
      <c r="E1869" s="6" t="s">
        <v>1679</v>
      </c>
    </row>
    <row r="1870">
      <c r="A1870" s="10" t="s">
        <v>199</v>
      </c>
      <c r="B1870" s="3" t="s">
        <v>1672</v>
      </c>
      <c r="C1870" s="4" t="s">
        <v>3</v>
      </c>
      <c r="D1870" s="5" t="s">
        <v>120</v>
      </c>
      <c r="E1870" s="6" t="s">
        <v>1680</v>
      </c>
    </row>
    <row r="1871">
      <c r="A1871" s="10" t="s">
        <v>199</v>
      </c>
      <c r="B1871" s="3" t="s">
        <v>1672</v>
      </c>
      <c r="C1871" s="4" t="s">
        <v>3</v>
      </c>
      <c r="D1871" s="5" t="s">
        <v>35</v>
      </c>
      <c r="E1871" s="6" t="s">
        <v>1681</v>
      </c>
    </row>
    <row r="1872">
      <c r="A1872" s="10" t="s">
        <v>199</v>
      </c>
      <c r="B1872" s="3" t="s">
        <v>1672</v>
      </c>
      <c r="C1872" s="4" t="s">
        <v>3</v>
      </c>
      <c r="D1872" s="5" t="s">
        <v>17</v>
      </c>
      <c r="E1872" s="6" t="s">
        <v>771</v>
      </c>
    </row>
    <row r="1873">
      <c r="A1873" s="10" t="s">
        <v>199</v>
      </c>
      <c r="B1873" s="3" t="s">
        <v>1672</v>
      </c>
      <c r="C1873" s="4" t="s">
        <v>3</v>
      </c>
      <c r="D1873" s="5" t="s">
        <v>42</v>
      </c>
      <c r="E1873" s="6" t="s">
        <v>1087</v>
      </c>
    </row>
    <row r="1874" hidden="1">
      <c r="A1874" s="10" t="s">
        <v>199</v>
      </c>
      <c r="B1874" s="3" t="s">
        <v>1672</v>
      </c>
      <c r="C1874" s="4" t="s">
        <v>8</v>
      </c>
      <c r="D1874" s="5" t="s">
        <v>23</v>
      </c>
      <c r="E1874" s="6" t="s">
        <v>1682</v>
      </c>
    </row>
    <row r="1875">
      <c r="A1875" s="10" t="s">
        <v>199</v>
      </c>
      <c r="B1875" s="3" t="s">
        <v>1672</v>
      </c>
      <c r="C1875" s="4" t="s">
        <v>3</v>
      </c>
      <c r="D1875" s="5" t="s">
        <v>6</v>
      </c>
      <c r="E1875" s="6" t="s">
        <v>1683</v>
      </c>
    </row>
    <row r="1876">
      <c r="A1876" s="10" t="s">
        <v>199</v>
      </c>
      <c r="B1876" s="3" t="s">
        <v>1672</v>
      </c>
      <c r="C1876" s="4" t="s">
        <v>3</v>
      </c>
      <c r="D1876" s="5" t="s">
        <v>45</v>
      </c>
      <c r="E1876" s="6" t="s">
        <v>1684</v>
      </c>
    </row>
    <row r="1877" hidden="1">
      <c r="A1877" s="10" t="s">
        <v>199</v>
      </c>
      <c r="B1877" s="3" t="s">
        <v>1672</v>
      </c>
      <c r="C1877" s="4" t="s">
        <v>8</v>
      </c>
      <c r="D1877" s="5" t="s">
        <v>28</v>
      </c>
      <c r="E1877" s="6" t="s">
        <v>476</v>
      </c>
    </row>
    <row r="1878">
      <c r="A1878" s="10" t="s">
        <v>199</v>
      </c>
      <c r="B1878" s="3" t="s">
        <v>1672</v>
      </c>
      <c r="C1878" s="4" t="s">
        <v>3</v>
      </c>
      <c r="D1878" s="5" t="s">
        <v>42</v>
      </c>
      <c r="E1878" s="6" t="s">
        <v>842</v>
      </c>
    </row>
    <row r="1879">
      <c r="A1879" s="10" t="s">
        <v>199</v>
      </c>
      <c r="B1879" s="3" t="s">
        <v>1672</v>
      </c>
      <c r="C1879" s="4" t="s">
        <v>3</v>
      </c>
      <c r="D1879" s="5" t="s">
        <v>35</v>
      </c>
      <c r="E1879" s="6" t="s">
        <v>1685</v>
      </c>
    </row>
    <row r="1880">
      <c r="A1880" s="10" t="s">
        <v>199</v>
      </c>
      <c r="B1880" s="3" t="s">
        <v>1672</v>
      </c>
      <c r="C1880" s="4" t="s">
        <v>3</v>
      </c>
      <c r="D1880" s="5" t="s">
        <v>6</v>
      </c>
      <c r="E1880" s="6" t="s">
        <v>1686</v>
      </c>
    </row>
    <row r="1881">
      <c r="A1881" s="10" t="s">
        <v>1687</v>
      </c>
      <c r="B1881" s="3" t="s">
        <v>1688</v>
      </c>
      <c r="C1881" s="4" t="s">
        <v>3</v>
      </c>
      <c r="D1881" s="5" t="s">
        <v>6</v>
      </c>
      <c r="E1881" s="6" t="s">
        <v>1689</v>
      </c>
    </row>
    <row r="1882" hidden="1">
      <c r="A1882" s="10" t="s">
        <v>1687</v>
      </c>
      <c r="B1882" s="3" t="s">
        <v>1688</v>
      </c>
      <c r="C1882" s="4" t="s">
        <v>8</v>
      </c>
      <c r="D1882" s="5" t="s">
        <v>4</v>
      </c>
      <c r="E1882" s="6" t="s">
        <v>1690</v>
      </c>
    </row>
    <row r="1883" hidden="1">
      <c r="A1883" s="10" t="s">
        <v>1687</v>
      </c>
      <c r="B1883" s="3" t="s">
        <v>1688</v>
      </c>
      <c r="C1883" s="4" t="s">
        <v>8</v>
      </c>
      <c r="D1883" s="5" t="s">
        <v>23</v>
      </c>
      <c r="E1883" s="6" t="s">
        <v>1691</v>
      </c>
    </row>
    <row r="1884">
      <c r="A1884" s="10" t="s">
        <v>1687</v>
      </c>
      <c r="B1884" s="3" t="s">
        <v>1688</v>
      </c>
      <c r="C1884" s="4" t="s">
        <v>3</v>
      </c>
      <c r="D1884" s="5" t="s">
        <v>19</v>
      </c>
      <c r="E1884" s="6" t="s">
        <v>1692</v>
      </c>
    </row>
    <row r="1885" hidden="1">
      <c r="A1885" s="10" t="s">
        <v>1687</v>
      </c>
      <c r="B1885" s="3" t="s">
        <v>1688</v>
      </c>
      <c r="C1885" s="4" t="s">
        <v>8</v>
      </c>
      <c r="D1885" s="5" t="s">
        <v>11</v>
      </c>
      <c r="E1885" s="6" t="s">
        <v>1693</v>
      </c>
    </row>
    <row r="1886" hidden="1">
      <c r="A1886" s="10" t="s">
        <v>1687</v>
      </c>
      <c r="B1886" s="3" t="s">
        <v>1688</v>
      </c>
      <c r="C1886" s="4" t="s">
        <v>8</v>
      </c>
      <c r="D1886" s="5" t="s">
        <v>13</v>
      </c>
      <c r="E1886" s="6" t="s">
        <v>1694</v>
      </c>
    </row>
    <row r="1887">
      <c r="A1887" s="10" t="s">
        <v>1687</v>
      </c>
      <c r="B1887" s="3" t="s">
        <v>1688</v>
      </c>
      <c r="C1887" s="4" t="s">
        <v>3</v>
      </c>
      <c r="D1887" s="5" t="s">
        <v>51</v>
      </c>
      <c r="E1887" s="6" t="s">
        <v>1695</v>
      </c>
    </row>
    <row r="1888">
      <c r="A1888" s="10" t="s">
        <v>1687</v>
      </c>
      <c r="B1888" s="3" t="s">
        <v>1688</v>
      </c>
      <c r="C1888" s="4" t="s">
        <v>3</v>
      </c>
      <c r="D1888" s="5" t="s">
        <v>15</v>
      </c>
      <c r="E1888" s="6" t="s">
        <v>943</v>
      </c>
    </row>
    <row r="1889" hidden="1">
      <c r="A1889" s="10" t="s">
        <v>1687</v>
      </c>
      <c r="B1889" s="3" t="s">
        <v>1688</v>
      </c>
      <c r="C1889" s="4" t="s">
        <v>8</v>
      </c>
      <c r="D1889" s="5" t="s">
        <v>15</v>
      </c>
      <c r="E1889" s="6" t="s">
        <v>1218</v>
      </c>
    </row>
    <row r="1890" hidden="1">
      <c r="A1890" s="10" t="s">
        <v>1687</v>
      </c>
      <c r="B1890" s="3" t="s">
        <v>1688</v>
      </c>
      <c r="C1890" s="4" t="s">
        <v>8</v>
      </c>
      <c r="D1890" s="5" t="s">
        <v>96</v>
      </c>
      <c r="E1890" s="6" t="s">
        <v>415</v>
      </c>
    </row>
    <row r="1891" hidden="1">
      <c r="A1891" s="10" t="s">
        <v>1687</v>
      </c>
      <c r="B1891" s="3" t="s">
        <v>1688</v>
      </c>
      <c r="C1891" s="4" t="s">
        <v>8</v>
      </c>
      <c r="D1891" s="5" t="s">
        <v>71</v>
      </c>
      <c r="E1891" s="6" t="s">
        <v>1696</v>
      </c>
    </row>
    <row r="1892" hidden="1">
      <c r="A1892" s="10" t="s">
        <v>1687</v>
      </c>
      <c r="B1892" s="3" t="s">
        <v>1688</v>
      </c>
      <c r="C1892" s="4" t="s">
        <v>8</v>
      </c>
      <c r="D1892" s="5" t="s">
        <v>96</v>
      </c>
      <c r="E1892" s="6" t="s">
        <v>1697</v>
      </c>
    </row>
    <row r="1893" hidden="1">
      <c r="A1893" s="10" t="s">
        <v>1687</v>
      </c>
      <c r="B1893" s="3" t="s">
        <v>1688</v>
      </c>
      <c r="C1893" s="4" t="s">
        <v>8</v>
      </c>
      <c r="D1893" s="5" t="s">
        <v>71</v>
      </c>
      <c r="E1893" s="6" t="s">
        <v>847</v>
      </c>
    </row>
    <row r="1894" hidden="1">
      <c r="A1894" s="10" t="s">
        <v>1687</v>
      </c>
      <c r="B1894" s="3" t="s">
        <v>1688</v>
      </c>
      <c r="C1894" s="4" t="s">
        <v>8</v>
      </c>
      <c r="D1894" s="5" t="s">
        <v>42</v>
      </c>
      <c r="E1894" s="6" t="s">
        <v>1014</v>
      </c>
    </row>
    <row r="1895" hidden="1">
      <c r="A1895" s="10" t="s">
        <v>1687</v>
      </c>
      <c r="B1895" s="3" t="s">
        <v>1688</v>
      </c>
      <c r="C1895" s="4" t="s">
        <v>8</v>
      </c>
      <c r="D1895" s="5" t="s">
        <v>28</v>
      </c>
      <c r="E1895" s="6" t="s">
        <v>1698</v>
      </c>
    </row>
    <row r="1896">
      <c r="A1896" s="10" t="s">
        <v>1687</v>
      </c>
      <c r="B1896" s="3" t="s">
        <v>1688</v>
      </c>
      <c r="C1896" s="4" t="s">
        <v>3</v>
      </c>
      <c r="D1896" s="5" t="s">
        <v>13</v>
      </c>
      <c r="E1896" s="6" t="s">
        <v>496</v>
      </c>
    </row>
    <row r="1897" hidden="1">
      <c r="A1897" s="10" t="s">
        <v>1687</v>
      </c>
      <c r="B1897" s="3" t="s">
        <v>1688</v>
      </c>
      <c r="C1897" s="4" t="s">
        <v>8</v>
      </c>
      <c r="D1897" s="5" t="s">
        <v>23</v>
      </c>
      <c r="E1897" s="6" t="s">
        <v>1699</v>
      </c>
    </row>
    <row r="1898" hidden="1">
      <c r="A1898" s="10" t="s">
        <v>1687</v>
      </c>
      <c r="B1898" s="3" t="s">
        <v>1688</v>
      </c>
      <c r="C1898" s="4" t="s">
        <v>8</v>
      </c>
      <c r="D1898" s="5" t="s">
        <v>17</v>
      </c>
      <c r="E1898" s="6" t="s">
        <v>961</v>
      </c>
    </row>
    <row r="1899" hidden="1">
      <c r="A1899" s="10" t="s">
        <v>1687</v>
      </c>
      <c r="B1899" s="3" t="s">
        <v>1688</v>
      </c>
      <c r="C1899" s="4" t="s">
        <v>8</v>
      </c>
      <c r="D1899" s="5" t="s">
        <v>15</v>
      </c>
      <c r="E1899" s="6" t="s">
        <v>1700</v>
      </c>
    </row>
    <row r="1900">
      <c r="A1900" s="10" t="s">
        <v>1687</v>
      </c>
      <c r="B1900" s="3" t="s">
        <v>1688</v>
      </c>
      <c r="C1900" s="4" t="s">
        <v>3</v>
      </c>
      <c r="D1900" s="5" t="s">
        <v>35</v>
      </c>
      <c r="E1900" s="6" t="s">
        <v>1701</v>
      </c>
    </row>
    <row r="1901" hidden="1">
      <c r="A1901" s="10" t="s">
        <v>389</v>
      </c>
      <c r="B1901" s="3" t="s">
        <v>1702</v>
      </c>
      <c r="C1901" s="4" t="s">
        <v>8</v>
      </c>
      <c r="D1901" s="5" t="s">
        <v>76</v>
      </c>
      <c r="E1901" s="6" t="s">
        <v>1703</v>
      </c>
    </row>
    <row r="1902">
      <c r="A1902" s="10" t="s">
        <v>389</v>
      </c>
      <c r="B1902" s="3" t="s">
        <v>1702</v>
      </c>
      <c r="C1902" s="4" t="s">
        <v>3</v>
      </c>
      <c r="D1902" s="5" t="s">
        <v>71</v>
      </c>
      <c r="E1902" s="6" t="s">
        <v>1704</v>
      </c>
    </row>
    <row r="1903">
      <c r="A1903" s="10" t="s">
        <v>389</v>
      </c>
      <c r="B1903" s="3" t="s">
        <v>1702</v>
      </c>
      <c r="C1903" s="4" t="s">
        <v>3</v>
      </c>
      <c r="D1903" s="5" t="s">
        <v>15</v>
      </c>
      <c r="E1903" s="6" t="s">
        <v>27</v>
      </c>
    </row>
    <row r="1904" hidden="1">
      <c r="A1904" s="10" t="s">
        <v>389</v>
      </c>
      <c r="B1904" s="3" t="s">
        <v>1702</v>
      </c>
      <c r="C1904" s="4" t="s">
        <v>8</v>
      </c>
      <c r="D1904" s="5" t="s">
        <v>4</v>
      </c>
      <c r="E1904" s="6" t="s">
        <v>1705</v>
      </c>
    </row>
    <row r="1905" hidden="1">
      <c r="A1905" s="10" t="s">
        <v>389</v>
      </c>
      <c r="B1905" s="3" t="s">
        <v>1702</v>
      </c>
      <c r="C1905" s="4" t="s">
        <v>8</v>
      </c>
      <c r="D1905" s="5" t="s">
        <v>11</v>
      </c>
      <c r="E1905" s="6" t="s">
        <v>1706</v>
      </c>
    </row>
    <row r="1906">
      <c r="A1906" s="10" t="s">
        <v>389</v>
      </c>
      <c r="B1906" s="3" t="s">
        <v>1702</v>
      </c>
      <c r="C1906" s="4" t="s">
        <v>3</v>
      </c>
      <c r="D1906" s="5" t="s">
        <v>35</v>
      </c>
      <c r="E1906" s="6" t="s">
        <v>1707</v>
      </c>
    </row>
    <row r="1907" hidden="1">
      <c r="A1907" s="10" t="s">
        <v>389</v>
      </c>
      <c r="B1907" s="3" t="s">
        <v>1702</v>
      </c>
      <c r="C1907" s="4" t="s">
        <v>8</v>
      </c>
      <c r="D1907" s="5" t="s">
        <v>35</v>
      </c>
      <c r="E1907" s="6" t="s">
        <v>1708</v>
      </c>
    </row>
    <row r="1908" hidden="1">
      <c r="A1908" s="10" t="s">
        <v>389</v>
      </c>
      <c r="B1908" s="3" t="s">
        <v>1702</v>
      </c>
      <c r="C1908" s="4" t="s">
        <v>8</v>
      </c>
      <c r="D1908" s="5" t="s">
        <v>17</v>
      </c>
      <c r="E1908" s="6" t="s">
        <v>1327</v>
      </c>
    </row>
    <row r="1909">
      <c r="A1909" s="10" t="s">
        <v>389</v>
      </c>
      <c r="B1909" s="3" t="s">
        <v>1702</v>
      </c>
      <c r="C1909" s="4" t="s">
        <v>3</v>
      </c>
      <c r="D1909" s="5" t="s">
        <v>42</v>
      </c>
      <c r="E1909" s="6" t="s">
        <v>1709</v>
      </c>
    </row>
    <row r="1910">
      <c r="A1910" s="10" t="s">
        <v>389</v>
      </c>
      <c r="B1910" s="3" t="s">
        <v>1702</v>
      </c>
      <c r="C1910" s="4" t="s">
        <v>3</v>
      </c>
      <c r="D1910" s="5" t="s">
        <v>45</v>
      </c>
      <c r="E1910" s="6" t="s">
        <v>1710</v>
      </c>
    </row>
    <row r="1911">
      <c r="A1911" s="10" t="s">
        <v>389</v>
      </c>
      <c r="B1911" s="3" t="s">
        <v>1702</v>
      </c>
      <c r="C1911" s="4" t="s">
        <v>3</v>
      </c>
      <c r="D1911" s="5" t="s">
        <v>23</v>
      </c>
      <c r="E1911" s="6" t="s">
        <v>1711</v>
      </c>
    </row>
    <row r="1912">
      <c r="A1912" s="10" t="s">
        <v>389</v>
      </c>
      <c r="B1912" s="3" t="s">
        <v>1702</v>
      </c>
      <c r="C1912" s="4" t="s">
        <v>3</v>
      </c>
      <c r="D1912" s="5" t="s">
        <v>76</v>
      </c>
      <c r="E1912" s="6" t="s">
        <v>1712</v>
      </c>
    </row>
    <row r="1913" hidden="1">
      <c r="A1913" s="10" t="s">
        <v>389</v>
      </c>
      <c r="B1913" s="3" t="s">
        <v>1702</v>
      </c>
      <c r="C1913" s="4" t="s">
        <v>8</v>
      </c>
      <c r="D1913" s="5" t="s">
        <v>42</v>
      </c>
      <c r="E1913" s="6" t="s">
        <v>775</v>
      </c>
    </row>
    <row r="1914" hidden="1">
      <c r="A1914" s="10" t="s">
        <v>389</v>
      </c>
      <c r="B1914" s="3" t="s">
        <v>1702</v>
      </c>
      <c r="C1914" s="4" t="s">
        <v>8</v>
      </c>
      <c r="D1914" s="5" t="s">
        <v>19</v>
      </c>
      <c r="E1914" s="6" t="s">
        <v>248</v>
      </c>
    </row>
    <row r="1915" hidden="1">
      <c r="A1915" s="10" t="s">
        <v>389</v>
      </c>
      <c r="B1915" s="3" t="s">
        <v>1702</v>
      </c>
      <c r="C1915" s="4" t="s">
        <v>8</v>
      </c>
      <c r="D1915" s="5" t="s">
        <v>19</v>
      </c>
      <c r="E1915" s="6" t="s">
        <v>323</v>
      </c>
    </row>
    <row r="1916" hidden="1">
      <c r="A1916" s="10" t="s">
        <v>389</v>
      </c>
      <c r="B1916" s="3" t="s">
        <v>1702</v>
      </c>
      <c r="C1916" s="4" t="s">
        <v>8</v>
      </c>
      <c r="D1916" s="5" t="s">
        <v>21</v>
      </c>
      <c r="E1916" s="6" t="s">
        <v>1713</v>
      </c>
    </row>
    <row r="1917">
      <c r="A1917" s="10" t="s">
        <v>389</v>
      </c>
      <c r="B1917" s="3" t="s">
        <v>1702</v>
      </c>
      <c r="C1917" s="4" t="s">
        <v>3</v>
      </c>
      <c r="D1917" s="5" t="s">
        <v>120</v>
      </c>
      <c r="E1917" s="6" t="s">
        <v>1714</v>
      </c>
    </row>
    <row r="1918">
      <c r="A1918" s="10" t="s">
        <v>389</v>
      </c>
      <c r="B1918" s="3" t="s">
        <v>1702</v>
      </c>
      <c r="C1918" s="4" t="s">
        <v>3</v>
      </c>
      <c r="D1918" s="5" t="s">
        <v>96</v>
      </c>
      <c r="E1918" s="6" t="s">
        <v>1715</v>
      </c>
    </row>
    <row r="1919">
      <c r="A1919" s="10" t="s">
        <v>389</v>
      </c>
      <c r="B1919" s="3" t="s">
        <v>1702</v>
      </c>
      <c r="C1919" s="4" t="s">
        <v>3</v>
      </c>
      <c r="D1919" s="5" t="s">
        <v>15</v>
      </c>
      <c r="E1919" s="6" t="s">
        <v>1716</v>
      </c>
    </row>
    <row r="1920" hidden="1">
      <c r="A1920" s="10" t="s">
        <v>389</v>
      </c>
      <c r="B1920" s="3" t="s">
        <v>1702</v>
      </c>
      <c r="C1920" s="4" t="s">
        <v>8</v>
      </c>
      <c r="D1920" s="5" t="s">
        <v>76</v>
      </c>
      <c r="E1920" s="6" t="s">
        <v>1717</v>
      </c>
    </row>
    <row r="1921">
      <c r="A1921" s="10" t="s">
        <v>1718</v>
      </c>
      <c r="B1921" s="3" t="s">
        <v>1719</v>
      </c>
      <c r="C1921" s="4" t="s">
        <v>3</v>
      </c>
      <c r="D1921" s="5" t="s">
        <v>35</v>
      </c>
      <c r="E1921" s="6" t="s">
        <v>1720</v>
      </c>
    </row>
    <row r="1922" hidden="1">
      <c r="A1922" s="10" t="s">
        <v>1718</v>
      </c>
      <c r="B1922" s="3" t="s">
        <v>1719</v>
      </c>
      <c r="C1922" s="4" t="s">
        <v>8</v>
      </c>
      <c r="D1922" s="5" t="s">
        <v>6</v>
      </c>
      <c r="E1922" s="6" t="s">
        <v>1721</v>
      </c>
    </row>
    <row r="1923" hidden="1">
      <c r="A1923" s="10" t="s">
        <v>1718</v>
      </c>
      <c r="B1923" s="3" t="s">
        <v>1719</v>
      </c>
      <c r="C1923" s="4" t="s">
        <v>8</v>
      </c>
      <c r="D1923" s="5" t="s">
        <v>19</v>
      </c>
      <c r="E1923" s="6" t="s">
        <v>1722</v>
      </c>
    </row>
    <row r="1924" hidden="1">
      <c r="A1924" s="10" t="s">
        <v>1718</v>
      </c>
      <c r="B1924" s="3" t="s">
        <v>1719</v>
      </c>
      <c r="C1924" s="4" t="s">
        <v>8</v>
      </c>
      <c r="D1924" s="5" t="s">
        <v>6</v>
      </c>
      <c r="E1924" s="6" t="s">
        <v>1723</v>
      </c>
    </row>
    <row r="1925" hidden="1">
      <c r="A1925" s="10" t="s">
        <v>1718</v>
      </c>
      <c r="B1925" s="3" t="s">
        <v>1719</v>
      </c>
      <c r="C1925" s="4" t="s">
        <v>8</v>
      </c>
      <c r="D1925" s="5" t="s">
        <v>45</v>
      </c>
      <c r="E1925" s="6" t="s">
        <v>1724</v>
      </c>
    </row>
    <row r="1926" hidden="1">
      <c r="A1926" s="10" t="s">
        <v>1718</v>
      </c>
      <c r="B1926" s="3" t="s">
        <v>1719</v>
      </c>
      <c r="C1926" s="4" t="s">
        <v>8</v>
      </c>
      <c r="D1926" s="5" t="s">
        <v>51</v>
      </c>
      <c r="E1926" s="6" t="s">
        <v>967</v>
      </c>
    </row>
    <row r="1927" hidden="1">
      <c r="A1927" s="10" t="s">
        <v>1718</v>
      </c>
      <c r="B1927" s="3" t="s">
        <v>1719</v>
      </c>
      <c r="C1927" s="4" t="s">
        <v>8</v>
      </c>
      <c r="D1927" s="5" t="s">
        <v>9</v>
      </c>
      <c r="E1927" s="6" t="s">
        <v>1725</v>
      </c>
    </row>
    <row r="1928" hidden="1">
      <c r="A1928" s="10" t="s">
        <v>1718</v>
      </c>
      <c r="B1928" s="3" t="s">
        <v>1719</v>
      </c>
      <c r="C1928" s="4" t="s">
        <v>8</v>
      </c>
      <c r="D1928" s="5" t="s">
        <v>19</v>
      </c>
      <c r="E1928" s="6" t="s">
        <v>1726</v>
      </c>
    </row>
    <row r="1929" hidden="1">
      <c r="A1929" s="10" t="s">
        <v>1718</v>
      </c>
      <c r="B1929" s="3" t="s">
        <v>1719</v>
      </c>
      <c r="C1929" s="4" t="s">
        <v>8</v>
      </c>
      <c r="D1929" s="5" t="s">
        <v>13</v>
      </c>
      <c r="E1929" s="6" t="s">
        <v>1727</v>
      </c>
    </row>
    <row r="1930">
      <c r="A1930" s="10" t="s">
        <v>1718</v>
      </c>
      <c r="B1930" s="3" t="s">
        <v>1719</v>
      </c>
      <c r="C1930" s="4" t="s">
        <v>3</v>
      </c>
      <c r="D1930" s="5" t="s">
        <v>13</v>
      </c>
      <c r="E1930" s="6" t="s">
        <v>1030</v>
      </c>
    </row>
    <row r="1931">
      <c r="A1931" s="10" t="s">
        <v>1718</v>
      </c>
      <c r="B1931" s="3" t="s">
        <v>1719</v>
      </c>
      <c r="C1931" s="4" t="s">
        <v>3</v>
      </c>
      <c r="D1931" s="5" t="s">
        <v>96</v>
      </c>
      <c r="E1931" s="6" t="s">
        <v>1728</v>
      </c>
    </row>
    <row r="1932" hidden="1">
      <c r="A1932" s="10" t="s">
        <v>1718</v>
      </c>
      <c r="B1932" s="3" t="s">
        <v>1719</v>
      </c>
      <c r="C1932" s="4" t="s">
        <v>8</v>
      </c>
      <c r="D1932" s="5" t="s">
        <v>15</v>
      </c>
      <c r="E1932" s="6" t="s">
        <v>441</v>
      </c>
    </row>
    <row r="1933" hidden="1">
      <c r="A1933" s="10" t="s">
        <v>1718</v>
      </c>
      <c r="B1933" s="3" t="s">
        <v>1719</v>
      </c>
      <c r="C1933" s="4" t="s">
        <v>8</v>
      </c>
      <c r="D1933" s="5" t="s">
        <v>6</v>
      </c>
      <c r="E1933" s="6" t="s">
        <v>1729</v>
      </c>
    </row>
    <row r="1934" hidden="1">
      <c r="A1934" s="10" t="s">
        <v>1718</v>
      </c>
      <c r="B1934" s="3" t="s">
        <v>1719</v>
      </c>
      <c r="C1934" s="4" t="s">
        <v>8</v>
      </c>
      <c r="D1934" s="5" t="s">
        <v>71</v>
      </c>
      <c r="E1934" s="6" t="s">
        <v>1730</v>
      </c>
    </row>
    <row r="1935">
      <c r="A1935" s="10" t="s">
        <v>1718</v>
      </c>
      <c r="B1935" s="3" t="s">
        <v>1719</v>
      </c>
      <c r="C1935" s="4" t="s">
        <v>3</v>
      </c>
      <c r="D1935" s="5" t="s">
        <v>76</v>
      </c>
      <c r="E1935" s="6" t="s">
        <v>1201</v>
      </c>
    </row>
    <row r="1936">
      <c r="A1936" s="10" t="s">
        <v>1718</v>
      </c>
      <c r="B1936" s="3" t="s">
        <v>1719</v>
      </c>
      <c r="C1936" s="4" t="s">
        <v>3</v>
      </c>
      <c r="D1936" s="5" t="s">
        <v>35</v>
      </c>
      <c r="E1936" s="6" t="s">
        <v>1731</v>
      </c>
    </row>
    <row r="1937" hidden="1">
      <c r="A1937" s="10" t="s">
        <v>1718</v>
      </c>
      <c r="B1937" s="3" t="s">
        <v>1719</v>
      </c>
      <c r="C1937" s="4" t="s">
        <v>8</v>
      </c>
      <c r="D1937" s="5" t="s">
        <v>15</v>
      </c>
      <c r="E1937" s="6" t="s">
        <v>975</v>
      </c>
    </row>
    <row r="1938" hidden="1">
      <c r="A1938" s="10" t="s">
        <v>1718</v>
      </c>
      <c r="B1938" s="3" t="s">
        <v>1719</v>
      </c>
      <c r="C1938" s="4" t="s">
        <v>8</v>
      </c>
      <c r="D1938" s="5" t="s">
        <v>6</v>
      </c>
      <c r="E1938" s="6" t="s">
        <v>1732</v>
      </c>
    </row>
    <row r="1939">
      <c r="A1939" s="10" t="s">
        <v>1718</v>
      </c>
      <c r="B1939" s="3" t="s">
        <v>1719</v>
      </c>
      <c r="C1939" s="4" t="s">
        <v>3</v>
      </c>
      <c r="D1939" s="5" t="s">
        <v>35</v>
      </c>
      <c r="E1939" s="6" t="s">
        <v>1733</v>
      </c>
    </row>
    <row r="1940" hidden="1">
      <c r="A1940" s="10" t="s">
        <v>1718</v>
      </c>
      <c r="B1940" s="3" t="s">
        <v>1719</v>
      </c>
      <c r="C1940" s="4" t="s">
        <v>8</v>
      </c>
      <c r="D1940" s="5" t="s">
        <v>6</v>
      </c>
      <c r="E1940" s="6" t="s">
        <v>1734</v>
      </c>
    </row>
    <row r="1941">
      <c r="A1941" s="10" t="s">
        <v>1228</v>
      </c>
      <c r="B1941" s="3" t="s">
        <v>1735</v>
      </c>
      <c r="C1941" s="4" t="s">
        <v>3</v>
      </c>
      <c r="D1941" s="5" t="s">
        <v>21</v>
      </c>
      <c r="E1941" s="6" t="s">
        <v>1078</v>
      </c>
    </row>
    <row r="1942" hidden="1">
      <c r="A1942" s="10" t="s">
        <v>1228</v>
      </c>
      <c r="B1942" s="3" t="s">
        <v>1735</v>
      </c>
      <c r="C1942" s="4" t="s">
        <v>8</v>
      </c>
      <c r="D1942" s="5" t="s">
        <v>45</v>
      </c>
      <c r="E1942" s="6" t="s">
        <v>1736</v>
      </c>
    </row>
    <row r="1943">
      <c r="A1943" s="10" t="s">
        <v>1228</v>
      </c>
      <c r="B1943" s="3" t="s">
        <v>1735</v>
      </c>
      <c r="C1943" s="4" t="s">
        <v>3</v>
      </c>
      <c r="D1943" s="5" t="s">
        <v>120</v>
      </c>
      <c r="E1943" s="6" t="s">
        <v>288</v>
      </c>
    </row>
    <row r="1944" hidden="1">
      <c r="A1944" s="10" t="s">
        <v>1228</v>
      </c>
      <c r="B1944" s="3" t="s">
        <v>1735</v>
      </c>
      <c r="C1944" s="4" t="s">
        <v>8</v>
      </c>
      <c r="D1944" s="5" t="s">
        <v>15</v>
      </c>
      <c r="E1944" s="6" t="s">
        <v>1737</v>
      </c>
    </row>
    <row r="1945" hidden="1">
      <c r="A1945" s="10" t="s">
        <v>1228</v>
      </c>
      <c r="B1945" s="3" t="s">
        <v>1735</v>
      </c>
      <c r="C1945" s="4" t="s">
        <v>8</v>
      </c>
      <c r="D1945" s="5" t="s">
        <v>39</v>
      </c>
      <c r="E1945" s="6" t="s">
        <v>1738</v>
      </c>
    </row>
    <row r="1946" hidden="1">
      <c r="A1946" s="10" t="s">
        <v>1228</v>
      </c>
      <c r="B1946" s="3" t="s">
        <v>1735</v>
      </c>
      <c r="C1946" s="4" t="s">
        <v>8</v>
      </c>
      <c r="D1946" s="5" t="s">
        <v>13</v>
      </c>
      <c r="E1946" s="6" t="s">
        <v>1739</v>
      </c>
    </row>
    <row r="1947">
      <c r="A1947" s="10" t="s">
        <v>1228</v>
      </c>
      <c r="B1947" s="3" t="s">
        <v>1735</v>
      </c>
      <c r="C1947" s="4" t="s">
        <v>3</v>
      </c>
      <c r="D1947" s="5" t="s">
        <v>51</v>
      </c>
      <c r="E1947" s="6" t="s">
        <v>1740</v>
      </c>
    </row>
    <row r="1948" hidden="1">
      <c r="A1948" s="10" t="s">
        <v>1228</v>
      </c>
      <c r="B1948" s="3" t="s">
        <v>1735</v>
      </c>
      <c r="C1948" s="4" t="s">
        <v>8</v>
      </c>
      <c r="D1948" s="5" t="s">
        <v>17</v>
      </c>
      <c r="E1948" s="6" t="s">
        <v>1741</v>
      </c>
    </row>
    <row r="1949" hidden="1">
      <c r="A1949" s="10" t="s">
        <v>1228</v>
      </c>
      <c r="B1949" s="3" t="s">
        <v>1735</v>
      </c>
      <c r="C1949" s="4" t="s">
        <v>8</v>
      </c>
      <c r="D1949" s="5" t="s">
        <v>9</v>
      </c>
      <c r="E1949" s="6" t="s">
        <v>1742</v>
      </c>
    </row>
    <row r="1950" hidden="1">
      <c r="A1950" s="10" t="s">
        <v>1228</v>
      </c>
      <c r="B1950" s="3" t="s">
        <v>1735</v>
      </c>
      <c r="C1950" s="4" t="s">
        <v>8</v>
      </c>
      <c r="D1950" s="5" t="s">
        <v>51</v>
      </c>
      <c r="E1950" s="6" t="s">
        <v>1743</v>
      </c>
    </row>
    <row r="1951">
      <c r="A1951" s="10" t="s">
        <v>1228</v>
      </c>
      <c r="B1951" s="3" t="s">
        <v>1735</v>
      </c>
      <c r="C1951" s="4" t="s">
        <v>3</v>
      </c>
      <c r="D1951" s="5" t="s">
        <v>96</v>
      </c>
      <c r="E1951" s="6" t="s">
        <v>215</v>
      </c>
    </row>
    <row r="1952">
      <c r="A1952" s="10" t="s">
        <v>1228</v>
      </c>
      <c r="B1952" s="3" t="s">
        <v>1735</v>
      </c>
      <c r="C1952" s="4" t="s">
        <v>3</v>
      </c>
      <c r="D1952" s="5" t="s">
        <v>23</v>
      </c>
      <c r="E1952" s="6" t="s">
        <v>1744</v>
      </c>
    </row>
    <row r="1953" hidden="1">
      <c r="A1953" s="10" t="s">
        <v>1228</v>
      </c>
      <c r="B1953" s="3" t="s">
        <v>1735</v>
      </c>
      <c r="C1953" s="4" t="s">
        <v>8</v>
      </c>
      <c r="D1953" s="5" t="s">
        <v>17</v>
      </c>
      <c r="E1953" s="6" t="s">
        <v>1745</v>
      </c>
    </row>
    <row r="1954" hidden="1">
      <c r="A1954" s="10" t="s">
        <v>1228</v>
      </c>
      <c r="B1954" s="3" t="s">
        <v>1735</v>
      </c>
      <c r="C1954" s="4" t="s">
        <v>8</v>
      </c>
      <c r="D1954" s="5" t="s">
        <v>11</v>
      </c>
      <c r="E1954" s="6" t="s">
        <v>1746</v>
      </c>
    </row>
    <row r="1955">
      <c r="A1955" s="10" t="s">
        <v>1228</v>
      </c>
      <c r="B1955" s="3" t="s">
        <v>1735</v>
      </c>
      <c r="C1955" s="4" t="s">
        <v>3</v>
      </c>
      <c r="D1955" s="5" t="s">
        <v>39</v>
      </c>
      <c r="E1955" s="6" t="s">
        <v>1747</v>
      </c>
    </row>
    <row r="1956" hidden="1">
      <c r="A1956" s="10" t="s">
        <v>1228</v>
      </c>
      <c r="B1956" s="3" t="s">
        <v>1735</v>
      </c>
      <c r="C1956" s="4" t="s">
        <v>8</v>
      </c>
      <c r="D1956" s="5" t="s">
        <v>15</v>
      </c>
      <c r="E1956" s="6" t="s">
        <v>1513</v>
      </c>
    </row>
    <row r="1957" hidden="1">
      <c r="A1957" s="10" t="s">
        <v>1228</v>
      </c>
      <c r="B1957" s="3" t="s">
        <v>1735</v>
      </c>
      <c r="C1957" s="4" t="s">
        <v>8</v>
      </c>
      <c r="D1957" s="5" t="s">
        <v>19</v>
      </c>
      <c r="E1957" s="6" t="s">
        <v>1748</v>
      </c>
    </row>
    <row r="1958">
      <c r="A1958" s="10" t="s">
        <v>1228</v>
      </c>
      <c r="B1958" s="3" t="s">
        <v>1735</v>
      </c>
      <c r="C1958" s="4" t="s">
        <v>3</v>
      </c>
      <c r="D1958" s="5" t="s">
        <v>15</v>
      </c>
      <c r="E1958" s="6" t="s">
        <v>514</v>
      </c>
    </row>
    <row r="1959" hidden="1">
      <c r="A1959" s="10" t="s">
        <v>1228</v>
      </c>
      <c r="B1959" s="3" t="s">
        <v>1735</v>
      </c>
      <c r="C1959" s="4" t="s">
        <v>8</v>
      </c>
      <c r="D1959" s="5" t="s">
        <v>15</v>
      </c>
      <c r="E1959" s="6" t="s">
        <v>1651</v>
      </c>
    </row>
    <row r="1960" hidden="1">
      <c r="A1960" s="10" t="s">
        <v>1228</v>
      </c>
      <c r="B1960" s="3" t="s">
        <v>1735</v>
      </c>
      <c r="C1960" s="4" t="s">
        <v>8</v>
      </c>
      <c r="D1960" s="5" t="s">
        <v>11</v>
      </c>
      <c r="E1960" s="6" t="s">
        <v>592</v>
      </c>
    </row>
    <row r="1961">
      <c r="A1961" s="10" t="s">
        <v>1749</v>
      </c>
      <c r="B1961" s="3" t="s">
        <v>1750</v>
      </c>
      <c r="C1961" s="4" t="s">
        <v>3</v>
      </c>
      <c r="D1961" s="5" t="s">
        <v>19</v>
      </c>
      <c r="E1961" s="6" t="s">
        <v>959</v>
      </c>
    </row>
    <row r="1962">
      <c r="A1962" s="10" t="s">
        <v>1749</v>
      </c>
      <c r="B1962" s="3" t="s">
        <v>1750</v>
      </c>
      <c r="C1962" s="4" t="s">
        <v>3</v>
      </c>
      <c r="D1962" s="5" t="s">
        <v>11</v>
      </c>
      <c r="E1962" s="6" t="s">
        <v>1751</v>
      </c>
    </row>
    <row r="1963">
      <c r="A1963" s="10" t="s">
        <v>1749</v>
      </c>
      <c r="B1963" s="3" t="s">
        <v>1750</v>
      </c>
      <c r="C1963" s="4" t="s">
        <v>3</v>
      </c>
      <c r="D1963" s="5" t="s">
        <v>28</v>
      </c>
      <c r="E1963" s="6" t="s">
        <v>1752</v>
      </c>
    </row>
    <row r="1964" hidden="1">
      <c r="A1964" s="10" t="s">
        <v>1749</v>
      </c>
      <c r="B1964" s="3" t="s">
        <v>1750</v>
      </c>
      <c r="C1964" s="4" t="s">
        <v>8</v>
      </c>
      <c r="D1964" s="5" t="s">
        <v>51</v>
      </c>
      <c r="E1964" s="6" t="s">
        <v>1753</v>
      </c>
    </row>
    <row r="1965" hidden="1">
      <c r="A1965" s="10" t="s">
        <v>1749</v>
      </c>
      <c r="B1965" s="3" t="s">
        <v>1750</v>
      </c>
      <c r="C1965" s="4" t="s">
        <v>8</v>
      </c>
      <c r="D1965" s="5" t="s">
        <v>13</v>
      </c>
      <c r="E1965" s="6" t="s">
        <v>1754</v>
      </c>
    </row>
    <row r="1966" hidden="1">
      <c r="A1966" s="10" t="s">
        <v>1749</v>
      </c>
      <c r="B1966" s="3" t="s">
        <v>1750</v>
      </c>
      <c r="C1966" s="4" t="s">
        <v>8</v>
      </c>
      <c r="D1966" s="5" t="s">
        <v>71</v>
      </c>
      <c r="E1966" s="6" t="s">
        <v>1755</v>
      </c>
    </row>
    <row r="1967" hidden="1">
      <c r="A1967" s="10" t="s">
        <v>1749</v>
      </c>
      <c r="B1967" s="3" t="s">
        <v>1750</v>
      </c>
      <c r="C1967" s="4" t="s">
        <v>8</v>
      </c>
      <c r="D1967" s="5" t="s">
        <v>17</v>
      </c>
      <c r="E1967" s="6" t="s">
        <v>1756</v>
      </c>
    </row>
    <row r="1968">
      <c r="A1968" s="10" t="s">
        <v>1749</v>
      </c>
      <c r="B1968" s="3" t="s">
        <v>1750</v>
      </c>
      <c r="C1968" s="4" t="s">
        <v>3</v>
      </c>
      <c r="D1968" s="5" t="s">
        <v>11</v>
      </c>
      <c r="E1968" s="6" t="s">
        <v>852</v>
      </c>
    </row>
    <row r="1969" hidden="1">
      <c r="A1969" s="10" t="s">
        <v>1749</v>
      </c>
      <c r="B1969" s="3" t="s">
        <v>1750</v>
      </c>
      <c r="C1969" s="4" t="s">
        <v>8</v>
      </c>
      <c r="D1969" s="5" t="s">
        <v>76</v>
      </c>
      <c r="E1969" s="6" t="s">
        <v>1757</v>
      </c>
    </row>
    <row r="1970" hidden="1">
      <c r="A1970" s="10" t="s">
        <v>1749</v>
      </c>
      <c r="B1970" s="3" t="s">
        <v>1750</v>
      </c>
      <c r="C1970" s="4" t="s">
        <v>8</v>
      </c>
      <c r="D1970" s="5" t="s">
        <v>96</v>
      </c>
      <c r="E1970" s="6" t="s">
        <v>1499</v>
      </c>
    </row>
    <row r="1971" hidden="1">
      <c r="A1971" s="10" t="s">
        <v>1749</v>
      </c>
      <c r="B1971" s="3" t="s">
        <v>1750</v>
      </c>
      <c r="C1971" s="4" t="s">
        <v>8</v>
      </c>
      <c r="D1971" s="5" t="s">
        <v>23</v>
      </c>
      <c r="E1971" s="6" t="s">
        <v>1758</v>
      </c>
    </row>
    <row r="1972" hidden="1">
      <c r="A1972" s="10" t="s">
        <v>1749</v>
      </c>
      <c r="B1972" s="3" t="s">
        <v>1750</v>
      </c>
      <c r="C1972" s="4" t="s">
        <v>8</v>
      </c>
      <c r="D1972" s="5" t="s">
        <v>23</v>
      </c>
      <c r="E1972" s="6" t="s">
        <v>1759</v>
      </c>
    </row>
    <row r="1973">
      <c r="A1973" s="10" t="s">
        <v>1749</v>
      </c>
      <c r="B1973" s="3" t="s">
        <v>1750</v>
      </c>
      <c r="C1973" s="4" t="s">
        <v>3</v>
      </c>
      <c r="D1973" s="5" t="s">
        <v>6</v>
      </c>
      <c r="E1973" s="6" t="s">
        <v>1760</v>
      </c>
    </row>
    <row r="1974" hidden="1">
      <c r="A1974" s="10" t="s">
        <v>1749</v>
      </c>
      <c r="B1974" s="3" t="s">
        <v>1750</v>
      </c>
      <c r="C1974" s="4" t="s">
        <v>8</v>
      </c>
      <c r="D1974" s="5" t="s">
        <v>23</v>
      </c>
      <c r="E1974" s="6" t="s">
        <v>1678</v>
      </c>
    </row>
    <row r="1975">
      <c r="A1975" s="10" t="s">
        <v>1749</v>
      </c>
      <c r="B1975" s="3" t="s">
        <v>1750</v>
      </c>
      <c r="C1975" s="4" t="s">
        <v>3</v>
      </c>
      <c r="D1975" s="5" t="s">
        <v>96</v>
      </c>
      <c r="E1975" s="6" t="s">
        <v>1761</v>
      </c>
    </row>
    <row r="1976">
      <c r="A1976" s="10" t="s">
        <v>1749</v>
      </c>
      <c r="B1976" s="3" t="s">
        <v>1750</v>
      </c>
      <c r="C1976" s="4" t="s">
        <v>3</v>
      </c>
      <c r="D1976" s="5" t="s">
        <v>120</v>
      </c>
      <c r="E1976" s="6" t="s">
        <v>1762</v>
      </c>
    </row>
    <row r="1977" hidden="1">
      <c r="A1977" s="10" t="s">
        <v>1749</v>
      </c>
      <c r="B1977" s="3" t="s">
        <v>1750</v>
      </c>
      <c r="C1977" s="4" t="s">
        <v>8</v>
      </c>
      <c r="D1977" s="5" t="s">
        <v>17</v>
      </c>
      <c r="E1977" s="6" t="s">
        <v>1384</v>
      </c>
    </row>
    <row r="1978" hidden="1">
      <c r="A1978" s="10" t="s">
        <v>1749</v>
      </c>
      <c r="B1978" s="3" t="s">
        <v>1750</v>
      </c>
      <c r="C1978" s="4" t="s">
        <v>8</v>
      </c>
      <c r="D1978" s="5" t="s">
        <v>45</v>
      </c>
      <c r="E1978" s="6" t="s">
        <v>1763</v>
      </c>
    </row>
    <row r="1979" hidden="1">
      <c r="A1979" s="10" t="s">
        <v>1749</v>
      </c>
      <c r="B1979" s="3" t="s">
        <v>1750</v>
      </c>
      <c r="C1979" s="4" t="s">
        <v>8</v>
      </c>
      <c r="D1979" s="5" t="s">
        <v>51</v>
      </c>
      <c r="E1979" s="6" t="s">
        <v>1764</v>
      </c>
    </row>
    <row r="1980" hidden="1">
      <c r="A1980" s="10" t="s">
        <v>1749</v>
      </c>
      <c r="B1980" s="3" t="s">
        <v>1750</v>
      </c>
      <c r="C1980" s="4" t="s">
        <v>8</v>
      </c>
      <c r="D1980" s="5" t="s">
        <v>96</v>
      </c>
      <c r="E1980" s="6" t="s">
        <v>1636</v>
      </c>
    </row>
    <row r="1981" hidden="1">
      <c r="A1981" s="10" t="s">
        <v>1765</v>
      </c>
      <c r="B1981" s="3" t="s">
        <v>1766</v>
      </c>
      <c r="C1981" s="4" t="s">
        <v>8</v>
      </c>
      <c r="D1981" s="5" t="s">
        <v>35</v>
      </c>
      <c r="E1981" s="6" t="s">
        <v>1767</v>
      </c>
    </row>
    <row r="1982">
      <c r="A1982" s="10" t="s">
        <v>1765</v>
      </c>
      <c r="B1982" s="3" t="s">
        <v>1766</v>
      </c>
      <c r="C1982" s="4" t="s">
        <v>3</v>
      </c>
      <c r="D1982" s="5" t="s">
        <v>120</v>
      </c>
      <c r="E1982" s="6" t="s">
        <v>1768</v>
      </c>
    </row>
    <row r="1983">
      <c r="A1983" s="10" t="s">
        <v>1765</v>
      </c>
      <c r="B1983" s="3" t="s">
        <v>1766</v>
      </c>
      <c r="C1983" s="4" t="s">
        <v>3</v>
      </c>
      <c r="D1983" s="5" t="s">
        <v>42</v>
      </c>
      <c r="E1983" s="6" t="s">
        <v>309</v>
      </c>
    </row>
    <row r="1984">
      <c r="A1984" s="10" t="s">
        <v>1765</v>
      </c>
      <c r="B1984" s="3" t="s">
        <v>1766</v>
      </c>
      <c r="C1984" s="4" t="s">
        <v>3</v>
      </c>
      <c r="D1984" s="5" t="s">
        <v>13</v>
      </c>
      <c r="E1984" s="6" t="s">
        <v>1769</v>
      </c>
    </row>
    <row r="1985">
      <c r="A1985" s="10" t="s">
        <v>1765</v>
      </c>
      <c r="B1985" s="3" t="s">
        <v>1766</v>
      </c>
      <c r="C1985" s="4" t="s">
        <v>3</v>
      </c>
      <c r="D1985" s="5" t="s">
        <v>51</v>
      </c>
      <c r="E1985" s="6" t="s">
        <v>1124</v>
      </c>
    </row>
    <row r="1986" hidden="1">
      <c r="A1986" s="10" t="s">
        <v>1765</v>
      </c>
      <c r="B1986" s="3" t="s">
        <v>1766</v>
      </c>
      <c r="C1986" s="4" t="s">
        <v>8</v>
      </c>
      <c r="D1986" s="5" t="s">
        <v>23</v>
      </c>
      <c r="E1986" s="6" t="s">
        <v>1464</v>
      </c>
    </row>
    <row r="1987">
      <c r="A1987" s="10" t="s">
        <v>1765</v>
      </c>
      <c r="B1987" s="3" t="s">
        <v>1766</v>
      </c>
      <c r="C1987" s="4" t="s">
        <v>3</v>
      </c>
      <c r="D1987" s="5" t="s">
        <v>21</v>
      </c>
      <c r="E1987" s="6" t="s">
        <v>359</v>
      </c>
    </row>
    <row r="1988" hidden="1">
      <c r="A1988" s="10" t="s">
        <v>1765</v>
      </c>
      <c r="B1988" s="3" t="s">
        <v>1766</v>
      </c>
      <c r="C1988" s="4" t="s">
        <v>8</v>
      </c>
      <c r="D1988" s="5" t="s">
        <v>13</v>
      </c>
      <c r="E1988" s="6" t="s">
        <v>383</v>
      </c>
    </row>
    <row r="1989">
      <c r="A1989" s="10" t="s">
        <v>1765</v>
      </c>
      <c r="B1989" s="3" t="s">
        <v>1766</v>
      </c>
      <c r="C1989" s="4" t="s">
        <v>3</v>
      </c>
      <c r="D1989" s="5" t="s">
        <v>15</v>
      </c>
      <c r="E1989" s="6" t="s">
        <v>1076</v>
      </c>
    </row>
    <row r="1990" hidden="1">
      <c r="A1990" s="10" t="s">
        <v>1765</v>
      </c>
      <c r="B1990" s="3" t="s">
        <v>1766</v>
      </c>
      <c r="C1990" s="4" t="s">
        <v>8</v>
      </c>
      <c r="D1990" s="5" t="s">
        <v>13</v>
      </c>
      <c r="E1990" s="6" t="s">
        <v>1741</v>
      </c>
    </row>
    <row r="1991" hidden="1">
      <c r="A1991" s="10" t="s">
        <v>1765</v>
      </c>
      <c r="B1991" s="3" t="s">
        <v>1766</v>
      </c>
      <c r="C1991" s="4" t="s">
        <v>8</v>
      </c>
      <c r="D1991" s="5" t="s">
        <v>4</v>
      </c>
      <c r="E1991" s="6" t="s">
        <v>1418</v>
      </c>
    </row>
    <row r="1992" hidden="1">
      <c r="A1992" s="10" t="s">
        <v>1765</v>
      </c>
      <c r="B1992" s="3" t="s">
        <v>1766</v>
      </c>
      <c r="C1992" s="4" t="s">
        <v>8</v>
      </c>
      <c r="D1992" s="5" t="s">
        <v>120</v>
      </c>
      <c r="E1992" s="6" t="s">
        <v>1770</v>
      </c>
    </row>
    <row r="1993">
      <c r="A1993" s="10" t="s">
        <v>1765</v>
      </c>
      <c r="B1993" s="3" t="s">
        <v>1766</v>
      </c>
      <c r="C1993" s="4" t="s">
        <v>3</v>
      </c>
      <c r="D1993" s="5" t="s">
        <v>9</v>
      </c>
      <c r="E1993" s="6" t="s">
        <v>829</v>
      </c>
    </row>
    <row r="1994" hidden="1">
      <c r="A1994" s="10" t="s">
        <v>1765</v>
      </c>
      <c r="B1994" s="3" t="s">
        <v>1766</v>
      </c>
      <c r="C1994" s="4" t="s">
        <v>8</v>
      </c>
      <c r="D1994" s="5" t="s">
        <v>45</v>
      </c>
      <c r="E1994" s="6" t="s">
        <v>1771</v>
      </c>
    </row>
    <row r="1995" hidden="1">
      <c r="A1995" s="10" t="s">
        <v>1765</v>
      </c>
      <c r="B1995" s="3" t="s">
        <v>1766</v>
      </c>
      <c r="C1995" s="4" t="s">
        <v>8</v>
      </c>
      <c r="D1995" s="5" t="s">
        <v>17</v>
      </c>
      <c r="E1995" s="6" t="s">
        <v>1772</v>
      </c>
    </row>
    <row r="1996" hidden="1">
      <c r="A1996" s="10" t="s">
        <v>1765</v>
      </c>
      <c r="B1996" s="3" t="s">
        <v>1766</v>
      </c>
      <c r="C1996" s="4" t="s">
        <v>8</v>
      </c>
      <c r="D1996" s="5" t="s">
        <v>15</v>
      </c>
      <c r="E1996" s="6" t="s">
        <v>612</v>
      </c>
    </row>
    <row r="1997">
      <c r="A1997" s="10" t="s">
        <v>1765</v>
      </c>
      <c r="B1997" s="3" t="s">
        <v>1766</v>
      </c>
      <c r="C1997" s="4" t="s">
        <v>3</v>
      </c>
      <c r="D1997" s="5" t="s">
        <v>51</v>
      </c>
      <c r="E1997" s="6" t="s">
        <v>382</v>
      </c>
    </row>
    <row r="1998" hidden="1">
      <c r="A1998" s="10" t="s">
        <v>1765</v>
      </c>
      <c r="B1998" s="3" t="s">
        <v>1766</v>
      </c>
      <c r="C1998" s="4" t="s">
        <v>8</v>
      </c>
      <c r="D1998" s="5" t="s">
        <v>9</v>
      </c>
      <c r="E1998" s="6" t="s">
        <v>1773</v>
      </c>
    </row>
    <row r="1999">
      <c r="A1999" s="10" t="s">
        <v>1765</v>
      </c>
      <c r="B1999" s="3" t="s">
        <v>1766</v>
      </c>
      <c r="C1999" s="4" t="s">
        <v>3</v>
      </c>
      <c r="D1999" s="5" t="s">
        <v>13</v>
      </c>
      <c r="E1999" s="6" t="s">
        <v>936</v>
      </c>
    </row>
    <row r="2000">
      <c r="A2000" s="10" t="s">
        <v>1765</v>
      </c>
      <c r="B2000" s="3" t="s">
        <v>1766</v>
      </c>
      <c r="C2000" s="4" t="s">
        <v>3</v>
      </c>
      <c r="D2000" s="5" t="s">
        <v>71</v>
      </c>
      <c r="E2000" s="6" t="s">
        <v>175</v>
      </c>
    </row>
    <row r="2001" hidden="1">
      <c r="A2001" s="10" t="s">
        <v>1775</v>
      </c>
      <c r="B2001" s="3" t="s">
        <v>1776</v>
      </c>
      <c r="C2001" s="4" t="s">
        <v>1777</v>
      </c>
      <c r="D2001" s="5" t="s">
        <v>1778</v>
      </c>
      <c r="E2001" s="6" t="s">
        <v>1779</v>
      </c>
    </row>
    <row r="2002" hidden="1">
      <c r="A2002" s="11"/>
      <c r="B2002" s="12"/>
      <c r="C2002" s="13"/>
      <c r="E2002" s="6"/>
    </row>
    <row r="2003" hidden="1">
      <c r="A2003" s="11"/>
      <c r="B2003" s="12"/>
      <c r="C2003" s="13"/>
      <c r="E2003" s="6"/>
    </row>
  </sheetData>
  <autoFilter ref="$A$1:$E$2003">
    <filterColumn colId="2">
      <filters>
        <filter val="Venda"/>
      </filters>
    </filterColumn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</cols>
  <sheetData>
    <row r="1">
      <c r="A1" s="2" t="s">
        <v>1</v>
      </c>
      <c r="B1" s="3" t="s">
        <v>2</v>
      </c>
      <c r="C1" s="4" t="s">
        <v>3</v>
      </c>
      <c r="D1" s="5" t="s">
        <v>4</v>
      </c>
      <c r="E1" s="6" t="s">
        <v>5</v>
      </c>
    </row>
    <row r="2" hidden="1">
      <c r="A2" s="10" t="s">
        <v>1</v>
      </c>
      <c r="B2" s="3" t="s">
        <v>2</v>
      </c>
      <c r="C2" s="4" t="s">
        <v>3</v>
      </c>
      <c r="D2" s="5" t="s">
        <v>6</v>
      </c>
      <c r="E2" s="6" t="s">
        <v>7</v>
      </c>
    </row>
    <row r="3">
      <c r="A3" s="10" t="s">
        <v>1</v>
      </c>
      <c r="B3" s="3" t="s">
        <v>2</v>
      </c>
      <c r="C3" s="4" t="s">
        <v>8</v>
      </c>
      <c r="D3" s="5" t="s">
        <v>9</v>
      </c>
      <c r="E3" s="6" t="s">
        <v>10</v>
      </c>
    </row>
    <row r="4">
      <c r="A4" s="10" t="s">
        <v>1</v>
      </c>
      <c r="B4" s="3" t="s">
        <v>2</v>
      </c>
      <c r="C4" s="4" t="s">
        <v>8</v>
      </c>
      <c r="D4" s="5" t="s">
        <v>11</v>
      </c>
      <c r="E4" s="6" t="s">
        <v>12</v>
      </c>
    </row>
    <row r="5">
      <c r="A5" s="10" t="s">
        <v>1</v>
      </c>
      <c r="B5" s="3" t="s">
        <v>2</v>
      </c>
      <c r="C5" s="4" t="s">
        <v>8</v>
      </c>
      <c r="D5" s="5" t="s">
        <v>13</v>
      </c>
      <c r="E5" s="6" t="s">
        <v>14</v>
      </c>
    </row>
    <row r="6">
      <c r="A6" s="10" t="s">
        <v>1</v>
      </c>
      <c r="B6" s="3" t="s">
        <v>2</v>
      </c>
      <c r="C6" s="4" t="s">
        <v>8</v>
      </c>
      <c r="D6" s="5" t="s">
        <v>15</v>
      </c>
      <c r="E6" s="6" t="s">
        <v>16</v>
      </c>
    </row>
    <row r="7">
      <c r="A7" s="10" t="s">
        <v>1</v>
      </c>
      <c r="B7" s="3" t="s">
        <v>2</v>
      </c>
      <c r="C7" s="4" t="s">
        <v>8</v>
      </c>
      <c r="D7" s="5" t="s">
        <v>17</v>
      </c>
      <c r="E7" s="6" t="s">
        <v>18</v>
      </c>
    </row>
    <row r="8">
      <c r="A8" s="10" t="s">
        <v>1</v>
      </c>
      <c r="B8" s="3" t="s">
        <v>2</v>
      </c>
      <c r="C8" s="4" t="s">
        <v>8</v>
      </c>
      <c r="D8" s="5" t="s">
        <v>19</v>
      </c>
      <c r="E8" s="6" t="s">
        <v>20</v>
      </c>
    </row>
    <row r="9" hidden="1">
      <c r="A9" s="10" t="s">
        <v>1</v>
      </c>
      <c r="B9" s="3" t="s">
        <v>2</v>
      </c>
      <c r="C9" s="4" t="s">
        <v>3</v>
      </c>
      <c r="D9" s="5" t="s">
        <v>21</v>
      </c>
      <c r="E9" s="6" t="s">
        <v>22</v>
      </c>
    </row>
    <row r="10">
      <c r="A10" s="10" t="s">
        <v>1</v>
      </c>
      <c r="B10" s="3" t="s">
        <v>2</v>
      </c>
      <c r="C10" s="4" t="s">
        <v>8</v>
      </c>
      <c r="D10" s="5" t="s">
        <v>23</v>
      </c>
      <c r="E10" s="6" t="s">
        <v>24</v>
      </c>
    </row>
    <row r="11">
      <c r="A11" s="10" t="s">
        <v>1</v>
      </c>
      <c r="B11" s="3" t="s">
        <v>2</v>
      </c>
      <c r="C11" s="4" t="s">
        <v>8</v>
      </c>
      <c r="D11" s="5" t="s">
        <v>4</v>
      </c>
      <c r="E11" s="6" t="s">
        <v>25</v>
      </c>
    </row>
    <row r="12">
      <c r="A12" s="10" t="s">
        <v>1</v>
      </c>
      <c r="B12" s="3" t="s">
        <v>2</v>
      </c>
      <c r="C12" s="4" t="s">
        <v>8</v>
      </c>
      <c r="D12" s="5" t="s">
        <v>19</v>
      </c>
      <c r="E12" s="6" t="s">
        <v>26</v>
      </c>
    </row>
    <row r="13">
      <c r="A13" s="10" t="s">
        <v>1</v>
      </c>
      <c r="B13" s="3" t="s">
        <v>2</v>
      </c>
      <c r="C13" s="4" t="s">
        <v>8</v>
      </c>
      <c r="D13" s="5" t="s">
        <v>21</v>
      </c>
      <c r="E13" s="6" t="s">
        <v>27</v>
      </c>
    </row>
    <row r="14" hidden="1">
      <c r="A14" s="10" t="s">
        <v>1</v>
      </c>
      <c r="B14" s="3" t="s">
        <v>2</v>
      </c>
      <c r="C14" s="4" t="s">
        <v>3</v>
      </c>
      <c r="D14" s="5" t="s">
        <v>28</v>
      </c>
      <c r="E14" s="6" t="s">
        <v>29</v>
      </c>
    </row>
    <row r="15" hidden="1">
      <c r="A15" s="10" t="s">
        <v>1</v>
      </c>
      <c r="B15" s="3" t="s">
        <v>2</v>
      </c>
      <c r="C15" s="4" t="s">
        <v>3</v>
      </c>
      <c r="D15" s="5" t="s">
        <v>9</v>
      </c>
      <c r="E15" s="6" t="s">
        <v>30</v>
      </c>
    </row>
    <row r="16" hidden="1">
      <c r="A16" s="10" t="s">
        <v>1</v>
      </c>
      <c r="B16" s="3" t="s">
        <v>2</v>
      </c>
      <c r="C16" s="4" t="s">
        <v>3</v>
      </c>
      <c r="D16" s="5" t="s">
        <v>11</v>
      </c>
      <c r="E16" s="6" t="s">
        <v>31</v>
      </c>
    </row>
    <row r="17" hidden="1">
      <c r="A17" s="10" t="s">
        <v>1</v>
      </c>
      <c r="B17" s="3" t="s">
        <v>2</v>
      </c>
      <c r="C17" s="4" t="s">
        <v>3</v>
      </c>
      <c r="D17" s="5" t="s">
        <v>9</v>
      </c>
      <c r="E17" s="6" t="s">
        <v>32</v>
      </c>
    </row>
    <row r="18">
      <c r="A18" s="10" t="s">
        <v>1</v>
      </c>
      <c r="B18" s="3" t="s">
        <v>2</v>
      </c>
      <c r="C18" s="4" t="s">
        <v>8</v>
      </c>
      <c r="D18" s="5" t="s">
        <v>19</v>
      </c>
      <c r="E18" s="6" t="s">
        <v>33</v>
      </c>
    </row>
    <row r="19" hidden="1">
      <c r="A19" s="10" t="s">
        <v>1</v>
      </c>
      <c r="B19" s="3" t="s">
        <v>2</v>
      </c>
      <c r="C19" s="4" t="s">
        <v>3</v>
      </c>
      <c r="D19" s="5" t="s">
        <v>11</v>
      </c>
      <c r="E19" s="6" t="s">
        <v>34</v>
      </c>
    </row>
    <row r="20" hidden="1">
      <c r="A20" s="10" t="s">
        <v>1</v>
      </c>
      <c r="B20" s="3" t="s">
        <v>2</v>
      </c>
      <c r="C20" s="4" t="s">
        <v>3</v>
      </c>
      <c r="D20" s="5" t="s">
        <v>35</v>
      </c>
      <c r="E20" s="6" t="s">
        <v>36</v>
      </c>
    </row>
    <row r="21">
      <c r="A21" s="10" t="s">
        <v>37</v>
      </c>
      <c r="B21" s="3" t="s">
        <v>38</v>
      </c>
      <c r="C21" s="4" t="s">
        <v>8</v>
      </c>
      <c r="D21" s="5" t="s">
        <v>39</v>
      </c>
      <c r="E21" s="6" t="s">
        <v>40</v>
      </c>
    </row>
    <row r="22">
      <c r="A22" s="10" t="s">
        <v>37</v>
      </c>
      <c r="B22" s="3" t="s">
        <v>38</v>
      </c>
      <c r="C22" s="4" t="s">
        <v>8</v>
      </c>
      <c r="D22" s="5" t="s">
        <v>9</v>
      </c>
      <c r="E22" s="6" t="s">
        <v>41</v>
      </c>
    </row>
    <row r="23">
      <c r="A23" s="10" t="s">
        <v>37</v>
      </c>
      <c r="B23" s="3" t="s">
        <v>38</v>
      </c>
      <c r="C23" s="4" t="s">
        <v>8</v>
      </c>
      <c r="D23" s="5" t="s">
        <v>42</v>
      </c>
      <c r="E23" s="6" t="s">
        <v>43</v>
      </c>
    </row>
    <row r="24" hidden="1">
      <c r="A24" s="10" t="s">
        <v>37</v>
      </c>
      <c r="B24" s="3" t="s">
        <v>38</v>
      </c>
      <c r="C24" s="4" t="s">
        <v>3</v>
      </c>
      <c r="D24" s="5" t="s">
        <v>35</v>
      </c>
      <c r="E24" s="6" t="s">
        <v>44</v>
      </c>
    </row>
    <row r="25">
      <c r="A25" s="10" t="s">
        <v>37</v>
      </c>
      <c r="B25" s="3" t="s">
        <v>38</v>
      </c>
      <c r="C25" s="4" t="s">
        <v>8</v>
      </c>
      <c r="D25" s="5" t="s">
        <v>45</v>
      </c>
      <c r="E25" s="6" t="s">
        <v>46</v>
      </c>
    </row>
    <row r="26">
      <c r="A26" s="10" t="s">
        <v>37</v>
      </c>
      <c r="B26" s="3" t="s">
        <v>38</v>
      </c>
      <c r="C26" s="4" t="s">
        <v>8</v>
      </c>
      <c r="D26" s="5" t="s">
        <v>42</v>
      </c>
      <c r="E26" s="6" t="s">
        <v>47</v>
      </c>
    </row>
    <row r="27">
      <c r="A27" s="10" t="s">
        <v>37</v>
      </c>
      <c r="B27" s="3" t="s">
        <v>38</v>
      </c>
      <c r="C27" s="4" t="s">
        <v>8</v>
      </c>
      <c r="D27" s="5" t="s">
        <v>23</v>
      </c>
      <c r="E27" s="6" t="s">
        <v>48</v>
      </c>
    </row>
    <row r="28" hidden="1">
      <c r="A28" s="10" t="s">
        <v>37</v>
      </c>
      <c r="B28" s="3" t="s">
        <v>38</v>
      </c>
      <c r="C28" s="4" t="s">
        <v>3</v>
      </c>
      <c r="D28" s="5" t="s">
        <v>6</v>
      </c>
      <c r="E28" s="6" t="s">
        <v>49</v>
      </c>
    </row>
    <row r="29" hidden="1">
      <c r="A29" s="10" t="s">
        <v>37</v>
      </c>
      <c r="B29" s="3" t="s">
        <v>38</v>
      </c>
      <c r="C29" s="4" t="s">
        <v>3</v>
      </c>
      <c r="D29" s="5" t="s">
        <v>35</v>
      </c>
      <c r="E29" s="6" t="s">
        <v>50</v>
      </c>
    </row>
    <row r="30" hidden="1">
      <c r="A30" s="10" t="s">
        <v>37</v>
      </c>
      <c r="B30" s="3" t="s">
        <v>38</v>
      </c>
      <c r="C30" s="4" t="s">
        <v>3</v>
      </c>
      <c r="D30" s="5" t="s">
        <v>51</v>
      </c>
      <c r="E30" s="6" t="s">
        <v>52</v>
      </c>
    </row>
    <row r="31" hidden="1">
      <c r="A31" s="10" t="s">
        <v>37</v>
      </c>
      <c r="B31" s="3" t="s">
        <v>38</v>
      </c>
      <c r="C31" s="4" t="s">
        <v>3</v>
      </c>
      <c r="D31" s="5" t="s">
        <v>45</v>
      </c>
      <c r="E31" s="6" t="s">
        <v>53</v>
      </c>
    </row>
    <row r="32" hidden="1">
      <c r="A32" s="10" t="s">
        <v>37</v>
      </c>
      <c r="B32" s="3" t="s">
        <v>38</v>
      </c>
      <c r="C32" s="4" t="s">
        <v>3</v>
      </c>
      <c r="D32" s="5" t="s">
        <v>51</v>
      </c>
      <c r="E32" s="6" t="s">
        <v>54</v>
      </c>
    </row>
    <row r="33" hidden="1">
      <c r="A33" s="10" t="s">
        <v>37</v>
      </c>
      <c r="B33" s="3" t="s">
        <v>38</v>
      </c>
      <c r="C33" s="4" t="s">
        <v>3</v>
      </c>
      <c r="D33" s="5" t="s">
        <v>11</v>
      </c>
      <c r="E33" s="6" t="s">
        <v>55</v>
      </c>
    </row>
    <row r="34">
      <c r="A34" s="10" t="s">
        <v>37</v>
      </c>
      <c r="B34" s="3" t="s">
        <v>38</v>
      </c>
      <c r="C34" s="4" t="s">
        <v>8</v>
      </c>
      <c r="D34" s="5" t="s">
        <v>23</v>
      </c>
      <c r="E34" s="6" t="s">
        <v>56</v>
      </c>
    </row>
    <row r="35" hidden="1">
      <c r="A35" s="10" t="s">
        <v>37</v>
      </c>
      <c r="B35" s="3" t="s">
        <v>38</v>
      </c>
      <c r="C35" s="4" t="s">
        <v>3</v>
      </c>
      <c r="D35" s="5" t="s">
        <v>4</v>
      </c>
      <c r="E35" s="6" t="s">
        <v>57</v>
      </c>
    </row>
    <row r="36">
      <c r="A36" s="10" t="s">
        <v>37</v>
      </c>
      <c r="B36" s="3" t="s">
        <v>38</v>
      </c>
      <c r="C36" s="4" t="s">
        <v>8</v>
      </c>
      <c r="D36" s="5" t="s">
        <v>15</v>
      </c>
      <c r="E36" s="6" t="s">
        <v>58</v>
      </c>
    </row>
    <row r="37">
      <c r="A37" s="10" t="s">
        <v>37</v>
      </c>
      <c r="B37" s="3" t="s">
        <v>38</v>
      </c>
      <c r="C37" s="4" t="s">
        <v>8</v>
      </c>
      <c r="D37" s="5" t="s">
        <v>39</v>
      </c>
      <c r="E37" s="6" t="s">
        <v>59</v>
      </c>
    </row>
    <row r="38">
      <c r="A38" s="10" t="s">
        <v>37</v>
      </c>
      <c r="B38" s="3" t="s">
        <v>38</v>
      </c>
      <c r="C38" s="4" t="s">
        <v>8</v>
      </c>
      <c r="D38" s="5" t="s">
        <v>45</v>
      </c>
      <c r="E38" s="6" t="s">
        <v>60</v>
      </c>
    </row>
    <row r="39">
      <c r="A39" s="10" t="s">
        <v>37</v>
      </c>
      <c r="B39" s="3" t="s">
        <v>38</v>
      </c>
      <c r="C39" s="4" t="s">
        <v>8</v>
      </c>
      <c r="D39" s="5" t="s">
        <v>21</v>
      </c>
      <c r="E39" s="6" t="s">
        <v>61</v>
      </c>
    </row>
    <row r="40" hidden="1">
      <c r="A40" s="10" t="s">
        <v>37</v>
      </c>
      <c r="B40" s="3" t="s">
        <v>38</v>
      </c>
      <c r="C40" s="4" t="s">
        <v>3</v>
      </c>
      <c r="D40" s="5" t="s">
        <v>35</v>
      </c>
      <c r="E40" s="6" t="s">
        <v>62</v>
      </c>
    </row>
    <row r="41">
      <c r="A41" s="10" t="s">
        <v>63</v>
      </c>
      <c r="B41" s="3" t="s">
        <v>64</v>
      </c>
      <c r="C41" s="4" t="s">
        <v>8</v>
      </c>
      <c r="D41" s="5" t="s">
        <v>17</v>
      </c>
      <c r="E41" s="6" t="s">
        <v>65</v>
      </c>
    </row>
    <row r="42" hidden="1">
      <c r="A42" s="10" t="s">
        <v>63</v>
      </c>
      <c r="B42" s="3" t="s">
        <v>64</v>
      </c>
      <c r="C42" s="4" t="s">
        <v>3</v>
      </c>
      <c r="D42" s="5" t="s">
        <v>13</v>
      </c>
      <c r="E42" s="6" t="s">
        <v>66</v>
      </c>
    </row>
    <row r="43" hidden="1">
      <c r="A43" s="10" t="s">
        <v>63</v>
      </c>
      <c r="B43" s="3" t="s">
        <v>64</v>
      </c>
      <c r="C43" s="4" t="s">
        <v>3</v>
      </c>
      <c r="D43" s="5" t="s">
        <v>23</v>
      </c>
      <c r="E43" s="6" t="s">
        <v>67</v>
      </c>
    </row>
    <row r="44">
      <c r="A44" s="10" t="s">
        <v>63</v>
      </c>
      <c r="B44" s="3" t="s">
        <v>64</v>
      </c>
      <c r="C44" s="4" t="s">
        <v>8</v>
      </c>
      <c r="D44" s="5" t="s">
        <v>19</v>
      </c>
      <c r="E44" s="6" t="s">
        <v>68</v>
      </c>
    </row>
    <row r="45">
      <c r="A45" s="10" t="s">
        <v>63</v>
      </c>
      <c r="B45" s="3" t="s">
        <v>64</v>
      </c>
      <c r="C45" s="4" t="s">
        <v>8</v>
      </c>
      <c r="D45" s="5" t="s">
        <v>23</v>
      </c>
      <c r="E45" s="6" t="s">
        <v>69</v>
      </c>
    </row>
    <row r="46">
      <c r="A46" s="10" t="s">
        <v>63</v>
      </c>
      <c r="B46" s="3" t="s">
        <v>64</v>
      </c>
      <c r="C46" s="4" t="s">
        <v>8</v>
      </c>
      <c r="D46" s="5" t="s">
        <v>9</v>
      </c>
      <c r="E46" s="6" t="s">
        <v>70</v>
      </c>
    </row>
    <row r="47">
      <c r="A47" s="10" t="s">
        <v>63</v>
      </c>
      <c r="B47" s="3" t="s">
        <v>64</v>
      </c>
      <c r="C47" s="4" t="s">
        <v>8</v>
      </c>
      <c r="D47" s="5" t="s">
        <v>71</v>
      </c>
      <c r="E47" s="6" t="s">
        <v>72</v>
      </c>
    </row>
    <row r="48">
      <c r="A48" s="10" t="s">
        <v>63</v>
      </c>
      <c r="B48" s="3" t="s">
        <v>64</v>
      </c>
      <c r="C48" s="4" t="s">
        <v>8</v>
      </c>
      <c r="D48" s="5" t="s">
        <v>19</v>
      </c>
      <c r="E48" s="6" t="s">
        <v>73</v>
      </c>
    </row>
    <row r="49" hidden="1">
      <c r="A49" s="10" t="s">
        <v>63</v>
      </c>
      <c r="B49" s="3" t="s">
        <v>64</v>
      </c>
      <c r="C49" s="4" t="s">
        <v>3</v>
      </c>
      <c r="D49" s="5" t="s">
        <v>23</v>
      </c>
      <c r="E49" s="6" t="s">
        <v>74</v>
      </c>
    </row>
    <row r="50" hidden="1">
      <c r="A50" s="10" t="s">
        <v>63</v>
      </c>
      <c r="B50" s="3" t="s">
        <v>64</v>
      </c>
      <c r="C50" s="4" t="s">
        <v>3</v>
      </c>
      <c r="D50" s="5" t="s">
        <v>4</v>
      </c>
      <c r="E50" s="6" t="s">
        <v>75</v>
      </c>
    </row>
    <row r="51">
      <c r="A51" s="10" t="s">
        <v>63</v>
      </c>
      <c r="B51" s="3" t="s">
        <v>64</v>
      </c>
      <c r="C51" s="4" t="s">
        <v>8</v>
      </c>
      <c r="D51" s="5" t="s">
        <v>76</v>
      </c>
      <c r="E51" s="6" t="s">
        <v>77</v>
      </c>
    </row>
    <row r="52">
      <c r="A52" s="10" t="s">
        <v>63</v>
      </c>
      <c r="B52" s="3" t="s">
        <v>64</v>
      </c>
      <c r="C52" s="4" t="s">
        <v>8</v>
      </c>
      <c r="D52" s="5" t="s">
        <v>11</v>
      </c>
      <c r="E52" s="6" t="s">
        <v>78</v>
      </c>
    </row>
    <row r="53" hidden="1">
      <c r="A53" s="10" t="s">
        <v>63</v>
      </c>
      <c r="B53" s="3" t="s">
        <v>64</v>
      </c>
      <c r="C53" s="4" t="s">
        <v>3</v>
      </c>
      <c r="D53" s="5" t="s">
        <v>4</v>
      </c>
      <c r="E53" s="6" t="s">
        <v>79</v>
      </c>
    </row>
    <row r="54" hidden="1">
      <c r="A54" s="10" t="s">
        <v>63</v>
      </c>
      <c r="B54" s="3" t="s">
        <v>64</v>
      </c>
      <c r="C54" s="4" t="s">
        <v>3</v>
      </c>
      <c r="D54" s="5" t="s">
        <v>35</v>
      </c>
      <c r="E54" s="6" t="s">
        <v>80</v>
      </c>
    </row>
    <row r="55">
      <c r="A55" s="10" t="s">
        <v>63</v>
      </c>
      <c r="B55" s="3" t="s">
        <v>64</v>
      </c>
      <c r="C55" s="4" t="s">
        <v>8</v>
      </c>
      <c r="D55" s="5" t="s">
        <v>11</v>
      </c>
      <c r="E55" s="6" t="s">
        <v>81</v>
      </c>
    </row>
    <row r="56" hidden="1">
      <c r="A56" s="10" t="s">
        <v>63</v>
      </c>
      <c r="B56" s="3" t="s">
        <v>64</v>
      </c>
      <c r="C56" s="4" t="s">
        <v>3</v>
      </c>
      <c r="D56" s="5" t="s">
        <v>23</v>
      </c>
      <c r="E56" s="6" t="s">
        <v>82</v>
      </c>
    </row>
    <row r="57" hidden="1">
      <c r="A57" s="10" t="s">
        <v>63</v>
      </c>
      <c r="B57" s="3" t="s">
        <v>64</v>
      </c>
      <c r="C57" s="4" t="s">
        <v>3</v>
      </c>
      <c r="D57" s="5" t="s">
        <v>35</v>
      </c>
      <c r="E57" s="6" t="s">
        <v>83</v>
      </c>
    </row>
    <row r="58" hidden="1">
      <c r="A58" s="10" t="s">
        <v>63</v>
      </c>
      <c r="B58" s="3" t="s">
        <v>64</v>
      </c>
      <c r="C58" s="4" t="s">
        <v>3</v>
      </c>
      <c r="D58" s="5" t="s">
        <v>39</v>
      </c>
      <c r="E58" s="6" t="s">
        <v>84</v>
      </c>
    </row>
    <row r="59" hidden="1">
      <c r="A59" s="10" t="s">
        <v>63</v>
      </c>
      <c r="B59" s="3" t="s">
        <v>64</v>
      </c>
      <c r="C59" s="4" t="s">
        <v>3</v>
      </c>
      <c r="D59" s="5" t="s">
        <v>71</v>
      </c>
      <c r="E59" s="6" t="s">
        <v>85</v>
      </c>
    </row>
    <row r="60">
      <c r="A60" s="10" t="s">
        <v>63</v>
      </c>
      <c r="B60" s="3" t="s">
        <v>64</v>
      </c>
      <c r="C60" s="4" t="s">
        <v>8</v>
      </c>
      <c r="D60" s="5" t="s">
        <v>9</v>
      </c>
      <c r="E60" s="6" t="s">
        <v>86</v>
      </c>
    </row>
    <row r="61">
      <c r="A61" s="10" t="s">
        <v>87</v>
      </c>
      <c r="B61" s="3" t="s">
        <v>88</v>
      </c>
      <c r="C61" s="4" t="s">
        <v>8</v>
      </c>
      <c r="D61" s="5" t="s">
        <v>39</v>
      </c>
      <c r="E61" s="6" t="s">
        <v>89</v>
      </c>
    </row>
    <row r="62">
      <c r="A62" s="10" t="s">
        <v>87</v>
      </c>
      <c r="B62" s="3" t="s">
        <v>88</v>
      </c>
      <c r="C62" s="4" t="s">
        <v>8</v>
      </c>
      <c r="D62" s="5" t="s">
        <v>35</v>
      </c>
      <c r="E62" s="6" t="s">
        <v>90</v>
      </c>
    </row>
    <row r="63">
      <c r="A63" s="10" t="s">
        <v>87</v>
      </c>
      <c r="B63" s="3" t="s">
        <v>88</v>
      </c>
      <c r="C63" s="4" t="s">
        <v>8</v>
      </c>
      <c r="D63" s="5" t="s">
        <v>19</v>
      </c>
      <c r="E63" s="6" t="s">
        <v>91</v>
      </c>
    </row>
    <row r="64">
      <c r="A64" s="10" t="s">
        <v>87</v>
      </c>
      <c r="B64" s="3" t="s">
        <v>88</v>
      </c>
      <c r="C64" s="4" t="s">
        <v>8</v>
      </c>
      <c r="D64" s="5" t="s">
        <v>4</v>
      </c>
      <c r="E64" s="6" t="s">
        <v>92</v>
      </c>
    </row>
    <row r="65" hidden="1">
      <c r="A65" s="10" t="s">
        <v>87</v>
      </c>
      <c r="B65" s="3" t="s">
        <v>88</v>
      </c>
      <c r="C65" s="4" t="s">
        <v>3</v>
      </c>
      <c r="D65" s="5" t="s">
        <v>19</v>
      </c>
      <c r="E65" s="6" t="s">
        <v>93</v>
      </c>
    </row>
    <row r="66" hidden="1">
      <c r="A66" s="10" t="s">
        <v>87</v>
      </c>
      <c r="B66" s="3" t="s">
        <v>88</v>
      </c>
      <c r="C66" s="4" t="s">
        <v>3</v>
      </c>
      <c r="D66" s="5" t="s">
        <v>51</v>
      </c>
      <c r="E66" s="6" t="s">
        <v>94</v>
      </c>
    </row>
    <row r="67">
      <c r="A67" s="10" t="s">
        <v>87</v>
      </c>
      <c r="B67" s="3" t="s">
        <v>88</v>
      </c>
      <c r="C67" s="4" t="s">
        <v>8</v>
      </c>
      <c r="D67" s="5" t="s">
        <v>35</v>
      </c>
      <c r="E67" s="6" t="s">
        <v>95</v>
      </c>
    </row>
    <row r="68" hidden="1">
      <c r="A68" s="10" t="s">
        <v>87</v>
      </c>
      <c r="B68" s="3" t="s">
        <v>88</v>
      </c>
      <c r="C68" s="4" t="s">
        <v>3</v>
      </c>
      <c r="D68" s="5" t="s">
        <v>96</v>
      </c>
      <c r="E68" s="6" t="s">
        <v>97</v>
      </c>
    </row>
    <row r="69">
      <c r="A69" s="10" t="s">
        <v>87</v>
      </c>
      <c r="B69" s="3" t="s">
        <v>88</v>
      </c>
      <c r="C69" s="4" t="s">
        <v>8</v>
      </c>
      <c r="D69" s="5" t="s">
        <v>76</v>
      </c>
      <c r="E69" s="6" t="s">
        <v>98</v>
      </c>
    </row>
    <row r="70" hidden="1">
      <c r="A70" s="10" t="s">
        <v>87</v>
      </c>
      <c r="B70" s="3" t="s">
        <v>88</v>
      </c>
      <c r="C70" s="4" t="s">
        <v>3</v>
      </c>
      <c r="D70" s="5" t="s">
        <v>23</v>
      </c>
      <c r="E70" s="6" t="s">
        <v>99</v>
      </c>
    </row>
    <row r="71">
      <c r="A71" s="10" t="s">
        <v>87</v>
      </c>
      <c r="B71" s="3" t="s">
        <v>88</v>
      </c>
      <c r="C71" s="4" t="s">
        <v>8</v>
      </c>
      <c r="D71" s="5" t="s">
        <v>71</v>
      </c>
      <c r="E71" s="6" t="s">
        <v>100</v>
      </c>
    </row>
    <row r="72" hidden="1">
      <c r="A72" s="10" t="s">
        <v>87</v>
      </c>
      <c r="B72" s="3" t="s">
        <v>88</v>
      </c>
      <c r="C72" s="4" t="s">
        <v>3</v>
      </c>
      <c r="D72" s="5" t="s">
        <v>76</v>
      </c>
      <c r="E72" s="6" t="s">
        <v>101</v>
      </c>
    </row>
    <row r="73">
      <c r="A73" s="10" t="s">
        <v>87</v>
      </c>
      <c r="B73" s="3" t="s">
        <v>88</v>
      </c>
      <c r="C73" s="4" t="s">
        <v>8</v>
      </c>
      <c r="D73" s="5" t="s">
        <v>11</v>
      </c>
      <c r="E73" s="6" t="s">
        <v>102</v>
      </c>
    </row>
    <row r="74" hidden="1">
      <c r="A74" s="10" t="s">
        <v>87</v>
      </c>
      <c r="B74" s="3" t="s">
        <v>88</v>
      </c>
      <c r="C74" s="4" t="s">
        <v>3</v>
      </c>
      <c r="D74" s="5" t="s">
        <v>51</v>
      </c>
      <c r="E74" s="6" t="s">
        <v>103</v>
      </c>
    </row>
    <row r="75" hidden="1">
      <c r="A75" s="10" t="s">
        <v>87</v>
      </c>
      <c r="B75" s="3" t="s">
        <v>88</v>
      </c>
      <c r="C75" s="4" t="s">
        <v>3</v>
      </c>
      <c r="D75" s="5" t="s">
        <v>17</v>
      </c>
      <c r="E75" s="6" t="s">
        <v>104</v>
      </c>
    </row>
    <row r="76">
      <c r="A76" s="10" t="s">
        <v>87</v>
      </c>
      <c r="B76" s="3" t="s">
        <v>88</v>
      </c>
      <c r="C76" s="4" t="s">
        <v>8</v>
      </c>
      <c r="D76" s="5" t="s">
        <v>42</v>
      </c>
      <c r="E76" s="6" t="s">
        <v>105</v>
      </c>
    </row>
    <row r="77" hidden="1">
      <c r="A77" s="10" t="s">
        <v>87</v>
      </c>
      <c r="B77" s="3" t="s">
        <v>88</v>
      </c>
      <c r="C77" s="4" t="s">
        <v>3</v>
      </c>
      <c r="D77" s="5" t="s">
        <v>15</v>
      </c>
      <c r="E77" s="6" t="s">
        <v>106</v>
      </c>
    </row>
    <row r="78">
      <c r="A78" s="10" t="s">
        <v>87</v>
      </c>
      <c r="B78" s="3" t="s">
        <v>88</v>
      </c>
      <c r="C78" s="4" t="s">
        <v>8</v>
      </c>
      <c r="D78" s="5" t="s">
        <v>9</v>
      </c>
      <c r="E78" s="6" t="s">
        <v>107</v>
      </c>
    </row>
    <row r="79" hidden="1">
      <c r="A79" s="10" t="s">
        <v>87</v>
      </c>
      <c r="B79" s="3" t="s">
        <v>88</v>
      </c>
      <c r="C79" s="4" t="s">
        <v>3</v>
      </c>
      <c r="D79" s="5" t="s">
        <v>21</v>
      </c>
      <c r="E79" s="6" t="s">
        <v>108</v>
      </c>
    </row>
    <row r="80" hidden="1">
      <c r="A80" s="10" t="s">
        <v>87</v>
      </c>
      <c r="B80" s="3" t="s">
        <v>88</v>
      </c>
      <c r="C80" s="4" t="s">
        <v>3</v>
      </c>
      <c r="D80" s="5" t="s">
        <v>71</v>
      </c>
      <c r="E80" s="6" t="s">
        <v>109</v>
      </c>
    </row>
    <row r="81">
      <c r="A81" s="10" t="s">
        <v>110</v>
      </c>
      <c r="B81" s="3" t="s">
        <v>111</v>
      </c>
      <c r="C81" s="4" t="s">
        <v>8</v>
      </c>
      <c r="D81" s="5" t="s">
        <v>45</v>
      </c>
      <c r="E81" s="6" t="s">
        <v>112</v>
      </c>
    </row>
    <row r="82">
      <c r="A82" s="10" t="s">
        <v>110</v>
      </c>
      <c r="B82" s="3" t="s">
        <v>111</v>
      </c>
      <c r="C82" s="4" t="s">
        <v>8</v>
      </c>
      <c r="D82" s="5" t="s">
        <v>9</v>
      </c>
      <c r="E82" s="6" t="s">
        <v>113</v>
      </c>
    </row>
    <row r="83">
      <c r="A83" s="10" t="s">
        <v>110</v>
      </c>
      <c r="B83" s="3" t="s">
        <v>111</v>
      </c>
      <c r="C83" s="4" t="s">
        <v>8</v>
      </c>
      <c r="D83" s="5" t="s">
        <v>51</v>
      </c>
      <c r="E83" s="6" t="s">
        <v>114</v>
      </c>
    </row>
    <row r="84" hidden="1">
      <c r="A84" s="10" t="s">
        <v>110</v>
      </c>
      <c r="B84" s="3" t="s">
        <v>111</v>
      </c>
      <c r="C84" s="4" t="s">
        <v>3</v>
      </c>
      <c r="D84" s="5" t="s">
        <v>11</v>
      </c>
      <c r="E84" s="6" t="s">
        <v>115</v>
      </c>
    </row>
    <row r="85">
      <c r="A85" s="10" t="s">
        <v>110</v>
      </c>
      <c r="B85" s="3" t="s">
        <v>111</v>
      </c>
      <c r="C85" s="4" t="s">
        <v>8</v>
      </c>
      <c r="D85" s="5" t="s">
        <v>23</v>
      </c>
      <c r="E85" s="6" t="s">
        <v>116</v>
      </c>
    </row>
    <row r="86">
      <c r="A86" s="10" t="s">
        <v>110</v>
      </c>
      <c r="B86" s="3" t="s">
        <v>111</v>
      </c>
      <c r="C86" s="4" t="s">
        <v>8</v>
      </c>
      <c r="D86" s="5" t="s">
        <v>9</v>
      </c>
      <c r="E86" s="6" t="s">
        <v>117</v>
      </c>
    </row>
    <row r="87">
      <c r="A87" s="10" t="s">
        <v>110</v>
      </c>
      <c r="B87" s="3" t="s">
        <v>111</v>
      </c>
      <c r="C87" s="4" t="s">
        <v>8</v>
      </c>
      <c r="D87" s="5" t="s">
        <v>39</v>
      </c>
      <c r="E87" s="6" t="s">
        <v>118</v>
      </c>
    </row>
    <row r="88">
      <c r="A88" s="10" t="s">
        <v>110</v>
      </c>
      <c r="B88" s="3" t="s">
        <v>111</v>
      </c>
      <c r="C88" s="4" t="s">
        <v>8</v>
      </c>
      <c r="D88" s="5" t="s">
        <v>39</v>
      </c>
      <c r="E88" s="6" t="s">
        <v>119</v>
      </c>
    </row>
    <row r="89" hidden="1">
      <c r="A89" s="10" t="s">
        <v>110</v>
      </c>
      <c r="B89" s="3" t="s">
        <v>111</v>
      </c>
      <c r="C89" s="4" t="s">
        <v>3</v>
      </c>
      <c r="D89" s="5" t="s">
        <v>120</v>
      </c>
      <c r="E89" s="6" t="s">
        <v>121</v>
      </c>
    </row>
    <row r="90">
      <c r="A90" s="10" t="s">
        <v>110</v>
      </c>
      <c r="B90" s="3" t="s">
        <v>111</v>
      </c>
      <c r="C90" s="4" t="s">
        <v>8</v>
      </c>
      <c r="D90" s="5" t="s">
        <v>13</v>
      </c>
      <c r="E90" s="6" t="s">
        <v>122</v>
      </c>
    </row>
    <row r="91">
      <c r="A91" s="10" t="s">
        <v>110</v>
      </c>
      <c r="B91" s="3" t="s">
        <v>111</v>
      </c>
      <c r="C91" s="4" t="s">
        <v>8</v>
      </c>
      <c r="D91" s="5" t="s">
        <v>71</v>
      </c>
      <c r="E91" s="6" t="s">
        <v>123</v>
      </c>
    </row>
    <row r="92" hidden="1">
      <c r="A92" s="10" t="s">
        <v>110</v>
      </c>
      <c r="B92" s="3" t="s">
        <v>111</v>
      </c>
      <c r="C92" s="4" t="s">
        <v>3</v>
      </c>
      <c r="D92" s="5" t="s">
        <v>13</v>
      </c>
      <c r="E92" s="6" t="s">
        <v>124</v>
      </c>
    </row>
    <row r="93" hidden="1">
      <c r="A93" s="10" t="s">
        <v>110</v>
      </c>
      <c r="B93" s="3" t="s">
        <v>111</v>
      </c>
      <c r="C93" s="4" t="s">
        <v>3</v>
      </c>
      <c r="D93" s="5" t="s">
        <v>96</v>
      </c>
      <c r="E93" s="6" t="s">
        <v>125</v>
      </c>
    </row>
    <row r="94" hidden="1">
      <c r="A94" s="10" t="s">
        <v>110</v>
      </c>
      <c r="B94" s="3" t="s">
        <v>111</v>
      </c>
      <c r="C94" s="4" t="s">
        <v>3</v>
      </c>
      <c r="D94" s="5" t="s">
        <v>6</v>
      </c>
      <c r="E94" s="6" t="s">
        <v>126</v>
      </c>
    </row>
    <row r="95">
      <c r="A95" s="10" t="s">
        <v>110</v>
      </c>
      <c r="B95" s="3" t="s">
        <v>111</v>
      </c>
      <c r="C95" s="4" t="s">
        <v>8</v>
      </c>
      <c r="D95" s="5" t="s">
        <v>76</v>
      </c>
      <c r="E95" s="6" t="s">
        <v>127</v>
      </c>
    </row>
    <row r="96" hidden="1">
      <c r="A96" s="10" t="s">
        <v>110</v>
      </c>
      <c r="B96" s="3" t="s">
        <v>111</v>
      </c>
      <c r="C96" s="4" t="s">
        <v>3</v>
      </c>
      <c r="D96" s="5" t="s">
        <v>28</v>
      </c>
      <c r="E96" s="6" t="s">
        <v>128</v>
      </c>
    </row>
    <row r="97" hidden="1">
      <c r="A97" s="10" t="s">
        <v>110</v>
      </c>
      <c r="B97" s="3" t="s">
        <v>111</v>
      </c>
      <c r="C97" s="4" t="s">
        <v>3</v>
      </c>
      <c r="D97" s="5" t="s">
        <v>11</v>
      </c>
      <c r="E97" s="6" t="s">
        <v>129</v>
      </c>
    </row>
    <row r="98">
      <c r="A98" s="10" t="s">
        <v>110</v>
      </c>
      <c r="B98" s="3" t="s">
        <v>111</v>
      </c>
      <c r="C98" s="4" t="s">
        <v>8</v>
      </c>
      <c r="D98" s="5" t="s">
        <v>96</v>
      </c>
      <c r="E98" s="6" t="s">
        <v>130</v>
      </c>
    </row>
    <row r="99" hidden="1">
      <c r="A99" s="10" t="s">
        <v>110</v>
      </c>
      <c r="B99" s="3" t="s">
        <v>111</v>
      </c>
      <c r="C99" s="4" t="s">
        <v>3</v>
      </c>
      <c r="D99" s="5" t="s">
        <v>21</v>
      </c>
      <c r="E99" s="6" t="s">
        <v>131</v>
      </c>
    </row>
    <row r="100">
      <c r="A100" s="10" t="s">
        <v>110</v>
      </c>
      <c r="B100" s="3" t="s">
        <v>111</v>
      </c>
      <c r="C100" s="4" t="s">
        <v>8</v>
      </c>
      <c r="D100" s="5" t="s">
        <v>42</v>
      </c>
      <c r="E100" s="6" t="s">
        <v>132</v>
      </c>
    </row>
    <row r="101" hidden="1">
      <c r="A101" s="10" t="s">
        <v>133</v>
      </c>
      <c r="B101" s="3" t="s">
        <v>134</v>
      </c>
      <c r="C101" s="4" t="s">
        <v>3</v>
      </c>
      <c r="D101" s="5" t="s">
        <v>96</v>
      </c>
      <c r="E101" s="6" t="s">
        <v>135</v>
      </c>
    </row>
    <row r="102" hidden="1">
      <c r="A102" s="10" t="s">
        <v>133</v>
      </c>
      <c r="B102" s="3" t="s">
        <v>134</v>
      </c>
      <c r="C102" s="4" t="s">
        <v>3</v>
      </c>
      <c r="D102" s="5" t="s">
        <v>13</v>
      </c>
      <c r="E102" s="6" t="s">
        <v>136</v>
      </c>
    </row>
    <row r="103" hidden="1">
      <c r="A103" s="10" t="s">
        <v>133</v>
      </c>
      <c r="B103" s="3" t="s">
        <v>134</v>
      </c>
      <c r="C103" s="4" t="s">
        <v>3</v>
      </c>
      <c r="D103" s="5" t="s">
        <v>11</v>
      </c>
      <c r="E103" s="6" t="s">
        <v>137</v>
      </c>
    </row>
    <row r="104">
      <c r="A104" s="10" t="s">
        <v>133</v>
      </c>
      <c r="B104" s="3" t="s">
        <v>134</v>
      </c>
      <c r="C104" s="4" t="s">
        <v>8</v>
      </c>
      <c r="D104" s="5" t="s">
        <v>35</v>
      </c>
      <c r="E104" s="6" t="s">
        <v>138</v>
      </c>
    </row>
    <row r="105" hidden="1">
      <c r="A105" s="10" t="s">
        <v>133</v>
      </c>
      <c r="B105" s="3" t="s">
        <v>134</v>
      </c>
      <c r="C105" s="4" t="s">
        <v>3</v>
      </c>
      <c r="D105" s="5" t="s">
        <v>23</v>
      </c>
      <c r="E105" s="6" t="s">
        <v>139</v>
      </c>
    </row>
    <row r="106" hidden="1">
      <c r="A106" s="10" t="s">
        <v>133</v>
      </c>
      <c r="B106" s="3" t="s">
        <v>134</v>
      </c>
      <c r="C106" s="4" t="s">
        <v>3</v>
      </c>
      <c r="D106" s="5" t="s">
        <v>120</v>
      </c>
      <c r="E106" s="6" t="s">
        <v>140</v>
      </c>
    </row>
    <row r="107">
      <c r="A107" s="10" t="s">
        <v>133</v>
      </c>
      <c r="B107" s="3" t="s">
        <v>134</v>
      </c>
      <c r="C107" s="4" t="s">
        <v>8</v>
      </c>
      <c r="D107" s="5" t="s">
        <v>23</v>
      </c>
      <c r="E107" s="6" t="s">
        <v>141</v>
      </c>
    </row>
    <row r="108">
      <c r="A108" s="10" t="s">
        <v>133</v>
      </c>
      <c r="B108" s="3" t="s">
        <v>134</v>
      </c>
      <c r="C108" s="4" t="s">
        <v>8</v>
      </c>
      <c r="D108" s="5" t="s">
        <v>45</v>
      </c>
      <c r="E108" s="6" t="s">
        <v>142</v>
      </c>
    </row>
    <row r="109">
      <c r="A109" s="10" t="s">
        <v>133</v>
      </c>
      <c r="B109" s="3" t="s">
        <v>134</v>
      </c>
      <c r="C109" s="4" t="s">
        <v>8</v>
      </c>
      <c r="D109" s="5" t="s">
        <v>120</v>
      </c>
      <c r="E109" s="6" t="s">
        <v>143</v>
      </c>
    </row>
    <row r="110" hidden="1">
      <c r="A110" s="10" t="s">
        <v>133</v>
      </c>
      <c r="B110" s="3" t="s">
        <v>134</v>
      </c>
      <c r="C110" s="4" t="s">
        <v>3</v>
      </c>
      <c r="D110" s="5" t="s">
        <v>71</v>
      </c>
      <c r="E110" s="6" t="s">
        <v>144</v>
      </c>
    </row>
    <row r="111">
      <c r="A111" s="10" t="s">
        <v>133</v>
      </c>
      <c r="B111" s="3" t="s">
        <v>134</v>
      </c>
      <c r="C111" s="4" t="s">
        <v>8</v>
      </c>
      <c r="D111" s="5" t="s">
        <v>39</v>
      </c>
      <c r="E111" s="6" t="s">
        <v>145</v>
      </c>
    </row>
    <row r="112">
      <c r="A112" s="10" t="s">
        <v>133</v>
      </c>
      <c r="B112" s="3" t="s">
        <v>134</v>
      </c>
      <c r="C112" s="4" t="s">
        <v>8</v>
      </c>
      <c r="D112" s="5" t="s">
        <v>35</v>
      </c>
      <c r="E112" s="6" t="s">
        <v>146</v>
      </c>
    </row>
    <row r="113">
      <c r="A113" s="10" t="s">
        <v>133</v>
      </c>
      <c r="B113" s="3" t="s">
        <v>134</v>
      </c>
      <c r="C113" s="4" t="s">
        <v>8</v>
      </c>
      <c r="D113" s="5" t="s">
        <v>6</v>
      </c>
      <c r="E113" s="6" t="s">
        <v>147</v>
      </c>
    </row>
    <row r="114">
      <c r="A114" s="10" t="s">
        <v>133</v>
      </c>
      <c r="B114" s="3" t="s">
        <v>134</v>
      </c>
      <c r="C114" s="4" t="s">
        <v>8</v>
      </c>
      <c r="D114" s="5" t="s">
        <v>120</v>
      </c>
      <c r="E114" s="6" t="s">
        <v>148</v>
      </c>
    </row>
    <row r="115">
      <c r="A115" s="10" t="s">
        <v>133</v>
      </c>
      <c r="B115" s="3" t="s">
        <v>134</v>
      </c>
      <c r="C115" s="4" t="s">
        <v>8</v>
      </c>
      <c r="D115" s="5" t="s">
        <v>13</v>
      </c>
      <c r="E115" s="6" t="s">
        <v>149</v>
      </c>
    </row>
    <row r="116">
      <c r="A116" s="10" t="s">
        <v>133</v>
      </c>
      <c r="B116" s="3" t="s">
        <v>134</v>
      </c>
      <c r="C116" s="4" t="s">
        <v>8</v>
      </c>
      <c r="D116" s="5" t="s">
        <v>96</v>
      </c>
      <c r="E116" s="6" t="s">
        <v>150</v>
      </c>
    </row>
    <row r="117">
      <c r="A117" s="10" t="s">
        <v>133</v>
      </c>
      <c r="B117" s="3" t="s">
        <v>134</v>
      </c>
      <c r="C117" s="4" t="s">
        <v>8</v>
      </c>
      <c r="D117" s="5" t="s">
        <v>39</v>
      </c>
      <c r="E117" s="6" t="s">
        <v>151</v>
      </c>
    </row>
    <row r="118" hidden="1">
      <c r="A118" s="10" t="s">
        <v>133</v>
      </c>
      <c r="B118" s="3" t="s">
        <v>134</v>
      </c>
      <c r="C118" s="4" t="s">
        <v>3</v>
      </c>
      <c r="D118" s="5" t="s">
        <v>42</v>
      </c>
      <c r="E118" s="6" t="s">
        <v>152</v>
      </c>
    </row>
    <row r="119" hidden="1">
      <c r="A119" s="10" t="s">
        <v>133</v>
      </c>
      <c r="B119" s="3" t="s">
        <v>134</v>
      </c>
      <c r="C119" s="4" t="s">
        <v>3</v>
      </c>
      <c r="D119" s="5" t="s">
        <v>39</v>
      </c>
      <c r="E119" s="6" t="s">
        <v>153</v>
      </c>
    </row>
    <row r="120" hidden="1">
      <c r="A120" s="10" t="s">
        <v>133</v>
      </c>
      <c r="B120" s="3" t="s">
        <v>134</v>
      </c>
      <c r="C120" s="4" t="s">
        <v>3</v>
      </c>
      <c r="D120" s="5" t="s">
        <v>76</v>
      </c>
      <c r="E120" s="6" t="s">
        <v>154</v>
      </c>
    </row>
    <row r="121" hidden="1">
      <c r="A121" s="10" t="s">
        <v>155</v>
      </c>
      <c r="B121" s="3" t="s">
        <v>156</v>
      </c>
      <c r="C121" s="4" t="s">
        <v>3</v>
      </c>
      <c r="D121" s="5" t="s">
        <v>23</v>
      </c>
      <c r="E121" s="6" t="s">
        <v>157</v>
      </c>
    </row>
    <row r="122">
      <c r="A122" s="10" t="s">
        <v>155</v>
      </c>
      <c r="B122" s="3" t="s">
        <v>156</v>
      </c>
      <c r="C122" s="4" t="s">
        <v>8</v>
      </c>
      <c r="D122" s="5" t="s">
        <v>76</v>
      </c>
      <c r="E122" s="6" t="s">
        <v>158</v>
      </c>
    </row>
    <row r="123">
      <c r="A123" s="10" t="s">
        <v>155</v>
      </c>
      <c r="B123" s="3" t="s">
        <v>156</v>
      </c>
      <c r="C123" s="4" t="s">
        <v>8</v>
      </c>
      <c r="D123" s="5" t="s">
        <v>39</v>
      </c>
      <c r="E123" s="6" t="s">
        <v>159</v>
      </c>
    </row>
    <row r="124" hidden="1">
      <c r="A124" s="10" t="s">
        <v>155</v>
      </c>
      <c r="B124" s="3" t="s">
        <v>156</v>
      </c>
      <c r="C124" s="4" t="s">
        <v>3</v>
      </c>
      <c r="D124" s="5" t="s">
        <v>96</v>
      </c>
      <c r="E124" s="6" t="s">
        <v>160</v>
      </c>
    </row>
    <row r="125">
      <c r="A125" s="10" t="s">
        <v>155</v>
      </c>
      <c r="B125" s="3" t="s">
        <v>156</v>
      </c>
      <c r="C125" s="4" t="s">
        <v>8</v>
      </c>
      <c r="D125" s="5" t="s">
        <v>19</v>
      </c>
      <c r="E125" s="6" t="s">
        <v>161</v>
      </c>
    </row>
    <row r="126">
      <c r="A126" s="10" t="s">
        <v>155</v>
      </c>
      <c r="B126" s="3" t="s">
        <v>156</v>
      </c>
      <c r="C126" s="4" t="s">
        <v>8</v>
      </c>
      <c r="D126" s="5" t="s">
        <v>51</v>
      </c>
      <c r="E126" s="6" t="s">
        <v>162</v>
      </c>
    </row>
    <row r="127">
      <c r="A127" s="10" t="s">
        <v>155</v>
      </c>
      <c r="B127" s="3" t="s">
        <v>156</v>
      </c>
      <c r="C127" s="4" t="s">
        <v>8</v>
      </c>
      <c r="D127" s="5" t="s">
        <v>45</v>
      </c>
      <c r="E127" s="6" t="s">
        <v>163</v>
      </c>
    </row>
    <row r="128">
      <c r="A128" s="10" t="s">
        <v>155</v>
      </c>
      <c r="B128" s="3" t="s">
        <v>156</v>
      </c>
      <c r="C128" s="4" t="s">
        <v>8</v>
      </c>
      <c r="D128" s="5" t="s">
        <v>23</v>
      </c>
      <c r="E128" s="6" t="s">
        <v>164</v>
      </c>
    </row>
    <row r="129" hidden="1">
      <c r="A129" s="10" t="s">
        <v>155</v>
      </c>
      <c r="B129" s="3" t="s">
        <v>156</v>
      </c>
      <c r="C129" s="4" t="s">
        <v>3</v>
      </c>
      <c r="D129" s="5" t="s">
        <v>71</v>
      </c>
      <c r="E129" s="6" t="s">
        <v>165</v>
      </c>
    </row>
    <row r="130">
      <c r="A130" s="10" t="s">
        <v>155</v>
      </c>
      <c r="B130" s="3" t="s">
        <v>156</v>
      </c>
      <c r="C130" s="4" t="s">
        <v>8</v>
      </c>
      <c r="D130" s="5" t="s">
        <v>23</v>
      </c>
      <c r="E130" s="6" t="s">
        <v>166</v>
      </c>
    </row>
    <row r="131">
      <c r="A131" s="10" t="s">
        <v>155</v>
      </c>
      <c r="B131" s="3" t="s">
        <v>156</v>
      </c>
      <c r="C131" s="4" t="s">
        <v>8</v>
      </c>
      <c r="D131" s="5" t="s">
        <v>13</v>
      </c>
      <c r="E131" s="6" t="s">
        <v>167</v>
      </c>
    </row>
    <row r="132">
      <c r="A132" s="10" t="s">
        <v>155</v>
      </c>
      <c r="B132" s="3" t="s">
        <v>156</v>
      </c>
      <c r="C132" s="4" t="s">
        <v>8</v>
      </c>
      <c r="D132" s="5" t="s">
        <v>4</v>
      </c>
      <c r="E132" s="6" t="s">
        <v>168</v>
      </c>
    </row>
    <row r="133" hidden="1">
      <c r="A133" s="10" t="s">
        <v>155</v>
      </c>
      <c r="B133" s="3" t="s">
        <v>156</v>
      </c>
      <c r="C133" s="4" t="s">
        <v>3</v>
      </c>
      <c r="D133" s="5" t="s">
        <v>76</v>
      </c>
      <c r="E133" s="6" t="s">
        <v>169</v>
      </c>
    </row>
    <row r="134" hidden="1">
      <c r="A134" s="10" t="s">
        <v>155</v>
      </c>
      <c r="B134" s="3" t="s">
        <v>156</v>
      </c>
      <c r="C134" s="4" t="s">
        <v>3</v>
      </c>
      <c r="D134" s="5" t="s">
        <v>96</v>
      </c>
      <c r="E134" s="6" t="s">
        <v>170</v>
      </c>
    </row>
    <row r="135">
      <c r="A135" s="10" t="s">
        <v>155</v>
      </c>
      <c r="B135" s="3" t="s">
        <v>156</v>
      </c>
      <c r="C135" s="4" t="s">
        <v>8</v>
      </c>
      <c r="D135" s="5" t="s">
        <v>23</v>
      </c>
      <c r="E135" s="6" t="s">
        <v>171</v>
      </c>
    </row>
    <row r="136">
      <c r="A136" s="10" t="s">
        <v>155</v>
      </c>
      <c r="B136" s="3" t="s">
        <v>156</v>
      </c>
      <c r="C136" s="4" t="s">
        <v>8</v>
      </c>
      <c r="D136" s="5" t="s">
        <v>71</v>
      </c>
      <c r="E136" s="6" t="s">
        <v>172</v>
      </c>
    </row>
    <row r="137" hidden="1">
      <c r="A137" s="10" t="s">
        <v>155</v>
      </c>
      <c r="B137" s="3" t="s">
        <v>156</v>
      </c>
      <c r="C137" s="4" t="s">
        <v>3</v>
      </c>
      <c r="D137" s="5" t="s">
        <v>21</v>
      </c>
      <c r="E137" s="6" t="s">
        <v>173</v>
      </c>
    </row>
    <row r="138">
      <c r="A138" s="10" t="s">
        <v>155</v>
      </c>
      <c r="B138" s="3" t="s">
        <v>156</v>
      </c>
      <c r="C138" s="4" t="s">
        <v>8</v>
      </c>
      <c r="D138" s="5" t="s">
        <v>39</v>
      </c>
      <c r="E138" s="6" t="s">
        <v>174</v>
      </c>
    </row>
    <row r="139">
      <c r="A139" s="10" t="s">
        <v>155</v>
      </c>
      <c r="B139" s="3" t="s">
        <v>156</v>
      </c>
      <c r="C139" s="4" t="s">
        <v>8</v>
      </c>
      <c r="D139" s="5" t="s">
        <v>76</v>
      </c>
      <c r="E139" s="6" t="s">
        <v>175</v>
      </c>
    </row>
    <row r="140">
      <c r="A140" s="10" t="s">
        <v>155</v>
      </c>
      <c r="B140" s="3" t="s">
        <v>156</v>
      </c>
      <c r="C140" s="4" t="s">
        <v>8</v>
      </c>
      <c r="D140" s="5" t="s">
        <v>28</v>
      </c>
      <c r="E140" s="6" t="s">
        <v>176</v>
      </c>
    </row>
    <row r="141">
      <c r="A141" s="10" t="s">
        <v>177</v>
      </c>
      <c r="B141" s="3" t="s">
        <v>178</v>
      </c>
      <c r="C141" s="4" t="s">
        <v>8</v>
      </c>
      <c r="D141" s="5" t="s">
        <v>28</v>
      </c>
      <c r="E141" s="6" t="s">
        <v>179</v>
      </c>
    </row>
    <row r="142" hidden="1">
      <c r="A142" s="10" t="s">
        <v>177</v>
      </c>
      <c r="B142" s="3" t="s">
        <v>178</v>
      </c>
      <c r="C142" s="4" t="s">
        <v>3</v>
      </c>
      <c r="D142" s="5" t="s">
        <v>35</v>
      </c>
      <c r="E142" s="6" t="s">
        <v>180</v>
      </c>
    </row>
    <row r="143" hidden="1">
      <c r="A143" s="10" t="s">
        <v>177</v>
      </c>
      <c r="B143" s="3" t="s">
        <v>178</v>
      </c>
      <c r="C143" s="4" t="s">
        <v>3</v>
      </c>
      <c r="D143" s="5" t="s">
        <v>51</v>
      </c>
      <c r="E143" s="6" t="s">
        <v>181</v>
      </c>
    </row>
    <row r="144" hidden="1">
      <c r="A144" s="10" t="s">
        <v>177</v>
      </c>
      <c r="B144" s="3" t="s">
        <v>178</v>
      </c>
      <c r="C144" s="4" t="s">
        <v>3</v>
      </c>
      <c r="D144" s="5" t="s">
        <v>4</v>
      </c>
      <c r="E144" s="6" t="s">
        <v>182</v>
      </c>
    </row>
    <row r="145" hidden="1">
      <c r="A145" s="10" t="s">
        <v>177</v>
      </c>
      <c r="B145" s="3" t="s">
        <v>178</v>
      </c>
      <c r="C145" s="4" t="s">
        <v>3</v>
      </c>
      <c r="D145" s="5" t="s">
        <v>45</v>
      </c>
      <c r="E145" s="6" t="s">
        <v>183</v>
      </c>
    </row>
    <row r="146">
      <c r="A146" s="10" t="s">
        <v>177</v>
      </c>
      <c r="B146" s="3" t="s">
        <v>178</v>
      </c>
      <c r="C146" s="4" t="s">
        <v>8</v>
      </c>
      <c r="D146" s="5" t="s">
        <v>9</v>
      </c>
      <c r="E146" s="6" t="s">
        <v>184</v>
      </c>
    </row>
    <row r="147">
      <c r="A147" s="10" t="s">
        <v>177</v>
      </c>
      <c r="B147" s="3" t="s">
        <v>178</v>
      </c>
      <c r="C147" s="4" t="s">
        <v>8</v>
      </c>
      <c r="D147" s="5" t="s">
        <v>11</v>
      </c>
      <c r="E147" s="6" t="s">
        <v>185</v>
      </c>
    </row>
    <row r="148">
      <c r="A148" s="10" t="s">
        <v>177</v>
      </c>
      <c r="B148" s="3" t="s">
        <v>178</v>
      </c>
      <c r="C148" s="4" t="s">
        <v>8</v>
      </c>
      <c r="D148" s="5" t="s">
        <v>28</v>
      </c>
      <c r="E148" s="6" t="s">
        <v>186</v>
      </c>
    </row>
    <row r="149">
      <c r="A149" s="10" t="s">
        <v>177</v>
      </c>
      <c r="B149" s="3" t="s">
        <v>178</v>
      </c>
      <c r="C149" s="4" t="s">
        <v>8</v>
      </c>
      <c r="D149" s="5" t="s">
        <v>21</v>
      </c>
      <c r="E149" s="6" t="s">
        <v>187</v>
      </c>
    </row>
    <row r="150" hidden="1">
      <c r="A150" s="10" t="s">
        <v>177</v>
      </c>
      <c r="B150" s="3" t="s">
        <v>178</v>
      </c>
      <c r="C150" s="4" t="s">
        <v>3</v>
      </c>
      <c r="D150" s="5" t="s">
        <v>42</v>
      </c>
      <c r="E150" s="6" t="s">
        <v>188</v>
      </c>
    </row>
    <row r="151" hidden="1">
      <c r="A151" s="10" t="s">
        <v>177</v>
      </c>
      <c r="B151" s="3" t="s">
        <v>178</v>
      </c>
      <c r="C151" s="4" t="s">
        <v>3</v>
      </c>
      <c r="D151" s="5" t="s">
        <v>39</v>
      </c>
      <c r="E151" s="6" t="s">
        <v>189</v>
      </c>
    </row>
    <row r="152" hidden="1">
      <c r="A152" s="10" t="s">
        <v>177</v>
      </c>
      <c r="B152" s="3" t="s">
        <v>178</v>
      </c>
      <c r="C152" s="4" t="s">
        <v>3</v>
      </c>
      <c r="D152" s="5" t="s">
        <v>9</v>
      </c>
      <c r="E152" s="6" t="s">
        <v>190</v>
      </c>
    </row>
    <row r="153" hidden="1">
      <c r="A153" s="10" t="s">
        <v>177</v>
      </c>
      <c r="B153" s="3" t="s">
        <v>178</v>
      </c>
      <c r="C153" s="4" t="s">
        <v>3</v>
      </c>
      <c r="D153" s="5" t="s">
        <v>17</v>
      </c>
      <c r="E153" s="6" t="s">
        <v>191</v>
      </c>
    </row>
    <row r="154">
      <c r="A154" s="10" t="s">
        <v>177</v>
      </c>
      <c r="B154" s="3" t="s">
        <v>178</v>
      </c>
      <c r="C154" s="4" t="s">
        <v>8</v>
      </c>
      <c r="D154" s="5" t="s">
        <v>76</v>
      </c>
      <c r="E154" s="6" t="s">
        <v>192</v>
      </c>
    </row>
    <row r="155">
      <c r="A155" s="10" t="s">
        <v>177</v>
      </c>
      <c r="B155" s="3" t="s">
        <v>178</v>
      </c>
      <c r="C155" s="4" t="s">
        <v>8</v>
      </c>
      <c r="D155" s="5" t="s">
        <v>21</v>
      </c>
      <c r="E155" s="6" t="s">
        <v>193</v>
      </c>
    </row>
    <row r="156" hidden="1">
      <c r="A156" s="10" t="s">
        <v>177</v>
      </c>
      <c r="B156" s="3" t="s">
        <v>178</v>
      </c>
      <c r="C156" s="4" t="s">
        <v>3</v>
      </c>
      <c r="D156" s="5" t="s">
        <v>76</v>
      </c>
      <c r="E156" s="6" t="s">
        <v>194</v>
      </c>
    </row>
    <row r="157">
      <c r="A157" s="10" t="s">
        <v>177</v>
      </c>
      <c r="B157" s="3" t="s">
        <v>178</v>
      </c>
      <c r="C157" s="4" t="s">
        <v>8</v>
      </c>
      <c r="D157" s="5" t="s">
        <v>4</v>
      </c>
      <c r="E157" s="6" t="s">
        <v>195</v>
      </c>
    </row>
    <row r="158">
      <c r="A158" s="10" t="s">
        <v>177</v>
      </c>
      <c r="B158" s="3" t="s">
        <v>178</v>
      </c>
      <c r="C158" s="4" t="s">
        <v>8</v>
      </c>
      <c r="D158" s="5" t="s">
        <v>42</v>
      </c>
      <c r="E158" s="6" t="s">
        <v>196</v>
      </c>
    </row>
    <row r="159">
      <c r="A159" s="10" t="s">
        <v>177</v>
      </c>
      <c r="B159" s="3" t="s">
        <v>178</v>
      </c>
      <c r="C159" s="4" t="s">
        <v>8</v>
      </c>
      <c r="D159" s="5" t="s">
        <v>9</v>
      </c>
      <c r="E159" s="6" t="s">
        <v>197</v>
      </c>
    </row>
    <row r="160">
      <c r="A160" s="10" t="s">
        <v>177</v>
      </c>
      <c r="B160" s="3" t="s">
        <v>178</v>
      </c>
      <c r="C160" s="4" t="s">
        <v>8</v>
      </c>
      <c r="D160" s="5" t="s">
        <v>28</v>
      </c>
      <c r="E160" s="6" t="s">
        <v>198</v>
      </c>
    </row>
    <row r="161" hidden="1">
      <c r="A161" s="10" t="s">
        <v>199</v>
      </c>
      <c r="B161" s="3" t="s">
        <v>200</v>
      </c>
      <c r="C161" s="4" t="s">
        <v>3</v>
      </c>
      <c r="D161" s="5" t="s">
        <v>96</v>
      </c>
      <c r="E161" s="6" t="s">
        <v>201</v>
      </c>
    </row>
    <row r="162">
      <c r="A162" s="10" t="s">
        <v>199</v>
      </c>
      <c r="B162" s="3" t="s">
        <v>200</v>
      </c>
      <c r="C162" s="4" t="s">
        <v>8</v>
      </c>
      <c r="D162" s="5" t="s">
        <v>15</v>
      </c>
      <c r="E162" s="6" t="s">
        <v>202</v>
      </c>
    </row>
    <row r="163">
      <c r="A163" s="10" t="s">
        <v>199</v>
      </c>
      <c r="B163" s="3" t="s">
        <v>200</v>
      </c>
      <c r="C163" s="4" t="s">
        <v>8</v>
      </c>
      <c r="D163" s="5" t="s">
        <v>28</v>
      </c>
      <c r="E163" s="6" t="s">
        <v>203</v>
      </c>
    </row>
    <row r="164" hidden="1">
      <c r="A164" s="10" t="s">
        <v>199</v>
      </c>
      <c r="B164" s="3" t="s">
        <v>200</v>
      </c>
      <c r="C164" s="4" t="s">
        <v>3</v>
      </c>
      <c r="D164" s="5" t="s">
        <v>15</v>
      </c>
      <c r="E164" s="6" t="s">
        <v>204</v>
      </c>
    </row>
    <row r="165" hidden="1">
      <c r="A165" s="10" t="s">
        <v>199</v>
      </c>
      <c r="B165" s="3" t="s">
        <v>200</v>
      </c>
      <c r="C165" s="4" t="s">
        <v>3</v>
      </c>
      <c r="D165" s="5" t="s">
        <v>51</v>
      </c>
      <c r="E165" s="6" t="s">
        <v>205</v>
      </c>
    </row>
    <row r="166">
      <c r="A166" s="10" t="s">
        <v>199</v>
      </c>
      <c r="B166" s="3" t="s">
        <v>200</v>
      </c>
      <c r="C166" s="4" t="s">
        <v>8</v>
      </c>
      <c r="D166" s="5" t="s">
        <v>45</v>
      </c>
      <c r="E166" s="6" t="s">
        <v>206</v>
      </c>
    </row>
    <row r="167" hidden="1">
      <c r="A167" s="10" t="s">
        <v>199</v>
      </c>
      <c r="B167" s="3" t="s">
        <v>200</v>
      </c>
      <c r="C167" s="4" t="s">
        <v>3</v>
      </c>
      <c r="D167" s="5" t="s">
        <v>13</v>
      </c>
      <c r="E167" s="6" t="s">
        <v>207</v>
      </c>
    </row>
    <row r="168">
      <c r="A168" s="10" t="s">
        <v>199</v>
      </c>
      <c r="B168" s="3" t="s">
        <v>200</v>
      </c>
      <c r="C168" s="4" t="s">
        <v>8</v>
      </c>
      <c r="D168" s="5" t="s">
        <v>42</v>
      </c>
      <c r="E168" s="6" t="s">
        <v>208</v>
      </c>
    </row>
    <row r="169">
      <c r="A169" s="10" t="s">
        <v>199</v>
      </c>
      <c r="B169" s="3" t="s">
        <v>200</v>
      </c>
      <c r="C169" s="4" t="s">
        <v>8</v>
      </c>
      <c r="D169" s="5" t="s">
        <v>76</v>
      </c>
      <c r="E169" s="6" t="s">
        <v>209</v>
      </c>
    </row>
    <row r="170" hidden="1">
      <c r="A170" s="10" t="s">
        <v>199</v>
      </c>
      <c r="B170" s="3" t="s">
        <v>200</v>
      </c>
      <c r="C170" s="4" t="s">
        <v>3</v>
      </c>
      <c r="D170" s="5" t="s">
        <v>23</v>
      </c>
      <c r="E170" s="6" t="s">
        <v>210</v>
      </c>
    </row>
    <row r="171">
      <c r="A171" s="10" t="s">
        <v>199</v>
      </c>
      <c r="B171" s="3" t="s">
        <v>200</v>
      </c>
      <c r="C171" s="4" t="s">
        <v>8</v>
      </c>
      <c r="D171" s="5" t="s">
        <v>4</v>
      </c>
      <c r="E171" s="6" t="s">
        <v>211</v>
      </c>
    </row>
    <row r="172" hidden="1">
      <c r="A172" s="10" t="s">
        <v>199</v>
      </c>
      <c r="B172" s="3" t="s">
        <v>200</v>
      </c>
      <c r="C172" s="4" t="s">
        <v>3</v>
      </c>
      <c r="D172" s="5" t="s">
        <v>21</v>
      </c>
      <c r="E172" s="6" t="s">
        <v>212</v>
      </c>
    </row>
    <row r="173">
      <c r="A173" s="10" t="s">
        <v>199</v>
      </c>
      <c r="B173" s="3" t="s">
        <v>200</v>
      </c>
      <c r="C173" s="4" t="s">
        <v>8</v>
      </c>
      <c r="D173" s="5" t="s">
        <v>28</v>
      </c>
      <c r="E173" s="6" t="s">
        <v>213</v>
      </c>
    </row>
    <row r="174" hidden="1">
      <c r="A174" s="10" t="s">
        <v>199</v>
      </c>
      <c r="B174" s="3" t="s">
        <v>200</v>
      </c>
      <c r="C174" s="4" t="s">
        <v>3</v>
      </c>
      <c r="D174" s="5" t="s">
        <v>28</v>
      </c>
      <c r="E174" s="6" t="s">
        <v>214</v>
      </c>
    </row>
    <row r="175">
      <c r="A175" s="10" t="s">
        <v>199</v>
      </c>
      <c r="B175" s="3" t="s">
        <v>200</v>
      </c>
      <c r="C175" s="4" t="s">
        <v>8</v>
      </c>
      <c r="D175" s="5" t="s">
        <v>51</v>
      </c>
      <c r="E175" s="6" t="s">
        <v>215</v>
      </c>
    </row>
    <row r="176">
      <c r="A176" s="10" t="s">
        <v>199</v>
      </c>
      <c r="B176" s="3" t="s">
        <v>200</v>
      </c>
      <c r="C176" s="4" t="s">
        <v>8</v>
      </c>
      <c r="D176" s="5" t="s">
        <v>4</v>
      </c>
      <c r="E176" s="6" t="s">
        <v>216</v>
      </c>
    </row>
    <row r="177" hidden="1">
      <c r="A177" s="10" t="s">
        <v>199</v>
      </c>
      <c r="B177" s="3" t="s">
        <v>200</v>
      </c>
      <c r="C177" s="4" t="s">
        <v>3</v>
      </c>
      <c r="D177" s="5" t="s">
        <v>35</v>
      </c>
      <c r="E177" s="6" t="s">
        <v>217</v>
      </c>
    </row>
    <row r="178">
      <c r="A178" s="10" t="s">
        <v>199</v>
      </c>
      <c r="B178" s="3" t="s">
        <v>200</v>
      </c>
      <c r="C178" s="4" t="s">
        <v>8</v>
      </c>
      <c r="D178" s="5" t="s">
        <v>13</v>
      </c>
      <c r="E178" s="6" t="s">
        <v>218</v>
      </c>
    </row>
    <row r="179" hidden="1">
      <c r="A179" s="10" t="s">
        <v>199</v>
      </c>
      <c r="B179" s="3" t="s">
        <v>200</v>
      </c>
      <c r="C179" s="4" t="s">
        <v>3</v>
      </c>
      <c r="D179" s="5" t="s">
        <v>35</v>
      </c>
      <c r="E179" s="6" t="s">
        <v>219</v>
      </c>
    </row>
    <row r="180" hidden="1">
      <c r="A180" s="10" t="s">
        <v>199</v>
      </c>
      <c r="B180" s="3" t="s">
        <v>200</v>
      </c>
      <c r="C180" s="4" t="s">
        <v>3</v>
      </c>
      <c r="D180" s="5" t="s">
        <v>9</v>
      </c>
      <c r="E180" s="6" t="s">
        <v>220</v>
      </c>
    </row>
    <row r="181">
      <c r="A181" s="10" t="s">
        <v>221</v>
      </c>
      <c r="B181" s="3" t="s">
        <v>222</v>
      </c>
      <c r="C181" s="4" t="s">
        <v>8</v>
      </c>
      <c r="D181" s="5" t="s">
        <v>51</v>
      </c>
      <c r="E181" s="6" t="s">
        <v>223</v>
      </c>
    </row>
    <row r="182">
      <c r="A182" s="10" t="s">
        <v>221</v>
      </c>
      <c r="B182" s="3" t="s">
        <v>222</v>
      </c>
      <c r="C182" s="4" t="s">
        <v>8</v>
      </c>
      <c r="D182" s="5" t="s">
        <v>96</v>
      </c>
      <c r="E182" s="6" t="s">
        <v>224</v>
      </c>
    </row>
    <row r="183" hidden="1">
      <c r="A183" s="10" t="s">
        <v>221</v>
      </c>
      <c r="B183" s="3" t="s">
        <v>222</v>
      </c>
      <c r="C183" s="4" t="s">
        <v>3</v>
      </c>
      <c r="D183" s="5" t="s">
        <v>15</v>
      </c>
      <c r="E183" s="6" t="s">
        <v>225</v>
      </c>
    </row>
    <row r="184" hidden="1">
      <c r="A184" s="10" t="s">
        <v>221</v>
      </c>
      <c r="B184" s="3" t="s">
        <v>222</v>
      </c>
      <c r="C184" s="4" t="s">
        <v>3</v>
      </c>
      <c r="D184" s="5" t="s">
        <v>71</v>
      </c>
      <c r="E184" s="6" t="s">
        <v>226</v>
      </c>
    </row>
    <row r="185">
      <c r="A185" s="10" t="s">
        <v>221</v>
      </c>
      <c r="B185" s="3" t="s">
        <v>222</v>
      </c>
      <c r="C185" s="4" t="s">
        <v>8</v>
      </c>
      <c r="D185" s="5" t="s">
        <v>120</v>
      </c>
      <c r="E185" s="6" t="s">
        <v>227</v>
      </c>
    </row>
    <row r="186">
      <c r="A186" s="10" t="s">
        <v>221</v>
      </c>
      <c r="B186" s="3" t="s">
        <v>222</v>
      </c>
      <c r="C186" s="4" t="s">
        <v>8</v>
      </c>
      <c r="D186" s="5" t="s">
        <v>17</v>
      </c>
      <c r="E186" s="6" t="s">
        <v>228</v>
      </c>
    </row>
    <row r="187">
      <c r="A187" s="10" t="s">
        <v>221</v>
      </c>
      <c r="B187" s="3" t="s">
        <v>222</v>
      </c>
      <c r="C187" s="4" t="s">
        <v>8</v>
      </c>
      <c r="D187" s="5" t="s">
        <v>19</v>
      </c>
      <c r="E187" s="6" t="s">
        <v>229</v>
      </c>
    </row>
    <row r="188">
      <c r="A188" s="10" t="s">
        <v>221</v>
      </c>
      <c r="B188" s="3" t="s">
        <v>222</v>
      </c>
      <c r="C188" s="4" t="s">
        <v>8</v>
      </c>
      <c r="D188" s="5" t="s">
        <v>4</v>
      </c>
      <c r="E188" s="6" t="s">
        <v>140</v>
      </c>
    </row>
    <row r="189">
      <c r="A189" s="10" t="s">
        <v>221</v>
      </c>
      <c r="B189" s="3" t="s">
        <v>222</v>
      </c>
      <c r="C189" s="4" t="s">
        <v>8</v>
      </c>
      <c r="D189" s="5" t="s">
        <v>120</v>
      </c>
      <c r="E189" s="6" t="s">
        <v>230</v>
      </c>
    </row>
    <row r="190">
      <c r="A190" s="10" t="s">
        <v>221</v>
      </c>
      <c r="B190" s="3" t="s">
        <v>222</v>
      </c>
      <c r="C190" s="4" t="s">
        <v>8</v>
      </c>
      <c r="D190" s="5" t="s">
        <v>4</v>
      </c>
      <c r="E190" s="6" t="s">
        <v>231</v>
      </c>
    </row>
    <row r="191" hidden="1">
      <c r="A191" s="10" t="s">
        <v>221</v>
      </c>
      <c r="B191" s="3" t="s">
        <v>222</v>
      </c>
      <c r="C191" s="4" t="s">
        <v>3</v>
      </c>
      <c r="D191" s="5" t="s">
        <v>76</v>
      </c>
      <c r="E191" s="6" t="s">
        <v>232</v>
      </c>
    </row>
    <row r="192" hidden="1">
      <c r="A192" s="10" t="s">
        <v>221</v>
      </c>
      <c r="B192" s="3" t="s">
        <v>222</v>
      </c>
      <c r="C192" s="4" t="s">
        <v>3</v>
      </c>
      <c r="D192" s="5" t="s">
        <v>39</v>
      </c>
      <c r="E192" s="6" t="s">
        <v>233</v>
      </c>
    </row>
    <row r="193" hidden="1">
      <c r="A193" s="10" t="s">
        <v>221</v>
      </c>
      <c r="B193" s="3" t="s">
        <v>222</v>
      </c>
      <c r="C193" s="4" t="s">
        <v>3</v>
      </c>
      <c r="D193" s="5" t="s">
        <v>21</v>
      </c>
      <c r="E193" s="6" t="s">
        <v>234</v>
      </c>
    </row>
    <row r="194" hidden="1">
      <c r="A194" s="10" t="s">
        <v>221</v>
      </c>
      <c r="B194" s="3" t="s">
        <v>222</v>
      </c>
      <c r="C194" s="4" t="s">
        <v>3</v>
      </c>
      <c r="D194" s="5" t="s">
        <v>15</v>
      </c>
      <c r="E194" s="6" t="s">
        <v>235</v>
      </c>
    </row>
    <row r="195">
      <c r="A195" s="10" t="s">
        <v>221</v>
      </c>
      <c r="B195" s="3" t="s">
        <v>222</v>
      </c>
      <c r="C195" s="4" t="s">
        <v>8</v>
      </c>
      <c r="D195" s="5" t="s">
        <v>76</v>
      </c>
      <c r="E195" s="6" t="s">
        <v>236</v>
      </c>
    </row>
    <row r="196">
      <c r="A196" s="10" t="s">
        <v>221</v>
      </c>
      <c r="B196" s="3" t="s">
        <v>222</v>
      </c>
      <c r="C196" s="4" t="s">
        <v>8</v>
      </c>
      <c r="D196" s="5" t="s">
        <v>71</v>
      </c>
      <c r="E196" s="6" t="s">
        <v>237</v>
      </c>
    </row>
    <row r="197">
      <c r="A197" s="10" t="s">
        <v>221</v>
      </c>
      <c r="B197" s="3" t="s">
        <v>222</v>
      </c>
      <c r="C197" s="4" t="s">
        <v>8</v>
      </c>
      <c r="D197" s="5" t="s">
        <v>23</v>
      </c>
      <c r="E197" s="6" t="s">
        <v>238</v>
      </c>
    </row>
    <row r="198">
      <c r="A198" s="10" t="s">
        <v>221</v>
      </c>
      <c r="B198" s="3" t="s">
        <v>222</v>
      </c>
      <c r="C198" s="4" t="s">
        <v>8</v>
      </c>
      <c r="D198" s="5" t="s">
        <v>120</v>
      </c>
      <c r="E198" s="6" t="s">
        <v>239</v>
      </c>
    </row>
    <row r="199" hidden="1">
      <c r="A199" s="10" t="s">
        <v>221</v>
      </c>
      <c r="B199" s="3" t="s">
        <v>222</v>
      </c>
      <c r="C199" s="4" t="s">
        <v>3</v>
      </c>
      <c r="D199" s="5" t="s">
        <v>23</v>
      </c>
      <c r="E199" s="6" t="s">
        <v>240</v>
      </c>
    </row>
    <row r="200">
      <c r="A200" s="10" t="s">
        <v>221</v>
      </c>
      <c r="B200" s="3" t="s">
        <v>222</v>
      </c>
      <c r="C200" s="4" t="s">
        <v>8</v>
      </c>
      <c r="D200" s="5" t="s">
        <v>9</v>
      </c>
      <c r="E200" s="6" t="s">
        <v>241</v>
      </c>
    </row>
    <row r="201">
      <c r="A201" s="10" t="s">
        <v>242</v>
      </c>
      <c r="B201" s="3" t="s">
        <v>243</v>
      </c>
      <c r="C201" s="4" t="s">
        <v>8</v>
      </c>
      <c r="D201" s="5" t="s">
        <v>45</v>
      </c>
      <c r="E201" s="6" t="s">
        <v>244</v>
      </c>
    </row>
    <row r="202" hidden="1">
      <c r="A202" s="10" t="s">
        <v>242</v>
      </c>
      <c r="B202" s="3" t="s">
        <v>243</v>
      </c>
      <c r="C202" s="4" t="s">
        <v>3</v>
      </c>
      <c r="D202" s="5" t="s">
        <v>96</v>
      </c>
      <c r="E202" s="6" t="s">
        <v>245</v>
      </c>
    </row>
    <row r="203" hidden="1">
      <c r="A203" s="10" t="s">
        <v>242</v>
      </c>
      <c r="B203" s="3" t="s">
        <v>243</v>
      </c>
      <c r="C203" s="4" t="s">
        <v>3</v>
      </c>
      <c r="D203" s="5" t="s">
        <v>23</v>
      </c>
      <c r="E203" s="6" t="s">
        <v>246</v>
      </c>
    </row>
    <row r="204">
      <c r="A204" s="10" t="s">
        <v>242</v>
      </c>
      <c r="B204" s="3" t="s">
        <v>243</v>
      </c>
      <c r="C204" s="4" t="s">
        <v>8</v>
      </c>
      <c r="D204" s="5" t="s">
        <v>120</v>
      </c>
      <c r="E204" s="6" t="s">
        <v>247</v>
      </c>
    </row>
    <row r="205" hidden="1">
      <c r="A205" s="10" t="s">
        <v>242</v>
      </c>
      <c r="B205" s="3" t="s">
        <v>243</v>
      </c>
      <c r="C205" s="4" t="s">
        <v>3</v>
      </c>
      <c r="D205" s="5" t="s">
        <v>21</v>
      </c>
      <c r="E205" s="6" t="s">
        <v>248</v>
      </c>
    </row>
    <row r="206">
      <c r="A206" s="10" t="s">
        <v>242</v>
      </c>
      <c r="B206" s="3" t="s">
        <v>243</v>
      </c>
      <c r="C206" s="4" t="s">
        <v>8</v>
      </c>
      <c r="D206" s="5" t="s">
        <v>15</v>
      </c>
      <c r="E206" s="6" t="s">
        <v>249</v>
      </c>
    </row>
    <row r="207">
      <c r="A207" s="10" t="s">
        <v>242</v>
      </c>
      <c r="B207" s="3" t="s">
        <v>243</v>
      </c>
      <c r="C207" s="4" t="s">
        <v>8</v>
      </c>
      <c r="D207" s="5" t="s">
        <v>17</v>
      </c>
      <c r="E207" s="6" t="s">
        <v>248</v>
      </c>
    </row>
    <row r="208" hidden="1">
      <c r="A208" s="10" t="s">
        <v>242</v>
      </c>
      <c r="B208" s="3" t="s">
        <v>243</v>
      </c>
      <c r="C208" s="4" t="s">
        <v>3</v>
      </c>
      <c r="D208" s="5" t="s">
        <v>96</v>
      </c>
      <c r="E208" s="6" t="s">
        <v>250</v>
      </c>
    </row>
    <row r="209">
      <c r="A209" s="10" t="s">
        <v>242</v>
      </c>
      <c r="B209" s="3" t="s">
        <v>243</v>
      </c>
      <c r="C209" s="4" t="s">
        <v>8</v>
      </c>
      <c r="D209" s="5" t="s">
        <v>23</v>
      </c>
      <c r="E209" s="6" t="s">
        <v>251</v>
      </c>
    </row>
    <row r="210" hidden="1">
      <c r="A210" s="10" t="s">
        <v>242</v>
      </c>
      <c r="B210" s="3" t="s">
        <v>243</v>
      </c>
      <c r="C210" s="4" t="s">
        <v>3</v>
      </c>
      <c r="D210" s="5" t="s">
        <v>35</v>
      </c>
      <c r="E210" s="6" t="s">
        <v>252</v>
      </c>
    </row>
    <row r="211">
      <c r="A211" s="10" t="s">
        <v>242</v>
      </c>
      <c r="B211" s="3" t="s">
        <v>243</v>
      </c>
      <c r="C211" s="4" t="s">
        <v>8</v>
      </c>
      <c r="D211" s="5" t="s">
        <v>76</v>
      </c>
      <c r="E211" s="6" t="s">
        <v>253</v>
      </c>
    </row>
    <row r="212" hidden="1">
      <c r="A212" s="10" t="s">
        <v>242</v>
      </c>
      <c r="B212" s="3" t="s">
        <v>243</v>
      </c>
      <c r="C212" s="4" t="s">
        <v>3</v>
      </c>
      <c r="D212" s="5" t="s">
        <v>96</v>
      </c>
      <c r="E212" s="6" t="s">
        <v>254</v>
      </c>
    </row>
    <row r="213">
      <c r="A213" s="10" t="s">
        <v>242</v>
      </c>
      <c r="B213" s="3" t="s">
        <v>243</v>
      </c>
      <c r="C213" s="4" t="s">
        <v>8</v>
      </c>
      <c r="D213" s="5" t="s">
        <v>96</v>
      </c>
      <c r="E213" s="6" t="s">
        <v>255</v>
      </c>
    </row>
    <row r="214" hidden="1">
      <c r="A214" s="10" t="s">
        <v>242</v>
      </c>
      <c r="B214" s="3" t="s">
        <v>243</v>
      </c>
      <c r="C214" s="4" t="s">
        <v>3</v>
      </c>
      <c r="D214" s="5" t="s">
        <v>17</v>
      </c>
      <c r="E214" s="6" t="s">
        <v>256</v>
      </c>
    </row>
    <row r="215" hidden="1">
      <c r="A215" s="10" t="s">
        <v>242</v>
      </c>
      <c r="B215" s="3" t="s">
        <v>243</v>
      </c>
      <c r="C215" s="4" t="s">
        <v>3</v>
      </c>
      <c r="D215" s="5" t="s">
        <v>17</v>
      </c>
      <c r="E215" s="6" t="s">
        <v>257</v>
      </c>
    </row>
    <row r="216">
      <c r="A216" s="10" t="s">
        <v>242</v>
      </c>
      <c r="B216" s="3" t="s">
        <v>243</v>
      </c>
      <c r="C216" s="4" t="s">
        <v>8</v>
      </c>
      <c r="D216" s="5" t="s">
        <v>13</v>
      </c>
      <c r="E216" s="6" t="s">
        <v>258</v>
      </c>
    </row>
    <row r="217">
      <c r="A217" s="10" t="s">
        <v>242</v>
      </c>
      <c r="B217" s="3" t="s">
        <v>243</v>
      </c>
      <c r="C217" s="4" t="s">
        <v>8</v>
      </c>
      <c r="D217" s="5" t="s">
        <v>120</v>
      </c>
      <c r="E217" s="6" t="s">
        <v>259</v>
      </c>
    </row>
    <row r="218">
      <c r="A218" s="10" t="s">
        <v>242</v>
      </c>
      <c r="B218" s="3" t="s">
        <v>243</v>
      </c>
      <c r="C218" s="4" t="s">
        <v>8</v>
      </c>
      <c r="D218" s="5" t="s">
        <v>120</v>
      </c>
      <c r="E218" s="6" t="s">
        <v>260</v>
      </c>
    </row>
    <row r="219">
      <c r="A219" s="10" t="s">
        <v>242</v>
      </c>
      <c r="B219" s="3" t="s">
        <v>243</v>
      </c>
      <c r="C219" s="4" t="s">
        <v>8</v>
      </c>
      <c r="D219" s="5" t="s">
        <v>17</v>
      </c>
      <c r="E219" s="6" t="s">
        <v>261</v>
      </c>
    </row>
    <row r="220" hidden="1">
      <c r="A220" s="10" t="s">
        <v>242</v>
      </c>
      <c r="B220" s="3" t="s">
        <v>243</v>
      </c>
      <c r="C220" s="4" t="s">
        <v>3</v>
      </c>
      <c r="D220" s="5" t="s">
        <v>45</v>
      </c>
      <c r="E220" s="6" t="s">
        <v>262</v>
      </c>
    </row>
    <row r="221">
      <c r="A221" s="10" t="s">
        <v>263</v>
      </c>
      <c r="B221" s="3" t="s">
        <v>264</v>
      </c>
      <c r="C221" s="4" t="s">
        <v>8</v>
      </c>
      <c r="D221" s="5" t="s">
        <v>28</v>
      </c>
      <c r="E221" s="6" t="s">
        <v>265</v>
      </c>
    </row>
    <row r="222">
      <c r="A222" s="10" t="s">
        <v>263</v>
      </c>
      <c r="B222" s="3" t="s">
        <v>264</v>
      </c>
      <c r="C222" s="4" t="s">
        <v>8</v>
      </c>
      <c r="D222" s="5" t="s">
        <v>71</v>
      </c>
      <c r="E222" s="6" t="s">
        <v>266</v>
      </c>
    </row>
    <row r="223" hidden="1">
      <c r="A223" s="10" t="s">
        <v>263</v>
      </c>
      <c r="B223" s="3" t="s">
        <v>264</v>
      </c>
      <c r="C223" s="4" t="s">
        <v>3</v>
      </c>
      <c r="D223" s="5" t="s">
        <v>35</v>
      </c>
      <c r="E223" s="6" t="s">
        <v>267</v>
      </c>
    </row>
    <row r="224">
      <c r="A224" s="10" t="s">
        <v>263</v>
      </c>
      <c r="B224" s="3" t="s">
        <v>264</v>
      </c>
      <c r="C224" s="4" t="s">
        <v>8</v>
      </c>
      <c r="D224" s="5" t="s">
        <v>4</v>
      </c>
      <c r="E224" s="6" t="s">
        <v>268</v>
      </c>
    </row>
    <row r="225">
      <c r="A225" s="10" t="s">
        <v>263</v>
      </c>
      <c r="B225" s="3" t="s">
        <v>264</v>
      </c>
      <c r="C225" s="4" t="s">
        <v>8</v>
      </c>
      <c r="D225" s="5" t="s">
        <v>35</v>
      </c>
      <c r="E225" s="6" t="s">
        <v>269</v>
      </c>
    </row>
    <row r="226" hidden="1">
      <c r="A226" s="10" t="s">
        <v>263</v>
      </c>
      <c r="B226" s="3" t="s">
        <v>264</v>
      </c>
      <c r="C226" s="4" t="s">
        <v>3</v>
      </c>
      <c r="D226" s="5" t="s">
        <v>76</v>
      </c>
      <c r="E226" s="6" t="s">
        <v>270</v>
      </c>
    </row>
    <row r="227">
      <c r="A227" s="10" t="s">
        <v>263</v>
      </c>
      <c r="B227" s="3" t="s">
        <v>264</v>
      </c>
      <c r="C227" s="4" t="s">
        <v>8</v>
      </c>
      <c r="D227" s="5" t="s">
        <v>9</v>
      </c>
      <c r="E227" s="6" t="s">
        <v>179</v>
      </c>
    </row>
    <row r="228">
      <c r="A228" s="10" t="s">
        <v>263</v>
      </c>
      <c r="B228" s="3" t="s">
        <v>264</v>
      </c>
      <c r="C228" s="4" t="s">
        <v>8</v>
      </c>
      <c r="D228" s="5" t="s">
        <v>19</v>
      </c>
      <c r="E228" s="6" t="s">
        <v>271</v>
      </c>
    </row>
    <row r="229">
      <c r="A229" s="10" t="s">
        <v>263</v>
      </c>
      <c r="B229" s="3" t="s">
        <v>264</v>
      </c>
      <c r="C229" s="4" t="s">
        <v>8</v>
      </c>
      <c r="D229" s="5" t="s">
        <v>6</v>
      </c>
      <c r="E229" s="6" t="s">
        <v>272</v>
      </c>
    </row>
    <row r="230">
      <c r="A230" s="10" t="s">
        <v>263</v>
      </c>
      <c r="B230" s="3" t="s">
        <v>264</v>
      </c>
      <c r="C230" s="4" t="s">
        <v>8</v>
      </c>
      <c r="D230" s="5" t="s">
        <v>9</v>
      </c>
      <c r="E230" s="6" t="s">
        <v>273</v>
      </c>
    </row>
    <row r="231" hidden="1">
      <c r="A231" s="10" t="s">
        <v>263</v>
      </c>
      <c r="B231" s="3" t="s">
        <v>264</v>
      </c>
      <c r="C231" s="4" t="s">
        <v>3</v>
      </c>
      <c r="D231" s="5" t="s">
        <v>51</v>
      </c>
      <c r="E231" s="6" t="s">
        <v>274</v>
      </c>
    </row>
    <row r="232" hidden="1">
      <c r="A232" s="10" t="s">
        <v>263</v>
      </c>
      <c r="B232" s="3" t="s">
        <v>264</v>
      </c>
      <c r="C232" s="4" t="s">
        <v>3</v>
      </c>
      <c r="D232" s="5" t="s">
        <v>76</v>
      </c>
      <c r="E232" s="6" t="s">
        <v>275</v>
      </c>
    </row>
    <row r="233" hidden="1">
      <c r="A233" s="10" t="s">
        <v>263</v>
      </c>
      <c r="B233" s="3" t="s">
        <v>264</v>
      </c>
      <c r="C233" s="4" t="s">
        <v>3</v>
      </c>
      <c r="D233" s="5" t="s">
        <v>42</v>
      </c>
      <c r="E233" s="6" t="s">
        <v>276</v>
      </c>
    </row>
    <row r="234">
      <c r="A234" s="10" t="s">
        <v>263</v>
      </c>
      <c r="B234" s="3" t="s">
        <v>264</v>
      </c>
      <c r="C234" s="4" t="s">
        <v>8</v>
      </c>
      <c r="D234" s="5" t="s">
        <v>45</v>
      </c>
      <c r="E234" s="6" t="s">
        <v>277</v>
      </c>
    </row>
    <row r="235">
      <c r="A235" s="10" t="s">
        <v>263</v>
      </c>
      <c r="B235" s="3" t="s">
        <v>264</v>
      </c>
      <c r="C235" s="4" t="s">
        <v>8</v>
      </c>
      <c r="D235" s="5" t="s">
        <v>4</v>
      </c>
      <c r="E235" s="6" t="s">
        <v>278</v>
      </c>
    </row>
    <row r="236">
      <c r="A236" s="10" t="s">
        <v>263</v>
      </c>
      <c r="B236" s="3" t="s">
        <v>264</v>
      </c>
      <c r="C236" s="4" t="s">
        <v>8</v>
      </c>
      <c r="D236" s="5" t="s">
        <v>120</v>
      </c>
      <c r="E236" s="6" t="s">
        <v>279</v>
      </c>
    </row>
    <row r="237">
      <c r="A237" s="10" t="s">
        <v>263</v>
      </c>
      <c r="B237" s="3" t="s">
        <v>264</v>
      </c>
      <c r="C237" s="4" t="s">
        <v>8</v>
      </c>
      <c r="D237" s="5" t="s">
        <v>120</v>
      </c>
      <c r="E237" s="6" t="s">
        <v>280</v>
      </c>
    </row>
    <row r="238">
      <c r="A238" s="10" t="s">
        <v>263</v>
      </c>
      <c r="B238" s="3" t="s">
        <v>264</v>
      </c>
      <c r="C238" s="4" t="s">
        <v>8</v>
      </c>
      <c r="D238" s="5" t="s">
        <v>13</v>
      </c>
      <c r="E238" s="6" t="s">
        <v>281</v>
      </c>
    </row>
    <row r="239" hidden="1">
      <c r="A239" s="10" t="s">
        <v>263</v>
      </c>
      <c r="B239" s="3" t="s">
        <v>264</v>
      </c>
      <c r="C239" s="4" t="s">
        <v>3</v>
      </c>
      <c r="D239" s="5" t="s">
        <v>35</v>
      </c>
      <c r="E239" s="6" t="s">
        <v>282</v>
      </c>
    </row>
    <row r="240" hidden="1">
      <c r="A240" s="10" t="s">
        <v>263</v>
      </c>
      <c r="B240" s="3" t="s">
        <v>264</v>
      </c>
      <c r="C240" s="4" t="s">
        <v>3</v>
      </c>
      <c r="D240" s="5" t="s">
        <v>19</v>
      </c>
      <c r="E240" s="6" t="s">
        <v>91</v>
      </c>
    </row>
    <row r="241" hidden="1">
      <c r="A241" s="10" t="s">
        <v>283</v>
      </c>
      <c r="B241" s="3" t="s">
        <v>284</v>
      </c>
      <c r="C241" s="4" t="s">
        <v>3</v>
      </c>
      <c r="D241" s="5" t="s">
        <v>120</v>
      </c>
      <c r="E241" s="6" t="s">
        <v>285</v>
      </c>
    </row>
    <row r="242" hidden="1">
      <c r="A242" s="10" t="s">
        <v>283</v>
      </c>
      <c r="B242" s="3" t="s">
        <v>284</v>
      </c>
      <c r="C242" s="4" t="s">
        <v>3</v>
      </c>
      <c r="D242" s="5" t="s">
        <v>71</v>
      </c>
      <c r="E242" s="6" t="s">
        <v>286</v>
      </c>
    </row>
    <row r="243">
      <c r="A243" s="10" t="s">
        <v>283</v>
      </c>
      <c r="B243" s="3" t="s">
        <v>284</v>
      </c>
      <c r="C243" s="4" t="s">
        <v>8</v>
      </c>
      <c r="D243" s="5" t="s">
        <v>35</v>
      </c>
      <c r="E243" s="6" t="s">
        <v>287</v>
      </c>
    </row>
    <row r="244">
      <c r="A244" s="10" t="s">
        <v>283</v>
      </c>
      <c r="B244" s="3" t="s">
        <v>284</v>
      </c>
      <c r="C244" s="4" t="s">
        <v>8</v>
      </c>
      <c r="D244" s="5" t="s">
        <v>6</v>
      </c>
      <c r="E244" s="6" t="s">
        <v>288</v>
      </c>
    </row>
    <row r="245">
      <c r="A245" s="10" t="s">
        <v>283</v>
      </c>
      <c r="B245" s="3" t="s">
        <v>284</v>
      </c>
      <c r="C245" s="4" t="s">
        <v>8</v>
      </c>
      <c r="D245" s="5" t="s">
        <v>6</v>
      </c>
      <c r="E245" s="6" t="s">
        <v>289</v>
      </c>
    </row>
    <row r="246">
      <c r="A246" s="10" t="s">
        <v>283</v>
      </c>
      <c r="B246" s="3" t="s">
        <v>284</v>
      </c>
      <c r="C246" s="4" t="s">
        <v>8</v>
      </c>
      <c r="D246" s="5" t="s">
        <v>76</v>
      </c>
      <c r="E246" s="6" t="s">
        <v>290</v>
      </c>
    </row>
    <row r="247" hidden="1">
      <c r="A247" s="10" t="s">
        <v>283</v>
      </c>
      <c r="B247" s="3" t="s">
        <v>284</v>
      </c>
      <c r="C247" s="4" t="s">
        <v>3</v>
      </c>
      <c r="D247" s="5" t="s">
        <v>9</v>
      </c>
      <c r="E247" s="6" t="s">
        <v>291</v>
      </c>
    </row>
    <row r="248" hidden="1">
      <c r="A248" s="10" t="s">
        <v>283</v>
      </c>
      <c r="B248" s="3" t="s">
        <v>284</v>
      </c>
      <c r="C248" s="4" t="s">
        <v>3</v>
      </c>
      <c r="D248" s="5" t="s">
        <v>4</v>
      </c>
      <c r="E248" s="6" t="s">
        <v>292</v>
      </c>
    </row>
    <row r="249" hidden="1">
      <c r="A249" s="10" t="s">
        <v>283</v>
      </c>
      <c r="B249" s="3" t="s">
        <v>284</v>
      </c>
      <c r="C249" s="4" t="s">
        <v>3</v>
      </c>
      <c r="D249" s="5" t="s">
        <v>23</v>
      </c>
      <c r="E249" s="6" t="s">
        <v>293</v>
      </c>
    </row>
    <row r="250" hidden="1">
      <c r="A250" s="10" t="s">
        <v>283</v>
      </c>
      <c r="B250" s="3" t="s">
        <v>284</v>
      </c>
      <c r="C250" s="4" t="s">
        <v>3</v>
      </c>
      <c r="D250" s="5" t="s">
        <v>4</v>
      </c>
      <c r="E250" s="6" t="s">
        <v>294</v>
      </c>
    </row>
    <row r="251" hidden="1">
      <c r="A251" s="10" t="s">
        <v>283</v>
      </c>
      <c r="B251" s="3" t="s">
        <v>284</v>
      </c>
      <c r="C251" s="4" t="s">
        <v>3</v>
      </c>
      <c r="D251" s="5" t="s">
        <v>42</v>
      </c>
      <c r="E251" s="6" t="s">
        <v>295</v>
      </c>
    </row>
    <row r="252" hidden="1">
      <c r="A252" s="10" t="s">
        <v>283</v>
      </c>
      <c r="B252" s="3" t="s">
        <v>284</v>
      </c>
      <c r="C252" s="4" t="s">
        <v>3</v>
      </c>
      <c r="D252" s="5" t="s">
        <v>96</v>
      </c>
      <c r="E252" s="6" t="s">
        <v>296</v>
      </c>
    </row>
    <row r="253">
      <c r="A253" s="10" t="s">
        <v>283</v>
      </c>
      <c r="B253" s="3" t="s">
        <v>284</v>
      </c>
      <c r="C253" s="4" t="s">
        <v>8</v>
      </c>
      <c r="D253" s="5" t="s">
        <v>96</v>
      </c>
      <c r="E253" s="6" t="s">
        <v>297</v>
      </c>
    </row>
    <row r="254">
      <c r="A254" s="10" t="s">
        <v>283</v>
      </c>
      <c r="B254" s="3" t="s">
        <v>284</v>
      </c>
      <c r="C254" s="4" t="s">
        <v>8</v>
      </c>
      <c r="D254" s="5" t="s">
        <v>39</v>
      </c>
      <c r="E254" s="6" t="s">
        <v>298</v>
      </c>
    </row>
    <row r="255" hidden="1">
      <c r="A255" s="10" t="s">
        <v>283</v>
      </c>
      <c r="B255" s="3" t="s">
        <v>284</v>
      </c>
      <c r="C255" s="4" t="s">
        <v>3</v>
      </c>
      <c r="D255" s="5" t="s">
        <v>17</v>
      </c>
      <c r="E255" s="6" t="s">
        <v>299</v>
      </c>
    </row>
    <row r="256">
      <c r="A256" s="10" t="s">
        <v>283</v>
      </c>
      <c r="B256" s="3" t="s">
        <v>284</v>
      </c>
      <c r="C256" s="4" t="s">
        <v>8</v>
      </c>
      <c r="D256" s="5" t="s">
        <v>120</v>
      </c>
      <c r="E256" s="6" t="s">
        <v>300</v>
      </c>
    </row>
    <row r="257">
      <c r="A257" s="10" t="s">
        <v>283</v>
      </c>
      <c r="B257" s="3" t="s">
        <v>284</v>
      </c>
      <c r="C257" s="4" t="s">
        <v>8</v>
      </c>
      <c r="D257" s="5" t="s">
        <v>96</v>
      </c>
      <c r="E257" s="6" t="s">
        <v>301</v>
      </c>
    </row>
    <row r="258" hidden="1">
      <c r="A258" s="10" t="s">
        <v>283</v>
      </c>
      <c r="B258" s="3" t="s">
        <v>284</v>
      </c>
      <c r="C258" s="4" t="s">
        <v>3</v>
      </c>
      <c r="D258" s="5" t="s">
        <v>120</v>
      </c>
      <c r="E258" s="6" t="s">
        <v>147</v>
      </c>
    </row>
    <row r="259">
      <c r="A259" s="10" t="s">
        <v>283</v>
      </c>
      <c r="B259" s="3" t="s">
        <v>284</v>
      </c>
      <c r="C259" s="4" t="s">
        <v>8</v>
      </c>
      <c r="D259" s="5" t="s">
        <v>42</v>
      </c>
      <c r="E259" s="6" t="s">
        <v>302</v>
      </c>
    </row>
    <row r="260" hidden="1">
      <c r="A260" s="10" t="s">
        <v>283</v>
      </c>
      <c r="B260" s="3" t="s">
        <v>284</v>
      </c>
      <c r="C260" s="4" t="s">
        <v>3</v>
      </c>
      <c r="D260" s="5" t="s">
        <v>35</v>
      </c>
      <c r="E260" s="6" t="s">
        <v>303</v>
      </c>
    </row>
    <row r="261">
      <c r="A261" s="10" t="s">
        <v>304</v>
      </c>
      <c r="B261" s="3" t="s">
        <v>305</v>
      </c>
      <c r="C261" s="4" t="s">
        <v>8</v>
      </c>
      <c r="D261" s="5" t="s">
        <v>21</v>
      </c>
      <c r="E261" s="6" t="s">
        <v>306</v>
      </c>
    </row>
    <row r="262">
      <c r="A262" s="10" t="s">
        <v>304</v>
      </c>
      <c r="B262" s="3" t="s">
        <v>305</v>
      </c>
      <c r="C262" s="4" t="s">
        <v>8</v>
      </c>
      <c r="D262" s="5" t="s">
        <v>15</v>
      </c>
      <c r="E262" s="6" t="s">
        <v>307</v>
      </c>
    </row>
    <row r="263">
      <c r="A263" s="10" t="s">
        <v>304</v>
      </c>
      <c r="B263" s="3" t="s">
        <v>305</v>
      </c>
      <c r="C263" s="4" t="s">
        <v>8</v>
      </c>
      <c r="D263" s="5" t="s">
        <v>71</v>
      </c>
      <c r="E263" s="6" t="s">
        <v>308</v>
      </c>
    </row>
    <row r="264">
      <c r="A264" s="10" t="s">
        <v>304</v>
      </c>
      <c r="B264" s="3" t="s">
        <v>305</v>
      </c>
      <c r="C264" s="4" t="s">
        <v>8</v>
      </c>
      <c r="D264" s="5" t="s">
        <v>42</v>
      </c>
      <c r="E264" s="6" t="s">
        <v>309</v>
      </c>
    </row>
    <row r="265">
      <c r="A265" s="10" t="s">
        <v>304</v>
      </c>
      <c r="B265" s="3" t="s">
        <v>305</v>
      </c>
      <c r="C265" s="4" t="s">
        <v>8</v>
      </c>
      <c r="D265" s="5" t="s">
        <v>39</v>
      </c>
      <c r="E265" s="6" t="s">
        <v>310</v>
      </c>
    </row>
    <row r="266" hidden="1">
      <c r="A266" s="10" t="s">
        <v>304</v>
      </c>
      <c r="B266" s="3" t="s">
        <v>305</v>
      </c>
      <c r="C266" s="4" t="s">
        <v>3</v>
      </c>
      <c r="D266" s="5" t="s">
        <v>4</v>
      </c>
      <c r="E266" s="6" t="s">
        <v>311</v>
      </c>
    </row>
    <row r="267" hidden="1">
      <c r="A267" s="10" t="s">
        <v>304</v>
      </c>
      <c r="B267" s="3" t="s">
        <v>305</v>
      </c>
      <c r="C267" s="4" t="s">
        <v>3</v>
      </c>
      <c r="D267" s="5" t="s">
        <v>6</v>
      </c>
      <c r="E267" s="6" t="s">
        <v>312</v>
      </c>
    </row>
    <row r="268" hidden="1">
      <c r="A268" s="10" t="s">
        <v>304</v>
      </c>
      <c r="B268" s="3" t="s">
        <v>305</v>
      </c>
      <c r="C268" s="4" t="s">
        <v>3</v>
      </c>
      <c r="D268" s="5" t="s">
        <v>35</v>
      </c>
      <c r="E268" s="6" t="s">
        <v>313</v>
      </c>
    </row>
    <row r="269">
      <c r="A269" s="10" t="s">
        <v>304</v>
      </c>
      <c r="B269" s="3" t="s">
        <v>305</v>
      </c>
      <c r="C269" s="4" t="s">
        <v>8</v>
      </c>
      <c r="D269" s="5" t="s">
        <v>39</v>
      </c>
      <c r="E269" s="6" t="s">
        <v>314</v>
      </c>
    </row>
    <row r="270">
      <c r="A270" s="10" t="s">
        <v>304</v>
      </c>
      <c r="B270" s="3" t="s">
        <v>305</v>
      </c>
      <c r="C270" s="4" t="s">
        <v>8</v>
      </c>
      <c r="D270" s="5" t="s">
        <v>96</v>
      </c>
      <c r="E270" s="6" t="s">
        <v>315</v>
      </c>
    </row>
    <row r="271">
      <c r="A271" s="10" t="s">
        <v>304</v>
      </c>
      <c r="B271" s="3" t="s">
        <v>305</v>
      </c>
      <c r="C271" s="4" t="s">
        <v>8</v>
      </c>
      <c r="D271" s="5" t="s">
        <v>71</v>
      </c>
      <c r="E271" s="6" t="s">
        <v>316</v>
      </c>
    </row>
    <row r="272">
      <c r="A272" s="10" t="s">
        <v>304</v>
      </c>
      <c r="B272" s="3" t="s">
        <v>305</v>
      </c>
      <c r="C272" s="4" t="s">
        <v>8</v>
      </c>
      <c r="D272" s="5" t="s">
        <v>76</v>
      </c>
      <c r="E272" s="6" t="s">
        <v>317</v>
      </c>
    </row>
    <row r="273" hidden="1">
      <c r="A273" s="10" t="s">
        <v>304</v>
      </c>
      <c r="B273" s="3" t="s">
        <v>305</v>
      </c>
      <c r="C273" s="4" t="s">
        <v>3</v>
      </c>
      <c r="D273" s="5" t="s">
        <v>21</v>
      </c>
      <c r="E273" s="6" t="s">
        <v>318</v>
      </c>
    </row>
    <row r="274">
      <c r="A274" s="10" t="s">
        <v>304</v>
      </c>
      <c r="B274" s="3" t="s">
        <v>305</v>
      </c>
      <c r="C274" s="4" t="s">
        <v>8</v>
      </c>
      <c r="D274" s="5" t="s">
        <v>4</v>
      </c>
      <c r="E274" s="6" t="s">
        <v>319</v>
      </c>
    </row>
    <row r="275">
      <c r="A275" s="10" t="s">
        <v>304</v>
      </c>
      <c r="B275" s="3" t="s">
        <v>305</v>
      </c>
      <c r="C275" s="4" t="s">
        <v>8</v>
      </c>
      <c r="D275" s="5" t="s">
        <v>4</v>
      </c>
      <c r="E275" s="6" t="s">
        <v>320</v>
      </c>
    </row>
    <row r="276">
      <c r="A276" s="10" t="s">
        <v>304</v>
      </c>
      <c r="B276" s="3" t="s">
        <v>305</v>
      </c>
      <c r="C276" s="4" t="s">
        <v>8</v>
      </c>
      <c r="D276" s="5" t="s">
        <v>15</v>
      </c>
      <c r="E276" s="6" t="s">
        <v>321</v>
      </c>
    </row>
    <row r="277" hidden="1">
      <c r="A277" s="10" t="s">
        <v>304</v>
      </c>
      <c r="B277" s="3" t="s">
        <v>305</v>
      </c>
      <c r="C277" s="4" t="s">
        <v>3</v>
      </c>
      <c r="D277" s="5" t="s">
        <v>45</v>
      </c>
      <c r="E277" s="6" t="s">
        <v>322</v>
      </c>
    </row>
    <row r="278" hidden="1">
      <c r="A278" s="10" t="s">
        <v>304</v>
      </c>
      <c r="B278" s="3" t="s">
        <v>305</v>
      </c>
      <c r="C278" s="4" t="s">
        <v>3</v>
      </c>
      <c r="D278" s="5" t="s">
        <v>9</v>
      </c>
      <c r="E278" s="6" t="s">
        <v>323</v>
      </c>
    </row>
    <row r="279">
      <c r="A279" s="10" t="s">
        <v>304</v>
      </c>
      <c r="B279" s="3" t="s">
        <v>305</v>
      </c>
      <c r="C279" s="4" t="s">
        <v>8</v>
      </c>
      <c r="D279" s="5" t="s">
        <v>71</v>
      </c>
      <c r="E279" s="6" t="s">
        <v>324</v>
      </c>
    </row>
    <row r="280" hidden="1">
      <c r="A280" s="10" t="s">
        <v>304</v>
      </c>
      <c r="B280" s="3" t="s">
        <v>305</v>
      </c>
      <c r="C280" s="4" t="s">
        <v>3</v>
      </c>
      <c r="D280" s="5" t="s">
        <v>15</v>
      </c>
      <c r="E280" s="6" t="s">
        <v>325</v>
      </c>
    </row>
    <row r="281" hidden="1">
      <c r="A281" s="10" t="s">
        <v>326</v>
      </c>
      <c r="B281" s="3" t="s">
        <v>327</v>
      </c>
      <c r="C281" s="4" t="s">
        <v>3</v>
      </c>
      <c r="D281" s="5" t="s">
        <v>120</v>
      </c>
      <c r="E281" s="6" t="s">
        <v>328</v>
      </c>
    </row>
    <row r="282" hidden="1">
      <c r="A282" s="10" t="s">
        <v>326</v>
      </c>
      <c r="B282" s="3" t="s">
        <v>327</v>
      </c>
      <c r="C282" s="4" t="s">
        <v>3</v>
      </c>
      <c r="D282" s="5" t="s">
        <v>23</v>
      </c>
      <c r="E282" s="6" t="s">
        <v>329</v>
      </c>
    </row>
    <row r="283">
      <c r="A283" s="10" t="s">
        <v>326</v>
      </c>
      <c r="B283" s="3" t="s">
        <v>327</v>
      </c>
      <c r="C283" s="4" t="s">
        <v>8</v>
      </c>
      <c r="D283" s="5" t="s">
        <v>13</v>
      </c>
      <c r="E283" s="6" t="s">
        <v>330</v>
      </c>
    </row>
    <row r="284" hidden="1">
      <c r="A284" s="10" t="s">
        <v>326</v>
      </c>
      <c r="B284" s="3" t="s">
        <v>327</v>
      </c>
      <c r="C284" s="4" t="s">
        <v>3</v>
      </c>
      <c r="D284" s="5" t="s">
        <v>11</v>
      </c>
      <c r="E284" s="6" t="s">
        <v>331</v>
      </c>
    </row>
    <row r="285" hidden="1">
      <c r="A285" s="10" t="s">
        <v>326</v>
      </c>
      <c r="B285" s="3" t="s">
        <v>327</v>
      </c>
      <c r="C285" s="4" t="s">
        <v>3</v>
      </c>
      <c r="D285" s="5" t="s">
        <v>120</v>
      </c>
      <c r="E285" s="6" t="s">
        <v>332</v>
      </c>
    </row>
    <row r="286">
      <c r="A286" s="10" t="s">
        <v>326</v>
      </c>
      <c r="B286" s="3" t="s">
        <v>327</v>
      </c>
      <c r="C286" s="4" t="s">
        <v>8</v>
      </c>
      <c r="D286" s="5" t="s">
        <v>35</v>
      </c>
      <c r="E286" s="6" t="s">
        <v>237</v>
      </c>
    </row>
    <row r="287">
      <c r="A287" s="10" t="s">
        <v>326</v>
      </c>
      <c r="B287" s="3" t="s">
        <v>327</v>
      </c>
      <c r="C287" s="4" t="s">
        <v>8</v>
      </c>
      <c r="D287" s="5" t="s">
        <v>42</v>
      </c>
      <c r="E287" s="6" t="s">
        <v>333</v>
      </c>
    </row>
    <row r="288">
      <c r="A288" s="10" t="s">
        <v>326</v>
      </c>
      <c r="B288" s="3" t="s">
        <v>327</v>
      </c>
      <c r="C288" s="4" t="s">
        <v>8</v>
      </c>
      <c r="D288" s="5" t="s">
        <v>11</v>
      </c>
      <c r="E288" s="6" t="s">
        <v>334</v>
      </c>
    </row>
    <row r="289">
      <c r="A289" s="10" t="s">
        <v>326</v>
      </c>
      <c r="B289" s="3" t="s">
        <v>327</v>
      </c>
      <c r="C289" s="4" t="s">
        <v>8</v>
      </c>
      <c r="D289" s="5" t="s">
        <v>11</v>
      </c>
      <c r="E289" s="6" t="s">
        <v>335</v>
      </c>
    </row>
    <row r="290">
      <c r="A290" s="10" t="s">
        <v>326</v>
      </c>
      <c r="B290" s="3" t="s">
        <v>327</v>
      </c>
      <c r="C290" s="4" t="s">
        <v>8</v>
      </c>
      <c r="D290" s="5" t="s">
        <v>45</v>
      </c>
      <c r="E290" s="6" t="s">
        <v>336</v>
      </c>
    </row>
    <row r="291" hidden="1">
      <c r="A291" s="10" t="s">
        <v>326</v>
      </c>
      <c r="B291" s="3" t="s">
        <v>327</v>
      </c>
      <c r="C291" s="4" t="s">
        <v>3</v>
      </c>
      <c r="D291" s="5" t="s">
        <v>11</v>
      </c>
      <c r="E291" s="6" t="s">
        <v>337</v>
      </c>
    </row>
    <row r="292">
      <c r="A292" s="10" t="s">
        <v>326</v>
      </c>
      <c r="B292" s="3" t="s">
        <v>327</v>
      </c>
      <c r="C292" s="4" t="s">
        <v>8</v>
      </c>
      <c r="D292" s="5" t="s">
        <v>17</v>
      </c>
      <c r="E292" s="6" t="s">
        <v>338</v>
      </c>
    </row>
    <row r="293">
      <c r="A293" s="10" t="s">
        <v>326</v>
      </c>
      <c r="B293" s="3" t="s">
        <v>327</v>
      </c>
      <c r="C293" s="4" t="s">
        <v>8</v>
      </c>
      <c r="D293" s="5" t="s">
        <v>76</v>
      </c>
      <c r="E293" s="6" t="s">
        <v>339</v>
      </c>
    </row>
    <row r="294" hidden="1">
      <c r="A294" s="10" t="s">
        <v>326</v>
      </c>
      <c r="B294" s="3" t="s">
        <v>327</v>
      </c>
      <c r="C294" s="4" t="s">
        <v>3</v>
      </c>
      <c r="D294" s="5" t="s">
        <v>21</v>
      </c>
      <c r="E294" s="6" t="s">
        <v>340</v>
      </c>
    </row>
    <row r="295" hidden="1">
      <c r="A295" s="10" t="s">
        <v>326</v>
      </c>
      <c r="B295" s="3" t="s">
        <v>327</v>
      </c>
      <c r="C295" s="4" t="s">
        <v>3</v>
      </c>
      <c r="D295" s="5" t="s">
        <v>51</v>
      </c>
      <c r="E295" s="6" t="s">
        <v>341</v>
      </c>
    </row>
    <row r="296">
      <c r="A296" s="10" t="s">
        <v>326</v>
      </c>
      <c r="B296" s="3" t="s">
        <v>327</v>
      </c>
      <c r="C296" s="4" t="s">
        <v>8</v>
      </c>
      <c r="D296" s="5" t="s">
        <v>42</v>
      </c>
      <c r="E296" s="6" t="s">
        <v>302</v>
      </c>
    </row>
    <row r="297" hidden="1">
      <c r="A297" s="10" t="s">
        <v>326</v>
      </c>
      <c r="B297" s="3" t="s">
        <v>327</v>
      </c>
      <c r="C297" s="4" t="s">
        <v>3</v>
      </c>
      <c r="D297" s="5" t="s">
        <v>4</v>
      </c>
      <c r="E297" s="6" t="s">
        <v>342</v>
      </c>
    </row>
    <row r="298" hidden="1">
      <c r="A298" s="10" t="s">
        <v>326</v>
      </c>
      <c r="B298" s="3" t="s">
        <v>327</v>
      </c>
      <c r="C298" s="4" t="s">
        <v>3</v>
      </c>
      <c r="D298" s="5" t="s">
        <v>15</v>
      </c>
      <c r="E298" s="6" t="s">
        <v>343</v>
      </c>
    </row>
    <row r="299">
      <c r="A299" s="10" t="s">
        <v>326</v>
      </c>
      <c r="B299" s="3" t="s">
        <v>327</v>
      </c>
      <c r="C299" s="4" t="s">
        <v>8</v>
      </c>
      <c r="D299" s="5" t="s">
        <v>28</v>
      </c>
      <c r="E299" s="6" t="s">
        <v>344</v>
      </c>
    </row>
    <row r="300" hidden="1">
      <c r="A300" s="10" t="s">
        <v>326</v>
      </c>
      <c r="B300" s="3" t="s">
        <v>327</v>
      </c>
      <c r="C300" s="4" t="s">
        <v>3</v>
      </c>
      <c r="D300" s="5" t="s">
        <v>28</v>
      </c>
      <c r="E300" s="6" t="s">
        <v>345</v>
      </c>
    </row>
    <row r="301">
      <c r="A301" s="10" t="s">
        <v>346</v>
      </c>
      <c r="B301" s="3" t="s">
        <v>347</v>
      </c>
      <c r="C301" s="4" t="s">
        <v>8</v>
      </c>
      <c r="D301" s="5" t="s">
        <v>23</v>
      </c>
      <c r="E301" s="6" t="s">
        <v>348</v>
      </c>
    </row>
    <row r="302">
      <c r="A302" s="10" t="s">
        <v>346</v>
      </c>
      <c r="B302" s="3" t="s">
        <v>347</v>
      </c>
      <c r="C302" s="4" t="s">
        <v>8</v>
      </c>
      <c r="D302" s="5" t="s">
        <v>28</v>
      </c>
      <c r="E302" s="6" t="s">
        <v>349</v>
      </c>
    </row>
    <row r="303" hidden="1">
      <c r="A303" s="10" t="s">
        <v>346</v>
      </c>
      <c r="B303" s="3" t="s">
        <v>347</v>
      </c>
      <c r="C303" s="4" t="s">
        <v>3</v>
      </c>
      <c r="D303" s="5" t="s">
        <v>6</v>
      </c>
      <c r="E303" s="6" t="s">
        <v>350</v>
      </c>
    </row>
    <row r="304" hidden="1">
      <c r="A304" s="10" t="s">
        <v>346</v>
      </c>
      <c r="B304" s="3" t="s">
        <v>347</v>
      </c>
      <c r="C304" s="4" t="s">
        <v>3</v>
      </c>
      <c r="D304" s="5" t="s">
        <v>51</v>
      </c>
      <c r="E304" s="6" t="s">
        <v>351</v>
      </c>
    </row>
    <row r="305">
      <c r="A305" s="10" t="s">
        <v>346</v>
      </c>
      <c r="B305" s="3" t="s">
        <v>347</v>
      </c>
      <c r="C305" s="4" t="s">
        <v>8</v>
      </c>
      <c r="D305" s="5" t="s">
        <v>21</v>
      </c>
      <c r="E305" s="6" t="s">
        <v>352</v>
      </c>
    </row>
    <row r="306" hidden="1">
      <c r="A306" s="10" t="s">
        <v>346</v>
      </c>
      <c r="B306" s="3" t="s">
        <v>347</v>
      </c>
      <c r="C306" s="4" t="s">
        <v>3</v>
      </c>
      <c r="D306" s="5" t="s">
        <v>15</v>
      </c>
      <c r="E306" s="6" t="s">
        <v>353</v>
      </c>
    </row>
    <row r="307">
      <c r="A307" s="10" t="s">
        <v>346</v>
      </c>
      <c r="B307" s="3" t="s">
        <v>347</v>
      </c>
      <c r="C307" s="4" t="s">
        <v>8</v>
      </c>
      <c r="D307" s="5" t="s">
        <v>45</v>
      </c>
      <c r="E307" s="6" t="s">
        <v>354</v>
      </c>
    </row>
    <row r="308">
      <c r="A308" s="10" t="s">
        <v>346</v>
      </c>
      <c r="B308" s="3" t="s">
        <v>347</v>
      </c>
      <c r="C308" s="4" t="s">
        <v>8</v>
      </c>
      <c r="D308" s="5" t="s">
        <v>71</v>
      </c>
      <c r="E308" s="6" t="s">
        <v>329</v>
      </c>
    </row>
    <row r="309">
      <c r="A309" s="10" t="s">
        <v>346</v>
      </c>
      <c r="B309" s="3" t="s">
        <v>347</v>
      </c>
      <c r="C309" s="4" t="s">
        <v>8</v>
      </c>
      <c r="D309" s="5" t="s">
        <v>45</v>
      </c>
      <c r="E309" s="6" t="s">
        <v>355</v>
      </c>
    </row>
    <row r="310" hidden="1">
      <c r="A310" s="10" t="s">
        <v>346</v>
      </c>
      <c r="B310" s="3" t="s">
        <v>347</v>
      </c>
      <c r="C310" s="4" t="s">
        <v>3</v>
      </c>
      <c r="D310" s="5" t="s">
        <v>51</v>
      </c>
      <c r="E310" s="6" t="s">
        <v>356</v>
      </c>
    </row>
    <row r="311" hidden="1">
      <c r="A311" s="10" t="s">
        <v>346</v>
      </c>
      <c r="B311" s="3" t="s">
        <v>347</v>
      </c>
      <c r="C311" s="4" t="s">
        <v>3</v>
      </c>
      <c r="D311" s="5" t="s">
        <v>23</v>
      </c>
      <c r="E311" s="6" t="s">
        <v>357</v>
      </c>
    </row>
    <row r="312" hidden="1">
      <c r="A312" s="10" t="s">
        <v>346</v>
      </c>
      <c r="B312" s="3" t="s">
        <v>347</v>
      </c>
      <c r="C312" s="4" t="s">
        <v>3</v>
      </c>
      <c r="D312" s="5" t="s">
        <v>4</v>
      </c>
      <c r="E312" s="6" t="s">
        <v>358</v>
      </c>
    </row>
    <row r="313" hidden="1">
      <c r="A313" s="10" t="s">
        <v>346</v>
      </c>
      <c r="B313" s="3" t="s">
        <v>347</v>
      </c>
      <c r="C313" s="4" t="s">
        <v>3</v>
      </c>
      <c r="D313" s="5" t="s">
        <v>9</v>
      </c>
      <c r="E313" s="6" t="s">
        <v>359</v>
      </c>
    </row>
    <row r="314" hidden="1">
      <c r="A314" s="10" t="s">
        <v>346</v>
      </c>
      <c r="B314" s="3" t="s">
        <v>347</v>
      </c>
      <c r="C314" s="4" t="s">
        <v>3</v>
      </c>
      <c r="D314" s="5" t="s">
        <v>13</v>
      </c>
      <c r="E314" s="6" t="s">
        <v>360</v>
      </c>
    </row>
    <row r="315" hidden="1">
      <c r="A315" s="10" t="s">
        <v>346</v>
      </c>
      <c r="B315" s="3" t="s">
        <v>347</v>
      </c>
      <c r="C315" s="4" t="s">
        <v>3</v>
      </c>
      <c r="D315" s="5" t="s">
        <v>17</v>
      </c>
      <c r="E315" s="6" t="s">
        <v>361</v>
      </c>
    </row>
    <row r="316">
      <c r="A316" s="10" t="s">
        <v>346</v>
      </c>
      <c r="B316" s="3" t="s">
        <v>347</v>
      </c>
      <c r="C316" s="4" t="s">
        <v>8</v>
      </c>
      <c r="D316" s="5" t="s">
        <v>39</v>
      </c>
      <c r="E316" s="6" t="s">
        <v>362</v>
      </c>
    </row>
    <row r="317" hidden="1">
      <c r="A317" s="10" t="s">
        <v>346</v>
      </c>
      <c r="B317" s="3" t="s">
        <v>347</v>
      </c>
      <c r="C317" s="4" t="s">
        <v>3</v>
      </c>
      <c r="D317" s="5" t="s">
        <v>11</v>
      </c>
      <c r="E317" s="6" t="s">
        <v>363</v>
      </c>
    </row>
    <row r="318" hidden="1">
      <c r="A318" s="10" t="s">
        <v>346</v>
      </c>
      <c r="B318" s="3" t="s">
        <v>347</v>
      </c>
      <c r="C318" s="4" t="s">
        <v>3</v>
      </c>
      <c r="D318" s="5" t="s">
        <v>39</v>
      </c>
      <c r="E318" s="6" t="s">
        <v>364</v>
      </c>
    </row>
    <row r="319">
      <c r="A319" s="10" t="s">
        <v>346</v>
      </c>
      <c r="B319" s="3" t="s">
        <v>347</v>
      </c>
      <c r="C319" s="4" t="s">
        <v>8</v>
      </c>
      <c r="D319" s="5" t="s">
        <v>6</v>
      </c>
      <c r="E319" s="6" t="s">
        <v>365</v>
      </c>
    </row>
    <row r="320" hidden="1">
      <c r="A320" s="10" t="s">
        <v>346</v>
      </c>
      <c r="B320" s="3" t="s">
        <v>347</v>
      </c>
      <c r="C320" s="4" t="s">
        <v>3</v>
      </c>
      <c r="D320" s="5" t="s">
        <v>15</v>
      </c>
      <c r="E320" s="6" t="s">
        <v>366</v>
      </c>
    </row>
    <row r="321">
      <c r="A321" s="10" t="s">
        <v>367</v>
      </c>
      <c r="B321" s="3" t="s">
        <v>368</v>
      </c>
      <c r="C321" s="4" t="s">
        <v>8</v>
      </c>
      <c r="D321" s="5" t="s">
        <v>15</v>
      </c>
      <c r="E321" s="6" t="s">
        <v>369</v>
      </c>
    </row>
    <row r="322" hidden="1">
      <c r="A322" s="10" t="s">
        <v>367</v>
      </c>
      <c r="B322" s="3" t="s">
        <v>368</v>
      </c>
      <c r="C322" s="4" t="s">
        <v>3</v>
      </c>
      <c r="D322" s="5" t="s">
        <v>39</v>
      </c>
      <c r="E322" s="6" t="s">
        <v>370</v>
      </c>
    </row>
    <row r="323" hidden="1">
      <c r="A323" s="10" t="s">
        <v>367</v>
      </c>
      <c r="B323" s="3" t="s">
        <v>368</v>
      </c>
      <c r="C323" s="4" t="s">
        <v>3</v>
      </c>
      <c r="D323" s="5" t="s">
        <v>19</v>
      </c>
      <c r="E323" s="6" t="s">
        <v>371</v>
      </c>
    </row>
    <row r="324">
      <c r="A324" s="10" t="s">
        <v>367</v>
      </c>
      <c r="B324" s="3" t="s">
        <v>368</v>
      </c>
      <c r="C324" s="4" t="s">
        <v>8</v>
      </c>
      <c r="D324" s="5" t="s">
        <v>6</v>
      </c>
      <c r="E324" s="6" t="s">
        <v>372</v>
      </c>
    </row>
    <row r="325">
      <c r="A325" s="10" t="s">
        <v>367</v>
      </c>
      <c r="B325" s="3" t="s">
        <v>368</v>
      </c>
      <c r="C325" s="4" t="s">
        <v>8</v>
      </c>
      <c r="D325" s="5" t="s">
        <v>51</v>
      </c>
      <c r="E325" s="6" t="s">
        <v>373</v>
      </c>
    </row>
    <row r="326" hidden="1">
      <c r="A326" s="10" t="s">
        <v>367</v>
      </c>
      <c r="B326" s="3" t="s">
        <v>368</v>
      </c>
      <c r="C326" s="4" t="s">
        <v>3</v>
      </c>
      <c r="D326" s="5" t="s">
        <v>51</v>
      </c>
      <c r="E326" s="6" t="s">
        <v>374</v>
      </c>
    </row>
    <row r="327" hidden="1">
      <c r="A327" s="10" t="s">
        <v>367</v>
      </c>
      <c r="B327" s="3" t="s">
        <v>368</v>
      </c>
      <c r="C327" s="4" t="s">
        <v>3</v>
      </c>
      <c r="D327" s="5" t="s">
        <v>6</v>
      </c>
      <c r="E327" s="6" t="s">
        <v>375</v>
      </c>
    </row>
    <row r="328" hidden="1">
      <c r="A328" s="10" t="s">
        <v>367</v>
      </c>
      <c r="B328" s="3" t="s">
        <v>368</v>
      </c>
      <c r="C328" s="4" t="s">
        <v>3</v>
      </c>
      <c r="D328" s="5" t="s">
        <v>45</v>
      </c>
      <c r="E328" s="6" t="s">
        <v>376</v>
      </c>
    </row>
    <row r="329" hidden="1">
      <c r="A329" s="10" t="s">
        <v>367</v>
      </c>
      <c r="B329" s="3" t="s">
        <v>368</v>
      </c>
      <c r="C329" s="4" t="s">
        <v>3</v>
      </c>
      <c r="D329" s="5" t="s">
        <v>120</v>
      </c>
      <c r="E329" s="6" t="s">
        <v>377</v>
      </c>
    </row>
    <row r="330" hidden="1">
      <c r="A330" s="10" t="s">
        <v>367</v>
      </c>
      <c r="B330" s="3" t="s">
        <v>368</v>
      </c>
      <c r="C330" s="4" t="s">
        <v>3</v>
      </c>
      <c r="D330" s="5" t="s">
        <v>71</v>
      </c>
      <c r="E330" s="6" t="s">
        <v>378</v>
      </c>
    </row>
    <row r="331" hidden="1">
      <c r="A331" s="10" t="s">
        <v>367</v>
      </c>
      <c r="B331" s="3" t="s">
        <v>368</v>
      </c>
      <c r="C331" s="4" t="s">
        <v>3</v>
      </c>
      <c r="D331" s="5" t="s">
        <v>4</v>
      </c>
      <c r="E331" s="6" t="s">
        <v>379</v>
      </c>
    </row>
    <row r="332">
      <c r="A332" s="10" t="s">
        <v>367</v>
      </c>
      <c r="B332" s="3" t="s">
        <v>368</v>
      </c>
      <c r="C332" s="4" t="s">
        <v>8</v>
      </c>
      <c r="D332" s="5" t="s">
        <v>13</v>
      </c>
      <c r="E332" s="6" t="s">
        <v>380</v>
      </c>
    </row>
    <row r="333">
      <c r="A333" s="10" t="s">
        <v>367</v>
      </c>
      <c r="B333" s="3" t="s">
        <v>368</v>
      </c>
      <c r="C333" s="4" t="s">
        <v>8</v>
      </c>
      <c r="D333" s="5" t="s">
        <v>39</v>
      </c>
      <c r="E333" s="6" t="s">
        <v>381</v>
      </c>
    </row>
    <row r="334">
      <c r="A334" s="10" t="s">
        <v>367</v>
      </c>
      <c r="B334" s="3" t="s">
        <v>368</v>
      </c>
      <c r="C334" s="4" t="s">
        <v>8</v>
      </c>
      <c r="D334" s="5" t="s">
        <v>51</v>
      </c>
      <c r="E334" s="6" t="s">
        <v>382</v>
      </c>
    </row>
    <row r="335" hidden="1">
      <c r="A335" s="10" t="s">
        <v>367</v>
      </c>
      <c r="B335" s="3" t="s">
        <v>368</v>
      </c>
      <c r="C335" s="4" t="s">
        <v>3</v>
      </c>
      <c r="D335" s="5" t="s">
        <v>21</v>
      </c>
      <c r="E335" s="6" t="s">
        <v>383</v>
      </c>
    </row>
    <row r="336" hidden="1">
      <c r="A336" s="10" t="s">
        <v>367</v>
      </c>
      <c r="B336" s="3" t="s">
        <v>368</v>
      </c>
      <c r="C336" s="4" t="s">
        <v>3</v>
      </c>
      <c r="D336" s="5" t="s">
        <v>21</v>
      </c>
      <c r="E336" s="6" t="s">
        <v>384</v>
      </c>
    </row>
    <row r="337">
      <c r="A337" s="10" t="s">
        <v>367</v>
      </c>
      <c r="B337" s="3" t="s">
        <v>368</v>
      </c>
      <c r="C337" s="4" t="s">
        <v>8</v>
      </c>
      <c r="D337" s="5" t="s">
        <v>45</v>
      </c>
      <c r="E337" s="6" t="s">
        <v>385</v>
      </c>
    </row>
    <row r="338">
      <c r="A338" s="10" t="s">
        <v>367</v>
      </c>
      <c r="B338" s="3" t="s">
        <v>368</v>
      </c>
      <c r="C338" s="4" t="s">
        <v>8</v>
      </c>
      <c r="D338" s="5" t="s">
        <v>9</v>
      </c>
      <c r="E338" s="6" t="s">
        <v>386</v>
      </c>
    </row>
    <row r="339" hidden="1">
      <c r="A339" s="10" t="s">
        <v>367</v>
      </c>
      <c r="B339" s="3" t="s">
        <v>368</v>
      </c>
      <c r="C339" s="4" t="s">
        <v>3</v>
      </c>
      <c r="D339" s="5" t="s">
        <v>23</v>
      </c>
      <c r="E339" s="6" t="s">
        <v>387</v>
      </c>
    </row>
    <row r="340" hidden="1">
      <c r="A340" s="10" t="s">
        <v>367</v>
      </c>
      <c r="B340" s="3" t="s">
        <v>368</v>
      </c>
      <c r="C340" s="4" t="s">
        <v>3</v>
      </c>
      <c r="D340" s="5" t="s">
        <v>11</v>
      </c>
      <c r="E340" s="6" t="s">
        <v>388</v>
      </c>
    </row>
    <row r="341" hidden="1">
      <c r="A341" s="10" t="s">
        <v>389</v>
      </c>
      <c r="B341" s="3" t="s">
        <v>390</v>
      </c>
      <c r="C341" s="4" t="s">
        <v>3</v>
      </c>
      <c r="D341" s="5" t="s">
        <v>45</v>
      </c>
      <c r="E341" s="6" t="s">
        <v>293</v>
      </c>
    </row>
    <row r="342">
      <c r="A342" s="10" t="s">
        <v>389</v>
      </c>
      <c r="B342" s="3" t="s">
        <v>390</v>
      </c>
      <c r="C342" s="4" t="s">
        <v>8</v>
      </c>
      <c r="D342" s="5" t="s">
        <v>39</v>
      </c>
      <c r="E342" s="6" t="s">
        <v>391</v>
      </c>
    </row>
    <row r="343" hidden="1">
      <c r="A343" s="10" t="s">
        <v>389</v>
      </c>
      <c r="B343" s="3" t="s">
        <v>390</v>
      </c>
      <c r="C343" s="4" t="s">
        <v>3</v>
      </c>
      <c r="D343" s="5" t="s">
        <v>45</v>
      </c>
      <c r="E343" s="6" t="s">
        <v>392</v>
      </c>
    </row>
    <row r="344" hidden="1">
      <c r="A344" s="10" t="s">
        <v>389</v>
      </c>
      <c r="B344" s="3" t="s">
        <v>390</v>
      </c>
      <c r="C344" s="4" t="s">
        <v>3</v>
      </c>
      <c r="D344" s="5" t="s">
        <v>76</v>
      </c>
      <c r="E344" s="6" t="s">
        <v>393</v>
      </c>
    </row>
    <row r="345">
      <c r="A345" s="10" t="s">
        <v>389</v>
      </c>
      <c r="B345" s="3" t="s">
        <v>390</v>
      </c>
      <c r="C345" s="4" t="s">
        <v>8</v>
      </c>
      <c r="D345" s="5" t="s">
        <v>6</v>
      </c>
      <c r="E345" s="6" t="s">
        <v>394</v>
      </c>
    </row>
    <row r="346" hidden="1">
      <c r="A346" s="10" t="s">
        <v>389</v>
      </c>
      <c r="B346" s="3" t="s">
        <v>390</v>
      </c>
      <c r="C346" s="4" t="s">
        <v>3</v>
      </c>
      <c r="D346" s="5" t="s">
        <v>9</v>
      </c>
      <c r="E346" s="6" t="s">
        <v>395</v>
      </c>
    </row>
    <row r="347" hidden="1">
      <c r="A347" s="10" t="s">
        <v>389</v>
      </c>
      <c r="B347" s="3" t="s">
        <v>390</v>
      </c>
      <c r="C347" s="4" t="s">
        <v>3</v>
      </c>
      <c r="D347" s="5" t="s">
        <v>21</v>
      </c>
      <c r="E347" s="6" t="s">
        <v>396</v>
      </c>
    </row>
    <row r="348">
      <c r="A348" s="10" t="s">
        <v>389</v>
      </c>
      <c r="B348" s="3" t="s">
        <v>390</v>
      </c>
      <c r="C348" s="4" t="s">
        <v>8</v>
      </c>
      <c r="D348" s="5" t="s">
        <v>120</v>
      </c>
      <c r="E348" s="6" t="s">
        <v>397</v>
      </c>
    </row>
    <row r="349">
      <c r="A349" s="10" t="s">
        <v>389</v>
      </c>
      <c r="B349" s="3" t="s">
        <v>390</v>
      </c>
      <c r="C349" s="4" t="s">
        <v>8</v>
      </c>
      <c r="D349" s="5" t="s">
        <v>28</v>
      </c>
      <c r="E349" s="6" t="s">
        <v>398</v>
      </c>
    </row>
    <row r="350">
      <c r="A350" s="10" t="s">
        <v>389</v>
      </c>
      <c r="B350" s="3" t="s">
        <v>390</v>
      </c>
      <c r="C350" s="4" t="s">
        <v>8</v>
      </c>
      <c r="D350" s="5" t="s">
        <v>35</v>
      </c>
      <c r="E350" s="6" t="s">
        <v>399</v>
      </c>
    </row>
    <row r="351" hidden="1">
      <c r="A351" s="10" t="s">
        <v>389</v>
      </c>
      <c r="B351" s="3" t="s">
        <v>390</v>
      </c>
      <c r="C351" s="4" t="s">
        <v>3</v>
      </c>
      <c r="D351" s="5" t="s">
        <v>45</v>
      </c>
      <c r="E351" s="6" t="s">
        <v>400</v>
      </c>
    </row>
    <row r="352">
      <c r="A352" s="10" t="s">
        <v>389</v>
      </c>
      <c r="B352" s="3" t="s">
        <v>390</v>
      </c>
      <c r="C352" s="4" t="s">
        <v>8</v>
      </c>
      <c r="D352" s="5" t="s">
        <v>19</v>
      </c>
      <c r="E352" s="6" t="s">
        <v>401</v>
      </c>
    </row>
    <row r="353" hidden="1">
      <c r="A353" s="10" t="s">
        <v>389</v>
      </c>
      <c r="B353" s="3" t="s">
        <v>390</v>
      </c>
      <c r="C353" s="4" t="s">
        <v>3</v>
      </c>
      <c r="D353" s="5" t="s">
        <v>9</v>
      </c>
      <c r="E353" s="6" t="s">
        <v>179</v>
      </c>
    </row>
    <row r="354">
      <c r="A354" s="10" t="s">
        <v>389</v>
      </c>
      <c r="B354" s="3" t="s">
        <v>390</v>
      </c>
      <c r="C354" s="4" t="s">
        <v>8</v>
      </c>
      <c r="D354" s="5" t="s">
        <v>35</v>
      </c>
      <c r="E354" s="6" t="s">
        <v>402</v>
      </c>
    </row>
    <row r="355">
      <c r="A355" s="10" t="s">
        <v>389</v>
      </c>
      <c r="B355" s="3" t="s">
        <v>390</v>
      </c>
      <c r="C355" s="4" t="s">
        <v>8</v>
      </c>
      <c r="D355" s="5" t="s">
        <v>9</v>
      </c>
      <c r="E355" s="6" t="s">
        <v>276</v>
      </c>
    </row>
    <row r="356">
      <c r="A356" s="10" t="s">
        <v>389</v>
      </c>
      <c r="B356" s="3" t="s">
        <v>390</v>
      </c>
      <c r="C356" s="4" t="s">
        <v>8</v>
      </c>
      <c r="D356" s="5" t="s">
        <v>9</v>
      </c>
      <c r="E356" s="6" t="s">
        <v>403</v>
      </c>
    </row>
    <row r="357" hidden="1">
      <c r="A357" s="10" t="s">
        <v>389</v>
      </c>
      <c r="B357" s="3" t="s">
        <v>390</v>
      </c>
      <c r="C357" s="4" t="s">
        <v>3</v>
      </c>
      <c r="D357" s="5" t="s">
        <v>4</v>
      </c>
      <c r="E357" s="6" t="s">
        <v>404</v>
      </c>
    </row>
    <row r="358" hidden="1">
      <c r="A358" s="10" t="s">
        <v>389</v>
      </c>
      <c r="B358" s="3" t="s">
        <v>390</v>
      </c>
      <c r="C358" s="4" t="s">
        <v>3</v>
      </c>
      <c r="D358" s="5" t="s">
        <v>45</v>
      </c>
      <c r="E358" s="6" t="s">
        <v>405</v>
      </c>
    </row>
    <row r="359" hidden="1">
      <c r="A359" s="10" t="s">
        <v>389</v>
      </c>
      <c r="B359" s="3" t="s">
        <v>390</v>
      </c>
      <c r="C359" s="4" t="s">
        <v>3</v>
      </c>
      <c r="D359" s="5" t="s">
        <v>21</v>
      </c>
      <c r="E359" s="6" t="s">
        <v>406</v>
      </c>
    </row>
    <row r="360">
      <c r="A360" s="10" t="s">
        <v>389</v>
      </c>
      <c r="B360" s="3" t="s">
        <v>390</v>
      </c>
      <c r="C360" s="4" t="s">
        <v>8</v>
      </c>
      <c r="D360" s="5" t="s">
        <v>23</v>
      </c>
      <c r="E360" s="6" t="s">
        <v>407</v>
      </c>
    </row>
    <row r="361">
      <c r="A361" s="10" t="s">
        <v>408</v>
      </c>
      <c r="B361" s="3" t="s">
        <v>409</v>
      </c>
      <c r="C361" s="4" t="s">
        <v>8</v>
      </c>
      <c r="D361" s="5" t="s">
        <v>45</v>
      </c>
      <c r="E361" s="6" t="s">
        <v>410</v>
      </c>
    </row>
    <row r="362" hidden="1">
      <c r="A362" s="10" t="s">
        <v>408</v>
      </c>
      <c r="B362" s="3" t="s">
        <v>409</v>
      </c>
      <c r="C362" s="4" t="s">
        <v>3</v>
      </c>
      <c r="D362" s="5" t="s">
        <v>11</v>
      </c>
      <c r="E362" s="6" t="s">
        <v>411</v>
      </c>
    </row>
    <row r="363">
      <c r="A363" s="10" t="s">
        <v>408</v>
      </c>
      <c r="B363" s="3" t="s">
        <v>409</v>
      </c>
      <c r="C363" s="4" t="s">
        <v>8</v>
      </c>
      <c r="D363" s="5" t="s">
        <v>23</v>
      </c>
      <c r="E363" s="6" t="s">
        <v>412</v>
      </c>
    </row>
    <row r="364" hidden="1">
      <c r="A364" s="10" t="s">
        <v>408</v>
      </c>
      <c r="B364" s="3" t="s">
        <v>409</v>
      </c>
      <c r="C364" s="4" t="s">
        <v>3</v>
      </c>
      <c r="D364" s="5" t="s">
        <v>51</v>
      </c>
      <c r="E364" s="6" t="s">
        <v>413</v>
      </c>
    </row>
    <row r="365">
      <c r="A365" s="10" t="s">
        <v>408</v>
      </c>
      <c r="B365" s="3" t="s">
        <v>409</v>
      </c>
      <c r="C365" s="4" t="s">
        <v>8</v>
      </c>
      <c r="D365" s="5" t="s">
        <v>11</v>
      </c>
      <c r="E365" s="6" t="s">
        <v>414</v>
      </c>
    </row>
    <row r="366" hidden="1">
      <c r="A366" s="10" t="s">
        <v>408</v>
      </c>
      <c r="B366" s="3" t="s">
        <v>409</v>
      </c>
      <c r="C366" s="4" t="s">
        <v>3</v>
      </c>
      <c r="D366" s="5" t="s">
        <v>96</v>
      </c>
      <c r="E366" s="6" t="s">
        <v>415</v>
      </c>
    </row>
    <row r="367">
      <c r="A367" s="10" t="s">
        <v>408</v>
      </c>
      <c r="B367" s="3" t="s">
        <v>409</v>
      </c>
      <c r="C367" s="4" t="s">
        <v>8</v>
      </c>
      <c r="D367" s="5" t="s">
        <v>28</v>
      </c>
      <c r="E367" s="6" t="s">
        <v>416</v>
      </c>
    </row>
    <row r="368">
      <c r="A368" s="10" t="s">
        <v>408</v>
      </c>
      <c r="B368" s="3" t="s">
        <v>409</v>
      </c>
      <c r="C368" s="4" t="s">
        <v>8</v>
      </c>
      <c r="D368" s="5" t="s">
        <v>45</v>
      </c>
      <c r="E368" s="6" t="s">
        <v>417</v>
      </c>
    </row>
    <row r="369" hidden="1">
      <c r="A369" s="10" t="s">
        <v>408</v>
      </c>
      <c r="B369" s="3" t="s">
        <v>409</v>
      </c>
      <c r="C369" s="4" t="s">
        <v>3</v>
      </c>
      <c r="D369" s="5" t="s">
        <v>19</v>
      </c>
      <c r="E369" s="6" t="s">
        <v>418</v>
      </c>
    </row>
    <row r="370" hidden="1">
      <c r="A370" s="10" t="s">
        <v>408</v>
      </c>
      <c r="B370" s="3" t="s">
        <v>409</v>
      </c>
      <c r="C370" s="4" t="s">
        <v>3</v>
      </c>
      <c r="D370" s="5" t="s">
        <v>11</v>
      </c>
      <c r="E370" s="6" t="s">
        <v>419</v>
      </c>
    </row>
    <row r="371" hidden="1">
      <c r="A371" s="10" t="s">
        <v>408</v>
      </c>
      <c r="B371" s="3" t="s">
        <v>409</v>
      </c>
      <c r="C371" s="4" t="s">
        <v>3</v>
      </c>
      <c r="D371" s="5" t="s">
        <v>6</v>
      </c>
      <c r="E371" s="6" t="s">
        <v>420</v>
      </c>
    </row>
    <row r="372" hidden="1">
      <c r="A372" s="10" t="s">
        <v>408</v>
      </c>
      <c r="B372" s="3" t="s">
        <v>409</v>
      </c>
      <c r="C372" s="4" t="s">
        <v>3</v>
      </c>
      <c r="D372" s="5" t="s">
        <v>4</v>
      </c>
      <c r="E372" s="6" t="s">
        <v>421</v>
      </c>
    </row>
    <row r="373">
      <c r="A373" s="10" t="s">
        <v>408</v>
      </c>
      <c r="B373" s="3" t="s">
        <v>409</v>
      </c>
      <c r="C373" s="4" t="s">
        <v>8</v>
      </c>
      <c r="D373" s="5" t="s">
        <v>21</v>
      </c>
      <c r="E373" s="6" t="s">
        <v>422</v>
      </c>
    </row>
    <row r="374">
      <c r="A374" s="10" t="s">
        <v>408</v>
      </c>
      <c r="B374" s="3" t="s">
        <v>409</v>
      </c>
      <c r="C374" s="4" t="s">
        <v>8</v>
      </c>
      <c r="D374" s="5" t="s">
        <v>17</v>
      </c>
      <c r="E374" s="6" t="s">
        <v>423</v>
      </c>
    </row>
    <row r="375">
      <c r="A375" s="10" t="s">
        <v>408</v>
      </c>
      <c r="B375" s="3" t="s">
        <v>409</v>
      </c>
      <c r="C375" s="4" t="s">
        <v>8</v>
      </c>
      <c r="D375" s="5" t="s">
        <v>120</v>
      </c>
      <c r="E375" s="6" t="s">
        <v>424</v>
      </c>
    </row>
    <row r="376">
      <c r="A376" s="10" t="s">
        <v>408</v>
      </c>
      <c r="B376" s="3" t="s">
        <v>409</v>
      </c>
      <c r="C376" s="4" t="s">
        <v>8</v>
      </c>
      <c r="D376" s="5" t="s">
        <v>71</v>
      </c>
      <c r="E376" s="6" t="s">
        <v>425</v>
      </c>
    </row>
    <row r="377">
      <c r="A377" s="10" t="s">
        <v>408</v>
      </c>
      <c r="B377" s="3" t="s">
        <v>409</v>
      </c>
      <c r="C377" s="4" t="s">
        <v>8</v>
      </c>
      <c r="D377" s="5" t="s">
        <v>21</v>
      </c>
      <c r="E377" s="6" t="s">
        <v>426</v>
      </c>
    </row>
    <row r="378">
      <c r="A378" s="10" t="s">
        <v>408</v>
      </c>
      <c r="B378" s="3" t="s">
        <v>409</v>
      </c>
      <c r="C378" s="4" t="s">
        <v>8</v>
      </c>
      <c r="D378" s="5" t="s">
        <v>21</v>
      </c>
      <c r="E378" s="6" t="s">
        <v>427</v>
      </c>
    </row>
    <row r="379" hidden="1">
      <c r="A379" s="10" t="s">
        <v>408</v>
      </c>
      <c r="B379" s="3" t="s">
        <v>409</v>
      </c>
      <c r="C379" s="4" t="s">
        <v>3</v>
      </c>
      <c r="D379" s="5" t="s">
        <v>42</v>
      </c>
      <c r="E379" s="6" t="s">
        <v>428</v>
      </c>
    </row>
    <row r="380" hidden="1">
      <c r="A380" s="10" t="s">
        <v>408</v>
      </c>
      <c r="B380" s="3" t="s">
        <v>409</v>
      </c>
      <c r="C380" s="4" t="s">
        <v>3</v>
      </c>
      <c r="D380" s="5" t="s">
        <v>51</v>
      </c>
      <c r="E380" s="6" t="s">
        <v>255</v>
      </c>
    </row>
    <row r="381">
      <c r="A381" s="10" t="s">
        <v>429</v>
      </c>
      <c r="B381" s="3" t="s">
        <v>430</v>
      </c>
      <c r="C381" s="4" t="s">
        <v>8</v>
      </c>
      <c r="D381" s="5" t="s">
        <v>6</v>
      </c>
      <c r="E381" s="6" t="s">
        <v>431</v>
      </c>
    </row>
    <row r="382" hidden="1">
      <c r="A382" s="10" t="s">
        <v>429</v>
      </c>
      <c r="B382" s="3" t="s">
        <v>430</v>
      </c>
      <c r="C382" s="4" t="s">
        <v>3</v>
      </c>
      <c r="D382" s="5" t="s">
        <v>35</v>
      </c>
      <c r="E382" s="6" t="s">
        <v>432</v>
      </c>
    </row>
    <row r="383">
      <c r="A383" s="10" t="s">
        <v>429</v>
      </c>
      <c r="B383" s="3" t="s">
        <v>430</v>
      </c>
      <c r="C383" s="4" t="s">
        <v>8</v>
      </c>
      <c r="D383" s="5" t="s">
        <v>71</v>
      </c>
      <c r="E383" s="6" t="s">
        <v>433</v>
      </c>
    </row>
    <row r="384">
      <c r="A384" s="10" t="s">
        <v>429</v>
      </c>
      <c r="B384" s="3" t="s">
        <v>430</v>
      </c>
      <c r="C384" s="4" t="s">
        <v>8</v>
      </c>
      <c r="D384" s="5" t="s">
        <v>35</v>
      </c>
      <c r="E384" s="6" t="s">
        <v>434</v>
      </c>
    </row>
    <row r="385">
      <c r="A385" s="10" t="s">
        <v>429</v>
      </c>
      <c r="B385" s="3" t="s">
        <v>430</v>
      </c>
      <c r="C385" s="4" t="s">
        <v>8</v>
      </c>
      <c r="D385" s="5" t="s">
        <v>42</v>
      </c>
      <c r="E385" s="6" t="s">
        <v>208</v>
      </c>
    </row>
    <row r="386" hidden="1">
      <c r="A386" s="10" t="s">
        <v>429</v>
      </c>
      <c r="B386" s="3" t="s">
        <v>430</v>
      </c>
      <c r="C386" s="4" t="s">
        <v>3</v>
      </c>
      <c r="D386" s="5" t="s">
        <v>42</v>
      </c>
      <c r="E386" s="6" t="s">
        <v>435</v>
      </c>
    </row>
    <row r="387">
      <c r="A387" s="10" t="s">
        <v>429</v>
      </c>
      <c r="B387" s="3" t="s">
        <v>430</v>
      </c>
      <c r="C387" s="4" t="s">
        <v>8</v>
      </c>
      <c r="D387" s="5" t="s">
        <v>76</v>
      </c>
      <c r="E387" s="6" t="s">
        <v>436</v>
      </c>
    </row>
    <row r="388" hidden="1">
      <c r="A388" s="10" t="s">
        <v>429</v>
      </c>
      <c r="B388" s="3" t="s">
        <v>430</v>
      </c>
      <c r="C388" s="4" t="s">
        <v>3</v>
      </c>
      <c r="D388" s="5" t="s">
        <v>39</v>
      </c>
      <c r="E388" s="6" t="s">
        <v>437</v>
      </c>
    </row>
    <row r="389">
      <c r="A389" s="10" t="s">
        <v>429</v>
      </c>
      <c r="B389" s="3" t="s">
        <v>430</v>
      </c>
      <c r="C389" s="4" t="s">
        <v>8</v>
      </c>
      <c r="D389" s="5" t="s">
        <v>71</v>
      </c>
      <c r="E389" s="6" t="s">
        <v>438</v>
      </c>
    </row>
    <row r="390" hidden="1">
      <c r="A390" s="10" t="s">
        <v>429</v>
      </c>
      <c r="B390" s="3" t="s">
        <v>430</v>
      </c>
      <c r="C390" s="4" t="s">
        <v>3</v>
      </c>
      <c r="D390" s="5" t="s">
        <v>42</v>
      </c>
      <c r="E390" s="6" t="s">
        <v>439</v>
      </c>
    </row>
    <row r="391" hidden="1">
      <c r="A391" s="10" t="s">
        <v>429</v>
      </c>
      <c r="B391" s="3" t="s">
        <v>430</v>
      </c>
      <c r="C391" s="4" t="s">
        <v>3</v>
      </c>
      <c r="D391" s="5" t="s">
        <v>28</v>
      </c>
      <c r="E391" s="6" t="s">
        <v>440</v>
      </c>
    </row>
    <row r="392" hidden="1">
      <c r="A392" s="10" t="s">
        <v>429</v>
      </c>
      <c r="B392" s="3" t="s">
        <v>430</v>
      </c>
      <c r="C392" s="4" t="s">
        <v>3</v>
      </c>
      <c r="D392" s="5" t="s">
        <v>21</v>
      </c>
      <c r="E392" s="6" t="s">
        <v>441</v>
      </c>
    </row>
    <row r="393">
      <c r="A393" s="10" t="s">
        <v>429</v>
      </c>
      <c r="B393" s="3" t="s">
        <v>430</v>
      </c>
      <c r="C393" s="4" t="s">
        <v>8</v>
      </c>
      <c r="D393" s="5" t="s">
        <v>45</v>
      </c>
      <c r="E393" s="6" t="s">
        <v>442</v>
      </c>
    </row>
    <row r="394" hidden="1">
      <c r="A394" s="10" t="s">
        <v>429</v>
      </c>
      <c r="B394" s="3" t="s">
        <v>430</v>
      </c>
      <c r="C394" s="4" t="s">
        <v>3</v>
      </c>
      <c r="D394" s="5" t="s">
        <v>120</v>
      </c>
      <c r="E394" s="6" t="s">
        <v>443</v>
      </c>
    </row>
    <row r="395" hidden="1">
      <c r="A395" s="10" t="s">
        <v>429</v>
      </c>
      <c r="B395" s="3" t="s">
        <v>430</v>
      </c>
      <c r="C395" s="4" t="s">
        <v>3</v>
      </c>
      <c r="D395" s="5" t="s">
        <v>120</v>
      </c>
      <c r="E395" s="6" t="s">
        <v>444</v>
      </c>
    </row>
    <row r="396" hidden="1">
      <c r="A396" s="10" t="s">
        <v>429</v>
      </c>
      <c r="B396" s="3" t="s">
        <v>430</v>
      </c>
      <c r="C396" s="4" t="s">
        <v>3</v>
      </c>
      <c r="D396" s="5" t="s">
        <v>13</v>
      </c>
      <c r="E396" s="6" t="s">
        <v>445</v>
      </c>
    </row>
    <row r="397">
      <c r="A397" s="10" t="s">
        <v>429</v>
      </c>
      <c r="B397" s="3" t="s">
        <v>430</v>
      </c>
      <c r="C397" s="4" t="s">
        <v>8</v>
      </c>
      <c r="D397" s="5" t="s">
        <v>11</v>
      </c>
      <c r="E397" s="6" t="s">
        <v>446</v>
      </c>
    </row>
    <row r="398">
      <c r="A398" s="10" t="s">
        <v>429</v>
      </c>
      <c r="B398" s="3" t="s">
        <v>430</v>
      </c>
      <c r="C398" s="4" t="s">
        <v>8</v>
      </c>
      <c r="D398" s="5" t="s">
        <v>120</v>
      </c>
      <c r="E398" s="6" t="s">
        <v>447</v>
      </c>
    </row>
    <row r="399" hidden="1">
      <c r="A399" s="10" t="s">
        <v>429</v>
      </c>
      <c r="B399" s="3" t="s">
        <v>430</v>
      </c>
      <c r="C399" s="4" t="s">
        <v>3</v>
      </c>
      <c r="D399" s="5" t="s">
        <v>28</v>
      </c>
      <c r="E399" s="6" t="s">
        <v>448</v>
      </c>
    </row>
    <row r="400" hidden="1">
      <c r="A400" s="10" t="s">
        <v>429</v>
      </c>
      <c r="B400" s="3" t="s">
        <v>430</v>
      </c>
      <c r="C400" s="4" t="s">
        <v>3</v>
      </c>
      <c r="D400" s="5" t="s">
        <v>23</v>
      </c>
      <c r="E400" s="6" t="s">
        <v>449</v>
      </c>
    </row>
    <row r="401" hidden="1">
      <c r="A401" s="10" t="s">
        <v>450</v>
      </c>
      <c r="B401" s="3" t="s">
        <v>451</v>
      </c>
      <c r="C401" s="4" t="s">
        <v>3</v>
      </c>
      <c r="D401" s="5" t="s">
        <v>15</v>
      </c>
      <c r="E401" s="6" t="s">
        <v>452</v>
      </c>
    </row>
    <row r="402" hidden="1">
      <c r="A402" s="10" t="s">
        <v>450</v>
      </c>
      <c r="B402" s="3" t="s">
        <v>451</v>
      </c>
      <c r="C402" s="4" t="s">
        <v>3</v>
      </c>
      <c r="D402" s="5" t="s">
        <v>96</v>
      </c>
      <c r="E402" s="6" t="s">
        <v>453</v>
      </c>
    </row>
    <row r="403" hidden="1">
      <c r="A403" s="10" t="s">
        <v>450</v>
      </c>
      <c r="B403" s="3" t="s">
        <v>451</v>
      </c>
      <c r="C403" s="4" t="s">
        <v>3</v>
      </c>
      <c r="D403" s="5" t="s">
        <v>17</v>
      </c>
      <c r="E403" s="6" t="s">
        <v>454</v>
      </c>
    </row>
    <row r="404" hidden="1">
      <c r="A404" s="10" t="s">
        <v>450</v>
      </c>
      <c r="B404" s="3" t="s">
        <v>451</v>
      </c>
      <c r="C404" s="4" t="s">
        <v>3</v>
      </c>
      <c r="D404" s="5" t="s">
        <v>42</v>
      </c>
      <c r="E404" s="6" t="s">
        <v>455</v>
      </c>
    </row>
    <row r="405" hidden="1">
      <c r="A405" s="10" t="s">
        <v>450</v>
      </c>
      <c r="B405" s="3" t="s">
        <v>451</v>
      </c>
      <c r="C405" s="4" t="s">
        <v>3</v>
      </c>
      <c r="D405" s="5" t="s">
        <v>21</v>
      </c>
      <c r="E405" s="6" t="s">
        <v>456</v>
      </c>
    </row>
    <row r="406" hidden="1">
      <c r="A406" s="10" t="s">
        <v>450</v>
      </c>
      <c r="B406" s="3" t="s">
        <v>451</v>
      </c>
      <c r="C406" s="4" t="s">
        <v>3</v>
      </c>
      <c r="D406" s="5" t="s">
        <v>4</v>
      </c>
      <c r="E406" s="6" t="s">
        <v>457</v>
      </c>
    </row>
    <row r="407" hidden="1">
      <c r="A407" s="10" t="s">
        <v>450</v>
      </c>
      <c r="B407" s="3" t="s">
        <v>451</v>
      </c>
      <c r="C407" s="4" t="s">
        <v>3</v>
      </c>
      <c r="D407" s="5" t="s">
        <v>96</v>
      </c>
      <c r="E407" s="6" t="s">
        <v>458</v>
      </c>
    </row>
    <row r="408">
      <c r="A408" s="10" t="s">
        <v>450</v>
      </c>
      <c r="B408" s="3" t="s">
        <v>451</v>
      </c>
      <c r="C408" s="4" t="s">
        <v>8</v>
      </c>
      <c r="D408" s="5" t="s">
        <v>120</v>
      </c>
      <c r="E408" s="6" t="s">
        <v>459</v>
      </c>
    </row>
    <row r="409" hidden="1">
      <c r="A409" s="10" t="s">
        <v>450</v>
      </c>
      <c r="B409" s="3" t="s">
        <v>451</v>
      </c>
      <c r="C409" s="4" t="s">
        <v>3</v>
      </c>
      <c r="D409" s="5" t="s">
        <v>4</v>
      </c>
      <c r="E409" s="6" t="s">
        <v>460</v>
      </c>
    </row>
    <row r="410" hidden="1">
      <c r="A410" s="10" t="s">
        <v>450</v>
      </c>
      <c r="B410" s="3" t="s">
        <v>451</v>
      </c>
      <c r="C410" s="4" t="s">
        <v>3</v>
      </c>
      <c r="D410" s="5" t="s">
        <v>15</v>
      </c>
      <c r="E410" s="6" t="s">
        <v>257</v>
      </c>
    </row>
    <row r="411">
      <c r="A411" s="10" t="s">
        <v>450</v>
      </c>
      <c r="B411" s="3" t="s">
        <v>451</v>
      </c>
      <c r="C411" s="4" t="s">
        <v>8</v>
      </c>
      <c r="D411" s="5" t="s">
        <v>19</v>
      </c>
      <c r="E411" s="6" t="s">
        <v>461</v>
      </c>
    </row>
    <row r="412" hidden="1">
      <c r="A412" s="10" t="s">
        <v>450</v>
      </c>
      <c r="B412" s="3" t="s">
        <v>451</v>
      </c>
      <c r="C412" s="4" t="s">
        <v>3</v>
      </c>
      <c r="D412" s="5" t="s">
        <v>13</v>
      </c>
      <c r="E412" s="6" t="s">
        <v>462</v>
      </c>
    </row>
    <row r="413">
      <c r="A413" s="10" t="s">
        <v>450</v>
      </c>
      <c r="B413" s="3" t="s">
        <v>451</v>
      </c>
      <c r="C413" s="4" t="s">
        <v>8</v>
      </c>
      <c r="D413" s="5" t="s">
        <v>45</v>
      </c>
      <c r="E413" s="6" t="s">
        <v>463</v>
      </c>
    </row>
    <row r="414">
      <c r="A414" s="10" t="s">
        <v>450</v>
      </c>
      <c r="B414" s="3" t="s">
        <v>451</v>
      </c>
      <c r="C414" s="4" t="s">
        <v>8</v>
      </c>
      <c r="D414" s="5" t="s">
        <v>4</v>
      </c>
      <c r="E414" s="6" t="s">
        <v>464</v>
      </c>
    </row>
    <row r="415" hidden="1">
      <c r="A415" s="10" t="s">
        <v>450</v>
      </c>
      <c r="B415" s="3" t="s">
        <v>451</v>
      </c>
      <c r="C415" s="4" t="s">
        <v>3</v>
      </c>
      <c r="D415" s="5" t="s">
        <v>51</v>
      </c>
      <c r="E415" s="6" t="s">
        <v>97</v>
      </c>
    </row>
    <row r="416" hidden="1">
      <c r="A416" s="10" t="s">
        <v>450</v>
      </c>
      <c r="B416" s="3" t="s">
        <v>451</v>
      </c>
      <c r="C416" s="4" t="s">
        <v>3</v>
      </c>
      <c r="D416" s="5" t="s">
        <v>11</v>
      </c>
      <c r="E416" s="6" t="s">
        <v>465</v>
      </c>
    </row>
    <row r="417" hidden="1">
      <c r="A417" s="10" t="s">
        <v>450</v>
      </c>
      <c r="B417" s="3" t="s">
        <v>451</v>
      </c>
      <c r="C417" s="4" t="s">
        <v>3</v>
      </c>
      <c r="D417" s="5" t="s">
        <v>35</v>
      </c>
      <c r="E417" s="6" t="s">
        <v>466</v>
      </c>
    </row>
    <row r="418">
      <c r="A418" s="10" t="s">
        <v>450</v>
      </c>
      <c r="B418" s="3" t="s">
        <v>451</v>
      </c>
      <c r="C418" s="4" t="s">
        <v>8</v>
      </c>
      <c r="D418" s="5" t="s">
        <v>23</v>
      </c>
      <c r="E418" s="6" t="s">
        <v>467</v>
      </c>
    </row>
    <row r="419">
      <c r="A419" s="10" t="s">
        <v>450</v>
      </c>
      <c r="B419" s="3" t="s">
        <v>451</v>
      </c>
      <c r="C419" s="4" t="s">
        <v>8</v>
      </c>
      <c r="D419" s="5" t="s">
        <v>11</v>
      </c>
      <c r="E419" s="6" t="s">
        <v>468</v>
      </c>
    </row>
    <row r="420" hidden="1">
      <c r="A420" s="10" t="s">
        <v>450</v>
      </c>
      <c r="B420" s="3" t="s">
        <v>451</v>
      </c>
      <c r="C420" s="4" t="s">
        <v>3</v>
      </c>
      <c r="D420" s="5" t="s">
        <v>13</v>
      </c>
      <c r="E420" s="6" t="s">
        <v>469</v>
      </c>
    </row>
    <row r="421" hidden="1">
      <c r="A421" s="10" t="s">
        <v>470</v>
      </c>
      <c r="B421" s="3" t="s">
        <v>471</v>
      </c>
      <c r="C421" s="4" t="s">
        <v>3</v>
      </c>
      <c r="D421" s="5" t="s">
        <v>42</v>
      </c>
      <c r="E421" s="6" t="s">
        <v>472</v>
      </c>
    </row>
    <row r="422" hidden="1">
      <c r="A422" s="10" t="s">
        <v>470</v>
      </c>
      <c r="B422" s="3" t="s">
        <v>471</v>
      </c>
      <c r="C422" s="4" t="s">
        <v>3</v>
      </c>
      <c r="D422" s="5" t="s">
        <v>6</v>
      </c>
      <c r="E422" s="6" t="s">
        <v>473</v>
      </c>
    </row>
    <row r="423" hidden="1">
      <c r="A423" s="10" t="s">
        <v>470</v>
      </c>
      <c r="B423" s="3" t="s">
        <v>471</v>
      </c>
      <c r="C423" s="4" t="s">
        <v>3</v>
      </c>
      <c r="D423" s="5" t="s">
        <v>76</v>
      </c>
      <c r="E423" s="6" t="s">
        <v>474</v>
      </c>
    </row>
    <row r="424">
      <c r="A424" s="10" t="s">
        <v>470</v>
      </c>
      <c r="B424" s="3" t="s">
        <v>471</v>
      </c>
      <c r="C424" s="4" t="s">
        <v>8</v>
      </c>
      <c r="D424" s="5" t="s">
        <v>15</v>
      </c>
      <c r="E424" s="6" t="s">
        <v>475</v>
      </c>
    </row>
    <row r="425" hidden="1">
      <c r="A425" s="10" t="s">
        <v>470</v>
      </c>
      <c r="B425" s="3" t="s">
        <v>471</v>
      </c>
      <c r="C425" s="4" t="s">
        <v>3</v>
      </c>
      <c r="D425" s="5" t="s">
        <v>28</v>
      </c>
      <c r="E425" s="6" t="s">
        <v>476</v>
      </c>
    </row>
    <row r="426" hidden="1">
      <c r="A426" s="10" t="s">
        <v>470</v>
      </c>
      <c r="B426" s="3" t="s">
        <v>471</v>
      </c>
      <c r="C426" s="4" t="s">
        <v>3</v>
      </c>
      <c r="D426" s="5" t="s">
        <v>28</v>
      </c>
      <c r="E426" s="6" t="s">
        <v>477</v>
      </c>
    </row>
    <row r="427" hidden="1">
      <c r="A427" s="10" t="s">
        <v>470</v>
      </c>
      <c r="B427" s="3" t="s">
        <v>471</v>
      </c>
      <c r="C427" s="4" t="s">
        <v>3</v>
      </c>
      <c r="D427" s="5" t="s">
        <v>45</v>
      </c>
      <c r="E427" s="6" t="s">
        <v>478</v>
      </c>
    </row>
    <row r="428" hidden="1">
      <c r="A428" s="10" t="s">
        <v>470</v>
      </c>
      <c r="B428" s="3" t="s">
        <v>471</v>
      </c>
      <c r="C428" s="4" t="s">
        <v>3</v>
      </c>
      <c r="D428" s="5" t="s">
        <v>39</v>
      </c>
      <c r="E428" s="6" t="s">
        <v>479</v>
      </c>
    </row>
    <row r="429" hidden="1">
      <c r="A429" s="10" t="s">
        <v>470</v>
      </c>
      <c r="B429" s="3" t="s">
        <v>471</v>
      </c>
      <c r="C429" s="4" t="s">
        <v>3</v>
      </c>
      <c r="D429" s="5" t="s">
        <v>6</v>
      </c>
      <c r="E429" s="6" t="s">
        <v>480</v>
      </c>
    </row>
    <row r="430">
      <c r="A430" s="10" t="s">
        <v>470</v>
      </c>
      <c r="B430" s="3" t="s">
        <v>471</v>
      </c>
      <c r="C430" s="4" t="s">
        <v>8</v>
      </c>
      <c r="D430" s="5" t="s">
        <v>51</v>
      </c>
      <c r="E430" s="6" t="s">
        <v>481</v>
      </c>
    </row>
    <row r="431" hidden="1">
      <c r="A431" s="10" t="s">
        <v>470</v>
      </c>
      <c r="B431" s="3" t="s">
        <v>471</v>
      </c>
      <c r="C431" s="4" t="s">
        <v>3</v>
      </c>
      <c r="D431" s="5" t="s">
        <v>45</v>
      </c>
      <c r="E431" s="6" t="s">
        <v>482</v>
      </c>
    </row>
    <row r="432">
      <c r="A432" s="10" t="s">
        <v>470</v>
      </c>
      <c r="B432" s="3" t="s">
        <v>471</v>
      </c>
      <c r="C432" s="4" t="s">
        <v>8</v>
      </c>
      <c r="D432" s="5" t="s">
        <v>51</v>
      </c>
      <c r="E432" s="6" t="s">
        <v>483</v>
      </c>
    </row>
    <row r="433">
      <c r="A433" s="10" t="s">
        <v>470</v>
      </c>
      <c r="B433" s="3" t="s">
        <v>471</v>
      </c>
      <c r="C433" s="4" t="s">
        <v>8</v>
      </c>
      <c r="D433" s="5" t="s">
        <v>71</v>
      </c>
      <c r="E433" s="6" t="s">
        <v>484</v>
      </c>
    </row>
    <row r="434">
      <c r="A434" s="10" t="s">
        <v>470</v>
      </c>
      <c r="B434" s="3" t="s">
        <v>471</v>
      </c>
      <c r="C434" s="4" t="s">
        <v>8</v>
      </c>
      <c r="D434" s="5" t="s">
        <v>9</v>
      </c>
      <c r="E434" s="6" t="s">
        <v>485</v>
      </c>
    </row>
    <row r="435">
      <c r="A435" s="10" t="s">
        <v>470</v>
      </c>
      <c r="B435" s="3" t="s">
        <v>471</v>
      </c>
      <c r="C435" s="4" t="s">
        <v>8</v>
      </c>
      <c r="D435" s="5" t="s">
        <v>17</v>
      </c>
      <c r="E435" s="6" t="s">
        <v>330</v>
      </c>
    </row>
    <row r="436" hidden="1">
      <c r="A436" s="10" t="s">
        <v>470</v>
      </c>
      <c r="B436" s="3" t="s">
        <v>471</v>
      </c>
      <c r="C436" s="4" t="s">
        <v>3</v>
      </c>
      <c r="D436" s="5" t="s">
        <v>51</v>
      </c>
      <c r="E436" s="6" t="s">
        <v>486</v>
      </c>
    </row>
    <row r="437" hidden="1">
      <c r="A437" s="10" t="s">
        <v>470</v>
      </c>
      <c r="B437" s="3" t="s">
        <v>471</v>
      </c>
      <c r="C437" s="4" t="s">
        <v>3</v>
      </c>
      <c r="D437" s="5" t="s">
        <v>76</v>
      </c>
      <c r="E437" s="6" t="s">
        <v>487</v>
      </c>
    </row>
    <row r="438">
      <c r="A438" s="10" t="s">
        <v>470</v>
      </c>
      <c r="B438" s="3" t="s">
        <v>471</v>
      </c>
      <c r="C438" s="4" t="s">
        <v>8</v>
      </c>
      <c r="D438" s="5" t="s">
        <v>17</v>
      </c>
      <c r="E438" s="6" t="s">
        <v>488</v>
      </c>
    </row>
    <row r="439" hidden="1">
      <c r="A439" s="10" t="s">
        <v>470</v>
      </c>
      <c r="B439" s="3" t="s">
        <v>471</v>
      </c>
      <c r="C439" s="4" t="s">
        <v>3</v>
      </c>
      <c r="D439" s="5" t="s">
        <v>120</v>
      </c>
      <c r="E439" s="6" t="s">
        <v>231</v>
      </c>
    </row>
    <row r="440">
      <c r="A440" s="10" t="s">
        <v>470</v>
      </c>
      <c r="B440" s="3" t="s">
        <v>471</v>
      </c>
      <c r="C440" s="4" t="s">
        <v>8</v>
      </c>
      <c r="D440" s="5" t="s">
        <v>39</v>
      </c>
      <c r="E440" s="6" t="s">
        <v>489</v>
      </c>
    </row>
    <row r="441">
      <c r="A441" s="10" t="s">
        <v>490</v>
      </c>
      <c r="B441" s="3" t="s">
        <v>491</v>
      </c>
      <c r="C441" s="4" t="s">
        <v>8</v>
      </c>
      <c r="D441" s="5" t="s">
        <v>35</v>
      </c>
      <c r="E441" s="6" t="s">
        <v>492</v>
      </c>
    </row>
    <row r="442" hidden="1">
      <c r="A442" s="10" t="s">
        <v>490</v>
      </c>
      <c r="B442" s="3" t="s">
        <v>491</v>
      </c>
      <c r="C442" s="4" t="s">
        <v>3</v>
      </c>
      <c r="D442" s="5" t="s">
        <v>71</v>
      </c>
      <c r="E442" s="6" t="s">
        <v>493</v>
      </c>
    </row>
    <row r="443">
      <c r="A443" s="10" t="s">
        <v>490</v>
      </c>
      <c r="B443" s="3" t="s">
        <v>491</v>
      </c>
      <c r="C443" s="4" t="s">
        <v>8</v>
      </c>
      <c r="D443" s="5" t="s">
        <v>23</v>
      </c>
      <c r="E443" s="6" t="s">
        <v>494</v>
      </c>
    </row>
    <row r="444">
      <c r="A444" s="10" t="s">
        <v>490</v>
      </c>
      <c r="B444" s="3" t="s">
        <v>491</v>
      </c>
      <c r="C444" s="4" t="s">
        <v>8</v>
      </c>
      <c r="D444" s="5" t="s">
        <v>28</v>
      </c>
      <c r="E444" s="6" t="s">
        <v>495</v>
      </c>
    </row>
    <row r="445">
      <c r="A445" s="10" t="s">
        <v>490</v>
      </c>
      <c r="B445" s="3" t="s">
        <v>491</v>
      </c>
      <c r="C445" s="4" t="s">
        <v>8</v>
      </c>
      <c r="D445" s="5" t="s">
        <v>13</v>
      </c>
      <c r="E445" s="6" t="s">
        <v>496</v>
      </c>
    </row>
    <row r="446" hidden="1">
      <c r="A446" s="10" t="s">
        <v>490</v>
      </c>
      <c r="B446" s="3" t="s">
        <v>491</v>
      </c>
      <c r="C446" s="4" t="s">
        <v>3</v>
      </c>
      <c r="D446" s="5" t="s">
        <v>120</v>
      </c>
      <c r="E446" s="6" t="s">
        <v>497</v>
      </c>
    </row>
    <row r="447" hidden="1">
      <c r="A447" s="10" t="s">
        <v>490</v>
      </c>
      <c r="B447" s="3" t="s">
        <v>491</v>
      </c>
      <c r="C447" s="4" t="s">
        <v>3</v>
      </c>
      <c r="D447" s="5" t="s">
        <v>23</v>
      </c>
      <c r="E447" s="6" t="s">
        <v>498</v>
      </c>
    </row>
    <row r="448" hidden="1">
      <c r="A448" s="10" t="s">
        <v>490</v>
      </c>
      <c r="B448" s="3" t="s">
        <v>491</v>
      </c>
      <c r="C448" s="4" t="s">
        <v>3</v>
      </c>
      <c r="D448" s="5" t="s">
        <v>15</v>
      </c>
      <c r="E448" s="6" t="s">
        <v>499</v>
      </c>
    </row>
    <row r="449">
      <c r="A449" s="10" t="s">
        <v>490</v>
      </c>
      <c r="B449" s="3" t="s">
        <v>491</v>
      </c>
      <c r="C449" s="4" t="s">
        <v>8</v>
      </c>
      <c r="D449" s="5" t="s">
        <v>51</v>
      </c>
      <c r="E449" s="6" t="s">
        <v>500</v>
      </c>
    </row>
    <row r="450" hidden="1">
      <c r="A450" s="10" t="s">
        <v>490</v>
      </c>
      <c r="B450" s="3" t="s">
        <v>491</v>
      </c>
      <c r="C450" s="4" t="s">
        <v>3</v>
      </c>
      <c r="D450" s="5" t="s">
        <v>96</v>
      </c>
      <c r="E450" s="6" t="s">
        <v>501</v>
      </c>
    </row>
    <row r="451" hidden="1">
      <c r="A451" s="10" t="s">
        <v>490</v>
      </c>
      <c r="B451" s="3" t="s">
        <v>491</v>
      </c>
      <c r="C451" s="4" t="s">
        <v>3</v>
      </c>
      <c r="D451" s="5" t="s">
        <v>23</v>
      </c>
      <c r="E451" s="6" t="s">
        <v>502</v>
      </c>
    </row>
    <row r="452" hidden="1">
      <c r="A452" s="10" t="s">
        <v>490</v>
      </c>
      <c r="B452" s="3" t="s">
        <v>491</v>
      </c>
      <c r="C452" s="4" t="s">
        <v>3</v>
      </c>
      <c r="D452" s="5" t="s">
        <v>120</v>
      </c>
      <c r="E452" s="6" t="s">
        <v>503</v>
      </c>
    </row>
    <row r="453" hidden="1">
      <c r="A453" s="10" t="s">
        <v>490</v>
      </c>
      <c r="B453" s="3" t="s">
        <v>491</v>
      </c>
      <c r="C453" s="4" t="s">
        <v>3</v>
      </c>
      <c r="D453" s="5" t="s">
        <v>42</v>
      </c>
      <c r="E453" s="6" t="s">
        <v>504</v>
      </c>
    </row>
    <row r="454" hidden="1">
      <c r="A454" s="10" t="s">
        <v>490</v>
      </c>
      <c r="B454" s="3" t="s">
        <v>491</v>
      </c>
      <c r="C454" s="4" t="s">
        <v>3</v>
      </c>
      <c r="D454" s="5" t="s">
        <v>9</v>
      </c>
      <c r="E454" s="6" t="s">
        <v>505</v>
      </c>
    </row>
    <row r="455" hidden="1">
      <c r="A455" s="10" t="s">
        <v>490</v>
      </c>
      <c r="B455" s="3" t="s">
        <v>491</v>
      </c>
      <c r="C455" s="4" t="s">
        <v>3</v>
      </c>
      <c r="D455" s="5" t="s">
        <v>42</v>
      </c>
      <c r="E455" s="6" t="s">
        <v>107</v>
      </c>
    </row>
    <row r="456" hidden="1">
      <c r="A456" s="10" t="s">
        <v>490</v>
      </c>
      <c r="B456" s="3" t="s">
        <v>491</v>
      </c>
      <c r="C456" s="4" t="s">
        <v>3</v>
      </c>
      <c r="D456" s="5" t="s">
        <v>51</v>
      </c>
      <c r="E456" s="6" t="s">
        <v>506</v>
      </c>
    </row>
    <row r="457">
      <c r="A457" s="10" t="s">
        <v>490</v>
      </c>
      <c r="B457" s="3" t="s">
        <v>491</v>
      </c>
      <c r="C457" s="4" t="s">
        <v>8</v>
      </c>
      <c r="D457" s="5" t="s">
        <v>9</v>
      </c>
      <c r="E457" s="6" t="s">
        <v>507</v>
      </c>
    </row>
    <row r="458" hidden="1">
      <c r="A458" s="10" t="s">
        <v>490</v>
      </c>
      <c r="B458" s="3" t="s">
        <v>491</v>
      </c>
      <c r="C458" s="4" t="s">
        <v>3</v>
      </c>
      <c r="D458" s="5" t="s">
        <v>13</v>
      </c>
      <c r="E458" s="6" t="s">
        <v>508</v>
      </c>
    </row>
    <row r="459" hidden="1">
      <c r="A459" s="10" t="s">
        <v>490</v>
      </c>
      <c r="B459" s="3" t="s">
        <v>491</v>
      </c>
      <c r="C459" s="4" t="s">
        <v>3</v>
      </c>
      <c r="D459" s="5" t="s">
        <v>21</v>
      </c>
      <c r="E459" s="6" t="s">
        <v>509</v>
      </c>
    </row>
    <row r="460">
      <c r="A460" s="10" t="s">
        <v>490</v>
      </c>
      <c r="B460" s="3" t="s">
        <v>491</v>
      </c>
      <c r="C460" s="4" t="s">
        <v>8</v>
      </c>
      <c r="D460" s="5" t="s">
        <v>35</v>
      </c>
      <c r="E460" s="6" t="s">
        <v>510</v>
      </c>
    </row>
    <row r="461" hidden="1">
      <c r="A461" s="10" t="s">
        <v>511</v>
      </c>
      <c r="B461" s="3" t="s">
        <v>512</v>
      </c>
      <c r="C461" s="4" t="s">
        <v>3</v>
      </c>
      <c r="D461" s="5" t="s">
        <v>35</v>
      </c>
      <c r="E461" s="6" t="s">
        <v>513</v>
      </c>
    </row>
    <row r="462">
      <c r="A462" s="10" t="s">
        <v>511</v>
      </c>
      <c r="B462" s="3" t="s">
        <v>512</v>
      </c>
      <c r="C462" s="4" t="s">
        <v>8</v>
      </c>
      <c r="D462" s="5" t="s">
        <v>17</v>
      </c>
      <c r="E462" s="6" t="s">
        <v>514</v>
      </c>
    </row>
    <row r="463" hidden="1">
      <c r="A463" s="10" t="s">
        <v>511</v>
      </c>
      <c r="B463" s="3" t="s">
        <v>512</v>
      </c>
      <c r="C463" s="4" t="s">
        <v>3</v>
      </c>
      <c r="D463" s="5" t="s">
        <v>71</v>
      </c>
      <c r="E463" s="6" t="s">
        <v>515</v>
      </c>
    </row>
    <row r="464">
      <c r="A464" s="10" t="s">
        <v>511</v>
      </c>
      <c r="B464" s="3" t="s">
        <v>512</v>
      </c>
      <c r="C464" s="4" t="s">
        <v>8</v>
      </c>
      <c r="D464" s="5" t="s">
        <v>21</v>
      </c>
      <c r="E464" s="6" t="s">
        <v>516</v>
      </c>
    </row>
    <row r="465">
      <c r="A465" s="10" t="s">
        <v>511</v>
      </c>
      <c r="B465" s="3" t="s">
        <v>512</v>
      </c>
      <c r="C465" s="4" t="s">
        <v>8</v>
      </c>
      <c r="D465" s="5" t="s">
        <v>35</v>
      </c>
      <c r="E465" s="6" t="s">
        <v>517</v>
      </c>
    </row>
    <row r="466">
      <c r="A466" s="10" t="s">
        <v>511</v>
      </c>
      <c r="B466" s="3" t="s">
        <v>512</v>
      </c>
      <c r="C466" s="4" t="s">
        <v>8</v>
      </c>
      <c r="D466" s="5" t="s">
        <v>11</v>
      </c>
      <c r="E466" s="6" t="s">
        <v>518</v>
      </c>
    </row>
    <row r="467">
      <c r="A467" s="10" t="s">
        <v>511</v>
      </c>
      <c r="B467" s="3" t="s">
        <v>512</v>
      </c>
      <c r="C467" s="4" t="s">
        <v>8</v>
      </c>
      <c r="D467" s="5" t="s">
        <v>28</v>
      </c>
      <c r="E467" s="6" t="s">
        <v>519</v>
      </c>
    </row>
    <row r="468">
      <c r="A468" s="10" t="s">
        <v>511</v>
      </c>
      <c r="B468" s="3" t="s">
        <v>512</v>
      </c>
      <c r="C468" s="4" t="s">
        <v>8</v>
      </c>
      <c r="D468" s="5" t="s">
        <v>23</v>
      </c>
      <c r="E468" s="6" t="s">
        <v>520</v>
      </c>
    </row>
    <row r="469" hidden="1">
      <c r="A469" s="10" t="s">
        <v>511</v>
      </c>
      <c r="B469" s="3" t="s">
        <v>512</v>
      </c>
      <c r="C469" s="4" t="s">
        <v>3</v>
      </c>
      <c r="D469" s="5" t="s">
        <v>42</v>
      </c>
      <c r="E469" s="6" t="s">
        <v>521</v>
      </c>
    </row>
    <row r="470">
      <c r="A470" s="10" t="s">
        <v>511</v>
      </c>
      <c r="B470" s="3" t="s">
        <v>512</v>
      </c>
      <c r="C470" s="4" t="s">
        <v>8</v>
      </c>
      <c r="D470" s="5" t="s">
        <v>19</v>
      </c>
      <c r="E470" s="6" t="s">
        <v>522</v>
      </c>
    </row>
    <row r="471">
      <c r="A471" s="10" t="s">
        <v>511</v>
      </c>
      <c r="B471" s="3" t="s">
        <v>512</v>
      </c>
      <c r="C471" s="4" t="s">
        <v>8</v>
      </c>
      <c r="D471" s="5" t="s">
        <v>23</v>
      </c>
      <c r="E471" s="6" t="s">
        <v>523</v>
      </c>
    </row>
    <row r="472" hidden="1">
      <c r="A472" s="10" t="s">
        <v>511</v>
      </c>
      <c r="B472" s="3" t="s">
        <v>512</v>
      </c>
      <c r="C472" s="4" t="s">
        <v>3</v>
      </c>
      <c r="D472" s="5" t="s">
        <v>19</v>
      </c>
      <c r="E472" s="6" t="s">
        <v>524</v>
      </c>
    </row>
    <row r="473">
      <c r="A473" s="10" t="s">
        <v>511</v>
      </c>
      <c r="B473" s="3" t="s">
        <v>512</v>
      </c>
      <c r="C473" s="4" t="s">
        <v>8</v>
      </c>
      <c r="D473" s="5" t="s">
        <v>11</v>
      </c>
      <c r="E473" s="6" t="s">
        <v>525</v>
      </c>
    </row>
    <row r="474">
      <c r="A474" s="10" t="s">
        <v>511</v>
      </c>
      <c r="B474" s="3" t="s">
        <v>512</v>
      </c>
      <c r="C474" s="4" t="s">
        <v>8</v>
      </c>
      <c r="D474" s="5" t="s">
        <v>76</v>
      </c>
      <c r="E474" s="6" t="s">
        <v>526</v>
      </c>
    </row>
    <row r="475" hidden="1">
      <c r="A475" s="10" t="s">
        <v>511</v>
      </c>
      <c r="B475" s="3" t="s">
        <v>512</v>
      </c>
      <c r="C475" s="4" t="s">
        <v>3</v>
      </c>
      <c r="D475" s="5" t="s">
        <v>45</v>
      </c>
      <c r="E475" s="6" t="s">
        <v>527</v>
      </c>
    </row>
    <row r="476">
      <c r="A476" s="10" t="s">
        <v>511</v>
      </c>
      <c r="B476" s="3" t="s">
        <v>512</v>
      </c>
      <c r="C476" s="4" t="s">
        <v>8</v>
      </c>
      <c r="D476" s="5" t="s">
        <v>45</v>
      </c>
      <c r="E476" s="6" t="s">
        <v>528</v>
      </c>
    </row>
    <row r="477" hidden="1">
      <c r="A477" s="10" t="s">
        <v>511</v>
      </c>
      <c r="B477" s="3" t="s">
        <v>512</v>
      </c>
      <c r="C477" s="4" t="s">
        <v>3</v>
      </c>
      <c r="D477" s="5" t="s">
        <v>51</v>
      </c>
      <c r="E477" s="6" t="s">
        <v>529</v>
      </c>
    </row>
    <row r="478">
      <c r="A478" s="10" t="s">
        <v>511</v>
      </c>
      <c r="B478" s="3" t="s">
        <v>512</v>
      </c>
      <c r="C478" s="4" t="s">
        <v>8</v>
      </c>
      <c r="D478" s="5" t="s">
        <v>39</v>
      </c>
      <c r="E478" s="6" t="s">
        <v>530</v>
      </c>
    </row>
    <row r="479" hidden="1">
      <c r="A479" s="10" t="s">
        <v>511</v>
      </c>
      <c r="B479" s="3" t="s">
        <v>512</v>
      </c>
      <c r="C479" s="4" t="s">
        <v>3</v>
      </c>
      <c r="D479" s="5" t="s">
        <v>21</v>
      </c>
      <c r="E479" s="6" t="s">
        <v>531</v>
      </c>
    </row>
    <row r="480" hidden="1">
      <c r="A480" s="10" t="s">
        <v>511</v>
      </c>
      <c r="B480" s="3" t="s">
        <v>512</v>
      </c>
      <c r="C480" s="4" t="s">
        <v>3</v>
      </c>
      <c r="D480" s="5" t="s">
        <v>76</v>
      </c>
      <c r="E480" s="6" t="s">
        <v>532</v>
      </c>
    </row>
    <row r="481" hidden="1">
      <c r="A481" s="10" t="s">
        <v>533</v>
      </c>
      <c r="B481" s="3" t="s">
        <v>534</v>
      </c>
      <c r="C481" s="4" t="s">
        <v>3</v>
      </c>
      <c r="D481" s="5" t="s">
        <v>39</v>
      </c>
      <c r="E481" s="6" t="s">
        <v>535</v>
      </c>
    </row>
    <row r="482" hidden="1">
      <c r="A482" s="10" t="s">
        <v>533</v>
      </c>
      <c r="B482" s="3" t="s">
        <v>534</v>
      </c>
      <c r="C482" s="4" t="s">
        <v>3</v>
      </c>
      <c r="D482" s="5" t="s">
        <v>39</v>
      </c>
      <c r="E482" s="6" t="s">
        <v>536</v>
      </c>
    </row>
    <row r="483" hidden="1">
      <c r="A483" s="10" t="s">
        <v>533</v>
      </c>
      <c r="B483" s="3" t="s">
        <v>534</v>
      </c>
      <c r="C483" s="4" t="s">
        <v>3</v>
      </c>
      <c r="D483" s="5" t="s">
        <v>35</v>
      </c>
      <c r="E483" s="6" t="s">
        <v>537</v>
      </c>
    </row>
    <row r="484">
      <c r="A484" s="10" t="s">
        <v>533</v>
      </c>
      <c r="B484" s="3" t="s">
        <v>534</v>
      </c>
      <c r="C484" s="4" t="s">
        <v>8</v>
      </c>
      <c r="D484" s="5" t="s">
        <v>21</v>
      </c>
      <c r="E484" s="6" t="s">
        <v>538</v>
      </c>
    </row>
    <row r="485" hidden="1">
      <c r="A485" s="10" t="s">
        <v>533</v>
      </c>
      <c r="B485" s="3" t="s">
        <v>534</v>
      </c>
      <c r="C485" s="4" t="s">
        <v>3</v>
      </c>
      <c r="D485" s="5" t="s">
        <v>21</v>
      </c>
      <c r="E485" s="6" t="s">
        <v>539</v>
      </c>
    </row>
    <row r="486" hidden="1">
      <c r="A486" s="10" t="s">
        <v>533</v>
      </c>
      <c r="B486" s="3" t="s">
        <v>534</v>
      </c>
      <c r="C486" s="4" t="s">
        <v>3</v>
      </c>
      <c r="D486" s="5" t="s">
        <v>71</v>
      </c>
      <c r="E486" s="6" t="s">
        <v>540</v>
      </c>
    </row>
    <row r="487" hidden="1">
      <c r="A487" s="10" t="s">
        <v>533</v>
      </c>
      <c r="B487" s="3" t="s">
        <v>534</v>
      </c>
      <c r="C487" s="4" t="s">
        <v>3</v>
      </c>
      <c r="D487" s="5" t="s">
        <v>21</v>
      </c>
      <c r="E487" s="6" t="s">
        <v>541</v>
      </c>
    </row>
    <row r="488">
      <c r="A488" s="10" t="s">
        <v>533</v>
      </c>
      <c r="B488" s="3" t="s">
        <v>534</v>
      </c>
      <c r="C488" s="4" t="s">
        <v>8</v>
      </c>
      <c r="D488" s="5" t="s">
        <v>71</v>
      </c>
      <c r="E488" s="6" t="s">
        <v>542</v>
      </c>
    </row>
    <row r="489" hidden="1">
      <c r="A489" s="10" t="s">
        <v>533</v>
      </c>
      <c r="B489" s="3" t="s">
        <v>534</v>
      </c>
      <c r="C489" s="4" t="s">
        <v>3</v>
      </c>
      <c r="D489" s="5" t="s">
        <v>96</v>
      </c>
      <c r="E489" s="6" t="s">
        <v>543</v>
      </c>
    </row>
    <row r="490">
      <c r="A490" s="10" t="s">
        <v>533</v>
      </c>
      <c r="B490" s="3" t="s">
        <v>534</v>
      </c>
      <c r="C490" s="4" t="s">
        <v>8</v>
      </c>
      <c r="D490" s="5" t="s">
        <v>23</v>
      </c>
      <c r="E490" s="6" t="s">
        <v>544</v>
      </c>
    </row>
    <row r="491" hidden="1">
      <c r="A491" s="10" t="s">
        <v>533</v>
      </c>
      <c r="B491" s="3" t="s">
        <v>534</v>
      </c>
      <c r="C491" s="4" t="s">
        <v>3</v>
      </c>
      <c r="D491" s="5" t="s">
        <v>71</v>
      </c>
      <c r="E491" s="6" t="s">
        <v>545</v>
      </c>
    </row>
    <row r="492" hidden="1">
      <c r="A492" s="10" t="s">
        <v>533</v>
      </c>
      <c r="B492" s="3" t="s">
        <v>534</v>
      </c>
      <c r="C492" s="4" t="s">
        <v>3</v>
      </c>
      <c r="D492" s="5" t="s">
        <v>6</v>
      </c>
      <c r="E492" s="6" t="s">
        <v>546</v>
      </c>
    </row>
    <row r="493" hidden="1">
      <c r="A493" s="10" t="s">
        <v>533</v>
      </c>
      <c r="B493" s="3" t="s">
        <v>534</v>
      </c>
      <c r="C493" s="4" t="s">
        <v>3</v>
      </c>
      <c r="D493" s="5" t="s">
        <v>6</v>
      </c>
      <c r="E493" s="6" t="s">
        <v>547</v>
      </c>
    </row>
    <row r="494" hidden="1">
      <c r="A494" s="10" t="s">
        <v>533</v>
      </c>
      <c r="B494" s="3" t="s">
        <v>534</v>
      </c>
      <c r="C494" s="4" t="s">
        <v>3</v>
      </c>
      <c r="D494" s="5" t="s">
        <v>15</v>
      </c>
      <c r="E494" s="6" t="s">
        <v>548</v>
      </c>
    </row>
    <row r="495" hidden="1">
      <c r="A495" s="10" t="s">
        <v>533</v>
      </c>
      <c r="B495" s="3" t="s">
        <v>534</v>
      </c>
      <c r="C495" s="4" t="s">
        <v>3</v>
      </c>
      <c r="D495" s="5" t="s">
        <v>35</v>
      </c>
      <c r="E495" s="6" t="s">
        <v>549</v>
      </c>
    </row>
    <row r="496">
      <c r="A496" s="10" t="s">
        <v>533</v>
      </c>
      <c r="B496" s="3" t="s">
        <v>534</v>
      </c>
      <c r="C496" s="4" t="s">
        <v>8</v>
      </c>
      <c r="D496" s="5" t="s">
        <v>35</v>
      </c>
      <c r="E496" s="6" t="s">
        <v>550</v>
      </c>
    </row>
    <row r="497" hidden="1">
      <c r="A497" s="10" t="s">
        <v>533</v>
      </c>
      <c r="B497" s="3" t="s">
        <v>534</v>
      </c>
      <c r="C497" s="4" t="s">
        <v>3</v>
      </c>
      <c r="D497" s="5" t="s">
        <v>4</v>
      </c>
      <c r="E497" s="6" t="s">
        <v>551</v>
      </c>
    </row>
    <row r="498">
      <c r="A498" s="10" t="s">
        <v>533</v>
      </c>
      <c r="B498" s="3" t="s">
        <v>534</v>
      </c>
      <c r="C498" s="4" t="s">
        <v>8</v>
      </c>
      <c r="D498" s="5" t="s">
        <v>28</v>
      </c>
      <c r="E498" s="6" t="s">
        <v>552</v>
      </c>
    </row>
    <row r="499">
      <c r="A499" s="10" t="s">
        <v>533</v>
      </c>
      <c r="B499" s="3" t="s">
        <v>534</v>
      </c>
      <c r="C499" s="4" t="s">
        <v>8</v>
      </c>
      <c r="D499" s="5" t="s">
        <v>45</v>
      </c>
      <c r="E499" s="6" t="s">
        <v>553</v>
      </c>
    </row>
    <row r="500">
      <c r="A500" s="10" t="s">
        <v>533</v>
      </c>
      <c r="B500" s="3" t="s">
        <v>534</v>
      </c>
      <c r="C500" s="4" t="s">
        <v>8</v>
      </c>
      <c r="D500" s="5" t="s">
        <v>120</v>
      </c>
      <c r="E500" s="6" t="s">
        <v>554</v>
      </c>
    </row>
    <row r="501" hidden="1">
      <c r="A501" s="10" t="s">
        <v>555</v>
      </c>
      <c r="B501" s="3" t="s">
        <v>556</v>
      </c>
      <c r="C501" s="4" t="s">
        <v>3</v>
      </c>
      <c r="D501" s="5" t="s">
        <v>4</v>
      </c>
      <c r="E501" s="6" t="s">
        <v>557</v>
      </c>
    </row>
    <row r="502">
      <c r="A502" s="10" t="s">
        <v>555</v>
      </c>
      <c r="B502" s="3" t="s">
        <v>556</v>
      </c>
      <c r="C502" s="4" t="s">
        <v>8</v>
      </c>
      <c r="D502" s="5" t="s">
        <v>6</v>
      </c>
      <c r="E502" s="6" t="s">
        <v>558</v>
      </c>
    </row>
    <row r="503">
      <c r="A503" s="10" t="s">
        <v>555</v>
      </c>
      <c r="B503" s="3" t="s">
        <v>556</v>
      </c>
      <c r="C503" s="4" t="s">
        <v>8</v>
      </c>
      <c r="D503" s="5" t="s">
        <v>6</v>
      </c>
      <c r="E503" s="6" t="s">
        <v>559</v>
      </c>
    </row>
    <row r="504">
      <c r="A504" s="10" t="s">
        <v>555</v>
      </c>
      <c r="B504" s="3" t="s">
        <v>556</v>
      </c>
      <c r="C504" s="4" t="s">
        <v>8</v>
      </c>
      <c r="D504" s="5" t="s">
        <v>15</v>
      </c>
      <c r="E504" s="6" t="s">
        <v>560</v>
      </c>
    </row>
    <row r="505">
      <c r="A505" s="10" t="s">
        <v>555</v>
      </c>
      <c r="B505" s="3" t="s">
        <v>556</v>
      </c>
      <c r="C505" s="4" t="s">
        <v>8</v>
      </c>
      <c r="D505" s="5" t="s">
        <v>39</v>
      </c>
      <c r="E505" s="6" t="s">
        <v>561</v>
      </c>
    </row>
    <row r="506" hidden="1">
      <c r="A506" s="10" t="s">
        <v>555</v>
      </c>
      <c r="B506" s="3" t="s">
        <v>556</v>
      </c>
      <c r="C506" s="4" t="s">
        <v>3</v>
      </c>
      <c r="D506" s="5" t="s">
        <v>17</v>
      </c>
      <c r="E506" s="6" t="s">
        <v>562</v>
      </c>
    </row>
    <row r="507">
      <c r="A507" s="10" t="s">
        <v>555</v>
      </c>
      <c r="B507" s="3" t="s">
        <v>556</v>
      </c>
      <c r="C507" s="4" t="s">
        <v>8</v>
      </c>
      <c r="D507" s="5" t="s">
        <v>9</v>
      </c>
      <c r="E507" s="6" t="s">
        <v>548</v>
      </c>
    </row>
    <row r="508">
      <c r="A508" s="10" t="s">
        <v>555</v>
      </c>
      <c r="B508" s="3" t="s">
        <v>556</v>
      </c>
      <c r="C508" s="4" t="s">
        <v>8</v>
      </c>
      <c r="D508" s="5" t="s">
        <v>23</v>
      </c>
      <c r="E508" s="6" t="s">
        <v>563</v>
      </c>
    </row>
    <row r="509" hidden="1">
      <c r="A509" s="10" t="s">
        <v>555</v>
      </c>
      <c r="B509" s="3" t="s">
        <v>556</v>
      </c>
      <c r="C509" s="4" t="s">
        <v>3</v>
      </c>
      <c r="D509" s="5" t="s">
        <v>11</v>
      </c>
      <c r="E509" s="6" t="s">
        <v>564</v>
      </c>
    </row>
    <row r="510" hidden="1">
      <c r="A510" s="10" t="s">
        <v>555</v>
      </c>
      <c r="B510" s="3" t="s">
        <v>556</v>
      </c>
      <c r="C510" s="4" t="s">
        <v>3</v>
      </c>
      <c r="D510" s="5" t="s">
        <v>23</v>
      </c>
      <c r="E510" s="6" t="s">
        <v>565</v>
      </c>
    </row>
    <row r="511" hidden="1">
      <c r="A511" s="10" t="s">
        <v>555</v>
      </c>
      <c r="B511" s="3" t="s">
        <v>556</v>
      </c>
      <c r="C511" s="4" t="s">
        <v>3</v>
      </c>
      <c r="D511" s="5" t="s">
        <v>76</v>
      </c>
      <c r="E511" s="6" t="s">
        <v>566</v>
      </c>
    </row>
    <row r="512">
      <c r="A512" s="10" t="s">
        <v>555</v>
      </c>
      <c r="B512" s="3" t="s">
        <v>556</v>
      </c>
      <c r="C512" s="4" t="s">
        <v>8</v>
      </c>
      <c r="D512" s="5" t="s">
        <v>45</v>
      </c>
      <c r="E512" s="6" t="s">
        <v>567</v>
      </c>
    </row>
    <row r="513">
      <c r="A513" s="10" t="s">
        <v>555</v>
      </c>
      <c r="B513" s="3" t="s">
        <v>556</v>
      </c>
      <c r="C513" s="4" t="s">
        <v>8</v>
      </c>
      <c r="D513" s="5" t="s">
        <v>17</v>
      </c>
      <c r="E513" s="6" t="s">
        <v>568</v>
      </c>
    </row>
    <row r="514" hidden="1">
      <c r="A514" s="10" t="s">
        <v>555</v>
      </c>
      <c r="B514" s="3" t="s">
        <v>556</v>
      </c>
      <c r="C514" s="4" t="s">
        <v>3</v>
      </c>
      <c r="D514" s="5" t="s">
        <v>42</v>
      </c>
      <c r="E514" s="6" t="s">
        <v>569</v>
      </c>
    </row>
    <row r="515" hidden="1">
      <c r="A515" s="10" t="s">
        <v>555</v>
      </c>
      <c r="B515" s="3" t="s">
        <v>556</v>
      </c>
      <c r="C515" s="4" t="s">
        <v>3</v>
      </c>
      <c r="D515" s="5" t="s">
        <v>15</v>
      </c>
      <c r="E515" s="6" t="s">
        <v>570</v>
      </c>
    </row>
    <row r="516" hidden="1">
      <c r="A516" s="10" t="s">
        <v>555</v>
      </c>
      <c r="B516" s="3" t="s">
        <v>556</v>
      </c>
      <c r="C516" s="4" t="s">
        <v>3</v>
      </c>
      <c r="D516" s="5" t="s">
        <v>13</v>
      </c>
      <c r="E516" s="6" t="s">
        <v>571</v>
      </c>
    </row>
    <row r="517" hidden="1">
      <c r="A517" s="10" t="s">
        <v>555</v>
      </c>
      <c r="B517" s="3" t="s">
        <v>556</v>
      </c>
      <c r="C517" s="4" t="s">
        <v>3</v>
      </c>
      <c r="D517" s="5" t="s">
        <v>6</v>
      </c>
      <c r="E517" s="6" t="s">
        <v>572</v>
      </c>
    </row>
    <row r="518">
      <c r="A518" s="10" t="s">
        <v>555</v>
      </c>
      <c r="B518" s="3" t="s">
        <v>556</v>
      </c>
      <c r="C518" s="4" t="s">
        <v>8</v>
      </c>
      <c r="D518" s="5" t="s">
        <v>15</v>
      </c>
      <c r="E518" s="6" t="s">
        <v>225</v>
      </c>
    </row>
    <row r="519">
      <c r="A519" s="10" t="s">
        <v>555</v>
      </c>
      <c r="B519" s="3" t="s">
        <v>556</v>
      </c>
      <c r="C519" s="4" t="s">
        <v>8</v>
      </c>
      <c r="D519" s="5" t="s">
        <v>15</v>
      </c>
      <c r="E519" s="6" t="s">
        <v>573</v>
      </c>
    </row>
    <row r="520" hidden="1">
      <c r="A520" s="10" t="s">
        <v>555</v>
      </c>
      <c r="B520" s="3" t="s">
        <v>556</v>
      </c>
      <c r="C520" s="4" t="s">
        <v>3</v>
      </c>
      <c r="D520" s="5" t="s">
        <v>39</v>
      </c>
      <c r="E520" s="6" t="s">
        <v>574</v>
      </c>
    </row>
    <row r="521" hidden="1">
      <c r="A521" s="10" t="s">
        <v>575</v>
      </c>
      <c r="B521" s="3" t="s">
        <v>576</v>
      </c>
      <c r="C521" s="4" t="s">
        <v>3</v>
      </c>
      <c r="D521" s="5" t="s">
        <v>19</v>
      </c>
      <c r="E521" s="6" t="s">
        <v>577</v>
      </c>
    </row>
    <row r="522">
      <c r="A522" s="10" t="s">
        <v>575</v>
      </c>
      <c r="B522" s="3" t="s">
        <v>576</v>
      </c>
      <c r="C522" s="4" t="s">
        <v>8</v>
      </c>
      <c r="D522" s="5" t="s">
        <v>39</v>
      </c>
      <c r="E522" s="6" t="s">
        <v>578</v>
      </c>
    </row>
    <row r="523" hidden="1">
      <c r="A523" s="10" t="s">
        <v>575</v>
      </c>
      <c r="B523" s="3" t="s">
        <v>576</v>
      </c>
      <c r="C523" s="4" t="s">
        <v>3</v>
      </c>
      <c r="D523" s="5" t="s">
        <v>23</v>
      </c>
      <c r="E523" s="6" t="s">
        <v>579</v>
      </c>
    </row>
    <row r="524">
      <c r="A524" s="10" t="s">
        <v>575</v>
      </c>
      <c r="B524" s="3" t="s">
        <v>576</v>
      </c>
      <c r="C524" s="4" t="s">
        <v>8</v>
      </c>
      <c r="D524" s="5" t="s">
        <v>21</v>
      </c>
      <c r="E524" s="6" t="s">
        <v>580</v>
      </c>
    </row>
    <row r="525">
      <c r="A525" s="10" t="s">
        <v>575</v>
      </c>
      <c r="B525" s="3" t="s">
        <v>576</v>
      </c>
      <c r="C525" s="4" t="s">
        <v>8</v>
      </c>
      <c r="D525" s="5" t="s">
        <v>13</v>
      </c>
      <c r="E525" s="6" t="s">
        <v>518</v>
      </c>
    </row>
    <row r="526">
      <c r="A526" s="10" t="s">
        <v>575</v>
      </c>
      <c r="B526" s="3" t="s">
        <v>576</v>
      </c>
      <c r="C526" s="4" t="s">
        <v>8</v>
      </c>
      <c r="D526" s="5" t="s">
        <v>76</v>
      </c>
      <c r="E526" s="6" t="s">
        <v>581</v>
      </c>
    </row>
    <row r="527">
      <c r="A527" s="10" t="s">
        <v>575</v>
      </c>
      <c r="B527" s="3" t="s">
        <v>576</v>
      </c>
      <c r="C527" s="4" t="s">
        <v>8</v>
      </c>
      <c r="D527" s="5" t="s">
        <v>9</v>
      </c>
      <c r="E527" s="6" t="s">
        <v>582</v>
      </c>
    </row>
    <row r="528">
      <c r="A528" s="10" t="s">
        <v>575</v>
      </c>
      <c r="B528" s="3" t="s">
        <v>576</v>
      </c>
      <c r="C528" s="4" t="s">
        <v>8</v>
      </c>
      <c r="D528" s="5" t="s">
        <v>11</v>
      </c>
      <c r="E528" s="6" t="s">
        <v>583</v>
      </c>
    </row>
    <row r="529">
      <c r="A529" s="10" t="s">
        <v>575</v>
      </c>
      <c r="B529" s="3" t="s">
        <v>576</v>
      </c>
      <c r="C529" s="4" t="s">
        <v>8</v>
      </c>
      <c r="D529" s="5" t="s">
        <v>9</v>
      </c>
      <c r="E529" s="6" t="s">
        <v>43</v>
      </c>
    </row>
    <row r="530">
      <c r="A530" s="10" t="s">
        <v>575</v>
      </c>
      <c r="B530" s="3" t="s">
        <v>576</v>
      </c>
      <c r="C530" s="4" t="s">
        <v>8</v>
      </c>
      <c r="D530" s="5" t="s">
        <v>6</v>
      </c>
      <c r="E530" s="6" t="s">
        <v>584</v>
      </c>
    </row>
    <row r="531" hidden="1">
      <c r="A531" s="10" t="s">
        <v>575</v>
      </c>
      <c r="B531" s="3" t="s">
        <v>576</v>
      </c>
      <c r="C531" s="4" t="s">
        <v>3</v>
      </c>
      <c r="D531" s="5" t="s">
        <v>9</v>
      </c>
      <c r="E531" s="6" t="s">
        <v>585</v>
      </c>
    </row>
    <row r="532" hidden="1">
      <c r="A532" s="10" t="s">
        <v>575</v>
      </c>
      <c r="B532" s="3" t="s">
        <v>576</v>
      </c>
      <c r="C532" s="4" t="s">
        <v>3</v>
      </c>
      <c r="D532" s="5" t="s">
        <v>76</v>
      </c>
      <c r="E532" s="6" t="s">
        <v>337</v>
      </c>
    </row>
    <row r="533">
      <c r="A533" s="10" t="s">
        <v>575</v>
      </c>
      <c r="B533" s="3" t="s">
        <v>576</v>
      </c>
      <c r="C533" s="4" t="s">
        <v>8</v>
      </c>
      <c r="D533" s="5" t="s">
        <v>28</v>
      </c>
      <c r="E533" s="6" t="s">
        <v>586</v>
      </c>
    </row>
    <row r="534">
      <c r="A534" s="10" t="s">
        <v>575</v>
      </c>
      <c r="B534" s="3" t="s">
        <v>576</v>
      </c>
      <c r="C534" s="4" t="s">
        <v>8</v>
      </c>
      <c r="D534" s="5" t="s">
        <v>6</v>
      </c>
      <c r="E534" s="6" t="s">
        <v>587</v>
      </c>
    </row>
    <row r="535" hidden="1">
      <c r="A535" s="10" t="s">
        <v>575</v>
      </c>
      <c r="B535" s="3" t="s">
        <v>576</v>
      </c>
      <c r="C535" s="4" t="s">
        <v>3</v>
      </c>
      <c r="D535" s="5" t="s">
        <v>51</v>
      </c>
      <c r="E535" s="6" t="s">
        <v>588</v>
      </c>
    </row>
    <row r="536">
      <c r="A536" s="10" t="s">
        <v>575</v>
      </c>
      <c r="B536" s="3" t="s">
        <v>576</v>
      </c>
      <c r="C536" s="4" t="s">
        <v>8</v>
      </c>
      <c r="D536" s="5" t="s">
        <v>17</v>
      </c>
      <c r="E536" s="6" t="s">
        <v>589</v>
      </c>
    </row>
    <row r="537">
      <c r="A537" s="10" t="s">
        <v>575</v>
      </c>
      <c r="B537" s="3" t="s">
        <v>576</v>
      </c>
      <c r="C537" s="4" t="s">
        <v>8</v>
      </c>
      <c r="D537" s="5" t="s">
        <v>9</v>
      </c>
      <c r="E537" s="6" t="s">
        <v>590</v>
      </c>
    </row>
    <row r="538">
      <c r="A538" s="10" t="s">
        <v>575</v>
      </c>
      <c r="B538" s="3" t="s">
        <v>576</v>
      </c>
      <c r="C538" s="4" t="s">
        <v>8</v>
      </c>
      <c r="D538" s="5" t="s">
        <v>45</v>
      </c>
      <c r="E538" s="6" t="s">
        <v>591</v>
      </c>
    </row>
    <row r="539" hidden="1">
      <c r="A539" s="10" t="s">
        <v>575</v>
      </c>
      <c r="B539" s="3" t="s">
        <v>576</v>
      </c>
      <c r="C539" s="4" t="s">
        <v>3</v>
      </c>
      <c r="D539" s="5" t="s">
        <v>13</v>
      </c>
      <c r="E539" s="6" t="s">
        <v>592</v>
      </c>
    </row>
    <row r="540">
      <c r="A540" s="10" t="s">
        <v>575</v>
      </c>
      <c r="B540" s="3" t="s">
        <v>576</v>
      </c>
      <c r="C540" s="4" t="s">
        <v>8</v>
      </c>
      <c r="D540" s="5" t="s">
        <v>23</v>
      </c>
      <c r="E540" s="6" t="s">
        <v>77</v>
      </c>
    </row>
    <row r="541">
      <c r="A541" s="10" t="s">
        <v>593</v>
      </c>
      <c r="B541" s="3" t="s">
        <v>594</v>
      </c>
      <c r="C541" s="4" t="s">
        <v>8</v>
      </c>
      <c r="D541" s="5" t="s">
        <v>35</v>
      </c>
      <c r="E541" s="6" t="s">
        <v>595</v>
      </c>
    </row>
    <row r="542">
      <c r="A542" s="10" t="s">
        <v>593</v>
      </c>
      <c r="B542" s="3" t="s">
        <v>594</v>
      </c>
      <c r="C542" s="4" t="s">
        <v>8</v>
      </c>
      <c r="D542" s="5" t="s">
        <v>17</v>
      </c>
      <c r="E542" s="6" t="s">
        <v>596</v>
      </c>
    </row>
    <row r="543">
      <c r="A543" s="10" t="s">
        <v>593</v>
      </c>
      <c r="B543" s="3" t="s">
        <v>594</v>
      </c>
      <c r="C543" s="4" t="s">
        <v>8</v>
      </c>
      <c r="D543" s="5" t="s">
        <v>96</v>
      </c>
      <c r="E543" s="6" t="s">
        <v>597</v>
      </c>
    </row>
    <row r="544">
      <c r="A544" s="10" t="s">
        <v>593</v>
      </c>
      <c r="B544" s="3" t="s">
        <v>594</v>
      </c>
      <c r="C544" s="4" t="s">
        <v>8</v>
      </c>
      <c r="D544" s="5" t="s">
        <v>21</v>
      </c>
      <c r="E544" s="6" t="s">
        <v>343</v>
      </c>
    </row>
    <row r="545">
      <c r="A545" s="10" t="s">
        <v>593</v>
      </c>
      <c r="B545" s="3" t="s">
        <v>594</v>
      </c>
      <c r="C545" s="4" t="s">
        <v>8</v>
      </c>
      <c r="D545" s="5" t="s">
        <v>71</v>
      </c>
      <c r="E545" s="6" t="s">
        <v>598</v>
      </c>
    </row>
    <row r="546" hidden="1">
      <c r="A546" s="10" t="s">
        <v>593</v>
      </c>
      <c r="B546" s="3" t="s">
        <v>594</v>
      </c>
      <c r="C546" s="4" t="s">
        <v>3</v>
      </c>
      <c r="D546" s="5" t="s">
        <v>71</v>
      </c>
      <c r="E546" s="6" t="s">
        <v>599</v>
      </c>
    </row>
    <row r="547" hidden="1">
      <c r="A547" s="10" t="s">
        <v>593</v>
      </c>
      <c r="B547" s="3" t="s">
        <v>594</v>
      </c>
      <c r="C547" s="4" t="s">
        <v>3</v>
      </c>
      <c r="D547" s="5" t="s">
        <v>35</v>
      </c>
      <c r="E547" s="6" t="s">
        <v>600</v>
      </c>
    </row>
    <row r="548" hidden="1">
      <c r="A548" s="10" t="s">
        <v>593</v>
      </c>
      <c r="B548" s="3" t="s">
        <v>594</v>
      </c>
      <c r="C548" s="4" t="s">
        <v>3</v>
      </c>
      <c r="D548" s="5" t="s">
        <v>39</v>
      </c>
      <c r="E548" s="6" t="s">
        <v>601</v>
      </c>
    </row>
    <row r="549" hidden="1">
      <c r="A549" s="10" t="s">
        <v>593</v>
      </c>
      <c r="B549" s="3" t="s">
        <v>594</v>
      </c>
      <c r="C549" s="4" t="s">
        <v>3</v>
      </c>
      <c r="D549" s="5" t="s">
        <v>42</v>
      </c>
      <c r="E549" s="6" t="s">
        <v>602</v>
      </c>
    </row>
    <row r="550">
      <c r="A550" s="10" t="s">
        <v>593</v>
      </c>
      <c r="B550" s="3" t="s">
        <v>594</v>
      </c>
      <c r="C550" s="4" t="s">
        <v>8</v>
      </c>
      <c r="D550" s="5" t="s">
        <v>120</v>
      </c>
      <c r="E550" s="6" t="s">
        <v>603</v>
      </c>
    </row>
    <row r="551" hidden="1">
      <c r="A551" s="10" t="s">
        <v>593</v>
      </c>
      <c r="B551" s="3" t="s">
        <v>594</v>
      </c>
      <c r="C551" s="4" t="s">
        <v>3</v>
      </c>
      <c r="D551" s="5" t="s">
        <v>96</v>
      </c>
      <c r="E551" s="6" t="s">
        <v>604</v>
      </c>
    </row>
    <row r="552" hidden="1">
      <c r="A552" s="10" t="s">
        <v>593</v>
      </c>
      <c r="B552" s="3" t="s">
        <v>594</v>
      </c>
      <c r="C552" s="4" t="s">
        <v>3</v>
      </c>
      <c r="D552" s="5" t="s">
        <v>13</v>
      </c>
      <c r="E552" s="6" t="s">
        <v>605</v>
      </c>
    </row>
    <row r="553">
      <c r="A553" s="10" t="s">
        <v>593</v>
      </c>
      <c r="B553" s="3" t="s">
        <v>594</v>
      </c>
      <c r="C553" s="4" t="s">
        <v>8</v>
      </c>
      <c r="D553" s="5" t="s">
        <v>42</v>
      </c>
      <c r="E553" s="6" t="s">
        <v>606</v>
      </c>
    </row>
    <row r="554" hidden="1">
      <c r="A554" s="10" t="s">
        <v>593</v>
      </c>
      <c r="B554" s="3" t="s">
        <v>594</v>
      </c>
      <c r="C554" s="4" t="s">
        <v>3</v>
      </c>
      <c r="D554" s="5" t="s">
        <v>9</v>
      </c>
      <c r="E554" s="6" t="s">
        <v>607</v>
      </c>
    </row>
    <row r="555" hidden="1">
      <c r="A555" s="10" t="s">
        <v>593</v>
      </c>
      <c r="B555" s="3" t="s">
        <v>594</v>
      </c>
      <c r="C555" s="4" t="s">
        <v>3</v>
      </c>
      <c r="D555" s="5" t="s">
        <v>51</v>
      </c>
      <c r="E555" s="6" t="s">
        <v>608</v>
      </c>
    </row>
    <row r="556" hidden="1">
      <c r="A556" s="10" t="s">
        <v>593</v>
      </c>
      <c r="B556" s="3" t="s">
        <v>594</v>
      </c>
      <c r="C556" s="4" t="s">
        <v>3</v>
      </c>
      <c r="D556" s="5" t="s">
        <v>15</v>
      </c>
      <c r="E556" s="6" t="s">
        <v>609</v>
      </c>
    </row>
    <row r="557">
      <c r="A557" s="10" t="s">
        <v>593</v>
      </c>
      <c r="B557" s="3" t="s">
        <v>594</v>
      </c>
      <c r="C557" s="4" t="s">
        <v>8</v>
      </c>
      <c r="D557" s="5" t="s">
        <v>23</v>
      </c>
      <c r="E557" s="6" t="s">
        <v>610</v>
      </c>
    </row>
    <row r="558" hidden="1">
      <c r="A558" s="10" t="s">
        <v>593</v>
      </c>
      <c r="B558" s="3" t="s">
        <v>594</v>
      </c>
      <c r="C558" s="4" t="s">
        <v>3</v>
      </c>
      <c r="D558" s="5" t="s">
        <v>15</v>
      </c>
      <c r="E558" s="6" t="s">
        <v>611</v>
      </c>
    </row>
    <row r="559">
      <c r="A559" s="10" t="s">
        <v>593</v>
      </c>
      <c r="B559" s="3" t="s">
        <v>594</v>
      </c>
      <c r="C559" s="4" t="s">
        <v>8</v>
      </c>
      <c r="D559" s="5" t="s">
        <v>21</v>
      </c>
      <c r="E559" s="6" t="s">
        <v>612</v>
      </c>
    </row>
    <row r="560">
      <c r="A560" s="10" t="s">
        <v>593</v>
      </c>
      <c r="B560" s="3" t="s">
        <v>594</v>
      </c>
      <c r="C560" s="4" t="s">
        <v>8</v>
      </c>
      <c r="D560" s="5" t="s">
        <v>51</v>
      </c>
      <c r="E560" s="6" t="s">
        <v>181</v>
      </c>
    </row>
    <row r="561">
      <c r="A561" s="10" t="s">
        <v>613</v>
      </c>
      <c r="B561" s="3" t="s">
        <v>614</v>
      </c>
      <c r="C561" s="4" t="s">
        <v>8</v>
      </c>
      <c r="D561" s="5" t="s">
        <v>19</v>
      </c>
      <c r="E561" s="6" t="s">
        <v>615</v>
      </c>
    </row>
    <row r="562">
      <c r="A562" s="10" t="s">
        <v>613</v>
      </c>
      <c r="B562" s="3" t="s">
        <v>614</v>
      </c>
      <c r="C562" s="4" t="s">
        <v>8</v>
      </c>
      <c r="D562" s="5" t="s">
        <v>13</v>
      </c>
      <c r="E562" s="6" t="s">
        <v>616</v>
      </c>
    </row>
    <row r="563">
      <c r="A563" s="10" t="s">
        <v>613</v>
      </c>
      <c r="B563" s="3" t="s">
        <v>614</v>
      </c>
      <c r="C563" s="4" t="s">
        <v>8</v>
      </c>
      <c r="D563" s="5" t="s">
        <v>51</v>
      </c>
      <c r="E563" s="6" t="s">
        <v>617</v>
      </c>
    </row>
    <row r="564">
      <c r="A564" s="10" t="s">
        <v>613</v>
      </c>
      <c r="B564" s="3" t="s">
        <v>614</v>
      </c>
      <c r="C564" s="4" t="s">
        <v>8</v>
      </c>
      <c r="D564" s="5" t="s">
        <v>23</v>
      </c>
      <c r="E564" s="6" t="s">
        <v>618</v>
      </c>
    </row>
    <row r="565" hidden="1">
      <c r="A565" s="10" t="s">
        <v>613</v>
      </c>
      <c r="B565" s="3" t="s">
        <v>614</v>
      </c>
      <c r="C565" s="4" t="s">
        <v>3</v>
      </c>
      <c r="D565" s="5" t="s">
        <v>11</v>
      </c>
      <c r="E565" s="6" t="s">
        <v>619</v>
      </c>
    </row>
    <row r="566" hidden="1">
      <c r="A566" s="10" t="s">
        <v>613</v>
      </c>
      <c r="B566" s="3" t="s">
        <v>614</v>
      </c>
      <c r="C566" s="4" t="s">
        <v>3</v>
      </c>
      <c r="D566" s="5" t="s">
        <v>96</v>
      </c>
      <c r="E566" s="6" t="s">
        <v>620</v>
      </c>
    </row>
    <row r="567">
      <c r="A567" s="10" t="s">
        <v>613</v>
      </c>
      <c r="B567" s="3" t="s">
        <v>614</v>
      </c>
      <c r="C567" s="4" t="s">
        <v>8</v>
      </c>
      <c r="D567" s="5" t="s">
        <v>15</v>
      </c>
      <c r="E567" s="6" t="s">
        <v>384</v>
      </c>
    </row>
    <row r="568">
      <c r="A568" s="10" t="s">
        <v>613</v>
      </c>
      <c r="B568" s="3" t="s">
        <v>614</v>
      </c>
      <c r="C568" s="4" t="s">
        <v>8</v>
      </c>
      <c r="D568" s="5" t="s">
        <v>71</v>
      </c>
      <c r="E568" s="6" t="s">
        <v>621</v>
      </c>
    </row>
    <row r="569" hidden="1">
      <c r="A569" s="10" t="s">
        <v>613</v>
      </c>
      <c r="B569" s="3" t="s">
        <v>614</v>
      </c>
      <c r="C569" s="4" t="s">
        <v>3</v>
      </c>
      <c r="D569" s="5" t="s">
        <v>120</v>
      </c>
      <c r="E569" s="6" t="s">
        <v>622</v>
      </c>
    </row>
    <row r="570" hidden="1">
      <c r="A570" s="10" t="s">
        <v>613</v>
      </c>
      <c r="B570" s="3" t="s">
        <v>614</v>
      </c>
      <c r="C570" s="4" t="s">
        <v>3</v>
      </c>
      <c r="D570" s="5" t="s">
        <v>21</v>
      </c>
      <c r="E570" s="6" t="s">
        <v>568</v>
      </c>
    </row>
    <row r="571">
      <c r="A571" s="10" t="s">
        <v>613</v>
      </c>
      <c r="B571" s="3" t="s">
        <v>614</v>
      </c>
      <c r="C571" s="4" t="s">
        <v>8</v>
      </c>
      <c r="D571" s="5" t="s">
        <v>96</v>
      </c>
      <c r="E571" s="6" t="s">
        <v>623</v>
      </c>
    </row>
    <row r="572">
      <c r="A572" s="10" t="s">
        <v>613</v>
      </c>
      <c r="B572" s="3" t="s">
        <v>614</v>
      </c>
      <c r="C572" s="4" t="s">
        <v>8</v>
      </c>
      <c r="D572" s="5" t="s">
        <v>6</v>
      </c>
      <c r="E572" s="6" t="s">
        <v>624</v>
      </c>
    </row>
    <row r="573">
      <c r="A573" s="10" t="s">
        <v>613</v>
      </c>
      <c r="B573" s="3" t="s">
        <v>614</v>
      </c>
      <c r="C573" s="4" t="s">
        <v>8</v>
      </c>
      <c r="D573" s="5" t="s">
        <v>51</v>
      </c>
      <c r="E573" s="6" t="s">
        <v>625</v>
      </c>
    </row>
    <row r="574">
      <c r="A574" s="10" t="s">
        <v>613</v>
      </c>
      <c r="B574" s="3" t="s">
        <v>614</v>
      </c>
      <c r="C574" s="4" t="s">
        <v>8</v>
      </c>
      <c r="D574" s="5" t="s">
        <v>76</v>
      </c>
      <c r="E574" s="6" t="s">
        <v>626</v>
      </c>
    </row>
    <row r="575">
      <c r="A575" s="10" t="s">
        <v>613</v>
      </c>
      <c r="B575" s="3" t="s">
        <v>614</v>
      </c>
      <c r="C575" s="4" t="s">
        <v>8</v>
      </c>
      <c r="D575" s="5" t="s">
        <v>15</v>
      </c>
      <c r="E575" s="6" t="s">
        <v>353</v>
      </c>
    </row>
    <row r="576" hidden="1">
      <c r="A576" s="10" t="s">
        <v>613</v>
      </c>
      <c r="B576" s="3" t="s">
        <v>614</v>
      </c>
      <c r="C576" s="4" t="s">
        <v>3</v>
      </c>
      <c r="D576" s="5" t="s">
        <v>76</v>
      </c>
      <c r="E576" s="6" t="s">
        <v>627</v>
      </c>
    </row>
    <row r="577" hidden="1">
      <c r="A577" s="10" t="s">
        <v>613</v>
      </c>
      <c r="B577" s="3" t="s">
        <v>614</v>
      </c>
      <c r="C577" s="4" t="s">
        <v>3</v>
      </c>
      <c r="D577" s="5" t="s">
        <v>35</v>
      </c>
      <c r="E577" s="6" t="s">
        <v>628</v>
      </c>
    </row>
    <row r="578">
      <c r="A578" s="10" t="s">
        <v>613</v>
      </c>
      <c r="B578" s="3" t="s">
        <v>614</v>
      </c>
      <c r="C578" s="4" t="s">
        <v>8</v>
      </c>
      <c r="D578" s="5" t="s">
        <v>21</v>
      </c>
      <c r="E578" s="6" t="s">
        <v>629</v>
      </c>
    </row>
    <row r="579" hidden="1">
      <c r="A579" s="10" t="s">
        <v>613</v>
      </c>
      <c r="B579" s="3" t="s">
        <v>614</v>
      </c>
      <c r="C579" s="4" t="s">
        <v>3</v>
      </c>
      <c r="D579" s="5" t="s">
        <v>19</v>
      </c>
      <c r="E579" s="6" t="s">
        <v>630</v>
      </c>
    </row>
    <row r="580">
      <c r="A580" s="10" t="s">
        <v>613</v>
      </c>
      <c r="B580" s="3" t="s">
        <v>614</v>
      </c>
      <c r="C580" s="4" t="s">
        <v>8</v>
      </c>
      <c r="D580" s="5" t="s">
        <v>42</v>
      </c>
      <c r="E580" s="6" t="s">
        <v>631</v>
      </c>
    </row>
    <row r="581">
      <c r="A581" s="10" t="s">
        <v>632</v>
      </c>
      <c r="B581" s="3" t="s">
        <v>633</v>
      </c>
      <c r="C581" s="4" t="s">
        <v>8</v>
      </c>
      <c r="D581" s="5" t="s">
        <v>42</v>
      </c>
      <c r="E581" s="6" t="s">
        <v>634</v>
      </c>
    </row>
    <row r="582">
      <c r="A582" s="10" t="s">
        <v>632</v>
      </c>
      <c r="B582" s="3" t="s">
        <v>633</v>
      </c>
      <c r="C582" s="4" t="s">
        <v>8</v>
      </c>
      <c r="D582" s="5" t="s">
        <v>4</v>
      </c>
      <c r="E582" s="6" t="s">
        <v>635</v>
      </c>
    </row>
    <row r="583">
      <c r="A583" s="10" t="s">
        <v>632</v>
      </c>
      <c r="B583" s="3" t="s">
        <v>633</v>
      </c>
      <c r="C583" s="4" t="s">
        <v>8</v>
      </c>
      <c r="D583" s="5" t="s">
        <v>120</v>
      </c>
      <c r="E583" s="6" t="s">
        <v>636</v>
      </c>
    </row>
    <row r="584">
      <c r="A584" s="10" t="s">
        <v>632</v>
      </c>
      <c r="B584" s="3" t="s">
        <v>633</v>
      </c>
      <c r="C584" s="4" t="s">
        <v>8</v>
      </c>
      <c r="D584" s="5" t="s">
        <v>17</v>
      </c>
      <c r="E584" s="6" t="s">
        <v>29</v>
      </c>
    </row>
    <row r="585">
      <c r="A585" s="10" t="s">
        <v>632</v>
      </c>
      <c r="B585" s="3" t="s">
        <v>633</v>
      </c>
      <c r="C585" s="4" t="s">
        <v>8</v>
      </c>
      <c r="D585" s="5" t="s">
        <v>96</v>
      </c>
      <c r="E585" s="6" t="s">
        <v>637</v>
      </c>
    </row>
    <row r="586">
      <c r="A586" s="10" t="s">
        <v>632</v>
      </c>
      <c r="B586" s="3" t="s">
        <v>633</v>
      </c>
      <c r="C586" s="4" t="s">
        <v>8</v>
      </c>
      <c r="D586" s="5" t="s">
        <v>28</v>
      </c>
      <c r="E586" s="6" t="s">
        <v>638</v>
      </c>
    </row>
    <row r="587" hidden="1">
      <c r="A587" s="10" t="s">
        <v>632</v>
      </c>
      <c r="B587" s="3" t="s">
        <v>633</v>
      </c>
      <c r="C587" s="4" t="s">
        <v>3</v>
      </c>
      <c r="D587" s="5" t="s">
        <v>76</v>
      </c>
      <c r="E587" s="6" t="s">
        <v>639</v>
      </c>
    </row>
    <row r="588">
      <c r="A588" s="10" t="s">
        <v>632</v>
      </c>
      <c r="B588" s="3" t="s">
        <v>633</v>
      </c>
      <c r="C588" s="4" t="s">
        <v>8</v>
      </c>
      <c r="D588" s="5" t="s">
        <v>19</v>
      </c>
      <c r="E588" s="6" t="s">
        <v>41</v>
      </c>
    </row>
    <row r="589">
      <c r="A589" s="10" t="s">
        <v>632</v>
      </c>
      <c r="B589" s="3" t="s">
        <v>633</v>
      </c>
      <c r="C589" s="4" t="s">
        <v>8</v>
      </c>
      <c r="D589" s="5" t="s">
        <v>45</v>
      </c>
      <c r="E589" s="6" t="s">
        <v>640</v>
      </c>
    </row>
    <row r="590">
      <c r="A590" s="10" t="s">
        <v>632</v>
      </c>
      <c r="B590" s="3" t="s">
        <v>633</v>
      </c>
      <c r="C590" s="4" t="s">
        <v>8</v>
      </c>
      <c r="D590" s="5" t="s">
        <v>96</v>
      </c>
      <c r="E590" s="6" t="s">
        <v>641</v>
      </c>
    </row>
    <row r="591">
      <c r="A591" s="10" t="s">
        <v>632</v>
      </c>
      <c r="B591" s="3" t="s">
        <v>633</v>
      </c>
      <c r="C591" s="4" t="s">
        <v>8</v>
      </c>
      <c r="D591" s="5" t="s">
        <v>19</v>
      </c>
      <c r="E591" s="6" t="s">
        <v>642</v>
      </c>
    </row>
    <row r="592" hidden="1">
      <c r="A592" s="10" t="s">
        <v>632</v>
      </c>
      <c r="B592" s="3" t="s">
        <v>633</v>
      </c>
      <c r="C592" s="4" t="s">
        <v>3</v>
      </c>
      <c r="D592" s="5" t="s">
        <v>42</v>
      </c>
      <c r="E592" s="6" t="s">
        <v>643</v>
      </c>
    </row>
    <row r="593">
      <c r="A593" s="10" t="s">
        <v>632</v>
      </c>
      <c r="B593" s="3" t="s">
        <v>633</v>
      </c>
      <c r="C593" s="4" t="s">
        <v>8</v>
      </c>
      <c r="D593" s="5" t="s">
        <v>9</v>
      </c>
      <c r="E593" s="6" t="s">
        <v>644</v>
      </c>
    </row>
    <row r="594" hidden="1">
      <c r="A594" s="10" t="s">
        <v>632</v>
      </c>
      <c r="B594" s="3" t="s">
        <v>633</v>
      </c>
      <c r="C594" s="4" t="s">
        <v>3</v>
      </c>
      <c r="D594" s="5" t="s">
        <v>76</v>
      </c>
      <c r="E594" s="6" t="s">
        <v>645</v>
      </c>
    </row>
    <row r="595" hidden="1">
      <c r="A595" s="10" t="s">
        <v>632</v>
      </c>
      <c r="B595" s="3" t="s">
        <v>633</v>
      </c>
      <c r="C595" s="4" t="s">
        <v>3</v>
      </c>
      <c r="D595" s="5" t="s">
        <v>71</v>
      </c>
      <c r="E595" s="6" t="s">
        <v>646</v>
      </c>
    </row>
    <row r="596" hidden="1">
      <c r="A596" s="10" t="s">
        <v>632</v>
      </c>
      <c r="B596" s="3" t="s">
        <v>633</v>
      </c>
      <c r="C596" s="4" t="s">
        <v>3</v>
      </c>
      <c r="D596" s="5" t="s">
        <v>9</v>
      </c>
      <c r="E596" s="6" t="s">
        <v>647</v>
      </c>
    </row>
    <row r="597" hidden="1">
      <c r="A597" s="10" t="s">
        <v>632</v>
      </c>
      <c r="B597" s="3" t="s">
        <v>633</v>
      </c>
      <c r="C597" s="4" t="s">
        <v>3</v>
      </c>
      <c r="D597" s="5" t="s">
        <v>42</v>
      </c>
      <c r="E597" s="6" t="s">
        <v>455</v>
      </c>
    </row>
    <row r="598">
      <c r="A598" s="10" t="s">
        <v>632</v>
      </c>
      <c r="B598" s="3" t="s">
        <v>633</v>
      </c>
      <c r="C598" s="4" t="s">
        <v>8</v>
      </c>
      <c r="D598" s="5" t="s">
        <v>71</v>
      </c>
      <c r="E598" s="6" t="s">
        <v>648</v>
      </c>
    </row>
    <row r="599">
      <c r="A599" s="10" t="s">
        <v>632</v>
      </c>
      <c r="B599" s="3" t="s">
        <v>633</v>
      </c>
      <c r="C599" s="4" t="s">
        <v>8</v>
      </c>
      <c r="D599" s="5" t="s">
        <v>15</v>
      </c>
      <c r="E599" s="6" t="s">
        <v>649</v>
      </c>
    </row>
    <row r="600">
      <c r="A600" s="10" t="s">
        <v>632</v>
      </c>
      <c r="B600" s="3" t="s">
        <v>633</v>
      </c>
      <c r="C600" s="4" t="s">
        <v>8</v>
      </c>
      <c r="D600" s="5" t="s">
        <v>39</v>
      </c>
      <c r="E600" s="6" t="s">
        <v>650</v>
      </c>
    </row>
    <row r="601">
      <c r="A601" s="10" t="s">
        <v>651</v>
      </c>
      <c r="B601" s="3" t="s">
        <v>652</v>
      </c>
      <c r="C601" s="4" t="s">
        <v>8</v>
      </c>
      <c r="D601" s="5" t="s">
        <v>15</v>
      </c>
      <c r="E601" s="6" t="s">
        <v>653</v>
      </c>
    </row>
    <row r="602" hidden="1">
      <c r="A602" s="10" t="s">
        <v>651</v>
      </c>
      <c r="B602" s="3" t="s">
        <v>652</v>
      </c>
      <c r="C602" s="4" t="s">
        <v>3</v>
      </c>
      <c r="D602" s="5" t="s">
        <v>11</v>
      </c>
      <c r="E602" s="6" t="s">
        <v>654</v>
      </c>
    </row>
    <row r="603" hidden="1">
      <c r="A603" s="10" t="s">
        <v>651</v>
      </c>
      <c r="B603" s="3" t="s">
        <v>652</v>
      </c>
      <c r="C603" s="4" t="s">
        <v>3</v>
      </c>
      <c r="D603" s="5" t="s">
        <v>96</v>
      </c>
      <c r="E603" s="6" t="s">
        <v>655</v>
      </c>
    </row>
    <row r="604" hidden="1">
      <c r="A604" s="10" t="s">
        <v>651</v>
      </c>
      <c r="B604" s="3" t="s">
        <v>652</v>
      </c>
      <c r="C604" s="4" t="s">
        <v>3</v>
      </c>
      <c r="D604" s="5" t="s">
        <v>23</v>
      </c>
      <c r="E604" s="6" t="s">
        <v>656</v>
      </c>
    </row>
    <row r="605" hidden="1">
      <c r="A605" s="10" t="s">
        <v>651</v>
      </c>
      <c r="B605" s="3" t="s">
        <v>652</v>
      </c>
      <c r="C605" s="4" t="s">
        <v>3</v>
      </c>
      <c r="D605" s="5" t="s">
        <v>96</v>
      </c>
      <c r="E605" s="6" t="s">
        <v>657</v>
      </c>
    </row>
    <row r="606">
      <c r="A606" s="10" t="s">
        <v>651</v>
      </c>
      <c r="B606" s="3" t="s">
        <v>652</v>
      </c>
      <c r="C606" s="4" t="s">
        <v>8</v>
      </c>
      <c r="D606" s="5" t="s">
        <v>45</v>
      </c>
      <c r="E606" s="6" t="s">
        <v>658</v>
      </c>
    </row>
    <row r="607">
      <c r="A607" s="10" t="s">
        <v>651</v>
      </c>
      <c r="B607" s="3" t="s">
        <v>652</v>
      </c>
      <c r="C607" s="4" t="s">
        <v>8</v>
      </c>
      <c r="D607" s="5" t="s">
        <v>13</v>
      </c>
      <c r="E607" s="6" t="s">
        <v>659</v>
      </c>
    </row>
    <row r="608" hidden="1">
      <c r="A608" s="10" t="s">
        <v>651</v>
      </c>
      <c r="B608" s="3" t="s">
        <v>652</v>
      </c>
      <c r="C608" s="4" t="s">
        <v>3</v>
      </c>
      <c r="D608" s="5" t="s">
        <v>15</v>
      </c>
      <c r="E608" s="6" t="s">
        <v>660</v>
      </c>
    </row>
    <row r="609">
      <c r="A609" s="10" t="s">
        <v>651</v>
      </c>
      <c r="B609" s="3" t="s">
        <v>652</v>
      </c>
      <c r="C609" s="4" t="s">
        <v>8</v>
      </c>
      <c r="D609" s="5" t="s">
        <v>35</v>
      </c>
      <c r="E609" s="6" t="s">
        <v>661</v>
      </c>
    </row>
    <row r="610" hidden="1">
      <c r="A610" s="10" t="s">
        <v>651</v>
      </c>
      <c r="B610" s="3" t="s">
        <v>652</v>
      </c>
      <c r="C610" s="4" t="s">
        <v>3</v>
      </c>
      <c r="D610" s="5" t="s">
        <v>120</v>
      </c>
      <c r="E610" s="6" t="s">
        <v>662</v>
      </c>
    </row>
    <row r="611" hidden="1">
      <c r="A611" s="10" t="s">
        <v>651</v>
      </c>
      <c r="B611" s="3" t="s">
        <v>652</v>
      </c>
      <c r="C611" s="4" t="s">
        <v>3</v>
      </c>
      <c r="D611" s="5" t="s">
        <v>96</v>
      </c>
      <c r="E611" s="6" t="s">
        <v>663</v>
      </c>
    </row>
    <row r="612" hidden="1">
      <c r="A612" s="10" t="s">
        <v>651</v>
      </c>
      <c r="B612" s="3" t="s">
        <v>652</v>
      </c>
      <c r="C612" s="4" t="s">
        <v>3</v>
      </c>
      <c r="D612" s="5" t="s">
        <v>39</v>
      </c>
      <c r="E612" s="6" t="s">
        <v>664</v>
      </c>
    </row>
    <row r="613" hidden="1">
      <c r="A613" s="10" t="s">
        <v>651</v>
      </c>
      <c r="B613" s="3" t="s">
        <v>652</v>
      </c>
      <c r="C613" s="4" t="s">
        <v>3</v>
      </c>
      <c r="D613" s="5" t="s">
        <v>96</v>
      </c>
      <c r="E613" s="6" t="s">
        <v>351</v>
      </c>
    </row>
    <row r="614">
      <c r="A614" s="10" t="s">
        <v>651</v>
      </c>
      <c r="B614" s="3" t="s">
        <v>652</v>
      </c>
      <c r="C614" s="4" t="s">
        <v>8</v>
      </c>
      <c r="D614" s="5" t="s">
        <v>35</v>
      </c>
      <c r="E614" s="6" t="s">
        <v>665</v>
      </c>
    </row>
    <row r="615" hidden="1">
      <c r="A615" s="10" t="s">
        <v>651</v>
      </c>
      <c r="B615" s="3" t="s">
        <v>652</v>
      </c>
      <c r="C615" s="4" t="s">
        <v>3</v>
      </c>
      <c r="D615" s="5" t="s">
        <v>4</v>
      </c>
      <c r="E615" s="6" t="s">
        <v>546</v>
      </c>
    </row>
    <row r="616">
      <c r="A616" s="10" t="s">
        <v>651</v>
      </c>
      <c r="B616" s="3" t="s">
        <v>652</v>
      </c>
      <c r="C616" s="4" t="s">
        <v>8</v>
      </c>
      <c r="D616" s="5" t="s">
        <v>23</v>
      </c>
      <c r="E616" s="6" t="s">
        <v>666</v>
      </c>
    </row>
    <row r="617">
      <c r="A617" s="10" t="s">
        <v>651</v>
      </c>
      <c r="B617" s="3" t="s">
        <v>652</v>
      </c>
      <c r="C617" s="4" t="s">
        <v>8</v>
      </c>
      <c r="D617" s="5" t="s">
        <v>28</v>
      </c>
      <c r="E617" s="6" t="s">
        <v>667</v>
      </c>
    </row>
    <row r="618" hidden="1">
      <c r="A618" s="10" t="s">
        <v>651</v>
      </c>
      <c r="B618" s="3" t="s">
        <v>652</v>
      </c>
      <c r="C618" s="4" t="s">
        <v>3</v>
      </c>
      <c r="D618" s="5" t="s">
        <v>19</v>
      </c>
      <c r="E618" s="6" t="s">
        <v>521</v>
      </c>
    </row>
    <row r="619">
      <c r="A619" s="10" t="s">
        <v>651</v>
      </c>
      <c r="B619" s="3" t="s">
        <v>652</v>
      </c>
      <c r="C619" s="4" t="s">
        <v>8</v>
      </c>
      <c r="D619" s="5" t="s">
        <v>28</v>
      </c>
      <c r="E619" s="6" t="s">
        <v>668</v>
      </c>
    </row>
    <row r="620" hidden="1">
      <c r="A620" s="10" t="s">
        <v>651</v>
      </c>
      <c r="B620" s="3" t="s">
        <v>652</v>
      </c>
      <c r="C620" s="4" t="s">
        <v>3</v>
      </c>
      <c r="D620" s="5" t="s">
        <v>96</v>
      </c>
      <c r="E620" s="6" t="s">
        <v>54</v>
      </c>
    </row>
    <row r="621" hidden="1">
      <c r="A621" s="10" t="s">
        <v>669</v>
      </c>
      <c r="B621" s="3" t="s">
        <v>670</v>
      </c>
      <c r="C621" s="4" t="s">
        <v>3</v>
      </c>
      <c r="D621" s="5" t="s">
        <v>120</v>
      </c>
      <c r="E621" s="6" t="s">
        <v>671</v>
      </c>
    </row>
    <row r="622" hidden="1">
      <c r="A622" s="10" t="s">
        <v>669</v>
      </c>
      <c r="B622" s="3" t="s">
        <v>670</v>
      </c>
      <c r="C622" s="4" t="s">
        <v>3</v>
      </c>
      <c r="D622" s="5" t="s">
        <v>11</v>
      </c>
      <c r="E622" s="6" t="s">
        <v>672</v>
      </c>
    </row>
    <row r="623">
      <c r="A623" s="10" t="s">
        <v>669</v>
      </c>
      <c r="B623" s="3" t="s">
        <v>670</v>
      </c>
      <c r="C623" s="4" t="s">
        <v>8</v>
      </c>
      <c r="D623" s="5" t="s">
        <v>13</v>
      </c>
      <c r="E623" s="6" t="s">
        <v>673</v>
      </c>
    </row>
    <row r="624">
      <c r="A624" s="10" t="s">
        <v>669</v>
      </c>
      <c r="B624" s="3" t="s">
        <v>670</v>
      </c>
      <c r="C624" s="4" t="s">
        <v>8</v>
      </c>
      <c r="D624" s="5" t="s">
        <v>71</v>
      </c>
      <c r="E624" s="6" t="s">
        <v>674</v>
      </c>
    </row>
    <row r="625" hidden="1">
      <c r="A625" s="10" t="s">
        <v>669</v>
      </c>
      <c r="B625" s="3" t="s">
        <v>670</v>
      </c>
      <c r="C625" s="4" t="s">
        <v>3</v>
      </c>
      <c r="D625" s="5" t="s">
        <v>76</v>
      </c>
      <c r="E625" s="6" t="s">
        <v>675</v>
      </c>
    </row>
    <row r="626" hidden="1">
      <c r="A626" s="10" t="s">
        <v>669</v>
      </c>
      <c r="B626" s="3" t="s">
        <v>670</v>
      </c>
      <c r="C626" s="4" t="s">
        <v>3</v>
      </c>
      <c r="D626" s="5" t="s">
        <v>28</v>
      </c>
      <c r="E626" s="6" t="s">
        <v>676</v>
      </c>
    </row>
    <row r="627" hidden="1">
      <c r="A627" s="10" t="s">
        <v>669</v>
      </c>
      <c r="B627" s="3" t="s">
        <v>670</v>
      </c>
      <c r="C627" s="4" t="s">
        <v>3</v>
      </c>
      <c r="D627" s="5" t="s">
        <v>35</v>
      </c>
      <c r="E627" s="6" t="s">
        <v>677</v>
      </c>
    </row>
    <row r="628" hidden="1">
      <c r="A628" s="10" t="s">
        <v>669</v>
      </c>
      <c r="B628" s="3" t="s">
        <v>670</v>
      </c>
      <c r="C628" s="4" t="s">
        <v>3</v>
      </c>
      <c r="D628" s="5" t="s">
        <v>28</v>
      </c>
      <c r="E628" s="6" t="s">
        <v>203</v>
      </c>
    </row>
    <row r="629">
      <c r="A629" s="10" t="s">
        <v>669</v>
      </c>
      <c r="B629" s="3" t="s">
        <v>670</v>
      </c>
      <c r="C629" s="4" t="s">
        <v>8</v>
      </c>
      <c r="D629" s="5" t="s">
        <v>13</v>
      </c>
      <c r="E629" s="6" t="s">
        <v>678</v>
      </c>
    </row>
    <row r="630" hidden="1">
      <c r="A630" s="10" t="s">
        <v>669</v>
      </c>
      <c r="B630" s="3" t="s">
        <v>670</v>
      </c>
      <c r="C630" s="4" t="s">
        <v>3</v>
      </c>
      <c r="D630" s="5" t="s">
        <v>11</v>
      </c>
      <c r="E630" s="6" t="s">
        <v>679</v>
      </c>
    </row>
    <row r="631">
      <c r="A631" s="10" t="s">
        <v>669</v>
      </c>
      <c r="B631" s="3" t="s">
        <v>670</v>
      </c>
      <c r="C631" s="4" t="s">
        <v>8</v>
      </c>
      <c r="D631" s="5" t="s">
        <v>17</v>
      </c>
      <c r="E631" s="6" t="s">
        <v>680</v>
      </c>
    </row>
    <row r="632">
      <c r="A632" s="10" t="s">
        <v>669</v>
      </c>
      <c r="B632" s="3" t="s">
        <v>670</v>
      </c>
      <c r="C632" s="4" t="s">
        <v>8</v>
      </c>
      <c r="D632" s="5" t="s">
        <v>71</v>
      </c>
      <c r="E632" s="6" t="s">
        <v>681</v>
      </c>
    </row>
    <row r="633">
      <c r="A633" s="10" t="s">
        <v>669</v>
      </c>
      <c r="B633" s="3" t="s">
        <v>670</v>
      </c>
      <c r="C633" s="4" t="s">
        <v>8</v>
      </c>
      <c r="D633" s="5" t="s">
        <v>35</v>
      </c>
      <c r="E633" s="6" t="s">
        <v>682</v>
      </c>
    </row>
    <row r="634">
      <c r="A634" s="10" t="s">
        <v>669</v>
      </c>
      <c r="B634" s="3" t="s">
        <v>670</v>
      </c>
      <c r="C634" s="4" t="s">
        <v>8</v>
      </c>
      <c r="D634" s="5" t="s">
        <v>17</v>
      </c>
      <c r="E634" s="6" t="s">
        <v>131</v>
      </c>
    </row>
    <row r="635" hidden="1">
      <c r="A635" s="10" t="s">
        <v>669</v>
      </c>
      <c r="B635" s="3" t="s">
        <v>670</v>
      </c>
      <c r="C635" s="4" t="s">
        <v>3</v>
      </c>
      <c r="D635" s="5" t="s">
        <v>71</v>
      </c>
      <c r="E635" s="6" t="s">
        <v>683</v>
      </c>
    </row>
    <row r="636" hidden="1">
      <c r="A636" s="10" t="s">
        <v>669</v>
      </c>
      <c r="B636" s="3" t="s">
        <v>670</v>
      </c>
      <c r="C636" s="4" t="s">
        <v>3</v>
      </c>
      <c r="D636" s="5" t="s">
        <v>23</v>
      </c>
      <c r="E636" s="6" t="s">
        <v>684</v>
      </c>
    </row>
    <row r="637">
      <c r="A637" s="10" t="s">
        <v>669</v>
      </c>
      <c r="B637" s="3" t="s">
        <v>670</v>
      </c>
      <c r="C637" s="4" t="s">
        <v>8</v>
      </c>
      <c r="D637" s="5" t="s">
        <v>51</v>
      </c>
      <c r="E637" s="6" t="s">
        <v>685</v>
      </c>
    </row>
    <row r="638">
      <c r="A638" s="10" t="s">
        <v>669</v>
      </c>
      <c r="B638" s="3" t="s">
        <v>670</v>
      </c>
      <c r="C638" s="4" t="s">
        <v>8</v>
      </c>
      <c r="D638" s="5" t="s">
        <v>42</v>
      </c>
      <c r="E638" s="6" t="s">
        <v>643</v>
      </c>
    </row>
    <row r="639" hidden="1">
      <c r="A639" s="10" t="s">
        <v>669</v>
      </c>
      <c r="B639" s="3" t="s">
        <v>670</v>
      </c>
      <c r="C639" s="4" t="s">
        <v>3</v>
      </c>
      <c r="D639" s="5" t="s">
        <v>11</v>
      </c>
      <c r="E639" s="6" t="s">
        <v>686</v>
      </c>
    </row>
    <row r="640">
      <c r="A640" s="10" t="s">
        <v>669</v>
      </c>
      <c r="B640" s="3" t="s">
        <v>670</v>
      </c>
      <c r="C640" s="4" t="s">
        <v>8</v>
      </c>
      <c r="D640" s="5" t="s">
        <v>19</v>
      </c>
      <c r="E640" s="6" t="s">
        <v>687</v>
      </c>
    </row>
    <row r="641" hidden="1">
      <c r="A641" s="10" t="s">
        <v>688</v>
      </c>
      <c r="B641" s="3" t="s">
        <v>689</v>
      </c>
      <c r="C641" s="4" t="s">
        <v>3</v>
      </c>
      <c r="D641" s="5" t="s">
        <v>35</v>
      </c>
      <c r="E641" s="6" t="s">
        <v>690</v>
      </c>
    </row>
    <row r="642">
      <c r="A642" s="10" t="s">
        <v>688</v>
      </c>
      <c r="B642" s="3" t="s">
        <v>689</v>
      </c>
      <c r="C642" s="4" t="s">
        <v>8</v>
      </c>
      <c r="D642" s="5" t="s">
        <v>23</v>
      </c>
      <c r="E642" s="6" t="s">
        <v>691</v>
      </c>
    </row>
    <row r="643" hidden="1">
      <c r="A643" s="10" t="s">
        <v>688</v>
      </c>
      <c r="B643" s="3" t="s">
        <v>689</v>
      </c>
      <c r="C643" s="4" t="s">
        <v>3</v>
      </c>
      <c r="D643" s="5" t="s">
        <v>11</v>
      </c>
      <c r="E643" s="6" t="s">
        <v>692</v>
      </c>
    </row>
    <row r="644">
      <c r="A644" s="10" t="s">
        <v>688</v>
      </c>
      <c r="B644" s="3" t="s">
        <v>689</v>
      </c>
      <c r="C644" s="4" t="s">
        <v>8</v>
      </c>
      <c r="D644" s="5" t="s">
        <v>35</v>
      </c>
      <c r="E644" s="6" t="s">
        <v>693</v>
      </c>
    </row>
    <row r="645">
      <c r="A645" s="10" t="s">
        <v>688</v>
      </c>
      <c r="B645" s="3" t="s">
        <v>689</v>
      </c>
      <c r="C645" s="4" t="s">
        <v>8</v>
      </c>
      <c r="D645" s="5" t="s">
        <v>76</v>
      </c>
      <c r="E645" s="6" t="s">
        <v>694</v>
      </c>
    </row>
    <row r="646" hidden="1">
      <c r="A646" s="10" t="s">
        <v>688</v>
      </c>
      <c r="B646" s="3" t="s">
        <v>689</v>
      </c>
      <c r="C646" s="4" t="s">
        <v>3</v>
      </c>
      <c r="D646" s="5" t="s">
        <v>9</v>
      </c>
      <c r="E646" s="6" t="s">
        <v>495</v>
      </c>
    </row>
    <row r="647">
      <c r="A647" s="10" t="s">
        <v>688</v>
      </c>
      <c r="B647" s="3" t="s">
        <v>689</v>
      </c>
      <c r="C647" s="4" t="s">
        <v>8</v>
      </c>
      <c r="D647" s="5" t="s">
        <v>21</v>
      </c>
      <c r="E647" s="6" t="s">
        <v>14</v>
      </c>
    </row>
    <row r="648" hidden="1">
      <c r="A648" s="10" t="s">
        <v>688</v>
      </c>
      <c r="B648" s="3" t="s">
        <v>689</v>
      </c>
      <c r="C648" s="4" t="s">
        <v>3</v>
      </c>
      <c r="D648" s="5" t="s">
        <v>42</v>
      </c>
      <c r="E648" s="6" t="s">
        <v>569</v>
      </c>
    </row>
    <row r="649">
      <c r="A649" s="10" t="s">
        <v>688</v>
      </c>
      <c r="B649" s="3" t="s">
        <v>689</v>
      </c>
      <c r="C649" s="4" t="s">
        <v>8</v>
      </c>
      <c r="D649" s="5" t="s">
        <v>6</v>
      </c>
      <c r="E649" s="6" t="s">
        <v>695</v>
      </c>
    </row>
    <row r="650" hidden="1">
      <c r="A650" s="10" t="s">
        <v>688</v>
      </c>
      <c r="B650" s="3" t="s">
        <v>689</v>
      </c>
      <c r="C650" s="4" t="s">
        <v>3</v>
      </c>
      <c r="D650" s="5" t="s">
        <v>15</v>
      </c>
      <c r="E650" s="6" t="s">
        <v>696</v>
      </c>
    </row>
    <row r="651" hidden="1">
      <c r="A651" s="10" t="s">
        <v>688</v>
      </c>
      <c r="B651" s="3" t="s">
        <v>689</v>
      </c>
      <c r="C651" s="4" t="s">
        <v>3</v>
      </c>
      <c r="D651" s="5" t="s">
        <v>9</v>
      </c>
      <c r="E651" s="6" t="s">
        <v>343</v>
      </c>
    </row>
    <row r="652" hidden="1">
      <c r="A652" s="10" t="s">
        <v>688</v>
      </c>
      <c r="B652" s="3" t="s">
        <v>689</v>
      </c>
      <c r="C652" s="4" t="s">
        <v>3</v>
      </c>
      <c r="D652" s="5" t="s">
        <v>9</v>
      </c>
      <c r="E652" s="6" t="s">
        <v>697</v>
      </c>
    </row>
    <row r="653">
      <c r="A653" s="10" t="s">
        <v>688</v>
      </c>
      <c r="B653" s="3" t="s">
        <v>689</v>
      </c>
      <c r="C653" s="4" t="s">
        <v>8</v>
      </c>
      <c r="D653" s="5" t="s">
        <v>51</v>
      </c>
      <c r="E653" s="6" t="s">
        <v>698</v>
      </c>
    </row>
    <row r="654">
      <c r="A654" s="10" t="s">
        <v>688</v>
      </c>
      <c r="B654" s="3" t="s">
        <v>689</v>
      </c>
      <c r="C654" s="4" t="s">
        <v>8</v>
      </c>
      <c r="D654" s="5" t="s">
        <v>45</v>
      </c>
      <c r="E654" s="6" t="s">
        <v>699</v>
      </c>
    </row>
    <row r="655">
      <c r="A655" s="10" t="s">
        <v>688</v>
      </c>
      <c r="B655" s="3" t="s">
        <v>689</v>
      </c>
      <c r="C655" s="4" t="s">
        <v>8</v>
      </c>
      <c r="D655" s="5" t="s">
        <v>51</v>
      </c>
      <c r="E655" s="6" t="s">
        <v>700</v>
      </c>
    </row>
    <row r="656">
      <c r="A656" s="10" t="s">
        <v>688</v>
      </c>
      <c r="B656" s="3" t="s">
        <v>689</v>
      </c>
      <c r="C656" s="4" t="s">
        <v>8</v>
      </c>
      <c r="D656" s="5" t="s">
        <v>76</v>
      </c>
      <c r="E656" s="6" t="s">
        <v>701</v>
      </c>
    </row>
    <row r="657">
      <c r="A657" s="10" t="s">
        <v>688</v>
      </c>
      <c r="B657" s="3" t="s">
        <v>689</v>
      </c>
      <c r="C657" s="4" t="s">
        <v>8</v>
      </c>
      <c r="D657" s="5" t="s">
        <v>71</v>
      </c>
      <c r="E657" s="6" t="s">
        <v>209</v>
      </c>
    </row>
    <row r="658" hidden="1">
      <c r="A658" s="10" t="s">
        <v>688</v>
      </c>
      <c r="B658" s="3" t="s">
        <v>689</v>
      </c>
      <c r="C658" s="4" t="s">
        <v>3</v>
      </c>
      <c r="D658" s="5" t="s">
        <v>28</v>
      </c>
      <c r="E658" s="6" t="s">
        <v>41</v>
      </c>
    </row>
    <row r="659">
      <c r="A659" s="10" t="s">
        <v>688</v>
      </c>
      <c r="B659" s="3" t="s">
        <v>689</v>
      </c>
      <c r="C659" s="4" t="s">
        <v>8</v>
      </c>
      <c r="D659" s="5" t="s">
        <v>71</v>
      </c>
      <c r="E659" s="6" t="s">
        <v>702</v>
      </c>
    </row>
    <row r="660">
      <c r="A660" s="10" t="s">
        <v>688</v>
      </c>
      <c r="B660" s="3" t="s">
        <v>689</v>
      </c>
      <c r="C660" s="4" t="s">
        <v>8</v>
      </c>
      <c r="D660" s="5" t="s">
        <v>17</v>
      </c>
      <c r="E660" s="6" t="s">
        <v>703</v>
      </c>
    </row>
    <row r="661">
      <c r="A661" s="10" t="s">
        <v>704</v>
      </c>
      <c r="B661" s="3" t="s">
        <v>705</v>
      </c>
      <c r="C661" s="4" t="s">
        <v>8</v>
      </c>
      <c r="D661" s="5" t="s">
        <v>6</v>
      </c>
      <c r="E661" s="6" t="s">
        <v>706</v>
      </c>
    </row>
    <row r="662" hidden="1">
      <c r="A662" s="10" t="s">
        <v>704</v>
      </c>
      <c r="B662" s="3" t="s">
        <v>705</v>
      </c>
      <c r="C662" s="4" t="s">
        <v>3</v>
      </c>
      <c r="D662" s="5" t="s">
        <v>13</v>
      </c>
      <c r="E662" s="6" t="s">
        <v>707</v>
      </c>
    </row>
    <row r="663" hidden="1">
      <c r="A663" s="10" t="s">
        <v>704</v>
      </c>
      <c r="B663" s="3" t="s">
        <v>705</v>
      </c>
      <c r="C663" s="4" t="s">
        <v>3</v>
      </c>
      <c r="D663" s="5" t="s">
        <v>42</v>
      </c>
      <c r="E663" s="6" t="s">
        <v>708</v>
      </c>
    </row>
    <row r="664">
      <c r="A664" s="10" t="s">
        <v>704</v>
      </c>
      <c r="B664" s="3" t="s">
        <v>705</v>
      </c>
      <c r="C664" s="4" t="s">
        <v>8</v>
      </c>
      <c r="D664" s="5" t="s">
        <v>76</v>
      </c>
      <c r="E664" s="6" t="s">
        <v>709</v>
      </c>
    </row>
    <row r="665">
      <c r="A665" s="10" t="s">
        <v>704</v>
      </c>
      <c r="B665" s="3" t="s">
        <v>705</v>
      </c>
      <c r="C665" s="4" t="s">
        <v>8</v>
      </c>
      <c r="D665" s="5" t="s">
        <v>11</v>
      </c>
      <c r="E665" s="6" t="s">
        <v>710</v>
      </c>
    </row>
    <row r="666">
      <c r="A666" s="10" t="s">
        <v>704</v>
      </c>
      <c r="B666" s="3" t="s">
        <v>705</v>
      </c>
      <c r="C666" s="4" t="s">
        <v>8</v>
      </c>
      <c r="D666" s="5" t="s">
        <v>19</v>
      </c>
      <c r="E666" s="6" t="s">
        <v>711</v>
      </c>
    </row>
    <row r="667" hidden="1">
      <c r="A667" s="10" t="s">
        <v>704</v>
      </c>
      <c r="B667" s="3" t="s">
        <v>705</v>
      </c>
      <c r="C667" s="4" t="s">
        <v>3</v>
      </c>
      <c r="D667" s="5" t="s">
        <v>6</v>
      </c>
      <c r="E667" s="6" t="s">
        <v>712</v>
      </c>
    </row>
    <row r="668" hidden="1">
      <c r="A668" s="10" t="s">
        <v>704</v>
      </c>
      <c r="B668" s="3" t="s">
        <v>705</v>
      </c>
      <c r="C668" s="4" t="s">
        <v>3</v>
      </c>
      <c r="D668" s="5" t="s">
        <v>13</v>
      </c>
      <c r="E668" s="6" t="s">
        <v>571</v>
      </c>
    </row>
    <row r="669" hidden="1">
      <c r="A669" s="10" t="s">
        <v>704</v>
      </c>
      <c r="B669" s="3" t="s">
        <v>705</v>
      </c>
      <c r="C669" s="4" t="s">
        <v>3</v>
      </c>
      <c r="D669" s="5" t="s">
        <v>35</v>
      </c>
      <c r="E669" s="6" t="s">
        <v>713</v>
      </c>
    </row>
    <row r="670">
      <c r="A670" s="10" t="s">
        <v>704</v>
      </c>
      <c r="B670" s="3" t="s">
        <v>705</v>
      </c>
      <c r="C670" s="4" t="s">
        <v>8</v>
      </c>
      <c r="D670" s="5" t="s">
        <v>42</v>
      </c>
      <c r="E670" s="6" t="s">
        <v>714</v>
      </c>
    </row>
    <row r="671">
      <c r="A671" s="10" t="s">
        <v>704</v>
      </c>
      <c r="B671" s="3" t="s">
        <v>705</v>
      </c>
      <c r="C671" s="4" t="s">
        <v>8</v>
      </c>
      <c r="D671" s="5" t="s">
        <v>6</v>
      </c>
      <c r="E671" s="6" t="s">
        <v>715</v>
      </c>
    </row>
    <row r="672">
      <c r="A672" s="10" t="s">
        <v>704</v>
      </c>
      <c r="B672" s="3" t="s">
        <v>705</v>
      </c>
      <c r="C672" s="4" t="s">
        <v>8</v>
      </c>
      <c r="D672" s="5" t="s">
        <v>15</v>
      </c>
      <c r="E672" s="6" t="s">
        <v>716</v>
      </c>
    </row>
    <row r="673" hidden="1">
      <c r="A673" s="10" t="s">
        <v>704</v>
      </c>
      <c r="B673" s="3" t="s">
        <v>705</v>
      </c>
      <c r="C673" s="4" t="s">
        <v>3</v>
      </c>
      <c r="D673" s="5" t="s">
        <v>35</v>
      </c>
      <c r="E673" s="6" t="s">
        <v>717</v>
      </c>
    </row>
    <row r="674" hidden="1">
      <c r="A674" s="10" t="s">
        <v>704</v>
      </c>
      <c r="B674" s="3" t="s">
        <v>705</v>
      </c>
      <c r="C674" s="4" t="s">
        <v>3</v>
      </c>
      <c r="D674" s="5" t="s">
        <v>76</v>
      </c>
      <c r="E674" s="6" t="s">
        <v>718</v>
      </c>
    </row>
    <row r="675">
      <c r="A675" s="10" t="s">
        <v>704</v>
      </c>
      <c r="B675" s="3" t="s">
        <v>705</v>
      </c>
      <c r="C675" s="4" t="s">
        <v>8</v>
      </c>
      <c r="D675" s="5" t="s">
        <v>6</v>
      </c>
      <c r="E675" s="6" t="s">
        <v>719</v>
      </c>
    </row>
    <row r="676">
      <c r="A676" s="10" t="s">
        <v>704</v>
      </c>
      <c r="B676" s="3" t="s">
        <v>705</v>
      </c>
      <c r="C676" s="4" t="s">
        <v>8</v>
      </c>
      <c r="D676" s="5" t="s">
        <v>39</v>
      </c>
      <c r="E676" s="6" t="s">
        <v>362</v>
      </c>
    </row>
    <row r="677" hidden="1">
      <c r="A677" s="10" t="s">
        <v>704</v>
      </c>
      <c r="B677" s="3" t="s">
        <v>705</v>
      </c>
      <c r="C677" s="4" t="s">
        <v>3</v>
      </c>
      <c r="D677" s="5" t="s">
        <v>120</v>
      </c>
      <c r="E677" s="6" t="s">
        <v>720</v>
      </c>
    </row>
    <row r="678">
      <c r="A678" s="10" t="s">
        <v>704</v>
      </c>
      <c r="B678" s="3" t="s">
        <v>705</v>
      </c>
      <c r="C678" s="4" t="s">
        <v>8</v>
      </c>
      <c r="D678" s="5" t="s">
        <v>11</v>
      </c>
      <c r="E678" s="6" t="s">
        <v>234</v>
      </c>
    </row>
    <row r="679">
      <c r="A679" s="10" t="s">
        <v>704</v>
      </c>
      <c r="B679" s="3" t="s">
        <v>705</v>
      </c>
      <c r="C679" s="4" t="s">
        <v>8</v>
      </c>
      <c r="D679" s="5" t="s">
        <v>39</v>
      </c>
      <c r="E679" s="6" t="s">
        <v>721</v>
      </c>
    </row>
    <row r="680">
      <c r="A680" s="10" t="s">
        <v>704</v>
      </c>
      <c r="B680" s="3" t="s">
        <v>705</v>
      </c>
      <c r="C680" s="4" t="s">
        <v>8</v>
      </c>
      <c r="D680" s="5" t="s">
        <v>11</v>
      </c>
      <c r="E680" s="6" t="s">
        <v>722</v>
      </c>
    </row>
    <row r="681" hidden="1">
      <c r="A681" s="10" t="s">
        <v>723</v>
      </c>
      <c r="B681" s="3" t="s">
        <v>724</v>
      </c>
      <c r="C681" s="4" t="s">
        <v>3</v>
      </c>
      <c r="D681" s="5" t="s">
        <v>28</v>
      </c>
      <c r="E681" s="6" t="s">
        <v>428</v>
      </c>
    </row>
    <row r="682" hidden="1">
      <c r="A682" s="10" t="s">
        <v>723</v>
      </c>
      <c r="B682" s="3" t="s">
        <v>724</v>
      </c>
      <c r="C682" s="4" t="s">
        <v>3</v>
      </c>
      <c r="D682" s="5" t="s">
        <v>28</v>
      </c>
      <c r="E682" s="6" t="s">
        <v>615</v>
      </c>
    </row>
    <row r="683">
      <c r="A683" s="10" t="s">
        <v>723</v>
      </c>
      <c r="B683" s="3" t="s">
        <v>724</v>
      </c>
      <c r="C683" s="4" t="s">
        <v>8</v>
      </c>
      <c r="D683" s="5" t="s">
        <v>51</v>
      </c>
      <c r="E683" s="6" t="s">
        <v>725</v>
      </c>
    </row>
    <row r="684">
      <c r="A684" s="10" t="s">
        <v>723</v>
      </c>
      <c r="B684" s="3" t="s">
        <v>724</v>
      </c>
      <c r="C684" s="4" t="s">
        <v>8</v>
      </c>
      <c r="D684" s="5" t="s">
        <v>4</v>
      </c>
      <c r="E684" s="6" t="s">
        <v>726</v>
      </c>
    </row>
    <row r="685">
      <c r="A685" s="10" t="s">
        <v>723</v>
      </c>
      <c r="B685" s="3" t="s">
        <v>724</v>
      </c>
      <c r="C685" s="4" t="s">
        <v>8</v>
      </c>
      <c r="D685" s="5" t="s">
        <v>17</v>
      </c>
      <c r="E685" s="6" t="s">
        <v>330</v>
      </c>
    </row>
    <row r="686">
      <c r="A686" s="10" t="s">
        <v>723</v>
      </c>
      <c r="B686" s="3" t="s">
        <v>724</v>
      </c>
      <c r="C686" s="4" t="s">
        <v>8</v>
      </c>
      <c r="D686" s="5" t="s">
        <v>51</v>
      </c>
      <c r="E686" s="6" t="s">
        <v>727</v>
      </c>
    </row>
    <row r="687">
      <c r="A687" s="10" t="s">
        <v>723</v>
      </c>
      <c r="B687" s="3" t="s">
        <v>724</v>
      </c>
      <c r="C687" s="4" t="s">
        <v>8</v>
      </c>
      <c r="D687" s="5" t="s">
        <v>96</v>
      </c>
      <c r="E687" s="6" t="s">
        <v>728</v>
      </c>
    </row>
    <row r="688">
      <c r="A688" s="10" t="s">
        <v>723</v>
      </c>
      <c r="B688" s="3" t="s">
        <v>724</v>
      </c>
      <c r="C688" s="4" t="s">
        <v>8</v>
      </c>
      <c r="D688" s="5" t="s">
        <v>76</v>
      </c>
      <c r="E688" s="6" t="s">
        <v>729</v>
      </c>
    </row>
    <row r="689" hidden="1">
      <c r="A689" s="10" t="s">
        <v>723</v>
      </c>
      <c r="B689" s="3" t="s">
        <v>724</v>
      </c>
      <c r="C689" s="4" t="s">
        <v>3</v>
      </c>
      <c r="D689" s="5" t="s">
        <v>96</v>
      </c>
      <c r="E689" s="6" t="s">
        <v>730</v>
      </c>
    </row>
    <row r="690">
      <c r="A690" s="10" t="s">
        <v>723</v>
      </c>
      <c r="B690" s="3" t="s">
        <v>724</v>
      </c>
      <c r="C690" s="4" t="s">
        <v>8</v>
      </c>
      <c r="D690" s="5" t="s">
        <v>11</v>
      </c>
      <c r="E690" s="6" t="s">
        <v>731</v>
      </c>
    </row>
    <row r="691" hidden="1">
      <c r="A691" s="10" t="s">
        <v>723</v>
      </c>
      <c r="B691" s="3" t="s">
        <v>724</v>
      </c>
      <c r="C691" s="4" t="s">
        <v>3</v>
      </c>
      <c r="D691" s="5" t="s">
        <v>19</v>
      </c>
      <c r="E691" s="6" t="s">
        <v>732</v>
      </c>
    </row>
    <row r="692">
      <c r="A692" s="10" t="s">
        <v>723</v>
      </c>
      <c r="B692" s="3" t="s">
        <v>724</v>
      </c>
      <c r="C692" s="4" t="s">
        <v>8</v>
      </c>
      <c r="D692" s="5" t="s">
        <v>21</v>
      </c>
      <c r="E692" s="6" t="s">
        <v>733</v>
      </c>
    </row>
    <row r="693" hidden="1">
      <c r="A693" s="10" t="s">
        <v>723</v>
      </c>
      <c r="B693" s="3" t="s">
        <v>724</v>
      </c>
      <c r="C693" s="4" t="s">
        <v>3</v>
      </c>
      <c r="D693" s="5" t="s">
        <v>9</v>
      </c>
      <c r="E693" s="6" t="s">
        <v>132</v>
      </c>
    </row>
    <row r="694">
      <c r="A694" s="10" t="s">
        <v>723</v>
      </c>
      <c r="B694" s="3" t="s">
        <v>724</v>
      </c>
      <c r="C694" s="4" t="s">
        <v>8</v>
      </c>
      <c r="D694" s="5" t="s">
        <v>17</v>
      </c>
      <c r="E694" s="6" t="s">
        <v>734</v>
      </c>
    </row>
    <row r="695">
      <c r="A695" s="10" t="s">
        <v>723</v>
      </c>
      <c r="B695" s="3" t="s">
        <v>724</v>
      </c>
      <c r="C695" s="4" t="s">
        <v>8</v>
      </c>
      <c r="D695" s="5" t="s">
        <v>39</v>
      </c>
      <c r="E695" s="6" t="s">
        <v>735</v>
      </c>
    </row>
    <row r="696" hidden="1">
      <c r="A696" s="10" t="s">
        <v>723</v>
      </c>
      <c r="B696" s="3" t="s">
        <v>724</v>
      </c>
      <c r="C696" s="4" t="s">
        <v>3</v>
      </c>
      <c r="D696" s="5" t="s">
        <v>9</v>
      </c>
      <c r="E696" s="6" t="s">
        <v>736</v>
      </c>
    </row>
    <row r="697" hidden="1">
      <c r="A697" s="10" t="s">
        <v>723</v>
      </c>
      <c r="B697" s="3" t="s">
        <v>724</v>
      </c>
      <c r="C697" s="4" t="s">
        <v>3</v>
      </c>
      <c r="D697" s="5" t="s">
        <v>15</v>
      </c>
      <c r="E697" s="6" t="s">
        <v>737</v>
      </c>
    </row>
    <row r="698" hidden="1">
      <c r="A698" s="10" t="s">
        <v>723</v>
      </c>
      <c r="B698" s="3" t="s">
        <v>724</v>
      </c>
      <c r="C698" s="4" t="s">
        <v>3</v>
      </c>
      <c r="D698" s="5" t="s">
        <v>4</v>
      </c>
      <c r="E698" s="6" t="s">
        <v>738</v>
      </c>
    </row>
    <row r="699">
      <c r="A699" s="10" t="s">
        <v>723</v>
      </c>
      <c r="B699" s="3" t="s">
        <v>724</v>
      </c>
      <c r="C699" s="4" t="s">
        <v>8</v>
      </c>
      <c r="D699" s="5" t="s">
        <v>17</v>
      </c>
      <c r="E699" s="6" t="s">
        <v>739</v>
      </c>
    </row>
    <row r="700" hidden="1">
      <c r="A700" s="10" t="s">
        <v>723</v>
      </c>
      <c r="B700" s="3" t="s">
        <v>724</v>
      </c>
      <c r="C700" s="4" t="s">
        <v>3</v>
      </c>
      <c r="D700" s="5" t="s">
        <v>23</v>
      </c>
      <c r="E700" s="6" t="s">
        <v>740</v>
      </c>
    </row>
    <row r="701" hidden="1">
      <c r="A701" s="10" t="s">
        <v>741</v>
      </c>
      <c r="B701" s="3" t="s">
        <v>742</v>
      </c>
      <c r="C701" s="4" t="s">
        <v>3</v>
      </c>
      <c r="D701" s="5" t="s">
        <v>28</v>
      </c>
      <c r="E701" s="6" t="s">
        <v>257</v>
      </c>
    </row>
    <row r="702" hidden="1">
      <c r="A702" s="10" t="s">
        <v>741</v>
      </c>
      <c r="B702" s="3" t="s">
        <v>742</v>
      </c>
      <c r="C702" s="4" t="s">
        <v>3</v>
      </c>
      <c r="D702" s="5" t="s">
        <v>21</v>
      </c>
      <c r="E702" s="6" t="s">
        <v>241</v>
      </c>
    </row>
    <row r="703" hidden="1">
      <c r="A703" s="10" t="s">
        <v>741</v>
      </c>
      <c r="B703" s="3" t="s">
        <v>742</v>
      </c>
      <c r="C703" s="4" t="s">
        <v>3</v>
      </c>
      <c r="D703" s="5" t="s">
        <v>11</v>
      </c>
      <c r="E703" s="6" t="s">
        <v>743</v>
      </c>
    </row>
    <row r="704">
      <c r="A704" s="10" t="s">
        <v>741</v>
      </c>
      <c r="B704" s="3" t="s">
        <v>742</v>
      </c>
      <c r="C704" s="4" t="s">
        <v>8</v>
      </c>
      <c r="D704" s="5" t="s">
        <v>19</v>
      </c>
      <c r="E704" s="6" t="s">
        <v>744</v>
      </c>
    </row>
    <row r="705" hidden="1">
      <c r="A705" s="10" t="s">
        <v>741</v>
      </c>
      <c r="B705" s="3" t="s">
        <v>742</v>
      </c>
      <c r="C705" s="4" t="s">
        <v>3</v>
      </c>
      <c r="D705" s="5" t="s">
        <v>4</v>
      </c>
      <c r="E705" s="6" t="s">
        <v>745</v>
      </c>
    </row>
    <row r="706">
      <c r="A706" s="10" t="s">
        <v>741</v>
      </c>
      <c r="B706" s="3" t="s">
        <v>742</v>
      </c>
      <c r="C706" s="4" t="s">
        <v>8</v>
      </c>
      <c r="D706" s="5" t="s">
        <v>45</v>
      </c>
      <c r="E706" s="6" t="s">
        <v>684</v>
      </c>
    </row>
    <row r="707">
      <c r="A707" s="10" t="s">
        <v>741</v>
      </c>
      <c r="B707" s="3" t="s">
        <v>742</v>
      </c>
      <c r="C707" s="4" t="s">
        <v>8</v>
      </c>
      <c r="D707" s="5" t="s">
        <v>71</v>
      </c>
      <c r="E707" s="6" t="s">
        <v>746</v>
      </c>
    </row>
    <row r="708">
      <c r="A708" s="10" t="s">
        <v>741</v>
      </c>
      <c r="B708" s="3" t="s">
        <v>742</v>
      </c>
      <c r="C708" s="4" t="s">
        <v>8</v>
      </c>
      <c r="D708" s="5" t="s">
        <v>11</v>
      </c>
      <c r="E708" s="6" t="s">
        <v>747</v>
      </c>
    </row>
    <row r="709" hidden="1">
      <c r="A709" s="10" t="s">
        <v>741</v>
      </c>
      <c r="B709" s="3" t="s">
        <v>742</v>
      </c>
      <c r="C709" s="4" t="s">
        <v>3</v>
      </c>
      <c r="D709" s="5" t="s">
        <v>35</v>
      </c>
      <c r="E709" s="6" t="s">
        <v>748</v>
      </c>
    </row>
    <row r="710" hidden="1">
      <c r="A710" s="10" t="s">
        <v>741</v>
      </c>
      <c r="B710" s="3" t="s">
        <v>742</v>
      </c>
      <c r="C710" s="4" t="s">
        <v>3</v>
      </c>
      <c r="D710" s="5" t="s">
        <v>23</v>
      </c>
      <c r="E710" s="6" t="s">
        <v>749</v>
      </c>
    </row>
    <row r="711">
      <c r="A711" s="10" t="s">
        <v>741</v>
      </c>
      <c r="B711" s="3" t="s">
        <v>742</v>
      </c>
      <c r="C711" s="4" t="s">
        <v>8</v>
      </c>
      <c r="D711" s="5" t="s">
        <v>96</v>
      </c>
      <c r="E711" s="6" t="s">
        <v>750</v>
      </c>
    </row>
    <row r="712">
      <c r="A712" s="10" t="s">
        <v>741</v>
      </c>
      <c r="B712" s="3" t="s">
        <v>742</v>
      </c>
      <c r="C712" s="4" t="s">
        <v>8</v>
      </c>
      <c r="D712" s="5" t="s">
        <v>4</v>
      </c>
      <c r="E712" s="6" t="s">
        <v>751</v>
      </c>
    </row>
    <row r="713">
      <c r="A713" s="10" t="s">
        <v>741</v>
      </c>
      <c r="B713" s="3" t="s">
        <v>742</v>
      </c>
      <c r="C713" s="4" t="s">
        <v>8</v>
      </c>
      <c r="D713" s="5" t="s">
        <v>4</v>
      </c>
      <c r="E713" s="6" t="s">
        <v>752</v>
      </c>
    </row>
    <row r="714">
      <c r="A714" s="10" t="s">
        <v>741</v>
      </c>
      <c r="B714" s="3" t="s">
        <v>742</v>
      </c>
      <c r="C714" s="4" t="s">
        <v>8</v>
      </c>
      <c r="D714" s="5" t="s">
        <v>9</v>
      </c>
      <c r="E714" s="6" t="s">
        <v>753</v>
      </c>
    </row>
    <row r="715" hidden="1">
      <c r="A715" s="10" t="s">
        <v>741</v>
      </c>
      <c r="B715" s="3" t="s">
        <v>742</v>
      </c>
      <c r="C715" s="4" t="s">
        <v>3</v>
      </c>
      <c r="D715" s="5" t="s">
        <v>120</v>
      </c>
      <c r="E715" s="6" t="s">
        <v>754</v>
      </c>
    </row>
    <row r="716">
      <c r="A716" s="10" t="s">
        <v>741</v>
      </c>
      <c r="B716" s="3" t="s">
        <v>742</v>
      </c>
      <c r="C716" s="4" t="s">
        <v>8</v>
      </c>
      <c r="D716" s="5" t="s">
        <v>76</v>
      </c>
      <c r="E716" s="6" t="s">
        <v>755</v>
      </c>
    </row>
    <row r="717" hidden="1">
      <c r="A717" s="10" t="s">
        <v>741</v>
      </c>
      <c r="B717" s="3" t="s">
        <v>742</v>
      </c>
      <c r="C717" s="4" t="s">
        <v>3</v>
      </c>
      <c r="D717" s="5" t="s">
        <v>71</v>
      </c>
      <c r="E717" s="6" t="s">
        <v>756</v>
      </c>
    </row>
    <row r="718" hidden="1">
      <c r="A718" s="10" t="s">
        <v>741</v>
      </c>
      <c r="B718" s="3" t="s">
        <v>742</v>
      </c>
      <c r="C718" s="4" t="s">
        <v>3</v>
      </c>
      <c r="D718" s="5" t="s">
        <v>13</v>
      </c>
      <c r="E718" s="6" t="s">
        <v>568</v>
      </c>
    </row>
    <row r="719">
      <c r="A719" s="10" t="s">
        <v>741</v>
      </c>
      <c r="B719" s="3" t="s">
        <v>742</v>
      </c>
      <c r="C719" s="4" t="s">
        <v>8</v>
      </c>
      <c r="D719" s="5" t="s">
        <v>39</v>
      </c>
      <c r="E719" s="6" t="s">
        <v>757</v>
      </c>
    </row>
    <row r="720" hidden="1">
      <c r="A720" s="10" t="s">
        <v>741</v>
      </c>
      <c r="B720" s="3" t="s">
        <v>742</v>
      </c>
      <c r="C720" s="4" t="s">
        <v>3</v>
      </c>
      <c r="D720" s="5" t="s">
        <v>96</v>
      </c>
      <c r="E720" s="6" t="s">
        <v>758</v>
      </c>
    </row>
    <row r="721">
      <c r="A721" s="10" t="s">
        <v>759</v>
      </c>
      <c r="B721" s="3" t="s">
        <v>760</v>
      </c>
      <c r="C721" s="4" t="s">
        <v>8</v>
      </c>
      <c r="D721" s="5" t="s">
        <v>35</v>
      </c>
      <c r="E721" s="6" t="s">
        <v>138</v>
      </c>
    </row>
    <row r="722" hidden="1">
      <c r="A722" s="10" t="s">
        <v>759</v>
      </c>
      <c r="B722" s="3" t="s">
        <v>760</v>
      </c>
      <c r="C722" s="4" t="s">
        <v>3</v>
      </c>
      <c r="D722" s="5" t="s">
        <v>23</v>
      </c>
      <c r="E722" s="6" t="s">
        <v>523</v>
      </c>
    </row>
    <row r="723" hidden="1">
      <c r="A723" s="10" t="s">
        <v>759</v>
      </c>
      <c r="B723" s="3" t="s">
        <v>760</v>
      </c>
      <c r="C723" s="4" t="s">
        <v>3</v>
      </c>
      <c r="D723" s="5" t="s">
        <v>15</v>
      </c>
      <c r="E723" s="6" t="s">
        <v>761</v>
      </c>
    </row>
    <row r="724" hidden="1">
      <c r="A724" s="10" t="s">
        <v>759</v>
      </c>
      <c r="B724" s="3" t="s">
        <v>760</v>
      </c>
      <c r="C724" s="4" t="s">
        <v>3</v>
      </c>
      <c r="D724" s="5" t="s">
        <v>42</v>
      </c>
      <c r="E724" s="6" t="s">
        <v>762</v>
      </c>
    </row>
    <row r="725" hidden="1">
      <c r="A725" s="10" t="s">
        <v>759</v>
      </c>
      <c r="B725" s="3" t="s">
        <v>760</v>
      </c>
      <c r="C725" s="4" t="s">
        <v>3</v>
      </c>
      <c r="D725" s="5" t="s">
        <v>45</v>
      </c>
      <c r="E725" s="6" t="s">
        <v>763</v>
      </c>
    </row>
    <row r="726" hidden="1">
      <c r="A726" s="10" t="s">
        <v>759</v>
      </c>
      <c r="B726" s="3" t="s">
        <v>760</v>
      </c>
      <c r="C726" s="4" t="s">
        <v>3</v>
      </c>
      <c r="D726" s="5" t="s">
        <v>9</v>
      </c>
      <c r="E726" s="6" t="s">
        <v>764</v>
      </c>
    </row>
    <row r="727">
      <c r="A727" s="10" t="s">
        <v>759</v>
      </c>
      <c r="B727" s="3" t="s">
        <v>760</v>
      </c>
      <c r="C727" s="4" t="s">
        <v>8</v>
      </c>
      <c r="D727" s="5" t="s">
        <v>6</v>
      </c>
      <c r="E727" s="6" t="s">
        <v>765</v>
      </c>
    </row>
    <row r="728">
      <c r="A728" s="10" t="s">
        <v>759</v>
      </c>
      <c r="B728" s="3" t="s">
        <v>760</v>
      </c>
      <c r="C728" s="4" t="s">
        <v>8</v>
      </c>
      <c r="D728" s="5" t="s">
        <v>17</v>
      </c>
      <c r="E728" s="6" t="s">
        <v>766</v>
      </c>
    </row>
    <row r="729" hidden="1">
      <c r="A729" s="10" t="s">
        <v>759</v>
      </c>
      <c r="B729" s="3" t="s">
        <v>760</v>
      </c>
      <c r="C729" s="4" t="s">
        <v>3</v>
      </c>
      <c r="D729" s="5" t="s">
        <v>35</v>
      </c>
      <c r="E729" s="6" t="s">
        <v>767</v>
      </c>
    </row>
    <row r="730" hidden="1">
      <c r="A730" s="10" t="s">
        <v>759</v>
      </c>
      <c r="B730" s="3" t="s">
        <v>760</v>
      </c>
      <c r="C730" s="4" t="s">
        <v>3</v>
      </c>
      <c r="D730" s="5" t="s">
        <v>9</v>
      </c>
      <c r="E730" s="6" t="s">
        <v>768</v>
      </c>
    </row>
    <row r="731" hidden="1">
      <c r="A731" s="10" t="s">
        <v>759</v>
      </c>
      <c r="B731" s="3" t="s">
        <v>760</v>
      </c>
      <c r="C731" s="4" t="s">
        <v>3</v>
      </c>
      <c r="D731" s="5" t="s">
        <v>39</v>
      </c>
      <c r="E731" s="6" t="s">
        <v>769</v>
      </c>
    </row>
    <row r="732" hidden="1">
      <c r="A732" s="10" t="s">
        <v>759</v>
      </c>
      <c r="B732" s="3" t="s">
        <v>760</v>
      </c>
      <c r="C732" s="4" t="s">
        <v>3</v>
      </c>
      <c r="D732" s="5" t="s">
        <v>13</v>
      </c>
      <c r="E732" s="6" t="s">
        <v>672</v>
      </c>
    </row>
    <row r="733">
      <c r="A733" s="10" t="s">
        <v>759</v>
      </c>
      <c r="B733" s="3" t="s">
        <v>760</v>
      </c>
      <c r="C733" s="4" t="s">
        <v>8</v>
      </c>
      <c r="D733" s="5" t="s">
        <v>6</v>
      </c>
      <c r="E733" s="6" t="s">
        <v>770</v>
      </c>
    </row>
    <row r="734">
      <c r="A734" s="10" t="s">
        <v>759</v>
      </c>
      <c r="B734" s="3" t="s">
        <v>760</v>
      </c>
      <c r="C734" s="4" t="s">
        <v>8</v>
      </c>
      <c r="D734" s="5" t="s">
        <v>9</v>
      </c>
      <c r="E734" s="6" t="s">
        <v>771</v>
      </c>
    </row>
    <row r="735">
      <c r="A735" s="10" t="s">
        <v>759</v>
      </c>
      <c r="B735" s="3" t="s">
        <v>760</v>
      </c>
      <c r="C735" s="4" t="s">
        <v>8</v>
      </c>
      <c r="D735" s="5" t="s">
        <v>21</v>
      </c>
      <c r="E735" s="6" t="s">
        <v>772</v>
      </c>
    </row>
    <row r="736">
      <c r="A736" s="10" t="s">
        <v>759</v>
      </c>
      <c r="B736" s="3" t="s">
        <v>760</v>
      </c>
      <c r="C736" s="4" t="s">
        <v>8</v>
      </c>
      <c r="D736" s="5" t="s">
        <v>4</v>
      </c>
      <c r="E736" s="6" t="s">
        <v>773</v>
      </c>
    </row>
    <row r="737" hidden="1">
      <c r="A737" s="10" t="s">
        <v>759</v>
      </c>
      <c r="B737" s="3" t="s">
        <v>760</v>
      </c>
      <c r="C737" s="4" t="s">
        <v>3</v>
      </c>
      <c r="D737" s="5" t="s">
        <v>51</v>
      </c>
      <c r="E737" s="6" t="s">
        <v>774</v>
      </c>
    </row>
    <row r="738">
      <c r="A738" s="10" t="s">
        <v>759</v>
      </c>
      <c r="B738" s="3" t="s">
        <v>760</v>
      </c>
      <c r="C738" s="4" t="s">
        <v>8</v>
      </c>
      <c r="D738" s="5" t="s">
        <v>9</v>
      </c>
      <c r="E738" s="6" t="s">
        <v>775</v>
      </c>
    </row>
    <row r="739" hidden="1">
      <c r="A739" s="10" t="s">
        <v>759</v>
      </c>
      <c r="B739" s="3" t="s">
        <v>760</v>
      </c>
      <c r="C739" s="4" t="s">
        <v>3</v>
      </c>
      <c r="D739" s="5" t="s">
        <v>13</v>
      </c>
      <c r="E739" s="6" t="s">
        <v>776</v>
      </c>
    </row>
    <row r="740" hidden="1">
      <c r="A740" s="10" t="s">
        <v>759</v>
      </c>
      <c r="B740" s="3" t="s">
        <v>760</v>
      </c>
      <c r="C740" s="4" t="s">
        <v>3</v>
      </c>
      <c r="D740" s="5" t="s">
        <v>6</v>
      </c>
      <c r="E740" s="6" t="s">
        <v>777</v>
      </c>
    </row>
    <row r="741" hidden="1">
      <c r="A741" s="10" t="s">
        <v>778</v>
      </c>
      <c r="B741" s="3" t="s">
        <v>779</v>
      </c>
      <c r="C741" s="4" t="s">
        <v>3</v>
      </c>
      <c r="D741" s="5" t="s">
        <v>39</v>
      </c>
      <c r="E741" s="6" t="s">
        <v>780</v>
      </c>
    </row>
    <row r="742">
      <c r="A742" s="10" t="s">
        <v>778</v>
      </c>
      <c r="B742" s="3" t="s">
        <v>779</v>
      </c>
      <c r="C742" s="4" t="s">
        <v>8</v>
      </c>
      <c r="D742" s="5" t="s">
        <v>11</v>
      </c>
      <c r="E742" s="6" t="s">
        <v>212</v>
      </c>
    </row>
    <row r="743">
      <c r="A743" s="10" t="s">
        <v>778</v>
      </c>
      <c r="B743" s="3" t="s">
        <v>779</v>
      </c>
      <c r="C743" s="4" t="s">
        <v>8</v>
      </c>
      <c r="D743" s="5" t="s">
        <v>71</v>
      </c>
      <c r="E743" s="6" t="s">
        <v>781</v>
      </c>
    </row>
    <row r="744">
      <c r="A744" s="10" t="s">
        <v>778</v>
      </c>
      <c r="B744" s="3" t="s">
        <v>779</v>
      </c>
      <c r="C744" s="4" t="s">
        <v>8</v>
      </c>
      <c r="D744" s="5" t="s">
        <v>11</v>
      </c>
      <c r="E744" s="6" t="s">
        <v>782</v>
      </c>
    </row>
    <row r="745">
      <c r="A745" s="10" t="s">
        <v>778</v>
      </c>
      <c r="B745" s="3" t="s">
        <v>779</v>
      </c>
      <c r="C745" s="4" t="s">
        <v>8</v>
      </c>
      <c r="D745" s="5" t="s">
        <v>6</v>
      </c>
      <c r="E745" s="6" t="s">
        <v>783</v>
      </c>
    </row>
    <row r="746">
      <c r="A746" s="10" t="s">
        <v>778</v>
      </c>
      <c r="B746" s="3" t="s">
        <v>779</v>
      </c>
      <c r="C746" s="4" t="s">
        <v>8</v>
      </c>
      <c r="D746" s="5" t="s">
        <v>51</v>
      </c>
      <c r="E746" s="6" t="s">
        <v>784</v>
      </c>
    </row>
    <row r="747" hidden="1">
      <c r="A747" s="10" t="s">
        <v>778</v>
      </c>
      <c r="B747" s="3" t="s">
        <v>779</v>
      </c>
      <c r="C747" s="4" t="s">
        <v>3</v>
      </c>
      <c r="D747" s="5" t="s">
        <v>71</v>
      </c>
      <c r="E747" s="6" t="s">
        <v>785</v>
      </c>
    </row>
    <row r="748">
      <c r="A748" s="10" t="s">
        <v>778</v>
      </c>
      <c r="B748" s="3" t="s">
        <v>779</v>
      </c>
      <c r="C748" s="4" t="s">
        <v>8</v>
      </c>
      <c r="D748" s="5" t="s">
        <v>15</v>
      </c>
      <c r="E748" s="6" t="s">
        <v>786</v>
      </c>
    </row>
    <row r="749" hidden="1">
      <c r="A749" s="10" t="s">
        <v>778</v>
      </c>
      <c r="B749" s="3" t="s">
        <v>779</v>
      </c>
      <c r="C749" s="4" t="s">
        <v>3</v>
      </c>
      <c r="D749" s="5" t="s">
        <v>23</v>
      </c>
      <c r="E749" s="6" t="s">
        <v>787</v>
      </c>
    </row>
    <row r="750">
      <c r="A750" s="10" t="s">
        <v>778</v>
      </c>
      <c r="B750" s="3" t="s">
        <v>779</v>
      </c>
      <c r="C750" s="4" t="s">
        <v>8</v>
      </c>
      <c r="D750" s="5" t="s">
        <v>13</v>
      </c>
      <c r="E750" s="6" t="s">
        <v>788</v>
      </c>
    </row>
    <row r="751" hidden="1">
      <c r="A751" s="10" t="s">
        <v>778</v>
      </c>
      <c r="B751" s="3" t="s">
        <v>779</v>
      </c>
      <c r="C751" s="4" t="s">
        <v>3</v>
      </c>
      <c r="D751" s="5" t="s">
        <v>17</v>
      </c>
      <c r="E751" s="6" t="s">
        <v>789</v>
      </c>
    </row>
    <row r="752">
      <c r="A752" s="10" t="s">
        <v>778</v>
      </c>
      <c r="B752" s="3" t="s">
        <v>779</v>
      </c>
      <c r="C752" s="4" t="s">
        <v>8</v>
      </c>
      <c r="D752" s="5" t="s">
        <v>51</v>
      </c>
      <c r="E752" s="6" t="s">
        <v>790</v>
      </c>
    </row>
    <row r="753" hidden="1">
      <c r="A753" s="10" t="s">
        <v>778</v>
      </c>
      <c r="B753" s="3" t="s">
        <v>779</v>
      </c>
      <c r="C753" s="4" t="s">
        <v>3</v>
      </c>
      <c r="D753" s="5" t="s">
        <v>23</v>
      </c>
      <c r="E753" s="6" t="s">
        <v>392</v>
      </c>
    </row>
    <row r="754" hidden="1">
      <c r="A754" s="10" t="s">
        <v>778</v>
      </c>
      <c r="B754" s="3" t="s">
        <v>779</v>
      </c>
      <c r="C754" s="4" t="s">
        <v>3</v>
      </c>
      <c r="D754" s="5" t="s">
        <v>15</v>
      </c>
      <c r="E754" s="6" t="s">
        <v>791</v>
      </c>
    </row>
    <row r="755" hidden="1">
      <c r="A755" s="10" t="s">
        <v>778</v>
      </c>
      <c r="B755" s="3" t="s">
        <v>779</v>
      </c>
      <c r="C755" s="4" t="s">
        <v>3</v>
      </c>
      <c r="D755" s="5" t="s">
        <v>76</v>
      </c>
      <c r="E755" s="6" t="s">
        <v>102</v>
      </c>
    </row>
    <row r="756">
      <c r="A756" s="10" t="s">
        <v>778</v>
      </c>
      <c r="B756" s="3" t="s">
        <v>779</v>
      </c>
      <c r="C756" s="4" t="s">
        <v>8</v>
      </c>
      <c r="D756" s="5" t="s">
        <v>13</v>
      </c>
      <c r="E756" s="6" t="s">
        <v>414</v>
      </c>
    </row>
    <row r="757">
      <c r="A757" s="10" t="s">
        <v>778</v>
      </c>
      <c r="B757" s="3" t="s">
        <v>779</v>
      </c>
      <c r="C757" s="4" t="s">
        <v>8</v>
      </c>
      <c r="D757" s="5" t="s">
        <v>96</v>
      </c>
      <c r="E757" s="6" t="s">
        <v>792</v>
      </c>
    </row>
    <row r="758" hidden="1">
      <c r="A758" s="10" t="s">
        <v>778</v>
      </c>
      <c r="B758" s="3" t="s">
        <v>779</v>
      </c>
      <c r="C758" s="4" t="s">
        <v>3</v>
      </c>
      <c r="D758" s="5" t="s">
        <v>11</v>
      </c>
      <c r="E758" s="6" t="s">
        <v>793</v>
      </c>
    </row>
    <row r="759" hidden="1">
      <c r="A759" s="10" t="s">
        <v>778</v>
      </c>
      <c r="B759" s="3" t="s">
        <v>779</v>
      </c>
      <c r="C759" s="4" t="s">
        <v>3</v>
      </c>
      <c r="D759" s="5" t="s">
        <v>76</v>
      </c>
      <c r="E759" s="6" t="s">
        <v>794</v>
      </c>
    </row>
    <row r="760">
      <c r="A760" s="10" t="s">
        <v>778</v>
      </c>
      <c r="B760" s="3" t="s">
        <v>779</v>
      </c>
      <c r="C760" s="4" t="s">
        <v>8</v>
      </c>
      <c r="D760" s="5" t="s">
        <v>28</v>
      </c>
      <c r="E760" s="6" t="s">
        <v>795</v>
      </c>
    </row>
    <row r="761" hidden="1">
      <c r="A761" s="10" t="s">
        <v>796</v>
      </c>
      <c r="B761" s="3" t="s">
        <v>797</v>
      </c>
      <c r="C761" s="4" t="s">
        <v>3</v>
      </c>
      <c r="D761" s="5" t="s">
        <v>6</v>
      </c>
      <c r="E761" s="6" t="s">
        <v>798</v>
      </c>
    </row>
    <row r="762" hidden="1">
      <c r="A762" s="10" t="s">
        <v>796</v>
      </c>
      <c r="B762" s="3" t="s">
        <v>797</v>
      </c>
      <c r="C762" s="4" t="s">
        <v>3</v>
      </c>
      <c r="D762" s="5" t="s">
        <v>35</v>
      </c>
      <c r="E762" s="6" t="s">
        <v>799</v>
      </c>
    </row>
    <row r="763">
      <c r="A763" s="10" t="s">
        <v>796</v>
      </c>
      <c r="B763" s="3" t="s">
        <v>797</v>
      </c>
      <c r="C763" s="4" t="s">
        <v>8</v>
      </c>
      <c r="D763" s="5" t="s">
        <v>19</v>
      </c>
      <c r="E763" s="6" t="s">
        <v>800</v>
      </c>
    </row>
    <row r="764">
      <c r="A764" s="10" t="s">
        <v>796</v>
      </c>
      <c r="B764" s="3" t="s">
        <v>797</v>
      </c>
      <c r="C764" s="4" t="s">
        <v>8</v>
      </c>
      <c r="D764" s="5" t="s">
        <v>51</v>
      </c>
      <c r="E764" s="6" t="s">
        <v>801</v>
      </c>
    </row>
    <row r="765" hidden="1">
      <c r="A765" s="10" t="s">
        <v>796</v>
      </c>
      <c r="B765" s="3" t="s">
        <v>797</v>
      </c>
      <c r="C765" s="4" t="s">
        <v>3</v>
      </c>
      <c r="D765" s="5" t="s">
        <v>28</v>
      </c>
      <c r="E765" s="6" t="s">
        <v>190</v>
      </c>
    </row>
    <row r="766">
      <c r="A766" s="10" t="s">
        <v>796</v>
      </c>
      <c r="B766" s="3" t="s">
        <v>797</v>
      </c>
      <c r="C766" s="4" t="s">
        <v>8</v>
      </c>
      <c r="D766" s="5" t="s">
        <v>23</v>
      </c>
      <c r="E766" s="6" t="s">
        <v>77</v>
      </c>
    </row>
    <row r="767" hidden="1">
      <c r="A767" s="10" t="s">
        <v>796</v>
      </c>
      <c r="B767" s="3" t="s">
        <v>797</v>
      </c>
      <c r="C767" s="4" t="s">
        <v>3</v>
      </c>
      <c r="D767" s="5" t="s">
        <v>19</v>
      </c>
      <c r="E767" s="6" t="s">
        <v>802</v>
      </c>
    </row>
    <row r="768" hidden="1">
      <c r="A768" s="10" t="s">
        <v>796</v>
      </c>
      <c r="B768" s="3" t="s">
        <v>797</v>
      </c>
      <c r="C768" s="4" t="s">
        <v>3</v>
      </c>
      <c r="D768" s="5" t="s">
        <v>21</v>
      </c>
      <c r="E768" s="6" t="s">
        <v>803</v>
      </c>
    </row>
    <row r="769" hidden="1">
      <c r="A769" s="10" t="s">
        <v>796</v>
      </c>
      <c r="B769" s="3" t="s">
        <v>797</v>
      </c>
      <c r="C769" s="4" t="s">
        <v>3</v>
      </c>
      <c r="D769" s="5" t="s">
        <v>45</v>
      </c>
      <c r="E769" s="6" t="s">
        <v>804</v>
      </c>
    </row>
    <row r="770" hidden="1">
      <c r="A770" s="10" t="s">
        <v>796</v>
      </c>
      <c r="B770" s="3" t="s">
        <v>797</v>
      </c>
      <c r="C770" s="4" t="s">
        <v>3</v>
      </c>
      <c r="D770" s="5" t="s">
        <v>76</v>
      </c>
      <c r="E770" s="6" t="s">
        <v>805</v>
      </c>
    </row>
    <row r="771">
      <c r="A771" s="10" t="s">
        <v>796</v>
      </c>
      <c r="B771" s="3" t="s">
        <v>797</v>
      </c>
      <c r="C771" s="4" t="s">
        <v>8</v>
      </c>
      <c r="D771" s="5" t="s">
        <v>96</v>
      </c>
      <c r="E771" s="6" t="s">
        <v>806</v>
      </c>
    </row>
    <row r="772">
      <c r="A772" s="10" t="s">
        <v>796</v>
      </c>
      <c r="B772" s="3" t="s">
        <v>797</v>
      </c>
      <c r="C772" s="4" t="s">
        <v>8</v>
      </c>
      <c r="D772" s="5" t="s">
        <v>76</v>
      </c>
      <c r="E772" s="6" t="s">
        <v>807</v>
      </c>
    </row>
    <row r="773" hidden="1">
      <c r="A773" s="10" t="s">
        <v>796</v>
      </c>
      <c r="B773" s="3" t="s">
        <v>797</v>
      </c>
      <c r="C773" s="4" t="s">
        <v>3</v>
      </c>
      <c r="D773" s="5" t="s">
        <v>42</v>
      </c>
      <c r="E773" s="6" t="s">
        <v>435</v>
      </c>
    </row>
    <row r="774" hidden="1">
      <c r="A774" s="10" t="s">
        <v>796</v>
      </c>
      <c r="B774" s="3" t="s">
        <v>797</v>
      </c>
      <c r="C774" s="4" t="s">
        <v>3</v>
      </c>
      <c r="D774" s="5" t="s">
        <v>28</v>
      </c>
      <c r="E774" s="6" t="s">
        <v>323</v>
      </c>
    </row>
    <row r="775" hidden="1">
      <c r="A775" s="10" t="s">
        <v>796</v>
      </c>
      <c r="B775" s="3" t="s">
        <v>797</v>
      </c>
      <c r="C775" s="4" t="s">
        <v>3</v>
      </c>
      <c r="D775" s="5" t="s">
        <v>71</v>
      </c>
      <c r="E775" s="6" t="s">
        <v>808</v>
      </c>
    </row>
    <row r="776" hidden="1">
      <c r="A776" s="10" t="s">
        <v>796</v>
      </c>
      <c r="B776" s="3" t="s">
        <v>797</v>
      </c>
      <c r="C776" s="4" t="s">
        <v>3</v>
      </c>
      <c r="D776" s="5" t="s">
        <v>96</v>
      </c>
      <c r="E776" s="6" t="s">
        <v>809</v>
      </c>
    </row>
    <row r="777" hidden="1">
      <c r="A777" s="10" t="s">
        <v>796</v>
      </c>
      <c r="B777" s="3" t="s">
        <v>797</v>
      </c>
      <c r="C777" s="4" t="s">
        <v>3</v>
      </c>
      <c r="D777" s="5" t="s">
        <v>51</v>
      </c>
      <c r="E777" s="6" t="s">
        <v>810</v>
      </c>
    </row>
    <row r="778">
      <c r="A778" s="10" t="s">
        <v>796</v>
      </c>
      <c r="B778" s="3" t="s">
        <v>797</v>
      </c>
      <c r="C778" s="4" t="s">
        <v>8</v>
      </c>
      <c r="D778" s="5" t="s">
        <v>51</v>
      </c>
      <c r="E778" s="6" t="s">
        <v>811</v>
      </c>
    </row>
    <row r="779">
      <c r="A779" s="10" t="s">
        <v>796</v>
      </c>
      <c r="B779" s="3" t="s">
        <v>797</v>
      </c>
      <c r="C779" s="4" t="s">
        <v>8</v>
      </c>
      <c r="D779" s="5" t="s">
        <v>71</v>
      </c>
      <c r="E779" s="6" t="s">
        <v>812</v>
      </c>
    </row>
    <row r="780">
      <c r="A780" s="10" t="s">
        <v>796</v>
      </c>
      <c r="B780" s="3" t="s">
        <v>797</v>
      </c>
      <c r="C780" s="4" t="s">
        <v>8</v>
      </c>
      <c r="D780" s="5" t="s">
        <v>11</v>
      </c>
      <c r="E780" s="6" t="s">
        <v>363</v>
      </c>
    </row>
    <row r="781" hidden="1">
      <c r="A781" s="10" t="s">
        <v>613</v>
      </c>
      <c r="B781" s="3" t="s">
        <v>813</v>
      </c>
      <c r="C781" s="4" t="s">
        <v>3</v>
      </c>
      <c r="D781" s="5" t="s">
        <v>19</v>
      </c>
      <c r="E781" s="6" t="s">
        <v>814</v>
      </c>
    </row>
    <row r="782" hidden="1">
      <c r="A782" s="10" t="s">
        <v>613</v>
      </c>
      <c r="B782" s="3" t="s">
        <v>813</v>
      </c>
      <c r="C782" s="4" t="s">
        <v>3</v>
      </c>
      <c r="D782" s="5" t="s">
        <v>71</v>
      </c>
      <c r="E782" s="6" t="s">
        <v>815</v>
      </c>
    </row>
    <row r="783" hidden="1">
      <c r="A783" s="10" t="s">
        <v>613</v>
      </c>
      <c r="B783" s="3" t="s">
        <v>813</v>
      </c>
      <c r="C783" s="4" t="s">
        <v>3</v>
      </c>
      <c r="D783" s="5" t="s">
        <v>76</v>
      </c>
      <c r="E783" s="6" t="s">
        <v>816</v>
      </c>
    </row>
    <row r="784" hidden="1">
      <c r="A784" s="10" t="s">
        <v>613</v>
      </c>
      <c r="B784" s="3" t="s">
        <v>813</v>
      </c>
      <c r="C784" s="4" t="s">
        <v>3</v>
      </c>
      <c r="D784" s="5" t="s">
        <v>35</v>
      </c>
      <c r="E784" s="6" t="s">
        <v>817</v>
      </c>
    </row>
    <row r="785" hidden="1">
      <c r="A785" s="10" t="s">
        <v>613</v>
      </c>
      <c r="B785" s="3" t="s">
        <v>813</v>
      </c>
      <c r="C785" s="4" t="s">
        <v>3</v>
      </c>
      <c r="D785" s="5" t="s">
        <v>11</v>
      </c>
      <c r="E785" s="6" t="s">
        <v>818</v>
      </c>
    </row>
    <row r="786">
      <c r="A786" s="10" t="s">
        <v>613</v>
      </c>
      <c r="B786" s="3" t="s">
        <v>813</v>
      </c>
      <c r="C786" s="4" t="s">
        <v>8</v>
      </c>
      <c r="D786" s="5" t="s">
        <v>76</v>
      </c>
      <c r="E786" s="6" t="s">
        <v>819</v>
      </c>
    </row>
    <row r="787" hidden="1">
      <c r="A787" s="10" t="s">
        <v>613</v>
      </c>
      <c r="B787" s="3" t="s">
        <v>813</v>
      </c>
      <c r="C787" s="4" t="s">
        <v>3</v>
      </c>
      <c r="D787" s="5" t="s">
        <v>13</v>
      </c>
      <c r="E787" s="6" t="s">
        <v>820</v>
      </c>
    </row>
    <row r="788">
      <c r="A788" s="10" t="s">
        <v>613</v>
      </c>
      <c r="B788" s="3" t="s">
        <v>813</v>
      </c>
      <c r="C788" s="4" t="s">
        <v>8</v>
      </c>
      <c r="D788" s="5" t="s">
        <v>42</v>
      </c>
      <c r="E788" s="6" t="s">
        <v>821</v>
      </c>
    </row>
    <row r="789" hidden="1">
      <c r="A789" s="10" t="s">
        <v>613</v>
      </c>
      <c r="B789" s="3" t="s">
        <v>813</v>
      </c>
      <c r="C789" s="4" t="s">
        <v>3</v>
      </c>
      <c r="D789" s="5" t="s">
        <v>96</v>
      </c>
      <c r="E789" s="6" t="s">
        <v>822</v>
      </c>
    </row>
    <row r="790">
      <c r="A790" s="10" t="s">
        <v>613</v>
      </c>
      <c r="B790" s="3" t="s">
        <v>813</v>
      </c>
      <c r="C790" s="4" t="s">
        <v>8</v>
      </c>
      <c r="D790" s="5" t="s">
        <v>71</v>
      </c>
      <c r="E790" s="6" t="s">
        <v>823</v>
      </c>
    </row>
    <row r="791">
      <c r="A791" s="10" t="s">
        <v>613</v>
      </c>
      <c r="B791" s="3" t="s">
        <v>813</v>
      </c>
      <c r="C791" s="4" t="s">
        <v>8</v>
      </c>
      <c r="D791" s="5" t="s">
        <v>51</v>
      </c>
      <c r="E791" s="6" t="s">
        <v>824</v>
      </c>
    </row>
    <row r="792">
      <c r="A792" s="10" t="s">
        <v>613</v>
      </c>
      <c r="B792" s="3" t="s">
        <v>813</v>
      </c>
      <c r="C792" s="4" t="s">
        <v>8</v>
      </c>
      <c r="D792" s="5" t="s">
        <v>13</v>
      </c>
      <c r="E792" s="6" t="s">
        <v>825</v>
      </c>
    </row>
    <row r="793" hidden="1">
      <c r="A793" s="10" t="s">
        <v>613</v>
      </c>
      <c r="B793" s="3" t="s">
        <v>813</v>
      </c>
      <c r="C793" s="4" t="s">
        <v>3</v>
      </c>
      <c r="D793" s="5" t="s">
        <v>9</v>
      </c>
      <c r="E793" s="6" t="s">
        <v>826</v>
      </c>
    </row>
    <row r="794" hidden="1">
      <c r="A794" s="10" t="s">
        <v>613</v>
      </c>
      <c r="B794" s="3" t="s">
        <v>813</v>
      </c>
      <c r="C794" s="4" t="s">
        <v>3</v>
      </c>
      <c r="D794" s="5" t="s">
        <v>21</v>
      </c>
      <c r="E794" s="6" t="s">
        <v>827</v>
      </c>
    </row>
    <row r="795">
      <c r="A795" s="10" t="s">
        <v>613</v>
      </c>
      <c r="B795" s="3" t="s">
        <v>813</v>
      </c>
      <c r="C795" s="4" t="s">
        <v>8</v>
      </c>
      <c r="D795" s="5" t="s">
        <v>35</v>
      </c>
      <c r="E795" s="6" t="s">
        <v>828</v>
      </c>
    </row>
    <row r="796">
      <c r="A796" s="10" t="s">
        <v>613</v>
      </c>
      <c r="B796" s="3" t="s">
        <v>813</v>
      </c>
      <c r="C796" s="4" t="s">
        <v>8</v>
      </c>
      <c r="D796" s="5" t="s">
        <v>21</v>
      </c>
      <c r="E796" s="6" t="s">
        <v>829</v>
      </c>
    </row>
    <row r="797">
      <c r="A797" s="10" t="s">
        <v>613</v>
      </c>
      <c r="B797" s="3" t="s">
        <v>813</v>
      </c>
      <c r="C797" s="4" t="s">
        <v>8</v>
      </c>
      <c r="D797" s="5" t="s">
        <v>96</v>
      </c>
      <c r="E797" s="6" t="s">
        <v>181</v>
      </c>
    </row>
    <row r="798">
      <c r="A798" s="10" t="s">
        <v>613</v>
      </c>
      <c r="B798" s="3" t="s">
        <v>813</v>
      </c>
      <c r="C798" s="4" t="s">
        <v>8</v>
      </c>
      <c r="D798" s="5" t="s">
        <v>15</v>
      </c>
      <c r="E798" s="6" t="s">
        <v>248</v>
      </c>
    </row>
    <row r="799" hidden="1">
      <c r="A799" s="10" t="s">
        <v>613</v>
      </c>
      <c r="B799" s="3" t="s">
        <v>813</v>
      </c>
      <c r="C799" s="4" t="s">
        <v>3</v>
      </c>
      <c r="D799" s="5" t="s">
        <v>51</v>
      </c>
      <c r="E799" s="6" t="s">
        <v>830</v>
      </c>
    </row>
    <row r="800" hidden="1">
      <c r="A800" s="10" t="s">
        <v>613</v>
      </c>
      <c r="B800" s="3" t="s">
        <v>813</v>
      </c>
      <c r="C800" s="4" t="s">
        <v>3</v>
      </c>
      <c r="D800" s="5" t="s">
        <v>21</v>
      </c>
      <c r="E800" s="6" t="s">
        <v>831</v>
      </c>
    </row>
    <row r="801">
      <c r="A801" s="10" t="s">
        <v>832</v>
      </c>
      <c r="B801" s="3" t="s">
        <v>833</v>
      </c>
      <c r="C801" s="4" t="s">
        <v>8</v>
      </c>
      <c r="D801" s="5" t="s">
        <v>51</v>
      </c>
      <c r="E801" s="6" t="s">
        <v>657</v>
      </c>
    </row>
    <row r="802" hidden="1">
      <c r="A802" s="10" t="s">
        <v>832</v>
      </c>
      <c r="B802" s="3" t="s">
        <v>833</v>
      </c>
      <c r="C802" s="4" t="s">
        <v>3</v>
      </c>
      <c r="D802" s="5" t="s">
        <v>96</v>
      </c>
      <c r="E802" s="6" t="s">
        <v>94</v>
      </c>
    </row>
    <row r="803">
      <c r="A803" s="10" t="s">
        <v>832</v>
      </c>
      <c r="B803" s="3" t="s">
        <v>833</v>
      </c>
      <c r="C803" s="4" t="s">
        <v>8</v>
      </c>
      <c r="D803" s="5" t="s">
        <v>71</v>
      </c>
      <c r="E803" s="6" t="s">
        <v>834</v>
      </c>
    </row>
    <row r="804" hidden="1">
      <c r="A804" s="10" t="s">
        <v>832</v>
      </c>
      <c r="B804" s="3" t="s">
        <v>833</v>
      </c>
      <c r="C804" s="4" t="s">
        <v>3</v>
      </c>
      <c r="D804" s="5" t="s">
        <v>13</v>
      </c>
      <c r="E804" s="6" t="s">
        <v>619</v>
      </c>
    </row>
    <row r="805">
      <c r="A805" s="10" t="s">
        <v>832</v>
      </c>
      <c r="B805" s="3" t="s">
        <v>833</v>
      </c>
      <c r="C805" s="4" t="s">
        <v>8</v>
      </c>
      <c r="D805" s="5" t="s">
        <v>76</v>
      </c>
      <c r="E805" s="6" t="s">
        <v>835</v>
      </c>
    </row>
    <row r="806">
      <c r="A806" s="10" t="s">
        <v>832</v>
      </c>
      <c r="B806" s="3" t="s">
        <v>833</v>
      </c>
      <c r="C806" s="4" t="s">
        <v>8</v>
      </c>
      <c r="D806" s="5" t="s">
        <v>4</v>
      </c>
      <c r="E806" s="6" t="s">
        <v>836</v>
      </c>
    </row>
    <row r="807" hidden="1">
      <c r="A807" s="10" t="s">
        <v>832</v>
      </c>
      <c r="B807" s="3" t="s">
        <v>833</v>
      </c>
      <c r="C807" s="4" t="s">
        <v>3</v>
      </c>
      <c r="D807" s="5" t="s">
        <v>19</v>
      </c>
      <c r="E807" s="6" t="s">
        <v>837</v>
      </c>
    </row>
    <row r="808" hidden="1">
      <c r="A808" s="10" t="s">
        <v>832</v>
      </c>
      <c r="B808" s="3" t="s">
        <v>833</v>
      </c>
      <c r="C808" s="4" t="s">
        <v>3</v>
      </c>
      <c r="D808" s="5" t="s">
        <v>4</v>
      </c>
      <c r="E808" s="6" t="s">
        <v>838</v>
      </c>
    </row>
    <row r="809" hidden="1">
      <c r="A809" s="10" t="s">
        <v>832</v>
      </c>
      <c r="B809" s="3" t="s">
        <v>833</v>
      </c>
      <c r="C809" s="4" t="s">
        <v>3</v>
      </c>
      <c r="D809" s="5" t="s">
        <v>35</v>
      </c>
      <c r="E809" s="6" t="s">
        <v>839</v>
      </c>
    </row>
    <row r="810" hidden="1">
      <c r="A810" s="10" t="s">
        <v>832</v>
      </c>
      <c r="B810" s="3" t="s">
        <v>833</v>
      </c>
      <c r="C810" s="4" t="s">
        <v>3</v>
      </c>
      <c r="D810" s="5" t="s">
        <v>51</v>
      </c>
      <c r="E810" s="6" t="s">
        <v>840</v>
      </c>
    </row>
    <row r="811" hidden="1">
      <c r="A811" s="10" t="s">
        <v>832</v>
      </c>
      <c r="B811" s="3" t="s">
        <v>833</v>
      </c>
      <c r="C811" s="4" t="s">
        <v>3</v>
      </c>
      <c r="D811" s="5" t="s">
        <v>76</v>
      </c>
      <c r="E811" s="6" t="s">
        <v>841</v>
      </c>
    </row>
    <row r="812">
      <c r="A812" s="10" t="s">
        <v>832</v>
      </c>
      <c r="B812" s="3" t="s">
        <v>833</v>
      </c>
      <c r="C812" s="4" t="s">
        <v>8</v>
      </c>
      <c r="D812" s="5" t="s">
        <v>42</v>
      </c>
      <c r="E812" s="6" t="s">
        <v>842</v>
      </c>
    </row>
    <row r="813" hidden="1">
      <c r="A813" s="10" t="s">
        <v>832</v>
      </c>
      <c r="B813" s="3" t="s">
        <v>833</v>
      </c>
      <c r="C813" s="4" t="s">
        <v>3</v>
      </c>
      <c r="D813" s="5" t="s">
        <v>23</v>
      </c>
      <c r="E813" s="6" t="s">
        <v>843</v>
      </c>
    </row>
    <row r="814">
      <c r="A814" s="10" t="s">
        <v>832</v>
      </c>
      <c r="B814" s="3" t="s">
        <v>833</v>
      </c>
      <c r="C814" s="4" t="s">
        <v>8</v>
      </c>
      <c r="D814" s="5" t="s">
        <v>23</v>
      </c>
      <c r="E814" s="6" t="s">
        <v>844</v>
      </c>
    </row>
    <row r="815">
      <c r="A815" s="10" t="s">
        <v>832</v>
      </c>
      <c r="B815" s="3" t="s">
        <v>833</v>
      </c>
      <c r="C815" s="4" t="s">
        <v>8</v>
      </c>
      <c r="D815" s="5" t="s">
        <v>71</v>
      </c>
      <c r="E815" s="6" t="s">
        <v>493</v>
      </c>
    </row>
    <row r="816" hidden="1">
      <c r="A816" s="10" t="s">
        <v>832</v>
      </c>
      <c r="B816" s="3" t="s">
        <v>833</v>
      </c>
      <c r="C816" s="4" t="s">
        <v>3</v>
      </c>
      <c r="D816" s="5" t="s">
        <v>4</v>
      </c>
      <c r="E816" s="6" t="s">
        <v>845</v>
      </c>
    </row>
    <row r="817">
      <c r="A817" s="10" t="s">
        <v>832</v>
      </c>
      <c r="B817" s="3" t="s">
        <v>833</v>
      </c>
      <c r="C817" s="4" t="s">
        <v>8</v>
      </c>
      <c r="D817" s="5" t="s">
        <v>21</v>
      </c>
      <c r="E817" s="6" t="s">
        <v>846</v>
      </c>
    </row>
    <row r="818">
      <c r="A818" s="10" t="s">
        <v>832</v>
      </c>
      <c r="B818" s="3" t="s">
        <v>833</v>
      </c>
      <c r="C818" s="4" t="s">
        <v>8</v>
      </c>
      <c r="D818" s="5" t="s">
        <v>35</v>
      </c>
      <c r="E818" s="6" t="s">
        <v>847</v>
      </c>
    </row>
    <row r="819" hidden="1">
      <c r="A819" s="10" t="s">
        <v>832</v>
      </c>
      <c r="B819" s="3" t="s">
        <v>833</v>
      </c>
      <c r="C819" s="4" t="s">
        <v>3</v>
      </c>
      <c r="D819" s="5" t="s">
        <v>21</v>
      </c>
      <c r="E819" s="6" t="s">
        <v>848</v>
      </c>
    </row>
    <row r="820" hidden="1">
      <c r="A820" s="10" t="s">
        <v>832</v>
      </c>
      <c r="B820" s="3" t="s">
        <v>833</v>
      </c>
      <c r="C820" s="4" t="s">
        <v>3</v>
      </c>
      <c r="D820" s="5" t="s">
        <v>71</v>
      </c>
      <c r="E820" s="6" t="s">
        <v>849</v>
      </c>
    </row>
    <row r="821" hidden="1">
      <c r="A821" s="10" t="s">
        <v>741</v>
      </c>
      <c r="B821" s="3" t="s">
        <v>850</v>
      </c>
      <c r="C821" s="4" t="s">
        <v>3</v>
      </c>
      <c r="D821" s="5" t="s">
        <v>28</v>
      </c>
      <c r="E821" s="6" t="s">
        <v>352</v>
      </c>
    </row>
    <row r="822" hidden="1">
      <c r="A822" s="10" t="s">
        <v>741</v>
      </c>
      <c r="B822" s="3" t="s">
        <v>850</v>
      </c>
      <c r="C822" s="4" t="s">
        <v>3</v>
      </c>
      <c r="D822" s="5" t="s">
        <v>71</v>
      </c>
      <c r="E822" s="6" t="s">
        <v>851</v>
      </c>
    </row>
    <row r="823" hidden="1">
      <c r="A823" s="10" t="s">
        <v>741</v>
      </c>
      <c r="B823" s="3" t="s">
        <v>850</v>
      </c>
      <c r="C823" s="4" t="s">
        <v>3</v>
      </c>
      <c r="D823" s="5" t="s">
        <v>11</v>
      </c>
      <c r="E823" s="6" t="s">
        <v>852</v>
      </c>
    </row>
    <row r="824" hidden="1">
      <c r="A824" s="10" t="s">
        <v>741</v>
      </c>
      <c r="B824" s="3" t="s">
        <v>850</v>
      </c>
      <c r="C824" s="4" t="s">
        <v>3</v>
      </c>
      <c r="D824" s="5" t="s">
        <v>51</v>
      </c>
      <c r="E824" s="6" t="s">
        <v>853</v>
      </c>
    </row>
    <row r="825">
      <c r="A825" s="10" t="s">
        <v>741</v>
      </c>
      <c r="B825" s="3" t="s">
        <v>850</v>
      </c>
      <c r="C825" s="4" t="s">
        <v>8</v>
      </c>
      <c r="D825" s="5" t="s">
        <v>17</v>
      </c>
      <c r="E825" s="6" t="s">
        <v>541</v>
      </c>
    </row>
    <row r="826">
      <c r="A826" s="10" t="s">
        <v>741</v>
      </c>
      <c r="B826" s="3" t="s">
        <v>850</v>
      </c>
      <c r="C826" s="4" t="s">
        <v>8</v>
      </c>
      <c r="D826" s="5" t="s">
        <v>39</v>
      </c>
      <c r="E826" s="6" t="s">
        <v>854</v>
      </c>
    </row>
    <row r="827">
      <c r="A827" s="10" t="s">
        <v>741</v>
      </c>
      <c r="B827" s="3" t="s">
        <v>850</v>
      </c>
      <c r="C827" s="4" t="s">
        <v>8</v>
      </c>
      <c r="D827" s="5" t="s">
        <v>51</v>
      </c>
      <c r="E827" s="6" t="s">
        <v>855</v>
      </c>
    </row>
    <row r="828" hidden="1">
      <c r="A828" s="10" t="s">
        <v>741</v>
      </c>
      <c r="B828" s="3" t="s">
        <v>850</v>
      </c>
      <c r="C828" s="4" t="s">
        <v>3</v>
      </c>
      <c r="D828" s="5" t="s">
        <v>120</v>
      </c>
      <c r="E828" s="6" t="s">
        <v>856</v>
      </c>
    </row>
    <row r="829">
      <c r="A829" s="10" t="s">
        <v>741</v>
      </c>
      <c r="B829" s="3" t="s">
        <v>850</v>
      </c>
      <c r="C829" s="4" t="s">
        <v>8</v>
      </c>
      <c r="D829" s="5" t="s">
        <v>96</v>
      </c>
      <c r="E829" s="6" t="s">
        <v>857</v>
      </c>
    </row>
    <row r="830" hidden="1">
      <c r="A830" s="10" t="s">
        <v>741</v>
      </c>
      <c r="B830" s="3" t="s">
        <v>850</v>
      </c>
      <c r="C830" s="4" t="s">
        <v>3</v>
      </c>
      <c r="D830" s="5" t="s">
        <v>45</v>
      </c>
      <c r="E830" s="6" t="s">
        <v>858</v>
      </c>
    </row>
    <row r="831" hidden="1">
      <c r="A831" s="10" t="s">
        <v>741</v>
      </c>
      <c r="B831" s="3" t="s">
        <v>850</v>
      </c>
      <c r="C831" s="4" t="s">
        <v>3</v>
      </c>
      <c r="D831" s="5" t="s">
        <v>42</v>
      </c>
      <c r="E831" s="6" t="s">
        <v>859</v>
      </c>
    </row>
    <row r="832" hidden="1">
      <c r="A832" s="10" t="s">
        <v>741</v>
      </c>
      <c r="B832" s="3" t="s">
        <v>850</v>
      </c>
      <c r="C832" s="4" t="s">
        <v>3</v>
      </c>
      <c r="D832" s="5" t="s">
        <v>9</v>
      </c>
      <c r="E832" s="6" t="s">
        <v>860</v>
      </c>
    </row>
    <row r="833">
      <c r="A833" s="10" t="s">
        <v>741</v>
      </c>
      <c r="B833" s="3" t="s">
        <v>850</v>
      </c>
      <c r="C833" s="4" t="s">
        <v>8</v>
      </c>
      <c r="D833" s="5" t="s">
        <v>42</v>
      </c>
      <c r="E833" s="6" t="s">
        <v>455</v>
      </c>
    </row>
    <row r="834" hidden="1">
      <c r="A834" s="10" t="s">
        <v>741</v>
      </c>
      <c r="B834" s="3" t="s">
        <v>850</v>
      </c>
      <c r="C834" s="4" t="s">
        <v>3</v>
      </c>
      <c r="D834" s="5" t="s">
        <v>6</v>
      </c>
      <c r="E834" s="6" t="s">
        <v>861</v>
      </c>
    </row>
    <row r="835" hidden="1">
      <c r="A835" s="10" t="s">
        <v>741</v>
      </c>
      <c r="B835" s="3" t="s">
        <v>850</v>
      </c>
      <c r="C835" s="4" t="s">
        <v>3</v>
      </c>
      <c r="D835" s="5" t="s">
        <v>35</v>
      </c>
      <c r="E835" s="6" t="s">
        <v>862</v>
      </c>
    </row>
    <row r="836">
      <c r="A836" s="10" t="s">
        <v>741</v>
      </c>
      <c r="B836" s="3" t="s">
        <v>850</v>
      </c>
      <c r="C836" s="4" t="s">
        <v>8</v>
      </c>
      <c r="D836" s="5" t="s">
        <v>28</v>
      </c>
      <c r="E836" s="6" t="s">
        <v>560</v>
      </c>
    </row>
    <row r="837" hidden="1">
      <c r="A837" s="10" t="s">
        <v>741</v>
      </c>
      <c r="B837" s="3" t="s">
        <v>850</v>
      </c>
      <c r="C837" s="4" t="s">
        <v>3</v>
      </c>
      <c r="D837" s="5" t="s">
        <v>23</v>
      </c>
      <c r="E837" s="6" t="s">
        <v>863</v>
      </c>
    </row>
    <row r="838">
      <c r="A838" s="10" t="s">
        <v>741</v>
      </c>
      <c r="B838" s="3" t="s">
        <v>850</v>
      </c>
      <c r="C838" s="4" t="s">
        <v>8</v>
      </c>
      <c r="D838" s="5" t="s">
        <v>39</v>
      </c>
      <c r="E838" s="6" t="s">
        <v>864</v>
      </c>
    </row>
    <row r="839" hidden="1">
      <c r="A839" s="10" t="s">
        <v>741</v>
      </c>
      <c r="B839" s="3" t="s">
        <v>850</v>
      </c>
      <c r="C839" s="4" t="s">
        <v>3</v>
      </c>
      <c r="D839" s="5" t="s">
        <v>11</v>
      </c>
      <c r="E839" s="6" t="s">
        <v>865</v>
      </c>
    </row>
    <row r="840">
      <c r="A840" s="10" t="s">
        <v>741</v>
      </c>
      <c r="B840" s="3" t="s">
        <v>850</v>
      </c>
      <c r="C840" s="4" t="s">
        <v>8</v>
      </c>
      <c r="D840" s="5" t="s">
        <v>120</v>
      </c>
      <c r="E840" s="6" t="s">
        <v>866</v>
      </c>
    </row>
    <row r="841">
      <c r="A841" s="10" t="s">
        <v>867</v>
      </c>
      <c r="B841" s="3" t="s">
        <v>868</v>
      </c>
      <c r="C841" s="4" t="s">
        <v>8</v>
      </c>
      <c r="D841" s="5" t="s">
        <v>45</v>
      </c>
      <c r="E841" s="6" t="s">
        <v>869</v>
      </c>
    </row>
    <row r="842" hidden="1">
      <c r="A842" s="10" t="s">
        <v>867</v>
      </c>
      <c r="B842" s="3" t="s">
        <v>868</v>
      </c>
      <c r="C842" s="4" t="s">
        <v>3</v>
      </c>
      <c r="D842" s="5" t="s">
        <v>4</v>
      </c>
      <c r="E842" s="6" t="s">
        <v>870</v>
      </c>
    </row>
    <row r="843">
      <c r="A843" s="10" t="s">
        <v>867</v>
      </c>
      <c r="B843" s="3" t="s">
        <v>868</v>
      </c>
      <c r="C843" s="4" t="s">
        <v>8</v>
      </c>
      <c r="D843" s="5" t="s">
        <v>51</v>
      </c>
      <c r="E843" s="6" t="s">
        <v>871</v>
      </c>
    </row>
    <row r="844" hidden="1">
      <c r="A844" s="10" t="s">
        <v>867</v>
      </c>
      <c r="B844" s="3" t="s">
        <v>868</v>
      </c>
      <c r="C844" s="4" t="s">
        <v>3</v>
      </c>
      <c r="D844" s="5" t="s">
        <v>17</v>
      </c>
      <c r="E844" s="6" t="s">
        <v>872</v>
      </c>
    </row>
    <row r="845">
      <c r="A845" s="10" t="s">
        <v>867</v>
      </c>
      <c r="B845" s="3" t="s">
        <v>868</v>
      </c>
      <c r="C845" s="4" t="s">
        <v>8</v>
      </c>
      <c r="D845" s="5" t="s">
        <v>23</v>
      </c>
      <c r="E845" s="6" t="s">
        <v>873</v>
      </c>
    </row>
    <row r="846" hidden="1">
      <c r="A846" s="10" t="s">
        <v>867</v>
      </c>
      <c r="B846" s="3" t="s">
        <v>868</v>
      </c>
      <c r="C846" s="4" t="s">
        <v>3</v>
      </c>
      <c r="D846" s="5" t="s">
        <v>21</v>
      </c>
      <c r="E846" s="6" t="s">
        <v>874</v>
      </c>
    </row>
    <row r="847">
      <c r="A847" s="10" t="s">
        <v>867</v>
      </c>
      <c r="B847" s="3" t="s">
        <v>868</v>
      </c>
      <c r="C847" s="4" t="s">
        <v>8</v>
      </c>
      <c r="D847" s="5" t="s">
        <v>35</v>
      </c>
      <c r="E847" s="6" t="s">
        <v>875</v>
      </c>
    </row>
    <row r="848">
      <c r="A848" s="10" t="s">
        <v>867</v>
      </c>
      <c r="B848" s="3" t="s">
        <v>868</v>
      </c>
      <c r="C848" s="4" t="s">
        <v>8</v>
      </c>
      <c r="D848" s="5" t="s">
        <v>71</v>
      </c>
      <c r="E848" s="6" t="s">
        <v>876</v>
      </c>
    </row>
    <row r="849" hidden="1">
      <c r="A849" s="10" t="s">
        <v>867</v>
      </c>
      <c r="B849" s="3" t="s">
        <v>868</v>
      </c>
      <c r="C849" s="4" t="s">
        <v>3</v>
      </c>
      <c r="D849" s="5" t="s">
        <v>35</v>
      </c>
      <c r="E849" s="6" t="s">
        <v>877</v>
      </c>
    </row>
    <row r="850" hidden="1">
      <c r="A850" s="10" t="s">
        <v>867</v>
      </c>
      <c r="B850" s="3" t="s">
        <v>868</v>
      </c>
      <c r="C850" s="4" t="s">
        <v>3</v>
      </c>
      <c r="D850" s="5" t="s">
        <v>11</v>
      </c>
      <c r="E850" s="6" t="s">
        <v>878</v>
      </c>
    </row>
    <row r="851">
      <c r="A851" s="10" t="s">
        <v>867</v>
      </c>
      <c r="B851" s="3" t="s">
        <v>868</v>
      </c>
      <c r="C851" s="4" t="s">
        <v>8</v>
      </c>
      <c r="D851" s="5" t="s">
        <v>6</v>
      </c>
      <c r="E851" s="6" t="s">
        <v>879</v>
      </c>
    </row>
    <row r="852" hidden="1">
      <c r="A852" s="10" t="s">
        <v>867</v>
      </c>
      <c r="B852" s="3" t="s">
        <v>868</v>
      </c>
      <c r="C852" s="4" t="s">
        <v>3</v>
      </c>
      <c r="D852" s="5" t="s">
        <v>35</v>
      </c>
      <c r="E852" s="6" t="s">
        <v>880</v>
      </c>
    </row>
    <row r="853" hidden="1">
      <c r="A853" s="10" t="s">
        <v>867</v>
      </c>
      <c r="B853" s="3" t="s">
        <v>868</v>
      </c>
      <c r="C853" s="4" t="s">
        <v>3</v>
      </c>
      <c r="D853" s="5" t="s">
        <v>28</v>
      </c>
      <c r="E853" s="6" t="s">
        <v>881</v>
      </c>
    </row>
    <row r="854">
      <c r="A854" s="10" t="s">
        <v>867</v>
      </c>
      <c r="B854" s="3" t="s">
        <v>868</v>
      </c>
      <c r="C854" s="4" t="s">
        <v>8</v>
      </c>
      <c r="D854" s="5" t="s">
        <v>42</v>
      </c>
      <c r="E854" s="6" t="s">
        <v>428</v>
      </c>
    </row>
    <row r="855">
      <c r="A855" s="10" t="s">
        <v>867</v>
      </c>
      <c r="B855" s="3" t="s">
        <v>868</v>
      </c>
      <c r="C855" s="4" t="s">
        <v>8</v>
      </c>
      <c r="D855" s="5" t="s">
        <v>51</v>
      </c>
      <c r="E855" s="6" t="s">
        <v>882</v>
      </c>
    </row>
    <row r="856" hidden="1">
      <c r="A856" s="10" t="s">
        <v>867</v>
      </c>
      <c r="B856" s="3" t="s">
        <v>868</v>
      </c>
      <c r="C856" s="4" t="s">
        <v>3</v>
      </c>
      <c r="D856" s="5" t="s">
        <v>76</v>
      </c>
      <c r="E856" s="6" t="s">
        <v>883</v>
      </c>
    </row>
    <row r="857">
      <c r="A857" s="10" t="s">
        <v>867</v>
      </c>
      <c r="B857" s="3" t="s">
        <v>868</v>
      </c>
      <c r="C857" s="4" t="s">
        <v>8</v>
      </c>
      <c r="D857" s="5" t="s">
        <v>51</v>
      </c>
      <c r="E857" s="6" t="s">
        <v>205</v>
      </c>
    </row>
    <row r="858" hidden="1">
      <c r="A858" s="10" t="s">
        <v>867</v>
      </c>
      <c r="B858" s="3" t="s">
        <v>868</v>
      </c>
      <c r="C858" s="4" t="s">
        <v>3</v>
      </c>
      <c r="D858" s="5" t="s">
        <v>21</v>
      </c>
      <c r="E858" s="6" t="s">
        <v>884</v>
      </c>
    </row>
    <row r="859">
      <c r="A859" s="10" t="s">
        <v>867</v>
      </c>
      <c r="B859" s="3" t="s">
        <v>868</v>
      </c>
      <c r="C859" s="4" t="s">
        <v>8</v>
      </c>
      <c r="D859" s="5" t="s">
        <v>71</v>
      </c>
      <c r="E859" s="6" t="s">
        <v>885</v>
      </c>
    </row>
    <row r="860">
      <c r="A860" s="10" t="s">
        <v>867</v>
      </c>
      <c r="B860" s="3" t="s">
        <v>868</v>
      </c>
      <c r="C860" s="4" t="s">
        <v>8</v>
      </c>
      <c r="D860" s="5" t="s">
        <v>39</v>
      </c>
      <c r="E860" s="6" t="s">
        <v>886</v>
      </c>
    </row>
    <row r="861">
      <c r="A861" s="10" t="s">
        <v>887</v>
      </c>
      <c r="B861" s="3" t="s">
        <v>888</v>
      </c>
      <c r="C861" s="4" t="s">
        <v>8</v>
      </c>
      <c r="D861" s="5" t="s">
        <v>76</v>
      </c>
      <c r="E861" s="6" t="s">
        <v>889</v>
      </c>
    </row>
    <row r="862">
      <c r="A862" s="10" t="s">
        <v>887</v>
      </c>
      <c r="B862" s="3" t="s">
        <v>888</v>
      </c>
      <c r="C862" s="4" t="s">
        <v>8</v>
      </c>
      <c r="D862" s="5" t="s">
        <v>71</v>
      </c>
      <c r="E862" s="6" t="s">
        <v>890</v>
      </c>
    </row>
    <row r="863" hidden="1">
      <c r="A863" s="10" t="s">
        <v>887</v>
      </c>
      <c r="B863" s="3" t="s">
        <v>888</v>
      </c>
      <c r="C863" s="4" t="s">
        <v>3</v>
      </c>
      <c r="D863" s="5" t="s">
        <v>35</v>
      </c>
      <c r="E863" s="6" t="s">
        <v>891</v>
      </c>
    </row>
    <row r="864" hidden="1">
      <c r="A864" s="10" t="s">
        <v>887</v>
      </c>
      <c r="B864" s="3" t="s">
        <v>888</v>
      </c>
      <c r="C864" s="4" t="s">
        <v>3</v>
      </c>
      <c r="D864" s="5" t="s">
        <v>96</v>
      </c>
      <c r="E864" s="6" t="s">
        <v>892</v>
      </c>
    </row>
    <row r="865" hidden="1">
      <c r="A865" s="10" t="s">
        <v>887</v>
      </c>
      <c r="B865" s="3" t="s">
        <v>888</v>
      </c>
      <c r="C865" s="4" t="s">
        <v>3</v>
      </c>
      <c r="D865" s="5" t="s">
        <v>35</v>
      </c>
      <c r="E865" s="6" t="s">
        <v>893</v>
      </c>
    </row>
    <row r="866">
      <c r="A866" s="10" t="s">
        <v>887</v>
      </c>
      <c r="B866" s="3" t="s">
        <v>888</v>
      </c>
      <c r="C866" s="4" t="s">
        <v>8</v>
      </c>
      <c r="D866" s="5" t="s">
        <v>51</v>
      </c>
      <c r="E866" s="6" t="s">
        <v>894</v>
      </c>
    </row>
    <row r="867" hidden="1">
      <c r="A867" s="10" t="s">
        <v>887</v>
      </c>
      <c r="B867" s="3" t="s">
        <v>888</v>
      </c>
      <c r="C867" s="4" t="s">
        <v>3</v>
      </c>
      <c r="D867" s="5" t="s">
        <v>6</v>
      </c>
      <c r="E867" s="6" t="s">
        <v>895</v>
      </c>
    </row>
    <row r="868">
      <c r="A868" s="10" t="s">
        <v>887</v>
      </c>
      <c r="B868" s="3" t="s">
        <v>888</v>
      </c>
      <c r="C868" s="4" t="s">
        <v>8</v>
      </c>
      <c r="D868" s="5" t="s">
        <v>35</v>
      </c>
      <c r="E868" s="6" t="s">
        <v>896</v>
      </c>
    </row>
    <row r="869" hidden="1">
      <c r="A869" s="10" t="s">
        <v>887</v>
      </c>
      <c r="B869" s="3" t="s">
        <v>888</v>
      </c>
      <c r="C869" s="4" t="s">
        <v>3</v>
      </c>
      <c r="D869" s="5" t="s">
        <v>9</v>
      </c>
      <c r="E869" s="6" t="s">
        <v>609</v>
      </c>
    </row>
    <row r="870" hidden="1">
      <c r="A870" s="10" t="s">
        <v>887</v>
      </c>
      <c r="B870" s="3" t="s">
        <v>888</v>
      </c>
      <c r="C870" s="4" t="s">
        <v>3</v>
      </c>
      <c r="D870" s="5" t="s">
        <v>17</v>
      </c>
      <c r="E870" s="6" t="s">
        <v>897</v>
      </c>
    </row>
    <row r="871" hidden="1">
      <c r="A871" s="10" t="s">
        <v>887</v>
      </c>
      <c r="B871" s="3" t="s">
        <v>888</v>
      </c>
      <c r="C871" s="4" t="s">
        <v>3</v>
      </c>
      <c r="D871" s="5" t="s">
        <v>51</v>
      </c>
      <c r="E871" s="6" t="s">
        <v>898</v>
      </c>
    </row>
    <row r="872" hidden="1">
      <c r="A872" s="10" t="s">
        <v>887</v>
      </c>
      <c r="B872" s="3" t="s">
        <v>888</v>
      </c>
      <c r="C872" s="4" t="s">
        <v>3</v>
      </c>
      <c r="D872" s="5" t="s">
        <v>45</v>
      </c>
      <c r="E872" s="6" t="s">
        <v>899</v>
      </c>
    </row>
    <row r="873">
      <c r="A873" s="10" t="s">
        <v>887</v>
      </c>
      <c r="B873" s="3" t="s">
        <v>888</v>
      </c>
      <c r="C873" s="4" t="s">
        <v>8</v>
      </c>
      <c r="D873" s="5" t="s">
        <v>13</v>
      </c>
      <c r="E873" s="6" t="s">
        <v>900</v>
      </c>
    </row>
    <row r="874">
      <c r="A874" s="10" t="s">
        <v>887</v>
      </c>
      <c r="B874" s="3" t="s">
        <v>888</v>
      </c>
      <c r="C874" s="4" t="s">
        <v>8</v>
      </c>
      <c r="D874" s="5" t="s">
        <v>35</v>
      </c>
      <c r="E874" s="6" t="s">
        <v>901</v>
      </c>
    </row>
    <row r="875">
      <c r="A875" s="10" t="s">
        <v>887</v>
      </c>
      <c r="B875" s="3" t="s">
        <v>888</v>
      </c>
      <c r="C875" s="4" t="s">
        <v>8</v>
      </c>
      <c r="D875" s="5" t="s">
        <v>17</v>
      </c>
      <c r="E875" s="6" t="s">
        <v>902</v>
      </c>
    </row>
    <row r="876" hidden="1">
      <c r="A876" s="10" t="s">
        <v>887</v>
      </c>
      <c r="B876" s="3" t="s">
        <v>888</v>
      </c>
      <c r="C876" s="4" t="s">
        <v>3</v>
      </c>
      <c r="D876" s="5" t="s">
        <v>21</v>
      </c>
      <c r="E876" s="6" t="s">
        <v>903</v>
      </c>
    </row>
    <row r="877" hidden="1">
      <c r="A877" s="10" t="s">
        <v>887</v>
      </c>
      <c r="B877" s="3" t="s">
        <v>888</v>
      </c>
      <c r="C877" s="4" t="s">
        <v>3</v>
      </c>
      <c r="D877" s="5" t="s">
        <v>51</v>
      </c>
      <c r="E877" s="6" t="s">
        <v>904</v>
      </c>
    </row>
    <row r="878" hidden="1">
      <c r="A878" s="10" t="s">
        <v>887</v>
      </c>
      <c r="B878" s="3" t="s">
        <v>888</v>
      </c>
      <c r="C878" s="4" t="s">
        <v>3</v>
      </c>
      <c r="D878" s="5" t="s">
        <v>19</v>
      </c>
      <c r="E878" s="6" t="s">
        <v>905</v>
      </c>
    </row>
    <row r="879">
      <c r="A879" s="10" t="s">
        <v>887</v>
      </c>
      <c r="B879" s="3" t="s">
        <v>888</v>
      </c>
      <c r="C879" s="4" t="s">
        <v>8</v>
      </c>
      <c r="D879" s="5" t="s">
        <v>17</v>
      </c>
      <c r="E879" s="6" t="s">
        <v>906</v>
      </c>
    </row>
    <row r="880">
      <c r="A880" s="10" t="s">
        <v>887</v>
      </c>
      <c r="B880" s="3" t="s">
        <v>888</v>
      </c>
      <c r="C880" s="4" t="s">
        <v>8</v>
      </c>
      <c r="D880" s="5" t="s">
        <v>76</v>
      </c>
      <c r="E880" s="6" t="s">
        <v>907</v>
      </c>
    </row>
    <row r="881" hidden="1">
      <c r="A881" s="10" t="s">
        <v>908</v>
      </c>
      <c r="B881" s="3" t="s">
        <v>909</v>
      </c>
      <c r="C881" s="4" t="s">
        <v>3</v>
      </c>
      <c r="D881" s="5" t="s">
        <v>19</v>
      </c>
      <c r="E881" s="6" t="s">
        <v>369</v>
      </c>
    </row>
    <row r="882" hidden="1">
      <c r="A882" s="10" t="s">
        <v>908</v>
      </c>
      <c r="B882" s="3" t="s">
        <v>909</v>
      </c>
      <c r="C882" s="4" t="s">
        <v>3</v>
      </c>
      <c r="D882" s="5" t="s">
        <v>76</v>
      </c>
      <c r="E882" s="6" t="s">
        <v>910</v>
      </c>
    </row>
    <row r="883">
      <c r="A883" s="10" t="s">
        <v>908</v>
      </c>
      <c r="B883" s="3" t="s">
        <v>909</v>
      </c>
      <c r="C883" s="4" t="s">
        <v>8</v>
      </c>
      <c r="D883" s="5" t="s">
        <v>13</v>
      </c>
      <c r="E883" s="6" t="s">
        <v>911</v>
      </c>
    </row>
    <row r="884" hidden="1">
      <c r="A884" s="10" t="s">
        <v>908</v>
      </c>
      <c r="B884" s="3" t="s">
        <v>909</v>
      </c>
      <c r="C884" s="4" t="s">
        <v>3</v>
      </c>
      <c r="D884" s="5" t="s">
        <v>11</v>
      </c>
      <c r="E884" s="6" t="s">
        <v>912</v>
      </c>
    </row>
    <row r="885" hidden="1">
      <c r="A885" s="10" t="s">
        <v>908</v>
      </c>
      <c r="B885" s="3" t="s">
        <v>909</v>
      </c>
      <c r="C885" s="4" t="s">
        <v>3</v>
      </c>
      <c r="D885" s="5" t="s">
        <v>120</v>
      </c>
      <c r="E885" s="6" t="s">
        <v>913</v>
      </c>
    </row>
    <row r="886">
      <c r="A886" s="10" t="s">
        <v>908</v>
      </c>
      <c r="B886" s="3" t="s">
        <v>909</v>
      </c>
      <c r="C886" s="4" t="s">
        <v>8</v>
      </c>
      <c r="D886" s="5" t="s">
        <v>39</v>
      </c>
      <c r="E886" s="6" t="s">
        <v>914</v>
      </c>
    </row>
    <row r="887">
      <c r="A887" s="10" t="s">
        <v>908</v>
      </c>
      <c r="B887" s="3" t="s">
        <v>909</v>
      </c>
      <c r="C887" s="4" t="s">
        <v>8</v>
      </c>
      <c r="D887" s="5" t="s">
        <v>15</v>
      </c>
      <c r="E887" s="6" t="s">
        <v>915</v>
      </c>
    </row>
    <row r="888">
      <c r="A888" s="10" t="s">
        <v>908</v>
      </c>
      <c r="B888" s="3" t="s">
        <v>909</v>
      </c>
      <c r="C888" s="4" t="s">
        <v>8</v>
      </c>
      <c r="D888" s="5" t="s">
        <v>19</v>
      </c>
      <c r="E888" s="6" t="s">
        <v>916</v>
      </c>
    </row>
    <row r="889" hidden="1">
      <c r="A889" s="10" t="s">
        <v>908</v>
      </c>
      <c r="B889" s="3" t="s">
        <v>909</v>
      </c>
      <c r="C889" s="4" t="s">
        <v>3</v>
      </c>
      <c r="D889" s="5" t="s">
        <v>19</v>
      </c>
      <c r="E889" s="6" t="s">
        <v>917</v>
      </c>
    </row>
    <row r="890">
      <c r="A890" s="10" t="s">
        <v>908</v>
      </c>
      <c r="B890" s="3" t="s">
        <v>909</v>
      </c>
      <c r="C890" s="4" t="s">
        <v>8</v>
      </c>
      <c r="D890" s="5" t="s">
        <v>23</v>
      </c>
      <c r="E890" s="6" t="s">
        <v>918</v>
      </c>
    </row>
    <row r="891" hidden="1">
      <c r="A891" s="10" t="s">
        <v>908</v>
      </c>
      <c r="B891" s="3" t="s">
        <v>909</v>
      </c>
      <c r="C891" s="4" t="s">
        <v>3</v>
      </c>
      <c r="D891" s="5" t="s">
        <v>19</v>
      </c>
      <c r="E891" s="6" t="s">
        <v>732</v>
      </c>
    </row>
    <row r="892">
      <c r="A892" s="10" t="s">
        <v>908</v>
      </c>
      <c r="B892" s="3" t="s">
        <v>909</v>
      </c>
      <c r="C892" s="4" t="s">
        <v>8</v>
      </c>
      <c r="D892" s="5" t="s">
        <v>15</v>
      </c>
      <c r="E892" s="6" t="s">
        <v>919</v>
      </c>
    </row>
    <row r="893" hidden="1">
      <c r="A893" s="10" t="s">
        <v>908</v>
      </c>
      <c r="B893" s="3" t="s">
        <v>909</v>
      </c>
      <c r="C893" s="4" t="s">
        <v>3</v>
      </c>
      <c r="D893" s="5" t="s">
        <v>28</v>
      </c>
      <c r="E893" s="6" t="s">
        <v>920</v>
      </c>
    </row>
    <row r="894">
      <c r="A894" s="10" t="s">
        <v>908</v>
      </c>
      <c r="B894" s="3" t="s">
        <v>909</v>
      </c>
      <c r="C894" s="4" t="s">
        <v>8</v>
      </c>
      <c r="D894" s="5" t="s">
        <v>4</v>
      </c>
      <c r="E894" s="6" t="s">
        <v>921</v>
      </c>
    </row>
    <row r="895" hidden="1">
      <c r="A895" s="10" t="s">
        <v>908</v>
      </c>
      <c r="B895" s="3" t="s">
        <v>909</v>
      </c>
      <c r="C895" s="4" t="s">
        <v>3</v>
      </c>
      <c r="D895" s="5" t="s">
        <v>4</v>
      </c>
      <c r="E895" s="6" t="s">
        <v>922</v>
      </c>
    </row>
    <row r="896" hidden="1">
      <c r="A896" s="10" t="s">
        <v>908</v>
      </c>
      <c r="B896" s="3" t="s">
        <v>909</v>
      </c>
      <c r="C896" s="4" t="s">
        <v>3</v>
      </c>
      <c r="D896" s="5" t="s">
        <v>71</v>
      </c>
      <c r="E896" s="6" t="s">
        <v>923</v>
      </c>
    </row>
    <row r="897">
      <c r="A897" s="10" t="s">
        <v>908</v>
      </c>
      <c r="B897" s="3" t="s">
        <v>909</v>
      </c>
      <c r="C897" s="4" t="s">
        <v>8</v>
      </c>
      <c r="D897" s="5" t="s">
        <v>71</v>
      </c>
      <c r="E897" s="6" t="s">
        <v>924</v>
      </c>
    </row>
    <row r="898" hidden="1">
      <c r="A898" s="10" t="s">
        <v>908</v>
      </c>
      <c r="B898" s="3" t="s">
        <v>909</v>
      </c>
      <c r="C898" s="4" t="s">
        <v>3</v>
      </c>
      <c r="D898" s="5" t="s">
        <v>6</v>
      </c>
      <c r="E898" s="6" t="s">
        <v>925</v>
      </c>
    </row>
    <row r="899" hidden="1">
      <c r="A899" s="10" t="s">
        <v>908</v>
      </c>
      <c r="B899" s="3" t="s">
        <v>909</v>
      </c>
      <c r="C899" s="4" t="s">
        <v>3</v>
      </c>
      <c r="D899" s="5" t="s">
        <v>71</v>
      </c>
      <c r="E899" s="6" t="s">
        <v>926</v>
      </c>
    </row>
    <row r="900">
      <c r="A900" s="10" t="s">
        <v>908</v>
      </c>
      <c r="B900" s="3" t="s">
        <v>909</v>
      </c>
      <c r="C900" s="4" t="s">
        <v>8</v>
      </c>
      <c r="D900" s="5" t="s">
        <v>9</v>
      </c>
      <c r="E900" s="6" t="s">
        <v>881</v>
      </c>
    </row>
    <row r="901">
      <c r="A901" s="10" t="s">
        <v>927</v>
      </c>
      <c r="B901" s="3" t="s">
        <v>928</v>
      </c>
      <c r="C901" s="4" t="s">
        <v>8</v>
      </c>
      <c r="D901" s="5" t="s">
        <v>51</v>
      </c>
      <c r="E901" s="6" t="s">
        <v>929</v>
      </c>
    </row>
    <row r="902">
      <c r="A902" s="10" t="s">
        <v>927</v>
      </c>
      <c r="B902" s="3" t="s">
        <v>928</v>
      </c>
      <c r="C902" s="4" t="s">
        <v>8</v>
      </c>
      <c r="D902" s="5" t="s">
        <v>19</v>
      </c>
      <c r="E902" s="6" t="s">
        <v>930</v>
      </c>
    </row>
    <row r="903" hidden="1">
      <c r="A903" s="10" t="s">
        <v>927</v>
      </c>
      <c r="B903" s="3" t="s">
        <v>928</v>
      </c>
      <c r="C903" s="4" t="s">
        <v>3</v>
      </c>
      <c r="D903" s="5" t="s">
        <v>35</v>
      </c>
      <c r="E903" s="6" t="s">
        <v>931</v>
      </c>
    </row>
    <row r="904">
      <c r="A904" s="10" t="s">
        <v>927</v>
      </c>
      <c r="B904" s="3" t="s">
        <v>928</v>
      </c>
      <c r="C904" s="4" t="s">
        <v>8</v>
      </c>
      <c r="D904" s="5" t="s">
        <v>28</v>
      </c>
      <c r="E904" s="6" t="s">
        <v>932</v>
      </c>
    </row>
    <row r="905" hidden="1">
      <c r="A905" s="10" t="s">
        <v>927</v>
      </c>
      <c r="B905" s="3" t="s">
        <v>928</v>
      </c>
      <c r="C905" s="4" t="s">
        <v>3</v>
      </c>
      <c r="D905" s="5" t="s">
        <v>28</v>
      </c>
      <c r="E905" s="6" t="s">
        <v>933</v>
      </c>
    </row>
    <row r="906" hidden="1">
      <c r="A906" s="10" t="s">
        <v>927</v>
      </c>
      <c r="B906" s="3" t="s">
        <v>928</v>
      </c>
      <c r="C906" s="4" t="s">
        <v>3</v>
      </c>
      <c r="D906" s="5" t="s">
        <v>71</v>
      </c>
      <c r="E906" s="6" t="s">
        <v>934</v>
      </c>
    </row>
    <row r="907">
      <c r="A907" s="10" t="s">
        <v>927</v>
      </c>
      <c r="B907" s="3" t="s">
        <v>928</v>
      </c>
      <c r="C907" s="4" t="s">
        <v>8</v>
      </c>
      <c r="D907" s="5" t="s">
        <v>19</v>
      </c>
      <c r="E907" s="6" t="s">
        <v>935</v>
      </c>
    </row>
    <row r="908" hidden="1">
      <c r="A908" s="10" t="s">
        <v>927</v>
      </c>
      <c r="B908" s="3" t="s">
        <v>928</v>
      </c>
      <c r="C908" s="4" t="s">
        <v>3</v>
      </c>
      <c r="D908" s="5" t="s">
        <v>76</v>
      </c>
      <c r="E908" s="6" t="s">
        <v>936</v>
      </c>
    </row>
    <row r="909" hidden="1">
      <c r="A909" s="10" t="s">
        <v>927</v>
      </c>
      <c r="B909" s="3" t="s">
        <v>928</v>
      </c>
      <c r="C909" s="4" t="s">
        <v>3</v>
      </c>
      <c r="D909" s="5" t="s">
        <v>13</v>
      </c>
      <c r="E909" s="6" t="s">
        <v>30</v>
      </c>
    </row>
    <row r="910">
      <c r="A910" s="10" t="s">
        <v>927</v>
      </c>
      <c r="B910" s="3" t="s">
        <v>928</v>
      </c>
      <c r="C910" s="4" t="s">
        <v>8</v>
      </c>
      <c r="D910" s="5" t="s">
        <v>21</v>
      </c>
      <c r="E910" s="6" t="s">
        <v>937</v>
      </c>
    </row>
    <row r="911">
      <c r="A911" s="10" t="s">
        <v>927</v>
      </c>
      <c r="B911" s="3" t="s">
        <v>928</v>
      </c>
      <c r="C911" s="4" t="s">
        <v>8</v>
      </c>
      <c r="D911" s="5" t="s">
        <v>96</v>
      </c>
      <c r="E911" s="6" t="s">
        <v>904</v>
      </c>
    </row>
    <row r="912">
      <c r="A912" s="10" t="s">
        <v>927</v>
      </c>
      <c r="B912" s="3" t="s">
        <v>928</v>
      </c>
      <c r="C912" s="4" t="s">
        <v>8</v>
      </c>
      <c r="D912" s="5" t="s">
        <v>21</v>
      </c>
      <c r="E912" s="6" t="s">
        <v>938</v>
      </c>
    </row>
    <row r="913">
      <c r="A913" s="10" t="s">
        <v>927</v>
      </c>
      <c r="B913" s="3" t="s">
        <v>928</v>
      </c>
      <c r="C913" s="4" t="s">
        <v>8</v>
      </c>
      <c r="D913" s="5" t="s">
        <v>35</v>
      </c>
      <c r="E913" s="6" t="s">
        <v>939</v>
      </c>
    </row>
    <row r="914" hidden="1">
      <c r="A914" s="10" t="s">
        <v>927</v>
      </c>
      <c r="B914" s="3" t="s">
        <v>928</v>
      </c>
      <c r="C914" s="4" t="s">
        <v>3</v>
      </c>
      <c r="D914" s="5" t="s">
        <v>120</v>
      </c>
      <c r="E914" s="6" t="s">
        <v>940</v>
      </c>
    </row>
    <row r="915" hidden="1">
      <c r="A915" s="10" t="s">
        <v>927</v>
      </c>
      <c r="B915" s="3" t="s">
        <v>928</v>
      </c>
      <c r="C915" s="4" t="s">
        <v>3</v>
      </c>
      <c r="D915" s="5" t="s">
        <v>45</v>
      </c>
      <c r="E915" s="6" t="s">
        <v>941</v>
      </c>
    </row>
    <row r="916">
      <c r="A916" s="10" t="s">
        <v>927</v>
      </c>
      <c r="B916" s="3" t="s">
        <v>928</v>
      </c>
      <c r="C916" s="4" t="s">
        <v>8</v>
      </c>
      <c r="D916" s="5" t="s">
        <v>21</v>
      </c>
      <c r="E916" s="6" t="s">
        <v>942</v>
      </c>
    </row>
    <row r="917" hidden="1">
      <c r="A917" s="10" t="s">
        <v>927</v>
      </c>
      <c r="B917" s="3" t="s">
        <v>928</v>
      </c>
      <c r="C917" s="4" t="s">
        <v>3</v>
      </c>
      <c r="D917" s="5" t="s">
        <v>19</v>
      </c>
      <c r="E917" s="6" t="s">
        <v>943</v>
      </c>
    </row>
    <row r="918">
      <c r="A918" s="10" t="s">
        <v>927</v>
      </c>
      <c r="B918" s="3" t="s">
        <v>928</v>
      </c>
      <c r="C918" s="4" t="s">
        <v>8</v>
      </c>
      <c r="D918" s="5" t="s">
        <v>19</v>
      </c>
      <c r="E918" s="6" t="s">
        <v>944</v>
      </c>
    </row>
    <row r="919">
      <c r="A919" s="10" t="s">
        <v>927</v>
      </c>
      <c r="B919" s="3" t="s">
        <v>928</v>
      </c>
      <c r="C919" s="4" t="s">
        <v>8</v>
      </c>
      <c r="D919" s="5" t="s">
        <v>42</v>
      </c>
      <c r="E919" s="6" t="s">
        <v>945</v>
      </c>
    </row>
    <row r="920">
      <c r="A920" s="10" t="s">
        <v>927</v>
      </c>
      <c r="B920" s="3" t="s">
        <v>928</v>
      </c>
      <c r="C920" s="4" t="s">
        <v>8</v>
      </c>
      <c r="D920" s="5" t="s">
        <v>76</v>
      </c>
      <c r="E920" s="6" t="s">
        <v>946</v>
      </c>
    </row>
    <row r="921" hidden="1">
      <c r="A921" s="10" t="s">
        <v>947</v>
      </c>
      <c r="B921" s="3" t="s">
        <v>948</v>
      </c>
      <c r="C921" s="4" t="s">
        <v>3</v>
      </c>
      <c r="D921" s="5" t="s">
        <v>13</v>
      </c>
      <c r="E921" s="6" t="s">
        <v>949</v>
      </c>
    </row>
    <row r="922">
      <c r="A922" s="10" t="s">
        <v>947</v>
      </c>
      <c r="B922" s="3" t="s">
        <v>948</v>
      </c>
      <c r="C922" s="4" t="s">
        <v>8</v>
      </c>
      <c r="D922" s="5" t="s">
        <v>42</v>
      </c>
      <c r="E922" s="6" t="s">
        <v>950</v>
      </c>
    </row>
    <row r="923">
      <c r="A923" s="10" t="s">
        <v>947</v>
      </c>
      <c r="B923" s="3" t="s">
        <v>948</v>
      </c>
      <c r="C923" s="4" t="s">
        <v>8</v>
      </c>
      <c r="D923" s="5" t="s">
        <v>42</v>
      </c>
      <c r="E923" s="6" t="s">
        <v>951</v>
      </c>
    </row>
    <row r="924" hidden="1">
      <c r="A924" s="10" t="s">
        <v>947</v>
      </c>
      <c r="B924" s="3" t="s">
        <v>948</v>
      </c>
      <c r="C924" s="4" t="s">
        <v>3</v>
      </c>
      <c r="D924" s="5" t="s">
        <v>76</v>
      </c>
      <c r="E924" s="6" t="s">
        <v>952</v>
      </c>
    </row>
    <row r="925" hidden="1">
      <c r="A925" s="10" t="s">
        <v>947</v>
      </c>
      <c r="B925" s="3" t="s">
        <v>948</v>
      </c>
      <c r="C925" s="4" t="s">
        <v>3</v>
      </c>
      <c r="D925" s="5" t="s">
        <v>45</v>
      </c>
      <c r="E925" s="6" t="s">
        <v>953</v>
      </c>
    </row>
    <row r="926">
      <c r="A926" s="10" t="s">
        <v>947</v>
      </c>
      <c r="B926" s="3" t="s">
        <v>948</v>
      </c>
      <c r="C926" s="4" t="s">
        <v>8</v>
      </c>
      <c r="D926" s="5" t="s">
        <v>35</v>
      </c>
      <c r="E926" s="6" t="s">
        <v>954</v>
      </c>
    </row>
    <row r="927">
      <c r="A927" s="10" t="s">
        <v>947</v>
      </c>
      <c r="B927" s="3" t="s">
        <v>948</v>
      </c>
      <c r="C927" s="4" t="s">
        <v>8</v>
      </c>
      <c r="D927" s="5" t="s">
        <v>6</v>
      </c>
      <c r="E927" s="6" t="s">
        <v>955</v>
      </c>
    </row>
    <row r="928" hidden="1">
      <c r="A928" s="10" t="s">
        <v>947</v>
      </c>
      <c r="B928" s="3" t="s">
        <v>948</v>
      </c>
      <c r="C928" s="4" t="s">
        <v>3</v>
      </c>
      <c r="D928" s="5" t="s">
        <v>96</v>
      </c>
      <c r="E928" s="6" t="s">
        <v>103</v>
      </c>
    </row>
    <row r="929">
      <c r="A929" s="10" t="s">
        <v>947</v>
      </c>
      <c r="B929" s="3" t="s">
        <v>948</v>
      </c>
      <c r="C929" s="4" t="s">
        <v>8</v>
      </c>
      <c r="D929" s="5" t="s">
        <v>4</v>
      </c>
      <c r="E929" s="6" t="s">
        <v>956</v>
      </c>
    </row>
    <row r="930" hidden="1">
      <c r="A930" s="10" t="s">
        <v>947</v>
      </c>
      <c r="B930" s="3" t="s">
        <v>948</v>
      </c>
      <c r="C930" s="4" t="s">
        <v>3</v>
      </c>
      <c r="D930" s="5" t="s">
        <v>96</v>
      </c>
      <c r="E930" s="6" t="s">
        <v>957</v>
      </c>
    </row>
    <row r="931">
      <c r="A931" s="10" t="s">
        <v>947</v>
      </c>
      <c r="B931" s="3" t="s">
        <v>948</v>
      </c>
      <c r="C931" s="4" t="s">
        <v>8</v>
      </c>
      <c r="D931" s="5" t="s">
        <v>96</v>
      </c>
      <c r="E931" s="6" t="s">
        <v>958</v>
      </c>
    </row>
    <row r="932">
      <c r="A932" s="10" t="s">
        <v>947</v>
      </c>
      <c r="B932" s="3" t="s">
        <v>948</v>
      </c>
      <c r="C932" s="4" t="s">
        <v>8</v>
      </c>
      <c r="D932" s="5" t="s">
        <v>28</v>
      </c>
      <c r="E932" s="6" t="s">
        <v>959</v>
      </c>
    </row>
    <row r="933">
      <c r="A933" s="10" t="s">
        <v>947</v>
      </c>
      <c r="B933" s="3" t="s">
        <v>948</v>
      </c>
      <c r="C933" s="4" t="s">
        <v>8</v>
      </c>
      <c r="D933" s="5" t="s">
        <v>96</v>
      </c>
      <c r="E933" s="6" t="s">
        <v>960</v>
      </c>
    </row>
    <row r="934">
      <c r="A934" s="10" t="s">
        <v>947</v>
      </c>
      <c r="B934" s="3" t="s">
        <v>948</v>
      </c>
      <c r="C934" s="4" t="s">
        <v>8</v>
      </c>
      <c r="D934" s="5" t="s">
        <v>21</v>
      </c>
      <c r="E934" s="6" t="s">
        <v>961</v>
      </c>
    </row>
    <row r="935" hidden="1">
      <c r="A935" s="10" t="s">
        <v>947</v>
      </c>
      <c r="B935" s="3" t="s">
        <v>948</v>
      </c>
      <c r="C935" s="4" t="s">
        <v>3</v>
      </c>
      <c r="D935" s="5" t="s">
        <v>9</v>
      </c>
      <c r="E935" s="6" t="s">
        <v>198</v>
      </c>
    </row>
    <row r="936" hidden="1">
      <c r="A936" s="10" t="s">
        <v>947</v>
      </c>
      <c r="B936" s="3" t="s">
        <v>948</v>
      </c>
      <c r="C936" s="4" t="s">
        <v>3</v>
      </c>
      <c r="D936" s="5" t="s">
        <v>51</v>
      </c>
      <c r="E936" s="6" t="s">
        <v>962</v>
      </c>
    </row>
    <row r="937" hidden="1">
      <c r="A937" s="10" t="s">
        <v>947</v>
      </c>
      <c r="B937" s="3" t="s">
        <v>948</v>
      </c>
      <c r="C937" s="4" t="s">
        <v>3</v>
      </c>
      <c r="D937" s="5" t="s">
        <v>28</v>
      </c>
      <c r="E937" s="6" t="s">
        <v>963</v>
      </c>
    </row>
    <row r="938">
      <c r="A938" s="10" t="s">
        <v>947</v>
      </c>
      <c r="B938" s="3" t="s">
        <v>948</v>
      </c>
      <c r="C938" s="4" t="s">
        <v>8</v>
      </c>
      <c r="D938" s="5" t="s">
        <v>19</v>
      </c>
      <c r="E938" s="6" t="s">
        <v>642</v>
      </c>
    </row>
    <row r="939">
      <c r="A939" s="10" t="s">
        <v>947</v>
      </c>
      <c r="B939" s="3" t="s">
        <v>948</v>
      </c>
      <c r="C939" s="4" t="s">
        <v>8</v>
      </c>
      <c r="D939" s="5" t="s">
        <v>15</v>
      </c>
      <c r="E939" s="6" t="s">
        <v>782</v>
      </c>
    </row>
    <row r="940">
      <c r="A940" s="10" t="s">
        <v>947</v>
      </c>
      <c r="B940" s="3" t="s">
        <v>948</v>
      </c>
      <c r="C940" s="4" t="s">
        <v>8</v>
      </c>
      <c r="D940" s="5" t="s">
        <v>6</v>
      </c>
      <c r="E940" s="6" t="s">
        <v>964</v>
      </c>
    </row>
    <row r="941" hidden="1">
      <c r="A941" s="10" t="s">
        <v>408</v>
      </c>
      <c r="B941" s="3" t="s">
        <v>965</v>
      </c>
      <c r="C941" s="4" t="s">
        <v>3</v>
      </c>
      <c r="D941" s="5" t="s">
        <v>15</v>
      </c>
      <c r="E941" s="6" t="s">
        <v>966</v>
      </c>
    </row>
    <row r="942" hidden="1">
      <c r="A942" s="10" t="s">
        <v>408</v>
      </c>
      <c r="B942" s="3" t="s">
        <v>965</v>
      </c>
      <c r="C942" s="4" t="s">
        <v>3</v>
      </c>
      <c r="D942" s="5" t="s">
        <v>96</v>
      </c>
      <c r="E942" s="6" t="s">
        <v>967</v>
      </c>
    </row>
    <row r="943" hidden="1">
      <c r="A943" s="10" t="s">
        <v>408</v>
      </c>
      <c r="B943" s="3" t="s">
        <v>965</v>
      </c>
      <c r="C943" s="4" t="s">
        <v>3</v>
      </c>
      <c r="D943" s="5" t="s">
        <v>28</v>
      </c>
      <c r="E943" s="6" t="s">
        <v>248</v>
      </c>
    </row>
    <row r="944">
      <c r="A944" s="10" t="s">
        <v>408</v>
      </c>
      <c r="B944" s="3" t="s">
        <v>965</v>
      </c>
      <c r="C944" s="4" t="s">
        <v>8</v>
      </c>
      <c r="D944" s="5" t="s">
        <v>4</v>
      </c>
      <c r="E944" s="6" t="s">
        <v>968</v>
      </c>
    </row>
    <row r="945" hidden="1">
      <c r="A945" s="10" t="s">
        <v>408</v>
      </c>
      <c r="B945" s="3" t="s">
        <v>965</v>
      </c>
      <c r="C945" s="4" t="s">
        <v>3</v>
      </c>
      <c r="D945" s="5" t="s">
        <v>11</v>
      </c>
      <c r="E945" s="6" t="s">
        <v>969</v>
      </c>
    </row>
    <row r="946">
      <c r="A946" s="10" t="s">
        <v>408</v>
      </c>
      <c r="B946" s="3" t="s">
        <v>965</v>
      </c>
      <c r="C946" s="4" t="s">
        <v>8</v>
      </c>
      <c r="D946" s="5" t="s">
        <v>15</v>
      </c>
      <c r="E946" s="6" t="s">
        <v>452</v>
      </c>
    </row>
    <row r="947">
      <c r="A947" s="10" t="s">
        <v>408</v>
      </c>
      <c r="B947" s="3" t="s">
        <v>965</v>
      </c>
      <c r="C947" s="4" t="s">
        <v>8</v>
      </c>
      <c r="D947" s="5" t="s">
        <v>35</v>
      </c>
      <c r="E947" s="6" t="s">
        <v>970</v>
      </c>
    </row>
    <row r="948">
      <c r="A948" s="10" t="s">
        <v>408</v>
      </c>
      <c r="B948" s="3" t="s">
        <v>965</v>
      </c>
      <c r="C948" s="4" t="s">
        <v>8</v>
      </c>
      <c r="D948" s="5" t="s">
        <v>4</v>
      </c>
      <c r="E948" s="6" t="s">
        <v>971</v>
      </c>
    </row>
    <row r="949" hidden="1">
      <c r="A949" s="10" t="s">
        <v>408</v>
      </c>
      <c r="B949" s="3" t="s">
        <v>965</v>
      </c>
      <c r="C949" s="4" t="s">
        <v>3</v>
      </c>
      <c r="D949" s="5" t="s">
        <v>39</v>
      </c>
      <c r="E949" s="6" t="s">
        <v>972</v>
      </c>
    </row>
    <row r="950" hidden="1">
      <c r="A950" s="10" t="s">
        <v>408</v>
      </c>
      <c r="B950" s="3" t="s">
        <v>965</v>
      </c>
      <c r="C950" s="4" t="s">
        <v>3</v>
      </c>
      <c r="D950" s="5" t="s">
        <v>28</v>
      </c>
      <c r="E950" s="6" t="s">
        <v>973</v>
      </c>
    </row>
    <row r="951" hidden="1">
      <c r="A951" s="10" t="s">
        <v>408</v>
      </c>
      <c r="B951" s="3" t="s">
        <v>965</v>
      </c>
      <c r="C951" s="4" t="s">
        <v>3</v>
      </c>
      <c r="D951" s="5" t="s">
        <v>51</v>
      </c>
      <c r="E951" s="6" t="s">
        <v>974</v>
      </c>
    </row>
    <row r="952">
      <c r="A952" s="10" t="s">
        <v>408</v>
      </c>
      <c r="B952" s="3" t="s">
        <v>965</v>
      </c>
      <c r="C952" s="4" t="s">
        <v>8</v>
      </c>
      <c r="D952" s="5" t="s">
        <v>15</v>
      </c>
      <c r="E952" s="6" t="s">
        <v>975</v>
      </c>
    </row>
    <row r="953" hidden="1">
      <c r="A953" s="10" t="s">
        <v>408</v>
      </c>
      <c r="B953" s="3" t="s">
        <v>965</v>
      </c>
      <c r="C953" s="4" t="s">
        <v>3</v>
      </c>
      <c r="D953" s="5" t="s">
        <v>45</v>
      </c>
      <c r="E953" s="6" t="s">
        <v>839</v>
      </c>
    </row>
    <row r="954" hidden="1">
      <c r="A954" s="10" t="s">
        <v>408</v>
      </c>
      <c r="B954" s="3" t="s">
        <v>965</v>
      </c>
      <c r="C954" s="4" t="s">
        <v>3</v>
      </c>
      <c r="D954" s="5" t="s">
        <v>120</v>
      </c>
      <c r="E954" s="6" t="s">
        <v>976</v>
      </c>
    </row>
    <row r="955" hidden="1">
      <c r="A955" s="10" t="s">
        <v>408</v>
      </c>
      <c r="B955" s="3" t="s">
        <v>965</v>
      </c>
      <c r="C955" s="4" t="s">
        <v>3</v>
      </c>
      <c r="D955" s="5" t="s">
        <v>120</v>
      </c>
      <c r="E955" s="6" t="s">
        <v>977</v>
      </c>
    </row>
    <row r="956" hidden="1">
      <c r="A956" s="10" t="s">
        <v>408</v>
      </c>
      <c r="B956" s="3" t="s">
        <v>965</v>
      </c>
      <c r="C956" s="4" t="s">
        <v>3</v>
      </c>
      <c r="D956" s="5" t="s">
        <v>45</v>
      </c>
      <c r="E956" s="6" t="s">
        <v>978</v>
      </c>
    </row>
    <row r="957" hidden="1">
      <c r="A957" s="10" t="s">
        <v>408</v>
      </c>
      <c r="B957" s="3" t="s">
        <v>965</v>
      </c>
      <c r="C957" s="4" t="s">
        <v>3</v>
      </c>
      <c r="D957" s="5" t="s">
        <v>76</v>
      </c>
      <c r="E957" s="6" t="s">
        <v>702</v>
      </c>
    </row>
    <row r="958">
      <c r="A958" s="10" t="s">
        <v>408</v>
      </c>
      <c r="B958" s="3" t="s">
        <v>965</v>
      </c>
      <c r="C958" s="4" t="s">
        <v>8</v>
      </c>
      <c r="D958" s="5" t="s">
        <v>120</v>
      </c>
      <c r="E958" s="6" t="s">
        <v>979</v>
      </c>
    </row>
    <row r="959">
      <c r="A959" s="10" t="s">
        <v>408</v>
      </c>
      <c r="B959" s="3" t="s">
        <v>965</v>
      </c>
      <c r="C959" s="4" t="s">
        <v>8</v>
      </c>
      <c r="D959" s="5" t="s">
        <v>15</v>
      </c>
      <c r="E959" s="6" t="s">
        <v>241</v>
      </c>
    </row>
    <row r="960" hidden="1">
      <c r="A960" s="10" t="s">
        <v>408</v>
      </c>
      <c r="B960" s="3" t="s">
        <v>965</v>
      </c>
      <c r="C960" s="4" t="s">
        <v>3</v>
      </c>
      <c r="D960" s="5" t="s">
        <v>19</v>
      </c>
      <c r="E960" s="6" t="s">
        <v>203</v>
      </c>
    </row>
    <row r="961" hidden="1">
      <c r="A961" s="10" t="s">
        <v>980</v>
      </c>
      <c r="B961" s="3" t="s">
        <v>981</v>
      </c>
      <c r="C961" s="4" t="s">
        <v>3</v>
      </c>
      <c r="D961" s="5" t="s">
        <v>96</v>
      </c>
      <c r="E961" s="6" t="s">
        <v>982</v>
      </c>
    </row>
    <row r="962">
      <c r="A962" s="10" t="s">
        <v>980</v>
      </c>
      <c r="B962" s="3" t="s">
        <v>981</v>
      </c>
      <c r="C962" s="4" t="s">
        <v>8</v>
      </c>
      <c r="D962" s="5" t="s">
        <v>35</v>
      </c>
      <c r="E962" s="6" t="s">
        <v>983</v>
      </c>
    </row>
    <row r="963">
      <c r="A963" s="10" t="s">
        <v>980</v>
      </c>
      <c r="B963" s="3" t="s">
        <v>981</v>
      </c>
      <c r="C963" s="4" t="s">
        <v>8</v>
      </c>
      <c r="D963" s="5" t="s">
        <v>23</v>
      </c>
      <c r="E963" s="6" t="s">
        <v>417</v>
      </c>
    </row>
    <row r="964">
      <c r="A964" s="10" t="s">
        <v>980</v>
      </c>
      <c r="B964" s="3" t="s">
        <v>981</v>
      </c>
      <c r="C964" s="4" t="s">
        <v>8</v>
      </c>
      <c r="D964" s="5" t="s">
        <v>51</v>
      </c>
      <c r="E964" s="6" t="s">
        <v>297</v>
      </c>
    </row>
    <row r="965" hidden="1">
      <c r="A965" s="10" t="s">
        <v>980</v>
      </c>
      <c r="B965" s="3" t="s">
        <v>981</v>
      </c>
      <c r="C965" s="4" t="s">
        <v>3</v>
      </c>
      <c r="D965" s="5" t="s">
        <v>96</v>
      </c>
      <c r="E965" s="6" t="s">
        <v>984</v>
      </c>
    </row>
    <row r="966">
      <c r="A966" s="10" t="s">
        <v>980</v>
      </c>
      <c r="B966" s="3" t="s">
        <v>981</v>
      </c>
      <c r="C966" s="4" t="s">
        <v>8</v>
      </c>
      <c r="D966" s="5" t="s">
        <v>15</v>
      </c>
      <c r="E966" s="6" t="s">
        <v>985</v>
      </c>
    </row>
    <row r="967" hidden="1">
      <c r="A967" s="10" t="s">
        <v>980</v>
      </c>
      <c r="B967" s="3" t="s">
        <v>981</v>
      </c>
      <c r="C967" s="4" t="s">
        <v>3</v>
      </c>
      <c r="D967" s="5" t="s">
        <v>120</v>
      </c>
      <c r="E967" s="6" t="s">
        <v>986</v>
      </c>
    </row>
    <row r="968">
      <c r="A968" s="10" t="s">
        <v>980</v>
      </c>
      <c r="B968" s="3" t="s">
        <v>981</v>
      </c>
      <c r="C968" s="4" t="s">
        <v>8</v>
      </c>
      <c r="D968" s="5" t="s">
        <v>28</v>
      </c>
      <c r="E968" s="6" t="s">
        <v>987</v>
      </c>
    </row>
    <row r="969" hidden="1">
      <c r="A969" s="10" t="s">
        <v>980</v>
      </c>
      <c r="B969" s="3" t="s">
        <v>981</v>
      </c>
      <c r="C969" s="4" t="s">
        <v>3</v>
      </c>
      <c r="D969" s="5" t="s">
        <v>9</v>
      </c>
      <c r="E969" s="6" t="s">
        <v>988</v>
      </c>
    </row>
    <row r="970" hidden="1">
      <c r="A970" s="10" t="s">
        <v>980</v>
      </c>
      <c r="B970" s="3" t="s">
        <v>981</v>
      </c>
      <c r="C970" s="4" t="s">
        <v>3</v>
      </c>
      <c r="D970" s="5" t="s">
        <v>71</v>
      </c>
      <c r="E970" s="6" t="s">
        <v>989</v>
      </c>
    </row>
    <row r="971" hidden="1">
      <c r="A971" s="10" t="s">
        <v>980</v>
      </c>
      <c r="B971" s="3" t="s">
        <v>981</v>
      </c>
      <c r="C971" s="4" t="s">
        <v>3</v>
      </c>
      <c r="D971" s="5" t="s">
        <v>35</v>
      </c>
      <c r="E971" s="6" t="s">
        <v>990</v>
      </c>
    </row>
    <row r="972" hidden="1">
      <c r="A972" s="10" t="s">
        <v>980</v>
      </c>
      <c r="B972" s="3" t="s">
        <v>981</v>
      </c>
      <c r="C972" s="4" t="s">
        <v>3</v>
      </c>
      <c r="D972" s="5" t="s">
        <v>21</v>
      </c>
      <c r="E972" s="6" t="s">
        <v>991</v>
      </c>
    </row>
    <row r="973">
      <c r="A973" s="10" t="s">
        <v>980</v>
      </c>
      <c r="B973" s="3" t="s">
        <v>981</v>
      </c>
      <c r="C973" s="4" t="s">
        <v>8</v>
      </c>
      <c r="D973" s="5" t="s">
        <v>9</v>
      </c>
      <c r="E973" s="6" t="s">
        <v>448</v>
      </c>
    </row>
    <row r="974" hidden="1">
      <c r="A974" s="10" t="s">
        <v>980</v>
      </c>
      <c r="B974" s="3" t="s">
        <v>981</v>
      </c>
      <c r="C974" s="4" t="s">
        <v>3</v>
      </c>
      <c r="D974" s="5" t="s">
        <v>6</v>
      </c>
      <c r="E974" s="6" t="s">
        <v>992</v>
      </c>
    </row>
    <row r="975">
      <c r="A975" s="10" t="s">
        <v>980</v>
      </c>
      <c r="B975" s="3" t="s">
        <v>981</v>
      </c>
      <c r="C975" s="4" t="s">
        <v>8</v>
      </c>
      <c r="D975" s="5" t="s">
        <v>45</v>
      </c>
      <c r="E975" s="6" t="s">
        <v>993</v>
      </c>
    </row>
    <row r="976">
      <c r="A976" s="10" t="s">
        <v>980</v>
      </c>
      <c r="B976" s="3" t="s">
        <v>981</v>
      </c>
      <c r="C976" s="4" t="s">
        <v>8</v>
      </c>
      <c r="D976" s="5" t="s">
        <v>17</v>
      </c>
      <c r="E976" s="6" t="s">
        <v>994</v>
      </c>
    </row>
    <row r="977" hidden="1">
      <c r="A977" s="10" t="s">
        <v>980</v>
      </c>
      <c r="B977" s="3" t="s">
        <v>981</v>
      </c>
      <c r="C977" s="4" t="s">
        <v>3</v>
      </c>
      <c r="D977" s="5" t="s">
        <v>71</v>
      </c>
      <c r="E977" s="6" t="s">
        <v>995</v>
      </c>
    </row>
    <row r="978" hidden="1">
      <c r="A978" s="10" t="s">
        <v>980</v>
      </c>
      <c r="B978" s="3" t="s">
        <v>981</v>
      </c>
      <c r="C978" s="4" t="s">
        <v>3</v>
      </c>
      <c r="D978" s="5" t="s">
        <v>21</v>
      </c>
      <c r="E978" s="6" t="s">
        <v>996</v>
      </c>
    </row>
    <row r="979" hidden="1">
      <c r="A979" s="10" t="s">
        <v>980</v>
      </c>
      <c r="B979" s="3" t="s">
        <v>981</v>
      </c>
      <c r="C979" s="4" t="s">
        <v>3</v>
      </c>
      <c r="D979" s="5" t="s">
        <v>11</v>
      </c>
      <c r="E979" s="6" t="s">
        <v>997</v>
      </c>
    </row>
    <row r="980" hidden="1">
      <c r="A980" s="10" t="s">
        <v>980</v>
      </c>
      <c r="B980" s="3" t="s">
        <v>981</v>
      </c>
      <c r="C980" s="4" t="s">
        <v>3</v>
      </c>
      <c r="D980" s="5" t="s">
        <v>39</v>
      </c>
      <c r="E980" s="6" t="s">
        <v>998</v>
      </c>
    </row>
    <row r="981">
      <c r="A981" s="10" t="s">
        <v>999</v>
      </c>
      <c r="B981" s="3" t="s">
        <v>1000</v>
      </c>
      <c r="C981" s="4" t="s">
        <v>8</v>
      </c>
      <c r="D981" s="5" t="s">
        <v>17</v>
      </c>
      <c r="E981" s="6" t="s">
        <v>1001</v>
      </c>
    </row>
    <row r="982" hidden="1">
      <c r="A982" s="10" t="s">
        <v>999</v>
      </c>
      <c r="B982" s="3" t="s">
        <v>1000</v>
      </c>
      <c r="C982" s="4" t="s">
        <v>3</v>
      </c>
      <c r="D982" s="5" t="s">
        <v>23</v>
      </c>
      <c r="E982" s="6" t="s">
        <v>1002</v>
      </c>
    </row>
    <row r="983" hidden="1">
      <c r="A983" s="10" t="s">
        <v>999</v>
      </c>
      <c r="B983" s="3" t="s">
        <v>1000</v>
      </c>
      <c r="C983" s="4" t="s">
        <v>3</v>
      </c>
      <c r="D983" s="5" t="s">
        <v>11</v>
      </c>
      <c r="E983" s="6" t="s">
        <v>1003</v>
      </c>
    </row>
    <row r="984" hidden="1">
      <c r="A984" s="10" t="s">
        <v>999</v>
      </c>
      <c r="B984" s="3" t="s">
        <v>1000</v>
      </c>
      <c r="C984" s="4" t="s">
        <v>3</v>
      </c>
      <c r="D984" s="5" t="s">
        <v>96</v>
      </c>
      <c r="E984" s="6" t="s">
        <v>201</v>
      </c>
    </row>
    <row r="985">
      <c r="A985" s="10" t="s">
        <v>999</v>
      </c>
      <c r="B985" s="3" t="s">
        <v>1000</v>
      </c>
      <c r="C985" s="4" t="s">
        <v>8</v>
      </c>
      <c r="D985" s="5" t="s">
        <v>39</v>
      </c>
      <c r="E985" s="6" t="s">
        <v>1004</v>
      </c>
    </row>
    <row r="986" hidden="1">
      <c r="A986" s="10" t="s">
        <v>999</v>
      </c>
      <c r="B986" s="3" t="s">
        <v>1000</v>
      </c>
      <c r="C986" s="4" t="s">
        <v>3</v>
      </c>
      <c r="D986" s="5" t="s">
        <v>15</v>
      </c>
      <c r="E986" s="6" t="s">
        <v>585</v>
      </c>
    </row>
    <row r="987">
      <c r="A987" s="10" t="s">
        <v>999</v>
      </c>
      <c r="B987" s="3" t="s">
        <v>1000</v>
      </c>
      <c r="C987" s="4" t="s">
        <v>8</v>
      </c>
      <c r="D987" s="5" t="s">
        <v>35</v>
      </c>
      <c r="E987" s="6" t="s">
        <v>517</v>
      </c>
    </row>
    <row r="988">
      <c r="A988" s="10" t="s">
        <v>999</v>
      </c>
      <c r="B988" s="3" t="s">
        <v>1000</v>
      </c>
      <c r="C988" s="4" t="s">
        <v>8</v>
      </c>
      <c r="D988" s="5" t="s">
        <v>39</v>
      </c>
      <c r="E988" s="6" t="s">
        <v>1005</v>
      </c>
    </row>
    <row r="989" hidden="1">
      <c r="A989" s="10" t="s">
        <v>999</v>
      </c>
      <c r="B989" s="3" t="s">
        <v>1000</v>
      </c>
      <c r="C989" s="4" t="s">
        <v>3</v>
      </c>
      <c r="D989" s="5" t="s">
        <v>23</v>
      </c>
      <c r="E989" s="6" t="s">
        <v>1006</v>
      </c>
    </row>
    <row r="990">
      <c r="A990" s="10" t="s">
        <v>999</v>
      </c>
      <c r="B990" s="3" t="s">
        <v>1000</v>
      </c>
      <c r="C990" s="4" t="s">
        <v>8</v>
      </c>
      <c r="D990" s="5" t="s">
        <v>39</v>
      </c>
      <c r="E990" s="6" t="s">
        <v>1007</v>
      </c>
    </row>
    <row r="991" hidden="1">
      <c r="A991" s="10" t="s">
        <v>999</v>
      </c>
      <c r="B991" s="3" t="s">
        <v>1000</v>
      </c>
      <c r="C991" s="4" t="s">
        <v>3</v>
      </c>
      <c r="D991" s="5" t="s">
        <v>21</v>
      </c>
      <c r="E991" s="6" t="s">
        <v>1008</v>
      </c>
    </row>
    <row r="992">
      <c r="A992" s="10" t="s">
        <v>999</v>
      </c>
      <c r="B992" s="3" t="s">
        <v>1000</v>
      </c>
      <c r="C992" s="4" t="s">
        <v>8</v>
      </c>
      <c r="D992" s="5" t="s">
        <v>15</v>
      </c>
      <c r="E992" s="6" t="s">
        <v>235</v>
      </c>
    </row>
    <row r="993">
      <c r="A993" s="10" t="s">
        <v>999</v>
      </c>
      <c r="B993" s="3" t="s">
        <v>1000</v>
      </c>
      <c r="C993" s="4" t="s">
        <v>8</v>
      </c>
      <c r="D993" s="5" t="s">
        <v>4</v>
      </c>
      <c r="E993" s="6" t="s">
        <v>1009</v>
      </c>
    </row>
    <row r="994" hidden="1">
      <c r="A994" s="10" t="s">
        <v>999</v>
      </c>
      <c r="B994" s="3" t="s">
        <v>1000</v>
      </c>
      <c r="C994" s="4" t="s">
        <v>3</v>
      </c>
      <c r="D994" s="5" t="s">
        <v>23</v>
      </c>
      <c r="E994" s="6" t="s">
        <v>1010</v>
      </c>
    </row>
    <row r="995">
      <c r="A995" s="10" t="s">
        <v>999</v>
      </c>
      <c r="B995" s="3" t="s">
        <v>1000</v>
      </c>
      <c r="C995" s="4" t="s">
        <v>8</v>
      </c>
      <c r="D995" s="5" t="s">
        <v>28</v>
      </c>
      <c r="E995" s="6" t="s">
        <v>842</v>
      </c>
    </row>
    <row r="996" hidden="1">
      <c r="A996" s="10" t="s">
        <v>999</v>
      </c>
      <c r="B996" s="3" t="s">
        <v>1000</v>
      </c>
      <c r="C996" s="4" t="s">
        <v>3</v>
      </c>
      <c r="D996" s="5" t="s">
        <v>11</v>
      </c>
      <c r="E996" s="6" t="s">
        <v>1011</v>
      </c>
    </row>
    <row r="997">
      <c r="A997" s="10" t="s">
        <v>999</v>
      </c>
      <c r="B997" s="3" t="s">
        <v>1000</v>
      </c>
      <c r="C997" s="4" t="s">
        <v>8</v>
      </c>
      <c r="D997" s="5" t="s">
        <v>17</v>
      </c>
      <c r="E997" s="6" t="s">
        <v>236</v>
      </c>
    </row>
    <row r="998">
      <c r="A998" s="10" t="s">
        <v>999</v>
      </c>
      <c r="B998" s="3" t="s">
        <v>1000</v>
      </c>
      <c r="C998" s="4" t="s">
        <v>8</v>
      </c>
      <c r="D998" s="5" t="s">
        <v>17</v>
      </c>
      <c r="E998" s="6" t="s">
        <v>1012</v>
      </c>
    </row>
    <row r="999" hidden="1">
      <c r="A999" s="10" t="s">
        <v>999</v>
      </c>
      <c r="B999" s="3" t="s">
        <v>1000</v>
      </c>
      <c r="C999" s="4" t="s">
        <v>3</v>
      </c>
      <c r="D999" s="5" t="s">
        <v>39</v>
      </c>
      <c r="E999" s="6" t="s">
        <v>1013</v>
      </c>
    </row>
    <row r="1000" hidden="1">
      <c r="A1000" s="10" t="s">
        <v>999</v>
      </c>
      <c r="B1000" s="3" t="s">
        <v>1000</v>
      </c>
      <c r="C1000" s="4" t="s">
        <v>3</v>
      </c>
      <c r="D1000" s="5" t="s">
        <v>42</v>
      </c>
      <c r="E1000" s="6" t="s">
        <v>1014</v>
      </c>
    </row>
    <row r="1001">
      <c r="A1001" s="10" t="s">
        <v>1015</v>
      </c>
      <c r="B1001" s="3" t="s">
        <v>1016</v>
      </c>
      <c r="C1001" s="4" t="s">
        <v>8</v>
      </c>
      <c r="D1001" s="5" t="s">
        <v>21</v>
      </c>
      <c r="E1001" s="6" t="s">
        <v>1017</v>
      </c>
    </row>
    <row r="1002">
      <c r="A1002" s="10" t="s">
        <v>1015</v>
      </c>
      <c r="B1002" s="3" t="s">
        <v>1016</v>
      </c>
      <c r="C1002" s="4" t="s">
        <v>8</v>
      </c>
      <c r="D1002" s="5" t="s">
        <v>76</v>
      </c>
      <c r="E1002" s="6" t="s">
        <v>1018</v>
      </c>
    </row>
    <row r="1003">
      <c r="A1003" s="10" t="s">
        <v>1015</v>
      </c>
      <c r="B1003" s="3" t="s">
        <v>1016</v>
      </c>
      <c r="C1003" s="4" t="s">
        <v>8</v>
      </c>
      <c r="D1003" s="5" t="s">
        <v>23</v>
      </c>
      <c r="E1003" s="6" t="s">
        <v>1019</v>
      </c>
    </row>
    <row r="1004" hidden="1">
      <c r="A1004" s="10" t="s">
        <v>1015</v>
      </c>
      <c r="B1004" s="3" t="s">
        <v>1016</v>
      </c>
      <c r="C1004" s="4" t="s">
        <v>3</v>
      </c>
      <c r="D1004" s="5" t="s">
        <v>51</v>
      </c>
      <c r="E1004" s="6" t="s">
        <v>415</v>
      </c>
    </row>
    <row r="1005">
      <c r="A1005" s="10" t="s">
        <v>1015</v>
      </c>
      <c r="B1005" s="3" t="s">
        <v>1016</v>
      </c>
      <c r="C1005" s="4" t="s">
        <v>8</v>
      </c>
      <c r="D1005" s="5" t="s">
        <v>28</v>
      </c>
      <c r="E1005" s="6" t="s">
        <v>105</v>
      </c>
    </row>
    <row r="1006">
      <c r="A1006" s="10" t="s">
        <v>1015</v>
      </c>
      <c r="B1006" s="3" t="s">
        <v>1016</v>
      </c>
      <c r="C1006" s="4" t="s">
        <v>8</v>
      </c>
      <c r="D1006" s="5" t="s">
        <v>4</v>
      </c>
      <c r="E1006" s="6" t="s">
        <v>1020</v>
      </c>
    </row>
    <row r="1007">
      <c r="A1007" s="10" t="s">
        <v>1015</v>
      </c>
      <c r="B1007" s="3" t="s">
        <v>1016</v>
      </c>
      <c r="C1007" s="4" t="s">
        <v>8</v>
      </c>
      <c r="D1007" s="5" t="s">
        <v>42</v>
      </c>
      <c r="E1007" s="6" t="s">
        <v>1021</v>
      </c>
    </row>
    <row r="1008" hidden="1">
      <c r="A1008" s="10" t="s">
        <v>1015</v>
      </c>
      <c r="B1008" s="3" t="s">
        <v>1016</v>
      </c>
      <c r="C1008" s="4" t="s">
        <v>3</v>
      </c>
      <c r="D1008" s="5" t="s">
        <v>9</v>
      </c>
      <c r="E1008" s="6" t="s">
        <v>291</v>
      </c>
    </row>
    <row r="1009">
      <c r="A1009" s="10" t="s">
        <v>1015</v>
      </c>
      <c r="B1009" s="3" t="s">
        <v>1016</v>
      </c>
      <c r="C1009" s="4" t="s">
        <v>8</v>
      </c>
      <c r="D1009" s="5" t="s">
        <v>39</v>
      </c>
      <c r="E1009" s="6" t="s">
        <v>1022</v>
      </c>
    </row>
    <row r="1010" hidden="1">
      <c r="A1010" s="10" t="s">
        <v>1015</v>
      </c>
      <c r="B1010" s="3" t="s">
        <v>1016</v>
      </c>
      <c r="C1010" s="4" t="s">
        <v>3</v>
      </c>
      <c r="D1010" s="5" t="s">
        <v>4</v>
      </c>
      <c r="E1010" s="6" t="s">
        <v>1023</v>
      </c>
    </row>
    <row r="1011">
      <c r="A1011" s="10" t="s">
        <v>1015</v>
      </c>
      <c r="B1011" s="3" t="s">
        <v>1016</v>
      </c>
      <c r="C1011" s="4" t="s">
        <v>8</v>
      </c>
      <c r="D1011" s="5" t="s">
        <v>6</v>
      </c>
      <c r="E1011" s="6" t="s">
        <v>1024</v>
      </c>
    </row>
    <row r="1012">
      <c r="A1012" s="10" t="s">
        <v>1015</v>
      </c>
      <c r="B1012" s="3" t="s">
        <v>1016</v>
      </c>
      <c r="C1012" s="4" t="s">
        <v>8</v>
      </c>
      <c r="D1012" s="5" t="s">
        <v>19</v>
      </c>
      <c r="E1012" s="6" t="s">
        <v>1025</v>
      </c>
    </row>
    <row r="1013" hidden="1">
      <c r="A1013" s="10" t="s">
        <v>1015</v>
      </c>
      <c r="B1013" s="3" t="s">
        <v>1016</v>
      </c>
      <c r="C1013" s="4" t="s">
        <v>3</v>
      </c>
      <c r="D1013" s="5" t="s">
        <v>21</v>
      </c>
      <c r="E1013" s="6" t="s">
        <v>1026</v>
      </c>
    </row>
    <row r="1014">
      <c r="A1014" s="10" t="s">
        <v>1015</v>
      </c>
      <c r="B1014" s="3" t="s">
        <v>1016</v>
      </c>
      <c r="C1014" s="4" t="s">
        <v>8</v>
      </c>
      <c r="D1014" s="5" t="s">
        <v>6</v>
      </c>
      <c r="E1014" s="6" t="s">
        <v>1027</v>
      </c>
    </row>
    <row r="1015" hidden="1">
      <c r="A1015" s="10" t="s">
        <v>1015</v>
      </c>
      <c r="B1015" s="3" t="s">
        <v>1016</v>
      </c>
      <c r="C1015" s="4" t="s">
        <v>3</v>
      </c>
      <c r="D1015" s="5" t="s">
        <v>11</v>
      </c>
      <c r="E1015" s="6" t="s">
        <v>1028</v>
      </c>
    </row>
    <row r="1016">
      <c r="A1016" s="10" t="s">
        <v>1015</v>
      </c>
      <c r="B1016" s="3" t="s">
        <v>1016</v>
      </c>
      <c r="C1016" s="4" t="s">
        <v>8</v>
      </c>
      <c r="D1016" s="5" t="s">
        <v>11</v>
      </c>
      <c r="E1016" s="6" t="s">
        <v>1029</v>
      </c>
    </row>
    <row r="1017">
      <c r="A1017" s="10" t="s">
        <v>1015</v>
      </c>
      <c r="B1017" s="3" t="s">
        <v>1016</v>
      </c>
      <c r="C1017" s="4" t="s">
        <v>8</v>
      </c>
      <c r="D1017" s="5" t="s">
        <v>35</v>
      </c>
      <c r="E1017" s="6" t="s">
        <v>1030</v>
      </c>
    </row>
    <row r="1018" hidden="1">
      <c r="A1018" s="10" t="s">
        <v>1015</v>
      </c>
      <c r="B1018" s="3" t="s">
        <v>1016</v>
      </c>
      <c r="C1018" s="4" t="s">
        <v>3</v>
      </c>
      <c r="D1018" s="5" t="s">
        <v>39</v>
      </c>
      <c r="E1018" s="6" t="s">
        <v>1031</v>
      </c>
    </row>
    <row r="1019">
      <c r="A1019" s="10" t="s">
        <v>1015</v>
      </c>
      <c r="B1019" s="3" t="s">
        <v>1016</v>
      </c>
      <c r="C1019" s="4" t="s">
        <v>8</v>
      </c>
      <c r="D1019" s="5" t="s">
        <v>120</v>
      </c>
      <c r="E1019" s="6" t="s">
        <v>1032</v>
      </c>
    </row>
    <row r="1020">
      <c r="A1020" s="10" t="s">
        <v>1015</v>
      </c>
      <c r="B1020" s="3" t="s">
        <v>1016</v>
      </c>
      <c r="C1020" s="4" t="s">
        <v>8</v>
      </c>
      <c r="D1020" s="5" t="s">
        <v>28</v>
      </c>
      <c r="E1020" s="6" t="s">
        <v>795</v>
      </c>
    </row>
    <row r="1021" hidden="1">
      <c r="A1021" s="10" t="s">
        <v>1033</v>
      </c>
      <c r="B1021" s="3" t="s">
        <v>1034</v>
      </c>
      <c r="C1021" s="4" t="s">
        <v>3</v>
      </c>
      <c r="D1021" s="5" t="s">
        <v>120</v>
      </c>
      <c r="E1021" s="6" t="s">
        <v>1035</v>
      </c>
    </row>
    <row r="1022">
      <c r="A1022" s="10" t="s">
        <v>1033</v>
      </c>
      <c r="B1022" s="3" t="s">
        <v>1034</v>
      </c>
      <c r="C1022" s="4" t="s">
        <v>8</v>
      </c>
      <c r="D1022" s="5" t="s">
        <v>4</v>
      </c>
      <c r="E1022" s="6" t="s">
        <v>1036</v>
      </c>
    </row>
    <row r="1023" hidden="1">
      <c r="A1023" s="10" t="s">
        <v>1033</v>
      </c>
      <c r="B1023" s="3" t="s">
        <v>1034</v>
      </c>
      <c r="C1023" s="4" t="s">
        <v>3</v>
      </c>
      <c r="D1023" s="5" t="s">
        <v>45</v>
      </c>
      <c r="E1023" s="6" t="s">
        <v>1010</v>
      </c>
    </row>
    <row r="1024" hidden="1">
      <c r="A1024" s="10" t="s">
        <v>1033</v>
      </c>
      <c r="B1024" s="3" t="s">
        <v>1034</v>
      </c>
      <c r="C1024" s="4" t="s">
        <v>3</v>
      </c>
      <c r="D1024" s="5" t="s">
        <v>6</v>
      </c>
      <c r="E1024" s="6" t="s">
        <v>1037</v>
      </c>
    </row>
    <row r="1025">
      <c r="A1025" s="10" t="s">
        <v>1033</v>
      </c>
      <c r="B1025" s="3" t="s">
        <v>1034</v>
      </c>
      <c r="C1025" s="4" t="s">
        <v>8</v>
      </c>
      <c r="D1025" s="5" t="s">
        <v>13</v>
      </c>
      <c r="E1025" s="6" t="s">
        <v>1038</v>
      </c>
    </row>
    <row r="1026" hidden="1">
      <c r="A1026" s="10" t="s">
        <v>1033</v>
      </c>
      <c r="B1026" s="3" t="s">
        <v>1034</v>
      </c>
      <c r="C1026" s="4" t="s">
        <v>3</v>
      </c>
      <c r="D1026" s="5" t="s">
        <v>51</v>
      </c>
      <c r="E1026" s="6" t="s">
        <v>1039</v>
      </c>
    </row>
    <row r="1027" hidden="1">
      <c r="A1027" s="10" t="s">
        <v>1033</v>
      </c>
      <c r="B1027" s="3" t="s">
        <v>1034</v>
      </c>
      <c r="C1027" s="4" t="s">
        <v>3</v>
      </c>
      <c r="D1027" s="5" t="s">
        <v>51</v>
      </c>
      <c r="E1027" s="6" t="s">
        <v>1040</v>
      </c>
    </row>
    <row r="1028">
      <c r="A1028" s="10" t="s">
        <v>1033</v>
      </c>
      <c r="B1028" s="3" t="s">
        <v>1034</v>
      </c>
      <c r="C1028" s="4" t="s">
        <v>8</v>
      </c>
      <c r="D1028" s="5" t="s">
        <v>35</v>
      </c>
      <c r="E1028" s="6" t="s">
        <v>112</v>
      </c>
    </row>
    <row r="1029" hidden="1">
      <c r="A1029" s="10" t="s">
        <v>1033</v>
      </c>
      <c r="B1029" s="3" t="s">
        <v>1034</v>
      </c>
      <c r="C1029" s="4" t="s">
        <v>3</v>
      </c>
      <c r="D1029" s="5" t="s">
        <v>71</v>
      </c>
      <c r="E1029" s="6" t="s">
        <v>799</v>
      </c>
    </row>
    <row r="1030" hidden="1">
      <c r="A1030" s="10" t="s">
        <v>1033</v>
      </c>
      <c r="B1030" s="3" t="s">
        <v>1034</v>
      </c>
      <c r="C1030" s="4" t="s">
        <v>3</v>
      </c>
      <c r="D1030" s="5" t="s">
        <v>39</v>
      </c>
      <c r="E1030" s="6" t="s">
        <v>1041</v>
      </c>
    </row>
    <row r="1031">
      <c r="A1031" s="10" t="s">
        <v>1033</v>
      </c>
      <c r="B1031" s="3" t="s">
        <v>1034</v>
      </c>
      <c r="C1031" s="4" t="s">
        <v>8</v>
      </c>
      <c r="D1031" s="5" t="s">
        <v>76</v>
      </c>
      <c r="E1031" s="6" t="s">
        <v>1042</v>
      </c>
    </row>
    <row r="1032">
      <c r="A1032" s="10" t="s">
        <v>1033</v>
      </c>
      <c r="B1032" s="3" t="s">
        <v>1034</v>
      </c>
      <c r="C1032" s="4" t="s">
        <v>8</v>
      </c>
      <c r="D1032" s="5" t="s">
        <v>23</v>
      </c>
      <c r="E1032" s="6" t="s">
        <v>1043</v>
      </c>
    </row>
    <row r="1033" hidden="1">
      <c r="A1033" s="10" t="s">
        <v>1033</v>
      </c>
      <c r="B1033" s="3" t="s">
        <v>1034</v>
      </c>
      <c r="C1033" s="4" t="s">
        <v>3</v>
      </c>
      <c r="D1033" s="5" t="s">
        <v>76</v>
      </c>
      <c r="E1033" s="6" t="s">
        <v>1044</v>
      </c>
    </row>
    <row r="1034">
      <c r="A1034" s="10" t="s">
        <v>1033</v>
      </c>
      <c r="B1034" s="3" t="s">
        <v>1034</v>
      </c>
      <c r="C1034" s="4" t="s">
        <v>8</v>
      </c>
      <c r="D1034" s="5" t="s">
        <v>17</v>
      </c>
      <c r="E1034" s="6" t="s">
        <v>338</v>
      </c>
    </row>
    <row r="1035" hidden="1">
      <c r="A1035" s="10" t="s">
        <v>1033</v>
      </c>
      <c r="B1035" s="3" t="s">
        <v>1034</v>
      </c>
      <c r="C1035" s="4" t="s">
        <v>3</v>
      </c>
      <c r="D1035" s="5" t="s">
        <v>28</v>
      </c>
      <c r="E1035" s="6" t="s">
        <v>1045</v>
      </c>
    </row>
    <row r="1036" hidden="1">
      <c r="A1036" s="10" t="s">
        <v>1033</v>
      </c>
      <c r="B1036" s="3" t="s">
        <v>1034</v>
      </c>
      <c r="C1036" s="4" t="s">
        <v>3</v>
      </c>
      <c r="D1036" s="5" t="s">
        <v>39</v>
      </c>
      <c r="E1036" s="6" t="s">
        <v>1046</v>
      </c>
    </row>
    <row r="1037" hidden="1">
      <c r="A1037" s="10" t="s">
        <v>1033</v>
      </c>
      <c r="B1037" s="3" t="s">
        <v>1034</v>
      </c>
      <c r="C1037" s="4" t="s">
        <v>3</v>
      </c>
      <c r="D1037" s="5" t="s">
        <v>96</v>
      </c>
      <c r="E1037" s="6" t="s">
        <v>1047</v>
      </c>
    </row>
    <row r="1038" hidden="1">
      <c r="A1038" s="10" t="s">
        <v>1033</v>
      </c>
      <c r="B1038" s="3" t="s">
        <v>1034</v>
      </c>
      <c r="C1038" s="4" t="s">
        <v>3</v>
      </c>
      <c r="D1038" s="5" t="s">
        <v>28</v>
      </c>
      <c r="E1038" s="6" t="s">
        <v>1048</v>
      </c>
    </row>
    <row r="1039">
      <c r="A1039" s="10" t="s">
        <v>1033</v>
      </c>
      <c r="B1039" s="3" t="s">
        <v>1034</v>
      </c>
      <c r="C1039" s="4" t="s">
        <v>8</v>
      </c>
      <c r="D1039" s="5" t="s">
        <v>76</v>
      </c>
      <c r="E1039" s="6" t="s">
        <v>1049</v>
      </c>
    </row>
    <row r="1040" hidden="1">
      <c r="A1040" s="10" t="s">
        <v>1033</v>
      </c>
      <c r="B1040" s="3" t="s">
        <v>1034</v>
      </c>
      <c r="C1040" s="4" t="s">
        <v>3</v>
      </c>
      <c r="D1040" s="5" t="s">
        <v>35</v>
      </c>
      <c r="E1040" s="6" t="s">
        <v>1050</v>
      </c>
    </row>
    <row r="1041" hidden="1">
      <c r="A1041" s="10" t="s">
        <v>1051</v>
      </c>
      <c r="B1041" s="3" t="s">
        <v>1052</v>
      </c>
      <c r="C1041" s="4" t="s">
        <v>3</v>
      </c>
      <c r="D1041" s="5" t="s">
        <v>45</v>
      </c>
      <c r="E1041" s="6" t="s">
        <v>1053</v>
      </c>
    </row>
    <row r="1042" hidden="1">
      <c r="A1042" s="10" t="s">
        <v>1051</v>
      </c>
      <c r="B1042" s="3" t="s">
        <v>1052</v>
      </c>
      <c r="C1042" s="4" t="s">
        <v>3</v>
      </c>
      <c r="D1042" s="5" t="s">
        <v>42</v>
      </c>
      <c r="E1042" s="6" t="s">
        <v>505</v>
      </c>
    </row>
    <row r="1043" hidden="1">
      <c r="A1043" s="10" t="s">
        <v>1051</v>
      </c>
      <c r="B1043" s="3" t="s">
        <v>1052</v>
      </c>
      <c r="C1043" s="4" t="s">
        <v>3</v>
      </c>
      <c r="D1043" s="5" t="s">
        <v>9</v>
      </c>
      <c r="E1043" s="6" t="s">
        <v>1054</v>
      </c>
    </row>
    <row r="1044">
      <c r="A1044" s="10" t="s">
        <v>1051</v>
      </c>
      <c r="B1044" s="3" t="s">
        <v>1052</v>
      </c>
      <c r="C1044" s="4" t="s">
        <v>8</v>
      </c>
      <c r="D1044" s="5" t="s">
        <v>21</v>
      </c>
      <c r="E1044" s="6" t="s">
        <v>1055</v>
      </c>
    </row>
    <row r="1045" hidden="1">
      <c r="A1045" s="10" t="s">
        <v>1051</v>
      </c>
      <c r="B1045" s="3" t="s">
        <v>1052</v>
      </c>
      <c r="C1045" s="4" t="s">
        <v>3</v>
      </c>
      <c r="D1045" s="5" t="s">
        <v>51</v>
      </c>
      <c r="E1045" s="6" t="s">
        <v>727</v>
      </c>
    </row>
    <row r="1046">
      <c r="A1046" s="10" t="s">
        <v>1051</v>
      </c>
      <c r="B1046" s="3" t="s">
        <v>1052</v>
      </c>
      <c r="C1046" s="4" t="s">
        <v>8</v>
      </c>
      <c r="D1046" s="5" t="s">
        <v>15</v>
      </c>
      <c r="E1046" s="6" t="s">
        <v>321</v>
      </c>
    </row>
    <row r="1047" hidden="1">
      <c r="A1047" s="10" t="s">
        <v>1051</v>
      </c>
      <c r="B1047" s="3" t="s">
        <v>1052</v>
      </c>
      <c r="C1047" s="4" t="s">
        <v>3</v>
      </c>
      <c r="D1047" s="5" t="s">
        <v>4</v>
      </c>
      <c r="E1047" s="6" t="s">
        <v>1056</v>
      </c>
    </row>
    <row r="1048">
      <c r="A1048" s="10" t="s">
        <v>1051</v>
      </c>
      <c r="B1048" s="3" t="s">
        <v>1052</v>
      </c>
      <c r="C1048" s="4" t="s">
        <v>8</v>
      </c>
      <c r="D1048" s="5" t="s">
        <v>13</v>
      </c>
      <c r="E1048" s="6" t="s">
        <v>1057</v>
      </c>
    </row>
    <row r="1049">
      <c r="A1049" s="10" t="s">
        <v>1051</v>
      </c>
      <c r="B1049" s="3" t="s">
        <v>1052</v>
      </c>
      <c r="C1049" s="4" t="s">
        <v>8</v>
      </c>
      <c r="D1049" s="5" t="s">
        <v>76</v>
      </c>
      <c r="E1049" s="6" t="s">
        <v>1058</v>
      </c>
    </row>
    <row r="1050">
      <c r="A1050" s="10" t="s">
        <v>1051</v>
      </c>
      <c r="B1050" s="3" t="s">
        <v>1052</v>
      </c>
      <c r="C1050" s="4" t="s">
        <v>8</v>
      </c>
      <c r="D1050" s="5" t="s">
        <v>35</v>
      </c>
      <c r="E1050" s="6" t="s">
        <v>1059</v>
      </c>
    </row>
    <row r="1051">
      <c r="A1051" s="10" t="s">
        <v>1051</v>
      </c>
      <c r="B1051" s="3" t="s">
        <v>1052</v>
      </c>
      <c r="C1051" s="4" t="s">
        <v>8</v>
      </c>
      <c r="D1051" s="5" t="s">
        <v>17</v>
      </c>
      <c r="E1051" s="6" t="s">
        <v>366</v>
      </c>
    </row>
    <row r="1052" hidden="1">
      <c r="A1052" s="10" t="s">
        <v>1051</v>
      </c>
      <c r="B1052" s="3" t="s">
        <v>1052</v>
      </c>
      <c r="C1052" s="4" t="s">
        <v>3</v>
      </c>
      <c r="D1052" s="5" t="s">
        <v>71</v>
      </c>
      <c r="E1052" s="6" t="s">
        <v>1060</v>
      </c>
    </row>
    <row r="1053" hidden="1">
      <c r="A1053" s="10" t="s">
        <v>1051</v>
      </c>
      <c r="B1053" s="3" t="s">
        <v>1052</v>
      </c>
      <c r="C1053" s="4" t="s">
        <v>3</v>
      </c>
      <c r="D1053" s="5" t="s">
        <v>4</v>
      </c>
      <c r="E1053" s="6" t="s">
        <v>1061</v>
      </c>
    </row>
    <row r="1054">
      <c r="A1054" s="10" t="s">
        <v>1051</v>
      </c>
      <c r="B1054" s="3" t="s">
        <v>1052</v>
      </c>
      <c r="C1054" s="4" t="s">
        <v>8</v>
      </c>
      <c r="D1054" s="5" t="s">
        <v>51</v>
      </c>
      <c r="E1054" s="6" t="s">
        <v>1062</v>
      </c>
    </row>
    <row r="1055">
      <c r="A1055" s="10" t="s">
        <v>1051</v>
      </c>
      <c r="B1055" s="3" t="s">
        <v>1052</v>
      </c>
      <c r="C1055" s="4" t="s">
        <v>8</v>
      </c>
      <c r="D1055" s="5" t="s">
        <v>51</v>
      </c>
      <c r="E1055" s="6" t="s">
        <v>1063</v>
      </c>
    </row>
    <row r="1056">
      <c r="A1056" s="10" t="s">
        <v>1051</v>
      </c>
      <c r="B1056" s="3" t="s">
        <v>1052</v>
      </c>
      <c r="C1056" s="4" t="s">
        <v>8</v>
      </c>
      <c r="D1056" s="5" t="s">
        <v>11</v>
      </c>
      <c r="E1056" s="6" t="s">
        <v>1064</v>
      </c>
    </row>
    <row r="1057">
      <c r="A1057" s="10" t="s">
        <v>1051</v>
      </c>
      <c r="B1057" s="3" t="s">
        <v>1052</v>
      </c>
      <c r="C1057" s="4" t="s">
        <v>8</v>
      </c>
      <c r="D1057" s="5" t="s">
        <v>13</v>
      </c>
      <c r="E1057" s="6" t="s">
        <v>1065</v>
      </c>
    </row>
    <row r="1058" hidden="1">
      <c r="A1058" s="10" t="s">
        <v>1051</v>
      </c>
      <c r="B1058" s="3" t="s">
        <v>1052</v>
      </c>
      <c r="C1058" s="4" t="s">
        <v>3</v>
      </c>
      <c r="D1058" s="5" t="s">
        <v>4</v>
      </c>
      <c r="E1058" s="6" t="s">
        <v>1066</v>
      </c>
    </row>
    <row r="1059">
      <c r="A1059" s="10" t="s">
        <v>1051</v>
      </c>
      <c r="B1059" s="3" t="s">
        <v>1052</v>
      </c>
      <c r="C1059" s="4" t="s">
        <v>8</v>
      </c>
      <c r="D1059" s="5" t="s">
        <v>6</v>
      </c>
      <c r="E1059" s="6" t="s">
        <v>1067</v>
      </c>
    </row>
    <row r="1060">
      <c r="A1060" s="10" t="s">
        <v>1051</v>
      </c>
      <c r="B1060" s="3" t="s">
        <v>1052</v>
      </c>
      <c r="C1060" s="4" t="s">
        <v>8</v>
      </c>
      <c r="D1060" s="5" t="s">
        <v>4</v>
      </c>
      <c r="E1060" s="6" t="s">
        <v>1068</v>
      </c>
    </row>
    <row r="1061" hidden="1">
      <c r="A1061" s="10" t="s">
        <v>1069</v>
      </c>
      <c r="B1061" s="3" t="s">
        <v>1070</v>
      </c>
      <c r="C1061" s="4" t="s">
        <v>3</v>
      </c>
      <c r="D1061" s="5" t="s">
        <v>13</v>
      </c>
      <c r="E1061" s="6" t="s">
        <v>1071</v>
      </c>
    </row>
    <row r="1062" hidden="1">
      <c r="A1062" s="10" t="s">
        <v>1069</v>
      </c>
      <c r="B1062" s="3" t="s">
        <v>1070</v>
      </c>
      <c r="C1062" s="4" t="s">
        <v>3</v>
      </c>
      <c r="D1062" s="5" t="s">
        <v>96</v>
      </c>
      <c r="E1062" s="6" t="s">
        <v>1072</v>
      </c>
    </row>
    <row r="1063" hidden="1">
      <c r="A1063" s="10" t="s">
        <v>1069</v>
      </c>
      <c r="B1063" s="3" t="s">
        <v>1070</v>
      </c>
      <c r="C1063" s="4" t="s">
        <v>3</v>
      </c>
      <c r="D1063" s="5" t="s">
        <v>28</v>
      </c>
      <c r="E1063" s="6" t="s">
        <v>1073</v>
      </c>
    </row>
    <row r="1064">
      <c r="A1064" s="10" t="s">
        <v>1069</v>
      </c>
      <c r="B1064" s="3" t="s">
        <v>1070</v>
      </c>
      <c r="C1064" s="4" t="s">
        <v>8</v>
      </c>
      <c r="D1064" s="5" t="s">
        <v>120</v>
      </c>
      <c r="E1064" s="6" t="s">
        <v>1074</v>
      </c>
    </row>
    <row r="1065">
      <c r="A1065" s="10" t="s">
        <v>1069</v>
      </c>
      <c r="B1065" s="3" t="s">
        <v>1070</v>
      </c>
      <c r="C1065" s="4" t="s">
        <v>8</v>
      </c>
      <c r="D1065" s="5" t="s">
        <v>4</v>
      </c>
      <c r="E1065" s="6" t="s">
        <v>1075</v>
      </c>
    </row>
    <row r="1066">
      <c r="A1066" s="10" t="s">
        <v>1069</v>
      </c>
      <c r="B1066" s="3" t="s">
        <v>1070</v>
      </c>
      <c r="C1066" s="4" t="s">
        <v>8</v>
      </c>
      <c r="D1066" s="5" t="s">
        <v>28</v>
      </c>
      <c r="E1066" s="6" t="s">
        <v>128</v>
      </c>
    </row>
    <row r="1067">
      <c r="A1067" s="10" t="s">
        <v>1069</v>
      </c>
      <c r="B1067" s="3" t="s">
        <v>1070</v>
      </c>
      <c r="C1067" s="4" t="s">
        <v>8</v>
      </c>
      <c r="D1067" s="5" t="s">
        <v>13</v>
      </c>
      <c r="E1067" s="6" t="s">
        <v>1076</v>
      </c>
    </row>
    <row r="1068">
      <c r="A1068" s="10" t="s">
        <v>1069</v>
      </c>
      <c r="B1068" s="3" t="s">
        <v>1070</v>
      </c>
      <c r="C1068" s="4" t="s">
        <v>8</v>
      </c>
      <c r="D1068" s="5" t="s">
        <v>42</v>
      </c>
      <c r="E1068" s="6" t="s">
        <v>1014</v>
      </c>
    </row>
    <row r="1069">
      <c r="A1069" s="10" t="s">
        <v>1069</v>
      </c>
      <c r="B1069" s="3" t="s">
        <v>1070</v>
      </c>
      <c r="C1069" s="4" t="s">
        <v>8</v>
      </c>
      <c r="D1069" s="5" t="s">
        <v>4</v>
      </c>
      <c r="E1069" s="6" t="s">
        <v>1077</v>
      </c>
    </row>
    <row r="1070" hidden="1">
      <c r="A1070" s="10" t="s">
        <v>1069</v>
      </c>
      <c r="B1070" s="3" t="s">
        <v>1070</v>
      </c>
      <c r="C1070" s="4" t="s">
        <v>3</v>
      </c>
      <c r="D1070" s="5" t="s">
        <v>17</v>
      </c>
      <c r="E1070" s="6" t="s">
        <v>1078</v>
      </c>
    </row>
    <row r="1071">
      <c r="A1071" s="10" t="s">
        <v>1069</v>
      </c>
      <c r="B1071" s="3" t="s">
        <v>1070</v>
      </c>
      <c r="C1071" s="4" t="s">
        <v>8</v>
      </c>
      <c r="D1071" s="5" t="s">
        <v>15</v>
      </c>
      <c r="E1071" s="6" t="s">
        <v>644</v>
      </c>
    </row>
    <row r="1072" hidden="1">
      <c r="A1072" s="10" t="s">
        <v>1069</v>
      </c>
      <c r="B1072" s="3" t="s">
        <v>1070</v>
      </c>
      <c r="C1072" s="4" t="s">
        <v>3</v>
      </c>
      <c r="D1072" s="5" t="s">
        <v>17</v>
      </c>
      <c r="E1072" s="6" t="s">
        <v>1079</v>
      </c>
    </row>
    <row r="1073">
      <c r="A1073" s="10" t="s">
        <v>1069</v>
      </c>
      <c r="B1073" s="3" t="s">
        <v>1070</v>
      </c>
      <c r="C1073" s="4" t="s">
        <v>8</v>
      </c>
      <c r="D1073" s="5" t="s">
        <v>13</v>
      </c>
      <c r="E1073" s="6" t="s">
        <v>679</v>
      </c>
    </row>
    <row r="1074" hidden="1">
      <c r="A1074" s="10" t="s">
        <v>1069</v>
      </c>
      <c r="B1074" s="3" t="s">
        <v>1070</v>
      </c>
      <c r="C1074" s="4" t="s">
        <v>3</v>
      </c>
      <c r="D1074" s="5" t="s">
        <v>28</v>
      </c>
      <c r="E1074" s="6" t="s">
        <v>1073</v>
      </c>
    </row>
    <row r="1075" hidden="1">
      <c r="A1075" s="10" t="s">
        <v>1069</v>
      </c>
      <c r="B1075" s="3" t="s">
        <v>1070</v>
      </c>
      <c r="C1075" s="4" t="s">
        <v>3</v>
      </c>
      <c r="D1075" s="5" t="s">
        <v>6</v>
      </c>
      <c r="E1075" s="6" t="s">
        <v>1080</v>
      </c>
    </row>
    <row r="1076">
      <c r="A1076" s="10" t="s">
        <v>1069</v>
      </c>
      <c r="B1076" s="3" t="s">
        <v>1070</v>
      </c>
      <c r="C1076" s="4" t="s">
        <v>8</v>
      </c>
      <c r="D1076" s="5" t="s">
        <v>19</v>
      </c>
      <c r="E1076" s="6" t="s">
        <v>1081</v>
      </c>
    </row>
    <row r="1077" hidden="1">
      <c r="A1077" s="10" t="s">
        <v>1069</v>
      </c>
      <c r="B1077" s="3" t="s">
        <v>1070</v>
      </c>
      <c r="C1077" s="4" t="s">
        <v>3</v>
      </c>
      <c r="D1077" s="5" t="s">
        <v>19</v>
      </c>
      <c r="E1077" s="6" t="s">
        <v>234</v>
      </c>
    </row>
    <row r="1078">
      <c r="A1078" s="10" t="s">
        <v>1069</v>
      </c>
      <c r="B1078" s="3" t="s">
        <v>1070</v>
      </c>
      <c r="C1078" s="4" t="s">
        <v>8</v>
      </c>
      <c r="D1078" s="5" t="s">
        <v>96</v>
      </c>
      <c r="E1078" s="6" t="s">
        <v>1082</v>
      </c>
    </row>
    <row r="1079" hidden="1">
      <c r="A1079" s="10" t="s">
        <v>1069</v>
      </c>
      <c r="B1079" s="3" t="s">
        <v>1070</v>
      </c>
      <c r="C1079" s="4" t="s">
        <v>3</v>
      </c>
      <c r="D1079" s="5" t="s">
        <v>23</v>
      </c>
      <c r="E1079" s="6" t="s">
        <v>1083</v>
      </c>
    </row>
    <row r="1080">
      <c r="A1080" s="10" t="s">
        <v>1069</v>
      </c>
      <c r="B1080" s="3" t="s">
        <v>1070</v>
      </c>
      <c r="C1080" s="4" t="s">
        <v>8</v>
      </c>
      <c r="D1080" s="5" t="s">
        <v>28</v>
      </c>
      <c r="E1080" s="6" t="s">
        <v>43</v>
      </c>
    </row>
    <row r="1081" hidden="1">
      <c r="A1081" s="10" t="s">
        <v>1084</v>
      </c>
      <c r="B1081" s="3" t="s">
        <v>1085</v>
      </c>
      <c r="C1081" s="4" t="s">
        <v>3</v>
      </c>
      <c r="D1081" s="5" t="s">
        <v>4</v>
      </c>
      <c r="E1081" s="6" t="s">
        <v>1086</v>
      </c>
    </row>
    <row r="1082" hidden="1">
      <c r="A1082" s="10" t="s">
        <v>1084</v>
      </c>
      <c r="B1082" s="3" t="s">
        <v>1085</v>
      </c>
      <c r="C1082" s="4" t="s">
        <v>3</v>
      </c>
      <c r="D1082" s="5" t="s">
        <v>15</v>
      </c>
      <c r="E1082" s="6" t="s">
        <v>488</v>
      </c>
    </row>
    <row r="1083" hidden="1">
      <c r="A1083" s="10" t="s">
        <v>1084</v>
      </c>
      <c r="B1083" s="3" t="s">
        <v>1085</v>
      </c>
      <c r="C1083" s="4" t="s">
        <v>3</v>
      </c>
      <c r="D1083" s="5" t="s">
        <v>42</v>
      </c>
      <c r="E1083" s="6" t="s">
        <v>1087</v>
      </c>
    </row>
    <row r="1084">
      <c r="A1084" s="10" t="s">
        <v>1084</v>
      </c>
      <c r="B1084" s="3" t="s">
        <v>1085</v>
      </c>
      <c r="C1084" s="4" t="s">
        <v>8</v>
      </c>
      <c r="D1084" s="5" t="s">
        <v>19</v>
      </c>
      <c r="E1084" s="6" t="s">
        <v>1088</v>
      </c>
    </row>
    <row r="1085">
      <c r="A1085" s="10" t="s">
        <v>1084</v>
      </c>
      <c r="B1085" s="3" t="s">
        <v>1085</v>
      </c>
      <c r="C1085" s="4" t="s">
        <v>8</v>
      </c>
      <c r="D1085" s="5" t="s">
        <v>13</v>
      </c>
      <c r="E1085" s="6" t="s">
        <v>1089</v>
      </c>
    </row>
    <row r="1086">
      <c r="A1086" s="10" t="s">
        <v>1084</v>
      </c>
      <c r="B1086" s="3" t="s">
        <v>1085</v>
      </c>
      <c r="C1086" s="4" t="s">
        <v>8</v>
      </c>
      <c r="D1086" s="5" t="s">
        <v>4</v>
      </c>
      <c r="E1086" s="6" t="s">
        <v>1090</v>
      </c>
    </row>
    <row r="1087" hidden="1">
      <c r="A1087" s="10" t="s">
        <v>1084</v>
      </c>
      <c r="B1087" s="3" t="s">
        <v>1085</v>
      </c>
      <c r="C1087" s="4" t="s">
        <v>3</v>
      </c>
      <c r="D1087" s="5" t="s">
        <v>96</v>
      </c>
      <c r="E1087" s="6" t="s">
        <v>1091</v>
      </c>
    </row>
    <row r="1088">
      <c r="A1088" s="10" t="s">
        <v>1084</v>
      </c>
      <c r="B1088" s="3" t="s">
        <v>1085</v>
      </c>
      <c r="C1088" s="4" t="s">
        <v>8</v>
      </c>
      <c r="D1088" s="5" t="s">
        <v>19</v>
      </c>
      <c r="E1088" s="6" t="s">
        <v>1092</v>
      </c>
    </row>
    <row r="1089">
      <c r="A1089" s="10" t="s">
        <v>1084</v>
      </c>
      <c r="B1089" s="3" t="s">
        <v>1085</v>
      </c>
      <c r="C1089" s="4" t="s">
        <v>8</v>
      </c>
      <c r="D1089" s="5" t="s">
        <v>42</v>
      </c>
      <c r="E1089" s="6" t="s">
        <v>1054</v>
      </c>
    </row>
    <row r="1090" hidden="1">
      <c r="A1090" s="10" t="s">
        <v>1084</v>
      </c>
      <c r="B1090" s="3" t="s">
        <v>1085</v>
      </c>
      <c r="C1090" s="4" t="s">
        <v>3</v>
      </c>
      <c r="D1090" s="5" t="s">
        <v>9</v>
      </c>
      <c r="E1090" s="6" t="s">
        <v>696</v>
      </c>
    </row>
    <row r="1091" hidden="1">
      <c r="A1091" s="10" t="s">
        <v>1084</v>
      </c>
      <c r="B1091" s="3" t="s">
        <v>1085</v>
      </c>
      <c r="C1091" s="4" t="s">
        <v>3</v>
      </c>
      <c r="D1091" s="5" t="s">
        <v>17</v>
      </c>
      <c r="E1091" s="6" t="s">
        <v>1012</v>
      </c>
    </row>
    <row r="1092">
      <c r="A1092" s="10" t="s">
        <v>1084</v>
      </c>
      <c r="B1092" s="3" t="s">
        <v>1085</v>
      </c>
      <c r="C1092" s="4" t="s">
        <v>8</v>
      </c>
      <c r="D1092" s="5" t="s">
        <v>120</v>
      </c>
      <c r="E1092" s="6" t="s">
        <v>1093</v>
      </c>
    </row>
    <row r="1093">
      <c r="A1093" s="10" t="s">
        <v>1084</v>
      </c>
      <c r="B1093" s="3" t="s">
        <v>1085</v>
      </c>
      <c r="C1093" s="4" t="s">
        <v>8</v>
      </c>
      <c r="D1093" s="5" t="s">
        <v>28</v>
      </c>
      <c r="E1093" s="6" t="s">
        <v>345</v>
      </c>
    </row>
    <row r="1094" hidden="1">
      <c r="A1094" s="10" t="s">
        <v>1084</v>
      </c>
      <c r="B1094" s="3" t="s">
        <v>1085</v>
      </c>
      <c r="C1094" s="4" t="s">
        <v>3</v>
      </c>
      <c r="D1094" s="5" t="s">
        <v>39</v>
      </c>
      <c r="E1094" s="6" t="s">
        <v>1094</v>
      </c>
    </row>
    <row r="1095">
      <c r="A1095" s="10" t="s">
        <v>1084</v>
      </c>
      <c r="B1095" s="3" t="s">
        <v>1085</v>
      </c>
      <c r="C1095" s="4" t="s">
        <v>8</v>
      </c>
      <c r="D1095" s="5" t="s">
        <v>15</v>
      </c>
      <c r="E1095" s="6" t="s">
        <v>733</v>
      </c>
    </row>
    <row r="1096">
      <c r="A1096" s="10" t="s">
        <v>1084</v>
      </c>
      <c r="B1096" s="3" t="s">
        <v>1085</v>
      </c>
      <c r="C1096" s="4" t="s">
        <v>8</v>
      </c>
      <c r="D1096" s="5" t="s">
        <v>35</v>
      </c>
      <c r="E1096" s="6" t="s">
        <v>1095</v>
      </c>
    </row>
    <row r="1097">
      <c r="A1097" s="10" t="s">
        <v>1084</v>
      </c>
      <c r="B1097" s="3" t="s">
        <v>1085</v>
      </c>
      <c r="C1097" s="4" t="s">
        <v>8</v>
      </c>
      <c r="D1097" s="5" t="s">
        <v>23</v>
      </c>
      <c r="E1097" s="6" t="s">
        <v>1096</v>
      </c>
    </row>
    <row r="1098">
      <c r="A1098" s="10" t="s">
        <v>1084</v>
      </c>
      <c r="B1098" s="3" t="s">
        <v>1085</v>
      </c>
      <c r="C1098" s="4" t="s">
        <v>8</v>
      </c>
      <c r="D1098" s="5" t="s">
        <v>15</v>
      </c>
      <c r="E1098" s="6" t="s">
        <v>1097</v>
      </c>
    </row>
    <row r="1099" hidden="1">
      <c r="A1099" s="10" t="s">
        <v>1084</v>
      </c>
      <c r="B1099" s="3" t="s">
        <v>1085</v>
      </c>
      <c r="C1099" s="4" t="s">
        <v>3</v>
      </c>
      <c r="D1099" s="5" t="s">
        <v>19</v>
      </c>
      <c r="E1099" s="6" t="s">
        <v>1098</v>
      </c>
    </row>
    <row r="1100">
      <c r="A1100" s="10" t="s">
        <v>1084</v>
      </c>
      <c r="B1100" s="3" t="s">
        <v>1085</v>
      </c>
      <c r="C1100" s="4" t="s">
        <v>8</v>
      </c>
      <c r="D1100" s="5" t="s">
        <v>4</v>
      </c>
      <c r="E1100" s="6" t="s">
        <v>1099</v>
      </c>
    </row>
    <row r="1101" hidden="1">
      <c r="A1101" s="10" t="s">
        <v>1100</v>
      </c>
      <c r="B1101" s="3" t="s">
        <v>1101</v>
      </c>
      <c r="C1101" s="4" t="s">
        <v>3</v>
      </c>
      <c r="D1101" s="5" t="s">
        <v>96</v>
      </c>
      <c r="E1101" s="6" t="s">
        <v>1102</v>
      </c>
    </row>
    <row r="1102" hidden="1">
      <c r="A1102" s="10" t="s">
        <v>1100</v>
      </c>
      <c r="B1102" s="3" t="s">
        <v>1101</v>
      </c>
      <c r="C1102" s="4" t="s">
        <v>3</v>
      </c>
      <c r="D1102" s="5" t="s">
        <v>13</v>
      </c>
      <c r="E1102" s="6" t="s">
        <v>1103</v>
      </c>
    </row>
    <row r="1103">
      <c r="A1103" s="10" t="s">
        <v>1100</v>
      </c>
      <c r="B1103" s="3" t="s">
        <v>1101</v>
      </c>
      <c r="C1103" s="4" t="s">
        <v>8</v>
      </c>
      <c r="D1103" s="5" t="s">
        <v>13</v>
      </c>
      <c r="E1103" s="6" t="s">
        <v>1104</v>
      </c>
    </row>
    <row r="1104" hidden="1">
      <c r="A1104" s="10" t="s">
        <v>1100</v>
      </c>
      <c r="B1104" s="3" t="s">
        <v>1101</v>
      </c>
      <c r="C1104" s="4" t="s">
        <v>3</v>
      </c>
      <c r="D1104" s="5" t="s">
        <v>4</v>
      </c>
      <c r="E1104" s="6" t="s">
        <v>1105</v>
      </c>
    </row>
    <row r="1105">
      <c r="A1105" s="10" t="s">
        <v>1100</v>
      </c>
      <c r="B1105" s="3" t="s">
        <v>1101</v>
      </c>
      <c r="C1105" s="4" t="s">
        <v>8</v>
      </c>
      <c r="D1105" s="5" t="s">
        <v>35</v>
      </c>
      <c r="E1105" s="6" t="s">
        <v>1106</v>
      </c>
    </row>
    <row r="1106" hidden="1">
      <c r="A1106" s="10" t="s">
        <v>1100</v>
      </c>
      <c r="B1106" s="3" t="s">
        <v>1101</v>
      </c>
      <c r="C1106" s="4" t="s">
        <v>3</v>
      </c>
      <c r="D1106" s="5" t="s">
        <v>120</v>
      </c>
      <c r="E1106" s="6" t="s">
        <v>1107</v>
      </c>
    </row>
    <row r="1107">
      <c r="A1107" s="10" t="s">
        <v>1100</v>
      </c>
      <c r="B1107" s="3" t="s">
        <v>1101</v>
      </c>
      <c r="C1107" s="4" t="s">
        <v>8</v>
      </c>
      <c r="D1107" s="5" t="s">
        <v>45</v>
      </c>
      <c r="E1107" s="6" t="s">
        <v>1108</v>
      </c>
    </row>
    <row r="1108">
      <c r="A1108" s="10" t="s">
        <v>1100</v>
      </c>
      <c r="B1108" s="3" t="s">
        <v>1101</v>
      </c>
      <c r="C1108" s="4" t="s">
        <v>8</v>
      </c>
      <c r="D1108" s="5" t="s">
        <v>15</v>
      </c>
      <c r="E1108" s="6" t="s">
        <v>1109</v>
      </c>
    </row>
    <row r="1109" hidden="1">
      <c r="A1109" s="10" t="s">
        <v>1100</v>
      </c>
      <c r="B1109" s="3" t="s">
        <v>1101</v>
      </c>
      <c r="C1109" s="4" t="s">
        <v>3</v>
      </c>
      <c r="D1109" s="5" t="s">
        <v>120</v>
      </c>
      <c r="E1109" s="6" t="s">
        <v>861</v>
      </c>
    </row>
    <row r="1110">
      <c r="A1110" s="10" t="s">
        <v>1100</v>
      </c>
      <c r="B1110" s="3" t="s">
        <v>1101</v>
      </c>
      <c r="C1110" s="4" t="s">
        <v>8</v>
      </c>
      <c r="D1110" s="5" t="s">
        <v>21</v>
      </c>
      <c r="E1110" s="6" t="s">
        <v>647</v>
      </c>
    </row>
    <row r="1111">
      <c r="A1111" s="10" t="s">
        <v>1100</v>
      </c>
      <c r="B1111" s="3" t="s">
        <v>1101</v>
      </c>
      <c r="C1111" s="4" t="s">
        <v>8</v>
      </c>
      <c r="D1111" s="5" t="s">
        <v>21</v>
      </c>
      <c r="E1111" s="6" t="s">
        <v>1110</v>
      </c>
    </row>
    <row r="1112" hidden="1">
      <c r="A1112" s="10" t="s">
        <v>1100</v>
      </c>
      <c r="B1112" s="3" t="s">
        <v>1101</v>
      </c>
      <c r="C1112" s="4" t="s">
        <v>3</v>
      </c>
      <c r="D1112" s="5" t="s">
        <v>21</v>
      </c>
      <c r="E1112" s="6" t="s">
        <v>1111</v>
      </c>
    </row>
    <row r="1113">
      <c r="A1113" s="10" t="s">
        <v>1100</v>
      </c>
      <c r="B1113" s="3" t="s">
        <v>1101</v>
      </c>
      <c r="C1113" s="4" t="s">
        <v>8</v>
      </c>
      <c r="D1113" s="5" t="s">
        <v>9</v>
      </c>
      <c r="E1113" s="6" t="s">
        <v>768</v>
      </c>
    </row>
    <row r="1114">
      <c r="A1114" s="10" t="s">
        <v>1100</v>
      </c>
      <c r="B1114" s="3" t="s">
        <v>1101</v>
      </c>
      <c r="C1114" s="4" t="s">
        <v>8</v>
      </c>
      <c r="D1114" s="5" t="s">
        <v>45</v>
      </c>
      <c r="E1114" s="6" t="s">
        <v>1112</v>
      </c>
    </row>
    <row r="1115" hidden="1">
      <c r="A1115" s="10" t="s">
        <v>1100</v>
      </c>
      <c r="B1115" s="3" t="s">
        <v>1101</v>
      </c>
      <c r="C1115" s="4" t="s">
        <v>3</v>
      </c>
      <c r="D1115" s="5" t="s">
        <v>17</v>
      </c>
      <c r="E1115" s="6" t="s">
        <v>1113</v>
      </c>
    </row>
    <row r="1116" hidden="1">
      <c r="A1116" s="10" t="s">
        <v>1100</v>
      </c>
      <c r="B1116" s="3" t="s">
        <v>1101</v>
      </c>
      <c r="C1116" s="4" t="s">
        <v>3</v>
      </c>
      <c r="D1116" s="5" t="s">
        <v>13</v>
      </c>
      <c r="E1116" s="6" t="s">
        <v>234</v>
      </c>
    </row>
    <row r="1117">
      <c r="A1117" s="10" t="s">
        <v>1100</v>
      </c>
      <c r="B1117" s="3" t="s">
        <v>1101</v>
      </c>
      <c r="C1117" s="4" t="s">
        <v>8</v>
      </c>
      <c r="D1117" s="5" t="s">
        <v>76</v>
      </c>
      <c r="E1117" s="6" t="s">
        <v>1114</v>
      </c>
    </row>
    <row r="1118">
      <c r="A1118" s="10" t="s">
        <v>1100</v>
      </c>
      <c r="B1118" s="3" t="s">
        <v>1101</v>
      </c>
      <c r="C1118" s="4" t="s">
        <v>8</v>
      </c>
      <c r="D1118" s="5" t="s">
        <v>39</v>
      </c>
      <c r="E1118" s="6" t="s">
        <v>1036</v>
      </c>
    </row>
    <row r="1119" hidden="1">
      <c r="A1119" s="10" t="s">
        <v>1100</v>
      </c>
      <c r="B1119" s="3" t="s">
        <v>1101</v>
      </c>
      <c r="C1119" s="4" t="s">
        <v>3</v>
      </c>
      <c r="D1119" s="5" t="s">
        <v>45</v>
      </c>
      <c r="E1119" s="6" t="s">
        <v>1115</v>
      </c>
    </row>
    <row r="1120" hidden="1">
      <c r="A1120" s="10" t="s">
        <v>1100</v>
      </c>
      <c r="B1120" s="3" t="s">
        <v>1101</v>
      </c>
      <c r="C1120" s="4" t="s">
        <v>3</v>
      </c>
      <c r="D1120" s="5" t="s">
        <v>76</v>
      </c>
      <c r="E1120" s="6" t="s">
        <v>1116</v>
      </c>
    </row>
    <row r="1121" hidden="1">
      <c r="A1121" s="10" t="s">
        <v>741</v>
      </c>
      <c r="B1121" s="3" t="s">
        <v>1117</v>
      </c>
      <c r="C1121" s="4" t="s">
        <v>3</v>
      </c>
      <c r="D1121" s="5" t="s">
        <v>39</v>
      </c>
      <c r="E1121" s="6" t="s">
        <v>1118</v>
      </c>
    </row>
    <row r="1122" hidden="1">
      <c r="A1122" s="10" t="s">
        <v>741</v>
      </c>
      <c r="B1122" s="3" t="s">
        <v>1117</v>
      </c>
      <c r="C1122" s="4" t="s">
        <v>3</v>
      </c>
      <c r="D1122" s="5" t="s">
        <v>15</v>
      </c>
      <c r="E1122" s="6" t="s">
        <v>1119</v>
      </c>
    </row>
    <row r="1123">
      <c r="A1123" s="10" t="s">
        <v>741</v>
      </c>
      <c r="B1123" s="3" t="s">
        <v>1117</v>
      </c>
      <c r="C1123" s="4" t="s">
        <v>8</v>
      </c>
      <c r="D1123" s="5" t="s">
        <v>51</v>
      </c>
      <c r="E1123" s="6" t="s">
        <v>1120</v>
      </c>
    </row>
    <row r="1124" hidden="1">
      <c r="A1124" s="10" t="s">
        <v>741</v>
      </c>
      <c r="B1124" s="3" t="s">
        <v>1117</v>
      </c>
      <c r="C1124" s="4" t="s">
        <v>3</v>
      </c>
      <c r="D1124" s="5" t="s">
        <v>42</v>
      </c>
      <c r="E1124" s="6" t="s">
        <v>504</v>
      </c>
    </row>
    <row r="1125" hidden="1">
      <c r="A1125" s="10" t="s">
        <v>741</v>
      </c>
      <c r="B1125" s="3" t="s">
        <v>1117</v>
      </c>
      <c r="C1125" s="4" t="s">
        <v>3</v>
      </c>
      <c r="D1125" s="5" t="s">
        <v>15</v>
      </c>
      <c r="E1125" s="6" t="s">
        <v>499</v>
      </c>
    </row>
    <row r="1126">
      <c r="A1126" s="10" t="s">
        <v>741</v>
      </c>
      <c r="B1126" s="3" t="s">
        <v>1117</v>
      </c>
      <c r="C1126" s="4" t="s">
        <v>8</v>
      </c>
      <c r="D1126" s="5" t="s">
        <v>11</v>
      </c>
      <c r="E1126" s="6" t="s">
        <v>70</v>
      </c>
    </row>
    <row r="1127">
      <c r="A1127" s="10" t="s">
        <v>741</v>
      </c>
      <c r="B1127" s="3" t="s">
        <v>1117</v>
      </c>
      <c r="C1127" s="4" t="s">
        <v>8</v>
      </c>
      <c r="D1127" s="5" t="s">
        <v>4</v>
      </c>
      <c r="E1127" s="6" t="s">
        <v>1121</v>
      </c>
    </row>
    <row r="1128" hidden="1">
      <c r="A1128" s="10" t="s">
        <v>741</v>
      </c>
      <c r="B1128" s="3" t="s">
        <v>1117</v>
      </c>
      <c r="C1128" s="4" t="s">
        <v>3</v>
      </c>
      <c r="D1128" s="5" t="s">
        <v>45</v>
      </c>
      <c r="E1128" s="6" t="s">
        <v>1122</v>
      </c>
    </row>
    <row r="1129" hidden="1">
      <c r="A1129" s="10" t="s">
        <v>741</v>
      </c>
      <c r="B1129" s="3" t="s">
        <v>1117</v>
      </c>
      <c r="C1129" s="4" t="s">
        <v>3</v>
      </c>
      <c r="D1129" s="5" t="s">
        <v>42</v>
      </c>
      <c r="E1129" s="6" t="s">
        <v>631</v>
      </c>
    </row>
    <row r="1130">
      <c r="A1130" s="10" t="s">
        <v>741</v>
      </c>
      <c r="B1130" s="3" t="s">
        <v>1117</v>
      </c>
      <c r="C1130" s="4" t="s">
        <v>8</v>
      </c>
      <c r="D1130" s="5" t="s">
        <v>71</v>
      </c>
      <c r="E1130" s="6" t="s">
        <v>815</v>
      </c>
    </row>
    <row r="1131" hidden="1">
      <c r="A1131" s="10" t="s">
        <v>741</v>
      </c>
      <c r="B1131" s="3" t="s">
        <v>1117</v>
      </c>
      <c r="C1131" s="4" t="s">
        <v>3</v>
      </c>
      <c r="D1131" s="5" t="s">
        <v>51</v>
      </c>
      <c r="E1131" s="6" t="s">
        <v>1123</v>
      </c>
    </row>
    <row r="1132">
      <c r="A1132" s="10" t="s">
        <v>741</v>
      </c>
      <c r="B1132" s="3" t="s">
        <v>1117</v>
      </c>
      <c r="C1132" s="4" t="s">
        <v>8</v>
      </c>
      <c r="D1132" s="5" t="s">
        <v>51</v>
      </c>
      <c r="E1132" s="6" t="s">
        <v>1124</v>
      </c>
    </row>
    <row r="1133">
      <c r="A1133" s="10" t="s">
        <v>741</v>
      </c>
      <c r="B1133" s="3" t="s">
        <v>1117</v>
      </c>
      <c r="C1133" s="4" t="s">
        <v>8</v>
      </c>
      <c r="D1133" s="5" t="s">
        <v>17</v>
      </c>
      <c r="E1133" s="6" t="s">
        <v>1125</v>
      </c>
    </row>
    <row r="1134">
      <c r="A1134" s="10" t="s">
        <v>741</v>
      </c>
      <c r="B1134" s="3" t="s">
        <v>1117</v>
      </c>
      <c r="C1134" s="4" t="s">
        <v>8</v>
      </c>
      <c r="D1134" s="5" t="s">
        <v>11</v>
      </c>
      <c r="E1134" s="6" t="s">
        <v>1126</v>
      </c>
    </row>
    <row r="1135">
      <c r="A1135" s="10" t="s">
        <v>741</v>
      </c>
      <c r="B1135" s="3" t="s">
        <v>1117</v>
      </c>
      <c r="C1135" s="4" t="s">
        <v>8</v>
      </c>
      <c r="D1135" s="5" t="s">
        <v>120</v>
      </c>
      <c r="E1135" s="6" t="s">
        <v>1127</v>
      </c>
    </row>
    <row r="1136" hidden="1">
      <c r="A1136" s="10" t="s">
        <v>741</v>
      </c>
      <c r="B1136" s="3" t="s">
        <v>1117</v>
      </c>
      <c r="C1136" s="4" t="s">
        <v>3</v>
      </c>
      <c r="D1136" s="5" t="s">
        <v>21</v>
      </c>
      <c r="E1136" s="6" t="s">
        <v>338</v>
      </c>
    </row>
    <row r="1137">
      <c r="A1137" s="10" t="s">
        <v>741</v>
      </c>
      <c r="B1137" s="3" t="s">
        <v>1117</v>
      </c>
      <c r="C1137" s="4" t="s">
        <v>8</v>
      </c>
      <c r="D1137" s="5" t="s">
        <v>13</v>
      </c>
      <c r="E1137" s="6" t="s">
        <v>1128</v>
      </c>
    </row>
    <row r="1138">
      <c r="A1138" s="10" t="s">
        <v>741</v>
      </c>
      <c r="B1138" s="3" t="s">
        <v>1117</v>
      </c>
      <c r="C1138" s="4" t="s">
        <v>8</v>
      </c>
      <c r="D1138" s="5" t="s">
        <v>19</v>
      </c>
      <c r="E1138" s="6" t="s">
        <v>902</v>
      </c>
    </row>
    <row r="1139" hidden="1">
      <c r="A1139" s="10" t="s">
        <v>741</v>
      </c>
      <c r="B1139" s="3" t="s">
        <v>1117</v>
      </c>
      <c r="C1139" s="4" t="s">
        <v>3</v>
      </c>
      <c r="D1139" s="5" t="s">
        <v>71</v>
      </c>
      <c r="E1139" s="6" t="s">
        <v>1129</v>
      </c>
    </row>
    <row r="1140">
      <c r="A1140" s="10" t="s">
        <v>741</v>
      </c>
      <c r="B1140" s="3" t="s">
        <v>1117</v>
      </c>
      <c r="C1140" s="4" t="s">
        <v>8</v>
      </c>
      <c r="D1140" s="5" t="s">
        <v>6</v>
      </c>
      <c r="E1140" s="6" t="s">
        <v>1130</v>
      </c>
    </row>
    <row r="1141" hidden="1">
      <c r="A1141" s="10" t="s">
        <v>1131</v>
      </c>
      <c r="B1141" s="3" t="s">
        <v>1132</v>
      </c>
      <c r="C1141" s="4" t="s">
        <v>3</v>
      </c>
      <c r="D1141" s="5" t="s">
        <v>4</v>
      </c>
      <c r="E1141" s="6" t="s">
        <v>1133</v>
      </c>
    </row>
    <row r="1142">
      <c r="A1142" s="10" t="s">
        <v>1131</v>
      </c>
      <c r="B1142" s="3" t="s">
        <v>1132</v>
      </c>
      <c r="C1142" s="4" t="s">
        <v>8</v>
      </c>
      <c r="D1142" s="5" t="s">
        <v>9</v>
      </c>
      <c r="E1142" s="6" t="s">
        <v>647</v>
      </c>
    </row>
    <row r="1143">
      <c r="A1143" s="10" t="s">
        <v>1131</v>
      </c>
      <c r="B1143" s="3" t="s">
        <v>1132</v>
      </c>
      <c r="C1143" s="4" t="s">
        <v>8</v>
      </c>
      <c r="D1143" s="5" t="s">
        <v>15</v>
      </c>
      <c r="E1143" s="6" t="s">
        <v>696</v>
      </c>
    </row>
    <row r="1144" hidden="1">
      <c r="A1144" s="10" t="s">
        <v>1131</v>
      </c>
      <c r="B1144" s="3" t="s">
        <v>1132</v>
      </c>
      <c r="C1144" s="4" t="s">
        <v>3</v>
      </c>
      <c r="D1144" s="5" t="s">
        <v>96</v>
      </c>
      <c r="E1144" s="6" t="s">
        <v>1134</v>
      </c>
    </row>
    <row r="1145">
      <c r="A1145" s="10" t="s">
        <v>1131</v>
      </c>
      <c r="B1145" s="3" t="s">
        <v>1132</v>
      </c>
      <c r="C1145" s="4" t="s">
        <v>8</v>
      </c>
      <c r="D1145" s="5" t="s">
        <v>9</v>
      </c>
      <c r="E1145" s="6" t="s">
        <v>1135</v>
      </c>
    </row>
    <row r="1146">
      <c r="A1146" s="10" t="s">
        <v>1131</v>
      </c>
      <c r="B1146" s="3" t="s">
        <v>1132</v>
      </c>
      <c r="C1146" s="4" t="s">
        <v>8</v>
      </c>
      <c r="D1146" s="5" t="s">
        <v>11</v>
      </c>
      <c r="E1146" s="6" t="s">
        <v>1136</v>
      </c>
    </row>
    <row r="1147" hidden="1">
      <c r="A1147" s="10" t="s">
        <v>1131</v>
      </c>
      <c r="B1147" s="3" t="s">
        <v>1132</v>
      </c>
      <c r="C1147" s="4" t="s">
        <v>3</v>
      </c>
      <c r="D1147" s="5" t="s">
        <v>45</v>
      </c>
      <c r="E1147" s="6" t="s">
        <v>1137</v>
      </c>
    </row>
    <row r="1148" hidden="1">
      <c r="A1148" s="10" t="s">
        <v>1131</v>
      </c>
      <c r="B1148" s="3" t="s">
        <v>1132</v>
      </c>
      <c r="C1148" s="4" t="s">
        <v>3</v>
      </c>
      <c r="D1148" s="5" t="s">
        <v>13</v>
      </c>
      <c r="E1148" s="6" t="s">
        <v>1030</v>
      </c>
    </row>
    <row r="1149" hidden="1">
      <c r="A1149" s="10" t="s">
        <v>1131</v>
      </c>
      <c r="B1149" s="3" t="s">
        <v>1132</v>
      </c>
      <c r="C1149" s="4" t="s">
        <v>3</v>
      </c>
      <c r="D1149" s="5" t="s">
        <v>39</v>
      </c>
      <c r="E1149" s="6" t="s">
        <v>1138</v>
      </c>
    </row>
    <row r="1150" hidden="1">
      <c r="A1150" s="10" t="s">
        <v>1131</v>
      </c>
      <c r="B1150" s="3" t="s">
        <v>1132</v>
      </c>
      <c r="C1150" s="4" t="s">
        <v>3</v>
      </c>
      <c r="D1150" s="5" t="s">
        <v>17</v>
      </c>
      <c r="E1150" s="6" t="s">
        <v>1139</v>
      </c>
    </row>
    <row r="1151" hidden="1">
      <c r="A1151" s="10" t="s">
        <v>1131</v>
      </c>
      <c r="B1151" s="3" t="s">
        <v>1132</v>
      </c>
      <c r="C1151" s="4" t="s">
        <v>3</v>
      </c>
      <c r="D1151" s="5" t="s">
        <v>51</v>
      </c>
      <c r="E1151" s="6" t="s">
        <v>1140</v>
      </c>
    </row>
    <row r="1152" hidden="1">
      <c r="A1152" s="10" t="s">
        <v>1131</v>
      </c>
      <c r="B1152" s="3" t="s">
        <v>1132</v>
      </c>
      <c r="C1152" s="4" t="s">
        <v>3</v>
      </c>
      <c r="D1152" s="5" t="s">
        <v>76</v>
      </c>
      <c r="E1152" s="6" t="s">
        <v>1141</v>
      </c>
    </row>
    <row r="1153" hidden="1">
      <c r="A1153" s="10" t="s">
        <v>1131</v>
      </c>
      <c r="B1153" s="3" t="s">
        <v>1132</v>
      </c>
      <c r="C1153" s="4" t="s">
        <v>3</v>
      </c>
      <c r="D1153" s="5" t="s">
        <v>39</v>
      </c>
      <c r="E1153" s="6" t="s">
        <v>1142</v>
      </c>
    </row>
    <row r="1154" hidden="1">
      <c r="A1154" s="10" t="s">
        <v>1131</v>
      </c>
      <c r="B1154" s="3" t="s">
        <v>1132</v>
      </c>
      <c r="C1154" s="4" t="s">
        <v>3</v>
      </c>
      <c r="D1154" s="5" t="s">
        <v>45</v>
      </c>
      <c r="E1154" s="6" t="s">
        <v>1143</v>
      </c>
    </row>
    <row r="1155">
      <c r="A1155" s="10" t="s">
        <v>1131</v>
      </c>
      <c r="B1155" s="3" t="s">
        <v>1132</v>
      </c>
      <c r="C1155" s="4" t="s">
        <v>8</v>
      </c>
      <c r="D1155" s="5" t="s">
        <v>17</v>
      </c>
      <c r="E1155" s="6" t="s">
        <v>1144</v>
      </c>
    </row>
    <row r="1156" hidden="1">
      <c r="A1156" s="10" t="s">
        <v>1131</v>
      </c>
      <c r="B1156" s="3" t="s">
        <v>1132</v>
      </c>
      <c r="C1156" s="4" t="s">
        <v>3</v>
      </c>
      <c r="D1156" s="5" t="s">
        <v>23</v>
      </c>
      <c r="E1156" s="6" t="s">
        <v>1145</v>
      </c>
    </row>
    <row r="1157" hidden="1">
      <c r="A1157" s="10" t="s">
        <v>1131</v>
      </c>
      <c r="B1157" s="3" t="s">
        <v>1132</v>
      </c>
      <c r="C1157" s="4" t="s">
        <v>3</v>
      </c>
      <c r="D1157" s="5" t="s">
        <v>17</v>
      </c>
      <c r="E1157" s="6" t="s">
        <v>1146</v>
      </c>
    </row>
    <row r="1158">
      <c r="A1158" s="10" t="s">
        <v>1131</v>
      </c>
      <c r="B1158" s="3" t="s">
        <v>1132</v>
      </c>
      <c r="C1158" s="4" t="s">
        <v>8</v>
      </c>
      <c r="D1158" s="5" t="s">
        <v>71</v>
      </c>
      <c r="E1158" s="6" t="s">
        <v>1147</v>
      </c>
    </row>
    <row r="1159">
      <c r="A1159" s="10" t="s">
        <v>1131</v>
      </c>
      <c r="B1159" s="3" t="s">
        <v>1132</v>
      </c>
      <c r="C1159" s="4" t="s">
        <v>8</v>
      </c>
      <c r="D1159" s="5" t="s">
        <v>42</v>
      </c>
      <c r="E1159" s="6" t="s">
        <v>1148</v>
      </c>
    </row>
    <row r="1160">
      <c r="A1160" s="10" t="s">
        <v>1131</v>
      </c>
      <c r="B1160" s="3" t="s">
        <v>1132</v>
      </c>
      <c r="C1160" s="4" t="s">
        <v>8</v>
      </c>
      <c r="D1160" s="5" t="s">
        <v>45</v>
      </c>
      <c r="E1160" s="6" t="s">
        <v>1137</v>
      </c>
    </row>
    <row r="1161" hidden="1">
      <c r="A1161" s="10" t="s">
        <v>1149</v>
      </c>
      <c r="B1161" s="3" t="s">
        <v>1150</v>
      </c>
      <c r="C1161" s="4" t="s">
        <v>3</v>
      </c>
      <c r="D1161" s="5" t="s">
        <v>39</v>
      </c>
      <c r="E1161" s="6" t="s">
        <v>1151</v>
      </c>
    </row>
    <row r="1162">
      <c r="A1162" s="10" t="s">
        <v>1149</v>
      </c>
      <c r="B1162" s="3" t="s">
        <v>1150</v>
      </c>
      <c r="C1162" s="4" t="s">
        <v>8</v>
      </c>
      <c r="D1162" s="5" t="s">
        <v>4</v>
      </c>
      <c r="E1162" s="6" t="s">
        <v>1152</v>
      </c>
    </row>
    <row r="1163">
      <c r="A1163" s="10" t="s">
        <v>1149</v>
      </c>
      <c r="B1163" s="3" t="s">
        <v>1150</v>
      </c>
      <c r="C1163" s="4" t="s">
        <v>8</v>
      </c>
      <c r="D1163" s="5" t="s">
        <v>23</v>
      </c>
      <c r="E1163" s="6" t="s">
        <v>1153</v>
      </c>
    </row>
    <row r="1164" hidden="1">
      <c r="A1164" s="10" t="s">
        <v>1149</v>
      </c>
      <c r="B1164" s="3" t="s">
        <v>1150</v>
      </c>
      <c r="C1164" s="4" t="s">
        <v>3</v>
      </c>
      <c r="D1164" s="5" t="s">
        <v>45</v>
      </c>
      <c r="E1164" s="6" t="s">
        <v>1127</v>
      </c>
    </row>
    <row r="1165">
      <c r="A1165" s="10" t="s">
        <v>1149</v>
      </c>
      <c r="B1165" s="3" t="s">
        <v>1150</v>
      </c>
      <c r="C1165" s="4" t="s">
        <v>8</v>
      </c>
      <c r="D1165" s="5" t="s">
        <v>13</v>
      </c>
      <c r="E1165" s="6" t="s">
        <v>1154</v>
      </c>
    </row>
    <row r="1166" hidden="1">
      <c r="A1166" s="10" t="s">
        <v>1149</v>
      </c>
      <c r="B1166" s="3" t="s">
        <v>1150</v>
      </c>
      <c r="C1166" s="4" t="s">
        <v>3</v>
      </c>
      <c r="D1166" s="5" t="s">
        <v>51</v>
      </c>
      <c r="E1166" s="6" t="s">
        <v>1155</v>
      </c>
    </row>
    <row r="1167">
      <c r="A1167" s="10" t="s">
        <v>1149</v>
      </c>
      <c r="B1167" s="3" t="s">
        <v>1150</v>
      </c>
      <c r="C1167" s="4" t="s">
        <v>8</v>
      </c>
      <c r="D1167" s="5" t="s">
        <v>6</v>
      </c>
      <c r="E1167" s="6" t="s">
        <v>1156</v>
      </c>
    </row>
    <row r="1168">
      <c r="A1168" s="10" t="s">
        <v>1149</v>
      </c>
      <c r="B1168" s="3" t="s">
        <v>1150</v>
      </c>
      <c r="C1168" s="4" t="s">
        <v>8</v>
      </c>
      <c r="D1168" s="5" t="s">
        <v>23</v>
      </c>
      <c r="E1168" s="6" t="s">
        <v>1157</v>
      </c>
    </row>
    <row r="1169">
      <c r="A1169" s="10" t="s">
        <v>1149</v>
      </c>
      <c r="B1169" s="3" t="s">
        <v>1150</v>
      </c>
      <c r="C1169" s="4" t="s">
        <v>8</v>
      </c>
      <c r="D1169" s="5" t="s">
        <v>19</v>
      </c>
      <c r="E1169" s="6" t="s">
        <v>1158</v>
      </c>
    </row>
    <row r="1170">
      <c r="A1170" s="10" t="s">
        <v>1149</v>
      </c>
      <c r="B1170" s="3" t="s">
        <v>1150</v>
      </c>
      <c r="C1170" s="4" t="s">
        <v>8</v>
      </c>
      <c r="D1170" s="5" t="s">
        <v>51</v>
      </c>
      <c r="E1170" s="6" t="s">
        <v>1159</v>
      </c>
    </row>
    <row r="1171">
      <c r="A1171" s="10" t="s">
        <v>1149</v>
      </c>
      <c r="B1171" s="3" t="s">
        <v>1150</v>
      </c>
      <c r="C1171" s="4" t="s">
        <v>8</v>
      </c>
      <c r="D1171" s="5" t="s">
        <v>19</v>
      </c>
      <c r="E1171" s="6" t="s">
        <v>202</v>
      </c>
    </row>
    <row r="1172" hidden="1">
      <c r="A1172" s="10" t="s">
        <v>1149</v>
      </c>
      <c r="B1172" s="3" t="s">
        <v>1150</v>
      </c>
      <c r="C1172" s="4" t="s">
        <v>3</v>
      </c>
      <c r="D1172" s="5" t="s">
        <v>21</v>
      </c>
      <c r="E1172" s="6" t="s">
        <v>1160</v>
      </c>
    </row>
    <row r="1173">
      <c r="A1173" s="10" t="s">
        <v>1149</v>
      </c>
      <c r="B1173" s="3" t="s">
        <v>1150</v>
      </c>
      <c r="C1173" s="4" t="s">
        <v>8</v>
      </c>
      <c r="D1173" s="5" t="s">
        <v>6</v>
      </c>
      <c r="E1173" s="6" t="s">
        <v>1161</v>
      </c>
    </row>
    <row r="1174" hidden="1">
      <c r="A1174" s="10" t="s">
        <v>1149</v>
      </c>
      <c r="B1174" s="3" t="s">
        <v>1150</v>
      </c>
      <c r="C1174" s="4" t="s">
        <v>3</v>
      </c>
      <c r="D1174" s="5" t="s">
        <v>51</v>
      </c>
      <c r="E1174" s="6" t="s">
        <v>1162</v>
      </c>
    </row>
    <row r="1175" hidden="1">
      <c r="A1175" s="10" t="s">
        <v>1149</v>
      </c>
      <c r="B1175" s="3" t="s">
        <v>1150</v>
      </c>
      <c r="C1175" s="4" t="s">
        <v>3</v>
      </c>
      <c r="D1175" s="5" t="s">
        <v>11</v>
      </c>
      <c r="E1175" s="6" t="s">
        <v>108</v>
      </c>
    </row>
    <row r="1176" hidden="1">
      <c r="A1176" s="10" t="s">
        <v>1149</v>
      </c>
      <c r="B1176" s="3" t="s">
        <v>1150</v>
      </c>
      <c r="C1176" s="4" t="s">
        <v>3</v>
      </c>
      <c r="D1176" s="5" t="s">
        <v>35</v>
      </c>
      <c r="E1176" s="6" t="s">
        <v>665</v>
      </c>
    </row>
    <row r="1177">
      <c r="A1177" s="10" t="s">
        <v>1149</v>
      </c>
      <c r="B1177" s="3" t="s">
        <v>1150</v>
      </c>
      <c r="C1177" s="4" t="s">
        <v>8</v>
      </c>
      <c r="D1177" s="5" t="s">
        <v>13</v>
      </c>
      <c r="E1177" s="6" t="s">
        <v>1163</v>
      </c>
    </row>
    <row r="1178" hidden="1">
      <c r="A1178" s="10" t="s">
        <v>1149</v>
      </c>
      <c r="B1178" s="3" t="s">
        <v>1150</v>
      </c>
      <c r="C1178" s="4" t="s">
        <v>3</v>
      </c>
      <c r="D1178" s="5" t="s">
        <v>96</v>
      </c>
      <c r="E1178" s="6" t="s">
        <v>1164</v>
      </c>
    </row>
    <row r="1179" hidden="1">
      <c r="A1179" s="10" t="s">
        <v>1149</v>
      </c>
      <c r="B1179" s="3" t="s">
        <v>1150</v>
      </c>
      <c r="C1179" s="4" t="s">
        <v>3</v>
      </c>
      <c r="D1179" s="5" t="s">
        <v>35</v>
      </c>
      <c r="E1179" s="6" t="s">
        <v>1165</v>
      </c>
    </row>
    <row r="1180">
      <c r="A1180" s="10" t="s">
        <v>1149</v>
      </c>
      <c r="B1180" s="3" t="s">
        <v>1150</v>
      </c>
      <c r="C1180" s="4" t="s">
        <v>8</v>
      </c>
      <c r="D1180" s="5" t="s">
        <v>51</v>
      </c>
      <c r="E1180" s="6" t="s">
        <v>1166</v>
      </c>
    </row>
    <row r="1181" hidden="1">
      <c r="A1181" s="10" t="s">
        <v>1167</v>
      </c>
      <c r="B1181" s="3" t="s">
        <v>1168</v>
      </c>
      <c r="C1181" s="4" t="s">
        <v>3</v>
      </c>
      <c r="D1181" s="5" t="s">
        <v>39</v>
      </c>
      <c r="E1181" s="6" t="s">
        <v>1169</v>
      </c>
    </row>
    <row r="1182" hidden="1">
      <c r="A1182" s="10" t="s">
        <v>1167</v>
      </c>
      <c r="B1182" s="3" t="s">
        <v>1168</v>
      </c>
      <c r="C1182" s="4" t="s">
        <v>3</v>
      </c>
      <c r="D1182" s="5" t="s">
        <v>19</v>
      </c>
      <c r="E1182" s="6" t="s">
        <v>161</v>
      </c>
    </row>
    <row r="1183" hidden="1">
      <c r="A1183" s="10" t="s">
        <v>1167</v>
      </c>
      <c r="B1183" s="3" t="s">
        <v>1168</v>
      </c>
      <c r="C1183" s="4" t="s">
        <v>3</v>
      </c>
      <c r="D1183" s="5" t="s">
        <v>96</v>
      </c>
      <c r="E1183" s="6" t="s">
        <v>1170</v>
      </c>
    </row>
    <row r="1184">
      <c r="A1184" s="10" t="s">
        <v>1167</v>
      </c>
      <c r="B1184" s="3" t="s">
        <v>1168</v>
      </c>
      <c r="C1184" s="4" t="s">
        <v>8</v>
      </c>
      <c r="D1184" s="5" t="s">
        <v>35</v>
      </c>
      <c r="E1184" s="6" t="s">
        <v>1171</v>
      </c>
    </row>
    <row r="1185" hidden="1">
      <c r="A1185" s="10" t="s">
        <v>1167</v>
      </c>
      <c r="B1185" s="3" t="s">
        <v>1168</v>
      </c>
      <c r="C1185" s="4" t="s">
        <v>3</v>
      </c>
      <c r="D1185" s="5" t="s">
        <v>13</v>
      </c>
      <c r="E1185" s="6" t="s">
        <v>1089</v>
      </c>
    </row>
    <row r="1186" hidden="1">
      <c r="A1186" s="10" t="s">
        <v>1167</v>
      </c>
      <c r="B1186" s="3" t="s">
        <v>1168</v>
      </c>
      <c r="C1186" s="4" t="s">
        <v>3</v>
      </c>
      <c r="D1186" s="5" t="s">
        <v>13</v>
      </c>
      <c r="E1186" s="6" t="s">
        <v>1172</v>
      </c>
    </row>
    <row r="1187" hidden="1">
      <c r="A1187" s="10" t="s">
        <v>1167</v>
      </c>
      <c r="B1187" s="3" t="s">
        <v>1168</v>
      </c>
      <c r="C1187" s="4" t="s">
        <v>3</v>
      </c>
      <c r="D1187" s="5" t="s">
        <v>23</v>
      </c>
      <c r="E1187" s="6" t="s">
        <v>1173</v>
      </c>
    </row>
    <row r="1188">
      <c r="A1188" s="10" t="s">
        <v>1167</v>
      </c>
      <c r="B1188" s="3" t="s">
        <v>1168</v>
      </c>
      <c r="C1188" s="4" t="s">
        <v>8</v>
      </c>
      <c r="D1188" s="5" t="s">
        <v>42</v>
      </c>
      <c r="E1188" s="6" t="s">
        <v>606</v>
      </c>
    </row>
    <row r="1189" hidden="1">
      <c r="A1189" s="10" t="s">
        <v>1167</v>
      </c>
      <c r="B1189" s="3" t="s">
        <v>1168</v>
      </c>
      <c r="C1189" s="4" t="s">
        <v>3</v>
      </c>
      <c r="D1189" s="5" t="s">
        <v>28</v>
      </c>
      <c r="E1189" s="6" t="s">
        <v>1174</v>
      </c>
    </row>
    <row r="1190">
      <c r="A1190" s="10" t="s">
        <v>1167</v>
      </c>
      <c r="B1190" s="3" t="s">
        <v>1168</v>
      </c>
      <c r="C1190" s="4" t="s">
        <v>8</v>
      </c>
      <c r="D1190" s="5" t="s">
        <v>15</v>
      </c>
      <c r="E1190" s="6" t="s">
        <v>34</v>
      </c>
    </row>
    <row r="1191" hidden="1">
      <c r="A1191" s="10" t="s">
        <v>1167</v>
      </c>
      <c r="B1191" s="3" t="s">
        <v>1168</v>
      </c>
      <c r="C1191" s="4" t="s">
        <v>3</v>
      </c>
      <c r="D1191" s="5" t="s">
        <v>71</v>
      </c>
      <c r="E1191" s="6" t="s">
        <v>1175</v>
      </c>
    </row>
    <row r="1192" hidden="1">
      <c r="A1192" s="10" t="s">
        <v>1167</v>
      </c>
      <c r="B1192" s="3" t="s">
        <v>1168</v>
      </c>
      <c r="C1192" s="4" t="s">
        <v>3</v>
      </c>
      <c r="D1192" s="5" t="s">
        <v>96</v>
      </c>
      <c r="E1192" s="6" t="s">
        <v>892</v>
      </c>
    </row>
    <row r="1193" hidden="1">
      <c r="A1193" s="10" t="s">
        <v>1167</v>
      </c>
      <c r="B1193" s="3" t="s">
        <v>1168</v>
      </c>
      <c r="C1193" s="4" t="s">
        <v>3</v>
      </c>
      <c r="D1193" s="5" t="s">
        <v>15</v>
      </c>
      <c r="E1193" s="6" t="s">
        <v>1176</v>
      </c>
    </row>
    <row r="1194" hidden="1">
      <c r="A1194" s="10" t="s">
        <v>1167</v>
      </c>
      <c r="B1194" s="3" t="s">
        <v>1168</v>
      </c>
      <c r="C1194" s="4" t="s">
        <v>3</v>
      </c>
      <c r="D1194" s="5" t="s">
        <v>42</v>
      </c>
      <c r="E1194" s="6" t="s">
        <v>10</v>
      </c>
    </row>
    <row r="1195">
      <c r="A1195" s="10" t="s">
        <v>1167</v>
      </c>
      <c r="B1195" s="3" t="s">
        <v>1168</v>
      </c>
      <c r="C1195" s="4" t="s">
        <v>8</v>
      </c>
      <c r="D1195" s="5" t="s">
        <v>6</v>
      </c>
      <c r="E1195" s="6" t="s">
        <v>1177</v>
      </c>
    </row>
    <row r="1196" hidden="1">
      <c r="A1196" s="10" t="s">
        <v>1167</v>
      </c>
      <c r="B1196" s="3" t="s">
        <v>1168</v>
      </c>
      <c r="C1196" s="4" t="s">
        <v>3</v>
      </c>
      <c r="D1196" s="5" t="s">
        <v>15</v>
      </c>
      <c r="E1196" s="6" t="s">
        <v>1178</v>
      </c>
    </row>
    <row r="1197">
      <c r="A1197" s="10" t="s">
        <v>1167</v>
      </c>
      <c r="B1197" s="3" t="s">
        <v>1168</v>
      </c>
      <c r="C1197" s="4" t="s">
        <v>8</v>
      </c>
      <c r="D1197" s="5" t="s">
        <v>23</v>
      </c>
      <c r="E1197" s="6" t="s">
        <v>1179</v>
      </c>
    </row>
    <row r="1198">
      <c r="A1198" s="10" t="s">
        <v>1167</v>
      </c>
      <c r="B1198" s="3" t="s">
        <v>1168</v>
      </c>
      <c r="C1198" s="4" t="s">
        <v>8</v>
      </c>
      <c r="D1198" s="5" t="s">
        <v>120</v>
      </c>
      <c r="E1198" s="6" t="s">
        <v>1180</v>
      </c>
    </row>
    <row r="1199">
      <c r="A1199" s="10" t="s">
        <v>1167</v>
      </c>
      <c r="B1199" s="3" t="s">
        <v>1168</v>
      </c>
      <c r="C1199" s="4" t="s">
        <v>8</v>
      </c>
      <c r="D1199" s="5" t="s">
        <v>17</v>
      </c>
      <c r="E1199" s="6" t="s">
        <v>975</v>
      </c>
    </row>
    <row r="1200" hidden="1">
      <c r="A1200" s="10" t="s">
        <v>1167</v>
      </c>
      <c r="B1200" s="3" t="s">
        <v>1168</v>
      </c>
      <c r="C1200" s="4" t="s">
        <v>3</v>
      </c>
      <c r="D1200" s="5" t="s">
        <v>15</v>
      </c>
      <c r="E1200" s="6" t="s">
        <v>349</v>
      </c>
    </row>
    <row r="1201">
      <c r="A1201" s="10" t="s">
        <v>1181</v>
      </c>
      <c r="B1201" s="3" t="s">
        <v>1182</v>
      </c>
      <c r="C1201" s="4" t="s">
        <v>8</v>
      </c>
      <c r="D1201" s="5" t="s">
        <v>120</v>
      </c>
      <c r="E1201" s="6" t="s">
        <v>1183</v>
      </c>
    </row>
    <row r="1202">
      <c r="A1202" s="10" t="s">
        <v>1181</v>
      </c>
      <c r="B1202" s="3" t="s">
        <v>1182</v>
      </c>
      <c r="C1202" s="4" t="s">
        <v>8</v>
      </c>
      <c r="D1202" s="5" t="s">
        <v>6</v>
      </c>
      <c r="E1202" s="6" t="s">
        <v>1184</v>
      </c>
    </row>
    <row r="1203" hidden="1">
      <c r="A1203" s="10" t="s">
        <v>1181</v>
      </c>
      <c r="B1203" s="3" t="s">
        <v>1182</v>
      </c>
      <c r="C1203" s="4" t="s">
        <v>3</v>
      </c>
      <c r="D1203" s="5" t="s">
        <v>120</v>
      </c>
      <c r="E1203" s="6" t="s">
        <v>239</v>
      </c>
    </row>
    <row r="1204" hidden="1">
      <c r="A1204" s="10" t="s">
        <v>1181</v>
      </c>
      <c r="B1204" s="3" t="s">
        <v>1182</v>
      </c>
      <c r="C1204" s="4" t="s">
        <v>3</v>
      </c>
      <c r="D1204" s="5" t="s">
        <v>42</v>
      </c>
      <c r="E1204" s="6" t="s">
        <v>1185</v>
      </c>
    </row>
    <row r="1205" hidden="1">
      <c r="A1205" s="10" t="s">
        <v>1181</v>
      </c>
      <c r="B1205" s="3" t="s">
        <v>1182</v>
      </c>
      <c r="C1205" s="4" t="s">
        <v>3</v>
      </c>
      <c r="D1205" s="5" t="s">
        <v>4</v>
      </c>
      <c r="E1205" s="6" t="s">
        <v>1186</v>
      </c>
    </row>
    <row r="1206">
      <c r="A1206" s="10" t="s">
        <v>1181</v>
      </c>
      <c r="B1206" s="3" t="s">
        <v>1182</v>
      </c>
      <c r="C1206" s="4" t="s">
        <v>8</v>
      </c>
      <c r="D1206" s="5" t="s">
        <v>35</v>
      </c>
      <c r="E1206" s="6" t="s">
        <v>1187</v>
      </c>
    </row>
    <row r="1207">
      <c r="A1207" s="10" t="s">
        <v>1181</v>
      </c>
      <c r="B1207" s="3" t="s">
        <v>1182</v>
      </c>
      <c r="C1207" s="4" t="s">
        <v>8</v>
      </c>
      <c r="D1207" s="5" t="s">
        <v>19</v>
      </c>
      <c r="E1207" s="6" t="s">
        <v>1188</v>
      </c>
    </row>
    <row r="1208" hidden="1">
      <c r="A1208" s="10" t="s">
        <v>1181</v>
      </c>
      <c r="B1208" s="3" t="s">
        <v>1182</v>
      </c>
      <c r="C1208" s="4" t="s">
        <v>3</v>
      </c>
      <c r="D1208" s="5" t="s">
        <v>6</v>
      </c>
      <c r="E1208" s="6" t="s">
        <v>1189</v>
      </c>
    </row>
    <row r="1209" hidden="1">
      <c r="A1209" s="10" t="s">
        <v>1181</v>
      </c>
      <c r="B1209" s="3" t="s">
        <v>1182</v>
      </c>
      <c r="C1209" s="4" t="s">
        <v>3</v>
      </c>
      <c r="D1209" s="5" t="s">
        <v>6</v>
      </c>
      <c r="E1209" s="6" t="s">
        <v>1190</v>
      </c>
    </row>
    <row r="1210">
      <c r="A1210" s="10" t="s">
        <v>1181</v>
      </c>
      <c r="B1210" s="3" t="s">
        <v>1182</v>
      </c>
      <c r="C1210" s="4" t="s">
        <v>8</v>
      </c>
      <c r="D1210" s="5" t="s">
        <v>11</v>
      </c>
      <c r="E1210" s="6" t="s">
        <v>1191</v>
      </c>
    </row>
    <row r="1211">
      <c r="A1211" s="10" t="s">
        <v>1181</v>
      </c>
      <c r="B1211" s="3" t="s">
        <v>1182</v>
      </c>
      <c r="C1211" s="4" t="s">
        <v>8</v>
      </c>
      <c r="D1211" s="5" t="s">
        <v>28</v>
      </c>
      <c r="E1211" s="6" t="s">
        <v>1192</v>
      </c>
    </row>
    <row r="1212" hidden="1">
      <c r="A1212" s="10" t="s">
        <v>1181</v>
      </c>
      <c r="B1212" s="3" t="s">
        <v>1182</v>
      </c>
      <c r="C1212" s="4" t="s">
        <v>3</v>
      </c>
      <c r="D1212" s="5" t="s">
        <v>45</v>
      </c>
      <c r="E1212" s="6" t="s">
        <v>1193</v>
      </c>
    </row>
    <row r="1213" hidden="1">
      <c r="A1213" s="10" t="s">
        <v>1181</v>
      </c>
      <c r="B1213" s="3" t="s">
        <v>1182</v>
      </c>
      <c r="C1213" s="4" t="s">
        <v>3</v>
      </c>
      <c r="D1213" s="5" t="s">
        <v>9</v>
      </c>
      <c r="E1213" s="6" t="s">
        <v>107</v>
      </c>
    </row>
    <row r="1214" hidden="1">
      <c r="A1214" s="10" t="s">
        <v>1181</v>
      </c>
      <c r="B1214" s="3" t="s">
        <v>1182</v>
      </c>
      <c r="C1214" s="4" t="s">
        <v>3</v>
      </c>
      <c r="D1214" s="5" t="s">
        <v>39</v>
      </c>
      <c r="E1214" s="6" t="s">
        <v>1194</v>
      </c>
    </row>
    <row r="1215">
      <c r="A1215" s="10" t="s">
        <v>1181</v>
      </c>
      <c r="B1215" s="3" t="s">
        <v>1182</v>
      </c>
      <c r="C1215" s="4" t="s">
        <v>8</v>
      </c>
      <c r="D1215" s="5" t="s">
        <v>15</v>
      </c>
      <c r="E1215" s="6" t="s">
        <v>1195</v>
      </c>
    </row>
    <row r="1216">
      <c r="A1216" s="10" t="s">
        <v>1181</v>
      </c>
      <c r="B1216" s="3" t="s">
        <v>1182</v>
      </c>
      <c r="C1216" s="4" t="s">
        <v>8</v>
      </c>
      <c r="D1216" s="5" t="s">
        <v>17</v>
      </c>
      <c r="E1216" s="6" t="s">
        <v>1196</v>
      </c>
    </row>
    <row r="1217">
      <c r="A1217" s="10" t="s">
        <v>1181</v>
      </c>
      <c r="B1217" s="3" t="s">
        <v>1182</v>
      </c>
      <c r="C1217" s="4" t="s">
        <v>8</v>
      </c>
      <c r="D1217" s="5" t="s">
        <v>17</v>
      </c>
      <c r="E1217" s="6" t="s">
        <v>852</v>
      </c>
    </row>
    <row r="1218" hidden="1">
      <c r="A1218" s="10" t="s">
        <v>1181</v>
      </c>
      <c r="B1218" s="3" t="s">
        <v>1182</v>
      </c>
      <c r="C1218" s="4" t="s">
        <v>3</v>
      </c>
      <c r="D1218" s="5" t="s">
        <v>120</v>
      </c>
      <c r="E1218" s="6" t="s">
        <v>1197</v>
      </c>
    </row>
    <row r="1219" hidden="1">
      <c r="A1219" s="10" t="s">
        <v>1181</v>
      </c>
      <c r="B1219" s="3" t="s">
        <v>1182</v>
      </c>
      <c r="C1219" s="4" t="s">
        <v>3</v>
      </c>
      <c r="D1219" s="5" t="s">
        <v>42</v>
      </c>
      <c r="E1219" s="6" t="s">
        <v>606</v>
      </c>
    </row>
    <row r="1220" hidden="1">
      <c r="A1220" s="10" t="s">
        <v>1181</v>
      </c>
      <c r="B1220" s="3" t="s">
        <v>1182</v>
      </c>
      <c r="C1220" s="4" t="s">
        <v>3</v>
      </c>
      <c r="D1220" s="5" t="s">
        <v>76</v>
      </c>
      <c r="E1220" s="6" t="s">
        <v>1153</v>
      </c>
    </row>
    <row r="1221">
      <c r="A1221" s="10" t="s">
        <v>1198</v>
      </c>
      <c r="B1221" s="3" t="s">
        <v>1199</v>
      </c>
      <c r="C1221" s="4" t="s">
        <v>8</v>
      </c>
      <c r="D1221" s="5" t="s">
        <v>17</v>
      </c>
      <c r="E1221" s="6" t="s">
        <v>343</v>
      </c>
    </row>
    <row r="1222">
      <c r="A1222" s="10" t="s">
        <v>1198</v>
      </c>
      <c r="B1222" s="3" t="s">
        <v>1199</v>
      </c>
      <c r="C1222" s="4" t="s">
        <v>8</v>
      </c>
      <c r="D1222" s="5" t="s">
        <v>42</v>
      </c>
      <c r="E1222" s="6" t="s">
        <v>842</v>
      </c>
    </row>
    <row r="1223" hidden="1">
      <c r="A1223" s="10" t="s">
        <v>1198</v>
      </c>
      <c r="B1223" s="3" t="s">
        <v>1199</v>
      </c>
      <c r="C1223" s="4" t="s">
        <v>3</v>
      </c>
      <c r="D1223" s="5" t="s">
        <v>13</v>
      </c>
      <c r="E1223" s="6" t="s">
        <v>1200</v>
      </c>
    </row>
    <row r="1224" hidden="1">
      <c r="A1224" s="10" t="s">
        <v>1198</v>
      </c>
      <c r="B1224" s="3" t="s">
        <v>1199</v>
      </c>
      <c r="C1224" s="4" t="s">
        <v>3</v>
      </c>
      <c r="D1224" s="5" t="s">
        <v>76</v>
      </c>
      <c r="E1224" s="6" t="s">
        <v>1201</v>
      </c>
    </row>
    <row r="1225">
      <c r="A1225" s="10" t="s">
        <v>1198</v>
      </c>
      <c r="B1225" s="3" t="s">
        <v>1199</v>
      </c>
      <c r="C1225" s="4" t="s">
        <v>8</v>
      </c>
      <c r="D1225" s="5" t="s">
        <v>23</v>
      </c>
      <c r="E1225" s="6" t="s">
        <v>1202</v>
      </c>
    </row>
    <row r="1226">
      <c r="A1226" s="10" t="s">
        <v>1198</v>
      </c>
      <c r="B1226" s="3" t="s">
        <v>1199</v>
      </c>
      <c r="C1226" s="4" t="s">
        <v>8</v>
      </c>
      <c r="D1226" s="5" t="s">
        <v>6</v>
      </c>
      <c r="E1226" s="6" t="s">
        <v>1203</v>
      </c>
    </row>
    <row r="1227" hidden="1">
      <c r="A1227" s="10" t="s">
        <v>1198</v>
      </c>
      <c r="B1227" s="3" t="s">
        <v>1199</v>
      </c>
      <c r="C1227" s="4" t="s">
        <v>3</v>
      </c>
      <c r="D1227" s="5" t="s">
        <v>35</v>
      </c>
      <c r="E1227" s="6" t="s">
        <v>1204</v>
      </c>
    </row>
    <row r="1228">
      <c r="A1228" s="10" t="s">
        <v>1198</v>
      </c>
      <c r="B1228" s="3" t="s">
        <v>1199</v>
      </c>
      <c r="C1228" s="4" t="s">
        <v>8</v>
      </c>
      <c r="D1228" s="5" t="s">
        <v>51</v>
      </c>
      <c r="E1228" s="6" t="s">
        <v>1205</v>
      </c>
    </row>
    <row r="1229" hidden="1">
      <c r="A1229" s="10" t="s">
        <v>1198</v>
      </c>
      <c r="B1229" s="3" t="s">
        <v>1199</v>
      </c>
      <c r="C1229" s="4" t="s">
        <v>3</v>
      </c>
      <c r="D1229" s="5" t="s">
        <v>71</v>
      </c>
      <c r="E1229" s="6" t="s">
        <v>1206</v>
      </c>
    </row>
    <row r="1230">
      <c r="A1230" s="10" t="s">
        <v>1198</v>
      </c>
      <c r="B1230" s="3" t="s">
        <v>1199</v>
      </c>
      <c r="C1230" s="4" t="s">
        <v>8</v>
      </c>
      <c r="D1230" s="5" t="s">
        <v>42</v>
      </c>
      <c r="E1230" s="6" t="s">
        <v>1207</v>
      </c>
    </row>
    <row r="1231">
      <c r="A1231" s="10" t="s">
        <v>1198</v>
      </c>
      <c r="B1231" s="3" t="s">
        <v>1199</v>
      </c>
      <c r="C1231" s="4" t="s">
        <v>8</v>
      </c>
      <c r="D1231" s="5" t="s">
        <v>15</v>
      </c>
      <c r="E1231" s="6" t="s">
        <v>452</v>
      </c>
    </row>
    <row r="1232" hidden="1">
      <c r="A1232" s="10" t="s">
        <v>1198</v>
      </c>
      <c r="B1232" s="3" t="s">
        <v>1199</v>
      </c>
      <c r="C1232" s="4" t="s">
        <v>3</v>
      </c>
      <c r="D1232" s="5" t="s">
        <v>13</v>
      </c>
      <c r="E1232" s="6" t="s">
        <v>1208</v>
      </c>
    </row>
    <row r="1233" hidden="1">
      <c r="A1233" s="10" t="s">
        <v>1198</v>
      </c>
      <c r="B1233" s="3" t="s">
        <v>1199</v>
      </c>
      <c r="C1233" s="4" t="s">
        <v>3</v>
      </c>
      <c r="D1233" s="5" t="s">
        <v>17</v>
      </c>
      <c r="E1233" s="6" t="s">
        <v>878</v>
      </c>
    </row>
    <row r="1234" hidden="1">
      <c r="A1234" s="10" t="s">
        <v>1198</v>
      </c>
      <c r="B1234" s="3" t="s">
        <v>1199</v>
      </c>
      <c r="C1234" s="4" t="s">
        <v>3</v>
      </c>
      <c r="D1234" s="5" t="s">
        <v>35</v>
      </c>
      <c r="E1234" s="6" t="s">
        <v>1209</v>
      </c>
    </row>
    <row r="1235" hidden="1">
      <c r="A1235" s="10" t="s">
        <v>1198</v>
      </c>
      <c r="B1235" s="3" t="s">
        <v>1199</v>
      </c>
      <c r="C1235" s="4" t="s">
        <v>3</v>
      </c>
      <c r="D1235" s="5" t="s">
        <v>19</v>
      </c>
      <c r="E1235" s="6" t="s">
        <v>1210</v>
      </c>
    </row>
    <row r="1236">
      <c r="A1236" s="10" t="s">
        <v>1198</v>
      </c>
      <c r="B1236" s="3" t="s">
        <v>1199</v>
      </c>
      <c r="C1236" s="4" t="s">
        <v>8</v>
      </c>
      <c r="D1236" s="5" t="s">
        <v>120</v>
      </c>
      <c r="E1236" s="6" t="s">
        <v>1211</v>
      </c>
    </row>
    <row r="1237">
      <c r="A1237" s="10" t="s">
        <v>1198</v>
      </c>
      <c r="B1237" s="3" t="s">
        <v>1199</v>
      </c>
      <c r="C1237" s="4" t="s">
        <v>8</v>
      </c>
      <c r="D1237" s="5" t="s">
        <v>9</v>
      </c>
      <c r="E1237" s="6" t="s">
        <v>552</v>
      </c>
    </row>
    <row r="1238" hidden="1">
      <c r="A1238" s="10" t="s">
        <v>1198</v>
      </c>
      <c r="B1238" s="3" t="s">
        <v>1199</v>
      </c>
      <c r="C1238" s="4" t="s">
        <v>3</v>
      </c>
      <c r="D1238" s="5" t="s">
        <v>9</v>
      </c>
      <c r="E1238" s="6" t="s">
        <v>916</v>
      </c>
    </row>
    <row r="1239">
      <c r="A1239" s="10" t="s">
        <v>1198</v>
      </c>
      <c r="B1239" s="3" t="s">
        <v>1199</v>
      </c>
      <c r="C1239" s="4" t="s">
        <v>8</v>
      </c>
      <c r="D1239" s="5" t="s">
        <v>42</v>
      </c>
      <c r="E1239" s="6" t="s">
        <v>1207</v>
      </c>
    </row>
    <row r="1240">
      <c r="A1240" s="10" t="s">
        <v>1198</v>
      </c>
      <c r="B1240" s="3" t="s">
        <v>1199</v>
      </c>
      <c r="C1240" s="4" t="s">
        <v>8</v>
      </c>
      <c r="D1240" s="5" t="s">
        <v>11</v>
      </c>
      <c r="E1240" s="6" t="s">
        <v>1212</v>
      </c>
    </row>
    <row r="1241" hidden="1">
      <c r="A1241" s="10" t="s">
        <v>1213</v>
      </c>
      <c r="B1241" s="3" t="s">
        <v>1214</v>
      </c>
      <c r="C1241" s="4" t="s">
        <v>3</v>
      </c>
      <c r="D1241" s="5" t="s">
        <v>35</v>
      </c>
      <c r="E1241" s="6" t="s">
        <v>1215</v>
      </c>
    </row>
    <row r="1242">
      <c r="A1242" s="10" t="s">
        <v>1213</v>
      </c>
      <c r="B1242" s="3" t="s">
        <v>1214</v>
      </c>
      <c r="C1242" s="4" t="s">
        <v>8</v>
      </c>
      <c r="D1242" s="5" t="s">
        <v>15</v>
      </c>
      <c r="E1242" s="6" t="s">
        <v>202</v>
      </c>
    </row>
    <row r="1243" hidden="1">
      <c r="A1243" s="10" t="s">
        <v>1213</v>
      </c>
      <c r="B1243" s="3" t="s">
        <v>1214</v>
      </c>
      <c r="C1243" s="4" t="s">
        <v>3</v>
      </c>
      <c r="D1243" s="5" t="s">
        <v>120</v>
      </c>
      <c r="E1243" s="6" t="s">
        <v>1216</v>
      </c>
    </row>
    <row r="1244">
      <c r="A1244" s="10" t="s">
        <v>1213</v>
      </c>
      <c r="B1244" s="3" t="s">
        <v>1214</v>
      </c>
      <c r="C1244" s="4" t="s">
        <v>8</v>
      </c>
      <c r="D1244" s="5" t="s">
        <v>96</v>
      </c>
      <c r="E1244" s="6" t="s">
        <v>1217</v>
      </c>
    </row>
    <row r="1245">
      <c r="A1245" s="10" t="s">
        <v>1213</v>
      </c>
      <c r="B1245" s="3" t="s">
        <v>1214</v>
      </c>
      <c r="C1245" s="4" t="s">
        <v>8</v>
      </c>
      <c r="D1245" s="5" t="s">
        <v>15</v>
      </c>
      <c r="E1245" s="6" t="s">
        <v>609</v>
      </c>
    </row>
    <row r="1246">
      <c r="A1246" s="10" t="s">
        <v>1213</v>
      </c>
      <c r="B1246" s="3" t="s">
        <v>1214</v>
      </c>
      <c r="C1246" s="4" t="s">
        <v>8</v>
      </c>
      <c r="D1246" s="5" t="s">
        <v>15</v>
      </c>
      <c r="E1246" s="6" t="s">
        <v>1218</v>
      </c>
    </row>
    <row r="1247">
      <c r="A1247" s="10" t="s">
        <v>1213</v>
      </c>
      <c r="B1247" s="3" t="s">
        <v>1214</v>
      </c>
      <c r="C1247" s="4" t="s">
        <v>8</v>
      </c>
      <c r="D1247" s="5" t="s">
        <v>23</v>
      </c>
      <c r="E1247" s="6" t="s">
        <v>1219</v>
      </c>
    </row>
    <row r="1248" hidden="1">
      <c r="A1248" s="10" t="s">
        <v>1213</v>
      </c>
      <c r="B1248" s="3" t="s">
        <v>1214</v>
      </c>
      <c r="C1248" s="4" t="s">
        <v>3</v>
      </c>
      <c r="D1248" s="5" t="s">
        <v>17</v>
      </c>
      <c r="E1248" s="6" t="s">
        <v>1220</v>
      </c>
    </row>
    <row r="1249" hidden="1">
      <c r="A1249" s="10" t="s">
        <v>1213</v>
      </c>
      <c r="B1249" s="3" t="s">
        <v>1214</v>
      </c>
      <c r="C1249" s="4" t="s">
        <v>3</v>
      </c>
      <c r="D1249" s="5" t="s">
        <v>45</v>
      </c>
      <c r="E1249" s="6" t="s">
        <v>1221</v>
      </c>
    </row>
    <row r="1250" hidden="1">
      <c r="A1250" s="10" t="s">
        <v>1213</v>
      </c>
      <c r="B1250" s="3" t="s">
        <v>1214</v>
      </c>
      <c r="C1250" s="4" t="s">
        <v>3</v>
      </c>
      <c r="D1250" s="5" t="s">
        <v>45</v>
      </c>
      <c r="E1250" s="6" t="s">
        <v>1222</v>
      </c>
    </row>
    <row r="1251" hidden="1">
      <c r="A1251" s="10" t="s">
        <v>1213</v>
      </c>
      <c r="B1251" s="3" t="s">
        <v>1214</v>
      </c>
      <c r="C1251" s="4" t="s">
        <v>3</v>
      </c>
      <c r="D1251" s="5" t="s">
        <v>76</v>
      </c>
      <c r="E1251" s="6" t="s">
        <v>618</v>
      </c>
    </row>
    <row r="1252">
      <c r="A1252" s="10" t="s">
        <v>1213</v>
      </c>
      <c r="B1252" s="3" t="s">
        <v>1214</v>
      </c>
      <c r="C1252" s="4" t="s">
        <v>8</v>
      </c>
      <c r="D1252" s="5" t="s">
        <v>28</v>
      </c>
      <c r="E1252" s="6" t="s">
        <v>1223</v>
      </c>
    </row>
    <row r="1253" hidden="1">
      <c r="A1253" s="10" t="s">
        <v>1213</v>
      </c>
      <c r="B1253" s="3" t="s">
        <v>1214</v>
      </c>
      <c r="C1253" s="4" t="s">
        <v>3</v>
      </c>
      <c r="D1253" s="5" t="s">
        <v>13</v>
      </c>
      <c r="E1253" s="6" t="s">
        <v>654</v>
      </c>
    </row>
    <row r="1254">
      <c r="A1254" s="10" t="s">
        <v>1213</v>
      </c>
      <c r="B1254" s="3" t="s">
        <v>1214</v>
      </c>
      <c r="C1254" s="4" t="s">
        <v>8</v>
      </c>
      <c r="D1254" s="5" t="s">
        <v>71</v>
      </c>
      <c r="E1254" s="6" t="s">
        <v>1224</v>
      </c>
    </row>
    <row r="1255">
      <c r="A1255" s="10" t="s">
        <v>1213</v>
      </c>
      <c r="B1255" s="3" t="s">
        <v>1214</v>
      </c>
      <c r="C1255" s="4" t="s">
        <v>8</v>
      </c>
      <c r="D1255" s="5" t="s">
        <v>13</v>
      </c>
      <c r="E1255" s="6" t="s">
        <v>1225</v>
      </c>
    </row>
    <row r="1256">
      <c r="A1256" s="10" t="s">
        <v>1213</v>
      </c>
      <c r="B1256" s="3" t="s">
        <v>1214</v>
      </c>
      <c r="C1256" s="4" t="s">
        <v>8</v>
      </c>
      <c r="D1256" s="5" t="s">
        <v>39</v>
      </c>
      <c r="E1256" s="6" t="s">
        <v>914</v>
      </c>
    </row>
    <row r="1257">
      <c r="A1257" s="10" t="s">
        <v>1213</v>
      </c>
      <c r="B1257" s="3" t="s">
        <v>1214</v>
      </c>
      <c r="C1257" s="4" t="s">
        <v>8</v>
      </c>
      <c r="D1257" s="5" t="s">
        <v>17</v>
      </c>
      <c r="E1257" s="6" t="s">
        <v>1226</v>
      </c>
    </row>
    <row r="1258">
      <c r="A1258" s="10" t="s">
        <v>1213</v>
      </c>
      <c r="B1258" s="3" t="s">
        <v>1214</v>
      </c>
      <c r="C1258" s="4" t="s">
        <v>8</v>
      </c>
      <c r="D1258" s="5" t="s">
        <v>15</v>
      </c>
      <c r="E1258" s="6" t="s">
        <v>452</v>
      </c>
    </row>
    <row r="1259">
      <c r="A1259" s="10" t="s">
        <v>1213</v>
      </c>
      <c r="B1259" s="3" t="s">
        <v>1214</v>
      </c>
      <c r="C1259" s="4" t="s">
        <v>8</v>
      </c>
      <c r="D1259" s="5" t="s">
        <v>15</v>
      </c>
      <c r="E1259" s="6" t="s">
        <v>396</v>
      </c>
    </row>
    <row r="1260">
      <c r="A1260" s="10" t="s">
        <v>1213</v>
      </c>
      <c r="B1260" s="3" t="s">
        <v>1214</v>
      </c>
      <c r="C1260" s="4" t="s">
        <v>8</v>
      </c>
      <c r="D1260" s="5" t="s">
        <v>23</v>
      </c>
      <c r="E1260" s="6" t="s">
        <v>1227</v>
      </c>
    </row>
    <row r="1261" hidden="1">
      <c r="A1261" s="10" t="s">
        <v>1228</v>
      </c>
      <c r="B1261" s="3" t="s">
        <v>1229</v>
      </c>
      <c r="C1261" s="4" t="s">
        <v>3</v>
      </c>
      <c r="D1261" s="5" t="s">
        <v>19</v>
      </c>
      <c r="E1261" s="6" t="s">
        <v>1174</v>
      </c>
    </row>
    <row r="1262">
      <c r="A1262" s="10" t="s">
        <v>1228</v>
      </c>
      <c r="B1262" s="3" t="s">
        <v>1229</v>
      </c>
      <c r="C1262" s="4" t="s">
        <v>8</v>
      </c>
      <c r="D1262" s="5" t="s">
        <v>9</v>
      </c>
      <c r="E1262" s="6" t="s">
        <v>1230</v>
      </c>
    </row>
    <row r="1263">
      <c r="A1263" s="10" t="s">
        <v>1228</v>
      </c>
      <c r="B1263" s="3" t="s">
        <v>1229</v>
      </c>
      <c r="C1263" s="4" t="s">
        <v>8</v>
      </c>
      <c r="D1263" s="5" t="s">
        <v>96</v>
      </c>
      <c r="E1263" s="6" t="s">
        <v>382</v>
      </c>
    </row>
    <row r="1264">
      <c r="A1264" s="10" t="s">
        <v>1228</v>
      </c>
      <c r="B1264" s="3" t="s">
        <v>1229</v>
      </c>
      <c r="C1264" s="4" t="s">
        <v>8</v>
      </c>
      <c r="D1264" s="5" t="s">
        <v>4</v>
      </c>
      <c r="E1264" s="6" t="s">
        <v>1231</v>
      </c>
    </row>
    <row r="1265">
      <c r="A1265" s="10" t="s">
        <v>1228</v>
      </c>
      <c r="B1265" s="3" t="s">
        <v>1229</v>
      </c>
      <c r="C1265" s="4" t="s">
        <v>8</v>
      </c>
      <c r="D1265" s="5" t="s">
        <v>35</v>
      </c>
      <c r="E1265" s="6" t="s">
        <v>1232</v>
      </c>
    </row>
    <row r="1266" hidden="1">
      <c r="A1266" s="10" t="s">
        <v>1228</v>
      </c>
      <c r="B1266" s="3" t="s">
        <v>1229</v>
      </c>
      <c r="C1266" s="4" t="s">
        <v>3</v>
      </c>
      <c r="D1266" s="5" t="s">
        <v>17</v>
      </c>
      <c r="E1266" s="6" t="s">
        <v>1001</v>
      </c>
    </row>
    <row r="1267" hidden="1">
      <c r="A1267" s="10" t="s">
        <v>1228</v>
      </c>
      <c r="B1267" s="3" t="s">
        <v>1229</v>
      </c>
      <c r="C1267" s="4" t="s">
        <v>3</v>
      </c>
      <c r="D1267" s="5" t="s">
        <v>23</v>
      </c>
      <c r="E1267" s="6" t="s">
        <v>163</v>
      </c>
    </row>
    <row r="1268" hidden="1">
      <c r="A1268" s="10" t="s">
        <v>1228</v>
      </c>
      <c r="B1268" s="3" t="s">
        <v>1229</v>
      </c>
      <c r="C1268" s="4" t="s">
        <v>3</v>
      </c>
      <c r="D1268" s="5" t="s">
        <v>21</v>
      </c>
      <c r="E1268" s="6" t="s">
        <v>58</v>
      </c>
    </row>
    <row r="1269">
      <c r="A1269" s="10" t="s">
        <v>1228</v>
      </c>
      <c r="B1269" s="3" t="s">
        <v>1229</v>
      </c>
      <c r="C1269" s="4" t="s">
        <v>8</v>
      </c>
      <c r="D1269" s="5" t="s">
        <v>13</v>
      </c>
      <c r="E1269" s="6" t="s">
        <v>1233</v>
      </c>
    </row>
    <row r="1270">
      <c r="A1270" s="10" t="s">
        <v>1228</v>
      </c>
      <c r="B1270" s="3" t="s">
        <v>1229</v>
      </c>
      <c r="C1270" s="4" t="s">
        <v>8</v>
      </c>
      <c r="D1270" s="5" t="s">
        <v>96</v>
      </c>
      <c r="E1270" s="6" t="s">
        <v>1234</v>
      </c>
    </row>
    <row r="1271" hidden="1">
      <c r="A1271" s="10" t="s">
        <v>1228</v>
      </c>
      <c r="B1271" s="3" t="s">
        <v>1229</v>
      </c>
      <c r="C1271" s="4" t="s">
        <v>3</v>
      </c>
      <c r="D1271" s="5" t="s">
        <v>96</v>
      </c>
      <c r="E1271" s="6" t="s">
        <v>894</v>
      </c>
    </row>
    <row r="1272">
      <c r="A1272" s="10" t="s">
        <v>1228</v>
      </c>
      <c r="B1272" s="3" t="s">
        <v>1229</v>
      </c>
      <c r="C1272" s="4" t="s">
        <v>8</v>
      </c>
      <c r="D1272" s="5" t="s">
        <v>51</v>
      </c>
      <c r="E1272" s="6" t="s">
        <v>97</v>
      </c>
    </row>
    <row r="1273">
      <c r="A1273" s="10" t="s">
        <v>1228</v>
      </c>
      <c r="B1273" s="3" t="s">
        <v>1229</v>
      </c>
      <c r="C1273" s="4" t="s">
        <v>8</v>
      </c>
      <c r="D1273" s="5" t="s">
        <v>120</v>
      </c>
      <c r="E1273" s="6" t="s">
        <v>1235</v>
      </c>
    </row>
    <row r="1274">
      <c r="A1274" s="10" t="s">
        <v>1228</v>
      </c>
      <c r="B1274" s="3" t="s">
        <v>1229</v>
      </c>
      <c r="C1274" s="4" t="s">
        <v>8</v>
      </c>
      <c r="D1274" s="5" t="s">
        <v>76</v>
      </c>
      <c r="E1274" s="6" t="s">
        <v>1236</v>
      </c>
    </row>
    <row r="1275">
      <c r="A1275" s="10" t="s">
        <v>1228</v>
      </c>
      <c r="B1275" s="3" t="s">
        <v>1229</v>
      </c>
      <c r="C1275" s="4" t="s">
        <v>8</v>
      </c>
      <c r="D1275" s="5" t="s">
        <v>42</v>
      </c>
      <c r="E1275" s="6" t="s">
        <v>196</v>
      </c>
    </row>
    <row r="1276">
      <c r="A1276" s="10" t="s">
        <v>1228</v>
      </c>
      <c r="B1276" s="3" t="s">
        <v>1229</v>
      </c>
      <c r="C1276" s="4" t="s">
        <v>8</v>
      </c>
      <c r="D1276" s="5" t="s">
        <v>51</v>
      </c>
      <c r="E1276" s="6" t="s">
        <v>1237</v>
      </c>
    </row>
    <row r="1277">
      <c r="A1277" s="10" t="s">
        <v>1228</v>
      </c>
      <c r="B1277" s="3" t="s">
        <v>1229</v>
      </c>
      <c r="C1277" s="4" t="s">
        <v>8</v>
      </c>
      <c r="D1277" s="5" t="s">
        <v>15</v>
      </c>
      <c r="E1277" s="6" t="s">
        <v>422</v>
      </c>
    </row>
    <row r="1278" hidden="1">
      <c r="A1278" s="10" t="s">
        <v>1228</v>
      </c>
      <c r="B1278" s="3" t="s">
        <v>1229</v>
      </c>
      <c r="C1278" s="4" t="s">
        <v>3</v>
      </c>
      <c r="D1278" s="5" t="s">
        <v>21</v>
      </c>
      <c r="E1278" s="6" t="s">
        <v>193</v>
      </c>
    </row>
    <row r="1279" hidden="1">
      <c r="A1279" s="10" t="s">
        <v>1228</v>
      </c>
      <c r="B1279" s="3" t="s">
        <v>1229</v>
      </c>
      <c r="C1279" s="4" t="s">
        <v>3</v>
      </c>
      <c r="D1279" s="5" t="s">
        <v>71</v>
      </c>
      <c r="E1279" s="6" t="s">
        <v>1238</v>
      </c>
    </row>
    <row r="1280" hidden="1">
      <c r="A1280" s="10" t="s">
        <v>1228</v>
      </c>
      <c r="B1280" s="3" t="s">
        <v>1229</v>
      </c>
      <c r="C1280" s="4" t="s">
        <v>3</v>
      </c>
      <c r="D1280" s="5" t="s">
        <v>28</v>
      </c>
      <c r="E1280" s="6" t="s">
        <v>1239</v>
      </c>
    </row>
    <row r="1281" hidden="1">
      <c r="A1281" s="10" t="s">
        <v>1240</v>
      </c>
      <c r="B1281" s="3" t="s">
        <v>1241</v>
      </c>
      <c r="C1281" s="4" t="s">
        <v>3</v>
      </c>
      <c r="D1281" s="5" t="s">
        <v>39</v>
      </c>
      <c r="E1281" s="6" t="s">
        <v>1242</v>
      </c>
    </row>
    <row r="1282" hidden="1">
      <c r="A1282" s="10" t="s">
        <v>1240</v>
      </c>
      <c r="B1282" s="3" t="s">
        <v>1241</v>
      </c>
      <c r="C1282" s="4" t="s">
        <v>3</v>
      </c>
      <c r="D1282" s="5" t="s">
        <v>76</v>
      </c>
      <c r="E1282" s="6" t="s">
        <v>1127</v>
      </c>
    </row>
    <row r="1283">
      <c r="A1283" s="10" t="s">
        <v>1240</v>
      </c>
      <c r="B1283" s="3" t="s">
        <v>1241</v>
      </c>
      <c r="C1283" s="4" t="s">
        <v>8</v>
      </c>
      <c r="D1283" s="5" t="s">
        <v>120</v>
      </c>
      <c r="E1283" s="6" t="s">
        <v>1243</v>
      </c>
    </row>
    <row r="1284" hidden="1">
      <c r="A1284" s="10" t="s">
        <v>1240</v>
      </c>
      <c r="B1284" s="3" t="s">
        <v>1241</v>
      </c>
      <c r="C1284" s="4" t="s">
        <v>3</v>
      </c>
      <c r="D1284" s="5" t="s">
        <v>51</v>
      </c>
      <c r="E1284" s="6" t="s">
        <v>1244</v>
      </c>
    </row>
    <row r="1285">
      <c r="A1285" s="10" t="s">
        <v>1240</v>
      </c>
      <c r="B1285" s="3" t="s">
        <v>1241</v>
      </c>
      <c r="C1285" s="4" t="s">
        <v>8</v>
      </c>
      <c r="D1285" s="5" t="s">
        <v>9</v>
      </c>
      <c r="E1285" s="6" t="s">
        <v>1245</v>
      </c>
    </row>
    <row r="1286">
      <c r="A1286" s="10" t="s">
        <v>1240</v>
      </c>
      <c r="B1286" s="3" t="s">
        <v>1241</v>
      </c>
      <c r="C1286" s="4" t="s">
        <v>8</v>
      </c>
      <c r="D1286" s="5" t="s">
        <v>21</v>
      </c>
      <c r="E1286" s="6" t="s">
        <v>1246</v>
      </c>
    </row>
    <row r="1287">
      <c r="A1287" s="10" t="s">
        <v>1240</v>
      </c>
      <c r="B1287" s="3" t="s">
        <v>1241</v>
      </c>
      <c r="C1287" s="4" t="s">
        <v>8</v>
      </c>
      <c r="D1287" s="5" t="s">
        <v>23</v>
      </c>
      <c r="E1287" s="6" t="s">
        <v>1247</v>
      </c>
    </row>
    <row r="1288">
      <c r="A1288" s="10" t="s">
        <v>1240</v>
      </c>
      <c r="B1288" s="3" t="s">
        <v>1241</v>
      </c>
      <c r="C1288" s="4" t="s">
        <v>8</v>
      </c>
      <c r="D1288" s="5" t="s">
        <v>15</v>
      </c>
      <c r="E1288" s="6" t="s">
        <v>1248</v>
      </c>
    </row>
    <row r="1289">
      <c r="A1289" s="10" t="s">
        <v>1240</v>
      </c>
      <c r="B1289" s="3" t="s">
        <v>1241</v>
      </c>
      <c r="C1289" s="4" t="s">
        <v>8</v>
      </c>
      <c r="D1289" s="5" t="s">
        <v>35</v>
      </c>
      <c r="E1289" s="6" t="s">
        <v>1249</v>
      </c>
    </row>
    <row r="1290">
      <c r="A1290" s="10" t="s">
        <v>1240</v>
      </c>
      <c r="B1290" s="3" t="s">
        <v>1241</v>
      </c>
      <c r="C1290" s="4" t="s">
        <v>8</v>
      </c>
      <c r="D1290" s="5" t="s">
        <v>35</v>
      </c>
      <c r="E1290" s="6" t="s">
        <v>1250</v>
      </c>
    </row>
    <row r="1291">
      <c r="A1291" s="10" t="s">
        <v>1240</v>
      </c>
      <c r="B1291" s="3" t="s">
        <v>1241</v>
      </c>
      <c r="C1291" s="4" t="s">
        <v>8</v>
      </c>
      <c r="D1291" s="5" t="s">
        <v>19</v>
      </c>
      <c r="E1291" s="6" t="s">
        <v>1251</v>
      </c>
    </row>
    <row r="1292">
      <c r="A1292" s="10" t="s">
        <v>1240</v>
      </c>
      <c r="B1292" s="3" t="s">
        <v>1241</v>
      </c>
      <c r="C1292" s="4" t="s">
        <v>8</v>
      </c>
      <c r="D1292" s="5" t="s">
        <v>23</v>
      </c>
      <c r="E1292" s="6" t="s">
        <v>1252</v>
      </c>
    </row>
    <row r="1293" hidden="1">
      <c r="A1293" s="10" t="s">
        <v>1240</v>
      </c>
      <c r="B1293" s="3" t="s">
        <v>1241</v>
      </c>
      <c r="C1293" s="4" t="s">
        <v>3</v>
      </c>
      <c r="D1293" s="5" t="s">
        <v>120</v>
      </c>
      <c r="E1293" s="6" t="s">
        <v>1253</v>
      </c>
    </row>
    <row r="1294" hidden="1">
      <c r="A1294" s="10" t="s">
        <v>1240</v>
      </c>
      <c r="B1294" s="3" t="s">
        <v>1241</v>
      </c>
      <c r="C1294" s="4" t="s">
        <v>3</v>
      </c>
      <c r="D1294" s="5" t="s">
        <v>120</v>
      </c>
      <c r="E1294" s="6" t="s">
        <v>1254</v>
      </c>
    </row>
    <row r="1295">
      <c r="A1295" s="10" t="s">
        <v>1240</v>
      </c>
      <c r="B1295" s="3" t="s">
        <v>1241</v>
      </c>
      <c r="C1295" s="4" t="s">
        <v>8</v>
      </c>
      <c r="D1295" s="5" t="s">
        <v>39</v>
      </c>
      <c r="E1295" s="6" t="s">
        <v>1255</v>
      </c>
    </row>
    <row r="1296">
      <c r="A1296" s="10" t="s">
        <v>1240</v>
      </c>
      <c r="B1296" s="3" t="s">
        <v>1241</v>
      </c>
      <c r="C1296" s="4" t="s">
        <v>8</v>
      </c>
      <c r="D1296" s="5" t="s">
        <v>17</v>
      </c>
      <c r="E1296" s="6" t="s">
        <v>686</v>
      </c>
    </row>
    <row r="1297" hidden="1">
      <c r="A1297" s="10" t="s">
        <v>1240</v>
      </c>
      <c r="B1297" s="3" t="s">
        <v>1241</v>
      </c>
      <c r="C1297" s="4" t="s">
        <v>3</v>
      </c>
      <c r="D1297" s="5" t="s">
        <v>28</v>
      </c>
      <c r="E1297" s="6" t="s">
        <v>1256</v>
      </c>
    </row>
    <row r="1298" hidden="1">
      <c r="A1298" s="10" t="s">
        <v>1240</v>
      </c>
      <c r="B1298" s="3" t="s">
        <v>1241</v>
      </c>
      <c r="C1298" s="4" t="s">
        <v>3</v>
      </c>
      <c r="D1298" s="5" t="s">
        <v>76</v>
      </c>
      <c r="E1298" s="6" t="s">
        <v>1257</v>
      </c>
    </row>
    <row r="1299" hidden="1">
      <c r="A1299" s="10" t="s">
        <v>1240</v>
      </c>
      <c r="B1299" s="3" t="s">
        <v>1241</v>
      </c>
      <c r="C1299" s="4" t="s">
        <v>3</v>
      </c>
      <c r="D1299" s="5" t="s">
        <v>21</v>
      </c>
      <c r="E1299" s="6" t="s">
        <v>1218</v>
      </c>
    </row>
    <row r="1300" hidden="1">
      <c r="A1300" s="10" t="s">
        <v>1240</v>
      </c>
      <c r="B1300" s="3" t="s">
        <v>1241</v>
      </c>
      <c r="C1300" s="4" t="s">
        <v>3</v>
      </c>
      <c r="D1300" s="5" t="s">
        <v>35</v>
      </c>
      <c r="E1300" s="6" t="s">
        <v>893</v>
      </c>
    </row>
    <row r="1301">
      <c r="A1301" s="10" t="s">
        <v>1258</v>
      </c>
      <c r="B1301" s="3" t="s">
        <v>1259</v>
      </c>
      <c r="C1301" s="4" t="s">
        <v>8</v>
      </c>
      <c r="D1301" s="5" t="s">
        <v>51</v>
      </c>
      <c r="E1301" s="6" t="s">
        <v>1260</v>
      </c>
    </row>
    <row r="1302" hidden="1">
      <c r="A1302" s="10" t="s">
        <v>1258</v>
      </c>
      <c r="B1302" s="3" t="s">
        <v>1259</v>
      </c>
      <c r="C1302" s="4" t="s">
        <v>3</v>
      </c>
      <c r="D1302" s="5" t="s">
        <v>120</v>
      </c>
      <c r="E1302" s="6" t="s">
        <v>1261</v>
      </c>
    </row>
    <row r="1303">
      <c r="A1303" s="10" t="s">
        <v>1258</v>
      </c>
      <c r="B1303" s="3" t="s">
        <v>1259</v>
      </c>
      <c r="C1303" s="4" t="s">
        <v>8</v>
      </c>
      <c r="D1303" s="5" t="s">
        <v>96</v>
      </c>
      <c r="E1303" s="6" t="s">
        <v>1262</v>
      </c>
    </row>
    <row r="1304">
      <c r="A1304" s="10" t="s">
        <v>1258</v>
      </c>
      <c r="B1304" s="3" t="s">
        <v>1259</v>
      </c>
      <c r="C1304" s="4" t="s">
        <v>8</v>
      </c>
      <c r="D1304" s="5" t="s">
        <v>11</v>
      </c>
      <c r="E1304" s="6" t="s">
        <v>1263</v>
      </c>
    </row>
    <row r="1305" hidden="1">
      <c r="A1305" s="10" t="s">
        <v>1258</v>
      </c>
      <c r="B1305" s="3" t="s">
        <v>1259</v>
      </c>
      <c r="C1305" s="4" t="s">
        <v>3</v>
      </c>
      <c r="D1305" s="5" t="s">
        <v>4</v>
      </c>
      <c r="E1305" s="6" t="s">
        <v>1264</v>
      </c>
    </row>
    <row r="1306">
      <c r="A1306" s="10" t="s">
        <v>1258</v>
      </c>
      <c r="B1306" s="3" t="s">
        <v>1259</v>
      </c>
      <c r="C1306" s="4" t="s">
        <v>8</v>
      </c>
      <c r="D1306" s="5" t="s">
        <v>23</v>
      </c>
      <c r="E1306" s="6" t="s">
        <v>1265</v>
      </c>
    </row>
    <row r="1307" hidden="1">
      <c r="A1307" s="10" t="s">
        <v>1258</v>
      </c>
      <c r="B1307" s="3" t="s">
        <v>1259</v>
      </c>
      <c r="C1307" s="4" t="s">
        <v>3</v>
      </c>
      <c r="D1307" s="5" t="s">
        <v>6</v>
      </c>
      <c r="E1307" s="6" t="s">
        <v>1266</v>
      </c>
    </row>
    <row r="1308">
      <c r="A1308" s="10" t="s">
        <v>1258</v>
      </c>
      <c r="B1308" s="3" t="s">
        <v>1259</v>
      </c>
      <c r="C1308" s="4" t="s">
        <v>8</v>
      </c>
      <c r="D1308" s="5" t="s">
        <v>71</v>
      </c>
      <c r="E1308" s="6" t="s">
        <v>1267</v>
      </c>
    </row>
    <row r="1309">
      <c r="A1309" s="10" t="s">
        <v>1258</v>
      </c>
      <c r="B1309" s="3" t="s">
        <v>1259</v>
      </c>
      <c r="C1309" s="4" t="s">
        <v>8</v>
      </c>
      <c r="D1309" s="5" t="s">
        <v>4</v>
      </c>
      <c r="E1309" s="6" t="s">
        <v>1268</v>
      </c>
    </row>
    <row r="1310">
      <c r="A1310" s="10" t="s">
        <v>1258</v>
      </c>
      <c r="B1310" s="3" t="s">
        <v>1259</v>
      </c>
      <c r="C1310" s="4" t="s">
        <v>8</v>
      </c>
      <c r="D1310" s="5" t="s">
        <v>39</v>
      </c>
      <c r="E1310" s="6" t="s">
        <v>1269</v>
      </c>
    </row>
    <row r="1311" hidden="1">
      <c r="A1311" s="10" t="s">
        <v>1258</v>
      </c>
      <c r="B1311" s="3" t="s">
        <v>1259</v>
      </c>
      <c r="C1311" s="4" t="s">
        <v>3</v>
      </c>
      <c r="D1311" s="5" t="s">
        <v>23</v>
      </c>
      <c r="E1311" s="6" t="s">
        <v>1042</v>
      </c>
    </row>
    <row r="1312">
      <c r="A1312" s="10" t="s">
        <v>1258</v>
      </c>
      <c r="B1312" s="3" t="s">
        <v>1259</v>
      </c>
      <c r="C1312" s="4" t="s">
        <v>8</v>
      </c>
      <c r="D1312" s="5" t="s">
        <v>17</v>
      </c>
      <c r="E1312" s="6" t="s">
        <v>1270</v>
      </c>
    </row>
    <row r="1313">
      <c r="A1313" s="10" t="s">
        <v>1258</v>
      </c>
      <c r="B1313" s="3" t="s">
        <v>1259</v>
      </c>
      <c r="C1313" s="4" t="s">
        <v>8</v>
      </c>
      <c r="D1313" s="5" t="s">
        <v>4</v>
      </c>
      <c r="E1313" s="6" t="s">
        <v>1271</v>
      </c>
    </row>
    <row r="1314">
      <c r="A1314" s="10" t="s">
        <v>1258</v>
      </c>
      <c r="B1314" s="3" t="s">
        <v>1259</v>
      </c>
      <c r="C1314" s="4" t="s">
        <v>8</v>
      </c>
      <c r="D1314" s="5" t="s">
        <v>51</v>
      </c>
      <c r="E1314" s="6" t="s">
        <v>1272</v>
      </c>
    </row>
    <row r="1315" hidden="1">
      <c r="A1315" s="10" t="s">
        <v>1258</v>
      </c>
      <c r="B1315" s="3" t="s">
        <v>1259</v>
      </c>
      <c r="C1315" s="4" t="s">
        <v>3</v>
      </c>
      <c r="D1315" s="5" t="s">
        <v>13</v>
      </c>
      <c r="E1315" s="6" t="s">
        <v>1273</v>
      </c>
    </row>
    <row r="1316" hidden="1">
      <c r="A1316" s="10" t="s">
        <v>1258</v>
      </c>
      <c r="B1316" s="3" t="s">
        <v>1259</v>
      </c>
      <c r="C1316" s="4" t="s">
        <v>3</v>
      </c>
      <c r="D1316" s="5" t="s">
        <v>51</v>
      </c>
      <c r="E1316" s="6" t="s">
        <v>1274</v>
      </c>
    </row>
    <row r="1317" hidden="1">
      <c r="A1317" s="10" t="s">
        <v>1258</v>
      </c>
      <c r="B1317" s="3" t="s">
        <v>1259</v>
      </c>
      <c r="C1317" s="4" t="s">
        <v>3</v>
      </c>
      <c r="D1317" s="5" t="s">
        <v>6</v>
      </c>
      <c r="E1317" s="6" t="s">
        <v>1275</v>
      </c>
    </row>
    <row r="1318" hidden="1">
      <c r="A1318" s="10" t="s">
        <v>1258</v>
      </c>
      <c r="B1318" s="3" t="s">
        <v>1259</v>
      </c>
      <c r="C1318" s="4" t="s">
        <v>3</v>
      </c>
      <c r="D1318" s="5" t="s">
        <v>45</v>
      </c>
      <c r="E1318" s="6" t="s">
        <v>1276</v>
      </c>
    </row>
    <row r="1319" hidden="1">
      <c r="A1319" s="10" t="s">
        <v>1258</v>
      </c>
      <c r="B1319" s="3" t="s">
        <v>1259</v>
      </c>
      <c r="C1319" s="4" t="s">
        <v>3</v>
      </c>
      <c r="D1319" s="5" t="s">
        <v>13</v>
      </c>
      <c r="E1319" s="6" t="s">
        <v>1277</v>
      </c>
    </row>
    <row r="1320">
      <c r="A1320" s="10" t="s">
        <v>1258</v>
      </c>
      <c r="B1320" s="3" t="s">
        <v>1259</v>
      </c>
      <c r="C1320" s="4" t="s">
        <v>8</v>
      </c>
      <c r="D1320" s="5" t="s">
        <v>15</v>
      </c>
      <c r="E1320" s="6" t="s">
        <v>782</v>
      </c>
    </row>
    <row r="1321" hidden="1">
      <c r="A1321" s="10" t="s">
        <v>1278</v>
      </c>
      <c r="B1321" s="3" t="s">
        <v>1279</v>
      </c>
      <c r="C1321" s="4" t="s">
        <v>3</v>
      </c>
      <c r="D1321" s="5" t="s">
        <v>9</v>
      </c>
      <c r="E1321" s="6" t="s">
        <v>1280</v>
      </c>
    </row>
    <row r="1322">
      <c r="A1322" s="10" t="s">
        <v>1278</v>
      </c>
      <c r="B1322" s="3" t="s">
        <v>1279</v>
      </c>
      <c r="C1322" s="4" t="s">
        <v>8</v>
      </c>
      <c r="D1322" s="5" t="s">
        <v>39</v>
      </c>
      <c r="E1322" s="6" t="s">
        <v>1281</v>
      </c>
    </row>
    <row r="1323" hidden="1">
      <c r="A1323" s="10" t="s">
        <v>1278</v>
      </c>
      <c r="B1323" s="3" t="s">
        <v>1279</v>
      </c>
      <c r="C1323" s="4" t="s">
        <v>3</v>
      </c>
      <c r="D1323" s="5" t="s">
        <v>6</v>
      </c>
      <c r="E1323" s="6" t="s">
        <v>1282</v>
      </c>
    </row>
    <row r="1324" hidden="1">
      <c r="A1324" s="10" t="s">
        <v>1278</v>
      </c>
      <c r="B1324" s="3" t="s">
        <v>1279</v>
      </c>
      <c r="C1324" s="4" t="s">
        <v>3</v>
      </c>
      <c r="D1324" s="5" t="s">
        <v>23</v>
      </c>
      <c r="E1324" s="6" t="s">
        <v>1283</v>
      </c>
    </row>
    <row r="1325">
      <c r="A1325" s="10" t="s">
        <v>1278</v>
      </c>
      <c r="B1325" s="3" t="s">
        <v>1279</v>
      </c>
      <c r="C1325" s="4" t="s">
        <v>8</v>
      </c>
      <c r="D1325" s="5" t="s">
        <v>76</v>
      </c>
      <c r="E1325" s="6" t="s">
        <v>1284</v>
      </c>
    </row>
    <row r="1326">
      <c r="A1326" s="10" t="s">
        <v>1278</v>
      </c>
      <c r="B1326" s="3" t="s">
        <v>1279</v>
      </c>
      <c r="C1326" s="4" t="s">
        <v>8</v>
      </c>
      <c r="D1326" s="5" t="s">
        <v>21</v>
      </c>
      <c r="E1326" s="6" t="s">
        <v>1285</v>
      </c>
    </row>
    <row r="1327">
      <c r="A1327" s="10" t="s">
        <v>1278</v>
      </c>
      <c r="B1327" s="3" t="s">
        <v>1279</v>
      </c>
      <c r="C1327" s="4" t="s">
        <v>8</v>
      </c>
      <c r="D1327" s="5" t="s">
        <v>23</v>
      </c>
      <c r="E1327" s="6" t="s">
        <v>1286</v>
      </c>
    </row>
    <row r="1328" hidden="1">
      <c r="A1328" s="10" t="s">
        <v>1278</v>
      </c>
      <c r="B1328" s="3" t="s">
        <v>1279</v>
      </c>
      <c r="C1328" s="4" t="s">
        <v>3</v>
      </c>
      <c r="D1328" s="5" t="s">
        <v>76</v>
      </c>
      <c r="E1328" s="6" t="s">
        <v>1287</v>
      </c>
    </row>
    <row r="1329">
      <c r="A1329" s="10" t="s">
        <v>1278</v>
      </c>
      <c r="B1329" s="3" t="s">
        <v>1279</v>
      </c>
      <c r="C1329" s="4" t="s">
        <v>8</v>
      </c>
      <c r="D1329" s="5" t="s">
        <v>6</v>
      </c>
      <c r="E1329" s="6" t="s">
        <v>1288</v>
      </c>
    </row>
    <row r="1330" hidden="1">
      <c r="A1330" s="10" t="s">
        <v>1278</v>
      </c>
      <c r="B1330" s="3" t="s">
        <v>1279</v>
      </c>
      <c r="C1330" s="4" t="s">
        <v>3</v>
      </c>
      <c r="D1330" s="5" t="s">
        <v>96</v>
      </c>
      <c r="E1330" s="6" t="s">
        <v>774</v>
      </c>
    </row>
    <row r="1331">
      <c r="A1331" s="10" t="s">
        <v>1278</v>
      </c>
      <c r="B1331" s="3" t="s">
        <v>1279</v>
      </c>
      <c r="C1331" s="4" t="s">
        <v>8</v>
      </c>
      <c r="D1331" s="5" t="s">
        <v>15</v>
      </c>
      <c r="E1331" s="6" t="s">
        <v>1289</v>
      </c>
    </row>
    <row r="1332">
      <c r="A1332" s="10" t="s">
        <v>1278</v>
      </c>
      <c r="B1332" s="3" t="s">
        <v>1279</v>
      </c>
      <c r="C1332" s="4" t="s">
        <v>8</v>
      </c>
      <c r="D1332" s="5" t="s">
        <v>15</v>
      </c>
      <c r="E1332" s="6" t="s">
        <v>1290</v>
      </c>
    </row>
    <row r="1333" hidden="1">
      <c r="A1333" s="10" t="s">
        <v>1278</v>
      </c>
      <c r="B1333" s="3" t="s">
        <v>1279</v>
      </c>
      <c r="C1333" s="4" t="s">
        <v>3</v>
      </c>
      <c r="D1333" s="5" t="s">
        <v>9</v>
      </c>
      <c r="E1333" s="6" t="s">
        <v>1291</v>
      </c>
    </row>
    <row r="1334" hidden="1">
      <c r="A1334" s="10" t="s">
        <v>1278</v>
      </c>
      <c r="B1334" s="3" t="s">
        <v>1279</v>
      </c>
      <c r="C1334" s="4" t="s">
        <v>3</v>
      </c>
      <c r="D1334" s="5" t="s">
        <v>17</v>
      </c>
      <c r="E1334" s="6" t="s">
        <v>1292</v>
      </c>
    </row>
    <row r="1335" hidden="1">
      <c r="A1335" s="10" t="s">
        <v>1278</v>
      </c>
      <c r="B1335" s="3" t="s">
        <v>1279</v>
      </c>
      <c r="C1335" s="4" t="s">
        <v>3</v>
      </c>
      <c r="D1335" s="5" t="s">
        <v>17</v>
      </c>
      <c r="E1335" s="6" t="s">
        <v>335</v>
      </c>
    </row>
    <row r="1336" hidden="1">
      <c r="A1336" s="10" t="s">
        <v>1278</v>
      </c>
      <c r="B1336" s="3" t="s">
        <v>1279</v>
      </c>
      <c r="C1336" s="4" t="s">
        <v>3</v>
      </c>
      <c r="D1336" s="5" t="s">
        <v>21</v>
      </c>
      <c r="E1336" s="6" t="s">
        <v>802</v>
      </c>
    </row>
    <row r="1337" hidden="1">
      <c r="A1337" s="10" t="s">
        <v>1278</v>
      </c>
      <c r="B1337" s="3" t="s">
        <v>1279</v>
      </c>
      <c r="C1337" s="4" t="s">
        <v>3</v>
      </c>
      <c r="D1337" s="5" t="s">
        <v>35</v>
      </c>
      <c r="E1337" s="6" t="s">
        <v>1293</v>
      </c>
    </row>
    <row r="1338" hidden="1">
      <c r="A1338" s="10" t="s">
        <v>1278</v>
      </c>
      <c r="B1338" s="3" t="s">
        <v>1279</v>
      </c>
      <c r="C1338" s="4" t="s">
        <v>3</v>
      </c>
      <c r="D1338" s="5" t="s">
        <v>19</v>
      </c>
      <c r="E1338" s="6" t="s">
        <v>1294</v>
      </c>
    </row>
    <row r="1339">
      <c r="A1339" s="10" t="s">
        <v>1278</v>
      </c>
      <c r="B1339" s="3" t="s">
        <v>1279</v>
      </c>
      <c r="C1339" s="4" t="s">
        <v>8</v>
      </c>
      <c r="D1339" s="5" t="s">
        <v>21</v>
      </c>
      <c r="E1339" s="6" t="s">
        <v>1295</v>
      </c>
    </row>
    <row r="1340">
      <c r="A1340" s="10" t="s">
        <v>1278</v>
      </c>
      <c r="B1340" s="3" t="s">
        <v>1279</v>
      </c>
      <c r="C1340" s="4" t="s">
        <v>8</v>
      </c>
      <c r="D1340" s="5" t="s">
        <v>21</v>
      </c>
      <c r="E1340" s="6" t="s">
        <v>58</v>
      </c>
    </row>
    <row r="1341">
      <c r="A1341" s="10" t="s">
        <v>408</v>
      </c>
      <c r="B1341" s="3" t="s">
        <v>1296</v>
      </c>
      <c r="C1341" s="4" t="s">
        <v>8</v>
      </c>
      <c r="D1341" s="5" t="s">
        <v>11</v>
      </c>
      <c r="E1341" s="6" t="s">
        <v>1297</v>
      </c>
    </row>
    <row r="1342" hidden="1">
      <c r="A1342" s="10" t="s">
        <v>408</v>
      </c>
      <c r="B1342" s="3" t="s">
        <v>1296</v>
      </c>
      <c r="C1342" s="4" t="s">
        <v>3</v>
      </c>
      <c r="D1342" s="5" t="s">
        <v>51</v>
      </c>
      <c r="E1342" s="6" t="s">
        <v>1298</v>
      </c>
    </row>
    <row r="1343" hidden="1">
      <c r="A1343" s="10" t="s">
        <v>408</v>
      </c>
      <c r="B1343" s="3" t="s">
        <v>1296</v>
      </c>
      <c r="C1343" s="4" t="s">
        <v>3</v>
      </c>
      <c r="D1343" s="5" t="s">
        <v>51</v>
      </c>
      <c r="E1343" s="6" t="s">
        <v>811</v>
      </c>
    </row>
    <row r="1344">
      <c r="A1344" s="10" t="s">
        <v>408</v>
      </c>
      <c r="B1344" s="3" t="s">
        <v>1296</v>
      </c>
      <c r="C1344" s="4" t="s">
        <v>8</v>
      </c>
      <c r="D1344" s="5" t="s">
        <v>19</v>
      </c>
      <c r="E1344" s="6" t="s">
        <v>1299</v>
      </c>
    </row>
    <row r="1345" hidden="1">
      <c r="A1345" s="10" t="s">
        <v>408</v>
      </c>
      <c r="B1345" s="3" t="s">
        <v>1296</v>
      </c>
      <c r="C1345" s="4" t="s">
        <v>3</v>
      </c>
      <c r="D1345" s="5" t="s">
        <v>51</v>
      </c>
      <c r="E1345" s="6" t="s">
        <v>1300</v>
      </c>
    </row>
    <row r="1346">
      <c r="A1346" s="10" t="s">
        <v>408</v>
      </c>
      <c r="B1346" s="3" t="s">
        <v>1296</v>
      </c>
      <c r="C1346" s="4" t="s">
        <v>8</v>
      </c>
      <c r="D1346" s="5" t="s">
        <v>23</v>
      </c>
      <c r="E1346" s="6" t="s">
        <v>1002</v>
      </c>
    </row>
    <row r="1347">
      <c r="A1347" s="10" t="s">
        <v>408</v>
      </c>
      <c r="B1347" s="3" t="s">
        <v>1296</v>
      </c>
      <c r="C1347" s="4" t="s">
        <v>8</v>
      </c>
      <c r="D1347" s="5" t="s">
        <v>23</v>
      </c>
      <c r="E1347" s="6" t="s">
        <v>1301</v>
      </c>
    </row>
    <row r="1348">
      <c r="A1348" s="10" t="s">
        <v>408</v>
      </c>
      <c r="B1348" s="3" t="s">
        <v>1296</v>
      </c>
      <c r="C1348" s="4" t="s">
        <v>8</v>
      </c>
      <c r="D1348" s="5" t="s">
        <v>76</v>
      </c>
      <c r="E1348" s="6" t="s">
        <v>1302</v>
      </c>
    </row>
    <row r="1349">
      <c r="A1349" s="10" t="s">
        <v>408</v>
      </c>
      <c r="B1349" s="3" t="s">
        <v>1296</v>
      </c>
      <c r="C1349" s="4" t="s">
        <v>8</v>
      </c>
      <c r="D1349" s="5" t="s">
        <v>39</v>
      </c>
      <c r="E1349" s="6" t="s">
        <v>1231</v>
      </c>
    </row>
    <row r="1350" hidden="1">
      <c r="A1350" s="10" t="s">
        <v>408</v>
      </c>
      <c r="B1350" s="3" t="s">
        <v>1296</v>
      </c>
      <c r="C1350" s="4" t="s">
        <v>3</v>
      </c>
      <c r="D1350" s="5" t="s">
        <v>13</v>
      </c>
      <c r="E1350" s="6" t="s">
        <v>1303</v>
      </c>
    </row>
    <row r="1351" hidden="1">
      <c r="A1351" s="10" t="s">
        <v>408</v>
      </c>
      <c r="B1351" s="3" t="s">
        <v>1296</v>
      </c>
      <c r="C1351" s="4" t="s">
        <v>3</v>
      </c>
      <c r="D1351" s="5" t="s">
        <v>42</v>
      </c>
      <c r="E1351" s="6" t="s">
        <v>905</v>
      </c>
    </row>
    <row r="1352" hidden="1">
      <c r="A1352" s="10" t="s">
        <v>408</v>
      </c>
      <c r="B1352" s="3" t="s">
        <v>1296</v>
      </c>
      <c r="C1352" s="4" t="s">
        <v>3</v>
      </c>
      <c r="D1352" s="5" t="s">
        <v>35</v>
      </c>
      <c r="E1352" s="6" t="s">
        <v>1304</v>
      </c>
    </row>
    <row r="1353">
      <c r="A1353" s="10" t="s">
        <v>408</v>
      </c>
      <c r="B1353" s="3" t="s">
        <v>1296</v>
      </c>
      <c r="C1353" s="4" t="s">
        <v>8</v>
      </c>
      <c r="D1353" s="5" t="s">
        <v>39</v>
      </c>
      <c r="E1353" s="6" t="s">
        <v>1305</v>
      </c>
    </row>
    <row r="1354">
      <c r="A1354" s="10" t="s">
        <v>408</v>
      </c>
      <c r="B1354" s="3" t="s">
        <v>1296</v>
      </c>
      <c r="C1354" s="4" t="s">
        <v>8</v>
      </c>
      <c r="D1354" s="5" t="s">
        <v>17</v>
      </c>
      <c r="E1354" s="6" t="s">
        <v>743</v>
      </c>
    </row>
    <row r="1355">
      <c r="A1355" s="10" t="s">
        <v>408</v>
      </c>
      <c r="B1355" s="3" t="s">
        <v>1296</v>
      </c>
      <c r="C1355" s="4" t="s">
        <v>8</v>
      </c>
      <c r="D1355" s="5" t="s">
        <v>35</v>
      </c>
      <c r="E1355" s="6" t="s">
        <v>808</v>
      </c>
    </row>
    <row r="1356" hidden="1">
      <c r="A1356" s="10" t="s">
        <v>408</v>
      </c>
      <c r="B1356" s="3" t="s">
        <v>1296</v>
      </c>
      <c r="C1356" s="4" t="s">
        <v>3</v>
      </c>
      <c r="D1356" s="5" t="s">
        <v>23</v>
      </c>
      <c r="E1356" s="6" t="s">
        <v>1306</v>
      </c>
    </row>
    <row r="1357" hidden="1">
      <c r="A1357" s="10" t="s">
        <v>408</v>
      </c>
      <c r="B1357" s="3" t="s">
        <v>1296</v>
      </c>
      <c r="C1357" s="4" t="s">
        <v>3</v>
      </c>
      <c r="D1357" s="5" t="s">
        <v>17</v>
      </c>
      <c r="E1357" s="6" t="s">
        <v>915</v>
      </c>
    </row>
    <row r="1358" hidden="1">
      <c r="A1358" s="10" t="s">
        <v>408</v>
      </c>
      <c r="B1358" s="3" t="s">
        <v>1296</v>
      </c>
      <c r="C1358" s="4" t="s">
        <v>3</v>
      </c>
      <c r="D1358" s="5" t="s">
        <v>45</v>
      </c>
      <c r="E1358" s="6" t="s">
        <v>1307</v>
      </c>
    </row>
    <row r="1359" hidden="1">
      <c r="A1359" s="10" t="s">
        <v>408</v>
      </c>
      <c r="B1359" s="3" t="s">
        <v>1296</v>
      </c>
      <c r="C1359" s="4" t="s">
        <v>3</v>
      </c>
      <c r="D1359" s="5" t="s">
        <v>19</v>
      </c>
      <c r="E1359" s="6" t="s">
        <v>1185</v>
      </c>
    </row>
    <row r="1360" hidden="1">
      <c r="A1360" s="10" t="s">
        <v>408</v>
      </c>
      <c r="B1360" s="3" t="s">
        <v>1296</v>
      </c>
      <c r="C1360" s="4" t="s">
        <v>3</v>
      </c>
      <c r="D1360" s="5" t="s">
        <v>45</v>
      </c>
      <c r="E1360" s="6" t="s">
        <v>1308</v>
      </c>
    </row>
    <row r="1361">
      <c r="A1361" s="10" t="s">
        <v>177</v>
      </c>
      <c r="B1361" s="3" t="s">
        <v>1309</v>
      </c>
      <c r="C1361" s="4" t="s">
        <v>8</v>
      </c>
      <c r="D1361" s="5" t="s">
        <v>9</v>
      </c>
      <c r="E1361" s="6" t="s">
        <v>1310</v>
      </c>
    </row>
    <row r="1362">
      <c r="A1362" s="10" t="s">
        <v>177</v>
      </c>
      <c r="B1362" s="3" t="s">
        <v>1309</v>
      </c>
      <c r="C1362" s="4" t="s">
        <v>8</v>
      </c>
      <c r="D1362" s="5" t="s">
        <v>28</v>
      </c>
      <c r="E1362" s="6" t="s">
        <v>495</v>
      </c>
    </row>
    <row r="1363" hidden="1">
      <c r="A1363" s="10" t="s">
        <v>177</v>
      </c>
      <c r="B1363" s="3" t="s">
        <v>1309</v>
      </c>
      <c r="C1363" s="4" t="s">
        <v>3</v>
      </c>
      <c r="D1363" s="5" t="s">
        <v>51</v>
      </c>
      <c r="E1363" s="6" t="s">
        <v>1311</v>
      </c>
    </row>
    <row r="1364">
      <c r="A1364" s="10" t="s">
        <v>177</v>
      </c>
      <c r="B1364" s="3" t="s">
        <v>1309</v>
      </c>
      <c r="C1364" s="4" t="s">
        <v>8</v>
      </c>
      <c r="D1364" s="5" t="s">
        <v>13</v>
      </c>
      <c r="E1364" s="6" t="s">
        <v>1312</v>
      </c>
    </row>
    <row r="1365" hidden="1">
      <c r="A1365" s="10" t="s">
        <v>177</v>
      </c>
      <c r="B1365" s="3" t="s">
        <v>1309</v>
      </c>
      <c r="C1365" s="4" t="s">
        <v>3</v>
      </c>
      <c r="D1365" s="5" t="s">
        <v>42</v>
      </c>
      <c r="E1365" s="6" t="s">
        <v>504</v>
      </c>
    </row>
    <row r="1366">
      <c r="A1366" s="10" t="s">
        <v>177</v>
      </c>
      <c r="B1366" s="3" t="s">
        <v>1309</v>
      </c>
      <c r="C1366" s="4" t="s">
        <v>8</v>
      </c>
      <c r="D1366" s="5" t="s">
        <v>17</v>
      </c>
      <c r="E1366" s="6" t="s">
        <v>884</v>
      </c>
    </row>
    <row r="1367" hidden="1">
      <c r="A1367" s="10" t="s">
        <v>177</v>
      </c>
      <c r="B1367" s="3" t="s">
        <v>1309</v>
      </c>
      <c r="C1367" s="4" t="s">
        <v>3</v>
      </c>
      <c r="D1367" s="5" t="s">
        <v>35</v>
      </c>
      <c r="E1367" s="6" t="s">
        <v>1313</v>
      </c>
    </row>
    <row r="1368">
      <c r="A1368" s="10" t="s">
        <v>177</v>
      </c>
      <c r="B1368" s="3" t="s">
        <v>1309</v>
      </c>
      <c r="C1368" s="4" t="s">
        <v>8</v>
      </c>
      <c r="D1368" s="5" t="s">
        <v>42</v>
      </c>
      <c r="E1368" s="6" t="s">
        <v>208</v>
      </c>
    </row>
    <row r="1369" hidden="1">
      <c r="A1369" s="10" t="s">
        <v>177</v>
      </c>
      <c r="B1369" s="3" t="s">
        <v>1309</v>
      </c>
      <c r="C1369" s="4" t="s">
        <v>3</v>
      </c>
      <c r="D1369" s="5" t="s">
        <v>96</v>
      </c>
      <c r="E1369" s="6" t="s">
        <v>1314</v>
      </c>
    </row>
    <row r="1370">
      <c r="A1370" s="10" t="s">
        <v>177</v>
      </c>
      <c r="B1370" s="3" t="s">
        <v>1309</v>
      </c>
      <c r="C1370" s="4" t="s">
        <v>8</v>
      </c>
      <c r="D1370" s="5" t="s">
        <v>21</v>
      </c>
      <c r="E1370" s="6" t="s">
        <v>1315</v>
      </c>
    </row>
    <row r="1371" hidden="1">
      <c r="A1371" s="10" t="s">
        <v>177</v>
      </c>
      <c r="B1371" s="3" t="s">
        <v>1309</v>
      </c>
      <c r="C1371" s="4" t="s">
        <v>3</v>
      </c>
      <c r="D1371" s="5" t="s">
        <v>51</v>
      </c>
      <c r="E1371" s="6" t="s">
        <v>1316</v>
      </c>
    </row>
    <row r="1372" hidden="1">
      <c r="A1372" s="10" t="s">
        <v>177</v>
      </c>
      <c r="B1372" s="3" t="s">
        <v>1309</v>
      </c>
      <c r="C1372" s="4" t="s">
        <v>3</v>
      </c>
      <c r="D1372" s="5" t="s">
        <v>42</v>
      </c>
      <c r="E1372" s="6" t="s">
        <v>1317</v>
      </c>
    </row>
    <row r="1373">
      <c r="A1373" s="10" t="s">
        <v>177</v>
      </c>
      <c r="B1373" s="3" t="s">
        <v>1309</v>
      </c>
      <c r="C1373" s="4" t="s">
        <v>8</v>
      </c>
      <c r="D1373" s="5" t="s">
        <v>9</v>
      </c>
      <c r="E1373" s="6" t="s">
        <v>1318</v>
      </c>
    </row>
    <row r="1374" hidden="1">
      <c r="A1374" s="10" t="s">
        <v>177</v>
      </c>
      <c r="B1374" s="3" t="s">
        <v>1309</v>
      </c>
      <c r="C1374" s="4" t="s">
        <v>3</v>
      </c>
      <c r="D1374" s="5" t="s">
        <v>45</v>
      </c>
      <c r="E1374" s="6" t="s">
        <v>1319</v>
      </c>
    </row>
    <row r="1375">
      <c r="A1375" s="10" t="s">
        <v>177</v>
      </c>
      <c r="B1375" s="3" t="s">
        <v>1309</v>
      </c>
      <c r="C1375" s="4" t="s">
        <v>8</v>
      </c>
      <c r="D1375" s="5" t="s">
        <v>96</v>
      </c>
      <c r="E1375" s="6" t="s">
        <v>1320</v>
      </c>
    </row>
    <row r="1376" hidden="1">
      <c r="A1376" s="10" t="s">
        <v>177</v>
      </c>
      <c r="B1376" s="3" t="s">
        <v>1309</v>
      </c>
      <c r="C1376" s="4" t="s">
        <v>3</v>
      </c>
      <c r="D1376" s="5" t="s">
        <v>28</v>
      </c>
      <c r="E1376" s="6" t="s">
        <v>1321</v>
      </c>
    </row>
    <row r="1377" hidden="1">
      <c r="A1377" s="10" t="s">
        <v>177</v>
      </c>
      <c r="B1377" s="3" t="s">
        <v>1309</v>
      </c>
      <c r="C1377" s="4" t="s">
        <v>3</v>
      </c>
      <c r="D1377" s="5" t="s">
        <v>71</v>
      </c>
      <c r="E1377" s="6" t="s">
        <v>1322</v>
      </c>
    </row>
    <row r="1378">
      <c r="A1378" s="10" t="s">
        <v>177</v>
      </c>
      <c r="B1378" s="3" t="s">
        <v>1309</v>
      </c>
      <c r="C1378" s="4" t="s">
        <v>8</v>
      </c>
      <c r="D1378" s="5" t="s">
        <v>6</v>
      </c>
      <c r="E1378" s="6" t="s">
        <v>1323</v>
      </c>
    </row>
    <row r="1379">
      <c r="A1379" s="10" t="s">
        <v>177</v>
      </c>
      <c r="B1379" s="3" t="s">
        <v>1309</v>
      </c>
      <c r="C1379" s="4" t="s">
        <v>8</v>
      </c>
      <c r="D1379" s="5" t="s">
        <v>71</v>
      </c>
      <c r="E1379" s="6" t="s">
        <v>1324</v>
      </c>
    </row>
    <row r="1380">
      <c r="A1380" s="10" t="s">
        <v>177</v>
      </c>
      <c r="B1380" s="3" t="s">
        <v>1309</v>
      </c>
      <c r="C1380" s="4" t="s">
        <v>8</v>
      </c>
      <c r="D1380" s="5" t="s">
        <v>23</v>
      </c>
      <c r="E1380" s="6" t="s">
        <v>259</v>
      </c>
    </row>
    <row r="1381" hidden="1">
      <c r="A1381" s="10" t="s">
        <v>1325</v>
      </c>
      <c r="B1381" s="3" t="s">
        <v>1326</v>
      </c>
      <c r="C1381" s="4" t="s">
        <v>3</v>
      </c>
      <c r="D1381" s="5" t="s">
        <v>42</v>
      </c>
      <c r="E1381" s="6" t="s">
        <v>714</v>
      </c>
    </row>
    <row r="1382">
      <c r="A1382" s="10" t="s">
        <v>1325</v>
      </c>
      <c r="B1382" s="3" t="s">
        <v>1326</v>
      </c>
      <c r="C1382" s="4" t="s">
        <v>8</v>
      </c>
      <c r="D1382" s="5" t="s">
        <v>96</v>
      </c>
      <c r="E1382" s="6" t="s">
        <v>374</v>
      </c>
    </row>
    <row r="1383" hidden="1">
      <c r="A1383" s="10" t="s">
        <v>1325</v>
      </c>
      <c r="B1383" s="3" t="s">
        <v>1326</v>
      </c>
      <c r="C1383" s="4" t="s">
        <v>3</v>
      </c>
      <c r="D1383" s="5" t="s">
        <v>17</v>
      </c>
      <c r="E1383" s="6" t="s">
        <v>1327</v>
      </c>
    </row>
    <row r="1384">
      <c r="A1384" s="10" t="s">
        <v>1325</v>
      </c>
      <c r="B1384" s="3" t="s">
        <v>1326</v>
      </c>
      <c r="C1384" s="4" t="s">
        <v>8</v>
      </c>
      <c r="D1384" s="5" t="s">
        <v>28</v>
      </c>
      <c r="E1384" s="6" t="s">
        <v>676</v>
      </c>
    </row>
    <row r="1385">
      <c r="A1385" s="10" t="s">
        <v>1325</v>
      </c>
      <c r="B1385" s="3" t="s">
        <v>1326</v>
      </c>
      <c r="C1385" s="4" t="s">
        <v>8</v>
      </c>
      <c r="D1385" s="5" t="s">
        <v>96</v>
      </c>
      <c r="E1385" s="6" t="s">
        <v>1328</v>
      </c>
    </row>
    <row r="1386">
      <c r="A1386" s="10" t="s">
        <v>1325</v>
      </c>
      <c r="B1386" s="3" t="s">
        <v>1326</v>
      </c>
      <c r="C1386" s="4" t="s">
        <v>8</v>
      </c>
      <c r="D1386" s="5" t="s">
        <v>23</v>
      </c>
      <c r="E1386" s="6" t="s">
        <v>1329</v>
      </c>
    </row>
    <row r="1387">
      <c r="A1387" s="10" t="s">
        <v>1325</v>
      </c>
      <c r="B1387" s="3" t="s">
        <v>1326</v>
      </c>
      <c r="C1387" s="4" t="s">
        <v>8</v>
      </c>
      <c r="D1387" s="5" t="s">
        <v>21</v>
      </c>
      <c r="E1387" s="6" t="s">
        <v>1176</v>
      </c>
    </row>
    <row r="1388">
      <c r="A1388" s="10" t="s">
        <v>1325</v>
      </c>
      <c r="B1388" s="3" t="s">
        <v>1326</v>
      </c>
      <c r="C1388" s="4" t="s">
        <v>8</v>
      </c>
      <c r="D1388" s="5" t="s">
        <v>11</v>
      </c>
      <c r="E1388" s="6" t="s">
        <v>1330</v>
      </c>
    </row>
    <row r="1389">
      <c r="A1389" s="10" t="s">
        <v>1325</v>
      </c>
      <c r="B1389" s="3" t="s">
        <v>1326</v>
      </c>
      <c r="C1389" s="4" t="s">
        <v>8</v>
      </c>
      <c r="D1389" s="5" t="s">
        <v>42</v>
      </c>
      <c r="E1389" s="6" t="s">
        <v>302</v>
      </c>
    </row>
    <row r="1390" hidden="1">
      <c r="A1390" s="10" t="s">
        <v>1325</v>
      </c>
      <c r="B1390" s="3" t="s">
        <v>1326</v>
      </c>
      <c r="C1390" s="4" t="s">
        <v>3</v>
      </c>
      <c r="D1390" s="5" t="s">
        <v>19</v>
      </c>
      <c r="E1390" s="6" t="s">
        <v>1331</v>
      </c>
    </row>
    <row r="1391" hidden="1">
      <c r="A1391" s="10" t="s">
        <v>1325</v>
      </c>
      <c r="B1391" s="3" t="s">
        <v>1326</v>
      </c>
      <c r="C1391" s="4" t="s">
        <v>3</v>
      </c>
      <c r="D1391" s="5" t="s">
        <v>39</v>
      </c>
      <c r="E1391" s="6" t="s">
        <v>1332</v>
      </c>
    </row>
    <row r="1392">
      <c r="A1392" s="10" t="s">
        <v>1325</v>
      </c>
      <c r="B1392" s="3" t="s">
        <v>1326</v>
      </c>
      <c r="C1392" s="4" t="s">
        <v>8</v>
      </c>
      <c r="D1392" s="5" t="s">
        <v>15</v>
      </c>
      <c r="E1392" s="6" t="s">
        <v>16</v>
      </c>
    </row>
    <row r="1393">
      <c r="A1393" s="10" t="s">
        <v>1325</v>
      </c>
      <c r="B1393" s="3" t="s">
        <v>1326</v>
      </c>
      <c r="C1393" s="4" t="s">
        <v>8</v>
      </c>
      <c r="D1393" s="5" t="s">
        <v>13</v>
      </c>
      <c r="E1393" s="6" t="s">
        <v>1333</v>
      </c>
    </row>
    <row r="1394">
      <c r="A1394" s="10" t="s">
        <v>1325</v>
      </c>
      <c r="B1394" s="3" t="s">
        <v>1326</v>
      </c>
      <c r="C1394" s="4" t="s">
        <v>8</v>
      </c>
      <c r="D1394" s="5" t="s">
        <v>4</v>
      </c>
      <c r="E1394" s="6" t="s">
        <v>1334</v>
      </c>
    </row>
    <row r="1395" hidden="1">
      <c r="A1395" s="10" t="s">
        <v>1325</v>
      </c>
      <c r="B1395" s="3" t="s">
        <v>1326</v>
      </c>
      <c r="C1395" s="4" t="s">
        <v>3</v>
      </c>
      <c r="D1395" s="5" t="s">
        <v>6</v>
      </c>
      <c r="E1395" s="6" t="s">
        <v>1335</v>
      </c>
    </row>
    <row r="1396">
      <c r="A1396" s="10" t="s">
        <v>1325</v>
      </c>
      <c r="B1396" s="3" t="s">
        <v>1326</v>
      </c>
      <c r="C1396" s="4" t="s">
        <v>8</v>
      </c>
      <c r="D1396" s="5" t="s">
        <v>51</v>
      </c>
      <c r="E1396" s="6" t="s">
        <v>1336</v>
      </c>
    </row>
    <row r="1397">
      <c r="A1397" s="10" t="s">
        <v>1325</v>
      </c>
      <c r="B1397" s="3" t="s">
        <v>1326</v>
      </c>
      <c r="C1397" s="4" t="s">
        <v>8</v>
      </c>
      <c r="D1397" s="5" t="s">
        <v>35</v>
      </c>
      <c r="E1397" s="6" t="s">
        <v>1337</v>
      </c>
    </row>
    <row r="1398" hidden="1">
      <c r="A1398" s="10" t="s">
        <v>1325</v>
      </c>
      <c r="B1398" s="3" t="s">
        <v>1326</v>
      </c>
      <c r="C1398" s="4" t="s">
        <v>3</v>
      </c>
      <c r="D1398" s="5" t="s">
        <v>21</v>
      </c>
      <c r="E1398" s="6" t="s">
        <v>1338</v>
      </c>
    </row>
    <row r="1399" hidden="1">
      <c r="A1399" s="10" t="s">
        <v>1325</v>
      </c>
      <c r="B1399" s="3" t="s">
        <v>1326</v>
      </c>
      <c r="C1399" s="4" t="s">
        <v>3</v>
      </c>
      <c r="D1399" s="5" t="s">
        <v>13</v>
      </c>
      <c r="E1399" s="6" t="s">
        <v>1339</v>
      </c>
    </row>
    <row r="1400" hidden="1">
      <c r="A1400" s="10" t="s">
        <v>1325</v>
      </c>
      <c r="B1400" s="3" t="s">
        <v>1326</v>
      </c>
      <c r="C1400" s="4" t="s">
        <v>3</v>
      </c>
      <c r="D1400" s="5" t="s">
        <v>35</v>
      </c>
      <c r="E1400" s="6" t="s">
        <v>1201</v>
      </c>
    </row>
    <row r="1401" hidden="1">
      <c r="A1401" s="10" t="s">
        <v>1258</v>
      </c>
      <c r="B1401" s="3" t="s">
        <v>1340</v>
      </c>
      <c r="C1401" s="4" t="s">
        <v>3</v>
      </c>
      <c r="D1401" s="5" t="s">
        <v>42</v>
      </c>
      <c r="E1401" s="6" t="s">
        <v>86</v>
      </c>
    </row>
    <row r="1402">
      <c r="A1402" s="10" t="s">
        <v>1258</v>
      </c>
      <c r="B1402" s="3" t="s">
        <v>1340</v>
      </c>
      <c r="C1402" s="4" t="s">
        <v>8</v>
      </c>
      <c r="D1402" s="5" t="s">
        <v>19</v>
      </c>
      <c r="E1402" s="6" t="s">
        <v>1341</v>
      </c>
    </row>
    <row r="1403" hidden="1">
      <c r="A1403" s="10" t="s">
        <v>1258</v>
      </c>
      <c r="B1403" s="3" t="s">
        <v>1340</v>
      </c>
      <c r="C1403" s="4" t="s">
        <v>3</v>
      </c>
      <c r="D1403" s="5" t="s">
        <v>71</v>
      </c>
      <c r="E1403" s="6" t="s">
        <v>1342</v>
      </c>
    </row>
    <row r="1404" hidden="1">
      <c r="A1404" s="10" t="s">
        <v>1258</v>
      </c>
      <c r="B1404" s="3" t="s">
        <v>1340</v>
      </c>
      <c r="C1404" s="4" t="s">
        <v>3</v>
      </c>
      <c r="D1404" s="5" t="s">
        <v>21</v>
      </c>
      <c r="E1404" s="6" t="s">
        <v>943</v>
      </c>
    </row>
    <row r="1405">
      <c r="A1405" s="10" t="s">
        <v>1258</v>
      </c>
      <c r="B1405" s="3" t="s">
        <v>1340</v>
      </c>
      <c r="C1405" s="4" t="s">
        <v>8</v>
      </c>
      <c r="D1405" s="5" t="s">
        <v>21</v>
      </c>
      <c r="E1405" s="6" t="s">
        <v>966</v>
      </c>
    </row>
    <row r="1406" hidden="1">
      <c r="A1406" s="10" t="s">
        <v>1258</v>
      </c>
      <c r="B1406" s="3" t="s">
        <v>1340</v>
      </c>
      <c r="C1406" s="4" t="s">
        <v>3</v>
      </c>
      <c r="D1406" s="5" t="s">
        <v>39</v>
      </c>
      <c r="E1406" s="6" t="s">
        <v>1343</v>
      </c>
    </row>
    <row r="1407">
      <c r="A1407" s="10" t="s">
        <v>1258</v>
      </c>
      <c r="B1407" s="3" t="s">
        <v>1340</v>
      </c>
      <c r="C1407" s="4" t="s">
        <v>8</v>
      </c>
      <c r="D1407" s="5" t="s">
        <v>6</v>
      </c>
      <c r="E1407" s="6" t="s">
        <v>1344</v>
      </c>
    </row>
    <row r="1408" hidden="1">
      <c r="A1408" s="10" t="s">
        <v>1258</v>
      </c>
      <c r="B1408" s="3" t="s">
        <v>1340</v>
      </c>
      <c r="C1408" s="4" t="s">
        <v>3</v>
      </c>
      <c r="D1408" s="5" t="s">
        <v>17</v>
      </c>
      <c r="E1408" s="6" t="s">
        <v>716</v>
      </c>
    </row>
    <row r="1409" hidden="1">
      <c r="A1409" s="10" t="s">
        <v>1258</v>
      </c>
      <c r="B1409" s="3" t="s">
        <v>1340</v>
      </c>
      <c r="C1409" s="4" t="s">
        <v>3</v>
      </c>
      <c r="D1409" s="5" t="s">
        <v>35</v>
      </c>
      <c r="E1409" s="6" t="s">
        <v>1345</v>
      </c>
    </row>
    <row r="1410">
      <c r="A1410" s="10" t="s">
        <v>1258</v>
      </c>
      <c r="B1410" s="3" t="s">
        <v>1340</v>
      </c>
      <c r="C1410" s="4" t="s">
        <v>8</v>
      </c>
      <c r="D1410" s="5" t="s">
        <v>39</v>
      </c>
      <c r="E1410" s="6" t="s">
        <v>1346</v>
      </c>
    </row>
    <row r="1411">
      <c r="A1411" s="10" t="s">
        <v>1258</v>
      </c>
      <c r="B1411" s="3" t="s">
        <v>1340</v>
      </c>
      <c r="C1411" s="4" t="s">
        <v>8</v>
      </c>
      <c r="D1411" s="5" t="s">
        <v>6</v>
      </c>
      <c r="E1411" s="6" t="s">
        <v>1347</v>
      </c>
    </row>
    <row r="1412" hidden="1">
      <c r="A1412" s="10" t="s">
        <v>1258</v>
      </c>
      <c r="B1412" s="3" t="s">
        <v>1340</v>
      </c>
      <c r="C1412" s="4" t="s">
        <v>3</v>
      </c>
      <c r="D1412" s="5" t="s">
        <v>4</v>
      </c>
      <c r="E1412" s="6" t="s">
        <v>1348</v>
      </c>
    </row>
    <row r="1413" hidden="1">
      <c r="A1413" s="10" t="s">
        <v>1258</v>
      </c>
      <c r="B1413" s="3" t="s">
        <v>1340</v>
      </c>
      <c r="C1413" s="4" t="s">
        <v>3</v>
      </c>
      <c r="D1413" s="5" t="s">
        <v>71</v>
      </c>
      <c r="E1413" s="6" t="s">
        <v>1349</v>
      </c>
    </row>
    <row r="1414">
      <c r="A1414" s="10" t="s">
        <v>1258</v>
      </c>
      <c r="B1414" s="3" t="s">
        <v>1340</v>
      </c>
      <c r="C1414" s="4" t="s">
        <v>8</v>
      </c>
      <c r="D1414" s="5" t="s">
        <v>17</v>
      </c>
      <c r="E1414" s="6" t="s">
        <v>203</v>
      </c>
    </row>
    <row r="1415" hidden="1">
      <c r="A1415" s="10" t="s">
        <v>1258</v>
      </c>
      <c r="B1415" s="3" t="s">
        <v>1340</v>
      </c>
      <c r="C1415" s="4" t="s">
        <v>3</v>
      </c>
      <c r="D1415" s="5" t="s">
        <v>45</v>
      </c>
      <c r="E1415" s="6" t="s">
        <v>1350</v>
      </c>
    </row>
    <row r="1416">
      <c r="A1416" s="10" t="s">
        <v>1258</v>
      </c>
      <c r="B1416" s="3" t="s">
        <v>1340</v>
      </c>
      <c r="C1416" s="4" t="s">
        <v>8</v>
      </c>
      <c r="D1416" s="5" t="s">
        <v>51</v>
      </c>
      <c r="E1416" s="6" t="s">
        <v>1351</v>
      </c>
    </row>
    <row r="1417" hidden="1">
      <c r="A1417" s="10" t="s">
        <v>1258</v>
      </c>
      <c r="B1417" s="3" t="s">
        <v>1340</v>
      </c>
      <c r="C1417" s="4" t="s">
        <v>3</v>
      </c>
      <c r="D1417" s="5" t="s">
        <v>76</v>
      </c>
      <c r="E1417" s="6" t="s">
        <v>1352</v>
      </c>
    </row>
    <row r="1418" hidden="1">
      <c r="A1418" s="10" t="s">
        <v>1258</v>
      </c>
      <c r="B1418" s="3" t="s">
        <v>1340</v>
      </c>
      <c r="C1418" s="4" t="s">
        <v>3</v>
      </c>
      <c r="D1418" s="5" t="s">
        <v>4</v>
      </c>
      <c r="E1418" s="6" t="s">
        <v>1353</v>
      </c>
    </row>
    <row r="1419" hidden="1">
      <c r="A1419" s="10" t="s">
        <v>1258</v>
      </c>
      <c r="B1419" s="3" t="s">
        <v>1340</v>
      </c>
      <c r="C1419" s="4" t="s">
        <v>3</v>
      </c>
      <c r="D1419" s="5" t="s">
        <v>21</v>
      </c>
      <c r="E1419" s="6" t="s">
        <v>1354</v>
      </c>
    </row>
    <row r="1420" hidden="1">
      <c r="A1420" s="10" t="s">
        <v>1258</v>
      </c>
      <c r="B1420" s="3" t="s">
        <v>1340</v>
      </c>
      <c r="C1420" s="4" t="s">
        <v>3</v>
      </c>
      <c r="D1420" s="5" t="s">
        <v>13</v>
      </c>
      <c r="E1420" s="6" t="s">
        <v>1355</v>
      </c>
    </row>
    <row r="1421">
      <c r="A1421" s="10" t="s">
        <v>1356</v>
      </c>
      <c r="B1421" s="3" t="s">
        <v>1357</v>
      </c>
      <c r="C1421" s="4" t="s">
        <v>8</v>
      </c>
      <c r="D1421" s="5" t="s">
        <v>4</v>
      </c>
      <c r="E1421" s="6" t="s">
        <v>1358</v>
      </c>
    </row>
    <row r="1422" hidden="1">
      <c r="A1422" s="10" t="s">
        <v>1356</v>
      </c>
      <c r="B1422" s="3" t="s">
        <v>1357</v>
      </c>
      <c r="C1422" s="4" t="s">
        <v>3</v>
      </c>
      <c r="D1422" s="5" t="s">
        <v>51</v>
      </c>
      <c r="E1422" s="6" t="s">
        <v>162</v>
      </c>
    </row>
    <row r="1423">
      <c r="A1423" s="10" t="s">
        <v>1356</v>
      </c>
      <c r="B1423" s="3" t="s">
        <v>1357</v>
      </c>
      <c r="C1423" s="4" t="s">
        <v>8</v>
      </c>
      <c r="D1423" s="5" t="s">
        <v>45</v>
      </c>
      <c r="E1423" s="6" t="s">
        <v>1359</v>
      </c>
    </row>
    <row r="1424">
      <c r="A1424" s="10" t="s">
        <v>1356</v>
      </c>
      <c r="B1424" s="3" t="s">
        <v>1357</v>
      </c>
      <c r="C1424" s="4" t="s">
        <v>8</v>
      </c>
      <c r="D1424" s="5" t="s">
        <v>71</v>
      </c>
      <c r="E1424" s="6" t="s">
        <v>1360</v>
      </c>
    </row>
    <row r="1425" hidden="1">
      <c r="A1425" s="10" t="s">
        <v>1356</v>
      </c>
      <c r="B1425" s="3" t="s">
        <v>1357</v>
      </c>
      <c r="C1425" s="4" t="s">
        <v>3</v>
      </c>
      <c r="D1425" s="5" t="s">
        <v>9</v>
      </c>
      <c r="E1425" s="6" t="s">
        <v>403</v>
      </c>
    </row>
    <row r="1426">
      <c r="A1426" s="10" t="s">
        <v>1356</v>
      </c>
      <c r="B1426" s="3" t="s">
        <v>1357</v>
      </c>
      <c r="C1426" s="4" t="s">
        <v>8</v>
      </c>
      <c r="D1426" s="5" t="s">
        <v>23</v>
      </c>
      <c r="E1426" s="6" t="s">
        <v>1361</v>
      </c>
    </row>
    <row r="1427" hidden="1">
      <c r="A1427" s="10" t="s">
        <v>1356</v>
      </c>
      <c r="B1427" s="3" t="s">
        <v>1357</v>
      </c>
      <c r="C1427" s="4" t="s">
        <v>3</v>
      </c>
      <c r="D1427" s="5" t="s">
        <v>15</v>
      </c>
      <c r="E1427" s="6" t="s">
        <v>1362</v>
      </c>
    </row>
    <row r="1428" hidden="1">
      <c r="A1428" s="10" t="s">
        <v>1356</v>
      </c>
      <c r="B1428" s="3" t="s">
        <v>1357</v>
      </c>
      <c r="C1428" s="4" t="s">
        <v>3</v>
      </c>
      <c r="D1428" s="5" t="s">
        <v>96</v>
      </c>
      <c r="E1428" s="6" t="s">
        <v>1363</v>
      </c>
    </row>
    <row r="1429">
      <c r="A1429" s="10" t="s">
        <v>1356</v>
      </c>
      <c r="B1429" s="3" t="s">
        <v>1357</v>
      </c>
      <c r="C1429" s="4" t="s">
        <v>8</v>
      </c>
      <c r="D1429" s="5" t="s">
        <v>19</v>
      </c>
      <c r="E1429" s="6" t="s">
        <v>1364</v>
      </c>
    </row>
    <row r="1430" hidden="1">
      <c r="A1430" s="10" t="s">
        <v>1356</v>
      </c>
      <c r="B1430" s="3" t="s">
        <v>1357</v>
      </c>
      <c r="C1430" s="4" t="s">
        <v>3</v>
      </c>
      <c r="D1430" s="5" t="s">
        <v>51</v>
      </c>
      <c r="E1430" s="6" t="s">
        <v>929</v>
      </c>
    </row>
    <row r="1431">
      <c r="A1431" s="10" t="s">
        <v>1356</v>
      </c>
      <c r="B1431" s="3" t="s">
        <v>1357</v>
      </c>
      <c r="C1431" s="4" t="s">
        <v>8</v>
      </c>
      <c r="D1431" s="5" t="s">
        <v>42</v>
      </c>
      <c r="E1431" s="6" t="s">
        <v>859</v>
      </c>
    </row>
    <row r="1432" hidden="1">
      <c r="A1432" s="10" t="s">
        <v>1356</v>
      </c>
      <c r="B1432" s="3" t="s">
        <v>1357</v>
      </c>
      <c r="C1432" s="4" t="s">
        <v>3</v>
      </c>
      <c r="D1432" s="5" t="s">
        <v>23</v>
      </c>
      <c r="E1432" s="6" t="s">
        <v>1365</v>
      </c>
    </row>
    <row r="1433" hidden="1">
      <c r="A1433" s="10" t="s">
        <v>1356</v>
      </c>
      <c r="B1433" s="3" t="s">
        <v>1357</v>
      </c>
      <c r="C1433" s="4" t="s">
        <v>3</v>
      </c>
      <c r="D1433" s="5" t="s">
        <v>120</v>
      </c>
      <c r="E1433" s="6" t="s">
        <v>69</v>
      </c>
    </row>
    <row r="1434">
      <c r="A1434" s="10" t="s">
        <v>1356</v>
      </c>
      <c r="B1434" s="3" t="s">
        <v>1357</v>
      </c>
      <c r="C1434" s="4" t="s">
        <v>8</v>
      </c>
      <c r="D1434" s="5" t="s">
        <v>71</v>
      </c>
      <c r="E1434" s="6" t="s">
        <v>484</v>
      </c>
    </row>
    <row r="1435" hidden="1">
      <c r="A1435" s="10" t="s">
        <v>1356</v>
      </c>
      <c r="B1435" s="3" t="s">
        <v>1357</v>
      </c>
      <c r="C1435" s="4" t="s">
        <v>3</v>
      </c>
      <c r="D1435" s="5" t="s">
        <v>11</v>
      </c>
      <c r="E1435" s="6" t="s">
        <v>1366</v>
      </c>
    </row>
    <row r="1436" hidden="1">
      <c r="A1436" s="10" t="s">
        <v>1356</v>
      </c>
      <c r="B1436" s="3" t="s">
        <v>1357</v>
      </c>
      <c r="C1436" s="4" t="s">
        <v>3</v>
      </c>
      <c r="D1436" s="5" t="s">
        <v>19</v>
      </c>
      <c r="E1436" s="6" t="s">
        <v>1367</v>
      </c>
    </row>
    <row r="1437" hidden="1">
      <c r="A1437" s="10" t="s">
        <v>1356</v>
      </c>
      <c r="B1437" s="3" t="s">
        <v>1357</v>
      </c>
      <c r="C1437" s="4" t="s">
        <v>3</v>
      </c>
      <c r="D1437" s="5" t="s">
        <v>19</v>
      </c>
      <c r="E1437" s="6" t="s">
        <v>273</v>
      </c>
    </row>
    <row r="1438">
      <c r="A1438" s="10" t="s">
        <v>1356</v>
      </c>
      <c r="B1438" s="3" t="s">
        <v>1357</v>
      </c>
      <c r="C1438" s="4" t="s">
        <v>8</v>
      </c>
      <c r="D1438" s="5" t="s">
        <v>76</v>
      </c>
      <c r="E1438" s="6" t="s">
        <v>1368</v>
      </c>
    </row>
    <row r="1439">
      <c r="A1439" s="10" t="s">
        <v>1356</v>
      </c>
      <c r="B1439" s="3" t="s">
        <v>1357</v>
      </c>
      <c r="C1439" s="4" t="s">
        <v>8</v>
      </c>
      <c r="D1439" s="5" t="s">
        <v>35</v>
      </c>
      <c r="E1439" s="6" t="s">
        <v>1369</v>
      </c>
    </row>
    <row r="1440" hidden="1">
      <c r="A1440" s="10" t="s">
        <v>1356</v>
      </c>
      <c r="B1440" s="3" t="s">
        <v>1357</v>
      </c>
      <c r="C1440" s="4" t="s">
        <v>3</v>
      </c>
      <c r="D1440" s="5" t="s">
        <v>13</v>
      </c>
      <c r="E1440" s="6" t="s">
        <v>1249</v>
      </c>
    </row>
    <row r="1441" hidden="1">
      <c r="A1441" s="10" t="s">
        <v>1370</v>
      </c>
      <c r="B1441" s="3" t="s">
        <v>1371</v>
      </c>
      <c r="C1441" s="4" t="s">
        <v>3</v>
      </c>
      <c r="D1441" s="5" t="s">
        <v>15</v>
      </c>
      <c r="E1441" s="6" t="s">
        <v>541</v>
      </c>
    </row>
    <row r="1442">
      <c r="A1442" s="10" t="s">
        <v>1370</v>
      </c>
      <c r="B1442" s="3" t="s">
        <v>1371</v>
      </c>
      <c r="C1442" s="4" t="s">
        <v>8</v>
      </c>
      <c r="D1442" s="5" t="s">
        <v>96</v>
      </c>
      <c r="E1442" s="6" t="s">
        <v>1372</v>
      </c>
    </row>
    <row r="1443">
      <c r="A1443" s="10" t="s">
        <v>1370</v>
      </c>
      <c r="B1443" s="3" t="s">
        <v>1371</v>
      </c>
      <c r="C1443" s="4" t="s">
        <v>8</v>
      </c>
      <c r="D1443" s="5" t="s">
        <v>42</v>
      </c>
      <c r="E1443" s="6" t="s">
        <v>905</v>
      </c>
    </row>
    <row r="1444">
      <c r="A1444" s="10" t="s">
        <v>1370</v>
      </c>
      <c r="B1444" s="3" t="s">
        <v>1371</v>
      </c>
      <c r="C1444" s="4" t="s">
        <v>8</v>
      </c>
      <c r="D1444" s="5" t="s">
        <v>120</v>
      </c>
      <c r="E1444" s="6" t="s">
        <v>1373</v>
      </c>
    </row>
    <row r="1445" hidden="1">
      <c r="A1445" s="10" t="s">
        <v>1370</v>
      </c>
      <c r="B1445" s="3" t="s">
        <v>1371</v>
      </c>
      <c r="C1445" s="4" t="s">
        <v>3</v>
      </c>
      <c r="D1445" s="5" t="s">
        <v>76</v>
      </c>
      <c r="E1445" s="6" t="s">
        <v>1374</v>
      </c>
    </row>
    <row r="1446">
      <c r="A1446" s="10" t="s">
        <v>1370</v>
      </c>
      <c r="B1446" s="3" t="s">
        <v>1371</v>
      </c>
      <c r="C1446" s="4" t="s">
        <v>8</v>
      </c>
      <c r="D1446" s="5" t="s">
        <v>42</v>
      </c>
      <c r="E1446" s="6" t="s">
        <v>208</v>
      </c>
    </row>
    <row r="1447">
      <c r="A1447" s="10" t="s">
        <v>1370</v>
      </c>
      <c r="B1447" s="3" t="s">
        <v>1371</v>
      </c>
      <c r="C1447" s="4" t="s">
        <v>8</v>
      </c>
      <c r="D1447" s="5" t="s">
        <v>9</v>
      </c>
      <c r="E1447" s="6" t="s">
        <v>842</v>
      </c>
    </row>
    <row r="1448" hidden="1">
      <c r="A1448" s="10" t="s">
        <v>1370</v>
      </c>
      <c r="B1448" s="3" t="s">
        <v>1371</v>
      </c>
      <c r="C1448" s="4" t="s">
        <v>3</v>
      </c>
      <c r="D1448" s="5" t="s">
        <v>4</v>
      </c>
      <c r="E1448" s="6" t="s">
        <v>1375</v>
      </c>
    </row>
    <row r="1449">
      <c r="A1449" s="10" t="s">
        <v>1370</v>
      </c>
      <c r="B1449" s="3" t="s">
        <v>1371</v>
      </c>
      <c r="C1449" s="4" t="s">
        <v>8</v>
      </c>
      <c r="D1449" s="5" t="s">
        <v>19</v>
      </c>
      <c r="E1449" s="6" t="s">
        <v>1376</v>
      </c>
    </row>
    <row r="1450" hidden="1">
      <c r="A1450" s="10" t="s">
        <v>1370</v>
      </c>
      <c r="B1450" s="3" t="s">
        <v>1371</v>
      </c>
      <c r="C1450" s="4" t="s">
        <v>3</v>
      </c>
      <c r="D1450" s="5" t="s">
        <v>39</v>
      </c>
      <c r="E1450" s="6" t="s">
        <v>1377</v>
      </c>
    </row>
    <row r="1451">
      <c r="A1451" s="10" t="s">
        <v>1370</v>
      </c>
      <c r="B1451" s="3" t="s">
        <v>1371</v>
      </c>
      <c r="C1451" s="4" t="s">
        <v>8</v>
      </c>
      <c r="D1451" s="5" t="s">
        <v>19</v>
      </c>
      <c r="E1451" s="6" t="s">
        <v>1378</v>
      </c>
    </row>
    <row r="1452">
      <c r="A1452" s="10" t="s">
        <v>1370</v>
      </c>
      <c r="B1452" s="3" t="s">
        <v>1371</v>
      </c>
      <c r="C1452" s="4" t="s">
        <v>8</v>
      </c>
      <c r="D1452" s="5" t="s">
        <v>71</v>
      </c>
      <c r="E1452" s="6" t="s">
        <v>1379</v>
      </c>
    </row>
    <row r="1453" hidden="1">
      <c r="A1453" s="10" t="s">
        <v>1370</v>
      </c>
      <c r="B1453" s="3" t="s">
        <v>1371</v>
      </c>
      <c r="C1453" s="4" t="s">
        <v>3</v>
      </c>
      <c r="D1453" s="5" t="s">
        <v>39</v>
      </c>
      <c r="E1453" s="6" t="s">
        <v>1380</v>
      </c>
    </row>
    <row r="1454">
      <c r="A1454" s="10" t="s">
        <v>1370</v>
      </c>
      <c r="B1454" s="3" t="s">
        <v>1371</v>
      </c>
      <c r="C1454" s="4" t="s">
        <v>8</v>
      </c>
      <c r="D1454" s="5" t="s">
        <v>35</v>
      </c>
      <c r="E1454" s="6" t="s">
        <v>1381</v>
      </c>
    </row>
    <row r="1455" hidden="1">
      <c r="A1455" s="10" t="s">
        <v>1370</v>
      </c>
      <c r="B1455" s="3" t="s">
        <v>1371</v>
      </c>
      <c r="C1455" s="4" t="s">
        <v>3</v>
      </c>
      <c r="D1455" s="5" t="s">
        <v>21</v>
      </c>
      <c r="E1455" s="6" t="s">
        <v>612</v>
      </c>
    </row>
    <row r="1456">
      <c r="A1456" s="10" t="s">
        <v>1370</v>
      </c>
      <c r="B1456" s="3" t="s">
        <v>1371</v>
      </c>
      <c r="C1456" s="4" t="s">
        <v>8</v>
      </c>
      <c r="D1456" s="5" t="s">
        <v>15</v>
      </c>
      <c r="E1456" s="6" t="s">
        <v>1376</v>
      </c>
    </row>
    <row r="1457">
      <c r="A1457" s="10" t="s">
        <v>1370</v>
      </c>
      <c r="B1457" s="3" t="s">
        <v>1371</v>
      </c>
      <c r="C1457" s="4" t="s">
        <v>8</v>
      </c>
      <c r="D1457" s="5" t="s">
        <v>120</v>
      </c>
      <c r="E1457" s="6" t="s">
        <v>1382</v>
      </c>
    </row>
    <row r="1458" hidden="1">
      <c r="A1458" s="10" t="s">
        <v>1370</v>
      </c>
      <c r="B1458" s="3" t="s">
        <v>1371</v>
      </c>
      <c r="C1458" s="4" t="s">
        <v>3</v>
      </c>
      <c r="D1458" s="5" t="s">
        <v>76</v>
      </c>
      <c r="E1458" s="6" t="s">
        <v>1383</v>
      </c>
    </row>
    <row r="1459" hidden="1">
      <c r="A1459" s="10" t="s">
        <v>1370</v>
      </c>
      <c r="B1459" s="3" t="s">
        <v>1371</v>
      </c>
      <c r="C1459" s="4" t="s">
        <v>3</v>
      </c>
      <c r="D1459" s="5" t="s">
        <v>42</v>
      </c>
      <c r="E1459" s="6" t="s">
        <v>643</v>
      </c>
    </row>
    <row r="1460" hidden="1">
      <c r="A1460" s="10" t="s">
        <v>1370</v>
      </c>
      <c r="B1460" s="3" t="s">
        <v>1371</v>
      </c>
      <c r="C1460" s="4" t="s">
        <v>3</v>
      </c>
      <c r="D1460" s="5" t="s">
        <v>19</v>
      </c>
      <c r="E1460" s="6" t="s">
        <v>1384</v>
      </c>
    </row>
    <row r="1461" hidden="1">
      <c r="A1461" s="10" t="s">
        <v>632</v>
      </c>
      <c r="B1461" s="3" t="s">
        <v>1385</v>
      </c>
      <c r="C1461" s="4" t="s">
        <v>3</v>
      </c>
      <c r="D1461" s="5" t="s">
        <v>13</v>
      </c>
      <c r="E1461" s="6" t="s">
        <v>1386</v>
      </c>
    </row>
    <row r="1462" hidden="1">
      <c r="A1462" s="10" t="s">
        <v>632</v>
      </c>
      <c r="B1462" s="3" t="s">
        <v>1385</v>
      </c>
      <c r="C1462" s="4" t="s">
        <v>3</v>
      </c>
      <c r="D1462" s="5" t="s">
        <v>39</v>
      </c>
      <c r="E1462" s="6" t="s">
        <v>1387</v>
      </c>
    </row>
    <row r="1463" hidden="1">
      <c r="A1463" s="10" t="s">
        <v>632</v>
      </c>
      <c r="B1463" s="3" t="s">
        <v>1385</v>
      </c>
      <c r="C1463" s="4" t="s">
        <v>3</v>
      </c>
      <c r="D1463" s="5" t="s">
        <v>17</v>
      </c>
      <c r="E1463" s="6" t="s">
        <v>1388</v>
      </c>
    </row>
    <row r="1464" hidden="1">
      <c r="A1464" s="10" t="s">
        <v>632</v>
      </c>
      <c r="B1464" s="3" t="s">
        <v>1385</v>
      </c>
      <c r="C1464" s="4" t="s">
        <v>3</v>
      </c>
      <c r="D1464" s="5" t="s">
        <v>39</v>
      </c>
      <c r="E1464" s="6" t="s">
        <v>1389</v>
      </c>
    </row>
    <row r="1465" hidden="1">
      <c r="A1465" s="10" t="s">
        <v>632</v>
      </c>
      <c r="B1465" s="3" t="s">
        <v>1385</v>
      </c>
      <c r="C1465" s="4" t="s">
        <v>3</v>
      </c>
      <c r="D1465" s="5" t="s">
        <v>76</v>
      </c>
      <c r="E1465" s="6" t="s">
        <v>227</v>
      </c>
    </row>
    <row r="1466">
      <c r="A1466" s="10" t="s">
        <v>632</v>
      </c>
      <c r="B1466" s="3" t="s">
        <v>1385</v>
      </c>
      <c r="C1466" s="4" t="s">
        <v>8</v>
      </c>
      <c r="D1466" s="5" t="s">
        <v>96</v>
      </c>
      <c r="E1466" s="6" t="s">
        <v>215</v>
      </c>
    </row>
    <row r="1467">
      <c r="A1467" s="10" t="s">
        <v>632</v>
      </c>
      <c r="B1467" s="3" t="s">
        <v>1385</v>
      </c>
      <c r="C1467" s="4" t="s">
        <v>8</v>
      </c>
      <c r="D1467" s="5" t="s">
        <v>39</v>
      </c>
      <c r="E1467" s="6" t="s">
        <v>1390</v>
      </c>
    </row>
    <row r="1468" hidden="1">
      <c r="A1468" s="10" t="s">
        <v>632</v>
      </c>
      <c r="B1468" s="3" t="s">
        <v>1385</v>
      </c>
      <c r="C1468" s="4" t="s">
        <v>3</v>
      </c>
      <c r="D1468" s="5" t="s">
        <v>96</v>
      </c>
      <c r="E1468" s="6" t="s">
        <v>1391</v>
      </c>
    </row>
    <row r="1469">
      <c r="A1469" s="10" t="s">
        <v>632</v>
      </c>
      <c r="B1469" s="3" t="s">
        <v>1385</v>
      </c>
      <c r="C1469" s="4" t="s">
        <v>8</v>
      </c>
      <c r="D1469" s="5" t="s">
        <v>96</v>
      </c>
      <c r="E1469" s="6" t="s">
        <v>501</v>
      </c>
    </row>
    <row r="1470">
      <c r="A1470" s="10" t="s">
        <v>632</v>
      </c>
      <c r="B1470" s="3" t="s">
        <v>1385</v>
      </c>
      <c r="C1470" s="4" t="s">
        <v>8</v>
      </c>
      <c r="D1470" s="5" t="s">
        <v>28</v>
      </c>
      <c r="E1470" s="6" t="s">
        <v>1392</v>
      </c>
    </row>
    <row r="1471">
      <c r="A1471" s="10" t="s">
        <v>632</v>
      </c>
      <c r="B1471" s="3" t="s">
        <v>1385</v>
      </c>
      <c r="C1471" s="4" t="s">
        <v>8</v>
      </c>
      <c r="D1471" s="5" t="s">
        <v>11</v>
      </c>
      <c r="E1471" s="6" t="s">
        <v>570</v>
      </c>
    </row>
    <row r="1472">
      <c r="A1472" s="10" t="s">
        <v>632</v>
      </c>
      <c r="B1472" s="3" t="s">
        <v>1385</v>
      </c>
      <c r="C1472" s="4" t="s">
        <v>8</v>
      </c>
      <c r="D1472" s="5" t="s">
        <v>51</v>
      </c>
      <c r="E1472" s="6" t="s">
        <v>201</v>
      </c>
    </row>
    <row r="1473">
      <c r="A1473" s="10" t="s">
        <v>632</v>
      </c>
      <c r="B1473" s="3" t="s">
        <v>1385</v>
      </c>
      <c r="C1473" s="4" t="s">
        <v>8</v>
      </c>
      <c r="D1473" s="5" t="s">
        <v>17</v>
      </c>
      <c r="E1473" s="6" t="s">
        <v>1393</v>
      </c>
    </row>
    <row r="1474" hidden="1">
      <c r="A1474" s="10" t="s">
        <v>632</v>
      </c>
      <c r="B1474" s="3" t="s">
        <v>1385</v>
      </c>
      <c r="C1474" s="4" t="s">
        <v>3</v>
      </c>
      <c r="D1474" s="5" t="s">
        <v>51</v>
      </c>
      <c r="E1474" s="6" t="s">
        <v>1244</v>
      </c>
    </row>
    <row r="1475">
      <c r="A1475" s="10" t="s">
        <v>632</v>
      </c>
      <c r="B1475" s="3" t="s">
        <v>1385</v>
      </c>
      <c r="C1475" s="4" t="s">
        <v>8</v>
      </c>
      <c r="D1475" s="5" t="s">
        <v>51</v>
      </c>
      <c r="E1475" s="6" t="s">
        <v>1394</v>
      </c>
    </row>
    <row r="1476">
      <c r="A1476" s="10" t="s">
        <v>632</v>
      </c>
      <c r="B1476" s="3" t="s">
        <v>1385</v>
      </c>
      <c r="C1476" s="4" t="s">
        <v>8</v>
      </c>
      <c r="D1476" s="5" t="s">
        <v>51</v>
      </c>
      <c r="E1476" s="6" t="s">
        <v>1395</v>
      </c>
    </row>
    <row r="1477" hidden="1">
      <c r="A1477" s="10" t="s">
        <v>632</v>
      </c>
      <c r="B1477" s="3" t="s">
        <v>1385</v>
      </c>
      <c r="C1477" s="4" t="s">
        <v>3</v>
      </c>
      <c r="D1477" s="5" t="s">
        <v>71</v>
      </c>
      <c r="E1477" s="6" t="s">
        <v>756</v>
      </c>
    </row>
    <row r="1478">
      <c r="A1478" s="10" t="s">
        <v>632</v>
      </c>
      <c r="B1478" s="3" t="s">
        <v>1385</v>
      </c>
      <c r="C1478" s="4" t="s">
        <v>8</v>
      </c>
      <c r="D1478" s="5" t="s">
        <v>4</v>
      </c>
      <c r="E1478" s="6" t="s">
        <v>1396</v>
      </c>
    </row>
    <row r="1479" hidden="1">
      <c r="A1479" s="10" t="s">
        <v>632</v>
      </c>
      <c r="B1479" s="3" t="s">
        <v>1385</v>
      </c>
      <c r="C1479" s="4" t="s">
        <v>3</v>
      </c>
      <c r="D1479" s="5" t="s">
        <v>6</v>
      </c>
      <c r="E1479" s="6" t="s">
        <v>1397</v>
      </c>
    </row>
    <row r="1480">
      <c r="A1480" s="10" t="s">
        <v>632</v>
      </c>
      <c r="B1480" s="3" t="s">
        <v>1385</v>
      </c>
      <c r="C1480" s="4" t="s">
        <v>8</v>
      </c>
      <c r="D1480" s="5" t="s">
        <v>120</v>
      </c>
      <c r="E1480" s="6" t="s">
        <v>143</v>
      </c>
    </row>
    <row r="1481">
      <c r="A1481" s="10" t="s">
        <v>1398</v>
      </c>
      <c r="B1481" s="3" t="s">
        <v>1399</v>
      </c>
      <c r="C1481" s="4" t="s">
        <v>8</v>
      </c>
      <c r="D1481" s="5" t="s">
        <v>6</v>
      </c>
      <c r="E1481" s="6" t="s">
        <v>1400</v>
      </c>
    </row>
    <row r="1482" hidden="1">
      <c r="A1482" s="10" t="s">
        <v>1398</v>
      </c>
      <c r="B1482" s="3" t="s">
        <v>1399</v>
      </c>
      <c r="C1482" s="4" t="s">
        <v>3</v>
      </c>
      <c r="D1482" s="5" t="s">
        <v>15</v>
      </c>
      <c r="E1482" s="6" t="s">
        <v>1401</v>
      </c>
    </row>
    <row r="1483" hidden="1">
      <c r="A1483" s="10" t="s">
        <v>1398</v>
      </c>
      <c r="B1483" s="3" t="s">
        <v>1399</v>
      </c>
      <c r="C1483" s="4" t="s">
        <v>3</v>
      </c>
      <c r="D1483" s="5" t="s">
        <v>39</v>
      </c>
      <c r="E1483" s="6" t="s">
        <v>1402</v>
      </c>
    </row>
    <row r="1484" hidden="1">
      <c r="A1484" s="10" t="s">
        <v>1398</v>
      </c>
      <c r="B1484" s="3" t="s">
        <v>1399</v>
      </c>
      <c r="C1484" s="4" t="s">
        <v>3</v>
      </c>
      <c r="D1484" s="5" t="s">
        <v>39</v>
      </c>
      <c r="E1484" s="6" t="s">
        <v>1403</v>
      </c>
    </row>
    <row r="1485">
      <c r="A1485" s="10" t="s">
        <v>1398</v>
      </c>
      <c r="B1485" s="3" t="s">
        <v>1399</v>
      </c>
      <c r="C1485" s="4" t="s">
        <v>8</v>
      </c>
      <c r="D1485" s="5" t="s">
        <v>23</v>
      </c>
      <c r="E1485" s="6" t="s">
        <v>1404</v>
      </c>
    </row>
    <row r="1486">
      <c r="A1486" s="10" t="s">
        <v>1398</v>
      </c>
      <c r="B1486" s="3" t="s">
        <v>1399</v>
      </c>
      <c r="C1486" s="4" t="s">
        <v>8</v>
      </c>
      <c r="D1486" s="5" t="s">
        <v>71</v>
      </c>
      <c r="E1486" s="6" t="s">
        <v>515</v>
      </c>
    </row>
    <row r="1487">
      <c r="A1487" s="10" t="s">
        <v>1398</v>
      </c>
      <c r="B1487" s="3" t="s">
        <v>1399</v>
      </c>
      <c r="C1487" s="4" t="s">
        <v>8</v>
      </c>
      <c r="D1487" s="5" t="s">
        <v>28</v>
      </c>
      <c r="E1487" s="6" t="s">
        <v>1405</v>
      </c>
    </row>
    <row r="1488">
      <c r="A1488" s="10" t="s">
        <v>1398</v>
      </c>
      <c r="B1488" s="3" t="s">
        <v>1399</v>
      </c>
      <c r="C1488" s="4" t="s">
        <v>8</v>
      </c>
      <c r="D1488" s="5" t="s">
        <v>21</v>
      </c>
      <c r="E1488" s="6" t="s">
        <v>1248</v>
      </c>
    </row>
    <row r="1489">
      <c r="A1489" s="10" t="s">
        <v>1398</v>
      </c>
      <c r="B1489" s="3" t="s">
        <v>1399</v>
      </c>
      <c r="C1489" s="4" t="s">
        <v>8</v>
      </c>
      <c r="D1489" s="5" t="s">
        <v>45</v>
      </c>
      <c r="E1489" s="6" t="s">
        <v>1406</v>
      </c>
    </row>
    <row r="1490">
      <c r="A1490" s="10" t="s">
        <v>1398</v>
      </c>
      <c r="B1490" s="3" t="s">
        <v>1399</v>
      </c>
      <c r="C1490" s="4" t="s">
        <v>8</v>
      </c>
      <c r="D1490" s="5" t="s">
        <v>23</v>
      </c>
      <c r="E1490" s="6" t="s">
        <v>1407</v>
      </c>
    </row>
    <row r="1491" hidden="1">
      <c r="A1491" s="10" t="s">
        <v>1398</v>
      </c>
      <c r="B1491" s="3" t="s">
        <v>1399</v>
      </c>
      <c r="C1491" s="4" t="s">
        <v>3</v>
      </c>
      <c r="D1491" s="5" t="s">
        <v>4</v>
      </c>
      <c r="E1491" s="6" t="s">
        <v>1408</v>
      </c>
    </row>
    <row r="1492">
      <c r="A1492" s="10" t="s">
        <v>1398</v>
      </c>
      <c r="B1492" s="3" t="s">
        <v>1399</v>
      </c>
      <c r="C1492" s="4" t="s">
        <v>8</v>
      </c>
      <c r="D1492" s="5" t="s">
        <v>19</v>
      </c>
      <c r="E1492" s="6" t="s">
        <v>1333</v>
      </c>
    </row>
    <row r="1493" hidden="1">
      <c r="A1493" s="10" t="s">
        <v>1398</v>
      </c>
      <c r="B1493" s="3" t="s">
        <v>1399</v>
      </c>
      <c r="C1493" s="4" t="s">
        <v>3</v>
      </c>
      <c r="D1493" s="5" t="s">
        <v>21</v>
      </c>
      <c r="E1493" s="6" t="s">
        <v>649</v>
      </c>
    </row>
    <row r="1494">
      <c r="A1494" s="10" t="s">
        <v>1398</v>
      </c>
      <c r="B1494" s="3" t="s">
        <v>1399</v>
      </c>
      <c r="C1494" s="4" t="s">
        <v>8</v>
      </c>
      <c r="D1494" s="5" t="s">
        <v>13</v>
      </c>
      <c r="E1494" s="6" t="s">
        <v>1409</v>
      </c>
    </row>
    <row r="1495">
      <c r="A1495" s="10" t="s">
        <v>1398</v>
      </c>
      <c r="B1495" s="3" t="s">
        <v>1399</v>
      </c>
      <c r="C1495" s="4" t="s">
        <v>8</v>
      </c>
      <c r="D1495" s="5" t="s">
        <v>23</v>
      </c>
      <c r="E1495" s="6" t="s">
        <v>1293</v>
      </c>
    </row>
    <row r="1496" hidden="1">
      <c r="A1496" s="10" t="s">
        <v>1398</v>
      </c>
      <c r="B1496" s="3" t="s">
        <v>1399</v>
      </c>
      <c r="C1496" s="4" t="s">
        <v>3</v>
      </c>
      <c r="D1496" s="5" t="s">
        <v>23</v>
      </c>
      <c r="E1496" s="6" t="s">
        <v>1410</v>
      </c>
    </row>
    <row r="1497" hidden="1">
      <c r="A1497" s="10" t="s">
        <v>1398</v>
      </c>
      <c r="B1497" s="3" t="s">
        <v>1399</v>
      </c>
      <c r="C1497" s="4" t="s">
        <v>3</v>
      </c>
      <c r="D1497" s="5" t="s">
        <v>21</v>
      </c>
      <c r="E1497" s="6" t="s">
        <v>1411</v>
      </c>
    </row>
    <row r="1498">
      <c r="A1498" s="10" t="s">
        <v>1398</v>
      </c>
      <c r="B1498" s="3" t="s">
        <v>1399</v>
      </c>
      <c r="C1498" s="4" t="s">
        <v>8</v>
      </c>
      <c r="D1498" s="5" t="s">
        <v>71</v>
      </c>
      <c r="E1498" s="6" t="s">
        <v>1412</v>
      </c>
    </row>
    <row r="1499">
      <c r="A1499" s="10" t="s">
        <v>1398</v>
      </c>
      <c r="B1499" s="3" t="s">
        <v>1399</v>
      </c>
      <c r="C1499" s="4" t="s">
        <v>8</v>
      </c>
      <c r="D1499" s="5" t="s">
        <v>11</v>
      </c>
      <c r="E1499" s="6" t="s">
        <v>1413</v>
      </c>
    </row>
    <row r="1500" hidden="1">
      <c r="A1500" s="10" t="s">
        <v>1398</v>
      </c>
      <c r="B1500" s="3" t="s">
        <v>1399</v>
      </c>
      <c r="C1500" s="4" t="s">
        <v>3</v>
      </c>
      <c r="D1500" s="5" t="s">
        <v>21</v>
      </c>
      <c r="E1500" s="6" t="s">
        <v>1285</v>
      </c>
    </row>
    <row r="1501" hidden="1">
      <c r="A1501" s="10" t="s">
        <v>1414</v>
      </c>
      <c r="B1501" s="3" t="s">
        <v>1415</v>
      </c>
      <c r="C1501" s="4" t="s">
        <v>3</v>
      </c>
      <c r="D1501" s="5" t="s">
        <v>96</v>
      </c>
      <c r="E1501" s="6" t="s">
        <v>1217</v>
      </c>
    </row>
    <row r="1502" hidden="1">
      <c r="A1502" s="10" t="s">
        <v>1414</v>
      </c>
      <c r="B1502" s="3" t="s">
        <v>1415</v>
      </c>
      <c r="C1502" s="4" t="s">
        <v>3</v>
      </c>
      <c r="D1502" s="5" t="s">
        <v>45</v>
      </c>
      <c r="E1502" s="6" t="s">
        <v>579</v>
      </c>
    </row>
    <row r="1503">
      <c r="A1503" s="10" t="s">
        <v>1414</v>
      </c>
      <c r="B1503" s="3" t="s">
        <v>1415</v>
      </c>
      <c r="C1503" s="4" t="s">
        <v>8</v>
      </c>
      <c r="D1503" s="5" t="s">
        <v>13</v>
      </c>
      <c r="E1503" s="6" t="s">
        <v>1416</v>
      </c>
    </row>
    <row r="1504">
      <c r="A1504" s="10" t="s">
        <v>1414</v>
      </c>
      <c r="B1504" s="3" t="s">
        <v>1415</v>
      </c>
      <c r="C1504" s="4" t="s">
        <v>8</v>
      </c>
      <c r="D1504" s="5" t="s">
        <v>19</v>
      </c>
      <c r="E1504" s="6" t="s">
        <v>771</v>
      </c>
    </row>
    <row r="1505" hidden="1">
      <c r="A1505" s="10" t="s">
        <v>1414</v>
      </c>
      <c r="B1505" s="3" t="s">
        <v>1415</v>
      </c>
      <c r="C1505" s="4" t="s">
        <v>3</v>
      </c>
      <c r="D1505" s="5" t="s">
        <v>17</v>
      </c>
      <c r="E1505" s="6" t="s">
        <v>1417</v>
      </c>
    </row>
    <row r="1506" hidden="1">
      <c r="A1506" s="10" t="s">
        <v>1414</v>
      </c>
      <c r="B1506" s="3" t="s">
        <v>1415</v>
      </c>
      <c r="C1506" s="4" t="s">
        <v>3</v>
      </c>
      <c r="D1506" s="5" t="s">
        <v>9</v>
      </c>
      <c r="E1506" s="6" t="s">
        <v>344</v>
      </c>
    </row>
    <row r="1507">
      <c r="A1507" s="10" t="s">
        <v>1414</v>
      </c>
      <c r="B1507" s="3" t="s">
        <v>1415</v>
      </c>
      <c r="C1507" s="4" t="s">
        <v>8</v>
      </c>
      <c r="D1507" s="5" t="s">
        <v>4</v>
      </c>
      <c r="E1507" s="6" t="s">
        <v>1418</v>
      </c>
    </row>
    <row r="1508">
      <c r="A1508" s="10" t="s">
        <v>1414</v>
      </c>
      <c r="B1508" s="3" t="s">
        <v>1415</v>
      </c>
      <c r="C1508" s="4" t="s">
        <v>8</v>
      </c>
      <c r="D1508" s="5" t="s">
        <v>13</v>
      </c>
      <c r="E1508" s="6" t="s">
        <v>1419</v>
      </c>
    </row>
    <row r="1509" hidden="1">
      <c r="A1509" s="10" t="s">
        <v>1414</v>
      </c>
      <c r="B1509" s="3" t="s">
        <v>1415</v>
      </c>
      <c r="C1509" s="4" t="s">
        <v>3</v>
      </c>
      <c r="D1509" s="5" t="s">
        <v>6</v>
      </c>
      <c r="E1509" s="6" t="s">
        <v>1420</v>
      </c>
    </row>
    <row r="1510">
      <c r="A1510" s="10" t="s">
        <v>1414</v>
      </c>
      <c r="B1510" s="3" t="s">
        <v>1415</v>
      </c>
      <c r="C1510" s="4" t="s">
        <v>8</v>
      </c>
      <c r="D1510" s="5" t="s">
        <v>76</v>
      </c>
      <c r="E1510" s="6" t="s">
        <v>1421</v>
      </c>
    </row>
    <row r="1511">
      <c r="A1511" s="10" t="s">
        <v>1414</v>
      </c>
      <c r="B1511" s="3" t="s">
        <v>1415</v>
      </c>
      <c r="C1511" s="4" t="s">
        <v>8</v>
      </c>
      <c r="D1511" s="5" t="s">
        <v>19</v>
      </c>
      <c r="E1511" s="6" t="s">
        <v>197</v>
      </c>
    </row>
    <row r="1512">
      <c r="A1512" s="10" t="s">
        <v>1414</v>
      </c>
      <c r="B1512" s="3" t="s">
        <v>1415</v>
      </c>
      <c r="C1512" s="4" t="s">
        <v>8</v>
      </c>
      <c r="D1512" s="5" t="s">
        <v>71</v>
      </c>
      <c r="E1512" s="6" t="s">
        <v>1422</v>
      </c>
    </row>
    <row r="1513">
      <c r="A1513" s="10" t="s">
        <v>1414</v>
      </c>
      <c r="B1513" s="3" t="s">
        <v>1415</v>
      </c>
      <c r="C1513" s="4" t="s">
        <v>8</v>
      </c>
      <c r="D1513" s="5" t="s">
        <v>6</v>
      </c>
      <c r="E1513" s="6" t="s">
        <v>1423</v>
      </c>
    </row>
    <row r="1514" hidden="1">
      <c r="A1514" s="10" t="s">
        <v>1414</v>
      </c>
      <c r="B1514" s="3" t="s">
        <v>1415</v>
      </c>
      <c r="C1514" s="4" t="s">
        <v>3</v>
      </c>
      <c r="D1514" s="5" t="s">
        <v>9</v>
      </c>
      <c r="E1514" s="6" t="s">
        <v>344</v>
      </c>
    </row>
    <row r="1515">
      <c r="A1515" s="10" t="s">
        <v>1414</v>
      </c>
      <c r="B1515" s="3" t="s">
        <v>1415</v>
      </c>
      <c r="C1515" s="4" t="s">
        <v>8</v>
      </c>
      <c r="D1515" s="5" t="s">
        <v>42</v>
      </c>
      <c r="E1515" s="6" t="s">
        <v>1424</v>
      </c>
    </row>
    <row r="1516">
      <c r="A1516" s="10" t="s">
        <v>1414</v>
      </c>
      <c r="B1516" s="3" t="s">
        <v>1415</v>
      </c>
      <c r="C1516" s="4" t="s">
        <v>8</v>
      </c>
      <c r="D1516" s="5" t="s">
        <v>17</v>
      </c>
      <c r="E1516" s="6" t="s">
        <v>734</v>
      </c>
    </row>
    <row r="1517">
      <c r="A1517" s="10" t="s">
        <v>1414</v>
      </c>
      <c r="B1517" s="3" t="s">
        <v>1415</v>
      </c>
      <c r="C1517" s="4" t="s">
        <v>8</v>
      </c>
      <c r="D1517" s="5" t="s">
        <v>35</v>
      </c>
      <c r="E1517" s="6" t="s">
        <v>1425</v>
      </c>
    </row>
    <row r="1518" hidden="1">
      <c r="A1518" s="10" t="s">
        <v>1414</v>
      </c>
      <c r="B1518" s="3" t="s">
        <v>1415</v>
      </c>
      <c r="C1518" s="4" t="s">
        <v>3</v>
      </c>
      <c r="D1518" s="5" t="s">
        <v>28</v>
      </c>
      <c r="E1518" s="6" t="s">
        <v>1426</v>
      </c>
    </row>
    <row r="1519" hidden="1">
      <c r="A1519" s="10" t="s">
        <v>1414</v>
      </c>
      <c r="B1519" s="3" t="s">
        <v>1415</v>
      </c>
      <c r="C1519" s="4" t="s">
        <v>3</v>
      </c>
      <c r="D1519" s="5" t="s">
        <v>9</v>
      </c>
      <c r="E1519" s="6" t="s">
        <v>1427</v>
      </c>
    </row>
    <row r="1520" hidden="1">
      <c r="A1520" s="10" t="s">
        <v>1414</v>
      </c>
      <c r="B1520" s="3" t="s">
        <v>1415</v>
      </c>
      <c r="C1520" s="4" t="s">
        <v>3</v>
      </c>
      <c r="D1520" s="5" t="s">
        <v>13</v>
      </c>
      <c r="E1520" s="6" t="s">
        <v>30</v>
      </c>
    </row>
    <row r="1521" hidden="1">
      <c r="A1521" s="10" t="s">
        <v>632</v>
      </c>
      <c r="B1521" s="3" t="s">
        <v>1428</v>
      </c>
      <c r="C1521" s="4" t="s">
        <v>3</v>
      </c>
      <c r="D1521" s="5" t="s">
        <v>96</v>
      </c>
      <c r="E1521" s="6" t="s">
        <v>822</v>
      </c>
    </row>
    <row r="1522">
      <c r="A1522" s="10" t="s">
        <v>632</v>
      </c>
      <c r="B1522" s="3" t="s">
        <v>1428</v>
      </c>
      <c r="C1522" s="4" t="s">
        <v>8</v>
      </c>
      <c r="D1522" s="5" t="s">
        <v>21</v>
      </c>
      <c r="E1522" s="6" t="s">
        <v>1429</v>
      </c>
    </row>
    <row r="1523">
      <c r="A1523" s="10" t="s">
        <v>632</v>
      </c>
      <c r="B1523" s="3" t="s">
        <v>1428</v>
      </c>
      <c r="C1523" s="4" t="s">
        <v>8</v>
      </c>
      <c r="D1523" s="5" t="s">
        <v>6</v>
      </c>
      <c r="E1523" s="6" t="s">
        <v>1430</v>
      </c>
    </row>
    <row r="1524" hidden="1">
      <c r="A1524" s="10" t="s">
        <v>632</v>
      </c>
      <c r="B1524" s="3" t="s">
        <v>1428</v>
      </c>
      <c r="C1524" s="4" t="s">
        <v>3</v>
      </c>
      <c r="D1524" s="5" t="s">
        <v>21</v>
      </c>
      <c r="E1524" s="6" t="s">
        <v>1057</v>
      </c>
    </row>
    <row r="1525" hidden="1">
      <c r="A1525" s="10" t="s">
        <v>632</v>
      </c>
      <c r="B1525" s="3" t="s">
        <v>1428</v>
      </c>
      <c r="C1525" s="4" t="s">
        <v>3</v>
      </c>
      <c r="D1525" s="5" t="s">
        <v>120</v>
      </c>
      <c r="E1525" s="6" t="s">
        <v>1431</v>
      </c>
    </row>
    <row r="1526" hidden="1">
      <c r="A1526" s="10" t="s">
        <v>632</v>
      </c>
      <c r="B1526" s="3" t="s">
        <v>1428</v>
      </c>
      <c r="C1526" s="4" t="s">
        <v>3</v>
      </c>
      <c r="D1526" s="5" t="s">
        <v>76</v>
      </c>
      <c r="E1526" s="6" t="s">
        <v>1412</v>
      </c>
    </row>
    <row r="1527" hidden="1">
      <c r="A1527" s="10" t="s">
        <v>632</v>
      </c>
      <c r="B1527" s="3" t="s">
        <v>1428</v>
      </c>
      <c r="C1527" s="4" t="s">
        <v>3</v>
      </c>
      <c r="D1527" s="5" t="s">
        <v>23</v>
      </c>
      <c r="E1527" s="6" t="s">
        <v>1432</v>
      </c>
    </row>
    <row r="1528" hidden="1">
      <c r="A1528" s="10" t="s">
        <v>632</v>
      </c>
      <c r="B1528" s="3" t="s">
        <v>1428</v>
      </c>
      <c r="C1528" s="4" t="s">
        <v>3</v>
      </c>
      <c r="D1528" s="5" t="s">
        <v>11</v>
      </c>
      <c r="E1528" s="6" t="s">
        <v>1433</v>
      </c>
    </row>
    <row r="1529" hidden="1">
      <c r="A1529" s="10" t="s">
        <v>632</v>
      </c>
      <c r="B1529" s="3" t="s">
        <v>1428</v>
      </c>
      <c r="C1529" s="4" t="s">
        <v>3</v>
      </c>
      <c r="D1529" s="5" t="s">
        <v>13</v>
      </c>
      <c r="E1529" s="6" t="s">
        <v>1434</v>
      </c>
    </row>
    <row r="1530" hidden="1">
      <c r="A1530" s="10" t="s">
        <v>632</v>
      </c>
      <c r="B1530" s="3" t="s">
        <v>1428</v>
      </c>
      <c r="C1530" s="4" t="s">
        <v>3</v>
      </c>
      <c r="D1530" s="5" t="s">
        <v>51</v>
      </c>
      <c r="E1530" s="6" t="s">
        <v>1435</v>
      </c>
    </row>
    <row r="1531" hidden="1">
      <c r="A1531" s="10" t="s">
        <v>632</v>
      </c>
      <c r="B1531" s="3" t="s">
        <v>1428</v>
      </c>
      <c r="C1531" s="4" t="s">
        <v>3</v>
      </c>
      <c r="D1531" s="5" t="s">
        <v>11</v>
      </c>
      <c r="E1531" s="6" t="s">
        <v>1436</v>
      </c>
    </row>
    <row r="1532" hidden="1">
      <c r="A1532" s="10" t="s">
        <v>632</v>
      </c>
      <c r="B1532" s="3" t="s">
        <v>1428</v>
      </c>
      <c r="C1532" s="4" t="s">
        <v>3</v>
      </c>
      <c r="D1532" s="5" t="s">
        <v>76</v>
      </c>
      <c r="E1532" s="6" t="s">
        <v>1437</v>
      </c>
    </row>
    <row r="1533">
      <c r="A1533" s="10" t="s">
        <v>632</v>
      </c>
      <c r="B1533" s="3" t="s">
        <v>1428</v>
      </c>
      <c r="C1533" s="4" t="s">
        <v>8</v>
      </c>
      <c r="D1533" s="5" t="s">
        <v>15</v>
      </c>
      <c r="E1533" s="6" t="s">
        <v>1438</v>
      </c>
    </row>
    <row r="1534">
      <c r="A1534" s="10" t="s">
        <v>632</v>
      </c>
      <c r="B1534" s="3" t="s">
        <v>1428</v>
      </c>
      <c r="C1534" s="4" t="s">
        <v>8</v>
      </c>
      <c r="D1534" s="5" t="s">
        <v>120</v>
      </c>
      <c r="E1534" s="6" t="s">
        <v>695</v>
      </c>
    </row>
    <row r="1535" hidden="1">
      <c r="A1535" s="10" t="s">
        <v>632</v>
      </c>
      <c r="B1535" s="3" t="s">
        <v>1428</v>
      </c>
      <c r="C1535" s="4" t="s">
        <v>3</v>
      </c>
      <c r="D1535" s="5" t="s">
        <v>96</v>
      </c>
      <c r="E1535" s="6" t="s">
        <v>1439</v>
      </c>
    </row>
    <row r="1536">
      <c r="A1536" s="10" t="s">
        <v>632</v>
      </c>
      <c r="B1536" s="3" t="s">
        <v>1428</v>
      </c>
      <c r="C1536" s="4" t="s">
        <v>8</v>
      </c>
      <c r="D1536" s="5" t="s">
        <v>15</v>
      </c>
      <c r="E1536" s="6" t="s">
        <v>1440</v>
      </c>
    </row>
    <row r="1537">
      <c r="A1537" s="10" t="s">
        <v>632</v>
      </c>
      <c r="B1537" s="3" t="s">
        <v>1428</v>
      </c>
      <c r="C1537" s="4" t="s">
        <v>8</v>
      </c>
      <c r="D1537" s="5" t="s">
        <v>6</v>
      </c>
      <c r="E1537" s="6" t="s">
        <v>1441</v>
      </c>
    </row>
    <row r="1538">
      <c r="A1538" s="10" t="s">
        <v>632</v>
      </c>
      <c r="B1538" s="3" t="s">
        <v>1428</v>
      </c>
      <c r="C1538" s="4" t="s">
        <v>8</v>
      </c>
      <c r="D1538" s="5" t="s">
        <v>9</v>
      </c>
      <c r="E1538" s="6" t="s">
        <v>1442</v>
      </c>
    </row>
    <row r="1539">
      <c r="A1539" s="10" t="s">
        <v>632</v>
      </c>
      <c r="B1539" s="3" t="s">
        <v>1428</v>
      </c>
      <c r="C1539" s="4" t="s">
        <v>8</v>
      </c>
      <c r="D1539" s="5" t="s">
        <v>76</v>
      </c>
      <c r="E1539" s="6" t="s">
        <v>1304</v>
      </c>
    </row>
    <row r="1540" hidden="1">
      <c r="A1540" s="10" t="s">
        <v>632</v>
      </c>
      <c r="B1540" s="3" t="s">
        <v>1428</v>
      </c>
      <c r="C1540" s="4" t="s">
        <v>3</v>
      </c>
      <c r="D1540" s="5" t="s">
        <v>9</v>
      </c>
      <c r="E1540" s="6" t="s">
        <v>1207</v>
      </c>
    </row>
    <row r="1541" hidden="1">
      <c r="A1541" s="10" t="s">
        <v>1443</v>
      </c>
      <c r="B1541" s="3" t="s">
        <v>1444</v>
      </c>
      <c r="C1541" s="4" t="s">
        <v>3</v>
      </c>
      <c r="D1541" s="5" t="s">
        <v>6</v>
      </c>
      <c r="E1541" s="6" t="s">
        <v>1035</v>
      </c>
    </row>
    <row r="1542">
      <c r="A1542" s="10" t="s">
        <v>1443</v>
      </c>
      <c r="B1542" s="3" t="s">
        <v>1444</v>
      </c>
      <c r="C1542" s="4" t="s">
        <v>8</v>
      </c>
      <c r="D1542" s="5" t="s">
        <v>23</v>
      </c>
      <c r="E1542" s="6" t="s">
        <v>1445</v>
      </c>
    </row>
    <row r="1543">
      <c r="A1543" s="10" t="s">
        <v>1443</v>
      </c>
      <c r="B1543" s="3" t="s">
        <v>1444</v>
      </c>
      <c r="C1543" s="4" t="s">
        <v>8</v>
      </c>
      <c r="D1543" s="5" t="s">
        <v>35</v>
      </c>
      <c r="E1543" s="6" t="s">
        <v>1446</v>
      </c>
    </row>
    <row r="1544">
      <c r="A1544" s="10" t="s">
        <v>1443</v>
      </c>
      <c r="B1544" s="3" t="s">
        <v>1444</v>
      </c>
      <c r="C1544" s="4" t="s">
        <v>8</v>
      </c>
      <c r="D1544" s="5" t="s">
        <v>9</v>
      </c>
      <c r="E1544" s="6" t="s">
        <v>772</v>
      </c>
    </row>
    <row r="1545" hidden="1">
      <c r="A1545" s="10" t="s">
        <v>1443</v>
      </c>
      <c r="B1545" s="3" t="s">
        <v>1444</v>
      </c>
      <c r="C1545" s="4" t="s">
        <v>3</v>
      </c>
      <c r="D1545" s="5" t="s">
        <v>13</v>
      </c>
      <c r="E1545" s="6" t="s">
        <v>1447</v>
      </c>
    </row>
    <row r="1546" hidden="1">
      <c r="A1546" s="10" t="s">
        <v>1443</v>
      </c>
      <c r="B1546" s="3" t="s">
        <v>1444</v>
      </c>
      <c r="C1546" s="4" t="s">
        <v>3</v>
      </c>
      <c r="D1546" s="5" t="s">
        <v>6</v>
      </c>
      <c r="E1546" s="6" t="s">
        <v>1448</v>
      </c>
    </row>
    <row r="1547" hidden="1">
      <c r="A1547" s="10" t="s">
        <v>1443</v>
      </c>
      <c r="B1547" s="3" t="s">
        <v>1444</v>
      </c>
      <c r="C1547" s="4" t="s">
        <v>3</v>
      </c>
      <c r="D1547" s="5" t="s">
        <v>96</v>
      </c>
      <c r="E1547" s="6" t="s">
        <v>758</v>
      </c>
    </row>
    <row r="1548" hidden="1">
      <c r="A1548" s="10" t="s">
        <v>1443</v>
      </c>
      <c r="B1548" s="3" t="s">
        <v>1444</v>
      </c>
      <c r="C1548" s="4" t="s">
        <v>3</v>
      </c>
      <c r="D1548" s="5" t="s">
        <v>19</v>
      </c>
      <c r="E1548" s="6" t="s">
        <v>1025</v>
      </c>
    </row>
    <row r="1549">
      <c r="A1549" s="10" t="s">
        <v>1443</v>
      </c>
      <c r="B1549" s="3" t="s">
        <v>1444</v>
      </c>
      <c r="C1549" s="4" t="s">
        <v>8</v>
      </c>
      <c r="D1549" s="5" t="s">
        <v>96</v>
      </c>
      <c r="E1549" s="6" t="s">
        <v>296</v>
      </c>
    </row>
    <row r="1550" hidden="1">
      <c r="A1550" s="10" t="s">
        <v>1443</v>
      </c>
      <c r="B1550" s="3" t="s">
        <v>1444</v>
      </c>
      <c r="C1550" s="4" t="s">
        <v>3</v>
      </c>
      <c r="D1550" s="5" t="s">
        <v>39</v>
      </c>
      <c r="E1550" s="6" t="s">
        <v>1449</v>
      </c>
    </row>
    <row r="1551" hidden="1">
      <c r="A1551" s="10" t="s">
        <v>1443</v>
      </c>
      <c r="B1551" s="3" t="s">
        <v>1444</v>
      </c>
      <c r="C1551" s="4" t="s">
        <v>3</v>
      </c>
      <c r="D1551" s="5" t="s">
        <v>51</v>
      </c>
      <c r="E1551" s="6" t="s">
        <v>255</v>
      </c>
    </row>
    <row r="1552">
      <c r="A1552" s="10" t="s">
        <v>1443</v>
      </c>
      <c r="B1552" s="3" t="s">
        <v>1444</v>
      </c>
      <c r="C1552" s="4" t="s">
        <v>8</v>
      </c>
      <c r="D1552" s="5" t="s">
        <v>21</v>
      </c>
      <c r="E1552" s="6" t="s">
        <v>197</v>
      </c>
    </row>
    <row r="1553" hidden="1">
      <c r="A1553" s="10" t="s">
        <v>1443</v>
      </c>
      <c r="B1553" s="3" t="s">
        <v>1444</v>
      </c>
      <c r="C1553" s="4" t="s">
        <v>3</v>
      </c>
      <c r="D1553" s="5" t="s">
        <v>39</v>
      </c>
      <c r="E1553" s="6" t="s">
        <v>1377</v>
      </c>
    </row>
    <row r="1554">
      <c r="A1554" s="10" t="s">
        <v>1443</v>
      </c>
      <c r="B1554" s="3" t="s">
        <v>1444</v>
      </c>
      <c r="C1554" s="4" t="s">
        <v>8</v>
      </c>
      <c r="D1554" s="5" t="s">
        <v>96</v>
      </c>
      <c r="E1554" s="6" t="s">
        <v>1450</v>
      </c>
    </row>
    <row r="1555">
      <c r="A1555" s="10" t="s">
        <v>1443</v>
      </c>
      <c r="B1555" s="3" t="s">
        <v>1444</v>
      </c>
      <c r="C1555" s="4" t="s">
        <v>8</v>
      </c>
      <c r="D1555" s="5" t="s">
        <v>42</v>
      </c>
      <c r="E1555" s="6" t="s">
        <v>1045</v>
      </c>
    </row>
    <row r="1556">
      <c r="A1556" s="10" t="s">
        <v>1443</v>
      </c>
      <c r="B1556" s="3" t="s">
        <v>1444</v>
      </c>
      <c r="C1556" s="4" t="s">
        <v>8</v>
      </c>
      <c r="D1556" s="5" t="s">
        <v>15</v>
      </c>
      <c r="E1556" s="6" t="s">
        <v>1451</v>
      </c>
    </row>
    <row r="1557">
      <c r="A1557" s="10" t="s">
        <v>1443</v>
      </c>
      <c r="B1557" s="3" t="s">
        <v>1444</v>
      </c>
      <c r="C1557" s="4" t="s">
        <v>8</v>
      </c>
      <c r="D1557" s="5" t="s">
        <v>96</v>
      </c>
      <c r="E1557" s="6" t="s">
        <v>255</v>
      </c>
    </row>
    <row r="1558">
      <c r="A1558" s="10" t="s">
        <v>1443</v>
      </c>
      <c r="B1558" s="3" t="s">
        <v>1444</v>
      </c>
      <c r="C1558" s="4" t="s">
        <v>8</v>
      </c>
      <c r="D1558" s="5" t="s">
        <v>21</v>
      </c>
      <c r="E1558" s="6" t="s">
        <v>793</v>
      </c>
    </row>
    <row r="1559">
      <c r="A1559" s="10" t="s">
        <v>1443</v>
      </c>
      <c r="B1559" s="3" t="s">
        <v>1444</v>
      </c>
      <c r="C1559" s="4" t="s">
        <v>8</v>
      </c>
      <c r="D1559" s="5" t="s">
        <v>15</v>
      </c>
      <c r="E1559" s="6" t="s">
        <v>548</v>
      </c>
    </row>
    <row r="1560">
      <c r="A1560" s="10" t="s">
        <v>1443</v>
      </c>
      <c r="B1560" s="3" t="s">
        <v>1444</v>
      </c>
      <c r="C1560" s="4" t="s">
        <v>8</v>
      </c>
      <c r="D1560" s="5" t="s">
        <v>15</v>
      </c>
      <c r="E1560" s="6" t="s">
        <v>1452</v>
      </c>
    </row>
    <row r="1561">
      <c r="A1561" s="10" t="s">
        <v>1453</v>
      </c>
      <c r="B1561" s="3" t="s">
        <v>1454</v>
      </c>
      <c r="C1561" s="4" t="s">
        <v>8</v>
      </c>
      <c r="D1561" s="5" t="s">
        <v>39</v>
      </c>
      <c r="E1561" s="6" t="s">
        <v>1455</v>
      </c>
    </row>
    <row r="1562" hidden="1">
      <c r="A1562" s="10" t="s">
        <v>1453</v>
      </c>
      <c r="B1562" s="3" t="s">
        <v>1454</v>
      </c>
      <c r="C1562" s="4" t="s">
        <v>3</v>
      </c>
      <c r="D1562" s="5" t="s">
        <v>76</v>
      </c>
      <c r="E1562" s="6" t="s">
        <v>1456</v>
      </c>
    </row>
    <row r="1563">
      <c r="A1563" s="10" t="s">
        <v>1453</v>
      </c>
      <c r="B1563" s="3" t="s">
        <v>1454</v>
      </c>
      <c r="C1563" s="4" t="s">
        <v>8</v>
      </c>
      <c r="D1563" s="5" t="s">
        <v>4</v>
      </c>
      <c r="E1563" s="6" t="s">
        <v>1457</v>
      </c>
    </row>
    <row r="1564">
      <c r="A1564" s="10" t="s">
        <v>1453</v>
      </c>
      <c r="B1564" s="3" t="s">
        <v>1454</v>
      </c>
      <c r="C1564" s="4" t="s">
        <v>8</v>
      </c>
      <c r="D1564" s="5" t="s">
        <v>42</v>
      </c>
      <c r="E1564" s="6" t="s">
        <v>208</v>
      </c>
    </row>
    <row r="1565">
      <c r="A1565" s="10" t="s">
        <v>1453</v>
      </c>
      <c r="B1565" s="3" t="s">
        <v>1454</v>
      </c>
      <c r="C1565" s="4" t="s">
        <v>8</v>
      </c>
      <c r="D1565" s="5" t="s">
        <v>28</v>
      </c>
      <c r="E1565" s="6" t="s">
        <v>1458</v>
      </c>
    </row>
    <row r="1566">
      <c r="A1566" s="10" t="s">
        <v>1453</v>
      </c>
      <c r="B1566" s="3" t="s">
        <v>1454</v>
      </c>
      <c r="C1566" s="4" t="s">
        <v>8</v>
      </c>
      <c r="D1566" s="5" t="s">
        <v>19</v>
      </c>
      <c r="E1566" s="6" t="s">
        <v>1160</v>
      </c>
    </row>
    <row r="1567">
      <c r="A1567" s="10" t="s">
        <v>1453</v>
      </c>
      <c r="B1567" s="3" t="s">
        <v>1454</v>
      </c>
      <c r="C1567" s="4" t="s">
        <v>8</v>
      </c>
      <c r="D1567" s="5" t="s">
        <v>96</v>
      </c>
      <c r="E1567" s="6" t="s">
        <v>160</v>
      </c>
    </row>
    <row r="1568" hidden="1">
      <c r="A1568" s="10" t="s">
        <v>1453</v>
      </c>
      <c r="B1568" s="3" t="s">
        <v>1454</v>
      </c>
      <c r="C1568" s="4" t="s">
        <v>3</v>
      </c>
      <c r="D1568" s="5" t="s">
        <v>17</v>
      </c>
      <c r="E1568" s="6" t="s">
        <v>1459</v>
      </c>
    </row>
    <row r="1569">
      <c r="A1569" s="10" t="s">
        <v>1453</v>
      </c>
      <c r="B1569" s="3" t="s">
        <v>1454</v>
      </c>
      <c r="C1569" s="4" t="s">
        <v>8</v>
      </c>
      <c r="D1569" s="5" t="s">
        <v>120</v>
      </c>
      <c r="E1569" s="6" t="s">
        <v>1460</v>
      </c>
    </row>
    <row r="1570">
      <c r="A1570" s="10" t="s">
        <v>1453</v>
      </c>
      <c r="B1570" s="3" t="s">
        <v>1454</v>
      </c>
      <c r="C1570" s="4" t="s">
        <v>8</v>
      </c>
      <c r="D1570" s="5" t="s">
        <v>11</v>
      </c>
      <c r="E1570" s="6" t="s">
        <v>1461</v>
      </c>
    </row>
    <row r="1571" hidden="1">
      <c r="A1571" s="10" t="s">
        <v>1453</v>
      </c>
      <c r="B1571" s="3" t="s">
        <v>1454</v>
      </c>
      <c r="C1571" s="4" t="s">
        <v>3</v>
      </c>
      <c r="D1571" s="5" t="s">
        <v>71</v>
      </c>
      <c r="E1571" s="6" t="s">
        <v>1462</v>
      </c>
    </row>
    <row r="1572" hidden="1">
      <c r="A1572" s="10" t="s">
        <v>1453</v>
      </c>
      <c r="B1572" s="3" t="s">
        <v>1454</v>
      </c>
      <c r="C1572" s="4" t="s">
        <v>3</v>
      </c>
      <c r="D1572" s="5" t="s">
        <v>42</v>
      </c>
      <c r="E1572" s="6" t="s">
        <v>439</v>
      </c>
    </row>
    <row r="1573" hidden="1">
      <c r="A1573" s="10" t="s">
        <v>1453</v>
      </c>
      <c r="B1573" s="3" t="s">
        <v>1454</v>
      </c>
      <c r="C1573" s="4" t="s">
        <v>3</v>
      </c>
      <c r="D1573" s="5" t="s">
        <v>21</v>
      </c>
      <c r="E1573" s="6" t="s">
        <v>1436</v>
      </c>
    </row>
    <row r="1574">
      <c r="A1574" s="10" t="s">
        <v>1453</v>
      </c>
      <c r="B1574" s="3" t="s">
        <v>1454</v>
      </c>
      <c r="C1574" s="4" t="s">
        <v>8</v>
      </c>
      <c r="D1574" s="5" t="s">
        <v>17</v>
      </c>
      <c r="E1574" s="6" t="s">
        <v>1463</v>
      </c>
    </row>
    <row r="1575">
      <c r="A1575" s="10" t="s">
        <v>1453</v>
      </c>
      <c r="B1575" s="3" t="s">
        <v>1454</v>
      </c>
      <c r="C1575" s="4" t="s">
        <v>8</v>
      </c>
      <c r="D1575" s="5" t="s">
        <v>23</v>
      </c>
      <c r="E1575" s="6" t="s">
        <v>1464</v>
      </c>
    </row>
    <row r="1576">
      <c r="A1576" s="10" t="s">
        <v>1453</v>
      </c>
      <c r="B1576" s="3" t="s">
        <v>1454</v>
      </c>
      <c r="C1576" s="4" t="s">
        <v>8</v>
      </c>
      <c r="D1576" s="5" t="s">
        <v>6</v>
      </c>
      <c r="E1576" s="6" t="s">
        <v>1465</v>
      </c>
    </row>
    <row r="1577" hidden="1">
      <c r="A1577" s="10" t="s">
        <v>1453</v>
      </c>
      <c r="B1577" s="3" t="s">
        <v>1454</v>
      </c>
      <c r="C1577" s="4" t="s">
        <v>3</v>
      </c>
      <c r="D1577" s="5" t="s">
        <v>42</v>
      </c>
      <c r="E1577" s="6" t="s">
        <v>333</v>
      </c>
    </row>
    <row r="1578" hidden="1">
      <c r="A1578" s="10" t="s">
        <v>1453</v>
      </c>
      <c r="B1578" s="3" t="s">
        <v>1454</v>
      </c>
      <c r="C1578" s="4" t="s">
        <v>3</v>
      </c>
      <c r="D1578" s="5" t="s">
        <v>71</v>
      </c>
      <c r="E1578" s="6" t="s">
        <v>1308</v>
      </c>
    </row>
    <row r="1579" hidden="1">
      <c r="A1579" s="10" t="s">
        <v>1453</v>
      </c>
      <c r="B1579" s="3" t="s">
        <v>1454</v>
      </c>
      <c r="C1579" s="4" t="s">
        <v>3</v>
      </c>
      <c r="D1579" s="5" t="s">
        <v>15</v>
      </c>
      <c r="E1579" s="6" t="s">
        <v>1429</v>
      </c>
    </row>
    <row r="1580" hidden="1">
      <c r="A1580" s="10" t="s">
        <v>1453</v>
      </c>
      <c r="B1580" s="3" t="s">
        <v>1454</v>
      </c>
      <c r="C1580" s="4" t="s">
        <v>3</v>
      </c>
      <c r="D1580" s="5" t="s">
        <v>9</v>
      </c>
      <c r="E1580" s="6" t="s">
        <v>1392</v>
      </c>
    </row>
    <row r="1581" hidden="1">
      <c r="A1581" s="10" t="s">
        <v>1466</v>
      </c>
      <c r="B1581" s="3" t="s">
        <v>1467</v>
      </c>
      <c r="C1581" s="4" t="s">
        <v>3</v>
      </c>
      <c r="D1581" s="5" t="s">
        <v>76</v>
      </c>
      <c r="E1581" s="6" t="s">
        <v>1468</v>
      </c>
    </row>
    <row r="1582" hidden="1">
      <c r="A1582" s="10" t="s">
        <v>1466</v>
      </c>
      <c r="B1582" s="3" t="s">
        <v>1467</v>
      </c>
      <c r="C1582" s="4" t="s">
        <v>3</v>
      </c>
      <c r="D1582" s="5" t="s">
        <v>9</v>
      </c>
      <c r="E1582" s="6" t="s">
        <v>1469</v>
      </c>
    </row>
    <row r="1583">
      <c r="A1583" s="10" t="s">
        <v>1466</v>
      </c>
      <c r="B1583" s="3" t="s">
        <v>1467</v>
      </c>
      <c r="C1583" s="4" t="s">
        <v>8</v>
      </c>
      <c r="D1583" s="5" t="s">
        <v>4</v>
      </c>
      <c r="E1583" s="6" t="s">
        <v>1470</v>
      </c>
    </row>
    <row r="1584" hidden="1">
      <c r="A1584" s="10" t="s">
        <v>1466</v>
      </c>
      <c r="B1584" s="3" t="s">
        <v>1467</v>
      </c>
      <c r="C1584" s="4" t="s">
        <v>3</v>
      </c>
      <c r="D1584" s="5" t="s">
        <v>9</v>
      </c>
      <c r="E1584" s="6" t="s">
        <v>1471</v>
      </c>
    </row>
    <row r="1585" hidden="1">
      <c r="A1585" s="10" t="s">
        <v>1466</v>
      </c>
      <c r="B1585" s="3" t="s">
        <v>1467</v>
      </c>
      <c r="C1585" s="4" t="s">
        <v>3</v>
      </c>
      <c r="D1585" s="5" t="s">
        <v>15</v>
      </c>
      <c r="E1585" s="6" t="s">
        <v>615</v>
      </c>
    </row>
    <row r="1586">
      <c r="A1586" s="10" t="s">
        <v>1466</v>
      </c>
      <c r="B1586" s="3" t="s">
        <v>1467</v>
      </c>
      <c r="C1586" s="4" t="s">
        <v>8</v>
      </c>
      <c r="D1586" s="5" t="s">
        <v>120</v>
      </c>
      <c r="E1586" s="6" t="s">
        <v>1472</v>
      </c>
    </row>
    <row r="1587" hidden="1">
      <c r="A1587" s="10" t="s">
        <v>1466</v>
      </c>
      <c r="B1587" s="3" t="s">
        <v>1467</v>
      </c>
      <c r="C1587" s="4" t="s">
        <v>3</v>
      </c>
      <c r="D1587" s="5" t="s">
        <v>17</v>
      </c>
      <c r="E1587" s="6" t="s">
        <v>1473</v>
      </c>
    </row>
    <row r="1588" hidden="1">
      <c r="A1588" s="10" t="s">
        <v>1466</v>
      </c>
      <c r="B1588" s="3" t="s">
        <v>1467</v>
      </c>
      <c r="C1588" s="4" t="s">
        <v>3</v>
      </c>
      <c r="D1588" s="5" t="s">
        <v>21</v>
      </c>
      <c r="E1588" s="6" t="s">
        <v>1474</v>
      </c>
    </row>
    <row r="1589">
      <c r="A1589" s="10" t="s">
        <v>1466</v>
      </c>
      <c r="B1589" s="3" t="s">
        <v>1467</v>
      </c>
      <c r="C1589" s="4" t="s">
        <v>8</v>
      </c>
      <c r="D1589" s="5" t="s">
        <v>13</v>
      </c>
      <c r="E1589" s="6" t="s">
        <v>1475</v>
      </c>
    </row>
    <row r="1590" hidden="1">
      <c r="A1590" s="10" t="s">
        <v>1466</v>
      </c>
      <c r="B1590" s="3" t="s">
        <v>1467</v>
      </c>
      <c r="C1590" s="4" t="s">
        <v>3</v>
      </c>
      <c r="D1590" s="5" t="s">
        <v>45</v>
      </c>
      <c r="E1590" s="6" t="s">
        <v>1476</v>
      </c>
    </row>
    <row r="1591" hidden="1">
      <c r="A1591" s="10" t="s">
        <v>1466</v>
      </c>
      <c r="B1591" s="3" t="s">
        <v>1467</v>
      </c>
      <c r="C1591" s="4" t="s">
        <v>3</v>
      </c>
      <c r="D1591" s="5" t="s">
        <v>28</v>
      </c>
      <c r="E1591" s="6" t="s">
        <v>1477</v>
      </c>
    </row>
    <row r="1592">
      <c r="A1592" s="10" t="s">
        <v>1466</v>
      </c>
      <c r="B1592" s="3" t="s">
        <v>1467</v>
      </c>
      <c r="C1592" s="4" t="s">
        <v>8</v>
      </c>
      <c r="D1592" s="5" t="s">
        <v>120</v>
      </c>
      <c r="E1592" s="6" t="s">
        <v>1478</v>
      </c>
    </row>
    <row r="1593" hidden="1">
      <c r="A1593" s="10" t="s">
        <v>1466</v>
      </c>
      <c r="B1593" s="3" t="s">
        <v>1467</v>
      </c>
      <c r="C1593" s="4" t="s">
        <v>3</v>
      </c>
      <c r="D1593" s="5" t="s">
        <v>13</v>
      </c>
      <c r="E1593" s="6" t="s">
        <v>1479</v>
      </c>
    </row>
    <row r="1594">
      <c r="A1594" s="10" t="s">
        <v>1466</v>
      </c>
      <c r="B1594" s="3" t="s">
        <v>1467</v>
      </c>
      <c r="C1594" s="4" t="s">
        <v>8</v>
      </c>
      <c r="D1594" s="5" t="s">
        <v>13</v>
      </c>
      <c r="E1594" s="6" t="s">
        <v>1480</v>
      </c>
    </row>
    <row r="1595" hidden="1">
      <c r="A1595" s="10" t="s">
        <v>1466</v>
      </c>
      <c r="B1595" s="3" t="s">
        <v>1467</v>
      </c>
      <c r="C1595" s="4" t="s">
        <v>3</v>
      </c>
      <c r="D1595" s="5" t="s">
        <v>19</v>
      </c>
      <c r="E1595" s="6" t="s">
        <v>1481</v>
      </c>
    </row>
    <row r="1596" hidden="1">
      <c r="A1596" s="10" t="s">
        <v>1466</v>
      </c>
      <c r="B1596" s="3" t="s">
        <v>1467</v>
      </c>
      <c r="C1596" s="4" t="s">
        <v>3</v>
      </c>
      <c r="D1596" s="5" t="s">
        <v>42</v>
      </c>
      <c r="E1596" s="6" t="s">
        <v>105</v>
      </c>
    </row>
    <row r="1597" hidden="1">
      <c r="A1597" s="10" t="s">
        <v>1466</v>
      </c>
      <c r="B1597" s="3" t="s">
        <v>1467</v>
      </c>
      <c r="C1597" s="4" t="s">
        <v>3</v>
      </c>
      <c r="D1597" s="5" t="s">
        <v>51</v>
      </c>
      <c r="E1597" s="6" t="s">
        <v>1482</v>
      </c>
    </row>
    <row r="1598">
      <c r="A1598" s="10" t="s">
        <v>1466</v>
      </c>
      <c r="B1598" s="3" t="s">
        <v>1467</v>
      </c>
      <c r="C1598" s="4" t="s">
        <v>8</v>
      </c>
      <c r="D1598" s="5" t="s">
        <v>6</v>
      </c>
      <c r="E1598" s="6" t="s">
        <v>474</v>
      </c>
    </row>
    <row r="1599" hidden="1">
      <c r="A1599" s="10" t="s">
        <v>1466</v>
      </c>
      <c r="B1599" s="3" t="s">
        <v>1467</v>
      </c>
      <c r="C1599" s="4" t="s">
        <v>3</v>
      </c>
      <c r="D1599" s="5" t="s">
        <v>120</v>
      </c>
      <c r="E1599" s="6" t="s">
        <v>74</v>
      </c>
    </row>
    <row r="1600" hidden="1">
      <c r="A1600" s="10" t="s">
        <v>1466</v>
      </c>
      <c r="B1600" s="3" t="s">
        <v>1467</v>
      </c>
      <c r="C1600" s="4" t="s">
        <v>3</v>
      </c>
      <c r="D1600" s="5" t="s">
        <v>19</v>
      </c>
      <c r="E1600" s="6" t="s">
        <v>615</v>
      </c>
    </row>
    <row r="1601" hidden="1">
      <c r="A1601" s="10" t="s">
        <v>1483</v>
      </c>
      <c r="B1601" s="3" t="s">
        <v>1484</v>
      </c>
      <c r="C1601" s="4" t="s">
        <v>3</v>
      </c>
      <c r="D1601" s="5" t="s">
        <v>39</v>
      </c>
      <c r="E1601" s="6" t="s">
        <v>1485</v>
      </c>
    </row>
    <row r="1602">
      <c r="A1602" s="10" t="s">
        <v>1483</v>
      </c>
      <c r="B1602" s="3" t="s">
        <v>1484</v>
      </c>
      <c r="C1602" s="4" t="s">
        <v>8</v>
      </c>
      <c r="D1602" s="5" t="s">
        <v>42</v>
      </c>
      <c r="E1602" s="6" t="s">
        <v>1014</v>
      </c>
    </row>
    <row r="1603" hidden="1">
      <c r="A1603" s="10" t="s">
        <v>1483</v>
      </c>
      <c r="B1603" s="3" t="s">
        <v>1484</v>
      </c>
      <c r="C1603" s="4" t="s">
        <v>3</v>
      </c>
      <c r="D1603" s="5" t="s">
        <v>13</v>
      </c>
      <c r="E1603" s="6" t="s">
        <v>1393</v>
      </c>
    </row>
    <row r="1604" hidden="1">
      <c r="A1604" s="10" t="s">
        <v>1483</v>
      </c>
      <c r="B1604" s="3" t="s">
        <v>1484</v>
      </c>
      <c r="C1604" s="4" t="s">
        <v>3</v>
      </c>
      <c r="D1604" s="5" t="s">
        <v>9</v>
      </c>
      <c r="E1604" s="6" t="s">
        <v>1486</v>
      </c>
    </row>
    <row r="1605">
      <c r="A1605" s="10" t="s">
        <v>1483</v>
      </c>
      <c r="B1605" s="3" t="s">
        <v>1484</v>
      </c>
      <c r="C1605" s="4" t="s">
        <v>8</v>
      </c>
      <c r="D1605" s="5" t="s">
        <v>9</v>
      </c>
      <c r="E1605" s="6" t="s">
        <v>1487</v>
      </c>
    </row>
    <row r="1606" hidden="1">
      <c r="A1606" s="10" t="s">
        <v>1483</v>
      </c>
      <c r="B1606" s="3" t="s">
        <v>1484</v>
      </c>
      <c r="C1606" s="4" t="s">
        <v>3</v>
      </c>
      <c r="D1606" s="5" t="s">
        <v>28</v>
      </c>
      <c r="E1606" s="6" t="s">
        <v>771</v>
      </c>
    </row>
    <row r="1607" hidden="1">
      <c r="A1607" s="10" t="s">
        <v>1483</v>
      </c>
      <c r="B1607" s="3" t="s">
        <v>1484</v>
      </c>
      <c r="C1607" s="4" t="s">
        <v>3</v>
      </c>
      <c r="D1607" s="5" t="s">
        <v>45</v>
      </c>
      <c r="E1607" s="6" t="s">
        <v>1488</v>
      </c>
    </row>
    <row r="1608" hidden="1">
      <c r="A1608" s="10" t="s">
        <v>1483</v>
      </c>
      <c r="B1608" s="3" t="s">
        <v>1484</v>
      </c>
      <c r="C1608" s="4" t="s">
        <v>3</v>
      </c>
      <c r="D1608" s="5" t="s">
        <v>76</v>
      </c>
      <c r="E1608" s="6" t="s">
        <v>1489</v>
      </c>
    </row>
    <row r="1609">
      <c r="A1609" s="10" t="s">
        <v>1483</v>
      </c>
      <c r="B1609" s="3" t="s">
        <v>1484</v>
      </c>
      <c r="C1609" s="4" t="s">
        <v>8</v>
      </c>
      <c r="D1609" s="5" t="s">
        <v>9</v>
      </c>
      <c r="E1609" s="6" t="s">
        <v>1291</v>
      </c>
    </row>
    <row r="1610">
      <c r="A1610" s="10" t="s">
        <v>1483</v>
      </c>
      <c r="B1610" s="3" t="s">
        <v>1484</v>
      </c>
      <c r="C1610" s="4" t="s">
        <v>8</v>
      </c>
      <c r="D1610" s="5" t="s">
        <v>51</v>
      </c>
      <c r="E1610" s="6" t="s">
        <v>1490</v>
      </c>
    </row>
    <row r="1611" hidden="1">
      <c r="A1611" s="10" t="s">
        <v>1483</v>
      </c>
      <c r="B1611" s="3" t="s">
        <v>1484</v>
      </c>
      <c r="C1611" s="4" t="s">
        <v>3</v>
      </c>
      <c r="D1611" s="5" t="s">
        <v>28</v>
      </c>
      <c r="E1611" s="6" t="s">
        <v>753</v>
      </c>
    </row>
    <row r="1612" hidden="1">
      <c r="A1612" s="10" t="s">
        <v>1483</v>
      </c>
      <c r="B1612" s="3" t="s">
        <v>1484</v>
      </c>
      <c r="C1612" s="4" t="s">
        <v>3</v>
      </c>
      <c r="D1612" s="5" t="s">
        <v>39</v>
      </c>
      <c r="E1612" s="6" t="s">
        <v>1491</v>
      </c>
    </row>
    <row r="1613" hidden="1">
      <c r="A1613" s="10" t="s">
        <v>1483</v>
      </c>
      <c r="B1613" s="3" t="s">
        <v>1484</v>
      </c>
      <c r="C1613" s="4" t="s">
        <v>3</v>
      </c>
      <c r="D1613" s="5" t="s">
        <v>23</v>
      </c>
      <c r="E1613" s="6" t="s">
        <v>1492</v>
      </c>
    </row>
    <row r="1614" hidden="1">
      <c r="A1614" s="10" t="s">
        <v>1483</v>
      </c>
      <c r="B1614" s="3" t="s">
        <v>1484</v>
      </c>
      <c r="C1614" s="4" t="s">
        <v>3</v>
      </c>
      <c r="D1614" s="5" t="s">
        <v>45</v>
      </c>
      <c r="E1614" s="6" t="s">
        <v>1493</v>
      </c>
    </row>
    <row r="1615" hidden="1">
      <c r="A1615" s="10" t="s">
        <v>1483</v>
      </c>
      <c r="B1615" s="3" t="s">
        <v>1484</v>
      </c>
      <c r="C1615" s="4" t="s">
        <v>3</v>
      </c>
      <c r="D1615" s="5" t="s">
        <v>71</v>
      </c>
      <c r="E1615" s="6" t="s">
        <v>1494</v>
      </c>
    </row>
    <row r="1616">
      <c r="A1616" s="10" t="s">
        <v>1483</v>
      </c>
      <c r="B1616" s="3" t="s">
        <v>1484</v>
      </c>
      <c r="C1616" s="4" t="s">
        <v>8</v>
      </c>
      <c r="D1616" s="5" t="s">
        <v>42</v>
      </c>
      <c r="E1616" s="6" t="s">
        <v>951</v>
      </c>
    </row>
    <row r="1617" hidden="1">
      <c r="A1617" s="10" t="s">
        <v>1483</v>
      </c>
      <c r="B1617" s="3" t="s">
        <v>1484</v>
      </c>
      <c r="C1617" s="4" t="s">
        <v>3</v>
      </c>
      <c r="D1617" s="5" t="s">
        <v>96</v>
      </c>
      <c r="E1617" s="6" t="s">
        <v>1495</v>
      </c>
    </row>
    <row r="1618" hidden="1">
      <c r="A1618" s="10" t="s">
        <v>1483</v>
      </c>
      <c r="B1618" s="3" t="s">
        <v>1484</v>
      </c>
      <c r="C1618" s="4" t="s">
        <v>3</v>
      </c>
      <c r="D1618" s="5" t="s">
        <v>42</v>
      </c>
      <c r="E1618" s="6" t="s">
        <v>455</v>
      </c>
    </row>
    <row r="1619" hidden="1">
      <c r="A1619" s="10" t="s">
        <v>1483</v>
      </c>
      <c r="B1619" s="3" t="s">
        <v>1484</v>
      </c>
      <c r="C1619" s="4" t="s">
        <v>3</v>
      </c>
      <c r="D1619" s="5" t="s">
        <v>35</v>
      </c>
      <c r="E1619" s="6" t="s">
        <v>1496</v>
      </c>
    </row>
    <row r="1620">
      <c r="A1620" s="10" t="s">
        <v>1483</v>
      </c>
      <c r="B1620" s="3" t="s">
        <v>1484</v>
      </c>
      <c r="C1620" s="4" t="s">
        <v>8</v>
      </c>
      <c r="D1620" s="5" t="s">
        <v>9</v>
      </c>
      <c r="E1620" s="6" t="s">
        <v>1280</v>
      </c>
    </row>
    <row r="1621">
      <c r="A1621" s="10" t="s">
        <v>1497</v>
      </c>
      <c r="B1621" s="3" t="s">
        <v>1498</v>
      </c>
      <c r="C1621" s="4" t="s">
        <v>8</v>
      </c>
      <c r="D1621" s="5" t="s">
        <v>96</v>
      </c>
      <c r="E1621" s="6" t="s">
        <v>1499</v>
      </c>
    </row>
    <row r="1622" hidden="1">
      <c r="A1622" s="10" t="s">
        <v>1497</v>
      </c>
      <c r="B1622" s="3" t="s">
        <v>1498</v>
      </c>
      <c r="C1622" s="4" t="s">
        <v>3</v>
      </c>
      <c r="D1622" s="5" t="s">
        <v>71</v>
      </c>
      <c r="E1622" s="6" t="s">
        <v>1500</v>
      </c>
    </row>
    <row r="1623" hidden="1">
      <c r="A1623" s="10" t="s">
        <v>1497</v>
      </c>
      <c r="B1623" s="3" t="s">
        <v>1498</v>
      </c>
      <c r="C1623" s="4" t="s">
        <v>3</v>
      </c>
      <c r="D1623" s="5" t="s">
        <v>9</v>
      </c>
      <c r="E1623" s="6" t="s">
        <v>915</v>
      </c>
    </row>
    <row r="1624">
      <c r="A1624" s="10" t="s">
        <v>1497</v>
      </c>
      <c r="B1624" s="3" t="s">
        <v>1498</v>
      </c>
      <c r="C1624" s="4" t="s">
        <v>8</v>
      </c>
      <c r="D1624" s="5" t="s">
        <v>96</v>
      </c>
      <c r="E1624" s="6" t="s">
        <v>114</v>
      </c>
    </row>
    <row r="1625">
      <c r="A1625" s="10" t="s">
        <v>1497</v>
      </c>
      <c r="B1625" s="3" t="s">
        <v>1498</v>
      </c>
      <c r="C1625" s="4" t="s">
        <v>8</v>
      </c>
      <c r="D1625" s="5" t="s">
        <v>19</v>
      </c>
      <c r="E1625" s="6" t="s">
        <v>1501</v>
      </c>
    </row>
    <row r="1626">
      <c r="A1626" s="10" t="s">
        <v>1497</v>
      </c>
      <c r="B1626" s="3" t="s">
        <v>1498</v>
      </c>
      <c r="C1626" s="4" t="s">
        <v>8</v>
      </c>
      <c r="D1626" s="5" t="s">
        <v>96</v>
      </c>
      <c r="E1626" s="6" t="s">
        <v>655</v>
      </c>
    </row>
    <row r="1627">
      <c r="A1627" s="10" t="s">
        <v>1497</v>
      </c>
      <c r="B1627" s="3" t="s">
        <v>1498</v>
      </c>
      <c r="C1627" s="4" t="s">
        <v>8</v>
      </c>
      <c r="D1627" s="5" t="s">
        <v>96</v>
      </c>
      <c r="E1627" s="6" t="s">
        <v>1502</v>
      </c>
    </row>
    <row r="1628">
      <c r="A1628" s="10" t="s">
        <v>1497</v>
      </c>
      <c r="B1628" s="3" t="s">
        <v>1498</v>
      </c>
      <c r="C1628" s="4" t="s">
        <v>8</v>
      </c>
      <c r="D1628" s="5" t="s">
        <v>13</v>
      </c>
      <c r="E1628" s="6" t="s">
        <v>1503</v>
      </c>
    </row>
    <row r="1629" hidden="1">
      <c r="A1629" s="10" t="s">
        <v>1497</v>
      </c>
      <c r="B1629" s="3" t="s">
        <v>1498</v>
      </c>
      <c r="C1629" s="4" t="s">
        <v>3</v>
      </c>
      <c r="D1629" s="5" t="s">
        <v>23</v>
      </c>
      <c r="E1629" s="6" t="s">
        <v>1504</v>
      </c>
    </row>
    <row r="1630" hidden="1">
      <c r="A1630" s="10" t="s">
        <v>1497</v>
      </c>
      <c r="B1630" s="3" t="s">
        <v>1498</v>
      </c>
      <c r="C1630" s="4" t="s">
        <v>3</v>
      </c>
      <c r="D1630" s="5" t="s">
        <v>11</v>
      </c>
      <c r="E1630" s="6" t="s">
        <v>1505</v>
      </c>
    </row>
    <row r="1631" hidden="1">
      <c r="A1631" s="10" t="s">
        <v>1497</v>
      </c>
      <c r="B1631" s="3" t="s">
        <v>1498</v>
      </c>
      <c r="C1631" s="4" t="s">
        <v>3</v>
      </c>
      <c r="D1631" s="5" t="s">
        <v>45</v>
      </c>
      <c r="E1631" s="6" t="s">
        <v>1506</v>
      </c>
    </row>
    <row r="1632">
      <c r="A1632" s="10" t="s">
        <v>1497</v>
      </c>
      <c r="B1632" s="3" t="s">
        <v>1498</v>
      </c>
      <c r="C1632" s="4" t="s">
        <v>8</v>
      </c>
      <c r="D1632" s="5" t="s">
        <v>39</v>
      </c>
      <c r="E1632" s="6" t="s">
        <v>1507</v>
      </c>
    </row>
    <row r="1633" hidden="1">
      <c r="A1633" s="10" t="s">
        <v>1497</v>
      </c>
      <c r="B1633" s="3" t="s">
        <v>1498</v>
      </c>
      <c r="C1633" s="4" t="s">
        <v>3</v>
      </c>
      <c r="D1633" s="5" t="s">
        <v>13</v>
      </c>
      <c r="E1633" s="6" t="s">
        <v>1508</v>
      </c>
    </row>
    <row r="1634" hidden="1">
      <c r="A1634" s="10" t="s">
        <v>1497</v>
      </c>
      <c r="B1634" s="3" t="s">
        <v>1498</v>
      </c>
      <c r="C1634" s="4" t="s">
        <v>3</v>
      </c>
      <c r="D1634" s="5" t="s">
        <v>39</v>
      </c>
      <c r="E1634" s="6" t="s">
        <v>1509</v>
      </c>
    </row>
    <row r="1635" hidden="1">
      <c r="A1635" s="10" t="s">
        <v>1497</v>
      </c>
      <c r="B1635" s="3" t="s">
        <v>1498</v>
      </c>
      <c r="C1635" s="4" t="s">
        <v>3</v>
      </c>
      <c r="D1635" s="5" t="s">
        <v>76</v>
      </c>
      <c r="E1635" s="6" t="s">
        <v>1510</v>
      </c>
    </row>
    <row r="1636" hidden="1">
      <c r="A1636" s="10" t="s">
        <v>1497</v>
      </c>
      <c r="B1636" s="3" t="s">
        <v>1498</v>
      </c>
      <c r="C1636" s="4" t="s">
        <v>3</v>
      </c>
      <c r="D1636" s="5" t="s">
        <v>11</v>
      </c>
      <c r="E1636" s="6" t="s">
        <v>1511</v>
      </c>
    </row>
    <row r="1637">
      <c r="A1637" s="10" t="s">
        <v>1497</v>
      </c>
      <c r="B1637" s="3" t="s">
        <v>1498</v>
      </c>
      <c r="C1637" s="4" t="s">
        <v>8</v>
      </c>
      <c r="D1637" s="5" t="s">
        <v>9</v>
      </c>
      <c r="E1637" s="6" t="s">
        <v>1512</v>
      </c>
    </row>
    <row r="1638">
      <c r="A1638" s="10" t="s">
        <v>1497</v>
      </c>
      <c r="B1638" s="3" t="s">
        <v>1498</v>
      </c>
      <c r="C1638" s="4" t="s">
        <v>8</v>
      </c>
      <c r="D1638" s="5" t="s">
        <v>19</v>
      </c>
      <c r="E1638" s="6" t="s">
        <v>1513</v>
      </c>
    </row>
    <row r="1639">
      <c r="A1639" s="10" t="s">
        <v>1497</v>
      </c>
      <c r="B1639" s="3" t="s">
        <v>1498</v>
      </c>
      <c r="C1639" s="4" t="s">
        <v>8</v>
      </c>
      <c r="D1639" s="5" t="s">
        <v>9</v>
      </c>
      <c r="E1639" s="6" t="s">
        <v>737</v>
      </c>
    </row>
    <row r="1640">
      <c r="A1640" s="10" t="s">
        <v>1497</v>
      </c>
      <c r="B1640" s="3" t="s">
        <v>1498</v>
      </c>
      <c r="C1640" s="4" t="s">
        <v>8</v>
      </c>
      <c r="D1640" s="5" t="s">
        <v>42</v>
      </c>
      <c r="E1640" s="6" t="s">
        <v>1185</v>
      </c>
    </row>
    <row r="1641" hidden="1">
      <c r="A1641" s="10" t="s">
        <v>1514</v>
      </c>
      <c r="B1641" s="3" t="s">
        <v>1515</v>
      </c>
      <c r="C1641" s="4" t="s">
        <v>3</v>
      </c>
      <c r="D1641" s="5" t="s">
        <v>4</v>
      </c>
      <c r="E1641" s="6" t="s">
        <v>1516</v>
      </c>
    </row>
    <row r="1642" hidden="1">
      <c r="A1642" s="10" t="s">
        <v>1514</v>
      </c>
      <c r="B1642" s="3" t="s">
        <v>1515</v>
      </c>
      <c r="C1642" s="4" t="s">
        <v>3</v>
      </c>
      <c r="D1642" s="5" t="s">
        <v>39</v>
      </c>
      <c r="E1642" s="6" t="s">
        <v>1517</v>
      </c>
    </row>
    <row r="1643" hidden="1">
      <c r="A1643" s="10" t="s">
        <v>1514</v>
      </c>
      <c r="B1643" s="3" t="s">
        <v>1515</v>
      </c>
      <c r="C1643" s="4" t="s">
        <v>3</v>
      </c>
      <c r="D1643" s="5" t="s">
        <v>42</v>
      </c>
      <c r="E1643" s="6" t="s">
        <v>521</v>
      </c>
    </row>
    <row r="1644">
      <c r="A1644" s="10" t="s">
        <v>1514</v>
      </c>
      <c r="B1644" s="3" t="s">
        <v>1515</v>
      </c>
      <c r="C1644" s="4" t="s">
        <v>8</v>
      </c>
      <c r="D1644" s="5" t="s">
        <v>120</v>
      </c>
      <c r="E1644" s="6" t="s">
        <v>1518</v>
      </c>
    </row>
    <row r="1645">
      <c r="A1645" s="10" t="s">
        <v>1514</v>
      </c>
      <c r="B1645" s="3" t="s">
        <v>1515</v>
      </c>
      <c r="C1645" s="4" t="s">
        <v>8</v>
      </c>
      <c r="D1645" s="5" t="s">
        <v>17</v>
      </c>
      <c r="E1645" s="6" t="s">
        <v>1519</v>
      </c>
    </row>
    <row r="1646">
      <c r="A1646" s="10" t="s">
        <v>1514</v>
      </c>
      <c r="B1646" s="3" t="s">
        <v>1515</v>
      </c>
      <c r="C1646" s="4" t="s">
        <v>8</v>
      </c>
      <c r="D1646" s="5" t="s">
        <v>71</v>
      </c>
      <c r="E1646" s="6" t="s">
        <v>1520</v>
      </c>
    </row>
    <row r="1647" hidden="1">
      <c r="A1647" s="10" t="s">
        <v>1514</v>
      </c>
      <c r="B1647" s="3" t="s">
        <v>1515</v>
      </c>
      <c r="C1647" s="4" t="s">
        <v>3</v>
      </c>
      <c r="D1647" s="5" t="s">
        <v>17</v>
      </c>
      <c r="E1647" s="6" t="s">
        <v>353</v>
      </c>
    </row>
    <row r="1648" hidden="1">
      <c r="A1648" s="10" t="s">
        <v>1514</v>
      </c>
      <c r="B1648" s="3" t="s">
        <v>1515</v>
      </c>
      <c r="C1648" s="4" t="s">
        <v>3</v>
      </c>
      <c r="D1648" s="5" t="s">
        <v>71</v>
      </c>
      <c r="E1648" s="6" t="s">
        <v>910</v>
      </c>
    </row>
    <row r="1649">
      <c r="A1649" s="10" t="s">
        <v>1514</v>
      </c>
      <c r="B1649" s="3" t="s">
        <v>1515</v>
      </c>
      <c r="C1649" s="4" t="s">
        <v>8</v>
      </c>
      <c r="D1649" s="5" t="s">
        <v>6</v>
      </c>
      <c r="E1649" s="6" t="s">
        <v>1521</v>
      </c>
    </row>
    <row r="1650">
      <c r="A1650" s="10" t="s">
        <v>1514</v>
      </c>
      <c r="B1650" s="3" t="s">
        <v>1515</v>
      </c>
      <c r="C1650" s="4" t="s">
        <v>8</v>
      </c>
      <c r="D1650" s="5" t="s">
        <v>71</v>
      </c>
      <c r="E1650" s="6" t="s">
        <v>1522</v>
      </c>
    </row>
    <row r="1651">
      <c r="A1651" s="10" t="s">
        <v>1514</v>
      </c>
      <c r="B1651" s="3" t="s">
        <v>1515</v>
      </c>
      <c r="C1651" s="4" t="s">
        <v>8</v>
      </c>
      <c r="D1651" s="5" t="s">
        <v>120</v>
      </c>
      <c r="E1651" s="6" t="s">
        <v>1523</v>
      </c>
    </row>
    <row r="1652" hidden="1">
      <c r="A1652" s="10" t="s">
        <v>1514</v>
      </c>
      <c r="B1652" s="3" t="s">
        <v>1515</v>
      </c>
      <c r="C1652" s="4" t="s">
        <v>3</v>
      </c>
      <c r="D1652" s="5" t="s">
        <v>71</v>
      </c>
      <c r="E1652" s="6" t="s">
        <v>1524</v>
      </c>
    </row>
    <row r="1653" hidden="1">
      <c r="A1653" s="10" t="s">
        <v>1514</v>
      </c>
      <c r="B1653" s="3" t="s">
        <v>1515</v>
      </c>
      <c r="C1653" s="4" t="s">
        <v>3</v>
      </c>
      <c r="D1653" s="5" t="s">
        <v>120</v>
      </c>
      <c r="E1653" s="6" t="s">
        <v>1525</v>
      </c>
    </row>
    <row r="1654">
      <c r="A1654" s="10" t="s">
        <v>1514</v>
      </c>
      <c r="B1654" s="3" t="s">
        <v>1515</v>
      </c>
      <c r="C1654" s="4" t="s">
        <v>8</v>
      </c>
      <c r="D1654" s="5" t="s">
        <v>120</v>
      </c>
      <c r="E1654" s="6" t="s">
        <v>1526</v>
      </c>
    </row>
    <row r="1655" hidden="1">
      <c r="A1655" s="10" t="s">
        <v>1514</v>
      </c>
      <c r="B1655" s="3" t="s">
        <v>1515</v>
      </c>
      <c r="C1655" s="4" t="s">
        <v>3</v>
      </c>
      <c r="D1655" s="5" t="s">
        <v>96</v>
      </c>
      <c r="E1655" s="6" t="s">
        <v>857</v>
      </c>
    </row>
    <row r="1656" hidden="1">
      <c r="A1656" s="10" t="s">
        <v>1514</v>
      </c>
      <c r="B1656" s="3" t="s">
        <v>1515</v>
      </c>
      <c r="C1656" s="4" t="s">
        <v>3</v>
      </c>
      <c r="D1656" s="5" t="s">
        <v>15</v>
      </c>
      <c r="E1656" s="6" t="s">
        <v>325</v>
      </c>
    </row>
    <row r="1657">
      <c r="A1657" s="10" t="s">
        <v>1514</v>
      </c>
      <c r="B1657" s="3" t="s">
        <v>1515</v>
      </c>
      <c r="C1657" s="4" t="s">
        <v>8</v>
      </c>
      <c r="D1657" s="5" t="s">
        <v>21</v>
      </c>
      <c r="E1657" s="6" t="s">
        <v>1527</v>
      </c>
    </row>
    <row r="1658" hidden="1">
      <c r="A1658" s="10" t="s">
        <v>1514</v>
      </c>
      <c r="B1658" s="3" t="s">
        <v>1515</v>
      </c>
      <c r="C1658" s="4" t="s">
        <v>3</v>
      </c>
      <c r="D1658" s="5" t="s">
        <v>23</v>
      </c>
      <c r="E1658" s="6" t="s">
        <v>1528</v>
      </c>
    </row>
    <row r="1659">
      <c r="A1659" s="10" t="s">
        <v>1514</v>
      </c>
      <c r="B1659" s="3" t="s">
        <v>1515</v>
      </c>
      <c r="C1659" s="4" t="s">
        <v>8</v>
      </c>
      <c r="D1659" s="5" t="s">
        <v>6</v>
      </c>
      <c r="E1659" s="6" t="s">
        <v>1529</v>
      </c>
    </row>
    <row r="1660" hidden="1">
      <c r="A1660" s="10" t="s">
        <v>1514</v>
      </c>
      <c r="B1660" s="3" t="s">
        <v>1515</v>
      </c>
      <c r="C1660" s="4" t="s">
        <v>3</v>
      </c>
      <c r="D1660" s="5" t="s">
        <v>39</v>
      </c>
      <c r="E1660" s="6" t="s">
        <v>1068</v>
      </c>
    </row>
    <row r="1661">
      <c r="A1661" s="10" t="s">
        <v>1530</v>
      </c>
      <c r="B1661" s="3" t="s">
        <v>1531</v>
      </c>
      <c r="C1661" s="4" t="s">
        <v>8</v>
      </c>
      <c r="D1661" s="5" t="s">
        <v>23</v>
      </c>
      <c r="E1661" s="6" t="s">
        <v>1532</v>
      </c>
    </row>
    <row r="1662">
      <c r="A1662" s="10" t="s">
        <v>1530</v>
      </c>
      <c r="B1662" s="3" t="s">
        <v>1531</v>
      </c>
      <c r="C1662" s="4" t="s">
        <v>8</v>
      </c>
      <c r="D1662" s="5" t="s">
        <v>120</v>
      </c>
      <c r="E1662" s="6" t="s">
        <v>1533</v>
      </c>
    </row>
    <row r="1663">
      <c r="A1663" s="10" t="s">
        <v>1530</v>
      </c>
      <c r="B1663" s="3" t="s">
        <v>1531</v>
      </c>
      <c r="C1663" s="4" t="s">
        <v>8</v>
      </c>
      <c r="D1663" s="5" t="s">
        <v>71</v>
      </c>
      <c r="E1663" s="6" t="s">
        <v>1534</v>
      </c>
    </row>
    <row r="1664">
      <c r="A1664" s="10" t="s">
        <v>1530</v>
      </c>
      <c r="B1664" s="3" t="s">
        <v>1531</v>
      </c>
      <c r="C1664" s="4" t="s">
        <v>8</v>
      </c>
      <c r="D1664" s="5" t="s">
        <v>120</v>
      </c>
      <c r="E1664" s="6" t="s">
        <v>1535</v>
      </c>
    </row>
    <row r="1665" hidden="1">
      <c r="A1665" s="10" t="s">
        <v>1530</v>
      </c>
      <c r="B1665" s="3" t="s">
        <v>1531</v>
      </c>
      <c r="C1665" s="4" t="s">
        <v>3</v>
      </c>
      <c r="D1665" s="5" t="s">
        <v>96</v>
      </c>
      <c r="E1665" s="6" t="s">
        <v>1536</v>
      </c>
    </row>
    <row r="1666">
      <c r="A1666" s="10" t="s">
        <v>1530</v>
      </c>
      <c r="B1666" s="3" t="s">
        <v>1531</v>
      </c>
      <c r="C1666" s="4" t="s">
        <v>8</v>
      </c>
      <c r="D1666" s="5" t="s">
        <v>21</v>
      </c>
      <c r="E1666" s="6" t="s">
        <v>764</v>
      </c>
    </row>
    <row r="1667">
      <c r="A1667" s="10" t="s">
        <v>1530</v>
      </c>
      <c r="B1667" s="3" t="s">
        <v>1531</v>
      </c>
      <c r="C1667" s="4" t="s">
        <v>8</v>
      </c>
      <c r="D1667" s="5" t="s">
        <v>4</v>
      </c>
      <c r="E1667" s="6" t="s">
        <v>1537</v>
      </c>
    </row>
    <row r="1668">
      <c r="A1668" s="10" t="s">
        <v>1530</v>
      </c>
      <c r="B1668" s="3" t="s">
        <v>1531</v>
      </c>
      <c r="C1668" s="4" t="s">
        <v>8</v>
      </c>
      <c r="D1668" s="5" t="s">
        <v>17</v>
      </c>
      <c r="E1668" s="6" t="s">
        <v>1538</v>
      </c>
    </row>
    <row r="1669" hidden="1">
      <c r="A1669" s="10" t="s">
        <v>1530</v>
      </c>
      <c r="B1669" s="3" t="s">
        <v>1531</v>
      </c>
      <c r="C1669" s="4" t="s">
        <v>3</v>
      </c>
      <c r="D1669" s="5" t="s">
        <v>17</v>
      </c>
      <c r="E1669" s="6" t="s">
        <v>611</v>
      </c>
    </row>
    <row r="1670">
      <c r="A1670" s="10" t="s">
        <v>1530</v>
      </c>
      <c r="B1670" s="3" t="s">
        <v>1531</v>
      </c>
      <c r="C1670" s="4" t="s">
        <v>8</v>
      </c>
      <c r="D1670" s="5" t="s">
        <v>21</v>
      </c>
      <c r="E1670" s="6" t="s">
        <v>1539</v>
      </c>
    </row>
    <row r="1671" hidden="1">
      <c r="A1671" s="10" t="s">
        <v>1530</v>
      </c>
      <c r="B1671" s="3" t="s">
        <v>1531</v>
      </c>
      <c r="C1671" s="4" t="s">
        <v>3</v>
      </c>
      <c r="D1671" s="5" t="s">
        <v>39</v>
      </c>
      <c r="E1671" s="6" t="s">
        <v>1540</v>
      </c>
    </row>
    <row r="1672">
      <c r="A1672" s="10" t="s">
        <v>1530</v>
      </c>
      <c r="B1672" s="3" t="s">
        <v>1531</v>
      </c>
      <c r="C1672" s="4" t="s">
        <v>8</v>
      </c>
      <c r="D1672" s="5" t="s">
        <v>23</v>
      </c>
      <c r="E1672" s="6" t="s">
        <v>1541</v>
      </c>
    </row>
    <row r="1673" hidden="1">
      <c r="A1673" s="10" t="s">
        <v>1530</v>
      </c>
      <c r="B1673" s="3" t="s">
        <v>1531</v>
      </c>
      <c r="C1673" s="4" t="s">
        <v>3</v>
      </c>
      <c r="D1673" s="5" t="s">
        <v>96</v>
      </c>
      <c r="E1673" s="6" t="s">
        <v>1542</v>
      </c>
    </row>
    <row r="1674" hidden="1">
      <c r="A1674" s="10" t="s">
        <v>1530</v>
      </c>
      <c r="B1674" s="3" t="s">
        <v>1531</v>
      </c>
      <c r="C1674" s="4" t="s">
        <v>3</v>
      </c>
      <c r="D1674" s="5" t="s">
        <v>51</v>
      </c>
      <c r="E1674" s="6" t="s">
        <v>1543</v>
      </c>
    </row>
    <row r="1675">
      <c r="A1675" s="10" t="s">
        <v>1530</v>
      </c>
      <c r="B1675" s="3" t="s">
        <v>1531</v>
      </c>
      <c r="C1675" s="4" t="s">
        <v>8</v>
      </c>
      <c r="D1675" s="5" t="s">
        <v>15</v>
      </c>
      <c r="E1675" s="6" t="s">
        <v>1230</v>
      </c>
    </row>
    <row r="1676" hidden="1">
      <c r="A1676" s="10" t="s">
        <v>1530</v>
      </c>
      <c r="B1676" s="3" t="s">
        <v>1531</v>
      </c>
      <c r="C1676" s="4" t="s">
        <v>3</v>
      </c>
      <c r="D1676" s="5" t="s">
        <v>15</v>
      </c>
      <c r="E1676" s="6" t="s">
        <v>1178</v>
      </c>
    </row>
    <row r="1677">
      <c r="A1677" s="10" t="s">
        <v>1530</v>
      </c>
      <c r="B1677" s="3" t="s">
        <v>1531</v>
      </c>
      <c r="C1677" s="4" t="s">
        <v>8</v>
      </c>
      <c r="D1677" s="5" t="s">
        <v>39</v>
      </c>
      <c r="E1677" s="6" t="s">
        <v>1544</v>
      </c>
    </row>
    <row r="1678">
      <c r="A1678" s="10" t="s">
        <v>1530</v>
      </c>
      <c r="B1678" s="3" t="s">
        <v>1531</v>
      </c>
      <c r="C1678" s="4" t="s">
        <v>8</v>
      </c>
      <c r="D1678" s="5" t="s">
        <v>42</v>
      </c>
      <c r="E1678" s="6" t="s">
        <v>504</v>
      </c>
    </row>
    <row r="1679">
      <c r="A1679" s="10" t="s">
        <v>1530</v>
      </c>
      <c r="B1679" s="3" t="s">
        <v>1531</v>
      </c>
      <c r="C1679" s="4" t="s">
        <v>8</v>
      </c>
      <c r="D1679" s="5" t="s">
        <v>39</v>
      </c>
      <c r="E1679" s="6" t="s">
        <v>1545</v>
      </c>
    </row>
    <row r="1680" hidden="1">
      <c r="A1680" s="10" t="s">
        <v>1530</v>
      </c>
      <c r="B1680" s="3" t="s">
        <v>1531</v>
      </c>
      <c r="C1680" s="4" t="s">
        <v>3</v>
      </c>
      <c r="D1680" s="5" t="s">
        <v>76</v>
      </c>
      <c r="E1680" s="6" t="s">
        <v>1546</v>
      </c>
    </row>
    <row r="1681">
      <c r="A1681" s="10" t="s">
        <v>1547</v>
      </c>
      <c r="B1681" s="3" t="s">
        <v>1548</v>
      </c>
      <c r="C1681" s="4" t="s">
        <v>8</v>
      </c>
      <c r="D1681" s="5" t="s">
        <v>76</v>
      </c>
      <c r="E1681" s="6" t="s">
        <v>329</v>
      </c>
    </row>
    <row r="1682" hidden="1">
      <c r="A1682" s="10" t="s">
        <v>1547</v>
      </c>
      <c r="B1682" s="3" t="s">
        <v>1548</v>
      </c>
      <c r="C1682" s="4" t="s">
        <v>3</v>
      </c>
      <c r="D1682" s="5" t="s">
        <v>17</v>
      </c>
      <c r="E1682" s="6" t="s">
        <v>1549</v>
      </c>
    </row>
    <row r="1683">
      <c r="A1683" s="10" t="s">
        <v>1547</v>
      </c>
      <c r="B1683" s="3" t="s">
        <v>1548</v>
      </c>
      <c r="C1683" s="4" t="s">
        <v>8</v>
      </c>
      <c r="D1683" s="5" t="s">
        <v>71</v>
      </c>
      <c r="E1683" s="6" t="s">
        <v>1550</v>
      </c>
    </row>
    <row r="1684">
      <c r="A1684" s="10" t="s">
        <v>1547</v>
      </c>
      <c r="B1684" s="3" t="s">
        <v>1548</v>
      </c>
      <c r="C1684" s="4" t="s">
        <v>8</v>
      </c>
      <c r="D1684" s="5" t="s">
        <v>28</v>
      </c>
      <c r="E1684" s="6" t="s">
        <v>1426</v>
      </c>
    </row>
    <row r="1685" hidden="1">
      <c r="A1685" s="10" t="s">
        <v>1547</v>
      </c>
      <c r="B1685" s="3" t="s">
        <v>1548</v>
      </c>
      <c r="C1685" s="4" t="s">
        <v>3</v>
      </c>
      <c r="D1685" s="5" t="s">
        <v>4</v>
      </c>
      <c r="E1685" s="6" t="s">
        <v>1551</v>
      </c>
    </row>
    <row r="1686" hidden="1">
      <c r="A1686" s="10" t="s">
        <v>1547</v>
      </c>
      <c r="B1686" s="3" t="s">
        <v>1548</v>
      </c>
      <c r="C1686" s="4" t="s">
        <v>3</v>
      </c>
      <c r="D1686" s="5" t="s">
        <v>39</v>
      </c>
      <c r="E1686" s="6" t="s">
        <v>1552</v>
      </c>
    </row>
    <row r="1687">
      <c r="A1687" s="10" t="s">
        <v>1547</v>
      </c>
      <c r="B1687" s="3" t="s">
        <v>1548</v>
      </c>
      <c r="C1687" s="4" t="s">
        <v>8</v>
      </c>
      <c r="D1687" s="5" t="s">
        <v>35</v>
      </c>
      <c r="E1687" s="6" t="s">
        <v>267</v>
      </c>
    </row>
    <row r="1688" hidden="1">
      <c r="A1688" s="10" t="s">
        <v>1547</v>
      </c>
      <c r="B1688" s="3" t="s">
        <v>1548</v>
      </c>
      <c r="C1688" s="4" t="s">
        <v>3</v>
      </c>
      <c r="D1688" s="5" t="s">
        <v>15</v>
      </c>
      <c r="E1688" s="6" t="s">
        <v>615</v>
      </c>
    </row>
    <row r="1689" hidden="1">
      <c r="A1689" s="10" t="s">
        <v>1547</v>
      </c>
      <c r="B1689" s="3" t="s">
        <v>1548</v>
      </c>
      <c r="C1689" s="4" t="s">
        <v>3</v>
      </c>
      <c r="D1689" s="5" t="s">
        <v>42</v>
      </c>
      <c r="E1689" s="6" t="s">
        <v>950</v>
      </c>
    </row>
    <row r="1690">
      <c r="A1690" s="10" t="s">
        <v>1547</v>
      </c>
      <c r="B1690" s="3" t="s">
        <v>1548</v>
      </c>
      <c r="C1690" s="4" t="s">
        <v>8</v>
      </c>
      <c r="D1690" s="5" t="s">
        <v>51</v>
      </c>
      <c r="E1690" s="6" t="s">
        <v>135</v>
      </c>
    </row>
    <row r="1691">
      <c r="A1691" s="10" t="s">
        <v>1547</v>
      </c>
      <c r="B1691" s="3" t="s">
        <v>1548</v>
      </c>
      <c r="C1691" s="4" t="s">
        <v>8</v>
      </c>
      <c r="D1691" s="5" t="s">
        <v>23</v>
      </c>
      <c r="E1691" s="6" t="s">
        <v>1553</v>
      </c>
    </row>
    <row r="1692" hidden="1">
      <c r="A1692" s="10" t="s">
        <v>1547</v>
      </c>
      <c r="B1692" s="3" t="s">
        <v>1548</v>
      </c>
      <c r="C1692" s="4" t="s">
        <v>3</v>
      </c>
      <c r="D1692" s="5" t="s">
        <v>35</v>
      </c>
      <c r="E1692" s="6" t="s">
        <v>1554</v>
      </c>
    </row>
    <row r="1693" hidden="1">
      <c r="A1693" s="10" t="s">
        <v>1547</v>
      </c>
      <c r="B1693" s="3" t="s">
        <v>1548</v>
      </c>
      <c r="C1693" s="4" t="s">
        <v>3</v>
      </c>
      <c r="D1693" s="5" t="s">
        <v>45</v>
      </c>
      <c r="E1693" s="6" t="s">
        <v>116</v>
      </c>
    </row>
    <row r="1694">
      <c r="A1694" s="10" t="s">
        <v>1547</v>
      </c>
      <c r="B1694" s="3" t="s">
        <v>1548</v>
      </c>
      <c r="C1694" s="4" t="s">
        <v>8</v>
      </c>
      <c r="D1694" s="5" t="s">
        <v>11</v>
      </c>
      <c r="E1694" s="6" t="s">
        <v>903</v>
      </c>
    </row>
    <row r="1695">
      <c r="A1695" s="10" t="s">
        <v>1547</v>
      </c>
      <c r="B1695" s="3" t="s">
        <v>1548</v>
      </c>
      <c r="C1695" s="4" t="s">
        <v>8</v>
      </c>
      <c r="D1695" s="5" t="s">
        <v>28</v>
      </c>
      <c r="E1695" s="6" t="s">
        <v>1555</v>
      </c>
    </row>
    <row r="1696" hidden="1">
      <c r="A1696" s="10" t="s">
        <v>1547</v>
      </c>
      <c r="B1696" s="3" t="s">
        <v>1548</v>
      </c>
      <c r="C1696" s="4" t="s">
        <v>3</v>
      </c>
      <c r="D1696" s="5" t="s">
        <v>96</v>
      </c>
      <c r="E1696" s="6" t="s">
        <v>1556</v>
      </c>
    </row>
    <row r="1697" hidden="1">
      <c r="A1697" s="10" t="s">
        <v>1547</v>
      </c>
      <c r="B1697" s="3" t="s">
        <v>1548</v>
      </c>
      <c r="C1697" s="4" t="s">
        <v>3</v>
      </c>
      <c r="D1697" s="5" t="s">
        <v>19</v>
      </c>
      <c r="E1697" s="6" t="s">
        <v>905</v>
      </c>
    </row>
    <row r="1698">
      <c r="A1698" s="10" t="s">
        <v>1547</v>
      </c>
      <c r="B1698" s="3" t="s">
        <v>1548</v>
      </c>
      <c r="C1698" s="4" t="s">
        <v>8</v>
      </c>
      <c r="D1698" s="5" t="s">
        <v>23</v>
      </c>
      <c r="E1698" s="6" t="s">
        <v>1492</v>
      </c>
    </row>
    <row r="1699" hidden="1">
      <c r="A1699" s="10" t="s">
        <v>1547</v>
      </c>
      <c r="B1699" s="3" t="s">
        <v>1548</v>
      </c>
      <c r="C1699" s="4" t="s">
        <v>3</v>
      </c>
      <c r="D1699" s="5" t="s">
        <v>28</v>
      </c>
      <c r="E1699" s="6" t="s">
        <v>585</v>
      </c>
    </row>
    <row r="1700">
      <c r="A1700" s="10" t="s">
        <v>1547</v>
      </c>
      <c r="B1700" s="3" t="s">
        <v>1548</v>
      </c>
      <c r="C1700" s="4" t="s">
        <v>8</v>
      </c>
      <c r="D1700" s="5" t="s">
        <v>45</v>
      </c>
      <c r="E1700" s="6" t="s">
        <v>1557</v>
      </c>
    </row>
    <row r="1701" hidden="1">
      <c r="A1701" s="10" t="s">
        <v>1558</v>
      </c>
      <c r="B1701" s="3" t="s">
        <v>1559</v>
      </c>
      <c r="C1701" s="4" t="s">
        <v>3</v>
      </c>
      <c r="D1701" s="5" t="s">
        <v>76</v>
      </c>
      <c r="E1701" s="6" t="s">
        <v>1560</v>
      </c>
    </row>
    <row r="1702">
      <c r="A1702" s="10" t="s">
        <v>1558</v>
      </c>
      <c r="B1702" s="3" t="s">
        <v>1559</v>
      </c>
      <c r="C1702" s="4" t="s">
        <v>8</v>
      </c>
      <c r="D1702" s="5" t="s">
        <v>21</v>
      </c>
      <c r="E1702" s="6" t="s">
        <v>1561</v>
      </c>
    </row>
    <row r="1703">
      <c r="A1703" s="10" t="s">
        <v>1558</v>
      </c>
      <c r="B1703" s="3" t="s">
        <v>1559</v>
      </c>
      <c r="C1703" s="4" t="s">
        <v>8</v>
      </c>
      <c r="D1703" s="5" t="s">
        <v>76</v>
      </c>
      <c r="E1703" s="6" t="s">
        <v>1562</v>
      </c>
    </row>
    <row r="1704">
      <c r="A1704" s="10" t="s">
        <v>1558</v>
      </c>
      <c r="B1704" s="3" t="s">
        <v>1559</v>
      </c>
      <c r="C1704" s="4" t="s">
        <v>8</v>
      </c>
      <c r="D1704" s="5" t="s">
        <v>4</v>
      </c>
      <c r="E1704" s="6" t="s">
        <v>1563</v>
      </c>
    </row>
    <row r="1705" hidden="1">
      <c r="A1705" s="10" t="s">
        <v>1558</v>
      </c>
      <c r="B1705" s="3" t="s">
        <v>1559</v>
      </c>
      <c r="C1705" s="4" t="s">
        <v>3</v>
      </c>
      <c r="D1705" s="5" t="s">
        <v>15</v>
      </c>
      <c r="E1705" s="6" t="s">
        <v>1564</v>
      </c>
    </row>
    <row r="1706" hidden="1">
      <c r="A1706" s="10" t="s">
        <v>1558</v>
      </c>
      <c r="B1706" s="3" t="s">
        <v>1559</v>
      </c>
      <c r="C1706" s="4" t="s">
        <v>3</v>
      </c>
      <c r="D1706" s="5" t="s">
        <v>13</v>
      </c>
      <c r="E1706" s="6" t="s">
        <v>487</v>
      </c>
    </row>
    <row r="1707">
      <c r="A1707" s="10" t="s">
        <v>1558</v>
      </c>
      <c r="B1707" s="3" t="s">
        <v>1559</v>
      </c>
      <c r="C1707" s="4" t="s">
        <v>8</v>
      </c>
      <c r="D1707" s="5" t="s">
        <v>71</v>
      </c>
      <c r="E1707" s="6" t="s">
        <v>807</v>
      </c>
    </row>
    <row r="1708" hidden="1">
      <c r="A1708" s="10" t="s">
        <v>1558</v>
      </c>
      <c r="B1708" s="3" t="s">
        <v>1559</v>
      </c>
      <c r="C1708" s="4" t="s">
        <v>3</v>
      </c>
      <c r="D1708" s="5" t="s">
        <v>42</v>
      </c>
      <c r="E1708" s="6" t="s">
        <v>309</v>
      </c>
    </row>
    <row r="1709">
      <c r="A1709" s="10" t="s">
        <v>1558</v>
      </c>
      <c r="B1709" s="3" t="s">
        <v>1559</v>
      </c>
      <c r="C1709" s="4" t="s">
        <v>8</v>
      </c>
      <c r="D1709" s="5" t="s">
        <v>19</v>
      </c>
      <c r="E1709" s="6" t="s">
        <v>1565</v>
      </c>
    </row>
    <row r="1710">
      <c r="A1710" s="10" t="s">
        <v>1558</v>
      </c>
      <c r="B1710" s="3" t="s">
        <v>1559</v>
      </c>
      <c r="C1710" s="4" t="s">
        <v>8</v>
      </c>
      <c r="D1710" s="5" t="s">
        <v>4</v>
      </c>
      <c r="E1710" s="6" t="s">
        <v>1068</v>
      </c>
    </row>
    <row r="1711" hidden="1">
      <c r="A1711" s="10" t="s">
        <v>1558</v>
      </c>
      <c r="B1711" s="3" t="s">
        <v>1559</v>
      </c>
      <c r="C1711" s="4" t="s">
        <v>3</v>
      </c>
      <c r="D1711" s="5" t="s">
        <v>17</v>
      </c>
      <c r="E1711" s="6" t="s">
        <v>1566</v>
      </c>
    </row>
    <row r="1712">
      <c r="A1712" s="10" t="s">
        <v>1558</v>
      </c>
      <c r="B1712" s="3" t="s">
        <v>1559</v>
      </c>
      <c r="C1712" s="4" t="s">
        <v>8</v>
      </c>
      <c r="D1712" s="5" t="s">
        <v>9</v>
      </c>
      <c r="E1712" s="6" t="s">
        <v>938</v>
      </c>
    </row>
    <row r="1713" hidden="1">
      <c r="A1713" s="10" t="s">
        <v>1558</v>
      </c>
      <c r="B1713" s="3" t="s">
        <v>1559</v>
      </c>
      <c r="C1713" s="4" t="s">
        <v>3</v>
      </c>
      <c r="D1713" s="5" t="s">
        <v>28</v>
      </c>
      <c r="E1713" s="6" t="s">
        <v>1567</v>
      </c>
    </row>
    <row r="1714" hidden="1">
      <c r="A1714" s="10" t="s">
        <v>1558</v>
      </c>
      <c r="B1714" s="3" t="s">
        <v>1559</v>
      </c>
      <c r="C1714" s="4" t="s">
        <v>3</v>
      </c>
      <c r="D1714" s="5" t="s">
        <v>11</v>
      </c>
      <c r="E1714" s="6" t="s">
        <v>1568</v>
      </c>
    </row>
    <row r="1715" hidden="1">
      <c r="A1715" s="10" t="s">
        <v>1558</v>
      </c>
      <c r="B1715" s="3" t="s">
        <v>1559</v>
      </c>
      <c r="C1715" s="4" t="s">
        <v>3</v>
      </c>
      <c r="D1715" s="5" t="s">
        <v>4</v>
      </c>
      <c r="E1715" s="6" t="s">
        <v>1569</v>
      </c>
    </row>
    <row r="1716">
      <c r="A1716" s="10" t="s">
        <v>1558</v>
      </c>
      <c r="B1716" s="3" t="s">
        <v>1559</v>
      </c>
      <c r="C1716" s="4" t="s">
        <v>8</v>
      </c>
      <c r="D1716" s="5" t="s">
        <v>21</v>
      </c>
      <c r="E1716" s="6" t="s">
        <v>570</v>
      </c>
    </row>
    <row r="1717" hidden="1">
      <c r="A1717" s="10" t="s">
        <v>1558</v>
      </c>
      <c r="B1717" s="3" t="s">
        <v>1559</v>
      </c>
      <c r="C1717" s="4" t="s">
        <v>3</v>
      </c>
      <c r="D1717" s="5" t="s">
        <v>15</v>
      </c>
      <c r="E1717" s="6" t="s">
        <v>1570</v>
      </c>
    </row>
    <row r="1718" hidden="1">
      <c r="A1718" s="10" t="s">
        <v>1558</v>
      </c>
      <c r="B1718" s="3" t="s">
        <v>1559</v>
      </c>
      <c r="C1718" s="4" t="s">
        <v>3</v>
      </c>
      <c r="D1718" s="5" t="s">
        <v>120</v>
      </c>
      <c r="E1718" s="6" t="s">
        <v>1571</v>
      </c>
    </row>
    <row r="1719">
      <c r="A1719" s="10" t="s">
        <v>1558</v>
      </c>
      <c r="B1719" s="3" t="s">
        <v>1559</v>
      </c>
      <c r="C1719" s="4" t="s">
        <v>8</v>
      </c>
      <c r="D1719" s="5" t="s">
        <v>13</v>
      </c>
      <c r="E1719" s="6" t="s">
        <v>1572</v>
      </c>
    </row>
    <row r="1720">
      <c r="A1720" s="10" t="s">
        <v>1558</v>
      </c>
      <c r="B1720" s="3" t="s">
        <v>1559</v>
      </c>
      <c r="C1720" s="4" t="s">
        <v>8</v>
      </c>
      <c r="D1720" s="5" t="s">
        <v>120</v>
      </c>
      <c r="E1720" s="6" t="s">
        <v>1573</v>
      </c>
    </row>
    <row r="1721">
      <c r="A1721" s="10" t="s">
        <v>1574</v>
      </c>
      <c r="B1721" s="3" t="s">
        <v>1575</v>
      </c>
      <c r="C1721" s="4" t="s">
        <v>8</v>
      </c>
      <c r="D1721" s="5" t="s">
        <v>9</v>
      </c>
      <c r="E1721" s="6" t="s">
        <v>1098</v>
      </c>
    </row>
    <row r="1722" hidden="1">
      <c r="A1722" s="10" t="s">
        <v>1574</v>
      </c>
      <c r="B1722" s="3" t="s">
        <v>1575</v>
      </c>
      <c r="C1722" s="4" t="s">
        <v>3</v>
      </c>
      <c r="D1722" s="5" t="s">
        <v>71</v>
      </c>
      <c r="E1722" s="6" t="s">
        <v>1576</v>
      </c>
    </row>
    <row r="1723">
      <c r="A1723" s="10" t="s">
        <v>1574</v>
      </c>
      <c r="B1723" s="3" t="s">
        <v>1575</v>
      </c>
      <c r="C1723" s="4" t="s">
        <v>8</v>
      </c>
      <c r="D1723" s="5" t="s">
        <v>13</v>
      </c>
      <c r="E1723" s="6" t="s">
        <v>900</v>
      </c>
    </row>
    <row r="1724" hidden="1">
      <c r="A1724" s="10" t="s">
        <v>1574</v>
      </c>
      <c r="B1724" s="3" t="s">
        <v>1575</v>
      </c>
      <c r="C1724" s="4" t="s">
        <v>3</v>
      </c>
      <c r="D1724" s="5" t="s">
        <v>23</v>
      </c>
      <c r="E1724" s="6" t="s">
        <v>46</v>
      </c>
    </row>
    <row r="1725">
      <c r="A1725" s="10" t="s">
        <v>1574</v>
      </c>
      <c r="B1725" s="3" t="s">
        <v>1575</v>
      </c>
      <c r="C1725" s="4" t="s">
        <v>8</v>
      </c>
      <c r="D1725" s="5" t="s">
        <v>23</v>
      </c>
      <c r="E1725" s="6" t="s">
        <v>626</v>
      </c>
    </row>
    <row r="1726">
      <c r="A1726" s="10" t="s">
        <v>1574</v>
      </c>
      <c r="B1726" s="3" t="s">
        <v>1575</v>
      </c>
      <c r="C1726" s="4" t="s">
        <v>8</v>
      </c>
      <c r="D1726" s="5" t="s">
        <v>71</v>
      </c>
      <c r="E1726" s="6" t="s">
        <v>1577</v>
      </c>
    </row>
    <row r="1727">
      <c r="A1727" s="10" t="s">
        <v>1574</v>
      </c>
      <c r="B1727" s="3" t="s">
        <v>1575</v>
      </c>
      <c r="C1727" s="4" t="s">
        <v>8</v>
      </c>
      <c r="D1727" s="5" t="s">
        <v>23</v>
      </c>
      <c r="E1727" s="6" t="s">
        <v>1578</v>
      </c>
    </row>
    <row r="1728">
      <c r="A1728" s="10" t="s">
        <v>1574</v>
      </c>
      <c r="B1728" s="3" t="s">
        <v>1575</v>
      </c>
      <c r="C1728" s="4" t="s">
        <v>8</v>
      </c>
      <c r="D1728" s="5" t="s">
        <v>13</v>
      </c>
      <c r="E1728" s="6" t="s">
        <v>1579</v>
      </c>
    </row>
    <row r="1729" hidden="1">
      <c r="A1729" s="10" t="s">
        <v>1574</v>
      </c>
      <c r="B1729" s="3" t="s">
        <v>1575</v>
      </c>
      <c r="C1729" s="4" t="s">
        <v>3</v>
      </c>
      <c r="D1729" s="5" t="s">
        <v>42</v>
      </c>
      <c r="E1729" s="6" t="s">
        <v>439</v>
      </c>
    </row>
    <row r="1730" hidden="1">
      <c r="A1730" s="10" t="s">
        <v>1574</v>
      </c>
      <c r="B1730" s="3" t="s">
        <v>1575</v>
      </c>
      <c r="C1730" s="4" t="s">
        <v>3</v>
      </c>
      <c r="D1730" s="5" t="s">
        <v>9</v>
      </c>
      <c r="E1730" s="6" t="s">
        <v>1580</v>
      </c>
    </row>
    <row r="1731">
      <c r="A1731" s="10" t="s">
        <v>1574</v>
      </c>
      <c r="B1731" s="3" t="s">
        <v>1575</v>
      </c>
      <c r="C1731" s="4" t="s">
        <v>8</v>
      </c>
      <c r="D1731" s="5" t="s">
        <v>21</v>
      </c>
      <c r="E1731" s="6" t="s">
        <v>649</v>
      </c>
    </row>
    <row r="1732" hidden="1">
      <c r="A1732" s="10" t="s">
        <v>1574</v>
      </c>
      <c r="B1732" s="3" t="s">
        <v>1575</v>
      </c>
      <c r="C1732" s="4" t="s">
        <v>3</v>
      </c>
      <c r="D1732" s="5" t="s">
        <v>51</v>
      </c>
      <c r="E1732" s="6" t="s">
        <v>1581</v>
      </c>
    </row>
    <row r="1733" hidden="1">
      <c r="A1733" s="10" t="s">
        <v>1574</v>
      </c>
      <c r="B1733" s="3" t="s">
        <v>1575</v>
      </c>
      <c r="C1733" s="4" t="s">
        <v>3</v>
      </c>
      <c r="D1733" s="5" t="s">
        <v>15</v>
      </c>
      <c r="E1733" s="6" t="s">
        <v>1440</v>
      </c>
    </row>
    <row r="1734" hidden="1">
      <c r="A1734" s="10" t="s">
        <v>1574</v>
      </c>
      <c r="B1734" s="3" t="s">
        <v>1575</v>
      </c>
      <c r="C1734" s="4" t="s">
        <v>3</v>
      </c>
      <c r="D1734" s="5" t="s">
        <v>76</v>
      </c>
      <c r="E1734" s="6" t="s">
        <v>1582</v>
      </c>
    </row>
    <row r="1735" hidden="1">
      <c r="A1735" s="10" t="s">
        <v>1574</v>
      </c>
      <c r="B1735" s="3" t="s">
        <v>1575</v>
      </c>
      <c r="C1735" s="4" t="s">
        <v>3</v>
      </c>
      <c r="D1735" s="5" t="s">
        <v>6</v>
      </c>
      <c r="E1735" s="6" t="s">
        <v>1583</v>
      </c>
    </row>
    <row r="1736" hidden="1">
      <c r="A1736" s="10" t="s">
        <v>1574</v>
      </c>
      <c r="B1736" s="3" t="s">
        <v>1575</v>
      </c>
      <c r="C1736" s="4" t="s">
        <v>3</v>
      </c>
      <c r="D1736" s="5" t="s">
        <v>28</v>
      </c>
      <c r="E1736" s="6" t="s">
        <v>1055</v>
      </c>
    </row>
    <row r="1737" hidden="1">
      <c r="A1737" s="10" t="s">
        <v>1574</v>
      </c>
      <c r="B1737" s="3" t="s">
        <v>1575</v>
      </c>
      <c r="C1737" s="4" t="s">
        <v>3</v>
      </c>
      <c r="D1737" s="5" t="s">
        <v>21</v>
      </c>
      <c r="E1737" s="6" t="s">
        <v>1584</v>
      </c>
    </row>
    <row r="1738" hidden="1">
      <c r="A1738" s="10" t="s">
        <v>1574</v>
      </c>
      <c r="B1738" s="3" t="s">
        <v>1575</v>
      </c>
      <c r="C1738" s="4" t="s">
        <v>3</v>
      </c>
      <c r="D1738" s="5" t="s">
        <v>9</v>
      </c>
      <c r="E1738" s="6" t="s">
        <v>644</v>
      </c>
    </row>
    <row r="1739">
      <c r="A1739" s="10" t="s">
        <v>1574</v>
      </c>
      <c r="B1739" s="3" t="s">
        <v>1575</v>
      </c>
      <c r="C1739" s="4" t="s">
        <v>8</v>
      </c>
      <c r="D1739" s="5" t="s">
        <v>15</v>
      </c>
      <c r="E1739" s="6" t="s">
        <v>509</v>
      </c>
    </row>
    <row r="1740" hidden="1">
      <c r="A1740" s="10" t="s">
        <v>1574</v>
      </c>
      <c r="B1740" s="3" t="s">
        <v>1575</v>
      </c>
      <c r="C1740" s="4" t="s">
        <v>3</v>
      </c>
      <c r="D1740" s="5" t="s">
        <v>19</v>
      </c>
      <c r="E1740" s="6" t="s">
        <v>1585</v>
      </c>
    </row>
    <row r="1741">
      <c r="A1741" s="10" t="s">
        <v>367</v>
      </c>
      <c r="B1741" s="3" t="s">
        <v>1586</v>
      </c>
      <c r="C1741" s="4" t="s">
        <v>8</v>
      </c>
      <c r="D1741" s="5" t="s">
        <v>76</v>
      </c>
      <c r="E1741" s="6" t="s">
        <v>1587</v>
      </c>
    </row>
    <row r="1742" hidden="1">
      <c r="A1742" s="10" t="s">
        <v>367</v>
      </c>
      <c r="B1742" s="3" t="s">
        <v>1586</v>
      </c>
      <c r="C1742" s="4" t="s">
        <v>3</v>
      </c>
      <c r="D1742" s="5" t="s">
        <v>15</v>
      </c>
      <c r="E1742" s="6" t="s">
        <v>1588</v>
      </c>
    </row>
    <row r="1743">
      <c r="A1743" s="10" t="s">
        <v>367</v>
      </c>
      <c r="B1743" s="3" t="s">
        <v>1586</v>
      </c>
      <c r="C1743" s="4" t="s">
        <v>8</v>
      </c>
      <c r="D1743" s="5" t="s">
        <v>35</v>
      </c>
      <c r="E1743" s="6" t="s">
        <v>266</v>
      </c>
    </row>
    <row r="1744">
      <c r="A1744" s="10" t="s">
        <v>367</v>
      </c>
      <c r="B1744" s="3" t="s">
        <v>1586</v>
      </c>
      <c r="C1744" s="4" t="s">
        <v>8</v>
      </c>
      <c r="D1744" s="5" t="s">
        <v>17</v>
      </c>
      <c r="E1744" s="6" t="s">
        <v>949</v>
      </c>
    </row>
    <row r="1745" hidden="1">
      <c r="A1745" s="10" t="s">
        <v>367</v>
      </c>
      <c r="B1745" s="3" t="s">
        <v>1586</v>
      </c>
      <c r="C1745" s="4" t="s">
        <v>3</v>
      </c>
      <c r="D1745" s="5" t="s">
        <v>19</v>
      </c>
      <c r="E1745" s="6" t="s">
        <v>1589</v>
      </c>
    </row>
    <row r="1746">
      <c r="A1746" s="10" t="s">
        <v>367</v>
      </c>
      <c r="B1746" s="3" t="s">
        <v>1586</v>
      </c>
      <c r="C1746" s="4" t="s">
        <v>8</v>
      </c>
      <c r="D1746" s="5" t="s">
        <v>19</v>
      </c>
      <c r="E1746" s="6" t="s">
        <v>1367</v>
      </c>
    </row>
    <row r="1747">
      <c r="A1747" s="10" t="s">
        <v>367</v>
      </c>
      <c r="B1747" s="3" t="s">
        <v>1586</v>
      </c>
      <c r="C1747" s="4" t="s">
        <v>8</v>
      </c>
      <c r="D1747" s="5" t="s">
        <v>35</v>
      </c>
      <c r="E1747" s="6" t="s">
        <v>1590</v>
      </c>
    </row>
    <row r="1748" hidden="1">
      <c r="A1748" s="10" t="s">
        <v>367</v>
      </c>
      <c r="B1748" s="3" t="s">
        <v>1586</v>
      </c>
      <c r="C1748" s="4" t="s">
        <v>3</v>
      </c>
      <c r="D1748" s="5" t="s">
        <v>17</v>
      </c>
      <c r="E1748" s="6" t="s">
        <v>1591</v>
      </c>
    </row>
    <row r="1749" hidden="1">
      <c r="A1749" s="10" t="s">
        <v>367</v>
      </c>
      <c r="B1749" s="3" t="s">
        <v>1586</v>
      </c>
      <c r="C1749" s="4" t="s">
        <v>3</v>
      </c>
      <c r="D1749" s="5" t="s">
        <v>76</v>
      </c>
      <c r="E1749" s="6" t="s">
        <v>1592</v>
      </c>
    </row>
    <row r="1750" hidden="1">
      <c r="A1750" s="10" t="s">
        <v>367</v>
      </c>
      <c r="B1750" s="3" t="s">
        <v>1586</v>
      </c>
      <c r="C1750" s="4" t="s">
        <v>3</v>
      </c>
      <c r="D1750" s="5" t="s">
        <v>21</v>
      </c>
      <c r="E1750" s="6" t="s">
        <v>1593</v>
      </c>
    </row>
    <row r="1751" hidden="1">
      <c r="A1751" s="10" t="s">
        <v>367</v>
      </c>
      <c r="B1751" s="3" t="s">
        <v>1586</v>
      </c>
      <c r="C1751" s="4" t="s">
        <v>3</v>
      </c>
      <c r="D1751" s="5" t="s">
        <v>6</v>
      </c>
      <c r="E1751" s="6" t="s">
        <v>1594</v>
      </c>
    </row>
    <row r="1752">
      <c r="A1752" s="10" t="s">
        <v>367</v>
      </c>
      <c r="B1752" s="3" t="s">
        <v>1586</v>
      </c>
      <c r="C1752" s="4" t="s">
        <v>8</v>
      </c>
      <c r="D1752" s="5" t="s">
        <v>6</v>
      </c>
      <c r="E1752" s="6" t="s">
        <v>1595</v>
      </c>
    </row>
    <row r="1753" hidden="1">
      <c r="A1753" s="10" t="s">
        <v>367</v>
      </c>
      <c r="B1753" s="3" t="s">
        <v>1586</v>
      </c>
      <c r="C1753" s="4" t="s">
        <v>3</v>
      </c>
      <c r="D1753" s="5" t="s">
        <v>19</v>
      </c>
      <c r="E1753" s="6" t="s">
        <v>26</v>
      </c>
    </row>
    <row r="1754" hidden="1">
      <c r="A1754" s="10" t="s">
        <v>367</v>
      </c>
      <c r="B1754" s="3" t="s">
        <v>1586</v>
      </c>
      <c r="C1754" s="4" t="s">
        <v>3</v>
      </c>
      <c r="D1754" s="5" t="s">
        <v>6</v>
      </c>
      <c r="E1754" s="6" t="s">
        <v>1596</v>
      </c>
    </row>
    <row r="1755" hidden="1">
      <c r="A1755" s="10" t="s">
        <v>367</v>
      </c>
      <c r="B1755" s="3" t="s">
        <v>1586</v>
      </c>
      <c r="C1755" s="4" t="s">
        <v>3</v>
      </c>
      <c r="D1755" s="5" t="s">
        <v>9</v>
      </c>
      <c r="E1755" s="6" t="s">
        <v>1597</v>
      </c>
    </row>
    <row r="1756" hidden="1">
      <c r="A1756" s="10" t="s">
        <v>367</v>
      </c>
      <c r="B1756" s="3" t="s">
        <v>1586</v>
      </c>
      <c r="C1756" s="4" t="s">
        <v>3</v>
      </c>
      <c r="D1756" s="5" t="s">
        <v>120</v>
      </c>
      <c r="E1756" s="6" t="s">
        <v>971</v>
      </c>
    </row>
    <row r="1757">
      <c r="A1757" s="10" t="s">
        <v>367</v>
      </c>
      <c r="B1757" s="3" t="s">
        <v>1586</v>
      </c>
      <c r="C1757" s="4" t="s">
        <v>8</v>
      </c>
      <c r="D1757" s="5" t="s">
        <v>96</v>
      </c>
      <c r="E1757" s="6" t="s">
        <v>1598</v>
      </c>
    </row>
    <row r="1758">
      <c r="A1758" s="10" t="s">
        <v>367</v>
      </c>
      <c r="B1758" s="3" t="s">
        <v>1586</v>
      </c>
      <c r="C1758" s="4" t="s">
        <v>8</v>
      </c>
      <c r="D1758" s="5" t="s">
        <v>35</v>
      </c>
      <c r="E1758" s="6" t="s">
        <v>1599</v>
      </c>
    </row>
    <row r="1759" hidden="1">
      <c r="A1759" s="10" t="s">
        <v>367</v>
      </c>
      <c r="B1759" s="3" t="s">
        <v>1586</v>
      </c>
      <c r="C1759" s="4" t="s">
        <v>3</v>
      </c>
      <c r="D1759" s="5" t="s">
        <v>45</v>
      </c>
      <c r="E1759" s="6" t="s">
        <v>1600</v>
      </c>
    </row>
    <row r="1760">
      <c r="A1760" s="10" t="s">
        <v>367</v>
      </c>
      <c r="B1760" s="3" t="s">
        <v>1586</v>
      </c>
      <c r="C1760" s="4" t="s">
        <v>8</v>
      </c>
      <c r="D1760" s="5" t="s">
        <v>23</v>
      </c>
      <c r="E1760" s="6" t="s">
        <v>1601</v>
      </c>
    </row>
    <row r="1761" hidden="1">
      <c r="A1761" s="10" t="s">
        <v>1602</v>
      </c>
      <c r="B1761" s="3" t="s">
        <v>1603</v>
      </c>
      <c r="C1761" s="4" t="s">
        <v>3</v>
      </c>
      <c r="D1761" s="5" t="s">
        <v>71</v>
      </c>
      <c r="E1761" s="6" t="s">
        <v>702</v>
      </c>
    </row>
    <row r="1762">
      <c r="A1762" s="10" t="s">
        <v>1602</v>
      </c>
      <c r="B1762" s="3" t="s">
        <v>1603</v>
      </c>
      <c r="C1762" s="4" t="s">
        <v>8</v>
      </c>
      <c r="D1762" s="5" t="s">
        <v>6</v>
      </c>
      <c r="E1762" s="6" t="s">
        <v>1604</v>
      </c>
    </row>
    <row r="1763" hidden="1">
      <c r="A1763" s="10" t="s">
        <v>1602</v>
      </c>
      <c r="B1763" s="3" t="s">
        <v>1603</v>
      </c>
      <c r="C1763" s="4" t="s">
        <v>3</v>
      </c>
      <c r="D1763" s="5" t="s">
        <v>19</v>
      </c>
      <c r="E1763" s="6" t="s">
        <v>1471</v>
      </c>
    </row>
    <row r="1764" hidden="1">
      <c r="A1764" s="10" t="s">
        <v>1602</v>
      </c>
      <c r="B1764" s="3" t="s">
        <v>1603</v>
      </c>
      <c r="C1764" s="4" t="s">
        <v>3</v>
      </c>
      <c r="D1764" s="5" t="s">
        <v>6</v>
      </c>
      <c r="E1764" s="6" t="s">
        <v>290</v>
      </c>
    </row>
    <row r="1765">
      <c r="A1765" s="10" t="s">
        <v>1602</v>
      </c>
      <c r="B1765" s="3" t="s">
        <v>1603</v>
      </c>
      <c r="C1765" s="4" t="s">
        <v>8</v>
      </c>
      <c r="D1765" s="5" t="s">
        <v>51</v>
      </c>
      <c r="E1765" s="6" t="s">
        <v>840</v>
      </c>
    </row>
    <row r="1766" hidden="1">
      <c r="A1766" s="10" t="s">
        <v>1602</v>
      </c>
      <c r="B1766" s="3" t="s">
        <v>1603</v>
      </c>
      <c r="C1766" s="4" t="s">
        <v>3</v>
      </c>
      <c r="D1766" s="5" t="s">
        <v>42</v>
      </c>
      <c r="E1766" s="6" t="s">
        <v>43</v>
      </c>
    </row>
    <row r="1767" hidden="1">
      <c r="A1767" s="10" t="s">
        <v>1602</v>
      </c>
      <c r="B1767" s="3" t="s">
        <v>1603</v>
      </c>
      <c r="C1767" s="4" t="s">
        <v>3</v>
      </c>
      <c r="D1767" s="5" t="s">
        <v>21</v>
      </c>
      <c r="E1767" s="6" t="s">
        <v>1605</v>
      </c>
    </row>
    <row r="1768" hidden="1">
      <c r="A1768" s="10" t="s">
        <v>1602</v>
      </c>
      <c r="B1768" s="3" t="s">
        <v>1603</v>
      </c>
      <c r="C1768" s="4" t="s">
        <v>3</v>
      </c>
      <c r="D1768" s="5" t="s">
        <v>28</v>
      </c>
      <c r="E1768" s="6" t="s">
        <v>352</v>
      </c>
    </row>
    <row r="1769">
      <c r="A1769" s="10" t="s">
        <v>1602</v>
      </c>
      <c r="B1769" s="3" t="s">
        <v>1603</v>
      </c>
      <c r="C1769" s="4" t="s">
        <v>8</v>
      </c>
      <c r="D1769" s="5" t="s">
        <v>35</v>
      </c>
      <c r="E1769" s="6" t="s">
        <v>1606</v>
      </c>
    </row>
    <row r="1770" hidden="1">
      <c r="A1770" s="10" t="s">
        <v>1602</v>
      </c>
      <c r="B1770" s="3" t="s">
        <v>1603</v>
      </c>
      <c r="C1770" s="4" t="s">
        <v>3</v>
      </c>
      <c r="D1770" s="5" t="s">
        <v>76</v>
      </c>
      <c r="E1770" s="6" t="s">
        <v>1607</v>
      </c>
    </row>
    <row r="1771" hidden="1">
      <c r="A1771" s="10" t="s">
        <v>1602</v>
      </c>
      <c r="B1771" s="3" t="s">
        <v>1603</v>
      </c>
      <c r="C1771" s="4" t="s">
        <v>3</v>
      </c>
      <c r="D1771" s="5" t="s">
        <v>17</v>
      </c>
      <c r="E1771" s="6" t="s">
        <v>1608</v>
      </c>
    </row>
    <row r="1772">
      <c r="A1772" s="10" t="s">
        <v>1602</v>
      </c>
      <c r="B1772" s="3" t="s">
        <v>1603</v>
      </c>
      <c r="C1772" s="4" t="s">
        <v>8</v>
      </c>
      <c r="D1772" s="5" t="s">
        <v>51</v>
      </c>
      <c r="E1772" s="6" t="s">
        <v>1609</v>
      </c>
    </row>
    <row r="1773">
      <c r="A1773" s="10" t="s">
        <v>1602</v>
      </c>
      <c r="B1773" s="3" t="s">
        <v>1603</v>
      </c>
      <c r="C1773" s="4" t="s">
        <v>8</v>
      </c>
      <c r="D1773" s="5" t="s">
        <v>76</v>
      </c>
      <c r="E1773" s="6" t="s">
        <v>690</v>
      </c>
    </row>
    <row r="1774" hidden="1">
      <c r="A1774" s="10" t="s">
        <v>1602</v>
      </c>
      <c r="B1774" s="3" t="s">
        <v>1603</v>
      </c>
      <c r="C1774" s="4" t="s">
        <v>3</v>
      </c>
      <c r="D1774" s="5" t="s">
        <v>39</v>
      </c>
      <c r="E1774" s="6" t="s">
        <v>1610</v>
      </c>
    </row>
    <row r="1775">
      <c r="A1775" s="10" t="s">
        <v>1602</v>
      </c>
      <c r="B1775" s="3" t="s">
        <v>1603</v>
      </c>
      <c r="C1775" s="4" t="s">
        <v>8</v>
      </c>
      <c r="D1775" s="5" t="s">
        <v>6</v>
      </c>
      <c r="E1775" s="6" t="s">
        <v>1611</v>
      </c>
    </row>
    <row r="1776" hidden="1">
      <c r="A1776" s="10" t="s">
        <v>1602</v>
      </c>
      <c r="B1776" s="3" t="s">
        <v>1603</v>
      </c>
      <c r="C1776" s="4" t="s">
        <v>3</v>
      </c>
      <c r="D1776" s="5" t="s">
        <v>71</v>
      </c>
      <c r="E1776" s="6" t="s">
        <v>1612</v>
      </c>
    </row>
    <row r="1777">
      <c r="A1777" s="10" t="s">
        <v>1602</v>
      </c>
      <c r="B1777" s="3" t="s">
        <v>1603</v>
      </c>
      <c r="C1777" s="4" t="s">
        <v>8</v>
      </c>
      <c r="D1777" s="5" t="s">
        <v>4</v>
      </c>
      <c r="E1777" s="6" t="s">
        <v>1613</v>
      </c>
    </row>
    <row r="1778" hidden="1">
      <c r="A1778" s="10" t="s">
        <v>1602</v>
      </c>
      <c r="B1778" s="3" t="s">
        <v>1603</v>
      </c>
      <c r="C1778" s="4" t="s">
        <v>3</v>
      </c>
      <c r="D1778" s="5" t="s">
        <v>76</v>
      </c>
      <c r="E1778" s="6" t="s">
        <v>1379</v>
      </c>
    </row>
    <row r="1779" hidden="1">
      <c r="A1779" s="10" t="s">
        <v>1602</v>
      </c>
      <c r="B1779" s="3" t="s">
        <v>1603</v>
      </c>
      <c r="C1779" s="4" t="s">
        <v>3</v>
      </c>
      <c r="D1779" s="5" t="s">
        <v>13</v>
      </c>
      <c r="E1779" s="6" t="s">
        <v>707</v>
      </c>
    </row>
    <row r="1780">
      <c r="A1780" s="10" t="s">
        <v>1602</v>
      </c>
      <c r="B1780" s="3" t="s">
        <v>1603</v>
      </c>
      <c r="C1780" s="4" t="s">
        <v>8</v>
      </c>
      <c r="D1780" s="5" t="s">
        <v>9</v>
      </c>
      <c r="E1780" s="6" t="s">
        <v>1614</v>
      </c>
    </row>
    <row r="1781" hidden="1">
      <c r="A1781" s="10" t="s">
        <v>1615</v>
      </c>
      <c r="B1781" s="3" t="s">
        <v>1616</v>
      </c>
      <c r="C1781" s="4" t="s">
        <v>3</v>
      </c>
      <c r="D1781" s="5" t="s">
        <v>4</v>
      </c>
      <c r="E1781" s="6" t="s">
        <v>1617</v>
      </c>
    </row>
    <row r="1782">
      <c r="A1782" s="10" t="s">
        <v>1615</v>
      </c>
      <c r="B1782" s="3" t="s">
        <v>1616</v>
      </c>
      <c r="C1782" s="4" t="s">
        <v>8</v>
      </c>
      <c r="D1782" s="5" t="s">
        <v>21</v>
      </c>
      <c r="E1782" s="6" t="s">
        <v>1618</v>
      </c>
    </row>
    <row r="1783" hidden="1">
      <c r="A1783" s="10" t="s">
        <v>1615</v>
      </c>
      <c r="B1783" s="3" t="s">
        <v>1616</v>
      </c>
      <c r="C1783" s="4" t="s">
        <v>3</v>
      </c>
      <c r="D1783" s="5" t="s">
        <v>4</v>
      </c>
      <c r="E1783" s="6" t="s">
        <v>1619</v>
      </c>
    </row>
    <row r="1784" hidden="1">
      <c r="A1784" s="10" t="s">
        <v>1615</v>
      </c>
      <c r="B1784" s="3" t="s">
        <v>1616</v>
      </c>
      <c r="C1784" s="4" t="s">
        <v>3</v>
      </c>
      <c r="D1784" s="5" t="s">
        <v>17</v>
      </c>
      <c r="E1784" s="6" t="s">
        <v>1620</v>
      </c>
    </row>
    <row r="1785" hidden="1">
      <c r="A1785" s="10" t="s">
        <v>1615</v>
      </c>
      <c r="B1785" s="3" t="s">
        <v>1616</v>
      </c>
      <c r="C1785" s="4" t="s">
        <v>3</v>
      </c>
      <c r="D1785" s="5" t="s">
        <v>19</v>
      </c>
      <c r="E1785" s="6" t="s">
        <v>113</v>
      </c>
    </row>
    <row r="1786" hidden="1">
      <c r="A1786" s="10" t="s">
        <v>1615</v>
      </c>
      <c r="B1786" s="3" t="s">
        <v>1616</v>
      </c>
      <c r="C1786" s="4" t="s">
        <v>3</v>
      </c>
      <c r="D1786" s="5" t="s">
        <v>6</v>
      </c>
      <c r="E1786" s="6" t="s">
        <v>1621</v>
      </c>
    </row>
    <row r="1787">
      <c r="A1787" s="10" t="s">
        <v>1615</v>
      </c>
      <c r="B1787" s="3" t="s">
        <v>1616</v>
      </c>
      <c r="C1787" s="4" t="s">
        <v>8</v>
      </c>
      <c r="D1787" s="5" t="s">
        <v>19</v>
      </c>
      <c r="E1787" s="6" t="s">
        <v>1622</v>
      </c>
    </row>
    <row r="1788" hidden="1">
      <c r="A1788" s="10" t="s">
        <v>1615</v>
      </c>
      <c r="B1788" s="3" t="s">
        <v>1616</v>
      </c>
      <c r="C1788" s="4" t="s">
        <v>3</v>
      </c>
      <c r="D1788" s="5" t="s">
        <v>45</v>
      </c>
      <c r="E1788" s="6" t="s">
        <v>1623</v>
      </c>
    </row>
    <row r="1789" hidden="1">
      <c r="A1789" s="10" t="s">
        <v>1615</v>
      </c>
      <c r="B1789" s="3" t="s">
        <v>1616</v>
      </c>
      <c r="C1789" s="4" t="s">
        <v>3</v>
      </c>
      <c r="D1789" s="5" t="s">
        <v>23</v>
      </c>
      <c r="E1789" s="6" t="s">
        <v>1624</v>
      </c>
    </row>
    <row r="1790" hidden="1">
      <c r="A1790" s="10" t="s">
        <v>1615</v>
      </c>
      <c r="B1790" s="3" t="s">
        <v>1616</v>
      </c>
      <c r="C1790" s="4" t="s">
        <v>3</v>
      </c>
      <c r="D1790" s="5" t="s">
        <v>19</v>
      </c>
      <c r="E1790" s="6" t="s">
        <v>1625</v>
      </c>
    </row>
    <row r="1791">
      <c r="A1791" s="10" t="s">
        <v>1615</v>
      </c>
      <c r="B1791" s="3" t="s">
        <v>1616</v>
      </c>
      <c r="C1791" s="4" t="s">
        <v>8</v>
      </c>
      <c r="D1791" s="5" t="s">
        <v>19</v>
      </c>
      <c r="E1791" s="6" t="s">
        <v>1626</v>
      </c>
    </row>
    <row r="1792">
      <c r="A1792" s="10" t="s">
        <v>1615</v>
      </c>
      <c r="B1792" s="3" t="s">
        <v>1616</v>
      </c>
      <c r="C1792" s="4" t="s">
        <v>8</v>
      </c>
      <c r="D1792" s="5" t="s">
        <v>23</v>
      </c>
      <c r="E1792" s="6" t="s">
        <v>1627</v>
      </c>
    </row>
    <row r="1793" hidden="1">
      <c r="A1793" s="10" t="s">
        <v>1615</v>
      </c>
      <c r="B1793" s="3" t="s">
        <v>1616</v>
      </c>
      <c r="C1793" s="4" t="s">
        <v>3</v>
      </c>
      <c r="D1793" s="5" t="s">
        <v>17</v>
      </c>
      <c r="E1793" s="6" t="s">
        <v>1628</v>
      </c>
    </row>
    <row r="1794" hidden="1">
      <c r="A1794" s="10" t="s">
        <v>1615</v>
      </c>
      <c r="B1794" s="3" t="s">
        <v>1616</v>
      </c>
      <c r="C1794" s="4" t="s">
        <v>3</v>
      </c>
      <c r="D1794" s="5" t="s">
        <v>17</v>
      </c>
      <c r="E1794" s="6" t="s">
        <v>911</v>
      </c>
    </row>
    <row r="1795">
      <c r="A1795" s="10" t="s">
        <v>1615</v>
      </c>
      <c r="B1795" s="3" t="s">
        <v>1616</v>
      </c>
      <c r="C1795" s="4" t="s">
        <v>8</v>
      </c>
      <c r="D1795" s="5" t="s">
        <v>23</v>
      </c>
      <c r="E1795" s="6" t="s">
        <v>1373</v>
      </c>
    </row>
    <row r="1796" hidden="1">
      <c r="A1796" s="10" t="s">
        <v>1615</v>
      </c>
      <c r="B1796" s="3" t="s">
        <v>1616</v>
      </c>
      <c r="C1796" s="4" t="s">
        <v>3</v>
      </c>
      <c r="D1796" s="5" t="s">
        <v>13</v>
      </c>
      <c r="E1796" s="6" t="s">
        <v>1629</v>
      </c>
    </row>
    <row r="1797">
      <c r="A1797" s="10" t="s">
        <v>1615</v>
      </c>
      <c r="B1797" s="3" t="s">
        <v>1616</v>
      </c>
      <c r="C1797" s="4" t="s">
        <v>8</v>
      </c>
      <c r="D1797" s="5" t="s">
        <v>11</v>
      </c>
      <c r="E1797" s="6" t="s">
        <v>1029</v>
      </c>
    </row>
    <row r="1798">
      <c r="A1798" s="10" t="s">
        <v>1615</v>
      </c>
      <c r="B1798" s="3" t="s">
        <v>1616</v>
      </c>
      <c r="C1798" s="4" t="s">
        <v>8</v>
      </c>
      <c r="D1798" s="5" t="s">
        <v>120</v>
      </c>
      <c r="E1798" s="6" t="s">
        <v>1630</v>
      </c>
    </row>
    <row r="1799" hidden="1">
      <c r="A1799" s="10" t="s">
        <v>1615</v>
      </c>
      <c r="B1799" s="3" t="s">
        <v>1616</v>
      </c>
      <c r="C1799" s="4" t="s">
        <v>3</v>
      </c>
      <c r="D1799" s="5" t="s">
        <v>4</v>
      </c>
      <c r="E1799" s="6" t="s">
        <v>1631</v>
      </c>
    </row>
    <row r="1800">
      <c r="A1800" s="10" t="s">
        <v>1615</v>
      </c>
      <c r="B1800" s="3" t="s">
        <v>1616</v>
      </c>
      <c r="C1800" s="4" t="s">
        <v>8</v>
      </c>
      <c r="D1800" s="5" t="s">
        <v>9</v>
      </c>
      <c r="E1800" s="6" t="s">
        <v>714</v>
      </c>
    </row>
    <row r="1801" hidden="1">
      <c r="A1801" s="10" t="s">
        <v>1632</v>
      </c>
      <c r="B1801" s="3" t="s">
        <v>1633</v>
      </c>
      <c r="C1801" s="4" t="s">
        <v>3</v>
      </c>
      <c r="D1801" s="5" t="s">
        <v>19</v>
      </c>
      <c r="E1801" s="6" t="s">
        <v>1634</v>
      </c>
    </row>
    <row r="1802">
      <c r="A1802" s="10" t="s">
        <v>1632</v>
      </c>
      <c r="B1802" s="3" t="s">
        <v>1633</v>
      </c>
      <c r="C1802" s="4" t="s">
        <v>8</v>
      </c>
      <c r="D1802" s="5" t="s">
        <v>17</v>
      </c>
      <c r="E1802" s="6" t="s">
        <v>1635</v>
      </c>
    </row>
    <row r="1803">
      <c r="A1803" s="10" t="s">
        <v>1632</v>
      </c>
      <c r="B1803" s="3" t="s">
        <v>1633</v>
      </c>
      <c r="C1803" s="4" t="s">
        <v>8</v>
      </c>
      <c r="D1803" s="5" t="s">
        <v>96</v>
      </c>
      <c r="E1803" s="6" t="s">
        <v>1636</v>
      </c>
    </row>
    <row r="1804" hidden="1">
      <c r="A1804" s="10" t="s">
        <v>1632</v>
      </c>
      <c r="B1804" s="3" t="s">
        <v>1633</v>
      </c>
      <c r="C1804" s="4" t="s">
        <v>3</v>
      </c>
      <c r="D1804" s="5" t="s">
        <v>96</v>
      </c>
      <c r="E1804" s="6" t="s">
        <v>374</v>
      </c>
    </row>
    <row r="1805">
      <c r="A1805" s="10" t="s">
        <v>1632</v>
      </c>
      <c r="B1805" s="3" t="s">
        <v>1633</v>
      </c>
      <c r="C1805" s="4" t="s">
        <v>8</v>
      </c>
      <c r="D1805" s="5" t="s">
        <v>15</v>
      </c>
      <c r="E1805" s="6" t="s">
        <v>1637</v>
      </c>
    </row>
    <row r="1806" hidden="1">
      <c r="A1806" s="10" t="s">
        <v>1632</v>
      </c>
      <c r="B1806" s="3" t="s">
        <v>1633</v>
      </c>
      <c r="C1806" s="4" t="s">
        <v>3</v>
      </c>
      <c r="D1806" s="5" t="s">
        <v>17</v>
      </c>
      <c r="E1806" s="6" t="s">
        <v>1638</v>
      </c>
    </row>
    <row r="1807" hidden="1">
      <c r="A1807" s="10" t="s">
        <v>1632</v>
      </c>
      <c r="B1807" s="3" t="s">
        <v>1633</v>
      </c>
      <c r="C1807" s="4" t="s">
        <v>3</v>
      </c>
      <c r="D1807" s="5" t="s">
        <v>15</v>
      </c>
      <c r="E1807" s="6" t="s">
        <v>1098</v>
      </c>
    </row>
    <row r="1808">
      <c r="A1808" s="10" t="s">
        <v>1632</v>
      </c>
      <c r="B1808" s="3" t="s">
        <v>1633</v>
      </c>
      <c r="C1808" s="4" t="s">
        <v>8</v>
      </c>
      <c r="D1808" s="5" t="s">
        <v>39</v>
      </c>
      <c r="E1808" s="6" t="s">
        <v>1639</v>
      </c>
    </row>
    <row r="1809">
      <c r="A1809" s="10" t="s">
        <v>1632</v>
      </c>
      <c r="B1809" s="3" t="s">
        <v>1633</v>
      </c>
      <c r="C1809" s="4" t="s">
        <v>8</v>
      </c>
      <c r="D1809" s="5" t="s">
        <v>23</v>
      </c>
      <c r="E1809" s="6" t="s">
        <v>1112</v>
      </c>
    </row>
    <row r="1810">
      <c r="A1810" s="10" t="s">
        <v>1632</v>
      </c>
      <c r="B1810" s="3" t="s">
        <v>1633</v>
      </c>
      <c r="C1810" s="4" t="s">
        <v>8</v>
      </c>
      <c r="D1810" s="5" t="s">
        <v>19</v>
      </c>
      <c r="E1810" s="6" t="s">
        <v>1640</v>
      </c>
    </row>
    <row r="1811" hidden="1">
      <c r="A1811" s="10" t="s">
        <v>1632</v>
      </c>
      <c r="B1811" s="3" t="s">
        <v>1633</v>
      </c>
      <c r="C1811" s="4" t="s">
        <v>3</v>
      </c>
      <c r="D1811" s="5" t="s">
        <v>96</v>
      </c>
      <c r="E1811" s="6" t="s">
        <v>501</v>
      </c>
    </row>
    <row r="1812" hidden="1">
      <c r="A1812" s="10" t="s">
        <v>1632</v>
      </c>
      <c r="B1812" s="3" t="s">
        <v>1633</v>
      </c>
      <c r="C1812" s="4" t="s">
        <v>3</v>
      </c>
      <c r="D1812" s="5" t="s">
        <v>96</v>
      </c>
      <c r="E1812" s="6" t="s">
        <v>341</v>
      </c>
    </row>
    <row r="1813" hidden="1">
      <c r="A1813" s="10" t="s">
        <v>1632</v>
      </c>
      <c r="B1813" s="3" t="s">
        <v>1633</v>
      </c>
      <c r="C1813" s="4" t="s">
        <v>3</v>
      </c>
      <c r="D1813" s="5" t="s">
        <v>4</v>
      </c>
      <c r="E1813" s="6" t="s">
        <v>1641</v>
      </c>
    </row>
    <row r="1814">
      <c r="A1814" s="10" t="s">
        <v>1632</v>
      </c>
      <c r="B1814" s="3" t="s">
        <v>1633</v>
      </c>
      <c r="C1814" s="4" t="s">
        <v>8</v>
      </c>
      <c r="D1814" s="5" t="s">
        <v>6</v>
      </c>
      <c r="E1814" s="6" t="s">
        <v>1642</v>
      </c>
    </row>
    <row r="1815">
      <c r="A1815" s="10" t="s">
        <v>1632</v>
      </c>
      <c r="B1815" s="3" t="s">
        <v>1633</v>
      </c>
      <c r="C1815" s="4" t="s">
        <v>8</v>
      </c>
      <c r="D1815" s="5" t="s">
        <v>11</v>
      </c>
      <c r="E1815" s="6" t="s">
        <v>1146</v>
      </c>
    </row>
    <row r="1816">
      <c r="A1816" s="10" t="s">
        <v>1632</v>
      </c>
      <c r="B1816" s="3" t="s">
        <v>1633</v>
      </c>
      <c r="C1816" s="4" t="s">
        <v>8</v>
      </c>
      <c r="D1816" s="5" t="s">
        <v>35</v>
      </c>
      <c r="E1816" s="6" t="s">
        <v>1643</v>
      </c>
    </row>
    <row r="1817" hidden="1">
      <c r="A1817" s="10" t="s">
        <v>1632</v>
      </c>
      <c r="B1817" s="3" t="s">
        <v>1633</v>
      </c>
      <c r="C1817" s="4" t="s">
        <v>3</v>
      </c>
      <c r="D1817" s="5" t="s">
        <v>9</v>
      </c>
      <c r="E1817" s="6" t="s">
        <v>333</v>
      </c>
    </row>
    <row r="1818" hidden="1">
      <c r="A1818" s="10" t="s">
        <v>1632</v>
      </c>
      <c r="B1818" s="3" t="s">
        <v>1633</v>
      </c>
      <c r="C1818" s="4" t="s">
        <v>3</v>
      </c>
      <c r="D1818" s="5" t="s">
        <v>21</v>
      </c>
      <c r="E1818" s="6" t="s">
        <v>235</v>
      </c>
    </row>
    <row r="1819" hidden="1">
      <c r="A1819" s="10" t="s">
        <v>1632</v>
      </c>
      <c r="B1819" s="3" t="s">
        <v>1633</v>
      </c>
      <c r="C1819" s="4" t="s">
        <v>3</v>
      </c>
      <c r="D1819" s="5" t="s">
        <v>45</v>
      </c>
      <c r="E1819" s="6" t="s">
        <v>141</v>
      </c>
    </row>
    <row r="1820">
      <c r="A1820" s="10" t="s">
        <v>1632</v>
      </c>
      <c r="B1820" s="3" t="s">
        <v>1633</v>
      </c>
      <c r="C1820" s="4" t="s">
        <v>8</v>
      </c>
      <c r="D1820" s="5" t="s">
        <v>11</v>
      </c>
      <c r="E1820" s="6" t="s">
        <v>1026</v>
      </c>
    </row>
    <row r="1821" hidden="1">
      <c r="A1821" s="10" t="s">
        <v>1632</v>
      </c>
      <c r="B1821" s="3" t="s">
        <v>1644</v>
      </c>
      <c r="C1821" s="4" t="s">
        <v>3</v>
      </c>
      <c r="D1821" s="5" t="s">
        <v>76</v>
      </c>
      <c r="E1821" s="6" t="s">
        <v>1645</v>
      </c>
    </row>
    <row r="1822">
      <c r="A1822" s="10" t="s">
        <v>1632</v>
      </c>
      <c r="B1822" s="3" t="s">
        <v>1644</v>
      </c>
      <c r="C1822" s="4" t="s">
        <v>8</v>
      </c>
      <c r="D1822" s="5" t="s">
        <v>11</v>
      </c>
      <c r="E1822" s="6" t="s">
        <v>1646</v>
      </c>
    </row>
    <row r="1823" hidden="1">
      <c r="A1823" s="10" t="s">
        <v>1632</v>
      </c>
      <c r="B1823" s="3" t="s">
        <v>1644</v>
      </c>
      <c r="C1823" s="4" t="s">
        <v>3</v>
      </c>
      <c r="D1823" s="5" t="s">
        <v>71</v>
      </c>
      <c r="E1823" s="6" t="s">
        <v>1206</v>
      </c>
    </row>
    <row r="1824" hidden="1">
      <c r="A1824" s="10" t="s">
        <v>1632</v>
      </c>
      <c r="B1824" s="3" t="s">
        <v>1644</v>
      </c>
      <c r="C1824" s="4" t="s">
        <v>3</v>
      </c>
      <c r="D1824" s="5" t="s">
        <v>42</v>
      </c>
      <c r="E1824" s="6" t="s">
        <v>505</v>
      </c>
    </row>
    <row r="1825" hidden="1">
      <c r="A1825" s="10" t="s">
        <v>1632</v>
      </c>
      <c r="B1825" s="3" t="s">
        <v>1644</v>
      </c>
      <c r="C1825" s="4" t="s">
        <v>3</v>
      </c>
      <c r="D1825" s="5" t="s">
        <v>96</v>
      </c>
      <c r="E1825" s="6" t="s">
        <v>604</v>
      </c>
    </row>
    <row r="1826" hidden="1">
      <c r="A1826" s="10" t="s">
        <v>1632</v>
      </c>
      <c r="B1826" s="3" t="s">
        <v>1644</v>
      </c>
      <c r="C1826" s="4" t="s">
        <v>3</v>
      </c>
      <c r="D1826" s="5" t="s">
        <v>39</v>
      </c>
      <c r="E1826" s="6" t="s">
        <v>1647</v>
      </c>
    </row>
    <row r="1827">
      <c r="A1827" s="10" t="s">
        <v>1632</v>
      </c>
      <c r="B1827" s="3" t="s">
        <v>1644</v>
      </c>
      <c r="C1827" s="4" t="s">
        <v>8</v>
      </c>
      <c r="D1827" s="5" t="s">
        <v>51</v>
      </c>
      <c r="E1827" s="6" t="s">
        <v>1648</v>
      </c>
    </row>
    <row r="1828" hidden="1">
      <c r="A1828" s="10" t="s">
        <v>1632</v>
      </c>
      <c r="B1828" s="3" t="s">
        <v>1644</v>
      </c>
      <c r="C1828" s="4" t="s">
        <v>3</v>
      </c>
      <c r="D1828" s="5" t="s">
        <v>4</v>
      </c>
      <c r="E1828" s="6" t="s">
        <v>1649</v>
      </c>
    </row>
    <row r="1829" hidden="1">
      <c r="A1829" s="10" t="s">
        <v>1632</v>
      </c>
      <c r="B1829" s="3" t="s">
        <v>1644</v>
      </c>
      <c r="C1829" s="4" t="s">
        <v>3</v>
      </c>
      <c r="D1829" s="5" t="s">
        <v>6</v>
      </c>
      <c r="E1829" s="6" t="s">
        <v>1397</v>
      </c>
    </row>
    <row r="1830">
      <c r="A1830" s="10" t="s">
        <v>1632</v>
      </c>
      <c r="B1830" s="3" t="s">
        <v>1644</v>
      </c>
      <c r="C1830" s="4" t="s">
        <v>8</v>
      </c>
      <c r="D1830" s="5" t="s">
        <v>51</v>
      </c>
      <c r="E1830" s="6" t="s">
        <v>1650</v>
      </c>
    </row>
    <row r="1831" hidden="1">
      <c r="A1831" s="10" t="s">
        <v>1632</v>
      </c>
      <c r="B1831" s="3" t="s">
        <v>1644</v>
      </c>
      <c r="C1831" s="4" t="s">
        <v>3</v>
      </c>
      <c r="D1831" s="5" t="s">
        <v>13</v>
      </c>
      <c r="E1831" s="6" t="s">
        <v>1125</v>
      </c>
    </row>
    <row r="1832" hidden="1">
      <c r="A1832" s="10" t="s">
        <v>1632</v>
      </c>
      <c r="B1832" s="3" t="s">
        <v>1644</v>
      </c>
      <c r="C1832" s="4" t="s">
        <v>3</v>
      </c>
      <c r="D1832" s="5" t="s">
        <v>19</v>
      </c>
      <c r="E1832" s="6" t="s">
        <v>1651</v>
      </c>
    </row>
    <row r="1833">
      <c r="A1833" s="10" t="s">
        <v>1632</v>
      </c>
      <c r="B1833" s="3" t="s">
        <v>1644</v>
      </c>
      <c r="C1833" s="4" t="s">
        <v>8</v>
      </c>
      <c r="D1833" s="5" t="s">
        <v>21</v>
      </c>
      <c r="E1833" s="6" t="s">
        <v>106</v>
      </c>
    </row>
    <row r="1834" hidden="1">
      <c r="A1834" s="10" t="s">
        <v>1632</v>
      </c>
      <c r="B1834" s="3" t="s">
        <v>1644</v>
      </c>
      <c r="C1834" s="4" t="s">
        <v>3</v>
      </c>
      <c r="D1834" s="5" t="s">
        <v>35</v>
      </c>
      <c r="E1834" s="6" t="s">
        <v>1652</v>
      </c>
    </row>
    <row r="1835" hidden="1">
      <c r="A1835" s="10" t="s">
        <v>1632</v>
      </c>
      <c r="B1835" s="3" t="s">
        <v>1644</v>
      </c>
      <c r="C1835" s="4" t="s">
        <v>3</v>
      </c>
      <c r="D1835" s="5" t="s">
        <v>17</v>
      </c>
      <c r="E1835" s="6" t="s">
        <v>225</v>
      </c>
    </row>
    <row r="1836">
      <c r="A1836" s="10" t="s">
        <v>1632</v>
      </c>
      <c r="B1836" s="3" t="s">
        <v>1644</v>
      </c>
      <c r="C1836" s="4" t="s">
        <v>8</v>
      </c>
      <c r="D1836" s="5" t="s">
        <v>9</v>
      </c>
      <c r="E1836" s="6" t="s">
        <v>903</v>
      </c>
    </row>
    <row r="1837">
      <c r="A1837" s="10" t="s">
        <v>1632</v>
      </c>
      <c r="B1837" s="3" t="s">
        <v>1644</v>
      </c>
      <c r="C1837" s="4" t="s">
        <v>8</v>
      </c>
      <c r="D1837" s="5" t="s">
        <v>76</v>
      </c>
      <c r="E1837" s="6" t="s">
        <v>1653</v>
      </c>
    </row>
    <row r="1838" hidden="1">
      <c r="A1838" s="10" t="s">
        <v>1632</v>
      </c>
      <c r="B1838" s="3" t="s">
        <v>1644</v>
      </c>
      <c r="C1838" s="4" t="s">
        <v>3</v>
      </c>
      <c r="D1838" s="5" t="s">
        <v>76</v>
      </c>
      <c r="E1838" s="6" t="s">
        <v>1654</v>
      </c>
    </row>
    <row r="1839" hidden="1">
      <c r="A1839" s="10" t="s">
        <v>1632</v>
      </c>
      <c r="B1839" s="3" t="s">
        <v>1644</v>
      </c>
      <c r="C1839" s="4" t="s">
        <v>3</v>
      </c>
      <c r="D1839" s="5" t="s">
        <v>71</v>
      </c>
      <c r="E1839" s="6" t="s">
        <v>1655</v>
      </c>
    </row>
    <row r="1840" hidden="1">
      <c r="A1840" s="10" t="s">
        <v>1632</v>
      </c>
      <c r="B1840" s="3" t="s">
        <v>1644</v>
      </c>
      <c r="C1840" s="4" t="s">
        <v>3</v>
      </c>
      <c r="D1840" s="5" t="s">
        <v>71</v>
      </c>
      <c r="E1840" s="6" t="s">
        <v>1656</v>
      </c>
    </row>
    <row r="1841">
      <c r="A1841" s="10" t="s">
        <v>1657</v>
      </c>
      <c r="B1841" s="3" t="s">
        <v>1658</v>
      </c>
      <c r="C1841" s="4" t="s">
        <v>8</v>
      </c>
      <c r="D1841" s="5" t="s">
        <v>23</v>
      </c>
      <c r="E1841" s="6" t="s">
        <v>1659</v>
      </c>
    </row>
    <row r="1842" hidden="1">
      <c r="A1842" s="10" t="s">
        <v>1657</v>
      </c>
      <c r="B1842" s="3" t="s">
        <v>1658</v>
      </c>
      <c r="C1842" s="4" t="s">
        <v>3</v>
      </c>
      <c r="D1842" s="5" t="s">
        <v>35</v>
      </c>
      <c r="E1842" s="6" t="s">
        <v>1660</v>
      </c>
    </row>
    <row r="1843">
      <c r="A1843" s="10" t="s">
        <v>1657</v>
      </c>
      <c r="B1843" s="3" t="s">
        <v>1658</v>
      </c>
      <c r="C1843" s="4" t="s">
        <v>8</v>
      </c>
      <c r="D1843" s="5" t="s">
        <v>9</v>
      </c>
      <c r="E1843" s="6" t="s">
        <v>208</v>
      </c>
    </row>
    <row r="1844">
      <c r="A1844" s="10" t="s">
        <v>1657</v>
      </c>
      <c r="B1844" s="3" t="s">
        <v>1658</v>
      </c>
      <c r="C1844" s="4" t="s">
        <v>8</v>
      </c>
      <c r="D1844" s="5" t="s">
        <v>51</v>
      </c>
      <c r="E1844" s="6" t="s">
        <v>1134</v>
      </c>
    </row>
    <row r="1845" hidden="1">
      <c r="A1845" s="10" t="s">
        <v>1657</v>
      </c>
      <c r="B1845" s="3" t="s">
        <v>1658</v>
      </c>
      <c r="C1845" s="4" t="s">
        <v>3</v>
      </c>
      <c r="D1845" s="5" t="s">
        <v>23</v>
      </c>
      <c r="E1845" s="6" t="s">
        <v>1661</v>
      </c>
    </row>
    <row r="1846">
      <c r="A1846" s="10" t="s">
        <v>1657</v>
      </c>
      <c r="B1846" s="3" t="s">
        <v>1658</v>
      </c>
      <c r="C1846" s="4" t="s">
        <v>8</v>
      </c>
      <c r="D1846" s="5" t="s">
        <v>45</v>
      </c>
      <c r="E1846" s="6" t="s">
        <v>1662</v>
      </c>
    </row>
    <row r="1847">
      <c r="A1847" s="10" t="s">
        <v>1657</v>
      </c>
      <c r="B1847" s="3" t="s">
        <v>1658</v>
      </c>
      <c r="C1847" s="4" t="s">
        <v>8</v>
      </c>
      <c r="D1847" s="5" t="s">
        <v>9</v>
      </c>
      <c r="E1847" s="6" t="s">
        <v>1663</v>
      </c>
    </row>
    <row r="1848" hidden="1">
      <c r="A1848" s="10" t="s">
        <v>1657</v>
      </c>
      <c r="B1848" s="3" t="s">
        <v>1658</v>
      </c>
      <c r="C1848" s="4" t="s">
        <v>3</v>
      </c>
      <c r="D1848" s="5" t="s">
        <v>76</v>
      </c>
      <c r="E1848" s="6" t="s">
        <v>1664</v>
      </c>
    </row>
    <row r="1849">
      <c r="A1849" s="10" t="s">
        <v>1657</v>
      </c>
      <c r="B1849" s="3" t="s">
        <v>1658</v>
      </c>
      <c r="C1849" s="4" t="s">
        <v>8</v>
      </c>
      <c r="D1849" s="5" t="s">
        <v>35</v>
      </c>
      <c r="E1849" s="6" t="s">
        <v>896</v>
      </c>
    </row>
    <row r="1850" hidden="1">
      <c r="A1850" s="10" t="s">
        <v>1657</v>
      </c>
      <c r="B1850" s="3" t="s">
        <v>1658</v>
      </c>
      <c r="C1850" s="4" t="s">
        <v>3</v>
      </c>
      <c r="D1850" s="5" t="s">
        <v>11</v>
      </c>
      <c r="E1850" s="6" t="s">
        <v>1665</v>
      </c>
    </row>
    <row r="1851" hidden="1">
      <c r="A1851" s="10" t="s">
        <v>1657</v>
      </c>
      <c r="B1851" s="3" t="s">
        <v>1658</v>
      </c>
      <c r="C1851" s="4" t="s">
        <v>3</v>
      </c>
      <c r="D1851" s="5" t="s">
        <v>45</v>
      </c>
      <c r="E1851" s="6" t="s">
        <v>1666</v>
      </c>
    </row>
    <row r="1852">
      <c r="A1852" s="10" t="s">
        <v>1657</v>
      </c>
      <c r="B1852" s="3" t="s">
        <v>1658</v>
      </c>
      <c r="C1852" s="4" t="s">
        <v>8</v>
      </c>
      <c r="D1852" s="5" t="s">
        <v>19</v>
      </c>
      <c r="E1852" s="6" t="s">
        <v>1667</v>
      </c>
    </row>
    <row r="1853">
      <c r="A1853" s="10" t="s">
        <v>1657</v>
      </c>
      <c r="B1853" s="3" t="s">
        <v>1658</v>
      </c>
      <c r="C1853" s="4" t="s">
        <v>8</v>
      </c>
      <c r="D1853" s="5" t="s">
        <v>17</v>
      </c>
      <c r="E1853" s="6" t="s">
        <v>1001</v>
      </c>
    </row>
    <row r="1854">
      <c r="A1854" s="10" t="s">
        <v>1657</v>
      </c>
      <c r="B1854" s="3" t="s">
        <v>1658</v>
      </c>
      <c r="C1854" s="4" t="s">
        <v>8</v>
      </c>
      <c r="D1854" s="5" t="s">
        <v>17</v>
      </c>
      <c r="E1854" s="6" t="s">
        <v>1668</v>
      </c>
    </row>
    <row r="1855" hidden="1">
      <c r="A1855" s="10" t="s">
        <v>1657</v>
      </c>
      <c r="B1855" s="3" t="s">
        <v>1658</v>
      </c>
      <c r="C1855" s="4" t="s">
        <v>3</v>
      </c>
      <c r="D1855" s="5" t="s">
        <v>19</v>
      </c>
      <c r="E1855" s="6" t="s">
        <v>1669</v>
      </c>
    </row>
    <row r="1856" hidden="1">
      <c r="A1856" s="10" t="s">
        <v>1657</v>
      </c>
      <c r="B1856" s="3" t="s">
        <v>1658</v>
      </c>
      <c r="C1856" s="4" t="s">
        <v>3</v>
      </c>
      <c r="D1856" s="5" t="s">
        <v>6</v>
      </c>
      <c r="E1856" s="6" t="s">
        <v>1670</v>
      </c>
    </row>
    <row r="1857">
      <c r="A1857" s="10" t="s">
        <v>1657</v>
      </c>
      <c r="B1857" s="3" t="s">
        <v>1658</v>
      </c>
      <c r="C1857" s="4" t="s">
        <v>8</v>
      </c>
      <c r="D1857" s="5" t="s">
        <v>28</v>
      </c>
      <c r="E1857" s="6" t="s">
        <v>1392</v>
      </c>
    </row>
    <row r="1858">
      <c r="A1858" s="10" t="s">
        <v>1657</v>
      </c>
      <c r="B1858" s="3" t="s">
        <v>1658</v>
      </c>
      <c r="C1858" s="4" t="s">
        <v>8</v>
      </c>
      <c r="D1858" s="5" t="s">
        <v>23</v>
      </c>
      <c r="E1858" s="6" t="s">
        <v>1671</v>
      </c>
    </row>
    <row r="1859" hidden="1">
      <c r="A1859" s="10" t="s">
        <v>1657</v>
      </c>
      <c r="B1859" s="3" t="s">
        <v>1658</v>
      </c>
      <c r="C1859" s="4" t="s">
        <v>3</v>
      </c>
      <c r="D1859" s="5" t="s">
        <v>21</v>
      </c>
      <c r="E1859" s="6" t="s">
        <v>933</v>
      </c>
    </row>
    <row r="1860" hidden="1">
      <c r="A1860" s="10" t="s">
        <v>1657</v>
      </c>
      <c r="B1860" s="3" t="s">
        <v>1658</v>
      </c>
      <c r="C1860" s="4" t="s">
        <v>3</v>
      </c>
      <c r="D1860" s="5" t="s">
        <v>4</v>
      </c>
      <c r="E1860" s="6" t="s">
        <v>279</v>
      </c>
    </row>
    <row r="1861">
      <c r="A1861" s="10" t="s">
        <v>199</v>
      </c>
      <c r="B1861" s="3" t="s">
        <v>1672</v>
      </c>
      <c r="C1861" s="4" t="s">
        <v>8</v>
      </c>
      <c r="D1861" s="5" t="s">
        <v>45</v>
      </c>
      <c r="E1861" s="6" t="s">
        <v>1673</v>
      </c>
    </row>
    <row r="1862" hidden="1">
      <c r="A1862" s="10" t="s">
        <v>199</v>
      </c>
      <c r="B1862" s="3" t="s">
        <v>1672</v>
      </c>
      <c r="C1862" s="4" t="s">
        <v>3</v>
      </c>
      <c r="D1862" s="5" t="s">
        <v>45</v>
      </c>
      <c r="E1862" s="6" t="s">
        <v>282</v>
      </c>
    </row>
    <row r="1863" hidden="1">
      <c r="A1863" s="10" t="s">
        <v>199</v>
      </c>
      <c r="B1863" s="3" t="s">
        <v>1672</v>
      </c>
      <c r="C1863" s="4" t="s">
        <v>3</v>
      </c>
      <c r="D1863" s="5" t="s">
        <v>4</v>
      </c>
      <c r="E1863" s="6" t="s">
        <v>1674</v>
      </c>
    </row>
    <row r="1864" hidden="1">
      <c r="A1864" s="10" t="s">
        <v>199</v>
      </c>
      <c r="B1864" s="3" t="s">
        <v>1672</v>
      </c>
      <c r="C1864" s="4" t="s">
        <v>3</v>
      </c>
      <c r="D1864" s="5" t="s">
        <v>96</v>
      </c>
      <c r="E1864" s="6" t="s">
        <v>1675</v>
      </c>
    </row>
    <row r="1865" hidden="1">
      <c r="A1865" s="10" t="s">
        <v>199</v>
      </c>
      <c r="B1865" s="3" t="s">
        <v>1672</v>
      </c>
      <c r="C1865" s="4" t="s">
        <v>3</v>
      </c>
      <c r="D1865" s="5" t="s">
        <v>15</v>
      </c>
      <c r="E1865" s="6" t="s">
        <v>1676</v>
      </c>
    </row>
    <row r="1866">
      <c r="A1866" s="10" t="s">
        <v>199</v>
      </c>
      <c r="B1866" s="3" t="s">
        <v>1672</v>
      </c>
      <c r="C1866" s="4" t="s">
        <v>8</v>
      </c>
      <c r="D1866" s="5" t="s">
        <v>39</v>
      </c>
      <c r="E1866" s="6" t="s">
        <v>1677</v>
      </c>
    </row>
    <row r="1867">
      <c r="A1867" s="10" t="s">
        <v>199</v>
      </c>
      <c r="B1867" s="3" t="s">
        <v>1672</v>
      </c>
      <c r="C1867" s="4" t="s">
        <v>8</v>
      </c>
      <c r="D1867" s="5" t="s">
        <v>6</v>
      </c>
      <c r="E1867" s="6" t="s">
        <v>357</v>
      </c>
    </row>
    <row r="1868" hidden="1">
      <c r="A1868" s="10" t="s">
        <v>199</v>
      </c>
      <c r="B1868" s="3" t="s">
        <v>1672</v>
      </c>
      <c r="C1868" s="4" t="s">
        <v>3</v>
      </c>
      <c r="D1868" s="5" t="s">
        <v>23</v>
      </c>
      <c r="E1868" s="6" t="s">
        <v>1678</v>
      </c>
    </row>
    <row r="1869">
      <c r="A1869" s="10" t="s">
        <v>199</v>
      </c>
      <c r="B1869" s="3" t="s">
        <v>1672</v>
      </c>
      <c r="C1869" s="4" t="s">
        <v>8</v>
      </c>
      <c r="D1869" s="5" t="s">
        <v>11</v>
      </c>
      <c r="E1869" s="6" t="s">
        <v>1679</v>
      </c>
    </row>
    <row r="1870" hidden="1">
      <c r="A1870" s="10" t="s">
        <v>199</v>
      </c>
      <c r="B1870" s="3" t="s">
        <v>1672</v>
      </c>
      <c r="C1870" s="4" t="s">
        <v>3</v>
      </c>
      <c r="D1870" s="5" t="s">
        <v>120</v>
      </c>
      <c r="E1870" s="6" t="s">
        <v>1680</v>
      </c>
    </row>
    <row r="1871" hidden="1">
      <c r="A1871" s="10" t="s">
        <v>199</v>
      </c>
      <c r="B1871" s="3" t="s">
        <v>1672</v>
      </c>
      <c r="C1871" s="4" t="s">
        <v>3</v>
      </c>
      <c r="D1871" s="5" t="s">
        <v>35</v>
      </c>
      <c r="E1871" s="6" t="s">
        <v>1681</v>
      </c>
    </row>
    <row r="1872" hidden="1">
      <c r="A1872" s="10" t="s">
        <v>199</v>
      </c>
      <c r="B1872" s="3" t="s">
        <v>1672</v>
      </c>
      <c r="C1872" s="4" t="s">
        <v>3</v>
      </c>
      <c r="D1872" s="5" t="s">
        <v>17</v>
      </c>
      <c r="E1872" s="6" t="s">
        <v>771</v>
      </c>
    </row>
    <row r="1873" hidden="1">
      <c r="A1873" s="10" t="s">
        <v>199</v>
      </c>
      <c r="B1873" s="3" t="s">
        <v>1672</v>
      </c>
      <c r="C1873" s="4" t="s">
        <v>3</v>
      </c>
      <c r="D1873" s="5" t="s">
        <v>42</v>
      </c>
      <c r="E1873" s="6" t="s">
        <v>1087</v>
      </c>
    </row>
    <row r="1874">
      <c r="A1874" s="10" t="s">
        <v>199</v>
      </c>
      <c r="B1874" s="3" t="s">
        <v>1672</v>
      </c>
      <c r="C1874" s="4" t="s">
        <v>8</v>
      </c>
      <c r="D1874" s="5" t="s">
        <v>23</v>
      </c>
      <c r="E1874" s="6" t="s">
        <v>1682</v>
      </c>
    </row>
    <row r="1875" hidden="1">
      <c r="A1875" s="10" t="s">
        <v>199</v>
      </c>
      <c r="B1875" s="3" t="s">
        <v>1672</v>
      </c>
      <c r="C1875" s="4" t="s">
        <v>3</v>
      </c>
      <c r="D1875" s="5" t="s">
        <v>6</v>
      </c>
      <c r="E1875" s="6" t="s">
        <v>1683</v>
      </c>
    </row>
    <row r="1876" hidden="1">
      <c r="A1876" s="10" t="s">
        <v>199</v>
      </c>
      <c r="B1876" s="3" t="s">
        <v>1672</v>
      </c>
      <c r="C1876" s="4" t="s">
        <v>3</v>
      </c>
      <c r="D1876" s="5" t="s">
        <v>45</v>
      </c>
      <c r="E1876" s="6" t="s">
        <v>1684</v>
      </c>
    </row>
    <row r="1877">
      <c r="A1877" s="10" t="s">
        <v>199</v>
      </c>
      <c r="B1877" s="3" t="s">
        <v>1672</v>
      </c>
      <c r="C1877" s="4" t="s">
        <v>8</v>
      </c>
      <c r="D1877" s="5" t="s">
        <v>28</v>
      </c>
      <c r="E1877" s="6" t="s">
        <v>476</v>
      </c>
    </row>
    <row r="1878" hidden="1">
      <c r="A1878" s="10" t="s">
        <v>199</v>
      </c>
      <c r="B1878" s="3" t="s">
        <v>1672</v>
      </c>
      <c r="C1878" s="4" t="s">
        <v>3</v>
      </c>
      <c r="D1878" s="5" t="s">
        <v>42</v>
      </c>
      <c r="E1878" s="6" t="s">
        <v>842</v>
      </c>
    </row>
    <row r="1879" hidden="1">
      <c r="A1879" s="10" t="s">
        <v>199</v>
      </c>
      <c r="B1879" s="3" t="s">
        <v>1672</v>
      </c>
      <c r="C1879" s="4" t="s">
        <v>3</v>
      </c>
      <c r="D1879" s="5" t="s">
        <v>35</v>
      </c>
      <c r="E1879" s="6" t="s">
        <v>1685</v>
      </c>
    </row>
    <row r="1880" hidden="1">
      <c r="A1880" s="10" t="s">
        <v>199</v>
      </c>
      <c r="B1880" s="3" t="s">
        <v>1672</v>
      </c>
      <c r="C1880" s="4" t="s">
        <v>3</v>
      </c>
      <c r="D1880" s="5" t="s">
        <v>6</v>
      </c>
      <c r="E1880" s="6" t="s">
        <v>1686</v>
      </c>
    </row>
    <row r="1881" hidden="1">
      <c r="A1881" s="10" t="s">
        <v>1687</v>
      </c>
      <c r="B1881" s="3" t="s">
        <v>1688</v>
      </c>
      <c r="C1881" s="4" t="s">
        <v>3</v>
      </c>
      <c r="D1881" s="5" t="s">
        <v>6</v>
      </c>
      <c r="E1881" s="6" t="s">
        <v>1689</v>
      </c>
    </row>
    <row r="1882">
      <c r="A1882" s="10" t="s">
        <v>1687</v>
      </c>
      <c r="B1882" s="3" t="s">
        <v>1688</v>
      </c>
      <c r="C1882" s="4" t="s">
        <v>8</v>
      </c>
      <c r="D1882" s="5" t="s">
        <v>4</v>
      </c>
      <c r="E1882" s="6" t="s">
        <v>1690</v>
      </c>
    </row>
    <row r="1883">
      <c r="A1883" s="10" t="s">
        <v>1687</v>
      </c>
      <c r="B1883" s="3" t="s">
        <v>1688</v>
      </c>
      <c r="C1883" s="4" t="s">
        <v>8</v>
      </c>
      <c r="D1883" s="5" t="s">
        <v>23</v>
      </c>
      <c r="E1883" s="6" t="s">
        <v>1691</v>
      </c>
    </row>
    <row r="1884" hidden="1">
      <c r="A1884" s="10" t="s">
        <v>1687</v>
      </c>
      <c r="B1884" s="3" t="s">
        <v>1688</v>
      </c>
      <c r="C1884" s="4" t="s">
        <v>3</v>
      </c>
      <c r="D1884" s="5" t="s">
        <v>19</v>
      </c>
      <c r="E1884" s="6" t="s">
        <v>1692</v>
      </c>
    </row>
    <row r="1885">
      <c r="A1885" s="10" t="s">
        <v>1687</v>
      </c>
      <c r="B1885" s="3" t="s">
        <v>1688</v>
      </c>
      <c r="C1885" s="4" t="s">
        <v>8</v>
      </c>
      <c r="D1885" s="5" t="s">
        <v>11</v>
      </c>
      <c r="E1885" s="6" t="s">
        <v>1693</v>
      </c>
    </row>
    <row r="1886">
      <c r="A1886" s="10" t="s">
        <v>1687</v>
      </c>
      <c r="B1886" s="3" t="s">
        <v>1688</v>
      </c>
      <c r="C1886" s="4" t="s">
        <v>8</v>
      </c>
      <c r="D1886" s="5" t="s">
        <v>13</v>
      </c>
      <c r="E1886" s="6" t="s">
        <v>1694</v>
      </c>
    </row>
    <row r="1887" hidden="1">
      <c r="A1887" s="10" t="s">
        <v>1687</v>
      </c>
      <c r="B1887" s="3" t="s">
        <v>1688</v>
      </c>
      <c r="C1887" s="4" t="s">
        <v>3</v>
      </c>
      <c r="D1887" s="5" t="s">
        <v>51</v>
      </c>
      <c r="E1887" s="6" t="s">
        <v>1695</v>
      </c>
    </row>
    <row r="1888" hidden="1">
      <c r="A1888" s="10" t="s">
        <v>1687</v>
      </c>
      <c r="B1888" s="3" t="s">
        <v>1688</v>
      </c>
      <c r="C1888" s="4" t="s">
        <v>3</v>
      </c>
      <c r="D1888" s="5" t="s">
        <v>15</v>
      </c>
      <c r="E1888" s="6" t="s">
        <v>943</v>
      </c>
    </row>
    <row r="1889">
      <c r="A1889" s="10" t="s">
        <v>1687</v>
      </c>
      <c r="B1889" s="3" t="s">
        <v>1688</v>
      </c>
      <c r="C1889" s="4" t="s">
        <v>8</v>
      </c>
      <c r="D1889" s="5" t="s">
        <v>15</v>
      </c>
      <c r="E1889" s="6" t="s">
        <v>1218</v>
      </c>
    </row>
    <row r="1890">
      <c r="A1890" s="10" t="s">
        <v>1687</v>
      </c>
      <c r="B1890" s="3" t="s">
        <v>1688</v>
      </c>
      <c r="C1890" s="4" t="s">
        <v>8</v>
      </c>
      <c r="D1890" s="5" t="s">
        <v>96</v>
      </c>
      <c r="E1890" s="6" t="s">
        <v>415</v>
      </c>
    </row>
    <row r="1891">
      <c r="A1891" s="10" t="s">
        <v>1687</v>
      </c>
      <c r="B1891" s="3" t="s">
        <v>1688</v>
      </c>
      <c r="C1891" s="4" t="s">
        <v>8</v>
      </c>
      <c r="D1891" s="5" t="s">
        <v>71</v>
      </c>
      <c r="E1891" s="6" t="s">
        <v>1696</v>
      </c>
    </row>
    <row r="1892">
      <c r="A1892" s="10" t="s">
        <v>1687</v>
      </c>
      <c r="B1892" s="3" t="s">
        <v>1688</v>
      </c>
      <c r="C1892" s="4" t="s">
        <v>8</v>
      </c>
      <c r="D1892" s="5" t="s">
        <v>96</v>
      </c>
      <c r="E1892" s="6" t="s">
        <v>1697</v>
      </c>
    </row>
    <row r="1893">
      <c r="A1893" s="10" t="s">
        <v>1687</v>
      </c>
      <c r="B1893" s="3" t="s">
        <v>1688</v>
      </c>
      <c r="C1893" s="4" t="s">
        <v>8</v>
      </c>
      <c r="D1893" s="5" t="s">
        <v>71</v>
      </c>
      <c r="E1893" s="6" t="s">
        <v>847</v>
      </c>
    </row>
    <row r="1894">
      <c r="A1894" s="10" t="s">
        <v>1687</v>
      </c>
      <c r="B1894" s="3" t="s">
        <v>1688</v>
      </c>
      <c r="C1894" s="4" t="s">
        <v>8</v>
      </c>
      <c r="D1894" s="5" t="s">
        <v>42</v>
      </c>
      <c r="E1894" s="6" t="s">
        <v>1014</v>
      </c>
    </row>
    <row r="1895">
      <c r="A1895" s="10" t="s">
        <v>1687</v>
      </c>
      <c r="B1895" s="3" t="s">
        <v>1688</v>
      </c>
      <c r="C1895" s="4" t="s">
        <v>8</v>
      </c>
      <c r="D1895" s="5" t="s">
        <v>28</v>
      </c>
      <c r="E1895" s="6" t="s">
        <v>1698</v>
      </c>
    </row>
    <row r="1896" hidden="1">
      <c r="A1896" s="10" t="s">
        <v>1687</v>
      </c>
      <c r="B1896" s="3" t="s">
        <v>1688</v>
      </c>
      <c r="C1896" s="4" t="s">
        <v>3</v>
      </c>
      <c r="D1896" s="5" t="s">
        <v>13</v>
      </c>
      <c r="E1896" s="6" t="s">
        <v>496</v>
      </c>
    </row>
    <row r="1897">
      <c r="A1897" s="10" t="s">
        <v>1687</v>
      </c>
      <c r="B1897" s="3" t="s">
        <v>1688</v>
      </c>
      <c r="C1897" s="4" t="s">
        <v>8</v>
      </c>
      <c r="D1897" s="5" t="s">
        <v>23</v>
      </c>
      <c r="E1897" s="6" t="s">
        <v>1699</v>
      </c>
    </row>
    <row r="1898">
      <c r="A1898" s="10" t="s">
        <v>1687</v>
      </c>
      <c r="B1898" s="3" t="s">
        <v>1688</v>
      </c>
      <c r="C1898" s="4" t="s">
        <v>8</v>
      </c>
      <c r="D1898" s="5" t="s">
        <v>17</v>
      </c>
      <c r="E1898" s="6" t="s">
        <v>961</v>
      </c>
    </row>
    <row r="1899">
      <c r="A1899" s="10" t="s">
        <v>1687</v>
      </c>
      <c r="B1899" s="3" t="s">
        <v>1688</v>
      </c>
      <c r="C1899" s="4" t="s">
        <v>8</v>
      </c>
      <c r="D1899" s="5" t="s">
        <v>15</v>
      </c>
      <c r="E1899" s="6" t="s">
        <v>1700</v>
      </c>
    </row>
    <row r="1900" hidden="1">
      <c r="A1900" s="10" t="s">
        <v>1687</v>
      </c>
      <c r="B1900" s="3" t="s">
        <v>1688</v>
      </c>
      <c r="C1900" s="4" t="s">
        <v>3</v>
      </c>
      <c r="D1900" s="5" t="s">
        <v>35</v>
      </c>
      <c r="E1900" s="6" t="s">
        <v>1701</v>
      </c>
    </row>
    <row r="1901">
      <c r="A1901" s="10" t="s">
        <v>389</v>
      </c>
      <c r="B1901" s="3" t="s">
        <v>1702</v>
      </c>
      <c r="C1901" s="4" t="s">
        <v>8</v>
      </c>
      <c r="D1901" s="5" t="s">
        <v>76</v>
      </c>
      <c r="E1901" s="6" t="s">
        <v>1703</v>
      </c>
    </row>
    <row r="1902" hidden="1">
      <c r="A1902" s="10" t="s">
        <v>389</v>
      </c>
      <c r="B1902" s="3" t="s">
        <v>1702</v>
      </c>
      <c r="C1902" s="4" t="s">
        <v>3</v>
      </c>
      <c r="D1902" s="5" t="s">
        <v>71</v>
      </c>
      <c r="E1902" s="6" t="s">
        <v>1704</v>
      </c>
    </row>
    <row r="1903" hidden="1">
      <c r="A1903" s="10" t="s">
        <v>389</v>
      </c>
      <c r="B1903" s="3" t="s">
        <v>1702</v>
      </c>
      <c r="C1903" s="4" t="s">
        <v>3</v>
      </c>
      <c r="D1903" s="5" t="s">
        <v>15</v>
      </c>
      <c r="E1903" s="6" t="s">
        <v>27</v>
      </c>
    </row>
    <row r="1904">
      <c r="A1904" s="10" t="s">
        <v>389</v>
      </c>
      <c r="B1904" s="3" t="s">
        <v>1702</v>
      </c>
      <c r="C1904" s="4" t="s">
        <v>8</v>
      </c>
      <c r="D1904" s="5" t="s">
        <v>4</v>
      </c>
      <c r="E1904" s="6" t="s">
        <v>1705</v>
      </c>
    </row>
    <row r="1905">
      <c r="A1905" s="10" t="s">
        <v>389</v>
      </c>
      <c r="B1905" s="3" t="s">
        <v>1702</v>
      </c>
      <c r="C1905" s="4" t="s">
        <v>8</v>
      </c>
      <c r="D1905" s="5" t="s">
        <v>11</v>
      </c>
      <c r="E1905" s="6" t="s">
        <v>1706</v>
      </c>
    </row>
    <row r="1906" hidden="1">
      <c r="A1906" s="10" t="s">
        <v>389</v>
      </c>
      <c r="B1906" s="3" t="s">
        <v>1702</v>
      </c>
      <c r="C1906" s="4" t="s">
        <v>3</v>
      </c>
      <c r="D1906" s="5" t="s">
        <v>35</v>
      </c>
      <c r="E1906" s="6" t="s">
        <v>1707</v>
      </c>
    </row>
    <row r="1907">
      <c r="A1907" s="10" t="s">
        <v>389</v>
      </c>
      <c r="B1907" s="3" t="s">
        <v>1702</v>
      </c>
      <c r="C1907" s="4" t="s">
        <v>8</v>
      </c>
      <c r="D1907" s="5" t="s">
        <v>35</v>
      </c>
      <c r="E1907" s="6" t="s">
        <v>1708</v>
      </c>
    </row>
    <row r="1908">
      <c r="A1908" s="10" t="s">
        <v>389</v>
      </c>
      <c r="B1908" s="3" t="s">
        <v>1702</v>
      </c>
      <c r="C1908" s="4" t="s">
        <v>8</v>
      </c>
      <c r="D1908" s="5" t="s">
        <v>17</v>
      </c>
      <c r="E1908" s="6" t="s">
        <v>1327</v>
      </c>
    </row>
    <row r="1909" hidden="1">
      <c r="A1909" s="10" t="s">
        <v>389</v>
      </c>
      <c r="B1909" s="3" t="s">
        <v>1702</v>
      </c>
      <c r="C1909" s="4" t="s">
        <v>3</v>
      </c>
      <c r="D1909" s="5" t="s">
        <v>42</v>
      </c>
      <c r="E1909" s="6" t="s">
        <v>1709</v>
      </c>
    </row>
    <row r="1910" hidden="1">
      <c r="A1910" s="10" t="s">
        <v>389</v>
      </c>
      <c r="B1910" s="3" t="s">
        <v>1702</v>
      </c>
      <c r="C1910" s="4" t="s">
        <v>3</v>
      </c>
      <c r="D1910" s="5" t="s">
        <v>45</v>
      </c>
      <c r="E1910" s="6" t="s">
        <v>1710</v>
      </c>
    </row>
    <row r="1911" hidden="1">
      <c r="A1911" s="10" t="s">
        <v>389</v>
      </c>
      <c r="B1911" s="3" t="s">
        <v>1702</v>
      </c>
      <c r="C1911" s="4" t="s">
        <v>3</v>
      </c>
      <c r="D1911" s="5" t="s">
        <v>23</v>
      </c>
      <c r="E1911" s="6" t="s">
        <v>1711</v>
      </c>
    </row>
    <row r="1912" hidden="1">
      <c r="A1912" s="10" t="s">
        <v>389</v>
      </c>
      <c r="B1912" s="3" t="s">
        <v>1702</v>
      </c>
      <c r="C1912" s="4" t="s">
        <v>3</v>
      </c>
      <c r="D1912" s="5" t="s">
        <v>76</v>
      </c>
      <c r="E1912" s="6" t="s">
        <v>1712</v>
      </c>
    </row>
    <row r="1913">
      <c r="A1913" s="10" t="s">
        <v>389</v>
      </c>
      <c r="B1913" s="3" t="s">
        <v>1702</v>
      </c>
      <c r="C1913" s="4" t="s">
        <v>8</v>
      </c>
      <c r="D1913" s="5" t="s">
        <v>42</v>
      </c>
      <c r="E1913" s="6" t="s">
        <v>775</v>
      </c>
    </row>
    <row r="1914">
      <c r="A1914" s="10" t="s">
        <v>389</v>
      </c>
      <c r="B1914" s="3" t="s">
        <v>1702</v>
      </c>
      <c r="C1914" s="4" t="s">
        <v>8</v>
      </c>
      <c r="D1914" s="5" t="s">
        <v>19</v>
      </c>
      <c r="E1914" s="6" t="s">
        <v>248</v>
      </c>
    </row>
    <row r="1915">
      <c r="A1915" s="10" t="s">
        <v>389</v>
      </c>
      <c r="B1915" s="3" t="s">
        <v>1702</v>
      </c>
      <c r="C1915" s="4" t="s">
        <v>8</v>
      </c>
      <c r="D1915" s="5" t="s">
        <v>19</v>
      </c>
      <c r="E1915" s="6" t="s">
        <v>323</v>
      </c>
    </row>
    <row r="1916">
      <c r="A1916" s="10" t="s">
        <v>389</v>
      </c>
      <c r="B1916" s="3" t="s">
        <v>1702</v>
      </c>
      <c r="C1916" s="4" t="s">
        <v>8</v>
      </c>
      <c r="D1916" s="5" t="s">
        <v>21</v>
      </c>
      <c r="E1916" s="6" t="s">
        <v>1713</v>
      </c>
    </row>
    <row r="1917" hidden="1">
      <c r="A1917" s="10" t="s">
        <v>389</v>
      </c>
      <c r="B1917" s="3" t="s">
        <v>1702</v>
      </c>
      <c r="C1917" s="4" t="s">
        <v>3</v>
      </c>
      <c r="D1917" s="5" t="s">
        <v>120</v>
      </c>
      <c r="E1917" s="6" t="s">
        <v>1714</v>
      </c>
    </row>
    <row r="1918" hidden="1">
      <c r="A1918" s="10" t="s">
        <v>389</v>
      </c>
      <c r="B1918" s="3" t="s">
        <v>1702</v>
      </c>
      <c r="C1918" s="4" t="s">
        <v>3</v>
      </c>
      <c r="D1918" s="5" t="s">
        <v>96</v>
      </c>
      <c r="E1918" s="6" t="s">
        <v>1715</v>
      </c>
    </row>
    <row r="1919" hidden="1">
      <c r="A1919" s="10" t="s">
        <v>389</v>
      </c>
      <c r="B1919" s="3" t="s">
        <v>1702</v>
      </c>
      <c r="C1919" s="4" t="s">
        <v>3</v>
      </c>
      <c r="D1919" s="5" t="s">
        <v>15</v>
      </c>
      <c r="E1919" s="6" t="s">
        <v>1716</v>
      </c>
    </row>
    <row r="1920">
      <c r="A1920" s="10" t="s">
        <v>389</v>
      </c>
      <c r="B1920" s="3" t="s">
        <v>1702</v>
      </c>
      <c r="C1920" s="4" t="s">
        <v>8</v>
      </c>
      <c r="D1920" s="5" t="s">
        <v>76</v>
      </c>
      <c r="E1920" s="6" t="s">
        <v>1717</v>
      </c>
    </row>
    <row r="1921" hidden="1">
      <c r="A1921" s="10" t="s">
        <v>1718</v>
      </c>
      <c r="B1921" s="3" t="s">
        <v>1719</v>
      </c>
      <c r="C1921" s="4" t="s">
        <v>3</v>
      </c>
      <c r="D1921" s="5" t="s">
        <v>35</v>
      </c>
      <c r="E1921" s="6" t="s">
        <v>1720</v>
      </c>
    </row>
    <row r="1922">
      <c r="A1922" s="10" t="s">
        <v>1718</v>
      </c>
      <c r="B1922" s="3" t="s">
        <v>1719</v>
      </c>
      <c r="C1922" s="4" t="s">
        <v>8</v>
      </c>
      <c r="D1922" s="5" t="s">
        <v>6</v>
      </c>
      <c r="E1922" s="6" t="s">
        <v>1721</v>
      </c>
    </row>
    <row r="1923">
      <c r="A1923" s="10" t="s">
        <v>1718</v>
      </c>
      <c r="B1923" s="3" t="s">
        <v>1719</v>
      </c>
      <c r="C1923" s="4" t="s">
        <v>8</v>
      </c>
      <c r="D1923" s="5" t="s">
        <v>19</v>
      </c>
      <c r="E1923" s="6" t="s">
        <v>1722</v>
      </c>
    </row>
    <row r="1924">
      <c r="A1924" s="10" t="s">
        <v>1718</v>
      </c>
      <c r="B1924" s="3" t="s">
        <v>1719</v>
      </c>
      <c r="C1924" s="4" t="s">
        <v>8</v>
      </c>
      <c r="D1924" s="5" t="s">
        <v>6</v>
      </c>
      <c r="E1924" s="6" t="s">
        <v>1723</v>
      </c>
    </row>
    <row r="1925">
      <c r="A1925" s="10" t="s">
        <v>1718</v>
      </c>
      <c r="B1925" s="3" t="s">
        <v>1719</v>
      </c>
      <c r="C1925" s="4" t="s">
        <v>8</v>
      </c>
      <c r="D1925" s="5" t="s">
        <v>45</v>
      </c>
      <c r="E1925" s="6" t="s">
        <v>1724</v>
      </c>
    </row>
    <row r="1926">
      <c r="A1926" s="10" t="s">
        <v>1718</v>
      </c>
      <c r="B1926" s="3" t="s">
        <v>1719</v>
      </c>
      <c r="C1926" s="4" t="s">
        <v>8</v>
      </c>
      <c r="D1926" s="5" t="s">
        <v>51</v>
      </c>
      <c r="E1926" s="6" t="s">
        <v>967</v>
      </c>
    </row>
    <row r="1927">
      <c r="A1927" s="10" t="s">
        <v>1718</v>
      </c>
      <c r="B1927" s="3" t="s">
        <v>1719</v>
      </c>
      <c r="C1927" s="4" t="s">
        <v>8</v>
      </c>
      <c r="D1927" s="5" t="s">
        <v>9</v>
      </c>
      <c r="E1927" s="6" t="s">
        <v>1725</v>
      </c>
    </row>
    <row r="1928">
      <c r="A1928" s="10" t="s">
        <v>1718</v>
      </c>
      <c r="B1928" s="3" t="s">
        <v>1719</v>
      </c>
      <c r="C1928" s="4" t="s">
        <v>8</v>
      </c>
      <c r="D1928" s="5" t="s">
        <v>19</v>
      </c>
      <c r="E1928" s="6" t="s">
        <v>1726</v>
      </c>
    </row>
    <row r="1929">
      <c r="A1929" s="10" t="s">
        <v>1718</v>
      </c>
      <c r="B1929" s="3" t="s">
        <v>1719</v>
      </c>
      <c r="C1929" s="4" t="s">
        <v>8</v>
      </c>
      <c r="D1929" s="5" t="s">
        <v>13</v>
      </c>
      <c r="E1929" s="6" t="s">
        <v>1727</v>
      </c>
    </row>
    <row r="1930" hidden="1">
      <c r="A1930" s="10" t="s">
        <v>1718</v>
      </c>
      <c r="B1930" s="3" t="s">
        <v>1719</v>
      </c>
      <c r="C1930" s="4" t="s">
        <v>3</v>
      </c>
      <c r="D1930" s="5" t="s">
        <v>13</v>
      </c>
      <c r="E1930" s="6" t="s">
        <v>1030</v>
      </c>
    </row>
    <row r="1931" hidden="1">
      <c r="A1931" s="10" t="s">
        <v>1718</v>
      </c>
      <c r="B1931" s="3" t="s">
        <v>1719</v>
      </c>
      <c r="C1931" s="4" t="s">
        <v>3</v>
      </c>
      <c r="D1931" s="5" t="s">
        <v>96</v>
      </c>
      <c r="E1931" s="6" t="s">
        <v>1728</v>
      </c>
    </row>
    <row r="1932">
      <c r="A1932" s="10" t="s">
        <v>1718</v>
      </c>
      <c r="B1932" s="3" t="s">
        <v>1719</v>
      </c>
      <c r="C1932" s="4" t="s">
        <v>8</v>
      </c>
      <c r="D1932" s="5" t="s">
        <v>15</v>
      </c>
      <c r="E1932" s="6" t="s">
        <v>441</v>
      </c>
    </row>
    <row r="1933">
      <c r="A1933" s="10" t="s">
        <v>1718</v>
      </c>
      <c r="B1933" s="3" t="s">
        <v>1719</v>
      </c>
      <c r="C1933" s="4" t="s">
        <v>8</v>
      </c>
      <c r="D1933" s="5" t="s">
        <v>6</v>
      </c>
      <c r="E1933" s="6" t="s">
        <v>1729</v>
      </c>
    </row>
    <row r="1934">
      <c r="A1934" s="10" t="s">
        <v>1718</v>
      </c>
      <c r="B1934" s="3" t="s">
        <v>1719</v>
      </c>
      <c r="C1934" s="4" t="s">
        <v>8</v>
      </c>
      <c r="D1934" s="5" t="s">
        <v>71</v>
      </c>
      <c r="E1934" s="6" t="s">
        <v>1730</v>
      </c>
    </row>
    <row r="1935" hidden="1">
      <c r="A1935" s="10" t="s">
        <v>1718</v>
      </c>
      <c r="B1935" s="3" t="s">
        <v>1719</v>
      </c>
      <c r="C1935" s="4" t="s">
        <v>3</v>
      </c>
      <c r="D1935" s="5" t="s">
        <v>76</v>
      </c>
      <c r="E1935" s="6" t="s">
        <v>1201</v>
      </c>
    </row>
    <row r="1936" hidden="1">
      <c r="A1936" s="10" t="s">
        <v>1718</v>
      </c>
      <c r="B1936" s="3" t="s">
        <v>1719</v>
      </c>
      <c r="C1936" s="4" t="s">
        <v>3</v>
      </c>
      <c r="D1936" s="5" t="s">
        <v>35</v>
      </c>
      <c r="E1936" s="6" t="s">
        <v>1731</v>
      </c>
    </row>
    <row r="1937">
      <c r="A1937" s="10" t="s">
        <v>1718</v>
      </c>
      <c r="B1937" s="3" t="s">
        <v>1719</v>
      </c>
      <c r="C1937" s="4" t="s">
        <v>8</v>
      </c>
      <c r="D1937" s="5" t="s">
        <v>15</v>
      </c>
      <c r="E1937" s="6" t="s">
        <v>975</v>
      </c>
    </row>
    <row r="1938">
      <c r="A1938" s="10" t="s">
        <v>1718</v>
      </c>
      <c r="B1938" s="3" t="s">
        <v>1719</v>
      </c>
      <c r="C1938" s="4" t="s">
        <v>8</v>
      </c>
      <c r="D1938" s="5" t="s">
        <v>6</v>
      </c>
      <c r="E1938" s="6" t="s">
        <v>1732</v>
      </c>
    </row>
    <row r="1939" hidden="1">
      <c r="A1939" s="10" t="s">
        <v>1718</v>
      </c>
      <c r="B1939" s="3" t="s">
        <v>1719</v>
      </c>
      <c r="C1939" s="4" t="s">
        <v>3</v>
      </c>
      <c r="D1939" s="5" t="s">
        <v>35</v>
      </c>
      <c r="E1939" s="6" t="s">
        <v>1733</v>
      </c>
    </row>
    <row r="1940">
      <c r="A1940" s="10" t="s">
        <v>1718</v>
      </c>
      <c r="B1940" s="3" t="s">
        <v>1719</v>
      </c>
      <c r="C1940" s="4" t="s">
        <v>8</v>
      </c>
      <c r="D1940" s="5" t="s">
        <v>6</v>
      </c>
      <c r="E1940" s="6" t="s">
        <v>1734</v>
      </c>
    </row>
    <row r="1941" hidden="1">
      <c r="A1941" s="10" t="s">
        <v>1228</v>
      </c>
      <c r="B1941" s="3" t="s">
        <v>1735</v>
      </c>
      <c r="C1941" s="4" t="s">
        <v>3</v>
      </c>
      <c r="D1941" s="5" t="s">
        <v>21</v>
      </c>
      <c r="E1941" s="6" t="s">
        <v>1078</v>
      </c>
    </row>
    <row r="1942">
      <c r="A1942" s="10" t="s">
        <v>1228</v>
      </c>
      <c r="B1942" s="3" t="s">
        <v>1735</v>
      </c>
      <c r="C1942" s="4" t="s">
        <v>8</v>
      </c>
      <c r="D1942" s="5" t="s">
        <v>45</v>
      </c>
      <c r="E1942" s="6" t="s">
        <v>1736</v>
      </c>
    </row>
    <row r="1943" hidden="1">
      <c r="A1943" s="10" t="s">
        <v>1228</v>
      </c>
      <c r="B1943" s="3" t="s">
        <v>1735</v>
      </c>
      <c r="C1943" s="4" t="s">
        <v>3</v>
      </c>
      <c r="D1943" s="5" t="s">
        <v>120</v>
      </c>
      <c r="E1943" s="6" t="s">
        <v>288</v>
      </c>
    </row>
    <row r="1944">
      <c r="A1944" s="10" t="s">
        <v>1228</v>
      </c>
      <c r="B1944" s="3" t="s">
        <v>1735</v>
      </c>
      <c r="C1944" s="4" t="s">
        <v>8</v>
      </c>
      <c r="D1944" s="5" t="s">
        <v>15</v>
      </c>
      <c r="E1944" s="6" t="s">
        <v>1737</v>
      </c>
    </row>
    <row r="1945">
      <c r="A1945" s="10" t="s">
        <v>1228</v>
      </c>
      <c r="B1945" s="3" t="s">
        <v>1735</v>
      </c>
      <c r="C1945" s="4" t="s">
        <v>8</v>
      </c>
      <c r="D1945" s="5" t="s">
        <v>39</v>
      </c>
      <c r="E1945" s="6" t="s">
        <v>1738</v>
      </c>
    </row>
    <row r="1946">
      <c r="A1946" s="10" t="s">
        <v>1228</v>
      </c>
      <c r="B1946" s="3" t="s">
        <v>1735</v>
      </c>
      <c r="C1946" s="4" t="s">
        <v>8</v>
      </c>
      <c r="D1946" s="5" t="s">
        <v>13</v>
      </c>
      <c r="E1946" s="6" t="s">
        <v>1739</v>
      </c>
    </row>
    <row r="1947" hidden="1">
      <c r="A1947" s="10" t="s">
        <v>1228</v>
      </c>
      <c r="B1947" s="3" t="s">
        <v>1735</v>
      </c>
      <c r="C1947" s="4" t="s">
        <v>3</v>
      </c>
      <c r="D1947" s="5" t="s">
        <v>51</v>
      </c>
      <c r="E1947" s="6" t="s">
        <v>1740</v>
      </c>
    </row>
    <row r="1948">
      <c r="A1948" s="10" t="s">
        <v>1228</v>
      </c>
      <c r="B1948" s="3" t="s">
        <v>1735</v>
      </c>
      <c r="C1948" s="4" t="s">
        <v>8</v>
      </c>
      <c r="D1948" s="5" t="s">
        <v>17</v>
      </c>
      <c r="E1948" s="6" t="s">
        <v>1741</v>
      </c>
    </row>
    <row r="1949">
      <c r="A1949" s="10" t="s">
        <v>1228</v>
      </c>
      <c r="B1949" s="3" t="s">
        <v>1735</v>
      </c>
      <c r="C1949" s="4" t="s">
        <v>8</v>
      </c>
      <c r="D1949" s="5" t="s">
        <v>9</v>
      </c>
      <c r="E1949" s="6" t="s">
        <v>1742</v>
      </c>
    </row>
    <row r="1950">
      <c r="A1950" s="10" t="s">
        <v>1228</v>
      </c>
      <c r="B1950" s="3" t="s">
        <v>1735</v>
      </c>
      <c r="C1950" s="4" t="s">
        <v>8</v>
      </c>
      <c r="D1950" s="5" t="s">
        <v>51</v>
      </c>
      <c r="E1950" s="6" t="s">
        <v>1743</v>
      </c>
    </row>
    <row r="1951" hidden="1">
      <c r="A1951" s="10" t="s">
        <v>1228</v>
      </c>
      <c r="B1951" s="3" t="s">
        <v>1735</v>
      </c>
      <c r="C1951" s="4" t="s">
        <v>3</v>
      </c>
      <c r="D1951" s="5" t="s">
        <v>96</v>
      </c>
      <c r="E1951" s="6" t="s">
        <v>215</v>
      </c>
    </row>
    <row r="1952" hidden="1">
      <c r="A1952" s="10" t="s">
        <v>1228</v>
      </c>
      <c r="B1952" s="3" t="s">
        <v>1735</v>
      </c>
      <c r="C1952" s="4" t="s">
        <v>3</v>
      </c>
      <c r="D1952" s="5" t="s">
        <v>23</v>
      </c>
      <c r="E1952" s="6" t="s">
        <v>1744</v>
      </c>
    </row>
    <row r="1953">
      <c r="A1953" s="10" t="s">
        <v>1228</v>
      </c>
      <c r="B1953" s="3" t="s">
        <v>1735</v>
      </c>
      <c r="C1953" s="4" t="s">
        <v>8</v>
      </c>
      <c r="D1953" s="5" t="s">
        <v>17</v>
      </c>
      <c r="E1953" s="6" t="s">
        <v>1745</v>
      </c>
    </row>
    <row r="1954">
      <c r="A1954" s="10" t="s">
        <v>1228</v>
      </c>
      <c r="B1954" s="3" t="s">
        <v>1735</v>
      </c>
      <c r="C1954" s="4" t="s">
        <v>8</v>
      </c>
      <c r="D1954" s="5" t="s">
        <v>11</v>
      </c>
      <c r="E1954" s="6" t="s">
        <v>1746</v>
      </c>
    </row>
    <row r="1955" hidden="1">
      <c r="A1955" s="10" t="s">
        <v>1228</v>
      </c>
      <c r="B1955" s="3" t="s">
        <v>1735</v>
      </c>
      <c r="C1955" s="4" t="s">
        <v>3</v>
      </c>
      <c r="D1955" s="5" t="s">
        <v>39</v>
      </c>
      <c r="E1955" s="6" t="s">
        <v>1747</v>
      </c>
    </row>
    <row r="1956">
      <c r="A1956" s="10" t="s">
        <v>1228</v>
      </c>
      <c r="B1956" s="3" t="s">
        <v>1735</v>
      </c>
      <c r="C1956" s="4" t="s">
        <v>8</v>
      </c>
      <c r="D1956" s="5" t="s">
        <v>15</v>
      </c>
      <c r="E1956" s="6" t="s">
        <v>1513</v>
      </c>
    </row>
    <row r="1957">
      <c r="A1957" s="10" t="s">
        <v>1228</v>
      </c>
      <c r="B1957" s="3" t="s">
        <v>1735</v>
      </c>
      <c r="C1957" s="4" t="s">
        <v>8</v>
      </c>
      <c r="D1957" s="5" t="s">
        <v>19</v>
      </c>
      <c r="E1957" s="6" t="s">
        <v>1748</v>
      </c>
    </row>
    <row r="1958" hidden="1">
      <c r="A1958" s="10" t="s">
        <v>1228</v>
      </c>
      <c r="B1958" s="3" t="s">
        <v>1735</v>
      </c>
      <c r="C1958" s="4" t="s">
        <v>3</v>
      </c>
      <c r="D1958" s="5" t="s">
        <v>15</v>
      </c>
      <c r="E1958" s="6" t="s">
        <v>514</v>
      </c>
    </row>
    <row r="1959">
      <c r="A1959" s="10" t="s">
        <v>1228</v>
      </c>
      <c r="B1959" s="3" t="s">
        <v>1735</v>
      </c>
      <c r="C1959" s="4" t="s">
        <v>8</v>
      </c>
      <c r="D1959" s="5" t="s">
        <v>15</v>
      </c>
      <c r="E1959" s="6" t="s">
        <v>1651</v>
      </c>
    </row>
    <row r="1960">
      <c r="A1960" s="10" t="s">
        <v>1228</v>
      </c>
      <c r="B1960" s="3" t="s">
        <v>1735</v>
      </c>
      <c r="C1960" s="4" t="s">
        <v>8</v>
      </c>
      <c r="D1960" s="5" t="s">
        <v>11</v>
      </c>
      <c r="E1960" s="6" t="s">
        <v>592</v>
      </c>
    </row>
    <row r="1961" hidden="1">
      <c r="A1961" s="10" t="s">
        <v>1749</v>
      </c>
      <c r="B1961" s="3" t="s">
        <v>1750</v>
      </c>
      <c r="C1961" s="4" t="s">
        <v>3</v>
      </c>
      <c r="D1961" s="5" t="s">
        <v>19</v>
      </c>
      <c r="E1961" s="6" t="s">
        <v>959</v>
      </c>
    </row>
    <row r="1962" hidden="1">
      <c r="A1962" s="10" t="s">
        <v>1749</v>
      </c>
      <c r="B1962" s="3" t="s">
        <v>1750</v>
      </c>
      <c r="C1962" s="4" t="s">
        <v>3</v>
      </c>
      <c r="D1962" s="5" t="s">
        <v>11</v>
      </c>
      <c r="E1962" s="6" t="s">
        <v>1751</v>
      </c>
    </row>
    <row r="1963" hidden="1">
      <c r="A1963" s="10" t="s">
        <v>1749</v>
      </c>
      <c r="B1963" s="3" t="s">
        <v>1750</v>
      </c>
      <c r="C1963" s="4" t="s">
        <v>3</v>
      </c>
      <c r="D1963" s="5" t="s">
        <v>28</v>
      </c>
      <c r="E1963" s="6" t="s">
        <v>1752</v>
      </c>
    </row>
    <row r="1964">
      <c r="A1964" s="10" t="s">
        <v>1749</v>
      </c>
      <c r="B1964" s="3" t="s">
        <v>1750</v>
      </c>
      <c r="C1964" s="4" t="s">
        <v>8</v>
      </c>
      <c r="D1964" s="5" t="s">
        <v>51</v>
      </c>
      <c r="E1964" s="6" t="s">
        <v>1753</v>
      </c>
    </row>
    <row r="1965">
      <c r="A1965" s="10" t="s">
        <v>1749</v>
      </c>
      <c r="B1965" s="3" t="s">
        <v>1750</v>
      </c>
      <c r="C1965" s="4" t="s">
        <v>8</v>
      </c>
      <c r="D1965" s="5" t="s">
        <v>13</v>
      </c>
      <c r="E1965" s="6" t="s">
        <v>1754</v>
      </c>
    </row>
    <row r="1966">
      <c r="A1966" s="10" t="s">
        <v>1749</v>
      </c>
      <c r="B1966" s="3" t="s">
        <v>1750</v>
      </c>
      <c r="C1966" s="4" t="s">
        <v>8</v>
      </c>
      <c r="D1966" s="5" t="s">
        <v>71</v>
      </c>
      <c r="E1966" s="6" t="s">
        <v>1755</v>
      </c>
    </row>
    <row r="1967">
      <c r="A1967" s="10" t="s">
        <v>1749</v>
      </c>
      <c r="B1967" s="3" t="s">
        <v>1750</v>
      </c>
      <c r="C1967" s="4" t="s">
        <v>8</v>
      </c>
      <c r="D1967" s="5" t="s">
        <v>17</v>
      </c>
      <c r="E1967" s="6" t="s">
        <v>1756</v>
      </c>
    </row>
    <row r="1968" hidden="1">
      <c r="A1968" s="10" t="s">
        <v>1749</v>
      </c>
      <c r="B1968" s="3" t="s">
        <v>1750</v>
      </c>
      <c r="C1968" s="4" t="s">
        <v>3</v>
      </c>
      <c r="D1968" s="5" t="s">
        <v>11</v>
      </c>
      <c r="E1968" s="6" t="s">
        <v>852</v>
      </c>
    </row>
    <row r="1969">
      <c r="A1969" s="10" t="s">
        <v>1749</v>
      </c>
      <c r="B1969" s="3" t="s">
        <v>1750</v>
      </c>
      <c r="C1969" s="4" t="s">
        <v>8</v>
      </c>
      <c r="D1969" s="5" t="s">
        <v>76</v>
      </c>
      <c r="E1969" s="6" t="s">
        <v>1757</v>
      </c>
    </row>
    <row r="1970">
      <c r="A1970" s="10" t="s">
        <v>1749</v>
      </c>
      <c r="B1970" s="3" t="s">
        <v>1750</v>
      </c>
      <c r="C1970" s="4" t="s">
        <v>8</v>
      </c>
      <c r="D1970" s="5" t="s">
        <v>96</v>
      </c>
      <c r="E1970" s="6" t="s">
        <v>1499</v>
      </c>
    </row>
    <row r="1971">
      <c r="A1971" s="10" t="s">
        <v>1749</v>
      </c>
      <c r="B1971" s="3" t="s">
        <v>1750</v>
      </c>
      <c r="C1971" s="4" t="s">
        <v>8</v>
      </c>
      <c r="D1971" s="5" t="s">
        <v>23</v>
      </c>
      <c r="E1971" s="6" t="s">
        <v>1758</v>
      </c>
    </row>
    <row r="1972">
      <c r="A1972" s="10" t="s">
        <v>1749</v>
      </c>
      <c r="B1972" s="3" t="s">
        <v>1750</v>
      </c>
      <c r="C1972" s="4" t="s">
        <v>8</v>
      </c>
      <c r="D1972" s="5" t="s">
        <v>23</v>
      </c>
      <c r="E1972" s="6" t="s">
        <v>1759</v>
      </c>
    </row>
    <row r="1973" hidden="1">
      <c r="A1973" s="10" t="s">
        <v>1749</v>
      </c>
      <c r="B1973" s="3" t="s">
        <v>1750</v>
      </c>
      <c r="C1973" s="4" t="s">
        <v>3</v>
      </c>
      <c r="D1973" s="5" t="s">
        <v>6</v>
      </c>
      <c r="E1973" s="6" t="s">
        <v>1760</v>
      </c>
    </row>
    <row r="1974">
      <c r="A1974" s="10" t="s">
        <v>1749</v>
      </c>
      <c r="B1974" s="3" t="s">
        <v>1750</v>
      </c>
      <c r="C1974" s="4" t="s">
        <v>8</v>
      </c>
      <c r="D1974" s="5" t="s">
        <v>23</v>
      </c>
      <c r="E1974" s="6" t="s">
        <v>1678</v>
      </c>
    </row>
    <row r="1975" hidden="1">
      <c r="A1975" s="10" t="s">
        <v>1749</v>
      </c>
      <c r="B1975" s="3" t="s">
        <v>1750</v>
      </c>
      <c r="C1975" s="4" t="s">
        <v>3</v>
      </c>
      <c r="D1975" s="5" t="s">
        <v>96</v>
      </c>
      <c r="E1975" s="6" t="s">
        <v>1761</v>
      </c>
    </row>
    <row r="1976" hidden="1">
      <c r="A1976" s="10" t="s">
        <v>1749</v>
      </c>
      <c r="B1976" s="3" t="s">
        <v>1750</v>
      </c>
      <c r="C1976" s="4" t="s">
        <v>3</v>
      </c>
      <c r="D1976" s="5" t="s">
        <v>120</v>
      </c>
      <c r="E1976" s="6" t="s">
        <v>1762</v>
      </c>
    </row>
    <row r="1977">
      <c r="A1977" s="10" t="s">
        <v>1749</v>
      </c>
      <c r="B1977" s="3" t="s">
        <v>1750</v>
      </c>
      <c r="C1977" s="4" t="s">
        <v>8</v>
      </c>
      <c r="D1977" s="5" t="s">
        <v>17</v>
      </c>
      <c r="E1977" s="6" t="s">
        <v>1384</v>
      </c>
    </row>
    <row r="1978">
      <c r="A1978" s="10" t="s">
        <v>1749</v>
      </c>
      <c r="B1978" s="3" t="s">
        <v>1750</v>
      </c>
      <c r="C1978" s="4" t="s">
        <v>8</v>
      </c>
      <c r="D1978" s="5" t="s">
        <v>45</v>
      </c>
      <c r="E1978" s="6" t="s">
        <v>1763</v>
      </c>
    </row>
    <row r="1979">
      <c r="A1979" s="10" t="s">
        <v>1749</v>
      </c>
      <c r="B1979" s="3" t="s">
        <v>1750</v>
      </c>
      <c r="C1979" s="4" t="s">
        <v>8</v>
      </c>
      <c r="D1979" s="5" t="s">
        <v>51</v>
      </c>
      <c r="E1979" s="6" t="s">
        <v>1764</v>
      </c>
    </row>
    <row r="1980">
      <c r="A1980" s="10" t="s">
        <v>1749</v>
      </c>
      <c r="B1980" s="3" t="s">
        <v>1750</v>
      </c>
      <c r="C1980" s="4" t="s">
        <v>8</v>
      </c>
      <c r="D1980" s="5" t="s">
        <v>96</v>
      </c>
      <c r="E1980" s="6" t="s">
        <v>1636</v>
      </c>
    </row>
    <row r="1981">
      <c r="A1981" s="10" t="s">
        <v>1765</v>
      </c>
      <c r="B1981" s="3" t="s">
        <v>1766</v>
      </c>
      <c r="C1981" s="4" t="s">
        <v>8</v>
      </c>
      <c r="D1981" s="5" t="s">
        <v>35</v>
      </c>
      <c r="E1981" s="6" t="s">
        <v>1767</v>
      </c>
    </row>
    <row r="1982" hidden="1">
      <c r="A1982" s="10" t="s">
        <v>1765</v>
      </c>
      <c r="B1982" s="3" t="s">
        <v>1766</v>
      </c>
      <c r="C1982" s="4" t="s">
        <v>3</v>
      </c>
      <c r="D1982" s="5" t="s">
        <v>120</v>
      </c>
      <c r="E1982" s="6" t="s">
        <v>1768</v>
      </c>
    </row>
    <row r="1983" hidden="1">
      <c r="A1983" s="10" t="s">
        <v>1765</v>
      </c>
      <c r="B1983" s="3" t="s">
        <v>1766</v>
      </c>
      <c r="C1983" s="4" t="s">
        <v>3</v>
      </c>
      <c r="D1983" s="5" t="s">
        <v>42</v>
      </c>
      <c r="E1983" s="6" t="s">
        <v>309</v>
      </c>
    </row>
    <row r="1984" hidden="1">
      <c r="A1984" s="10" t="s">
        <v>1765</v>
      </c>
      <c r="B1984" s="3" t="s">
        <v>1766</v>
      </c>
      <c r="C1984" s="4" t="s">
        <v>3</v>
      </c>
      <c r="D1984" s="5" t="s">
        <v>13</v>
      </c>
      <c r="E1984" s="6" t="s">
        <v>1769</v>
      </c>
    </row>
    <row r="1985" hidden="1">
      <c r="A1985" s="10" t="s">
        <v>1765</v>
      </c>
      <c r="B1985" s="3" t="s">
        <v>1766</v>
      </c>
      <c r="C1985" s="4" t="s">
        <v>3</v>
      </c>
      <c r="D1985" s="5" t="s">
        <v>51</v>
      </c>
      <c r="E1985" s="6" t="s">
        <v>1124</v>
      </c>
    </row>
    <row r="1986">
      <c r="A1986" s="10" t="s">
        <v>1765</v>
      </c>
      <c r="B1986" s="3" t="s">
        <v>1766</v>
      </c>
      <c r="C1986" s="4" t="s">
        <v>8</v>
      </c>
      <c r="D1986" s="5" t="s">
        <v>23</v>
      </c>
      <c r="E1986" s="6" t="s">
        <v>1464</v>
      </c>
    </row>
    <row r="1987" hidden="1">
      <c r="A1987" s="10" t="s">
        <v>1765</v>
      </c>
      <c r="B1987" s="3" t="s">
        <v>1766</v>
      </c>
      <c r="C1987" s="4" t="s">
        <v>3</v>
      </c>
      <c r="D1987" s="5" t="s">
        <v>21</v>
      </c>
      <c r="E1987" s="6" t="s">
        <v>359</v>
      </c>
    </row>
    <row r="1988">
      <c r="A1988" s="10" t="s">
        <v>1765</v>
      </c>
      <c r="B1988" s="3" t="s">
        <v>1766</v>
      </c>
      <c r="C1988" s="4" t="s">
        <v>8</v>
      </c>
      <c r="D1988" s="5" t="s">
        <v>13</v>
      </c>
      <c r="E1988" s="6" t="s">
        <v>383</v>
      </c>
    </row>
    <row r="1989" hidden="1">
      <c r="A1989" s="10" t="s">
        <v>1765</v>
      </c>
      <c r="B1989" s="3" t="s">
        <v>1766</v>
      </c>
      <c r="C1989" s="4" t="s">
        <v>3</v>
      </c>
      <c r="D1989" s="5" t="s">
        <v>15</v>
      </c>
      <c r="E1989" s="6" t="s">
        <v>1076</v>
      </c>
    </row>
    <row r="1990">
      <c r="A1990" s="10" t="s">
        <v>1765</v>
      </c>
      <c r="B1990" s="3" t="s">
        <v>1766</v>
      </c>
      <c r="C1990" s="4" t="s">
        <v>8</v>
      </c>
      <c r="D1990" s="5" t="s">
        <v>13</v>
      </c>
      <c r="E1990" s="6" t="s">
        <v>1741</v>
      </c>
    </row>
    <row r="1991">
      <c r="A1991" s="10" t="s">
        <v>1765</v>
      </c>
      <c r="B1991" s="3" t="s">
        <v>1766</v>
      </c>
      <c r="C1991" s="4" t="s">
        <v>8</v>
      </c>
      <c r="D1991" s="5" t="s">
        <v>4</v>
      </c>
      <c r="E1991" s="6" t="s">
        <v>1418</v>
      </c>
    </row>
    <row r="1992">
      <c r="A1992" s="10" t="s">
        <v>1765</v>
      </c>
      <c r="B1992" s="3" t="s">
        <v>1766</v>
      </c>
      <c r="C1992" s="4" t="s">
        <v>8</v>
      </c>
      <c r="D1992" s="5" t="s">
        <v>120</v>
      </c>
      <c r="E1992" s="6" t="s">
        <v>1770</v>
      </c>
    </row>
    <row r="1993" hidden="1">
      <c r="A1993" s="10" t="s">
        <v>1765</v>
      </c>
      <c r="B1993" s="3" t="s">
        <v>1766</v>
      </c>
      <c r="C1993" s="4" t="s">
        <v>3</v>
      </c>
      <c r="D1993" s="5" t="s">
        <v>9</v>
      </c>
      <c r="E1993" s="6" t="s">
        <v>829</v>
      </c>
    </row>
    <row r="1994">
      <c r="A1994" s="10" t="s">
        <v>1765</v>
      </c>
      <c r="B1994" s="3" t="s">
        <v>1766</v>
      </c>
      <c r="C1994" s="4" t="s">
        <v>8</v>
      </c>
      <c r="D1994" s="5" t="s">
        <v>45</v>
      </c>
      <c r="E1994" s="6" t="s">
        <v>1771</v>
      </c>
    </row>
    <row r="1995">
      <c r="A1995" s="10" t="s">
        <v>1765</v>
      </c>
      <c r="B1995" s="3" t="s">
        <v>1766</v>
      </c>
      <c r="C1995" s="4" t="s">
        <v>8</v>
      </c>
      <c r="D1995" s="5" t="s">
        <v>17</v>
      </c>
      <c r="E1995" s="6" t="s">
        <v>1772</v>
      </c>
    </row>
    <row r="1996">
      <c r="A1996" s="10" t="s">
        <v>1765</v>
      </c>
      <c r="B1996" s="3" t="s">
        <v>1766</v>
      </c>
      <c r="C1996" s="4" t="s">
        <v>8</v>
      </c>
      <c r="D1996" s="5" t="s">
        <v>15</v>
      </c>
      <c r="E1996" s="6" t="s">
        <v>612</v>
      </c>
    </row>
    <row r="1997" hidden="1">
      <c r="A1997" s="10" t="s">
        <v>1765</v>
      </c>
      <c r="B1997" s="3" t="s">
        <v>1766</v>
      </c>
      <c r="C1997" s="4" t="s">
        <v>3</v>
      </c>
      <c r="D1997" s="5" t="s">
        <v>51</v>
      </c>
      <c r="E1997" s="6" t="s">
        <v>382</v>
      </c>
    </row>
    <row r="1998">
      <c r="A1998" s="10" t="s">
        <v>1765</v>
      </c>
      <c r="B1998" s="3" t="s">
        <v>1766</v>
      </c>
      <c r="C1998" s="4" t="s">
        <v>8</v>
      </c>
      <c r="D1998" s="5" t="s">
        <v>9</v>
      </c>
      <c r="E1998" s="6" t="s">
        <v>1773</v>
      </c>
    </row>
    <row r="1999" hidden="1">
      <c r="A1999" s="10" t="s">
        <v>1765</v>
      </c>
      <c r="B1999" s="3" t="s">
        <v>1766</v>
      </c>
      <c r="C1999" s="4" t="s">
        <v>3</v>
      </c>
      <c r="D1999" s="5" t="s">
        <v>13</v>
      </c>
      <c r="E1999" s="6" t="s">
        <v>936</v>
      </c>
    </row>
    <row r="2000" hidden="1">
      <c r="A2000" s="10" t="s">
        <v>1765</v>
      </c>
      <c r="B2000" s="3" t="s">
        <v>1766</v>
      </c>
      <c r="C2000" s="4" t="s">
        <v>3</v>
      </c>
      <c r="D2000" s="5" t="s">
        <v>71</v>
      </c>
      <c r="E2000" s="6" t="s">
        <v>175</v>
      </c>
    </row>
    <row r="2001" hidden="1">
      <c r="A2001" s="10" t="s">
        <v>1775</v>
      </c>
      <c r="B2001" s="3" t="s">
        <v>1776</v>
      </c>
      <c r="C2001" s="4" t="s">
        <v>1777</v>
      </c>
      <c r="D2001" s="5" t="s">
        <v>1778</v>
      </c>
      <c r="E2001" s="6" t="s">
        <v>1779</v>
      </c>
    </row>
    <row r="2002" hidden="1">
      <c r="A2002" s="11"/>
      <c r="B2002" s="12"/>
      <c r="C2002" s="13"/>
      <c r="E2002" s="6"/>
    </row>
    <row r="2003" hidden="1">
      <c r="A2003" s="11"/>
      <c r="B2003" s="12"/>
      <c r="C2003" s="13"/>
      <c r="E2003" s="6"/>
    </row>
  </sheetData>
  <autoFilter ref="$A$1:$E$2003">
    <filterColumn colId="2">
      <filters>
        <filter val="Compra"/>
      </filters>
    </filterColumn>
  </autoFilter>
  <drawing r:id="rId1"/>
</worksheet>
</file>